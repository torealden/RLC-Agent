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07D0422A-D114-4776-A416-10C72F7782CD}" xr6:coauthVersionLast="47" xr6:coauthVersionMax="47" xr10:uidLastSave="{00000000-0000-0000-0000-000000000000}"/>
  <bookViews>
    <workbookView xWindow="2775" yWindow="1170" windowWidth="22860" windowHeight="12030" xr2:uid="{FAD04372-CDC7-4CAD-8960-D49D59C98250}"/>
  </bookViews>
  <sheets>
    <sheet name="Daily Prices" sheetId="1" r:id="rId1"/>
    <sheet name="RIN Daily Prices" sheetId="2" r:id="rId2"/>
    <sheet name="Monthly" sheetId="3" r:id="rId3"/>
    <sheet name="Quarterly" sheetId="4" r:id="rId4"/>
    <sheet name="Annual" sheetId="5" r:id="rId5"/>
    <sheet name="Chart2" sheetId="6" r:id="rId6"/>
    <sheet name="Chart7" sheetId="7" r:id="rId7"/>
    <sheet name="Chart8" sheetId="8" r:id="rId8"/>
    <sheet name="Chart9" sheetId="9" r:id="rId9"/>
    <sheet name="Chart10" sheetId="10" r:id="rId10"/>
    <sheet name="MultiRegLCFS" sheetId="11" r:id="rId11"/>
    <sheet name="Regression RINs" sheetId="12" r:id="rId12"/>
    <sheet name="MultiRegressionD4RIN" sheetId="13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5" l="1"/>
  <c r="J25" i="5"/>
  <c r="H25" i="5"/>
  <c r="G25" i="5"/>
  <c r="E25" i="5"/>
  <c r="D25" i="5"/>
  <c r="K24" i="5"/>
  <c r="J24" i="5"/>
  <c r="H24" i="5"/>
  <c r="G24" i="5"/>
  <c r="E24" i="5"/>
  <c r="D24" i="5"/>
  <c r="K23" i="5"/>
  <c r="J23" i="5"/>
  <c r="H23" i="5"/>
  <c r="G23" i="5"/>
  <c r="E23" i="5"/>
  <c r="D23" i="5"/>
  <c r="K22" i="5"/>
  <c r="J22" i="5"/>
  <c r="H22" i="5"/>
  <c r="G22" i="5"/>
  <c r="E22" i="5"/>
  <c r="D22" i="5"/>
  <c r="K21" i="5"/>
  <c r="J21" i="5"/>
  <c r="H21" i="5"/>
  <c r="G21" i="5"/>
  <c r="E21" i="5"/>
  <c r="D21" i="5"/>
  <c r="K20" i="5"/>
  <c r="J20" i="5"/>
  <c r="H20" i="5"/>
  <c r="G20" i="5"/>
  <c r="E20" i="5"/>
  <c r="D20" i="5"/>
  <c r="K19" i="5"/>
  <c r="J19" i="5"/>
  <c r="H19" i="5"/>
  <c r="G19" i="5"/>
  <c r="E19" i="5"/>
  <c r="D19" i="5"/>
  <c r="K18" i="5"/>
  <c r="J18" i="5"/>
  <c r="H18" i="5"/>
  <c r="G18" i="5"/>
  <c r="E18" i="5"/>
  <c r="D18" i="5"/>
  <c r="K17" i="5"/>
  <c r="J17" i="5"/>
  <c r="H17" i="5"/>
  <c r="G17" i="5"/>
  <c r="E17" i="5"/>
  <c r="D17" i="5"/>
  <c r="K16" i="5"/>
  <c r="J16" i="5"/>
  <c r="H16" i="5"/>
  <c r="G16" i="5"/>
  <c r="E16" i="5"/>
  <c r="D16" i="5"/>
  <c r="K15" i="5"/>
  <c r="J15" i="5"/>
  <c r="H15" i="5"/>
  <c r="G15" i="5"/>
  <c r="E15" i="5"/>
  <c r="D15" i="5"/>
  <c r="K14" i="5"/>
  <c r="J14" i="5"/>
  <c r="H14" i="5"/>
  <c r="G14" i="5"/>
  <c r="E14" i="5"/>
  <c r="D14" i="5"/>
  <c r="K13" i="5"/>
  <c r="J13" i="5"/>
  <c r="H13" i="5"/>
  <c r="G13" i="5"/>
  <c r="E13" i="5"/>
  <c r="D13" i="5"/>
  <c r="H12" i="5"/>
  <c r="G12" i="5"/>
  <c r="E12" i="5"/>
  <c r="D12" i="5"/>
  <c r="H11" i="5"/>
  <c r="G11" i="5"/>
  <c r="E11" i="5"/>
  <c r="D11" i="5"/>
  <c r="H10" i="5"/>
  <c r="G10" i="5"/>
  <c r="E10" i="5"/>
  <c r="D10" i="5"/>
  <c r="H9" i="5"/>
  <c r="G9" i="5"/>
  <c r="E9" i="5"/>
  <c r="D9" i="5"/>
  <c r="H8" i="5"/>
  <c r="G8" i="5"/>
  <c r="E8" i="5"/>
  <c r="D8" i="5"/>
  <c r="H7" i="5"/>
  <c r="G7" i="5"/>
  <c r="E7" i="5"/>
  <c r="D7" i="5"/>
  <c r="H6" i="5"/>
  <c r="G6" i="5"/>
  <c r="E6" i="5"/>
  <c r="D6" i="5"/>
  <c r="H5" i="5"/>
  <c r="G5" i="5"/>
  <c r="E5" i="5"/>
  <c r="D5" i="5"/>
  <c r="H4" i="5"/>
  <c r="G4" i="5"/>
  <c r="E4" i="5"/>
  <c r="D4" i="5"/>
  <c r="I152" i="4"/>
  <c r="H152" i="4"/>
  <c r="I151" i="4"/>
  <c r="H151" i="4"/>
  <c r="E151" i="4"/>
  <c r="I150" i="4"/>
  <c r="H150" i="4"/>
  <c r="I149" i="4"/>
  <c r="H149" i="4"/>
  <c r="I148" i="4"/>
  <c r="H148" i="4"/>
  <c r="E148" i="4"/>
  <c r="I147" i="4"/>
  <c r="E147" i="4" s="1"/>
  <c r="H147" i="4"/>
  <c r="I146" i="4"/>
  <c r="H146" i="4"/>
  <c r="I145" i="4"/>
  <c r="H145" i="4"/>
  <c r="I144" i="4"/>
  <c r="H144" i="4"/>
  <c r="I143" i="4"/>
  <c r="H143" i="4"/>
  <c r="E143" i="4"/>
  <c r="I142" i="4"/>
  <c r="H142" i="4"/>
  <c r="E142" i="4"/>
  <c r="I141" i="4"/>
  <c r="H141" i="4"/>
  <c r="I140" i="4"/>
  <c r="H140" i="4"/>
  <c r="E140" i="4"/>
  <c r="I139" i="4"/>
  <c r="H139" i="4"/>
  <c r="I138" i="4"/>
  <c r="H138" i="4"/>
  <c r="M137" i="4"/>
  <c r="I137" i="4"/>
  <c r="E137" i="4" s="1"/>
  <c r="H137" i="4"/>
  <c r="I136" i="4"/>
  <c r="H136" i="4"/>
  <c r="E136" i="4"/>
  <c r="I135" i="4"/>
  <c r="H135" i="4"/>
  <c r="I134" i="4"/>
  <c r="H134" i="4"/>
  <c r="I133" i="4"/>
  <c r="H133" i="4"/>
  <c r="E133" i="4"/>
  <c r="I132" i="4"/>
  <c r="H132" i="4"/>
  <c r="I131" i="4"/>
  <c r="E131" i="4" s="1"/>
  <c r="H131" i="4"/>
  <c r="I130" i="4"/>
  <c r="H130" i="4"/>
  <c r="E130" i="4"/>
  <c r="M130" i="4" s="1"/>
  <c r="M129" i="4"/>
  <c r="I129" i="4"/>
  <c r="H129" i="4"/>
  <c r="E129" i="4"/>
  <c r="I128" i="4"/>
  <c r="H128" i="4"/>
  <c r="E128" i="4"/>
  <c r="I127" i="4"/>
  <c r="H127" i="4"/>
  <c r="I126" i="4"/>
  <c r="H126" i="4"/>
  <c r="E126" i="4"/>
  <c r="I125" i="4"/>
  <c r="H125" i="4"/>
  <c r="E125" i="4"/>
  <c r="I124" i="4"/>
  <c r="H124" i="4"/>
  <c r="E124" i="4"/>
  <c r="I123" i="4"/>
  <c r="H123" i="4"/>
  <c r="I122" i="4"/>
  <c r="H122" i="4"/>
  <c r="E122" i="4"/>
  <c r="I121" i="4"/>
  <c r="H121" i="4"/>
  <c r="I120" i="4"/>
  <c r="E120" i="4" s="1"/>
  <c r="H120" i="4"/>
  <c r="I119" i="4"/>
  <c r="H119" i="4"/>
  <c r="E119" i="4"/>
  <c r="I118" i="4"/>
  <c r="H118" i="4"/>
  <c r="E118" i="4"/>
  <c r="I117" i="4"/>
  <c r="H117" i="4"/>
  <c r="I116" i="4"/>
  <c r="H116" i="4"/>
  <c r="I115" i="4"/>
  <c r="H115" i="4"/>
  <c r="E115" i="4"/>
  <c r="I114" i="4"/>
  <c r="H114" i="4"/>
  <c r="I113" i="4"/>
  <c r="H113" i="4"/>
  <c r="E113" i="4"/>
  <c r="I112" i="4"/>
  <c r="H112" i="4"/>
  <c r="E112" i="4" s="1"/>
  <c r="M112" i="4" s="1"/>
  <c r="I111" i="4"/>
  <c r="H111" i="4"/>
  <c r="E111" i="4"/>
  <c r="I110" i="4"/>
  <c r="H110" i="4"/>
  <c r="E110" i="4"/>
  <c r="I109" i="4"/>
  <c r="E109" i="4" s="1"/>
  <c r="H109" i="4"/>
  <c r="I108" i="4"/>
  <c r="H108" i="4"/>
  <c r="E108" i="4"/>
  <c r="I107" i="4"/>
  <c r="H107" i="4"/>
  <c r="E107" i="4"/>
  <c r="I106" i="4"/>
  <c r="H106" i="4"/>
  <c r="I105" i="4"/>
  <c r="H105" i="4"/>
  <c r="I104" i="4"/>
  <c r="E104" i="4" s="1"/>
  <c r="H104" i="4"/>
  <c r="I103" i="4"/>
  <c r="H103" i="4"/>
  <c r="E103" i="4"/>
  <c r="I102" i="4"/>
  <c r="H102" i="4"/>
  <c r="I101" i="4"/>
  <c r="H101" i="4"/>
  <c r="E101" i="4"/>
  <c r="M101" i="4" s="1"/>
  <c r="I100" i="4"/>
  <c r="H100" i="4"/>
  <c r="E100" i="4"/>
  <c r="I99" i="4"/>
  <c r="H99" i="4"/>
  <c r="I98" i="4"/>
  <c r="E98" i="4" s="1"/>
  <c r="H98" i="4"/>
  <c r="M97" i="4"/>
  <c r="I97" i="4"/>
  <c r="H97" i="4"/>
  <c r="E97" i="4"/>
  <c r="I96" i="4"/>
  <c r="H96" i="4"/>
  <c r="E96" i="4"/>
  <c r="I95" i="4"/>
  <c r="H95" i="4"/>
  <c r="I94" i="4"/>
  <c r="H94" i="4"/>
  <c r="I93" i="4"/>
  <c r="H93" i="4"/>
  <c r="I92" i="4"/>
  <c r="H92" i="4"/>
  <c r="E92" i="4"/>
  <c r="I91" i="4"/>
  <c r="H91" i="4"/>
  <c r="E91" i="4"/>
  <c r="M90" i="4"/>
  <c r="I90" i="4"/>
  <c r="E90" i="4" s="1"/>
  <c r="H90" i="4"/>
  <c r="I89" i="4"/>
  <c r="H89" i="4"/>
  <c r="E89" i="4"/>
  <c r="I88" i="4"/>
  <c r="H88" i="4"/>
  <c r="I87" i="4"/>
  <c r="E87" i="4" s="1"/>
  <c r="H87" i="4"/>
  <c r="I86" i="4"/>
  <c r="H86" i="4"/>
  <c r="I85" i="4"/>
  <c r="H85" i="4"/>
  <c r="E85" i="4"/>
  <c r="I84" i="4"/>
  <c r="H84" i="4"/>
  <c r="I83" i="4"/>
  <c r="H83" i="4"/>
  <c r="E83" i="4" s="1"/>
  <c r="I82" i="4"/>
  <c r="H82" i="4"/>
  <c r="I81" i="4"/>
  <c r="H81" i="4"/>
  <c r="E81" i="4" s="1"/>
  <c r="I80" i="4"/>
  <c r="H80" i="4"/>
  <c r="E80" i="4" s="1"/>
  <c r="I79" i="4"/>
  <c r="H79" i="4"/>
  <c r="I78" i="4"/>
  <c r="H78" i="4"/>
  <c r="E78" i="4"/>
  <c r="I77" i="4"/>
  <c r="H77" i="4"/>
  <c r="E77" i="4"/>
  <c r="I76" i="4"/>
  <c r="E76" i="4" s="1"/>
  <c r="H76" i="4"/>
  <c r="B76" i="4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I75" i="4"/>
  <c r="H75" i="4"/>
  <c r="E75" i="4"/>
  <c r="I74" i="4"/>
  <c r="H74" i="4"/>
  <c r="E74" i="4"/>
  <c r="I73" i="4"/>
  <c r="H73" i="4"/>
  <c r="E73" i="4"/>
  <c r="I72" i="4"/>
  <c r="H72" i="4"/>
  <c r="I71" i="4"/>
  <c r="H71" i="4"/>
  <c r="E71" i="4"/>
  <c r="I70" i="4"/>
  <c r="H70" i="4"/>
  <c r="I69" i="4"/>
  <c r="H69" i="4"/>
  <c r="E69" i="4" s="1"/>
  <c r="I68" i="4"/>
  <c r="E68" i="4" s="1"/>
  <c r="H68" i="4"/>
  <c r="I67" i="4"/>
  <c r="H67" i="4"/>
  <c r="E67" i="4"/>
  <c r="I66" i="4"/>
  <c r="H66" i="4"/>
  <c r="E66" i="4"/>
  <c r="M66" i="4" s="1"/>
  <c r="I65" i="4"/>
  <c r="E65" i="4" s="1"/>
  <c r="H65" i="4"/>
  <c r="I64" i="4"/>
  <c r="H64" i="4"/>
  <c r="E64" i="4" s="1"/>
  <c r="B64" i="4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I63" i="4"/>
  <c r="H63" i="4"/>
  <c r="E63" i="4"/>
  <c r="I62" i="4"/>
  <c r="H62" i="4"/>
  <c r="E62" i="4"/>
  <c r="I61" i="4"/>
  <c r="H61" i="4"/>
  <c r="I60" i="4"/>
  <c r="H60" i="4"/>
  <c r="E60" i="4"/>
  <c r="B60" i="4"/>
  <c r="B61" i="4" s="1"/>
  <c r="B62" i="4" s="1"/>
  <c r="B63" i="4" s="1"/>
  <c r="I59" i="4"/>
  <c r="H59" i="4"/>
  <c r="E59" i="4" s="1"/>
  <c r="B59" i="4"/>
  <c r="I58" i="4"/>
  <c r="H58" i="4"/>
  <c r="B58" i="4"/>
  <c r="I57" i="4"/>
  <c r="H57" i="4"/>
  <c r="E57" i="4"/>
  <c r="I56" i="4"/>
  <c r="H56" i="4"/>
  <c r="E56" i="4"/>
  <c r="M56" i="4" s="1"/>
  <c r="I55" i="4"/>
  <c r="H55" i="4"/>
  <c r="E55" i="4"/>
  <c r="I54" i="4"/>
  <c r="H54" i="4"/>
  <c r="M53" i="4"/>
  <c r="I53" i="4"/>
  <c r="H53" i="4"/>
  <c r="E53" i="4"/>
  <c r="I52" i="4"/>
  <c r="H52" i="4"/>
  <c r="E52" i="4"/>
  <c r="I51" i="4"/>
  <c r="H51" i="4"/>
  <c r="B51" i="4"/>
  <c r="I50" i="4"/>
  <c r="H50" i="4"/>
  <c r="B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J48" i="4" s="1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T453" i="3"/>
  <c r="S453" i="3"/>
  <c r="D453" i="3"/>
  <c r="C453" i="3"/>
  <c r="B453" i="3"/>
  <c r="T452" i="3"/>
  <c r="S452" i="3"/>
  <c r="D452" i="3"/>
  <c r="C452" i="3"/>
  <c r="B452" i="3"/>
  <c r="T451" i="3"/>
  <c r="S451" i="3"/>
  <c r="P451" i="3" s="1"/>
  <c r="D451" i="3"/>
  <c r="C451" i="3"/>
  <c r="B451" i="3"/>
  <c r="T450" i="3"/>
  <c r="S450" i="3"/>
  <c r="P450" i="3"/>
  <c r="L450" i="3"/>
  <c r="J450" i="3"/>
  <c r="D450" i="3"/>
  <c r="C450" i="3"/>
  <c r="B450" i="3"/>
  <c r="T449" i="3"/>
  <c r="S449" i="3"/>
  <c r="P449" i="3" s="1"/>
  <c r="J449" i="3"/>
  <c r="D449" i="3"/>
  <c r="C449" i="3"/>
  <c r="B449" i="3"/>
  <c r="T448" i="3"/>
  <c r="J448" i="3" s="1"/>
  <c r="S448" i="3"/>
  <c r="P448" i="3"/>
  <c r="D448" i="3"/>
  <c r="C448" i="3"/>
  <c r="B448" i="3"/>
  <c r="T447" i="3"/>
  <c r="S447" i="3"/>
  <c r="P447" i="3"/>
  <c r="J447" i="3"/>
  <c r="L447" i="3" s="1"/>
  <c r="D447" i="3"/>
  <c r="C447" i="3"/>
  <c r="B447" i="3"/>
  <c r="T446" i="3"/>
  <c r="S446" i="3"/>
  <c r="P446" i="3" s="1"/>
  <c r="D446" i="3"/>
  <c r="C446" i="3"/>
  <c r="B446" i="3"/>
  <c r="T445" i="3"/>
  <c r="S445" i="3"/>
  <c r="P445" i="3"/>
  <c r="D445" i="3"/>
  <c r="C445" i="3"/>
  <c r="B445" i="3"/>
  <c r="T444" i="3"/>
  <c r="S444" i="3"/>
  <c r="P444" i="3"/>
  <c r="D444" i="3"/>
  <c r="C444" i="3"/>
  <c r="B444" i="3"/>
  <c r="T443" i="3"/>
  <c r="S443" i="3"/>
  <c r="P443" i="3" s="1"/>
  <c r="J443" i="3"/>
  <c r="D443" i="3"/>
  <c r="C443" i="3"/>
  <c r="B443" i="3"/>
  <c r="T442" i="3"/>
  <c r="S442" i="3"/>
  <c r="P442" i="3" s="1"/>
  <c r="L442" i="3"/>
  <c r="J442" i="3"/>
  <c r="D442" i="3"/>
  <c r="C442" i="3"/>
  <c r="B442" i="3"/>
  <c r="T441" i="3"/>
  <c r="S441" i="3"/>
  <c r="P441" i="3" s="1"/>
  <c r="D441" i="3"/>
  <c r="C441" i="3"/>
  <c r="B441" i="3"/>
  <c r="T440" i="3"/>
  <c r="S440" i="3"/>
  <c r="J440" i="3" s="1"/>
  <c r="D440" i="3"/>
  <c r="C440" i="3"/>
  <c r="B440" i="3"/>
  <c r="T439" i="3"/>
  <c r="S439" i="3"/>
  <c r="P439" i="3"/>
  <c r="J439" i="3"/>
  <c r="L439" i="3" s="1"/>
  <c r="D439" i="3"/>
  <c r="C439" i="3"/>
  <c r="B439" i="3"/>
  <c r="T438" i="3"/>
  <c r="J438" i="3" s="1"/>
  <c r="L438" i="3" s="1"/>
  <c r="S438" i="3"/>
  <c r="P438" i="3"/>
  <c r="D438" i="3"/>
  <c r="C438" i="3"/>
  <c r="B438" i="3"/>
  <c r="T437" i="3"/>
  <c r="S437" i="3"/>
  <c r="J437" i="3" s="1"/>
  <c r="L437" i="3" s="1"/>
  <c r="P437" i="3"/>
  <c r="D437" i="3"/>
  <c r="C437" i="3"/>
  <c r="B437" i="3"/>
  <c r="T436" i="3"/>
  <c r="S436" i="3"/>
  <c r="J436" i="3" s="1"/>
  <c r="L436" i="3" s="1"/>
  <c r="P436" i="3"/>
  <c r="D436" i="3"/>
  <c r="C436" i="3"/>
  <c r="B436" i="3"/>
  <c r="T435" i="3"/>
  <c r="S435" i="3"/>
  <c r="P435" i="3" s="1"/>
  <c r="J435" i="3"/>
  <c r="L435" i="3" s="1"/>
  <c r="D435" i="3"/>
  <c r="C435" i="3"/>
  <c r="B435" i="3"/>
  <c r="T434" i="3"/>
  <c r="J434" i="3" s="1"/>
  <c r="S434" i="3"/>
  <c r="P434" i="3"/>
  <c r="L434" i="3"/>
  <c r="D434" i="3"/>
  <c r="C434" i="3"/>
  <c r="B434" i="3"/>
  <c r="T433" i="3"/>
  <c r="S433" i="3"/>
  <c r="P433" i="3"/>
  <c r="J433" i="3"/>
  <c r="D433" i="3"/>
  <c r="C433" i="3"/>
  <c r="B433" i="3"/>
  <c r="T432" i="3"/>
  <c r="J432" i="3" s="1"/>
  <c r="S432" i="3"/>
  <c r="P432" i="3"/>
  <c r="L432" i="3"/>
  <c r="D432" i="3"/>
  <c r="C432" i="3"/>
  <c r="B432" i="3"/>
  <c r="T431" i="3"/>
  <c r="S431" i="3"/>
  <c r="P431" i="3" s="1"/>
  <c r="J431" i="3"/>
  <c r="D431" i="3"/>
  <c r="C431" i="3"/>
  <c r="B431" i="3"/>
  <c r="T430" i="3"/>
  <c r="S430" i="3"/>
  <c r="D430" i="3"/>
  <c r="C430" i="3"/>
  <c r="B430" i="3"/>
  <c r="T429" i="3"/>
  <c r="S429" i="3"/>
  <c r="P429" i="3" s="1"/>
  <c r="D429" i="3"/>
  <c r="C429" i="3"/>
  <c r="B429" i="3"/>
  <c r="T428" i="3"/>
  <c r="J428" i="3" s="1"/>
  <c r="S428" i="3"/>
  <c r="P428" i="3" s="1"/>
  <c r="D428" i="3"/>
  <c r="C428" i="3"/>
  <c r="B428" i="3"/>
  <c r="T427" i="3"/>
  <c r="S427" i="3"/>
  <c r="J427" i="3" s="1"/>
  <c r="P427" i="3"/>
  <c r="D427" i="3"/>
  <c r="C427" i="3"/>
  <c r="B427" i="3"/>
  <c r="T426" i="3"/>
  <c r="J426" i="3" s="1"/>
  <c r="L426" i="3" s="1"/>
  <c r="S426" i="3"/>
  <c r="P426" i="3"/>
  <c r="D426" i="3"/>
  <c r="C426" i="3"/>
  <c r="B426" i="3"/>
  <c r="T425" i="3"/>
  <c r="J425" i="3" s="1"/>
  <c r="S425" i="3"/>
  <c r="P425" i="3"/>
  <c r="L425" i="3"/>
  <c r="D425" i="3"/>
  <c r="C425" i="3"/>
  <c r="B425" i="3"/>
  <c r="T424" i="3"/>
  <c r="S424" i="3"/>
  <c r="D424" i="3"/>
  <c r="C424" i="3"/>
  <c r="B424" i="3"/>
  <c r="T423" i="3"/>
  <c r="S423" i="3"/>
  <c r="P423" i="3"/>
  <c r="D423" i="3"/>
  <c r="C423" i="3"/>
  <c r="B423" i="3"/>
  <c r="T422" i="3"/>
  <c r="S422" i="3"/>
  <c r="D422" i="3"/>
  <c r="C422" i="3"/>
  <c r="B422" i="3"/>
  <c r="T421" i="3"/>
  <c r="S421" i="3"/>
  <c r="P421" i="3" s="1"/>
  <c r="J421" i="3"/>
  <c r="D421" i="3"/>
  <c r="C421" i="3"/>
  <c r="B421" i="3"/>
  <c r="T420" i="3"/>
  <c r="S420" i="3"/>
  <c r="D420" i="3"/>
  <c r="C420" i="3"/>
  <c r="B420" i="3"/>
  <c r="T419" i="3"/>
  <c r="S419" i="3"/>
  <c r="P419" i="3"/>
  <c r="J419" i="3"/>
  <c r="D419" i="3"/>
  <c r="C419" i="3"/>
  <c r="B419" i="3"/>
  <c r="T418" i="3"/>
  <c r="J418" i="3" s="1"/>
  <c r="S418" i="3"/>
  <c r="P418" i="3" s="1"/>
  <c r="L418" i="3"/>
  <c r="D418" i="3"/>
  <c r="C418" i="3"/>
  <c r="B418" i="3"/>
  <c r="T417" i="3"/>
  <c r="S417" i="3"/>
  <c r="P417" i="3" s="1"/>
  <c r="J417" i="3"/>
  <c r="D417" i="3"/>
  <c r="C417" i="3"/>
  <c r="B417" i="3"/>
  <c r="T416" i="3"/>
  <c r="J416" i="3" s="1"/>
  <c r="S416" i="3"/>
  <c r="P416" i="3"/>
  <c r="L416" i="3"/>
  <c r="D416" i="3"/>
  <c r="C416" i="3"/>
  <c r="B416" i="3"/>
  <c r="T415" i="3"/>
  <c r="J415" i="3" s="1"/>
  <c r="S415" i="3"/>
  <c r="P415" i="3" s="1"/>
  <c r="L415" i="3"/>
  <c r="D415" i="3"/>
  <c r="C415" i="3"/>
  <c r="B415" i="3"/>
  <c r="T414" i="3"/>
  <c r="S414" i="3"/>
  <c r="D414" i="3"/>
  <c r="C414" i="3"/>
  <c r="B414" i="3"/>
  <c r="T413" i="3"/>
  <c r="S413" i="3"/>
  <c r="J413" i="3" s="1"/>
  <c r="L413" i="3" s="1"/>
  <c r="D413" i="3"/>
  <c r="C413" i="3"/>
  <c r="B413" i="3"/>
  <c r="T412" i="3"/>
  <c r="S412" i="3"/>
  <c r="D412" i="3"/>
  <c r="C412" i="3"/>
  <c r="B412" i="3"/>
  <c r="T411" i="3"/>
  <c r="S411" i="3"/>
  <c r="P411" i="3"/>
  <c r="J411" i="3"/>
  <c r="D411" i="3"/>
  <c r="C411" i="3"/>
  <c r="B411" i="3"/>
  <c r="T410" i="3"/>
  <c r="J410" i="3" s="1"/>
  <c r="S410" i="3"/>
  <c r="P410" i="3"/>
  <c r="D410" i="3"/>
  <c r="C410" i="3"/>
  <c r="B410" i="3"/>
  <c r="T409" i="3"/>
  <c r="J409" i="3" s="1"/>
  <c r="S409" i="3"/>
  <c r="P409" i="3" s="1"/>
  <c r="D409" i="3"/>
  <c r="C409" i="3"/>
  <c r="B409" i="3"/>
  <c r="T408" i="3"/>
  <c r="S408" i="3"/>
  <c r="P408" i="3" s="1"/>
  <c r="J408" i="3"/>
  <c r="D408" i="3"/>
  <c r="C408" i="3"/>
  <c r="B408" i="3"/>
  <c r="T407" i="3"/>
  <c r="J407" i="3" s="1"/>
  <c r="S407" i="3"/>
  <c r="P407" i="3"/>
  <c r="D407" i="3"/>
  <c r="C407" i="3"/>
  <c r="B407" i="3"/>
  <c r="T406" i="3"/>
  <c r="S406" i="3"/>
  <c r="P406" i="3" s="1"/>
  <c r="J406" i="3"/>
  <c r="D406" i="3"/>
  <c r="C406" i="3"/>
  <c r="B406" i="3"/>
  <c r="T405" i="3"/>
  <c r="S405" i="3"/>
  <c r="J405" i="3" s="1"/>
  <c r="P405" i="3"/>
  <c r="L405" i="3"/>
  <c r="D405" i="3"/>
  <c r="C405" i="3"/>
  <c r="B405" i="3"/>
  <c r="T404" i="3"/>
  <c r="J404" i="3" s="1"/>
  <c r="S404" i="3"/>
  <c r="P404" i="3"/>
  <c r="D404" i="3"/>
  <c r="C404" i="3"/>
  <c r="B404" i="3"/>
  <c r="T403" i="3"/>
  <c r="S403" i="3"/>
  <c r="P403" i="3"/>
  <c r="J403" i="3"/>
  <c r="D403" i="3"/>
  <c r="C403" i="3"/>
  <c r="B403" i="3"/>
  <c r="T402" i="3"/>
  <c r="S402" i="3"/>
  <c r="D402" i="3"/>
  <c r="C402" i="3"/>
  <c r="B402" i="3"/>
  <c r="T401" i="3"/>
  <c r="S401" i="3"/>
  <c r="D401" i="3"/>
  <c r="C401" i="3"/>
  <c r="B401" i="3"/>
  <c r="T400" i="3"/>
  <c r="S400" i="3"/>
  <c r="P400" i="3" s="1"/>
  <c r="J400" i="3"/>
  <c r="D400" i="3"/>
  <c r="C400" i="3"/>
  <c r="B400" i="3"/>
  <c r="T399" i="3"/>
  <c r="S399" i="3"/>
  <c r="P399" i="3" s="1"/>
  <c r="J399" i="3"/>
  <c r="L399" i="3" s="1"/>
  <c r="D399" i="3"/>
  <c r="C399" i="3"/>
  <c r="B399" i="3"/>
  <c r="T398" i="3"/>
  <c r="S398" i="3"/>
  <c r="P398" i="3"/>
  <c r="L398" i="3"/>
  <c r="J398" i="3"/>
  <c r="D398" i="3"/>
  <c r="C398" i="3"/>
  <c r="B398" i="3"/>
  <c r="T397" i="3"/>
  <c r="S397" i="3"/>
  <c r="P397" i="3"/>
  <c r="J397" i="3"/>
  <c r="D397" i="3"/>
  <c r="C397" i="3"/>
  <c r="B397" i="3"/>
  <c r="T396" i="3"/>
  <c r="S396" i="3"/>
  <c r="P396" i="3" s="1"/>
  <c r="J396" i="3"/>
  <c r="D396" i="3"/>
  <c r="C396" i="3"/>
  <c r="B396" i="3"/>
  <c r="T395" i="3"/>
  <c r="S395" i="3"/>
  <c r="P395" i="3"/>
  <c r="J395" i="3"/>
  <c r="D395" i="3"/>
  <c r="C395" i="3"/>
  <c r="B395" i="3"/>
  <c r="T394" i="3"/>
  <c r="J394" i="3" s="1"/>
  <c r="S394" i="3"/>
  <c r="P394" i="3"/>
  <c r="L394" i="3"/>
  <c r="D394" i="3"/>
  <c r="C394" i="3"/>
  <c r="B394" i="3"/>
  <c r="T393" i="3"/>
  <c r="J393" i="3" s="1"/>
  <c r="S393" i="3"/>
  <c r="P393" i="3"/>
  <c r="L393" i="3"/>
  <c r="D393" i="3"/>
  <c r="C393" i="3"/>
  <c r="B393" i="3"/>
  <c r="T392" i="3"/>
  <c r="S392" i="3"/>
  <c r="D392" i="3"/>
  <c r="C392" i="3"/>
  <c r="B392" i="3"/>
  <c r="T391" i="3"/>
  <c r="S391" i="3"/>
  <c r="P391" i="3" s="1"/>
  <c r="D391" i="3"/>
  <c r="C391" i="3"/>
  <c r="B391" i="3"/>
  <c r="T390" i="3"/>
  <c r="S390" i="3"/>
  <c r="P390" i="3"/>
  <c r="J390" i="3"/>
  <c r="D390" i="3"/>
  <c r="C390" i="3"/>
  <c r="B390" i="3"/>
  <c r="T389" i="3"/>
  <c r="S389" i="3"/>
  <c r="P389" i="3" s="1"/>
  <c r="J389" i="3"/>
  <c r="D389" i="3"/>
  <c r="C389" i="3"/>
  <c r="B389" i="3"/>
  <c r="T388" i="3"/>
  <c r="S388" i="3"/>
  <c r="P388" i="3"/>
  <c r="J388" i="3"/>
  <c r="D388" i="3"/>
  <c r="C388" i="3"/>
  <c r="B388" i="3"/>
  <c r="T387" i="3"/>
  <c r="S387" i="3"/>
  <c r="P387" i="3" s="1"/>
  <c r="D387" i="3"/>
  <c r="C387" i="3"/>
  <c r="B387" i="3"/>
  <c r="T386" i="3"/>
  <c r="S386" i="3"/>
  <c r="P386" i="3" s="1"/>
  <c r="J386" i="3"/>
  <c r="L386" i="3" s="1"/>
  <c r="D386" i="3"/>
  <c r="C386" i="3"/>
  <c r="B386" i="3"/>
  <c r="T385" i="3"/>
  <c r="J385" i="3" s="1"/>
  <c r="S385" i="3"/>
  <c r="P385" i="3"/>
  <c r="D385" i="3"/>
  <c r="C385" i="3"/>
  <c r="B385" i="3"/>
  <c r="T384" i="3"/>
  <c r="S384" i="3"/>
  <c r="J384" i="3" s="1"/>
  <c r="L384" i="3" s="1"/>
  <c r="P384" i="3"/>
  <c r="D384" i="3"/>
  <c r="C384" i="3"/>
  <c r="B384" i="3"/>
  <c r="T383" i="3"/>
  <c r="S383" i="3"/>
  <c r="D383" i="3"/>
  <c r="C383" i="3"/>
  <c r="B383" i="3"/>
  <c r="T382" i="3"/>
  <c r="S382" i="3"/>
  <c r="P382" i="3"/>
  <c r="J382" i="3"/>
  <c r="L382" i="3" s="1"/>
  <c r="D382" i="3"/>
  <c r="C382" i="3"/>
  <c r="B382" i="3"/>
  <c r="T381" i="3"/>
  <c r="J381" i="3" s="1"/>
  <c r="L381" i="3" s="1"/>
  <c r="S381" i="3"/>
  <c r="P381" i="3"/>
  <c r="D381" i="3"/>
  <c r="C381" i="3"/>
  <c r="B381" i="3"/>
  <c r="T380" i="3"/>
  <c r="S380" i="3"/>
  <c r="P380" i="3"/>
  <c r="D380" i="3"/>
  <c r="C380" i="3"/>
  <c r="B380" i="3"/>
  <c r="T379" i="3"/>
  <c r="S379" i="3"/>
  <c r="J379" i="3" s="1"/>
  <c r="P379" i="3"/>
  <c r="D379" i="3"/>
  <c r="C379" i="3"/>
  <c r="B379" i="3"/>
  <c r="T378" i="3"/>
  <c r="S378" i="3"/>
  <c r="P378" i="3" s="1"/>
  <c r="D378" i="3"/>
  <c r="C378" i="3"/>
  <c r="B378" i="3"/>
  <c r="T377" i="3"/>
  <c r="S377" i="3"/>
  <c r="P377" i="3" s="1"/>
  <c r="J377" i="3"/>
  <c r="D377" i="3"/>
  <c r="C377" i="3"/>
  <c r="B377" i="3"/>
  <c r="T376" i="3"/>
  <c r="S376" i="3"/>
  <c r="J376" i="3" s="1"/>
  <c r="L376" i="3" s="1"/>
  <c r="P376" i="3"/>
  <c r="D376" i="3"/>
  <c r="C376" i="3"/>
  <c r="B376" i="3"/>
  <c r="T375" i="3"/>
  <c r="S375" i="3"/>
  <c r="J375" i="3" s="1"/>
  <c r="P375" i="3"/>
  <c r="D375" i="3"/>
  <c r="C375" i="3"/>
  <c r="B375" i="3"/>
  <c r="T374" i="3"/>
  <c r="J374" i="3" s="1"/>
  <c r="S374" i="3"/>
  <c r="P374" i="3" s="1"/>
  <c r="D374" i="3"/>
  <c r="C374" i="3"/>
  <c r="B374" i="3"/>
  <c r="T373" i="3"/>
  <c r="S373" i="3"/>
  <c r="P373" i="3"/>
  <c r="D373" i="3"/>
  <c r="C373" i="3"/>
  <c r="B373" i="3"/>
  <c r="T372" i="3"/>
  <c r="S372" i="3"/>
  <c r="P372" i="3"/>
  <c r="J372" i="3"/>
  <c r="L372" i="3" s="1"/>
  <c r="D372" i="3"/>
  <c r="C372" i="3"/>
  <c r="B372" i="3"/>
  <c r="T371" i="3"/>
  <c r="J371" i="3" s="1"/>
  <c r="S371" i="3"/>
  <c r="P371" i="3"/>
  <c r="D371" i="3"/>
  <c r="C371" i="3"/>
  <c r="B371" i="3"/>
  <c r="T370" i="3"/>
  <c r="S370" i="3"/>
  <c r="P370" i="3"/>
  <c r="D370" i="3"/>
  <c r="C370" i="3"/>
  <c r="B370" i="3"/>
  <c r="T369" i="3"/>
  <c r="S369" i="3"/>
  <c r="P369" i="3"/>
  <c r="J369" i="3"/>
  <c r="D369" i="3"/>
  <c r="C369" i="3"/>
  <c r="B369" i="3"/>
  <c r="T368" i="3"/>
  <c r="J368" i="3" s="1"/>
  <c r="S368" i="3"/>
  <c r="P368" i="3"/>
  <c r="D368" i="3"/>
  <c r="C368" i="3"/>
  <c r="B368" i="3"/>
  <c r="T367" i="3"/>
  <c r="S367" i="3"/>
  <c r="D367" i="3"/>
  <c r="C367" i="3"/>
  <c r="B367" i="3"/>
  <c r="T366" i="3"/>
  <c r="S366" i="3"/>
  <c r="P366" i="3"/>
  <c r="J366" i="3"/>
  <c r="D366" i="3"/>
  <c r="C366" i="3"/>
  <c r="B366" i="3"/>
  <c r="T365" i="3"/>
  <c r="S365" i="3"/>
  <c r="D365" i="3"/>
  <c r="C365" i="3"/>
  <c r="B365" i="3"/>
  <c r="T364" i="3"/>
  <c r="S364" i="3"/>
  <c r="P364" i="3"/>
  <c r="L364" i="3"/>
  <c r="J364" i="3"/>
  <c r="D364" i="3"/>
  <c r="C364" i="3"/>
  <c r="B364" i="3"/>
  <c r="T363" i="3"/>
  <c r="S363" i="3"/>
  <c r="P363" i="3"/>
  <c r="J363" i="3"/>
  <c r="D363" i="3"/>
  <c r="C363" i="3"/>
  <c r="B363" i="3"/>
  <c r="T362" i="3"/>
  <c r="J362" i="3" s="1"/>
  <c r="S362" i="3"/>
  <c r="P362" i="3"/>
  <c r="L362" i="3"/>
  <c r="D362" i="3"/>
  <c r="C362" i="3"/>
  <c r="B362" i="3"/>
  <c r="T361" i="3"/>
  <c r="J361" i="3" s="1"/>
  <c r="S361" i="3"/>
  <c r="P361" i="3"/>
  <c r="D361" i="3"/>
  <c r="C361" i="3"/>
  <c r="B361" i="3"/>
  <c r="T360" i="3"/>
  <c r="S360" i="3"/>
  <c r="D360" i="3"/>
  <c r="C360" i="3"/>
  <c r="B360" i="3"/>
  <c r="T359" i="3"/>
  <c r="S359" i="3"/>
  <c r="D359" i="3"/>
  <c r="C359" i="3"/>
  <c r="B359" i="3"/>
  <c r="T358" i="3"/>
  <c r="S358" i="3"/>
  <c r="P358" i="3"/>
  <c r="J358" i="3"/>
  <c r="D358" i="3"/>
  <c r="C358" i="3"/>
  <c r="B358" i="3"/>
  <c r="T357" i="3"/>
  <c r="S357" i="3"/>
  <c r="P357" i="3"/>
  <c r="L357" i="3"/>
  <c r="J357" i="3"/>
  <c r="D357" i="3"/>
  <c r="C357" i="3"/>
  <c r="B357" i="3"/>
  <c r="T356" i="3"/>
  <c r="J356" i="3" s="1"/>
  <c r="S356" i="3"/>
  <c r="P356" i="3"/>
  <c r="D356" i="3"/>
  <c r="C356" i="3"/>
  <c r="B356" i="3"/>
  <c r="T355" i="3"/>
  <c r="S355" i="3"/>
  <c r="J355" i="3" s="1"/>
  <c r="P355" i="3"/>
  <c r="L355" i="3"/>
  <c r="D355" i="3"/>
  <c r="C355" i="3"/>
  <c r="B355" i="3"/>
  <c r="T354" i="3"/>
  <c r="J354" i="3" s="1"/>
  <c r="S354" i="3"/>
  <c r="P354" i="3" s="1"/>
  <c r="L354" i="3"/>
  <c r="D354" i="3"/>
  <c r="C354" i="3"/>
  <c r="B354" i="3"/>
  <c r="T353" i="3"/>
  <c r="S353" i="3"/>
  <c r="J353" i="3" s="1"/>
  <c r="P353" i="3"/>
  <c r="D353" i="3"/>
  <c r="C353" i="3"/>
  <c r="B353" i="3"/>
  <c r="T352" i="3"/>
  <c r="S352" i="3"/>
  <c r="P352" i="3"/>
  <c r="J352" i="3"/>
  <c r="L352" i="3" s="1"/>
  <c r="D352" i="3"/>
  <c r="C352" i="3"/>
  <c r="B352" i="3"/>
  <c r="T351" i="3"/>
  <c r="S351" i="3"/>
  <c r="P351" i="3"/>
  <c r="L351" i="3"/>
  <c r="J351" i="3"/>
  <c r="D351" i="3"/>
  <c r="C351" i="3"/>
  <c r="B351" i="3"/>
  <c r="T350" i="3"/>
  <c r="S350" i="3"/>
  <c r="P350" i="3" s="1"/>
  <c r="J350" i="3"/>
  <c r="D350" i="3"/>
  <c r="C350" i="3"/>
  <c r="B350" i="3"/>
  <c r="T349" i="3"/>
  <c r="S349" i="3"/>
  <c r="D349" i="3"/>
  <c r="C349" i="3"/>
  <c r="B349" i="3"/>
  <c r="T348" i="3"/>
  <c r="S348" i="3"/>
  <c r="P348" i="3"/>
  <c r="J348" i="3"/>
  <c r="D348" i="3"/>
  <c r="C348" i="3"/>
  <c r="B348" i="3"/>
  <c r="T347" i="3"/>
  <c r="S347" i="3"/>
  <c r="P347" i="3" s="1"/>
  <c r="D347" i="3"/>
  <c r="C347" i="3"/>
  <c r="B347" i="3"/>
  <c r="T346" i="3"/>
  <c r="J346" i="3" s="1"/>
  <c r="L346" i="3" s="1"/>
  <c r="S346" i="3"/>
  <c r="P346" i="3" s="1"/>
  <c r="D346" i="3"/>
  <c r="C346" i="3"/>
  <c r="B346" i="3"/>
  <c r="T345" i="3"/>
  <c r="S345" i="3"/>
  <c r="D345" i="3"/>
  <c r="C345" i="3"/>
  <c r="B345" i="3"/>
  <c r="T344" i="3"/>
  <c r="S344" i="3"/>
  <c r="P344" i="3"/>
  <c r="J344" i="3"/>
  <c r="D344" i="3"/>
  <c r="C344" i="3"/>
  <c r="B344" i="3"/>
  <c r="T343" i="3"/>
  <c r="J343" i="3" s="1"/>
  <c r="S343" i="3"/>
  <c r="P343" i="3"/>
  <c r="D343" i="3"/>
  <c r="C343" i="3"/>
  <c r="B343" i="3"/>
  <c r="T342" i="3"/>
  <c r="J342" i="3" s="1"/>
  <c r="S342" i="3"/>
  <c r="P342" i="3"/>
  <c r="D342" i="3"/>
  <c r="C342" i="3"/>
  <c r="B342" i="3"/>
  <c r="T341" i="3"/>
  <c r="S341" i="3"/>
  <c r="D341" i="3"/>
  <c r="C341" i="3"/>
  <c r="B341" i="3"/>
  <c r="T340" i="3"/>
  <c r="J340" i="3" s="1"/>
  <c r="S340" i="3"/>
  <c r="P340" i="3"/>
  <c r="L340" i="3"/>
  <c r="D340" i="3"/>
  <c r="C340" i="3"/>
  <c r="B340" i="3"/>
  <c r="T339" i="3"/>
  <c r="S339" i="3"/>
  <c r="J339" i="3" s="1"/>
  <c r="P339" i="3"/>
  <c r="L339" i="3"/>
  <c r="D339" i="3"/>
  <c r="C339" i="3"/>
  <c r="B339" i="3"/>
  <c r="T338" i="3"/>
  <c r="S338" i="3"/>
  <c r="D338" i="3"/>
  <c r="C338" i="3"/>
  <c r="B338" i="3"/>
  <c r="T337" i="3"/>
  <c r="S337" i="3"/>
  <c r="D337" i="3"/>
  <c r="C337" i="3"/>
  <c r="B337" i="3"/>
  <c r="T336" i="3"/>
  <c r="S336" i="3"/>
  <c r="P336" i="3"/>
  <c r="D336" i="3"/>
  <c r="C336" i="3"/>
  <c r="B336" i="3"/>
  <c r="T335" i="3"/>
  <c r="S335" i="3"/>
  <c r="P335" i="3"/>
  <c r="J335" i="3"/>
  <c r="L335" i="3" s="1"/>
  <c r="D335" i="3"/>
  <c r="C335" i="3"/>
  <c r="B335" i="3"/>
  <c r="T334" i="3"/>
  <c r="J334" i="3" s="1"/>
  <c r="S334" i="3"/>
  <c r="P334" i="3"/>
  <c r="D334" i="3"/>
  <c r="C334" i="3"/>
  <c r="B334" i="3"/>
  <c r="T333" i="3"/>
  <c r="S333" i="3"/>
  <c r="P333" i="3" s="1"/>
  <c r="D333" i="3"/>
  <c r="C333" i="3"/>
  <c r="B333" i="3"/>
  <c r="T332" i="3"/>
  <c r="S332" i="3"/>
  <c r="P332" i="3"/>
  <c r="D332" i="3"/>
  <c r="C332" i="3"/>
  <c r="B332" i="3"/>
  <c r="T331" i="3"/>
  <c r="S331" i="3"/>
  <c r="D331" i="3"/>
  <c r="C331" i="3"/>
  <c r="B331" i="3"/>
  <c r="T330" i="3"/>
  <c r="S330" i="3"/>
  <c r="P330" i="3"/>
  <c r="J330" i="3"/>
  <c r="L330" i="3" s="1"/>
  <c r="D330" i="3"/>
  <c r="C330" i="3"/>
  <c r="B330" i="3"/>
  <c r="T329" i="3"/>
  <c r="J329" i="3" s="1"/>
  <c r="L329" i="3" s="1"/>
  <c r="S329" i="3"/>
  <c r="P329" i="3"/>
  <c r="D329" i="3"/>
  <c r="C329" i="3"/>
  <c r="B329" i="3"/>
  <c r="T328" i="3"/>
  <c r="S328" i="3"/>
  <c r="P328" i="3" s="1"/>
  <c r="D328" i="3"/>
  <c r="C328" i="3"/>
  <c r="B328" i="3"/>
  <c r="T327" i="3"/>
  <c r="J327" i="3" s="1"/>
  <c r="S327" i="3"/>
  <c r="P327" i="3"/>
  <c r="D327" i="3"/>
  <c r="C327" i="3"/>
  <c r="B327" i="3"/>
  <c r="T326" i="3"/>
  <c r="S326" i="3"/>
  <c r="J326" i="3" s="1"/>
  <c r="P326" i="3"/>
  <c r="D326" i="3"/>
  <c r="C326" i="3"/>
  <c r="B326" i="3"/>
  <c r="T325" i="3"/>
  <c r="S325" i="3"/>
  <c r="P325" i="3" s="1"/>
  <c r="L325" i="3"/>
  <c r="J325" i="3"/>
  <c r="D325" i="3"/>
  <c r="C325" i="3"/>
  <c r="B325" i="3"/>
  <c r="T324" i="3"/>
  <c r="S324" i="3"/>
  <c r="P324" i="3" s="1"/>
  <c r="J324" i="3"/>
  <c r="D324" i="3"/>
  <c r="C324" i="3"/>
  <c r="B324" i="3"/>
  <c r="T323" i="3"/>
  <c r="S323" i="3"/>
  <c r="P323" i="3" s="1"/>
  <c r="J323" i="3"/>
  <c r="L323" i="3" s="1"/>
  <c r="D323" i="3"/>
  <c r="C323" i="3"/>
  <c r="B323" i="3"/>
  <c r="T322" i="3"/>
  <c r="J322" i="3" s="1"/>
  <c r="S322" i="3"/>
  <c r="P322" i="3"/>
  <c r="D322" i="3"/>
  <c r="C322" i="3"/>
  <c r="B322" i="3"/>
  <c r="T321" i="3"/>
  <c r="S321" i="3"/>
  <c r="P321" i="3"/>
  <c r="J321" i="3"/>
  <c r="D321" i="3"/>
  <c r="C321" i="3"/>
  <c r="B321" i="3"/>
  <c r="T320" i="3"/>
  <c r="J320" i="3" s="1"/>
  <c r="L320" i="3" s="1"/>
  <c r="S320" i="3"/>
  <c r="P320" i="3"/>
  <c r="D320" i="3"/>
  <c r="C320" i="3"/>
  <c r="B320" i="3"/>
  <c r="T319" i="3"/>
  <c r="S319" i="3"/>
  <c r="P319" i="3" s="1"/>
  <c r="D319" i="3"/>
  <c r="C319" i="3"/>
  <c r="B319" i="3"/>
  <c r="T318" i="3"/>
  <c r="J318" i="3" s="1"/>
  <c r="S318" i="3"/>
  <c r="P318" i="3"/>
  <c r="L318" i="3"/>
  <c r="D318" i="3"/>
  <c r="C318" i="3"/>
  <c r="B318" i="3"/>
  <c r="T317" i="3"/>
  <c r="S317" i="3"/>
  <c r="P317" i="3"/>
  <c r="J317" i="3"/>
  <c r="L317" i="3" s="1"/>
  <c r="D317" i="3"/>
  <c r="C317" i="3"/>
  <c r="B317" i="3"/>
  <c r="T316" i="3"/>
  <c r="S316" i="3"/>
  <c r="J316" i="3" s="1"/>
  <c r="L316" i="3" s="1"/>
  <c r="P316" i="3"/>
  <c r="D316" i="3"/>
  <c r="C316" i="3"/>
  <c r="B316" i="3"/>
  <c r="T315" i="3"/>
  <c r="S315" i="3"/>
  <c r="P315" i="3" s="1"/>
  <c r="J315" i="3"/>
  <c r="D315" i="3"/>
  <c r="C315" i="3"/>
  <c r="B315" i="3"/>
  <c r="T314" i="3"/>
  <c r="S314" i="3"/>
  <c r="J314" i="3" s="1"/>
  <c r="P314" i="3"/>
  <c r="L314" i="3"/>
  <c r="D314" i="3"/>
  <c r="C314" i="3"/>
  <c r="B314" i="3"/>
  <c r="T313" i="3"/>
  <c r="S313" i="3"/>
  <c r="P313" i="3"/>
  <c r="J313" i="3"/>
  <c r="D313" i="3"/>
  <c r="C313" i="3"/>
  <c r="B313" i="3"/>
  <c r="T312" i="3"/>
  <c r="S312" i="3"/>
  <c r="P312" i="3" s="1"/>
  <c r="L312" i="3"/>
  <c r="J312" i="3"/>
  <c r="D312" i="3"/>
  <c r="C312" i="3"/>
  <c r="B312" i="3"/>
  <c r="T311" i="3"/>
  <c r="S311" i="3"/>
  <c r="P311" i="3"/>
  <c r="D311" i="3"/>
  <c r="C311" i="3"/>
  <c r="B311" i="3"/>
  <c r="T310" i="3"/>
  <c r="S310" i="3"/>
  <c r="P310" i="3"/>
  <c r="D310" i="3"/>
  <c r="C310" i="3"/>
  <c r="B310" i="3"/>
  <c r="T309" i="3"/>
  <c r="S309" i="3"/>
  <c r="P309" i="3"/>
  <c r="L309" i="3"/>
  <c r="J309" i="3"/>
  <c r="D309" i="3"/>
  <c r="C309" i="3"/>
  <c r="B309" i="3"/>
  <c r="T308" i="3"/>
  <c r="S308" i="3"/>
  <c r="P308" i="3" s="1"/>
  <c r="D308" i="3"/>
  <c r="C308" i="3"/>
  <c r="B308" i="3"/>
  <c r="T307" i="3"/>
  <c r="J307" i="3" s="1"/>
  <c r="S307" i="3"/>
  <c r="P307" i="3"/>
  <c r="D307" i="3"/>
  <c r="C307" i="3"/>
  <c r="B307" i="3"/>
  <c r="T306" i="3"/>
  <c r="S306" i="3"/>
  <c r="J306" i="3" s="1"/>
  <c r="P306" i="3"/>
  <c r="D306" i="3"/>
  <c r="C306" i="3"/>
  <c r="B306" i="3"/>
  <c r="T305" i="3"/>
  <c r="S305" i="3"/>
  <c r="P305" i="3" s="1"/>
  <c r="J305" i="3"/>
  <c r="D305" i="3"/>
  <c r="C305" i="3"/>
  <c r="B305" i="3"/>
  <c r="T304" i="3"/>
  <c r="S304" i="3"/>
  <c r="P304" i="3"/>
  <c r="J304" i="3"/>
  <c r="D304" i="3"/>
  <c r="C304" i="3"/>
  <c r="B304" i="3"/>
  <c r="T303" i="3"/>
  <c r="S303" i="3"/>
  <c r="P303" i="3" s="1"/>
  <c r="J303" i="3"/>
  <c r="L303" i="3" s="1"/>
  <c r="D303" i="3"/>
  <c r="C303" i="3"/>
  <c r="B303" i="3"/>
  <c r="T302" i="3"/>
  <c r="S302" i="3"/>
  <c r="P302" i="3" s="1"/>
  <c r="J302" i="3"/>
  <c r="D302" i="3"/>
  <c r="C302" i="3"/>
  <c r="B302" i="3"/>
  <c r="T301" i="3"/>
  <c r="S301" i="3"/>
  <c r="P301" i="3" s="1"/>
  <c r="J301" i="3"/>
  <c r="D301" i="3"/>
  <c r="C301" i="3"/>
  <c r="B301" i="3"/>
  <c r="T300" i="3"/>
  <c r="S300" i="3"/>
  <c r="J300" i="3" s="1"/>
  <c r="L300" i="3" s="1"/>
  <c r="P300" i="3"/>
  <c r="D300" i="3"/>
  <c r="C300" i="3"/>
  <c r="B300" i="3"/>
  <c r="T299" i="3"/>
  <c r="S299" i="3"/>
  <c r="P299" i="3"/>
  <c r="J299" i="3"/>
  <c r="L299" i="3" s="1"/>
  <c r="D299" i="3"/>
  <c r="C299" i="3"/>
  <c r="B299" i="3"/>
  <c r="T298" i="3"/>
  <c r="S298" i="3"/>
  <c r="P298" i="3"/>
  <c r="J298" i="3"/>
  <c r="L298" i="3" s="1"/>
  <c r="D298" i="3"/>
  <c r="C298" i="3"/>
  <c r="B298" i="3"/>
  <c r="T297" i="3"/>
  <c r="S297" i="3"/>
  <c r="P297" i="3" s="1"/>
  <c r="D297" i="3"/>
  <c r="C297" i="3"/>
  <c r="B297" i="3"/>
  <c r="T296" i="3"/>
  <c r="J296" i="3" s="1"/>
  <c r="S296" i="3"/>
  <c r="P296" i="3"/>
  <c r="L296" i="3"/>
  <c r="D296" i="3"/>
  <c r="C296" i="3"/>
  <c r="B296" i="3"/>
  <c r="T295" i="3"/>
  <c r="S295" i="3"/>
  <c r="D295" i="3"/>
  <c r="C295" i="3"/>
  <c r="B295" i="3"/>
  <c r="T294" i="3"/>
  <c r="S294" i="3"/>
  <c r="J294" i="3" s="1"/>
  <c r="L294" i="3" s="1"/>
  <c r="P294" i="3"/>
  <c r="D294" i="3"/>
  <c r="C294" i="3"/>
  <c r="B294" i="3"/>
  <c r="T293" i="3"/>
  <c r="S293" i="3"/>
  <c r="J293" i="3" s="1"/>
  <c r="L293" i="3" s="1"/>
  <c r="D293" i="3"/>
  <c r="C293" i="3"/>
  <c r="B293" i="3"/>
  <c r="T292" i="3"/>
  <c r="S292" i="3"/>
  <c r="P292" i="3"/>
  <c r="D292" i="3"/>
  <c r="C292" i="3"/>
  <c r="B292" i="3"/>
  <c r="T291" i="3"/>
  <c r="S291" i="3"/>
  <c r="P291" i="3"/>
  <c r="J291" i="3"/>
  <c r="D291" i="3"/>
  <c r="C291" i="3"/>
  <c r="B291" i="3"/>
  <c r="T290" i="3"/>
  <c r="S290" i="3"/>
  <c r="P290" i="3" s="1"/>
  <c r="D290" i="3"/>
  <c r="C290" i="3"/>
  <c r="B290" i="3"/>
  <c r="T289" i="3"/>
  <c r="S289" i="3"/>
  <c r="P289" i="3"/>
  <c r="D289" i="3"/>
  <c r="C289" i="3"/>
  <c r="B289" i="3"/>
  <c r="T288" i="3"/>
  <c r="S288" i="3"/>
  <c r="P288" i="3"/>
  <c r="D288" i="3"/>
  <c r="C288" i="3"/>
  <c r="B288" i="3"/>
  <c r="T287" i="3"/>
  <c r="S287" i="3"/>
  <c r="J287" i="3" s="1"/>
  <c r="P287" i="3"/>
  <c r="D287" i="3"/>
  <c r="C287" i="3"/>
  <c r="B287" i="3"/>
  <c r="T286" i="3"/>
  <c r="S286" i="3"/>
  <c r="P286" i="3"/>
  <c r="J286" i="3"/>
  <c r="L286" i="3" s="1"/>
  <c r="D286" i="3"/>
  <c r="C286" i="3"/>
  <c r="B286" i="3"/>
  <c r="T285" i="3"/>
  <c r="J285" i="3" s="1"/>
  <c r="S285" i="3"/>
  <c r="P285" i="3"/>
  <c r="D285" i="3"/>
  <c r="C285" i="3"/>
  <c r="B285" i="3"/>
  <c r="T284" i="3"/>
  <c r="S284" i="3"/>
  <c r="J284" i="3" s="1"/>
  <c r="P284" i="3"/>
  <c r="D284" i="3"/>
  <c r="C284" i="3"/>
  <c r="B284" i="3"/>
  <c r="T283" i="3"/>
  <c r="J283" i="3" s="1"/>
  <c r="L283" i="3" s="1"/>
  <c r="S283" i="3"/>
  <c r="P283" i="3"/>
  <c r="D283" i="3"/>
  <c r="C283" i="3"/>
  <c r="B283" i="3"/>
  <c r="T282" i="3"/>
  <c r="S282" i="3"/>
  <c r="J282" i="3" s="1"/>
  <c r="P282" i="3"/>
  <c r="D282" i="3"/>
  <c r="C282" i="3"/>
  <c r="B282" i="3"/>
  <c r="T281" i="3"/>
  <c r="S281" i="3"/>
  <c r="P281" i="3" s="1"/>
  <c r="J281" i="3"/>
  <c r="L281" i="3" s="1"/>
  <c r="D281" i="3"/>
  <c r="C281" i="3"/>
  <c r="B281" i="3"/>
  <c r="T280" i="3"/>
  <c r="S280" i="3"/>
  <c r="P280" i="3" s="1"/>
  <c r="D280" i="3"/>
  <c r="C280" i="3"/>
  <c r="B280" i="3"/>
  <c r="T279" i="3"/>
  <c r="J279" i="3" s="1"/>
  <c r="L279" i="3" s="1"/>
  <c r="S279" i="3"/>
  <c r="P279" i="3" s="1"/>
  <c r="D279" i="3"/>
  <c r="C279" i="3"/>
  <c r="B279" i="3"/>
  <c r="T278" i="3"/>
  <c r="J278" i="3" s="1"/>
  <c r="L278" i="3" s="1"/>
  <c r="S278" i="3"/>
  <c r="P278" i="3"/>
  <c r="D278" i="3"/>
  <c r="C278" i="3"/>
  <c r="B278" i="3"/>
  <c r="T277" i="3"/>
  <c r="S277" i="3"/>
  <c r="P277" i="3"/>
  <c r="J277" i="3"/>
  <c r="L277" i="3" s="1"/>
  <c r="D277" i="3"/>
  <c r="C277" i="3"/>
  <c r="B277" i="3"/>
  <c r="T276" i="3"/>
  <c r="J276" i="3" s="1"/>
  <c r="L276" i="3" s="1"/>
  <c r="S276" i="3"/>
  <c r="P276" i="3"/>
  <c r="D276" i="3"/>
  <c r="C276" i="3"/>
  <c r="B276" i="3"/>
  <c r="T275" i="3"/>
  <c r="S275" i="3"/>
  <c r="P275" i="3" s="1"/>
  <c r="D275" i="3"/>
  <c r="C275" i="3"/>
  <c r="B275" i="3"/>
  <c r="T274" i="3"/>
  <c r="J274" i="3" s="1"/>
  <c r="S274" i="3"/>
  <c r="P274" i="3"/>
  <c r="D274" i="3"/>
  <c r="C274" i="3"/>
  <c r="B274" i="3"/>
  <c r="T273" i="3"/>
  <c r="S273" i="3"/>
  <c r="P273" i="3"/>
  <c r="L273" i="3"/>
  <c r="J273" i="3"/>
  <c r="D273" i="3"/>
  <c r="C273" i="3"/>
  <c r="B273" i="3"/>
  <c r="T272" i="3"/>
  <c r="S272" i="3"/>
  <c r="J272" i="3" s="1"/>
  <c r="P272" i="3"/>
  <c r="L272" i="3"/>
  <c r="D272" i="3"/>
  <c r="C272" i="3"/>
  <c r="B272" i="3"/>
  <c r="T271" i="3"/>
  <c r="S271" i="3"/>
  <c r="P271" i="3" s="1"/>
  <c r="D271" i="3"/>
  <c r="C271" i="3"/>
  <c r="B271" i="3"/>
  <c r="T270" i="3"/>
  <c r="S270" i="3"/>
  <c r="J270" i="3" s="1"/>
  <c r="P270" i="3"/>
  <c r="D270" i="3"/>
  <c r="C270" i="3"/>
  <c r="B270" i="3"/>
  <c r="T269" i="3"/>
  <c r="S269" i="3"/>
  <c r="D269" i="3"/>
  <c r="C269" i="3"/>
  <c r="B269" i="3"/>
  <c r="T268" i="3"/>
  <c r="S268" i="3"/>
  <c r="P268" i="3"/>
  <c r="L268" i="3"/>
  <c r="J268" i="3"/>
  <c r="D268" i="3"/>
  <c r="C268" i="3"/>
  <c r="B268" i="3"/>
  <c r="T267" i="3"/>
  <c r="S267" i="3"/>
  <c r="P267" i="3" s="1"/>
  <c r="D267" i="3"/>
  <c r="C267" i="3"/>
  <c r="B267" i="3"/>
  <c r="T266" i="3"/>
  <c r="J266" i="3" s="1"/>
  <c r="S266" i="3"/>
  <c r="P266" i="3"/>
  <c r="D266" i="3"/>
  <c r="C266" i="3"/>
  <c r="B266" i="3"/>
  <c r="T265" i="3"/>
  <c r="S265" i="3"/>
  <c r="J265" i="3" s="1"/>
  <c r="L265" i="3" s="1"/>
  <c r="P265" i="3"/>
  <c r="D265" i="3"/>
  <c r="C265" i="3"/>
  <c r="B265" i="3"/>
  <c r="T264" i="3"/>
  <c r="J264" i="3" s="1"/>
  <c r="S264" i="3"/>
  <c r="P264" i="3"/>
  <c r="D264" i="3"/>
  <c r="C264" i="3"/>
  <c r="B264" i="3"/>
  <c r="T263" i="3"/>
  <c r="J263" i="3" s="1"/>
  <c r="S263" i="3"/>
  <c r="P263" i="3"/>
  <c r="D263" i="3"/>
  <c r="C263" i="3"/>
  <c r="B263" i="3"/>
  <c r="T262" i="3"/>
  <c r="S262" i="3"/>
  <c r="J262" i="3" s="1"/>
  <c r="L262" i="3" s="1"/>
  <c r="D262" i="3"/>
  <c r="C262" i="3"/>
  <c r="B262" i="3"/>
  <c r="T261" i="3"/>
  <c r="J261" i="3" s="1"/>
  <c r="S261" i="3"/>
  <c r="P261" i="3"/>
  <c r="D261" i="3"/>
  <c r="C261" i="3"/>
  <c r="B261" i="3"/>
  <c r="T260" i="3"/>
  <c r="S260" i="3"/>
  <c r="P260" i="3"/>
  <c r="D260" i="3"/>
  <c r="C260" i="3"/>
  <c r="B260" i="3"/>
  <c r="T259" i="3"/>
  <c r="S259" i="3"/>
  <c r="P259" i="3" s="1"/>
  <c r="D259" i="3"/>
  <c r="C259" i="3"/>
  <c r="B259" i="3"/>
  <c r="T258" i="3"/>
  <c r="J258" i="3" s="1"/>
  <c r="S258" i="3"/>
  <c r="P258" i="3"/>
  <c r="D258" i="3"/>
  <c r="C258" i="3"/>
  <c r="B258" i="3"/>
  <c r="T257" i="3"/>
  <c r="S257" i="3"/>
  <c r="P257" i="3" s="1"/>
  <c r="J257" i="3"/>
  <c r="D257" i="3"/>
  <c r="C257" i="3"/>
  <c r="B257" i="3"/>
  <c r="T256" i="3"/>
  <c r="S256" i="3"/>
  <c r="P256" i="3" s="1"/>
  <c r="J256" i="3"/>
  <c r="D256" i="3"/>
  <c r="C256" i="3"/>
  <c r="B256" i="3"/>
  <c r="T255" i="3"/>
  <c r="S255" i="3"/>
  <c r="J255" i="3" s="1"/>
  <c r="P255" i="3"/>
  <c r="L255" i="3"/>
  <c r="D255" i="3"/>
  <c r="C255" i="3"/>
  <c r="B255" i="3"/>
  <c r="T254" i="3"/>
  <c r="S254" i="3"/>
  <c r="P254" i="3"/>
  <c r="J254" i="3"/>
  <c r="D254" i="3"/>
  <c r="C254" i="3"/>
  <c r="B254" i="3"/>
  <c r="T253" i="3"/>
  <c r="S253" i="3"/>
  <c r="P253" i="3"/>
  <c r="L253" i="3"/>
  <c r="J253" i="3"/>
  <c r="D253" i="3"/>
  <c r="C253" i="3"/>
  <c r="B253" i="3"/>
  <c r="T252" i="3"/>
  <c r="S252" i="3"/>
  <c r="P252" i="3"/>
  <c r="L252" i="3"/>
  <c r="J252" i="3"/>
  <c r="D252" i="3"/>
  <c r="C252" i="3"/>
  <c r="B252" i="3"/>
  <c r="T251" i="3"/>
  <c r="S251" i="3"/>
  <c r="D251" i="3"/>
  <c r="C251" i="3"/>
  <c r="B251" i="3"/>
  <c r="T250" i="3"/>
  <c r="S250" i="3"/>
  <c r="J250" i="3" s="1"/>
  <c r="D250" i="3"/>
  <c r="C250" i="3"/>
  <c r="B250" i="3"/>
  <c r="T249" i="3"/>
  <c r="S249" i="3"/>
  <c r="P249" i="3"/>
  <c r="J249" i="3"/>
  <c r="L249" i="3" s="1"/>
  <c r="D249" i="3"/>
  <c r="C249" i="3"/>
  <c r="B249" i="3"/>
  <c r="T248" i="3"/>
  <c r="J248" i="3" s="1"/>
  <c r="S248" i="3"/>
  <c r="P248" i="3"/>
  <c r="D248" i="3"/>
  <c r="C248" i="3"/>
  <c r="B248" i="3"/>
  <c r="T247" i="3"/>
  <c r="S247" i="3"/>
  <c r="P247" i="3"/>
  <c r="L247" i="3"/>
  <c r="J247" i="3"/>
  <c r="D247" i="3"/>
  <c r="C247" i="3"/>
  <c r="B247" i="3"/>
  <c r="T246" i="3"/>
  <c r="S246" i="3"/>
  <c r="D246" i="3"/>
  <c r="C246" i="3"/>
  <c r="B246" i="3"/>
  <c r="T245" i="3"/>
  <c r="S245" i="3"/>
  <c r="D245" i="3"/>
  <c r="C245" i="3"/>
  <c r="B245" i="3"/>
  <c r="T244" i="3"/>
  <c r="S244" i="3"/>
  <c r="P244" i="3"/>
  <c r="J244" i="3"/>
  <c r="D244" i="3"/>
  <c r="C244" i="3"/>
  <c r="B244" i="3"/>
  <c r="T243" i="3"/>
  <c r="J243" i="3" s="1"/>
  <c r="S243" i="3"/>
  <c r="P243" i="3"/>
  <c r="L243" i="3"/>
  <c r="D243" i="3"/>
  <c r="C243" i="3"/>
  <c r="B243" i="3"/>
  <c r="T242" i="3"/>
  <c r="S242" i="3"/>
  <c r="P242" i="3"/>
  <c r="J242" i="3"/>
  <c r="D242" i="3"/>
  <c r="C242" i="3"/>
  <c r="B242" i="3"/>
  <c r="T241" i="3"/>
  <c r="S241" i="3"/>
  <c r="D241" i="3"/>
  <c r="C241" i="3"/>
  <c r="B241" i="3"/>
  <c r="T240" i="3"/>
  <c r="S240" i="3"/>
  <c r="J240" i="3" s="1"/>
  <c r="P240" i="3"/>
  <c r="D240" i="3"/>
  <c r="C240" i="3"/>
  <c r="B240" i="3"/>
  <c r="T239" i="3"/>
  <c r="S239" i="3"/>
  <c r="P239" i="3"/>
  <c r="J239" i="3"/>
  <c r="L239" i="3" s="1"/>
  <c r="D239" i="3"/>
  <c r="C239" i="3"/>
  <c r="B239" i="3"/>
  <c r="T238" i="3"/>
  <c r="S238" i="3"/>
  <c r="P238" i="3"/>
  <c r="J238" i="3"/>
  <c r="D238" i="3"/>
  <c r="C238" i="3"/>
  <c r="B238" i="3"/>
  <c r="T237" i="3"/>
  <c r="S237" i="3"/>
  <c r="P237" i="3"/>
  <c r="J237" i="3"/>
  <c r="L237" i="3" s="1"/>
  <c r="D237" i="3"/>
  <c r="C237" i="3"/>
  <c r="B237" i="3"/>
  <c r="T236" i="3"/>
  <c r="S236" i="3"/>
  <c r="D236" i="3"/>
  <c r="C236" i="3"/>
  <c r="B236" i="3"/>
  <c r="T235" i="3"/>
  <c r="S235" i="3"/>
  <c r="D235" i="3"/>
  <c r="C235" i="3"/>
  <c r="B235" i="3"/>
  <c r="T234" i="3"/>
  <c r="J234" i="3" s="1"/>
  <c r="L234" i="3" s="1"/>
  <c r="S234" i="3"/>
  <c r="P234" i="3"/>
  <c r="D234" i="3"/>
  <c r="C234" i="3"/>
  <c r="B234" i="3"/>
  <c r="T233" i="3"/>
  <c r="J233" i="3" s="1"/>
  <c r="L233" i="3" s="1"/>
  <c r="S233" i="3"/>
  <c r="P233" i="3"/>
  <c r="D233" i="3"/>
  <c r="C233" i="3"/>
  <c r="B233" i="3"/>
  <c r="T232" i="3"/>
  <c r="S232" i="3"/>
  <c r="J232" i="3" s="1"/>
  <c r="L232" i="3"/>
  <c r="D232" i="3"/>
  <c r="C232" i="3"/>
  <c r="B232" i="3"/>
  <c r="T231" i="3"/>
  <c r="S231" i="3"/>
  <c r="D231" i="3"/>
  <c r="C231" i="3"/>
  <c r="B231" i="3"/>
  <c r="T230" i="3"/>
  <c r="J230" i="3" s="1"/>
  <c r="S230" i="3"/>
  <c r="P230" i="3"/>
  <c r="D230" i="3"/>
  <c r="C230" i="3"/>
  <c r="B230" i="3"/>
  <c r="T229" i="3"/>
  <c r="S229" i="3"/>
  <c r="J229" i="3" s="1"/>
  <c r="P229" i="3"/>
  <c r="D229" i="3"/>
  <c r="C229" i="3"/>
  <c r="B229" i="3"/>
  <c r="T228" i="3"/>
  <c r="S228" i="3"/>
  <c r="D228" i="3"/>
  <c r="C228" i="3"/>
  <c r="B228" i="3"/>
  <c r="T227" i="3"/>
  <c r="S227" i="3"/>
  <c r="J227" i="3" s="1"/>
  <c r="P227" i="3"/>
  <c r="L227" i="3"/>
  <c r="D227" i="3"/>
  <c r="C227" i="3"/>
  <c r="B227" i="3"/>
  <c r="T226" i="3"/>
  <c r="S226" i="3"/>
  <c r="D226" i="3"/>
  <c r="C226" i="3"/>
  <c r="B226" i="3"/>
  <c r="T225" i="3"/>
  <c r="J225" i="3" s="1"/>
  <c r="S225" i="3"/>
  <c r="P225" i="3"/>
  <c r="D225" i="3"/>
  <c r="C225" i="3"/>
  <c r="B225" i="3"/>
  <c r="T224" i="3"/>
  <c r="S224" i="3"/>
  <c r="J224" i="3" s="1"/>
  <c r="P224" i="3"/>
  <c r="L224" i="3"/>
  <c r="D224" i="3"/>
  <c r="C224" i="3"/>
  <c r="B224" i="3"/>
  <c r="T223" i="3"/>
  <c r="S223" i="3"/>
  <c r="P223" i="3"/>
  <c r="J223" i="3"/>
  <c r="D223" i="3"/>
  <c r="C223" i="3"/>
  <c r="B223" i="3"/>
  <c r="T222" i="3"/>
  <c r="S222" i="3"/>
  <c r="P222" i="3"/>
  <c r="L222" i="3"/>
  <c r="J222" i="3"/>
  <c r="D222" i="3"/>
  <c r="C222" i="3"/>
  <c r="B222" i="3"/>
  <c r="T221" i="3"/>
  <c r="J221" i="3" s="1"/>
  <c r="S221" i="3"/>
  <c r="P221" i="3"/>
  <c r="D221" i="3"/>
  <c r="C221" i="3"/>
  <c r="B221" i="3"/>
  <c r="T220" i="3"/>
  <c r="S220" i="3"/>
  <c r="P220" i="3" s="1"/>
  <c r="J220" i="3"/>
  <c r="L220" i="3" s="1"/>
  <c r="D220" i="3"/>
  <c r="C220" i="3"/>
  <c r="B220" i="3"/>
  <c r="T219" i="3"/>
  <c r="S219" i="3"/>
  <c r="J219" i="3" s="1"/>
  <c r="P219" i="3"/>
  <c r="L219" i="3"/>
  <c r="D219" i="3"/>
  <c r="C219" i="3"/>
  <c r="B219" i="3"/>
  <c r="T218" i="3"/>
  <c r="S218" i="3"/>
  <c r="P218" i="3"/>
  <c r="J218" i="3"/>
  <c r="L218" i="3" s="1"/>
  <c r="D218" i="3"/>
  <c r="C218" i="3"/>
  <c r="B218" i="3"/>
  <c r="T217" i="3"/>
  <c r="S217" i="3"/>
  <c r="J217" i="3" s="1"/>
  <c r="D217" i="3"/>
  <c r="C217" i="3"/>
  <c r="B217" i="3"/>
  <c r="T216" i="3"/>
  <c r="S216" i="3"/>
  <c r="P216" i="3"/>
  <c r="J216" i="3"/>
  <c r="L216" i="3" s="1"/>
  <c r="D216" i="3"/>
  <c r="C216" i="3"/>
  <c r="B216" i="3"/>
  <c r="T215" i="3"/>
  <c r="J215" i="3" s="1"/>
  <c r="S215" i="3"/>
  <c r="P215" i="3"/>
  <c r="D215" i="3"/>
  <c r="C215" i="3"/>
  <c r="B215" i="3"/>
  <c r="T214" i="3"/>
  <c r="S214" i="3"/>
  <c r="P214" i="3"/>
  <c r="D214" i="3"/>
  <c r="C214" i="3"/>
  <c r="B214" i="3"/>
  <c r="T213" i="3"/>
  <c r="S213" i="3"/>
  <c r="D213" i="3"/>
  <c r="C213" i="3"/>
  <c r="B213" i="3"/>
  <c r="T212" i="3"/>
  <c r="S212" i="3"/>
  <c r="J212" i="3" s="1"/>
  <c r="L212" i="3" s="1"/>
  <c r="P212" i="3"/>
  <c r="D212" i="3"/>
  <c r="C212" i="3"/>
  <c r="B212" i="3"/>
  <c r="T211" i="3"/>
  <c r="S211" i="3"/>
  <c r="D211" i="3"/>
  <c r="C211" i="3"/>
  <c r="B211" i="3"/>
  <c r="T210" i="3"/>
  <c r="J210" i="3" s="1"/>
  <c r="S210" i="3"/>
  <c r="P210" i="3"/>
  <c r="D210" i="3"/>
  <c r="C210" i="3"/>
  <c r="B210" i="3"/>
  <c r="T209" i="3"/>
  <c r="J209" i="3" s="1"/>
  <c r="S209" i="3"/>
  <c r="P209" i="3"/>
  <c r="D209" i="3"/>
  <c r="C209" i="3"/>
  <c r="B209" i="3"/>
  <c r="T208" i="3"/>
  <c r="S208" i="3"/>
  <c r="P208" i="3"/>
  <c r="D208" i="3"/>
  <c r="C208" i="3"/>
  <c r="B208" i="3"/>
  <c r="T207" i="3"/>
  <c r="S207" i="3"/>
  <c r="J207" i="3" s="1"/>
  <c r="P207" i="3"/>
  <c r="D207" i="3"/>
  <c r="C207" i="3"/>
  <c r="B207" i="3"/>
  <c r="T206" i="3"/>
  <c r="S206" i="3"/>
  <c r="P206" i="3"/>
  <c r="J206" i="3"/>
  <c r="L206" i="3" s="1"/>
  <c r="D206" i="3"/>
  <c r="C206" i="3"/>
  <c r="B206" i="3"/>
  <c r="T205" i="3"/>
  <c r="S205" i="3"/>
  <c r="P205" i="3" s="1"/>
  <c r="J205" i="3"/>
  <c r="D205" i="3"/>
  <c r="C205" i="3"/>
  <c r="B205" i="3"/>
  <c r="T204" i="3"/>
  <c r="S204" i="3"/>
  <c r="D204" i="3"/>
  <c r="C204" i="3"/>
  <c r="B204" i="3"/>
  <c r="T203" i="3"/>
  <c r="S203" i="3"/>
  <c r="P203" i="3" s="1"/>
  <c r="D203" i="3"/>
  <c r="C203" i="3"/>
  <c r="B203" i="3"/>
  <c r="T202" i="3"/>
  <c r="S202" i="3"/>
  <c r="D202" i="3"/>
  <c r="C202" i="3"/>
  <c r="B202" i="3"/>
  <c r="T201" i="3"/>
  <c r="S201" i="3"/>
  <c r="J201" i="3" s="1"/>
  <c r="L201" i="3"/>
  <c r="D201" i="3"/>
  <c r="C201" i="3"/>
  <c r="B201" i="3"/>
  <c r="T200" i="3"/>
  <c r="S200" i="3"/>
  <c r="P200" i="3" s="1"/>
  <c r="J200" i="3"/>
  <c r="D200" i="3"/>
  <c r="C200" i="3"/>
  <c r="B200" i="3"/>
  <c r="T199" i="3"/>
  <c r="J199" i="3" s="1"/>
  <c r="S199" i="3"/>
  <c r="P199" i="3"/>
  <c r="L199" i="3"/>
  <c r="D199" i="3"/>
  <c r="C199" i="3"/>
  <c r="B199" i="3"/>
  <c r="T198" i="3"/>
  <c r="S198" i="3"/>
  <c r="J198" i="3" s="1"/>
  <c r="L198" i="3" s="1"/>
  <c r="D198" i="3"/>
  <c r="C198" i="3"/>
  <c r="B198" i="3"/>
  <c r="T197" i="3"/>
  <c r="S197" i="3"/>
  <c r="D197" i="3"/>
  <c r="C197" i="3"/>
  <c r="B197" i="3"/>
  <c r="T196" i="3"/>
  <c r="S196" i="3"/>
  <c r="P196" i="3"/>
  <c r="J196" i="3"/>
  <c r="L196" i="3" s="1"/>
  <c r="D196" i="3"/>
  <c r="C196" i="3"/>
  <c r="B196" i="3"/>
  <c r="T195" i="3"/>
  <c r="S195" i="3"/>
  <c r="D195" i="3"/>
  <c r="C195" i="3"/>
  <c r="B195" i="3"/>
  <c r="T194" i="3"/>
  <c r="S194" i="3"/>
  <c r="P194" i="3"/>
  <c r="J194" i="3"/>
  <c r="L194" i="3" s="1"/>
  <c r="D194" i="3"/>
  <c r="C194" i="3"/>
  <c r="B194" i="3"/>
  <c r="T193" i="3"/>
  <c r="S193" i="3"/>
  <c r="P193" i="3"/>
  <c r="J193" i="3"/>
  <c r="L193" i="3" s="1"/>
  <c r="D193" i="3"/>
  <c r="C193" i="3"/>
  <c r="B193" i="3"/>
  <c r="T192" i="3"/>
  <c r="S192" i="3"/>
  <c r="P192" i="3"/>
  <c r="D192" i="3"/>
  <c r="C192" i="3"/>
  <c r="B192" i="3"/>
  <c r="T191" i="3"/>
  <c r="S191" i="3"/>
  <c r="J191" i="3" s="1"/>
  <c r="L191" i="3" s="1"/>
  <c r="P191" i="3"/>
  <c r="D191" i="3"/>
  <c r="C191" i="3"/>
  <c r="B191" i="3"/>
  <c r="T190" i="3"/>
  <c r="S190" i="3"/>
  <c r="P190" i="3"/>
  <c r="D190" i="3"/>
  <c r="C190" i="3"/>
  <c r="B190" i="3"/>
  <c r="T189" i="3"/>
  <c r="S189" i="3"/>
  <c r="P189" i="3" s="1"/>
  <c r="J189" i="3"/>
  <c r="D189" i="3"/>
  <c r="C189" i="3"/>
  <c r="B189" i="3"/>
  <c r="T188" i="3"/>
  <c r="S188" i="3"/>
  <c r="J188" i="3" s="1"/>
  <c r="P188" i="3"/>
  <c r="L188" i="3"/>
  <c r="D188" i="3"/>
  <c r="C188" i="3"/>
  <c r="B188" i="3"/>
  <c r="T187" i="3"/>
  <c r="S187" i="3"/>
  <c r="P187" i="3"/>
  <c r="J187" i="3"/>
  <c r="D187" i="3"/>
  <c r="C187" i="3"/>
  <c r="B187" i="3"/>
  <c r="T186" i="3"/>
  <c r="S186" i="3"/>
  <c r="J186" i="3" s="1"/>
  <c r="P186" i="3"/>
  <c r="D186" i="3"/>
  <c r="C186" i="3"/>
  <c r="B186" i="3"/>
  <c r="T185" i="3"/>
  <c r="S185" i="3"/>
  <c r="D185" i="3"/>
  <c r="C185" i="3"/>
  <c r="B185" i="3"/>
  <c r="T184" i="3"/>
  <c r="S184" i="3"/>
  <c r="P184" i="3"/>
  <c r="J184" i="3"/>
  <c r="L184" i="3" s="1"/>
  <c r="D184" i="3"/>
  <c r="C184" i="3"/>
  <c r="B184" i="3"/>
  <c r="T183" i="3"/>
  <c r="S183" i="3"/>
  <c r="P183" i="3" s="1"/>
  <c r="J183" i="3"/>
  <c r="L183" i="3" s="1"/>
  <c r="D183" i="3"/>
  <c r="C183" i="3"/>
  <c r="B183" i="3"/>
  <c r="T182" i="3"/>
  <c r="S182" i="3"/>
  <c r="D182" i="3"/>
  <c r="C182" i="3"/>
  <c r="B182" i="3"/>
  <c r="T181" i="3"/>
  <c r="S181" i="3"/>
  <c r="J181" i="3" s="1"/>
  <c r="P181" i="3"/>
  <c r="L181" i="3"/>
  <c r="D181" i="3"/>
  <c r="C181" i="3"/>
  <c r="B181" i="3"/>
  <c r="T180" i="3"/>
  <c r="S180" i="3"/>
  <c r="P180" i="3"/>
  <c r="J180" i="3"/>
  <c r="D180" i="3"/>
  <c r="C180" i="3"/>
  <c r="B180" i="3"/>
  <c r="T179" i="3"/>
  <c r="S179" i="3"/>
  <c r="D179" i="3"/>
  <c r="C179" i="3"/>
  <c r="B179" i="3"/>
  <c r="T178" i="3"/>
  <c r="S178" i="3"/>
  <c r="J178" i="3" s="1"/>
  <c r="P178" i="3"/>
  <c r="D178" i="3"/>
  <c r="C178" i="3"/>
  <c r="B178" i="3"/>
  <c r="T177" i="3"/>
  <c r="J177" i="3" s="1"/>
  <c r="S177" i="3"/>
  <c r="P177" i="3"/>
  <c r="L177" i="3"/>
  <c r="D177" i="3"/>
  <c r="C177" i="3"/>
  <c r="B177" i="3"/>
  <c r="T176" i="3"/>
  <c r="S176" i="3"/>
  <c r="J176" i="3" s="1"/>
  <c r="P176" i="3"/>
  <c r="L176" i="3"/>
  <c r="D176" i="3"/>
  <c r="C176" i="3"/>
  <c r="B176" i="3"/>
  <c r="T175" i="3"/>
  <c r="S175" i="3"/>
  <c r="P175" i="3"/>
  <c r="D175" i="3"/>
  <c r="C175" i="3"/>
  <c r="B175" i="3"/>
  <c r="T174" i="3"/>
  <c r="J174" i="3" s="1"/>
  <c r="S174" i="3"/>
  <c r="P174" i="3"/>
  <c r="D174" i="3"/>
  <c r="C174" i="3"/>
  <c r="B174" i="3"/>
  <c r="T173" i="3"/>
  <c r="S173" i="3"/>
  <c r="P173" i="3"/>
  <c r="J173" i="3"/>
  <c r="L173" i="3" s="1"/>
  <c r="D173" i="3"/>
  <c r="C173" i="3"/>
  <c r="B173" i="3"/>
  <c r="T172" i="3"/>
  <c r="S172" i="3"/>
  <c r="P172" i="3" s="1"/>
  <c r="D172" i="3"/>
  <c r="C172" i="3"/>
  <c r="B172" i="3"/>
  <c r="T171" i="3"/>
  <c r="S171" i="3"/>
  <c r="D171" i="3"/>
  <c r="C171" i="3"/>
  <c r="B171" i="3"/>
  <c r="T170" i="3"/>
  <c r="S170" i="3"/>
  <c r="P170" i="3" s="1"/>
  <c r="D170" i="3"/>
  <c r="C170" i="3"/>
  <c r="B170" i="3"/>
  <c r="T169" i="3"/>
  <c r="S169" i="3"/>
  <c r="P169" i="3" s="1"/>
  <c r="J169" i="3"/>
  <c r="D169" i="3"/>
  <c r="C169" i="3"/>
  <c r="B169" i="3"/>
  <c r="T168" i="3"/>
  <c r="J168" i="3" s="1"/>
  <c r="S168" i="3"/>
  <c r="P168" i="3" s="1"/>
  <c r="D168" i="3"/>
  <c r="C168" i="3"/>
  <c r="B168" i="3"/>
  <c r="T167" i="3"/>
  <c r="S167" i="3"/>
  <c r="D167" i="3"/>
  <c r="C167" i="3"/>
  <c r="B167" i="3"/>
  <c r="T166" i="3"/>
  <c r="S166" i="3"/>
  <c r="P166" i="3" s="1"/>
  <c r="D166" i="3"/>
  <c r="C166" i="3"/>
  <c r="B166" i="3"/>
  <c r="T165" i="3"/>
  <c r="S165" i="3"/>
  <c r="P165" i="3"/>
  <c r="M165" i="3"/>
  <c r="D165" i="3"/>
  <c r="C165" i="3"/>
  <c r="B165" i="3"/>
  <c r="T164" i="3"/>
  <c r="S164" i="3"/>
  <c r="M164" i="3"/>
  <c r="D164" i="3"/>
  <c r="C164" i="3"/>
  <c r="B164" i="3"/>
  <c r="T163" i="3"/>
  <c r="S163" i="3"/>
  <c r="P163" i="3"/>
  <c r="M163" i="3"/>
  <c r="J163" i="3"/>
  <c r="D163" i="3"/>
  <c r="C163" i="3"/>
  <c r="B163" i="3"/>
  <c r="T162" i="3"/>
  <c r="S162" i="3"/>
  <c r="P162" i="3" s="1"/>
  <c r="M162" i="3"/>
  <c r="D162" i="3"/>
  <c r="C162" i="3"/>
  <c r="B162" i="3"/>
  <c r="T161" i="3"/>
  <c r="S161" i="3"/>
  <c r="P161" i="3"/>
  <c r="M161" i="3"/>
  <c r="J161" i="3"/>
  <c r="L161" i="3" s="1"/>
  <c r="D161" i="3"/>
  <c r="C161" i="3"/>
  <c r="B161" i="3"/>
  <c r="T160" i="3"/>
  <c r="S160" i="3"/>
  <c r="M160" i="3"/>
  <c r="D160" i="3"/>
  <c r="C160" i="3"/>
  <c r="B160" i="3"/>
  <c r="T159" i="3"/>
  <c r="S159" i="3"/>
  <c r="M159" i="3"/>
  <c r="D159" i="3"/>
  <c r="C159" i="3"/>
  <c r="B159" i="3"/>
  <c r="T158" i="3"/>
  <c r="S158" i="3"/>
  <c r="P158" i="3" s="1"/>
  <c r="M158" i="3"/>
  <c r="J158" i="3"/>
  <c r="L158" i="3" s="1"/>
  <c r="D158" i="3"/>
  <c r="C158" i="3"/>
  <c r="B158" i="3"/>
  <c r="T157" i="3"/>
  <c r="S157" i="3"/>
  <c r="P157" i="3" s="1"/>
  <c r="M157" i="3"/>
  <c r="J157" i="3"/>
  <c r="D157" i="3"/>
  <c r="C157" i="3"/>
  <c r="B157" i="3"/>
  <c r="T156" i="3"/>
  <c r="J156" i="3" s="1"/>
  <c r="S156" i="3"/>
  <c r="P156" i="3"/>
  <c r="M156" i="3"/>
  <c r="D156" i="3"/>
  <c r="C156" i="3"/>
  <c r="B156" i="3"/>
  <c r="T155" i="3"/>
  <c r="S155" i="3"/>
  <c r="P155" i="3"/>
  <c r="M155" i="3"/>
  <c r="J155" i="3"/>
  <c r="D155" i="3"/>
  <c r="C155" i="3"/>
  <c r="B155" i="3"/>
  <c r="T154" i="3"/>
  <c r="S154" i="3"/>
  <c r="M154" i="3"/>
  <c r="D154" i="3"/>
  <c r="C154" i="3"/>
  <c r="B154" i="3"/>
  <c r="T153" i="3"/>
  <c r="S153" i="3"/>
  <c r="J153" i="3" s="1"/>
  <c r="L153" i="3" s="1"/>
  <c r="M153" i="3"/>
  <c r="D153" i="3"/>
  <c r="C153" i="3"/>
  <c r="B153" i="3"/>
  <c r="T152" i="3"/>
  <c r="S152" i="3"/>
  <c r="P152" i="3"/>
  <c r="M152" i="3"/>
  <c r="D152" i="3"/>
  <c r="C152" i="3"/>
  <c r="B152" i="3"/>
  <c r="T151" i="3"/>
  <c r="S151" i="3"/>
  <c r="P151" i="3"/>
  <c r="M151" i="3"/>
  <c r="D151" i="3"/>
  <c r="C151" i="3"/>
  <c r="B151" i="3"/>
  <c r="T150" i="3"/>
  <c r="S150" i="3"/>
  <c r="P150" i="3"/>
  <c r="M150" i="3"/>
  <c r="J150" i="3"/>
  <c r="L150" i="3" s="1"/>
  <c r="D150" i="3"/>
  <c r="C150" i="3"/>
  <c r="B150" i="3"/>
  <c r="T149" i="3"/>
  <c r="S149" i="3"/>
  <c r="P149" i="3" s="1"/>
  <c r="M149" i="3"/>
  <c r="D149" i="3"/>
  <c r="C149" i="3"/>
  <c r="B149" i="3"/>
  <c r="T148" i="3"/>
  <c r="J148" i="3" s="1"/>
  <c r="L148" i="3" s="1"/>
  <c r="S148" i="3"/>
  <c r="P148" i="3"/>
  <c r="M148" i="3"/>
  <c r="D148" i="3"/>
  <c r="C148" i="3"/>
  <c r="B148" i="3"/>
  <c r="T147" i="3"/>
  <c r="S147" i="3"/>
  <c r="P147" i="3" s="1"/>
  <c r="M147" i="3"/>
  <c r="J147" i="3"/>
  <c r="L147" i="3" s="1"/>
  <c r="D147" i="3"/>
  <c r="C147" i="3"/>
  <c r="B147" i="3"/>
  <c r="T146" i="3"/>
  <c r="J146" i="3" s="1"/>
  <c r="S146" i="3"/>
  <c r="P146" i="3" s="1"/>
  <c r="M146" i="3"/>
  <c r="D146" i="3"/>
  <c r="C146" i="3"/>
  <c r="B146" i="3"/>
  <c r="T145" i="3"/>
  <c r="S145" i="3"/>
  <c r="P145" i="3"/>
  <c r="M145" i="3"/>
  <c r="D145" i="3"/>
  <c r="C145" i="3"/>
  <c r="B145" i="3"/>
  <c r="T144" i="3"/>
  <c r="S144" i="3"/>
  <c r="P144" i="3" s="1"/>
  <c r="M144" i="3"/>
  <c r="D144" i="3"/>
  <c r="C144" i="3"/>
  <c r="B144" i="3"/>
  <c r="T143" i="3"/>
  <c r="S143" i="3"/>
  <c r="P143" i="3" s="1"/>
  <c r="M143" i="3"/>
  <c r="D143" i="3"/>
  <c r="C143" i="3"/>
  <c r="B143" i="3"/>
  <c r="T142" i="3"/>
  <c r="S142" i="3"/>
  <c r="P142" i="3"/>
  <c r="M142" i="3"/>
  <c r="D142" i="3"/>
  <c r="L142" i="3" s="1"/>
  <c r="C142" i="3"/>
  <c r="B142" i="3"/>
  <c r="T141" i="3"/>
  <c r="S141" i="3"/>
  <c r="P141" i="3" s="1"/>
  <c r="M141" i="3"/>
  <c r="D141" i="3"/>
  <c r="C141" i="3"/>
  <c r="B141" i="3"/>
  <c r="T140" i="3"/>
  <c r="S140" i="3"/>
  <c r="P140" i="3" s="1"/>
  <c r="M140" i="3"/>
  <c r="D140" i="3"/>
  <c r="C140" i="3"/>
  <c r="B140" i="3"/>
  <c r="T139" i="3"/>
  <c r="S139" i="3"/>
  <c r="P139" i="3" s="1"/>
  <c r="M139" i="3"/>
  <c r="D139" i="3"/>
  <c r="L139" i="3" s="1"/>
  <c r="C139" i="3"/>
  <c r="B139" i="3"/>
  <c r="T138" i="3"/>
  <c r="S138" i="3"/>
  <c r="P138" i="3" s="1"/>
  <c r="M138" i="3"/>
  <c r="D138" i="3"/>
  <c r="C138" i="3"/>
  <c r="B138" i="3"/>
  <c r="T137" i="3"/>
  <c r="S137" i="3"/>
  <c r="P137" i="3"/>
  <c r="M137" i="3"/>
  <c r="D137" i="3"/>
  <c r="C137" i="3"/>
  <c r="B137" i="3"/>
  <c r="T136" i="3"/>
  <c r="S136" i="3"/>
  <c r="P136" i="3"/>
  <c r="M136" i="3"/>
  <c r="D136" i="3"/>
  <c r="C136" i="3"/>
  <c r="B136" i="3"/>
  <c r="T135" i="3"/>
  <c r="S135" i="3"/>
  <c r="P135" i="3" s="1"/>
  <c r="M135" i="3"/>
  <c r="D135" i="3"/>
  <c r="C135" i="3"/>
  <c r="B135" i="3"/>
  <c r="T134" i="3"/>
  <c r="S134" i="3"/>
  <c r="P134" i="3" s="1"/>
  <c r="M134" i="3"/>
  <c r="L134" i="3"/>
  <c r="D134" i="3"/>
  <c r="J134" i="3" s="1"/>
  <c r="C134" i="3"/>
  <c r="B134" i="3"/>
  <c r="T133" i="3"/>
  <c r="S133" i="3"/>
  <c r="P133" i="3"/>
  <c r="R133" i="3" s="1"/>
  <c r="M133" i="3"/>
  <c r="O133" i="3" s="1"/>
  <c r="D133" i="3"/>
  <c r="C133" i="3"/>
  <c r="B133" i="3"/>
  <c r="T132" i="3"/>
  <c r="S132" i="3"/>
  <c r="P132" i="3"/>
  <c r="R132" i="3" s="1"/>
  <c r="O132" i="3"/>
  <c r="M132" i="3"/>
  <c r="D132" i="3"/>
  <c r="C132" i="3"/>
  <c r="B132" i="3"/>
  <c r="T131" i="3"/>
  <c r="S131" i="3"/>
  <c r="P131" i="3" s="1"/>
  <c r="R131" i="3" s="1"/>
  <c r="O131" i="3"/>
  <c r="M131" i="3"/>
  <c r="D131" i="3"/>
  <c r="C131" i="3"/>
  <c r="B131" i="3"/>
  <c r="T130" i="3"/>
  <c r="S130" i="3"/>
  <c r="P130" i="3" s="1"/>
  <c r="R130" i="3" s="1"/>
  <c r="O130" i="3"/>
  <c r="M130" i="3"/>
  <c r="J130" i="3"/>
  <c r="D130" i="3"/>
  <c r="C130" i="3"/>
  <c r="B130" i="3"/>
  <c r="T129" i="3"/>
  <c r="S129" i="3"/>
  <c r="P129" i="3"/>
  <c r="R129" i="3" s="1"/>
  <c r="O129" i="3"/>
  <c r="M129" i="3"/>
  <c r="D129" i="3"/>
  <c r="C129" i="3"/>
  <c r="B129" i="3"/>
  <c r="T128" i="3"/>
  <c r="S128" i="3"/>
  <c r="P128" i="3"/>
  <c r="R128" i="3" s="1"/>
  <c r="M128" i="3"/>
  <c r="O128" i="3" s="1"/>
  <c r="D128" i="3"/>
  <c r="C128" i="3"/>
  <c r="B128" i="3"/>
  <c r="T127" i="3"/>
  <c r="S127" i="3"/>
  <c r="P127" i="3" s="1"/>
  <c r="R127" i="3" s="1"/>
  <c r="O127" i="3"/>
  <c r="M127" i="3"/>
  <c r="D127" i="3"/>
  <c r="C127" i="3"/>
  <c r="B127" i="3"/>
  <c r="T126" i="3"/>
  <c r="S126" i="3"/>
  <c r="R126" i="3"/>
  <c r="P126" i="3"/>
  <c r="M126" i="3"/>
  <c r="O126" i="3" s="1"/>
  <c r="D126" i="3"/>
  <c r="C126" i="3"/>
  <c r="B126" i="3"/>
  <c r="T125" i="3"/>
  <c r="S125" i="3"/>
  <c r="P125" i="3" s="1"/>
  <c r="R125" i="3" s="1"/>
  <c r="M125" i="3"/>
  <c r="O125" i="3" s="1"/>
  <c r="D125" i="3"/>
  <c r="C125" i="3"/>
  <c r="B125" i="3"/>
  <c r="T124" i="3"/>
  <c r="S124" i="3"/>
  <c r="P124" i="3"/>
  <c r="R124" i="3" s="1"/>
  <c r="O124" i="3"/>
  <c r="M124" i="3"/>
  <c r="D124" i="3"/>
  <c r="C124" i="3"/>
  <c r="B124" i="3"/>
  <c r="T123" i="3"/>
  <c r="S123" i="3"/>
  <c r="P123" i="3"/>
  <c r="R123" i="3" s="1"/>
  <c r="M123" i="3"/>
  <c r="O123" i="3" s="1"/>
  <c r="D123" i="3"/>
  <c r="C123" i="3"/>
  <c r="B123" i="3"/>
  <c r="T122" i="3"/>
  <c r="S122" i="3"/>
  <c r="P122" i="3" s="1"/>
  <c r="R122" i="3"/>
  <c r="O122" i="3"/>
  <c r="M122" i="3"/>
  <c r="D122" i="3"/>
  <c r="C122" i="3"/>
  <c r="B122" i="3"/>
  <c r="T121" i="3"/>
  <c r="S121" i="3"/>
  <c r="P121" i="3" s="1"/>
  <c r="R121" i="3"/>
  <c r="M121" i="3"/>
  <c r="O121" i="3" s="1"/>
  <c r="D121" i="3"/>
  <c r="C121" i="3"/>
  <c r="B121" i="3"/>
  <c r="T120" i="3"/>
  <c r="S120" i="3"/>
  <c r="R120" i="3"/>
  <c r="P120" i="3"/>
  <c r="M120" i="3"/>
  <c r="O120" i="3" s="1"/>
  <c r="D120" i="3"/>
  <c r="C120" i="3"/>
  <c r="B120" i="3"/>
  <c r="T119" i="3"/>
  <c r="S119" i="3"/>
  <c r="P119" i="3"/>
  <c r="R119" i="3" s="1"/>
  <c r="M119" i="3"/>
  <c r="O119" i="3" s="1"/>
  <c r="D119" i="3"/>
  <c r="C119" i="3"/>
  <c r="B119" i="3"/>
  <c r="T118" i="3"/>
  <c r="S118" i="3"/>
  <c r="P118" i="3"/>
  <c r="R118" i="3" s="1"/>
  <c r="M118" i="3"/>
  <c r="O118" i="3" s="1"/>
  <c r="D118" i="3"/>
  <c r="C118" i="3"/>
  <c r="B118" i="3"/>
  <c r="T117" i="3"/>
  <c r="S117" i="3"/>
  <c r="P117" i="3"/>
  <c r="R117" i="3" s="1"/>
  <c r="O117" i="3"/>
  <c r="M117" i="3"/>
  <c r="D117" i="3"/>
  <c r="C117" i="3"/>
  <c r="B117" i="3"/>
  <c r="T116" i="3"/>
  <c r="S116" i="3"/>
  <c r="P116" i="3"/>
  <c r="R116" i="3" s="1"/>
  <c r="M116" i="3"/>
  <c r="O116" i="3" s="1"/>
  <c r="D116" i="3"/>
  <c r="C116" i="3"/>
  <c r="B116" i="3"/>
  <c r="F116" i="3" s="1"/>
  <c r="T115" i="3"/>
  <c r="S115" i="3"/>
  <c r="P115" i="3" s="1"/>
  <c r="R115" i="3" s="1"/>
  <c r="O115" i="3"/>
  <c r="M115" i="3"/>
  <c r="D115" i="3"/>
  <c r="C115" i="3"/>
  <c r="B115" i="3"/>
  <c r="T114" i="3"/>
  <c r="S114" i="3"/>
  <c r="P114" i="3" s="1"/>
  <c r="R114" i="3"/>
  <c r="M114" i="3"/>
  <c r="O114" i="3" s="1"/>
  <c r="D114" i="3"/>
  <c r="L114" i="3" s="1"/>
  <c r="C114" i="3"/>
  <c r="B114" i="3"/>
  <c r="T113" i="3"/>
  <c r="S113" i="3"/>
  <c r="P113" i="3" s="1"/>
  <c r="R113" i="3" s="1"/>
  <c r="O113" i="3"/>
  <c r="M113" i="3"/>
  <c r="D113" i="3"/>
  <c r="C113" i="3"/>
  <c r="B113" i="3"/>
  <c r="T112" i="3"/>
  <c r="S112" i="3"/>
  <c r="P112" i="3"/>
  <c r="R112" i="3" s="1"/>
  <c r="M112" i="3"/>
  <c r="O112" i="3" s="1"/>
  <c r="D112" i="3"/>
  <c r="C112" i="3"/>
  <c r="B112" i="3"/>
  <c r="T111" i="3"/>
  <c r="S111" i="3"/>
  <c r="P111" i="3"/>
  <c r="R111" i="3" s="1"/>
  <c r="O111" i="3"/>
  <c r="M111" i="3"/>
  <c r="D111" i="3"/>
  <c r="C111" i="3"/>
  <c r="B111" i="3"/>
  <c r="T110" i="3"/>
  <c r="S110" i="3"/>
  <c r="P110" i="3"/>
  <c r="R110" i="3" s="1"/>
  <c r="O110" i="3"/>
  <c r="M110" i="3"/>
  <c r="D110" i="3"/>
  <c r="C110" i="3"/>
  <c r="B110" i="3"/>
  <c r="T109" i="3"/>
  <c r="S109" i="3"/>
  <c r="P109" i="3" s="1"/>
  <c r="R109" i="3"/>
  <c r="M109" i="3"/>
  <c r="O109" i="3" s="1"/>
  <c r="D109" i="3"/>
  <c r="C109" i="3"/>
  <c r="B109" i="3"/>
  <c r="F109" i="3" s="1"/>
  <c r="T108" i="3"/>
  <c r="S108" i="3"/>
  <c r="P108" i="3" s="1"/>
  <c r="R108" i="3" s="1"/>
  <c r="O108" i="3"/>
  <c r="M108" i="3"/>
  <c r="D108" i="3"/>
  <c r="C108" i="3"/>
  <c r="B108" i="3"/>
  <c r="T107" i="3"/>
  <c r="S107" i="3"/>
  <c r="P107" i="3" s="1"/>
  <c r="R107" i="3"/>
  <c r="M107" i="3"/>
  <c r="O107" i="3" s="1"/>
  <c r="D107" i="3"/>
  <c r="K107" i="3" s="1"/>
  <c r="C107" i="3"/>
  <c r="B107" i="3"/>
  <c r="L107" i="3" s="1"/>
  <c r="T106" i="3"/>
  <c r="S106" i="3"/>
  <c r="P106" i="3"/>
  <c r="R106" i="3" s="1"/>
  <c r="O106" i="3"/>
  <c r="M106" i="3"/>
  <c r="D106" i="3"/>
  <c r="C106" i="3"/>
  <c r="B106" i="3"/>
  <c r="T105" i="3"/>
  <c r="S105" i="3"/>
  <c r="P105" i="3"/>
  <c r="R105" i="3" s="1"/>
  <c r="O105" i="3"/>
  <c r="M105" i="3"/>
  <c r="D105" i="3"/>
  <c r="C105" i="3"/>
  <c r="B105" i="3"/>
  <c r="T104" i="3"/>
  <c r="S104" i="3"/>
  <c r="P104" i="3"/>
  <c r="R104" i="3" s="1"/>
  <c r="O104" i="3"/>
  <c r="M104" i="3"/>
  <c r="D104" i="3"/>
  <c r="C104" i="3"/>
  <c r="B104" i="3"/>
  <c r="T103" i="3"/>
  <c r="S103" i="3"/>
  <c r="P103" i="3"/>
  <c r="R103" i="3" s="1"/>
  <c r="M103" i="3"/>
  <c r="O103" i="3" s="1"/>
  <c r="D103" i="3"/>
  <c r="C103" i="3"/>
  <c r="B103" i="3"/>
  <c r="T102" i="3"/>
  <c r="S102" i="3"/>
  <c r="P102" i="3"/>
  <c r="R102" i="3" s="1"/>
  <c r="O102" i="3"/>
  <c r="M102" i="3"/>
  <c r="D102" i="3"/>
  <c r="C102" i="3"/>
  <c r="B102" i="3"/>
  <c r="T101" i="3"/>
  <c r="S101" i="3"/>
  <c r="P101" i="3" s="1"/>
  <c r="R101" i="3"/>
  <c r="M101" i="3"/>
  <c r="O101" i="3" s="1"/>
  <c r="D101" i="3"/>
  <c r="C101" i="3"/>
  <c r="B101" i="3"/>
  <c r="T100" i="3"/>
  <c r="S100" i="3"/>
  <c r="R100" i="3"/>
  <c r="P100" i="3"/>
  <c r="M100" i="3"/>
  <c r="O100" i="3" s="1"/>
  <c r="D100" i="3"/>
  <c r="K100" i="3" s="1"/>
  <c r="C100" i="3"/>
  <c r="B100" i="3"/>
  <c r="T99" i="3"/>
  <c r="S99" i="3"/>
  <c r="P99" i="3" s="1"/>
  <c r="R99" i="3" s="1"/>
  <c r="O99" i="3"/>
  <c r="M99" i="3"/>
  <c r="D99" i="3"/>
  <c r="C99" i="3"/>
  <c r="B99" i="3"/>
  <c r="T98" i="3"/>
  <c r="S98" i="3"/>
  <c r="P98" i="3"/>
  <c r="R98" i="3" s="1"/>
  <c r="M98" i="3"/>
  <c r="O98" i="3" s="1"/>
  <c r="L98" i="3"/>
  <c r="D98" i="3"/>
  <c r="C98" i="3"/>
  <c r="B98" i="3"/>
  <c r="T97" i="3"/>
  <c r="S97" i="3"/>
  <c r="P97" i="3"/>
  <c r="R97" i="3" s="1"/>
  <c r="O97" i="3"/>
  <c r="M97" i="3"/>
  <c r="D97" i="3"/>
  <c r="C97" i="3"/>
  <c r="B97" i="3"/>
  <c r="T96" i="3"/>
  <c r="S96" i="3"/>
  <c r="P96" i="3"/>
  <c r="R96" i="3" s="1"/>
  <c r="M96" i="3"/>
  <c r="O96" i="3" s="1"/>
  <c r="D96" i="3"/>
  <c r="K96" i="3" s="1"/>
  <c r="C96" i="3"/>
  <c r="B96" i="3"/>
  <c r="T95" i="3"/>
  <c r="S95" i="3"/>
  <c r="P95" i="3" s="1"/>
  <c r="R95" i="3" s="1"/>
  <c r="M95" i="3"/>
  <c r="O95" i="3" s="1"/>
  <c r="D95" i="3"/>
  <c r="C95" i="3"/>
  <c r="B95" i="3"/>
  <c r="T94" i="3"/>
  <c r="S94" i="3"/>
  <c r="P94" i="3" s="1"/>
  <c r="R94" i="3" s="1"/>
  <c r="M94" i="3"/>
  <c r="O94" i="3" s="1"/>
  <c r="D94" i="3"/>
  <c r="C94" i="3"/>
  <c r="B94" i="3"/>
  <c r="T93" i="3"/>
  <c r="S93" i="3"/>
  <c r="P93" i="3" s="1"/>
  <c r="R93" i="3" s="1"/>
  <c r="M93" i="3"/>
  <c r="O93" i="3" s="1"/>
  <c r="D93" i="3"/>
  <c r="C93" i="3"/>
  <c r="B93" i="3"/>
  <c r="T92" i="3"/>
  <c r="S92" i="3"/>
  <c r="P92" i="3"/>
  <c r="R92" i="3" s="1"/>
  <c r="O92" i="3"/>
  <c r="M92" i="3"/>
  <c r="D92" i="3"/>
  <c r="C92" i="3"/>
  <c r="B92" i="3"/>
  <c r="S91" i="3"/>
  <c r="P91" i="3"/>
  <c r="R91" i="3" s="1"/>
  <c r="O91" i="3"/>
  <c r="M91" i="3"/>
  <c r="D91" i="3"/>
  <c r="C91" i="3"/>
  <c r="B91" i="3"/>
  <c r="S90" i="3"/>
  <c r="P90" i="3"/>
  <c r="R90" i="3" s="1"/>
  <c r="M90" i="3"/>
  <c r="O90" i="3" s="1"/>
  <c r="D90" i="3"/>
  <c r="C90" i="3"/>
  <c r="B90" i="3"/>
  <c r="S89" i="3"/>
  <c r="P89" i="3"/>
  <c r="R89" i="3" s="1"/>
  <c r="O89" i="3"/>
  <c r="M89" i="3"/>
  <c r="D89" i="3"/>
  <c r="C89" i="3"/>
  <c r="B89" i="3"/>
  <c r="S88" i="3"/>
  <c r="P88" i="3" s="1"/>
  <c r="R88" i="3" s="1"/>
  <c r="O88" i="3"/>
  <c r="M88" i="3"/>
  <c r="D88" i="3"/>
  <c r="C88" i="3"/>
  <c r="B88" i="3"/>
  <c r="S87" i="3"/>
  <c r="P87" i="3"/>
  <c r="R87" i="3" s="1"/>
  <c r="M87" i="3"/>
  <c r="O87" i="3" s="1"/>
  <c r="D87" i="3"/>
  <c r="C87" i="3"/>
  <c r="B87" i="3"/>
  <c r="S86" i="3"/>
  <c r="P86" i="3" s="1"/>
  <c r="R86" i="3"/>
  <c r="O86" i="3"/>
  <c r="M86" i="3"/>
  <c r="D86" i="3"/>
  <c r="C86" i="3"/>
  <c r="B86" i="3"/>
  <c r="S85" i="3"/>
  <c r="P85" i="3"/>
  <c r="R85" i="3" s="1"/>
  <c r="O85" i="3"/>
  <c r="M85" i="3"/>
  <c r="D85" i="3"/>
  <c r="C85" i="3"/>
  <c r="B85" i="3"/>
  <c r="F85" i="3" s="1"/>
  <c r="S84" i="3"/>
  <c r="P84" i="3"/>
  <c r="R84" i="3" s="1"/>
  <c r="O84" i="3"/>
  <c r="M84" i="3"/>
  <c r="D84" i="3"/>
  <c r="C84" i="3"/>
  <c r="B84" i="3"/>
  <c r="S83" i="3"/>
  <c r="P83" i="3" s="1"/>
  <c r="R83" i="3"/>
  <c r="M83" i="3"/>
  <c r="O83" i="3" s="1"/>
  <c r="D83" i="3"/>
  <c r="K83" i="3" s="1"/>
  <c r="C83" i="3"/>
  <c r="B83" i="3"/>
  <c r="S82" i="3"/>
  <c r="P82" i="3" s="1"/>
  <c r="R82" i="3"/>
  <c r="M82" i="3"/>
  <c r="O82" i="3" s="1"/>
  <c r="D82" i="3"/>
  <c r="C82" i="3"/>
  <c r="B82" i="3"/>
  <c r="S81" i="3"/>
  <c r="P81" i="3"/>
  <c r="R81" i="3" s="1"/>
  <c r="M81" i="3"/>
  <c r="O81" i="3" s="1"/>
  <c r="D81" i="3"/>
  <c r="C81" i="3"/>
  <c r="B81" i="3"/>
  <c r="S80" i="3"/>
  <c r="P80" i="3"/>
  <c r="R80" i="3" s="1"/>
  <c r="M80" i="3"/>
  <c r="O80" i="3" s="1"/>
  <c r="D80" i="3"/>
  <c r="C80" i="3"/>
  <c r="B80" i="3"/>
  <c r="S79" i="3"/>
  <c r="P79" i="3"/>
  <c r="R79" i="3" s="1"/>
  <c r="M79" i="3"/>
  <c r="O79" i="3" s="1"/>
  <c r="D79" i="3"/>
  <c r="C79" i="3"/>
  <c r="B79" i="3"/>
  <c r="S78" i="3"/>
  <c r="P78" i="3"/>
  <c r="R78" i="3" s="1"/>
  <c r="M78" i="3"/>
  <c r="O78" i="3" s="1"/>
  <c r="D78" i="3"/>
  <c r="F78" i="3" s="1"/>
  <c r="C78" i="3"/>
  <c r="B78" i="3"/>
  <c r="S77" i="3"/>
  <c r="P77" i="3"/>
  <c r="R77" i="3" s="1"/>
  <c r="O77" i="3"/>
  <c r="M77" i="3"/>
  <c r="D77" i="3"/>
  <c r="C77" i="3"/>
  <c r="B77" i="3"/>
  <c r="S76" i="3"/>
  <c r="P76" i="3" s="1"/>
  <c r="R76" i="3" s="1"/>
  <c r="M76" i="3"/>
  <c r="O76" i="3" s="1"/>
  <c r="D76" i="3"/>
  <c r="C76" i="3"/>
  <c r="B76" i="3"/>
  <c r="S75" i="3"/>
  <c r="P75" i="3"/>
  <c r="R75" i="3" s="1"/>
  <c r="O75" i="3"/>
  <c r="M75" i="3"/>
  <c r="D75" i="3"/>
  <c r="C75" i="3"/>
  <c r="B75" i="3"/>
  <c r="S74" i="3"/>
  <c r="R74" i="3"/>
  <c r="P74" i="3"/>
  <c r="M74" i="3"/>
  <c r="O74" i="3" s="1"/>
  <c r="D74" i="3"/>
  <c r="C74" i="3"/>
  <c r="B74" i="3"/>
  <c r="S73" i="3"/>
  <c r="P73" i="3" s="1"/>
  <c r="R73" i="3"/>
  <c r="M73" i="3"/>
  <c r="O73" i="3" s="1"/>
  <c r="D73" i="3"/>
  <c r="C73" i="3"/>
  <c r="B73" i="3"/>
  <c r="F73" i="3" s="1"/>
  <c r="S72" i="3"/>
  <c r="P72" i="3" s="1"/>
  <c r="R72" i="3" s="1"/>
  <c r="O72" i="3"/>
  <c r="M72" i="3"/>
  <c r="D72" i="3"/>
  <c r="C72" i="3"/>
  <c r="B72" i="3"/>
  <c r="S71" i="3"/>
  <c r="P71" i="3" s="1"/>
  <c r="R71" i="3"/>
  <c r="M71" i="3"/>
  <c r="O71" i="3" s="1"/>
  <c r="D71" i="3"/>
  <c r="C71" i="3"/>
  <c r="B71" i="3"/>
  <c r="S70" i="3"/>
  <c r="P70" i="3" s="1"/>
  <c r="R70" i="3" s="1"/>
  <c r="M70" i="3"/>
  <c r="O70" i="3" s="1"/>
  <c r="D70" i="3"/>
  <c r="C70" i="3"/>
  <c r="B70" i="3"/>
  <c r="S69" i="3"/>
  <c r="P69" i="3" s="1"/>
  <c r="R69" i="3" s="1"/>
  <c r="M69" i="3"/>
  <c r="O69" i="3" s="1"/>
  <c r="F69" i="3"/>
  <c r="D69" i="3"/>
  <c r="C69" i="3"/>
  <c r="B69" i="3"/>
  <c r="S68" i="3"/>
  <c r="P68" i="3"/>
  <c r="R68" i="3" s="1"/>
  <c r="M68" i="3"/>
  <c r="O68" i="3" s="1"/>
  <c r="D68" i="3"/>
  <c r="C68" i="3"/>
  <c r="B68" i="3"/>
  <c r="F68" i="3" s="1"/>
  <c r="S67" i="3"/>
  <c r="P67" i="3" s="1"/>
  <c r="R67" i="3" s="1"/>
  <c r="M67" i="3"/>
  <c r="O67" i="3" s="1"/>
  <c r="D67" i="3"/>
  <c r="C67" i="3"/>
  <c r="B67" i="3"/>
  <c r="S66" i="3"/>
  <c r="P66" i="3"/>
  <c r="R66" i="3" s="1"/>
  <c r="M66" i="3"/>
  <c r="O66" i="3" s="1"/>
  <c r="D66" i="3"/>
  <c r="C66" i="3"/>
  <c r="B66" i="3"/>
  <c r="S65" i="3"/>
  <c r="P65" i="3" s="1"/>
  <c r="R65" i="3" s="1"/>
  <c r="O65" i="3"/>
  <c r="M65" i="3"/>
  <c r="D65" i="3"/>
  <c r="F65" i="3" s="1"/>
  <c r="C65" i="3"/>
  <c r="B65" i="3"/>
  <c r="S64" i="3"/>
  <c r="P64" i="3" s="1"/>
  <c r="R64" i="3" s="1"/>
  <c r="O64" i="3"/>
  <c r="M64" i="3"/>
  <c r="D64" i="3"/>
  <c r="C64" i="3"/>
  <c r="B64" i="3"/>
  <c r="S63" i="3"/>
  <c r="P63" i="3"/>
  <c r="R63" i="3" s="1"/>
  <c r="M63" i="3"/>
  <c r="O63" i="3" s="1"/>
  <c r="D63" i="3"/>
  <c r="F63" i="3" s="1"/>
  <c r="C63" i="3"/>
  <c r="B63" i="3"/>
  <c r="S62" i="3"/>
  <c r="P62" i="3" s="1"/>
  <c r="R62" i="3"/>
  <c r="M62" i="3"/>
  <c r="O62" i="3" s="1"/>
  <c r="D62" i="3"/>
  <c r="C62" i="3"/>
  <c r="B62" i="3"/>
  <c r="S61" i="3"/>
  <c r="P61" i="3"/>
  <c r="R61" i="3" s="1"/>
  <c r="O61" i="3"/>
  <c r="M61" i="3"/>
  <c r="D61" i="3"/>
  <c r="C61" i="3"/>
  <c r="B61" i="3"/>
  <c r="S60" i="3"/>
  <c r="P60" i="3"/>
  <c r="R60" i="3" s="1"/>
  <c r="M60" i="3"/>
  <c r="O60" i="3" s="1"/>
  <c r="D60" i="3"/>
  <c r="C60" i="3"/>
  <c r="B60" i="3"/>
  <c r="S59" i="3"/>
  <c r="P59" i="3" s="1"/>
  <c r="R59" i="3" s="1"/>
  <c r="O59" i="3"/>
  <c r="M59" i="3"/>
  <c r="D59" i="3"/>
  <c r="C59" i="3"/>
  <c r="B59" i="3"/>
  <c r="S58" i="3"/>
  <c r="P58" i="3"/>
  <c r="R58" i="3" s="1"/>
  <c r="M58" i="3"/>
  <c r="O58" i="3" s="1"/>
  <c r="D58" i="3"/>
  <c r="C58" i="3"/>
  <c r="B58" i="3"/>
  <c r="F58" i="3" s="1"/>
  <c r="R57" i="3"/>
  <c r="P57" i="3"/>
  <c r="M57" i="3"/>
  <c r="O57" i="3" s="1"/>
  <c r="D57" i="3"/>
  <c r="C57" i="3"/>
  <c r="B57" i="3"/>
  <c r="P56" i="3"/>
  <c r="R56" i="3" s="1"/>
  <c r="M56" i="3"/>
  <c r="O56" i="3" s="1"/>
  <c r="D56" i="3"/>
  <c r="C56" i="3"/>
  <c r="B56" i="3"/>
  <c r="P55" i="3"/>
  <c r="R55" i="3" s="1"/>
  <c r="M55" i="3"/>
  <c r="O55" i="3" s="1"/>
  <c r="D55" i="3"/>
  <c r="F55" i="3" s="1"/>
  <c r="C55" i="3"/>
  <c r="B55" i="3"/>
  <c r="R54" i="3"/>
  <c r="P54" i="3"/>
  <c r="M54" i="3"/>
  <c r="O54" i="3" s="1"/>
  <c r="D54" i="3"/>
  <c r="C54" i="3"/>
  <c r="B54" i="3"/>
  <c r="P53" i="3"/>
  <c r="R53" i="3" s="1"/>
  <c r="M53" i="3"/>
  <c r="O53" i="3" s="1"/>
  <c r="D53" i="3"/>
  <c r="C53" i="3"/>
  <c r="B53" i="3"/>
  <c r="R52" i="3"/>
  <c r="P52" i="3"/>
  <c r="O52" i="3"/>
  <c r="M52" i="3"/>
  <c r="D52" i="3"/>
  <c r="C52" i="3"/>
  <c r="B52" i="3"/>
  <c r="F52" i="3" s="1"/>
  <c r="P51" i="3"/>
  <c r="R51" i="3" s="1"/>
  <c r="O51" i="3"/>
  <c r="M51" i="3"/>
  <c r="D51" i="3"/>
  <c r="C51" i="3"/>
  <c r="B51" i="3"/>
  <c r="P50" i="3"/>
  <c r="R50" i="3" s="1"/>
  <c r="O50" i="3"/>
  <c r="M50" i="3"/>
  <c r="D50" i="3"/>
  <c r="C50" i="3"/>
  <c r="B50" i="3"/>
  <c r="P49" i="3"/>
  <c r="R49" i="3" s="1"/>
  <c r="O49" i="3"/>
  <c r="M49" i="3"/>
  <c r="D49" i="3"/>
  <c r="C49" i="3"/>
  <c r="B49" i="3"/>
  <c r="P48" i="3"/>
  <c r="R48" i="3" s="1"/>
  <c r="O48" i="3"/>
  <c r="M48" i="3"/>
  <c r="D48" i="3"/>
  <c r="C48" i="3"/>
  <c r="B48" i="3"/>
  <c r="R47" i="3"/>
  <c r="P47" i="3"/>
  <c r="M47" i="3"/>
  <c r="O47" i="3" s="1"/>
  <c r="D47" i="3"/>
  <c r="C47" i="3"/>
  <c r="B47" i="3"/>
  <c r="R46" i="3"/>
  <c r="P46" i="3"/>
  <c r="M46" i="3"/>
  <c r="O46" i="3" s="1"/>
  <c r="D46" i="3"/>
  <c r="C46" i="3"/>
  <c r="B46" i="3"/>
  <c r="F46" i="3" s="1"/>
  <c r="R45" i="3"/>
  <c r="P45" i="3"/>
  <c r="O45" i="3"/>
  <c r="M45" i="3"/>
  <c r="D45" i="3"/>
  <c r="C45" i="3"/>
  <c r="B45" i="3"/>
  <c r="P44" i="3"/>
  <c r="R44" i="3" s="1"/>
  <c r="M44" i="3"/>
  <c r="O44" i="3" s="1"/>
  <c r="D44" i="3"/>
  <c r="F44" i="3" s="1"/>
  <c r="C44" i="3"/>
  <c r="B44" i="3"/>
  <c r="P43" i="3"/>
  <c r="R43" i="3" s="1"/>
  <c r="O43" i="3"/>
  <c r="M43" i="3"/>
  <c r="D43" i="3"/>
  <c r="C43" i="3"/>
  <c r="B43" i="3"/>
  <c r="P42" i="3"/>
  <c r="R42" i="3" s="1"/>
  <c r="M42" i="3"/>
  <c r="O42" i="3" s="1"/>
  <c r="D42" i="3"/>
  <c r="C42" i="3"/>
  <c r="B42" i="3"/>
  <c r="P41" i="3"/>
  <c r="R41" i="3" s="1"/>
  <c r="M41" i="3"/>
  <c r="O41" i="3" s="1"/>
  <c r="D41" i="3"/>
  <c r="C41" i="3"/>
  <c r="B41" i="3"/>
  <c r="F41" i="3" s="1"/>
  <c r="P40" i="3"/>
  <c r="R40" i="3" s="1"/>
  <c r="O40" i="3"/>
  <c r="M40" i="3"/>
  <c r="D40" i="3"/>
  <c r="C40" i="3"/>
  <c r="B40" i="3"/>
  <c r="P39" i="3"/>
  <c r="R39" i="3" s="1"/>
  <c r="M39" i="3"/>
  <c r="O39" i="3" s="1"/>
  <c r="D39" i="3"/>
  <c r="C39" i="3"/>
  <c r="B39" i="3"/>
  <c r="P38" i="3"/>
  <c r="R38" i="3" s="1"/>
  <c r="O38" i="3"/>
  <c r="M38" i="3"/>
  <c r="D38" i="3"/>
  <c r="F38" i="3" s="1"/>
  <c r="C38" i="3"/>
  <c r="B38" i="3"/>
  <c r="P37" i="3"/>
  <c r="R37" i="3" s="1"/>
  <c r="M37" i="3"/>
  <c r="O37" i="3" s="1"/>
  <c r="D37" i="3"/>
  <c r="C37" i="3"/>
  <c r="B37" i="3"/>
  <c r="P36" i="3"/>
  <c r="R36" i="3" s="1"/>
  <c r="O36" i="3"/>
  <c r="M36" i="3"/>
  <c r="D36" i="3"/>
  <c r="C36" i="3"/>
  <c r="B36" i="3"/>
  <c r="R35" i="3"/>
  <c r="P35" i="3"/>
  <c r="O35" i="3"/>
  <c r="M35" i="3"/>
  <c r="D35" i="3"/>
  <c r="F35" i="3" s="1"/>
  <c r="C35" i="3"/>
  <c r="B35" i="3"/>
  <c r="P34" i="3"/>
  <c r="R34" i="3" s="1"/>
  <c r="O34" i="3"/>
  <c r="M34" i="3"/>
  <c r="D34" i="3"/>
  <c r="C34" i="3"/>
  <c r="B34" i="3"/>
  <c r="P33" i="3"/>
  <c r="R33" i="3" s="1"/>
  <c r="O33" i="3"/>
  <c r="M33" i="3"/>
  <c r="D33" i="3"/>
  <c r="C33" i="3"/>
  <c r="B33" i="3"/>
  <c r="R32" i="3"/>
  <c r="P32" i="3"/>
  <c r="O32" i="3"/>
  <c r="M32" i="3"/>
  <c r="D32" i="3"/>
  <c r="C32" i="3"/>
  <c r="B32" i="3"/>
  <c r="P31" i="3"/>
  <c r="R31" i="3" s="1"/>
  <c r="O31" i="3"/>
  <c r="M31" i="3"/>
  <c r="D31" i="3"/>
  <c r="C31" i="3"/>
  <c r="B31" i="3"/>
  <c r="R30" i="3"/>
  <c r="P30" i="3"/>
  <c r="M30" i="3"/>
  <c r="O30" i="3" s="1"/>
  <c r="D30" i="3"/>
  <c r="C30" i="3"/>
  <c r="B30" i="3"/>
  <c r="P29" i="3"/>
  <c r="R29" i="3" s="1"/>
  <c r="O29" i="3"/>
  <c r="M29" i="3"/>
  <c r="D29" i="3"/>
  <c r="C29" i="3"/>
  <c r="B29" i="3"/>
  <c r="R28" i="3"/>
  <c r="P28" i="3"/>
  <c r="O28" i="3"/>
  <c r="M28" i="3"/>
  <c r="D28" i="3"/>
  <c r="F28" i="3" s="1"/>
  <c r="C28" i="3"/>
  <c r="B28" i="3"/>
  <c r="P27" i="3"/>
  <c r="R27" i="3" s="1"/>
  <c r="O27" i="3"/>
  <c r="M27" i="3"/>
  <c r="D27" i="3"/>
  <c r="F27" i="3" s="1"/>
  <c r="C27" i="3"/>
  <c r="B27" i="3"/>
  <c r="P26" i="3"/>
  <c r="R26" i="3" s="1"/>
  <c r="O26" i="3"/>
  <c r="M26" i="3"/>
  <c r="D26" i="3"/>
  <c r="C26" i="3"/>
  <c r="B26" i="3"/>
  <c r="R25" i="3"/>
  <c r="P25" i="3"/>
  <c r="O25" i="3"/>
  <c r="M25" i="3"/>
  <c r="D25" i="3"/>
  <c r="C25" i="3"/>
  <c r="B25" i="3"/>
  <c r="R24" i="3"/>
  <c r="P24" i="3"/>
  <c r="M24" i="3"/>
  <c r="O24" i="3" s="1"/>
  <c r="D24" i="3"/>
  <c r="C24" i="3"/>
  <c r="B24" i="3"/>
  <c r="R23" i="3"/>
  <c r="P23" i="3"/>
  <c r="M23" i="3"/>
  <c r="O23" i="3" s="1"/>
  <c r="D23" i="3"/>
  <c r="C23" i="3"/>
  <c r="B23" i="3"/>
  <c r="P22" i="3"/>
  <c r="R22" i="3" s="1"/>
  <c r="O22" i="3"/>
  <c r="M22" i="3"/>
  <c r="D22" i="3"/>
  <c r="C22" i="3"/>
  <c r="B22" i="3"/>
  <c r="P21" i="3"/>
  <c r="R21" i="3" s="1"/>
  <c r="M21" i="3"/>
  <c r="O21" i="3" s="1"/>
  <c r="D21" i="3"/>
  <c r="F21" i="3" s="1"/>
  <c r="C21" i="3"/>
  <c r="B21" i="3"/>
  <c r="P20" i="3"/>
  <c r="R20" i="3" s="1"/>
  <c r="O20" i="3"/>
  <c r="M20" i="3"/>
  <c r="D20" i="3"/>
  <c r="C20" i="3"/>
  <c r="B20" i="3"/>
  <c r="R19" i="3"/>
  <c r="P19" i="3"/>
  <c r="M19" i="3"/>
  <c r="O19" i="3" s="1"/>
  <c r="D19" i="3"/>
  <c r="C19" i="3"/>
  <c r="B19" i="3"/>
  <c r="P18" i="3"/>
  <c r="R18" i="3" s="1"/>
  <c r="M18" i="3"/>
  <c r="O18" i="3" s="1"/>
  <c r="D18" i="3"/>
  <c r="C18" i="3"/>
  <c r="B18" i="3"/>
  <c r="F18" i="3" s="1"/>
  <c r="R17" i="3"/>
  <c r="P17" i="3"/>
  <c r="O17" i="3"/>
  <c r="M17" i="3"/>
  <c r="D17" i="3"/>
  <c r="F17" i="3" s="1"/>
  <c r="C17" i="3"/>
  <c r="B17" i="3"/>
  <c r="P16" i="3"/>
  <c r="R16" i="3" s="1"/>
  <c r="O16" i="3"/>
  <c r="M16" i="3"/>
  <c r="D16" i="3"/>
  <c r="C16" i="3"/>
  <c r="B16" i="3"/>
  <c r="P15" i="3"/>
  <c r="R15" i="3" s="1"/>
  <c r="O15" i="3"/>
  <c r="M15" i="3"/>
  <c r="D15" i="3"/>
  <c r="C15" i="3"/>
  <c r="B15" i="3"/>
  <c r="R14" i="3"/>
  <c r="P14" i="3"/>
  <c r="M14" i="3"/>
  <c r="O14" i="3" s="1"/>
  <c r="D14" i="3"/>
  <c r="C14" i="3"/>
  <c r="B14" i="3"/>
  <c r="R13" i="3"/>
  <c r="P13" i="3"/>
  <c r="M13" i="3"/>
  <c r="O13" i="3" s="1"/>
  <c r="D13" i="3"/>
  <c r="C13" i="3"/>
  <c r="B13" i="3"/>
  <c r="F13" i="3" s="1"/>
  <c r="R12" i="3"/>
  <c r="P12" i="3"/>
  <c r="M12" i="3"/>
  <c r="O12" i="3" s="1"/>
  <c r="D12" i="3"/>
  <c r="C12" i="3"/>
  <c r="B12" i="3"/>
  <c r="R11" i="3"/>
  <c r="P11" i="3"/>
  <c r="O11" i="3"/>
  <c r="M11" i="3"/>
  <c r="D11" i="3"/>
  <c r="C11" i="3"/>
  <c r="B11" i="3"/>
  <c r="R10" i="3"/>
  <c r="P10" i="3"/>
  <c r="M10" i="3"/>
  <c r="O10" i="3" s="1"/>
  <c r="D10" i="3"/>
  <c r="C10" i="3"/>
  <c r="B10" i="3"/>
  <c r="P9" i="3"/>
  <c r="R9" i="3" s="1"/>
  <c r="O9" i="3"/>
  <c r="M9" i="3"/>
  <c r="D9" i="3"/>
  <c r="C9" i="3"/>
  <c r="B9" i="3"/>
  <c r="R8" i="3"/>
  <c r="P8" i="3"/>
  <c r="M8" i="3"/>
  <c r="O8" i="3" s="1"/>
  <c r="D8" i="3"/>
  <c r="C8" i="3"/>
  <c r="B8" i="3"/>
  <c r="R7" i="3"/>
  <c r="P7" i="3"/>
  <c r="O7" i="3"/>
  <c r="M7" i="3"/>
  <c r="D7" i="3"/>
  <c r="C7" i="3"/>
  <c r="B7" i="3"/>
  <c r="R6" i="3"/>
  <c r="P6" i="3"/>
  <c r="O6" i="3"/>
  <c r="M6" i="3"/>
  <c r="D6" i="3"/>
  <c r="F6" i="3" s="1"/>
  <c r="C6" i="3"/>
  <c r="D27" i="4" s="1"/>
  <c r="B6" i="3"/>
  <c r="P5" i="3"/>
  <c r="R5" i="3" s="1"/>
  <c r="O5" i="3"/>
  <c r="M5" i="3"/>
  <c r="D5" i="3"/>
  <c r="C5" i="3"/>
  <c r="F45" i="4" s="1"/>
  <c r="B5" i="3"/>
  <c r="F5" i="3" s="1"/>
  <c r="P4" i="3"/>
  <c r="R4" i="3" s="1"/>
  <c r="O4" i="3"/>
  <c r="M4" i="3"/>
  <c r="D4" i="3"/>
  <c r="C4" i="3"/>
  <c r="B4" i="3"/>
  <c r="B1523" i="2"/>
  <c r="A1523" i="2"/>
  <c r="B1522" i="2"/>
  <c r="A1522" i="2"/>
  <c r="B1521" i="2"/>
  <c r="A1521" i="2"/>
  <c r="B1520" i="2"/>
  <c r="A1520" i="2"/>
  <c r="B1519" i="2"/>
  <c r="A1519" i="2"/>
  <c r="B1518" i="2"/>
  <c r="A1518" i="2"/>
  <c r="B1517" i="2"/>
  <c r="A1517" i="2"/>
  <c r="L1516" i="2"/>
  <c r="K1516" i="2"/>
  <c r="B1516" i="2"/>
  <c r="A1516" i="2"/>
  <c r="L1515" i="2"/>
  <c r="K1515" i="2"/>
  <c r="B1515" i="2"/>
  <c r="A1515" i="2"/>
  <c r="L1514" i="2"/>
  <c r="K1514" i="2"/>
  <c r="B1514" i="2"/>
  <c r="A1514" i="2"/>
  <c r="L1513" i="2"/>
  <c r="K1513" i="2"/>
  <c r="B1513" i="2"/>
  <c r="A1513" i="2"/>
  <c r="L1512" i="2"/>
  <c r="K1512" i="2"/>
  <c r="B1512" i="2"/>
  <c r="A1512" i="2"/>
  <c r="L1511" i="2"/>
  <c r="K1511" i="2"/>
  <c r="B1511" i="2"/>
  <c r="A1511" i="2"/>
  <c r="L1510" i="2"/>
  <c r="K1510" i="2"/>
  <c r="B1510" i="2"/>
  <c r="A1510" i="2"/>
  <c r="L1509" i="2"/>
  <c r="K1509" i="2"/>
  <c r="B1509" i="2"/>
  <c r="A1509" i="2"/>
  <c r="L1508" i="2"/>
  <c r="K1508" i="2"/>
  <c r="B1508" i="2"/>
  <c r="A1508" i="2"/>
  <c r="L1507" i="2"/>
  <c r="K1507" i="2"/>
  <c r="B1507" i="2"/>
  <c r="A1507" i="2"/>
  <c r="L1506" i="2"/>
  <c r="K1506" i="2"/>
  <c r="B1506" i="2"/>
  <c r="A1506" i="2"/>
  <c r="L1505" i="2"/>
  <c r="K1505" i="2"/>
  <c r="B1505" i="2"/>
  <c r="A1505" i="2"/>
  <c r="L1504" i="2"/>
  <c r="K1504" i="2"/>
  <c r="B1504" i="2"/>
  <c r="A1504" i="2"/>
  <c r="L1503" i="2"/>
  <c r="K1503" i="2"/>
  <c r="B1503" i="2"/>
  <c r="A1503" i="2"/>
  <c r="L1502" i="2"/>
  <c r="K1502" i="2"/>
  <c r="B1502" i="2"/>
  <c r="A1502" i="2"/>
  <c r="L1501" i="2"/>
  <c r="K1501" i="2"/>
  <c r="B1501" i="2"/>
  <c r="A1501" i="2"/>
  <c r="L1500" i="2"/>
  <c r="K1500" i="2"/>
  <c r="B1500" i="2"/>
  <c r="A1500" i="2"/>
  <c r="L1499" i="2"/>
  <c r="K1499" i="2"/>
  <c r="B1499" i="2"/>
  <c r="A1499" i="2"/>
  <c r="L1498" i="2"/>
  <c r="K1498" i="2"/>
  <c r="B1498" i="2"/>
  <c r="A1498" i="2"/>
  <c r="L1497" i="2"/>
  <c r="K1497" i="2"/>
  <c r="B1497" i="2"/>
  <c r="A1497" i="2"/>
  <c r="L1496" i="2"/>
  <c r="K1496" i="2"/>
  <c r="B1496" i="2"/>
  <c r="A1496" i="2"/>
  <c r="L1495" i="2"/>
  <c r="K1495" i="2"/>
  <c r="B1495" i="2"/>
  <c r="A1495" i="2"/>
  <c r="L1494" i="2"/>
  <c r="K1494" i="2"/>
  <c r="B1494" i="2"/>
  <c r="A1494" i="2"/>
  <c r="L1493" i="2"/>
  <c r="K1493" i="2"/>
  <c r="B1493" i="2"/>
  <c r="A1493" i="2"/>
  <c r="L1492" i="2"/>
  <c r="K1492" i="2"/>
  <c r="B1492" i="2"/>
  <c r="A1492" i="2"/>
  <c r="L1491" i="2"/>
  <c r="K1491" i="2"/>
  <c r="B1491" i="2"/>
  <c r="A1491" i="2"/>
  <c r="L1490" i="2"/>
  <c r="K1490" i="2"/>
  <c r="B1490" i="2"/>
  <c r="A1490" i="2"/>
  <c r="L1489" i="2"/>
  <c r="K1489" i="2"/>
  <c r="B1489" i="2"/>
  <c r="A1489" i="2"/>
  <c r="L1488" i="2"/>
  <c r="K1488" i="2"/>
  <c r="B1488" i="2"/>
  <c r="A1488" i="2"/>
  <c r="L1487" i="2"/>
  <c r="K1487" i="2"/>
  <c r="B1487" i="2"/>
  <c r="A1487" i="2"/>
  <c r="L1486" i="2"/>
  <c r="K1486" i="2"/>
  <c r="B1486" i="2"/>
  <c r="A1486" i="2"/>
  <c r="L1485" i="2"/>
  <c r="K1485" i="2"/>
  <c r="B1485" i="2"/>
  <c r="A1485" i="2"/>
  <c r="L1484" i="2"/>
  <c r="K1484" i="2"/>
  <c r="B1484" i="2"/>
  <c r="A1484" i="2"/>
  <c r="L1483" i="2"/>
  <c r="K1483" i="2"/>
  <c r="B1483" i="2"/>
  <c r="A1483" i="2"/>
  <c r="L1482" i="2"/>
  <c r="K1482" i="2"/>
  <c r="B1482" i="2"/>
  <c r="A1482" i="2"/>
  <c r="L1481" i="2"/>
  <c r="K1481" i="2"/>
  <c r="B1481" i="2"/>
  <c r="A1481" i="2"/>
  <c r="L1480" i="2"/>
  <c r="K1480" i="2"/>
  <c r="B1480" i="2"/>
  <c r="A1480" i="2"/>
  <c r="L1479" i="2"/>
  <c r="K1479" i="2"/>
  <c r="B1479" i="2"/>
  <c r="A1479" i="2"/>
  <c r="L1478" i="2"/>
  <c r="K1478" i="2"/>
  <c r="B1478" i="2"/>
  <c r="A1478" i="2"/>
  <c r="L1477" i="2"/>
  <c r="K1477" i="2"/>
  <c r="B1477" i="2"/>
  <c r="A1477" i="2"/>
  <c r="L1476" i="2"/>
  <c r="K1476" i="2"/>
  <c r="B1476" i="2"/>
  <c r="A1476" i="2"/>
  <c r="L1475" i="2"/>
  <c r="K1475" i="2"/>
  <c r="B1475" i="2"/>
  <c r="A1475" i="2"/>
  <c r="L1474" i="2"/>
  <c r="K1474" i="2"/>
  <c r="B1474" i="2"/>
  <c r="A1474" i="2"/>
  <c r="L1473" i="2"/>
  <c r="K1473" i="2"/>
  <c r="B1473" i="2"/>
  <c r="A1473" i="2"/>
  <c r="L1472" i="2"/>
  <c r="K1472" i="2"/>
  <c r="B1472" i="2"/>
  <c r="A1472" i="2"/>
  <c r="L1471" i="2"/>
  <c r="K1471" i="2"/>
  <c r="B1471" i="2"/>
  <c r="A1471" i="2"/>
  <c r="L1470" i="2"/>
  <c r="K1470" i="2"/>
  <c r="B1470" i="2"/>
  <c r="A1470" i="2"/>
  <c r="L1469" i="2"/>
  <c r="K1469" i="2"/>
  <c r="B1469" i="2"/>
  <c r="A1469" i="2"/>
  <c r="L1468" i="2"/>
  <c r="K1468" i="2"/>
  <c r="B1468" i="2"/>
  <c r="A1468" i="2"/>
  <c r="L1467" i="2"/>
  <c r="K1467" i="2"/>
  <c r="B1467" i="2"/>
  <c r="A1467" i="2"/>
  <c r="L1466" i="2"/>
  <c r="K1466" i="2"/>
  <c r="B1466" i="2"/>
  <c r="A1466" i="2"/>
  <c r="L1465" i="2"/>
  <c r="K1465" i="2"/>
  <c r="B1465" i="2"/>
  <c r="A1465" i="2"/>
  <c r="L1464" i="2"/>
  <c r="K1464" i="2"/>
  <c r="B1464" i="2"/>
  <c r="A1464" i="2"/>
  <c r="L1463" i="2"/>
  <c r="K1463" i="2"/>
  <c r="B1463" i="2"/>
  <c r="A1463" i="2"/>
  <c r="L1462" i="2"/>
  <c r="K1462" i="2"/>
  <c r="B1462" i="2"/>
  <c r="A1462" i="2"/>
  <c r="L1461" i="2"/>
  <c r="K1461" i="2"/>
  <c r="B1461" i="2"/>
  <c r="A1461" i="2"/>
  <c r="L1460" i="2"/>
  <c r="K1460" i="2"/>
  <c r="B1460" i="2"/>
  <c r="A1460" i="2"/>
  <c r="L1459" i="2"/>
  <c r="K1459" i="2"/>
  <c r="B1459" i="2"/>
  <c r="A1459" i="2"/>
  <c r="L1458" i="2"/>
  <c r="K1458" i="2"/>
  <c r="B1458" i="2"/>
  <c r="A1458" i="2"/>
  <c r="L1457" i="2"/>
  <c r="K1457" i="2"/>
  <c r="B1457" i="2"/>
  <c r="A1457" i="2"/>
  <c r="L1456" i="2"/>
  <c r="K1456" i="2"/>
  <c r="B1456" i="2"/>
  <c r="A1456" i="2"/>
  <c r="L1455" i="2"/>
  <c r="K1455" i="2"/>
  <c r="B1455" i="2"/>
  <c r="A1455" i="2"/>
  <c r="L1454" i="2"/>
  <c r="K1454" i="2"/>
  <c r="B1454" i="2"/>
  <c r="A1454" i="2"/>
  <c r="L1453" i="2"/>
  <c r="K1453" i="2"/>
  <c r="B1453" i="2"/>
  <c r="A1453" i="2"/>
  <c r="L1452" i="2"/>
  <c r="K1452" i="2"/>
  <c r="B1452" i="2"/>
  <c r="A1452" i="2"/>
  <c r="L1451" i="2"/>
  <c r="K1451" i="2"/>
  <c r="B1451" i="2"/>
  <c r="A1451" i="2"/>
  <c r="L1450" i="2"/>
  <c r="K1450" i="2"/>
  <c r="B1450" i="2"/>
  <c r="A1450" i="2"/>
  <c r="L1449" i="2"/>
  <c r="K1449" i="2"/>
  <c r="B1449" i="2"/>
  <c r="A1449" i="2"/>
  <c r="L1448" i="2"/>
  <c r="K1448" i="2"/>
  <c r="B1448" i="2"/>
  <c r="A1448" i="2"/>
  <c r="L1447" i="2"/>
  <c r="K1447" i="2"/>
  <c r="B1447" i="2"/>
  <c r="A1447" i="2"/>
  <c r="L1446" i="2"/>
  <c r="K1446" i="2"/>
  <c r="B1446" i="2"/>
  <c r="A1446" i="2"/>
  <c r="L1445" i="2"/>
  <c r="K1445" i="2"/>
  <c r="B1445" i="2"/>
  <c r="A1445" i="2"/>
  <c r="L1444" i="2"/>
  <c r="K1444" i="2"/>
  <c r="B1444" i="2"/>
  <c r="A1444" i="2"/>
  <c r="L1443" i="2"/>
  <c r="K1443" i="2"/>
  <c r="B1443" i="2"/>
  <c r="A1443" i="2"/>
  <c r="L1442" i="2"/>
  <c r="K1442" i="2"/>
  <c r="B1442" i="2"/>
  <c r="A1442" i="2"/>
  <c r="L1441" i="2"/>
  <c r="K1441" i="2"/>
  <c r="B1441" i="2"/>
  <c r="A1441" i="2"/>
  <c r="L1440" i="2"/>
  <c r="K1440" i="2"/>
  <c r="B1440" i="2"/>
  <c r="A1440" i="2"/>
  <c r="L1439" i="2"/>
  <c r="K1439" i="2"/>
  <c r="B1439" i="2"/>
  <c r="A1439" i="2"/>
  <c r="L1438" i="2"/>
  <c r="K1438" i="2"/>
  <c r="B1438" i="2"/>
  <c r="A1438" i="2"/>
  <c r="L1437" i="2"/>
  <c r="K1437" i="2"/>
  <c r="B1437" i="2"/>
  <c r="A1437" i="2"/>
  <c r="L1436" i="2"/>
  <c r="K1436" i="2"/>
  <c r="B1436" i="2"/>
  <c r="A1436" i="2"/>
  <c r="L1435" i="2"/>
  <c r="K1435" i="2"/>
  <c r="B1435" i="2"/>
  <c r="A1435" i="2"/>
  <c r="L1434" i="2"/>
  <c r="K1434" i="2"/>
  <c r="B1434" i="2"/>
  <c r="A1434" i="2"/>
  <c r="L1433" i="2"/>
  <c r="K1433" i="2"/>
  <c r="B1433" i="2"/>
  <c r="A1433" i="2"/>
  <c r="L1432" i="2"/>
  <c r="K1432" i="2"/>
  <c r="B1432" i="2"/>
  <c r="A1432" i="2"/>
  <c r="L1431" i="2"/>
  <c r="K1431" i="2"/>
  <c r="B1431" i="2"/>
  <c r="A1431" i="2"/>
  <c r="L1430" i="2"/>
  <c r="K1430" i="2"/>
  <c r="B1430" i="2"/>
  <c r="A1430" i="2"/>
  <c r="L1429" i="2"/>
  <c r="K1429" i="2"/>
  <c r="B1429" i="2"/>
  <c r="A1429" i="2"/>
  <c r="L1428" i="2"/>
  <c r="K1428" i="2"/>
  <c r="B1428" i="2"/>
  <c r="A1428" i="2"/>
  <c r="L1427" i="2"/>
  <c r="K1427" i="2"/>
  <c r="B1427" i="2"/>
  <c r="A1427" i="2"/>
  <c r="L1426" i="2"/>
  <c r="K1426" i="2"/>
  <c r="B1426" i="2"/>
  <c r="A1426" i="2"/>
  <c r="L1425" i="2"/>
  <c r="K1425" i="2"/>
  <c r="B1425" i="2"/>
  <c r="A1425" i="2"/>
  <c r="L1424" i="2"/>
  <c r="K1424" i="2"/>
  <c r="B1424" i="2"/>
  <c r="A1424" i="2"/>
  <c r="L1423" i="2"/>
  <c r="K1423" i="2"/>
  <c r="B1423" i="2"/>
  <c r="A1423" i="2"/>
  <c r="L1422" i="2"/>
  <c r="K1422" i="2"/>
  <c r="B1422" i="2"/>
  <c r="A1422" i="2"/>
  <c r="L1421" i="2"/>
  <c r="K1421" i="2"/>
  <c r="B1421" i="2"/>
  <c r="A1421" i="2"/>
  <c r="L1420" i="2"/>
  <c r="K1420" i="2"/>
  <c r="B1420" i="2"/>
  <c r="A1420" i="2"/>
  <c r="L1419" i="2"/>
  <c r="K1419" i="2"/>
  <c r="B1419" i="2"/>
  <c r="A1419" i="2"/>
  <c r="L1418" i="2"/>
  <c r="K1418" i="2"/>
  <c r="B1418" i="2"/>
  <c r="A1418" i="2"/>
  <c r="L1417" i="2"/>
  <c r="K1417" i="2"/>
  <c r="B1417" i="2"/>
  <c r="A1417" i="2"/>
  <c r="L1416" i="2"/>
  <c r="K1416" i="2"/>
  <c r="B1416" i="2"/>
  <c r="A1416" i="2"/>
  <c r="L1415" i="2"/>
  <c r="K1415" i="2"/>
  <c r="B1415" i="2"/>
  <c r="A1415" i="2"/>
  <c r="L1414" i="2"/>
  <c r="K1414" i="2"/>
  <c r="B1414" i="2"/>
  <c r="A1414" i="2"/>
  <c r="L1413" i="2"/>
  <c r="K1413" i="2"/>
  <c r="B1413" i="2"/>
  <c r="A1413" i="2"/>
  <c r="L1412" i="2"/>
  <c r="K1412" i="2"/>
  <c r="B1412" i="2"/>
  <c r="A1412" i="2"/>
  <c r="L1411" i="2"/>
  <c r="K1411" i="2"/>
  <c r="B1411" i="2"/>
  <c r="A1411" i="2"/>
  <c r="L1410" i="2"/>
  <c r="K1410" i="2"/>
  <c r="B1410" i="2"/>
  <c r="A1410" i="2"/>
  <c r="L1409" i="2"/>
  <c r="K1409" i="2"/>
  <c r="B1409" i="2"/>
  <c r="A1409" i="2"/>
  <c r="L1408" i="2"/>
  <c r="K1408" i="2"/>
  <c r="B1408" i="2"/>
  <c r="A1408" i="2"/>
  <c r="L1407" i="2"/>
  <c r="K1407" i="2"/>
  <c r="B1407" i="2"/>
  <c r="A1407" i="2"/>
  <c r="L1406" i="2"/>
  <c r="K1406" i="2"/>
  <c r="B1406" i="2"/>
  <c r="A1406" i="2"/>
  <c r="L1405" i="2"/>
  <c r="K1405" i="2"/>
  <c r="B1405" i="2"/>
  <c r="A1405" i="2"/>
  <c r="L1404" i="2"/>
  <c r="K1404" i="2"/>
  <c r="B1404" i="2"/>
  <c r="A1404" i="2"/>
  <c r="L1403" i="2"/>
  <c r="K1403" i="2"/>
  <c r="B1403" i="2"/>
  <c r="A1403" i="2"/>
  <c r="L1402" i="2"/>
  <c r="K1402" i="2"/>
  <c r="B1402" i="2"/>
  <c r="A1402" i="2"/>
  <c r="L1401" i="2"/>
  <c r="K1401" i="2"/>
  <c r="B1401" i="2"/>
  <c r="A1401" i="2"/>
  <c r="L1400" i="2"/>
  <c r="K1400" i="2"/>
  <c r="B1400" i="2"/>
  <c r="A1400" i="2"/>
  <c r="L1399" i="2"/>
  <c r="K1399" i="2"/>
  <c r="B1399" i="2"/>
  <c r="A1399" i="2"/>
  <c r="L1398" i="2"/>
  <c r="K1398" i="2"/>
  <c r="B1398" i="2"/>
  <c r="A1398" i="2"/>
  <c r="L1397" i="2"/>
  <c r="K1397" i="2"/>
  <c r="B1397" i="2"/>
  <c r="A1397" i="2"/>
  <c r="L1396" i="2"/>
  <c r="K1396" i="2"/>
  <c r="B1396" i="2"/>
  <c r="A1396" i="2"/>
  <c r="L1395" i="2"/>
  <c r="K1395" i="2"/>
  <c r="B1395" i="2"/>
  <c r="A1395" i="2"/>
  <c r="L1394" i="2"/>
  <c r="K1394" i="2"/>
  <c r="B1394" i="2"/>
  <c r="A1394" i="2"/>
  <c r="L1393" i="2"/>
  <c r="K1393" i="2"/>
  <c r="B1393" i="2"/>
  <c r="A1393" i="2"/>
  <c r="L1392" i="2"/>
  <c r="K1392" i="2"/>
  <c r="B1392" i="2"/>
  <c r="A1392" i="2"/>
  <c r="L1391" i="2"/>
  <c r="K1391" i="2"/>
  <c r="B1391" i="2"/>
  <c r="A1391" i="2"/>
  <c r="L1390" i="2"/>
  <c r="K1390" i="2"/>
  <c r="B1390" i="2"/>
  <c r="A1390" i="2"/>
  <c r="L1389" i="2"/>
  <c r="K1389" i="2"/>
  <c r="B1389" i="2"/>
  <c r="A1389" i="2"/>
  <c r="L1388" i="2"/>
  <c r="K1388" i="2"/>
  <c r="B1388" i="2"/>
  <c r="A1388" i="2"/>
  <c r="L1387" i="2"/>
  <c r="K1387" i="2"/>
  <c r="B1387" i="2"/>
  <c r="A1387" i="2"/>
  <c r="L1386" i="2"/>
  <c r="K1386" i="2"/>
  <c r="B1386" i="2"/>
  <c r="A1386" i="2"/>
  <c r="L1385" i="2"/>
  <c r="K1385" i="2"/>
  <c r="B1385" i="2"/>
  <c r="A1385" i="2"/>
  <c r="L1384" i="2"/>
  <c r="K1384" i="2"/>
  <c r="B1384" i="2"/>
  <c r="A1384" i="2"/>
  <c r="L1383" i="2"/>
  <c r="K1383" i="2"/>
  <c r="B1383" i="2"/>
  <c r="A1383" i="2"/>
  <c r="L1382" i="2"/>
  <c r="K1382" i="2"/>
  <c r="B1382" i="2"/>
  <c r="A1382" i="2"/>
  <c r="L1381" i="2"/>
  <c r="K1381" i="2"/>
  <c r="B1381" i="2"/>
  <c r="A1381" i="2"/>
  <c r="L1380" i="2"/>
  <c r="K1380" i="2"/>
  <c r="B1380" i="2"/>
  <c r="A1380" i="2"/>
  <c r="L1379" i="2"/>
  <c r="K1379" i="2"/>
  <c r="B1379" i="2"/>
  <c r="A1379" i="2"/>
  <c r="L1378" i="2"/>
  <c r="K1378" i="2"/>
  <c r="B1378" i="2"/>
  <c r="A1378" i="2"/>
  <c r="L1377" i="2"/>
  <c r="K1377" i="2"/>
  <c r="B1377" i="2"/>
  <c r="A1377" i="2"/>
  <c r="L1376" i="2"/>
  <c r="K1376" i="2"/>
  <c r="B1376" i="2"/>
  <c r="A1376" i="2"/>
  <c r="L1375" i="2"/>
  <c r="K1375" i="2"/>
  <c r="B1375" i="2"/>
  <c r="A1375" i="2"/>
  <c r="L1374" i="2"/>
  <c r="K1374" i="2"/>
  <c r="B1374" i="2"/>
  <c r="A1374" i="2"/>
  <c r="L1373" i="2"/>
  <c r="K1373" i="2"/>
  <c r="B1373" i="2"/>
  <c r="A1373" i="2"/>
  <c r="L1372" i="2"/>
  <c r="K1372" i="2"/>
  <c r="B1372" i="2"/>
  <c r="A1372" i="2"/>
  <c r="L1371" i="2"/>
  <c r="K1371" i="2"/>
  <c r="B1371" i="2"/>
  <c r="A1371" i="2"/>
  <c r="L1370" i="2"/>
  <c r="K1370" i="2"/>
  <c r="B1370" i="2"/>
  <c r="A1370" i="2"/>
  <c r="L1369" i="2"/>
  <c r="K1369" i="2"/>
  <c r="B1369" i="2"/>
  <c r="A1369" i="2"/>
  <c r="L1368" i="2"/>
  <c r="K1368" i="2"/>
  <c r="B1368" i="2"/>
  <c r="A1368" i="2"/>
  <c r="L1367" i="2"/>
  <c r="K1367" i="2"/>
  <c r="B1367" i="2"/>
  <c r="A1367" i="2"/>
  <c r="L1366" i="2"/>
  <c r="K1366" i="2"/>
  <c r="B1366" i="2"/>
  <c r="A1366" i="2"/>
  <c r="L1365" i="2"/>
  <c r="K1365" i="2"/>
  <c r="B1365" i="2"/>
  <c r="A1365" i="2"/>
  <c r="L1364" i="2"/>
  <c r="K1364" i="2"/>
  <c r="B1364" i="2"/>
  <c r="A1364" i="2"/>
  <c r="L1363" i="2"/>
  <c r="K1363" i="2"/>
  <c r="B1363" i="2"/>
  <c r="A1363" i="2"/>
  <c r="L1362" i="2"/>
  <c r="K1362" i="2"/>
  <c r="B1362" i="2"/>
  <c r="A1362" i="2"/>
  <c r="L1361" i="2"/>
  <c r="K1361" i="2"/>
  <c r="B1361" i="2"/>
  <c r="A1361" i="2"/>
  <c r="L1360" i="2"/>
  <c r="K1360" i="2"/>
  <c r="B1360" i="2"/>
  <c r="A1360" i="2"/>
  <c r="L1359" i="2"/>
  <c r="K1359" i="2"/>
  <c r="B1359" i="2"/>
  <c r="A1359" i="2"/>
  <c r="L1358" i="2"/>
  <c r="K1358" i="2"/>
  <c r="B1358" i="2"/>
  <c r="A1358" i="2"/>
  <c r="L1357" i="2"/>
  <c r="K1357" i="2"/>
  <c r="B1357" i="2"/>
  <c r="A1357" i="2"/>
  <c r="L1356" i="2"/>
  <c r="K1356" i="2"/>
  <c r="B1356" i="2"/>
  <c r="A1356" i="2"/>
  <c r="L1355" i="2"/>
  <c r="K1355" i="2"/>
  <c r="B1355" i="2"/>
  <c r="A1355" i="2"/>
  <c r="L1354" i="2"/>
  <c r="K1354" i="2"/>
  <c r="B1354" i="2"/>
  <c r="A1354" i="2"/>
  <c r="L1353" i="2"/>
  <c r="K1353" i="2"/>
  <c r="B1353" i="2"/>
  <c r="A1353" i="2"/>
  <c r="L1352" i="2"/>
  <c r="K1352" i="2"/>
  <c r="B1352" i="2"/>
  <c r="A1352" i="2"/>
  <c r="L1351" i="2"/>
  <c r="K1351" i="2"/>
  <c r="B1351" i="2"/>
  <c r="A1351" i="2"/>
  <c r="L1350" i="2"/>
  <c r="K1350" i="2"/>
  <c r="B1350" i="2"/>
  <c r="A1350" i="2"/>
  <c r="L1349" i="2"/>
  <c r="K1349" i="2"/>
  <c r="B1349" i="2"/>
  <c r="A1349" i="2"/>
  <c r="L1348" i="2"/>
  <c r="K1348" i="2"/>
  <c r="B1348" i="2"/>
  <c r="A1348" i="2"/>
  <c r="L1347" i="2"/>
  <c r="K1347" i="2"/>
  <c r="B1347" i="2"/>
  <c r="A1347" i="2"/>
  <c r="L1346" i="2"/>
  <c r="K1346" i="2"/>
  <c r="B1346" i="2"/>
  <c r="A1346" i="2"/>
  <c r="L1345" i="2"/>
  <c r="K1345" i="2"/>
  <c r="B1345" i="2"/>
  <c r="A1345" i="2"/>
  <c r="L1344" i="2"/>
  <c r="K1344" i="2"/>
  <c r="B1344" i="2"/>
  <c r="A1344" i="2"/>
  <c r="L1343" i="2"/>
  <c r="K1343" i="2"/>
  <c r="B1343" i="2"/>
  <c r="A1343" i="2"/>
  <c r="L1342" i="2"/>
  <c r="K1342" i="2"/>
  <c r="B1342" i="2"/>
  <c r="A1342" i="2"/>
  <c r="L1341" i="2"/>
  <c r="K1341" i="2"/>
  <c r="B1341" i="2"/>
  <c r="A1341" i="2"/>
  <c r="L1340" i="2"/>
  <c r="K1340" i="2"/>
  <c r="B1340" i="2"/>
  <c r="A1340" i="2"/>
  <c r="L1339" i="2"/>
  <c r="K1339" i="2"/>
  <c r="B1339" i="2"/>
  <c r="A1339" i="2"/>
  <c r="L1338" i="2"/>
  <c r="K1338" i="2"/>
  <c r="B1338" i="2"/>
  <c r="A1338" i="2"/>
  <c r="L1337" i="2"/>
  <c r="K1337" i="2"/>
  <c r="B1337" i="2"/>
  <c r="A1337" i="2"/>
  <c r="L1336" i="2"/>
  <c r="K1336" i="2"/>
  <c r="B1336" i="2"/>
  <c r="A1336" i="2"/>
  <c r="L1335" i="2"/>
  <c r="K1335" i="2"/>
  <c r="B1335" i="2"/>
  <c r="A1335" i="2"/>
  <c r="L1334" i="2"/>
  <c r="K1334" i="2"/>
  <c r="B1334" i="2"/>
  <c r="A1334" i="2"/>
  <c r="L1333" i="2"/>
  <c r="K1333" i="2"/>
  <c r="B1333" i="2"/>
  <c r="A1333" i="2"/>
  <c r="L1332" i="2"/>
  <c r="K1332" i="2"/>
  <c r="B1332" i="2"/>
  <c r="A1332" i="2"/>
  <c r="L1331" i="2"/>
  <c r="K1331" i="2"/>
  <c r="B1331" i="2"/>
  <c r="A1331" i="2"/>
  <c r="L1330" i="2"/>
  <c r="K1330" i="2"/>
  <c r="B1330" i="2"/>
  <c r="A1330" i="2"/>
  <c r="L1329" i="2"/>
  <c r="K1329" i="2"/>
  <c r="B1329" i="2"/>
  <c r="A1329" i="2"/>
  <c r="L1328" i="2"/>
  <c r="K1328" i="2"/>
  <c r="B1328" i="2"/>
  <c r="A1328" i="2"/>
  <c r="L1327" i="2"/>
  <c r="K1327" i="2"/>
  <c r="B1327" i="2"/>
  <c r="A1327" i="2"/>
  <c r="L1326" i="2"/>
  <c r="K1326" i="2"/>
  <c r="B1326" i="2"/>
  <c r="A1326" i="2"/>
  <c r="L1325" i="2"/>
  <c r="K1325" i="2"/>
  <c r="B1325" i="2"/>
  <c r="A1325" i="2"/>
  <c r="L1324" i="2"/>
  <c r="K1324" i="2"/>
  <c r="B1324" i="2"/>
  <c r="A1324" i="2"/>
  <c r="L1323" i="2"/>
  <c r="K1323" i="2"/>
  <c r="B1323" i="2"/>
  <c r="A1323" i="2"/>
  <c r="L1322" i="2"/>
  <c r="K1322" i="2"/>
  <c r="B1322" i="2"/>
  <c r="A1322" i="2"/>
  <c r="L1321" i="2"/>
  <c r="K1321" i="2"/>
  <c r="B1321" i="2"/>
  <c r="A1321" i="2"/>
  <c r="L1320" i="2"/>
  <c r="K1320" i="2"/>
  <c r="B1320" i="2"/>
  <c r="A1320" i="2"/>
  <c r="L1319" i="2"/>
  <c r="K1319" i="2"/>
  <c r="B1319" i="2"/>
  <c r="A1319" i="2"/>
  <c r="L1318" i="2"/>
  <c r="K1318" i="2"/>
  <c r="B1318" i="2"/>
  <c r="A1318" i="2"/>
  <c r="L1317" i="2"/>
  <c r="K1317" i="2"/>
  <c r="B1317" i="2"/>
  <c r="A1317" i="2"/>
  <c r="L1316" i="2"/>
  <c r="K1316" i="2"/>
  <c r="B1316" i="2"/>
  <c r="A1316" i="2"/>
  <c r="L1315" i="2"/>
  <c r="K1315" i="2"/>
  <c r="B1315" i="2"/>
  <c r="A1315" i="2"/>
  <c r="L1314" i="2"/>
  <c r="K1314" i="2"/>
  <c r="B1314" i="2"/>
  <c r="A1314" i="2"/>
  <c r="L1313" i="2"/>
  <c r="K1313" i="2"/>
  <c r="B1313" i="2"/>
  <c r="A1313" i="2"/>
  <c r="L1312" i="2"/>
  <c r="K1312" i="2"/>
  <c r="B1312" i="2"/>
  <c r="A1312" i="2"/>
  <c r="L1311" i="2"/>
  <c r="K1311" i="2"/>
  <c r="B1311" i="2"/>
  <c r="A1311" i="2"/>
  <c r="L1310" i="2"/>
  <c r="K1310" i="2"/>
  <c r="B1310" i="2"/>
  <c r="A1310" i="2"/>
  <c r="L1309" i="2"/>
  <c r="K1309" i="2"/>
  <c r="B1309" i="2"/>
  <c r="A1309" i="2"/>
  <c r="L1308" i="2"/>
  <c r="K1308" i="2"/>
  <c r="B1308" i="2"/>
  <c r="A1308" i="2"/>
  <c r="L1307" i="2"/>
  <c r="K1307" i="2"/>
  <c r="B1307" i="2"/>
  <c r="A1307" i="2"/>
  <c r="L1306" i="2"/>
  <c r="K1306" i="2"/>
  <c r="B1306" i="2"/>
  <c r="A1306" i="2"/>
  <c r="L1305" i="2"/>
  <c r="K1305" i="2"/>
  <c r="B1305" i="2"/>
  <c r="A1305" i="2"/>
  <c r="L1304" i="2"/>
  <c r="K1304" i="2"/>
  <c r="B1304" i="2"/>
  <c r="A1304" i="2"/>
  <c r="L1303" i="2"/>
  <c r="K1303" i="2"/>
  <c r="B1303" i="2"/>
  <c r="A1303" i="2"/>
  <c r="L1302" i="2"/>
  <c r="K1302" i="2"/>
  <c r="B1302" i="2"/>
  <c r="A1302" i="2"/>
  <c r="L1301" i="2"/>
  <c r="K1301" i="2"/>
  <c r="B1301" i="2"/>
  <c r="A1301" i="2"/>
  <c r="L1300" i="2"/>
  <c r="K1300" i="2"/>
  <c r="B1300" i="2"/>
  <c r="A1300" i="2"/>
  <c r="L1299" i="2"/>
  <c r="K1299" i="2"/>
  <c r="B1299" i="2"/>
  <c r="A1299" i="2"/>
  <c r="L1298" i="2"/>
  <c r="K1298" i="2"/>
  <c r="B1298" i="2"/>
  <c r="A1298" i="2"/>
  <c r="L1297" i="2"/>
  <c r="K1297" i="2"/>
  <c r="B1297" i="2"/>
  <c r="A1297" i="2"/>
  <c r="L1296" i="2"/>
  <c r="K1296" i="2"/>
  <c r="B1296" i="2"/>
  <c r="A1296" i="2"/>
  <c r="L1295" i="2"/>
  <c r="K1295" i="2"/>
  <c r="B1295" i="2"/>
  <c r="A1295" i="2"/>
  <c r="L1294" i="2"/>
  <c r="K1294" i="2"/>
  <c r="B1294" i="2"/>
  <c r="A1294" i="2"/>
  <c r="L1293" i="2"/>
  <c r="K1293" i="2"/>
  <c r="B1293" i="2"/>
  <c r="A1293" i="2"/>
  <c r="L1292" i="2"/>
  <c r="K1292" i="2"/>
  <c r="B1292" i="2"/>
  <c r="A1292" i="2"/>
  <c r="L1291" i="2"/>
  <c r="K1291" i="2"/>
  <c r="B1291" i="2"/>
  <c r="A1291" i="2"/>
  <c r="L1290" i="2"/>
  <c r="K1290" i="2"/>
  <c r="B1290" i="2"/>
  <c r="A1290" i="2"/>
  <c r="L1289" i="2"/>
  <c r="K1289" i="2"/>
  <c r="B1289" i="2"/>
  <c r="A1289" i="2"/>
  <c r="L1288" i="2"/>
  <c r="K1288" i="2"/>
  <c r="B1288" i="2"/>
  <c r="A1288" i="2"/>
  <c r="L1287" i="2"/>
  <c r="K1287" i="2"/>
  <c r="B1287" i="2"/>
  <c r="A1287" i="2"/>
  <c r="L1286" i="2"/>
  <c r="K1286" i="2"/>
  <c r="B1286" i="2"/>
  <c r="A1286" i="2"/>
  <c r="L1285" i="2"/>
  <c r="K1285" i="2"/>
  <c r="B1285" i="2"/>
  <c r="A1285" i="2"/>
  <c r="L1284" i="2"/>
  <c r="K1284" i="2"/>
  <c r="B1284" i="2"/>
  <c r="A1284" i="2"/>
  <c r="L1283" i="2"/>
  <c r="K1283" i="2"/>
  <c r="B1283" i="2"/>
  <c r="A1283" i="2"/>
  <c r="L1282" i="2"/>
  <c r="K1282" i="2"/>
  <c r="B1282" i="2"/>
  <c r="A1282" i="2"/>
  <c r="L1281" i="2"/>
  <c r="K1281" i="2"/>
  <c r="B1281" i="2"/>
  <c r="A1281" i="2"/>
  <c r="L1280" i="2"/>
  <c r="K1280" i="2"/>
  <c r="B1280" i="2"/>
  <c r="A1280" i="2"/>
  <c r="L1279" i="2"/>
  <c r="K1279" i="2"/>
  <c r="B1279" i="2"/>
  <c r="A1279" i="2"/>
  <c r="L1278" i="2"/>
  <c r="K1278" i="2"/>
  <c r="B1278" i="2"/>
  <c r="A1278" i="2"/>
  <c r="L1277" i="2"/>
  <c r="K1277" i="2"/>
  <c r="B1277" i="2"/>
  <c r="A1277" i="2"/>
  <c r="L1276" i="2"/>
  <c r="K1276" i="2"/>
  <c r="B1276" i="2"/>
  <c r="A1276" i="2"/>
  <c r="L1275" i="2"/>
  <c r="K1275" i="2"/>
  <c r="B1275" i="2"/>
  <c r="A1275" i="2"/>
  <c r="L1274" i="2"/>
  <c r="K1274" i="2"/>
  <c r="B1274" i="2"/>
  <c r="A1274" i="2"/>
  <c r="L1273" i="2"/>
  <c r="K1273" i="2"/>
  <c r="B1273" i="2"/>
  <c r="A1273" i="2"/>
  <c r="L1272" i="2"/>
  <c r="K1272" i="2"/>
  <c r="B1272" i="2"/>
  <c r="A1272" i="2"/>
  <c r="L1271" i="2"/>
  <c r="K1271" i="2"/>
  <c r="B1271" i="2"/>
  <c r="A1271" i="2"/>
  <c r="L1270" i="2"/>
  <c r="K1270" i="2"/>
  <c r="B1270" i="2"/>
  <c r="A1270" i="2"/>
  <c r="L1269" i="2"/>
  <c r="K1269" i="2"/>
  <c r="B1269" i="2"/>
  <c r="A1269" i="2"/>
  <c r="L1268" i="2"/>
  <c r="K1268" i="2"/>
  <c r="B1268" i="2"/>
  <c r="A1268" i="2"/>
  <c r="L1267" i="2"/>
  <c r="K1267" i="2"/>
  <c r="B1267" i="2"/>
  <c r="A1267" i="2"/>
  <c r="L1266" i="2"/>
  <c r="K1266" i="2"/>
  <c r="B1266" i="2"/>
  <c r="A1266" i="2"/>
  <c r="L1265" i="2"/>
  <c r="K1265" i="2"/>
  <c r="B1265" i="2"/>
  <c r="A1265" i="2"/>
  <c r="L1264" i="2"/>
  <c r="K1264" i="2"/>
  <c r="B1264" i="2"/>
  <c r="A1264" i="2"/>
  <c r="L1263" i="2"/>
  <c r="K1263" i="2"/>
  <c r="B1263" i="2"/>
  <c r="A1263" i="2"/>
  <c r="L1262" i="2"/>
  <c r="K1262" i="2"/>
  <c r="B1262" i="2"/>
  <c r="A1262" i="2"/>
  <c r="L1261" i="2"/>
  <c r="K1261" i="2"/>
  <c r="B1261" i="2"/>
  <c r="A1261" i="2"/>
  <c r="L1260" i="2"/>
  <c r="K1260" i="2"/>
  <c r="B1260" i="2"/>
  <c r="A1260" i="2"/>
  <c r="L1259" i="2"/>
  <c r="K1259" i="2"/>
  <c r="B1259" i="2"/>
  <c r="A1259" i="2"/>
  <c r="L1258" i="2"/>
  <c r="K1258" i="2"/>
  <c r="B1258" i="2"/>
  <c r="A1258" i="2"/>
  <c r="L1257" i="2"/>
  <c r="K1257" i="2"/>
  <c r="B1257" i="2"/>
  <c r="A1257" i="2"/>
  <c r="L1256" i="2"/>
  <c r="K1256" i="2"/>
  <c r="B1256" i="2"/>
  <c r="A1256" i="2"/>
  <c r="L1255" i="2"/>
  <c r="K1255" i="2"/>
  <c r="B1255" i="2"/>
  <c r="A1255" i="2"/>
  <c r="L1254" i="2"/>
  <c r="K1254" i="2"/>
  <c r="B1254" i="2"/>
  <c r="A1254" i="2"/>
  <c r="L1253" i="2"/>
  <c r="K1253" i="2"/>
  <c r="B1253" i="2"/>
  <c r="A1253" i="2"/>
  <c r="L1252" i="2"/>
  <c r="K1252" i="2"/>
  <c r="B1252" i="2"/>
  <c r="A1252" i="2"/>
  <c r="L1251" i="2"/>
  <c r="K1251" i="2"/>
  <c r="B1251" i="2"/>
  <c r="A1251" i="2"/>
  <c r="L1250" i="2"/>
  <c r="K1250" i="2"/>
  <c r="B1250" i="2"/>
  <c r="A1250" i="2"/>
  <c r="L1249" i="2"/>
  <c r="K1249" i="2"/>
  <c r="B1249" i="2"/>
  <c r="A1249" i="2"/>
  <c r="L1248" i="2"/>
  <c r="K1248" i="2"/>
  <c r="B1248" i="2"/>
  <c r="A1248" i="2"/>
  <c r="L1247" i="2"/>
  <c r="K1247" i="2"/>
  <c r="B1247" i="2"/>
  <c r="A1247" i="2"/>
  <c r="L1246" i="2"/>
  <c r="K1246" i="2"/>
  <c r="B1246" i="2"/>
  <c r="A1246" i="2"/>
  <c r="L1245" i="2"/>
  <c r="K1245" i="2"/>
  <c r="B1245" i="2"/>
  <c r="A1245" i="2"/>
  <c r="L1244" i="2"/>
  <c r="K1244" i="2"/>
  <c r="B1244" i="2"/>
  <c r="A1244" i="2"/>
  <c r="L1243" i="2"/>
  <c r="K1243" i="2"/>
  <c r="B1243" i="2"/>
  <c r="A1243" i="2"/>
  <c r="L1242" i="2"/>
  <c r="K1242" i="2"/>
  <c r="B1242" i="2"/>
  <c r="A1242" i="2"/>
  <c r="L1241" i="2"/>
  <c r="K1241" i="2"/>
  <c r="B1241" i="2"/>
  <c r="A1241" i="2"/>
  <c r="L1240" i="2"/>
  <c r="K1240" i="2"/>
  <c r="B1240" i="2"/>
  <c r="A1240" i="2"/>
  <c r="L1239" i="2"/>
  <c r="K1239" i="2"/>
  <c r="B1239" i="2"/>
  <c r="A1239" i="2"/>
  <c r="L1238" i="2"/>
  <c r="K1238" i="2"/>
  <c r="B1238" i="2"/>
  <c r="A1238" i="2"/>
  <c r="L1237" i="2"/>
  <c r="K1237" i="2"/>
  <c r="B1237" i="2"/>
  <c r="A1237" i="2"/>
  <c r="L1236" i="2"/>
  <c r="K1236" i="2"/>
  <c r="B1236" i="2"/>
  <c r="A1236" i="2"/>
  <c r="L1235" i="2"/>
  <c r="K1235" i="2"/>
  <c r="B1235" i="2"/>
  <c r="A1235" i="2"/>
  <c r="L1234" i="2"/>
  <c r="K1234" i="2"/>
  <c r="B1234" i="2"/>
  <c r="A1234" i="2"/>
  <c r="L1233" i="2"/>
  <c r="K1233" i="2"/>
  <c r="B1233" i="2"/>
  <c r="A1233" i="2"/>
  <c r="L1232" i="2"/>
  <c r="K1232" i="2"/>
  <c r="B1232" i="2"/>
  <c r="A1232" i="2"/>
  <c r="L1231" i="2"/>
  <c r="K1231" i="2"/>
  <c r="B1231" i="2"/>
  <c r="A1231" i="2"/>
  <c r="L1230" i="2"/>
  <c r="K1230" i="2"/>
  <c r="B1230" i="2"/>
  <c r="A1230" i="2"/>
  <c r="L1229" i="2"/>
  <c r="K1229" i="2"/>
  <c r="B1229" i="2"/>
  <c r="A1229" i="2"/>
  <c r="L1228" i="2"/>
  <c r="K1228" i="2"/>
  <c r="B1228" i="2"/>
  <c r="A1228" i="2"/>
  <c r="L1227" i="2"/>
  <c r="K1227" i="2"/>
  <c r="B1227" i="2"/>
  <c r="A1227" i="2"/>
  <c r="L1226" i="2"/>
  <c r="K1226" i="2"/>
  <c r="B1226" i="2"/>
  <c r="A1226" i="2"/>
  <c r="L1225" i="2"/>
  <c r="K1225" i="2"/>
  <c r="B1225" i="2"/>
  <c r="A1225" i="2"/>
  <c r="L1224" i="2"/>
  <c r="K1224" i="2"/>
  <c r="B1224" i="2"/>
  <c r="A1224" i="2"/>
  <c r="L1223" i="2"/>
  <c r="K1223" i="2"/>
  <c r="B1223" i="2"/>
  <c r="A1223" i="2"/>
  <c r="L1222" i="2"/>
  <c r="K1222" i="2"/>
  <c r="B1222" i="2"/>
  <c r="A1222" i="2"/>
  <c r="L1221" i="2"/>
  <c r="K1221" i="2"/>
  <c r="B1221" i="2"/>
  <c r="A1221" i="2"/>
  <c r="L1220" i="2"/>
  <c r="K1220" i="2"/>
  <c r="B1220" i="2"/>
  <c r="A1220" i="2"/>
  <c r="L1219" i="2"/>
  <c r="K1219" i="2"/>
  <c r="B1219" i="2"/>
  <c r="A1219" i="2"/>
  <c r="L1218" i="2"/>
  <c r="K1218" i="2"/>
  <c r="B1218" i="2"/>
  <c r="A1218" i="2"/>
  <c r="L1217" i="2"/>
  <c r="K1217" i="2"/>
  <c r="B1217" i="2"/>
  <c r="A1217" i="2"/>
  <c r="L1216" i="2"/>
  <c r="K1216" i="2"/>
  <c r="B1216" i="2"/>
  <c r="A1216" i="2"/>
  <c r="L1215" i="2"/>
  <c r="K1215" i="2"/>
  <c r="B1215" i="2"/>
  <c r="A1215" i="2"/>
  <c r="L1214" i="2"/>
  <c r="K1214" i="2"/>
  <c r="B1214" i="2"/>
  <c r="A1214" i="2"/>
  <c r="L1213" i="2"/>
  <c r="K1213" i="2"/>
  <c r="B1213" i="2"/>
  <c r="A1213" i="2"/>
  <c r="L1212" i="2"/>
  <c r="K1212" i="2"/>
  <c r="B1212" i="2"/>
  <c r="A1212" i="2"/>
  <c r="L1211" i="2"/>
  <c r="K1211" i="2"/>
  <c r="B1211" i="2"/>
  <c r="A1211" i="2"/>
  <c r="L1210" i="2"/>
  <c r="K1210" i="2"/>
  <c r="B1210" i="2"/>
  <c r="A1210" i="2"/>
  <c r="L1209" i="2"/>
  <c r="K1209" i="2"/>
  <c r="B1209" i="2"/>
  <c r="A1209" i="2"/>
  <c r="L1208" i="2"/>
  <c r="K1208" i="2"/>
  <c r="B1208" i="2"/>
  <c r="A1208" i="2"/>
  <c r="L1207" i="2"/>
  <c r="K1207" i="2"/>
  <c r="B1207" i="2"/>
  <c r="A1207" i="2"/>
  <c r="L1206" i="2"/>
  <c r="K1206" i="2"/>
  <c r="B1206" i="2"/>
  <c r="A1206" i="2"/>
  <c r="L1205" i="2"/>
  <c r="K1205" i="2"/>
  <c r="B1205" i="2"/>
  <c r="A1205" i="2"/>
  <c r="L1204" i="2"/>
  <c r="K1204" i="2"/>
  <c r="B1204" i="2"/>
  <c r="A1204" i="2"/>
  <c r="L1203" i="2"/>
  <c r="K1203" i="2"/>
  <c r="B1203" i="2"/>
  <c r="A1203" i="2"/>
  <c r="L1202" i="2"/>
  <c r="K1202" i="2"/>
  <c r="B1202" i="2"/>
  <c r="A1202" i="2"/>
  <c r="L1201" i="2"/>
  <c r="K1201" i="2"/>
  <c r="B1201" i="2"/>
  <c r="A1201" i="2"/>
  <c r="L1200" i="2"/>
  <c r="K1200" i="2"/>
  <c r="B1200" i="2"/>
  <c r="A1200" i="2"/>
  <c r="L1199" i="2"/>
  <c r="K1199" i="2"/>
  <c r="B1199" i="2"/>
  <c r="A1199" i="2"/>
  <c r="L1198" i="2"/>
  <c r="K1198" i="2"/>
  <c r="B1198" i="2"/>
  <c r="A1198" i="2"/>
  <c r="L1197" i="2"/>
  <c r="K1197" i="2"/>
  <c r="B1197" i="2"/>
  <c r="A1197" i="2"/>
  <c r="L1196" i="2"/>
  <c r="K1196" i="2"/>
  <c r="B1196" i="2"/>
  <c r="A1196" i="2"/>
  <c r="L1195" i="2"/>
  <c r="K1195" i="2"/>
  <c r="B1195" i="2"/>
  <c r="A1195" i="2"/>
  <c r="L1194" i="2"/>
  <c r="K1194" i="2"/>
  <c r="B1194" i="2"/>
  <c r="A1194" i="2"/>
  <c r="L1193" i="2"/>
  <c r="K1193" i="2"/>
  <c r="B1193" i="2"/>
  <c r="A1193" i="2"/>
  <c r="L1192" i="2"/>
  <c r="K1192" i="2"/>
  <c r="B1192" i="2"/>
  <c r="A1192" i="2"/>
  <c r="L1191" i="2"/>
  <c r="K1191" i="2"/>
  <c r="B1191" i="2"/>
  <c r="A1191" i="2"/>
  <c r="L1190" i="2"/>
  <c r="K1190" i="2"/>
  <c r="B1190" i="2"/>
  <c r="A1190" i="2"/>
  <c r="L1189" i="2"/>
  <c r="K1189" i="2"/>
  <c r="B1189" i="2"/>
  <c r="A1189" i="2"/>
  <c r="L1188" i="2"/>
  <c r="K1188" i="2"/>
  <c r="B1188" i="2"/>
  <c r="A1188" i="2"/>
  <c r="L1187" i="2"/>
  <c r="K1187" i="2"/>
  <c r="B1187" i="2"/>
  <c r="A1187" i="2"/>
  <c r="L1186" i="2"/>
  <c r="K1186" i="2"/>
  <c r="B1186" i="2"/>
  <c r="A1186" i="2"/>
  <c r="L1185" i="2"/>
  <c r="K1185" i="2"/>
  <c r="B1185" i="2"/>
  <c r="A1185" i="2"/>
  <c r="L1184" i="2"/>
  <c r="K1184" i="2"/>
  <c r="B1184" i="2"/>
  <c r="A1184" i="2"/>
  <c r="L1183" i="2"/>
  <c r="K1183" i="2"/>
  <c r="B1183" i="2"/>
  <c r="A1183" i="2"/>
  <c r="L1182" i="2"/>
  <c r="K1182" i="2"/>
  <c r="B1182" i="2"/>
  <c r="A1182" i="2"/>
  <c r="L1181" i="2"/>
  <c r="K1181" i="2"/>
  <c r="B1181" i="2"/>
  <c r="A1181" i="2"/>
  <c r="L1180" i="2"/>
  <c r="K1180" i="2"/>
  <c r="B1180" i="2"/>
  <c r="A1180" i="2"/>
  <c r="L1179" i="2"/>
  <c r="K1179" i="2"/>
  <c r="B1179" i="2"/>
  <c r="A1179" i="2"/>
  <c r="L1178" i="2"/>
  <c r="K1178" i="2"/>
  <c r="B1178" i="2"/>
  <c r="A1178" i="2"/>
  <c r="L1177" i="2"/>
  <c r="K1177" i="2"/>
  <c r="B1177" i="2"/>
  <c r="A1177" i="2"/>
  <c r="L1176" i="2"/>
  <c r="K1176" i="2"/>
  <c r="B1176" i="2"/>
  <c r="A1176" i="2"/>
  <c r="L1175" i="2"/>
  <c r="K1175" i="2"/>
  <c r="B1175" i="2"/>
  <c r="A1175" i="2"/>
  <c r="L1174" i="2"/>
  <c r="K1174" i="2"/>
  <c r="B1174" i="2"/>
  <c r="A1174" i="2"/>
  <c r="L1173" i="2"/>
  <c r="K1173" i="2"/>
  <c r="B1173" i="2"/>
  <c r="A1173" i="2"/>
  <c r="L1172" i="2"/>
  <c r="K1172" i="2"/>
  <c r="B1172" i="2"/>
  <c r="A1172" i="2"/>
  <c r="L1171" i="2"/>
  <c r="K1171" i="2"/>
  <c r="B1171" i="2"/>
  <c r="A1171" i="2"/>
  <c r="L1170" i="2"/>
  <c r="K1170" i="2"/>
  <c r="B1170" i="2"/>
  <c r="A1170" i="2"/>
  <c r="L1169" i="2"/>
  <c r="K1169" i="2"/>
  <c r="B1169" i="2"/>
  <c r="A1169" i="2"/>
  <c r="L1168" i="2"/>
  <c r="K1168" i="2"/>
  <c r="B1168" i="2"/>
  <c r="A1168" i="2"/>
  <c r="L1167" i="2"/>
  <c r="K1167" i="2"/>
  <c r="B1167" i="2"/>
  <c r="A1167" i="2"/>
  <c r="L1166" i="2"/>
  <c r="K1166" i="2"/>
  <c r="B1166" i="2"/>
  <c r="A1166" i="2"/>
  <c r="L1165" i="2"/>
  <c r="K1165" i="2"/>
  <c r="B1165" i="2"/>
  <c r="A1165" i="2"/>
  <c r="L1164" i="2"/>
  <c r="K1164" i="2"/>
  <c r="B1164" i="2"/>
  <c r="A1164" i="2"/>
  <c r="L1163" i="2"/>
  <c r="K1163" i="2"/>
  <c r="B1163" i="2"/>
  <c r="A1163" i="2"/>
  <c r="L1162" i="2"/>
  <c r="K1162" i="2"/>
  <c r="B1162" i="2"/>
  <c r="A1162" i="2"/>
  <c r="L1161" i="2"/>
  <c r="K1161" i="2"/>
  <c r="B1161" i="2"/>
  <c r="A1161" i="2"/>
  <c r="L1160" i="2"/>
  <c r="K1160" i="2"/>
  <c r="B1160" i="2"/>
  <c r="A1160" i="2"/>
  <c r="L1159" i="2"/>
  <c r="K1159" i="2"/>
  <c r="B1159" i="2"/>
  <c r="A1159" i="2"/>
  <c r="L1158" i="2"/>
  <c r="K1158" i="2"/>
  <c r="B1158" i="2"/>
  <c r="A1158" i="2"/>
  <c r="L1157" i="2"/>
  <c r="K1157" i="2"/>
  <c r="B1157" i="2"/>
  <c r="A1157" i="2"/>
  <c r="L1156" i="2"/>
  <c r="K1156" i="2"/>
  <c r="B1156" i="2"/>
  <c r="A1156" i="2"/>
  <c r="L1155" i="2"/>
  <c r="K1155" i="2"/>
  <c r="B1155" i="2"/>
  <c r="A1155" i="2"/>
  <c r="L1154" i="2"/>
  <c r="K1154" i="2"/>
  <c r="B1154" i="2"/>
  <c r="A1154" i="2"/>
  <c r="L1153" i="2"/>
  <c r="K1153" i="2"/>
  <c r="B1153" i="2"/>
  <c r="A1153" i="2"/>
  <c r="L1152" i="2"/>
  <c r="K1152" i="2"/>
  <c r="B1152" i="2"/>
  <c r="A1152" i="2"/>
  <c r="L1151" i="2"/>
  <c r="K1151" i="2"/>
  <c r="B1151" i="2"/>
  <c r="A1151" i="2"/>
  <c r="L1150" i="2"/>
  <c r="K1150" i="2"/>
  <c r="B1150" i="2"/>
  <c r="A1150" i="2"/>
  <c r="L1149" i="2"/>
  <c r="K1149" i="2"/>
  <c r="B1149" i="2"/>
  <c r="A1149" i="2"/>
  <c r="L1148" i="2"/>
  <c r="K1148" i="2"/>
  <c r="B1148" i="2"/>
  <c r="A1148" i="2"/>
  <c r="L1147" i="2"/>
  <c r="K1147" i="2"/>
  <c r="B1147" i="2"/>
  <c r="A1147" i="2"/>
  <c r="L1146" i="2"/>
  <c r="K1146" i="2"/>
  <c r="B1146" i="2"/>
  <c r="A1146" i="2"/>
  <c r="L1145" i="2"/>
  <c r="K1145" i="2"/>
  <c r="B1145" i="2"/>
  <c r="A1145" i="2"/>
  <c r="L1144" i="2"/>
  <c r="K1144" i="2"/>
  <c r="B1144" i="2"/>
  <c r="A1144" i="2"/>
  <c r="L1143" i="2"/>
  <c r="K1143" i="2"/>
  <c r="B1143" i="2"/>
  <c r="A1143" i="2"/>
  <c r="L1142" i="2"/>
  <c r="K1142" i="2"/>
  <c r="B1142" i="2"/>
  <c r="A1142" i="2"/>
  <c r="L1141" i="2"/>
  <c r="K1141" i="2"/>
  <c r="B1141" i="2"/>
  <c r="A1141" i="2"/>
  <c r="L1140" i="2"/>
  <c r="K1140" i="2"/>
  <c r="B1140" i="2"/>
  <c r="A1140" i="2"/>
  <c r="L1139" i="2"/>
  <c r="K1139" i="2"/>
  <c r="B1139" i="2"/>
  <c r="A1139" i="2"/>
  <c r="L1138" i="2"/>
  <c r="K1138" i="2"/>
  <c r="B1138" i="2"/>
  <c r="A1138" i="2"/>
  <c r="L1137" i="2"/>
  <c r="K1137" i="2"/>
  <c r="B1137" i="2"/>
  <c r="A1137" i="2"/>
  <c r="L1136" i="2"/>
  <c r="K1136" i="2"/>
  <c r="B1136" i="2"/>
  <c r="A1136" i="2"/>
  <c r="L1135" i="2"/>
  <c r="K1135" i="2"/>
  <c r="B1135" i="2"/>
  <c r="A1135" i="2"/>
  <c r="L1134" i="2"/>
  <c r="K1134" i="2"/>
  <c r="B1134" i="2"/>
  <c r="A1134" i="2"/>
  <c r="L1133" i="2"/>
  <c r="K1133" i="2"/>
  <c r="B1133" i="2"/>
  <c r="A1133" i="2"/>
  <c r="L1132" i="2"/>
  <c r="K1132" i="2"/>
  <c r="B1132" i="2"/>
  <c r="A1132" i="2"/>
  <c r="L1131" i="2"/>
  <c r="K1131" i="2"/>
  <c r="B1131" i="2"/>
  <c r="A1131" i="2"/>
  <c r="L1130" i="2"/>
  <c r="K1130" i="2"/>
  <c r="B1130" i="2"/>
  <c r="A1130" i="2"/>
  <c r="L1129" i="2"/>
  <c r="K1129" i="2"/>
  <c r="B1129" i="2"/>
  <c r="A1129" i="2"/>
  <c r="L1128" i="2"/>
  <c r="K1128" i="2"/>
  <c r="B1128" i="2"/>
  <c r="A1128" i="2"/>
  <c r="L1127" i="2"/>
  <c r="K1127" i="2"/>
  <c r="B1127" i="2"/>
  <c r="A1127" i="2"/>
  <c r="L1126" i="2"/>
  <c r="K1126" i="2"/>
  <c r="B1126" i="2"/>
  <c r="A1126" i="2"/>
  <c r="L1125" i="2"/>
  <c r="K1125" i="2"/>
  <c r="B1125" i="2"/>
  <c r="A1125" i="2"/>
  <c r="L1124" i="2"/>
  <c r="K1124" i="2"/>
  <c r="B1124" i="2"/>
  <c r="A1124" i="2"/>
  <c r="L1123" i="2"/>
  <c r="K1123" i="2"/>
  <c r="B1123" i="2"/>
  <c r="A1123" i="2"/>
  <c r="L1122" i="2"/>
  <c r="K1122" i="2"/>
  <c r="B1122" i="2"/>
  <c r="A1122" i="2"/>
  <c r="L1121" i="2"/>
  <c r="K1121" i="2"/>
  <c r="B1121" i="2"/>
  <c r="A1121" i="2"/>
  <c r="L1120" i="2"/>
  <c r="K1120" i="2"/>
  <c r="B1120" i="2"/>
  <c r="A1120" i="2"/>
  <c r="L1119" i="2"/>
  <c r="K1119" i="2"/>
  <c r="B1119" i="2"/>
  <c r="A1119" i="2"/>
  <c r="L1118" i="2"/>
  <c r="K1118" i="2"/>
  <c r="B1118" i="2"/>
  <c r="A1118" i="2"/>
  <c r="L1117" i="2"/>
  <c r="K1117" i="2"/>
  <c r="B1117" i="2"/>
  <c r="A1117" i="2"/>
  <c r="L1116" i="2"/>
  <c r="K1116" i="2"/>
  <c r="B1116" i="2"/>
  <c r="A1116" i="2"/>
  <c r="L1115" i="2"/>
  <c r="K1115" i="2"/>
  <c r="B1115" i="2"/>
  <c r="A1115" i="2"/>
  <c r="L1114" i="2"/>
  <c r="K1114" i="2"/>
  <c r="B1114" i="2"/>
  <c r="A1114" i="2"/>
  <c r="L1113" i="2"/>
  <c r="K1113" i="2"/>
  <c r="B1113" i="2"/>
  <c r="A1113" i="2"/>
  <c r="L1112" i="2"/>
  <c r="K1112" i="2"/>
  <c r="B1112" i="2"/>
  <c r="A1112" i="2"/>
  <c r="L1111" i="2"/>
  <c r="K1111" i="2"/>
  <c r="B1111" i="2"/>
  <c r="A1111" i="2"/>
  <c r="L1110" i="2"/>
  <c r="K1110" i="2"/>
  <c r="B1110" i="2"/>
  <c r="A1110" i="2"/>
  <c r="L1109" i="2"/>
  <c r="K1109" i="2"/>
  <c r="B1109" i="2"/>
  <c r="A1109" i="2"/>
  <c r="L1108" i="2"/>
  <c r="K1108" i="2"/>
  <c r="B1108" i="2"/>
  <c r="A1108" i="2"/>
  <c r="L1107" i="2"/>
  <c r="K1107" i="2"/>
  <c r="B1107" i="2"/>
  <c r="A1107" i="2"/>
  <c r="L1106" i="2"/>
  <c r="K1106" i="2"/>
  <c r="B1106" i="2"/>
  <c r="A1106" i="2"/>
  <c r="L1105" i="2"/>
  <c r="K1105" i="2"/>
  <c r="B1105" i="2"/>
  <c r="A1105" i="2"/>
  <c r="L1104" i="2"/>
  <c r="K1104" i="2"/>
  <c r="B1104" i="2"/>
  <c r="A1104" i="2"/>
  <c r="L1103" i="2"/>
  <c r="K1103" i="2"/>
  <c r="B1103" i="2"/>
  <c r="A1103" i="2"/>
  <c r="L1102" i="2"/>
  <c r="K1102" i="2"/>
  <c r="B1102" i="2"/>
  <c r="A1102" i="2"/>
  <c r="L1101" i="2"/>
  <c r="K1101" i="2"/>
  <c r="B1101" i="2"/>
  <c r="A1101" i="2"/>
  <c r="L1100" i="2"/>
  <c r="K1100" i="2"/>
  <c r="B1100" i="2"/>
  <c r="A1100" i="2"/>
  <c r="L1099" i="2"/>
  <c r="K1099" i="2"/>
  <c r="B1099" i="2"/>
  <c r="A1099" i="2"/>
  <c r="L1098" i="2"/>
  <c r="K1098" i="2"/>
  <c r="B1098" i="2"/>
  <c r="A1098" i="2"/>
  <c r="L1097" i="2"/>
  <c r="K1097" i="2"/>
  <c r="B1097" i="2"/>
  <c r="A1097" i="2"/>
  <c r="L1096" i="2"/>
  <c r="K1096" i="2"/>
  <c r="B1096" i="2"/>
  <c r="A1096" i="2"/>
  <c r="L1095" i="2"/>
  <c r="K1095" i="2"/>
  <c r="B1095" i="2"/>
  <c r="A1095" i="2"/>
  <c r="L1094" i="2"/>
  <c r="K1094" i="2"/>
  <c r="B1094" i="2"/>
  <c r="A1094" i="2"/>
  <c r="L1093" i="2"/>
  <c r="K1093" i="2"/>
  <c r="B1093" i="2"/>
  <c r="A1093" i="2"/>
  <c r="L1092" i="2"/>
  <c r="K1092" i="2"/>
  <c r="B1092" i="2"/>
  <c r="A1092" i="2"/>
  <c r="L1091" i="2"/>
  <c r="K1091" i="2"/>
  <c r="B1091" i="2"/>
  <c r="A1091" i="2"/>
  <c r="L1090" i="2"/>
  <c r="K1090" i="2"/>
  <c r="B1090" i="2"/>
  <c r="A1090" i="2"/>
  <c r="L1089" i="2"/>
  <c r="K1089" i="2"/>
  <c r="B1089" i="2"/>
  <c r="A1089" i="2"/>
  <c r="L1088" i="2"/>
  <c r="K1088" i="2"/>
  <c r="B1088" i="2"/>
  <c r="A1088" i="2"/>
  <c r="L1087" i="2"/>
  <c r="K1087" i="2"/>
  <c r="B1087" i="2"/>
  <c r="A1087" i="2"/>
  <c r="L1086" i="2"/>
  <c r="K1086" i="2"/>
  <c r="B1086" i="2"/>
  <c r="A1086" i="2"/>
  <c r="L1085" i="2"/>
  <c r="K1085" i="2"/>
  <c r="B1085" i="2"/>
  <c r="A1085" i="2"/>
  <c r="L1084" i="2"/>
  <c r="K1084" i="2"/>
  <c r="B1084" i="2"/>
  <c r="A1084" i="2"/>
  <c r="L1083" i="2"/>
  <c r="K1083" i="2"/>
  <c r="B1083" i="2"/>
  <c r="A1083" i="2"/>
  <c r="L1082" i="2"/>
  <c r="K1082" i="2"/>
  <c r="B1082" i="2"/>
  <c r="A1082" i="2"/>
  <c r="L1081" i="2"/>
  <c r="K1081" i="2"/>
  <c r="B1081" i="2"/>
  <c r="A1081" i="2"/>
  <c r="L1080" i="2"/>
  <c r="K1080" i="2"/>
  <c r="B1080" i="2"/>
  <c r="A1080" i="2"/>
  <c r="L1079" i="2"/>
  <c r="K1079" i="2"/>
  <c r="B1079" i="2"/>
  <c r="A1079" i="2"/>
  <c r="L1078" i="2"/>
  <c r="K1078" i="2"/>
  <c r="B1078" i="2"/>
  <c r="A1078" i="2"/>
  <c r="L1077" i="2"/>
  <c r="K1077" i="2"/>
  <c r="B1077" i="2"/>
  <c r="A1077" i="2"/>
  <c r="L1076" i="2"/>
  <c r="K1076" i="2"/>
  <c r="B1076" i="2"/>
  <c r="A1076" i="2"/>
  <c r="L1075" i="2"/>
  <c r="K1075" i="2"/>
  <c r="B1075" i="2"/>
  <c r="A1075" i="2"/>
  <c r="L1074" i="2"/>
  <c r="K1074" i="2"/>
  <c r="B1074" i="2"/>
  <c r="A1074" i="2"/>
  <c r="L1073" i="2"/>
  <c r="K1073" i="2"/>
  <c r="B1073" i="2"/>
  <c r="A1073" i="2"/>
  <c r="L1072" i="2"/>
  <c r="K1072" i="2"/>
  <c r="B1072" i="2"/>
  <c r="A1072" i="2"/>
  <c r="L1071" i="2"/>
  <c r="K1071" i="2"/>
  <c r="B1071" i="2"/>
  <c r="A1071" i="2"/>
  <c r="L1070" i="2"/>
  <c r="K1070" i="2"/>
  <c r="B1070" i="2"/>
  <c r="A1070" i="2"/>
  <c r="L1069" i="2"/>
  <c r="K1069" i="2"/>
  <c r="B1069" i="2"/>
  <c r="A1069" i="2"/>
  <c r="L1068" i="2"/>
  <c r="K1068" i="2"/>
  <c r="B1068" i="2"/>
  <c r="A1068" i="2"/>
  <c r="L1067" i="2"/>
  <c r="K1067" i="2"/>
  <c r="B1067" i="2"/>
  <c r="A1067" i="2"/>
  <c r="L1066" i="2"/>
  <c r="K1066" i="2"/>
  <c r="B1066" i="2"/>
  <c r="A1066" i="2"/>
  <c r="L1065" i="2"/>
  <c r="K1065" i="2"/>
  <c r="B1065" i="2"/>
  <c r="A1065" i="2"/>
  <c r="L1064" i="2"/>
  <c r="K1064" i="2"/>
  <c r="B1064" i="2"/>
  <c r="A1064" i="2"/>
  <c r="L1063" i="2"/>
  <c r="K1063" i="2"/>
  <c r="B1063" i="2"/>
  <c r="A1063" i="2"/>
  <c r="L1062" i="2"/>
  <c r="K1062" i="2"/>
  <c r="B1062" i="2"/>
  <c r="A1062" i="2"/>
  <c r="L1061" i="2"/>
  <c r="K1061" i="2"/>
  <c r="B1061" i="2"/>
  <c r="A1061" i="2"/>
  <c r="L1060" i="2"/>
  <c r="K1060" i="2"/>
  <c r="B1060" i="2"/>
  <c r="A1060" i="2"/>
  <c r="L1059" i="2"/>
  <c r="K1059" i="2"/>
  <c r="B1059" i="2"/>
  <c r="A1059" i="2"/>
  <c r="L1058" i="2"/>
  <c r="K1058" i="2"/>
  <c r="B1058" i="2"/>
  <c r="A1058" i="2"/>
  <c r="L1057" i="2"/>
  <c r="K1057" i="2"/>
  <c r="B1057" i="2"/>
  <c r="A1057" i="2"/>
  <c r="L1056" i="2"/>
  <c r="K1056" i="2"/>
  <c r="B1056" i="2"/>
  <c r="A1056" i="2"/>
  <c r="L1055" i="2"/>
  <c r="K1055" i="2"/>
  <c r="B1055" i="2"/>
  <c r="A1055" i="2"/>
  <c r="L1054" i="2"/>
  <c r="K1054" i="2"/>
  <c r="B1054" i="2"/>
  <c r="A1054" i="2"/>
  <c r="L1053" i="2"/>
  <c r="K1053" i="2"/>
  <c r="B1053" i="2"/>
  <c r="A1053" i="2"/>
  <c r="L1052" i="2"/>
  <c r="K1052" i="2"/>
  <c r="B1052" i="2"/>
  <c r="A1052" i="2"/>
  <c r="L1051" i="2"/>
  <c r="K1051" i="2"/>
  <c r="B1051" i="2"/>
  <c r="A1051" i="2"/>
  <c r="L1050" i="2"/>
  <c r="K1050" i="2"/>
  <c r="B1050" i="2"/>
  <c r="A1050" i="2"/>
  <c r="L1049" i="2"/>
  <c r="K1049" i="2"/>
  <c r="B1049" i="2"/>
  <c r="A1049" i="2"/>
  <c r="L1048" i="2"/>
  <c r="K1048" i="2"/>
  <c r="B1048" i="2"/>
  <c r="A1048" i="2"/>
  <c r="L1047" i="2"/>
  <c r="K1047" i="2"/>
  <c r="B1047" i="2"/>
  <c r="A1047" i="2"/>
  <c r="L1046" i="2"/>
  <c r="K1046" i="2"/>
  <c r="B1046" i="2"/>
  <c r="A1046" i="2"/>
  <c r="L1045" i="2"/>
  <c r="K1045" i="2"/>
  <c r="B1045" i="2"/>
  <c r="A1045" i="2"/>
  <c r="L1044" i="2"/>
  <c r="K1044" i="2"/>
  <c r="B1044" i="2"/>
  <c r="A1044" i="2"/>
  <c r="L1043" i="2"/>
  <c r="K1043" i="2"/>
  <c r="B1043" i="2"/>
  <c r="A1043" i="2"/>
  <c r="L1042" i="2"/>
  <c r="K1042" i="2"/>
  <c r="B1042" i="2"/>
  <c r="A1042" i="2"/>
  <c r="L1041" i="2"/>
  <c r="K1041" i="2"/>
  <c r="B1041" i="2"/>
  <c r="A1041" i="2"/>
  <c r="L1040" i="2"/>
  <c r="K1040" i="2"/>
  <c r="B1040" i="2"/>
  <c r="A1040" i="2"/>
  <c r="L1039" i="2"/>
  <c r="K1039" i="2"/>
  <c r="B1039" i="2"/>
  <c r="A1039" i="2"/>
  <c r="L1038" i="2"/>
  <c r="K1038" i="2"/>
  <c r="B1038" i="2"/>
  <c r="A1038" i="2"/>
  <c r="L1037" i="2"/>
  <c r="K1037" i="2"/>
  <c r="B1037" i="2"/>
  <c r="A1037" i="2"/>
  <c r="L1036" i="2"/>
  <c r="K1036" i="2"/>
  <c r="B1036" i="2"/>
  <c r="A1036" i="2"/>
  <c r="L1035" i="2"/>
  <c r="K1035" i="2"/>
  <c r="B1035" i="2"/>
  <c r="A1035" i="2"/>
  <c r="L1034" i="2"/>
  <c r="K1034" i="2"/>
  <c r="B1034" i="2"/>
  <c r="A1034" i="2"/>
  <c r="L1033" i="2"/>
  <c r="K1033" i="2"/>
  <c r="B1033" i="2"/>
  <c r="A1033" i="2"/>
  <c r="L1032" i="2"/>
  <c r="K1032" i="2"/>
  <c r="B1032" i="2"/>
  <c r="A1032" i="2"/>
  <c r="L1031" i="2"/>
  <c r="K1031" i="2"/>
  <c r="B1031" i="2"/>
  <c r="A1031" i="2"/>
  <c r="L1030" i="2"/>
  <c r="K1030" i="2"/>
  <c r="B1030" i="2"/>
  <c r="A1030" i="2"/>
  <c r="L1029" i="2"/>
  <c r="K1029" i="2"/>
  <c r="B1029" i="2"/>
  <c r="A1029" i="2"/>
  <c r="L1028" i="2"/>
  <c r="K1028" i="2"/>
  <c r="B1028" i="2"/>
  <c r="A1028" i="2"/>
  <c r="L1027" i="2"/>
  <c r="K1027" i="2"/>
  <c r="B1027" i="2"/>
  <c r="A1027" i="2"/>
  <c r="L1026" i="2"/>
  <c r="K1026" i="2"/>
  <c r="B1026" i="2"/>
  <c r="A1026" i="2"/>
  <c r="L1025" i="2"/>
  <c r="K1025" i="2"/>
  <c r="B1025" i="2"/>
  <c r="A1025" i="2"/>
  <c r="L1024" i="2"/>
  <c r="K1024" i="2"/>
  <c r="B1024" i="2"/>
  <c r="A1024" i="2"/>
  <c r="L1023" i="2"/>
  <c r="K1023" i="2"/>
  <c r="B1023" i="2"/>
  <c r="A1023" i="2"/>
  <c r="L1022" i="2"/>
  <c r="K1022" i="2"/>
  <c r="B1022" i="2"/>
  <c r="A1022" i="2"/>
  <c r="L1021" i="2"/>
  <c r="K1021" i="2"/>
  <c r="B1021" i="2"/>
  <c r="A1021" i="2"/>
  <c r="L1020" i="2"/>
  <c r="K1020" i="2"/>
  <c r="B1020" i="2"/>
  <c r="A1020" i="2"/>
  <c r="L1019" i="2"/>
  <c r="K1019" i="2"/>
  <c r="B1019" i="2"/>
  <c r="A1019" i="2"/>
  <c r="L1018" i="2"/>
  <c r="K1018" i="2"/>
  <c r="B1018" i="2"/>
  <c r="A1018" i="2"/>
  <c r="L1017" i="2"/>
  <c r="K1017" i="2"/>
  <c r="B1017" i="2"/>
  <c r="A1017" i="2"/>
  <c r="L1016" i="2"/>
  <c r="K1016" i="2"/>
  <c r="B1016" i="2"/>
  <c r="A1016" i="2"/>
  <c r="L1015" i="2"/>
  <c r="K1015" i="2"/>
  <c r="B1015" i="2"/>
  <c r="A1015" i="2"/>
  <c r="L1014" i="2"/>
  <c r="K1014" i="2"/>
  <c r="B1014" i="2"/>
  <c r="A1014" i="2"/>
  <c r="L1013" i="2"/>
  <c r="K1013" i="2"/>
  <c r="B1013" i="2"/>
  <c r="A1013" i="2"/>
  <c r="L1012" i="2"/>
  <c r="K1012" i="2"/>
  <c r="B1012" i="2"/>
  <c r="A1012" i="2"/>
  <c r="L1011" i="2"/>
  <c r="K1011" i="2"/>
  <c r="B1011" i="2"/>
  <c r="A1011" i="2"/>
  <c r="L1010" i="2"/>
  <c r="K1010" i="2"/>
  <c r="B1010" i="2"/>
  <c r="A1010" i="2"/>
  <c r="L1009" i="2"/>
  <c r="K1009" i="2"/>
  <c r="B1009" i="2"/>
  <c r="A1009" i="2"/>
  <c r="L1008" i="2"/>
  <c r="K1008" i="2"/>
  <c r="B1008" i="2"/>
  <c r="A1008" i="2"/>
  <c r="L1007" i="2"/>
  <c r="K1007" i="2"/>
  <c r="B1007" i="2"/>
  <c r="A1007" i="2"/>
  <c r="L1006" i="2"/>
  <c r="K1006" i="2"/>
  <c r="B1006" i="2"/>
  <c r="A1006" i="2"/>
  <c r="L1005" i="2"/>
  <c r="K1005" i="2"/>
  <c r="B1005" i="2"/>
  <c r="A1005" i="2"/>
  <c r="L1004" i="2"/>
  <c r="K1004" i="2"/>
  <c r="B1004" i="2"/>
  <c r="A1004" i="2"/>
  <c r="L1003" i="2"/>
  <c r="K1003" i="2"/>
  <c r="B1003" i="2"/>
  <c r="A1003" i="2"/>
  <c r="L1002" i="2"/>
  <c r="K1002" i="2"/>
  <c r="B1002" i="2"/>
  <c r="A1002" i="2"/>
  <c r="L1001" i="2"/>
  <c r="K1001" i="2"/>
  <c r="B1001" i="2"/>
  <c r="A1001" i="2"/>
  <c r="L1000" i="2"/>
  <c r="K1000" i="2"/>
  <c r="B1000" i="2"/>
  <c r="A1000" i="2"/>
  <c r="L999" i="2"/>
  <c r="K999" i="2"/>
  <c r="B999" i="2"/>
  <c r="A999" i="2"/>
  <c r="L998" i="2"/>
  <c r="K998" i="2"/>
  <c r="B998" i="2"/>
  <c r="A998" i="2"/>
  <c r="L997" i="2"/>
  <c r="K997" i="2"/>
  <c r="B997" i="2"/>
  <c r="A997" i="2"/>
  <c r="L996" i="2"/>
  <c r="K996" i="2"/>
  <c r="B996" i="2"/>
  <c r="A996" i="2"/>
  <c r="L995" i="2"/>
  <c r="K995" i="2"/>
  <c r="B995" i="2"/>
  <c r="A995" i="2"/>
  <c r="L994" i="2"/>
  <c r="K994" i="2"/>
  <c r="B994" i="2"/>
  <c r="A994" i="2"/>
  <c r="L993" i="2"/>
  <c r="K993" i="2"/>
  <c r="B993" i="2"/>
  <c r="A993" i="2"/>
  <c r="L992" i="2"/>
  <c r="K992" i="2"/>
  <c r="B992" i="2"/>
  <c r="A992" i="2"/>
  <c r="L991" i="2"/>
  <c r="K991" i="2"/>
  <c r="B991" i="2"/>
  <c r="A991" i="2"/>
  <c r="L990" i="2"/>
  <c r="K990" i="2"/>
  <c r="B990" i="2"/>
  <c r="A990" i="2"/>
  <c r="L989" i="2"/>
  <c r="K989" i="2"/>
  <c r="B989" i="2"/>
  <c r="A989" i="2"/>
  <c r="L988" i="2"/>
  <c r="K988" i="2"/>
  <c r="B988" i="2"/>
  <c r="A988" i="2"/>
  <c r="L987" i="2"/>
  <c r="K987" i="2"/>
  <c r="B987" i="2"/>
  <c r="A987" i="2"/>
  <c r="L986" i="2"/>
  <c r="K986" i="2"/>
  <c r="B986" i="2"/>
  <c r="A986" i="2"/>
  <c r="L985" i="2"/>
  <c r="K985" i="2"/>
  <c r="B985" i="2"/>
  <c r="A985" i="2"/>
  <c r="L984" i="2"/>
  <c r="K984" i="2"/>
  <c r="B984" i="2"/>
  <c r="A984" i="2"/>
  <c r="L983" i="2"/>
  <c r="K983" i="2"/>
  <c r="B983" i="2"/>
  <c r="A983" i="2"/>
  <c r="L982" i="2"/>
  <c r="K982" i="2"/>
  <c r="B982" i="2"/>
  <c r="A982" i="2"/>
  <c r="L981" i="2"/>
  <c r="K981" i="2"/>
  <c r="B981" i="2"/>
  <c r="A981" i="2"/>
  <c r="L980" i="2"/>
  <c r="K980" i="2"/>
  <c r="B980" i="2"/>
  <c r="A980" i="2"/>
  <c r="L979" i="2"/>
  <c r="K979" i="2"/>
  <c r="B979" i="2"/>
  <c r="A979" i="2"/>
  <c r="L978" i="2"/>
  <c r="K978" i="2"/>
  <c r="B978" i="2"/>
  <c r="A978" i="2"/>
  <c r="L977" i="2"/>
  <c r="K977" i="2"/>
  <c r="B977" i="2"/>
  <c r="A977" i="2"/>
  <c r="L976" i="2"/>
  <c r="K976" i="2"/>
  <c r="B976" i="2"/>
  <c r="A976" i="2"/>
  <c r="L975" i="2"/>
  <c r="K975" i="2"/>
  <c r="B975" i="2"/>
  <c r="A975" i="2"/>
  <c r="L974" i="2"/>
  <c r="K974" i="2"/>
  <c r="B974" i="2"/>
  <c r="A974" i="2"/>
  <c r="L973" i="2"/>
  <c r="K973" i="2"/>
  <c r="B973" i="2"/>
  <c r="A973" i="2"/>
  <c r="L972" i="2"/>
  <c r="K972" i="2"/>
  <c r="B972" i="2"/>
  <c r="A972" i="2"/>
  <c r="L971" i="2"/>
  <c r="K971" i="2"/>
  <c r="B971" i="2"/>
  <c r="A971" i="2"/>
  <c r="L970" i="2"/>
  <c r="K970" i="2"/>
  <c r="B970" i="2"/>
  <c r="A970" i="2"/>
  <c r="L969" i="2"/>
  <c r="K969" i="2"/>
  <c r="B969" i="2"/>
  <c r="A969" i="2"/>
  <c r="L968" i="2"/>
  <c r="K968" i="2"/>
  <c r="B968" i="2"/>
  <c r="A968" i="2"/>
  <c r="L967" i="2"/>
  <c r="K967" i="2"/>
  <c r="B967" i="2"/>
  <c r="A967" i="2"/>
  <c r="L966" i="2"/>
  <c r="K966" i="2"/>
  <c r="B966" i="2"/>
  <c r="A966" i="2"/>
  <c r="L965" i="2"/>
  <c r="K965" i="2"/>
  <c r="B965" i="2"/>
  <c r="A965" i="2"/>
  <c r="L964" i="2"/>
  <c r="K964" i="2"/>
  <c r="B964" i="2"/>
  <c r="A964" i="2"/>
  <c r="L963" i="2"/>
  <c r="K963" i="2"/>
  <c r="B963" i="2"/>
  <c r="A963" i="2"/>
  <c r="L962" i="2"/>
  <c r="K962" i="2"/>
  <c r="B962" i="2"/>
  <c r="A962" i="2"/>
  <c r="L961" i="2"/>
  <c r="K961" i="2"/>
  <c r="B961" i="2"/>
  <c r="A961" i="2"/>
  <c r="L960" i="2"/>
  <c r="K960" i="2"/>
  <c r="B960" i="2"/>
  <c r="A960" i="2"/>
  <c r="L959" i="2"/>
  <c r="K959" i="2"/>
  <c r="B959" i="2"/>
  <c r="A959" i="2"/>
  <c r="L958" i="2"/>
  <c r="K958" i="2"/>
  <c r="B958" i="2"/>
  <c r="A958" i="2"/>
  <c r="L957" i="2"/>
  <c r="K957" i="2"/>
  <c r="B957" i="2"/>
  <c r="A957" i="2"/>
  <c r="L956" i="2"/>
  <c r="K956" i="2"/>
  <c r="B956" i="2"/>
  <c r="A956" i="2"/>
  <c r="L955" i="2"/>
  <c r="K955" i="2"/>
  <c r="B955" i="2"/>
  <c r="A955" i="2"/>
  <c r="L954" i="2"/>
  <c r="K954" i="2"/>
  <c r="B954" i="2"/>
  <c r="A954" i="2"/>
  <c r="L953" i="2"/>
  <c r="K953" i="2"/>
  <c r="B953" i="2"/>
  <c r="A953" i="2"/>
  <c r="L952" i="2"/>
  <c r="K952" i="2"/>
  <c r="B952" i="2"/>
  <c r="A952" i="2"/>
  <c r="L951" i="2"/>
  <c r="K951" i="2"/>
  <c r="B951" i="2"/>
  <c r="A951" i="2"/>
  <c r="L950" i="2"/>
  <c r="K950" i="2"/>
  <c r="B950" i="2"/>
  <c r="A950" i="2"/>
  <c r="L949" i="2"/>
  <c r="K949" i="2"/>
  <c r="B949" i="2"/>
  <c r="A949" i="2"/>
  <c r="L948" i="2"/>
  <c r="K948" i="2"/>
  <c r="B948" i="2"/>
  <c r="A948" i="2"/>
  <c r="L947" i="2"/>
  <c r="K947" i="2"/>
  <c r="B947" i="2"/>
  <c r="A947" i="2"/>
  <c r="L946" i="2"/>
  <c r="K946" i="2"/>
  <c r="B946" i="2"/>
  <c r="A946" i="2"/>
  <c r="L945" i="2"/>
  <c r="K945" i="2"/>
  <c r="B945" i="2"/>
  <c r="A945" i="2"/>
  <c r="L944" i="2"/>
  <c r="K944" i="2"/>
  <c r="B944" i="2"/>
  <c r="A944" i="2"/>
  <c r="L943" i="2"/>
  <c r="K943" i="2"/>
  <c r="B943" i="2"/>
  <c r="A943" i="2"/>
  <c r="L942" i="2"/>
  <c r="K942" i="2"/>
  <c r="B942" i="2"/>
  <c r="A942" i="2"/>
  <c r="L941" i="2"/>
  <c r="K941" i="2"/>
  <c r="B941" i="2"/>
  <c r="A941" i="2"/>
  <c r="L940" i="2"/>
  <c r="K940" i="2"/>
  <c r="B940" i="2"/>
  <c r="A940" i="2"/>
  <c r="L939" i="2"/>
  <c r="K939" i="2"/>
  <c r="B939" i="2"/>
  <c r="A939" i="2"/>
  <c r="L938" i="2"/>
  <c r="K938" i="2"/>
  <c r="B938" i="2"/>
  <c r="A938" i="2"/>
  <c r="L937" i="2"/>
  <c r="K937" i="2"/>
  <c r="B937" i="2"/>
  <c r="A937" i="2"/>
  <c r="L936" i="2"/>
  <c r="K936" i="2"/>
  <c r="B936" i="2"/>
  <c r="A936" i="2"/>
  <c r="L935" i="2"/>
  <c r="K935" i="2"/>
  <c r="B935" i="2"/>
  <c r="A935" i="2"/>
  <c r="L934" i="2"/>
  <c r="K934" i="2"/>
  <c r="B934" i="2"/>
  <c r="A934" i="2"/>
  <c r="L933" i="2"/>
  <c r="K933" i="2"/>
  <c r="B933" i="2"/>
  <c r="A933" i="2"/>
  <c r="L932" i="2"/>
  <c r="K932" i="2"/>
  <c r="B932" i="2"/>
  <c r="A932" i="2"/>
  <c r="L931" i="2"/>
  <c r="K931" i="2"/>
  <c r="B931" i="2"/>
  <c r="A931" i="2"/>
  <c r="L930" i="2"/>
  <c r="K930" i="2"/>
  <c r="B930" i="2"/>
  <c r="A930" i="2"/>
  <c r="L929" i="2"/>
  <c r="K929" i="2"/>
  <c r="B929" i="2"/>
  <c r="A929" i="2"/>
  <c r="L928" i="2"/>
  <c r="K928" i="2"/>
  <c r="B928" i="2"/>
  <c r="A928" i="2"/>
  <c r="L927" i="2"/>
  <c r="K927" i="2"/>
  <c r="B927" i="2"/>
  <c r="A927" i="2"/>
  <c r="L926" i="2"/>
  <c r="K926" i="2"/>
  <c r="B926" i="2"/>
  <c r="A926" i="2"/>
  <c r="L925" i="2"/>
  <c r="K925" i="2"/>
  <c r="B925" i="2"/>
  <c r="A925" i="2"/>
  <c r="L924" i="2"/>
  <c r="K924" i="2"/>
  <c r="B924" i="2"/>
  <c r="A924" i="2"/>
  <c r="L923" i="2"/>
  <c r="K923" i="2"/>
  <c r="B923" i="2"/>
  <c r="A923" i="2"/>
  <c r="L922" i="2"/>
  <c r="K922" i="2"/>
  <c r="B922" i="2"/>
  <c r="A922" i="2"/>
  <c r="L921" i="2"/>
  <c r="K921" i="2"/>
  <c r="B921" i="2"/>
  <c r="A921" i="2"/>
  <c r="L920" i="2"/>
  <c r="K920" i="2"/>
  <c r="B920" i="2"/>
  <c r="A920" i="2"/>
  <c r="L919" i="2"/>
  <c r="K919" i="2"/>
  <c r="B919" i="2"/>
  <c r="A919" i="2"/>
  <c r="L918" i="2"/>
  <c r="K918" i="2"/>
  <c r="B918" i="2"/>
  <c r="A918" i="2"/>
  <c r="L917" i="2"/>
  <c r="K917" i="2"/>
  <c r="B917" i="2"/>
  <c r="A917" i="2"/>
  <c r="L916" i="2"/>
  <c r="K916" i="2"/>
  <c r="B916" i="2"/>
  <c r="A916" i="2"/>
  <c r="L915" i="2"/>
  <c r="K915" i="2"/>
  <c r="B915" i="2"/>
  <c r="A915" i="2"/>
  <c r="L914" i="2"/>
  <c r="K914" i="2"/>
  <c r="B914" i="2"/>
  <c r="A914" i="2"/>
  <c r="L913" i="2"/>
  <c r="K913" i="2"/>
  <c r="B913" i="2"/>
  <c r="A913" i="2"/>
  <c r="L912" i="2"/>
  <c r="K912" i="2"/>
  <c r="B912" i="2"/>
  <c r="A912" i="2"/>
  <c r="L911" i="2"/>
  <c r="K911" i="2"/>
  <c r="B911" i="2"/>
  <c r="A911" i="2"/>
  <c r="L910" i="2"/>
  <c r="K910" i="2"/>
  <c r="B910" i="2"/>
  <c r="A910" i="2"/>
  <c r="L909" i="2"/>
  <c r="K909" i="2"/>
  <c r="B909" i="2"/>
  <c r="A909" i="2"/>
  <c r="L908" i="2"/>
  <c r="K908" i="2"/>
  <c r="B908" i="2"/>
  <c r="A908" i="2"/>
  <c r="L907" i="2"/>
  <c r="K907" i="2"/>
  <c r="B907" i="2"/>
  <c r="A907" i="2"/>
  <c r="L906" i="2"/>
  <c r="K906" i="2"/>
  <c r="B906" i="2"/>
  <c r="A906" i="2"/>
  <c r="L905" i="2"/>
  <c r="K905" i="2"/>
  <c r="B905" i="2"/>
  <c r="A905" i="2"/>
  <c r="L904" i="2"/>
  <c r="K904" i="2"/>
  <c r="B904" i="2"/>
  <c r="A904" i="2"/>
  <c r="L903" i="2"/>
  <c r="K903" i="2"/>
  <c r="B903" i="2"/>
  <c r="A903" i="2"/>
  <c r="L902" i="2"/>
  <c r="K902" i="2"/>
  <c r="B902" i="2"/>
  <c r="A902" i="2"/>
  <c r="L901" i="2"/>
  <c r="K901" i="2"/>
  <c r="B901" i="2"/>
  <c r="A901" i="2"/>
  <c r="L900" i="2"/>
  <c r="K900" i="2"/>
  <c r="B900" i="2"/>
  <c r="A900" i="2"/>
  <c r="L899" i="2"/>
  <c r="K899" i="2"/>
  <c r="B899" i="2"/>
  <c r="A899" i="2"/>
  <c r="L898" i="2"/>
  <c r="K898" i="2"/>
  <c r="B898" i="2"/>
  <c r="A898" i="2"/>
  <c r="L897" i="2"/>
  <c r="K897" i="2"/>
  <c r="B897" i="2"/>
  <c r="A897" i="2"/>
  <c r="L896" i="2"/>
  <c r="K896" i="2"/>
  <c r="B896" i="2"/>
  <c r="A896" i="2"/>
  <c r="L895" i="2"/>
  <c r="K895" i="2"/>
  <c r="B895" i="2"/>
  <c r="A895" i="2"/>
  <c r="L894" i="2"/>
  <c r="K894" i="2"/>
  <c r="B894" i="2"/>
  <c r="A894" i="2"/>
  <c r="L893" i="2"/>
  <c r="K893" i="2"/>
  <c r="B893" i="2"/>
  <c r="A893" i="2"/>
  <c r="L892" i="2"/>
  <c r="K892" i="2"/>
  <c r="B892" i="2"/>
  <c r="A892" i="2"/>
  <c r="L891" i="2"/>
  <c r="K891" i="2"/>
  <c r="B891" i="2"/>
  <c r="A891" i="2"/>
  <c r="L890" i="2"/>
  <c r="K890" i="2"/>
  <c r="B890" i="2"/>
  <c r="A890" i="2"/>
  <c r="L889" i="2"/>
  <c r="K889" i="2"/>
  <c r="B889" i="2"/>
  <c r="A889" i="2"/>
  <c r="L888" i="2"/>
  <c r="K888" i="2"/>
  <c r="B888" i="2"/>
  <c r="A888" i="2"/>
  <c r="L887" i="2"/>
  <c r="K887" i="2"/>
  <c r="B887" i="2"/>
  <c r="A887" i="2"/>
  <c r="L886" i="2"/>
  <c r="K886" i="2"/>
  <c r="B886" i="2"/>
  <c r="A886" i="2"/>
  <c r="L885" i="2"/>
  <c r="K885" i="2"/>
  <c r="B885" i="2"/>
  <c r="A885" i="2"/>
  <c r="L884" i="2"/>
  <c r="K884" i="2"/>
  <c r="B884" i="2"/>
  <c r="A884" i="2"/>
  <c r="L883" i="2"/>
  <c r="K883" i="2"/>
  <c r="B883" i="2"/>
  <c r="A883" i="2"/>
  <c r="L882" i="2"/>
  <c r="K882" i="2"/>
  <c r="B882" i="2"/>
  <c r="A882" i="2"/>
  <c r="L881" i="2"/>
  <c r="K881" i="2"/>
  <c r="B881" i="2"/>
  <c r="A881" i="2"/>
  <c r="L880" i="2"/>
  <c r="K880" i="2"/>
  <c r="B880" i="2"/>
  <c r="A880" i="2"/>
  <c r="L879" i="2"/>
  <c r="K879" i="2"/>
  <c r="B879" i="2"/>
  <c r="A879" i="2"/>
  <c r="L878" i="2"/>
  <c r="K878" i="2"/>
  <c r="B878" i="2"/>
  <c r="A878" i="2"/>
  <c r="L877" i="2"/>
  <c r="K877" i="2"/>
  <c r="B877" i="2"/>
  <c r="A877" i="2"/>
  <c r="L876" i="2"/>
  <c r="K876" i="2"/>
  <c r="B876" i="2"/>
  <c r="A876" i="2"/>
  <c r="L875" i="2"/>
  <c r="K875" i="2"/>
  <c r="B875" i="2"/>
  <c r="A875" i="2"/>
  <c r="L874" i="2"/>
  <c r="K874" i="2"/>
  <c r="B874" i="2"/>
  <c r="A874" i="2"/>
  <c r="L873" i="2"/>
  <c r="K873" i="2"/>
  <c r="B873" i="2"/>
  <c r="A873" i="2"/>
  <c r="L872" i="2"/>
  <c r="K872" i="2"/>
  <c r="B872" i="2"/>
  <c r="A872" i="2"/>
  <c r="L871" i="2"/>
  <c r="K871" i="2"/>
  <c r="B871" i="2"/>
  <c r="A871" i="2"/>
  <c r="L870" i="2"/>
  <c r="K870" i="2"/>
  <c r="B870" i="2"/>
  <c r="A870" i="2"/>
  <c r="L869" i="2"/>
  <c r="K869" i="2"/>
  <c r="B869" i="2"/>
  <c r="A869" i="2"/>
  <c r="L868" i="2"/>
  <c r="K868" i="2"/>
  <c r="B868" i="2"/>
  <c r="A868" i="2"/>
  <c r="L867" i="2"/>
  <c r="K867" i="2"/>
  <c r="B867" i="2"/>
  <c r="A867" i="2"/>
  <c r="L866" i="2"/>
  <c r="K866" i="2"/>
  <c r="B866" i="2"/>
  <c r="A866" i="2"/>
  <c r="L865" i="2"/>
  <c r="K865" i="2"/>
  <c r="B865" i="2"/>
  <c r="A865" i="2"/>
  <c r="L864" i="2"/>
  <c r="K864" i="2"/>
  <c r="B864" i="2"/>
  <c r="A864" i="2"/>
  <c r="L863" i="2"/>
  <c r="K863" i="2"/>
  <c r="B863" i="2"/>
  <c r="A863" i="2"/>
  <c r="L862" i="2"/>
  <c r="K862" i="2"/>
  <c r="B862" i="2"/>
  <c r="A862" i="2"/>
  <c r="L861" i="2"/>
  <c r="K861" i="2"/>
  <c r="B861" i="2"/>
  <c r="A861" i="2"/>
  <c r="L860" i="2"/>
  <c r="K860" i="2"/>
  <c r="B860" i="2"/>
  <c r="A860" i="2"/>
  <c r="L859" i="2"/>
  <c r="K859" i="2"/>
  <c r="B859" i="2"/>
  <c r="A859" i="2"/>
  <c r="L858" i="2"/>
  <c r="K858" i="2"/>
  <c r="B858" i="2"/>
  <c r="A858" i="2"/>
  <c r="L857" i="2"/>
  <c r="K857" i="2"/>
  <c r="B857" i="2"/>
  <c r="A857" i="2"/>
  <c r="L856" i="2"/>
  <c r="K856" i="2"/>
  <c r="B856" i="2"/>
  <c r="A856" i="2"/>
  <c r="L855" i="2"/>
  <c r="K855" i="2"/>
  <c r="B855" i="2"/>
  <c r="A855" i="2"/>
  <c r="L854" i="2"/>
  <c r="K854" i="2"/>
  <c r="B854" i="2"/>
  <c r="A854" i="2"/>
  <c r="L853" i="2"/>
  <c r="K853" i="2"/>
  <c r="B853" i="2"/>
  <c r="A853" i="2"/>
  <c r="L852" i="2"/>
  <c r="K852" i="2"/>
  <c r="B852" i="2"/>
  <c r="A852" i="2"/>
  <c r="L851" i="2"/>
  <c r="K851" i="2"/>
  <c r="B851" i="2"/>
  <c r="A851" i="2"/>
  <c r="L850" i="2"/>
  <c r="K850" i="2"/>
  <c r="B850" i="2"/>
  <c r="A850" i="2"/>
  <c r="L849" i="2"/>
  <c r="K849" i="2"/>
  <c r="B849" i="2"/>
  <c r="A849" i="2"/>
  <c r="L848" i="2"/>
  <c r="K848" i="2"/>
  <c r="B848" i="2"/>
  <c r="A848" i="2"/>
  <c r="L847" i="2"/>
  <c r="K847" i="2"/>
  <c r="B847" i="2"/>
  <c r="A847" i="2"/>
  <c r="L846" i="2"/>
  <c r="K846" i="2"/>
  <c r="B846" i="2"/>
  <c r="A846" i="2"/>
  <c r="L845" i="2"/>
  <c r="K845" i="2"/>
  <c r="B845" i="2"/>
  <c r="A845" i="2"/>
  <c r="L844" i="2"/>
  <c r="K844" i="2"/>
  <c r="B844" i="2"/>
  <c r="A844" i="2"/>
  <c r="L843" i="2"/>
  <c r="K843" i="2"/>
  <c r="B843" i="2"/>
  <c r="A843" i="2"/>
  <c r="L842" i="2"/>
  <c r="K842" i="2"/>
  <c r="B842" i="2"/>
  <c r="A842" i="2"/>
  <c r="L841" i="2"/>
  <c r="K841" i="2"/>
  <c r="B841" i="2"/>
  <c r="A841" i="2"/>
  <c r="L840" i="2"/>
  <c r="K840" i="2"/>
  <c r="B840" i="2"/>
  <c r="A840" i="2"/>
  <c r="L839" i="2"/>
  <c r="K839" i="2"/>
  <c r="B839" i="2"/>
  <c r="A839" i="2"/>
  <c r="L838" i="2"/>
  <c r="K838" i="2"/>
  <c r="B838" i="2"/>
  <c r="A838" i="2"/>
  <c r="L837" i="2"/>
  <c r="K837" i="2"/>
  <c r="B837" i="2"/>
  <c r="A837" i="2"/>
  <c r="L836" i="2"/>
  <c r="K836" i="2"/>
  <c r="B836" i="2"/>
  <c r="A836" i="2"/>
  <c r="L835" i="2"/>
  <c r="K835" i="2"/>
  <c r="B835" i="2"/>
  <c r="A835" i="2"/>
  <c r="L834" i="2"/>
  <c r="K834" i="2"/>
  <c r="B834" i="2"/>
  <c r="A834" i="2"/>
  <c r="L833" i="2"/>
  <c r="K833" i="2"/>
  <c r="B833" i="2"/>
  <c r="A833" i="2"/>
  <c r="L832" i="2"/>
  <c r="K832" i="2"/>
  <c r="B832" i="2"/>
  <c r="A832" i="2"/>
  <c r="L831" i="2"/>
  <c r="K831" i="2"/>
  <c r="B831" i="2"/>
  <c r="A831" i="2"/>
  <c r="L830" i="2"/>
  <c r="K830" i="2"/>
  <c r="B830" i="2"/>
  <c r="A830" i="2"/>
  <c r="L829" i="2"/>
  <c r="K829" i="2"/>
  <c r="B829" i="2"/>
  <c r="A829" i="2"/>
  <c r="L828" i="2"/>
  <c r="K828" i="2"/>
  <c r="B828" i="2"/>
  <c r="A828" i="2"/>
  <c r="L827" i="2"/>
  <c r="K827" i="2"/>
  <c r="B827" i="2"/>
  <c r="A827" i="2"/>
  <c r="L826" i="2"/>
  <c r="K826" i="2"/>
  <c r="B826" i="2"/>
  <c r="A826" i="2"/>
  <c r="L825" i="2"/>
  <c r="K825" i="2"/>
  <c r="B825" i="2"/>
  <c r="A825" i="2"/>
  <c r="L824" i="2"/>
  <c r="K824" i="2"/>
  <c r="B824" i="2"/>
  <c r="A824" i="2"/>
  <c r="L823" i="2"/>
  <c r="K823" i="2"/>
  <c r="B823" i="2"/>
  <c r="A823" i="2"/>
  <c r="L822" i="2"/>
  <c r="K822" i="2"/>
  <c r="B822" i="2"/>
  <c r="A822" i="2"/>
  <c r="L821" i="2"/>
  <c r="K821" i="2"/>
  <c r="B821" i="2"/>
  <c r="A821" i="2"/>
  <c r="L820" i="2"/>
  <c r="K820" i="2"/>
  <c r="B820" i="2"/>
  <c r="A820" i="2"/>
  <c r="L819" i="2"/>
  <c r="K819" i="2"/>
  <c r="B819" i="2"/>
  <c r="A819" i="2"/>
  <c r="L818" i="2"/>
  <c r="K818" i="2"/>
  <c r="B818" i="2"/>
  <c r="A818" i="2"/>
  <c r="L817" i="2"/>
  <c r="K817" i="2"/>
  <c r="B817" i="2"/>
  <c r="A817" i="2"/>
  <c r="L816" i="2"/>
  <c r="K816" i="2"/>
  <c r="B816" i="2"/>
  <c r="A816" i="2"/>
  <c r="L815" i="2"/>
  <c r="K815" i="2"/>
  <c r="B815" i="2"/>
  <c r="A815" i="2"/>
  <c r="L814" i="2"/>
  <c r="K814" i="2"/>
  <c r="B814" i="2"/>
  <c r="A814" i="2"/>
  <c r="L813" i="2"/>
  <c r="K813" i="2"/>
  <c r="B813" i="2"/>
  <c r="A813" i="2"/>
  <c r="L812" i="2"/>
  <c r="K812" i="2"/>
  <c r="B812" i="2"/>
  <c r="A812" i="2"/>
  <c r="L811" i="2"/>
  <c r="K811" i="2"/>
  <c r="B811" i="2"/>
  <c r="A811" i="2"/>
  <c r="L810" i="2"/>
  <c r="K810" i="2"/>
  <c r="B810" i="2"/>
  <c r="A810" i="2"/>
  <c r="L809" i="2"/>
  <c r="K809" i="2"/>
  <c r="B809" i="2"/>
  <c r="A809" i="2"/>
  <c r="L808" i="2"/>
  <c r="K808" i="2"/>
  <c r="B808" i="2"/>
  <c r="A808" i="2"/>
  <c r="L807" i="2"/>
  <c r="K807" i="2"/>
  <c r="B807" i="2"/>
  <c r="A807" i="2"/>
  <c r="L806" i="2"/>
  <c r="K806" i="2"/>
  <c r="B806" i="2"/>
  <c r="A806" i="2"/>
  <c r="L805" i="2"/>
  <c r="K805" i="2"/>
  <c r="B805" i="2"/>
  <c r="A805" i="2"/>
  <c r="L804" i="2"/>
  <c r="K804" i="2"/>
  <c r="B804" i="2"/>
  <c r="A804" i="2"/>
  <c r="L803" i="2"/>
  <c r="K803" i="2"/>
  <c r="B803" i="2"/>
  <c r="A803" i="2"/>
  <c r="L802" i="2"/>
  <c r="K802" i="2"/>
  <c r="B802" i="2"/>
  <c r="A802" i="2"/>
  <c r="L801" i="2"/>
  <c r="K801" i="2"/>
  <c r="B801" i="2"/>
  <c r="A801" i="2"/>
  <c r="L800" i="2"/>
  <c r="K800" i="2"/>
  <c r="B800" i="2"/>
  <c r="A800" i="2"/>
  <c r="L799" i="2"/>
  <c r="K799" i="2"/>
  <c r="B799" i="2"/>
  <c r="A799" i="2"/>
  <c r="L798" i="2"/>
  <c r="K798" i="2"/>
  <c r="B798" i="2"/>
  <c r="A798" i="2"/>
  <c r="L797" i="2"/>
  <c r="K797" i="2"/>
  <c r="B797" i="2"/>
  <c r="A797" i="2"/>
  <c r="L796" i="2"/>
  <c r="K796" i="2"/>
  <c r="B796" i="2"/>
  <c r="A796" i="2"/>
  <c r="L795" i="2"/>
  <c r="K795" i="2"/>
  <c r="B795" i="2"/>
  <c r="A795" i="2"/>
  <c r="L794" i="2"/>
  <c r="K794" i="2"/>
  <c r="B794" i="2"/>
  <c r="A794" i="2"/>
  <c r="L793" i="2"/>
  <c r="K793" i="2"/>
  <c r="B793" i="2"/>
  <c r="A793" i="2"/>
  <c r="L792" i="2"/>
  <c r="K792" i="2"/>
  <c r="B792" i="2"/>
  <c r="A792" i="2"/>
  <c r="L791" i="2"/>
  <c r="K791" i="2"/>
  <c r="B791" i="2"/>
  <c r="A791" i="2"/>
  <c r="L790" i="2"/>
  <c r="K790" i="2"/>
  <c r="B790" i="2"/>
  <c r="A790" i="2"/>
  <c r="L789" i="2"/>
  <c r="K789" i="2"/>
  <c r="B789" i="2"/>
  <c r="A789" i="2"/>
  <c r="L788" i="2"/>
  <c r="K788" i="2"/>
  <c r="B788" i="2"/>
  <c r="A788" i="2"/>
  <c r="L787" i="2"/>
  <c r="K787" i="2"/>
  <c r="B787" i="2"/>
  <c r="A787" i="2"/>
  <c r="L786" i="2"/>
  <c r="K786" i="2"/>
  <c r="B786" i="2"/>
  <c r="A786" i="2"/>
  <c r="L785" i="2"/>
  <c r="K785" i="2"/>
  <c r="B785" i="2"/>
  <c r="A785" i="2"/>
  <c r="L784" i="2"/>
  <c r="K784" i="2"/>
  <c r="B784" i="2"/>
  <c r="A784" i="2"/>
  <c r="L783" i="2"/>
  <c r="K783" i="2"/>
  <c r="B783" i="2"/>
  <c r="A783" i="2"/>
  <c r="L782" i="2"/>
  <c r="K782" i="2"/>
  <c r="B782" i="2"/>
  <c r="A782" i="2"/>
  <c r="L781" i="2"/>
  <c r="K781" i="2"/>
  <c r="B781" i="2"/>
  <c r="A781" i="2"/>
  <c r="L780" i="2"/>
  <c r="K780" i="2"/>
  <c r="B780" i="2"/>
  <c r="A780" i="2"/>
  <c r="L779" i="2"/>
  <c r="K779" i="2"/>
  <c r="B779" i="2"/>
  <c r="A779" i="2"/>
  <c r="L778" i="2"/>
  <c r="K778" i="2"/>
  <c r="B778" i="2"/>
  <c r="A778" i="2"/>
  <c r="L777" i="2"/>
  <c r="K777" i="2"/>
  <c r="B777" i="2"/>
  <c r="A777" i="2"/>
  <c r="L776" i="2"/>
  <c r="K776" i="2"/>
  <c r="B776" i="2"/>
  <c r="A776" i="2"/>
  <c r="L775" i="2"/>
  <c r="K775" i="2"/>
  <c r="B775" i="2"/>
  <c r="A775" i="2"/>
  <c r="L774" i="2"/>
  <c r="K774" i="2"/>
  <c r="B774" i="2"/>
  <c r="A774" i="2"/>
  <c r="L773" i="2"/>
  <c r="K773" i="2"/>
  <c r="B773" i="2"/>
  <c r="A773" i="2"/>
  <c r="L772" i="2"/>
  <c r="K772" i="2"/>
  <c r="B772" i="2"/>
  <c r="A772" i="2"/>
  <c r="L771" i="2"/>
  <c r="K771" i="2"/>
  <c r="B771" i="2"/>
  <c r="A771" i="2"/>
  <c r="L770" i="2"/>
  <c r="K770" i="2"/>
  <c r="B770" i="2"/>
  <c r="A770" i="2"/>
  <c r="L769" i="2"/>
  <c r="K769" i="2"/>
  <c r="B769" i="2"/>
  <c r="A769" i="2"/>
  <c r="L768" i="2"/>
  <c r="K768" i="2"/>
  <c r="B768" i="2"/>
  <c r="A768" i="2"/>
  <c r="L767" i="2"/>
  <c r="K767" i="2"/>
  <c r="B767" i="2"/>
  <c r="A767" i="2"/>
  <c r="L766" i="2"/>
  <c r="K766" i="2"/>
  <c r="B766" i="2"/>
  <c r="A766" i="2"/>
  <c r="L765" i="2"/>
  <c r="K765" i="2"/>
  <c r="B765" i="2"/>
  <c r="A765" i="2"/>
  <c r="L764" i="2"/>
  <c r="K764" i="2"/>
  <c r="B764" i="2"/>
  <c r="A764" i="2"/>
  <c r="L763" i="2"/>
  <c r="K763" i="2"/>
  <c r="B763" i="2"/>
  <c r="A763" i="2"/>
  <c r="L762" i="2"/>
  <c r="K762" i="2"/>
  <c r="B762" i="2"/>
  <c r="A762" i="2"/>
  <c r="L761" i="2"/>
  <c r="K761" i="2"/>
  <c r="B761" i="2"/>
  <c r="A761" i="2"/>
  <c r="L760" i="2"/>
  <c r="K760" i="2"/>
  <c r="B760" i="2"/>
  <c r="A760" i="2"/>
  <c r="L759" i="2"/>
  <c r="K759" i="2"/>
  <c r="B759" i="2"/>
  <c r="A759" i="2"/>
  <c r="L758" i="2"/>
  <c r="K758" i="2"/>
  <c r="B758" i="2"/>
  <c r="A758" i="2"/>
  <c r="L757" i="2"/>
  <c r="K757" i="2"/>
  <c r="B757" i="2"/>
  <c r="A757" i="2"/>
  <c r="L756" i="2"/>
  <c r="K756" i="2"/>
  <c r="B756" i="2"/>
  <c r="A756" i="2"/>
  <c r="L755" i="2"/>
  <c r="K755" i="2"/>
  <c r="B755" i="2"/>
  <c r="A755" i="2"/>
  <c r="L754" i="2"/>
  <c r="K754" i="2"/>
  <c r="B754" i="2"/>
  <c r="A754" i="2"/>
  <c r="L753" i="2"/>
  <c r="K753" i="2"/>
  <c r="B753" i="2"/>
  <c r="A753" i="2"/>
  <c r="L752" i="2"/>
  <c r="K752" i="2"/>
  <c r="B752" i="2"/>
  <c r="A752" i="2"/>
  <c r="L751" i="2"/>
  <c r="K751" i="2"/>
  <c r="B751" i="2"/>
  <c r="A751" i="2"/>
  <c r="L750" i="2"/>
  <c r="K750" i="2"/>
  <c r="B750" i="2"/>
  <c r="A750" i="2"/>
  <c r="L749" i="2"/>
  <c r="K749" i="2"/>
  <c r="B749" i="2"/>
  <c r="A749" i="2"/>
  <c r="L748" i="2"/>
  <c r="K748" i="2"/>
  <c r="B748" i="2"/>
  <c r="A748" i="2"/>
  <c r="L747" i="2"/>
  <c r="K747" i="2"/>
  <c r="B747" i="2"/>
  <c r="A747" i="2"/>
  <c r="L746" i="2"/>
  <c r="K746" i="2"/>
  <c r="B746" i="2"/>
  <c r="A746" i="2"/>
  <c r="L745" i="2"/>
  <c r="K745" i="2"/>
  <c r="B745" i="2"/>
  <c r="A745" i="2"/>
  <c r="L744" i="2"/>
  <c r="K744" i="2"/>
  <c r="B744" i="2"/>
  <c r="A744" i="2"/>
  <c r="L743" i="2"/>
  <c r="K743" i="2"/>
  <c r="B743" i="2"/>
  <c r="A743" i="2"/>
  <c r="L742" i="2"/>
  <c r="K742" i="2"/>
  <c r="B742" i="2"/>
  <c r="A742" i="2"/>
  <c r="L741" i="2"/>
  <c r="K741" i="2"/>
  <c r="B741" i="2"/>
  <c r="A741" i="2"/>
  <c r="L740" i="2"/>
  <c r="K740" i="2"/>
  <c r="B740" i="2"/>
  <c r="A740" i="2"/>
  <c r="L739" i="2"/>
  <c r="K739" i="2"/>
  <c r="B739" i="2"/>
  <c r="A739" i="2"/>
  <c r="L738" i="2"/>
  <c r="K738" i="2"/>
  <c r="B738" i="2"/>
  <c r="A738" i="2"/>
  <c r="L737" i="2"/>
  <c r="K737" i="2"/>
  <c r="B737" i="2"/>
  <c r="A737" i="2"/>
  <c r="L736" i="2"/>
  <c r="K736" i="2"/>
  <c r="B736" i="2"/>
  <c r="A736" i="2"/>
  <c r="L735" i="2"/>
  <c r="K735" i="2"/>
  <c r="B735" i="2"/>
  <c r="A735" i="2"/>
  <c r="L734" i="2"/>
  <c r="K734" i="2"/>
  <c r="B734" i="2"/>
  <c r="A734" i="2"/>
  <c r="L733" i="2"/>
  <c r="K733" i="2"/>
  <c r="B733" i="2"/>
  <c r="A733" i="2"/>
  <c r="L732" i="2"/>
  <c r="K732" i="2"/>
  <c r="B732" i="2"/>
  <c r="A732" i="2"/>
  <c r="L731" i="2"/>
  <c r="K731" i="2"/>
  <c r="B731" i="2"/>
  <c r="A731" i="2"/>
  <c r="L730" i="2"/>
  <c r="K730" i="2"/>
  <c r="B730" i="2"/>
  <c r="A730" i="2"/>
  <c r="L729" i="2"/>
  <c r="K729" i="2"/>
  <c r="B729" i="2"/>
  <c r="A729" i="2"/>
  <c r="L728" i="2"/>
  <c r="K728" i="2"/>
  <c r="B728" i="2"/>
  <c r="A728" i="2"/>
  <c r="L727" i="2"/>
  <c r="K727" i="2"/>
  <c r="B727" i="2"/>
  <c r="A727" i="2"/>
  <c r="L726" i="2"/>
  <c r="K726" i="2"/>
  <c r="B726" i="2"/>
  <c r="A726" i="2"/>
  <c r="L725" i="2"/>
  <c r="K725" i="2"/>
  <c r="B725" i="2"/>
  <c r="A725" i="2"/>
  <c r="L724" i="2"/>
  <c r="K724" i="2"/>
  <c r="B724" i="2"/>
  <c r="A724" i="2"/>
  <c r="L723" i="2"/>
  <c r="K723" i="2"/>
  <c r="B723" i="2"/>
  <c r="A723" i="2"/>
  <c r="L722" i="2"/>
  <c r="K722" i="2"/>
  <c r="B722" i="2"/>
  <c r="A722" i="2"/>
  <c r="L721" i="2"/>
  <c r="K721" i="2"/>
  <c r="B721" i="2"/>
  <c r="A721" i="2"/>
  <c r="L720" i="2"/>
  <c r="K720" i="2"/>
  <c r="B720" i="2"/>
  <c r="A720" i="2"/>
  <c r="L719" i="2"/>
  <c r="K719" i="2"/>
  <c r="B719" i="2"/>
  <c r="A719" i="2"/>
  <c r="L718" i="2"/>
  <c r="K718" i="2"/>
  <c r="B718" i="2"/>
  <c r="A718" i="2"/>
  <c r="L717" i="2"/>
  <c r="K717" i="2"/>
  <c r="B717" i="2"/>
  <c r="A717" i="2"/>
  <c r="L716" i="2"/>
  <c r="K716" i="2"/>
  <c r="B716" i="2"/>
  <c r="A716" i="2"/>
  <c r="L715" i="2"/>
  <c r="K715" i="2"/>
  <c r="B715" i="2"/>
  <c r="A715" i="2"/>
  <c r="L714" i="2"/>
  <c r="K714" i="2"/>
  <c r="B714" i="2"/>
  <c r="A714" i="2"/>
  <c r="L713" i="2"/>
  <c r="K713" i="2"/>
  <c r="B713" i="2"/>
  <c r="A713" i="2"/>
  <c r="L712" i="2"/>
  <c r="K712" i="2"/>
  <c r="B712" i="2"/>
  <c r="A712" i="2"/>
  <c r="L711" i="2"/>
  <c r="K711" i="2"/>
  <c r="B711" i="2"/>
  <c r="A711" i="2"/>
  <c r="L710" i="2"/>
  <c r="K710" i="2"/>
  <c r="B710" i="2"/>
  <c r="A710" i="2"/>
  <c r="L709" i="2"/>
  <c r="K709" i="2"/>
  <c r="B709" i="2"/>
  <c r="A709" i="2"/>
  <c r="L708" i="2"/>
  <c r="K708" i="2"/>
  <c r="B708" i="2"/>
  <c r="A708" i="2"/>
  <c r="L707" i="2"/>
  <c r="K707" i="2"/>
  <c r="B707" i="2"/>
  <c r="A707" i="2"/>
  <c r="L706" i="2"/>
  <c r="K706" i="2"/>
  <c r="B706" i="2"/>
  <c r="A706" i="2"/>
  <c r="L705" i="2"/>
  <c r="K705" i="2"/>
  <c r="B705" i="2"/>
  <c r="A705" i="2"/>
  <c r="L704" i="2"/>
  <c r="K704" i="2"/>
  <c r="B704" i="2"/>
  <c r="A704" i="2"/>
  <c r="L703" i="2"/>
  <c r="K703" i="2"/>
  <c r="B703" i="2"/>
  <c r="A703" i="2"/>
  <c r="L702" i="2"/>
  <c r="K702" i="2"/>
  <c r="B702" i="2"/>
  <c r="A702" i="2"/>
  <c r="L701" i="2"/>
  <c r="K701" i="2"/>
  <c r="B701" i="2"/>
  <c r="A701" i="2"/>
  <c r="L700" i="2"/>
  <c r="K700" i="2"/>
  <c r="B700" i="2"/>
  <c r="A700" i="2"/>
  <c r="L699" i="2"/>
  <c r="K699" i="2"/>
  <c r="B699" i="2"/>
  <c r="A699" i="2"/>
  <c r="L698" i="2"/>
  <c r="K698" i="2"/>
  <c r="B698" i="2"/>
  <c r="A698" i="2"/>
  <c r="L697" i="2"/>
  <c r="K697" i="2"/>
  <c r="B697" i="2"/>
  <c r="A697" i="2"/>
  <c r="L696" i="2"/>
  <c r="K696" i="2"/>
  <c r="B696" i="2"/>
  <c r="A696" i="2"/>
  <c r="L695" i="2"/>
  <c r="K695" i="2"/>
  <c r="B695" i="2"/>
  <c r="A695" i="2"/>
  <c r="L694" i="2"/>
  <c r="K694" i="2"/>
  <c r="B694" i="2"/>
  <c r="A694" i="2"/>
  <c r="L693" i="2"/>
  <c r="K693" i="2"/>
  <c r="B693" i="2"/>
  <c r="A693" i="2"/>
  <c r="L692" i="2"/>
  <c r="K692" i="2"/>
  <c r="B692" i="2"/>
  <c r="A692" i="2"/>
  <c r="L691" i="2"/>
  <c r="K691" i="2"/>
  <c r="B691" i="2"/>
  <c r="A691" i="2"/>
  <c r="L690" i="2"/>
  <c r="K690" i="2"/>
  <c r="B690" i="2"/>
  <c r="A690" i="2"/>
  <c r="L689" i="2"/>
  <c r="K689" i="2"/>
  <c r="B689" i="2"/>
  <c r="A689" i="2"/>
  <c r="L688" i="2"/>
  <c r="K688" i="2"/>
  <c r="B688" i="2"/>
  <c r="A688" i="2"/>
  <c r="L687" i="2"/>
  <c r="K687" i="2"/>
  <c r="B687" i="2"/>
  <c r="A687" i="2"/>
  <c r="L686" i="2"/>
  <c r="K686" i="2"/>
  <c r="B686" i="2"/>
  <c r="A686" i="2"/>
  <c r="L685" i="2"/>
  <c r="K685" i="2"/>
  <c r="B685" i="2"/>
  <c r="A685" i="2"/>
  <c r="L684" i="2"/>
  <c r="K684" i="2"/>
  <c r="B684" i="2"/>
  <c r="A684" i="2"/>
  <c r="L683" i="2"/>
  <c r="K683" i="2"/>
  <c r="B683" i="2"/>
  <c r="A683" i="2"/>
  <c r="L682" i="2"/>
  <c r="K682" i="2"/>
  <c r="B682" i="2"/>
  <c r="A682" i="2"/>
  <c r="L681" i="2"/>
  <c r="K681" i="2"/>
  <c r="B681" i="2"/>
  <c r="A681" i="2"/>
  <c r="L680" i="2"/>
  <c r="K680" i="2"/>
  <c r="B680" i="2"/>
  <c r="A680" i="2"/>
  <c r="L679" i="2"/>
  <c r="K679" i="2"/>
  <c r="B679" i="2"/>
  <c r="A679" i="2"/>
  <c r="L678" i="2"/>
  <c r="K678" i="2"/>
  <c r="B678" i="2"/>
  <c r="A678" i="2"/>
  <c r="L677" i="2"/>
  <c r="K677" i="2"/>
  <c r="B677" i="2"/>
  <c r="A677" i="2"/>
  <c r="L676" i="2"/>
  <c r="K676" i="2"/>
  <c r="B676" i="2"/>
  <c r="A676" i="2"/>
  <c r="L675" i="2"/>
  <c r="K675" i="2"/>
  <c r="B675" i="2"/>
  <c r="A675" i="2"/>
  <c r="L674" i="2"/>
  <c r="K674" i="2"/>
  <c r="B674" i="2"/>
  <c r="A674" i="2"/>
  <c r="L673" i="2"/>
  <c r="K673" i="2"/>
  <c r="B673" i="2"/>
  <c r="A673" i="2"/>
  <c r="L672" i="2"/>
  <c r="K672" i="2"/>
  <c r="B672" i="2"/>
  <c r="A672" i="2"/>
  <c r="L671" i="2"/>
  <c r="K671" i="2"/>
  <c r="B671" i="2"/>
  <c r="A671" i="2"/>
  <c r="L670" i="2"/>
  <c r="K670" i="2"/>
  <c r="B670" i="2"/>
  <c r="A670" i="2"/>
  <c r="L669" i="2"/>
  <c r="K669" i="2"/>
  <c r="B669" i="2"/>
  <c r="A669" i="2"/>
  <c r="L668" i="2"/>
  <c r="K668" i="2"/>
  <c r="B668" i="2"/>
  <c r="A668" i="2"/>
  <c r="L667" i="2"/>
  <c r="K667" i="2"/>
  <c r="B667" i="2"/>
  <c r="A667" i="2"/>
  <c r="L666" i="2"/>
  <c r="K666" i="2"/>
  <c r="B666" i="2"/>
  <c r="A666" i="2"/>
  <c r="L665" i="2"/>
  <c r="K665" i="2"/>
  <c r="B665" i="2"/>
  <c r="A665" i="2"/>
  <c r="L664" i="2"/>
  <c r="K664" i="2"/>
  <c r="B664" i="2"/>
  <c r="A664" i="2"/>
  <c r="L663" i="2"/>
  <c r="K663" i="2"/>
  <c r="B663" i="2"/>
  <c r="A663" i="2"/>
  <c r="L662" i="2"/>
  <c r="K662" i="2"/>
  <c r="B662" i="2"/>
  <c r="A662" i="2"/>
  <c r="L661" i="2"/>
  <c r="K661" i="2"/>
  <c r="B661" i="2"/>
  <c r="A661" i="2"/>
  <c r="L660" i="2"/>
  <c r="K660" i="2"/>
  <c r="B660" i="2"/>
  <c r="A660" i="2"/>
  <c r="L659" i="2"/>
  <c r="K659" i="2"/>
  <c r="B659" i="2"/>
  <c r="A659" i="2"/>
  <c r="L658" i="2"/>
  <c r="K658" i="2"/>
  <c r="B658" i="2"/>
  <c r="A658" i="2"/>
  <c r="L657" i="2"/>
  <c r="K657" i="2"/>
  <c r="B657" i="2"/>
  <c r="A657" i="2"/>
  <c r="L656" i="2"/>
  <c r="K656" i="2"/>
  <c r="B656" i="2"/>
  <c r="A656" i="2"/>
  <c r="L655" i="2"/>
  <c r="K655" i="2"/>
  <c r="B655" i="2"/>
  <c r="A655" i="2"/>
  <c r="L654" i="2"/>
  <c r="K654" i="2"/>
  <c r="B654" i="2"/>
  <c r="A654" i="2"/>
  <c r="L653" i="2"/>
  <c r="K653" i="2"/>
  <c r="B653" i="2"/>
  <c r="A653" i="2"/>
  <c r="L652" i="2"/>
  <c r="K652" i="2"/>
  <c r="B652" i="2"/>
  <c r="A652" i="2"/>
  <c r="L651" i="2"/>
  <c r="K651" i="2"/>
  <c r="B651" i="2"/>
  <c r="A651" i="2"/>
  <c r="L650" i="2"/>
  <c r="K650" i="2"/>
  <c r="B650" i="2"/>
  <c r="A650" i="2"/>
  <c r="L649" i="2"/>
  <c r="K649" i="2"/>
  <c r="B649" i="2"/>
  <c r="A649" i="2"/>
  <c r="L648" i="2"/>
  <c r="K648" i="2"/>
  <c r="B648" i="2"/>
  <c r="A648" i="2"/>
  <c r="L647" i="2"/>
  <c r="K647" i="2"/>
  <c r="B647" i="2"/>
  <c r="A647" i="2"/>
  <c r="L646" i="2"/>
  <c r="K646" i="2"/>
  <c r="B646" i="2"/>
  <c r="A646" i="2"/>
  <c r="L645" i="2"/>
  <c r="K645" i="2"/>
  <c r="B645" i="2"/>
  <c r="A645" i="2"/>
  <c r="L644" i="2"/>
  <c r="K644" i="2"/>
  <c r="B644" i="2"/>
  <c r="A644" i="2"/>
  <c r="L643" i="2"/>
  <c r="K643" i="2"/>
  <c r="B643" i="2"/>
  <c r="A643" i="2"/>
  <c r="L642" i="2"/>
  <c r="K642" i="2"/>
  <c r="B642" i="2"/>
  <c r="A642" i="2"/>
  <c r="L641" i="2"/>
  <c r="K641" i="2"/>
  <c r="B641" i="2"/>
  <c r="A641" i="2"/>
  <c r="L640" i="2"/>
  <c r="K640" i="2"/>
  <c r="B640" i="2"/>
  <c r="A640" i="2"/>
  <c r="L639" i="2"/>
  <c r="K639" i="2"/>
  <c r="B639" i="2"/>
  <c r="A639" i="2"/>
  <c r="L638" i="2"/>
  <c r="K638" i="2"/>
  <c r="B638" i="2"/>
  <c r="A638" i="2"/>
  <c r="L637" i="2"/>
  <c r="K637" i="2"/>
  <c r="B637" i="2"/>
  <c r="A637" i="2"/>
  <c r="L636" i="2"/>
  <c r="K636" i="2"/>
  <c r="B636" i="2"/>
  <c r="A636" i="2"/>
  <c r="L635" i="2"/>
  <c r="K635" i="2"/>
  <c r="B635" i="2"/>
  <c r="A635" i="2"/>
  <c r="L634" i="2"/>
  <c r="K634" i="2"/>
  <c r="B634" i="2"/>
  <c r="A634" i="2"/>
  <c r="L633" i="2"/>
  <c r="K633" i="2"/>
  <c r="B633" i="2"/>
  <c r="A633" i="2"/>
  <c r="L632" i="2"/>
  <c r="K632" i="2"/>
  <c r="B632" i="2"/>
  <c r="A632" i="2"/>
  <c r="L631" i="2"/>
  <c r="K631" i="2"/>
  <c r="B631" i="2"/>
  <c r="A631" i="2"/>
  <c r="L630" i="2"/>
  <c r="K630" i="2"/>
  <c r="B630" i="2"/>
  <c r="A630" i="2"/>
  <c r="L629" i="2"/>
  <c r="K629" i="2"/>
  <c r="B629" i="2"/>
  <c r="A629" i="2"/>
  <c r="L628" i="2"/>
  <c r="K628" i="2"/>
  <c r="B628" i="2"/>
  <c r="A628" i="2"/>
  <c r="L627" i="2"/>
  <c r="K627" i="2"/>
  <c r="B627" i="2"/>
  <c r="A627" i="2"/>
  <c r="L626" i="2"/>
  <c r="K626" i="2"/>
  <c r="B626" i="2"/>
  <c r="A626" i="2"/>
  <c r="L625" i="2"/>
  <c r="K625" i="2"/>
  <c r="B625" i="2"/>
  <c r="A625" i="2"/>
  <c r="L624" i="2"/>
  <c r="K624" i="2"/>
  <c r="B624" i="2"/>
  <c r="A624" i="2"/>
  <c r="L623" i="2"/>
  <c r="K623" i="2"/>
  <c r="B623" i="2"/>
  <c r="A623" i="2"/>
  <c r="L622" i="2"/>
  <c r="K622" i="2"/>
  <c r="B622" i="2"/>
  <c r="A622" i="2"/>
  <c r="L621" i="2"/>
  <c r="K621" i="2"/>
  <c r="B621" i="2"/>
  <c r="A621" i="2"/>
  <c r="L620" i="2"/>
  <c r="K620" i="2"/>
  <c r="B620" i="2"/>
  <c r="A620" i="2"/>
  <c r="L619" i="2"/>
  <c r="K619" i="2"/>
  <c r="B619" i="2"/>
  <c r="A619" i="2"/>
  <c r="L618" i="2"/>
  <c r="K618" i="2"/>
  <c r="B618" i="2"/>
  <c r="A618" i="2"/>
  <c r="L617" i="2"/>
  <c r="K617" i="2"/>
  <c r="B617" i="2"/>
  <c r="A617" i="2"/>
  <c r="L616" i="2"/>
  <c r="K616" i="2"/>
  <c r="B616" i="2"/>
  <c r="A616" i="2"/>
  <c r="L615" i="2"/>
  <c r="K615" i="2"/>
  <c r="B615" i="2"/>
  <c r="A615" i="2"/>
  <c r="L614" i="2"/>
  <c r="K614" i="2"/>
  <c r="B614" i="2"/>
  <c r="A614" i="2"/>
  <c r="L613" i="2"/>
  <c r="K613" i="2"/>
  <c r="B613" i="2"/>
  <c r="A613" i="2"/>
  <c r="L612" i="2"/>
  <c r="K612" i="2"/>
  <c r="B612" i="2"/>
  <c r="A612" i="2"/>
  <c r="L611" i="2"/>
  <c r="K611" i="2"/>
  <c r="B611" i="2"/>
  <c r="A611" i="2"/>
  <c r="L610" i="2"/>
  <c r="K610" i="2"/>
  <c r="B610" i="2"/>
  <c r="A610" i="2"/>
  <c r="L609" i="2"/>
  <c r="K609" i="2"/>
  <c r="B609" i="2"/>
  <c r="A609" i="2"/>
  <c r="L608" i="2"/>
  <c r="K608" i="2"/>
  <c r="B608" i="2"/>
  <c r="A608" i="2"/>
  <c r="L607" i="2"/>
  <c r="K607" i="2"/>
  <c r="B607" i="2"/>
  <c r="A607" i="2"/>
  <c r="L606" i="2"/>
  <c r="K606" i="2"/>
  <c r="B606" i="2"/>
  <c r="A606" i="2"/>
  <c r="L605" i="2"/>
  <c r="K605" i="2"/>
  <c r="B605" i="2"/>
  <c r="A605" i="2"/>
  <c r="L604" i="2"/>
  <c r="K604" i="2"/>
  <c r="B604" i="2"/>
  <c r="A604" i="2"/>
  <c r="L603" i="2"/>
  <c r="K603" i="2"/>
  <c r="B603" i="2"/>
  <c r="A603" i="2"/>
  <c r="L602" i="2"/>
  <c r="K602" i="2"/>
  <c r="B602" i="2"/>
  <c r="A602" i="2"/>
  <c r="L601" i="2"/>
  <c r="K601" i="2"/>
  <c r="B601" i="2"/>
  <c r="A601" i="2"/>
  <c r="L600" i="2"/>
  <c r="K600" i="2"/>
  <c r="B600" i="2"/>
  <c r="A600" i="2"/>
  <c r="L599" i="2"/>
  <c r="K599" i="2"/>
  <c r="B599" i="2"/>
  <c r="A599" i="2"/>
  <c r="L598" i="2"/>
  <c r="K598" i="2"/>
  <c r="B598" i="2"/>
  <c r="A598" i="2"/>
  <c r="L597" i="2"/>
  <c r="K597" i="2"/>
  <c r="B597" i="2"/>
  <c r="A597" i="2"/>
  <c r="L596" i="2"/>
  <c r="K596" i="2"/>
  <c r="B596" i="2"/>
  <c r="A596" i="2"/>
  <c r="L595" i="2"/>
  <c r="K595" i="2"/>
  <c r="B595" i="2"/>
  <c r="A595" i="2"/>
  <c r="L594" i="2"/>
  <c r="K594" i="2"/>
  <c r="B594" i="2"/>
  <c r="A594" i="2"/>
  <c r="L593" i="2"/>
  <c r="K593" i="2"/>
  <c r="B593" i="2"/>
  <c r="A593" i="2"/>
  <c r="L592" i="2"/>
  <c r="K592" i="2"/>
  <c r="B592" i="2"/>
  <c r="A592" i="2"/>
  <c r="L591" i="2"/>
  <c r="K591" i="2"/>
  <c r="B591" i="2"/>
  <c r="A591" i="2"/>
  <c r="L590" i="2"/>
  <c r="K590" i="2"/>
  <c r="B590" i="2"/>
  <c r="A590" i="2"/>
  <c r="L589" i="2"/>
  <c r="K589" i="2"/>
  <c r="B589" i="2"/>
  <c r="A589" i="2"/>
  <c r="L588" i="2"/>
  <c r="K588" i="2"/>
  <c r="B588" i="2"/>
  <c r="A588" i="2"/>
  <c r="L587" i="2"/>
  <c r="K587" i="2"/>
  <c r="B587" i="2"/>
  <c r="A587" i="2"/>
  <c r="L586" i="2"/>
  <c r="K586" i="2"/>
  <c r="B586" i="2"/>
  <c r="A586" i="2"/>
  <c r="L585" i="2"/>
  <c r="K585" i="2"/>
  <c r="B585" i="2"/>
  <c r="A585" i="2"/>
  <c r="L584" i="2"/>
  <c r="K584" i="2"/>
  <c r="B584" i="2"/>
  <c r="A584" i="2"/>
  <c r="L583" i="2"/>
  <c r="K583" i="2"/>
  <c r="B583" i="2"/>
  <c r="A583" i="2"/>
  <c r="L582" i="2"/>
  <c r="K582" i="2"/>
  <c r="B582" i="2"/>
  <c r="A582" i="2"/>
  <c r="L581" i="2"/>
  <c r="K581" i="2"/>
  <c r="B581" i="2"/>
  <c r="A581" i="2"/>
  <c r="L580" i="2"/>
  <c r="K580" i="2"/>
  <c r="B580" i="2"/>
  <c r="A580" i="2"/>
  <c r="L579" i="2"/>
  <c r="K579" i="2"/>
  <c r="B579" i="2"/>
  <c r="A579" i="2"/>
  <c r="L578" i="2"/>
  <c r="K578" i="2"/>
  <c r="B578" i="2"/>
  <c r="A578" i="2"/>
  <c r="L577" i="2"/>
  <c r="K577" i="2"/>
  <c r="B577" i="2"/>
  <c r="A577" i="2"/>
  <c r="L576" i="2"/>
  <c r="K576" i="2"/>
  <c r="B576" i="2"/>
  <c r="A576" i="2"/>
  <c r="L575" i="2"/>
  <c r="K575" i="2"/>
  <c r="B575" i="2"/>
  <c r="A575" i="2"/>
  <c r="L574" i="2"/>
  <c r="K574" i="2"/>
  <c r="B574" i="2"/>
  <c r="A574" i="2"/>
  <c r="L573" i="2"/>
  <c r="K573" i="2"/>
  <c r="B573" i="2"/>
  <c r="A573" i="2"/>
  <c r="L572" i="2"/>
  <c r="K572" i="2"/>
  <c r="B572" i="2"/>
  <c r="A572" i="2"/>
  <c r="L571" i="2"/>
  <c r="K571" i="2"/>
  <c r="B571" i="2"/>
  <c r="A571" i="2"/>
  <c r="L570" i="2"/>
  <c r="K570" i="2"/>
  <c r="B570" i="2"/>
  <c r="A570" i="2"/>
  <c r="L569" i="2"/>
  <c r="K569" i="2"/>
  <c r="B569" i="2"/>
  <c r="A569" i="2"/>
  <c r="L568" i="2"/>
  <c r="K568" i="2"/>
  <c r="B568" i="2"/>
  <c r="A568" i="2"/>
  <c r="L567" i="2"/>
  <c r="K567" i="2"/>
  <c r="B567" i="2"/>
  <c r="A567" i="2"/>
  <c r="L566" i="2"/>
  <c r="K566" i="2"/>
  <c r="B566" i="2"/>
  <c r="A566" i="2"/>
  <c r="L565" i="2"/>
  <c r="K565" i="2"/>
  <c r="B565" i="2"/>
  <c r="A565" i="2"/>
  <c r="L564" i="2"/>
  <c r="K564" i="2"/>
  <c r="B564" i="2"/>
  <c r="A564" i="2"/>
  <c r="L563" i="2"/>
  <c r="K563" i="2"/>
  <c r="B563" i="2"/>
  <c r="A563" i="2"/>
  <c r="L562" i="2"/>
  <c r="K562" i="2"/>
  <c r="B562" i="2"/>
  <c r="A562" i="2"/>
  <c r="L561" i="2"/>
  <c r="K561" i="2"/>
  <c r="B561" i="2"/>
  <c r="A561" i="2"/>
  <c r="L560" i="2"/>
  <c r="K560" i="2"/>
  <c r="B560" i="2"/>
  <c r="A560" i="2"/>
  <c r="L559" i="2"/>
  <c r="K559" i="2"/>
  <c r="B559" i="2"/>
  <c r="A559" i="2"/>
  <c r="L558" i="2"/>
  <c r="K558" i="2"/>
  <c r="B558" i="2"/>
  <c r="A558" i="2"/>
  <c r="L557" i="2"/>
  <c r="K557" i="2"/>
  <c r="B557" i="2"/>
  <c r="A557" i="2"/>
  <c r="L556" i="2"/>
  <c r="K556" i="2"/>
  <c r="B556" i="2"/>
  <c r="A556" i="2"/>
  <c r="L555" i="2"/>
  <c r="K555" i="2"/>
  <c r="B555" i="2"/>
  <c r="A555" i="2"/>
  <c r="L554" i="2"/>
  <c r="K554" i="2"/>
  <c r="B554" i="2"/>
  <c r="A554" i="2"/>
  <c r="L553" i="2"/>
  <c r="K553" i="2"/>
  <c r="B553" i="2"/>
  <c r="A553" i="2"/>
  <c r="L552" i="2"/>
  <c r="K552" i="2"/>
  <c r="B552" i="2"/>
  <c r="A552" i="2"/>
  <c r="L551" i="2"/>
  <c r="K551" i="2"/>
  <c r="B551" i="2"/>
  <c r="A551" i="2"/>
  <c r="L550" i="2"/>
  <c r="K550" i="2"/>
  <c r="B550" i="2"/>
  <c r="A550" i="2"/>
  <c r="L549" i="2"/>
  <c r="K549" i="2"/>
  <c r="B549" i="2"/>
  <c r="A549" i="2"/>
  <c r="L548" i="2"/>
  <c r="K548" i="2"/>
  <c r="B548" i="2"/>
  <c r="A548" i="2"/>
  <c r="L547" i="2"/>
  <c r="K547" i="2"/>
  <c r="B547" i="2"/>
  <c r="A547" i="2"/>
  <c r="L546" i="2"/>
  <c r="K546" i="2"/>
  <c r="B546" i="2"/>
  <c r="A546" i="2"/>
  <c r="L545" i="2"/>
  <c r="K545" i="2"/>
  <c r="B545" i="2"/>
  <c r="A545" i="2"/>
  <c r="L544" i="2"/>
  <c r="K544" i="2"/>
  <c r="B544" i="2"/>
  <c r="A544" i="2"/>
  <c r="L543" i="2"/>
  <c r="K543" i="2"/>
  <c r="B543" i="2"/>
  <c r="A543" i="2"/>
  <c r="L542" i="2"/>
  <c r="K542" i="2"/>
  <c r="B542" i="2"/>
  <c r="A542" i="2"/>
  <c r="L541" i="2"/>
  <c r="K541" i="2"/>
  <c r="B541" i="2"/>
  <c r="A541" i="2"/>
  <c r="L540" i="2"/>
  <c r="K540" i="2"/>
  <c r="B540" i="2"/>
  <c r="A540" i="2"/>
  <c r="L539" i="2"/>
  <c r="K539" i="2"/>
  <c r="B539" i="2"/>
  <c r="A539" i="2"/>
  <c r="L538" i="2"/>
  <c r="K538" i="2"/>
  <c r="B538" i="2"/>
  <c r="A538" i="2"/>
  <c r="L537" i="2"/>
  <c r="K537" i="2"/>
  <c r="B537" i="2"/>
  <c r="A537" i="2"/>
  <c r="L536" i="2"/>
  <c r="K536" i="2"/>
  <c r="B536" i="2"/>
  <c r="A536" i="2"/>
  <c r="L535" i="2"/>
  <c r="K535" i="2"/>
  <c r="B535" i="2"/>
  <c r="A535" i="2"/>
  <c r="L534" i="2"/>
  <c r="K534" i="2"/>
  <c r="B534" i="2"/>
  <c r="A534" i="2"/>
  <c r="L533" i="2"/>
  <c r="K533" i="2"/>
  <c r="B533" i="2"/>
  <c r="A533" i="2"/>
  <c r="L532" i="2"/>
  <c r="K532" i="2"/>
  <c r="B532" i="2"/>
  <c r="A532" i="2"/>
  <c r="L531" i="2"/>
  <c r="K531" i="2"/>
  <c r="B531" i="2"/>
  <c r="A531" i="2"/>
  <c r="L530" i="2"/>
  <c r="K530" i="2"/>
  <c r="B530" i="2"/>
  <c r="A530" i="2"/>
  <c r="L529" i="2"/>
  <c r="K529" i="2"/>
  <c r="B529" i="2"/>
  <c r="A529" i="2"/>
  <c r="L528" i="2"/>
  <c r="K528" i="2"/>
  <c r="B528" i="2"/>
  <c r="A528" i="2"/>
  <c r="L527" i="2"/>
  <c r="K527" i="2"/>
  <c r="B527" i="2"/>
  <c r="A527" i="2"/>
  <c r="L526" i="2"/>
  <c r="K526" i="2"/>
  <c r="B526" i="2"/>
  <c r="A526" i="2"/>
  <c r="L525" i="2"/>
  <c r="K525" i="2"/>
  <c r="B525" i="2"/>
  <c r="A525" i="2"/>
  <c r="L524" i="2"/>
  <c r="K524" i="2"/>
  <c r="B524" i="2"/>
  <c r="A524" i="2"/>
  <c r="L523" i="2"/>
  <c r="K523" i="2"/>
  <c r="B523" i="2"/>
  <c r="A523" i="2"/>
  <c r="L104" i="3" s="1"/>
  <c r="L522" i="2"/>
  <c r="K522" i="2"/>
  <c r="B522" i="2"/>
  <c r="A522" i="2"/>
  <c r="L521" i="2"/>
  <c r="K521" i="2"/>
  <c r="B521" i="2"/>
  <c r="A521" i="2"/>
  <c r="L520" i="2"/>
  <c r="K520" i="2"/>
  <c r="B520" i="2"/>
  <c r="A520" i="2"/>
  <c r="L519" i="2"/>
  <c r="K519" i="2"/>
  <c r="B519" i="2"/>
  <c r="A519" i="2"/>
  <c r="L518" i="2"/>
  <c r="K518" i="2"/>
  <c r="B518" i="2"/>
  <c r="A518" i="2"/>
  <c r="L517" i="2"/>
  <c r="K517" i="2"/>
  <c r="B517" i="2"/>
  <c r="A517" i="2"/>
  <c r="L516" i="2"/>
  <c r="K516" i="2"/>
  <c r="B516" i="2"/>
  <c r="A516" i="2"/>
  <c r="L515" i="2"/>
  <c r="K515" i="2"/>
  <c r="B515" i="2"/>
  <c r="A515" i="2"/>
  <c r="L514" i="2"/>
  <c r="K514" i="2"/>
  <c r="B514" i="2"/>
  <c r="A514" i="2"/>
  <c r="L513" i="2"/>
  <c r="K513" i="2"/>
  <c r="B513" i="2"/>
  <c r="A513" i="2"/>
  <c r="L512" i="2"/>
  <c r="K512" i="2"/>
  <c r="B512" i="2"/>
  <c r="A512" i="2"/>
  <c r="L511" i="2"/>
  <c r="K511" i="2"/>
  <c r="B511" i="2"/>
  <c r="A511" i="2"/>
  <c r="L510" i="2"/>
  <c r="K510" i="2"/>
  <c r="B510" i="2"/>
  <c r="A510" i="2"/>
  <c r="L509" i="2"/>
  <c r="K509" i="2"/>
  <c r="B509" i="2"/>
  <c r="A509" i="2"/>
  <c r="L508" i="2"/>
  <c r="K508" i="2"/>
  <c r="B508" i="2"/>
  <c r="A508" i="2"/>
  <c r="L507" i="2"/>
  <c r="K507" i="2"/>
  <c r="B507" i="2"/>
  <c r="A507" i="2"/>
  <c r="L506" i="2"/>
  <c r="K506" i="2"/>
  <c r="B506" i="2"/>
  <c r="A506" i="2"/>
  <c r="L505" i="2"/>
  <c r="K505" i="2"/>
  <c r="B505" i="2"/>
  <c r="A505" i="2"/>
  <c r="L504" i="2"/>
  <c r="K504" i="2"/>
  <c r="B504" i="2"/>
  <c r="A504" i="2"/>
  <c r="L503" i="2"/>
  <c r="K503" i="2"/>
  <c r="B503" i="2"/>
  <c r="A503" i="2"/>
  <c r="L502" i="2"/>
  <c r="K502" i="2"/>
  <c r="B502" i="2"/>
  <c r="A502" i="2"/>
  <c r="L501" i="2"/>
  <c r="K501" i="2"/>
  <c r="B501" i="2"/>
  <c r="A501" i="2"/>
  <c r="L500" i="2"/>
  <c r="K500" i="2"/>
  <c r="B500" i="2"/>
  <c r="A500" i="2"/>
  <c r="L499" i="2"/>
  <c r="K499" i="2"/>
  <c r="B499" i="2"/>
  <c r="A499" i="2"/>
  <c r="L498" i="2"/>
  <c r="K498" i="2"/>
  <c r="B498" i="2"/>
  <c r="A498" i="2"/>
  <c r="L497" i="2"/>
  <c r="K497" i="2"/>
  <c r="B497" i="2"/>
  <c r="A497" i="2"/>
  <c r="L496" i="2"/>
  <c r="K496" i="2"/>
  <c r="B496" i="2"/>
  <c r="A496" i="2"/>
  <c r="L495" i="2"/>
  <c r="K495" i="2"/>
  <c r="B495" i="2"/>
  <c r="A495" i="2"/>
  <c r="L494" i="2"/>
  <c r="K494" i="2"/>
  <c r="B494" i="2"/>
  <c r="A494" i="2"/>
  <c r="L493" i="2"/>
  <c r="K493" i="2"/>
  <c r="B493" i="2"/>
  <c r="A493" i="2"/>
  <c r="L492" i="2"/>
  <c r="K492" i="2"/>
  <c r="B492" i="2"/>
  <c r="A492" i="2"/>
  <c r="L491" i="2"/>
  <c r="K491" i="2"/>
  <c r="B491" i="2"/>
  <c r="A491" i="2"/>
  <c r="L490" i="2"/>
  <c r="K490" i="2"/>
  <c r="B490" i="2"/>
  <c r="A490" i="2"/>
  <c r="L489" i="2"/>
  <c r="K489" i="2"/>
  <c r="B489" i="2"/>
  <c r="A489" i="2"/>
  <c r="L488" i="2"/>
  <c r="K488" i="2"/>
  <c r="B488" i="2"/>
  <c r="A488" i="2"/>
  <c r="L487" i="2"/>
  <c r="K487" i="2"/>
  <c r="B487" i="2"/>
  <c r="A487" i="2"/>
  <c r="L486" i="2"/>
  <c r="K486" i="2"/>
  <c r="B486" i="2"/>
  <c r="A486" i="2"/>
  <c r="L485" i="2"/>
  <c r="K485" i="2"/>
  <c r="B485" i="2"/>
  <c r="A485" i="2"/>
  <c r="L484" i="2"/>
  <c r="K484" i="2"/>
  <c r="B484" i="2"/>
  <c r="A484" i="2"/>
  <c r="L483" i="2"/>
  <c r="K483" i="2"/>
  <c r="B483" i="2"/>
  <c r="A483" i="2"/>
  <c r="L482" i="2"/>
  <c r="K482" i="2"/>
  <c r="B482" i="2"/>
  <c r="A482" i="2"/>
  <c r="L481" i="2"/>
  <c r="K481" i="2"/>
  <c r="B481" i="2"/>
  <c r="A481" i="2"/>
  <c r="L480" i="2"/>
  <c r="K480" i="2"/>
  <c r="B480" i="2"/>
  <c r="A480" i="2"/>
  <c r="L479" i="2"/>
  <c r="K479" i="2"/>
  <c r="B479" i="2"/>
  <c r="A479" i="2"/>
  <c r="L478" i="2"/>
  <c r="K478" i="2"/>
  <c r="B478" i="2"/>
  <c r="A478" i="2"/>
  <c r="L477" i="2"/>
  <c r="K477" i="2"/>
  <c r="B477" i="2"/>
  <c r="A477" i="2"/>
  <c r="L476" i="2"/>
  <c r="K476" i="2"/>
  <c r="B476" i="2"/>
  <c r="A476" i="2"/>
  <c r="L475" i="2"/>
  <c r="K475" i="2"/>
  <c r="B475" i="2"/>
  <c r="A475" i="2"/>
  <c r="L474" i="2"/>
  <c r="K474" i="2"/>
  <c r="B474" i="2"/>
  <c r="A474" i="2"/>
  <c r="L473" i="2"/>
  <c r="K473" i="2"/>
  <c r="B473" i="2"/>
  <c r="A473" i="2"/>
  <c r="L472" i="2"/>
  <c r="K472" i="2"/>
  <c r="B472" i="2"/>
  <c r="A472" i="2"/>
  <c r="L471" i="2"/>
  <c r="K471" i="2"/>
  <c r="B471" i="2"/>
  <c r="A471" i="2"/>
  <c r="L470" i="2"/>
  <c r="K470" i="2"/>
  <c r="B470" i="2"/>
  <c r="A470" i="2"/>
  <c r="L469" i="2"/>
  <c r="K469" i="2"/>
  <c r="B469" i="2"/>
  <c r="A469" i="2"/>
  <c r="L468" i="2"/>
  <c r="K468" i="2"/>
  <c r="B468" i="2"/>
  <c r="A468" i="2"/>
  <c r="L467" i="2"/>
  <c r="K467" i="2"/>
  <c r="B467" i="2"/>
  <c r="A467" i="2"/>
  <c r="L466" i="2"/>
  <c r="K466" i="2"/>
  <c r="B466" i="2"/>
  <c r="A466" i="2"/>
  <c r="L465" i="2"/>
  <c r="K465" i="2"/>
  <c r="B465" i="2"/>
  <c r="A465" i="2"/>
  <c r="L464" i="2"/>
  <c r="K464" i="2"/>
  <c r="B464" i="2"/>
  <c r="A464" i="2"/>
  <c r="L463" i="2"/>
  <c r="K463" i="2"/>
  <c r="B463" i="2"/>
  <c r="A463" i="2"/>
  <c r="L462" i="2"/>
  <c r="K462" i="2"/>
  <c r="B462" i="2"/>
  <c r="A462" i="2"/>
  <c r="L461" i="2"/>
  <c r="K461" i="2"/>
  <c r="B461" i="2"/>
  <c r="A461" i="2"/>
  <c r="L460" i="2"/>
  <c r="K460" i="2"/>
  <c r="B460" i="2"/>
  <c r="A460" i="2"/>
  <c r="L459" i="2"/>
  <c r="K459" i="2"/>
  <c r="B459" i="2"/>
  <c r="A459" i="2"/>
  <c r="L458" i="2"/>
  <c r="K458" i="2"/>
  <c r="B458" i="2"/>
  <c r="A458" i="2"/>
  <c r="L457" i="2"/>
  <c r="K457" i="2"/>
  <c r="B457" i="2"/>
  <c r="A457" i="2"/>
  <c r="L456" i="2"/>
  <c r="K456" i="2"/>
  <c r="B456" i="2"/>
  <c r="A456" i="2"/>
  <c r="L455" i="2"/>
  <c r="K455" i="2"/>
  <c r="B455" i="2"/>
  <c r="A455" i="2"/>
  <c r="L454" i="2"/>
  <c r="K454" i="2"/>
  <c r="B454" i="2"/>
  <c r="A454" i="2"/>
  <c r="L453" i="2"/>
  <c r="K453" i="2"/>
  <c r="B453" i="2"/>
  <c r="A453" i="2"/>
  <c r="L452" i="2"/>
  <c r="K452" i="2"/>
  <c r="B452" i="2"/>
  <c r="A452" i="2"/>
  <c r="L451" i="2"/>
  <c r="K451" i="2"/>
  <c r="B451" i="2"/>
  <c r="A451" i="2"/>
  <c r="L450" i="2"/>
  <c r="K450" i="2"/>
  <c r="B450" i="2"/>
  <c r="A450" i="2"/>
  <c r="L449" i="2"/>
  <c r="K449" i="2"/>
  <c r="B449" i="2"/>
  <c r="A449" i="2"/>
  <c r="L448" i="2"/>
  <c r="K448" i="2"/>
  <c r="B448" i="2"/>
  <c r="A448" i="2"/>
  <c r="L447" i="2"/>
  <c r="K447" i="2"/>
  <c r="B447" i="2"/>
  <c r="A447" i="2"/>
  <c r="L446" i="2"/>
  <c r="K446" i="2"/>
  <c r="B446" i="2"/>
  <c r="A446" i="2"/>
  <c r="L445" i="2"/>
  <c r="K445" i="2"/>
  <c r="B445" i="2"/>
  <c r="A445" i="2"/>
  <c r="L444" i="2"/>
  <c r="K444" i="2"/>
  <c r="B444" i="2"/>
  <c r="A444" i="2"/>
  <c r="L443" i="2"/>
  <c r="K443" i="2"/>
  <c r="B443" i="2"/>
  <c r="A443" i="2"/>
  <c r="L442" i="2"/>
  <c r="K442" i="2"/>
  <c r="B442" i="2"/>
  <c r="A442" i="2"/>
  <c r="L441" i="2"/>
  <c r="K441" i="2"/>
  <c r="B441" i="2"/>
  <c r="A441" i="2"/>
  <c r="L440" i="2"/>
  <c r="K440" i="2"/>
  <c r="B440" i="2"/>
  <c r="A440" i="2"/>
  <c r="L439" i="2"/>
  <c r="K439" i="2"/>
  <c r="B439" i="2"/>
  <c r="A439" i="2"/>
  <c r="L438" i="2"/>
  <c r="K438" i="2"/>
  <c r="B438" i="2"/>
  <c r="A438" i="2"/>
  <c r="L437" i="2"/>
  <c r="K437" i="2"/>
  <c r="B437" i="2"/>
  <c r="A437" i="2"/>
  <c r="L436" i="2"/>
  <c r="K436" i="2"/>
  <c r="B436" i="2"/>
  <c r="A436" i="2"/>
  <c r="L435" i="2"/>
  <c r="K435" i="2"/>
  <c r="B435" i="2"/>
  <c r="A435" i="2"/>
  <c r="L434" i="2"/>
  <c r="K434" i="2"/>
  <c r="B434" i="2"/>
  <c r="A434" i="2"/>
  <c r="L433" i="2"/>
  <c r="K433" i="2"/>
  <c r="B433" i="2"/>
  <c r="A433" i="2"/>
  <c r="L432" i="2"/>
  <c r="K432" i="2"/>
  <c r="B432" i="2"/>
  <c r="A432" i="2"/>
  <c r="L431" i="2"/>
  <c r="K431" i="2"/>
  <c r="B431" i="2"/>
  <c r="A431" i="2"/>
  <c r="L430" i="2"/>
  <c r="K430" i="2"/>
  <c r="B430" i="2"/>
  <c r="A430" i="2"/>
  <c r="L429" i="2"/>
  <c r="K429" i="2"/>
  <c r="B429" i="2"/>
  <c r="A429" i="2"/>
  <c r="L428" i="2"/>
  <c r="K428" i="2"/>
  <c r="B428" i="2"/>
  <c r="A428" i="2"/>
  <c r="L427" i="2"/>
  <c r="K427" i="2"/>
  <c r="B427" i="2"/>
  <c r="A427" i="2"/>
  <c r="L426" i="2"/>
  <c r="K426" i="2"/>
  <c r="B426" i="2"/>
  <c r="A426" i="2"/>
  <c r="L425" i="2"/>
  <c r="K425" i="2"/>
  <c r="B425" i="2"/>
  <c r="A425" i="2"/>
  <c r="L424" i="2"/>
  <c r="K424" i="2"/>
  <c r="B424" i="2"/>
  <c r="A424" i="2"/>
  <c r="L423" i="2"/>
  <c r="K423" i="2"/>
  <c r="B423" i="2"/>
  <c r="A423" i="2"/>
  <c r="L422" i="2"/>
  <c r="K422" i="2"/>
  <c r="B422" i="2"/>
  <c r="A422" i="2"/>
  <c r="L421" i="2"/>
  <c r="K421" i="2"/>
  <c r="B421" i="2"/>
  <c r="A421" i="2"/>
  <c r="L420" i="2"/>
  <c r="K420" i="2"/>
  <c r="B420" i="2"/>
  <c r="A420" i="2"/>
  <c r="L419" i="2"/>
  <c r="K419" i="2"/>
  <c r="B419" i="2"/>
  <c r="A419" i="2"/>
  <c r="L418" i="2"/>
  <c r="K418" i="2"/>
  <c r="B418" i="2"/>
  <c r="A418" i="2"/>
  <c r="L417" i="2"/>
  <c r="K417" i="2"/>
  <c r="B417" i="2"/>
  <c r="A417" i="2"/>
  <c r="L416" i="2"/>
  <c r="K416" i="2"/>
  <c r="B416" i="2"/>
  <c r="A416" i="2"/>
  <c r="L415" i="2"/>
  <c r="K415" i="2"/>
  <c r="B415" i="2"/>
  <c r="A415" i="2"/>
  <c r="L414" i="2"/>
  <c r="K414" i="2"/>
  <c r="B414" i="2"/>
  <c r="A414" i="2"/>
  <c r="L413" i="2"/>
  <c r="K413" i="2"/>
  <c r="B413" i="2"/>
  <c r="A413" i="2"/>
  <c r="L412" i="2"/>
  <c r="K412" i="2"/>
  <c r="B412" i="2"/>
  <c r="A412" i="2"/>
  <c r="L411" i="2"/>
  <c r="K411" i="2"/>
  <c r="B411" i="2"/>
  <c r="A411" i="2"/>
  <c r="L410" i="2"/>
  <c r="K410" i="2"/>
  <c r="B410" i="2"/>
  <c r="A410" i="2"/>
  <c r="L409" i="2"/>
  <c r="K409" i="2"/>
  <c r="B409" i="2"/>
  <c r="A409" i="2"/>
  <c r="L408" i="2"/>
  <c r="K408" i="2"/>
  <c r="B408" i="2"/>
  <c r="A408" i="2"/>
  <c r="L407" i="2"/>
  <c r="K407" i="2"/>
  <c r="B407" i="2"/>
  <c r="A407" i="2"/>
  <c r="L406" i="2"/>
  <c r="K406" i="2"/>
  <c r="B406" i="2"/>
  <c r="A406" i="2"/>
  <c r="L405" i="2"/>
  <c r="K405" i="2"/>
  <c r="B405" i="2"/>
  <c r="A405" i="2"/>
  <c r="L404" i="2"/>
  <c r="K404" i="2"/>
  <c r="B404" i="2"/>
  <c r="A404" i="2"/>
  <c r="L403" i="2"/>
  <c r="K403" i="2"/>
  <c r="B403" i="2"/>
  <c r="A403" i="2"/>
  <c r="L402" i="2"/>
  <c r="K402" i="2"/>
  <c r="B402" i="2"/>
  <c r="A402" i="2"/>
  <c r="L401" i="2"/>
  <c r="K401" i="2"/>
  <c r="B401" i="2"/>
  <c r="A401" i="2"/>
  <c r="L400" i="2"/>
  <c r="K400" i="2"/>
  <c r="B400" i="2"/>
  <c r="A400" i="2"/>
  <c r="L399" i="2"/>
  <c r="K399" i="2"/>
  <c r="B399" i="2"/>
  <c r="A399" i="2"/>
  <c r="L398" i="2"/>
  <c r="K398" i="2"/>
  <c r="B398" i="2"/>
  <c r="A398" i="2"/>
  <c r="L397" i="2"/>
  <c r="K397" i="2"/>
  <c r="B397" i="2"/>
  <c r="A397" i="2"/>
  <c r="L396" i="2"/>
  <c r="K396" i="2"/>
  <c r="B396" i="2"/>
  <c r="A396" i="2"/>
  <c r="L395" i="2"/>
  <c r="K395" i="2"/>
  <c r="B395" i="2"/>
  <c r="A395" i="2"/>
  <c r="L394" i="2"/>
  <c r="K394" i="2"/>
  <c r="B394" i="2"/>
  <c r="A394" i="2"/>
  <c r="L393" i="2"/>
  <c r="K393" i="2"/>
  <c r="B393" i="2"/>
  <c r="A393" i="2"/>
  <c r="L392" i="2"/>
  <c r="K392" i="2"/>
  <c r="B392" i="2"/>
  <c r="A392" i="2"/>
  <c r="L391" i="2"/>
  <c r="K391" i="2"/>
  <c r="B391" i="2"/>
  <c r="A391" i="2"/>
  <c r="L390" i="2"/>
  <c r="K390" i="2"/>
  <c r="B390" i="2"/>
  <c r="A390" i="2"/>
  <c r="L389" i="2"/>
  <c r="K389" i="2"/>
  <c r="B389" i="2"/>
  <c r="A389" i="2"/>
  <c r="L388" i="2"/>
  <c r="K388" i="2"/>
  <c r="B388" i="2"/>
  <c r="A388" i="2"/>
  <c r="L387" i="2"/>
  <c r="K387" i="2"/>
  <c r="B387" i="2"/>
  <c r="A387" i="2"/>
  <c r="L386" i="2"/>
  <c r="K386" i="2"/>
  <c r="B386" i="2"/>
  <c r="A386" i="2"/>
  <c r="L385" i="2"/>
  <c r="K385" i="2"/>
  <c r="B385" i="2"/>
  <c r="A385" i="2"/>
  <c r="L384" i="2"/>
  <c r="K384" i="2"/>
  <c r="B384" i="2"/>
  <c r="A384" i="2"/>
  <c r="L383" i="2"/>
  <c r="K383" i="2"/>
  <c r="B383" i="2"/>
  <c r="A383" i="2"/>
  <c r="L382" i="2"/>
  <c r="K382" i="2"/>
  <c r="B382" i="2"/>
  <c r="A382" i="2"/>
  <c r="L381" i="2"/>
  <c r="K381" i="2"/>
  <c r="B381" i="2"/>
  <c r="A381" i="2"/>
  <c r="L380" i="2"/>
  <c r="K380" i="2"/>
  <c r="B380" i="2"/>
  <c r="A380" i="2"/>
  <c r="L379" i="2"/>
  <c r="K379" i="2"/>
  <c r="B379" i="2"/>
  <c r="A379" i="2"/>
  <c r="L378" i="2"/>
  <c r="K378" i="2"/>
  <c r="B378" i="2"/>
  <c r="A378" i="2"/>
  <c r="L377" i="2"/>
  <c r="K377" i="2"/>
  <c r="B377" i="2"/>
  <c r="A377" i="2"/>
  <c r="L376" i="2"/>
  <c r="K376" i="2"/>
  <c r="B376" i="2"/>
  <c r="A376" i="2"/>
  <c r="L375" i="2"/>
  <c r="K375" i="2"/>
  <c r="B375" i="2"/>
  <c r="A375" i="2"/>
  <c r="L374" i="2"/>
  <c r="K374" i="2"/>
  <c r="B374" i="2"/>
  <c r="A374" i="2"/>
  <c r="L373" i="2"/>
  <c r="K373" i="2"/>
  <c r="B373" i="2"/>
  <c r="A373" i="2"/>
  <c r="L372" i="2"/>
  <c r="K372" i="2"/>
  <c r="B372" i="2"/>
  <c r="A372" i="2"/>
  <c r="L371" i="2"/>
  <c r="K371" i="2"/>
  <c r="B371" i="2"/>
  <c r="A371" i="2"/>
  <c r="L370" i="2"/>
  <c r="K370" i="2"/>
  <c r="B370" i="2"/>
  <c r="A370" i="2"/>
  <c r="L369" i="2"/>
  <c r="K369" i="2"/>
  <c r="B369" i="2"/>
  <c r="A369" i="2"/>
  <c r="L368" i="2"/>
  <c r="K368" i="2"/>
  <c r="B368" i="2"/>
  <c r="A368" i="2"/>
  <c r="L367" i="2"/>
  <c r="K367" i="2"/>
  <c r="B367" i="2"/>
  <c r="A367" i="2"/>
  <c r="L366" i="2"/>
  <c r="K366" i="2"/>
  <c r="B366" i="2"/>
  <c r="A366" i="2"/>
  <c r="L365" i="2"/>
  <c r="K365" i="2"/>
  <c r="B365" i="2"/>
  <c r="A365" i="2"/>
  <c r="L364" i="2"/>
  <c r="K364" i="2"/>
  <c r="B364" i="2"/>
  <c r="A364" i="2"/>
  <c r="L363" i="2"/>
  <c r="K363" i="2"/>
  <c r="B363" i="2"/>
  <c r="A363" i="2"/>
  <c r="L362" i="2"/>
  <c r="K362" i="2"/>
  <c r="B362" i="2"/>
  <c r="A362" i="2"/>
  <c r="L361" i="2"/>
  <c r="K361" i="2"/>
  <c r="B361" i="2"/>
  <c r="A361" i="2"/>
  <c r="L360" i="2"/>
  <c r="K360" i="2"/>
  <c r="B360" i="2"/>
  <c r="A360" i="2"/>
  <c r="L359" i="2"/>
  <c r="K359" i="2"/>
  <c r="B359" i="2"/>
  <c r="A359" i="2"/>
  <c r="L358" i="2"/>
  <c r="K358" i="2"/>
  <c r="B358" i="2"/>
  <c r="A358" i="2"/>
  <c r="L357" i="2"/>
  <c r="K357" i="2"/>
  <c r="B357" i="2"/>
  <c r="A357" i="2"/>
  <c r="L356" i="2"/>
  <c r="K356" i="2"/>
  <c r="B356" i="2"/>
  <c r="A356" i="2"/>
  <c r="L355" i="2"/>
  <c r="K355" i="2"/>
  <c r="B355" i="2"/>
  <c r="A355" i="2"/>
  <c r="L354" i="2"/>
  <c r="K354" i="2"/>
  <c r="B354" i="2"/>
  <c r="A354" i="2"/>
  <c r="L353" i="2"/>
  <c r="K353" i="2"/>
  <c r="B353" i="2"/>
  <c r="A353" i="2"/>
  <c r="L352" i="2"/>
  <c r="K352" i="2"/>
  <c r="B352" i="2"/>
  <c r="A352" i="2"/>
  <c r="L351" i="2"/>
  <c r="K351" i="2"/>
  <c r="B351" i="2"/>
  <c r="A351" i="2"/>
  <c r="L350" i="2"/>
  <c r="K350" i="2"/>
  <c r="B350" i="2"/>
  <c r="A350" i="2"/>
  <c r="L349" i="2"/>
  <c r="K349" i="2"/>
  <c r="B349" i="2"/>
  <c r="A349" i="2"/>
  <c r="L348" i="2"/>
  <c r="K348" i="2"/>
  <c r="B348" i="2"/>
  <c r="A348" i="2"/>
  <c r="L347" i="2"/>
  <c r="K347" i="2"/>
  <c r="B347" i="2"/>
  <c r="A347" i="2"/>
  <c r="L346" i="2"/>
  <c r="K346" i="2"/>
  <c r="B346" i="2"/>
  <c r="A346" i="2"/>
  <c r="L345" i="2"/>
  <c r="K345" i="2"/>
  <c r="B345" i="2"/>
  <c r="A345" i="2"/>
  <c r="L344" i="2"/>
  <c r="K344" i="2"/>
  <c r="B344" i="2"/>
  <c r="A344" i="2"/>
  <c r="L343" i="2"/>
  <c r="K343" i="2"/>
  <c r="B343" i="2"/>
  <c r="A343" i="2"/>
  <c r="L342" i="2"/>
  <c r="K342" i="2"/>
  <c r="B342" i="2"/>
  <c r="A342" i="2"/>
  <c r="L341" i="2"/>
  <c r="K341" i="2"/>
  <c r="B341" i="2"/>
  <c r="A341" i="2"/>
  <c r="L340" i="2"/>
  <c r="K340" i="2"/>
  <c r="B340" i="2"/>
  <c r="A340" i="2"/>
  <c r="L339" i="2"/>
  <c r="K339" i="2"/>
  <c r="B339" i="2"/>
  <c r="A339" i="2"/>
  <c r="L338" i="2"/>
  <c r="K338" i="2"/>
  <c r="B338" i="2"/>
  <c r="A338" i="2"/>
  <c r="L337" i="2"/>
  <c r="K337" i="2"/>
  <c r="B337" i="2"/>
  <c r="A337" i="2"/>
  <c r="L336" i="2"/>
  <c r="K336" i="2"/>
  <c r="B336" i="2"/>
  <c r="A336" i="2"/>
  <c r="L335" i="2"/>
  <c r="K335" i="2"/>
  <c r="B335" i="2"/>
  <c r="A335" i="2"/>
  <c r="L334" i="2"/>
  <c r="K334" i="2"/>
  <c r="B334" i="2"/>
  <c r="A334" i="2"/>
  <c r="L333" i="2"/>
  <c r="K333" i="2"/>
  <c r="B333" i="2"/>
  <c r="A333" i="2"/>
  <c r="L332" i="2"/>
  <c r="K332" i="2"/>
  <c r="B332" i="2"/>
  <c r="A332" i="2"/>
  <c r="L331" i="2"/>
  <c r="K331" i="2"/>
  <c r="B331" i="2"/>
  <c r="A331" i="2"/>
  <c r="L330" i="2"/>
  <c r="K330" i="2"/>
  <c r="B330" i="2"/>
  <c r="A330" i="2"/>
  <c r="L329" i="2"/>
  <c r="K329" i="2"/>
  <c r="B329" i="2"/>
  <c r="A329" i="2"/>
  <c r="L328" i="2"/>
  <c r="K328" i="2"/>
  <c r="B328" i="2"/>
  <c r="A328" i="2"/>
  <c r="L327" i="2"/>
  <c r="K327" i="2"/>
  <c r="B327" i="2"/>
  <c r="A327" i="2"/>
  <c r="L326" i="2"/>
  <c r="K326" i="2"/>
  <c r="B326" i="2"/>
  <c r="A326" i="2"/>
  <c r="L325" i="2"/>
  <c r="K325" i="2"/>
  <c r="B325" i="2"/>
  <c r="A325" i="2"/>
  <c r="L324" i="2"/>
  <c r="K324" i="2"/>
  <c r="B324" i="2"/>
  <c r="A324" i="2"/>
  <c r="L323" i="2"/>
  <c r="K323" i="2"/>
  <c r="B323" i="2"/>
  <c r="A323" i="2"/>
  <c r="L322" i="2"/>
  <c r="K322" i="2"/>
  <c r="B322" i="2"/>
  <c r="A322" i="2"/>
  <c r="L321" i="2"/>
  <c r="K321" i="2"/>
  <c r="B321" i="2"/>
  <c r="A321" i="2"/>
  <c r="L320" i="2"/>
  <c r="K320" i="2"/>
  <c r="B320" i="2"/>
  <c r="A320" i="2"/>
  <c r="L319" i="2"/>
  <c r="K319" i="2"/>
  <c r="B319" i="2"/>
  <c r="A319" i="2"/>
  <c r="L318" i="2"/>
  <c r="K318" i="2"/>
  <c r="B318" i="2"/>
  <c r="A318" i="2"/>
  <c r="L317" i="2"/>
  <c r="K317" i="2"/>
  <c r="B317" i="2"/>
  <c r="A317" i="2"/>
  <c r="L316" i="2"/>
  <c r="K316" i="2"/>
  <c r="B316" i="2"/>
  <c r="A316" i="2"/>
  <c r="L315" i="2"/>
  <c r="K315" i="2"/>
  <c r="B315" i="2"/>
  <c r="A315" i="2"/>
  <c r="L314" i="2"/>
  <c r="K314" i="2"/>
  <c r="B314" i="2"/>
  <c r="A314" i="2"/>
  <c r="L313" i="2"/>
  <c r="K313" i="2"/>
  <c r="B313" i="2"/>
  <c r="A313" i="2"/>
  <c r="L312" i="2"/>
  <c r="K312" i="2"/>
  <c r="B312" i="2"/>
  <c r="A312" i="2"/>
  <c r="L311" i="2"/>
  <c r="K311" i="2"/>
  <c r="B311" i="2"/>
  <c r="A311" i="2"/>
  <c r="L310" i="2"/>
  <c r="K310" i="2"/>
  <c r="B310" i="2"/>
  <c r="A310" i="2"/>
  <c r="L309" i="2"/>
  <c r="K309" i="2"/>
  <c r="B309" i="2"/>
  <c r="A309" i="2"/>
  <c r="L308" i="2"/>
  <c r="K308" i="2"/>
  <c r="B308" i="2"/>
  <c r="A308" i="2"/>
  <c r="L307" i="2"/>
  <c r="K307" i="2"/>
  <c r="B307" i="2"/>
  <c r="A307" i="2"/>
  <c r="L306" i="2"/>
  <c r="K306" i="2"/>
  <c r="B306" i="2"/>
  <c r="A306" i="2"/>
  <c r="L305" i="2"/>
  <c r="K305" i="2"/>
  <c r="B305" i="2"/>
  <c r="A305" i="2"/>
  <c r="L304" i="2"/>
  <c r="K304" i="2"/>
  <c r="B304" i="2"/>
  <c r="A304" i="2"/>
  <c r="L303" i="2"/>
  <c r="K303" i="2"/>
  <c r="B303" i="2"/>
  <c r="A303" i="2"/>
  <c r="L302" i="2"/>
  <c r="K302" i="2"/>
  <c r="B302" i="2"/>
  <c r="A302" i="2"/>
  <c r="L301" i="2"/>
  <c r="K301" i="2"/>
  <c r="B301" i="2"/>
  <c r="A301" i="2"/>
  <c r="L300" i="2"/>
  <c r="K300" i="2"/>
  <c r="B300" i="2"/>
  <c r="A300" i="2"/>
  <c r="L299" i="2"/>
  <c r="K299" i="2"/>
  <c r="B299" i="2"/>
  <c r="A299" i="2"/>
  <c r="L298" i="2"/>
  <c r="K298" i="2"/>
  <c r="B298" i="2"/>
  <c r="A298" i="2"/>
  <c r="L297" i="2"/>
  <c r="K297" i="2"/>
  <c r="B297" i="2"/>
  <c r="A297" i="2"/>
  <c r="L296" i="2"/>
  <c r="K296" i="2"/>
  <c r="B296" i="2"/>
  <c r="A296" i="2"/>
  <c r="L295" i="2"/>
  <c r="K295" i="2"/>
  <c r="B295" i="2"/>
  <c r="A295" i="2"/>
  <c r="L294" i="2"/>
  <c r="K294" i="2"/>
  <c r="B294" i="2"/>
  <c r="A294" i="2"/>
  <c r="L293" i="2"/>
  <c r="K293" i="2"/>
  <c r="B293" i="2"/>
  <c r="A293" i="2"/>
  <c r="L292" i="2"/>
  <c r="K292" i="2"/>
  <c r="B292" i="2"/>
  <c r="A292" i="2"/>
  <c r="L291" i="2"/>
  <c r="K291" i="2"/>
  <c r="B291" i="2"/>
  <c r="A291" i="2"/>
  <c r="L290" i="2"/>
  <c r="K290" i="2"/>
  <c r="B290" i="2"/>
  <c r="A290" i="2"/>
  <c r="L289" i="2"/>
  <c r="K289" i="2"/>
  <c r="B289" i="2"/>
  <c r="A289" i="2"/>
  <c r="L288" i="2"/>
  <c r="K288" i="2"/>
  <c r="B288" i="2"/>
  <c r="A288" i="2"/>
  <c r="L287" i="2"/>
  <c r="K287" i="2"/>
  <c r="B287" i="2"/>
  <c r="A287" i="2"/>
  <c r="L286" i="2"/>
  <c r="K286" i="2"/>
  <c r="B286" i="2"/>
  <c r="A286" i="2"/>
  <c r="L285" i="2"/>
  <c r="K285" i="2"/>
  <c r="B285" i="2"/>
  <c r="A285" i="2"/>
  <c r="L284" i="2"/>
  <c r="K284" i="2"/>
  <c r="B284" i="2"/>
  <c r="A284" i="2"/>
  <c r="L283" i="2"/>
  <c r="K283" i="2"/>
  <c r="B283" i="2"/>
  <c r="A283" i="2"/>
  <c r="L282" i="2"/>
  <c r="K282" i="2"/>
  <c r="B282" i="2"/>
  <c r="A282" i="2"/>
  <c r="L281" i="2"/>
  <c r="K281" i="2"/>
  <c r="B281" i="2"/>
  <c r="A281" i="2"/>
  <c r="L280" i="2"/>
  <c r="K280" i="2"/>
  <c r="B280" i="2"/>
  <c r="A280" i="2"/>
  <c r="L279" i="2"/>
  <c r="K279" i="2"/>
  <c r="B279" i="2"/>
  <c r="A279" i="2"/>
  <c r="L278" i="2"/>
  <c r="K278" i="2"/>
  <c r="B278" i="2"/>
  <c r="A278" i="2"/>
  <c r="L277" i="2"/>
  <c r="K277" i="2"/>
  <c r="B277" i="2"/>
  <c r="A277" i="2"/>
  <c r="L276" i="2"/>
  <c r="K276" i="2"/>
  <c r="B276" i="2"/>
  <c r="A276" i="2"/>
  <c r="L275" i="2"/>
  <c r="K275" i="2"/>
  <c r="B275" i="2"/>
  <c r="A275" i="2"/>
  <c r="L274" i="2"/>
  <c r="K274" i="2"/>
  <c r="B274" i="2"/>
  <c r="A274" i="2"/>
  <c r="L273" i="2"/>
  <c r="K273" i="2"/>
  <c r="B273" i="2"/>
  <c r="A273" i="2"/>
  <c r="L272" i="2"/>
  <c r="K272" i="2"/>
  <c r="B272" i="2"/>
  <c r="A272" i="2"/>
  <c r="L271" i="2"/>
  <c r="K271" i="2"/>
  <c r="B271" i="2"/>
  <c r="A271" i="2"/>
  <c r="L270" i="2"/>
  <c r="K270" i="2"/>
  <c r="B270" i="2"/>
  <c r="A270" i="2"/>
  <c r="L76" i="2"/>
  <c r="K76" i="2"/>
  <c r="B76" i="2"/>
  <c r="A76" i="2"/>
  <c r="L75" i="2"/>
  <c r="K75" i="2"/>
  <c r="B75" i="2"/>
  <c r="A75" i="2"/>
  <c r="L74" i="2"/>
  <c r="K74" i="2"/>
  <c r="B74" i="2"/>
  <c r="A74" i="2"/>
  <c r="L73" i="2"/>
  <c r="K73" i="2"/>
  <c r="B73" i="2"/>
  <c r="A73" i="2"/>
  <c r="L72" i="2"/>
  <c r="K72" i="2"/>
  <c r="B72" i="2"/>
  <c r="A72" i="2"/>
  <c r="L71" i="2"/>
  <c r="K71" i="2"/>
  <c r="B71" i="2"/>
  <c r="A71" i="2"/>
  <c r="L70" i="2"/>
  <c r="K70" i="2"/>
  <c r="B70" i="2"/>
  <c r="A70" i="2"/>
  <c r="L69" i="2"/>
  <c r="K69" i="2"/>
  <c r="B69" i="2"/>
  <c r="A69" i="2"/>
  <c r="L68" i="2"/>
  <c r="K68" i="2"/>
  <c r="B68" i="2"/>
  <c r="A68" i="2"/>
  <c r="L67" i="2"/>
  <c r="K67" i="2"/>
  <c r="B67" i="2"/>
  <c r="A67" i="2"/>
  <c r="L66" i="2"/>
  <c r="K66" i="2"/>
  <c r="B66" i="2"/>
  <c r="A66" i="2"/>
  <c r="L65" i="2"/>
  <c r="K65" i="2"/>
  <c r="B65" i="2"/>
  <c r="A65" i="2"/>
  <c r="L64" i="2"/>
  <c r="K64" i="2"/>
  <c r="B64" i="2"/>
  <c r="A64" i="2"/>
  <c r="L63" i="2"/>
  <c r="K63" i="2"/>
  <c r="B63" i="2"/>
  <c r="A63" i="2"/>
  <c r="L62" i="2"/>
  <c r="K62" i="2"/>
  <c r="B62" i="2"/>
  <c r="A62" i="2"/>
  <c r="L61" i="2"/>
  <c r="K61" i="2"/>
  <c r="B61" i="2"/>
  <c r="A61" i="2"/>
  <c r="L60" i="2"/>
  <c r="K60" i="2"/>
  <c r="B60" i="2"/>
  <c r="A60" i="2"/>
  <c r="L59" i="2"/>
  <c r="K59" i="2"/>
  <c r="B59" i="2"/>
  <c r="A59" i="2"/>
  <c r="L58" i="2"/>
  <c r="K58" i="2"/>
  <c r="B58" i="2"/>
  <c r="A58" i="2"/>
  <c r="L57" i="2"/>
  <c r="K57" i="2"/>
  <c r="B57" i="2"/>
  <c r="A57" i="2"/>
  <c r="L56" i="2"/>
  <c r="K56" i="2"/>
  <c r="B56" i="2"/>
  <c r="A56" i="2"/>
  <c r="L55" i="2"/>
  <c r="K55" i="2"/>
  <c r="B55" i="2"/>
  <c r="A55" i="2"/>
  <c r="L54" i="2"/>
  <c r="K54" i="2"/>
  <c r="B54" i="2"/>
  <c r="A54" i="2"/>
  <c r="L53" i="2"/>
  <c r="K53" i="2"/>
  <c r="B53" i="2"/>
  <c r="A53" i="2"/>
  <c r="L52" i="2"/>
  <c r="K52" i="2"/>
  <c r="B52" i="2"/>
  <c r="A52" i="2"/>
  <c r="L51" i="2"/>
  <c r="K51" i="2"/>
  <c r="B51" i="2"/>
  <c r="A51" i="2"/>
  <c r="L50" i="2"/>
  <c r="K50" i="2"/>
  <c r="B50" i="2"/>
  <c r="A50" i="2"/>
  <c r="L49" i="2"/>
  <c r="K49" i="2"/>
  <c r="B49" i="2"/>
  <c r="A49" i="2"/>
  <c r="L48" i="2"/>
  <c r="K48" i="2"/>
  <c r="B48" i="2"/>
  <c r="A48" i="2"/>
  <c r="L47" i="2"/>
  <c r="K47" i="2"/>
  <c r="B47" i="2"/>
  <c r="A47" i="2"/>
  <c r="L46" i="2"/>
  <c r="K46" i="2"/>
  <c r="B46" i="2"/>
  <c r="A46" i="2"/>
  <c r="L45" i="2"/>
  <c r="K45" i="2"/>
  <c r="B45" i="2"/>
  <c r="A45" i="2"/>
  <c r="L44" i="2"/>
  <c r="K44" i="2"/>
  <c r="B44" i="2"/>
  <c r="A44" i="2"/>
  <c r="L43" i="2"/>
  <c r="K43" i="2"/>
  <c r="B43" i="2"/>
  <c r="A43" i="2"/>
  <c r="L42" i="2"/>
  <c r="K42" i="2"/>
  <c r="B42" i="2"/>
  <c r="A42" i="2"/>
  <c r="L41" i="2"/>
  <c r="K41" i="2"/>
  <c r="B41" i="2"/>
  <c r="A41" i="2"/>
  <c r="L40" i="2"/>
  <c r="K40" i="2"/>
  <c r="B40" i="2"/>
  <c r="A40" i="2"/>
  <c r="L39" i="2"/>
  <c r="K39" i="2"/>
  <c r="B39" i="2"/>
  <c r="A39" i="2"/>
  <c r="L38" i="2"/>
  <c r="K38" i="2"/>
  <c r="B38" i="2"/>
  <c r="A38" i="2"/>
  <c r="L37" i="2"/>
  <c r="K37" i="2"/>
  <c r="B37" i="2"/>
  <c r="A37" i="2"/>
  <c r="L36" i="2"/>
  <c r="K36" i="2"/>
  <c r="B36" i="2"/>
  <c r="A36" i="2"/>
  <c r="L35" i="2"/>
  <c r="K35" i="2"/>
  <c r="B35" i="2"/>
  <c r="A35" i="2"/>
  <c r="L34" i="2"/>
  <c r="K34" i="2"/>
  <c r="B34" i="2"/>
  <c r="A34" i="2"/>
  <c r="L33" i="2"/>
  <c r="K33" i="2"/>
  <c r="B33" i="2"/>
  <c r="A33" i="2"/>
  <c r="L32" i="2"/>
  <c r="K32" i="2"/>
  <c r="B32" i="2"/>
  <c r="A32" i="2"/>
  <c r="L31" i="2"/>
  <c r="K31" i="2"/>
  <c r="B31" i="2"/>
  <c r="A31" i="2"/>
  <c r="L30" i="2"/>
  <c r="K30" i="2"/>
  <c r="B30" i="2"/>
  <c r="A30" i="2"/>
  <c r="L29" i="2"/>
  <c r="K29" i="2"/>
  <c r="B29" i="2"/>
  <c r="A29" i="2"/>
  <c r="L28" i="2"/>
  <c r="K28" i="2"/>
  <c r="B28" i="2"/>
  <c r="A28" i="2"/>
  <c r="L27" i="2"/>
  <c r="K27" i="2"/>
  <c r="B27" i="2"/>
  <c r="A27" i="2"/>
  <c r="L26" i="2"/>
  <c r="K26" i="2"/>
  <c r="B26" i="2"/>
  <c r="A26" i="2"/>
  <c r="L25" i="2"/>
  <c r="K25" i="2"/>
  <c r="B25" i="2"/>
  <c r="A25" i="2"/>
  <c r="L24" i="2"/>
  <c r="K24" i="2"/>
  <c r="B24" i="2"/>
  <c r="A24" i="2"/>
  <c r="L23" i="2"/>
  <c r="K23" i="2"/>
  <c r="B23" i="2"/>
  <c r="A23" i="2"/>
  <c r="L22" i="2"/>
  <c r="K22" i="2"/>
  <c r="B22" i="2"/>
  <c r="A22" i="2"/>
  <c r="L21" i="2"/>
  <c r="K21" i="2"/>
  <c r="B21" i="2"/>
  <c r="A21" i="2"/>
  <c r="L20" i="2"/>
  <c r="K20" i="2"/>
  <c r="B20" i="2"/>
  <c r="A20" i="2"/>
  <c r="L19" i="2"/>
  <c r="K19" i="2"/>
  <c r="B19" i="2"/>
  <c r="A19" i="2"/>
  <c r="L18" i="2"/>
  <c r="K18" i="2"/>
  <c r="B18" i="2"/>
  <c r="A18" i="2"/>
  <c r="L17" i="2"/>
  <c r="K17" i="2"/>
  <c r="B17" i="2"/>
  <c r="A17" i="2"/>
  <c r="L16" i="2"/>
  <c r="K16" i="2"/>
  <c r="B16" i="2"/>
  <c r="A16" i="2"/>
  <c r="L15" i="2"/>
  <c r="K15" i="2"/>
  <c r="B15" i="2"/>
  <c r="A15" i="2"/>
  <c r="L14" i="2"/>
  <c r="K14" i="2"/>
  <c r="B14" i="2"/>
  <c r="A14" i="2"/>
  <c r="L13" i="2"/>
  <c r="K13" i="2"/>
  <c r="B13" i="2"/>
  <c r="A13" i="2"/>
  <c r="L12" i="2"/>
  <c r="K12" i="2"/>
  <c r="B12" i="2"/>
  <c r="A12" i="2"/>
  <c r="L11" i="2"/>
  <c r="K11" i="2"/>
  <c r="B11" i="2"/>
  <c r="L118" i="3" s="1"/>
  <c r="A11" i="2"/>
  <c r="L10" i="2"/>
  <c r="K10" i="2"/>
  <c r="B10" i="2"/>
  <c r="A10" i="2"/>
  <c r="L9" i="2"/>
  <c r="K9" i="2"/>
  <c r="B9" i="2"/>
  <c r="A9" i="2"/>
  <c r="L8" i="2"/>
  <c r="K8" i="2"/>
  <c r="B8" i="2"/>
  <c r="A8" i="2"/>
  <c r="L7" i="2"/>
  <c r="K7" i="2"/>
  <c r="B7" i="2"/>
  <c r="A7" i="2"/>
  <c r="L6" i="2"/>
  <c r="K6" i="2"/>
  <c r="B6" i="2"/>
  <c r="A6" i="2"/>
  <c r="L144" i="3" s="1"/>
  <c r="L5" i="2"/>
  <c r="K5" i="2"/>
  <c r="B5" i="2"/>
  <c r="K134" i="3" s="1"/>
  <c r="A5" i="2"/>
  <c r="L4" i="2"/>
  <c r="K4" i="2"/>
  <c r="B4" i="2"/>
  <c r="I125" i="3" s="1"/>
  <c r="A4" i="2"/>
  <c r="I3" i="2" a="1"/>
  <c r="I3" i="2" s="1"/>
  <c r="G3" i="2" a="1"/>
  <c r="G3" i="2" s="1"/>
  <c r="E3" i="2" a="1"/>
  <c r="E3" i="2" s="1"/>
  <c r="C3" i="2" a="1"/>
  <c r="C3" i="2" s="1"/>
  <c r="J2" i="2" a="1"/>
  <c r="J2" i="2" s="1"/>
  <c r="H2" i="2" a="1"/>
  <c r="H2" i="2" s="1"/>
  <c r="F2" i="2" a="1"/>
  <c r="F2" i="2" s="1"/>
  <c r="D2" i="2" a="1"/>
  <c r="D2" i="2" s="1"/>
  <c r="H2949" i="1"/>
  <c r="G2949" i="1"/>
  <c r="H2948" i="1"/>
  <c r="G2948" i="1"/>
  <c r="H2947" i="1"/>
  <c r="G2947" i="1"/>
  <c r="H2946" i="1"/>
  <c r="G2946" i="1"/>
  <c r="H2945" i="1"/>
  <c r="G2945" i="1"/>
  <c r="H2944" i="1"/>
  <c r="G2944" i="1"/>
  <c r="H2943" i="1"/>
  <c r="G2943" i="1"/>
  <c r="H2942" i="1"/>
  <c r="G2942" i="1"/>
  <c r="H2941" i="1"/>
  <c r="G2941" i="1"/>
  <c r="H2940" i="1"/>
  <c r="G2940" i="1"/>
  <c r="H2939" i="1"/>
  <c r="G2939" i="1"/>
  <c r="H2938" i="1"/>
  <c r="G2938" i="1"/>
  <c r="H2937" i="1"/>
  <c r="G2937" i="1"/>
  <c r="H2936" i="1"/>
  <c r="G2936" i="1"/>
  <c r="H2935" i="1"/>
  <c r="G2935" i="1"/>
  <c r="H2934" i="1"/>
  <c r="G2934" i="1"/>
  <c r="H2933" i="1"/>
  <c r="G2933" i="1"/>
  <c r="H2932" i="1"/>
  <c r="G2932" i="1"/>
  <c r="H2931" i="1"/>
  <c r="G2931" i="1"/>
  <c r="H2930" i="1"/>
  <c r="G2930" i="1"/>
  <c r="H2929" i="1"/>
  <c r="G2929" i="1"/>
  <c r="H2928" i="1"/>
  <c r="G2928" i="1"/>
  <c r="H2927" i="1"/>
  <c r="G2927" i="1"/>
  <c r="H2926" i="1"/>
  <c r="G2926" i="1"/>
  <c r="H2925" i="1"/>
  <c r="G2925" i="1"/>
  <c r="H2924" i="1"/>
  <c r="G2924" i="1"/>
  <c r="H2923" i="1"/>
  <c r="G2923" i="1"/>
  <c r="H2922" i="1"/>
  <c r="G2922" i="1"/>
  <c r="H2921" i="1"/>
  <c r="G2921" i="1"/>
  <c r="H2920" i="1"/>
  <c r="G2920" i="1"/>
  <c r="H2919" i="1"/>
  <c r="G2919" i="1"/>
  <c r="H2918" i="1"/>
  <c r="G2918" i="1"/>
  <c r="H2917" i="1"/>
  <c r="G2917" i="1"/>
  <c r="H2916" i="1"/>
  <c r="G2916" i="1"/>
  <c r="H2915" i="1"/>
  <c r="G2915" i="1"/>
  <c r="H2914" i="1"/>
  <c r="G2914" i="1"/>
  <c r="H2913" i="1"/>
  <c r="G2913" i="1"/>
  <c r="H2912" i="1"/>
  <c r="G2912" i="1"/>
  <c r="H2911" i="1"/>
  <c r="G2911" i="1"/>
  <c r="H2910" i="1"/>
  <c r="G2910" i="1"/>
  <c r="H2909" i="1"/>
  <c r="G2909" i="1"/>
  <c r="H2908" i="1"/>
  <c r="G2908" i="1"/>
  <c r="H2907" i="1"/>
  <c r="G2907" i="1"/>
  <c r="H2906" i="1"/>
  <c r="G2906" i="1"/>
  <c r="H2905" i="1"/>
  <c r="G2905" i="1"/>
  <c r="H2904" i="1"/>
  <c r="G2904" i="1"/>
  <c r="H2903" i="1"/>
  <c r="G2903" i="1"/>
  <c r="H2902" i="1"/>
  <c r="G2902" i="1"/>
  <c r="H2901" i="1"/>
  <c r="G2901" i="1"/>
  <c r="H2900" i="1"/>
  <c r="G2900" i="1"/>
  <c r="H2899" i="1"/>
  <c r="G2899" i="1"/>
  <c r="H2898" i="1"/>
  <c r="G2898" i="1"/>
  <c r="H2897" i="1"/>
  <c r="G2897" i="1"/>
  <c r="H2896" i="1"/>
  <c r="G2896" i="1"/>
  <c r="H2895" i="1"/>
  <c r="G2895" i="1"/>
  <c r="H2894" i="1"/>
  <c r="G2894" i="1"/>
  <c r="H2893" i="1"/>
  <c r="G2893" i="1"/>
  <c r="H2892" i="1"/>
  <c r="G2892" i="1"/>
  <c r="H2891" i="1"/>
  <c r="G2891" i="1"/>
  <c r="H2890" i="1"/>
  <c r="G2890" i="1"/>
  <c r="H2889" i="1"/>
  <c r="G2889" i="1"/>
  <c r="H2888" i="1"/>
  <c r="G2888" i="1"/>
  <c r="H2887" i="1"/>
  <c r="G2887" i="1"/>
  <c r="H2886" i="1"/>
  <c r="G2886" i="1"/>
  <c r="H2885" i="1"/>
  <c r="G2885" i="1"/>
  <c r="H2884" i="1"/>
  <c r="G2884" i="1"/>
  <c r="H2883" i="1"/>
  <c r="G2883" i="1"/>
  <c r="H2882" i="1"/>
  <c r="G2882" i="1"/>
  <c r="H2881" i="1"/>
  <c r="G2881" i="1"/>
  <c r="H2880" i="1"/>
  <c r="G2880" i="1"/>
  <c r="H2879" i="1"/>
  <c r="G2879" i="1"/>
  <c r="H2878" i="1"/>
  <c r="G2878" i="1"/>
  <c r="H2877" i="1"/>
  <c r="G2877" i="1"/>
  <c r="H2876" i="1"/>
  <c r="G2876" i="1"/>
  <c r="H2875" i="1"/>
  <c r="G2875" i="1"/>
  <c r="H2874" i="1"/>
  <c r="G2874" i="1"/>
  <c r="H2873" i="1"/>
  <c r="G2873" i="1"/>
  <c r="H2872" i="1"/>
  <c r="G2872" i="1"/>
  <c r="H2871" i="1"/>
  <c r="G2871" i="1"/>
  <c r="H2870" i="1"/>
  <c r="G2870" i="1"/>
  <c r="H2869" i="1"/>
  <c r="G2869" i="1"/>
  <c r="H2868" i="1"/>
  <c r="G2868" i="1"/>
  <c r="H2867" i="1"/>
  <c r="G2867" i="1"/>
  <c r="H2866" i="1"/>
  <c r="G2866" i="1"/>
  <c r="H2865" i="1"/>
  <c r="G2865" i="1"/>
  <c r="H2864" i="1"/>
  <c r="G2864" i="1"/>
  <c r="H2863" i="1"/>
  <c r="G2863" i="1"/>
  <c r="H2862" i="1"/>
  <c r="G2862" i="1"/>
  <c r="H2861" i="1"/>
  <c r="G2861" i="1"/>
  <c r="H2860" i="1"/>
  <c r="G2860" i="1"/>
  <c r="H2859" i="1"/>
  <c r="G2859" i="1"/>
  <c r="H2858" i="1"/>
  <c r="G2858" i="1"/>
  <c r="H2857" i="1"/>
  <c r="G2857" i="1"/>
  <c r="H2856" i="1"/>
  <c r="G2856" i="1"/>
  <c r="H2855" i="1"/>
  <c r="G2855" i="1"/>
  <c r="H2854" i="1"/>
  <c r="G2854" i="1"/>
  <c r="H2853" i="1"/>
  <c r="G2853" i="1"/>
  <c r="H2852" i="1"/>
  <c r="G2852" i="1"/>
  <c r="H2851" i="1"/>
  <c r="G2851" i="1"/>
  <c r="H2850" i="1"/>
  <c r="G2850" i="1"/>
  <c r="H2849" i="1"/>
  <c r="G2849" i="1"/>
  <c r="H2848" i="1"/>
  <c r="G2848" i="1"/>
  <c r="H2847" i="1"/>
  <c r="G2847" i="1"/>
  <c r="H2846" i="1"/>
  <c r="G2846" i="1"/>
  <c r="H2845" i="1"/>
  <c r="G2845" i="1"/>
  <c r="H2844" i="1"/>
  <c r="G2844" i="1"/>
  <c r="H2843" i="1"/>
  <c r="G2843" i="1"/>
  <c r="H2842" i="1"/>
  <c r="G2842" i="1"/>
  <c r="H2841" i="1"/>
  <c r="G2841" i="1"/>
  <c r="H2840" i="1"/>
  <c r="G2840" i="1"/>
  <c r="H2839" i="1"/>
  <c r="G2839" i="1"/>
  <c r="H2838" i="1"/>
  <c r="G2838" i="1"/>
  <c r="H2837" i="1"/>
  <c r="G2837" i="1"/>
  <c r="H2836" i="1"/>
  <c r="G2836" i="1"/>
  <c r="H2835" i="1"/>
  <c r="G2835" i="1"/>
  <c r="H2834" i="1"/>
  <c r="G2834" i="1"/>
  <c r="H2833" i="1"/>
  <c r="G2833" i="1"/>
  <c r="H2832" i="1"/>
  <c r="G2832" i="1"/>
  <c r="H2831" i="1"/>
  <c r="G2831" i="1"/>
  <c r="H2830" i="1"/>
  <c r="G2830" i="1"/>
  <c r="H2829" i="1"/>
  <c r="G2829" i="1"/>
  <c r="H2828" i="1"/>
  <c r="G2828" i="1"/>
  <c r="H2827" i="1"/>
  <c r="G2827" i="1"/>
  <c r="H2826" i="1"/>
  <c r="G2826" i="1"/>
  <c r="H2825" i="1"/>
  <c r="G2825" i="1"/>
  <c r="H2824" i="1"/>
  <c r="G2824" i="1"/>
  <c r="H2823" i="1"/>
  <c r="G2823" i="1"/>
  <c r="H2822" i="1"/>
  <c r="G2822" i="1"/>
  <c r="H2821" i="1"/>
  <c r="G2821" i="1"/>
  <c r="H2820" i="1"/>
  <c r="G2820" i="1"/>
  <c r="H2819" i="1"/>
  <c r="G2819" i="1"/>
  <c r="H2818" i="1"/>
  <c r="G2818" i="1"/>
  <c r="H2817" i="1"/>
  <c r="G2817" i="1"/>
  <c r="H2816" i="1"/>
  <c r="G2816" i="1"/>
  <c r="H2815" i="1"/>
  <c r="G2815" i="1"/>
  <c r="H2814" i="1"/>
  <c r="G2814" i="1"/>
  <c r="H2813" i="1"/>
  <c r="G2813" i="1"/>
  <c r="H2812" i="1"/>
  <c r="G2812" i="1"/>
  <c r="H2811" i="1"/>
  <c r="G2811" i="1"/>
  <c r="H2810" i="1"/>
  <c r="G2810" i="1"/>
  <c r="H2809" i="1"/>
  <c r="G2809" i="1"/>
  <c r="H2808" i="1"/>
  <c r="G2808" i="1"/>
  <c r="H2807" i="1"/>
  <c r="G2807" i="1"/>
  <c r="H2806" i="1"/>
  <c r="G2806" i="1"/>
  <c r="H2805" i="1"/>
  <c r="G2805" i="1"/>
  <c r="H2804" i="1"/>
  <c r="G2804" i="1"/>
  <c r="H2803" i="1"/>
  <c r="G2803" i="1"/>
  <c r="H2802" i="1"/>
  <c r="G2802" i="1"/>
  <c r="H2801" i="1"/>
  <c r="G2801" i="1"/>
  <c r="H2800" i="1"/>
  <c r="G2800" i="1"/>
  <c r="H2799" i="1"/>
  <c r="G2799" i="1"/>
  <c r="H2798" i="1"/>
  <c r="G2798" i="1"/>
  <c r="H2797" i="1"/>
  <c r="G2797" i="1"/>
  <c r="H2796" i="1"/>
  <c r="G2796" i="1"/>
  <c r="H2795" i="1"/>
  <c r="G2795" i="1"/>
  <c r="H2794" i="1"/>
  <c r="G2794" i="1"/>
  <c r="H2793" i="1"/>
  <c r="G2793" i="1"/>
  <c r="H2792" i="1"/>
  <c r="G2792" i="1"/>
  <c r="H2791" i="1"/>
  <c r="G2791" i="1"/>
  <c r="H2790" i="1"/>
  <c r="G2790" i="1"/>
  <c r="H2789" i="1"/>
  <c r="G2789" i="1"/>
  <c r="H2788" i="1"/>
  <c r="G2788" i="1"/>
  <c r="H2787" i="1"/>
  <c r="G2787" i="1"/>
  <c r="H2786" i="1"/>
  <c r="G2786" i="1"/>
  <c r="H2785" i="1"/>
  <c r="G2785" i="1"/>
  <c r="H2784" i="1"/>
  <c r="G2784" i="1"/>
  <c r="H2783" i="1"/>
  <c r="G2783" i="1"/>
  <c r="H2782" i="1"/>
  <c r="G2782" i="1"/>
  <c r="H2781" i="1"/>
  <c r="G2781" i="1"/>
  <c r="H2780" i="1"/>
  <c r="G2780" i="1"/>
  <c r="H2779" i="1"/>
  <c r="G2779" i="1"/>
  <c r="H2778" i="1"/>
  <c r="G2778" i="1"/>
  <c r="H2777" i="1"/>
  <c r="G2777" i="1"/>
  <c r="H2776" i="1"/>
  <c r="G2776" i="1"/>
  <c r="H2775" i="1"/>
  <c r="G2775" i="1"/>
  <c r="H2774" i="1"/>
  <c r="G2774" i="1"/>
  <c r="H2773" i="1"/>
  <c r="G2773" i="1"/>
  <c r="H2772" i="1"/>
  <c r="G2772" i="1"/>
  <c r="H2771" i="1"/>
  <c r="G2771" i="1"/>
  <c r="H2770" i="1"/>
  <c r="G2770" i="1"/>
  <c r="H2769" i="1"/>
  <c r="G2769" i="1"/>
  <c r="H2768" i="1"/>
  <c r="G2768" i="1"/>
  <c r="H2767" i="1"/>
  <c r="G2767" i="1"/>
  <c r="H2766" i="1"/>
  <c r="G2766" i="1"/>
  <c r="H2765" i="1"/>
  <c r="G2765" i="1"/>
  <c r="H2764" i="1"/>
  <c r="G2764" i="1"/>
  <c r="H2763" i="1"/>
  <c r="G2763" i="1"/>
  <c r="H2762" i="1"/>
  <c r="G2762" i="1"/>
  <c r="H2761" i="1"/>
  <c r="G2761" i="1"/>
  <c r="H2760" i="1"/>
  <c r="G2760" i="1"/>
  <c r="H2759" i="1"/>
  <c r="G2759" i="1"/>
  <c r="H2758" i="1"/>
  <c r="G2758" i="1"/>
  <c r="H2757" i="1"/>
  <c r="G2757" i="1"/>
  <c r="H2756" i="1"/>
  <c r="G2756" i="1"/>
  <c r="H2755" i="1"/>
  <c r="G2755" i="1"/>
  <c r="H2754" i="1"/>
  <c r="G2754" i="1"/>
  <c r="H2753" i="1"/>
  <c r="G2753" i="1"/>
  <c r="H2752" i="1"/>
  <c r="G2752" i="1"/>
  <c r="H2751" i="1"/>
  <c r="G2751" i="1"/>
  <c r="H2750" i="1"/>
  <c r="G2750" i="1"/>
  <c r="H2749" i="1"/>
  <c r="G2749" i="1"/>
  <c r="H2748" i="1"/>
  <c r="G2748" i="1"/>
  <c r="H2747" i="1"/>
  <c r="G2747" i="1"/>
  <c r="H2746" i="1"/>
  <c r="G2746" i="1"/>
  <c r="H2745" i="1"/>
  <c r="G2745" i="1"/>
  <c r="H2744" i="1"/>
  <c r="G2744" i="1"/>
  <c r="H2743" i="1"/>
  <c r="G2743" i="1"/>
  <c r="H2742" i="1"/>
  <c r="G2742" i="1"/>
  <c r="H2741" i="1"/>
  <c r="G2741" i="1"/>
  <c r="H2740" i="1"/>
  <c r="G2740" i="1"/>
  <c r="H2739" i="1"/>
  <c r="G2739" i="1"/>
  <c r="H2738" i="1"/>
  <c r="G2738" i="1"/>
  <c r="H2737" i="1"/>
  <c r="G2737" i="1"/>
  <c r="H2736" i="1"/>
  <c r="G2736" i="1"/>
  <c r="H2735" i="1"/>
  <c r="G2735" i="1"/>
  <c r="H2734" i="1"/>
  <c r="G2734" i="1"/>
  <c r="H2733" i="1"/>
  <c r="G2733" i="1"/>
  <c r="H2732" i="1"/>
  <c r="G2732" i="1"/>
  <c r="H2731" i="1"/>
  <c r="G2731" i="1"/>
  <c r="H2730" i="1"/>
  <c r="G2730" i="1"/>
  <c r="H2729" i="1"/>
  <c r="G2729" i="1"/>
  <c r="H2728" i="1"/>
  <c r="G2728" i="1"/>
  <c r="H2727" i="1"/>
  <c r="G2727" i="1"/>
  <c r="H2726" i="1"/>
  <c r="G2726" i="1"/>
  <c r="H2725" i="1"/>
  <c r="G2725" i="1"/>
  <c r="H2724" i="1"/>
  <c r="G2724" i="1"/>
  <c r="H2723" i="1"/>
  <c r="G2723" i="1"/>
  <c r="H2722" i="1"/>
  <c r="G2722" i="1"/>
  <c r="H2721" i="1"/>
  <c r="G2721" i="1"/>
  <c r="H2720" i="1"/>
  <c r="G2720" i="1"/>
  <c r="H2719" i="1"/>
  <c r="G2719" i="1"/>
  <c r="H2718" i="1"/>
  <c r="G2718" i="1"/>
  <c r="H2717" i="1"/>
  <c r="G2717" i="1"/>
  <c r="H2716" i="1"/>
  <c r="G2716" i="1"/>
  <c r="H2715" i="1"/>
  <c r="G2715" i="1"/>
  <c r="H2714" i="1"/>
  <c r="G2714" i="1"/>
  <c r="H2713" i="1"/>
  <c r="G2713" i="1"/>
  <c r="H2712" i="1"/>
  <c r="G2712" i="1"/>
  <c r="H2711" i="1"/>
  <c r="G2711" i="1"/>
  <c r="H2710" i="1"/>
  <c r="G2710" i="1"/>
  <c r="H2709" i="1"/>
  <c r="G2709" i="1"/>
  <c r="H2708" i="1"/>
  <c r="G2708" i="1"/>
  <c r="H2707" i="1"/>
  <c r="G2707" i="1"/>
  <c r="H2706" i="1"/>
  <c r="G2706" i="1"/>
  <c r="H2705" i="1"/>
  <c r="G2705" i="1"/>
  <c r="H2704" i="1"/>
  <c r="G2704" i="1"/>
  <c r="H2703" i="1"/>
  <c r="G2703" i="1"/>
  <c r="H2702" i="1"/>
  <c r="G2702" i="1"/>
  <c r="H2701" i="1"/>
  <c r="G2701" i="1"/>
  <c r="H2700" i="1"/>
  <c r="G2700" i="1"/>
  <c r="H2699" i="1"/>
  <c r="G2699" i="1"/>
  <c r="H2698" i="1"/>
  <c r="G2698" i="1"/>
  <c r="H2697" i="1"/>
  <c r="G2697" i="1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G2687" i="1"/>
  <c r="H2686" i="1"/>
  <c r="G2686" i="1"/>
  <c r="H2685" i="1"/>
  <c r="G2685" i="1"/>
  <c r="H2684" i="1"/>
  <c r="G2684" i="1"/>
  <c r="H2683" i="1"/>
  <c r="G2683" i="1"/>
  <c r="H2682" i="1"/>
  <c r="G2682" i="1"/>
  <c r="H2681" i="1"/>
  <c r="G2681" i="1"/>
  <c r="H2680" i="1"/>
  <c r="G2680" i="1"/>
  <c r="H2679" i="1"/>
  <c r="G2679" i="1"/>
  <c r="H2678" i="1"/>
  <c r="G2678" i="1"/>
  <c r="H2677" i="1"/>
  <c r="G2677" i="1"/>
  <c r="H2676" i="1"/>
  <c r="G2676" i="1"/>
  <c r="H2675" i="1"/>
  <c r="G2675" i="1"/>
  <c r="H2674" i="1"/>
  <c r="G2674" i="1"/>
  <c r="H2673" i="1"/>
  <c r="G2673" i="1"/>
  <c r="H2672" i="1"/>
  <c r="G2672" i="1"/>
  <c r="H2671" i="1"/>
  <c r="G2671" i="1"/>
  <c r="H2670" i="1"/>
  <c r="G2670" i="1"/>
  <c r="H2669" i="1"/>
  <c r="G2669" i="1"/>
  <c r="H2668" i="1"/>
  <c r="G2668" i="1"/>
  <c r="H2667" i="1"/>
  <c r="G2667" i="1"/>
  <c r="H2666" i="1"/>
  <c r="G2666" i="1"/>
  <c r="H2665" i="1"/>
  <c r="G2665" i="1"/>
  <c r="H2664" i="1"/>
  <c r="G2664" i="1"/>
  <c r="H2663" i="1"/>
  <c r="G2663" i="1"/>
  <c r="H2662" i="1"/>
  <c r="G2662" i="1"/>
  <c r="H2661" i="1"/>
  <c r="G2661" i="1"/>
  <c r="H2660" i="1"/>
  <c r="G2660" i="1"/>
  <c r="H2659" i="1"/>
  <c r="G2659" i="1"/>
  <c r="H2658" i="1"/>
  <c r="G2658" i="1"/>
  <c r="H2657" i="1"/>
  <c r="G2657" i="1"/>
  <c r="H2656" i="1"/>
  <c r="G2656" i="1"/>
  <c r="H2655" i="1"/>
  <c r="G2655" i="1"/>
  <c r="H2654" i="1"/>
  <c r="G2654" i="1"/>
  <c r="H2653" i="1"/>
  <c r="G2653" i="1"/>
  <c r="H2652" i="1"/>
  <c r="G2652" i="1"/>
  <c r="H2651" i="1"/>
  <c r="G2651" i="1"/>
  <c r="H2650" i="1"/>
  <c r="G2650" i="1"/>
  <c r="H2649" i="1"/>
  <c r="G2649" i="1"/>
  <c r="H2648" i="1"/>
  <c r="G2648" i="1"/>
  <c r="H2647" i="1"/>
  <c r="G2647" i="1"/>
  <c r="H2646" i="1"/>
  <c r="G2646" i="1"/>
  <c r="H2645" i="1"/>
  <c r="G2645" i="1"/>
  <c r="H2644" i="1"/>
  <c r="G2644" i="1"/>
  <c r="H2643" i="1"/>
  <c r="G2643" i="1"/>
  <c r="H2642" i="1"/>
  <c r="G2642" i="1"/>
  <c r="H2641" i="1"/>
  <c r="G2641" i="1"/>
  <c r="H2640" i="1"/>
  <c r="G2640" i="1"/>
  <c r="H2639" i="1"/>
  <c r="G2639" i="1"/>
  <c r="H2638" i="1"/>
  <c r="G2638" i="1"/>
  <c r="H2637" i="1"/>
  <c r="G2637" i="1"/>
  <c r="H2636" i="1"/>
  <c r="G2636" i="1"/>
  <c r="H2635" i="1"/>
  <c r="G2635" i="1"/>
  <c r="H2634" i="1"/>
  <c r="G2634" i="1"/>
  <c r="H2633" i="1"/>
  <c r="G2633" i="1"/>
  <c r="H2632" i="1"/>
  <c r="G2632" i="1"/>
  <c r="H2631" i="1"/>
  <c r="G2631" i="1"/>
  <c r="H2630" i="1"/>
  <c r="G2630" i="1"/>
  <c r="H2629" i="1"/>
  <c r="G2629" i="1"/>
  <c r="H2628" i="1"/>
  <c r="G2628" i="1"/>
  <c r="H2627" i="1"/>
  <c r="G2627" i="1"/>
  <c r="H2626" i="1"/>
  <c r="G2626" i="1"/>
  <c r="H2625" i="1"/>
  <c r="G2625" i="1"/>
  <c r="H2624" i="1"/>
  <c r="G2624" i="1"/>
  <c r="H2623" i="1"/>
  <c r="G2623" i="1"/>
  <c r="H2622" i="1"/>
  <c r="G2622" i="1"/>
  <c r="H2621" i="1"/>
  <c r="G2621" i="1"/>
  <c r="H2620" i="1"/>
  <c r="G2620" i="1"/>
  <c r="H2619" i="1"/>
  <c r="G2619" i="1"/>
  <c r="H2618" i="1"/>
  <c r="G2618" i="1"/>
  <c r="H2617" i="1"/>
  <c r="G2617" i="1"/>
  <c r="H2616" i="1"/>
  <c r="G2616" i="1"/>
  <c r="H2615" i="1"/>
  <c r="G2615" i="1"/>
  <c r="H2614" i="1"/>
  <c r="G2614" i="1"/>
  <c r="H2613" i="1"/>
  <c r="G2613" i="1"/>
  <c r="H2612" i="1"/>
  <c r="G2612" i="1"/>
  <c r="H2611" i="1"/>
  <c r="G2611" i="1"/>
  <c r="H2610" i="1"/>
  <c r="G2610" i="1"/>
  <c r="H2609" i="1"/>
  <c r="G2609" i="1"/>
  <c r="H2608" i="1"/>
  <c r="G2608" i="1"/>
  <c r="H2607" i="1"/>
  <c r="G2607" i="1"/>
  <c r="H2606" i="1"/>
  <c r="G2606" i="1"/>
  <c r="H2605" i="1"/>
  <c r="G2605" i="1"/>
  <c r="H2604" i="1"/>
  <c r="G2604" i="1"/>
  <c r="H2603" i="1"/>
  <c r="G2603" i="1"/>
  <c r="H2602" i="1"/>
  <c r="G2602" i="1"/>
  <c r="H2601" i="1"/>
  <c r="G2601" i="1"/>
  <c r="H2600" i="1"/>
  <c r="G2600" i="1"/>
  <c r="H2599" i="1"/>
  <c r="G2599" i="1"/>
  <c r="H2598" i="1"/>
  <c r="G2598" i="1"/>
  <c r="H2597" i="1"/>
  <c r="G2597" i="1"/>
  <c r="H2596" i="1"/>
  <c r="G2596" i="1"/>
  <c r="H2595" i="1"/>
  <c r="G2595" i="1"/>
  <c r="H2594" i="1"/>
  <c r="G2594" i="1"/>
  <c r="H2593" i="1"/>
  <c r="G2593" i="1"/>
  <c r="H2592" i="1"/>
  <c r="G2592" i="1"/>
  <c r="H2591" i="1"/>
  <c r="G2591" i="1"/>
  <c r="H2590" i="1"/>
  <c r="G2590" i="1"/>
  <c r="H2589" i="1"/>
  <c r="G2589" i="1"/>
  <c r="H2588" i="1"/>
  <c r="G2588" i="1"/>
  <c r="H2587" i="1"/>
  <c r="G2587" i="1"/>
  <c r="H2586" i="1"/>
  <c r="G2586" i="1"/>
  <c r="H2585" i="1"/>
  <c r="G2585" i="1"/>
  <c r="H2584" i="1"/>
  <c r="G2584" i="1"/>
  <c r="H2583" i="1"/>
  <c r="G2583" i="1"/>
  <c r="H2582" i="1"/>
  <c r="G2582" i="1"/>
  <c r="H2581" i="1"/>
  <c r="G2581" i="1"/>
  <c r="H2580" i="1"/>
  <c r="G2580" i="1"/>
  <c r="H2579" i="1"/>
  <c r="G2579" i="1"/>
  <c r="H2578" i="1"/>
  <c r="G2578" i="1"/>
  <c r="H2577" i="1"/>
  <c r="G2577" i="1"/>
  <c r="H2576" i="1"/>
  <c r="G2576" i="1"/>
  <c r="H2575" i="1"/>
  <c r="G2575" i="1"/>
  <c r="H2574" i="1"/>
  <c r="G2574" i="1"/>
  <c r="H2573" i="1"/>
  <c r="G2573" i="1"/>
  <c r="H2572" i="1"/>
  <c r="G2572" i="1"/>
  <c r="H2571" i="1"/>
  <c r="G2571" i="1"/>
  <c r="H2570" i="1"/>
  <c r="G2570" i="1"/>
  <c r="H2569" i="1"/>
  <c r="G2569" i="1"/>
  <c r="H2568" i="1"/>
  <c r="G2568" i="1"/>
  <c r="H2567" i="1"/>
  <c r="G2567" i="1"/>
  <c r="H2566" i="1"/>
  <c r="G2566" i="1"/>
  <c r="H2565" i="1"/>
  <c r="G2565" i="1"/>
  <c r="H2564" i="1"/>
  <c r="G2564" i="1"/>
  <c r="H2563" i="1"/>
  <c r="G2563" i="1"/>
  <c r="H2562" i="1"/>
  <c r="G2562" i="1"/>
  <c r="H2561" i="1"/>
  <c r="G2561" i="1"/>
  <c r="H2560" i="1"/>
  <c r="G2560" i="1"/>
  <c r="H2559" i="1"/>
  <c r="G2559" i="1"/>
  <c r="H2558" i="1"/>
  <c r="G2558" i="1"/>
  <c r="H2557" i="1"/>
  <c r="G2557" i="1"/>
  <c r="H2556" i="1"/>
  <c r="G2556" i="1"/>
  <c r="H2555" i="1"/>
  <c r="G2555" i="1"/>
  <c r="H2554" i="1"/>
  <c r="G2554" i="1"/>
  <c r="H2553" i="1"/>
  <c r="G2553" i="1"/>
  <c r="H2552" i="1"/>
  <c r="G2552" i="1"/>
  <c r="H2551" i="1"/>
  <c r="G2551" i="1"/>
  <c r="H2550" i="1"/>
  <c r="G2550" i="1"/>
  <c r="H2549" i="1"/>
  <c r="G2549" i="1"/>
  <c r="H2548" i="1"/>
  <c r="G2548" i="1"/>
  <c r="H2547" i="1"/>
  <c r="G2547" i="1"/>
  <c r="H2546" i="1"/>
  <c r="G2546" i="1"/>
  <c r="H2545" i="1"/>
  <c r="G2545" i="1"/>
  <c r="H2544" i="1"/>
  <c r="G2544" i="1"/>
  <c r="H2543" i="1"/>
  <c r="G2543" i="1"/>
  <c r="H2542" i="1"/>
  <c r="G2542" i="1"/>
  <c r="H2541" i="1"/>
  <c r="G2541" i="1"/>
  <c r="H2540" i="1"/>
  <c r="G2540" i="1"/>
  <c r="H2539" i="1"/>
  <c r="G2539" i="1"/>
  <c r="H2538" i="1"/>
  <c r="G2538" i="1"/>
  <c r="H2537" i="1"/>
  <c r="G2537" i="1"/>
  <c r="H2536" i="1"/>
  <c r="G2536" i="1"/>
  <c r="H2535" i="1"/>
  <c r="G2535" i="1"/>
  <c r="H2534" i="1"/>
  <c r="G2534" i="1"/>
  <c r="H2533" i="1"/>
  <c r="G2533" i="1"/>
  <c r="H2532" i="1"/>
  <c r="G2532" i="1"/>
  <c r="H2531" i="1"/>
  <c r="G2531" i="1"/>
  <c r="H2530" i="1"/>
  <c r="G2530" i="1"/>
  <c r="H2529" i="1"/>
  <c r="G2529" i="1"/>
  <c r="H2528" i="1"/>
  <c r="G2528" i="1"/>
  <c r="H2527" i="1"/>
  <c r="G2527" i="1"/>
  <c r="H2526" i="1"/>
  <c r="G2526" i="1"/>
  <c r="H2525" i="1"/>
  <c r="G2525" i="1"/>
  <c r="H2524" i="1"/>
  <c r="G2524" i="1"/>
  <c r="H2523" i="1"/>
  <c r="G2523" i="1"/>
  <c r="H2522" i="1"/>
  <c r="G2522" i="1"/>
  <c r="H2521" i="1"/>
  <c r="G2521" i="1"/>
  <c r="H2520" i="1"/>
  <c r="G2520" i="1"/>
  <c r="H2519" i="1"/>
  <c r="G2519" i="1"/>
  <c r="H2518" i="1"/>
  <c r="G2518" i="1"/>
  <c r="H2517" i="1"/>
  <c r="G2517" i="1"/>
  <c r="H2516" i="1"/>
  <c r="G2516" i="1"/>
  <c r="H2515" i="1"/>
  <c r="G2515" i="1"/>
  <c r="H2514" i="1"/>
  <c r="G2514" i="1"/>
  <c r="H2513" i="1"/>
  <c r="G2513" i="1"/>
  <c r="H2512" i="1"/>
  <c r="G2512" i="1"/>
  <c r="H2511" i="1"/>
  <c r="G2511" i="1"/>
  <c r="H2510" i="1"/>
  <c r="G2510" i="1"/>
  <c r="H2509" i="1"/>
  <c r="G2509" i="1"/>
  <c r="H2508" i="1"/>
  <c r="G2508" i="1"/>
  <c r="H2507" i="1"/>
  <c r="G2507" i="1"/>
  <c r="H2506" i="1"/>
  <c r="G2506" i="1"/>
  <c r="H2505" i="1"/>
  <c r="G2505" i="1"/>
  <c r="H2504" i="1"/>
  <c r="G2504" i="1"/>
  <c r="H2503" i="1"/>
  <c r="G2503" i="1"/>
  <c r="H2502" i="1"/>
  <c r="G2502" i="1"/>
  <c r="H2501" i="1"/>
  <c r="G2501" i="1"/>
  <c r="H2500" i="1"/>
  <c r="G2500" i="1"/>
  <c r="H2499" i="1"/>
  <c r="G2499" i="1"/>
  <c r="H2498" i="1"/>
  <c r="G2498" i="1"/>
  <c r="H2497" i="1"/>
  <c r="G2497" i="1"/>
  <c r="H2496" i="1"/>
  <c r="G2496" i="1"/>
  <c r="H2495" i="1"/>
  <c r="G2495" i="1"/>
  <c r="H2494" i="1"/>
  <c r="G2494" i="1"/>
  <c r="H2493" i="1"/>
  <c r="G2493" i="1"/>
  <c r="H2492" i="1"/>
  <c r="G2492" i="1"/>
  <c r="H2491" i="1"/>
  <c r="G2491" i="1"/>
  <c r="H2490" i="1"/>
  <c r="G2490" i="1"/>
  <c r="H2489" i="1"/>
  <c r="G2489" i="1"/>
  <c r="H2488" i="1"/>
  <c r="G2488" i="1"/>
  <c r="H2487" i="1"/>
  <c r="G2487" i="1"/>
  <c r="H2486" i="1"/>
  <c r="G2486" i="1"/>
  <c r="H2485" i="1"/>
  <c r="G2485" i="1"/>
  <c r="H2484" i="1"/>
  <c r="G2484" i="1"/>
  <c r="H2483" i="1"/>
  <c r="G2483" i="1"/>
  <c r="H2482" i="1"/>
  <c r="G2482" i="1"/>
  <c r="H2481" i="1"/>
  <c r="G2481" i="1"/>
  <c r="H2480" i="1"/>
  <c r="G2480" i="1"/>
  <c r="H2479" i="1"/>
  <c r="G2479" i="1"/>
  <c r="H2478" i="1"/>
  <c r="G2478" i="1"/>
  <c r="H2477" i="1"/>
  <c r="G2477" i="1"/>
  <c r="H2476" i="1"/>
  <c r="G2476" i="1"/>
  <c r="H2475" i="1"/>
  <c r="G2475" i="1"/>
  <c r="H2474" i="1"/>
  <c r="G2474" i="1"/>
  <c r="H2473" i="1"/>
  <c r="G2473" i="1"/>
  <c r="H2472" i="1"/>
  <c r="G2472" i="1"/>
  <c r="H2471" i="1"/>
  <c r="G2471" i="1"/>
  <c r="H2470" i="1"/>
  <c r="G2470" i="1"/>
  <c r="H2469" i="1"/>
  <c r="G2469" i="1"/>
  <c r="H2468" i="1"/>
  <c r="G2468" i="1"/>
  <c r="H2467" i="1"/>
  <c r="G2467" i="1"/>
  <c r="H2466" i="1"/>
  <c r="G2466" i="1"/>
  <c r="H2465" i="1"/>
  <c r="G2465" i="1"/>
  <c r="H2464" i="1"/>
  <c r="G2464" i="1"/>
  <c r="H2463" i="1"/>
  <c r="G2463" i="1"/>
  <c r="H2462" i="1"/>
  <c r="G2462" i="1"/>
  <c r="H2461" i="1"/>
  <c r="G2461" i="1"/>
  <c r="H2460" i="1"/>
  <c r="G2460" i="1"/>
  <c r="H2459" i="1"/>
  <c r="G2459" i="1"/>
  <c r="H2458" i="1"/>
  <c r="G2458" i="1"/>
  <c r="H2457" i="1"/>
  <c r="G2457" i="1"/>
  <c r="H2456" i="1"/>
  <c r="G2456" i="1"/>
  <c r="H2455" i="1"/>
  <c r="G2455" i="1"/>
  <c r="H2454" i="1"/>
  <c r="G2454" i="1"/>
  <c r="H2453" i="1"/>
  <c r="G2453" i="1"/>
  <c r="H2452" i="1"/>
  <c r="G2452" i="1"/>
  <c r="H2451" i="1"/>
  <c r="G2451" i="1"/>
  <c r="H2450" i="1"/>
  <c r="G2450" i="1"/>
  <c r="H2449" i="1"/>
  <c r="G2449" i="1"/>
  <c r="H2448" i="1"/>
  <c r="G2448" i="1"/>
  <c r="H2447" i="1"/>
  <c r="G2447" i="1"/>
  <c r="H2446" i="1"/>
  <c r="G2446" i="1"/>
  <c r="H2445" i="1"/>
  <c r="G2445" i="1"/>
  <c r="H2444" i="1"/>
  <c r="G2444" i="1"/>
  <c r="H2443" i="1"/>
  <c r="G2443" i="1"/>
  <c r="H2442" i="1"/>
  <c r="G2442" i="1"/>
  <c r="H2441" i="1"/>
  <c r="G2441" i="1"/>
  <c r="H2440" i="1"/>
  <c r="G2440" i="1"/>
  <c r="H2439" i="1"/>
  <c r="G2439" i="1"/>
  <c r="H2438" i="1"/>
  <c r="G2438" i="1"/>
  <c r="H2437" i="1"/>
  <c r="G2437" i="1"/>
  <c r="H2436" i="1"/>
  <c r="G2436" i="1"/>
  <c r="H2435" i="1"/>
  <c r="G2435" i="1"/>
  <c r="H2434" i="1"/>
  <c r="G2434" i="1"/>
  <c r="H2433" i="1"/>
  <c r="G2433" i="1"/>
  <c r="H2432" i="1"/>
  <c r="G2432" i="1"/>
  <c r="H2431" i="1"/>
  <c r="G2431" i="1"/>
  <c r="H2430" i="1"/>
  <c r="G2430" i="1"/>
  <c r="H2429" i="1"/>
  <c r="G2429" i="1"/>
  <c r="H2428" i="1"/>
  <c r="G2428" i="1"/>
  <c r="H2427" i="1"/>
  <c r="G2427" i="1"/>
  <c r="H2426" i="1"/>
  <c r="G2426" i="1"/>
  <c r="H2425" i="1"/>
  <c r="G2425" i="1"/>
  <c r="H2424" i="1"/>
  <c r="G2424" i="1"/>
  <c r="H2423" i="1"/>
  <c r="G2423" i="1"/>
  <c r="H2422" i="1"/>
  <c r="G2422" i="1"/>
  <c r="H2421" i="1"/>
  <c r="G2421" i="1"/>
  <c r="H2420" i="1"/>
  <c r="G2420" i="1"/>
  <c r="H2419" i="1"/>
  <c r="G2419" i="1"/>
  <c r="H2418" i="1"/>
  <c r="G2418" i="1"/>
  <c r="H2417" i="1"/>
  <c r="G2417" i="1"/>
  <c r="H2416" i="1"/>
  <c r="G2416" i="1"/>
  <c r="H2415" i="1"/>
  <c r="G2415" i="1"/>
  <c r="H2414" i="1"/>
  <c r="G2414" i="1"/>
  <c r="H2413" i="1"/>
  <c r="G2413" i="1"/>
  <c r="H2412" i="1"/>
  <c r="G2412" i="1"/>
  <c r="H2411" i="1"/>
  <c r="G2411" i="1"/>
  <c r="H2410" i="1"/>
  <c r="G2410" i="1"/>
  <c r="H2409" i="1"/>
  <c r="G2409" i="1"/>
  <c r="H2408" i="1"/>
  <c r="G2408" i="1"/>
  <c r="H2407" i="1"/>
  <c r="G2407" i="1"/>
  <c r="H2406" i="1"/>
  <c r="G2406" i="1"/>
  <c r="H2405" i="1"/>
  <c r="G2405" i="1"/>
  <c r="H2404" i="1"/>
  <c r="G2404" i="1"/>
  <c r="H2403" i="1"/>
  <c r="G2403" i="1"/>
  <c r="H2402" i="1"/>
  <c r="G2402" i="1"/>
  <c r="H2401" i="1"/>
  <c r="G2401" i="1"/>
  <c r="H2400" i="1"/>
  <c r="G2400" i="1"/>
  <c r="H2399" i="1"/>
  <c r="G2399" i="1"/>
  <c r="H2398" i="1"/>
  <c r="G2398" i="1"/>
  <c r="H2397" i="1"/>
  <c r="G2397" i="1"/>
  <c r="H2396" i="1"/>
  <c r="G2396" i="1"/>
  <c r="H2395" i="1"/>
  <c r="G2395" i="1"/>
  <c r="H2394" i="1"/>
  <c r="G2394" i="1"/>
  <c r="H2393" i="1"/>
  <c r="G2393" i="1"/>
  <c r="H2392" i="1"/>
  <c r="G2392" i="1"/>
  <c r="H2391" i="1"/>
  <c r="G2391" i="1"/>
  <c r="H2390" i="1"/>
  <c r="G2390" i="1"/>
  <c r="H2389" i="1"/>
  <c r="G2389" i="1"/>
  <c r="H2388" i="1"/>
  <c r="G2388" i="1"/>
  <c r="H2387" i="1"/>
  <c r="G2387" i="1"/>
  <c r="H2386" i="1"/>
  <c r="G2386" i="1"/>
  <c r="H2385" i="1"/>
  <c r="G2385" i="1"/>
  <c r="H2384" i="1"/>
  <c r="G2384" i="1"/>
  <c r="H2383" i="1"/>
  <c r="G2383" i="1"/>
  <c r="H2382" i="1"/>
  <c r="G2382" i="1"/>
  <c r="H2381" i="1"/>
  <c r="G2381" i="1"/>
  <c r="H2380" i="1"/>
  <c r="G2380" i="1"/>
  <c r="H2379" i="1"/>
  <c r="G2379" i="1"/>
  <c r="H2378" i="1"/>
  <c r="G2378" i="1"/>
  <c r="H2377" i="1"/>
  <c r="G2377" i="1"/>
  <c r="H2376" i="1"/>
  <c r="G2376" i="1"/>
  <c r="H2375" i="1"/>
  <c r="G2375" i="1"/>
  <c r="H2374" i="1"/>
  <c r="G2374" i="1"/>
  <c r="H2373" i="1"/>
  <c r="G2373" i="1"/>
  <c r="H2372" i="1"/>
  <c r="G2372" i="1"/>
  <c r="H2371" i="1"/>
  <c r="G2371" i="1"/>
  <c r="H2370" i="1"/>
  <c r="G2370" i="1"/>
  <c r="H2369" i="1"/>
  <c r="G2369" i="1"/>
  <c r="H2368" i="1"/>
  <c r="G2368" i="1"/>
  <c r="H2367" i="1"/>
  <c r="G2367" i="1"/>
  <c r="H2366" i="1"/>
  <c r="G2366" i="1"/>
  <c r="H2365" i="1"/>
  <c r="G2365" i="1"/>
  <c r="H2364" i="1"/>
  <c r="G2364" i="1"/>
  <c r="H2363" i="1"/>
  <c r="G2363" i="1"/>
  <c r="H2362" i="1"/>
  <c r="G2362" i="1"/>
  <c r="H2361" i="1"/>
  <c r="G2361" i="1"/>
  <c r="H2360" i="1"/>
  <c r="G2360" i="1"/>
  <c r="H2359" i="1"/>
  <c r="G2359" i="1"/>
  <c r="H2358" i="1"/>
  <c r="G2358" i="1"/>
  <c r="H2357" i="1"/>
  <c r="G2357" i="1"/>
  <c r="H2356" i="1"/>
  <c r="G2356" i="1"/>
  <c r="H2355" i="1"/>
  <c r="G2355" i="1"/>
  <c r="H2354" i="1"/>
  <c r="G2354" i="1"/>
  <c r="H2353" i="1"/>
  <c r="G2353" i="1"/>
  <c r="H2352" i="1"/>
  <c r="G2352" i="1"/>
  <c r="H2351" i="1"/>
  <c r="G2351" i="1"/>
  <c r="H2350" i="1"/>
  <c r="G2350" i="1"/>
  <c r="H2349" i="1"/>
  <c r="G2349" i="1"/>
  <c r="H2348" i="1"/>
  <c r="G2348" i="1"/>
  <c r="H2347" i="1"/>
  <c r="G2347" i="1"/>
  <c r="H2346" i="1"/>
  <c r="G2346" i="1"/>
  <c r="H2345" i="1"/>
  <c r="G2345" i="1"/>
  <c r="H2344" i="1"/>
  <c r="G2344" i="1"/>
  <c r="H2343" i="1"/>
  <c r="G2343" i="1"/>
  <c r="H2342" i="1"/>
  <c r="G2342" i="1"/>
  <c r="H2341" i="1"/>
  <c r="G2341" i="1"/>
  <c r="H2340" i="1"/>
  <c r="G2340" i="1"/>
  <c r="H2339" i="1"/>
  <c r="G2339" i="1"/>
  <c r="H2338" i="1"/>
  <c r="G2338" i="1"/>
  <c r="H2337" i="1"/>
  <c r="G2337" i="1"/>
  <c r="H2336" i="1"/>
  <c r="G2336" i="1"/>
  <c r="H2335" i="1"/>
  <c r="G2335" i="1"/>
  <c r="H2334" i="1"/>
  <c r="G2334" i="1"/>
  <c r="H2333" i="1"/>
  <c r="G2333" i="1"/>
  <c r="H2332" i="1"/>
  <c r="G2332" i="1"/>
  <c r="H2331" i="1"/>
  <c r="G2331" i="1"/>
  <c r="H2330" i="1"/>
  <c r="G2330" i="1"/>
  <c r="H2329" i="1"/>
  <c r="G2329" i="1"/>
  <c r="H2328" i="1"/>
  <c r="G2328" i="1"/>
  <c r="H2327" i="1"/>
  <c r="G2327" i="1"/>
  <c r="H2326" i="1"/>
  <c r="G2326" i="1"/>
  <c r="H2325" i="1"/>
  <c r="G2325" i="1"/>
  <c r="H2324" i="1"/>
  <c r="G2324" i="1"/>
  <c r="H2323" i="1"/>
  <c r="G2323" i="1"/>
  <c r="H2322" i="1"/>
  <c r="G2322" i="1"/>
  <c r="H2321" i="1"/>
  <c r="G2321" i="1"/>
  <c r="H2320" i="1"/>
  <c r="G2320" i="1"/>
  <c r="H2319" i="1"/>
  <c r="G2319" i="1"/>
  <c r="H2318" i="1"/>
  <c r="G2318" i="1"/>
  <c r="H2317" i="1"/>
  <c r="G2317" i="1"/>
  <c r="H2316" i="1"/>
  <c r="G2316" i="1"/>
  <c r="H2315" i="1"/>
  <c r="G2315" i="1"/>
  <c r="H2314" i="1"/>
  <c r="G2314" i="1"/>
  <c r="H2313" i="1"/>
  <c r="G2313" i="1"/>
  <c r="H2312" i="1"/>
  <c r="G2312" i="1"/>
  <c r="H2311" i="1"/>
  <c r="G2311" i="1"/>
  <c r="H2310" i="1"/>
  <c r="G2310" i="1"/>
  <c r="H2309" i="1"/>
  <c r="G2309" i="1"/>
  <c r="H2308" i="1"/>
  <c r="G2308" i="1"/>
  <c r="H2307" i="1"/>
  <c r="G2307" i="1"/>
  <c r="H2306" i="1"/>
  <c r="G2306" i="1"/>
  <c r="H2305" i="1"/>
  <c r="G2305" i="1"/>
  <c r="H2304" i="1"/>
  <c r="G2304" i="1"/>
  <c r="H2303" i="1"/>
  <c r="G2303" i="1"/>
  <c r="H2302" i="1"/>
  <c r="G2302" i="1"/>
  <c r="H2301" i="1"/>
  <c r="G2301" i="1"/>
  <c r="H2300" i="1"/>
  <c r="G2300" i="1"/>
  <c r="H2299" i="1"/>
  <c r="G2299" i="1"/>
  <c r="H2298" i="1"/>
  <c r="G2298" i="1"/>
  <c r="H2297" i="1"/>
  <c r="G2297" i="1"/>
  <c r="H2296" i="1"/>
  <c r="G2296" i="1"/>
  <c r="H2295" i="1"/>
  <c r="G2295" i="1"/>
  <c r="H2294" i="1"/>
  <c r="G2294" i="1"/>
  <c r="H2293" i="1"/>
  <c r="G2293" i="1"/>
  <c r="H2292" i="1"/>
  <c r="G2292" i="1"/>
  <c r="H2291" i="1"/>
  <c r="G2291" i="1"/>
  <c r="H2290" i="1"/>
  <c r="G2290" i="1"/>
  <c r="H2289" i="1"/>
  <c r="G2289" i="1"/>
  <c r="H2288" i="1"/>
  <c r="G2288" i="1"/>
  <c r="H2287" i="1"/>
  <c r="G2287" i="1"/>
  <c r="H2286" i="1"/>
  <c r="G2286" i="1"/>
  <c r="H2285" i="1"/>
  <c r="G2285" i="1"/>
  <c r="H2284" i="1"/>
  <c r="G2284" i="1"/>
  <c r="H2283" i="1"/>
  <c r="G2283" i="1"/>
  <c r="H2282" i="1"/>
  <c r="G2282" i="1"/>
  <c r="H2281" i="1"/>
  <c r="G2281" i="1"/>
  <c r="H2280" i="1"/>
  <c r="G2280" i="1"/>
  <c r="H2279" i="1"/>
  <c r="G2279" i="1"/>
  <c r="H2278" i="1"/>
  <c r="G2278" i="1"/>
  <c r="H2277" i="1"/>
  <c r="G2277" i="1"/>
  <c r="H2276" i="1"/>
  <c r="G2276" i="1"/>
  <c r="H2275" i="1"/>
  <c r="G2275" i="1"/>
  <c r="H2274" i="1"/>
  <c r="G2274" i="1"/>
  <c r="H2273" i="1"/>
  <c r="G2273" i="1"/>
  <c r="H2272" i="1"/>
  <c r="G2272" i="1"/>
  <c r="H2271" i="1"/>
  <c r="G2271" i="1"/>
  <c r="H2270" i="1"/>
  <c r="G2270" i="1"/>
  <c r="H2269" i="1"/>
  <c r="G2269" i="1"/>
  <c r="H2268" i="1"/>
  <c r="G2268" i="1"/>
  <c r="H2267" i="1"/>
  <c r="G2267" i="1"/>
  <c r="H2266" i="1"/>
  <c r="G2266" i="1"/>
  <c r="H2265" i="1"/>
  <c r="G2265" i="1"/>
  <c r="H2264" i="1"/>
  <c r="G2264" i="1"/>
  <c r="H2263" i="1"/>
  <c r="G2263" i="1"/>
  <c r="H2262" i="1"/>
  <c r="G2262" i="1"/>
  <c r="H2261" i="1"/>
  <c r="G2261" i="1"/>
  <c r="H2260" i="1"/>
  <c r="G2260" i="1"/>
  <c r="H2259" i="1"/>
  <c r="G2259" i="1"/>
  <c r="H2258" i="1"/>
  <c r="G2258" i="1"/>
  <c r="H2257" i="1"/>
  <c r="G2257" i="1"/>
  <c r="H2256" i="1"/>
  <c r="G2256" i="1"/>
  <c r="H2255" i="1"/>
  <c r="G2255" i="1"/>
  <c r="H2254" i="1"/>
  <c r="G2254" i="1"/>
  <c r="H2253" i="1"/>
  <c r="G2253" i="1"/>
  <c r="H2252" i="1"/>
  <c r="G2252" i="1"/>
  <c r="H2251" i="1"/>
  <c r="G2251" i="1"/>
  <c r="H2250" i="1"/>
  <c r="G2250" i="1"/>
  <c r="H2249" i="1"/>
  <c r="G2249" i="1"/>
  <c r="H2248" i="1"/>
  <c r="G2248" i="1"/>
  <c r="H2247" i="1"/>
  <c r="G2247" i="1"/>
  <c r="H2246" i="1"/>
  <c r="G2246" i="1"/>
  <c r="H2245" i="1"/>
  <c r="G2245" i="1"/>
  <c r="H2244" i="1"/>
  <c r="G2244" i="1"/>
  <c r="H2243" i="1"/>
  <c r="G2243" i="1"/>
  <c r="H2242" i="1"/>
  <c r="G2242" i="1"/>
  <c r="H2241" i="1"/>
  <c r="G2241" i="1"/>
  <c r="H2240" i="1"/>
  <c r="G2240" i="1"/>
  <c r="H2239" i="1"/>
  <c r="G2239" i="1"/>
  <c r="H2238" i="1"/>
  <c r="G2238" i="1"/>
  <c r="H2237" i="1"/>
  <c r="G2237" i="1"/>
  <c r="H2236" i="1"/>
  <c r="G2236" i="1"/>
  <c r="H2235" i="1"/>
  <c r="G2235" i="1"/>
  <c r="H2234" i="1"/>
  <c r="G2234" i="1"/>
  <c r="H2233" i="1"/>
  <c r="G2233" i="1"/>
  <c r="H2232" i="1"/>
  <c r="G2232" i="1"/>
  <c r="H2231" i="1"/>
  <c r="G2231" i="1"/>
  <c r="H2230" i="1"/>
  <c r="G2230" i="1"/>
  <c r="H2229" i="1"/>
  <c r="G2229" i="1"/>
  <c r="H2228" i="1"/>
  <c r="G2228" i="1"/>
  <c r="H2227" i="1"/>
  <c r="G2227" i="1"/>
  <c r="H2226" i="1"/>
  <c r="G2226" i="1"/>
  <c r="H2225" i="1"/>
  <c r="G2225" i="1"/>
  <c r="H2224" i="1"/>
  <c r="G2224" i="1"/>
  <c r="H2223" i="1"/>
  <c r="G2223" i="1"/>
  <c r="H2222" i="1"/>
  <c r="G2222" i="1"/>
  <c r="H2221" i="1"/>
  <c r="G2221" i="1"/>
  <c r="H2220" i="1"/>
  <c r="G2220" i="1"/>
  <c r="H2219" i="1"/>
  <c r="G2219" i="1"/>
  <c r="H2218" i="1"/>
  <c r="G2218" i="1"/>
  <c r="H2217" i="1"/>
  <c r="G2217" i="1"/>
  <c r="H2216" i="1"/>
  <c r="G2216" i="1"/>
  <c r="H2215" i="1"/>
  <c r="G2215" i="1"/>
  <c r="H2214" i="1"/>
  <c r="G2214" i="1"/>
  <c r="H2213" i="1"/>
  <c r="G2213" i="1"/>
  <c r="H2212" i="1"/>
  <c r="G2212" i="1"/>
  <c r="H2211" i="1"/>
  <c r="G2211" i="1"/>
  <c r="H2210" i="1"/>
  <c r="G2210" i="1"/>
  <c r="H2209" i="1"/>
  <c r="G2209" i="1"/>
  <c r="H2208" i="1"/>
  <c r="G2208" i="1"/>
  <c r="H2207" i="1"/>
  <c r="G2207" i="1"/>
  <c r="H2206" i="1"/>
  <c r="G2206" i="1"/>
  <c r="H2205" i="1"/>
  <c r="G2205" i="1"/>
  <c r="H2204" i="1"/>
  <c r="G2204" i="1"/>
  <c r="H2203" i="1"/>
  <c r="G2203" i="1"/>
  <c r="H2202" i="1"/>
  <c r="G2202" i="1"/>
  <c r="H2201" i="1"/>
  <c r="G2201" i="1"/>
  <c r="H2200" i="1"/>
  <c r="G2200" i="1"/>
  <c r="H2199" i="1"/>
  <c r="G2199" i="1"/>
  <c r="H2198" i="1"/>
  <c r="G2198" i="1"/>
  <c r="H2197" i="1"/>
  <c r="G2197" i="1"/>
  <c r="H2196" i="1"/>
  <c r="G2196" i="1"/>
  <c r="H2195" i="1"/>
  <c r="G2195" i="1"/>
  <c r="H2194" i="1"/>
  <c r="G2194" i="1"/>
  <c r="H2193" i="1"/>
  <c r="G2193" i="1"/>
  <c r="H2192" i="1"/>
  <c r="G2192" i="1"/>
  <c r="H2191" i="1"/>
  <c r="G2191" i="1"/>
  <c r="H2190" i="1"/>
  <c r="G2190" i="1"/>
  <c r="H2189" i="1"/>
  <c r="G2189" i="1"/>
  <c r="H2188" i="1"/>
  <c r="G2188" i="1"/>
  <c r="H2187" i="1"/>
  <c r="G2187" i="1"/>
  <c r="H2186" i="1"/>
  <c r="G2186" i="1"/>
  <c r="H2185" i="1"/>
  <c r="G2185" i="1"/>
  <c r="H2184" i="1"/>
  <c r="G2184" i="1"/>
  <c r="H2183" i="1"/>
  <c r="G2183" i="1"/>
  <c r="H2182" i="1"/>
  <c r="G2182" i="1"/>
  <c r="H2181" i="1"/>
  <c r="G2181" i="1"/>
  <c r="H2180" i="1"/>
  <c r="G2180" i="1"/>
  <c r="H2179" i="1"/>
  <c r="G2179" i="1"/>
  <c r="H2178" i="1"/>
  <c r="G2178" i="1"/>
  <c r="H2177" i="1"/>
  <c r="G2177" i="1"/>
  <c r="H2176" i="1"/>
  <c r="G2176" i="1"/>
  <c r="H2175" i="1"/>
  <c r="G2175" i="1"/>
  <c r="H2174" i="1"/>
  <c r="G2174" i="1"/>
  <c r="H2173" i="1"/>
  <c r="G2173" i="1"/>
  <c r="H2172" i="1"/>
  <c r="G2172" i="1"/>
  <c r="H2171" i="1"/>
  <c r="G2171" i="1"/>
  <c r="H2170" i="1"/>
  <c r="G2170" i="1"/>
  <c r="H2169" i="1"/>
  <c r="G2169" i="1"/>
  <c r="H2168" i="1"/>
  <c r="G2168" i="1"/>
  <c r="H2167" i="1"/>
  <c r="G2167" i="1"/>
  <c r="H2166" i="1"/>
  <c r="G2166" i="1"/>
  <c r="H2165" i="1"/>
  <c r="G2165" i="1"/>
  <c r="H2164" i="1"/>
  <c r="G2164" i="1"/>
  <c r="H2163" i="1"/>
  <c r="G2163" i="1"/>
  <c r="H2162" i="1"/>
  <c r="G2162" i="1"/>
  <c r="H2161" i="1"/>
  <c r="G2161" i="1"/>
  <c r="H2160" i="1"/>
  <c r="G2160" i="1"/>
  <c r="H2159" i="1"/>
  <c r="G2159" i="1"/>
  <c r="H2158" i="1"/>
  <c r="G2158" i="1"/>
  <c r="H2157" i="1"/>
  <c r="G2157" i="1"/>
  <c r="H2156" i="1"/>
  <c r="G2156" i="1"/>
  <c r="H2155" i="1"/>
  <c r="G2155" i="1"/>
  <c r="H2154" i="1"/>
  <c r="G2154" i="1"/>
  <c r="H2153" i="1"/>
  <c r="G2153" i="1"/>
  <c r="H2152" i="1"/>
  <c r="G2152" i="1"/>
  <c r="H2151" i="1"/>
  <c r="G2151" i="1"/>
  <c r="H2150" i="1"/>
  <c r="G2150" i="1"/>
  <c r="H2149" i="1"/>
  <c r="G2149" i="1"/>
  <c r="H2148" i="1"/>
  <c r="G2148" i="1"/>
  <c r="H2147" i="1"/>
  <c r="G2147" i="1"/>
  <c r="H2146" i="1"/>
  <c r="G2146" i="1"/>
  <c r="H2145" i="1"/>
  <c r="G2145" i="1"/>
  <c r="H2144" i="1"/>
  <c r="G2144" i="1"/>
  <c r="H2143" i="1"/>
  <c r="G2143" i="1"/>
  <c r="H2142" i="1"/>
  <c r="G2142" i="1"/>
  <c r="H2141" i="1"/>
  <c r="G2141" i="1"/>
  <c r="H2140" i="1"/>
  <c r="G2140" i="1"/>
  <c r="H2139" i="1"/>
  <c r="G2139" i="1"/>
  <c r="H2138" i="1"/>
  <c r="G2138" i="1"/>
  <c r="H2137" i="1"/>
  <c r="G2137" i="1"/>
  <c r="H2136" i="1"/>
  <c r="G2136" i="1"/>
  <c r="H2135" i="1"/>
  <c r="G2135" i="1"/>
  <c r="H2134" i="1"/>
  <c r="G2134" i="1"/>
  <c r="H2133" i="1"/>
  <c r="G2133" i="1"/>
  <c r="H2132" i="1"/>
  <c r="G2132" i="1"/>
  <c r="H2131" i="1"/>
  <c r="G2131" i="1"/>
  <c r="H2130" i="1"/>
  <c r="G2130" i="1"/>
  <c r="H2129" i="1"/>
  <c r="G2129" i="1"/>
  <c r="H2128" i="1"/>
  <c r="G2128" i="1"/>
  <c r="H2127" i="1"/>
  <c r="G2127" i="1"/>
  <c r="H2126" i="1"/>
  <c r="G2126" i="1"/>
  <c r="H2125" i="1"/>
  <c r="G2125" i="1"/>
  <c r="H2124" i="1"/>
  <c r="G2124" i="1"/>
  <c r="H2123" i="1"/>
  <c r="G2123" i="1"/>
  <c r="H2122" i="1"/>
  <c r="G2122" i="1"/>
  <c r="H2121" i="1"/>
  <c r="G2121" i="1"/>
  <c r="H2120" i="1"/>
  <c r="G2120" i="1"/>
  <c r="H2119" i="1"/>
  <c r="G2119" i="1"/>
  <c r="H2118" i="1"/>
  <c r="G2118" i="1"/>
  <c r="H2117" i="1"/>
  <c r="G2117" i="1"/>
  <c r="H2116" i="1"/>
  <c r="G2116" i="1"/>
  <c r="H2115" i="1"/>
  <c r="G2115" i="1"/>
  <c r="H2114" i="1"/>
  <c r="G2114" i="1"/>
  <c r="H2113" i="1"/>
  <c r="G2113" i="1"/>
  <c r="H2112" i="1"/>
  <c r="G2112" i="1"/>
  <c r="H2111" i="1"/>
  <c r="G2111" i="1"/>
  <c r="H2110" i="1"/>
  <c r="G2110" i="1"/>
  <c r="H2109" i="1"/>
  <c r="G2109" i="1"/>
  <c r="H2108" i="1"/>
  <c r="G2108" i="1"/>
  <c r="H2107" i="1"/>
  <c r="G2107" i="1"/>
  <c r="H2106" i="1"/>
  <c r="G2106" i="1"/>
  <c r="H2105" i="1"/>
  <c r="G2105" i="1"/>
  <c r="H2104" i="1"/>
  <c r="G2104" i="1"/>
  <c r="H2103" i="1"/>
  <c r="G2103" i="1"/>
  <c r="H2102" i="1"/>
  <c r="G2102" i="1"/>
  <c r="H2101" i="1"/>
  <c r="G2101" i="1"/>
  <c r="H2100" i="1"/>
  <c r="G2100" i="1"/>
  <c r="H2099" i="1"/>
  <c r="G2099" i="1"/>
  <c r="H2098" i="1"/>
  <c r="G2098" i="1"/>
  <c r="H2097" i="1"/>
  <c r="G2097" i="1"/>
  <c r="H2096" i="1"/>
  <c r="G2096" i="1"/>
  <c r="H2095" i="1"/>
  <c r="G2095" i="1"/>
  <c r="H2094" i="1"/>
  <c r="G2094" i="1"/>
  <c r="H2093" i="1"/>
  <c r="G2093" i="1"/>
  <c r="H2092" i="1"/>
  <c r="G2092" i="1"/>
  <c r="H2091" i="1"/>
  <c r="G2091" i="1"/>
  <c r="H2090" i="1"/>
  <c r="G2090" i="1"/>
  <c r="H2089" i="1"/>
  <c r="G2089" i="1"/>
  <c r="H2088" i="1"/>
  <c r="G2088" i="1"/>
  <c r="H2087" i="1"/>
  <c r="G2087" i="1"/>
  <c r="H2086" i="1"/>
  <c r="G2086" i="1"/>
  <c r="H2085" i="1"/>
  <c r="G2085" i="1"/>
  <c r="H2084" i="1"/>
  <c r="G2084" i="1"/>
  <c r="H2083" i="1"/>
  <c r="G2083" i="1"/>
  <c r="H2082" i="1"/>
  <c r="G2082" i="1"/>
  <c r="H2081" i="1"/>
  <c r="G2081" i="1"/>
  <c r="H2080" i="1"/>
  <c r="G2080" i="1"/>
  <c r="H2079" i="1"/>
  <c r="G2079" i="1"/>
  <c r="H2078" i="1"/>
  <c r="G2078" i="1"/>
  <c r="H2077" i="1"/>
  <c r="G2077" i="1"/>
  <c r="H2076" i="1"/>
  <c r="G2076" i="1"/>
  <c r="H2075" i="1"/>
  <c r="G2075" i="1"/>
  <c r="H2074" i="1"/>
  <c r="G2074" i="1"/>
  <c r="H2073" i="1"/>
  <c r="G2073" i="1"/>
  <c r="H2072" i="1"/>
  <c r="G2072" i="1"/>
  <c r="H2071" i="1"/>
  <c r="G2071" i="1"/>
  <c r="H2070" i="1"/>
  <c r="G2070" i="1"/>
  <c r="H2069" i="1"/>
  <c r="G2069" i="1"/>
  <c r="H2068" i="1"/>
  <c r="G2068" i="1"/>
  <c r="H2067" i="1"/>
  <c r="G2067" i="1"/>
  <c r="H2066" i="1"/>
  <c r="G2066" i="1"/>
  <c r="H2065" i="1"/>
  <c r="G2065" i="1"/>
  <c r="H2064" i="1"/>
  <c r="G2064" i="1"/>
  <c r="H2063" i="1"/>
  <c r="G2063" i="1"/>
  <c r="H2062" i="1"/>
  <c r="G2062" i="1"/>
  <c r="H2061" i="1"/>
  <c r="G2061" i="1"/>
  <c r="H2060" i="1"/>
  <c r="G2060" i="1"/>
  <c r="H2059" i="1"/>
  <c r="G2059" i="1"/>
  <c r="H2058" i="1"/>
  <c r="G2058" i="1"/>
  <c r="H2057" i="1"/>
  <c r="G2057" i="1"/>
  <c r="H2056" i="1"/>
  <c r="G2056" i="1"/>
  <c r="H2055" i="1"/>
  <c r="G2055" i="1"/>
  <c r="H2054" i="1"/>
  <c r="G2054" i="1"/>
  <c r="H2053" i="1"/>
  <c r="G2053" i="1"/>
  <c r="H2052" i="1"/>
  <c r="G2052" i="1"/>
  <c r="H2051" i="1"/>
  <c r="G2051" i="1"/>
  <c r="H2050" i="1"/>
  <c r="G2050" i="1"/>
  <c r="H2049" i="1"/>
  <c r="G2049" i="1"/>
  <c r="H2048" i="1"/>
  <c r="G2048" i="1"/>
  <c r="H2047" i="1"/>
  <c r="G2047" i="1"/>
  <c r="H2046" i="1"/>
  <c r="G2046" i="1"/>
  <c r="H2045" i="1"/>
  <c r="G2045" i="1"/>
  <c r="H2044" i="1"/>
  <c r="G2044" i="1"/>
  <c r="H2043" i="1"/>
  <c r="G2043" i="1"/>
  <c r="H2042" i="1"/>
  <c r="G2042" i="1"/>
  <c r="H2041" i="1"/>
  <c r="G2041" i="1"/>
  <c r="H2040" i="1"/>
  <c r="G2040" i="1"/>
  <c r="H2039" i="1"/>
  <c r="G2039" i="1"/>
  <c r="H2038" i="1"/>
  <c r="G2038" i="1"/>
  <c r="H2037" i="1"/>
  <c r="G2037" i="1"/>
  <c r="H2036" i="1"/>
  <c r="G2036" i="1"/>
  <c r="H2035" i="1"/>
  <c r="G2035" i="1"/>
  <c r="H2034" i="1"/>
  <c r="G2034" i="1"/>
  <c r="H2033" i="1"/>
  <c r="G2033" i="1"/>
  <c r="H2032" i="1"/>
  <c r="G2032" i="1"/>
  <c r="H2031" i="1"/>
  <c r="G2031" i="1"/>
  <c r="H2030" i="1"/>
  <c r="G2030" i="1"/>
  <c r="H2029" i="1"/>
  <c r="G2029" i="1"/>
  <c r="H2028" i="1"/>
  <c r="G2028" i="1"/>
  <c r="H2027" i="1"/>
  <c r="G2027" i="1"/>
  <c r="H2026" i="1"/>
  <c r="G2026" i="1"/>
  <c r="H2025" i="1"/>
  <c r="G2025" i="1"/>
  <c r="H2024" i="1"/>
  <c r="G2024" i="1"/>
  <c r="H2023" i="1"/>
  <c r="G2023" i="1"/>
  <c r="H2022" i="1"/>
  <c r="G2022" i="1"/>
  <c r="H2021" i="1"/>
  <c r="G2021" i="1"/>
  <c r="H2020" i="1"/>
  <c r="G2020" i="1"/>
  <c r="H2019" i="1"/>
  <c r="G2019" i="1"/>
  <c r="H2018" i="1"/>
  <c r="G2018" i="1"/>
  <c r="H2017" i="1"/>
  <c r="G2017" i="1"/>
  <c r="H2016" i="1"/>
  <c r="G2016" i="1"/>
  <c r="H2015" i="1"/>
  <c r="G2015" i="1"/>
  <c r="H2014" i="1"/>
  <c r="G2014" i="1"/>
  <c r="H2013" i="1"/>
  <c r="G2013" i="1"/>
  <c r="H2012" i="1"/>
  <c r="G2012" i="1"/>
  <c r="H2011" i="1"/>
  <c r="G2011" i="1"/>
  <c r="H2010" i="1"/>
  <c r="G2010" i="1"/>
  <c r="H2009" i="1"/>
  <c r="G2009" i="1"/>
  <c r="H2008" i="1"/>
  <c r="G2008" i="1"/>
  <c r="H2007" i="1"/>
  <c r="G2007" i="1"/>
  <c r="H2006" i="1"/>
  <c r="G2006" i="1"/>
  <c r="H2005" i="1"/>
  <c r="G2005" i="1"/>
  <c r="H2004" i="1"/>
  <c r="G2004" i="1"/>
  <c r="H2003" i="1"/>
  <c r="G2003" i="1"/>
  <c r="H2002" i="1"/>
  <c r="G2002" i="1"/>
  <c r="H2001" i="1"/>
  <c r="G2001" i="1"/>
  <c r="H2000" i="1"/>
  <c r="G2000" i="1"/>
  <c r="H1999" i="1"/>
  <c r="G1999" i="1"/>
  <c r="H1998" i="1"/>
  <c r="G1998" i="1"/>
  <c r="H1997" i="1"/>
  <c r="G1997" i="1"/>
  <c r="H1996" i="1"/>
  <c r="G1996" i="1"/>
  <c r="H1995" i="1"/>
  <c r="G1995" i="1"/>
  <c r="H1994" i="1"/>
  <c r="G1994" i="1"/>
  <c r="H1993" i="1"/>
  <c r="G1993" i="1"/>
  <c r="H1992" i="1"/>
  <c r="G1992" i="1"/>
  <c r="H1991" i="1"/>
  <c r="G1991" i="1"/>
  <c r="H1990" i="1"/>
  <c r="G1990" i="1"/>
  <c r="H1989" i="1"/>
  <c r="G1989" i="1"/>
  <c r="H1988" i="1"/>
  <c r="G1988" i="1"/>
  <c r="H1987" i="1"/>
  <c r="G1987" i="1"/>
  <c r="H1986" i="1"/>
  <c r="G1986" i="1"/>
  <c r="H1985" i="1"/>
  <c r="G1985" i="1"/>
  <c r="H1984" i="1"/>
  <c r="G1984" i="1"/>
  <c r="H1983" i="1"/>
  <c r="G1983" i="1"/>
  <c r="H1982" i="1"/>
  <c r="G1982" i="1"/>
  <c r="H1981" i="1"/>
  <c r="G1981" i="1"/>
  <c r="H1980" i="1"/>
  <c r="G1980" i="1"/>
  <c r="H1979" i="1"/>
  <c r="G1979" i="1"/>
  <c r="H1978" i="1"/>
  <c r="G1978" i="1"/>
  <c r="H1977" i="1"/>
  <c r="G1977" i="1"/>
  <c r="H1976" i="1"/>
  <c r="G1976" i="1"/>
  <c r="H1975" i="1"/>
  <c r="G1975" i="1"/>
  <c r="H1974" i="1"/>
  <c r="G1974" i="1"/>
  <c r="H1973" i="1"/>
  <c r="G1973" i="1"/>
  <c r="H1972" i="1"/>
  <c r="G1972" i="1"/>
  <c r="H1971" i="1"/>
  <c r="G1971" i="1"/>
  <c r="H1970" i="1"/>
  <c r="G1970" i="1"/>
  <c r="H1969" i="1"/>
  <c r="G1969" i="1"/>
  <c r="H1968" i="1"/>
  <c r="G1968" i="1"/>
  <c r="H1967" i="1"/>
  <c r="G1967" i="1"/>
  <c r="H1966" i="1"/>
  <c r="G1966" i="1"/>
  <c r="H1965" i="1"/>
  <c r="G1965" i="1"/>
  <c r="H1964" i="1"/>
  <c r="G1964" i="1"/>
  <c r="H1963" i="1"/>
  <c r="G1963" i="1"/>
  <c r="H1962" i="1"/>
  <c r="G1962" i="1"/>
  <c r="H1961" i="1"/>
  <c r="G1961" i="1"/>
  <c r="H1960" i="1"/>
  <c r="G1960" i="1"/>
  <c r="H1959" i="1"/>
  <c r="G1959" i="1"/>
  <c r="H1958" i="1"/>
  <c r="G1958" i="1"/>
  <c r="H1957" i="1"/>
  <c r="G1957" i="1"/>
  <c r="H1956" i="1"/>
  <c r="G1956" i="1"/>
  <c r="H1955" i="1"/>
  <c r="G1955" i="1"/>
  <c r="H1954" i="1"/>
  <c r="G1954" i="1"/>
  <c r="H1953" i="1"/>
  <c r="G1953" i="1"/>
  <c r="H1952" i="1"/>
  <c r="G1952" i="1"/>
  <c r="H1951" i="1"/>
  <c r="G1951" i="1"/>
  <c r="H1950" i="1"/>
  <c r="G1950" i="1"/>
  <c r="H1949" i="1"/>
  <c r="G1949" i="1"/>
  <c r="H1948" i="1"/>
  <c r="G1948" i="1"/>
  <c r="H1947" i="1"/>
  <c r="G1947" i="1"/>
  <c r="H1946" i="1"/>
  <c r="G1946" i="1"/>
  <c r="H1945" i="1"/>
  <c r="G1945" i="1"/>
  <c r="H1944" i="1"/>
  <c r="G1944" i="1"/>
  <c r="H1943" i="1"/>
  <c r="G1943" i="1"/>
  <c r="H1942" i="1"/>
  <c r="G1942" i="1"/>
  <c r="H1941" i="1"/>
  <c r="G1941" i="1"/>
  <c r="H1940" i="1"/>
  <c r="G1940" i="1"/>
  <c r="H1939" i="1"/>
  <c r="G1939" i="1"/>
  <c r="H1938" i="1"/>
  <c r="G1938" i="1"/>
  <c r="H1937" i="1"/>
  <c r="G1937" i="1"/>
  <c r="H1936" i="1"/>
  <c r="G1936" i="1"/>
  <c r="H1935" i="1"/>
  <c r="G1935" i="1"/>
  <c r="H1934" i="1"/>
  <c r="G1934" i="1"/>
  <c r="H1933" i="1"/>
  <c r="G1933" i="1"/>
  <c r="H1932" i="1"/>
  <c r="G1932" i="1"/>
  <c r="H1931" i="1"/>
  <c r="G1931" i="1"/>
  <c r="H1930" i="1"/>
  <c r="G1930" i="1"/>
  <c r="H1929" i="1"/>
  <c r="G1929" i="1"/>
  <c r="H1928" i="1"/>
  <c r="G1928" i="1"/>
  <c r="H1927" i="1"/>
  <c r="G1927" i="1"/>
  <c r="H1926" i="1"/>
  <c r="G1926" i="1"/>
  <c r="H1925" i="1"/>
  <c r="G1925" i="1"/>
  <c r="H1924" i="1"/>
  <c r="G1924" i="1"/>
  <c r="H1923" i="1"/>
  <c r="G1923" i="1"/>
  <c r="H1922" i="1"/>
  <c r="G1922" i="1"/>
  <c r="H1921" i="1"/>
  <c r="G1921" i="1"/>
  <c r="H1920" i="1"/>
  <c r="G1920" i="1"/>
  <c r="H1919" i="1"/>
  <c r="G1919" i="1"/>
  <c r="H1918" i="1"/>
  <c r="G1918" i="1"/>
  <c r="H1917" i="1"/>
  <c r="G1917" i="1"/>
  <c r="H1916" i="1"/>
  <c r="G1916" i="1"/>
  <c r="H1915" i="1"/>
  <c r="G1915" i="1"/>
  <c r="H1914" i="1"/>
  <c r="G1914" i="1"/>
  <c r="H1913" i="1"/>
  <c r="G1913" i="1"/>
  <c r="H1912" i="1"/>
  <c r="G1912" i="1"/>
  <c r="H1911" i="1"/>
  <c r="G1911" i="1"/>
  <c r="H1910" i="1"/>
  <c r="G1910" i="1"/>
  <c r="H1909" i="1"/>
  <c r="G1909" i="1"/>
  <c r="H1908" i="1"/>
  <c r="G1908" i="1"/>
  <c r="H1907" i="1"/>
  <c r="G1907" i="1"/>
  <c r="H1906" i="1"/>
  <c r="G1906" i="1"/>
  <c r="H1905" i="1"/>
  <c r="G1905" i="1"/>
  <c r="H1904" i="1"/>
  <c r="G1904" i="1"/>
  <c r="H1903" i="1"/>
  <c r="G1903" i="1"/>
  <c r="H1902" i="1"/>
  <c r="G1902" i="1"/>
  <c r="H1901" i="1"/>
  <c r="G1901" i="1"/>
  <c r="H1900" i="1"/>
  <c r="G1900" i="1"/>
  <c r="H1899" i="1"/>
  <c r="G1899" i="1"/>
  <c r="H1898" i="1"/>
  <c r="G1898" i="1"/>
  <c r="H1897" i="1"/>
  <c r="G1897" i="1"/>
  <c r="H1896" i="1"/>
  <c r="G1896" i="1"/>
  <c r="H1895" i="1"/>
  <c r="G1895" i="1"/>
  <c r="H1894" i="1"/>
  <c r="G1894" i="1"/>
  <c r="H1893" i="1"/>
  <c r="G1893" i="1"/>
  <c r="H1892" i="1"/>
  <c r="G1892" i="1"/>
  <c r="H1891" i="1"/>
  <c r="G1891" i="1"/>
  <c r="H1890" i="1"/>
  <c r="G1890" i="1"/>
  <c r="H1889" i="1"/>
  <c r="G1889" i="1"/>
  <c r="H1888" i="1"/>
  <c r="G1888" i="1"/>
  <c r="H1887" i="1"/>
  <c r="G1887" i="1"/>
  <c r="H1886" i="1"/>
  <c r="G1886" i="1"/>
  <c r="H1885" i="1"/>
  <c r="G1885" i="1"/>
  <c r="H1884" i="1"/>
  <c r="G1884" i="1"/>
  <c r="H1883" i="1"/>
  <c r="G1883" i="1"/>
  <c r="H1882" i="1"/>
  <c r="G1882" i="1"/>
  <c r="H1881" i="1"/>
  <c r="G1881" i="1"/>
  <c r="H1880" i="1"/>
  <c r="G1880" i="1"/>
  <c r="H1879" i="1"/>
  <c r="G1879" i="1"/>
  <c r="H1878" i="1"/>
  <c r="G1878" i="1"/>
  <c r="H1877" i="1"/>
  <c r="G1877" i="1"/>
  <c r="H1876" i="1"/>
  <c r="G1876" i="1"/>
  <c r="H1875" i="1"/>
  <c r="G1875" i="1"/>
  <c r="H1874" i="1"/>
  <c r="G1874" i="1"/>
  <c r="H1873" i="1"/>
  <c r="G1873" i="1"/>
  <c r="H1872" i="1"/>
  <c r="G1872" i="1"/>
  <c r="H1871" i="1"/>
  <c r="G1871" i="1"/>
  <c r="H1870" i="1"/>
  <c r="G1870" i="1"/>
  <c r="H1869" i="1"/>
  <c r="G1869" i="1"/>
  <c r="H1868" i="1"/>
  <c r="G1868" i="1"/>
  <c r="H1867" i="1"/>
  <c r="G1867" i="1"/>
  <c r="H1866" i="1"/>
  <c r="G1866" i="1"/>
  <c r="H1865" i="1"/>
  <c r="G1865" i="1"/>
  <c r="H1864" i="1"/>
  <c r="G1864" i="1"/>
  <c r="H1863" i="1"/>
  <c r="G1863" i="1"/>
  <c r="H1862" i="1"/>
  <c r="G1862" i="1"/>
  <c r="H1861" i="1"/>
  <c r="G1861" i="1"/>
  <c r="H1860" i="1"/>
  <c r="G1860" i="1"/>
  <c r="H1859" i="1"/>
  <c r="G1859" i="1"/>
  <c r="H1858" i="1"/>
  <c r="G1858" i="1"/>
  <c r="H1857" i="1"/>
  <c r="G1857" i="1"/>
  <c r="H1856" i="1"/>
  <c r="G1856" i="1"/>
  <c r="H1855" i="1"/>
  <c r="G1855" i="1"/>
  <c r="H1854" i="1"/>
  <c r="G1854" i="1"/>
  <c r="H1853" i="1"/>
  <c r="G1853" i="1"/>
  <c r="H1852" i="1"/>
  <c r="G1852" i="1"/>
  <c r="H1851" i="1"/>
  <c r="G1851" i="1"/>
  <c r="H1850" i="1"/>
  <c r="G1850" i="1"/>
  <c r="H1849" i="1"/>
  <c r="G1849" i="1"/>
  <c r="H1848" i="1"/>
  <c r="G1848" i="1"/>
  <c r="H1847" i="1"/>
  <c r="G1847" i="1"/>
  <c r="H1846" i="1"/>
  <c r="G1846" i="1"/>
  <c r="H1845" i="1"/>
  <c r="G1845" i="1"/>
  <c r="H1844" i="1"/>
  <c r="G1844" i="1"/>
  <c r="H1843" i="1"/>
  <c r="G1843" i="1"/>
  <c r="H1842" i="1"/>
  <c r="G1842" i="1"/>
  <c r="H1841" i="1"/>
  <c r="G1841" i="1"/>
  <c r="H1840" i="1"/>
  <c r="G1840" i="1"/>
  <c r="H1839" i="1"/>
  <c r="G1839" i="1"/>
  <c r="H1838" i="1"/>
  <c r="G1838" i="1"/>
  <c r="H1837" i="1"/>
  <c r="G1837" i="1"/>
  <c r="H1836" i="1"/>
  <c r="G1836" i="1"/>
  <c r="H1835" i="1"/>
  <c r="G1835" i="1"/>
  <c r="H1834" i="1"/>
  <c r="G1834" i="1"/>
  <c r="H1833" i="1"/>
  <c r="G1833" i="1"/>
  <c r="H1832" i="1"/>
  <c r="G1832" i="1"/>
  <c r="H1831" i="1"/>
  <c r="G1831" i="1"/>
  <c r="H1830" i="1"/>
  <c r="G1830" i="1"/>
  <c r="H1829" i="1"/>
  <c r="G1829" i="1"/>
  <c r="H1828" i="1"/>
  <c r="G1828" i="1"/>
  <c r="H1827" i="1"/>
  <c r="G1827" i="1"/>
  <c r="H1826" i="1"/>
  <c r="G1826" i="1"/>
  <c r="H1825" i="1"/>
  <c r="G1825" i="1"/>
  <c r="H1824" i="1"/>
  <c r="G1824" i="1"/>
  <c r="H1823" i="1"/>
  <c r="G1823" i="1"/>
  <c r="H1822" i="1"/>
  <c r="G1822" i="1"/>
  <c r="H1821" i="1"/>
  <c r="G1821" i="1"/>
  <c r="H1820" i="1"/>
  <c r="G1820" i="1"/>
  <c r="H1819" i="1"/>
  <c r="G1819" i="1"/>
  <c r="H1818" i="1"/>
  <c r="G1818" i="1"/>
  <c r="H1817" i="1"/>
  <c r="G1817" i="1"/>
  <c r="H1816" i="1"/>
  <c r="G1816" i="1"/>
  <c r="H1815" i="1"/>
  <c r="G1815" i="1"/>
  <c r="H1814" i="1"/>
  <c r="G1814" i="1"/>
  <c r="H1813" i="1"/>
  <c r="G1813" i="1"/>
  <c r="H1812" i="1"/>
  <c r="G1812" i="1"/>
  <c r="H1811" i="1"/>
  <c r="G1811" i="1"/>
  <c r="H1810" i="1"/>
  <c r="G1810" i="1"/>
  <c r="H1809" i="1"/>
  <c r="G1809" i="1"/>
  <c r="H1808" i="1"/>
  <c r="G1808" i="1"/>
  <c r="H1807" i="1"/>
  <c r="G1807" i="1"/>
  <c r="H1806" i="1"/>
  <c r="G1806" i="1"/>
  <c r="H1805" i="1"/>
  <c r="G1805" i="1"/>
  <c r="H1804" i="1"/>
  <c r="G1804" i="1"/>
  <c r="H1803" i="1"/>
  <c r="G1803" i="1"/>
  <c r="H1802" i="1"/>
  <c r="G1802" i="1"/>
  <c r="H1801" i="1"/>
  <c r="G1801" i="1"/>
  <c r="H1800" i="1"/>
  <c r="G1800" i="1"/>
  <c r="H1799" i="1"/>
  <c r="G1799" i="1"/>
  <c r="H1798" i="1"/>
  <c r="G1798" i="1"/>
  <c r="H1797" i="1"/>
  <c r="G1797" i="1"/>
  <c r="H1796" i="1"/>
  <c r="G1796" i="1"/>
  <c r="H1795" i="1"/>
  <c r="G1795" i="1"/>
  <c r="H1794" i="1"/>
  <c r="G1794" i="1"/>
  <c r="H1793" i="1"/>
  <c r="G1793" i="1"/>
  <c r="H1792" i="1"/>
  <c r="G1792" i="1"/>
  <c r="H1791" i="1"/>
  <c r="G1791" i="1"/>
  <c r="H1790" i="1"/>
  <c r="G1790" i="1"/>
  <c r="H1789" i="1"/>
  <c r="G1789" i="1"/>
  <c r="H1788" i="1"/>
  <c r="G1788" i="1"/>
  <c r="H1787" i="1"/>
  <c r="G1787" i="1"/>
  <c r="H1786" i="1"/>
  <c r="G1786" i="1"/>
  <c r="H1785" i="1"/>
  <c r="G1785" i="1"/>
  <c r="H1784" i="1"/>
  <c r="G1784" i="1"/>
  <c r="H1783" i="1"/>
  <c r="G1783" i="1"/>
  <c r="H1782" i="1"/>
  <c r="G1782" i="1"/>
  <c r="H1781" i="1"/>
  <c r="G1781" i="1"/>
  <c r="H1780" i="1"/>
  <c r="G1780" i="1"/>
  <c r="H1779" i="1"/>
  <c r="G1779" i="1"/>
  <c r="H1778" i="1"/>
  <c r="G1778" i="1"/>
  <c r="H1777" i="1"/>
  <c r="G1777" i="1"/>
  <c r="H1776" i="1"/>
  <c r="G1776" i="1"/>
  <c r="H1775" i="1"/>
  <c r="G1775" i="1"/>
  <c r="H1774" i="1"/>
  <c r="G1774" i="1"/>
  <c r="H1773" i="1"/>
  <c r="G1773" i="1"/>
  <c r="H1772" i="1"/>
  <c r="G1772" i="1"/>
  <c r="H1771" i="1"/>
  <c r="G1771" i="1"/>
  <c r="H1770" i="1"/>
  <c r="G1770" i="1"/>
  <c r="H1769" i="1"/>
  <c r="G1769" i="1"/>
  <c r="H1768" i="1"/>
  <c r="G1768" i="1"/>
  <c r="H1767" i="1"/>
  <c r="G1767" i="1"/>
  <c r="H1766" i="1"/>
  <c r="G1766" i="1"/>
  <c r="H1765" i="1"/>
  <c r="G1765" i="1"/>
  <c r="H1764" i="1"/>
  <c r="G1764" i="1"/>
  <c r="H1763" i="1"/>
  <c r="G1763" i="1"/>
  <c r="H1762" i="1"/>
  <c r="G1762" i="1"/>
  <c r="H1761" i="1"/>
  <c r="G1761" i="1"/>
  <c r="H1760" i="1"/>
  <c r="G1760" i="1"/>
  <c r="H1759" i="1"/>
  <c r="G1759" i="1"/>
  <c r="H1758" i="1"/>
  <c r="G1758" i="1"/>
  <c r="H1757" i="1"/>
  <c r="G1757" i="1"/>
  <c r="H1756" i="1"/>
  <c r="G1756" i="1"/>
  <c r="H1755" i="1"/>
  <c r="G1755" i="1"/>
  <c r="H1754" i="1"/>
  <c r="G1754" i="1"/>
  <c r="H1753" i="1"/>
  <c r="G1753" i="1"/>
  <c r="H1752" i="1"/>
  <c r="G1752" i="1"/>
  <c r="H1751" i="1"/>
  <c r="G1751" i="1"/>
  <c r="H1750" i="1"/>
  <c r="G1750" i="1"/>
  <c r="H1749" i="1"/>
  <c r="G1749" i="1"/>
  <c r="H1748" i="1"/>
  <c r="G1748" i="1"/>
  <c r="H1747" i="1"/>
  <c r="G1747" i="1"/>
  <c r="H1746" i="1"/>
  <c r="G1746" i="1"/>
  <c r="H1745" i="1"/>
  <c r="G1745" i="1"/>
  <c r="H1744" i="1"/>
  <c r="G1744" i="1"/>
  <c r="H1743" i="1"/>
  <c r="G1743" i="1"/>
  <c r="H1742" i="1"/>
  <c r="G1742" i="1"/>
  <c r="H1741" i="1"/>
  <c r="G1741" i="1"/>
  <c r="H1740" i="1"/>
  <c r="G1740" i="1"/>
  <c r="H1739" i="1"/>
  <c r="G1739" i="1"/>
  <c r="H1738" i="1"/>
  <c r="G1738" i="1"/>
  <c r="H1737" i="1"/>
  <c r="G1737" i="1"/>
  <c r="H1736" i="1"/>
  <c r="G1736" i="1"/>
  <c r="H1735" i="1"/>
  <c r="G1735" i="1"/>
  <c r="H1734" i="1"/>
  <c r="G1734" i="1"/>
  <c r="H1733" i="1"/>
  <c r="G1733" i="1"/>
  <c r="H1732" i="1"/>
  <c r="G1732" i="1"/>
  <c r="H1731" i="1"/>
  <c r="G1731" i="1"/>
  <c r="H1730" i="1"/>
  <c r="G1730" i="1"/>
  <c r="H1729" i="1"/>
  <c r="G1729" i="1"/>
  <c r="H1728" i="1"/>
  <c r="G1728" i="1"/>
  <c r="H1727" i="1"/>
  <c r="G1727" i="1"/>
  <c r="H1726" i="1"/>
  <c r="G1726" i="1"/>
  <c r="H1725" i="1"/>
  <c r="G1725" i="1"/>
  <c r="H1724" i="1"/>
  <c r="G1724" i="1"/>
  <c r="H1723" i="1"/>
  <c r="G1723" i="1"/>
  <c r="H1722" i="1"/>
  <c r="G1722" i="1"/>
  <c r="H1721" i="1"/>
  <c r="G1721" i="1"/>
  <c r="H1720" i="1"/>
  <c r="G1720" i="1"/>
  <c r="H1719" i="1"/>
  <c r="G1719" i="1"/>
  <c r="H1718" i="1"/>
  <c r="G1718" i="1"/>
  <c r="H1717" i="1"/>
  <c r="G1717" i="1"/>
  <c r="H1716" i="1"/>
  <c r="G1716" i="1"/>
  <c r="H1715" i="1"/>
  <c r="G1715" i="1"/>
  <c r="H1714" i="1"/>
  <c r="G1714" i="1"/>
  <c r="H1713" i="1"/>
  <c r="G1713" i="1"/>
  <c r="H1712" i="1"/>
  <c r="G1712" i="1"/>
  <c r="H1711" i="1"/>
  <c r="G1711" i="1"/>
  <c r="H1710" i="1"/>
  <c r="G1710" i="1"/>
  <c r="H1709" i="1"/>
  <c r="G1709" i="1"/>
  <c r="H1708" i="1"/>
  <c r="G1708" i="1"/>
  <c r="H1707" i="1"/>
  <c r="G1707" i="1"/>
  <c r="H1706" i="1"/>
  <c r="G1706" i="1"/>
  <c r="H1705" i="1"/>
  <c r="G1705" i="1"/>
  <c r="H1704" i="1"/>
  <c r="G1704" i="1"/>
  <c r="H1703" i="1"/>
  <c r="G1703" i="1"/>
  <c r="H1702" i="1"/>
  <c r="G1702" i="1"/>
  <c r="H1701" i="1"/>
  <c r="G1701" i="1"/>
  <c r="H1700" i="1"/>
  <c r="G1700" i="1"/>
  <c r="H1699" i="1"/>
  <c r="G1699" i="1"/>
  <c r="H1698" i="1"/>
  <c r="G1698" i="1"/>
  <c r="H1697" i="1"/>
  <c r="G1697" i="1"/>
  <c r="H1696" i="1"/>
  <c r="G1696" i="1"/>
  <c r="H1695" i="1"/>
  <c r="G1695" i="1"/>
  <c r="H1694" i="1"/>
  <c r="G1694" i="1"/>
  <c r="H1693" i="1"/>
  <c r="G1693" i="1"/>
  <c r="H1692" i="1"/>
  <c r="G1692" i="1"/>
  <c r="H1691" i="1"/>
  <c r="G1691" i="1"/>
  <c r="H1690" i="1"/>
  <c r="G1690" i="1"/>
  <c r="H1689" i="1"/>
  <c r="G1689" i="1"/>
  <c r="H1688" i="1"/>
  <c r="G1688" i="1"/>
  <c r="H1687" i="1"/>
  <c r="G1687" i="1"/>
  <c r="H1686" i="1"/>
  <c r="G1686" i="1"/>
  <c r="H1685" i="1"/>
  <c r="G1685" i="1"/>
  <c r="H1684" i="1"/>
  <c r="G1684" i="1"/>
  <c r="H1683" i="1"/>
  <c r="G1683" i="1"/>
  <c r="H1682" i="1"/>
  <c r="G1682" i="1"/>
  <c r="H1681" i="1"/>
  <c r="G1681" i="1"/>
  <c r="H1680" i="1"/>
  <c r="G1680" i="1"/>
  <c r="H1679" i="1"/>
  <c r="G1679" i="1"/>
  <c r="H1678" i="1"/>
  <c r="G1678" i="1"/>
  <c r="H1677" i="1"/>
  <c r="G1677" i="1"/>
  <c r="H1676" i="1"/>
  <c r="G1676" i="1"/>
  <c r="H1675" i="1"/>
  <c r="G1675" i="1"/>
  <c r="H1674" i="1"/>
  <c r="G1674" i="1"/>
  <c r="H1673" i="1"/>
  <c r="G1673" i="1"/>
  <c r="H1672" i="1"/>
  <c r="G1672" i="1"/>
  <c r="H1671" i="1"/>
  <c r="G1671" i="1"/>
  <c r="H1670" i="1"/>
  <c r="G1670" i="1"/>
  <c r="H1669" i="1"/>
  <c r="G1669" i="1"/>
  <c r="H1668" i="1"/>
  <c r="G1668" i="1"/>
  <c r="H1667" i="1"/>
  <c r="G1667" i="1"/>
  <c r="H1666" i="1"/>
  <c r="G1666" i="1"/>
  <c r="H1665" i="1"/>
  <c r="G1665" i="1"/>
  <c r="H1664" i="1"/>
  <c r="G1664" i="1"/>
  <c r="H1663" i="1"/>
  <c r="G1663" i="1"/>
  <c r="H1662" i="1"/>
  <c r="G1662" i="1"/>
  <c r="H1661" i="1"/>
  <c r="G1661" i="1"/>
  <c r="H1660" i="1"/>
  <c r="G1660" i="1"/>
  <c r="H1659" i="1"/>
  <c r="G1659" i="1"/>
  <c r="H1658" i="1"/>
  <c r="G1658" i="1"/>
  <c r="H1657" i="1"/>
  <c r="G1657" i="1"/>
  <c r="H1656" i="1"/>
  <c r="G1656" i="1"/>
  <c r="H1655" i="1"/>
  <c r="G1655" i="1"/>
  <c r="H1654" i="1"/>
  <c r="G1654" i="1"/>
  <c r="H1653" i="1"/>
  <c r="G1653" i="1"/>
  <c r="H1652" i="1"/>
  <c r="G1652" i="1"/>
  <c r="H1651" i="1"/>
  <c r="G1651" i="1"/>
  <c r="H1650" i="1"/>
  <c r="G1650" i="1"/>
  <c r="H1649" i="1"/>
  <c r="G1649" i="1"/>
  <c r="H1648" i="1"/>
  <c r="G1648" i="1"/>
  <c r="H1647" i="1"/>
  <c r="G1647" i="1"/>
  <c r="H1646" i="1"/>
  <c r="G1646" i="1"/>
  <c r="H1645" i="1"/>
  <c r="G1645" i="1"/>
  <c r="H1644" i="1"/>
  <c r="G1644" i="1"/>
  <c r="H1643" i="1"/>
  <c r="G1643" i="1"/>
  <c r="H1642" i="1"/>
  <c r="G1642" i="1"/>
  <c r="H1641" i="1"/>
  <c r="G1641" i="1"/>
  <c r="H1640" i="1"/>
  <c r="G1640" i="1"/>
  <c r="H1639" i="1"/>
  <c r="G1639" i="1"/>
  <c r="H1638" i="1"/>
  <c r="G1638" i="1"/>
  <c r="H1637" i="1"/>
  <c r="G1637" i="1"/>
  <c r="H1636" i="1"/>
  <c r="G1636" i="1"/>
  <c r="H1635" i="1"/>
  <c r="G1635" i="1"/>
  <c r="H1634" i="1"/>
  <c r="G1634" i="1"/>
  <c r="H1633" i="1"/>
  <c r="G1633" i="1"/>
  <c r="H1632" i="1"/>
  <c r="G1632" i="1"/>
  <c r="H1631" i="1"/>
  <c r="G1631" i="1"/>
  <c r="H1630" i="1"/>
  <c r="G1630" i="1"/>
  <c r="H1629" i="1"/>
  <c r="G1629" i="1"/>
  <c r="H1628" i="1"/>
  <c r="G1628" i="1"/>
  <c r="H1627" i="1"/>
  <c r="G1627" i="1"/>
  <c r="H1626" i="1"/>
  <c r="G1626" i="1"/>
  <c r="H1625" i="1"/>
  <c r="G1625" i="1"/>
  <c r="H1624" i="1"/>
  <c r="G1624" i="1"/>
  <c r="H1623" i="1"/>
  <c r="G1623" i="1"/>
  <c r="H1622" i="1"/>
  <c r="G1622" i="1"/>
  <c r="H1621" i="1"/>
  <c r="G1621" i="1"/>
  <c r="H1620" i="1"/>
  <c r="G1620" i="1"/>
  <c r="H1619" i="1"/>
  <c r="G1619" i="1"/>
  <c r="H1618" i="1"/>
  <c r="G1618" i="1"/>
  <c r="H1617" i="1"/>
  <c r="G1617" i="1"/>
  <c r="H1616" i="1"/>
  <c r="G1616" i="1"/>
  <c r="H1615" i="1"/>
  <c r="G1615" i="1"/>
  <c r="H1614" i="1"/>
  <c r="G1614" i="1"/>
  <c r="H1613" i="1"/>
  <c r="G1613" i="1"/>
  <c r="H1612" i="1"/>
  <c r="G1612" i="1"/>
  <c r="H1611" i="1"/>
  <c r="G1611" i="1"/>
  <c r="H1610" i="1"/>
  <c r="G1610" i="1"/>
  <c r="H1609" i="1"/>
  <c r="G1609" i="1"/>
  <c r="H1608" i="1"/>
  <c r="G1608" i="1"/>
  <c r="H1607" i="1"/>
  <c r="G1607" i="1"/>
  <c r="H1606" i="1"/>
  <c r="G1606" i="1"/>
  <c r="H1605" i="1"/>
  <c r="G1605" i="1"/>
  <c r="H1604" i="1"/>
  <c r="G1604" i="1"/>
  <c r="H1603" i="1"/>
  <c r="G1603" i="1"/>
  <c r="H1602" i="1"/>
  <c r="G1602" i="1"/>
  <c r="H1601" i="1"/>
  <c r="G1601" i="1"/>
  <c r="H1600" i="1"/>
  <c r="G1600" i="1"/>
  <c r="H1599" i="1"/>
  <c r="G1599" i="1"/>
  <c r="H1598" i="1"/>
  <c r="G1598" i="1"/>
  <c r="H1597" i="1"/>
  <c r="G1597" i="1"/>
  <c r="H1596" i="1"/>
  <c r="G1596" i="1"/>
  <c r="H1595" i="1"/>
  <c r="G1595" i="1"/>
  <c r="H1594" i="1"/>
  <c r="G1594" i="1"/>
  <c r="H1593" i="1"/>
  <c r="G1593" i="1"/>
  <c r="H1592" i="1"/>
  <c r="G1592" i="1"/>
  <c r="H1591" i="1"/>
  <c r="G1591" i="1"/>
  <c r="H1590" i="1"/>
  <c r="G1590" i="1"/>
  <c r="H1589" i="1"/>
  <c r="G1589" i="1"/>
  <c r="H1588" i="1"/>
  <c r="G1588" i="1"/>
  <c r="H1587" i="1"/>
  <c r="G1587" i="1"/>
  <c r="H1586" i="1"/>
  <c r="G1586" i="1"/>
  <c r="H1585" i="1"/>
  <c r="G1585" i="1"/>
  <c r="H1584" i="1"/>
  <c r="G1584" i="1"/>
  <c r="H1583" i="1"/>
  <c r="G1583" i="1"/>
  <c r="H1582" i="1"/>
  <c r="G1582" i="1"/>
  <c r="H1581" i="1"/>
  <c r="G1581" i="1"/>
  <c r="H1580" i="1"/>
  <c r="G1580" i="1"/>
  <c r="H1579" i="1"/>
  <c r="G1579" i="1"/>
  <c r="H1578" i="1"/>
  <c r="G1578" i="1"/>
  <c r="H1577" i="1"/>
  <c r="G1577" i="1"/>
  <c r="H1576" i="1"/>
  <c r="G1576" i="1"/>
  <c r="H1575" i="1"/>
  <c r="G1575" i="1"/>
  <c r="H1574" i="1"/>
  <c r="G1574" i="1"/>
  <c r="H1573" i="1"/>
  <c r="G1573" i="1"/>
  <c r="H1572" i="1"/>
  <c r="G1572" i="1"/>
  <c r="H1571" i="1"/>
  <c r="G1571" i="1"/>
  <c r="H1570" i="1"/>
  <c r="G1570" i="1"/>
  <c r="H1569" i="1"/>
  <c r="G1569" i="1"/>
  <c r="H1568" i="1"/>
  <c r="G1568" i="1"/>
  <c r="H1567" i="1"/>
  <c r="G1567" i="1"/>
  <c r="H1566" i="1"/>
  <c r="G1566" i="1"/>
  <c r="H1565" i="1"/>
  <c r="G1565" i="1"/>
  <c r="H1564" i="1"/>
  <c r="G1564" i="1"/>
  <c r="H1563" i="1"/>
  <c r="G1563" i="1"/>
  <c r="H1562" i="1"/>
  <c r="G1562" i="1"/>
  <c r="H1561" i="1"/>
  <c r="G1561" i="1"/>
  <c r="H1560" i="1"/>
  <c r="G1560" i="1"/>
  <c r="H1559" i="1"/>
  <c r="G1559" i="1"/>
  <c r="H1558" i="1"/>
  <c r="G1558" i="1"/>
  <c r="H1557" i="1"/>
  <c r="G1557" i="1"/>
  <c r="H1556" i="1"/>
  <c r="G1556" i="1"/>
  <c r="H1555" i="1"/>
  <c r="G1555" i="1"/>
  <c r="H1554" i="1"/>
  <c r="G1554" i="1"/>
  <c r="H1553" i="1"/>
  <c r="G1553" i="1"/>
  <c r="H1552" i="1"/>
  <c r="G1552" i="1"/>
  <c r="H1551" i="1"/>
  <c r="G1551" i="1"/>
  <c r="H1550" i="1"/>
  <c r="G1550" i="1"/>
  <c r="H1549" i="1"/>
  <c r="G1549" i="1"/>
  <c r="H1548" i="1"/>
  <c r="G1548" i="1"/>
  <c r="H1547" i="1"/>
  <c r="G1547" i="1"/>
  <c r="H1546" i="1"/>
  <c r="G1546" i="1"/>
  <c r="H1545" i="1"/>
  <c r="G1545" i="1"/>
  <c r="H1544" i="1"/>
  <c r="G1544" i="1"/>
  <c r="H1543" i="1"/>
  <c r="G1543" i="1"/>
  <c r="H1542" i="1"/>
  <c r="G1542" i="1"/>
  <c r="H1541" i="1"/>
  <c r="G1541" i="1"/>
  <c r="H1540" i="1"/>
  <c r="G1540" i="1"/>
  <c r="H1539" i="1"/>
  <c r="G1539" i="1"/>
  <c r="H1538" i="1"/>
  <c r="G1538" i="1"/>
  <c r="H1537" i="1"/>
  <c r="G1537" i="1"/>
  <c r="H1536" i="1"/>
  <c r="G1536" i="1"/>
  <c r="H1535" i="1"/>
  <c r="G1535" i="1"/>
  <c r="H1534" i="1"/>
  <c r="G1534" i="1"/>
  <c r="H1533" i="1"/>
  <c r="G1533" i="1"/>
  <c r="H1532" i="1"/>
  <c r="G1532" i="1"/>
  <c r="H1531" i="1"/>
  <c r="G1531" i="1"/>
  <c r="H1530" i="1"/>
  <c r="G1530" i="1"/>
  <c r="H1529" i="1"/>
  <c r="G1529" i="1"/>
  <c r="H1528" i="1"/>
  <c r="G1528" i="1"/>
  <c r="H1527" i="1"/>
  <c r="G1527" i="1"/>
  <c r="H1526" i="1"/>
  <c r="G1526" i="1"/>
  <c r="H1525" i="1"/>
  <c r="G1525" i="1"/>
  <c r="H1524" i="1"/>
  <c r="G1524" i="1"/>
  <c r="H1523" i="1"/>
  <c r="G1523" i="1"/>
  <c r="H1522" i="1"/>
  <c r="G1522" i="1"/>
  <c r="H1521" i="1"/>
  <c r="G1521" i="1"/>
  <c r="H1520" i="1"/>
  <c r="G1520" i="1"/>
  <c r="H1519" i="1"/>
  <c r="G1519" i="1"/>
  <c r="H1518" i="1"/>
  <c r="G1518" i="1"/>
  <c r="H1517" i="1"/>
  <c r="G1517" i="1"/>
  <c r="H1516" i="1"/>
  <c r="G1516" i="1"/>
  <c r="H1515" i="1"/>
  <c r="G1515" i="1"/>
  <c r="H1514" i="1"/>
  <c r="G1514" i="1"/>
  <c r="H1513" i="1"/>
  <c r="G1513" i="1"/>
  <c r="H1512" i="1"/>
  <c r="G1512" i="1"/>
  <c r="H1511" i="1"/>
  <c r="G1511" i="1"/>
  <c r="H1510" i="1"/>
  <c r="G1510" i="1"/>
  <c r="H1509" i="1"/>
  <c r="G1509" i="1"/>
  <c r="H1508" i="1"/>
  <c r="G1508" i="1"/>
  <c r="H1507" i="1"/>
  <c r="G1507" i="1"/>
  <c r="H1506" i="1"/>
  <c r="G1506" i="1"/>
  <c r="H1505" i="1"/>
  <c r="G1505" i="1"/>
  <c r="H1504" i="1"/>
  <c r="G1504" i="1"/>
  <c r="H1503" i="1"/>
  <c r="G1503" i="1"/>
  <c r="H1502" i="1"/>
  <c r="G1502" i="1"/>
  <c r="H1501" i="1"/>
  <c r="G1501" i="1"/>
  <c r="H1500" i="1"/>
  <c r="G1500" i="1"/>
  <c r="H1499" i="1"/>
  <c r="G1499" i="1"/>
  <c r="H1498" i="1"/>
  <c r="G1498" i="1"/>
  <c r="H1497" i="1"/>
  <c r="G1497" i="1"/>
  <c r="H1496" i="1"/>
  <c r="G1496" i="1"/>
  <c r="H1495" i="1"/>
  <c r="G1495" i="1"/>
  <c r="H1494" i="1"/>
  <c r="G1494" i="1"/>
  <c r="H1493" i="1"/>
  <c r="G1493" i="1"/>
  <c r="H1492" i="1"/>
  <c r="G1492" i="1"/>
  <c r="H1491" i="1"/>
  <c r="G1491" i="1"/>
  <c r="H1490" i="1"/>
  <c r="G1490" i="1"/>
  <c r="H1489" i="1"/>
  <c r="G1489" i="1"/>
  <c r="H1488" i="1"/>
  <c r="G1488" i="1"/>
  <c r="H1487" i="1"/>
  <c r="G1487" i="1"/>
  <c r="H1486" i="1"/>
  <c r="G1486" i="1"/>
  <c r="H1485" i="1"/>
  <c r="G1485" i="1"/>
  <c r="H1484" i="1"/>
  <c r="G1484" i="1"/>
  <c r="H1483" i="1"/>
  <c r="G1483" i="1"/>
  <c r="H1482" i="1"/>
  <c r="G1482" i="1"/>
  <c r="H1481" i="1"/>
  <c r="G1481" i="1"/>
  <c r="H1480" i="1"/>
  <c r="G1480" i="1"/>
  <c r="H1479" i="1"/>
  <c r="G1479" i="1"/>
  <c r="H1478" i="1"/>
  <c r="G1478" i="1"/>
  <c r="H1477" i="1"/>
  <c r="G1477" i="1"/>
  <c r="H1476" i="1"/>
  <c r="G1476" i="1"/>
  <c r="H1475" i="1"/>
  <c r="G1475" i="1"/>
  <c r="H1474" i="1"/>
  <c r="G1474" i="1"/>
  <c r="H1473" i="1"/>
  <c r="G1473" i="1"/>
  <c r="H1472" i="1"/>
  <c r="G1472" i="1"/>
  <c r="H1471" i="1"/>
  <c r="G1471" i="1"/>
  <c r="H1470" i="1"/>
  <c r="G1470" i="1"/>
  <c r="H1469" i="1"/>
  <c r="G1469" i="1"/>
  <c r="H1468" i="1"/>
  <c r="G1468" i="1"/>
  <c r="H1467" i="1"/>
  <c r="G1467" i="1"/>
  <c r="H1466" i="1"/>
  <c r="G1466" i="1"/>
  <c r="H1465" i="1"/>
  <c r="G1465" i="1"/>
  <c r="H1464" i="1"/>
  <c r="G1464" i="1"/>
  <c r="H1463" i="1"/>
  <c r="G1463" i="1"/>
  <c r="H1462" i="1"/>
  <c r="G1462" i="1"/>
  <c r="H1461" i="1"/>
  <c r="G1461" i="1"/>
  <c r="H1460" i="1"/>
  <c r="G1460" i="1"/>
  <c r="H1459" i="1"/>
  <c r="G1459" i="1"/>
  <c r="H1458" i="1"/>
  <c r="G1458" i="1"/>
  <c r="H1457" i="1"/>
  <c r="G1457" i="1"/>
  <c r="H1456" i="1"/>
  <c r="G1456" i="1"/>
  <c r="H1455" i="1"/>
  <c r="G1455" i="1"/>
  <c r="H1454" i="1"/>
  <c r="G1454" i="1"/>
  <c r="H1453" i="1"/>
  <c r="G1453" i="1"/>
  <c r="H1452" i="1"/>
  <c r="G1452" i="1"/>
  <c r="H1451" i="1"/>
  <c r="G1451" i="1"/>
  <c r="H1450" i="1"/>
  <c r="G1450" i="1"/>
  <c r="H1449" i="1"/>
  <c r="G1449" i="1"/>
  <c r="H1448" i="1"/>
  <c r="G1448" i="1"/>
  <c r="H1447" i="1"/>
  <c r="G1447" i="1"/>
  <c r="H1446" i="1"/>
  <c r="G1446" i="1"/>
  <c r="H1445" i="1"/>
  <c r="G1445" i="1"/>
  <c r="H1444" i="1"/>
  <c r="G1444" i="1"/>
  <c r="H1443" i="1"/>
  <c r="G1443" i="1"/>
  <c r="H1442" i="1"/>
  <c r="G1442" i="1"/>
  <c r="H1441" i="1"/>
  <c r="G1441" i="1"/>
  <c r="H1440" i="1"/>
  <c r="G1440" i="1"/>
  <c r="H1439" i="1"/>
  <c r="G1439" i="1"/>
  <c r="H1438" i="1"/>
  <c r="G1438" i="1"/>
  <c r="H1437" i="1"/>
  <c r="G1437" i="1"/>
  <c r="H1436" i="1"/>
  <c r="G1436" i="1"/>
  <c r="H1435" i="1"/>
  <c r="G1435" i="1"/>
  <c r="H1434" i="1"/>
  <c r="G1434" i="1"/>
  <c r="H1433" i="1"/>
  <c r="G1433" i="1"/>
  <c r="H1432" i="1"/>
  <c r="G1432" i="1"/>
  <c r="H1431" i="1"/>
  <c r="G1431" i="1"/>
  <c r="H1430" i="1"/>
  <c r="G1430" i="1"/>
  <c r="H1429" i="1"/>
  <c r="G1429" i="1"/>
  <c r="H1428" i="1"/>
  <c r="G1428" i="1"/>
  <c r="H1427" i="1"/>
  <c r="G1427" i="1"/>
  <c r="H1426" i="1"/>
  <c r="G1426" i="1"/>
  <c r="H1425" i="1"/>
  <c r="G1425" i="1"/>
  <c r="H1424" i="1"/>
  <c r="G1424" i="1"/>
  <c r="H1423" i="1"/>
  <c r="G1423" i="1"/>
  <c r="H1422" i="1"/>
  <c r="G1422" i="1"/>
  <c r="H1421" i="1"/>
  <c r="G1421" i="1"/>
  <c r="H1420" i="1"/>
  <c r="G1420" i="1"/>
  <c r="H1419" i="1"/>
  <c r="G1419" i="1"/>
  <c r="H1418" i="1"/>
  <c r="G1418" i="1"/>
  <c r="H1417" i="1"/>
  <c r="G1417" i="1"/>
  <c r="H1416" i="1"/>
  <c r="G1416" i="1"/>
  <c r="H1415" i="1"/>
  <c r="G1415" i="1"/>
  <c r="H1414" i="1"/>
  <c r="G1414" i="1"/>
  <c r="H1413" i="1"/>
  <c r="G1413" i="1"/>
  <c r="H1412" i="1"/>
  <c r="G1412" i="1"/>
  <c r="H1411" i="1"/>
  <c r="G1411" i="1"/>
  <c r="H1410" i="1"/>
  <c r="G1410" i="1"/>
  <c r="H1409" i="1"/>
  <c r="G1409" i="1"/>
  <c r="H1408" i="1"/>
  <c r="G1408" i="1"/>
  <c r="H1407" i="1"/>
  <c r="G1407" i="1"/>
  <c r="H1406" i="1"/>
  <c r="G1406" i="1"/>
  <c r="H1405" i="1"/>
  <c r="G1405" i="1"/>
  <c r="H1404" i="1"/>
  <c r="G1404" i="1"/>
  <c r="H1403" i="1"/>
  <c r="G1403" i="1"/>
  <c r="H1402" i="1"/>
  <c r="G1402" i="1"/>
  <c r="H1401" i="1"/>
  <c r="G1401" i="1"/>
  <c r="H1400" i="1"/>
  <c r="G1400" i="1"/>
  <c r="H1399" i="1"/>
  <c r="G1399" i="1"/>
  <c r="H1398" i="1"/>
  <c r="G1398" i="1"/>
  <c r="H1397" i="1"/>
  <c r="G1397" i="1"/>
  <c r="H1396" i="1"/>
  <c r="G1396" i="1"/>
  <c r="H1395" i="1"/>
  <c r="G1395" i="1"/>
  <c r="H1394" i="1"/>
  <c r="G1394" i="1"/>
  <c r="H1393" i="1"/>
  <c r="G1393" i="1"/>
  <c r="H1392" i="1"/>
  <c r="G1392" i="1"/>
  <c r="H1391" i="1"/>
  <c r="G1391" i="1"/>
  <c r="H1390" i="1"/>
  <c r="G1390" i="1"/>
  <c r="H1389" i="1"/>
  <c r="G1389" i="1"/>
  <c r="H1388" i="1"/>
  <c r="G1388" i="1"/>
  <c r="H1387" i="1"/>
  <c r="G1387" i="1"/>
  <c r="H1386" i="1"/>
  <c r="G1386" i="1"/>
  <c r="H1385" i="1"/>
  <c r="G1385" i="1"/>
  <c r="H1384" i="1"/>
  <c r="G1384" i="1"/>
  <c r="H1383" i="1"/>
  <c r="G1383" i="1"/>
  <c r="H1382" i="1"/>
  <c r="G1382" i="1"/>
  <c r="H1381" i="1"/>
  <c r="G1381" i="1"/>
  <c r="H1380" i="1"/>
  <c r="G1380" i="1"/>
  <c r="H1379" i="1"/>
  <c r="G1379" i="1"/>
  <c r="H1378" i="1"/>
  <c r="G1378" i="1"/>
  <c r="H1377" i="1"/>
  <c r="G1377" i="1"/>
  <c r="H1376" i="1"/>
  <c r="G1376" i="1"/>
  <c r="H1375" i="1"/>
  <c r="G1375" i="1"/>
  <c r="H1374" i="1"/>
  <c r="G1374" i="1"/>
  <c r="H1373" i="1"/>
  <c r="G1373" i="1"/>
  <c r="H1372" i="1"/>
  <c r="G1372" i="1"/>
  <c r="H1371" i="1"/>
  <c r="G1371" i="1"/>
  <c r="H1370" i="1"/>
  <c r="G1370" i="1"/>
  <c r="H1369" i="1"/>
  <c r="G1369" i="1"/>
  <c r="H1368" i="1"/>
  <c r="G1368" i="1"/>
  <c r="H1367" i="1"/>
  <c r="G1367" i="1"/>
  <c r="H1366" i="1"/>
  <c r="G1366" i="1"/>
  <c r="H1365" i="1"/>
  <c r="G1365" i="1"/>
  <c r="H1364" i="1"/>
  <c r="G1364" i="1"/>
  <c r="H1363" i="1"/>
  <c r="G1363" i="1"/>
  <c r="H1362" i="1"/>
  <c r="G1362" i="1"/>
  <c r="H1361" i="1"/>
  <c r="G1361" i="1"/>
  <c r="H1360" i="1"/>
  <c r="G1360" i="1"/>
  <c r="H1359" i="1"/>
  <c r="G1359" i="1"/>
  <c r="H1358" i="1"/>
  <c r="G1358" i="1"/>
  <c r="H1357" i="1"/>
  <c r="G1357" i="1"/>
  <c r="H1356" i="1"/>
  <c r="G1356" i="1"/>
  <c r="H1355" i="1"/>
  <c r="G1355" i="1"/>
  <c r="H1354" i="1"/>
  <c r="G1354" i="1"/>
  <c r="H1353" i="1"/>
  <c r="G1353" i="1"/>
  <c r="H1352" i="1"/>
  <c r="G1352" i="1"/>
  <c r="H1351" i="1"/>
  <c r="G1351" i="1"/>
  <c r="H1350" i="1"/>
  <c r="G1350" i="1"/>
  <c r="H1349" i="1"/>
  <c r="G1349" i="1"/>
  <c r="H1348" i="1"/>
  <c r="G1348" i="1"/>
  <c r="H1347" i="1"/>
  <c r="G1347" i="1"/>
  <c r="H1346" i="1"/>
  <c r="G1346" i="1"/>
  <c r="H1345" i="1"/>
  <c r="G1345" i="1"/>
  <c r="H1344" i="1"/>
  <c r="G1344" i="1"/>
  <c r="H1343" i="1"/>
  <c r="G1343" i="1"/>
  <c r="H1342" i="1"/>
  <c r="G1342" i="1"/>
  <c r="H1341" i="1"/>
  <c r="G1341" i="1"/>
  <c r="H1340" i="1"/>
  <c r="G1340" i="1"/>
  <c r="H1339" i="1"/>
  <c r="G1339" i="1"/>
  <c r="H1338" i="1"/>
  <c r="G1338" i="1"/>
  <c r="H1337" i="1"/>
  <c r="G1337" i="1"/>
  <c r="H1336" i="1"/>
  <c r="G1336" i="1"/>
  <c r="H1335" i="1"/>
  <c r="G1335" i="1"/>
  <c r="H1334" i="1"/>
  <c r="G1334" i="1"/>
  <c r="H1333" i="1"/>
  <c r="G1333" i="1"/>
  <c r="H1332" i="1"/>
  <c r="G1332" i="1"/>
  <c r="H1331" i="1"/>
  <c r="G1331" i="1"/>
  <c r="H1330" i="1"/>
  <c r="G1330" i="1"/>
  <c r="H1329" i="1"/>
  <c r="G1329" i="1"/>
  <c r="H1328" i="1"/>
  <c r="G1328" i="1"/>
  <c r="H1327" i="1"/>
  <c r="G1327" i="1"/>
  <c r="H1326" i="1"/>
  <c r="G1326" i="1"/>
  <c r="H1325" i="1"/>
  <c r="G1325" i="1"/>
  <c r="H1324" i="1"/>
  <c r="G1324" i="1"/>
  <c r="H1323" i="1"/>
  <c r="G1323" i="1"/>
  <c r="H1322" i="1"/>
  <c r="G1322" i="1"/>
  <c r="H1321" i="1"/>
  <c r="G1321" i="1"/>
  <c r="H1320" i="1"/>
  <c r="G1320" i="1"/>
  <c r="H1319" i="1"/>
  <c r="G1319" i="1"/>
  <c r="H1318" i="1"/>
  <c r="G1318" i="1"/>
  <c r="H1317" i="1"/>
  <c r="G1317" i="1"/>
  <c r="H1316" i="1"/>
  <c r="G1316" i="1"/>
  <c r="H1315" i="1"/>
  <c r="G1315" i="1"/>
  <c r="H1314" i="1"/>
  <c r="G1314" i="1"/>
  <c r="H1313" i="1"/>
  <c r="G1313" i="1"/>
  <c r="H1312" i="1"/>
  <c r="G1312" i="1"/>
  <c r="H1311" i="1"/>
  <c r="G1311" i="1"/>
  <c r="H1310" i="1"/>
  <c r="G1310" i="1"/>
  <c r="H1309" i="1"/>
  <c r="G1309" i="1"/>
  <c r="H1308" i="1"/>
  <c r="G1308" i="1"/>
  <c r="H1307" i="1"/>
  <c r="G1307" i="1"/>
  <c r="H1306" i="1"/>
  <c r="G1306" i="1"/>
  <c r="H1305" i="1"/>
  <c r="G1305" i="1"/>
  <c r="H1304" i="1"/>
  <c r="G1304" i="1"/>
  <c r="H1303" i="1"/>
  <c r="G1303" i="1"/>
  <c r="H1302" i="1"/>
  <c r="G1302" i="1"/>
  <c r="H1301" i="1"/>
  <c r="G1301" i="1"/>
  <c r="H1300" i="1"/>
  <c r="G1300" i="1"/>
  <c r="H1299" i="1"/>
  <c r="G1299" i="1"/>
  <c r="H1298" i="1"/>
  <c r="G1298" i="1"/>
  <c r="H1297" i="1"/>
  <c r="G1297" i="1"/>
  <c r="H1296" i="1"/>
  <c r="G1296" i="1"/>
  <c r="H1295" i="1"/>
  <c r="G1295" i="1"/>
  <c r="H1294" i="1"/>
  <c r="G1294" i="1"/>
  <c r="H1293" i="1"/>
  <c r="G1293" i="1"/>
  <c r="H1292" i="1"/>
  <c r="G1292" i="1"/>
  <c r="H1291" i="1"/>
  <c r="G1291" i="1"/>
  <c r="H1290" i="1"/>
  <c r="G1290" i="1"/>
  <c r="H1289" i="1"/>
  <c r="G1289" i="1"/>
  <c r="H1288" i="1"/>
  <c r="G1288" i="1"/>
  <c r="H1287" i="1"/>
  <c r="G1287" i="1"/>
  <c r="H1286" i="1"/>
  <c r="G1286" i="1"/>
  <c r="H1285" i="1"/>
  <c r="G1285" i="1"/>
  <c r="H1284" i="1"/>
  <c r="G1284" i="1"/>
  <c r="H1283" i="1"/>
  <c r="G1283" i="1"/>
  <c r="H1282" i="1"/>
  <c r="G1282" i="1"/>
  <c r="H1281" i="1"/>
  <c r="G1281" i="1"/>
  <c r="H1280" i="1"/>
  <c r="G1280" i="1"/>
  <c r="H1279" i="1"/>
  <c r="G1279" i="1"/>
  <c r="H1278" i="1"/>
  <c r="G1278" i="1"/>
  <c r="H1277" i="1"/>
  <c r="G1277" i="1"/>
  <c r="H1276" i="1"/>
  <c r="G1276" i="1"/>
  <c r="H1275" i="1"/>
  <c r="G1275" i="1"/>
  <c r="H1274" i="1"/>
  <c r="G1274" i="1"/>
  <c r="H1273" i="1"/>
  <c r="G1273" i="1"/>
  <c r="H1272" i="1"/>
  <c r="G1272" i="1"/>
  <c r="H1271" i="1"/>
  <c r="G1271" i="1"/>
  <c r="H1270" i="1"/>
  <c r="G1270" i="1"/>
  <c r="H1269" i="1"/>
  <c r="G1269" i="1"/>
  <c r="H1268" i="1"/>
  <c r="G1268" i="1"/>
  <c r="H1267" i="1"/>
  <c r="G1267" i="1"/>
  <c r="H1266" i="1"/>
  <c r="G1266" i="1"/>
  <c r="H1265" i="1"/>
  <c r="G1265" i="1"/>
  <c r="H1264" i="1"/>
  <c r="G1264" i="1"/>
  <c r="H1263" i="1"/>
  <c r="G1263" i="1"/>
  <c r="H1262" i="1"/>
  <c r="G1262" i="1"/>
  <c r="H1261" i="1"/>
  <c r="G1261" i="1"/>
  <c r="H1260" i="1"/>
  <c r="G1260" i="1"/>
  <c r="H1259" i="1"/>
  <c r="G1259" i="1"/>
  <c r="H1258" i="1"/>
  <c r="G1258" i="1"/>
  <c r="H1257" i="1"/>
  <c r="G1257" i="1"/>
  <c r="H1256" i="1"/>
  <c r="G1256" i="1"/>
  <c r="H1255" i="1"/>
  <c r="G1255" i="1"/>
  <c r="H1254" i="1"/>
  <c r="G1254" i="1"/>
  <c r="H1253" i="1"/>
  <c r="G1253" i="1"/>
  <c r="H1252" i="1"/>
  <c r="G1252" i="1"/>
  <c r="H1251" i="1"/>
  <c r="G1251" i="1"/>
  <c r="H1250" i="1"/>
  <c r="G1250" i="1"/>
  <c r="H1249" i="1"/>
  <c r="G1249" i="1"/>
  <c r="H1248" i="1"/>
  <c r="G1248" i="1"/>
  <c r="H1247" i="1"/>
  <c r="G1247" i="1"/>
  <c r="H1246" i="1"/>
  <c r="G1246" i="1"/>
  <c r="H1245" i="1"/>
  <c r="G1245" i="1"/>
  <c r="H1244" i="1"/>
  <c r="G1244" i="1"/>
  <c r="H1243" i="1"/>
  <c r="G1243" i="1"/>
  <c r="H1242" i="1"/>
  <c r="G1242" i="1"/>
  <c r="H1241" i="1"/>
  <c r="G1241" i="1"/>
  <c r="H1240" i="1"/>
  <c r="G1240" i="1"/>
  <c r="H1239" i="1"/>
  <c r="G1239" i="1"/>
  <c r="H1238" i="1"/>
  <c r="G1238" i="1"/>
  <c r="H1237" i="1"/>
  <c r="G1237" i="1"/>
  <c r="H1236" i="1"/>
  <c r="G1236" i="1"/>
  <c r="H1235" i="1"/>
  <c r="G1235" i="1"/>
  <c r="H1234" i="1"/>
  <c r="G1234" i="1"/>
  <c r="H1233" i="1"/>
  <c r="G1233" i="1"/>
  <c r="H1232" i="1"/>
  <c r="G1232" i="1"/>
  <c r="H1231" i="1"/>
  <c r="G1231" i="1"/>
  <c r="H1230" i="1"/>
  <c r="G1230" i="1"/>
  <c r="H1229" i="1"/>
  <c r="G1229" i="1"/>
  <c r="H1228" i="1"/>
  <c r="G1228" i="1"/>
  <c r="H1227" i="1"/>
  <c r="G1227" i="1"/>
  <c r="H1226" i="1"/>
  <c r="G1226" i="1"/>
  <c r="H1225" i="1"/>
  <c r="G1225" i="1"/>
  <c r="H1224" i="1"/>
  <c r="G1224" i="1"/>
  <c r="H1223" i="1"/>
  <c r="G1223" i="1"/>
  <c r="H1222" i="1"/>
  <c r="G1222" i="1"/>
  <c r="H1221" i="1"/>
  <c r="G1221" i="1"/>
  <c r="H1220" i="1"/>
  <c r="G1220" i="1"/>
  <c r="H1219" i="1"/>
  <c r="G1219" i="1"/>
  <c r="H1218" i="1"/>
  <c r="G1218" i="1"/>
  <c r="H1217" i="1"/>
  <c r="G1217" i="1"/>
  <c r="H1216" i="1"/>
  <c r="G1216" i="1"/>
  <c r="H1215" i="1"/>
  <c r="G1215" i="1"/>
  <c r="H1214" i="1"/>
  <c r="G1214" i="1"/>
  <c r="H1213" i="1"/>
  <c r="G1213" i="1"/>
  <c r="H1212" i="1"/>
  <c r="G1212" i="1"/>
  <c r="H1211" i="1"/>
  <c r="G1211" i="1"/>
  <c r="H1210" i="1"/>
  <c r="G1210" i="1"/>
  <c r="H1209" i="1"/>
  <c r="G1209" i="1"/>
  <c r="H1208" i="1"/>
  <c r="G1208" i="1"/>
  <c r="H1207" i="1"/>
  <c r="G1207" i="1"/>
  <c r="H1206" i="1"/>
  <c r="G1206" i="1"/>
  <c r="H1205" i="1"/>
  <c r="G1205" i="1"/>
  <c r="H1204" i="1"/>
  <c r="G1204" i="1"/>
  <c r="H1203" i="1"/>
  <c r="G1203" i="1"/>
  <c r="H1202" i="1"/>
  <c r="G1202" i="1"/>
  <c r="H1201" i="1"/>
  <c r="G1201" i="1"/>
  <c r="H1200" i="1"/>
  <c r="G1200" i="1"/>
  <c r="H1199" i="1"/>
  <c r="G1199" i="1"/>
  <c r="H1198" i="1"/>
  <c r="G1198" i="1"/>
  <c r="H1197" i="1"/>
  <c r="G1197" i="1"/>
  <c r="H1196" i="1"/>
  <c r="G1196" i="1"/>
  <c r="H1195" i="1"/>
  <c r="G1195" i="1"/>
  <c r="H1194" i="1"/>
  <c r="G1194" i="1"/>
  <c r="H1193" i="1"/>
  <c r="G1193" i="1"/>
  <c r="H1192" i="1"/>
  <c r="G1192" i="1"/>
  <c r="H1191" i="1"/>
  <c r="G1191" i="1"/>
  <c r="H1190" i="1"/>
  <c r="G1190" i="1"/>
  <c r="H1189" i="1"/>
  <c r="G1189" i="1"/>
  <c r="H1188" i="1"/>
  <c r="G1188" i="1"/>
  <c r="H1187" i="1"/>
  <c r="G1187" i="1"/>
  <c r="H1186" i="1"/>
  <c r="G1186" i="1"/>
  <c r="H1185" i="1"/>
  <c r="G1185" i="1"/>
  <c r="H1184" i="1"/>
  <c r="G1184" i="1"/>
  <c r="H1183" i="1"/>
  <c r="G1183" i="1"/>
  <c r="H1182" i="1"/>
  <c r="G1182" i="1"/>
  <c r="H1181" i="1"/>
  <c r="G1181" i="1"/>
  <c r="H1180" i="1"/>
  <c r="G1180" i="1"/>
  <c r="H1179" i="1"/>
  <c r="G1179" i="1"/>
  <c r="H1178" i="1"/>
  <c r="G1178" i="1"/>
  <c r="H1177" i="1"/>
  <c r="G1177" i="1"/>
  <c r="H1176" i="1"/>
  <c r="G1176" i="1"/>
  <c r="H1175" i="1"/>
  <c r="G1175" i="1"/>
  <c r="H1174" i="1"/>
  <c r="G1174" i="1"/>
  <c r="H1173" i="1"/>
  <c r="G1173" i="1"/>
  <c r="H1172" i="1"/>
  <c r="G1172" i="1"/>
  <c r="H1171" i="1"/>
  <c r="G1171" i="1"/>
  <c r="H1170" i="1"/>
  <c r="G1170" i="1"/>
  <c r="H1169" i="1"/>
  <c r="G1169" i="1"/>
  <c r="H1168" i="1"/>
  <c r="G1168" i="1"/>
  <c r="H1167" i="1"/>
  <c r="G1167" i="1"/>
  <c r="H1166" i="1"/>
  <c r="G1166" i="1"/>
  <c r="H1165" i="1"/>
  <c r="G1165" i="1"/>
  <c r="H1164" i="1"/>
  <c r="G1164" i="1"/>
  <c r="H1163" i="1"/>
  <c r="G1163" i="1"/>
  <c r="H1162" i="1"/>
  <c r="G1162" i="1"/>
  <c r="H1161" i="1"/>
  <c r="G1161" i="1"/>
  <c r="H1160" i="1"/>
  <c r="G1160" i="1"/>
  <c r="H1159" i="1"/>
  <c r="G1159" i="1"/>
  <c r="H1158" i="1"/>
  <c r="G1158" i="1"/>
  <c r="H1157" i="1"/>
  <c r="G1157" i="1"/>
  <c r="H1156" i="1"/>
  <c r="G1156" i="1"/>
  <c r="H1155" i="1"/>
  <c r="G1155" i="1"/>
  <c r="H1154" i="1"/>
  <c r="G1154" i="1"/>
  <c r="H1153" i="1"/>
  <c r="G1153" i="1"/>
  <c r="H1152" i="1"/>
  <c r="G1152" i="1"/>
  <c r="H1151" i="1"/>
  <c r="G1151" i="1"/>
  <c r="H1150" i="1"/>
  <c r="G1150" i="1"/>
  <c r="H1149" i="1"/>
  <c r="G1149" i="1"/>
  <c r="H1148" i="1"/>
  <c r="G1148" i="1"/>
  <c r="H1147" i="1"/>
  <c r="G1147" i="1"/>
  <c r="H1146" i="1"/>
  <c r="G1146" i="1"/>
  <c r="H1145" i="1"/>
  <c r="G1145" i="1"/>
  <c r="H1144" i="1"/>
  <c r="G1144" i="1"/>
  <c r="H1143" i="1"/>
  <c r="G1143" i="1"/>
  <c r="H1142" i="1"/>
  <c r="G1142" i="1"/>
  <c r="H1141" i="1"/>
  <c r="G1141" i="1"/>
  <c r="H1140" i="1"/>
  <c r="G1140" i="1"/>
  <c r="H1139" i="1"/>
  <c r="G1139" i="1"/>
  <c r="H1138" i="1"/>
  <c r="G1138" i="1"/>
  <c r="H1137" i="1"/>
  <c r="G1137" i="1"/>
  <c r="H1136" i="1"/>
  <c r="G1136" i="1"/>
  <c r="H1135" i="1"/>
  <c r="G1135" i="1"/>
  <c r="H1134" i="1"/>
  <c r="G1134" i="1"/>
  <c r="H1133" i="1"/>
  <c r="G1133" i="1"/>
  <c r="H1132" i="1"/>
  <c r="G1132" i="1"/>
  <c r="H1131" i="1"/>
  <c r="G1131" i="1"/>
  <c r="H1130" i="1"/>
  <c r="G1130" i="1"/>
  <c r="H1129" i="1"/>
  <c r="G1129" i="1"/>
  <c r="H1128" i="1"/>
  <c r="G1128" i="1"/>
  <c r="H1127" i="1"/>
  <c r="G1127" i="1"/>
  <c r="H1126" i="1"/>
  <c r="G1126" i="1"/>
  <c r="H1125" i="1"/>
  <c r="G1125" i="1"/>
  <c r="H1124" i="1"/>
  <c r="G1124" i="1"/>
  <c r="H1123" i="1"/>
  <c r="G1123" i="1"/>
  <c r="H1122" i="1"/>
  <c r="G1122" i="1"/>
  <c r="H1121" i="1"/>
  <c r="G1121" i="1"/>
  <c r="H1120" i="1"/>
  <c r="G1120" i="1"/>
  <c r="H1119" i="1"/>
  <c r="G1119" i="1"/>
  <c r="H1118" i="1"/>
  <c r="G1118" i="1"/>
  <c r="H1117" i="1"/>
  <c r="G1117" i="1"/>
  <c r="H1116" i="1"/>
  <c r="G1116" i="1"/>
  <c r="H1115" i="1"/>
  <c r="G1115" i="1"/>
  <c r="H1114" i="1"/>
  <c r="G1114" i="1"/>
  <c r="H1113" i="1"/>
  <c r="G1113" i="1"/>
  <c r="H1112" i="1"/>
  <c r="G1112" i="1"/>
  <c r="H1111" i="1"/>
  <c r="G1111" i="1"/>
  <c r="H1110" i="1"/>
  <c r="G1110" i="1"/>
  <c r="H1109" i="1"/>
  <c r="G1109" i="1"/>
  <c r="H1108" i="1"/>
  <c r="G1108" i="1"/>
  <c r="H1107" i="1"/>
  <c r="G1107" i="1"/>
  <c r="H1106" i="1"/>
  <c r="G1106" i="1"/>
  <c r="H1105" i="1"/>
  <c r="G1105" i="1"/>
  <c r="H1104" i="1"/>
  <c r="G1104" i="1"/>
  <c r="H1103" i="1"/>
  <c r="G1103" i="1"/>
  <c r="H1102" i="1"/>
  <c r="G1102" i="1"/>
  <c r="H1101" i="1"/>
  <c r="G1101" i="1"/>
  <c r="H1100" i="1"/>
  <c r="G1100" i="1"/>
  <c r="H1099" i="1"/>
  <c r="G1099" i="1"/>
  <c r="H1098" i="1"/>
  <c r="G1098" i="1"/>
  <c r="H1097" i="1"/>
  <c r="G1097" i="1"/>
  <c r="H1096" i="1"/>
  <c r="G1096" i="1"/>
  <c r="H1095" i="1"/>
  <c r="G1095" i="1"/>
  <c r="H1094" i="1"/>
  <c r="G1094" i="1"/>
  <c r="H1093" i="1"/>
  <c r="G1093" i="1"/>
  <c r="H1092" i="1"/>
  <c r="G1092" i="1"/>
  <c r="H1091" i="1"/>
  <c r="G1091" i="1"/>
  <c r="H1090" i="1"/>
  <c r="G1090" i="1"/>
  <c r="H1089" i="1"/>
  <c r="G1089" i="1"/>
  <c r="H1088" i="1"/>
  <c r="G1088" i="1"/>
  <c r="H1087" i="1"/>
  <c r="G1087" i="1"/>
  <c r="H1086" i="1"/>
  <c r="G1086" i="1"/>
  <c r="H1085" i="1"/>
  <c r="G1085" i="1"/>
  <c r="H1084" i="1"/>
  <c r="G1084" i="1"/>
  <c r="H1083" i="1"/>
  <c r="G1083" i="1"/>
  <c r="H1082" i="1"/>
  <c r="G1082" i="1"/>
  <c r="H1081" i="1"/>
  <c r="G1081" i="1"/>
  <c r="H1080" i="1"/>
  <c r="G1080" i="1"/>
  <c r="H1079" i="1"/>
  <c r="G1079" i="1"/>
  <c r="H1078" i="1"/>
  <c r="G1078" i="1"/>
  <c r="H1077" i="1"/>
  <c r="G1077" i="1"/>
  <c r="H1076" i="1"/>
  <c r="G1076" i="1"/>
  <c r="H1075" i="1"/>
  <c r="G1075" i="1"/>
  <c r="H1074" i="1"/>
  <c r="G1074" i="1"/>
  <c r="H1073" i="1"/>
  <c r="G1073" i="1"/>
  <c r="H1072" i="1"/>
  <c r="G1072" i="1"/>
  <c r="H1071" i="1"/>
  <c r="G1071" i="1"/>
  <c r="H1070" i="1"/>
  <c r="G1070" i="1"/>
  <c r="H1069" i="1"/>
  <c r="G1069" i="1"/>
  <c r="H1068" i="1"/>
  <c r="G1068" i="1"/>
  <c r="H1067" i="1"/>
  <c r="G1067" i="1"/>
  <c r="H1066" i="1"/>
  <c r="G1066" i="1"/>
  <c r="H1065" i="1"/>
  <c r="G1065" i="1"/>
  <c r="H1064" i="1"/>
  <c r="G1064" i="1"/>
  <c r="H1063" i="1"/>
  <c r="G1063" i="1"/>
  <c r="H1062" i="1"/>
  <c r="G1062" i="1"/>
  <c r="H1061" i="1"/>
  <c r="G1061" i="1"/>
  <c r="H1060" i="1"/>
  <c r="G1060" i="1"/>
  <c r="H1059" i="1"/>
  <c r="G1059" i="1"/>
  <c r="H1058" i="1"/>
  <c r="G1058" i="1"/>
  <c r="H1057" i="1"/>
  <c r="G1057" i="1"/>
  <c r="H1056" i="1"/>
  <c r="G1056" i="1"/>
  <c r="H1055" i="1"/>
  <c r="G1055" i="1"/>
  <c r="H1054" i="1"/>
  <c r="G1054" i="1"/>
  <c r="H1053" i="1"/>
  <c r="G1053" i="1"/>
  <c r="H1052" i="1"/>
  <c r="G1052" i="1"/>
  <c r="H1051" i="1"/>
  <c r="G1051" i="1"/>
  <c r="H1050" i="1"/>
  <c r="G1050" i="1"/>
  <c r="H1049" i="1"/>
  <c r="G1049" i="1"/>
  <c r="H1048" i="1"/>
  <c r="G1048" i="1"/>
  <c r="H1047" i="1"/>
  <c r="G1047" i="1"/>
  <c r="H1046" i="1"/>
  <c r="G1046" i="1"/>
  <c r="H1045" i="1"/>
  <c r="G1045" i="1"/>
  <c r="H1044" i="1"/>
  <c r="G1044" i="1"/>
  <c r="H1043" i="1"/>
  <c r="G1043" i="1"/>
  <c r="H1042" i="1"/>
  <c r="G1042" i="1"/>
  <c r="H1041" i="1"/>
  <c r="G1041" i="1"/>
  <c r="H1040" i="1"/>
  <c r="G1040" i="1"/>
  <c r="H1039" i="1"/>
  <c r="G1039" i="1"/>
  <c r="H1038" i="1"/>
  <c r="G1038" i="1"/>
  <c r="H1037" i="1"/>
  <c r="G1037" i="1"/>
  <c r="H1036" i="1"/>
  <c r="G1036" i="1"/>
  <c r="H1035" i="1"/>
  <c r="G1035" i="1"/>
  <c r="H1034" i="1"/>
  <c r="G1034" i="1"/>
  <c r="H1033" i="1"/>
  <c r="G1033" i="1"/>
  <c r="H1032" i="1"/>
  <c r="G1032" i="1"/>
  <c r="H1031" i="1"/>
  <c r="G1031" i="1"/>
  <c r="H1030" i="1"/>
  <c r="G1030" i="1"/>
  <c r="H1029" i="1"/>
  <c r="G1029" i="1"/>
  <c r="H1028" i="1"/>
  <c r="G1028" i="1"/>
  <c r="H1027" i="1"/>
  <c r="G1027" i="1"/>
  <c r="H1026" i="1"/>
  <c r="G1026" i="1"/>
  <c r="H1025" i="1"/>
  <c r="G1025" i="1"/>
  <c r="H1024" i="1"/>
  <c r="G1024" i="1"/>
  <c r="H1023" i="1"/>
  <c r="G1023" i="1"/>
  <c r="H1022" i="1"/>
  <c r="G1022" i="1"/>
  <c r="H1021" i="1"/>
  <c r="G1021" i="1"/>
  <c r="H1020" i="1"/>
  <c r="G1020" i="1"/>
  <c r="H1019" i="1"/>
  <c r="G1019" i="1"/>
  <c r="H1018" i="1"/>
  <c r="G1018" i="1"/>
  <c r="H1017" i="1"/>
  <c r="G1017" i="1"/>
  <c r="H1016" i="1"/>
  <c r="G1016" i="1"/>
  <c r="H1015" i="1"/>
  <c r="G1015" i="1"/>
  <c r="H1014" i="1"/>
  <c r="G1014" i="1"/>
  <c r="H1013" i="1"/>
  <c r="G1013" i="1"/>
  <c r="H1012" i="1"/>
  <c r="G1012" i="1"/>
  <c r="H1011" i="1"/>
  <c r="G1011" i="1"/>
  <c r="H1010" i="1"/>
  <c r="G1010" i="1"/>
  <c r="H1009" i="1"/>
  <c r="G1009" i="1"/>
  <c r="H1008" i="1"/>
  <c r="G1008" i="1"/>
  <c r="H1007" i="1"/>
  <c r="G1007" i="1"/>
  <c r="H1006" i="1"/>
  <c r="G1006" i="1"/>
  <c r="H1005" i="1"/>
  <c r="G1005" i="1"/>
  <c r="H1004" i="1"/>
  <c r="G1004" i="1"/>
  <c r="H1003" i="1"/>
  <c r="G1003" i="1"/>
  <c r="H1002" i="1"/>
  <c r="G1002" i="1"/>
  <c r="H1001" i="1"/>
  <c r="G1001" i="1"/>
  <c r="H1000" i="1"/>
  <c r="G1000" i="1"/>
  <c r="H999" i="1"/>
  <c r="G999" i="1"/>
  <c r="H998" i="1"/>
  <c r="G998" i="1"/>
  <c r="H997" i="1"/>
  <c r="G997" i="1"/>
  <c r="H996" i="1"/>
  <c r="G996" i="1"/>
  <c r="H995" i="1"/>
  <c r="G995" i="1"/>
  <c r="H994" i="1"/>
  <c r="G994" i="1"/>
  <c r="H993" i="1"/>
  <c r="G993" i="1"/>
  <c r="H992" i="1"/>
  <c r="G992" i="1"/>
  <c r="H991" i="1"/>
  <c r="G991" i="1"/>
  <c r="H990" i="1"/>
  <c r="G990" i="1"/>
  <c r="H989" i="1"/>
  <c r="G989" i="1"/>
  <c r="H988" i="1"/>
  <c r="G988" i="1"/>
  <c r="H987" i="1"/>
  <c r="G987" i="1"/>
  <c r="H986" i="1"/>
  <c r="G986" i="1"/>
  <c r="H985" i="1"/>
  <c r="G985" i="1"/>
  <c r="H984" i="1"/>
  <c r="G984" i="1"/>
  <c r="H983" i="1"/>
  <c r="G983" i="1"/>
  <c r="H982" i="1"/>
  <c r="G982" i="1"/>
  <c r="H981" i="1"/>
  <c r="G981" i="1"/>
  <c r="H980" i="1"/>
  <c r="G980" i="1"/>
  <c r="H979" i="1"/>
  <c r="G979" i="1"/>
  <c r="H978" i="1"/>
  <c r="G978" i="1"/>
  <c r="H977" i="1"/>
  <c r="G977" i="1"/>
  <c r="H976" i="1"/>
  <c r="G976" i="1"/>
  <c r="H975" i="1"/>
  <c r="G975" i="1"/>
  <c r="H974" i="1"/>
  <c r="G974" i="1"/>
  <c r="H973" i="1"/>
  <c r="G973" i="1"/>
  <c r="H972" i="1"/>
  <c r="G972" i="1"/>
  <c r="H971" i="1"/>
  <c r="G971" i="1"/>
  <c r="H970" i="1"/>
  <c r="G970" i="1"/>
  <c r="H969" i="1"/>
  <c r="G969" i="1"/>
  <c r="H968" i="1"/>
  <c r="G968" i="1"/>
  <c r="H967" i="1"/>
  <c r="G967" i="1"/>
  <c r="H966" i="1"/>
  <c r="G966" i="1"/>
  <c r="H965" i="1"/>
  <c r="G965" i="1"/>
  <c r="H964" i="1"/>
  <c r="G964" i="1"/>
  <c r="H963" i="1"/>
  <c r="G963" i="1"/>
  <c r="H962" i="1"/>
  <c r="G962" i="1"/>
  <c r="H961" i="1"/>
  <c r="G961" i="1"/>
  <c r="H960" i="1"/>
  <c r="G960" i="1"/>
  <c r="H959" i="1"/>
  <c r="G959" i="1"/>
  <c r="H958" i="1"/>
  <c r="G958" i="1"/>
  <c r="H957" i="1"/>
  <c r="G957" i="1"/>
  <c r="H956" i="1"/>
  <c r="G956" i="1"/>
  <c r="H955" i="1"/>
  <c r="G955" i="1"/>
  <c r="H954" i="1"/>
  <c r="G954" i="1"/>
  <c r="H953" i="1"/>
  <c r="G953" i="1"/>
  <c r="H952" i="1"/>
  <c r="G952" i="1"/>
  <c r="H951" i="1"/>
  <c r="G951" i="1"/>
  <c r="H950" i="1"/>
  <c r="G950" i="1"/>
  <c r="H949" i="1"/>
  <c r="G949" i="1"/>
  <c r="H948" i="1"/>
  <c r="G948" i="1"/>
  <c r="H947" i="1"/>
  <c r="G947" i="1"/>
  <c r="H946" i="1"/>
  <c r="G946" i="1"/>
  <c r="H945" i="1"/>
  <c r="G945" i="1"/>
  <c r="H944" i="1"/>
  <c r="G944" i="1"/>
  <c r="H943" i="1"/>
  <c r="G943" i="1"/>
  <c r="H942" i="1"/>
  <c r="G942" i="1"/>
  <c r="H941" i="1"/>
  <c r="G941" i="1"/>
  <c r="H940" i="1"/>
  <c r="G940" i="1"/>
  <c r="H939" i="1"/>
  <c r="G939" i="1"/>
  <c r="H938" i="1"/>
  <c r="G938" i="1"/>
  <c r="H937" i="1"/>
  <c r="G937" i="1"/>
  <c r="H936" i="1"/>
  <c r="G936" i="1"/>
  <c r="H935" i="1"/>
  <c r="G935" i="1"/>
  <c r="H934" i="1"/>
  <c r="G934" i="1"/>
  <c r="H933" i="1"/>
  <c r="G933" i="1"/>
  <c r="H932" i="1"/>
  <c r="G932" i="1"/>
  <c r="H931" i="1"/>
  <c r="G931" i="1"/>
  <c r="H930" i="1"/>
  <c r="G930" i="1"/>
  <c r="H929" i="1"/>
  <c r="G929" i="1"/>
  <c r="H928" i="1"/>
  <c r="G928" i="1"/>
  <c r="H927" i="1"/>
  <c r="G927" i="1"/>
  <c r="H926" i="1"/>
  <c r="G926" i="1"/>
  <c r="H925" i="1"/>
  <c r="G925" i="1"/>
  <c r="H924" i="1"/>
  <c r="G924" i="1"/>
  <c r="H923" i="1"/>
  <c r="G923" i="1"/>
  <c r="H922" i="1"/>
  <c r="G922" i="1"/>
  <c r="H921" i="1"/>
  <c r="G921" i="1"/>
  <c r="H920" i="1"/>
  <c r="G920" i="1"/>
  <c r="H919" i="1"/>
  <c r="G919" i="1"/>
  <c r="H918" i="1"/>
  <c r="G918" i="1"/>
  <c r="H917" i="1"/>
  <c r="G917" i="1"/>
  <c r="H916" i="1"/>
  <c r="G916" i="1"/>
  <c r="H915" i="1"/>
  <c r="G915" i="1"/>
  <c r="H914" i="1"/>
  <c r="G914" i="1"/>
  <c r="H913" i="1"/>
  <c r="G913" i="1"/>
  <c r="H912" i="1"/>
  <c r="G912" i="1"/>
  <c r="H911" i="1"/>
  <c r="G911" i="1"/>
  <c r="H910" i="1"/>
  <c r="G910" i="1"/>
  <c r="H909" i="1"/>
  <c r="G909" i="1"/>
  <c r="H908" i="1"/>
  <c r="G908" i="1"/>
  <c r="H907" i="1"/>
  <c r="G907" i="1"/>
  <c r="H906" i="1"/>
  <c r="G906" i="1"/>
  <c r="H905" i="1"/>
  <c r="G905" i="1"/>
  <c r="H904" i="1"/>
  <c r="G904" i="1"/>
  <c r="H903" i="1"/>
  <c r="G903" i="1"/>
  <c r="H902" i="1"/>
  <c r="G902" i="1"/>
  <c r="H901" i="1"/>
  <c r="G901" i="1"/>
  <c r="H900" i="1"/>
  <c r="G900" i="1"/>
  <c r="H899" i="1"/>
  <c r="G899" i="1"/>
  <c r="H898" i="1"/>
  <c r="G898" i="1"/>
  <c r="H897" i="1"/>
  <c r="G897" i="1"/>
  <c r="H896" i="1"/>
  <c r="G896" i="1"/>
  <c r="H895" i="1"/>
  <c r="G895" i="1"/>
  <c r="H894" i="1"/>
  <c r="G894" i="1"/>
  <c r="H893" i="1"/>
  <c r="G893" i="1"/>
  <c r="H892" i="1"/>
  <c r="G892" i="1"/>
  <c r="H891" i="1"/>
  <c r="G891" i="1"/>
  <c r="H890" i="1"/>
  <c r="G890" i="1"/>
  <c r="H889" i="1"/>
  <c r="G889" i="1"/>
  <c r="H888" i="1"/>
  <c r="G888" i="1"/>
  <c r="H887" i="1"/>
  <c r="G887" i="1"/>
  <c r="H886" i="1"/>
  <c r="G886" i="1"/>
  <c r="H885" i="1"/>
  <c r="G885" i="1"/>
  <c r="H884" i="1"/>
  <c r="G884" i="1"/>
  <c r="H883" i="1"/>
  <c r="G883" i="1"/>
  <c r="H882" i="1"/>
  <c r="G882" i="1"/>
  <c r="H881" i="1"/>
  <c r="G881" i="1"/>
  <c r="H880" i="1"/>
  <c r="G880" i="1"/>
  <c r="H879" i="1"/>
  <c r="G879" i="1"/>
  <c r="H878" i="1"/>
  <c r="G878" i="1"/>
  <c r="H877" i="1"/>
  <c r="G877" i="1"/>
  <c r="H876" i="1"/>
  <c r="G876" i="1"/>
  <c r="H875" i="1"/>
  <c r="G875" i="1"/>
  <c r="H874" i="1"/>
  <c r="G874" i="1"/>
  <c r="H873" i="1"/>
  <c r="G873" i="1"/>
  <c r="H872" i="1"/>
  <c r="G872" i="1"/>
  <c r="H871" i="1"/>
  <c r="G871" i="1"/>
  <c r="H870" i="1"/>
  <c r="G870" i="1"/>
  <c r="H869" i="1"/>
  <c r="G869" i="1"/>
  <c r="H868" i="1"/>
  <c r="G868" i="1"/>
  <c r="H867" i="1"/>
  <c r="G867" i="1"/>
  <c r="H866" i="1"/>
  <c r="G866" i="1"/>
  <c r="H865" i="1"/>
  <c r="G865" i="1"/>
  <c r="H864" i="1"/>
  <c r="G864" i="1"/>
  <c r="H863" i="1"/>
  <c r="G863" i="1"/>
  <c r="H862" i="1"/>
  <c r="G862" i="1"/>
  <c r="H861" i="1"/>
  <c r="G861" i="1"/>
  <c r="H860" i="1"/>
  <c r="G860" i="1"/>
  <c r="H859" i="1"/>
  <c r="G859" i="1"/>
  <c r="H858" i="1"/>
  <c r="G858" i="1"/>
  <c r="H857" i="1"/>
  <c r="G857" i="1"/>
  <c r="H856" i="1"/>
  <c r="G856" i="1"/>
  <c r="H855" i="1"/>
  <c r="G855" i="1"/>
  <c r="H854" i="1"/>
  <c r="G854" i="1"/>
  <c r="H853" i="1"/>
  <c r="G853" i="1"/>
  <c r="H852" i="1"/>
  <c r="G852" i="1"/>
  <c r="H851" i="1"/>
  <c r="G851" i="1"/>
  <c r="H850" i="1"/>
  <c r="G850" i="1"/>
  <c r="H849" i="1"/>
  <c r="G849" i="1"/>
  <c r="H848" i="1"/>
  <c r="G848" i="1"/>
  <c r="H847" i="1"/>
  <c r="G847" i="1"/>
  <c r="H846" i="1"/>
  <c r="G846" i="1"/>
  <c r="H845" i="1"/>
  <c r="G845" i="1"/>
  <c r="H844" i="1"/>
  <c r="G844" i="1"/>
  <c r="H843" i="1"/>
  <c r="G843" i="1"/>
  <c r="H842" i="1"/>
  <c r="G842" i="1"/>
  <c r="H841" i="1"/>
  <c r="G841" i="1"/>
  <c r="H840" i="1"/>
  <c r="G840" i="1"/>
  <c r="H839" i="1"/>
  <c r="G839" i="1"/>
  <c r="H838" i="1"/>
  <c r="G838" i="1"/>
  <c r="H837" i="1"/>
  <c r="G837" i="1"/>
  <c r="H836" i="1"/>
  <c r="G836" i="1"/>
  <c r="H835" i="1"/>
  <c r="G835" i="1"/>
  <c r="H834" i="1"/>
  <c r="G834" i="1"/>
  <c r="H833" i="1"/>
  <c r="G833" i="1"/>
  <c r="H832" i="1"/>
  <c r="G832" i="1"/>
  <c r="H831" i="1"/>
  <c r="G831" i="1"/>
  <c r="H830" i="1"/>
  <c r="G830" i="1"/>
  <c r="H829" i="1"/>
  <c r="G829" i="1"/>
  <c r="H828" i="1"/>
  <c r="G828" i="1"/>
  <c r="H827" i="1"/>
  <c r="G827" i="1"/>
  <c r="H826" i="1"/>
  <c r="G826" i="1"/>
  <c r="H825" i="1"/>
  <c r="G825" i="1"/>
  <c r="H824" i="1"/>
  <c r="G824" i="1"/>
  <c r="H823" i="1"/>
  <c r="G823" i="1"/>
  <c r="H822" i="1"/>
  <c r="G822" i="1"/>
  <c r="H821" i="1"/>
  <c r="G821" i="1"/>
  <c r="H820" i="1"/>
  <c r="G820" i="1"/>
  <c r="H819" i="1"/>
  <c r="G819" i="1"/>
  <c r="H818" i="1"/>
  <c r="G818" i="1"/>
  <c r="H817" i="1"/>
  <c r="G817" i="1"/>
  <c r="H816" i="1"/>
  <c r="G816" i="1"/>
  <c r="H815" i="1"/>
  <c r="G815" i="1"/>
  <c r="H814" i="1"/>
  <c r="G814" i="1"/>
  <c r="H813" i="1"/>
  <c r="G813" i="1"/>
  <c r="H812" i="1"/>
  <c r="G812" i="1"/>
  <c r="H811" i="1"/>
  <c r="G811" i="1"/>
  <c r="H810" i="1"/>
  <c r="G810" i="1"/>
  <c r="H809" i="1"/>
  <c r="G809" i="1"/>
  <c r="H808" i="1"/>
  <c r="G808" i="1"/>
  <c r="H807" i="1"/>
  <c r="G807" i="1"/>
  <c r="H806" i="1"/>
  <c r="G806" i="1"/>
  <c r="H805" i="1"/>
  <c r="G805" i="1"/>
  <c r="H804" i="1"/>
  <c r="G804" i="1"/>
  <c r="H803" i="1"/>
  <c r="G803" i="1"/>
  <c r="H802" i="1"/>
  <c r="G802" i="1"/>
  <c r="H801" i="1"/>
  <c r="G801" i="1"/>
  <c r="H800" i="1"/>
  <c r="G800" i="1"/>
  <c r="H799" i="1"/>
  <c r="G799" i="1"/>
  <c r="H798" i="1"/>
  <c r="G798" i="1"/>
  <c r="H797" i="1"/>
  <c r="G797" i="1"/>
  <c r="H796" i="1"/>
  <c r="G796" i="1"/>
  <c r="H795" i="1"/>
  <c r="G795" i="1"/>
  <c r="H794" i="1"/>
  <c r="G794" i="1"/>
  <c r="H793" i="1"/>
  <c r="G793" i="1"/>
  <c r="H792" i="1"/>
  <c r="G792" i="1"/>
  <c r="H791" i="1"/>
  <c r="G791" i="1"/>
  <c r="H790" i="1"/>
  <c r="G790" i="1"/>
  <c r="H789" i="1"/>
  <c r="G789" i="1"/>
  <c r="H788" i="1"/>
  <c r="G788" i="1"/>
  <c r="H787" i="1"/>
  <c r="G787" i="1"/>
  <c r="H786" i="1"/>
  <c r="G786" i="1"/>
  <c r="H785" i="1"/>
  <c r="G785" i="1"/>
  <c r="H784" i="1"/>
  <c r="G784" i="1"/>
  <c r="H783" i="1"/>
  <c r="G783" i="1"/>
  <c r="H782" i="1"/>
  <c r="G782" i="1"/>
  <c r="H781" i="1"/>
  <c r="G781" i="1"/>
  <c r="H780" i="1"/>
  <c r="G780" i="1"/>
  <c r="H779" i="1"/>
  <c r="G779" i="1"/>
  <c r="H778" i="1"/>
  <c r="G778" i="1"/>
  <c r="H777" i="1"/>
  <c r="G777" i="1"/>
  <c r="H776" i="1"/>
  <c r="G776" i="1"/>
  <c r="H775" i="1"/>
  <c r="G775" i="1"/>
  <c r="H774" i="1"/>
  <c r="G774" i="1"/>
  <c r="H773" i="1"/>
  <c r="G773" i="1"/>
  <c r="H772" i="1"/>
  <c r="G772" i="1"/>
  <c r="H771" i="1"/>
  <c r="G771" i="1"/>
  <c r="H770" i="1"/>
  <c r="G770" i="1"/>
  <c r="H769" i="1"/>
  <c r="G769" i="1"/>
  <c r="H768" i="1"/>
  <c r="G768" i="1"/>
  <c r="H767" i="1"/>
  <c r="G767" i="1"/>
  <c r="H766" i="1"/>
  <c r="G766" i="1"/>
  <c r="H765" i="1"/>
  <c r="G765" i="1"/>
  <c r="H764" i="1"/>
  <c r="G764" i="1"/>
  <c r="H763" i="1"/>
  <c r="G763" i="1"/>
  <c r="H762" i="1"/>
  <c r="G762" i="1"/>
  <c r="H761" i="1"/>
  <c r="G761" i="1"/>
  <c r="H760" i="1"/>
  <c r="G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H753" i="1"/>
  <c r="G753" i="1"/>
  <c r="H752" i="1"/>
  <c r="G752" i="1"/>
  <c r="H751" i="1"/>
  <c r="G751" i="1"/>
  <c r="H750" i="1"/>
  <c r="G750" i="1"/>
  <c r="H749" i="1"/>
  <c r="G749" i="1"/>
  <c r="H748" i="1"/>
  <c r="G748" i="1"/>
  <c r="H747" i="1"/>
  <c r="G747" i="1"/>
  <c r="H746" i="1"/>
  <c r="G746" i="1"/>
  <c r="H745" i="1"/>
  <c r="G745" i="1"/>
  <c r="H744" i="1"/>
  <c r="G744" i="1"/>
  <c r="H743" i="1"/>
  <c r="G743" i="1"/>
  <c r="H742" i="1"/>
  <c r="G742" i="1"/>
  <c r="H741" i="1"/>
  <c r="G741" i="1"/>
  <c r="H740" i="1"/>
  <c r="G740" i="1"/>
  <c r="H739" i="1"/>
  <c r="G739" i="1"/>
  <c r="H738" i="1"/>
  <c r="G738" i="1"/>
  <c r="H737" i="1"/>
  <c r="G737" i="1"/>
  <c r="H736" i="1"/>
  <c r="G736" i="1"/>
  <c r="H735" i="1"/>
  <c r="G735" i="1"/>
  <c r="H734" i="1"/>
  <c r="G734" i="1"/>
  <c r="H733" i="1"/>
  <c r="G733" i="1"/>
  <c r="H732" i="1"/>
  <c r="G732" i="1"/>
  <c r="H731" i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H723" i="1"/>
  <c r="G723" i="1"/>
  <c r="H722" i="1"/>
  <c r="G722" i="1"/>
  <c r="H721" i="1"/>
  <c r="G721" i="1"/>
  <c r="H720" i="1"/>
  <c r="G720" i="1"/>
  <c r="H719" i="1"/>
  <c r="G719" i="1"/>
  <c r="H718" i="1"/>
  <c r="G718" i="1"/>
  <c r="H717" i="1"/>
  <c r="G717" i="1"/>
  <c r="H716" i="1"/>
  <c r="G716" i="1"/>
  <c r="H715" i="1"/>
  <c r="G715" i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G707" i="1"/>
  <c r="H706" i="1"/>
  <c r="G706" i="1"/>
  <c r="H705" i="1"/>
  <c r="G705" i="1"/>
  <c r="H704" i="1"/>
  <c r="G704" i="1"/>
  <c r="H703" i="1"/>
  <c r="G703" i="1"/>
  <c r="H702" i="1"/>
  <c r="G702" i="1"/>
  <c r="H701" i="1"/>
  <c r="G701" i="1"/>
  <c r="H700" i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9" i="1"/>
  <c r="G649" i="1"/>
  <c r="H648" i="1"/>
  <c r="G648" i="1"/>
  <c r="H647" i="1"/>
  <c r="G647" i="1"/>
  <c r="H646" i="1"/>
  <c r="G646" i="1"/>
  <c r="H645" i="1"/>
  <c r="G645" i="1"/>
  <c r="H644" i="1"/>
  <c r="G644" i="1"/>
  <c r="H643" i="1"/>
  <c r="G643" i="1"/>
  <c r="H642" i="1"/>
  <c r="G642" i="1"/>
  <c r="H641" i="1"/>
  <c r="G641" i="1"/>
  <c r="H640" i="1"/>
  <c r="G640" i="1"/>
  <c r="H639" i="1"/>
  <c r="G639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D425" i="1"/>
  <c r="C425" i="1"/>
  <c r="H424" i="1"/>
  <c r="G424" i="1"/>
  <c r="D424" i="1"/>
  <c r="C424" i="1"/>
  <c r="H423" i="1"/>
  <c r="G423" i="1"/>
  <c r="D423" i="1"/>
  <c r="C423" i="1"/>
  <c r="H422" i="1"/>
  <c r="G422" i="1"/>
  <c r="D422" i="1"/>
  <c r="C422" i="1"/>
  <c r="H421" i="1"/>
  <c r="G421" i="1"/>
  <c r="D421" i="1"/>
  <c r="C421" i="1"/>
  <c r="H420" i="1"/>
  <c r="G420" i="1"/>
  <c r="D420" i="1"/>
  <c r="C420" i="1"/>
  <c r="H419" i="1"/>
  <c r="G419" i="1"/>
  <c r="D419" i="1"/>
  <c r="C419" i="1"/>
  <c r="H418" i="1"/>
  <c r="G418" i="1"/>
  <c r="D418" i="1"/>
  <c r="C418" i="1"/>
  <c r="H417" i="1"/>
  <c r="G417" i="1"/>
  <c r="D417" i="1"/>
  <c r="C417" i="1"/>
  <c r="H416" i="1"/>
  <c r="G416" i="1"/>
  <c r="D416" i="1"/>
  <c r="C416" i="1"/>
  <c r="H415" i="1"/>
  <c r="G415" i="1"/>
  <c r="D415" i="1"/>
  <c r="C415" i="1"/>
  <c r="H414" i="1"/>
  <c r="G414" i="1"/>
  <c r="D414" i="1"/>
  <c r="C414" i="1"/>
  <c r="H413" i="1"/>
  <c r="G413" i="1"/>
  <c r="D413" i="1"/>
  <c r="C413" i="1"/>
  <c r="H412" i="1"/>
  <c r="G412" i="1"/>
  <c r="D412" i="1"/>
  <c r="C412" i="1"/>
  <c r="H411" i="1"/>
  <c r="G411" i="1"/>
  <c r="D411" i="1"/>
  <c r="C411" i="1"/>
  <c r="H410" i="1"/>
  <c r="G410" i="1"/>
  <c r="D410" i="1"/>
  <c r="C410" i="1"/>
  <c r="H409" i="1"/>
  <c r="G409" i="1"/>
  <c r="D409" i="1"/>
  <c r="C409" i="1"/>
  <c r="H408" i="1"/>
  <c r="G408" i="1"/>
  <c r="D408" i="1"/>
  <c r="C408" i="1"/>
  <c r="H407" i="1"/>
  <c r="G407" i="1"/>
  <c r="D407" i="1"/>
  <c r="C407" i="1"/>
  <c r="H406" i="1"/>
  <c r="G406" i="1"/>
  <c r="D406" i="1"/>
  <c r="C406" i="1"/>
  <c r="H405" i="1"/>
  <c r="G405" i="1"/>
  <c r="D405" i="1"/>
  <c r="C405" i="1"/>
  <c r="H404" i="1"/>
  <c r="G404" i="1"/>
  <c r="D404" i="1"/>
  <c r="C404" i="1"/>
  <c r="H403" i="1"/>
  <c r="G403" i="1"/>
  <c r="D403" i="1"/>
  <c r="C403" i="1"/>
  <c r="H402" i="1"/>
  <c r="G402" i="1"/>
  <c r="D402" i="1"/>
  <c r="C402" i="1"/>
  <c r="H401" i="1"/>
  <c r="G401" i="1"/>
  <c r="D401" i="1"/>
  <c r="C401" i="1"/>
  <c r="H400" i="1"/>
  <c r="G400" i="1"/>
  <c r="D400" i="1"/>
  <c r="C400" i="1"/>
  <c r="H399" i="1"/>
  <c r="G399" i="1"/>
  <c r="D399" i="1"/>
  <c r="C399" i="1"/>
  <c r="H398" i="1"/>
  <c r="G398" i="1"/>
  <c r="D398" i="1"/>
  <c r="C398" i="1"/>
  <c r="H397" i="1"/>
  <c r="G397" i="1"/>
  <c r="D397" i="1"/>
  <c r="C397" i="1"/>
  <c r="H396" i="1"/>
  <c r="G396" i="1"/>
  <c r="D396" i="1"/>
  <c r="C396" i="1"/>
  <c r="H395" i="1"/>
  <c r="G395" i="1"/>
  <c r="D395" i="1"/>
  <c r="C395" i="1"/>
  <c r="H394" i="1"/>
  <c r="G394" i="1"/>
  <c r="D394" i="1"/>
  <c r="C394" i="1"/>
  <c r="H393" i="1"/>
  <c r="G393" i="1"/>
  <c r="D393" i="1"/>
  <c r="C393" i="1"/>
  <c r="H392" i="1"/>
  <c r="G392" i="1"/>
  <c r="D392" i="1"/>
  <c r="C392" i="1"/>
  <c r="H391" i="1"/>
  <c r="G391" i="1"/>
  <c r="D391" i="1"/>
  <c r="C391" i="1"/>
  <c r="H390" i="1"/>
  <c r="G390" i="1"/>
  <c r="D390" i="1"/>
  <c r="C390" i="1"/>
  <c r="H389" i="1"/>
  <c r="G389" i="1"/>
  <c r="D389" i="1"/>
  <c r="C389" i="1"/>
  <c r="H388" i="1"/>
  <c r="G388" i="1"/>
  <c r="D388" i="1"/>
  <c r="C388" i="1"/>
  <c r="H387" i="1"/>
  <c r="G387" i="1"/>
  <c r="D387" i="1"/>
  <c r="C387" i="1"/>
  <c r="H386" i="1"/>
  <c r="G386" i="1"/>
  <c r="D386" i="1"/>
  <c r="C386" i="1"/>
  <c r="H385" i="1"/>
  <c r="G385" i="1"/>
  <c r="D385" i="1"/>
  <c r="C385" i="1"/>
  <c r="H384" i="1"/>
  <c r="G384" i="1"/>
  <c r="D384" i="1"/>
  <c r="C384" i="1"/>
  <c r="H383" i="1"/>
  <c r="G383" i="1"/>
  <c r="D383" i="1"/>
  <c r="C383" i="1"/>
  <c r="H382" i="1"/>
  <c r="G382" i="1"/>
  <c r="D382" i="1"/>
  <c r="C382" i="1"/>
  <c r="H381" i="1"/>
  <c r="G381" i="1"/>
  <c r="D381" i="1"/>
  <c r="C381" i="1"/>
  <c r="H380" i="1"/>
  <c r="G380" i="1"/>
  <c r="D380" i="1"/>
  <c r="C380" i="1"/>
  <c r="H379" i="1"/>
  <c r="G379" i="1"/>
  <c r="D379" i="1"/>
  <c r="C379" i="1"/>
  <c r="H378" i="1"/>
  <c r="G378" i="1"/>
  <c r="D378" i="1"/>
  <c r="C378" i="1"/>
  <c r="H377" i="1"/>
  <c r="G377" i="1"/>
  <c r="D377" i="1"/>
  <c r="C377" i="1"/>
  <c r="H376" i="1"/>
  <c r="G376" i="1"/>
  <c r="D376" i="1"/>
  <c r="C376" i="1"/>
  <c r="H375" i="1"/>
  <c r="G375" i="1"/>
  <c r="D375" i="1"/>
  <c r="C375" i="1"/>
  <c r="H374" i="1"/>
  <c r="G374" i="1"/>
  <c r="D374" i="1"/>
  <c r="C374" i="1"/>
  <c r="H373" i="1"/>
  <c r="G373" i="1"/>
  <c r="D373" i="1"/>
  <c r="C373" i="1"/>
  <c r="H372" i="1"/>
  <c r="G372" i="1"/>
  <c r="D372" i="1"/>
  <c r="C372" i="1"/>
  <c r="H371" i="1"/>
  <c r="G371" i="1"/>
  <c r="D371" i="1"/>
  <c r="C371" i="1"/>
  <c r="H370" i="1"/>
  <c r="G370" i="1"/>
  <c r="D370" i="1"/>
  <c r="C370" i="1"/>
  <c r="H369" i="1"/>
  <c r="G369" i="1"/>
  <c r="D369" i="1"/>
  <c r="C369" i="1"/>
  <c r="H368" i="1"/>
  <c r="G368" i="1"/>
  <c r="D368" i="1"/>
  <c r="C368" i="1"/>
  <c r="H367" i="1"/>
  <c r="G367" i="1"/>
  <c r="D367" i="1"/>
  <c r="C367" i="1"/>
  <c r="H366" i="1"/>
  <c r="G366" i="1"/>
  <c r="D366" i="1"/>
  <c r="C366" i="1"/>
  <c r="H365" i="1"/>
  <c r="G365" i="1"/>
  <c r="D365" i="1"/>
  <c r="C365" i="1"/>
  <c r="H364" i="1"/>
  <c r="G364" i="1"/>
  <c r="D364" i="1"/>
  <c r="C364" i="1"/>
  <c r="H363" i="1"/>
  <c r="G363" i="1"/>
  <c r="D363" i="1"/>
  <c r="C363" i="1"/>
  <c r="H362" i="1"/>
  <c r="G362" i="1"/>
  <c r="D362" i="1"/>
  <c r="C362" i="1"/>
  <c r="H361" i="1"/>
  <c r="G361" i="1"/>
  <c r="D361" i="1"/>
  <c r="C361" i="1"/>
  <c r="H360" i="1"/>
  <c r="G360" i="1"/>
  <c r="D360" i="1"/>
  <c r="C360" i="1"/>
  <c r="H359" i="1"/>
  <c r="G359" i="1"/>
  <c r="D359" i="1"/>
  <c r="C359" i="1"/>
  <c r="H358" i="1"/>
  <c r="G358" i="1"/>
  <c r="D358" i="1"/>
  <c r="C358" i="1"/>
  <c r="H357" i="1"/>
  <c r="G357" i="1"/>
  <c r="D357" i="1"/>
  <c r="C357" i="1"/>
  <c r="H356" i="1"/>
  <c r="G356" i="1"/>
  <c r="D356" i="1"/>
  <c r="C356" i="1"/>
  <c r="H355" i="1"/>
  <c r="G355" i="1"/>
  <c r="D355" i="1"/>
  <c r="C355" i="1"/>
  <c r="H354" i="1"/>
  <c r="G354" i="1"/>
  <c r="D354" i="1"/>
  <c r="C354" i="1"/>
  <c r="H353" i="1"/>
  <c r="G353" i="1"/>
  <c r="D353" i="1"/>
  <c r="C353" i="1"/>
  <c r="H352" i="1"/>
  <c r="G352" i="1"/>
  <c r="D352" i="1"/>
  <c r="C352" i="1"/>
  <c r="H351" i="1"/>
  <c r="G351" i="1"/>
  <c r="D351" i="1"/>
  <c r="C351" i="1"/>
  <c r="H350" i="1"/>
  <c r="G350" i="1"/>
  <c r="D350" i="1"/>
  <c r="C350" i="1"/>
  <c r="H349" i="1"/>
  <c r="G349" i="1"/>
  <c r="D349" i="1"/>
  <c r="C349" i="1"/>
  <c r="H348" i="1"/>
  <c r="G348" i="1"/>
  <c r="D348" i="1"/>
  <c r="C348" i="1"/>
  <c r="H347" i="1"/>
  <c r="G347" i="1"/>
  <c r="D347" i="1"/>
  <c r="C347" i="1"/>
  <c r="H346" i="1"/>
  <c r="G346" i="1"/>
  <c r="D346" i="1"/>
  <c r="C346" i="1"/>
  <c r="H345" i="1"/>
  <c r="G345" i="1"/>
  <c r="D345" i="1"/>
  <c r="C345" i="1"/>
  <c r="H344" i="1"/>
  <c r="G344" i="1"/>
  <c r="D344" i="1"/>
  <c r="C344" i="1"/>
  <c r="H343" i="1"/>
  <c r="G343" i="1"/>
  <c r="D343" i="1"/>
  <c r="C343" i="1"/>
  <c r="H342" i="1"/>
  <c r="G342" i="1"/>
  <c r="D342" i="1"/>
  <c r="C342" i="1"/>
  <c r="H341" i="1"/>
  <c r="G341" i="1"/>
  <c r="D341" i="1"/>
  <c r="C341" i="1"/>
  <c r="H340" i="1"/>
  <c r="G340" i="1"/>
  <c r="D340" i="1"/>
  <c r="C340" i="1"/>
  <c r="H339" i="1"/>
  <c r="G339" i="1"/>
  <c r="D339" i="1"/>
  <c r="C339" i="1"/>
  <c r="H338" i="1"/>
  <c r="G338" i="1"/>
  <c r="D338" i="1"/>
  <c r="C338" i="1"/>
  <c r="H337" i="1"/>
  <c r="G337" i="1"/>
  <c r="D337" i="1"/>
  <c r="C337" i="1"/>
  <c r="H336" i="1"/>
  <c r="G336" i="1"/>
  <c r="D336" i="1"/>
  <c r="C336" i="1"/>
  <c r="H335" i="1"/>
  <c r="G335" i="1"/>
  <c r="D335" i="1"/>
  <c r="C335" i="1"/>
  <c r="H334" i="1"/>
  <c r="G334" i="1"/>
  <c r="D334" i="1"/>
  <c r="C334" i="1"/>
  <c r="H333" i="1"/>
  <c r="G333" i="1"/>
  <c r="D333" i="1"/>
  <c r="C333" i="1"/>
  <c r="H332" i="1"/>
  <c r="G332" i="1"/>
  <c r="D332" i="1"/>
  <c r="C332" i="1"/>
  <c r="H331" i="1"/>
  <c r="G331" i="1"/>
  <c r="D331" i="1"/>
  <c r="C331" i="1"/>
  <c r="H330" i="1"/>
  <c r="G330" i="1"/>
  <c r="D330" i="1"/>
  <c r="C330" i="1"/>
  <c r="H329" i="1"/>
  <c r="G329" i="1"/>
  <c r="D329" i="1"/>
  <c r="C329" i="1"/>
  <c r="H328" i="1"/>
  <c r="G328" i="1"/>
  <c r="D328" i="1"/>
  <c r="C328" i="1"/>
  <c r="H327" i="1"/>
  <c r="G327" i="1"/>
  <c r="D327" i="1"/>
  <c r="C327" i="1"/>
  <c r="H326" i="1"/>
  <c r="G326" i="1"/>
  <c r="D326" i="1"/>
  <c r="C326" i="1"/>
  <c r="H325" i="1"/>
  <c r="G325" i="1"/>
  <c r="D325" i="1"/>
  <c r="C325" i="1"/>
  <c r="H324" i="1"/>
  <c r="G324" i="1"/>
  <c r="D324" i="1"/>
  <c r="C324" i="1"/>
  <c r="H323" i="1"/>
  <c r="G323" i="1"/>
  <c r="D323" i="1"/>
  <c r="C323" i="1"/>
  <c r="H322" i="1"/>
  <c r="G322" i="1"/>
  <c r="D322" i="1"/>
  <c r="C322" i="1"/>
  <c r="H321" i="1"/>
  <c r="G321" i="1"/>
  <c r="D321" i="1"/>
  <c r="C321" i="1"/>
  <c r="H320" i="1"/>
  <c r="G320" i="1"/>
  <c r="D320" i="1"/>
  <c r="C320" i="1"/>
  <c r="H319" i="1"/>
  <c r="G319" i="1"/>
  <c r="D319" i="1"/>
  <c r="C319" i="1"/>
  <c r="H318" i="1"/>
  <c r="G318" i="1"/>
  <c r="D318" i="1"/>
  <c r="C318" i="1"/>
  <c r="H317" i="1"/>
  <c r="G317" i="1"/>
  <c r="D317" i="1"/>
  <c r="C317" i="1"/>
  <c r="H316" i="1"/>
  <c r="G316" i="1"/>
  <c r="D316" i="1"/>
  <c r="C316" i="1"/>
  <c r="H315" i="1"/>
  <c r="G315" i="1"/>
  <c r="D315" i="1"/>
  <c r="C315" i="1"/>
  <c r="H314" i="1"/>
  <c r="G314" i="1"/>
  <c r="D314" i="1"/>
  <c r="C314" i="1"/>
  <c r="H313" i="1"/>
  <c r="G313" i="1"/>
  <c r="D313" i="1"/>
  <c r="C313" i="1"/>
  <c r="H312" i="1"/>
  <c r="G312" i="1"/>
  <c r="D312" i="1"/>
  <c r="C312" i="1"/>
  <c r="H311" i="1"/>
  <c r="G311" i="1"/>
  <c r="D311" i="1"/>
  <c r="C311" i="1"/>
  <c r="H310" i="1"/>
  <c r="G310" i="1"/>
  <c r="D310" i="1"/>
  <c r="C310" i="1"/>
  <c r="H309" i="1"/>
  <c r="G309" i="1"/>
  <c r="D309" i="1"/>
  <c r="C309" i="1"/>
  <c r="H308" i="1"/>
  <c r="G308" i="1"/>
  <c r="D308" i="1"/>
  <c r="C308" i="1"/>
  <c r="H307" i="1"/>
  <c r="G307" i="1"/>
  <c r="D307" i="1"/>
  <c r="C307" i="1"/>
  <c r="H306" i="1"/>
  <c r="G306" i="1"/>
  <c r="D306" i="1"/>
  <c r="C306" i="1"/>
  <c r="H305" i="1"/>
  <c r="G305" i="1"/>
  <c r="D305" i="1"/>
  <c r="C305" i="1"/>
  <c r="H304" i="1"/>
  <c r="G304" i="1"/>
  <c r="D304" i="1"/>
  <c r="C304" i="1"/>
  <c r="H303" i="1"/>
  <c r="G303" i="1"/>
  <c r="D303" i="1"/>
  <c r="C303" i="1"/>
  <c r="H302" i="1"/>
  <c r="G302" i="1"/>
  <c r="D302" i="1"/>
  <c r="C302" i="1"/>
  <c r="H301" i="1"/>
  <c r="G301" i="1"/>
  <c r="D301" i="1"/>
  <c r="C301" i="1"/>
  <c r="H300" i="1"/>
  <c r="G300" i="1"/>
  <c r="D300" i="1"/>
  <c r="C300" i="1"/>
  <c r="H299" i="1"/>
  <c r="G299" i="1"/>
  <c r="D299" i="1"/>
  <c r="C299" i="1"/>
  <c r="H298" i="1"/>
  <c r="G298" i="1"/>
  <c r="D298" i="1"/>
  <c r="C298" i="1"/>
  <c r="H297" i="1"/>
  <c r="G297" i="1"/>
  <c r="D297" i="1"/>
  <c r="C297" i="1"/>
  <c r="H296" i="1"/>
  <c r="G296" i="1"/>
  <c r="D296" i="1"/>
  <c r="C296" i="1"/>
  <c r="H295" i="1"/>
  <c r="G295" i="1"/>
  <c r="D295" i="1"/>
  <c r="C295" i="1"/>
  <c r="H294" i="1"/>
  <c r="G294" i="1"/>
  <c r="D294" i="1"/>
  <c r="C294" i="1"/>
  <c r="H293" i="1"/>
  <c r="G293" i="1"/>
  <c r="D293" i="1"/>
  <c r="C293" i="1"/>
  <c r="H292" i="1"/>
  <c r="G292" i="1"/>
  <c r="D292" i="1"/>
  <c r="C292" i="1"/>
  <c r="H291" i="1"/>
  <c r="G291" i="1"/>
  <c r="D291" i="1"/>
  <c r="C291" i="1"/>
  <c r="H290" i="1"/>
  <c r="G290" i="1"/>
  <c r="D290" i="1"/>
  <c r="C290" i="1"/>
  <c r="H289" i="1"/>
  <c r="G289" i="1"/>
  <c r="D289" i="1"/>
  <c r="C289" i="1"/>
  <c r="H288" i="1"/>
  <c r="G288" i="1"/>
  <c r="D288" i="1"/>
  <c r="C288" i="1"/>
  <c r="H287" i="1"/>
  <c r="G287" i="1"/>
  <c r="D287" i="1"/>
  <c r="C287" i="1"/>
  <c r="H286" i="1"/>
  <c r="G286" i="1"/>
  <c r="D286" i="1"/>
  <c r="C286" i="1"/>
  <c r="H285" i="1"/>
  <c r="G285" i="1"/>
  <c r="D285" i="1"/>
  <c r="C285" i="1"/>
  <c r="H284" i="1"/>
  <c r="G284" i="1"/>
  <c r="D284" i="1"/>
  <c r="C284" i="1"/>
  <c r="H283" i="1"/>
  <c r="G283" i="1"/>
  <c r="D283" i="1"/>
  <c r="C283" i="1"/>
  <c r="H282" i="1"/>
  <c r="G282" i="1"/>
  <c r="D282" i="1"/>
  <c r="C282" i="1"/>
  <c r="H281" i="1"/>
  <c r="G281" i="1"/>
  <c r="D281" i="1"/>
  <c r="C281" i="1"/>
  <c r="H280" i="1"/>
  <c r="G280" i="1"/>
  <c r="D280" i="1"/>
  <c r="C280" i="1"/>
  <c r="H279" i="1"/>
  <c r="G279" i="1"/>
  <c r="D279" i="1"/>
  <c r="C279" i="1"/>
  <c r="H278" i="1"/>
  <c r="G278" i="1"/>
  <c r="D278" i="1"/>
  <c r="C278" i="1"/>
  <c r="H277" i="1"/>
  <c r="G277" i="1"/>
  <c r="D277" i="1"/>
  <c r="C277" i="1"/>
  <c r="H276" i="1"/>
  <c r="G276" i="1"/>
  <c r="D276" i="1"/>
  <c r="C276" i="1"/>
  <c r="H275" i="1"/>
  <c r="G275" i="1"/>
  <c r="D275" i="1"/>
  <c r="C275" i="1"/>
  <c r="H274" i="1"/>
  <c r="G274" i="1"/>
  <c r="D274" i="1"/>
  <c r="C274" i="1"/>
  <c r="H273" i="1"/>
  <c r="G273" i="1"/>
  <c r="D273" i="1"/>
  <c r="C273" i="1"/>
  <c r="H272" i="1"/>
  <c r="G272" i="1"/>
  <c r="D272" i="1"/>
  <c r="C272" i="1"/>
  <c r="H271" i="1"/>
  <c r="G271" i="1"/>
  <c r="D271" i="1"/>
  <c r="C271" i="1"/>
  <c r="H270" i="1"/>
  <c r="G270" i="1"/>
  <c r="D270" i="1"/>
  <c r="C270" i="1"/>
  <c r="H269" i="1"/>
  <c r="G269" i="1"/>
  <c r="D269" i="1"/>
  <c r="C269" i="1"/>
  <c r="H268" i="1"/>
  <c r="G268" i="1"/>
  <c r="D268" i="1"/>
  <c r="C268" i="1"/>
  <c r="H267" i="1"/>
  <c r="G267" i="1"/>
  <c r="D267" i="1"/>
  <c r="C267" i="1"/>
  <c r="H266" i="1"/>
  <c r="G266" i="1"/>
  <c r="D266" i="1"/>
  <c r="C266" i="1"/>
  <c r="H265" i="1"/>
  <c r="G265" i="1"/>
  <c r="D265" i="1"/>
  <c r="C265" i="1"/>
  <c r="H264" i="1"/>
  <c r="G264" i="1"/>
  <c r="D264" i="1"/>
  <c r="C264" i="1"/>
  <c r="H263" i="1"/>
  <c r="G263" i="1"/>
  <c r="D263" i="1"/>
  <c r="C263" i="1"/>
  <c r="H262" i="1"/>
  <c r="G262" i="1"/>
  <c r="D262" i="1"/>
  <c r="C262" i="1"/>
  <c r="H261" i="1"/>
  <c r="G261" i="1"/>
  <c r="D261" i="1"/>
  <c r="C261" i="1"/>
  <c r="H260" i="1"/>
  <c r="G260" i="1"/>
  <c r="D260" i="1"/>
  <c r="C260" i="1"/>
  <c r="H259" i="1"/>
  <c r="G259" i="1"/>
  <c r="D259" i="1"/>
  <c r="C259" i="1"/>
  <c r="H258" i="1"/>
  <c r="G258" i="1"/>
  <c r="D258" i="1"/>
  <c r="C258" i="1"/>
  <c r="H257" i="1"/>
  <c r="G257" i="1"/>
  <c r="D257" i="1"/>
  <c r="C257" i="1"/>
  <c r="H256" i="1"/>
  <c r="G256" i="1"/>
  <c r="D256" i="1"/>
  <c r="C256" i="1"/>
  <c r="H255" i="1"/>
  <c r="G255" i="1"/>
  <c r="D255" i="1"/>
  <c r="C255" i="1"/>
  <c r="H254" i="1"/>
  <c r="G254" i="1"/>
  <c r="D254" i="1"/>
  <c r="C254" i="1"/>
  <c r="H253" i="1"/>
  <c r="G253" i="1"/>
  <c r="D253" i="1"/>
  <c r="C253" i="1"/>
  <c r="H252" i="1"/>
  <c r="G252" i="1"/>
  <c r="D252" i="1"/>
  <c r="C252" i="1"/>
  <c r="H251" i="1"/>
  <c r="G251" i="1"/>
  <c r="D251" i="1"/>
  <c r="C251" i="1"/>
  <c r="H250" i="1"/>
  <c r="G250" i="1"/>
  <c r="D250" i="1"/>
  <c r="C250" i="1"/>
  <c r="H249" i="1"/>
  <c r="G249" i="1"/>
  <c r="D249" i="1"/>
  <c r="C249" i="1"/>
  <c r="H248" i="1"/>
  <c r="G248" i="1"/>
  <c r="D248" i="1"/>
  <c r="C248" i="1"/>
  <c r="H247" i="1"/>
  <c r="G247" i="1"/>
  <c r="D247" i="1"/>
  <c r="C247" i="1"/>
  <c r="H246" i="1"/>
  <c r="G246" i="1"/>
  <c r="D246" i="1"/>
  <c r="C246" i="1"/>
  <c r="H245" i="1"/>
  <c r="G245" i="1"/>
  <c r="D245" i="1"/>
  <c r="C245" i="1"/>
  <c r="H244" i="1"/>
  <c r="G244" i="1"/>
  <c r="D244" i="1"/>
  <c r="C244" i="1"/>
  <c r="H243" i="1"/>
  <c r="G243" i="1"/>
  <c r="D243" i="1"/>
  <c r="C243" i="1"/>
  <c r="H242" i="1"/>
  <c r="G242" i="1"/>
  <c r="D242" i="1"/>
  <c r="C242" i="1"/>
  <c r="H241" i="1"/>
  <c r="G241" i="1"/>
  <c r="D241" i="1"/>
  <c r="C241" i="1"/>
  <c r="H240" i="1"/>
  <c r="G240" i="1"/>
  <c r="D240" i="1"/>
  <c r="C240" i="1"/>
  <c r="H239" i="1"/>
  <c r="G239" i="1"/>
  <c r="D239" i="1"/>
  <c r="C239" i="1"/>
  <c r="H238" i="1"/>
  <c r="G238" i="1"/>
  <c r="D238" i="1"/>
  <c r="C238" i="1"/>
  <c r="H237" i="1"/>
  <c r="G237" i="1"/>
  <c r="D237" i="1"/>
  <c r="C237" i="1"/>
  <c r="H236" i="1"/>
  <c r="G236" i="1"/>
  <c r="D236" i="1"/>
  <c r="C236" i="1"/>
  <c r="H235" i="1"/>
  <c r="G235" i="1"/>
  <c r="D235" i="1"/>
  <c r="C235" i="1"/>
  <c r="H234" i="1"/>
  <c r="G234" i="1"/>
  <c r="D234" i="1"/>
  <c r="C234" i="1"/>
  <c r="H233" i="1"/>
  <c r="G233" i="1"/>
  <c r="D233" i="1"/>
  <c r="C233" i="1"/>
  <c r="H232" i="1"/>
  <c r="G232" i="1"/>
  <c r="D232" i="1"/>
  <c r="C232" i="1"/>
  <c r="H231" i="1"/>
  <c r="G231" i="1"/>
  <c r="D231" i="1"/>
  <c r="C231" i="1"/>
  <c r="H230" i="1"/>
  <c r="G230" i="1"/>
  <c r="D230" i="1"/>
  <c r="C230" i="1"/>
  <c r="H229" i="1"/>
  <c r="G229" i="1"/>
  <c r="D229" i="1"/>
  <c r="C229" i="1"/>
  <c r="H228" i="1"/>
  <c r="G228" i="1"/>
  <c r="D228" i="1"/>
  <c r="C228" i="1"/>
  <c r="H227" i="1"/>
  <c r="G227" i="1"/>
  <c r="D227" i="1"/>
  <c r="C227" i="1"/>
  <c r="H226" i="1"/>
  <c r="G226" i="1"/>
  <c r="D226" i="1"/>
  <c r="C226" i="1"/>
  <c r="H225" i="1"/>
  <c r="G225" i="1"/>
  <c r="D225" i="1"/>
  <c r="C225" i="1"/>
  <c r="H224" i="1"/>
  <c r="G224" i="1"/>
  <c r="D224" i="1"/>
  <c r="C224" i="1"/>
  <c r="H223" i="1"/>
  <c r="G223" i="1"/>
  <c r="D223" i="1"/>
  <c r="C223" i="1"/>
  <c r="H222" i="1"/>
  <c r="G222" i="1"/>
  <c r="D222" i="1"/>
  <c r="C222" i="1"/>
  <c r="H221" i="1"/>
  <c r="G221" i="1"/>
  <c r="D221" i="1"/>
  <c r="C221" i="1"/>
  <c r="H220" i="1"/>
  <c r="G220" i="1"/>
  <c r="D220" i="1"/>
  <c r="C220" i="1"/>
  <c r="H219" i="1"/>
  <c r="G219" i="1"/>
  <c r="D219" i="1"/>
  <c r="C219" i="1"/>
  <c r="H218" i="1"/>
  <c r="G218" i="1"/>
  <c r="D218" i="1"/>
  <c r="C218" i="1"/>
  <c r="H217" i="1"/>
  <c r="G217" i="1"/>
  <c r="D217" i="1"/>
  <c r="C217" i="1"/>
  <c r="H216" i="1"/>
  <c r="G216" i="1"/>
  <c r="D216" i="1"/>
  <c r="C216" i="1"/>
  <c r="H215" i="1"/>
  <c r="G215" i="1"/>
  <c r="D215" i="1"/>
  <c r="C215" i="1"/>
  <c r="H214" i="1"/>
  <c r="G214" i="1"/>
  <c r="D214" i="1"/>
  <c r="C214" i="1"/>
  <c r="H213" i="1"/>
  <c r="G213" i="1"/>
  <c r="D213" i="1"/>
  <c r="C213" i="1"/>
  <c r="H212" i="1"/>
  <c r="G212" i="1"/>
  <c r="D212" i="1"/>
  <c r="C212" i="1"/>
  <c r="H211" i="1"/>
  <c r="G211" i="1"/>
  <c r="D211" i="1"/>
  <c r="C211" i="1"/>
  <c r="H210" i="1"/>
  <c r="G210" i="1"/>
  <c r="D210" i="1"/>
  <c r="C210" i="1"/>
  <c r="H209" i="1"/>
  <c r="G209" i="1"/>
  <c r="D209" i="1"/>
  <c r="C209" i="1"/>
  <c r="H208" i="1"/>
  <c r="G208" i="1"/>
  <c r="D208" i="1"/>
  <c r="C208" i="1"/>
  <c r="H207" i="1"/>
  <c r="G207" i="1"/>
  <c r="D207" i="1"/>
  <c r="C207" i="1"/>
  <c r="H206" i="1"/>
  <c r="G206" i="1"/>
  <c r="D206" i="1"/>
  <c r="C206" i="1"/>
  <c r="H205" i="1"/>
  <c r="G205" i="1"/>
  <c r="D205" i="1"/>
  <c r="C205" i="1"/>
  <c r="H204" i="1"/>
  <c r="G204" i="1"/>
  <c r="D204" i="1"/>
  <c r="C204" i="1"/>
  <c r="H203" i="1"/>
  <c r="G203" i="1"/>
  <c r="D203" i="1"/>
  <c r="C203" i="1"/>
  <c r="H202" i="1"/>
  <c r="G202" i="1"/>
  <c r="D202" i="1"/>
  <c r="C202" i="1"/>
  <c r="H201" i="1"/>
  <c r="G201" i="1"/>
  <c r="D201" i="1"/>
  <c r="C201" i="1"/>
  <c r="H200" i="1"/>
  <c r="G200" i="1"/>
  <c r="D200" i="1"/>
  <c r="C200" i="1"/>
  <c r="H199" i="1"/>
  <c r="G199" i="1"/>
  <c r="D199" i="1"/>
  <c r="C199" i="1"/>
  <c r="H198" i="1"/>
  <c r="G198" i="1"/>
  <c r="D198" i="1"/>
  <c r="C198" i="1"/>
  <c r="H197" i="1"/>
  <c r="G197" i="1"/>
  <c r="D197" i="1"/>
  <c r="C197" i="1"/>
  <c r="H196" i="1"/>
  <c r="G196" i="1"/>
  <c r="D196" i="1"/>
  <c r="C196" i="1"/>
  <c r="H195" i="1"/>
  <c r="G195" i="1"/>
  <c r="D195" i="1"/>
  <c r="C195" i="1"/>
  <c r="H194" i="1"/>
  <c r="G194" i="1"/>
  <c r="D194" i="1"/>
  <c r="C194" i="1"/>
  <c r="H193" i="1"/>
  <c r="G193" i="1"/>
  <c r="D193" i="1"/>
  <c r="C193" i="1"/>
  <c r="H192" i="1"/>
  <c r="G192" i="1"/>
  <c r="D192" i="1"/>
  <c r="C192" i="1"/>
  <c r="H191" i="1"/>
  <c r="G191" i="1"/>
  <c r="D191" i="1"/>
  <c r="C191" i="1"/>
  <c r="H190" i="1"/>
  <c r="G190" i="1"/>
  <c r="D190" i="1"/>
  <c r="C190" i="1"/>
  <c r="H189" i="1"/>
  <c r="G189" i="1"/>
  <c r="D189" i="1"/>
  <c r="C189" i="1"/>
  <c r="H188" i="1"/>
  <c r="G188" i="1"/>
  <c r="D188" i="1"/>
  <c r="C188" i="1"/>
  <c r="H187" i="1"/>
  <c r="G187" i="1"/>
  <c r="D187" i="1"/>
  <c r="C187" i="1"/>
  <c r="H186" i="1"/>
  <c r="G186" i="1"/>
  <c r="D186" i="1"/>
  <c r="C186" i="1"/>
  <c r="H185" i="1"/>
  <c r="G185" i="1"/>
  <c r="D185" i="1"/>
  <c r="C185" i="1"/>
  <c r="H184" i="1"/>
  <c r="G184" i="1"/>
  <c r="D184" i="1"/>
  <c r="C184" i="1"/>
  <c r="H183" i="1"/>
  <c r="G183" i="1"/>
  <c r="D183" i="1"/>
  <c r="C183" i="1"/>
  <c r="H182" i="1"/>
  <c r="G182" i="1"/>
  <c r="D182" i="1"/>
  <c r="C182" i="1"/>
  <c r="H181" i="1"/>
  <c r="G181" i="1"/>
  <c r="D181" i="1"/>
  <c r="C181" i="1"/>
  <c r="H180" i="1"/>
  <c r="G180" i="1"/>
  <c r="D180" i="1"/>
  <c r="C180" i="1"/>
  <c r="H179" i="1"/>
  <c r="G179" i="1"/>
  <c r="D179" i="1"/>
  <c r="C179" i="1"/>
  <c r="H178" i="1"/>
  <c r="G178" i="1"/>
  <c r="D178" i="1"/>
  <c r="C178" i="1"/>
  <c r="H177" i="1"/>
  <c r="G177" i="1"/>
  <c r="D177" i="1"/>
  <c r="C177" i="1"/>
  <c r="H176" i="1"/>
  <c r="G176" i="1"/>
  <c r="D176" i="1"/>
  <c r="C176" i="1"/>
  <c r="H175" i="1"/>
  <c r="G175" i="1"/>
  <c r="D175" i="1"/>
  <c r="C175" i="1"/>
  <c r="H174" i="1"/>
  <c r="G174" i="1"/>
  <c r="D174" i="1"/>
  <c r="C174" i="1"/>
  <c r="H173" i="1"/>
  <c r="G173" i="1"/>
  <c r="D173" i="1"/>
  <c r="C173" i="1"/>
  <c r="H172" i="1"/>
  <c r="G172" i="1"/>
  <c r="D172" i="1"/>
  <c r="C172" i="1"/>
  <c r="H171" i="1"/>
  <c r="G171" i="1"/>
  <c r="D171" i="1"/>
  <c r="C171" i="1"/>
  <c r="H170" i="1"/>
  <c r="G170" i="1"/>
  <c r="D170" i="1"/>
  <c r="C170" i="1"/>
  <c r="H169" i="1"/>
  <c r="G169" i="1"/>
  <c r="D169" i="1"/>
  <c r="C169" i="1"/>
  <c r="H168" i="1"/>
  <c r="G168" i="1"/>
  <c r="D168" i="1"/>
  <c r="C168" i="1"/>
  <c r="H167" i="1"/>
  <c r="G167" i="1"/>
  <c r="D167" i="1"/>
  <c r="C167" i="1"/>
  <c r="H166" i="1"/>
  <c r="G166" i="1"/>
  <c r="D166" i="1"/>
  <c r="C166" i="1"/>
  <c r="H165" i="1"/>
  <c r="G165" i="1"/>
  <c r="D165" i="1"/>
  <c r="C165" i="1"/>
  <c r="H164" i="1"/>
  <c r="G164" i="1"/>
  <c r="D164" i="1"/>
  <c r="C164" i="1"/>
  <c r="H163" i="1"/>
  <c r="G163" i="1"/>
  <c r="D163" i="1"/>
  <c r="C163" i="1"/>
  <c r="H162" i="1"/>
  <c r="G162" i="1"/>
  <c r="D162" i="1"/>
  <c r="C162" i="1"/>
  <c r="H161" i="1"/>
  <c r="G161" i="1"/>
  <c r="D161" i="1"/>
  <c r="C161" i="1"/>
  <c r="H160" i="1"/>
  <c r="G160" i="1"/>
  <c r="D160" i="1"/>
  <c r="C160" i="1"/>
  <c r="H159" i="1"/>
  <c r="G159" i="1"/>
  <c r="D159" i="1"/>
  <c r="C159" i="1"/>
  <c r="H158" i="1"/>
  <c r="G158" i="1"/>
  <c r="D158" i="1"/>
  <c r="C158" i="1"/>
  <c r="H157" i="1"/>
  <c r="G157" i="1"/>
  <c r="D157" i="1"/>
  <c r="C157" i="1"/>
  <c r="H156" i="1"/>
  <c r="G156" i="1"/>
  <c r="D156" i="1"/>
  <c r="C156" i="1"/>
  <c r="H155" i="1"/>
  <c r="G155" i="1"/>
  <c r="D155" i="1"/>
  <c r="C155" i="1"/>
  <c r="H154" i="1"/>
  <c r="G154" i="1"/>
  <c r="D154" i="1"/>
  <c r="C154" i="1"/>
  <c r="H153" i="1"/>
  <c r="G153" i="1"/>
  <c r="D153" i="1"/>
  <c r="C153" i="1"/>
  <c r="H152" i="1"/>
  <c r="G152" i="1"/>
  <c r="D152" i="1"/>
  <c r="C152" i="1"/>
  <c r="H151" i="1"/>
  <c r="G151" i="1"/>
  <c r="D151" i="1"/>
  <c r="C151" i="1"/>
  <c r="H150" i="1"/>
  <c r="G150" i="1"/>
  <c r="D150" i="1"/>
  <c r="C150" i="1"/>
  <c r="H149" i="1"/>
  <c r="G149" i="1"/>
  <c r="D149" i="1"/>
  <c r="C149" i="1"/>
  <c r="H148" i="1"/>
  <c r="G148" i="1"/>
  <c r="D148" i="1"/>
  <c r="C148" i="1"/>
  <c r="H147" i="1"/>
  <c r="G147" i="1"/>
  <c r="D147" i="1"/>
  <c r="C147" i="1"/>
  <c r="H146" i="1"/>
  <c r="G146" i="1"/>
  <c r="D146" i="1"/>
  <c r="C146" i="1"/>
  <c r="H145" i="1"/>
  <c r="G145" i="1"/>
  <c r="D145" i="1"/>
  <c r="C145" i="1"/>
  <c r="H144" i="1"/>
  <c r="G144" i="1"/>
  <c r="D144" i="1"/>
  <c r="C144" i="1"/>
  <c r="H143" i="1"/>
  <c r="G143" i="1"/>
  <c r="D143" i="1"/>
  <c r="C143" i="1"/>
  <c r="H142" i="1"/>
  <c r="G142" i="1"/>
  <c r="D142" i="1"/>
  <c r="C142" i="1"/>
  <c r="H141" i="1"/>
  <c r="G141" i="1"/>
  <c r="D141" i="1"/>
  <c r="C141" i="1"/>
  <c r="H140" i="1"/>
  <c r="G140" i="1"/>
  <c r="D140" i="1"/>
  <c r="C140" i="1"/>
  <c r="H139" i="1"/>
  <c r="G139" i="1"/>
  <c r="D139" i="1"/>
  <c r="C139" i="1"/>
  <c r="H138" i="1"/>
  <c r="G138" i="1"/>
  <c r="D138" i="1"/>
  <c r="C138" i="1"/>
  <c r="H137" i="1"/>
  <c r="G137" i="1"/>
  <c r="D137" i="1"/>
  <c r="C137" i="1"/>
  <c r="H136" i="1"/>
  <c r="G136" i="1"/>
  <c r="D136" i="1"/>
  <c r="C136" i="1"/>
  <c r="H135" i="1"/>
  <c r="G135" i="1"/>
  <c r="D135" i="1"/>
  <c r="C135" i="1"/>
  <c r="H134" i="1"/>
  <c r="G134" i="1"/>
  <c r="D134" i="1"/>
  <c r="C134" i="1"/>
  <c r="H133" i="1"/>
  <c r="G133" i="1"/>
  <c r="D133" i="1"/>
  <c r="C133" i="1"/>
  <c r="H132" i="1"/>
  <c r="G132" i="1"/>
  <c r="D132" i="1"/>
  <c r="C132" i="1"/>
  <c r="H131" i="1"/>
  <c r="G131" i="1"/>
  <c r="D131" i="1"/>
  <c r="C131" i="1"/>
  <c r="H130" i="1"/>
  <c r="G130" i="1"/>
  <c r="D130" i="1"/>
  <c r="C130" i="1"/>
  <c r="H129" i="1"/>
  <c r="G129" i="1"/>
  <c r="D129" i="1"/>
  <c r="C129" i="1"/>
  <c r="H128" i="1"/>
  <c r="G128" i="1"/>
  <c r="D128" i="1"/>
  <c r="C128" i="1"/>
  <c r="H127" i="1"/>
  <c r="G127" i="1"/>
  <c r="D127" i="1"/>
  <c r="C127" i="1"/>
  <c r="H126" i="1"/>
  <c r="G126" i="1"/>
  <c r="D126" i="1"/>
  <c r="C126" i="1"/>
  <c r="H125" i="1"/>
  <c r="G125" i="1"/>
  <c r="D125" i="1"/>
  <c r="C125" i="1"/>
  <c r="H124" i="1"/>
  <c r="G124" i="1"/>
  <c r="D124" i="1"/>
  <c r="C124" i="1"/>
  <c r="H123" i="1"/>
  <c r="G123" i="1"/>
  <c r="D123" i="1"/>
  <c r="C123" i="1"/>
  <c r="H122" i="1"/>
  <c r="G122" i="1"/>
  <c r="D122" i="1"/>
  <c r="C122" i="1"/>
  <c r="H121" i="1"/>
  <c r="G121" i="1"/>
  <c r="D121" i="1"/>
  <c r="C121" i="1"/>
  <c r="H120" i="1"/>
  <c r="G120" i="1"/>
  <c r="D120" i="1"/>
  <c r="C120" i="1"/>
  <c r="H119" i="1"/>
  <c r="G119" i="1"/>
  <c r="D119" i="1"/>
  <c r="C119" i="1"/>
  <c r="H118" i="1"/>
  <c r="G118" i="1"/>
  <c r="D118" i="1"/>
  <c r="C118" i="1"/>
  <c r="H117" i="1"/>
  <c r="G117" i="1"/>
  <c r="D117" i="1"/>
  <c r="C117" i="1"/>
  <c r="H116" i="1"/>
  <c r="G116" i="1"/>
  <c r="D116" i="1"/>
  <c r="C116" i="1"/>
  <c r="H115" i="1"/>
  <c r="G115" i="1"/>
  <c r="D115" i="1"/>
  <c r="C115" i="1"/>
  <c r="H114" i="1"/>
  <c r="G114" i="1"/>
  <c r="D114" i="1"/>
  <c r="C114" i="1"/>
  <c r="H113" i="1"/>
  <c r="G113" i="1"/>
  <c r="D113" i="1"/>
  <c r="C113" i="1"/>
  <c r="H112" i="1"/>
  <c r="G112" i="1"/>
  <c r="D112" i="1"/>
  <c r="C112" i="1"/>
  <c r="H111" i="1"/>
  <c r="G111" i="1"/>
  <c r="D111" i="1"/>
  <c r="C111" i="1"/>
  <c r="H110" i="1"/>
  <c r="G110" i="1"/>
  <c r="D110" i="1"/>
  <c r="C110" i="1"/>
  <c r="H109" i="1"/>
  <c r="G109" i="1"/>
  <c r="D109" i="1"/>
  <c r="C109" i="1"/>
  <c r="H108" i="1"/>
  <c r="G108" i="1"/>
  <c r="D108" i="1"/>
  <c r="C108" i="1"/>
  <c r="H107" i="1"/>
  <c r="G107" i="1"/>
  <c r="D107" i="1"/>
  <c r="C107" i="1"/>
  <c r="H106" i="1"/>
  <c r="G106" i="1"/>
  <c r="D106" i="1"/>
  <c r="C106" i="1"/>
  <c r="H105" i="1"/>
  <c r="G105" i="1"/>
  <c r="D105" i="1"/>
  <c r="C105" i="1"/>
  <c r="H104" i="1"/>
  <c r="G104" i="1"/>
  <c r="D104" i="1"/>
  <c r="C104" i="1"/>
  <c r="H103" i="1"/>
  <c r="G103" i="1"/>
  <c r="D103" i="1"/>
  <c r="C103" i="1"/>
  <c r="H102" i="1"/>
  <c r="G102" i="1"/>
  <c r="D102" i="1"/>
  <c r="C102" i="1"/>
  <c r="H101" i="1"/>
  <c r="G101" i="1"/>
  <c r="D101" i="1"/>
  <c r="C101" i="1"/>
  <c r="H100" i="1"/>
  <c r="G100" i="1"/>
  <c r="D100" i="1"/>
  <c r="C100" i="1"/>
  <c r="H99" i="1"/>
  <c r="G99" i="1"/>
  <c r="D99" i="1"/>
  <c r="C99" i="1"/>
  <c r="H98" i="1"/>
  <c r="G98" i="1"/>
  <c r="D98" i="1"/>
  <c r="C98" i="1"/>
  <c r="H97" i="1"/>
  <c r="G97" i="1"/>
  <c r="D97" i="1"/>
  <c r="C97" i="1"/>
  <c r="H96" i="1"/>
  <c r="G96" i="1"/>
  <c r="D96" i="1"/>
  <c r="C96" i="1"/>
  <c r="H95" i="1"/>
  <c r="G95" i="1"/>
  <c r="D95" i="1"/>
  <c r="C95" i="1"/>
  <c r="H94" i="1"/>
  <c r="G94" i="1"/>
  <c r="D94" i="1"/>
  <c r="C94" i="1"/>
  <c r="H93" i="1"/>
  <c r="G93" i="1"/>
  <c r="D93" i="1"/>
  <c r="C93" i="1"/>
  <c r="H92" i="1"/>
  <c r="G92" i="1"/>
  <c r="D92" i="1"/>
  <c r="C92" i="1"/>
  <c r="H91" i="1"/>
  <c r="G91" i="1"/>
  <c r="D91" i="1"/>
  <c r="C91" i="1"/>
  <c r="H90" i="1"/>
  <c r="G90" i="1"/>
  <c r="D90" i="1"/>
  <c r="C90" i="1"/>
  <c r="H89" i="1"/>
  <c r="G89" i="1"/>
  <c r="D89" i="1"/>
  <c r="C89" i="1"/>
  <c r="H88" i="1"/>
  <c r="G88" i="1"/>
  <c r="D88" i="1"/>
  <c r="C88" i="1"/>
  <c r="H87" i="1"/>
  <c r="G87" i="1"/>
  <c r="D87" i="1"/>
  <c r="C87" i="1"/>
  <c r="H86" i="1"/>
  <c r="G86" i="1"/>
  <c r="D86" i="1"/>
  <c r="C86" i="1"/>
  <c r="H85" i="1"/>
  <c r="G85" i="1"/>
  <c r="D85" i="1"/>
  <c r="C85" i="1"/>
  <c r="H84" i="1"/>
  <c r="G84" i="1"/>
  <c r="D84" i="1"/>
  <c r="C84" i="1"/>
  <c r="H83" i="1"/>
  <c r="G83" i="1"/>
  <c r="D83" i="1"/>
  <c r="C83" i="1"/>
  <c r="H82" i="1"/>
  <c r="G82" i="1"/>
  <c r="D82" i="1"/>
  <c r="C82" i="1"/>
  <c r="H81" i="1"/>
  <c r="G81" i="1"/>
  <c r="D81" i="1"/>
  <c r="C81" i="1"/>
  <c r="H80" i="1"/>
  <c r="G80" i="1"/>
  <c r="D80" i="1"/>
  <c r="C80" i="1"/>
  <c r="H79" i="1"/>
  <c r="G79" i="1"/>
  <c r="D79" i="1"/>
  <c r="C79" i="1"/>
  <c r="H78" i="1"/>
  <c r="G78" i="1"/>
  <c r="D78" i="1"/>
  <c r="C78" i="1"/>
  <c r="H77" i="1"/>
  <c r="G77" i="1"/>
  <c r="D77" i="1"/>
  <c r="C77" i="1"/>
  <c r="H76" i="1"/>
  <c r="G76" i="1"/>
  <c r="D76" i="1"/>
  <c r="C76" i="1"/>
  <c r="H75" i="1"/>
  <c r="G75" i="1"/>
  <c r="D75" i="1"/>
  <c r="C75" i="1"/>
  <c r="H74" i="1"/>
  <c r="G74" i="1"/>
  <c r="D74" i="1"/>
  <c r="C74" i="1"/>
  <c r="H73" i="1"/>
  <c r="G73" i="1"/>
  <c r="D73" i="1"/>
  <c r="C73" i="1"/>
  <c r="H72" i="1"/>
  <c r="G72" i="1"/>
  <c r="D72" i="1"/>
  <c r="C72" i="1"/>
  <c r="H71" i="1"/>
  <c r="G71" i="1"/>
  <c r="D71" i="1"/>
  <c r="C71" i="1"/>
  <c r="H70" i="1"/>
  <c r="G70" i="1"/>
  <c r="D70" i="1"/>
  <c r="C70" i="1"/>
  <c r="H69" i="1"/>
  <c r="G69" i="1"/>
  <c r="D69" i="1"/>
  <c r="C69" i="1"/>
  <c r="H68" i="1"/>
  <c r="G68" i="1"/>
  <c r="D68" i="1"/>
  <c r="C68" i="1"/>
  <c r="H67" i="1"/>
  <c r="G67" i="1"/>
  <c r="D67" i="1"/>
  <c r="C67" i="1"/>
  <c r="H66" i="1"/>
  <c r="G66" i="1"/>
  <c r="D66" i="1"/>
  <c r="C66" i="1"/>
  <c r="H65" i="1"/>
  <c r="G65" i="1"/>
  <c r="D65" i="1"/>
  <c r="C65" i="1"/>
  <c r="H64" i="1"/>
  <c r="G64" i="1"/>
  <c r="D64" i="1"/>
  <c r="C64" i="1"/>
  <c r="H63" i="1"/>
  <c r="G63" i="1"/>
  <c r="D63" i="1"/>
  <c r="C63" i="1"/>
  <c r="H62" i="1"/>
  <c r="G62" i="1"/>
  <c r="D62" i="1"/>
  <c r="C62" i="1"/>
  <c r="H61" i="1"/>
  <c r="G61" i="1"/>
  <c r="D61" i="1"/>
  <c r="C61" i="1"/>
  <c r="H60" i="1"/>
  <c r="G60" i="1"/>
  <c r="D60" i="1"/>
  <c r="C60" i="1"/>
  <c r="H59" i="1"/>
  <c r="G59" i="1"/>
  <c r="D59" i="1"/>
  <c r="C59" i="1"/>
  <c r="H58" i="1"/>
  <c r="G58" i="1"/>
  <c r="D58" i="1"/>
  <c r="C58" i="1"/>
  <c r="H57" i="1"/>
  <c r="G57" i="1"/>
  <c r="D57" i="1"/>
  <c r="C57" i="1"/>
  <c r="H56" i="1"/>
  <c r="G56" i="1"/>
  <c r="D56" i="1"/>
  <c r="C56" i="1"/>
  <c r="H55" i="1"/>
  <c r="G55" i="1"/>
  <c r="D55" i="1"/>
  <c r="C55" i="1"/>
  <c r="H54" i="1"/>
  <c r="G54" i="1"/>
  <c r="D54" i="1"/>
  <c r="C54" i="1"/>
  <c r="H53" i="1"/>
  <c r="G53" i="1"/>
  <c r="D53" i="1"/>
  <c r="C53" i="1"/>
  <c r="H52" i="1"/>
  <c r="G52" i="1"/>
  <c r="D52" i="1"/>
  <c r="C52" i="1"/>
  <c r="H51" i="1"/>
  <c r="G51" i="1"/>
  <c r="D51" i="1"/>
  <c r="C51" i="1"/>
  <c r="H50" i="1"/>
  <c r="G50" i="1"/>
  <c r="D50" i="1"/>
  <c r="C50" i="1"/>
  <c r="H49" i="1"/>
  <c r="G49" i="1"/>
  <c r="D49" i="1"/>
  <c r="C49" i="1"/>
  <c r="H48" i="1"/>
  <c r="G48" i="1"/>
  <c r="D48" i="1"/>
  <c r="C48" i="1"/>
  <c r="H47" i="1"/>
  <c r="G47" i="1"/>
  <c r="D47" i="1"/>
  <c r="C47" i="1"/>
  <c r="H46" i="1"/>
  <c r="G46" i="1"/>
  <c r="D46" i="1"/>
  <c r="C46" i="1"/>
  <c r="H45" i="1"/>
  <c r="G45" i="1"/>
  <c r="D45" i="1"/>
  <c r="C45" i="1"/>
  <c r="H44" i="1"/>
  <c r="G44" i="1"/>
  <c r="D44" i="1"/>
  <c r="C44" i="1"/>
  <c r="H43" i="1"/>
  <c r="G43" i="1"/>
  <c r="D43" i="1"/>
  <c r="C43" i="1"/>
  <c r="H42" i="1"/>
  <c r="G42" i="1"/>
  <c r="D42" i="1"/>
  <c r="C42" i="1"/>
  <c r="H41" i="1"/>
  <c r="G41" i="1"/>
  <c r="D41" i="1"/>
  <c r="C41" i="1"/>
  <c r="H40" i="1"/>
  <c r="G40" i="1"/>
  <c r="D40" i="1"/>
  <c r="C40" i="1"/>
  <c r="H39" i="1"/>
  <c r="G39" i="1"/>
  <c r="D39" i="1"/>
  <c r="C39" i="1"/>
  <c r="H38" i="1"/>
  <c r="G38" i="1"/>
  <c r="D38" i="1"/>
  <c r="C38" i="1"/>
  <c r="H37" i="1"/>
  <c r="G37" i="1"/>
  <c r="D37" i="1"/>
  <c r="C37" i="1"/>
  <c r="H36" i="1"/>
  <c r="G36" i="1"/>
  <c r="D36" i="1"/>
  <c r="C36" i="1"/>
  <c r="H35" i="1"/>
  <c r="G35" i="1"/>
  <c r="D35" i="1"/>
  <c r="C35" i="1"/>
  <c r="H34" i="1"/>
  <c r="G34" i="1"/>
  <c r="D34" i="1"/>
  <c r="C34" i="1"/>
  <c r="H33" i="1"/>
  <c r="G33" i="1"/>
  <c r="D33" i="1"/>
  <c r="C33" i="1"/>
  <c r="H32" i="1"/>
  <c r="G32" i="1"/>
  <c r="D32" i="1"/>
  <c r="C32" i="1"/>
  <c r="H31" i="1"/>
  <c r="G31" i="1"/>
  <c r="D31" i="1"/>
  <c r="C31" i="1"/>
  <c r="H30" i="1"/>
  <c r="G30" i="1"/>
  <c r="D30" i="1"/>
  <c r="C30" i="1"/>
  <c r="H29" i="1"/>
  <c r="G29" i="1"/>
  <c r="D29" i="1"/>
  <c r="C29" i="1"/>
  <c r="H28" i="1"/>
  <c r="G28" i="1"/>
  <c r="D28" i="1"/>
  <c r="C28" i="1"/>
  <c r="H27" i="1"/>
  <c r="G27" i="1"/>
  <c r="D27" i="1"/>
  <c r="C27" i="1"/>
  <c r="H26" i="1"/>
  <c r="G26" i="1"/>
  <c r="D26" i="1"/>
  <c r="C26" i="1"/>
  <c r="H25" i="1"/>
  <c r="G25" i="1"/>
  <c r="D25" i="1"/>
  <c r="C25" i="1"/>
  <c r="H24" i="1"/>
  <c r="G24" i="1"/>
  <c r="D24" i="1"/>
  <c r="C24" i="1"/>
  <c r="H23" i="1"/>
  <c r="G23" i="1"/>
  <c r="D23" i="1"/>
  <c r="C23" i="1"/>
  <c r="H22" i="1"/>
  <c r="G22" i="1"/>
  <c r="D22" i="1"/>
  <c r="C22" i="1"/>
  <c r="H21" i="1"/>
  <c r="G21" i="1"/>
  <c r="D21" i="1"/>
  <c r="C21" i="1"/>
  <c r="H20" i="1"/>
  <c r="G20" i="1"/>
  <c r="D20" i="1"/>
  <c r="C20" i="1"/>
  <c r="H19" i="1"/>
  <c r="G19" i="1"/>
  <c r="D19" i="1"/>
  <c r="C19" i="1"/>
  <c r="H18" i="1"/>
  <c r="G18" i="1"/>
  <c r="D18" i="1"/>
  <c r="C18" i="1"/>
  <c r="H17" i="1"/>
  <c r="G17" i="1"/>
  <c r="D17" i="1"/>
  <c r="C17" i="1"/>
  <c r="H16" i="1"/>
  <c r="G16" i="1"/>
  <c r="D16" i="1"/>
  <c r="C16" i="1"/>
  <c r="H15" i="1"/>
  <c r="G15" i="1"/>
  <c r="D15" i="1"/>
  <c r="C15" i="1"/>
  <c r="H14" i="1"/>
  <c r="G14" i="1"/>
  <c r="D14" i="1"/>
  <c r="C14" i="1"/>
  <c r="H13" i="1"/>
  <c r="G13" i="1"/>
  <c r="D13" i="1"/>
  <c r="C13" i="1"/>
  <c r="H12" i="1"/>
  <c r="G12" i="1"/>
  <c r="D12" i="1"/>
  <c r="C12" i="1"/>
  <c r="H11" i="1"/>
  <c r="G11" i="1"/>
  <c r="D11" i="1"/>
  <c r="C11" i="1"/>
  <c r="H10" i="1"/>
  <c r="G10" i="1"/>
  <c r="D10" i="1"/>
  <c r="C10" i="1"/>
  <c r="H9" i="1"/>
  <c r="G9" i="1"/>
  <c r="F118" i="3" s="1"/>
  <c r="D9" i="1"/>
  <c r="C9" i="1"/>
  <c r="H8" i="1"/>
  <c r="G8" i="1"/>
  <c r="D8" i="1"/>
  <c r="C8" i="1"/>
  <c r="H7" i="1"/>
  <c r="G7" i="1"/>
  <c r="D7" i="1"/>
  <c r="C7" i="1"/>
  <c r="H6" i="1"/>
  <c r="G6" i="1"/>
  <c r="D6" i="1"/>
  <c r="C6" i="1"/>
  <c r="H5" i="1"/>
  <c r="G5" i="1"/>
  <c r="D5" i="1"/>
  <c r="C5" i="1"/>
  <c r="H4" i="1"/>
  <c r="G4" i="1"/>
  <c r="F133" i="3" s="1"/>
  <c r="D4" i="1"/>
  <c r="C4" i="1"/>
  <c r="E129" i="3" s="1"/>
  <c r="E3" i="1" a="1"/>
  <c r="E3" i="1" s="1"/>
  <c r="A3" i="1" a="1"/>
  <c r="A3" i="1" s="1"/>
  <c r="F2" i="1" a="1"/>
  <c r="F2" i="1" s="1"/>
  <c r="B2" i="1" a="1"/>
  <c r="B2" i="1" s="1"/>
  <c r="M69" i="4" l="1"/>
  <c r="L207" i="3"/>
  <c r="M104" i="4"/>
  <c r="L210" i="3"/>
  <c r="L263" i="3"/>
  <c r="L287" i="3"/>
  <c r="L326" i="3"/>
  <c r="L230" i="3"/>
  <c r="L266" i="3"/>
  <c r="F60" i="3"/>
  <c r="L87" i="3"/>
  <c r="K87" i="3"/>
  <c r="J87" i="3"/>
  <c r="P167" i="3"/>
  <c r="J167" i="3"/>
  <c r="F57" i="3"/>
  <c r="P204" i="3"/>
  <c r="J204" i="3"/>
  <c r="L348" i="3"/>
  <c r="E70" i="4"/>
  <c r="F95" i="3"/>
  <c r="P211" i="3"/>
  <c r="J211" i="3"/>
  <c r="D43" i="4"/>
  <c r="F51" i="3"/>
  <c r="F124" i="3"/>
  <c r="J142" i="3"/>
  <c r="P15" i="5" s="1"/>
  <c r="L221" i="3"/>
  <c r="L254" i="3"/>
  <c r="L257" i="3"/>
  <c r="M92" i="4"/>
  <c r="M120" i="4"/>
  <c r="F98" i="3"/>
  <c r="E34" i="4" s="1"/>
  <c r="J100" i="3"/>
  <c r="F114" i="3"/>
  <c r="L301" i="3"/>
  <c r="P341" i="3"/>
  <c r="J341" i="3"/>
  <c r="L407" i="3"/>
  <c r="F61" i="3"/>
  <c r="F103" i="3"/>
  <c r="E36" i="4" s="1"/>
  <c r="F126" i="3"/>
  <c r="L205" i="3"/>
  <c r="L264" i="3"/>
  <c r="F19" i="3"/>
  <c r="F22" i="3"/>
  <c r="F25" i="3"/>
  <c r="F45" i="3"/>
  <c r="J107" i="3"/>
  <c r="K112" i="3"/>
  <c r="K114" i="3"/>
  <c r="E133" i="3"/>
  <c r="L140" i="3"/>
  <c r="I140" i="3"/>
  <c r="J140" i="3"/>
  <c r="J185" i="3"/>
  <c r="P185" i="3"/>
  <c r="P201" i="3"/>
  <c r="L248" i="3"/>
  <c r="P345" i="3"/>
  <c r="J345" i="3"/>
  <c r="L411" i="3"/>
  <c r="E150" i="4"/>
  <c r="M151" i="4" s="1"/>
  <c r="T6" i="5"/>
  <c r="F24" i="3"/>
  <c r="F40" i="3"/>
  <c r="L130" i="3"/>
  <c r="F79" i="3"/>
  <c r="K116" i="3"/>
  <c r="L116" i="3"/>
  <c r="M148" i="4"/>
  <c r="F93" i="3"/>
  <c r="K109" i="3"/>
  <c r="L109" i="3"/>
  <c r="J109" i="3"/>
  <c r="P164" i="3"/>
  <c r="J164" i="3"/>
  <c r="L238" i="3"/>
  <c r="F31" i="3"/>
  <c r="J95" i="3"/>
  <c r="F100" i="3"/>
  <c r="J116" i="3"/>
  <c r="F70" i="3"/>
  <c r="K93" i="3"/>
  <c r="E126" i="3"/>
  <c r="K135" i="3"/>
  <c r="L135" i="3"/>
  <c r="J135" i="3"/>
  <c r="I135" i="3"/>
  <c r="E135" i="3"/>
  <c r="C46" i="4" s="1"/>
  <c r="F145" i="3"/>
  <c r="E145" i="3"/>
  <c r="L178" i="3"/>
  <c r="P365" i="3"/>
  <c r="J365" i="3"/>
  <c r="E99" i="4"/>
  <c r="M100" i="4" s="1"/>
  <c r="F48" i="3"/>
  <c r="L85" i="3"/>
  <c r="K85" i="3"/>
  <c r="J85" i="3"/>
  <c r="L93" i="3"/>
  <c r="F107" i="3"/>
  <c r="J112" i="3"/>
  <c r="J114" i="3"/>
  <c r="L119" i="3"/>
  <c r="K119" i="3"/>
  <c r="J119" i="3"/>
  <c r="F119" i="3"/>
  <c r="E41" i="4" s="1"/>
  <c r="K131" i="3"/>
  <c r="F131" i="3"/>
  <c r="E131" i="3"/>
  <c r="J162" i="3"/>
  <c r="L168" i="3"/>
  <c r="L215" i="3"/>
  <c r="L274" i="3"/>
  <c r="L324" i="3"/>
  <c r="L334" i="3"/>
  <c r="L369" i="3"/>
  <c r="F64" i="3"/>
  <c r="L88" i="3"/>
  <c r="J98" i="3"/>
  <c r="F105" i="3"/>
  <c r="L112" i="3"/>
  <c r="E140" i="3"/>
  <c r="J145" i="3"/>
  <c r="Q15" i="5" s="1"/>
  <c r="P198" i="3"/>
  <c r="J245" i="3"/>
  <c r="P245" i="3"/>
  <c r="L285" i="3"/>
  <c r="L321" i="3"/>
  <c r="L404" i="3"/>
  <c r="L361" i="3"/>
  <c r="L82" i="3"/>
  <c r="K82" i="3"/>
  <c r="J82" i="3"/>
  <c r="Q10" i="5" s="1"/>
  <c r="F82" i="3"/>
  <c r="E29" i="4" s="1"/>
  <c r="L358" i="3"/>
  <c r="L410" i="3"/>
  <c r="E106" i="4"/>
  <c r="F122" i="3"/>
  <c r="P331" i="3"/>
  <c r="J331" i="3"/>
  <c r="F9" i="3"/>
  <c r="L270" i="3"/>
  <c r="F123" i="3"/>
  <c r="F121" i="3"/>
  <c r="F110" i="3"/>
  <c r="F101" i="3"/>
  <c r="E35" i="4" s="1"/>
  <c r="F88" i="3"/>
  <c r="E31" i="4" s="1"/>
  <c r="F86" i="3"/>
  <c r="F67" i="3"/>
  <c r="F54" i="3"/>
  <c r="F23" i="3"/>
  <c r="E9" i="4" s="1"/>
  <c r="F12" i="3"/>
  <c r="E5" i="4" s="1"/>
  <c r="L284" i="3"/>
  <c r="C43" i="4"/>
  <c r="R5" i="5"/>
  <c r="F10" i="3"/>
  <c r="J105" i="3"/>
  <c r="L261" i="3"/>
  <c r="K105" i="3"/>
  <c r="F71" i="3"/>
  <c r="F83" i="3"/>
  <c r="J91" i="3"/>
  <c r="L91" i="3"/>
  <c r="K91" i="3"/>
  <c r="F96" i="3"/>
  <c r="L136" i="3"/>
  <c r="L417" i="3"/>
  <c r="I139" i="3"/>
  <c r="L421" i="3"/>
  <c r="F137" i="3"/>
  <c r="P171" i="3"/>
  <c r="J171" i="3"/>
  <c r="F90" i="3"/>
  <c r="K98" i="3"/>
  <c r="J103" i="3"/>
  <c r="P159" i="3"/>
  <c r="J159" i="3"/>
  <c r="J131" i="3"/>
  <c r="Q14" i="5" s="1"/>
  <c r="S14" i="5" s="1"/>
  <c r="F7" i="3"/>
  <c r="L105" i="3"/>
  <c r="L122" i="3"/>
  <c r="Y13" i="5" s="1"/>
  <c r="AA13" i="5" s="1"/>
  <c r="K122" i="3"/>
  <c r="J122" i="3"/>
  <c r="F138" i="3"/>
  <c r="E47" i="4" s="1"/>
  <c r="M47" i="4" s="1"/>
  <c r="L282" i="3"/>
  <c r="L302" i="3"/>
  <c r="L408" i="3"/>
  <c r="L419" i="3"/>
  <c r="E94" i="4"/>
  <c r="M143" i="4"/>
  <c r="F74" i="3"/>
  <c r="F80" i="3"/>
  <c r="J83" i="3"/>
  <c r="J96" i="3"/>
  <c r="L101" i="3"/>
  <c r="J117" i="3"/>
  <c r="L117" i="3"/>
  <c r="K117" i="3"/>
  <c r="F117" i="3"/>
  <c r="L127" i="3"/>
  <c r="E136" i="3"/>
  <c r="J138" i="3"/>
  <c r="L143" i="3"/>
  <c r="L225" i="3"/>
  <c r="P236" i="3"/>
  <c r="J236" i="3"/>
  <c r="L258" i="3"/>
  <c r="L342" i="3"/>
  <c r="L356" i="3"/>
  <c r="L363" i="3"/>
  <c r="J444" i="3"/>
  <c r="M109" i="4"/>
  <c r="F143" i="3"/>
  <c r="L395" i="3"/>
  <c r="M60" i="4"/>
  <c r="E144" i="3"/>
  <c r="L371" i="3"/>
  <c r="J144" i="3"/>
  <c r="R15" i="5" s="1"/>
  <c r="J139" i="3"/>
  <c r="L174" i="3"/>
  <c r="K142" i="3"/>
  <c r="L368" i="3"/>
  <c r="L100" i="3"/>
  <c r="I142" i="3"/>
  <c r="F91" i="3"/>
  <c r="E32" i="4" s="1"/>
  <c r="P359" i="3"/>
  <c r="J359" i="3"/>
  <c r="P33" i="5" s="1"/>
  <c r="P31" i="5"/>
  <c r="L21" i="5"/>
  <c r="Q9" i="5"/>
  <c r="Q8" i="5"/>
  <c r="Q7" i="5"/>
  <c r="S7" i="5" s="1"/>
  <c r="Q6" i="5"/>
  <c r="Q5" i="5"/>
  <c r="Q4" i="5"/>
  <c r="N20" i="5"/>
  <c r="Q19" i="5"/>
  <c r="P9" i="5"/>
  <c r="P8" i="5"/>
  <c r="P7" i="5"/>
  <c r="P6" i="5"/>
  <c r="P5" i="5"/>
  <c r="P4" i="5"/>
  <c r="L20" i="5"/>
  <c r="N12" i="5"/>
  <c r="N11" i="5"/>
  <c r="N10" i="5"/>
  <c r="N9" i="5"/>
  <c r="N8" i="5"/>
  <c r="N7" i="5"/>
  <c r="N6" i="5"/>
  <c r="N5" i="5"/>
  <c r="N4" i="5"/>
  <c r="N19" i="5"/>
  <c r="M12" i="5"/>
  <c r="M11" i="5"/>
  <c r="M10" i="5"/>
  <c r="O10" i="5" s="1"/>
  <c r="M9" i="5"/>
  <c r="O9" i="5" s="1"/>
  <c r="M8" i="5"/>
  <c r="O8" i="5" s="1"/>
  <c r="M7" i="5"/>
  <c r="O7" i="5" s="1"/>
  <c r="M6" i="5"/>
  <c r="O6" i="5" s="1"/>
  <c r="M5" i="5"/>
  <c r="M4" i="5"/>
  <c r="O4" i="5" s="1"/>
  <c r="Q27" i="5"/>
  <c r="M19" i="5"/>
  <c r="L12" i="5"/>
  <c r="L11" i="5"/>
  <c r="L10" i="5"/>
  <c r="L9" i="5"/>
  <c r="L8" i="5"/>
  <c r="L7" i="5"/>
  <c r="L6" i="5"/>
  <c r="L5" i="5"/>
  <c r="L4" i="5"/>
  <c r="L19" i="5"/>
  <c r="M24" i="5"/>
  <c r="L17" i="5"/>
  <c r="L22" i="5"/>
  <c r="M23" i="5"/>
  <c r="O23" i="5" s="1"/>
  <c r="N17" i="5"/>
  <c r="U7" i="5"/>
  <c r="L23" i="5"/>
  <c r="M17" i="5"/>
  <c r="O17" i="5" s="1"/>
  <c r="Z8" i="5"/>
  <c r="T7" i="5"/>
  <c r="X4" i="5"/>
  <c r="Y8" i="5"/>
  <c r="X8" i="5"/>
  <c r="R7" i="5"/>
  <c r="V4" i="5"/>
  <c r="N24" i="5"/>
  <c r="N18" i="5"/>
  <c r="L24" i="5"/>
  <c r="M18" i="5"/>
  <c r="V8" i="5"/>
  <c r="Z5" i="5"/>
  <c r="T4" i="5"/>
  <c r="L18" i="5"/>
  <c r="U8" i="5"/>
  <c r="W8" i="5" s="1"/>
  <c r="Y5" i="5"/>
  <c r="AA5" i="5" s="1"/>
  <c r="M25" i="5"/>
  <c r="O25" i="5" s="1"/>
  <c r="M22" i="5"/>
  <c r="L25" i="5"/>
  <c r="X11" i="5"/>
  <c r="Z7" i="5"/>
  <c r="R14" i="5"/>
  <c r="V9" i="5"/>
  <c r="Y7" i="5"/>
  <c r="X5" i="5"/>
  <c r="U9" i="5"/>
  <c r="W9" i="5" s="1"/>
  <c r="X7" i="5"/>
  <c r="P14" i="5"/>
  <c r="T9" i="5"/>
  <c r="V7" i="5"/>
  <c r="V5" i="5"/>
  <c r="N23" i="5"/>
  <c r="U5" i="5"/>
  <c r="W5" i="5" s="1"/>
  <c r="R9" i="5"/>
  <c r="T5" i="5"/>
  <c r="P36" i="5"/>
  <c r="Z10" i="5"/>
  <c r="Y6" i="5"/>
  <c r="AA6" i="5" s="1"/>
  <c r="T8" i="5"/>
  <c r="X6" i="5"/>
  <c r="M21" i="5"/>
  <c r="Z4" i="5"/>
  <c r="U4" i="5"/>
  <c r="W4" i="5" s="1"/>
  <c r="R22" i="5"/>
  <c r="R4" i="5"/>
  <c r="Z9" i="5"/>
  <c r="Z6" i="5"/>
  <c r="N22" i="5"/>
  <c r="M16" i="5"/>
  <c r="O16" i="5" s="1"/>
  <c r="X9" i="5"/>
  <c r="V6" i="5"/>
  <c r="Q28" i="5"/>
  <c r="R6" i="5"/>
  <c r="P28" i="5"/>
  <c r="F4" i="3"/>
  <c r="N16" i="5"/>
  <c r="N21" i="5"/>
  <c r="L16" i="5"/>
  <c r="U6" i="5"/>
  <c r="W6" i="5" s="1"/>
  <c r="Q20" i="5"/>
  <c r="N25" i="5"/>
  <c r="M20" i="5"/>
  <c r="Y9" i="5"/>
  <c r="N15" i="5"/>
  <c r="J143" i="3"/>
  <c r="L305" i="3"/>
  <c r="F32" i="3"/>
  <c r="F42" i="3"/>
  <c r="F94" i="3"/>
  <c r="F136" i="3"/>
  <c r="K138" i="3"/>
  <c r="L186" i="3"/>
  <c r="L209" i="3"/>
  <c r="L229" i="3"/>
  <c r="F26" i="3"/>
  <c r="L86" i="3"/>
  <c r="J94" i="3"/>
  <c r="P11" i="5" s="1"/>
  <c r="L108" i="3"/>
  <c r="K108" i="3"/>
  <c r="J108" i="3"/>
  <c r="F108" i="3"/>
  <c r="I136" i="3"/>
  <c r="L138" i="3"/>
  <c r="L141" i="3"/>
  <c r="K141" i="3"/>
  <c r="F141" i="3"/>
  <c r="E141" i="3"/>
  <c r="I143" i="3"/>
  <c r="M15" i="5" s="1"/>
  <c r="O15" i="5" s="1"/>
  <c r="L157" i="3"/>
  <c r="P246" i="3"/>
  <c r="J246" i="3"/>
  <c r="P23" i="5" s="1"/>
  <c r="L353" i="3"/>
  <c r="J441" i="3"/>
  <c r="K130" i="3"/>
  <c r="L344" i="3"/>
  <c r="F15" i="3"/>
  <c r="E6" i="4" s="1"/>
  <c r="F37" i="3"/>
  <c r="E14" i="4" s="1"/>
  <c r="F140" i="3"/>
  <c r="E138" i="3"/>
  <c r="F29" i="3"/>
  <c r="F49" i="3"/>
  <c r="F59" i="3"/>
  <c r="J86" i="3"/>
  <c r="F89" i="3"/>
  <c r="K94" i="3"/>
  <c r="U11" i="5" s="1"/>
  <c r="W11" i="5" s="1"/>
  <c r="L115" i="3"/>
  <c r="L120" i="3"/>
  <c r="K120" i="3"/>
  <c r="E127" i="3"/>
  <c r="C44" i="4" s="1"/>
  <c r="J136" i="3"/>
  <c r="J154" i="3"/>
  <c r="P154" i="3"/>
  <c r="P160" i="3"/>
  <c r="J160" i="3"/>
  <c r="L163" i="3"/>
  <c r="P213" i="3"/>
  <c r="J213" i="3"/>
  <c r="P360" i="3"/>
  <c r="J360" i="3"/>
  <c r="L431" i="3"/>
  <c r="K128" i="3"/>
  <c r="J121" i="3"/>
  <c r="L110" i="3"/>
  <c r="K101" i="3"/>
  <c r="K92" i="3"/>
  <c r="J90" i="3"/>
  <c r="K88" i="3"/>
  <c r="V10" i="5" s="1"/>
  <c r="K86" i="3"/>
  <c r="L84" i="3"/>
  <c r="I128" i="3"/>
  <c r="K110" i="3"/>
  <c r="J101" i="3"/>
  <c r="J92" i="3"/>
  <c r="K139" i="3"/>
  <c r="I133" i="3"/>
  <c r="J126" i="3"/>
  <c r="K115" i="3"/>
  <c r="L113" i="3"/>
  <c r="K95" i="3"/>
  <c r="V11" i="5" s="1"/>
  <c r="J137" i="3"/>
  <c r="L129" i="3"/>
  <c r="J129" i="3"/>
  <c r="I129" i="3"/>
  <c r="D48" i="4"/>
  <c r="D20" i="4"/>
  <c r="F8" i="3"/>
  <c r="F11" i="3"/>
  <c r="F14" i="3"/>
  <c r="F36" i="3"/>
  <c r="E13" i="4" s="1"/>
  <c r="F43" i="3"/>
  <c r="F62" i="3"/>
  <c r="E22" i="4" s="1"/>
  <c r="L94" i="3"/>
  <c r="Z11" i="5" s="1"/>
  <c r="F99" i="3"/>
  <c r="F115" i="3"/>
  <c r="F120" i="3"/>
  <c r="J125" i="3"/>
  <c r="F127" i="3"/>
  <c r="E44" i="4" s="1"/>
  <c r="E134" i="3"/>
  <c r="K136" i="3"/>
  <c r="J149" i="3"/>
  <c r="J151" i="3"/>
  <c r="J170" i="3"/>
  <c r="P269" i="3"/>
  <c r="J269" i="3"/>
  <c r="J392" i="3"/>
  <c r="R35" i="5" s="1"/>
  <c r="P392" i="3"/>
  <c r="J402" i="3"/>
  <c r="P402" i="3"/>
  <c r="M103" i="4"/>
  <c r="J97" i="3"/>
  <c r="L97" i="3"/>
  <c r="K97" i="3"/>
  <c r="F97" i="3"/>
  <c r="K118" i="3"/>
  <c r="V13" i="5" s="1"/>
  <c r="M147" i="4"/>
  <c r="F76" i="3"/>
  <c r="E27" i="4" s="1"/>
  <c r="E30" i="4"/>
  <c r="K145" i="3"/>
  <c r="P295" i="3"/>
  <c r="J295" i="3"/>
  <c r="J401" i="3"/>
  <c r="R36" i="5" s="1"/>
  <c r="P401" i="3"/>
  <c r="L96" i="3"/>
  <c r="L366" i="3"/>
  <c r="F39" i="3"/>
  <c r="F72" i="3"/>
  <c r="E25" i="4" s="1"/>
  <c r="F75" i="3"/>
  <c r="L89" i="3"/>
  <c r="K89" i="3"/>
  <c r="J89" i="3"/>
  <c r="F113" i="3"/>
  <c r="J115" i="3"/>
  <c r="J120" i="3"/>
  <c r="K125" i="3"/>
  <c r="I127" i="3"/>
  <c r="N13" i="5" s="1"/>
  <c r="F134" i="3"/>
  <c r="I141" i="3"/>
  <c r="L14" i="5" s="1"/>
  <c r="L180" i="3"/>
  <c r="L223" i="3"/>
  <c r="L322" i="3"/>
  <c r="M81" i="4"/>
  <c r="R8" i="5"/>
  <c r="F47" i="3"/>
  <c r="E17" i="4" s="1"/>
  <c r="L102" i="3"/>
  <c r="Y11" i="5" s="1"/>
  <c r="K102" i="3"/>
  <c r="J102" i="3"/>
  <c r="F87" i="3"/>
  <c r="J88" i="3"/>
  <c r="K140" i="3"/>
  <c r="F53" i="3"/>
  <c r="L92" i="3"/>
  <c r="L111" i="3"/>
  <c r="K111" i="3"/>
  <c r="F111" i="3"/>
  <c r="J113" i="3"/>
  <c r="J127" i="3"/>
  <c r="F132" i="3"/>
  <c r="I134" i="3"/>
  <c r="J141" i="3"/>
  <c r="L187" i="3"/>
  <c r="J190" i="3"/>
  <c r="P217" i="3"/>
  <c r="L343" i="3"/>
  <c r="J424" i="3"/>
  <c r="P424" i="3"/>
  <c r="P452" i="3"/>
  <c r="J452" i="3"/>
  <c r="F49" i="4"/>
  <c r="Y4" i="5"/>
  <c r="AA4" i="5" s="1"/>
  <c r="F66" i="3"/>
  <c r="E23" i="4" s="1"/>
  <c r="L95" i="3"/>
  <c r="L307" i="3"/>
  <c r="P337" i="3"/>
  <c r="J337" i="3"/>
  <c r="F16" i="3"/>
  <c r="I131" i="3"/>
  <c r="L156" i="3"/>
  <c r="L83" i="3"/>
  <c r="Y10" i="5" s="1"/>
  <c r="AA10" i="5" s="1"/>
  <c r="L103" i="3"/>
  <c r="F20" i="3"/>
  <c r="E8" i="4" s="1"/>
  <c r="J84" i="3"/>
  <c r="J104" i="3"/>
  <c r="L106" i="3"/>
  <c r="K106" i="3"/>
  <c r="J106" i="3"/>
  <c r="K113" i="3"/>
  <c r="K127" i="3"/>
  <c r="L132" i="3"/>
  <c r="L146" i="3"/>
  <c r="L217" i="3"/>
  <c r="J290" i="3"/>
  <c r="P293" i="3"/>
  <c r="L374" i="3"/>
  <c r="J378" i="3"/>
  <c r="E132" i="4"/>
  <c r="F30" i="3"/>
  <c r="F33" i="3"/>
  <c r="E12" i="4" s="1"/>
  <c r="F50" i="3"/>
  <c r="E18" i="4" s="1"/>
  <c r="F81" i="3"/>
  <c r="K84" i="3"/>
  <c r="F102" i="3"/>
  <c r="K104" i="3"/>
  <c r="L123" i="3"/>
  <c r="Z13" i="5" s="1"/>
  <c r="K144" i="3"/>
  <c r="F144" i="3"/>
  <c r="E49" i="4" s="1"/>
  <c r="L385" i="3"/>
  <c r="L389" i="3"/>
  <c r="L428" i="3"/>
  <c r="L449" i="3"/>
  <c r="F104" i="3"/>
  <c r="L124" i="3"/>
  <c r="P179" i="3"/>
  <c r="J179" i="3"/>
  <c r="E50" i="4"/>
  <c r="M71" i="4"/>
  <c r="E82" i="4"/>
  <c r="E88" i="4"/>
  <c r="F56" i="3"/>
  <c r="E20" i="4" s="1"/>
  <c r="L131" i="3"/>
  <c r="Y14" i="5" s="1"/>
  <c r="J133" i="3"/>
  <c r="F139" i="3"/>
  <c r="E48" i="4" s="1"/>
  <c r="M48" i="4" s="1"/>
  <c r="E139" i="3"/>
  <c r="L145" i="3"/>
  <c r="P231" i="3"/>
  <c r="J231" i="3"/>
  <c r="L240" i="3"/>
  <c r="L379" i="3"/>
  <c r="L396" i="3"/>
  <c r="M76" i="4"/>
  <c r="J93" i="3"/>
  <c r="J124" i="3"/>
  <c r="P202" i="3"/>
  <c r="J202" i="3"/>
  <c r="J228" i="3"/>
  <c r="P228" i="3"/>
  <c r="J50" i="4"/>
  <c r="M83" i="4"/>
  <c r="F106" i="3"/>
  <c r="E37" i="4" s="1"/>
  <c r="K124" i="3"/>
  <c r="L126" i="3"/>
  <c r="I126" i="3"/>
  <c r="M13" i="5" s="1"/>
  <c r="O13" i="5" s="1"/>
  <c r="F135" i="3"/>
  <c r="E143" i="3"/>
  <c r="J152" i="3"/>
  <c r="L155" i="3"/>
  <c r="J165" i="3"/>
  <c r="J208" i="3"/>
  <c r="J214" i="3"/>
  <c r="L291" i="3"/>
  <c r="J429" i="3"/>
  <c r="E61" i="4"/>
  <c r="E123" i="4"/>
  <c r="L315" i="3"/>
  <c r="L409" i="3"/>
  <c r="P412" i="3"/>
  <c r="J412" i="3"/>
  <c r="M77" i="4"/>
  <c r="F77" i="3"/>
  <c r="L99" i="3"/>
  <c r="L306" i="3"/>
  <c r="L327" i="3"/>
  <c r="P383" i="3"/>
  <c r="J383" i="3"/>
  <c r="L390" i="3"/>
  <c r="F34" i="3"/>
  <c r="K126" i="3"/>
  <c r="K133" i="3"/>
  <c r="K143" i="3"/>
  <c r="K1" i="3" s="1"/>
  <c r="J197" i="3"/>
  <c r="P197" i="3"/>
  <c r="L200" i="3"/>
  <c r="J203" i="3"/>
  <c r="P232" i="3"/>
  <c r="P241" i="3"/>
  <c r="J241" i="3"/>
  <c r="L244" i="3"/>
  <c r="P250" i="3"/>
  <c r="J336" i="3"/>
  <c r="J373" i="3"/>
  <c r="L400" i="3"/>
  <c r="L433" i="3"/>
  <c r="L443" i="3"/>
  <c r="D30" i="4"/>
  <c r="M74" i="4"/>
  <c r="F92" i="3"/>
  <c r="J99" i="3"/>
  <c r="J128" i="3"/>
  <c r="L133" i="3"/>
  <c r="J166" i="3"/>
  <c r="Q17" i="5" s="1"/>
  <c r="P226" i="3"/>
  <c r="J226" i="3"/>
  <c r="P235" i="3"/>
  <c r="J235" i="3"/>
  <c r="L250" i="3"/>
  <c r="L256" i="3"/>
  <c r="J349" i="3"/>
  <c r="P349" i="3"/>
  <c r="M57" i="4"/>
  <c r="E84" i="4"/>
  <c r="F84" i="3"/>
  <c r="K99" i="3"/>
  <c r="J110" i="3"/>
  <c r="K123" i="3"/>
  <c r="E128" i="3"/>
  <c r="L169" i="3"/>
  <c r="J172" i="3"/>
  <c r="J259" i="3"/>
  <c r="P453" i="3"/>
  <c r="J453" i="3"/>
  <c r="M113" i="4"/>
  <c r="F44" i="4"/>
  <c r="D39" i="4"/>
  <c r="D28" i="4"/>
  <c r="F47" i="4"/>
  <c r="D33" i="4"/>
  <c r="D22" i="4"/>
  <c r="E16" i="4"/>
  <c r="D47" i="4"/>
  <c r="C49" i="4"/>
  <c r="D46" i="4"/>
  <c r="E42" i="4"/>
  <c r="F46" i="4"/>
  <c r="D24" i="4"/>
  <c r="D18" i="4"/>
  <c r="E3" i="4"/>
  <c r="D35" i="4"/>
  <c r="D29" i="4"/>
  <c r="D23" i="4"/>
  <c r="D49" i="4"/>
  <c r="D45" i="4"/>
  <c r="D34" i="4"/>
  <c r="E39" i="4"/>
  <c r="E26" i="4"/>
  <c r="E19" i="4"/>
  <c r="D44" i="4"/>
  <c r="D26" i="4"/>
  <c r="D19" i="4"/>
  <c r="E11" i="4"/>
  <c r="D38" i="4"/>
  <c r="F43" i="4"/>
  <c r="F48" i="4"/>
  <c r="D31" i="4"/>
  <c r="D25" i="4"/>
  <c r="D42" i="4"/>
  <c r="C47" i="4"/>
  <c r="D36" i="4"/>
  <c r="E15" i="4"/>
  <c r="E7" i="4"/>
  <c r="E33" i="4"/>
  <c r="E46" i="4"/>
  <c r="D40" i="4"/>
  <c r="D32" i="4"/>
  <c r="E24" i="4"/>
  <c r="E38" i="4"/>
  <c r="D37" i="4"/>
  <c r="E21" i="4"/>
  <c r="D21" i="4"/>
  <c r="K90" i="3"/>
  <c r="L121" i="3"/>
  <c r="F125" i="3"/>
  <c r="E43" i="4" s="1"/>
  <c r="F128" i="3"/>
  <c r="P153" i="3"/>
  <c r="P262" i="3"/>
  <c r="J271" i="3"/>
  <c r="J280" i="3"/>
  <c r="L377" i="3"/>
  <c r="P440" i="3"/>
  <c r="E40" i="4"/>
  <c r="M91" i="4"/>
  <c r="F130" i="3"/>
  <c r="E45" i="4" s="1"/>
  <c r="J328" i="3"/>
  <c r="P413" i="3"/>
  <c r="L440" i="3"/>
  <c r="C48" i="4"/>
  <c r="K103" i="3"/>
  <c r="F112" i="3"/>
  <c r="L125" i="3"/>
  <c r="E130" i="3"/>
  <c r="E132" i="3"/>
  <c r="K132" i="3"/>
  <c r="F142" i="3"/>
  <c r="E142" i="3"/>
  <c r="L189" i="3"/>
  <c r="L313" i="3"/>
  <c r="E102" i="4"/>
  <c r="E114" i="4"/>
  <c r="E141" i="4"/>
  <c r="L90" i="3"/>
  <c r="K121" i="3"/>
  <c r="J123" i="3"/>
  <c r="E125" i="3"/>
  <c r="L128" i="3"/>
  <c r="I130" i="3"/>
  <c r="N14" i="5" s="1"/>
  <c r="I138" i="3"/>
  <c r="J175" i="3"/>
  <c r="P195" i="3"/>
  <c r="J195" i="3"/>
  <c r="L242" i="3"/>
  <c r="J292" i="3"/>
  <c r="L304" i="3"/>
  <c r="L350" i="3"/>
  <c r="J420" i="3"/>
  <c r="P38" i="5" s="1"/>
  <c r="P420" i="3"/>
  <c r="E4" i="4"/>
  <c r="D41" i="4"/>
  <c r="E86" i="4"/>
  <c r="M108" i="4"/>
  <c r="M119" i="4"/>
  <c r="M63" i="4"/>
  <c r="M125" i="4"/>
  <c r="J111" i="3"/>
  <c r="J118" i="3"/>
  <c r="R13" i="5" s="1"/>
  <c r="J260" i="3"/>
  <c r="M75" i="4"/>
  <c r="E138" i="4"/>
  <c r="J387" i="3"/>
  <c r="J423" i="3"/>
  <c r="J451" i="3"/>
  <c r="E121" i="4"/>
  <c r="E134" i="4"/>
  <c r="E139" i="4"/>
  <c r="L448" i="3"/>
  <c r="M126" i="4"/>
  <c r="E137" i="3"/>
  <c r="J288" i="3"/>
  <c r="J310" i="3"/>
  <c r="J332" i="3"/>
  <c r="E117" i="4"/>
  <c r="E135" i="4"/>
  <c r="M140" i="4"/>
  <c r="E144" i="4"/>
  <c r="P338" i="3"/>
  <c r="J338" i="3"/>
  <c r="L403" i="3"/>
  <c r="L406" i="3"/>
  <c r="P430" i="3"/>
  <c r="J430" i="3"/>
  <c r="F129" i="3"/>
  <c r="J132" i="3"/>
  <c r="I137" i="3"/>
  <c r="J192" i="3"/>
  <c r="J267" i="3"/>
  <c r="R25" i="5" s="1"/>
  <c r="J275" i="3"/>
  <c r="J308" i="3"/>
  <c r="R28" i="5" s="1"/>
  <c r="J319" i="3"/>
  <c r="J347" i="3"/>
  <c r="L397" i="3"/>
  <c r="L427" i="3"/>
  <c r="K129" i="3"/>
  <c r="I132" i="3"/>
  <c r="K137" i="3"/>
  <c r="P182" i="3"/>
  <c r="J182" i="3"/>
  <c r="P367" i="3"/>
  <c r="J367" i="3"/>
  <c r="R33" i="5" s="1"/>
  <c r="L388" i="3"/>
  <c r="E51" i="4"/>
  <c r="M65" i="4"/>
  <c r="M64" i="4"/>
  <c r="M68" i="4"/>
  <c r="E95" i="4"/>
  <c r="L137" i="3"/>
  <c r="P251" i="3"/>
  <c r="J251" i="3"/>
  <c r="Q24" i="5" s="1"/>
  <c r="J297" i="3"/>
  <c r="J391" i="3"/>
  <c r="P35" i="5" s="1"/>
  <c r="J446" i="3"/>
  <c r="E127" i="4"/>
  <c r="J311" i="3"/>
  <c r="M67" i="4"/>
  <c r="E116" i="4"/>
  <c r="L47" i="4"/>
  <c r="B52" i="4"/>
  <c r="E54" i="4"/>
  <c r="M98" i="4"/>
  <c r="M78" i="4"/>
  <c r="E152" i="4"/>
  <c r="L375" i="3"/>
  <c r="M110" i="4"/>
  <c r="E145" i="4"/>
  <c r="E149" i="4"/>
  <c r="J414" i="3"/>
  <c r="P414" i="3"/>
  <c r="P422" i="3"/>
  <c r="J422" i="3"/>
  <c r="R38" i="5" s="1"/>
  <c r="E58" i="4"/>
  <c r="E72" i="4"/>
  <c r="M89" i="4"/>
  <c r="M131" i="4"/>
  <c r="J289" i="3"/>
  <c r="J333" i="3"/>
  <c r="E93" i="4"/>
  <c r="E79" i="4"/>
  <c r="M80" i="4" s="1"/>
  <c r="M111" i="4"/>
  <c r="J49" i="4"/>
  <c r="J380" i="3"/>
  <c r="J445" i="3"/>
  <c r="E105" i="4"/>
  <c r="J370" i="3"/>
  <c r="M128" i="4"/>
  <c r="E146" i="4"/>
  <c r="L260" i="3" l="1"/>
  <c r="L412" i="3"/>
  <c r="P37" i="5"/>
  <c r="Q37" i="5"/>
  <c r="R37" i="5"/>
  <c r="S20" i="5"/>
  <c r="P13" i="5"/>
  <c r="Q13" i="5"/>
  <c r="S13" i="5" s="1"/>
  <c r="P12" i="5"/>
  <c r="L311" i="3"/>
  <c r="Q29" i="5"/>
  <c r="S29" i="5" s="1"/>
  <c r="L179" i="3"/>
  <c r="Y18" i="5" s="1"/>
  <c r="P18" i="5"/>
  <c r="R18" i="5"/>
  <c r="Q18" i="5"/>
  <c r="S18" i="5" s="1"/>
  <c r="L392" i="3"/>
  <c r="P20" i="5"/>
  <c r="E10" i="4"/>
  <c r="L424" i="3"/>
  <c r="R11" i="5"/>
  <c r="V14" i="5"/>
  <c r="AA14" i="5"/>
  <c r="L349" i="3"/>
  <c r="P32" i="5"/>
  <c r="L275" i="3"/>
  <c r="Q26" i="5"/>
  <c r="S26" i="5" s="1"/>
  <c r="P26" i="5"/>
  <c r="R26" i="5"/>
  <c r="M55" i="4"/>
  <c r="M54" i="4"/>
  <c r="L192" i="3"/>
  <c r="R19" i="5"/>
  <c r="S19" i="5" s="1"/>
  <c r="P19" i="5"/>
  <c r="M141" i="4"/>
  <c r="M142" i="4"/>
  <c r="L259" i="3"/>
  <c r="P24" i="5"/>
  <c r="L214" i="3"/>
  <c r="Q21" i="5"/>
  <c r="P21" i="5"/>
  <c r="R21" i="5"/>
  <c r="Q12" i="5"/>
  <c r="P10" i="5"/>
  <c r="L333" i="3"/>
  <c r="P30" i="5"/>
  <c r="L429" i="3"/>
  <c r="M114" i="4"/>
  <c r="M115" i="4"/>
  <c r="L208" i="3"/>
  <c r="L160" i="3"/>
  <c r="Q16" i="5"/>
  <c r="L441" i="3"/>
  <c r="Q39" i="5"/>
  <c r="R39" i="5"/>
  <c r="E28" i="4"/>
  <c r="X25" i="5"/>
  <c r="L445" i="3"/>
  <c r="X12" i="5"/>
  <c r="Z12" i="5"/>
  <c r="Y12" i="5"/>
  <c r="Q30" i="5"/>
  <c r="S30" i="5" s="1"/>
  <c r="Y25" i="5"/>
  <c r="AA25" i="5" s="1"/>
  <c r="L203" i="3"/>
  <c r="Q32" i="5"/>
  <c r="S32" i="5" s="1"/>
  <c r="M117" i="4"/>
  <c r="M118" i="4"/>
  <c r="M49" i="4"/>
  <c r="L367" i="3"/>
  <c r="Q33" i="5"/>
  <c r="S33" i="5" s="1"/>
  <c r="C45" i="4"/>
  <c r="AA11" i="5"/>
  <c r="L444" i="3"/>
  <c r="R40" i="5"/>
  <c r="Q40" i="5"/>
  <c r="S40" i="5" s="1"/>
  <c r="P40" i="5"/>
  <c r="L370" i="3"/>
  <c r="R34" i="5"/>
  <c r="P34" i="5"/>
  <c r="Q34" i="5"/>
  <c r="S15" i="5"/>
  <c r="S28" i="5"/>
  <c r="L172" i="3"/>
  <c r="L271" i="3"/>
  <c r="L288" i="3"/>
  <c r="M123" i="4"/>
  <c r="L378" i="3"/>
  <c r="L149" i="3"/>
  <c r="Y15" i="5" s="1"/>
  <c r="X10" i="5"/>
  <c r="M14" i="5"/>
  <c r="O14" i="5" s="1"/>
  <c r="S4" i="5"/>
  <c r="L162" i="3"/>
  <c r="M134" i="4"/>
  <c r="L152" i="3"/>
  <c r="L170" i="3"/>
  <c r="O11" i="5"/>
  <c r="M149" i="4"/>
  <c r="L373" i="3"/>
  <c r="L383" i="3"/>
  <c r="T10" i="5"/>
  <c r="S5" i="5"/>
  <c r="L154" i="3"/>
  <c r="M121" i="4"/>
  <c r="L292" i="3"/>
  <c r="M132" i="4"/>
  <c r="X13" i="5"/>
  <c r="L167" i="3"/>
  <c r="L166" i="3"/>
  <c r="L430" i="3"/>
  <c r="L310" i="3"/>
  <c r="L451" i="3"/>
  <c r="L195" i="3"/>
  <c r="X14" i="5"/>
  <c r="L387" i="3"/>
  <c r="L175" i="3"/>
  <c r="L328" i="3"/>
  <c r="M72" i="4"/>
  <c r="M73" i="4"/>
  <c r="M96" i="4"/>
  <c r="M95" i="4"/>
  <c r="L336" i="3"/>
  <c r="M88" i="4"/>
  <c r="L190" i="3"/>
  <c r="T13" i="5"/>
  <c r="O21" i="5"/>
  <c r="Q36" i="5"/>
  <c r="S36" i="5" s="1"/>
  <c r="P29" i="5"/>
  <c r="S6" i="5"/>
  <c r="L236" i="3"/>
  <c r="L159" i="3"/>
  <c r="L185" i="3"/>
  <c r="L280" i="3"/>
  <c r="L202" i="3"/>
  <c r="B53" i="4"/>
  <c r="L380" i="3"/>
  <c r="L182" i="3"/>
  <c r="L164" i="3"/>
  <c r="M79" i="4"/>
  <c r="L345" i="3"/>
  <c r="L246" i="3"/>
  <c r="Q23" i="5"/>
  <c r="U14" i="5"/>
  <c r="M116" i="4"/>
  <c r="M61" i="4"/>
  <c r="M62" i="4"/>
  <c r="M82" i="4"/>
  <c r="L337" i="3"/>
  <c r="L48" i="4"/>
  <c r="U13" i="5"/>
  <c r="W13" i="5" s="1"/>
  <c r="R12" i="5"/>
  <c r="R31" i="5"/>
  <c r="Z25" i="5"/>
  <c r="O24" i="5"/>
  <c r="X23" i="5"/>
  <c r="S8" i="5"/>
  <c r="L226" i="3"/>
  <c r="L391" i="3"/>
  <c r="M102" i="4"/>
  <c r="L269" i="3"/>
  <c r="L297" i="3"/>
  <c r="P16" i="5"/>
  <c r="U10" i="5"/>
  <c r="W10" i="5" s="1"/>
  <c r="P39" i="5"/>
  <c r="S9" i="5"/>
  <c r="L341" i="3"/>
  <c r="L422" i="3"/>
  <c r="L446" i="3"/>
  <c r="Q38" i="5"/>
  <c r="S38" i="5" s="1"/>
  <c r="M122" i="4"/>
  <c r="Z14" i="5"/>
  <c r="L151" i="3"/>
  <c r="Q31" i="5"/>
  <c r="S31" i="5" s="1"/>
  <c r="L241" i="3"/>
  <c r="Z23" i="5" s="1"/>
  <c r="M93" i="4"/>
  <c r="L347" i="3"/>
  <c r="L338" i="3"/>
  <c r="P22" i="5"/>
  <c r="L15" i="5"/>
  <c r="AA7" i="5"/>
  <c r="W7" i="5"/>
  <c r="R29" i="5"/>
  <c r="L1" i="3"/>
  <c r="M94" i="4"/>
  <c r="R20" i="5"/>
  <c r="L359" i="3"/>
  <c r="L423" i="3"/>
  <c r="M85" i="4"/>
  <c r="M84" i="4"/>
  <c r="M145" i="4"/>
  <c r="L290" i="3"/>
  <c r="M146" i="4"/>
  <c r="L319" i="3"/>
  <c r="M124" i="4"/>
  <c r="L360" i="3"/>
  <c r="J1" i="3"/>
  <c r="U12" i="5"/>
  <c r="R16" i="5"/>
  <c r="T11" i="5"/>
  <c r="O19" i="5"/>
  <c r="R27" i="5"/>
  <c r="S27" i="5" s="1"/>
  <c r="Q11" i="5"/>
  <c r="L331" i="3"/>
  <c r="L204" i="3"/>
  <c r="L165" i="3"/>
  <c r="L228" i="3"/>
  <c r="L414" i="3"/>
  <c r="L251" i="3"/>
  <c r="L332" i="3"/>
  <c r="R10" i="5"/>
  <c r="S10" i="5" s="1"/>
  <c r="O12" i="5"/>
  <c r="M138" i="4"/>
  <c r="R23" i="5"/>
  <c r="M133" i="4"/>
  <c r="L308" i="3"/>
  <c r="M144" i="4"/>
  <c r="M86" i="4"/>
  <c r="M87" i="4"/>
  <c r="K146" i="3"/>
  <c r="T14" i="5"/>
  <c r="L13" i="5"/>
  <c r="L171" i="3"/>
  <c r="L211" i="3"/>
  <c r="Q35" i="5"/>
  <c r="S35" i="5" s="1"/>
  <c r="R17" i="5"/>
  <c r="S17" i="5" s="1"/>
  <c r="J51" i="4"/>
  <c r="L267" i="3"/>
  <c r="L213" i="3"/>
  <c r="AA9" i="5"/>
  <c r="Q22" i="5"/>
  <c r="S22" i="5" s="1"/>
  <c r="R24" i="5"/>
  <c r="S24" i="5" s="1"/>
  <c r="Q25" i="5"/>
  <c r="S25" i="5" s="1"/>
  <c r="F50" i="4"/>
  <c r="M50" i="4"/>
  <c r="C50" i="4"/>
  <c r="C51" i="4" s="1"/>
  <c r="M99" i="4"/>
  <c r="L289" i="3"/>
  <c r="M51" i="4"/>
  <c r="F51" i="4"/>
  <c r="L401" i="3"/>
  <c r="V12" i="5"/>
  <c r="T12" i="5"/>
  <c r="R30" i="5"/>
  <c r="M139" i="4"/>
  <c r="L452" i="3"/>
  <c r="L295" i="3"/>
  <c r="R32" i="5"/>
  <c r="O18" i="5"/>
  <c r="AA8" i="5"/>
  <c r="P17" i="5"/>
  <c r="P25" i="5"/>
  <c r="L365" i="3"/>
  <c r="M70" i="4"/>
  <c r="O20" i="5"/>
  <c r="M135" i="4"/>
  <c r="M136" i="4"/>
  <c r="L453" i="3"/>
  <c r="M52" i="4"/>
  <c r="L197" i="3"/>
  <c r="M107" i="4"/>
  <c r="M106" i="4"/>
  <c r="M150" i="4"/>
  <c r="M105" i="4"/>
  <c r="M58" i="4"/>
  <c r="M59" i="4"/>
  <c r="M152" i="4"/>
  <c r="M127" i="4"/>
  <c r="L420" i="3"/>
  <c r="L235" i="3"/>
  <c r="L231" i="3"/>
  <c r="L402" i="3"/>
  <c r="O22" i="5"/>
  <c r="P27" i="5"/>
  <c r="O5" i="5"/>
  <c r="L245" i="3"/>
  <c r="S34" i="5" l="1"/>
  <c r="C52" i="4"/>
  <c r="S16" i="5"/>
  <c r="S12" i="5"/>
  <c r="Y19" i="5"/>
  <c r="AA19" i="5" s="1"/>
  <c r="X19" i="5"/>
  <c r="Z19" i="5"/>
  <c r="K147" i="3"/>
  <c r="S37" i="5"/>
  <c r="B54" i="4"/>
  <c r="S11" i="5"/>
  <c r="Z16" i="5"/>
  <c r="Y16" i="5"/>
  <c r="X16" i="5"/>
  <c r="S21" i="5"/>
  <c r="X18" i="5"/>
  <c r="W14" i="5"/>
  <c r="D50" i="4"/>
  <c r="S23" i="5"/>
  <c r="Y23" i="5"/>
  <c r="AA23" i="5" s="1"/>
  <c r="AA12" i="5"/>
  <c r="S39" i="5"/>
  <c r="X22" i="5"/>
  <c r="Y22" i="5"/>
  <c r="Z22" i="5"/>
  <c r="X17" i="5"/>
  <c r="Z17" i="5"/>
  <c r="Y17" i="5"/>
  <c r="AA17" i="5" s="1"/>
  <c r="X15" i="5"/>
  <c r="J52" i="4"/>
  <c r="X21" i="5"/>
  <c r="Z21" i="5"/>
  <c r="Y21" i="5"/>
  <c r="AA21" i="5" s="1"/>
  <c r="W12" i="5"/>
  <c r="Z18" i="5"/>
  <c r="AA18" i="5" s="1"/>
  <c r="Z15" i="5"/>
  <c r="AA15" i="5" s="1"/>
  <c r="X24" i="5"/>
  <c r="Z24" i="5"/>
  <c r="Y24" i="5"/>
  <c r="AA24" i="5" s="1"/>
  <c r="Z20" i="5"/>
  <c r="X20" i="5"/>
  <c r="Y20" i="5"/>
  <c r="AA20" i="5" s="1"/>
  <c r="L49" i="4"/>
  <c r="D51" i="4"/>
  <c r="F52" i="4"/>
  <c r="C53" i="4" l="1"/>
  <c r="J53" i="4"/>
  <c r="AA16" i="5"/>
  <c r="B55" i="4"/>
  <c r="AA22" i="5"/>
  <c r="L50" i="4"/>
  <c r="D52" i="4"/>
  <c r="F53" i="4"/>
  <c r="L51" i="4"/>
  <c r="K148" i="3"/>
  <c r="B56" i="4" l="1"/>
  <c r="C6" i="5"/>
  <c r="L52" i="4"/>
  <c r="F54" i="4"/>
  <c r="C54" i="4"/>
  <c r="D53" i="4"/>
  <c r="K149" i="3"/>
  <c r="J54" i="4"/>
  <c r="C55" i="4"/>
  <c r="C56" i="4" l="1"/>
  <c r="C57" i="4" s="1"/>
  <c r="F10" i="5"/>
  <c r="F30" i="5"/>
  <c r="F28" i="5"/>
  <c r="F15" i="5"/>
  <c r="C9" i="5"/>
  <c r="I13" i="5"/>
  <c r="F19" i="5"/>
  <c r="D54" i="4"/>
  <c r="C10" i="5"/>
  <c r="F40" i="5"/>
  <c r="F24" i="5"/>
  <c r="F17" i="5"/>
  <c r="C5" i="5"/>
  <c r="K150" i="3"/>
  <c r="F33" i="5"/>
  <c r="F31" i="5"/>
  <c r="F12" i="5"/>
  <c r="F7" i="5"/>
  <c r="C8" i="5"/>
  <c r="J55" i="4"/>
  <c r="J56" i="4"/>
  <c r="F35" i="5"/>
  <c r="F34" i="5"/>
  <c r="F8" i="5"/>
  <c r="F4" i="5"/>
  <c r="F20" i="5"/>
  <c r="F29" i="5"/>
  <c r="L54" i="4"/>
  <c r="K151" i="3"/>
  <c r="F22" i="5"/>
  <c r="F21" i="5"/>
  <c r="F6" i="5"/>
  <c r="C15" i="5"/>
  <c r="F9" i="5"/>
  <c r="I14" i="5"/>
  <c r="F5" i="5"/>
  <c r="C13" i="5"/>
  <c r="C7" i="5"/>
  <c r="F18" i="5"/>
  <c r="C4" i="5"/>
  <c r="F32" i="5"/>
  <c r="F26" i="5"/>
  <c r="F37" i="5"/>
  <c r="C11" i="5"/>
  <c r="F13" i="5"/>
  <c r="C14" i="5"/>
  <c r="F25" i="5"/>
  <c r="F11" i="5"/>
  <c r="I15" i="5"/>
  <c r="F23" i="5"/>
  <c r="F27" i="5"/>
  <c r="L53" i="4"/>
  <c r="F55" i="4"/>
  <c r="F16" i="5"/>
  <c r="F38" i="5"/>
  <c r="L55" i="4"/>
  <c r="L56" i="4" s="1"/>
  <c r="L57" i="4" s="1"/>
  <c r="L58" i="4" s="1"/>
  <c r="C12" i="5"/>
  <c r="F14" i="5"/>
  <c r="F36" i="5"/>
  <c r="F39" i="5"/>
  <c r="L59" i="4" l="1"/>
  <c r="L60" i="4" s="1"/>
  <c r="L61" i="4" s="1"/>
  <c r="C58" i="4"/>
  <c r="C59" i="4"/>
  <c r="C60" i="4" s="1"/>
  <c r="C61" i="4" s="1"/>
  <c r="L62" i="4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L88" i="4" s="1"/>
  <c r="L89" i="4" s="1"/>
  <c r="L90" i="4" s="1"/>
  <c r="L91" i="4" s="1"/>
  <c r="L92" i="4" s="1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108" i="4" s="1"/>
  <c r="L109" i="4" s="1"/>
  <c r="L110" i="4" s="1"/>
  <c r="L111" i="4" s="1"/>
  <c r="L112" i="4" s="1"/>
  <c r="L113" i="4" s="1"/>
  <c r="L114" i="4" s="1"/>
  <c r="L115" i="4" s="1"/>
  <c r="L116" i="4" s="1"/>
  <c r="L117" i="4" s="1"/>
  <c r="L118" i="4" s="1"/>
  <c r="L119" i="4" s="1"/>
  <c r="L120" i="4" s="1"/>
  <c r="L121" i="4" s="1"/>
  <c r="L122" i="4" s="1"/>
  <c r="L123" i="4" s="1"/>
  <c r="L124" i="4" s="1"/>
  <c r="L125" i="4" s="1"/>
  <c r="L126" i="4" s="1"/>
  <c r="L127" i="4" s="1"/>
  <c r="L128" i="4" s="1"/>
  <c r="L129" i="4" s="1"/>
  <c r="L130" i="4" s="1"/>
  <c r="L131" i="4" s="1"/>
  <c r="L132" i="4" s="1"/>
  <c r="L133" i="4" s="1"/>
  <c r="L134" i="4" s="1"/>
  <c r="L135" i="4" s="1"/>
  <c r="L136" i="4" s="1"/>
  <c r="L137" i="4" s="1"/>
  <c r="L138" i="4" s="1"/>
  <c r="L139" i="4" s="1"/>
  <c r="L140" i="4" s="1"/>
  <c r="L141" i="4" s="1"/>
  <c r="L142" i="4" s="1"/>
  <c r="L143" i="4" s="1"/>
  <c r="L144" i="4" s="1"/>
  <c r="L145" i="4" s="1"/>
  <c r="L146" i="4" s="1"/>
  <c r="L147" i="4" s="1"/>
  <c r="L148" i="4" s="1"/>
  <c r="L149" i="4" s="1"/>
  <c r="L150" i="4" s="1"/>
  <c r="L151" i="4" s="1"/>
  <c r="L152" i="4" s="1"/>
  <c r="K152" i="3"/>
  <c r="D55" i="4"/>
  <c r="J57" i="4"/>
  <c r="F56" i="4"/>
  <c r="F57" i="4"/>
  <c r="F58" i="4"/>
  <c r="C62" i="4" l="1"/>
  <c r="F59" i="4"/>
  <c r="C63" i="4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K153" i="3"/>
  <c r="K154" i="3" s="1"/>
  <c r="C16" i="5"/>
  <c r="D56" i="4"/>
  <c r="J58" i="4"/>
  <c r="D57" i="4" l="1"/>
  <c r="K155" i="3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F60" i="4"/>
  <c r="J59" i="4"/>
  <c r="K167" i="3" l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T16" i="5"/>
  <c r="F61" i="4"/>
  <c r="V16" i="5"/>
  <c r="J60" i="4"/>
  <c r="U16" i="5"/>
  <c r="W16" i="5" s="1"/>
  <c r="D58" i="4"/>
  <c r="D59" i="4" s="1"/>
  <c r="D60" i="4" s="1"/>
  <c r="D61" i="4" s="1"/>
  <c r="D62" i="4" l="1"/>
  <c r="D63" i="4" s="1"/>
  <c r="D64" i="4" s="1"/>
  <c r="D65" i="4" s="1"/>
  <c r="D66" i="4" s="1"/>
  <c r="D67" i="4" s="1"/>
  <c r="D68" i="4" s="1"/>
  <c r="D69" i="4" s="1"/>
  <c r="J61" i="4"/>
  <c r="K179" i="3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U17" i="5"/>
  <c r="W17" i="5" s="1"/>
  <c r="V17" i="5"/>
  <c r="F62" i="4"/>
  <c r="F63" i="4" s="1"/>
  <c r="F64" i="4" s="1"/>
  <c r="F65" i="4" s="1"/>
  <c r="F66" i="4" s="1"/>
  <c r="F67" i="4" s="1"/>
  <c r="F68" i="4" s="1"/>
  <c r="F69" i="4" s="1"/>
  <c r="T17" i="5"/>
  <c r="F70" i="4" l="1"/>
  <c r="F71" i="4" s="1"/>
  <c r="F72" i="4" s="1"/>
  <c r="F73" i="4" s="1"/>
  <c r="V18" i="5"/>
  <c r="T18" i="5"/>
  <c r="J62" i="4"/>
  <c r="K191" i="3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U18" i="5"/>
  <c r="W18" i="5" s="1"/>
  <c r="D70" i="4"/>
  <c r="D71" i="4" s="1"/>
  <c r="D72" i="4" s="1"/>
  <c r="D73" i="4" s="1"/>
  <c r="D74" i="4" s="1"/>
  <c r="D75" i="4" s="1"/>
  <c r="D76" i="4" s="1"/>
  <c r="D77" i="4" s="1"/>
  <c r="V19" i="5" l="1"/>
  <c r="D78" i="4"/>
  <c r="D79" i="4" s="1"/>
  <c r="D80" i="4" s="1"/>
  <c r="D81" i="4" s="1"/>
  <c r="U19" i="5"/>
  <c r="W19" i="5" s="1"/>
  <c r="K203" i="3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J63" i="4"/>
  <c r="T19" i="5"/>
  <c r="F74" i="4"/>
  <c r="F75" i="4" s="1"/>
  <c r="F76" i="4" s="1"/>
  <c r="F77" i="4" s="1"/>
  <c r="F78" i="4" s="1"/>
  <c r="F79" i="4" s="1"/>
  <c r="F80" i="4" s="1"/>
  <c r="F81" i="4" s="1"/>
  <c r="I20" i="5"/>
  <c r="J64" i="4" l="1"/>
  <c r="F82" i="4"/>
  <c r="F83" i="4" s="1"/>
  <c r="F84" i="4" s="1"/>
  <c r="F85" i="4" s="1"/>
  <c r="V20" i="5"/>
  <c r="T20" i="5"/>
  <c r="U20" i="5"/>
  <c r="W20" i="5" s="1"/>
  <c r="D82" i="4"/>
  <c r="D83" i="4" s="1"/>
  <c r="D84" i="4" s="1"/>
  <c r="D85" i="4" s="1"/>
  <c r="D86" i="4" s="1"/>
  <c r="D87" i="4" s="1"/>
  <c r="D88" i="4" s="1"/>
  <c r="D89" i="4" s="1"/>
  <c r="K215" i="3"/>
  <c r="K216" i="3" s="1"/>
  <c r="K217" i="3" s="1"/>
  <c r="K218" i="3" s="1"/>
  <c r="K219" i="3" s="1"/>
  <c r="K220" i="3" s="1"/>
  <c r="K221" i="3" s="1"/>
  <c r="K222" i="3" s="1"/>
  <c r="K223" i="3" s="1"/>
  <c r="K224" i="3" s="1"/>
  <c r="K225" i="3" s="1"/>
  <c r="K226" i="3" s="1"/>
  <c r="K227" i="3" l="1"/>
  <c r="K228" i="3" s="1"/>
  <c r="K229" i="3" s="1"/>
  <c r="K230" i="3" s="1"/>
  <c r="K231" i="3" s="1"/>
  <c r="K232" i="3" s="1"/>
  <c r="K233" i="3" s="1"/>
  <c r="K234" i="3" s="1"/>
  <c r="K235" i="3" s="1"/>
  <c r="K236" i="3" s="1"/>
  <c r="K237" i="3" s="1"/>
  <c r="K238" i="3" s="1"/>
  <c r="T21" i="5"/>
  <c r="V21" i="5"/>
  <c r="D90" i="4"/>
  <c r="D91" i="4" s="1"/>
  <c r="D92" i="4" s="1"/>
  <c r="D93" i="4" s="1"/>
  <c r="U21" i="5"/>
  <c r="W21" i="5" s="1"/>
  <c r="F86" i="4"/>
  <c r="F87" i="4" s="1"/>
  <c r="F88" i="4" s="1"/>
  <c r="F89" i="4" s="1"/>
  <c r="F90" i="4" s="1"/>
  <c r="F91" i="4" s="1"/>
  <c r="F92" i="4" s="1"/>
  <c r="F93" i="4" s="1"/>
  <c r="J65" i="4"/>
  <c r="J66" i="4" l="1"/>
  <c r="K239" i="3"/>
  <c r="K240" i="3" s="1"/>
  <c r="K241" i="3" s="1"/>
  <c r="K242" i="3" s="1"/>
  <c r="K243" i="3" s="1"/>
  <c r="K244" i="3" s="1"/>
  <c r="K245" i="3" s="1"/>
  <c r="K246" i="3" s="1"/>
  <c r="K247" i="3" s="1"/>
  <c r="K248" i="3" s="1"/>
  <c r="K249" i="3" s="1"/>
  <c r="K250" i="3" s="1"/>
  <c r="I26" i="5"/>
  <c r="F94" i="4"/>
  <c r="F95" i="4" s="1"/>
  <c r="F96" i="4" s="1"/>
  <c r="F97" i="4" s="1"/>
  <c r="F98" i="4" s="1"/>
  <c r="F99" i="4" s="1"/>
  <c r="F100" i="4" s="1"/>
  <c r="F101" i="4" s="1"/>
  <c r="T22" i="5"/>
  <c r="D94" i="4"/>
  <c r="D95" i="4" s="1"/>
  <c r="D96" i="4" s="1"/>
  <c r="D97" i="4" s="1"/>
  <c r="U22" i="5"/>
  <c r="V22" i="5"/>
  <c r="C26" i="5" l="1"/>
  <c r="F102" i="4"/>
  <c r="F103" i="4" s="1"/>
  <c r="F104" i="4" s="1"/>
  <c r="F105" i="4" s="1"/>
  <c r="K251" i="3"/>
  <c r="K252" i="3" s="1"/>
  <c r="K253" i="3" s="1"/>
  <c r="K254" i="3" s="1"/>
  <c r="K255" i="3" s="1"/>
  <c r="K256" i="3" s="1"/>
  <c r="K257" i="3" s="1"/>
  <c r="K258" i="3" s="1"/>
  <c r="K259" i="3" s="1"/>
  <c r="K260" i="3" s="1"/>
  <c r="K261" i="3" s="1"/>
  <c r="K262" i="3" s="1"/>
  <c r="D98" i="4"/>
  <c r="D99" i="4" s="1"/>
  <c r="D100" i="4" s="1"/>
  <c r="D101" i="4" s="1"/>
  <c r="D102" i="4" s="1"/>
  <c r="D103" i="4" s="1"/>
  <c r="D104" i="4" s="1"/>
  <c r="D105" i="4" s="1"/>
  <c r="U23" i="5"/>
  <c r="W22" i="5"/>
  <c r="T23" i="5"/>
  <c r="J67" i="4"/>
  <c r="V23" i="5"/>
  <c r="J68" i="4" l="1"/>
  <c r="W23" i="5"/>
  <c r="D106" i="4"/>
  <c r="D107" i="4" s="1"/>
  <c r="D108" i="4" s="1"/>
  <c r="D109" i="4" s="1"/>
  <c r="K263" i="3"/>
  <c r="K264" i="3" s="1"/>
  <c r="K265" i="3" s="1"/>
  <c r="K266" i="3" s="1"/>
  <c r="K267" i="3" s="1"/>
  <c r="K268" i="3" s="1"/>
  <c r="K269" i="3" s="1"/>
  <c r="K270" i="3" s="1"/>
  <c r="K271" i="3" s="1"/>
  <c r="K272" i="3" s="1"/>
  <c r="K273" i="3" s="1"/>
  <c r="K274" i="3" s="1"/>
  <c r="K275" i="3" s="1"/>
  <c r="K276" i="3" s="1"/>
  <c r="K277" i="3" s="1"/>
  <c r="K278" i="3" s="1"/>
  <c r="K279" i="3" s="1"/>
  <c r="K280" i="3" s="1"/>
  <c r="K281" i="3" s="1"/>
  <c r="K282" i="3" s="1"/>
  <c r="K283" i="3" s="1"/>
  <c r="K284" i="3" s="1"/>
  <c r="K285" i="3" s="1"/>
  <c r="K286" i="3" s="1"/>
  <c r="K287" i="3" s="1"/>
  <c r="K288" i="3" s="1"/>
  <c r="K289" i="3" s="1"/>
  <c r="K290" i="3" s="1"/>
  <c r="K291" i="3" s="1"/>
  <c r="K292" i="3" s="1"/>
  <c r="K293" i="3" s="1"/>
  <c r="K294" i="3" s="1"/>
  <c r="K295" i="3" s="1"/>
  <c r="K296" i="3" s="1"/>
  <c r="K297" i="3" s="1"/>
  <c r="K298" i="3" s="1"/>
  <c r="K299" i="3" s="1"/>
  <c r="K300" i="3" s="1"/>
  <c r="K301" i="3" s="1"/>
  <c r="K302" i="3" s="1"/>
  <c r="K303" i="3" s="1"/>
  <c r="K304" i="3" s="1"/>
  <c r="K305" i="3" s="1"/>
  <c r="K306" i="3" s="1"/>
  <c r="K307" i="3" s="1"/>
  <c r="K308" i="3" s="1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K324" i="3" s="1"/>
  <c r="K325" i="3" s="1"/>
  <c r="K326" i="3" s="1"/>
  <c r="K327" i="3" s="1"/>
  <c r="K328" i="3" s="1"/>
  <c r="K329" i="3" s="1"/>
  <c r="K330" i="3" s="1"/>
  <c r="K331" i="3" s="1"/>
  <c r="K332" i="3" s="1"/>
  <c r="K333" i="3" s="1"/>
  <c r="K334" i="3" s="1"/>
  <c r="K335" i="3" s="1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K361" i="3" s="1"/>
  <c r="K362" i="3" s="1"/>
  <c r="K363" i="3" s="1"/>
  <c r="K364" i="3" s="1"/>
  <c r="K365" i="3" s="1"/>
  <c r="K366" i="3" s="1"/>
  <c r="K367" i="3" s="1"/>
  <c r="K368" i="3" s="1"/>
  <c r="K369" i="3" s="1"/>
  <c r="K370" i="3" s="1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K382" i="3" s="1"/>
  <c r="K383" i="3" s="1"/>
  <c r="K384" i="3" s="1"/>
  <c r="K385" i="3" s="1"/>
  <c r="K386" i="3" s="1"/>
  <c r="K387" i="3" s="1"/>
  <c r="K388" i="3" s="1"/>
  <c r="K389" i="3" s="1"/>
  <c r="K390" i="3" s="1"/>
  <c r="K391" i="3" s="1"/>
  <c r="K392" i="3" s="1"/>
  <c r="K393" i="3" s="1"/>
  <c r="K394" i="3" s="1"/>
  <c r="K395" i="3" s="1"/>
  <c r="K396" i="3" s="1"/>
  <c r="K397" i="3" s="1"/>
  <c r="K398" i="3" s="1"/>
  <c r="K399" i="3" s="1"/>
  <c r="K400" i="3" s="1"/>
  <c r="K401" i="3" s="1"/>
  <c r="K402" i="3" s="1"/>
  <c r="K403" i="3" s="1"/>
  <c r="K404" i="3" s="1"/>
  <c r="K405" i="3" s="1"/>
  <c r="K406" i="3" s="1"/>
  <c r="K407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19" i="3" s="1"/>
  <c r="K420" i="3" s="1"/>
  <c r="K421" i="3" s="1"/>
  <c r="K422" i="3" s="1"/>
  <c r="K423" i="3" s="1"/>
  <c r="K424" i="3" s="1"/>
  <c r="K425" i="3" s="1"/>
  <c r="K426" i="3" s="1"/>
  <c r="K427" i="3" s="1"/>
  <c r="K428" i="3" s="1"/>
  <c r="K429" i="3" s="1"/>
  <c r="K430" i="3" s="1"/>
  <c r="K431" i="3" s="1"/>
  <c r="K432" i="3" s="1"/>
  <c r="K433" i="3" s="1"/>
  <c r="K434" i="3" s="1"/>
  <c r="K435" i="3" s="1"/>
  <c r="K436" i="3" s="1"/>
  <c r="K437" i="3" s="1"/>
  <c r="K438" i="3" s="1"/>
  <c r="K439" i="3" s="1"/>
  <c r="K440" i="3" s="1"/>
  <c r="K441" i="3" s="1"/>
  <c r="K442" i="3" s="1"/>
  <c r="K443" i="3" s="1"/>
  <c r="K444" i="3" s="1"/>
  <c r="K445" i="3" s="1"/>
  <c r="K446" i="3" s="1"/>
  <c r="K447" i="3" s="1"/>
  <c r="K448" i="3" s="1"/>
  <c r="K449" i="3" s="1"/>
  <c r="K450" i="3" s="1"/>
  <c r="K451" i="3" s="1"/>
  <c r="K452" i="3" s="1"/>
  <c r="K453" i="3" s="1"/>
  <c r="U24" i="5"/>
  <c r="T24" i="5"/>
  <c r="F106" i="4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V24" i="5"/>
  <c r="I28" i="5"/>
  <c r="W24" i="5" l="1"/>
  <c r="T15" i="5"/>
  <c r="U15" i="5"/>
  <c r="W15" i="5" s="1"/>
  <c r="V15" i="5"/>
  <c r="F118" i="4"/>
  <c r="F119" i="4" s="1"/>
  <c r="F120" i="4" s="1"/>
  <c r="F121" i="4" s="1"/>
  <c r="U25" i="5"/>
  <c r="W25" i="5" s="1"/>
  <c r="V25" i="5"/>
  <c r="D110" i="4"/>
  <c r="D111" i="4" s="1"/>
  <c r="D112" i="4" s="1"/>
  <c r="D113" i="4" s="1"/>
  <c r="T25" i="5"/>
  <c r="J69" i="4"/>
  <c r="C29" i="5"/>
  <c r="J70" i="4" l="1"/>
  <c r="D114" i="4"/>
  <c r="D115" i="4" s="1"/>
  <c r="D116" i="4" s="1"/>
  <c r="D117" i="4" s="1"/>
  <c r="D118" i="4" s="1"/>
  <c r="D119" i="4" s="1"/>
  <c r="D120" i="4" s="1"/>
  <c r="D121" i="4" s="1"/>
  <c r="F122" i="4"/>
  <c r="F123" i="4" s="1"/>
  <c r="F124" i="4" s="1"/>
  <c r="F125" i="4" s="1"/>
  <c r="D122" i="4" l="1"/>
  <c r="D123" i="4" s="1"/>
  <c r="D124" i="4" s="1"/>
  <c r="D125" i="4" s="1"/>
  <c r="F126" i="4"/>
  <c r="F127" i="4" s="1"/>
  <c r="F128" i="4" s="1"/>
  <c r="F129" i="4" s="1"/>
  <c r="F130" i="4" s="1"/>
  <c r="F131" i="4" s="1"/>
  <c r="F132" i="4" s="1"/>
  <c r="F133" i="4" s="1"/>
  <c r="J71" i="4"/>
  <c r="F134" i="4" l="1"/>
  <c r="F135" i="4" s="1"/>
  <c r="F136" i="4" s="1"/>
  <c r="F137" i="4" s="1"/>
  <c r="D126" i="4"/>
  <c r="D127" i="4" s="1"/>
  <c r="D128" i="4" s="1"/>
  <c r="D129" i="4" s="1"/>
  <c r="D130" i="4" s="1"/>
  <c r="D131" i="4" s="1"/>
  <c r="D132" i="4" s="1"/>
  <c r="D133" i="4" s="1"/>
  <c r="J72" i="4"/>
  <c r="J73" i="4" l="1"/>
  <c r="D134" i="4"/>
  <c r="D135" i="4" s="1"/>
  <c r="D136" i="4" s="1"/>
  <c r="D137" i="4" s="1"/>
  <c r="F138" i="4"/>
  <c r="F139" i="4" s="1"/>
  <c r="F140" i="4" s="1"/>
  <c r="F141" i="4" s="1"/>
  <c r="D138" i="4" l="1"/>
  <c r="D139" i="4" s="1"/>
  <c r="D140" i="4" s="1"/>
  <c r="D141" i="4" s="1"/>
  <c r="F142" i="4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J74" i="4"/>
  <c r="I30" i="5" l="1"/>
  <c r="I25" i="5"/>
  <c r="I19" i="5"/>
  <c r="I35" i="5"/>
  <c r="I39" i="5"/>
  <c r="I31" i="5"/>
  <c r="I22" i="5"/>
  <c r="I40" i="5"/>
  <c r="I27" i="5"/>
  <c r="I16" i="5"/>
  <c r="I17" i="5"/>
  <c r="I18" i="5"/>
  <c r="I21" i="5"/>
  <c r="I23" i="5"/>
  <c r="I24" i="5"/>
  <c r="I29" i="5"/>
  <c r="I32" i="5"/>
  <c r="I33" i="5"/>
  <c r="I34" i="5"/>
  <c r="I36" i="5"/>
  <c r="I37" i="5"/>
  <c r="I38" i="5"/>
  <c r="J75" i="4"/>
  <c r="C37" i="5"/>
  <c r="D142" i="4"/>
  <c r="D143" i="4" s="1"/>
  <c r="D144" i="4" s="1"/>
  <c r="D145" i="4" s="1"/>
  <c r="D146" i="4" s="1"/>
  <c r="D147" i="4" s="1"/>
  <c r="D148" i="4" s="1"/>
  <c r="D149" i="4" s="1"/>
  <c r="D150" i="4" l="1"/>
  <c r="D151" i="4" s="1"/>
  <c r="D152" i="4" s="1"/>
  <c r="J76" i="4"/>
  <c r="J77" i="4" l="1"/>
  <c r="C32" i="5"/>
  <c r="C19" i="5"/>
  <c r="C35" i="5"/>
  <c r="C21" i="5"/>
  <c r="C39" i="5"/>
  <c r="C24" i="5"/>
  <c r="C28" i="5"/>
  <c r="C17" i="5"/>
  <c r="C18" i="5"/>
  <c r="C20" i="5"/>
  <c r="C22" i="5"/>
  <c r="C23" i="5"/>
  <c r="C25" i="5"/>
  <c r="C27" i="5"/>
  <c r="C30" i="5"/>
  <c r="C31" i="5"/>
  <c r="C33" i="5"/>
  <c r="C34" i="5"/>
  <c r="C36" i="5"/>
  <c r="C38" i="5"/>
  <c r="C40" i="5"/>
  <c r="J78" i="4" l="1"/>
  <c r="J79" i="4" l="1"/>
  <c r="J80" i="4" l="1"/>
  <c r="J81" i="4" l="1"/>
  <c r="J82" i="4" l="1"/>
  <c r="J83" i="4" l="1"/>
  <c r="J84" i="4" l="1"/>
  <c r="J85" i="4" l="1"/>
  <c r="J86" i="4" l="1"/>
  <c r="J87" i="4" l="1"/>
  <c r="J88" i="4" l="1"/>
  <c r="J89" i="4" l="1"/>
  <c r="J90" i="4" l="1"/>
  <c r="J91" i="4" l="1"/>
  <c r="J92" i="4" l="1"/>
  <c r="J93" i="4" l="1"/>
  <c r="J94" i="4" l="1"/>
  <c r="J95" i="4" l="1"/>
  <c r="J96" i="4" l="1"/>
  <c r="J97" i="4" l="1"/>
  <c r="J98" i="4" l="1"/>
  <c r="J99" i="4" l="1"/>
  <c r="J100" i="4" l="1"/>
  <c r="J101" i="4" l="1"/>
  <c r="J102" i="4" l="1"/>
  <c r="J103" i="4" l="1"/>
  <c r="J104" i="4" l="1"/>
  <c r="J105" i="4" l="1"/>
  <c r="J106" i="4" l="1"/>
  <c r="J107" i="4" l="1"/>
  <c r="J108" i="4" l="1"/>
  <c r="J109" i="4" l="1"/>
  <c r="J110" i="4" l="1"/>
  <c r="J111" i="4" l="1"/>
  <c r="J112" i="4" l="1"/>
  <c r="J113" i="4" l="1"/>
  <c r="J114" i="4" l="1"/>
  <c r="J115" i="4" l="1"/>
  <c r="J116" i="4" l="1"/>
  <c r="J117" i="4" l="1"/>
  <c r="J118" i="4" l="1"/>
  <c r="J119" i="4" l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l="1"/>
  <c r="J149" i="4" s="1"/>
  <c r="J150" i="4" s="1"/>
  <c r="J151" i="4" l="1"/>
  <c r="J15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<sst xmlns="http://schemas.openxmlformats.org/spreadsheetml/2006/main" count="223" uniqueCount="114">
  <si>
    <t>Symbol</t>
  </si>
  <si>
    <t>EN-BD-0010</t>
  </si>
  <si>
    <t>EN-BD-0011</t>
  </si>
  <si>
    <t>Description</t>
  </si>
  <si>
    <t>Mid</t>
  </si>
  <si>
    <t>Month</t>
  </si>
  <si>
    <t>Year</t>
  </si>
  <si>
    <t>EN-BD-0072</t>
  </si>
  <si>
    <t>EN-BD-0073</t>
  </si>
  <si>
    <t>EN-BD-0074</t>
  </si>
  <si>
    <t>EN-BD-0075</t>
  </si>
  <si>
    <t>RIN Spreads</t>
  </si>
  <si>
    <t>D4-D6</t>
  </si>
  <si>
    <t>D4-D5</t>
  </si>
  <si>
    <t>from WA state stats</t>
  </si>
  <si>
    <t>from OR state stats</t>
  </si>
  <si>
    <t>CME futures</t>
  </si>
  <si>
    <t>https://www.eia.gov/dnav/pet/hist/LeafHandler.ashx?n=PET&amp;s=EER_EPMRR_PE1_Y35NY_DPG&amp;f=M</t>
  </si>
  <si>
    <t>https://www.eia.gov/dnav/pet/hist/LeafHandler.ashx?n=PET&amp;s=EER_EPD2F_PE1_Y35NY_DPG&amp;f=M</t>
  </si>
  <si>
    <t>Feedstocks used in forecast regression</t>
  </si>
  <si>
    <t>Other feedstock comparisons</t>
  </si>
  <si>
    <t>CFP OR</t>
  </si>
  <si>
    <t>LCFS CA</t>
  </si>
  <si>
    <t>CFS WA</t>
  </si>
  <si>
    <t>cents/credit</t>
  </si>
  <si>
    <t>Corn per</t>
  </si>
  <si>
    <t>RBOB</t>
  </si>
  <si>
    <t>RBOB- Eth</t>
  </si>
  <si>
    <t>SBO</t>
  </si>
  <si>
    <t xml:space="preserve">Heating oil </t>
  </si>
  <si>
    <t>HOBO</t>
  </si>
  <si>
    <t>Originate soyprices</t>
  </si>
  <si>
    <t>originate usoilseedbal</t>
  </si>
  <si>
    <t>AG-RPS-0001</t>
  </si>
  <si>
    <t>AG-TLW-0001</t>
  </si>
  <si>
    <t>AG-GRS-0001</t>
  </si>
  <si>
    <t>AG-PF-0002</t>
  </si>
  <si>
    <t>AG-CRN-0004</t>
  </si>
  <si>
    <t>AG-UCO-0002</t>
  </si>
  <si>
    <t>AG-GRS-0015</t>
  </si>
  <si>
    <t>Quarter</t>
  </si>
  <si>
    <t>$/MT CO2e</t>
  </si>
  <si>
    <t>$/credit</t>
  </si>
  <si>
    <t>D3 RIN</t>
  </si>
  <si>
    <t>D4 RIN</t>
  </si>
  <si>
    <t>D5 RIN</t>
  </si>
  <si>
    <t>D6 RIN</t>
  </si>
  <si>
    <t>Ethanol Gallon</t>
  </si>
  <si>
    <t>Gasoline</t>
  </si>
  <si>
    <t>Differential</t>
  </si>
  <si>
    <t>$/Gal</t>
  </si>
  <si>
    <t>Spread</t>
  </si>
  <si>
    <t>SBO Futures</t>
  </si>
  <si>
    <t>Used cooking oil, fob SoCal, cts/lb</t>
  </si>
  <si>
    <t>Canola oil, RBD, fob Los Angeles, US cents/lb</t>
  </si>
  <si>
    <t>Bleachable Fancy Tallow - Packer Chicago (cts/lb)</t>
  </si>
  <si>
    <t>Choice white grease, fob Missouri River, cts/lb</t>
  </si>
  <si>
    <t>Poultry fat, less than 4% ffa, fob US Southeast, cts/lb</t>
  </si>
  <si>
    <t>Distiller's Corn Oil, fob IL/WI, cts/lb</t>
  </si>
  <si>
    <t>Yellow grease, fob Los Angeles, cts/lb</t>
  </si>
  <si>
    <t>Total Credits (MT)</t>
  </si>
  <si>
    <t>Ethanol LCFS</t>
  </si>
  <si>
    <t>Ethanol CFP</t>
  </si>
  <si>
    <t>CFP WA</t>
  </si>
  <si>
    <t>CA Credits</t>
  </si>
  <si>
    <t>OR Credits</t>
  </si>
  <si>
    <t>Max</t>
  </si>
  <si>
    <t>Min</t>
  </si>
  <si>
    <t>Range</t>
  </si>
  <si>
    <t>2025e</t>
  </si>
  <si>
    <t>2026f</t>
  </si>
  <si>
    <t>2027f</t>
  </si>
  <si>
    <t>2028f</t>
  </si>
  <si>
    <t>2029f</t>
  </si>
  <si>
    <t>2030f</t>
  </si>
  <si>
    <t>2031f</t>
  </si>
  <si>
    <t>2032f</t>
  </si>
  <si>
    <t>2033f</t>
  </si>
  <si>
    <t>2034f</t>
  </si>
  <si>
    <t>2035f</t>
  </si>
  <si>
    <t>2036f</t>
  </si>
  <si>
    <t>2037f</t>
  </si>
  <si>
    <t>2038f</t>
  </si>
  <si>
    <t>2039f</t>
  </si>
  <si>
    <t>2040f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</si>
  <si>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</si>
  <si>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</si>
  <si>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</si>
  <si>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</si>
  <si>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</si>
  <si>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</si>
  <si>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</si>
  <si>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</si>
  <si>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</si>
  <si>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</si>
  <si>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</si>
  <si>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</si>
  <si>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</si>
  <si>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</si>
  <si>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</si>
  <si>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</si>
  <si>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</si>
  <si>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</si>
  <si>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</si>
  <si>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</si>
  <si>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</si>
  <si>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</si>
  <si>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</si>
  <si>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</si>
  <si>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</si>
  <si>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X Variable 2</t>
  </si>
  <si>
    <t>higher means good predictor</t>
  </si>
  <si>
    <t>closer to 0 the better</t>
  </si>
  <si>
    <t>formula 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</si>
</sst>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venir Next LT Pro Demi"/>
      <family val="2"/>
    </font>
    <font>
      <sz val="10"/>
      <color theme="1"/>
      <name val="Arial"/>
      <family val="2"/>
    </font>
    <font>
      <b/>
      <sz val="8"/>
      <color rgb="FF7030A0"/>
      <name val="Avenir Next LT Pro Demi"/>
      <family val="2"/>
    </font>
    <font>
      <b/>
      <sz val="8"/>
      <color rgb="FF6F0791"/>
      <name val="Avenir Next LT Pro Demi"/>
      <family val="2"/>
    </font>
    <font>
      <sz val="8"/>
      <color rgb="FF6F0791"/>
      <name val="Avenir Next LT Pro Demi"/>
      <family val="2"/>
    </font>
    <font>
      <b/>
      <sz val="11"/>
      <color rgb="FF7030A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6F079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40" fontId="3" fillId="0" borderId="0" xfId="0" applyNumberFormat="1" applyFont="1"/>
    <xf numFmtId="14" fontId="0" fillId="0" borderId="0" xfId="0" applyNumberFormat="1"/>
    <xf numFmtId="0" fontId="2" fillId="0" borderId="1" xfId="0" applyFont="1" applyBorder="1"/>
    <xf numFmtId="0" fontId="2" fillId="0" borderId="2" xfId="0" applyFont="1" applyBorder="1"/>
    <xf numFmtId="0" fontId="0" fillId="0" borderId="1" xfId="0" applyBorder="1"/>
    <xf numFmtId="0" fontId="0" fillId="0" borderId="2" xfId="0" applyBorder="1"/>
    <xf numFmtId="14" fontId="4" fillId="0" borderId="0" xfId="0" applyNumberFormat="1" applyFont="1" applyAlignment="1">
      <alignment horizontal="right"/>
    </xf>
    <xf numFmtId="0" fontId="4" fillId="0" borderId="0" xfId="0" applyFont="1"/>
    <xf numFmtId="40" fontId="4" fillId="0" borderId="0" xfId="0" applyNumberFormat="1" applyFont="1"/>
    <xf numFmtId="40" fontId="0" fillId="0" borderId="2" xfId="0" applyNumberFormat="1" applyBorder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14" fontId="3" fillId="0" borderId="0" xfId="0" applyNumberFormat="1" applyFont="1"/>
    <xf numFmtId="38" fontId="3" fillId="0" borderId="0" xfId="0" applyNumberFormat="1" applyFont="1"/>
    <xf numFmtId="40" fontId="3" fillId="0" borderId="1" xfId="0" applyNumberFormat="1" applyFont="1" applyBorder="1"/>
    <xf numFmtId="40" fontId="3" fillId="0" borderId="2" xfId="0" applyNumberFormat="1" applyFont="1" applyBorder="1"/>
    <xf numFmtId="2" fontId="3" fillId="0" borderId="1" xfId="0" applyNumberFormat="1" applyFont="1" applyBorder="1"/>
    <xf numFmtId="2" fontId="3" fillId="0" borderId="2" xfId="0" applyNumberFormat="1" applyFont="1" applyBorder="1"/>
    <xf numFmtId="43" fontId="3" fillId="0" borderId="1" xfId="0" applyNumberFormat="1" applyFont="1" applyBorder="1"/>
    <xf numFmtId="43" fontId="3" fillId="0" borderId="2" xfId="0" applyNumberFormat="1" applyFont="1" applyBorder="1"/>
    <xf numFmtId="43" fontId="3" fillId="0" borderId="0" xfId="0" applyNumberFormat="1" applyFont="1"/>
    <xf numFmtId="40" fontId="5" fillId="0" borderId="0" xfId="0" applyNumberFormat="1" applyFont="1"/>
    <xf numFmtId="40" fontId="5" fillId="0" borderId="2" xfId="0" applyNumberFormat="1" applyFont="1" applyBorder="1"/>
    <xf numFmtId="43" fontId="6" fillId="0" borderId="1" xfId="0" applyNumberFormat="1" applyFont="1" applyBorder="1"/>
    <xf numFmtId="40" fontId="7" fillId="0" borderId="1" xfId="0" applyNumberFormat="1" applyFont="1" applyBorder="1"/>
    <xf numFmtId="0" fontId="0" fillId="0" borderId="0" xfId="0" applyAlignment="1">
      <alignment horizontal="left"/>
    </xf>
    <xf numFmtId="40" fontId="0" fillId="0" borderId="0" xfId="0" applyNumberFormat="1"/>
    <xf numFmtId="1" fontId="8" fillId="0" borderId="0" xfId="0" applyNumberFormat="1" applyFont="1"/>
    <xf numFmtId="40" fontId="0" fillId="2" borderId="0" xfId="0" applyNumberFormat="1" applyFill="1"/>
    <xf numFmtId="40" fontId="8" fillId="0" borderId="0" xfId="0" applyNumberFormat="1" applyFont="1"/>
    <xf numFmtId="40" fontId="9" fillId="0" borderId="0" xfId="0" applyNumberFormat="1" applyFont="1"/>
    <xf numFmtId="0" fontId="0" fillId="0" borderId="6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164" fontId="0" fillId="0" borderId="1" xfId="0" applyNumberFormat="1" applyBorder="1"/>
    <xf numFmtId="164" fontId="0" fillId="0" borderId="0" xfId="0" applyNumberFormat="1"/>
    <xf numFmtId="164" fontId="0" fillId="0" borderId="2" xfId="0" applyNumberFormat="1" applyBorder="1"/>
    <xf numFmtId="164" fontId="0" fillId="0" borderId="6" xfId="0" applyNumberFormat="1" applyBorder="1"/>
    <xf numFmtId="164" fontId="8" fillId="0" borderId="1" xfId="0" applyNumberFormat="1" applyFont="1" applyBorder="1"/>
    <xf numFmtId="164" fontId="8" fillId="0" borderId="0" xfId="0" applyNumberFormat="1" applyFont="1"/>
    <xf numFmtId="164" fontId="8" fillId="0" borderId="2" xfId="0" applyNumberFormat="1" applyFont="1" applyBorder="1"/>
    <xf numFmtId="164" fontId="8" fillId="0" borderId="6" xfId="0" applyNumberFormat="1" applyFont="1" applyBorder="1"/>
    <xf numFmtId="0" fontId="10" fillId="0" borderId="8" xfId="0" applyFont="1" applyBorder="1" applyAlignment="1">
      <alignment horizontal="centerContinuous"/>
    </xf>
    <xf numFmtId="0" fontId="11" fillId="0" borderId="0" xfId="0" applyFont="1"/>
    <xf numFmtId="0" fontId="0" fillId="0" borderId="9" xfId="0" applyBorder="1"/>
    <xf numFmtId="0" fontId="10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" fillId="0" borderId="0" xfId="0" applyFont="1"/>
    <xf numFmtId="0" fontId="10" fillId="2" borderId="8" xfId="0" applyFont="1" applyFill="1" applyBorder="1" applyAlignment="1">
      <alignment horizontal="center"/>
    </xf>
    <xf numFmtId="0" fontId="0" fillId="2" borderId="0" xfId="0" applyFill="1"/>
    <xf numFmtId="0" fontId="0" fillId="2" borderId="9" xfId="0" applyFill="1" applyBorder="1"/>
    <xf numFmtId="0" fontId="1" fillId="0" borderId="9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worksheet" Target="worksheets/sheet8.xml"/><Relationship Id="rId18" Type="http://schemas.openxmlformats.org/officeDocument/2006/relationships/externalLink" Target="externalLinks/externalLink5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chartsheet" Target="chartsheets/sheet2.xml"/><Relationship Id="rId12" Type="http://schemas.openxmlformats.org/officeDocument/2006/relationships/worksheet" Target="worksheets/sheet7.xml"/><Relationship Id="rId17" Type="http://schemas.openxmlformats.org/officeDocument/2006/relationships/externalLink" Target="externalLinks/externalLink4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tyles" Target="styles.xml"/><Relationship Id="rId10" Type="http://schemas.openxmlformats.org/officeDocument/2006/relationships/chartsheet" Target="chartsheets/sheet5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4.xml"/><Relationship Id="rId14" Type="http://schemas.openxmlformats.org/officeDocument/2006/relationships/externalLink" Target="externalLinks/externalLink1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800"/>
              <a:t>CA, OR, WA Credit Prices and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046667243517623E-2"/>
          <c:y val="7.5159009057302023E-2"/>
          <c:w val="0.88983611663926632"/>
          <c:h val="0.7808717405029364"/>
        </c:manualLayout>
      </c:layout>
      <c:lineChart>
        <c:grouping val="standard"/>
        <c:varyColors val="0"/>
        <c:ser>
          <c:idx val="2"/>
          <c:order val="0"/>
          <c:tx>
            <c:strRef>
              <c:f>Annual!$C$1</c:f>
              <c:strCache>
                <c:ptCount val="1"/>
                <c:pt idx="0">
                  <c:v>CFP OR</c:v>
                </c:pt>
              </c:strCache>
            </c:strRef>
          </c:tx>
          <c:spPr>
            <a:ln w="28575" cap="rnd">
              <a:solidFill>
                <a:srgbClr val="6F079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D9-4339-AE8C-B2253AC07827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D9-4339-AE8C-B2253AC07827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D9-4339-AE8C-B2253AC07827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D9-4339-AE8C-B2253AC07827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2D9-4339-AE8C-B2253AC07827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2D9-4339-AE8C-B2253AC07827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2D9-4339-AE8C-B2253AC07827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Annual!$B$7:$B$24</c15:sqref>
                  </c15:fullRef>
                </c:ext>
              </c:extLst>
              <c:f>Annual!$B$8:$B$24</c:f>
              <c:numCache>
                <c:formatCode>General</c:formatCode>
                <c:ptCount val="1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Annual!$C$7:$C$24</c15:sqref>
                  </c15:fullRef>
                </c:ext>
              </c:extLst>
              <c:f>Annual!$C$8:$C$24</c:f>
              <c:numCache>
                <c:formatCode>0.0</c:formatCode>
                <c:ptCount val="17"/>
                <c:pt idx="0">
                  <c:v>75.710833333333341</c:v>
                </c:pt>
                <c:pt idx="1">
                  <c:v>151.05000000000001</c:v>
                </c:pt>
                <c:pt idx="2">
                  <c:v>132.10749999999999</c:v>
                </c:pt>
                <c:pt idx="3">
                  <c:v>125.2525</c:v>
                </c:pt>
                <c:pt idx="4">
                  <c:v>119.02166666666666</c:v>
                </c:pt>
                <c:pt idx="5">
                  <c:v>130.63333333333333</c:v>
                </c:pt>
                <c:pt idx="6">
                  <c:v>79.875</c:v>
                </c:pt>
                <c:pt idx="7">
                  <c:v>47.341474685590228</c:v>
                </c:pt>
                <c:pt idx="8">
                  <c:v>62.936965262525874</c:v>
                </c:pt>
                <c:pt idx="9">
                  <c:v>71.095071885204646</c:v>
                </c:pt>
                <c:pt idx="10">
                  <c:v>76.304899974447068</c:v>
                </c:pt>
                <c:pt idx="11">
                  <c:v>91.457369599594955</c:v>
                </c:pt>
                <c:pt idx="12">
                  <c:v>93.055759936179982</c:v>
                </c:pt>
                <c:pt idx="13">
                  <c:v>91.948816941893782</c:v>
                </c:pt>
                <c:pt idx="14">
                  <c:v>91.622968166856339</c:v>
                </c:pt>
                <c:pt idx="15">
                  <c:v>94.34853131213049</c:v>
                </c:pt>
                <c:pt idx="16">
                  <c:v>102.38124269181888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D9-4339-AE8C-B2253AC07827}"/>
            </c:ext>
          </c:extLst>
        </c:ser>
        <c:ser>
          <c:idx val="0"/>
          <c:order val="1"/>
          <c:tx>
            <c:strRef>
              <c:f>Annual!$F$1</c:f>
              <c:strCache>
                <c:ptCount val="1"/>
                <c:pt idx="0">
                  <c:v>LCFS CA</c:v>
                </c:pt>
              </c:strCache>
            </c:strRef>
          </c:tx>
          <c:spPr>
            <a:ln w="28575" cap="rnd">
              <a:solidFill>
                <a:srgbClr val="CFB93C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CFB93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92D9-4339-AE8C-B2253AC07827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CFB93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92D9-4339-AE8C-B2253AC07827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CFB93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92D9-4339-AE8C-B2253AC07827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CFB93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92D9-4339-AE8C-B2253AC07827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CFB93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92D9-4339-AE8C-B2253AC07827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CFB93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92D9-4339-AE8C-B2253AC07827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CFB93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92D9-4339-AE8C-B2253AC07827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Annual!$B$7:$B$24</c15:sqref>
                  </c15:fullRef>
                </c:ext>
              </c:extLst>
              <c:f>Annual!$B$8:$B$24</c:f>
              <c:numCache>
                <c:formatCode>General</c:formatCode>
                <c:ptCount val="1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Annual!$F$7:$F$24</c15:sqref>
                  </c15:fullRef>
                </c:ext>
              </c:extLst>
              <c:f>Annual!$F$8:$F$24</c:f>
              <c:numCache>
                <c:formatCode>0.0</c:formatCode>
                <c:ptCount val="17"/>
                <c:pt idx="0">
                  <c:v>168.1179582788493</c:v>
                </c:pt>
                <c:pt idx="1">
                  <c:v>196.42783136530389</c:v>
                </c:pt>
                <c:pt idx="2">
                  <c:v>200.31545862762968</c:v>
                </c:pt>
                <c:pt idx="3">
                  <c:v>177.73874142495566</c:v>
                </c:pt>
                <c:pt idx="4">
                  <c:v>98.858071242417637</c:v>
                </c:pt>
                <c:pt idx="5">
                  <c:v>72.666231630211897</c:v>
                </c:pt>
                <c:pt idx="6">
                  <c:v>60.421359974375989</c:v>
                </c:pt>
                <c:pt idx="7">
                  <c:v>75.275569527723746</c:v>
                </c:pt>
                <c:pt idx="8">
                  <c:v>85.079045389989574</c:v>
                </c:pt>
                <c:pt idx="9">
                  <c:v>87.168118221641322</c:v>
                </c:pt>
                <c:pt idx="10">
                  <c:v>93.357076681605889</c:v>
                </c:pt>
                <c:pt idx="11">
                  <c:v>110.96401084488123</c:v>
                </c:pt>
                <c:pt idx="12">
                  <c:v>103.76153560417058</c:v>
                </c:pt>
                <c:pt idx="13">
                  <c:v>100.34017311811138</c:v>
                </c:pt>
                <c:pt idx="14">
                  <c:v>98.785139801577159</c:v>
                </c:pt>
                <c:pt idx="15">
                  <c:v>104.43592969598859</c:v>
                </c:pt>
                <c:pt idx="16">
                  <c:v>122.62173949609682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2D9-4339-AE8C-B2253AC07827}"/>
            </c:ext>
          </c:extLst>
        </c:ser>
        <c:ser>
          <c:idx val="1"/>
          <c:order val="2"/>
          <c:tx>
            <c:strRef>
              <c:f>Annual!$I$1</c:f>
              <c:strCache>
                <c:ptCount val="1"/>
                <c:pt idx="0">
                  <c:v>CFS WA</c:v>
                </c:pt>
              </c:strCache>
            </c:strRef>
          </c:tx>
          <c:spPr>
            <a:ln w="28575" cap="rnd">
              <a:solidFill>
                <a:srgbClr val="3C55CF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3C55C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92D9-4339-AE8C-B2253AC07827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Annual!$B$7:$B$24</c15:sqref>
                  </c15:fullRef>
                </c:ext>
              </c:extLst>
              <c:f>Annual!$B$8:$B$24</c:f>
              <c:numCache>
                <c:formatCode>General</c:formatCode>
                <c:ptCount val="1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Annual!$I$7:$I$24</c15:sqref>
                  </c15:fullRef>
                </c:ext>
              </c:extLst>
              <c:f>Annual!$I$8:$I$24</c:f>
              <c:numCache>
                <c:formatCode>General</c:formatCode>
                <c:ptCount val="17"/>
                <c:pt idx="5" formatCode="0.0">
                  <c:v>93.775000000000006</c:v>
                </c:pt>
                <c:pt idx="6" formatCode="0.0">
                  <c:v>48.270833333333336</c:v>
                </c:pt>
                <c:pt idx="7" formatCode="0.0">
                  <c:v>37.225486366560389</c:v>
                </c:pt>
                <c:pt idx="8" formatCode="0.0">
                  <c:v>45.465756327787545</c:v>
                </c:pt>
                <c:pt idx="9" formatCode="0.0">
                  <c:v>46.961172594955841</c:v>
                </c:pt>
                <c:pt idx="10" formatCode="0.0">
                  <c:v>46.992001192762615</c:v>
                </c:pt>
                <c:pt idx="11" formatCode="0.0">
                  <c:v>44.021550663870244</c:v>
                </c:pt>
                <c:pt idx="12" formatCode="0.0">
                  <c:v>44.456808596280318</c:v>
                </c:pt>
                <c:pt idx="13" formatCode="0.0">
                  <c:v>44.819658050642666</c:v>
                </c:pt>
                <c:pt idx="14" formatCode="0.0">
                  <c:v>44.984575680013648</c:v>
                </c:pt>
                <c:pt idx="15" formatCode="0.0">
                  <c:v>44.385286350614031</c:v>
                </c:pt>
                <c:pt idx="16" formatCode="0.0">
                  <c:v>42.456607004302725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2D9-4339-AE8C-B2253AC07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2841296"/>
        <c:axId val="912840816"/>
      </c:lineChart>
      <c:catAx>
        <c:axId val="91284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2840816"/>
        <c:crosses val="autoZero"/>
        <c:auto val="1"/>
        <c:lblAlgn val="ctr"/>
        <c:lblOffset val="100"/>
        <c:noMultiLvlLbl val="0"/>
      </c:catAx>
      <c:valAx>
        <c:axId val="912840816"/>
        <c:scaling>
          <c:orientation val="minMax"/>
          <c:max val="2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400"/>
                  <a:t>$/tonne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2841296"/>
        <c:crosses val="autoZero"/>
        <c:crossBetween val="between"/>
        <c:majorUnit val="2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6731377808543166"/>
          <c:y val="0.91270619160502064"/>
          <c:w val="0.50786328631997923"/>
          <c:h val="3.8882310664268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D4, D5, &amp; D6 RIN Price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804909001759402E-2"/>
          <c:y val="7.1124717579742772E-2"/>
          <c:w val="0.8964734792766289"/>
          <c:h val="0.81908346933184029"/>
        </c:manualLayout>
      </c:layout>
      <c:lineChart>
        <c:grouping val="standard"/>
        <c:varyColors val="0"/>
        <c:ser>
          <c:idx val="1"/>
          <c:order val="0"/>
          <c:tx>
            <c:strRef>
              <c:f>Annual!$P$1</c:f>
              <c:strCache>
                <c:ptCount val="1"/>
                <c:pt idx="0">
                  <c:v>D4 RIN</c:v>
                </c:pt>
              </c:strCache>
            </c:strRef>
          </c:tx>
          <c:spPr>
            <a:ln w="28575" cap="rnd">
              <a:solidFill>
                <a:srgbClr val="6F079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B8-41D3-AC03-016D3644F74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B8-41D3-AC03-016D3644F74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B8-41D3-AC03-016D3644F745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Annual!$A$10:$A$24</c15:sqref>
                  </c15:fullRef>
                </c:ext>
              </c:extLst>
              <c:f>Annual!$A$11:$A$17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2025e</c:v>
                </c:pt>
                <c:pt idx="5">
                  <c:v>2026f</c:v>
                </c:pt>
                <c:pt idx="6">
                  <c:v>2027f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Annual!$P$10:$P$24</c15:sqref>
                  </c15:fullRef>
                </c:ext>
              </c:extLst>
              <c:f>Annual!$P$11:$P$17</c:f>
              <c:numCache>
                <c:formatCode>0.0</c:formatCode>
                <c:ptCount val="7"/>
                <c:pt idx="0">
                  <c:v>149.18310936060507</c:v>
                </c:pt>
                <c:pt idx="1">
                  <c:v>166.45650499664018</c:v>
                </c:pt>
                <c:pt idx="2">
                  <c:v>134.65751817269623</c:v>
                </c:pt>
                <c:pt idx="3">
                  <c:v>58.821842395019182</c:v>
                </c:pt>
                <c:pt idx="4">
                  <c:v>90.868780780435074</c:v>
                </c:pt>
                <c:pt idx="5">
                  <c:v>89.753674676187572</c:v>
                </c:pt>
                <c:pt idx="6">
                  <c:v>77.489782840411436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B8-41D3-AC03-016D3644F745}"/>
            </c:ext>
          </c:extLst>
        </c:ser>
        <c:ser>
          <c:idx val="2"/>
          <c:order val="1"/>
          <c:tx>
            <c:strRef>
              <c:f>Annual!$T$1</c:f>
              <c:strCache>
                <c:ptCount val="1"/>
                <c:pt idx="0">
                  <c:v>D5 RIN</c:v>
                </c:pt>
              </c:strCache>
            </c:strRef>
          </c:tx>
          <c:spPr>
            <a:ln w="28575" cap="rnd">
              <a:solidFill>
                <a:srgbClr val="CFB93C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CFB93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1CB8-41D3-AC03-016D3644F74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CFB93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1CB8-41D3-AC03-016D3644F74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CFB93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CB8-41D3-AC03-016D3644F745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Annual!$A$10:$A$24</c15:sqref>
                  </c15:fullRef>
                </c:ext>
              </c:extLst>
              <c:f>Annual!$A$11:$A$17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2025e</c:v>
                </c:pt>
                <c:pt idx="5">
                  <c:v>2026f</c:v>
                </c:pt>
                <c:pt idx="6">
                  <c:v>2027f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Annual!$T$10:$T$24</c15:sqref>
                  </c15:fullRef>
                </c:ext>
              </c:extLst>
              <c:f>Annual!$T$11:$T$17</c:f>
              <c:numCache>
                <c:formatCode>0.0</c:formatCode>
                <c:ptCount val="7"/>
                <c:pt idx="0">
                  <c:v>148.09308906117403</c:v>
                </c:pt>
                <c:pt idx="1">
                  <c:v>165.42778475854493</c:v>
                </c:pt>
                <c:pt idx="2">
                  <c:v>133.78881993253063</c:v>
                </c:pt>
                <c:pt idx="3">
                  <c:v>58.033903044419354</c:v>
                </c:pt>
                <c:pt idx="4">
                  <c:v>89.821893234897743</c:v>
                </c:pt>
                <c:pt idx="5">
                  <c:v>88.852351761788455</c:v>
                </c:pt>
                <c:pt idx="6">
                  <c:v>76.605159263051647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CB8-41D3-AC03-016D3644F745}"/>
            </c:ext>
          </c:extLst>
        </c:ser>
        <c:ser>
          <c:idx val="3"/>
          <c:order val="2"/>
          <c:tx>
            <c:strRef>
              <c:f>Annual!$X$1</c:f>
              <c:strCache>
                <c:ptCount val="1"/>
                <c:pt idx="0">
                  <c:v>D6 RIN</c:v>
                </c:pt>
              </c:strCache>
            </c:strRef>
          </c:tx>
          <c:spPr>
            <a:ln w="28575" cap="rnd">
              <a:solidFill>
                <a:srgbClr val="3C55CF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3C55C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CB8-41D3-AC03-016D3644F74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3C55C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CB8-41D3-AC03-016D3644F74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3C55C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CB8-41D3-AC03-016D3644F745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Annual!$A$10:$A$24</c15:sqref>
                  </c15:fullRef>
                </c:ext>
              </c:extLst>
              <c:f>Annual!$A$11:$A$17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2025e</c:v>
                </c:pt>
                <c:pt idx="5">
                  <c:v>2026f</c:v>
                </c:pt>
                <c:pt idx="6">
                  <c:v>2027f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Annual!$X$10:$X$24</c15:sqref>
                  </c15:fullRef>
                </c:ext>
              </c:extLst>
              <c:f>Annual!$X$11:$X$17</c:f>
              <c:numCache>
                <c:formatCode>0.0</c:formatCode>
                <c:ptCount val="7"/>
                <c:pt idx="0">
                  <c:v>130.62386376019097</c:v>
                </c:pt>
                <c:pt idx="1">
                  <c:v>146.02076846327776</c:v>
                </c:pt>
                <c:pt idx="2">
                  <c:v>132.94936411041604</c:v>
                </c:pt>
                <c:pt idx="3">
                  <c:v>58.537995876549083</c:v>
                </c:pt>
                <c:pt idx="4">
                  <c:v>84.82646144041837</c:v>
                </c:pt>
                <c:pt idx="5">
                  <c:v>82.253674676187572</c:v>
                </c:pt>
                <c:pt idx="6">
                  <c:v>69.489782840411436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CB8-41D3-AC03-016D3644F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853888"/>
        <c:axId val="1087854368"/>
      </c:lineChart>
      <c:catAx>
        <c:axId val="108785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7854368"/>
        <c:crosses val="autoZero"/>
        <c:auto val="1"/>
        <c:lblAlgn val="ctr"/>
        <c:lblOffset val="100"/>
        <c:noMultiLvlLbl val="0"/>
      </c:catAx>
      <c:valAx>
        <c:axId val="108785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US cents /RIN</a:t>
                </a:r>
              </a:p>
            </c:rich>
          </c:tx>
          <c:layout>
            <c:manualLayout>
              <c:xMode val="edge"/>
              <c:yMode val="edge"/>
              <c:x val="2.9414784690375232E-3"/>
              <c:y val="0.401885951850572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785388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D4 RIN Price Forecast and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v>D4 Min</c:v>
          </c:tx>
          <c:spPr>
            <a:noFill/>
            <a:ln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Annual!$B$10:$B$24</c15:sqref>
                  </c15:fullRef>
                </c:ext>
              </c:extLst>
              <c:f>Annual!$B$11:$B$24</c:f>
              <c:numCache>
                <c:formatCode>General</c:formatCode>
                <c:ptCount val="1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Annual!$R$10:$R$24</c15:sqref>
                  </c15:fullRef>
                </c:ext>
              </c:extLst>
              <c:f>Annual!$R$11:$R$24</c:f>
              <c:numCache>
                <c:formatCode>0.0</c:formatCode>
                <c:ptCount val="14"/>
                <c:pt idx="0">
                  <c:v>102.61842105263158</c:v>
                </c:pt>
                <c:pt idx="1">
                  <c:v>135.71250000000001</c:v>
                </c:pt>
                <c:pt idx="2">
                  <c:v>81.231250000000003</c:v>
                </c:pt>
                <c:pt idx="3">
                  <c:v>47.987499999999997</c:v>
                </c:pt>
                <c:pt idx="4">
                  <c:v>71.86904761904762</c:v>
                </c:pt>
                <c:pt idx="5">
                  <c:v>73.797761728515056</c:v>
                </c:pt>
                <c:pt idx="6">
                  <c:v>55.746091419186698</c:v>
                </c:pt>
                <c:pt idx="7">
                  <c:v>57.73630151882309</c:v>
                </c:pt>
                <c:pt idx="8">
                  <c:v>52.071090732749845</c:v>
                </c:pt>
                <c:pt idx="9">
                  <c:v>71.284880026867583</c:v>
                </c:pt>
                <c:pt idx="10">
                  <c:v>58.149157406989929</c:v>
                </c:pt>
                <c:pt idx="11">
                  <c:v>45.248167319913634</c:v>
                </c:pt>
                <c:pt idx="12">
                  <c:v>56.095287045066904</c:v>
                </c:pt>
                <c:pt idx="13">
                  <c:v>61.174665673487063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1-47D6-BC87-29BD8BA4257E}"/>
            </c:ext>
          </c:extLst>
        </c:ser>
        <c:ser>
          <c:idx val="2"/>
          <c:order val="2"/>
          <c:tx>
            <c:v>D4 Range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Annual!$B$10:$B$24</c15:sqref>
                  </c15:fullRef>
                </c:ext>
              </c:extLst>
              <c:f>Annual!$B$11:$B$24</c:f>
              <c:numCache>
                <c:formatCode>General</c:formatCode>
                <c:ptCount val="1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Annual!$S$10:$S$24</c15:sqref>
                  </c15:fullRef>
                </c:ext>
              </c:extLst>
              <c:f>Annual!$S$11:$S$24</c:f>
              <c:numCache>
                <c:formatCode>0.0</c:formatCode>
                <c:ptCount val="14"/>
                <c:pt idx="0">
                  <c:v>85.694078947368425</c:v>
                </c:pt>
                <c:pt idx="1">
                  <c:v>55.762499999999989</c:v>
                </c:pt>
                <c:pt idx="2">
                  <c:v>87.893749999999997</c:v>
                </c:pt>
                <c:pt idx="3">
                  <c:v>24.595833333333331</c:v>
                </c:pt>
                <c:pt idx="4">
                  <c:v>33.899171393654598</c:v>
                </c:pt>
                <c:pt idx="5">
                  <c:v>24.121051509669741</c:v>
                </c:pt>
                <c:pt idx="6">
                  <c:v>38.265839801372735</c:v>
                </c:pt>
                <c:pt idx="7">
                  <c:v>48.722893018127856</c:v>
                </c:pt>
                <c:pt idx="8">
                  <c:v>58.333925654492326</c:v>
                </c:pt>
                <c:pt idx="9">
                  <c:v>59.02462865326585</c:v>
                </c:pt>
                <c:pt idx="10">
                  <c:v>72.190375763097336</c:v>
                </c:pt>
                <c:pt idx="11">
                  <c:v>60.602434849170209</c:v>
                </c:pt>
                <c:pt idx="12">
                  <c:v>96.517730115401179</c:v>
                </c:pt>
                <c:pt idx="13">
                  <c:v>133.46834681600561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E1-47D6-BC87-29BD8BA42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853888"/>
        <c:axId val="1087854368"/>
      </c:areaChart>
      <c:lineChart>
        <c:grouping val="standard"/>
        <c:varyColors val="0"/>
        <c:ser>
          <c:idx val="0"/>
          <c:order val="0"/>
          <c:tx>
            <c:v>D4 Avg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E1-47D6-BC87-29BD8BA4257E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9E1-47D6-BC87-29BD8BA4257E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9E1-47D6-BC87-29BD8BA4257E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9E1-47D6-BC87-29BD8BA4257E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9E1-47D6-BC87-29BD8BA4257E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79E1-47D6-BC87-29BD8BA4257E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79E1-47D6-BC87-29BD8BA4257E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79E1-47D6-BC87-29BD8BA4257E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79E1-47D6-BC87-29BD8BA4257E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79E1-47D6-BC87-29BD8BA4257E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Annual!$B$10:$B$24</c15:sqref>
                  </c15:fullRef>
                </c:ext>
              </c:extLst>
              <c:f>Annual!$B$11:$B$24</c:f>
              <c:numCache>
                <c:formatCode>General</c:formatCode>
                <c:ptCount val="1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Annual!$P$10:$P$24</c15:sqref>
                  </c15:fullRef>
                </c:ext>
              </c:extLst>
              <c:f>Annual!$P$11:$P$24</c:f>
              <c:numCache>
                <c:formatCode>0.0</c:formatCode>
                <c:ptCount val="14"/>
                <c:pt idx="0">
                  <c:v>149.18310936060507</c:v>
                </c:pt>
                <c:pt idx="1">
                  <c:v>166.45650499664018</c:v>
                </c:pt>
                <c:pt idx="2">
                  <c:v>134.65751817269623</c:v>
                </c:pt>
                <c:pt idx="3">
                  <c:v>58.821842395019182</c:v>
                </c:pt>
                <c:pt idx="4">
                  <c:v>90.868780780435074</c:v>
                </c:pt>
                <c:pt idx="5">
                  <c:v>89.753674676187572</c:v>
                </c:pt>
                <c:pt idx="6">
                  <c:v>77.489782840411436</c:v>
                </c:pt>
                <c:pt idx="7">
                  <c:v>75.081233025460008</c:v>
                </c:pt>
                <c:pt idx="8">
                  <c:v>76.658824640769936</c:v>
                </c:pt>
                <c:pt idx="9">
                  <c:v>96.856580346883518</c:v>
                </c:pt>
                <c:pt idx="10">
                  <c:v>88.143785861530446</c:v>
                </c:pt>
                <c:pt idx="11">
                  <c:v>75.034255375346987</c:v>
                </c:pt>
                <c:pt idx="12">
                  <c:v>106.54395176769891</c:v>
                </c:pt>
                <c:pt idx="13">
                  <c:v>132.09584587417811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9E1-47D6-BC87-29BD8BA42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7853888"/>
        <c:axId val="1087854368"/>
      </c:lineChart>
      <c:catAx>
        <c:axId val="108785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7854368"/>
        <c:crosses val="autoZero"/>
        <c:auto val="1"/>
        <c:lblAlgn val="ctr"/>
        <c:lblOffset val="100"/>
        <c:noMultiLvlLbl val="0"/>
      </c:catAx>
      <c:valAx>
        <c:axId val="108785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US cents/ RIN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785388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D5 RIN Price Forecast and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v>D5 Min</c:v>
          </c:tx>
          <c:spPr>
            <a:noFill/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Annual!$B$10:$B$24</c15:sqref>
                  </c15:fullRef>
                </c:ext>
              </c:extLst>
              <c:f>Annual!$B$11:$B$24</c:f>
              <c:numCache>
                <c:formatCode>General</c:formatCode>
                <c:ptCount val="1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Annual!$V$10:$V$24</c15:sqref>
                  </c15:fullRef>
                </c:ext>
              </c:extLst>
              <c:f>Annual!$V$11:$V$24</c:f>
              <c:numCache>
                <c:formatCode>0.0</c:formatCode>
                <c:ptCount val="14"/>
                <c:pt idx="0">
                  <c:v>101.14473684210526</c:v>
                </c:pt>
                <c:pt idx="1">
                  <c:v>134.72499999999999</c:v>
                </c:pt>
                <c:pt idx="2">
                  <c:v>80.556250000000006</c:v>
                </c:pt>
                <c:pt idx="3">
                  <c:v>47.25</c:v>
                </c:pt>
                <c:pt idx="4">
                  <c:v>71.142857142857139</c:v>
                </c:pt>
                <c:pt idx="5">
                  <c:v>72.918165454537373</c:v>
                </c:pt>
                <c:pt idx="6">
                  <c:v>54.891075509309935</c:v>
                </c:pt>
                <c:pt idx="7">
                  <c:v>56.878575605492422</c:v>
                </c:pt>
                <c:pt idx="8">
                  <c:v>51.221078950103163</c:v>
                </c:pt>
                <c:pt idx="9">
                  <c:v>70.408705461026059</c:v>
                </c:pt>
                <c:pt idx="10">
                  <c:v>57.2908693214127</c:v>
                </c:pt>
                <c:pt idx="11">
                  <c:v>44.407446087052413</c:v>
                </c:pt>
                <c:pt idx="12">
                  <c:v>55.239795647023165</c:v>
                </c:pt>
                <c:pt idx="13">
                  <c:v>60.312257853087189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6-482F-9260-83E3EAB9882F}"/>
            </c:ext>
          </c:extLst>
        </c:ser>
        <c:ser>
          <c:idx val="2"/>
          <c:order val="2"/>
          <c:tx>
            <c:v>D5 Range</c:v>
          </c:tx>
          <c:spPr>
            <a:solidFill>
              <a:schemeClr val="bg1">
                <a:lumMod val="75000"/>
              </a:schemeClr>
            </a:solid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Annual!$B$10:$B$24</c15:sqref>
                  </c15:fullRef>
                </c:ext>
              </c:extLst>
              <c:f>Annual!$B$11:$B$24</c:f>
              <c:numCache>
                <c:formatCode>General</c:formatCode>
                <c:ptCount val="1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Annual!$W$10:$W$24</c15:sqref>
                  </c15:fullRef>
                </c:ext>
              </c:extLst>
              <c:f>Annual!$W$11:$W$24</c:f>
              <c:numCache>
                <c:formatCode>0.0</c:formatCode>
                <c:ptCount val="14"/>
                <c:pt idx="0">
                  <c:v>86.41776315789474</c:v>
                </c:pt>
                <c:pt idx="1">
                  <c:v>55.75</c:v>
                </c:pt>
                <c:pt idx="2">
                  <c:v>87.918749999999989</c:v>
                </c:pt>
                <c:pt idx="3">
                  <c:v>24.261904761904759</c:v>
                </c:pt>
                <c:pt idx="4">
                  <c:v>33.702232478596073</c:v>
                </c:pt>
                <c:pt idx="5">
                  <c:v>24.088206669361583</c:v>
                </c:pt>
                <c:pt idx="6">
                  <c:v>38.213734469354826</c:v>
                </c:pt>
                <c:pt idx="7">
                  <c:v>48.656548661627092</c:v>
                </c:pt>
                <c:pt idx="8">
                  <c:v>58.254494271830566</c:v>
                </c:pt>
                <c:pt idx="9">
                  <c:v>58.944256763110602</c:v>
                </c:pt>
                <c:pt idx="10">
                  <c:v>72.092076509320023</c:v>
                </c:pt>
                <c:pt idx="11">
                  <c:v>60.51991451235542</c:v>
                </c:pt>
                <c:pt idx="12">
                  <c:v>96.38630510553898</c:v>
                </c:pt>
                <c:pt idx="13">
                  <c:v>133.28660737004458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6-482F-9260-83E3EAB98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853888"/>
        <c:axId val="1087854368"/>
      </c:areaChart>
      <c:lineChart>
        <c:grouping val="standard"/>
        <c:varyColors val="0"/>
        <c:ser>
          <c:idx val="0"/>
          <c:order val="0"/>
          <c:tx>
            <c:v>D5 Avg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36-482F-9260-83E3EAB9882F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536-482F-9260-83E3EAB9882F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536-482F-9260-83E3EAB9882F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536-482F-9260-83E3EAB9882F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536-482F-9260-83E3EAB9882F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7536-482F-9260-83E3EAB9882F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36-482F-9260-83E3EAB9882F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7536-482F-9260-83E3EAB9882F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7536-482F-9260-83E3EAB9882F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7536-482F-9260-83E3EAB9882F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Annual!$B$10:$B$24</c15:sqref>
                  </c15:fullRef>
                </c:ext>
              </c:extLst>
              <c:f>Annual!$B$11:$B$24</c:f>
              <c:numCache>
                <c:formatCode>General</c:formatCode>
                <c:ptCount val="1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Annual!$T$10:$T$24</c15:sqref>
                  </c15:fullRef>
                </c:ext>
              </c:extLst>
              <c:f>Annual!$T$11:$T$24</c:f>
              <c:numCache>
                <c:formatCode>0.0</c:formatCode>
                <c:ptCount val="14"/>
                <c:pt idx="0">
                  <c:v>148.09308906117403</c:v>
                </c:pt>
                <c:pt idx="1">
                  <c:v>165.42778475854493</c:v>
                </c:pt>
                <c:pt idx="2">
                  <c:v>133.78881993253063</c:v>
                </c:pt>
                <c:pt idx="3">
                  <c:v>58.033903044419354</c:v>
                </c:pt>
                <c:pt idx="4">
                  <c:v>89.821893234897743</c:v>
                </c:pt>
                <c:pt idx="5">
                  <c:v>88.852351761788455</c:v>
                </c:pt>
                <c:pt idx="6">
                  <c:v>76.605159263051647</c:v>
                </c:pt>
                <c:pt idx="7">
                  <c:v>74.199889090947181</c:v>
                </c:pt>
                <c:pt idx="8">
                  <c:v>75.775332551784899</c:v>
                </c:pt>
                <c:pt idx="9">
                  <c:v>95.945585640092432</c:v>
                </c:pt>
                <c:pt idx="10">
                  <c:v>87.244655079634754</c:v>
                </c:pt>
                <c:pt idx="11">
                  <c:v>74.152975408750976</c:v>
                </c:pt>
                <c:pt idx="12">
                  <c:v>105.61976608674176</c:v>
                </c:pt>
                <c:pt idx="13">
                  <c:v>131.13686702173914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536-482F-9260-83E3EAB98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7853888"/>
        <c:axId val="1087854368"/>
      </c:lineChart>
      <c:catAx>
        <c:axId val="108785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7854368"/>
        <c:crosses val="autoZero"/>
        <c:auto val="1"/>
        <c:lblAlgn val="ctr"/>
        <c:lblOffset val="100"/>
        <c:noMultiLvlLbl val="0"/>
      </c:catAx>
      <c:valAx>
        <c:axId val="108785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US cents/ RIN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785388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D6 RIN Price Forecast and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v>D6 Min</c:v>
          </c:tx>
          <c:spPr>
            <a:noFill/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Annual!$B$10:$B$24</c15:sqref>
                  </c15:fullRef>
                </c:ext>
              </c:extLst>
              <c:f>Annual!$B$11:$B$24</c:f>
              <c:numCache>
                <c:formatCode>General</c:formatCode>
                <c:ptCount val="1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Annual!$Z$10:$Z$24</c15:sqref>
                  </c15:fullRef>
                </c:ext>
              </c:extLst>
              <c:f>Annual!$Z$11:$Z$24</c:f>
              <c:numCache>
                <c:formatCode>0.0</c:formatCode>
                <c:ptCount val="14"/>
                <c:pt idx="0">
                  <c:v>90.65789473684211</c:v>
                </c:pt>
                <c:pt idx="1">
                  <c:v>113.02631578947368</c:v>
                </c:pt>
                <c:pt idx="2">
                  <c:v>81.15625</c:v>
                </c:pt>
                <c:pt idx="3">
                  <c:v>47.35</c:v>
                </c:pt>
                <c:pt idx="4">
                  <c:v>69.142857142857139</c:v>
                </c:pt>
                <c:pt idx="5">
                  <c:v>65.797761728515056</c:v>
                </c:pt>
                <c:pt idx="6">
                  <c:v>47.746091419186698</c:v>
                </c:pt>
                <c:pt idx="7">
                  <c:v>49.73630151882309</c:v>
                </c:pt>
                <c:pt idx="8">
                  <c:v>44.071090732749845</c:v>
                </c:pt>
                <c:pt idx="9">
                  <c:v>63.284880026867583</c:v>
                </c:pt>
                <c:pt idx="10">
                  <c:v>50.149157406989929</c:v>
                </c:pt>
                <c:pt idx="11">
                  <c:v>37.248167319913634</c:v>
                </c:pt>
                <c:pt idx="12">
                  <c:v>48.095287045066904</c:v>
                </c:pt>
                <c:pt idx="13">
                  <c:v>53.174665673487063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8-430E-9667-B15F929338C3}"/>
            </c:ext>
          </c:extLst>
        </c:ser>
        <c:ser>
          <c:idx val="2"/>
          <c:order val="2"/>
          <c:tx>
            <c:v>D6 Range</c:v>
          </c:tx>
          <c:spPr>
            <a:solidFill>
              <a:schemeClr val="bg1">
                <a:lumMod val="75000"/>
              </a:schemeClr>
            </a:solid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Annual!$B$10:$B$24</c15:sqref>
                  </c15:fullRef>
                </c:ext>
              </c:extLst>
              <c:f>Annual!$B$11:$B$24</c:f>
              <c:numCache>
                <c:formatCode>General</c:formatCode>
                <c:ptCount val="1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Annual!$AA$10:$AA$24</c15:sqref>
                  </c15:fullRef>
                </c:ext>
              </c:extLst>
              <c:f>Annual!$AA$11:$AA$24</c:f>
              <c:numCache>
                <c:formatCode>0.0</c:formatCode>
                <c:ptCount val="14"/>
                <c:pt idx="0">
                  <c:v>89.329605263157902</c:v>
                </c:pt>
                <c:pt idx="1">
                  <c:v>64.961184210526326</c:v>
                </c:pt>
                <c:pt idx="2">
                  <c:v>85.181250000000006</c:v>
                </c:pt>
                <c:pt idx="3">
                  <c:v>24.31666666666667</c:v>
                </c:pt>
                <c:pt idx="4">
                  <c:v>27.625361869845079</c:v>
                </c:pt>
                <c:pt idx="5">
                  <c:v>26.809310104992122</c:v>
                </c:pt>
                <c:pt idx="6">
                  <c:v>38.265839801372735</c:v>
                </c:pt>
                <c:pt idx="7">
                  <c:v>48.722893018127856</c:v>
                </c:pt>
                <c:pt idx="8">
                  <c:v>58.333925654492326</c:v>
                </c:pt>
                <c:pt idx="9">
                  <c:v>59.02462865326585</c:v>
                </c:pt>
                <c:pt idx="10">
                  <c:v>72.190375763097336</c:v>
                </c:pt>
                <c:pt idx="11">
                  <c:v>60.602434849170209</c:v>
                </c:pt>
                <c:pt idx="12">
                  <c:v>96.517730115401179</c:v>
                </c:pt>
                <c:pt idx="13">
                  <c:v>133.46834681600561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8-430E-9667-B15F92933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853888"/>
        <c:axId val="1087854368"/>
      </c:areaChart>
      <c:lineChart>
        <c:grouping val="standard"/>
        <c:varyColors val="0"/>
        <c:ser>
          <c:idx val="0"/>
          <c:order val="0"/>
          <c:tx>
            <c:v>D6 Avg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CA8-430E-9667-B15F929338C3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CA8-430E-9667-B15F929338C3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CA8-430E-9667-B15F929338C3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CA8-430E-9667-B15F929338C3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CA8-430E-9667-B15F929338C3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CA8-430E-9667-B15F929338C3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CA8-430E-9667-B15F929338C3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CA8-430E-9667-B15F929338C3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CA8-430E-9667-B15F929338C3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CA8-430E-9667-B15F929338C3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Annual!$B$10:$B$24</c15:sqref>
                  </c15:fullRef>
                </c:ext>
              </c:extLst>
              <c:f>Annual!$B$11:$B$24</c:f>
              <c:numCache>
                <c:formatCode>General</c:formatCode>
                <c:ptCount val="1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Annual!$X$10:$X$24</c15:sqref>
                  </c15:fullRef>
                </c:ext>
              </c:extLst>
              <c:f>Annual!$X$11:$X$24</c:f>
              <c:numCache>
                <c:formatCode>0.0</c:formatCode>
                <c:ptCount val="14"/>
                <c:pt idx="0">
                  <c:v>130.62386376019097</c:v>
                </c:pt>
                <c:pt idx="1">
                  <c:v>146.02076846327776</c:v>
                </c:pt>
                <c:pt idx="2">
                  <c:v>132.94936411041604</c:v>
                </c:pt>
                <c:pt idx="3">
                  <c:v>58.537995876549083</c:v>
                </c:pt>
                <c:pt idx="4">
                  <c:v>84.82646144041837</c:v>
                </c:pt>
                <c:pt idx="5">
                  <c:v>82.253674676187572</c:v>
                </c:pt>
                <c:pt idx="6">
                  <c:v>69.489782840411436</c:v>
                </c:pt>
                <c:pt idx="7">
                  <c:v>67.081233025460008</c:v>
                </c:pt>
                <c:pt idx="8">
                  <c:v>68.658824640769936</c:v>
                </c:pt>
                <c:pt idx="9">
                  <c:v>88.856580346883518</c:v>
                </c:pt>
                <c:pt idx="10">
                  <c:v>80.143785861530446</c:v>
                </c:pt>
                <c:pt idx="11">
                  <c:v>67.034255375347001</c:v>
                </c:pt>
                <c:pt idx="12">
                  <c:v>98.543951767698914</c:v>
                </c:pt>
                <c:pt idx="13">
                  <c:v>124.09584587417811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CA8-430E-9667-B15F92933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7853888"/>
        <c:axId val="1087854368"/>
      </c:lineChart>
      <c:catAx>
        <c:axId val="108785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7854368"/>
        <c:crosses val="autoZero"/>
        <c:auto val="1"/>
        <c:lblAlgn val="ctr"/>
        <c:lblOffset val="100"/>
        <c:noMultiLvlLbl val="0"/>
      </c:catAx>
      <c:valAx>
        <c:axId val="108785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US cents/ RIN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785388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RIN</a:t>
            </a:r>
            <a:r>
              <a:rPr lang="en-GB" baseline="0"/>
              <a:t> </a:t>
            </a:r>
            <a:r>
              <a:rPr lang="en-GB"/>
              <a:t>D3 to</a:t>
            </a:r>
            <a:r>
              <a:rPr lang="en-GB" baseline="0"/>
              <a:t> </a:t>
            </a:r>
            <a:r>
              <a:rPr lang="en-GB"/>
              <a:t>D4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048118985126861E-4"/>
                  <c:y val="0.126267133275007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Monthly!$I$125:$I$140</c:f>
              <c:numCache>
                <c:formatCode>#,##0.00_);[Red]\(#,##0.00\)</c:formatCode>
                <c:ptCount val="16"/>
                <c:pt idx="0">
                  <c:v>294.60000000000002</c:v>
                </c:pt>
                <c:pt idx="1">
                  <c:v>295.42500000000001</c:v>
                </c:pt>
                <c:pt idx="2">
                  <c:v>332.92045454545456</c:v>
                </c:pt>
                <c:pt idx="3">
                  <c:v>345.32499999999999</c:v>
                </c:pt>
                <c:pt idx="4">
                  <c:v>309.16250000000002</c:v>
                </c:pt>
                <c:pt idx="5">
                  <c:v>314.57142857142856</c:v>
                </c:pt>
                <c:pt idx="6">
                  <c:v>295.14999999999998</c:v>
                </c:pt>
                <c:pt idx="7">
                  <c:v>398.77499999999998</c:v>
                </c:pt>
                <c:pt idx="8">
                  <c:v>327.82954545454544</c:v>
                </c:pt>
                <c:pt idx="9">
                  <c:v>316.89772727272725</c:v>
                </c:pt>
                <c:pt idx="10">
                  <c:v>312.07894736842104</c:v>
                </c:pt>
                <c:pt idx="11">
                  <c:v>328.76136363636363</c:v>
                </c:pt>
                <c:pt idx="12">
                  <c:v>336.20454545454544</c:v>
                </c:pt>
                <c:pt idx="13">
                  <c:v>339.61900000000003</c:v>
                </c:pt>
                <c:pt idx="14">
                  <c:v>326.47826086956519</c:v>
                </c:pt>
                <c:pt idx="15">
                  <c:v>274.9375</c:v>
                </c:pt>
              </c:numCache>
            </c:numRef>
          </c:xVal>
          <c:yVal>
            <c:numRef>
              <c:f>Monthly!$J$125:$J$140</c:f>
              <c:numCache>
                <c:formatCode>#,##0.00_);[Red]\(#,##0.00\)</c:formatCode>
                <c:ptCount val="16"/>
                <c:pt idx="0">
                  <c:v>145.03260869565219</c:v>
                </c:pt>
                <c:pt idx="1">
                  <c:v>119.4</c:v>
                </c:pt>
                <c:pt idx="2">
                  <c:v>88.602272727272734</c:v>
                </c:pt>
                <c:pt idx="3">
                  <c:v>82.912499999999994</c:v>
                </c:pt>
                <c:pt idx="4">
                  <c:v>81.231250000000003</c:v>
                </c:pt>
                <c:pt idx="5">
                  <c:v>72.583333333333329</c:v>
                </c:pt>
                <c:pt idx="6">
                  <c:v>47.987499999999997</c:v>
                </c:pt>
                <c:pt idx="7">
                  <c:v>52.475000000000001</c:v>
                </c:pt>
                <c:pt idx="8">
                  <c:v>48.477272727272727</c:v>
                </c:pt>
                <c:pt idx="9">
                  <c:v>49.738636363636367</c:v>
                </c:pt>
                <c:pt idx="10">
                  <c:v>55.157894736842103</c:v>
                </c:pt>
                <c:pt idx="11">
                  <c:v>64.045909090909106</c:v>
                </c:pt>
                <c:pt idx="12">
                  <c:v>56.591818181818191</c:v>
                </c:pt>
                <c:pt idx="13">
                  <c:v>60.412500000000001</c:v>
                </c:pt>
                <c:pt idx="14">
                  <c:v>69.870434782608697</c:v>
                </c:pt>
                <c:pt idx="15">
                  <c:v>68.287999999999997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B5-434B-86D9-5EEF2D96D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584944"/>
        <c:axId val="1082570064"/>
      </c:scatterChart>
      <c:valAx>
        <c:axId val="108258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70064"/>
        <c:crosses val="autoZero"/>
        <c:crossBetween val="midCat"/>
      </c:valAx>
      <c:valAx>
        <c:axId val="108257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8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RIN D4 to D5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65048118985127"/>
          <c:y val="0.13930555555555557"/>
          <c:w val="0.81653696412948384"/>
          <c:h val="0.75366542723826191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906386701662294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Monthly!$J$82:$J$140</c:f>
              <c:numCache>
                <c:formatCode>#,##0.00_);[Red]\(#,##0.00\)</c:formatCode>
                <c:ptCount val="59"/>
                <c:pt idx="0">
                  <c:v>40.352272727272727</c:v>
                </c:pt>
                <c:pt idx="1">
                  <c:v>48.539473684210527</c:v>
                </c:pt>
                <c:pt idx="2">
                  <c:v>48.56818181818182</c:v>
                </c:pt>
                <c:pt idx="3">
                  <c:v>52.107142857142854</c:v>
                </c:pt>
                <c:pt idx="4">
                  <c:v>53.625</c:v>
                </c:pt>
                <c:pt idx="5">
                  <c:v>56.511363636363633</c:v>
                </c:pt>
                <c:pt idx="6">
                  <c:v>59.840909090909093</c:v>
                </c:pt>
                <c:pt idx="7">
                  <c:v>64.964285714285708</c:v>
                </c:pt>
                <c:pt idx="8">
                  <c:v>76.38095238095238</c:v>
                </c:pt>
                <c:pt idx="9">
                  <c:v>79.693181818181813</c:v>
                </c:pt>
                <c:pt idx="10">
                  <c:v>87.315789473684205</c:v>
                </c:pt>
                <c:pt idx="11">
                  <c:v>97.181818181818187</c:v>
                </c:pt>
                <c:pt idx="12">
                  <c:v>102.61842105263158</c:v>
                </c:pt>
                <c:pt idx="13">
                  <c:v>109.89473684210526</c:v>
                </c:pt>
                <c:pt idx="14">
                  <c:v>138.40217391304347</c:v>
                </c:pt>
                <c:pt idx="15">
                  <c:v>145.82142857142858</c:v>
                </c:pt>
                <c:pt idx="16">
                  <c:v>188.3125</c:v>
                </c:pt>
                <c:pt idx="17">
                  <c:v>176.5</c:v>
                </c:pt>
                <c:pt idx="18">
                  <c:v>165.60714285714286</c:v>
                </c:pt>
                <c:pt idx="19">
                  <c:v>171.84090909090909</c:v>
                </c:pt>
                <c:pt idx="20">
                  <c:v>143.66666666666666</c:v>
                </c:pt>
                <c:pt idx="21">
                  <c:v>153.52380952380952</c:v>
                </c:pt>
                <c:pt idx="22">
                  <c:v>142.94999999999999</c:v>
                </c:pt>
                <c:pt idx="23">
                  <c:v>151.0595238095238</c:v>
                </c:pt>
                <c:pt idx="24">
                  <c:v>135.71250000000001</c:v>
                </c:pt>
                <c:pt idx="25">
                  <c:v>146.46052631578948</c:v>
                </c:pt>
                <c:pt idx="26">
                  <c:v>148.36956521739131</c:v>
                </c:pt>
                <c:pt idx="27">
                  <c:v>166.66874999999999</c:v>
                </c:pt>
                <c:pt idx="28">
                  <c:v>178.38095238095238</c:v>
                </c:pt>
                <c:pt idx="29">
                  <c:v>163.25</c:v>
                </c:pt>
                <c:pt idx="30">
                  <c:v>161.42500000000001</c:v>
                </c:pt>
                <c:pt idx="31">
                  <c:v>176.58695652173913</c:v>
                </c:pt>
                <c:pt idx="32">
                  <c:v>174.8154761904762</c:v>
                </c:pt>
                <c:pt idx="33">
                  <c:v>181.3095238095238</c:v>
                </c:pt>
                <c:pt idx="34">
                  <c:v>191.47499999999999</c:v>
                </c:pt>
                <c:pt idx="35">
                  <c:v>173.02380952380952</c:v>
                </c:pt>
                <c:pt idx="36">
                  <c:v>169.125</c:v>
                </c:pt>
                <c:pt idx="37">
                  <c:v>161.97368421052633</c:v>
                </c:pt>
                <c:pt idx="38">
                  <c:v>157.40217391304347</c:v>
                </c:pt>
                <c:pt idx="39">
                  <c:v>156.70526315789473</c:v>
                </c:pt>
                <c:pt idx="40">
                  <c:v>153.39772727272728</c:v>
                </c:pt>
                <c:pt idx="41">
                  <c:v>144.4702380952381</c:v>
                </c:pt>
                <c:pt idx="42">
                  <c:v>155.63749999999999</c:v>
                </c:pt>
                <c:pt idx="43">
                  <c:v>145.03260869565219</c:v>
                </c:pt>
                <c:pt idx="44">
                  <c:v>119.4</c:v>
                </c:pt>
                <c:pt idx="45">
                  <c:v>88.602272727272734</c:v>
                </c:pt>
                <c:pt idx="46">
                  <c:v>82.912499999999994</c:v>
                </c:pt>
                <c:pt idx="47">
                  <c:v>81.231250000000003</c:v>
                </c:pt>
                <c:pt idx="48">
                  <c:v>72.583333333333329</c:v>
                </c:pt>
                <c:pt idx="49">
                  <c:v>47.987499999999997</c:v>
                </c:pt>
                <c:pt idx="50">
                  <c:v>52.475000000000001</c:v>
                </c:pt>
                <c:pt idx="51">
                  <c:v>48.477272727272727</c:v>
                </c:pt>
                <c:pt idx="52">
                  <c:v>49.738636363636367</c:v>
                </c:pt>
                <c:pt idx="53">
                  <c:v>55.157894736842103</c:v>
                </c:pt>
                <c:pt idx="54">
                  <c:v>64.045909090909106</c:v>
                </c:pt>
                <c:pt idx="55">
                  <c:v>56.591818181818191</c:v>
                </c:pt>
                <c:pt idx="56">
                  <c:v>60.412500000000001</c:v>
                </c:pt>
                <c:pt idx="57">
                  <c:v>69.870434782608697</c:v>
                </c:pt>
                <c:pt idx="58">
                  <c:v>68.287999999999997</c:v>
                </c:pt>
              </c:numCache>
            </c:numRef>
          </c:xVal>
          <c:yVal>
            <c:numRef>
              <c:f>Monthly!$K$82:$K$140</c:f>
              <c:numCache>
                <c:formatCode>#,##0.00_);[Red]\(#,##0.00\)</c:formatCode>
                <c:ptCount val="59"/>
                <c:pt idx="0">
                  <c:v>39.840909090909093</c:v>
                </c:pt>
                <c:pt idx="1">
                  <c:v>48.05263157894737</c:v>
                </c:pt>
                <c:pt idx="2">
                  <c:v>48.136363636363633</c:v>
                </c:pt>
                <c:pt idx="3">
                  <c:v>51.55952380952381</c:v>
                </c:pt>
                <c:pt idx="4">
                  <c:v>53.125</c:v>
                </c:pt>
                <c:pt idx="5">
                  <c:v>56.090909090909093</c:v>
                </c:pt>
                <c:pt idx="6">
                  <c:v>59.375</c:v>
                </c:pt>
                <c:pt idx="7">
                  <c:v>63.964285714285715</c:v>
                </c:pt>
                <c:pt idx="8">
                  <c:v>75.166666666666671</c:v>
                </c:pt>
                <c:pt idx="9">
                  <c:v>79.23863636363636</c:v>
                </c:pt>
                <c:pt idx="10">
                  <c:v>86.815789473684205</c:v>
                </c:pt>
                <c:pt idx="11">
                  <c:v>96.590909090909093</c:v>
                </c:pt>
                <c:pt idx="12">
                  <c:v>101.14473684210526</c:v>
                </c:pt>
                <c:pt idx="13">
                  <c:v>109.39473684210526</c:v>
                </c:pt>
                <c:pt idx="14">
                  <c:v>137.83695652173913</c:v>
                </c:pt>
                <c:pt idx="15">
                  <c:v>145.07142857142858</c:v>
                </c:pt>
                <c:pt idx="16">
                  <c:v>187.5625</c:v>
                </c:pt>
                <c:pt idx="17">
                  <c:v>175.75</c:v>
                </c:pt>
                <c:pt idx="18">
                  <c:v>163.3095238095238</c:v>
                </c:pt>
                <c:pt idx="19">
                  <c:v>170.90909090909091</c:v>
                </c:pt>
                <c:pt idx="20">
                  <c:v>143.10714285714286</c:v>
                </c:pt>
                <c:pt idx="21">
                  <c:v>153</c:v>
                </c:pt>
                <c:pt idx="22">
                  <c:v>142.65</c:v>
                </c:pt>
                <c:pt idx="23">
                  <c:v>147.38095238095238</c:v>
                </c:pt>
                <c:pt idx="24">
                  <c:v>134.72499999999999</c:v>
                </c:pt>
                <c:pt idx="25">
                  <c:v>145.46052631578948</c:v>
                </c:pt>
                <c:pt idx="26">
                  <c:v>147.36956521739131</c:v>
                </c:pt>
                <c:pt idx="27">
                  <c:v>165.41874999999999</c:v>
                </c:pt>
                <c:pt idx="28">
                  <c:v>177.26190476190476</c:v>
                </c:pt>
                <c:pt idx="29">
                  <c:v>162.26190476190476</c:v>
                </c:pt>
                <c:pt idx="30">
                  <c:v>160.42500000000001</c:v>
                </c:pt>
                <c:pt idx="31">
                  <c:v>175.58695652173913</c:v>
                </c:pt>
                <c:pt idx="32">
                  <c:v>173.8154761904762</c:v>
                </c:pt>
                <c:pt idx="33">
                  <c:v>180.3095238095238</c:v>
                </c:pt>
                <c:pt idx="34">
                  <c:v>190.47499999999999</c:v>
                </c:pt>
                <c:pt idx="35">
                  <c:v>172.02380952380952</c:v>
                </c:pt>
                <c:pt idx="36">
                  <c:v>168.47499999999999</c:v>
                </c:pt>
                <c:pt idx="37">
                  <c:v>160.97368421052633</c:v>
                </c:pt>
                <c:pt idx="38">
                  <c:v>156.40217391304347</c:v>
                </c:pt>
                <c:pt idx="39">
                  <c:v>155.70526315789473</c:v>
                </c:pt>
                <c:pt idx="40">
                  <c:v>152.97727272727272</c:v>
                </c:pt>
                <c:pt idx="41">
                  <c:v>143.57738095238096</c:v>
                </c:pt>
                <c:pt idx="42">
                  <c:v>154.53749999999999</c:v>
                </c:pt>
                <c:pt idx="43">
                  <c:v>144.07608695652175</c:v>
                </c:pt>
                <c:pt idx="44">
                  <c:v>118.4</c:v>
                </c:pt>
                <c:pt idx="45">
                  <c:v>87.772727272727266</c:v>
                </c:pt>
                <c:pt idx="46">
                  <c:v>82.012500000000003</c:v>
                </c:pt>
                <c:pt idx="47">
                  <c:v>80.556250000000006</c:v>
                </c:pt>
                <c:pt idx="48">
                  <c:v>71.511904761904759</c:v>
                </c:pt>
                <c:pt idx="49">
                  <c:v>47.25</c:v>
                </c:pt>
                <c:pt idx="50">
                  <c:v>51.537500000000001</c:v>
                </c:pt>
                <c:pt idx="51">
                  <c:v>47.659090909090907</c:v>
                </c:pt>
                <c:pt idx="52">
                  <c:v>48.897727272727273</c:v>
                </c:pt>
                <c:pt idx="53">
                  <c:v>54.25</c:v>
                </c:pt>
                <c:pt idx="54">
                  <c:v>63.352272727272727</c:v>
                </c:pt>
                <c:pt idx="55">
                  <c:v>55.926363636363639</c:v>
                </c:pt>
                <c:pt idx="56">
                  <c:v>59.9</c:v>
                </c:pt>
                <c:pt idx="57">
                  <c:v>69.201739130434774</c:v>
                </c:pt>
                <c:pt idx="58">
                  <c:v>67.075000000000003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F7-4BAD-B7F4-9FC6D7FB3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592624"/>
        <c:axId val="1082593584"/>
      </c:scatterChart>
      <c:valAx>
        <c:axId val="108259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93584"/>
        <c:crosses val="autoZero"/>
        <c:crossBetween val="midCat"/>
      </c:valAx>
      <c:valAx>
        <c:axId val="108259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9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RIN D4 D6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18416447944007"/>
                  <c:y val="-1.48917322834645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Monthly!$J$82:$J$140</c:f>
              <c:numCache>
                <c:formatCode>#,##0.00_);[Red]\(#,##0.00\)</c:formatCode>
                <c:ptCount val="59"/>
                <c:pt idx="0">
                  <c:v>40.352272727272727</c:v>
                </c:pt>
                <c:pt idx="1">
                  <c:v>48.539473684210527</c:v>
                </c:pt>
                <c:pt idx="2">
                  <c:v>48.56818181818182</c:v>
                </c:pt>
                <c:pt idx="3">
                  <c:v>52.107142857142854</c:v>
                </c:pt>
                <c:pt idx="4">
                  <c:v>53.625</c:v>
                </c:pt>
                <c:pt idx="5">
                  <c:v>56.511363636363633</c:v>
                </c:pt>
                <c:pt idx="6">
                  <c:v>59.840909090909093</c:v>
                </c:pt>
                <c:pt idx="7">
                  <c:v>64.964285714285708</c:v>
                </c:pt>
                <c:pt idx="8">
                  <c:v>76.38095238095238</c:v>
                </c:pt>
                <c:pt idx="9">
                  <c:v>79.693181818181813</c:v>
                </c:pt>
                <c:pt idx="10">
                  <c:v>87.315789473684205</c:v>
                </c:pt>
                <c:pt idx="11">
                  <c:v>97.181818181818187</c:v>
                </c:pt>
                <c:pt idx="12">
                  <c:v>102.61842105263158</c:v>
                </c:pt>
                <c:pt idx="13">
                  <c:v>109.89473684210526</c:v>
                </c:pt>
                <c:pt idx="14">
                  <c:v>138.40217391304347</c:v>
                </c:pt>
                <c:pt idx="15">
                  <c:v>145.82142857142858</c:v>
                </c:pt>
                <c:pt idx="16">
                  <c:v>188.3125</c:v>
                </c:pt>
                <c:pt idx="17">
                  <c:v>176.5</c:v>
                </c:pt>
                <c:pt idx="18">
                  <c:v>165.60714285714286</c:v>
                </c:pt>
                <c:pt idx="19">
                  <c:v>171.84090909090909</c:v>
                </c:pt>
                <c:pt idx="20">
                  <c:v>143.66666666666666</c:v>
                </c:pt>
                <c:pt idx="21">
                  <c:v>153.52380952380952</c:v>
                </c:pt>
                <c:pt idx="22">
                  <c:v>142.94999999999999</c:v>
                </c:pt>
                <c:pt idx="23">
                  <c:v>151.0595238095238</c:v>
                </c:pt>
                <c:pt idx="24">
                  <c:v>135.71250000000001</c:v>
                </c:pt>
                <c:pt idx="25">
                  <c:v>146.46052631578948</c:v>
                </c:pt>
                <c:pt idx="26">
                  <c:v>148.36956521739131</c:v>
                </c:pt>
                <c:pt idx="27">
                  <c:v>166.66874999999999</c:v>
                </c:pt>
                <c:pt idx="28">
                  <c:v>178.38095238095238</c:v>
                </c:pt>
                <c:pt idx="29">
                  <c:v>163.25</c:v>
                </c:pt>
                <c:pt idx="30">
                  <c:v>161.42500000000001</c:v>
                </c:pt>
                <c:pt idx="31">
                  <c:v>176.58695652173913</c:v>
                </c:pt>
                <c:pt idx="32">
                  <c:v>174.8154761904762</c:v>
                </c:pt>
                <c:pt idx="33">
                  <c:v>181.3095238095238</c:v>
                </c:pt>
                <c:pt idx="34">
                  <c:v>191.47499999999999</c:v>
                </c:pt>
                <c:pt idx="35">
                  <c:v>173.02380952380952</c:v>
                </c:pt>
                <c:pt idx="36">
                  <c:v>169.125</c:v>
                </c:pt>
                <c:pt idx="37">
                  <c:v>161.97368421052633</c:v>
                </c:pt>
                <c:pt idx="38">
                  <c:v>157.40217391304347</c:v>
                </c:pt>
                <c:pt idx="39">
                  <c:v>156.70526315789473</c:v>
                </c:pt>
                <c:pt idx="40">
                  <c:v>153.39772727272728</c:v>
                </c:pt>
                <c:pt idx="41">
                  <c:v>144.4702380952381</c:v>
                </c:pt>
                <c:pt idx="42">
                  <c:v>155.63749999999999</c:v>
                </c:pt>
                <c:pt idx="43">
                  <c:v>145.03260869565219</c:v>
                </c:pt>
                <c:pt idx="44">
                  <c:v>119.4</c:v>
                </c:pt>
                <c:pt idx="45">
                  <c:v>88.602272727272734</c:v>
                </c:pt>
                <c:pt idx="46">
                  <c:v>82.912499999999994</c:v>
                </c:pt>
                <c:pt idx="47">
                  <c:v>81.231250000000003</c:v>
                </c:pt>
                <c:pt idx="48">
                  <c:v>72.583333333333329</c:v>
                </c:pt>
                <c:pt idx="49">
                  <c:v>47.987499999999997</c:v>
                </c:pt>
                <c:pt idx="50">
                  <c:v>52.475000000000001</c:v>
                </c:pt>
                <c:pt idx="51">
                  <c:v>48.477272727272727</c:v>
                </c:pt>
                <c:pt idx="52">
                  <c:v>49.738636363636367</c:v>
                </c:pt>
                <c:pt idx="53">
                  <c:v>55.157894736842103</c:v>
                </c:pt>
                <c:pt idx="54">
                  <c:v>64.045909090909106</c:v>
                </c:pt>
                <c:pt idx="55">
                  <c:v>56.591818181818191</c:v>
                </c:pt>
                <c:pt idx="56">
                  <c:v>60.412500000000001</c:v>
                </c:pt>
                <c:pt idx="57">
                  <c:v>69.870434782608697</c:v>
                </c:pt>
                <c:pt idx="58">
                  <c:v>68.287999999999997</c:v>
                </c:pt>
              </c:numCache>
            </c:numRef>
          </c:xVal>
          <c:yVal>
            <c:numRef>
              <c:f>Monthly!$L$82:$L$140</c:f>
              <c:numCache>
                <c:formatCode>#,##0.00_);[Red]\(#,##0.00\)</c:formatCode>
                <c:ptCount val="59"/>
                <c:pt idx="0">
                  <c:v>15.909090909090908</c:v>
                </c:pt>
                <c:pt idx="1">
                  <c:v>30.815789473684209</c:v>
                </c:pt>
                <c:pt idx="2">
                  <c:v>28.829545454545453</c:v>
                </c:pt>
                <c:pt idx="3">
                  <c:v>35.05952380952381</c:v>
                </c:pt>
                <c:pt idx="4">
                  <c:v>38.4</c:v>
                </c:pt>
                <c:pt idx="5">
                  <c:v>46.477272727272727</c:v>
                </c:pt>
                <c:pt idx="6">
                  <c:v>47.096590909090907</c:v>
                </c:pt>
                <c:pt idx="7">
                  <c:v>44.526190476190472</c:v>
                </c:pt>
                <c:pt idx="8">
                  <c:v>48.386904761904759</c:v>
                </c:pt>
                <c:pt idx="9">
                  <c:v>53.386363636363633</c:v>
                </c:pt>
                <c:pt idx="10">
                  <c:v>63.407894736842103</c:v>
                </c:pt>
                <c:pt idx="11">
                  <c:v>71.568181818181813</c:v>
                </c:pt>
                <c:pt idx="12">
                  <c:v>90.65789473684211</c:v>
                </c:pt>
                <c:pt idx="13">
                  <c:v>100.85526315789474</c:v>
                </c:pt>
                <c:pt idx="14">
                  <c:v>129.1358695652174</c:v>
                </c:pt>
                <c:pt idx="15">
                  <c:v>138.08333333333334</c:v>
                </c:pt>
                <c:pt idx="16">
                  <c:v>179.98750000000001</c:v>
                </c:pt>
                <c:pt idx="17">
                  <c:v>167.23863636363637</c:v>
                </c:pt>
                <c:pt idx="18">
                  <c:v>150.9702380952381</c:v>
                </c:pt>
                <c:pt idx="19">
                  <c:v>154.97727272727272</c:v>
                </c:pt>
                <c:pt idx="20">
                  <c:v>117.39285714285714</c:v>
                </c:pt>
                <c:pt idx="21">
                  <c:v>127.94047619047619</c:v>
                </c:pt>
                <c:pt idx="22">
                  <c:v>109.4375</c:v>
                </c:pt>
                <c:pt idx="23">
                  <c:v>100.80952380952381</c:v>
                </c:pt>
                <c:pt idx="24">
                  <c:v>113.02631578947368</c:v>
                </c:pt>
                <c:pt idx="25">
                  <c:v>115.61184210526316</c:v>
                </c:pt>
                <c:pt idx="26">
                  <c:v>114.58695652173913</c:v>
                </c:pt>
                <c:pt idx="27">
                  <c:v>128.70625000000001</c:v>
                </c:pt>
                <c:pt idx="28">
                  <c:v>153.20238095238096</c:v>
                </c:pt>
                <c:pt idx="29">
                  <c:v>152.1904761904762</c:v>
                </c:pt>
                <c:pt idx="30">
                  <c:v>149.8125</c:v>
                </c:pt>
                <c:pt idx="31">
                  <c:v>162.25</c:v>
                </c:pt>
                <c:pt idx="32">
                  <c:v>161.8154761904762</c:v>
                </c:pt>
                <c:pt idx="33">
                  <c:v>162.4345238095238</c:v>
                </c:pt>
                <c:pt idx="34">
                  <c:v>177.98750000000001</c:v>
                </c:pt>
                <c:pt idx="35">
                  <c:v>160.625</c:v>
                </c:pt>
                <c:pt idx="36">
                  <c:v>166.33750000000001</c:v>
                </c:pt>
                <c:pt idx="37">
                  <c:v>158.56578947368422</c:v>
                </c:pt>
                <c:pt idx="38">
                  <c:v>153.58695652173913</c:v>
                </c:pt>
                <c:pt idx="39">
                  <c:v>153.875</c:v>
                </c:pt>
                <c:pt idx="40">
                  <c:v>150.5625</c:v>
                </c:pt>
                <c:pt idx="41">
                  <c:v>142.38095238095238</c:v>
                </c:pt>
                <c:pt idx="42">
                  <c:v>155.02500000000001</c:v>
                </c:pt>
                <c:pt idx="43">
                  <c:v>144.52173913043478</c:v>
                </c:pt>
                <c:pt idx="44">
                  <c:v>118.425</c:v>
                </c:pt>
                <c:pt idx="45">
                  <c:v>88.068181818181813</c:v>
                </c:pt>
                <c:pt idx="46">
                  <c:v>82.887500000000003</c:v>
                </c:pt>
                <c:pt idx="47">
                  <c:v>81.15625</c:v>
                </c:pt>
                <c:pt idx="48">
                  <c:v>71.666666666666671</c:v>
                </c:pt>
                <c:pt idx="49">
                  <c:v>47.35</c:v>
                </c:pt>
                <c:pt idx="50">
                  <c:v>51.912500000000001</c:v>
                </c:pt>
                <c:pt idx="51">
                  <c:v>48.272727272727273</c:v>
                </c:pt>
                <c:pt idx="52">
                  <c:v>49.579545454545453</c:v>
                </c:pt>
                <c:pt idx="53">
                  <c:v>55.006842105263161</c:v>
                </c:pt>
                <c:pt idx="54">
                  <c:v>64.000454545454559</c:v>
                </c:pt>
                <c:pt idx="55">
                  <c:v>56.545909090909092</c:v>
                </c:pt>
                <c:pt idx="56">
                  <c:v>60.340499999999999</c:v>
                </c:pt>
                <c:pt idx="57">
                  <c:v>69.833043478260876</c:v>
                </c:pt>
                <c:pt idx="58">
                  <c:v>67.763000000000005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9F-47BC-A338-03B1D96F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936128"/>
        <c:axId val="1019926528"/>
      </c:scatterChart>
      <c:valAx>
        <c:axId val="101993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26528"/>
        <c:crosses val="autoZero"/>
        <c:crossBetween val="midCat"/>
      </c:valAx>
      <c:valAx>
        <c:axId val="101992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3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RIN D5 D6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192475940507438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Monthly!$K$82:$K$140</c:f>
              <c:numCache>
                <c:formatCode>#,##0.00_);[Red]\(#,##0.00\)</c:formatCode>
                <c:ptCount val="59"/>
                <c:pt idx="0">
                  <c:v>39.840909090909093</c:v>
                </c:pt>
                <c:pt idx="1">
                  <c:v>48.05263157894737</c:v>
                </c:pt>
                <c:pt idx="2">
                  <c:v>48.136363636363633</c:v>
                </c:pt>
                <c:pt idx="3">
                  <c:v>51.55952380952381</c:v>
                </c:pt>
                <c:pt idx="4">
                  <c:v>53.125</c:v>
                </c:pt>
                <c:pt idx="5">
                  <c:v>56.090909090909093</c:v>
                </c:pt>
                <c:pt idx="6">
                  <c:v>59.375</c:v>
                </c:pt>
                <c:pt idx="7">
                  <c:v>63.964285714285715</c:v>
                </c:pt>
                <c:pt idx="8">
                  <c:v>75.166666666666671</c:v>
                </c:pt>
                <c:pt idx="9">
                  <c:v>79.23863636363636</c:v>
                </c:pt>
                <c:pt idx="10">
                  <c:v>86.815789473684205</c:v>
                </c:pt>
                <c:pt idx="11">
                  <c:v>96.590909090909093</c:v>
                </c:pt>
                <c:pt idx="12">
                  <c:v>101.14473684210526</c:v>
                </c:pt>
                <c:pt idx="13">
                  <c:v>109.39473684210526</c:v>
                </c:pt>
                <c:pt idx="14">
                  <c:v>137.83695652173913</c:v>
                </c:pt>
                <c:pt idx="15">
                  <c:v>145.07142857142858</c:v>
                </c:pt>
                <c:pt idx="16">
                  <c:v>187.5625</c:v>
                </c:pt>
                <c:pt idx="17">
                  <c:v>175.75</c:v>
                </c:pt>
                <c:pt idx="18">
                  <c:v>163.3095238095238</c:v>
                </c:pt>
                <c:pt idx="19">
                  <c:v>170.90909090909091</c:v>
                </c:pt>
                <c:pt idx="20">
                  <c:v>143.10714285714286</c:v>
                </c:pt>
                <c:pt idx="21">
                  <c:v>153</c:v>
                </c:pt>
                <c:pt idx="22">
                  <c:v>142.65</c:v>
                </c:pt>
                <c:pt idx="23">
                  <c:v>147.38095238095238</c:v>
                </c:pt>
                <c:pt idx="24">
                  <c:v>134.72499999999999</c:v>
                </c:pt>
                <c:pt idx="25">
                  <c:v>145.46052631578948</c:v>
                </c:pt>
                <c:pt idx="26">
                  <c:v>147.36956521739131</c:v>
                </c:pt>
                <c:pt idx="27">
                  <c:v>165.41874999999999</c:v>
                </c:pt>
                <c:pt idx="28">
                  <c:v>177.26190476190476</c:v>
                </c:pt>
                <c:pt idx="29">
                  <c:v>162.26190476190476</c:v>
                </c:pt>
                <c:pt idx="30">
                  <c:v>160.42500000000001</c:v>
                </c:pt>
                <c:pt idx="31">
                  <c:v>175.58695652173913</c:v>
                </c:pt>
                <c:pt idx="32">
                  <c:v>173.8154761904762</c:v>
                </c:pt>
                <c:pt idx="33">
                  <c:v>180.3095238095238</c:v>
                </c:pt>
                <c:pt idx="34">
                  <c:v>190.47499999999999</c:v>
                </c:pt>
                <c:pt idx="35">
                  <c:v>172.02380952380952</c:v>
                </c:pt>
                <c:pt idx="36">
                  <c:v>168.47499999999999</c:v>
                </c:pt>
                <c:pt idx="37">
                  <c:v>160.97368421052633</c:v>
                </c:pt>
                <c:pt idx="38">
                  <c:v>156.40217391304347</c:v>
                </c:pt>
                <c:pt idx="39">
                  <c:v>155.70526315789473</c:v>
                </c:pt>
                <c:pt idx="40">
                  <c:v>152.97727272727272</c:v>
                </c:pt>
                <c:pt idx="41">
                  <c:v>143.57738095238096</c:v>
                </c:pt>
                <c:pt idx="42">
                  <c:v>154.53749999999999</c:v>
                </c:pt>
                <c:pt idx="43">
                  <c:v>144.07608695652175</c:v>
                </c:pt>
                <c:pt idx="44">
                  <c:v>118.4</c:v>
                </c:pt>
                <c:pt idx="45">
                  <c:v>87.772727272727266</c:v>
                </c:pt>
                <c:pt idx="46">
                  <c:v>82.012500000000003</c:v>
                </c:pt>
                <c:pt idx="47">
                  <c:v>80.556250000000006</c:v>
                </c:pt>
                <c:pt idx="48">
                  <c:v>71.511904761904759</c:v>
                </c:pt>
                <c:pt idx="49">
                  <c:v>47.25</c:v>
                </c:pt>
                <c:pt idx="50">
                  <c:v>51.537500000000001</c:v>
                </c:pt>
                <c:pt idx="51">
                  <c:v>47.659090909090907</c:v>
                </c:pt>
                <c:pt idx="52">
                  <c:v>48.897727272727273</c:v>
                </c:pt>
                <c:pt idx="53">
                  <c:v>54.25</c:v>
                </c:pt>
                <c:pt idx="54">
                  <c:v>63.352272727272727</c:v>
                </c:pt>
                <c:pt idx="55">
                  <c:v>55.926363636363639</c:v>
                </c:pt>
                <c:pt idx="56">
                  <c:v>59.9</c:v>
                </c:pt>
                <c:pt idx="57">
                  <c:v>69.201739130434774</c:v>
                </c:pt>
                <c:pt idx="58">
                  <c:v>67.075000000000003</c:v>
                </c:pt>
              </c:numCache>
            </c:numRef>
          </c:xVal>
          <c:yVal>
            <c:numRef>
              <c:f>Monthly!$L$82:$L$140</c:f>
              <c:numCache>
                <c:formatCode>#,##0.00_);[Red]\(#,##0.00\)</c:formatCode>
                <c:ptCount val="59"/>
                <c:pt idx="0">
                  <c:v>15.909090909090908</c:v>
                </c:pt>
                <c:pt idx="1">
                  <c:v>30.815789473684209</c:v>
                </c:pt>
                <c:pt idx="2">
                  <c:v>28.829545454545453</c:v>
                </c:pt>
                <c:pt idx="3">
                  <c:v>35.05952380952381</c:v>
                </c:pt>
                <c:pt idx="4">
                  <c:v>38.4</c:v>
                </c:pt>
                <c:pt idx="5">
                  <c:v>46.477272727272727</c:v>
                </c:pt>
                <c:pt idx="6">
                  <c:v>47.096590909090907</c:v>
                </c:pt>
                <c:pt idx="7">
                  <c:v>44.526190476190472</c:v>
                </c:pt>
                <c:pt idx="8">
                  <c:v>48.386904761904759</c:v>
                </c:pt>
                <c:pt idx="9">
                  <c:v>53.386363636363633</c:v>
                </c:pt>
                <c:pt idx="10">
                  <c:v>63.407894736842103</c:v>
                </c:pt>
                <c:pt idx="11">
                  <c:v>71.568181818181813</c:v>
                </c:pt>
                <c:pt idx="12">
                  <c:v>90.65789473684211</c:v>
                </c:pt>
                <c:pt idx="13">
                  <c:v>100.85526315789474</c:v>
                </c:pt>
                <c:pt idx="14">
                  <c:v>129.1358695652174</c:v>
                </c:pt>
                <c:pt idx="15">
                  <c:v>138.08333333333334</c:v>
                </c:pt>
                <c:pt idx="16">
                  <c:v>179.98750000000001</c:v>
                </c:pt>
                <c:pt idx="17">
                  <c:v>167.23863636363637</c:v>
                </c:pt>
                <c:pt idx="18">
                  <c:v>150.9702380952381</c:v>
                </c:pt>
                <c:pt idx="19">
                  <c:v>154.97727272727272</c:v>
                </c:pt>
                <c:pt idx="20">
                  <c:v>117.39285714285714</c:v>
                </c:pt>
                <c:pt idx="21">
                  <c:v>127.94047619047619</c:v>
                </c:pt>
                <c:pt idx="22">
                  <c:v>109.4375</c:v>
                </c:pt>
                <c:pt idx="23">
                  <c:v>100.80952380952381</c:v>
                </c:pt>
                <c:pt idx="24">
                  <c:v>113.02631578947368</c:v>
                </c:pt>
                <c:pt idx="25">
                  <c:v>115.61184210526316</c:v>
                </c:pt>
                <c:pt idx="26">
                  <c:v>114.58695652173913</c:v>
                </c:pt>
                <c:pt idx="27">
                  <c:v>128.70625000000001</c:v>
                </c:pt>
                <c:pt idx="28">
                  <c:v>153.20238095238096</c:v>
                </c:pt>
                <c:pt idx="29">
                  <c:v>152.1904761904762</c:v>
                </c:pt>
                <c:pt idx="30">
                  <c:v>149.8125</c:v>
                </c:pt>
                <c:pt idx="31">
                  <c:v>162.25</c:v>
                </c:pt>
                <c:pt idx="32">
                  <c:v>161.8154761904762</c:v>
                </c:pt>
                <c:pt idx="33">
                  <c:v>162.4345238095238</c:v>
                </c:pt>
                <c:pt idx="34">
                  <c:v>177.98750000000001</c:v>
                </c:pt>
                <c:pt idx="35">
                  <c:v>160.625</c:v>
                </c:pt>
                <c:pt idx="36">
                  <c:v>166.33750000000001</c:v>
                </c:pt>
                <c:pt idx="37">
                  <c:v>158.56578947368422</c:v>
                </c:pt>
                <c:pt idx="38">
                  <c:v>153.58695652173913</c:v>
                </c:pt>
                <c:pt idx="39">
                  <c:v>153.875</c:v>
                </c:pt>
                <c:pt idx="40">
                  <c:v>150.5625</c:v>
                </c:pt>
                <c:pt idx="41">
                  <c:v>142.38095238095238</c:v>
                </c:pt>
                <c:pt idx="42">
                  <c:v>155.02500000000001</c:v>
                </c:pt>
                <c:pt idx="43">
                  <c:v>144.52173913043478</c:v>
                </c:pt>
                <c:pt idx="44">
                  <c:v>118.425</c:v>
                </c:pt>
                <c:pt idx="45">
                  <c:v>88.068181818181813</c:v>
                </c:pt>
                <c:pt idx="46">
                  <c:v>82.887500000000003</c:v>
                </c:pt>
                <c:pt idx="47">
                  <c:v>81.15625</c:v>
                </c:pt>
                <c:pt idx="48">
                  <c:v>71.666666666666671</c:v>
                </c:pt>
                <c:pt idx="49">
                  <c:v>47.35</c:v>
                </c:pt>
                <c:pt idx="50">
                  <c:v>51.912500000000001</c:v>
                </c:pt>
                <c:pt idx="51">
                  <c:v>48.272727272727273</c:v>
                </c:pt>
                <c:pt idx="52">
                  <c:v>49.579545454545453</c:v>
                </c:pt>
                <c:pt idx="53">
                  <c:v>55.006842105263161</c:v>
                </c:pt>
                <c:pt idx="54">
                  <c:v>64.000454545454559</c:v>
                </c:pt>
                <c:pt idx="55">
                  <c:v>56.545909090909092</c:v>
                </c:pt>
                <c:pt idx="56">
                  <c:v>60.340499999999999</c:v>
                </c:pt>
                <c:pt idx="57">
                  <c:v>69.833043478260876</c:v>
                </c:pt>
                <c:pt idx="58">
                  <c:v>67.763000000000005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9B-4543-A9D2-A6AD741BF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936128"/>
        <c:axId val="1019926528"/>
      </c:scatterChart>
      <c:valAx>
        <c:axId val="101993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26528"/>
        <c:crosses val="autoZero"/>
        <c:crossBetween val="midCat"/>
      </c:valAx>
      <c:valAx>
        <c:axId val="101992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3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D4 to HOBO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237751531058618"/>
                  <c:y val="-0.586200422863808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Monthly!$J$82:$J$133</c:f>
              <c:numCache>
                <c:formatCode>#,##0.00_);[Red]\(#,##0.00\)</c:formatCode>
                <c:ptCount val="52"/>
                <c:pt idx="0">
                  <c:v>40.352272727272727</c:v>
                </c:pt>
                <c:pt idx="1">
                  <c:v>48.539473684210527</c:v>
                </c:pt>
                <c:pt idx="2">
                  <c:v>48.56818181818182</c:v>
                </c:pt>
                <c:pt idx="3">
                  <c:v>52.107142857142854</c:v>
                </c:pt>
                <c:pt idx="4">
                  <c:v>53.625</c:v>
                </c:pt>
                <c:pt idx="5">
                  <c:v>56.511363636363633</c:v>
                </c:pt>
                <c:pt idx="6">
                  <c:v>59.840909090909093</c:v>
                </c:pt>
                <c:pt idx="7">
                  <c:v>64.964285714285708</c:v>
                </c:pt>
                <c:pt idx="8">
                  <c:v>76.38095238095238</c:v>
                </c:pt>
                <c:pt idx="9">
                  <c:v>79.693181818181813</c:v>
                </c:pt>
                <c:pt idx="10">
                  <c:v>87.315789473684205</c:v>
                </c:pt>
                <c:pt idx="11">
                  <c:v>97.181818181818187</c:v>
                </c:pt>
                <c:pt idx="12">
                  <c:v>102.61842105263158</c:v>
                </c:pt>
                <c:pt idx="13">
                  <c:v>109.89473684210526</c:v>
                </c:pt>
                <c:pt idx="14">
                  <c:v>138.40217391304347</c:v>
                </c:pt>
                <c:pt idx="15">
                  <c:v>145.82142857142858</c:v>
                </c:pt>
                <c:pt idx="16">
                  <c:v>188.3125</c:v>
                </c:pt>
                <c:pt idx="17">
                  <c:v>176.5</c:v>
                </c:pt>
                <c:pt idx="18">
                  <c:v>165.60714285714286</c:v>
                </c:pt>
                <c:pt idx="19">
                  <c:v>171.84090909090909</c:v>
                </c:pt>
                <c:pt idx="20">
                  <c:v>143.66666666666666</c:v>
                </c:pt>
                <c:pt idx="21">
                  <c:v>153.52380952380952</c:v>
                </c:pt>
                <c:pt idx="22">
                  <c:v>142.94999999999999</c:v>
                </c:pt>
                <c:pt idx="23">
                  <c:v>151.0595238095238</c:v>
                </c:pt>
                <c:pt idx="24">
                  <c:v>135.71250000000001</c:v>
                </c:pt>
                <c:pt idx="25">
                  <c:v>146.46052631578948</c:v>
                </c:pt>
                <c:pt idx="26">
                  <c:v>148.36956521739131</c:v>
                </c:pt>
                <c:pt idx="27">
                  <c:v>166.66874999999999</c:v>
                </c:pt>
                <c:pt idx="28">
                  <c:v>178.38095238095238</c:v>
                </c:pt>
                <c:pt idx="29">
                  <c:v>163.25</c:v>
                </c:pt>
                <c:pt idx="30">
                  <c:v>161.42500000000001</c:v>
                </c:pt>
                <c:pt idx="31">
                  <c:v>176.58695652173913</c:v>
                </c:pt>
                <c:pt idx="32">
                  <c:v>174.8154761904762</c:v>
                </c:pt>
                <c:pt idx="33">
                  <c:v>181.3095238095238</c:v>
                </c:pt>
                <c:pt idx="34">
                  <c:v>191.47499999999999</c:v>
                </c:pt>
                <c:pt idx="35">
                  <c:v>173.02380952380952</c:v>
                </c:pt>
                <c:pt idx="36">
                  <c:v>169.125</c:v>
                </c:pt>
                <c:pt idx="37">
                  <c:v>161.97368421052633</c:v>
                </c:pt>
                <c:pt idx="38">
                  <c:v>157.40217391304347</c:v>
                </c:pt>
                <c:pt idx="39">
                  <c:v>156.70526315789473</c:v>
                </c:pt>
                <c:pt idx="40">
                  <c:v>153.39772727272728</c:v>
                </c:pt>
                <c:pt idx="41">
                  <c:v>144.4702380952381</c:v>
                </c:pt>
                <c:pt idx="42">
                  <c:v>155.63749999999999</c:v>
                </c:pt>
                <c:pt idx="43">
                  <c:v>145.03260869565219</c:v>
                </c:pt>
                <c:pt idx="44">
                  <c:v>119.4</c:v>
                </c:pt>
                <c:pt idx="45">
                  <c:v>88.602272727272734</c:v>
                </c:pt>
                <c:pt idx="46">
                  <c:v>82.912499999999994</c:v>
                </c:pt>
                <c:pt idx="47">
                  <c:v>81.231250000000003</c:v>
                </c:pt>
                <c:pt idx="48">
                  <c:v>72.583333333333329</c:v>
                </c:pt>
                <c:pt idx="49">
                  <c:v>47.987499999999997</c:v>
                </c:pt>
                <c:pt idx="50">
                  <c:v>52.475000000000001</c:v>
                </c:pt>
                <c:pt idx="51">
                  <c:v>48.477272727272727</c:v>
                </c:pt>
              </c:numCache>
            </c:numRef>
          </c:xVal>
          <c:yVal>
            <c:numRef>
              <c:f>Monthly!$R$82:$R$133</c:f>
              <c:numCache>
                <c:formatCode>_(* #,##0.00_);_(* \(#,##0.00\);_(* "-"??_);_(@_)</c:formatCode>
                <c:ptCount val="52"/>
                <c:pt idx="0">
                  <c:v>0.66647238095238115</c:v>
                </c:pt>
                <c:pt idx="1">
                  <c:v>0.67588000000000004</c:v>
                </c:pt>
                <c:pt idx="2">
                  <c:v>0.87834727272727231</c:v>
                </c:pt>
                <c:pt idx="3">
                  <c:v>1.1244171428571432</c:v>
                </c:pt>
                <c:pt idx="4">
                  <c:v>1.1198839999999994</c:v>
                </c:pt>
                <c:pt idx="5">
                  <c:v>0.9757436363636367</c:v>
                </c:pt>
                <c:pt idx="6">
                  <c:v>0.98171818181818171</c:v>
                </c:pt>
                <c:pt idx="7">
                  <c:v>1.1620209523809526</c:v>
                </c:pt>
                <c:pt idx="8">
                  <c:v>1.4197961904761904</c:v>
                </c:pt>
                <c:pt idx="9">
                  <c:v>1.3780381818181817</c:v>
                </c:pt>
                <c:pt idx="10">
                  <c:v>1.5605499999999997</c:v>
                </c:pt>
                <c:pt idx="11">
                  <c:v>1.5594236363636367</c:v>
                </c:pt>
                <c:pt idx="12">
                  <c:v>1.7017199999999997</c:v>
                </c:pt>
                <c:pt idx="13">
                  <c:v>1.7829199999999996</c:v>
                </c:pt>
                <c:pt idx="14">
                  <c:v>2.200120000000001</c:v>
                </c:pt>
                <c:pt idx="15">
                  <c:v>2.5639142857142865</c:v>
                </c:pt>
                <c:pt idx="16">
                  <c:v>2.9676020000000012</c:v>
                </c:pt>
                <c:pt idx="17">
                  <c:v>2.8384818181818199</c:v>
                </c:pt>
                <c:pt idx="18">
                  <c:v>2.8061504761904756</c:v>
                </c:pt>
                <c:pt idx="19">
                  <c:v>2.600270909090908</c:v>
                </c:pt>
                <c:pt idx="20">
                  <c:v>2.1465619047619042</c:v>
                </c:pt>
                <c:pt idx="21">
                  <c:v>2.1387104761904761</c:v>
                </c:pt>
                <c:pt idx="22">
                  <c:v>2.1138419047619044</c:v>
                </c:pt>
                <c:pt idx="23">
                  <c:v>1.9459254545454545</c:v>
                </c:pt>
                <c:pt idx="24">
                  <c:v>2.0026799999999998</c:v>
                </c:pt>
                <c:pt idx="25">
                  <c:v>2.2459599999999997</c:v>
                </c:pt>
                <c:pt idx="26">
                  <c:v>1.9724956521739143</c:v>
                </c:pt>
                <c:pt idx="27">
                  <c:v>2.1493520000000004</c:v>
                </c:pt>
                <c:pt idx="28">
                  <c:v>2.2313619047619051</c:v>
                </c:pt>
                <c:pt idx="29">
                  <c:v>1.4980799999999999</c:v>
                </c:pt>
                <c:pt idx="30">
                  <c:v>1.0262479999999994</c:v>
                </c:pt>
                <c:pt idx="31">
                  <c:v>1.5360086956521721</c:v>
                </c:pt>
                <c:pt idx="32">
                  <c:v>1.6723733333333328</c:v>
                </c:pt>
                <c:pt idx="33">
                  <c:v>1.2535657142857142</c:v>
                </c:pt>
                <c:pt idx="34">
                  <c:v>2.1405752380952383</c:v>
                </c:pt>
                <c:pt idx="35">
                  <c:v>1.7554895238095241</c:v>
                </c:pt>
                <c:pt idx="36">
                  <c:v>1.5131839999999994</c:v>
                </c:pt>
                <c:pt idx="37">
                  <c:v>1.7915199999999998</c:v>
                </c:pt>
                <c:pt idx="38">
                  <c:v>1.5877391304347825</c:v>
                </c:pt>
                <c:pt idx="39">
                  <c:v>1.5227599999999999</c:v>
                </c:pt>
                <c:pt idx="40">
                  <c:v>1.4361745454545458</c:v>
                </c:pt>
                <c:pt idx="41">
                  <c:v>1.8314323809523798</c:v>
                </c:pt>
                <c:pt idx="42">
                  <c:v>2.3796399999999971</c:v>
                </c:pt>
                <c:pt idx="43">
                  <c:v>1.8711617391304349</c:v>
                </c:pt>
                <c:pt idx="44">
                  <c:v>1.352053999999999</c:v>
                </c:pt>
                <c:pt idx="45">
                  <c:v>1.0269818181818193</c:v>
                </c:pt>
                <c:pt idx="46">
                  <c:v>1.0720285714285707</c:v>
                </c:pt>
                <c:pt idx="47">
                  <c:v>1.1627480000000001</c:v>
                </c:pt>
                <c:pt idx="48">
                  <c:v>0.93107619047618995</c:v>
                </c:pt>
                <c:pt idx="49">
                  <c:v>0.69363999999999937</c:v>
                </c:pt>
                <c:pt idx="50">
                  <c:v>0.93564399999999948</c:v>
                </c:pt>
                <c:pt idx="51">
                  <c:v>0.79343999999999903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10-4F19-9360-14D1ABB61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478224"/>
        <c:axId val="1361464304"/>
      </c:scatterChart>
      <c:valAx>
        <c:axId val="136147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64304"/>
        <c:crosses val="autoZero"/>
        <c:crossBetween val="midCat"/>
      </c:valAx>
      <c:valAx>
        <c:axId val="13614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D6 to RBOB-Cornoil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625918635170609"/>
                  <c:y val="-0.459238845144356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Monthly!$L$82:$L$133</c:f>
              <c:numCache>
                <c:formatCode>#,##0.00_);[Red]\(#,##0.00\)</c:formatCode>
                <c:ptCount val="52"/>
                <c:pt idx="0">
                  <c:v>15.909090909090908</c:v>
                </c:pt>
                <c:pt idx="1">
                  <c:v>30.815789473684209</c:v>
                </c:pt>
                <c:pt idx="2">
                  <c:v>28.829545454545453</c:v>
                </c:pt>
                <c:pt idx="3">
                  <c:v>35.05952380952381</c:v>
                </c:pt>
                <c:pt idx="4">
                  <c:v>38.4</c:v>
                </c:pt>
                <c:pt idx="5">
                  <c:v>46.477272727272727</c:v>
                </c:pt>
                <c:pt idx="6">
                  <c:v>47.096590909090907</c:v>
                </c:pt>
                <c:pt idx="7">
                  <c:v>44.526190476190472</c:v>
                </c:pt>
                <c:pt idx="8">
                  <c:v>48.386904761904759</c:v>
                </c:pt>
                <c:pt idx="9">
                  <c:v>53.386363636363633</c:v>
                </c:pt>
                <c:pt idx="10">
                  <c:v>63.407894736842103</c:v>
                </c:pt>
                <c:pt idx="11">
                  <c:v>71.568181818181813</c:v>
                </c:pt>
                <c:pt idx="12">
                  <c:v>90.65789473684211</c:v>
                </c:pt>
                <c:pt idx="13">
                  <c:v>100.85526315789474</c:v>
                </c:pt>
                <c:pt idx="14">
                  <c:v>129.1358695652174</c:v>
                </c:pt>
                <c:pt idx="15">
                  <c:v>138.08333333333334</c:v>
                </c:pt>
                <c:pt idx="16">
                  <c:v>179.98750000000001</c:v>
                </c:pt>
                <c:pt idx="17">
                  <c:v>167.23863636363637</c:v>
                </c:pt>
                <c:pt idx="18">
                  <c:v>150.9702380952381</c:v>
                </c:pt>
                <c:pt idx="19">
                  <c:v>154.97727272727272</c:v>
                </c:pt>
                <c:pt idx="20">
                  <c:v>117.39285714285714</c:v>
                </c:pt>
                <c:pt idx="21">
                  <c:v>127.94047619047619</c:v>
                </c:pt>
                <c:pt idx="22">
                  <c:v>109.4375</c:v>
                </c:pt>
                <c:pt idx="23">
                  <c:v>100.80952380952381</c:v>
                </c:pt>
                <c:pt idx="24">
                  <c:v>113.02631578947368</c:v>
                </c:pt>
                <c:pt idx="25">
                  <c:v>115.61184210526316</c:v>
                </c:pt>
                <c:pt idx="26">
                  <c:v>114.58695652173913</c:v>
                </c:pt>
                <c:pt idx="27">
                  <c:v>128.70625000000001</c:v>
                </c:pt>
                <c:pt idx="28">
                  <c:v>153.20238095238096</c:v>
                </c:pt>
                <c:pt idx="29">
                  <c:v>152.1904761904762</c:v>
                </c:pt>
                <c:pt idx="30">
                  <c:v>149.8125</c:v>
                </c:pt>
                <c:pt idx="31">
                  <c:v>162.25</c:v>
                </c:pt>
                <c:pt idx="32">
                  <c:v>161.8154761904762</c:v>
                </c:pt>
                <c:pt idx="33">
                  <c:v>162.4345238095238</c:v>
                </c:pt>
                <c:pt idx="34">
                  <c:v>177.98750000000001</c:v>
                </c:pt>
                <c:pt idx="35">
                  <c:v>160.625</c:v>
                </c:pt>
                <c:pt idx="36">
                  <c:v>166.33750000000001</c:v>
                </c:pt>
                <c:pt idx="37">
                  <c:v>158.56578947368422</c:v>
                </c:pt>
                <c:pt idx="38">
                  <c:v>153.58695652173913</c:v>
                </c:pt>
                <c:pt idx="39">
                  <c:v>153.875</c:v>
                </c:pt>
                <c:pt idx="40">
                  <c:v>150.5625</c:v>
                </c:pt>
                <c:pt idx="41">
                  <c:v>142.38095238095238</c:v>
                </c:pt>
                <c:pt idx="42">
                  <c:v>155.02500000000001</c:v>
                </c:pt>
                <c:pt idx="43">
                  <c:v>144.52173913043478</c:v>
                </c:pt>
                <c:pt idx="44">
                  <c:v>118.425</c:v>
                </c:pt>
                <c:pt idx="45">
                  <c:v>88.068181818181813</c:v>
                </c:pt>
                <c:pt idx="46">
                  <c:v>82.887500000000003</c:v>
                </c:pt>
                <c:pt idx="47">
                  <c:v>81.15625</c:v>
                </c:pt>
                <c:pt idx="48">
                  <c:v>71.666666666666671</c:v>
                </c:pt>
                <c:pt idx="49">
                  <c:v>47.35</c:v>
                </c:pt>
                <c:pt idx="50">
                  <c:v>51.912500000000001</c:v>
                </c:pt>
                <c:pt idx="51">
                  <c:v>48.272727272727273</c:v>
                </c:pt>
              </c:numCache>
            </c:numRef>
          </c:xVal>
          <c:yVal>
            <c:numRef>
              <c:f>Monthly!$O$82:$O$133</c:f>
              <c:numCache>
                <c:formatCode>0.00</c:formatCode>
                <c:ptCount val="52"/>
                <c:pt idx="0">
                  <c:v>0.23836394557823137</c:v>
                </c:pt>
                <c:pt idx="1">
                  <c:v>0.18648308270676672</c:v>
                </c:pt>
                <c:pt idx="2">
                  <c:v>-0.38365584415584431</c:v>
                </c:pt>
                <c:pt idx="3">
                  <c:v>-0.48910034013605441</c:v>
                </c:pt>
                <c:pt idx="4">
                  <c:v>-0.18575892857142862</c:v>
                </c:pt>
                <c:pt idx="5">
                  <c:v>1.7125000000000057E-2</c:v>
                </c:pt>
                <c:pt idx="6">
                  <c:v>4.145941558441546E-2</c:v>
                </c:pt>
                <c:pt idx="7">
                  <c:v>0.10873299319727869</c:v>
                </c:pt>
                <c:pt idx="8">
                  <c:v>-0.13212074829931986</c:v>
                </c:pt>
                <c:pt idx="9">
                  <c:v>-0.26663474025974043</c:v>
                </c:pt>
                <c:pt idx="10">
                  <c:v>-0.33132142857142877</c:v>
                </c:pt>
                <c:pt idx="11">
                  <c:v>-0.23995112781954897</c:v>
                </c:pt>
                <c:pt idx="12">
                  <c:v>-0.30969548872180486</c:v>
                </c:pt>
                <c:pt idx="13">
                  <c:v>-0.22519172932330833</c:v>
                </c:pt>
                <c:pt idx="14">
                  <c:v>5.1464285714285962E-2</c:v>
                </c:pt>
                <c:pt idx="15">
                  <c:v>-0.19325510204081642</c:v>
                </c:pt>
                <c:pt idx="16">
                  <c:v>-0.28815178571428568</c:v>
                </c:pt>
                <c:pt idx="17">
                  <c:v>-0.19546103896103917</c:v>
                </c:pt>
                <c:pt idx="18">
                  <c:v>0.27656632653061219</c:v>
                </c:pt>
                <c:pt idx="19">
                  <c:v>0.25675974025974013</c:v>
                </c:pt>
                <c:pt idx="20">
                  <c:v>0.29093452380952356</c:v>
                </c:pt>
                <c:pt idx="21">
                  <c:v>0.50350340136054417</c:v>
                </c:pt>
                <c:pt idx="22">
                  <c:v>0.25509693877551021</c:v>
                </c:pt>
                <c:pt idx="23">
                  <c:v>2.0064935064934897E-2</c:v>
                </c:pt>
                <c:pt idx="24">
                  <c:v>0.2256607142857141</c:v>
                </c:pt>
                <c:pt idx="25">
                  <c:v>0.36425563909774406</c:v>
                </c:pt>
                <c:pt idx="26">
                  <c:v>0.62869565217391266</c:v>
                </c:pt>
                <c:pt idx="27">
                  <c:v>0.44863392857142825</c:v>
                </c:pt>
                <c:pt idx="28">
                  <c:v>0.98446768707482946</c:v>
                </c:pt>
                <c:pt idx="29">
                  <c:v>1.2784115646258503</c:v>
                </c:pt>
                <c:pt idx="30">
                  <c:v>1.1902857142857144</c:v>
                </c:pt>
                <c:pt idx="31">
                  <c:v>0.65358540372670815</c:v>
                </c:pt>
                <c:pt idx="32">
                  <c:v>2.8292517006802687E-2</c:v>
                </c:pt>
                <c:pt idx="33">
                  <c:v>0.25961564625850331</c:v>
                </c:pt>
                <c:pt idx="34">
                  <c:v>0.13843537414965956</c:v>
                </c:pt>
                <c:pt idx="35">
                  <c:v>-0.1156224489795914</c:v>
                </c:pt>
                <c:pt idx="36">
                  <c:v>9.075892857142831E-2</c:v>
                </c:pt>
                <c:pt idx="37">
                  <c:v>3.1242481203007433E-2</c:v>
                </c:pt>
                <c:pt idx="38">
                  <c:v>0.3625108695652175</c:v>
                </c:pt>
                <c:pt idx="39">
                  <c:v>0.37613721804511258</c:v>
                </c:pt>
                <c:pt idx="40">
                  <c:v>0.44089661654135304</c:v>
                </c:pt>
                <c:pt idx="41">
                  <c:v>0.37397619047619068</c:v>
                </c:pt>
                <c:pt idx="42">
                  <c:v>0.86931512605041994</c:v>
                </c:pt>
                <c:pt idx="43">
                  <c:v>1.1295434782608695</c:v>
                </c:pt>
                <c:pt idx="44">
                  <c:v>0.9077678571428569</c:v>
                </c:pt>
                <c:pt idx="45">
                  <c:v>0.5296006493506491</c:v>
                </c:pt>
                <c:pt idx="46">
                  <c:v>0.46583843537414982</c:v>
                </c:pt>
                <c:pt idx="47">
                  <c:v>0.39174107142857162</c:v>
                </c:pt>
                <c:pt idx="48">
                  <c:v>0.54626700680272133</c:v>
                </c:pt>
                <c:pt idx="49">
                  <c:v>0.77994642857142837</c:v>
                </c:pt>
                <c:pt idx="50">
                  <c:v>1.1055267857142854</c:v>
                </c:pt>
                <c:pt idx="51">
                  <c:v>1.2107678571428568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22-47BF-9F29-D330A4B11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478224"/>
        <c:axId val="1361464304"/>
      </c:scatterChart>
      <c:valAx>
        <c:axId val="136147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64304"/>
        <c:crosses val="autoZero"/>
        <c:crossBetween val="midCat"/>
      </c:valAx>
      <c:valAx>
        <c:axId val="13614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D6 to RBOB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625918635170609"/>
                  <c:y val="-0.459238845144356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Monthly!$L$82:$L$133</c:f>
              <c:numCache>
                <c:formatCode>#,##0.00_);[Red]\(#,##0.00\)</c:formatCode>
                <c:ptCount val="52"/>
                <c:pt idx="0">
                  <c:v>15.909090909090908</c:v>
                </c:pt>
                <c:pt idx="1">
                  <c:v>30.815789473684209</c:v>
                </c:pt>
                <c:pt idx="2">
                  <c:v>28.829545454545453</c:v>
                </c:pt>
                <c:pt idx="3">
                  <c:v>35.05952380952381</c:v>
                </c:pt>
                <c:pt idx="4">
                  <c:v>38.4</c:v>
                </c:pt>
                <c:pt idx="5">
                  <c:v>46.477272727272727</c:v>
                </c:pt>
                <c:pt idx="6">
                  <c:v>47.096590909090907</c:v>
                </c:pt>
                <c:pt idx="7">
                  <c:v>44.526190476190472</c:v>
                </c:pt>
                <c:pt idx="8">
                  <c:v>48.386904761904759</c:v>
                </c:pt>
                <c:pt idx="9">
                  <c:v>53.386363636363633</c:v>
                </c:pt>
                <c:pt idx="10">
                  <c:v>63.407894736842103</c:v>
                </c:pt>
                <c:pt idx="11">
                  <c:v>71.568181818181813</c:v>
                </c:pt>
                <c:pt idx="12">
                  <c:v>90.65789473684211</c:v>
                </c:pt>
                <c:pt idx="13">
                  <c:v>100.85526315789474</c:v>
                </c:pt>
                <c:pt idx="14">
                  <c:v>129.1358695652174</c:v>
                </c:pt>
                <c:pt idx="15">
                  <c:v>138.08333333333334</c:v>
                </c:pt>
                <c:pt idx="16">
                  <c:v>179.98750000000001</c:v>
                </c:pt>
                <c:pt idx="17">
                  <c:v>167.23863636363637</c:v>
                </c:pt>
                <c:pt idx="18">
                  <c:v>150.9702380952381</c:v>
                </c:pt>
                <c:pt idx="19">
                  <c:v>154.97727272727272</c:v>
                </c:pt>
                <c:pt idx="20">
                  <c:v>117.39285714285714</c:v>
                </c:pt>
                <c:pt idx="21">
                  <c:v>127.94047619047619</c:v>
                </c:pt>
                <c:pt idx="22">
                  <c:v>109.4375</c:v>
                </c:pt>
                <c:pt idx="23">
                  <c:v>100.80952380952381</c:v>
                </c:pt>
                <c:pt idx="24">
                  <c:v>113.02631578947368</c:v>
                </c:pt>
                <c:pt idx="25">
                  <c:v>115.61184210526316</c:v>
                </c:pt>
                <c:pt idx="26">
                  <c:v>114.58695652173913</c:v>
                </c:pt>
                <c:pt idx="27">
                  <c:v>128.70625000000001</c:v>
                </c:pt>
                <c:pt idx="28">
                  <c:v>153.20238095238096</c:v>
                </c:pt>
                <c:pt idx="29">
                  <c:v>152.1904761904762</c:v>
                </c:pt>
                <c:pt idx="30">
                  <c:v>149.8125</c:v>
                </c:pt>
                <c:pt idx="31">
                  <c:v>162.25</c:v>
                </c:pt>
                <c:pt idx="32">
                  <c:v>161.8154761904762</c:v>
                </c:pt>
                <c:pt idx="33">
                  <c:v>162.4345238095238</c:v>
                </c:pt>
                <c:pt idx="34">
                  <c:v>177.98750000000001</c:v>
                </c:pt>
                <c:pt idx="35">
                  <c:v>160.625</c:v>
                </c:pt>
                <c:pt idx="36">
                  <c:v>166.33750000000001</c:v>
                </c:pt>
                <c:pt idx="37">
                  <c:v>158.56578947368422</c:v>
                </c:pt>
                <c:pt idx="38">
                  <c:v>153.58695652173913</c:v>
                </c:pt>
                <c:pt idx="39">
                  <c:v>153.875</c:v>
                </c:pt>
                <c:pt idx="40">
                  <c:v>150.5625</c:v>
                </c:pt>
                <c:pt idx="41">
                  <c:v>142.38095238095238</c:v>
                </c:pt>
                <c:pt idx="42">
                  <c:v>155.02500000000001</c:v>
                </c:pt>
                <c:pt idx="43">
                  <c:v>144.52173913043478</c:v>
                </c:pt>
                <c:pt idx="44">
                  <c:v>118.425</c:v>
                </c:pt>
                <c:pt idx="45">
                  <c:v>88.068181818181813</c:v>
                </c:pt>
                <c:pt idx="46">
                  <c:v>82.887500000000003</c:v>
                </c:pt>
                <c:pt idx="47">
                  <c:v>81.15625</c:v>
                </c:pt>
                <c:pt idx="48">
                  <c:v>71.666666666666671</c:v>
                </c:pt>
                <c:pt idx="49">
                  <c:v>47.35</c:v>
                </c:pt>
                <c:pt idx="50">
                  <c:v>51.912500000000001</c:v>
                </c:pt>
                <c:pt idx="51">
                  <c:v>48.272727272727273</c:v>
                </c:pt>
              </c:numCache>
            </c:numRef>
          </c:xVal>
          <c:yVal>
            <c:numRef>
              <c:f>Monthly!$N$82:$N$133</c:f>
              <c:numCache>
                <c:formatCode>General</c:formatCode>
                <c:ptCount val="52"/>
                <c:pt idx="0">
                  <c:v>1.6160000000000001</c:v>
                </c:pt>
                <c:pt idx="1">
                  <c:v>1.5369999999999999</c:v>
                </c:pt>
                <c:pt idx="2">
                  <c:v>0.89800000000000002</c:v>
                </c:pt>
                <c:pt idx="3">
                  <c:v>0.66800000000000004</c:v>
                </c:pt>
                <c:pt idx="4">
                  <c:v>0.95499999999999996</c:v>
                </c:pt>
                <c:pt idx="5">
                  <c:v>1.1890000000000001</c:v>
                </c:pt>
                <c:pt idx="6">
                  <c:v>1.254</c:v>
                </c:pt>
                <c:pt idx="7">
                  <c:v>1.27</c:v>
                </c:pt>
                <c:pt idx="8">
                  <c:v>1.1759999999999999</c:v>
                </c:pt>
                <c:pt idx="9">
                  <c:v>1.1579999999999999</c:v>
                </c:pt>
                <c:pt idx="10">
                  <c:v>1.161</c:v>
                </c:pt>
                <c:pt idx="11">
                  <c:v>1.3280000000000001</c:v>
                </c:pt>
                <c:pt idx="12">
                  <c:v>1.5309999999999999</c:v>
                </c:pt>
                <c:pt idx="13">
                  <c:v>1.7390000000000001</c:v>
                </c:pt>
                <c:pt idx="14">
                  <c:v>2.0070000000000001</c:v>
                </c:pt>
                <c:pt idx="15">
                  <c:v>2.0070000000000001</c:v>
                </c:pt>
                <c:pt idx="16">
                  <c:v>2.1259999999999999</c:v>
                </c:pt>
                <c:pt idx="17">
                  <c:v>2.206</c:v>
                </c:pt>
                <c:pt idx="18">
                  <c:v>2.2669999999999999</c:v>
                </c:pt>
                <c:pt idx="19">
                  <c:v>2.2290000000000001</c:v>
                </c:pt>
                <c:pt idx="20">
                  <c:v>2.1640000000000001</c:v>
                </c:pt>
                <c:pt idx="21">
                  <c:v>2.42</c:v>
                </c:pt>
                <c:pt idx="22">
                  <c:v>2.294</c:v>
                </c:pt>
                <c:pt idx="23">
                  <c:v>2.1349999999999998</c:v>
                </c:pt>
                <c:pt idx="24">
                  <c:v>2.4020000000000001</c:v>
                </c:pt>
                <c:pt idx="25">
                  <c:v>2.6869999999999998</c:v>
                </c:pt>
                <c:pt idx="26">
                  <c:v>3.2949999999999999</c:v>
                </c:pt>
                <c:pt idx="27">
                  <c:v>3.2559999999999998</c:v>
                </c:pt>
                <c:pt idx="28">
                  <c:v>3.7839999999999998</c:v>
                </c:pt>
                <c:pt idx="29">
                  <c:v>3.9870000000000001</c:v>
                </c:pt>
                <c:pt idx="30">
                  <c:v>3.3410000000000002</c:v>
                </c:pt>
                <c:pt idx="31">
                  <c:v>2.911</c:v>
                </c:pt>
                <c:pt idx="32">
                  <c:v>2.4470000000000001</c:v>
                </c:pt>
                <c:pt idx="33">
                  <c:v>2.7080000000000002</c:v>
                </c:pt>
                <c:pt idx="34">
                  <c:v>2.5249999999999999</c:v>
                </c:pt>
                <c:pt idx="35">
                  <c:v>2.2280000000000002</c:v>
                </c:pt>
                <c:pt idx="36">
                  <c:v>2.4849999999999999</c:v>
                </c:pt>
                <c:pt idx="37">
                  <c:v>2.4279999999999999</c:v>
                </c:pt>
                <c:pt idx="38">
                  <c:v>2.6280000000000001</c:v>
                </c:pt>
                <c:pt idx="39">
                  <c:v>2.7149999999999999</c:v>
                </c:pt>
                <c:pt idx="40">
                  <c:v>2.5259999999999998</c:v>
                </c:pt>
                <c:pt idx="41">
                  <c:v>2.5710000000000002</c:v>
                </c:pt>
                <c:pt idx="42">
                  <c:v>2.7189999999999999</c:v>
                </c:pt>
                <c:pt idx="43">
                  <c:v>2.8290000000000002</c:v>
                </c:pt>
                <c:pt idx="44">
                  <c:v>2.625</c:v>
                </c:pt>
                <c:pt idx="45">
                  <c:v>2.274</c:v>
                </c:pt>
                <c:pt idx="46">
                  <c:v>2.2010000000000001</c:v>
                </c:pt>
                <c:pt idx="47">
                  <c:v>2.105</c:v>
                </c:pt>
                <c:pt idx="48">
                  <c:v>2.16</c:v>
                </c:pt>
                <c:pt idx="49">
                  <c:v>2.2919999999999998</c:v>
                </c:pt>
                <c:pt idx="50">
                  <c:v>2.6619999999999999</c:v>
                </c:pt>
                <c:pt idx="51">
                  <c:v>2.7629999999999999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4A-45D3-9850-5C18A0448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478224"/>
        <c:axId val="1361464304"/>
      </c:scatterChart>
      <c:valAx>
        <c:axId val="136147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64304"/>
        <c:crosses val="autoZero"/>
        <c:crossBetween val="midCat"/>
      </c:valAx>
      <c:valAx>
        <c:axId val="13614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D6 to Corn per ethanol gallon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636482939632552E-2"/>
          <c:y val="0.15319444444444447"/>
          <c:w val="0.84655096237970251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117388451443571"/>
                  <c:y val="2.109215514727325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Monthly!$L$82:$L$133</c:f>
              <c:numCache>
                <c:formatCode>#,##0.00_);[Red]\(#,##0.00\)</c:formatCode>
                <c:ptCount val="52"/>
                <c:pt idx="0">
                  <c:v>15.909090909090908</c:v>
                </c:pt>
                <c:pt idx="1">
                  <c:v>30.815789473684209</c:v>
                </c:pt>
                <c:pt idx="2">
                  <c:v>28.829545454545453</c:v>
                </c:pt>
                <c:pt idx="3">
                  <c:v>35.05952380952381</c:v>
                </c:pt>
                <c:pt idx="4">
                  <c:v>38.4</c:v>
                </c:pt>
                <c:pt idx="5">
                  <c:v>46.477272727272727</c:v>
                </c:pt>
                <c:pt idx="6">
                  <c:v>47.096590909090907</c:v>
                </c:pt>
                <c:pt idx="7">
                  <c:v>44.526190476190472</c:v>
                </c:pt>
                <c:pt idx="8">
                  <c:v>48.386904761904759</c:v>
                </c:pt>
                <c:pt idx="9">
                  <c:v>53.386363636363633</c:v>
                </c:pt>
                <c:pt idx="10">
                  <c:v>63.407894736842103</c:v>
                </c:pt>
                <c:pt idx="11">
                  <c:v>71.568181818181813</c:v>
                </c:pt>
                <c:pt idx="12">
                  <c:v>90.65789473684211</c:v>
                </c:pt>
                <c:pt idx="13">
                  <c:v>100.85526315789474</c:v>
                </c:pt>
                <c:pt idx="14">
                  <c:v>129.1358695652174</c:v>
                </c:pt>
                <c:pt idx="15">
                  <c:v>138.08333333333334</c:v>
                </c:pt>
                <c:pt idx="16">
                  <c:v>179.98750000000001</c:v>
                </c:pt>
                <c:pt idx="17">
                  <c:v>167.23863636363637</c:v>
                </c:pt>
                <c:pt idx="18">
                  <c:v>150.9702380952381</c:v>
                </c:pt>
                <c:pt idx="19">
                  <c:v>154.97727272727272</c:v>
                </c:pt>
                <c:pt idx="20">
                  <c:v>117.39285714285714</c:v>
                </c:pt>
                <c:pt idx="21">
                  <c:v>127.94047619047619</c:v>
                </c:pt>
                <c:pt idx="22">
                  <c:v>109.4375</c:v>
                </c:pt>
                <c:pt idx="23">
                  <c:v>100.80952380952381</c:v>
                </c:pt>
                <c:pt idx="24">
                  <c:v>113.02631578947368</c:v>
                </c:pt>
                <c:pt idx="25">
                  <c:v>115.61184210526316</c:v>
                </c:pt>
                <c:pt idx="26">
                  <c:v>114.58695652173913</c:v>
                </c:pt>
                <c:pt idx="27">
                  <c:v>128.70625000000001</c:v>
                </c:pt>
                <c:pt idx="28">
                  <c:v>153.20238095238096</c:v>
                </c:pt>
                <c:pt idx="29">
                  <c:v>152.1904761904762</c:v>
                </c:pt>
                <c:pt idx="30">
                  <c:v>149.8125</c:v>
                </c:pt>
                <c:pt idx="31">
                  <c:v>162.25</c:v>
                </c:pt>
                <c:pt idx="32">
                  <c:v>161.8154761904762</c:v>
                </c:pt>
                <c:pt idx="33">
                  <c:v>162.4345238095238</c:v>
                </c:pt>
                <c:pt idx="34">
                  <c:v>177.98750000000001</c:v>
                </c:pt>
                <c:pt idx="35">
                  <c:v>160.625</c:v>
                </c:pt>
                <c:pt idx="36">
                  <c:v>166.33750000000001</c:v>
                </c:pt>
                <c:pt idx="37">
                  <c:v>158.56578947368422</c:v>
                </c:pt>
                <c:pt idx="38">
                  <c:v>153.58695652173913</c:v>
                </c:pt>
                <c:pt idx="39">
                  <c:v>153.875</c:v>
                </c:pt>
                <c:pt idx="40">
                  <c:v>150.5625</c:v>
                </c:pt>
                <c:pt idx="41">
                  <c:v>142.38095238095238</c:v>
                </c:pt>
                <c:pt idx="42">
                  <c:v>155.02500000000001</c:v>
                </c:pt>
                <c:pt idx="43">
                  <c:v>144.52173913043478</c:v>
                </c:pt>
                <c:pt idx="44">
                  <c:v>118.425</c:v>
                </c:pt>
                <c:pt idx="45">
                  <c:v>88.068181818181813</c:v>
                </c:pt>
                <c:pt idx="46">
                  <c:v>82.887500000000003</c:v>
                </c:pt>
                <c:pt idx="47">
                  <c:v>81.15625</c:v>
                </c:pt>
                <c:pt idx="48">
                  <c:v>71.666666666666671</c:v>
                </c:pt>
                <c:pt idx="49">
                  <c:v>47.35</c:v>
                </c:pt>
                <c:pt idx="50">
                  <c:v>51.912500000000001</c:v>
                </c:pt>
                <c:pt idx="51">
                  <c:v>48.272727272727273</c:v>
                </c:pt>
              </c:numCache>
            </c:numRef>
          </c:xVal>
          <c:yVal>
            <c:numRef>
              <c:f>Monthly!$M$82:$M$133</c:f>
              <c:numCache>
                <c:formatCode>0.00</c:formatCode>
                <c:ptCount val="52"/>
                <c:pt idx="0">
                  <c:v>1.3776360544217687</c:v>
                </c:pt>
                <c:pt idx="1">
                  <c:v>1.3505169172932332</c:v>
                </c:pt>
                <c:pt idx="2">
                  <c:v>1.2816558441558443</c:v>
                </c:pt>
                <c:pt idx="3">
                  <c:v>1.1571003401360545</c:v>
                </c:pt>
                <c:pt idx="4">
                  <c:v>1.1407589285714286</c:v>
                </c:pt>
                <c:pt idx="5">
                  <c:v>1.171875</c:v>
                </c:pt>
                <c:pt idx="6">
                  <c:v>1.2125405844155845</c:v>
                </c:pt>
                <c:pt idx="7">
                  <c:v>1.1612670068027213</c:v>
                </c:pt>
                <c:pt idx="8">
                  <c:v>1.3081207482993198</c:v>
                </c:pt>
                <c:pt idx="9">
                  <c:v>1.4246347402597404</c:v>
                </c:pt>
                <c:pt idx="10">
                  <c:v>1.4923214285714288</c:v>
                </c:pt>
                <c:pt idx="11">
                  <c:v>1.567951127819549</c:v>
                </c:pt>
                <c:pt idx="12">
                  <c:v>1.8406954887218048</c:v>
                </c:pt>
                <c:pt idx="13">
                  <c:v>1.9641917293233084</c:v>
                </c:pt>
                <c:pt idx="14">
                  <c:v>1.9555357142857142</c:v>
                </c:pt>
                <c:pt idx="15">
                  <c:v>2.2002551020408165</c:v>
                </c:pt>
                <c:pt idx="16">
                  <c:v>2.4141517857142856</c:v>
                </c:pt>
                <c:pt idx="17">
                  <c:v>2.4014610389610391</c:v>
                </c:pt>
                <c:pt idx="18">
                  <c:v>1.9904336734693877</c:v>
                </c:pt>
                <c:pt idx="19">
                  <c:v>1.97224025974026</c:v>
                </c:pt>
                <c:pt idx="20">
                  <c:v>1.8730654761904766</c:v>
                </c:pt>
                <c:pt idx="21">
                  <c:v>1.9164965986394558</c:v>
                </c:pt>
                <c:pt idx="22">
                  <c:v>2.0389030612244898</c:v>
                </c:pt>
                <c:pt idx="23">
                  <c:v>2.1149350649350649</c:v>
                </c:pt>
                <c:pt idx="24">
                  <c:v>2.176339285714286</c:v>
                </c:pt>
                <c:pt idx="25">
                  <c:v>2.3227443609022558</c:v>
                </c:pt>
                <c:pt idx="26">
                  <c:v>2.6663043478260873</c:v>
                </c:pt>
                <c:pt idx="27">
                  <c:v>2.8073660714285715</c:v>
                </c:pt>
                <c:pt idx="28">
                  <c:v>2.7995323129251704</c:v>
                </c:pt>
                <c:pt idx="29">
                  <c:v>2.7085884353741498</c:v>
                </c:pt>
                <c:pt idx="30">
                  <c:v>2.1507142857142858</c:v>
                </c:pt>
                <c:pt idx="31">
                  <c:v>2.2574145962732919</c:v>
                </c:pt>
                <c:pt idx="32">
                  <c:v>2.4187074829931974</c:v>
                </c:pt>
                <c:pt idx="33">
                  <c:v>2.4483843537414969</c:v>
                </c:pt>
                <c:pt idx="34">
                  <c:v>2.3865646258503403</c:v>
                </c:pt>
                <c:pt idx="35">
                  <c:v>2.3436224489795916</c:v>
                </c:pt>
                <c:pt idx="36">
                  <c:v>2.3942410714285716</c:v>
                </c:pt>
                <c:pt idx="37">
                  <c:v>2.3967575187969925</c:v>
                </c:pt>
                <c:pt idx="38">
                  <c:v>2.2654891304347826</c:v>
                </c:pt>
                <c:pt idx="39">
                  <c:v>2.3388627819548873</c:v>
                </c:pt>
                <c:pt idx="40">
                  <c:v>2.0851033834586468</c:v>
                </c:pt>
                <c:pt idx="41">
                  <c:v>2.1970238095238095</c:v>
                </c:pt>
                <c:pt idx="42">
                  <c:v>1.8496848739495799</c:v>
                </c:pt>
                <c:pt idx="43">
                  <c:v>1.6994565217391306</c:v>
                </c:pt>
                <c:pt idx="44">
                  <c:v>1.7172321428571431</c:v>
                </c:pt>
                <c:pt idx="45">
                  <c:v>1.7443993506493509</c:v>
                </c:pt>
                <c:pt idx="46">
                  <c:v>1.7351615646258503</c:v>
                </c:pt>
                <c:pt idx="47">
                  <c:v>1.7132589285714284</c:v>
                </c:pt>
                <c:pt idx="48">
                  <c:v>1.6137329931972788</c:v>
                </c:pt>
                <c:pt idx="49">
                  <c:v>1.5120535714285714</c:v>
                </c:pt>
                <c:pt idx="50">
                  <c:v>1.5564732142857145</c:v>
                </c:pt>
                <c:pt idx="51">
                  <c:v>1.5522321428571431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8B-470E-BCC5-C891615F1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478224"/>
        <c:axId val="1361464304"/>
      </c:scatterChart>
      <c:valAx>
        <c:axId val="136147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64304"/>
        <c:crosses val="autoZero"/>
        <c:crossBetween val="midCat"/>
      </c:valAx>
      <c:valAx>
        <c:axId val="13614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D4 to SBO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822922134733157"/>
                  <c:y val="-5.474482356372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Monthly!$J$82:$J$133</c:f>
              <c:numCache>
                <c:formatCode>#,##0.00_);[Red]\(#,##0.00\)</c:formatCode>
                <c:ptCount val="52"/>
                <c:pt idx="0">
                  <c:v>40.352272727272727</c:v>
                </c:pt>
                <c:pt idx="1">
                  <c:v>48.539473684210527</c:v>
                </c:pt>
                <c:pt idx="2">
                  <c:v>48.56818181818182</c:v>
                </c:pt>
                <c:pt idx="3">
                  <c:v>52.107142857142854</c:v>
                </c:pt>
                <c:pt idx="4">
                  <c:v>53.625</c:v>
                </c:pt>
                <c:pt idx="5">
                  <c:v>56.511363636363633</c:v>
                </c:pt>
                <c:pt idx="6">
                  <c:v>59.840909090909093</c:v>
                </c:pt>
                <c:pt idx="7">
                  <c:v>64.964285714285708</c:v>
                </c:pt>
                <c:pt idx="8">
                  <c:v>76.38095238095238</c:v>
                </c:pt>
                <c:pt idx="9">
                  <c:v>79.693181818181813</c:v>
                </c:pt>
                <c:pt idx="10">
                  <c:v>87.315789473684205</c:v>
                </c:pt>
                <c:pt idx="11">
                  <c:v>97.181818181818187</c:v>
                </c:pt>
                <c:pt idx="12">
                  <c:v>102.61842105263158</c:v>
                </c:pt>
                <c:pt idx="13">
                  <c:v>109.89473684210526</c:v>
                </c:pt>
                <c:pt idx="14">
                  <c:v>138.40217391304347</c:v>
                </c:pt>
                <c:pt idx="15">
                  <c:v>145.82142857142858</c:v>
                </c:pt>
                <c:pt idx="16">
                  <c:v>188.3125</c:v>
                </c:pt>
                <c:pt idx="17">
                  <c:v>176.5</c:v>
                </c:pt>
                <c:pt idx="18">
                  <c:v>165.60714285714286</c:v>
                </c:pt>
                <c:pt idx="19">
                  <c:v>171.84090909090909</c:v>
                </c:pt>
                <c:pt idx="20">
                  <c:v>143.66666666666666</c:v>
                </c:pt>
                <c:pt idx="21">
                  <c:v>153.52380952380952</c:v>
                </c:pt>
                <c:pt idx="22">
                  <c:v>142.94999999999999</c:v>
                </c:pt>
                <c:pt idx="23">
                  <c:v>151.0595238095238</c:v>
                </c:pt>
                <c:pt idx="24">
                  <c:v>135.71250000000001</c:v>
                </c:pt>
                <c:pt idx="25">
                  <c:v>146.46052631578948</c:v>
                </c:pt>
                <c:pt idx="26">
                  <c:v>148.36956521739131</c:v>
                </c:pt>
                <c:pt idx="27">
                  <c:v>166.66874999999999</c:v>
                </c:pt>
                <c:pt idx="28">
                  <c:v>178.38095238095238</c:v>
                </c:pt>
                <c:pt idx="29">
                  <c:v>163.25</c:v>
                </c:pt>
                <c:pt idx="30">
                  <c:v>161.42500000000001</c:v>
                </c:pt>
                <c:pt idx="31">
                  <c:v>176.58695652173913</c:v>
                </c:pt>
                <c:pt idx="32">
                  <c:v>174.8154761904762</c:v>
                </c:pt>
                <c:pt idx="33">
                  <c:v>181.3095238095238</c:v>
                </c:pt>
                <c:pt idx="34">
                  <c:v>191.47499999999999</c:v>
                </c:pt>
                <c:pt idx="35">
                  <c:v>173.02380952380952</c:v>
                </c:pt>
                <c:pt idx="36">
                  <c:v>169.125</c:v>
                </c:pt>
                <c:pt idx="37">
                  <c:v>161.97368421052633</c:v>
                </c:pt>
                <c:pt idx="38">
                  <c:v>157.40217391304347</c:v>
                </c:pt>
                <c:pt idx="39">
                  <c:v>156.70526315789473</c:v>
                </c:pt>
                <c:pt idx="40">
                  <c:v>153.39772727272728</c:v>
                </c:pt>
                <c:pt idx="41">
                  <c:v>144.4702380952381</c:v>
                </c:pt>
                <c:pt idx="42">
                  <c:v>155.63749999999999</c:v>
                </c:pt>
                <c:pt idx="43">
                  <c:v>145.03260869565219</c:v>
                </c:pt>
                <c:pt idx="44">
                  <c:v>119.4</c:v>
                </c:pt>
                <c:pt idx="45">
                  <c:v>88.602272727272734</c:v>
                </c:pt>
                <c:pt idx="46">
                  <c:v>82.912499999999994</c:v>
                </c:pt>
                <c:pt idx="47">
                  <c:v>81.231250000000003</c:v>
                </c:pt>
                <c:pt idx="48">
                  <c:v>72.583333333333329</c:v>
                </c:pt>
                <c:pt idx="49">
                  <c:v>47.987499999999997</c:v>
                </c:pt>
                <c:pt idx="50">
                  <c:v>52.475000000000001</c:v>
                </c:pt>
                <c:pt idx="51">
                  <c:v>48.477272727272727</c:v>
                </c:pt>
              </c:numCache>
            </c:numRef>
          </c:xVal>
          <c:yVal>
            <c:numRef>
              <c:f>Monthly!$S$82:$S$133</c:f>
              <c:numCache>
                <c:formatCode>_(* #,##0.00_);_(* \(#,##0.00\);_(* "-"??_);_(@_)</c:formatCode>
                <c:ptCount val="52"/>
                <c:pt idx="0">
                  <c:v>33.150952380952383</c:v>
                </c:pt>
                <c:pt idx="1">
                  <c:v>30.248421052631581</c:v>
                </c:pt>
                <c:pt idx="2">
                  <c:v>27.017727272727271</c:v>
                </c:pt>
                <c:pt idx="3">
                  <c:v>26.202857142857148</c:v>
                </c:pt>
                <c:pt idx="4">
                  <c:v>26.708999999999996</c:v>
                </c:pt>
                <c:pt idx="5">
                  <c:v>27.891363636363643</c:v>
                </c:pt>
                <c:pt idx="6">
                  <c:v>29.206818181818178</c:v>
                </c:pt>
                <c:pt idx="7">
                  <c:v>31.59238095238096</c:v>
                </c:pt>
                <c:pt idx="8">
                  <c:v>33.51047619047619</c:v>
                </c:pt>
                <c:pt idx="9">
                  <c:v>33.276818181818186</c:v>
                </c:pt>
                <c:pt idx="10">
                  <c:v>36.862499999999997</c:v>
                </c:pt>
                <c:pt idx="11">
                  <c:v>39.571363636363643</c:v>
                </c:pt>
                <c:pt idx="12">
                  <c:v>43.154210526315786</c:v>
                </c:pt>
                <c:pt idx="13">
                  <c:v>46.94631578947368</c:v>
                </c:pt>
                <c:pt idx="14">
                  <c:v>53.370000000000012</c:v>
                </c:pt>
                <c:pt idx="15">
                  <c:v>58.235714285714302</c:v>
                </c:pt>
                <c:pt idx="16">
                  <c:v>65.639500000000012</c:v>
                </c:pt>
                <c:pt idx="17">
                  <c:v>65.243181818181839</c:v>
                </c:pt>
                <c:pt idx="18">
                  <c:v>64.936190476190475</c:v>
                </c:pt>
                <c:pt idx="19">
                  <c:v>61.464090909090899</c:v>
                </c:pt>
                <c:pt idx="20">
                  <c:v>57.204761904761902</c:v>
                </c:pt>
                <c:pt idx="21">
                  <c:v>61.246190476190478</c:v>
                </c:pt>
                <c:pt idx="22">
                  <c:v>59.234761904761896</c:v>
                </c:pt>
                <c:pt idx="23">
                  <c:v>55.209545454545463</c:v>
                </c:pt>
                <c:pt idx="24">
                  <c:v>60.679999999999993</c:v>
                </c:pt>
                <c:pt idx="25">
                  <c:v>67.012631578947364</c:v>
                </c:pt>
                <c:pt idx="26">
                  <c:v>74.006521739130449</c:v>
                </c:pt>
                <c:pt idx="27">
                  <c:v>79.201999999999998</c:v>
                </c:pt>
                <c:pt idx="28">
                  <c:v>81.004761904761907</c:v>
                </c:pt>
                <c:pt idx="29">
                  <c:v>76.33</c:v>
                </c:pt>
                <c:pt idx="30">
                  <c:v>61.398000000000003</c:v>
                </c:pt>
                <c:pt idx="31">
                  <c:v>67.486956521739117</c:v>
                </c:pt>
                <c:pt idx="32">
                  <c:v>66.873333333333335</c:v>
                </c:pt>
                <c:pt idx="33">
                  <c:v>68.494285714285709</c:v>
                </c:pt>
                <c:pt idx="34">
                  <c:v>74.968095238095245</c:v>
                </c:pt>
                <c:pt idx="35">
                  <c:v>64.203809523809525</c:v>
                </c:pt>
                <c:pt idx="36">
                  <c:v>62.383999999999993</c:v>
                </c:pt>
                <c:pt idx="37">
                  <c:v>60.783157894736839</c:v>
                </c:pt>
                <c:pt idx="38">
                  <c:v>56.891304347826086</c:v>
                </c:pt>
                <c:pt idx="39">
                  <c:v>53.917894736842108</c:v>
                </c:pt>
                <c:pt idx="40">
                  <c:v>49.765454545454553</c:v>
                </c:pt>
                <c:pt idx="41">
                  <c:v>55.860952380952369</c:v>
                </c:pt>
                <c:pt idx="42">
                  <c:v>66.389999999999972</c:v>
                </c:pt>
                <c:pt idx="43">
                  <c:v>65.607391304347829</c:v>
                </c:pt>
                <c:pt idx="44">
                  <c:v>61.316499999999984</c:v>
                </c:pt>
                <c:pt idx="45">
                  <c:v>53.868181818181831</c:v>
                </c:pt>
                <c:pt idx="46">
                  <c:v>51.671428571428564</c:v>
                </c:pt>
                <c:pt idx="47">
                  <c:v>49.773000000000003</c:v>
                </c:pt>
                <c:pt idx="48">
                  <c:v>47.540476190476184</c:v>
                </c:pt>
                <c:pt idx="49">
                  <c:v>45.639999999999993</c:v>
                </c:pt>
                <c:pt idx="50">
                  <c:v>47.468999999999994</c:v>
                </c:pt>
                <c:pt idx="51">
                  <c:v>46.189999999999991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6C-4690-88A5-83BC33F68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478224"/>
        <c:axId val="1361464304"/>
      </c:scatterChart>
      <c:valAx>
        <c:axId val="136147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64304"/>
        <c:crosses val="autoZero"/>
        <c:crossBetween val="midCat"/>
      </c:valAx>
      <c:valAx>
        <c:axId val="13614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D4 to Canola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822922134733157"/>
                  <c:y val="-5.474482356372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Monthly!$J$82:$J$139</c:f>
              <c:numCache>
                <c:formatCode>#,##0.00_);[Red]\(#,##0.00\)</c:formatCode>
                <c:ptCount val="58"/>
                <c:pt idx="0">
                  <c:v>40.352272727272727</c:v>
                </c:pt>
                <c:pt idx="1">
                  <c:v>48.539473684210527</c:v>
                </c:pt>
                <c:pt idx="2">
                  <c:v>48.56818181818182</c:v>
                </c:pt>
                <c:pt idx="3">
                  <c:v>52.107142857142854</c:v>
                </c:pt>
                <c:pt idx="4">
                  <c:v>53.625</c:v>
                </c:pt>
                <c:pt idx="5">
                  <c:v>56.511363636363633</c:v>
                </c:pt>
                <c:pt idx="6">
                  <c:v>59.840909090909093</c:v>
                </c:pt>
                <c:pt idx="7">
                  <c:v>64.964285714285708</c:v>
                </c:pt>
                <c:pt idx="8">
                  <c:v>76.38095238095238</c:v>
                </c:pt>
                <c:pt idx="9">
                  <c:v>79.693181818181813</c:v>
                </c:pt>
                <c:pt idx="10">
                  <c:v>87.315789473684205</c:v>
                </c:pt>
                <c:pt idx="11">
                  <c:v>97.181818181818187</c:v>
                </c:pt>
                <c:pt idx="12">
                  <c:v>102.61842105263158</c:v>
                </c:pt>
                <c:pt idx="13">
                  <c:v>109.89473684210526</c:v>
                </c:pt>
                <c:pt idx="14">
                  <c:v>138.40217391304347</c:v>
                </c:pt>
                <c:pt idx="15">
                  <c:v>145.82142857142858</c:v>
                </c:pt>
                <c:pt idx="16">
                  <c:v>188.3125</c:v>
                </c:pt>
                <c:pt idx="17">
                  <c:v>176.5</c:v>
                </c:pt>
                <c:pt idx="18">
                  <c:v>165.60714285714286</c:v>
                </c:pt>
                <c:pt idx="19">
                  <c:v>171.84090909090909</c:v>
                </c:pt>
                <c:pt idx="20">
                  <c:v>143.66666666666666</c:v>
                </c:pt>
                <c:pt idx="21">
                  <c:v>153.52380952380952</c:v>
                </c:pt>
                <c:pt idx="22">
                  <c:v>142.94999999999999</c:v>
                </c:pt>
                <c:pt idx="23">
                  <c:v>151.0595238095238</c:v>
                </c:pt>
                <c:pt idx="24">
                  <c:v>135.71250000000001</c:v>
                </c:pt>
                <c:pt idx="25">
                  <c:v>146.46052631578948</c:v>
                </c:pt>
                <c:pt idx="26">
                  <c:v>148.36956521739131</c:v>
                </c:pt>
                <c:pt idx="27">
                  <c:v>166.66874999999999</c:v>
                </c:pt>
                <c:pt idx="28">
                  <c:v>178.38095238095238</c:v>
                </c:pt>
                <c:pt idx="29">
                  <c:v>163.25</c:v>
                </c:pt>
                <c:pt idx="30">
                  <c:v>161.42500000000001</c:v>
                </c:pt>
                <c:pt idx="31">
                  <c:v>176.58695652173913</c:v>
                </c:pt>
                <c:pt idx="32">
                  <c:v>174.8154761904762</c:v>
                </c:pt>
                <c:pt idx="33">
                  <c:v>181.3095238095238</c:v>
                </c:pt>
                <c:pt idx="34">
                  <c:v>191.47499999999999</c:v>
                </c:pt>
                <c:pt idx="35">
                  <c:v>173.02380952380952</c:v>
                </c:pt>
                <c:pt idx="36">
                  <c:v>169.125</c:v>
                </c:pt>
                <c:pt idx="37">
                  <c:v>161.97368421052633</c:v>
                </c:pt>
                <c:pt idx="38">
                  <c:v>157.40217391304347</c:v>
                </c:pt>
                <c:pt idx="39">
                  <c:v>156.70526315789473</c:v>
                </c:pt>
                <c:pt idx="40">
                  <c:v>153.39772727272728</c:v>
                </c:pt>
                <c:pt idx="41">
                  <c:v>144.4702380952381</c:v>
                </c:pt>
                <c:pt idx="42">
                  <c:v>155.63749999999999</c:v>
                </c:pt>
                <c:pt idx="43">
                  <c:v>145.03260869565219</c:v>
                </c:pt>
                <c:pt idx="44">
                  <c:v>119.4</c:v>
                </c:pt>
                <c:pt idx="45">
                  <c:v>88.602272727272734</c:v>
                </c:pt>
                <c:pt idx="46">
                  <c:v>82.912499999999994</c:v>
                </c:pt>
                <c:pt idx="47">
                  <c:v>81.231250000000003</c:v>
                </c:pt>
                <c:pt idx="48">
                  <c:v>72.583333333333329</c:v>
                </c:pt>
                <c:pt idx="49">
                  <c:v>47.987499999999997</c:v>
                </c:pt>
                <c:pt idx="50">
                  <c:v>52.475000000000001</c:v>
                </c:pt>
                <c:pt idx="51">
                  <c:v>48.477272727272727</c:v>
                </c:pt>
                <c:pt idx="52">
                  <c:v>49.738636363636367</c:v>
                </c:pt>
                <c:pt idx="53">
                  <c:v>55.157894736842103</c:v>
                </c:pt>
                <c:pt idx="54">
                  <c:v>64.045909090909106</c:v>
                </c:pt>
                <c:pt idx="55">
                  <c:v>56.591818181818191</c:v>
                </c:pt>
                <c:pt idx="56">
                  <c:v>60.412500000000001</c:v>
                </c:pt>
                <c:pt idx="57">
                  <c:v>69.870434782608697</c:v>
                </c:pt>
              </c:numCache>
            </c:numRef>
          </c:xVal>
          <c:yVal>
            <c:numRef>
              <c:f>Monthly!$X$82:$X$139</c:f>
              <c:numCache>
                <c:formatCode>General</c:formatCode>
                <c:ptCount val="58"/>
                <c:pt idx="0">
                  <c:v>40.82</c:v>
                </c:pt>
                <c:pt idx="1">
                  <c:v>38.119999999999997</c:v>
                </c:pt>
                <c:pt idx="2">
                  <c:v>35.5</c:v>
                </c:pt>
                <c:pt idx="3">
                  <c:v>35.58</c:v>
                </c:pt>
                <c:pt idx="4">
                  <c:v>34.700000000000003</c:v>
                </c:pt>
                <c:pt idx="5">
                  <c:v>37.53</c:v>
                </c:pt>
                <c:pt idx="6">
                  <c:v>44.2</c:v>
                </c:pt>
                <c:pt idx="7">
                  <c:v>46.6</c:v>
                </c:pt>
                <c:pt idx="8">
                  <c:v>48.51</c:v>
                </c:pt>
                <c:pt idx="9">
                  <c:v>48.28</c:v>
                </c:pt>
                <c:pt idx="10">
                  <c:v>50.56</c:v>
                </c:pt>
                <c:pt idx="11">
                  <c:v>54.57</c:v>
                </c:pt>
                <c:pt idx="12">
                  <c:v>57.73</c:v>
                </c:pt>
                <c:pt idx="13">
                  <c:v>62.68</c:v>
                </c:pt>
                <c:pt idx="14">
                  <c:v>72.63</c:v>
                </c:pt>
                <c:pt idx="15">
                  <c:v>88.14</c:v>
                </c:pt>
                <c:pt idx="16">
                  <c:v>103.64</c:v>
                </c:pt>
                <c:pt idx="17">
                  <c:v>99.15</c:v>
                </c:pt>
                <c:pt idx="18">
                  <c:v>96.62</c:v>
                </c:pt>
                <c:pt idx="19">
                  <c:v>91.15</c:v>
                </c:pt>
                <c:pt idx="20">
                  <c:v>83.73</c:v>
                </c:pt>
                <c:pt idx="21">
                  <c:v>86.85</c:v>
                </c:pt>
                <c:pt idx="22">
                  <c:v>90.85</c:v>
                </c:pt>
                <c:pt idx="23">
                  <c:v>87.16</c:v>
                </c:pt>
                <c:pt idx="24">
                  <c:v>92.68</c:v>
                </c:pt>
                <c:pt idx="25">
                  <c:v>99.01</c:v>
                </c:pt>
                <c:pt idx="26">
                  <c:v>102.7</c:v>
                </c:pt>
                <c:pt idx="27">
                  <c:v>109.15</c:v>
                </c:pt>
                <c:pt idx="28">
                  <c:v>114.86</c:v>
                </c:pt>
                <c:pt idx="29">
                  <c:v>111.33</c:v>
                </c:pt>
                <c:pt idx="30">
                  <c:v>96.4</c:v>
                </c:pt>
                <c:pt idx="31">
                  <c:v>97.35</c:v>
                </c:pt>
                <c:pt idx="32">
                  <c:v>90.59</c:v>
                </c:pt>
                <c:pt idx="33">
                  <c:v>88.14</c:v>
                </c:pt>
                <c:pt idx="34">
                  <c:v>93.08</c:v>
                </c:pt>
                <c:pt idx="35">
                  <c:v>82.2</c:v>
                </c:pt>
                <c:pt idx="36">
                  <c:v>80.38</c:v>
                </c:pt>
                <c:pt idx="37">
                  <c:v>76.47</c:v>
                </c:pt>
                <c:pt idx="38">
                  <c:v>71.8</c:v>
                </c:pt>
                <c:pt idx="39">
                  <c:v>68.94</c:v>
                </c:pt>
                <c:pt idx="40">
                  <c:v>65.77</c:v>
                </c:pt>
                <c:pt idx="41">
                  <c:v>75.459999999999994</c:v>
                </c:pt>
                <c:pt idx="42">
                  <c:v>87.39</c:v>
                </c:pt>
                <c:pt idx="43">
                  <c:v>84.65</c:v>
                </c:pt>
                <c:pt idx="44">
                  <c:v>78.459999999999994</c:v>
                </c:pt>
                <c:pt idx="45">
                  <c:v>70.66</c:v>
                </c:pt>
                <c:pt idx="46">
                  <c:v>67.099999999999994</c:v>
                </c:pt>
                <c:pt idx="47">
                  <c:v>64.91</c:v>
                </c:pt>
                <c:pt idx="48">
                  <c:v>60.56</c:v>
                </c:pt>
                <c:pt idx="49">
                  <c:v>57.37</c:v>
                </c:pt>
                <c:pt idx="50">
                  <c:v>58.49</c:v>
                </c:pt>
                <c:pt idx="51">
                  <c:v>56.97</c:v>
                </c:pt>
                <c:pt idx="52">
                  <c:v>54.82</c:v>
                </c:pt>
                <c:pt idx="53">
                  <c:v>54.21</c:v>
                </c:pt>
                <c:pt idx="54">
                  <c:v>58.2</c:v>
                </c:pt>
                <c:pt idx="55">
                  <c:v>53.89</c:v>
                </c:pt>
                <c:pt idx="56">
                  <c:v>53.47</c:v>
                </c:pt>
                <c:pt idx="57">
                  <c:v>54.18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B6-4F6D-8F92-268E5E95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478224"/>
        <c:axId val="1361464304"/>
      </c:scatterChart>
      <c:valAx>
        <c:axId val="136147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64304"/>
        <c:crosses val="autoZero"/>
        <c:crossBetween val="midCat"/>
      </c:valAx>
      <c:valAx>
        <c:axId val="13614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D4 to BFT Chicago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822922134733157"/>
                  <c:y val="-5.474482356372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Monthly!$J$82:$J$139</c:f>
              <c:numCache>
                <c:formatCode>#,##0.00_);[Red]\(#,##0.00\)</c:formatCode>
                <c:ptCount val="58"/>
                <c:pt idx="0">
                  <c:v>40.352272727272727</c:v>
                </c:pt>
                <c:pt idx="1">
                  <c:v>48.539473684210527</c:v>
                </c:pt>
                <c:pt idx="2">
                  <c:v>48.56818181818182</c:v>
                </c:pt>
                <c:pt idx="3">
                  <c:v>52.107142857142854</c:v>
                </c:pt>
                <c:pt idx="4">
                  <c:v>53.625</c:v>
                </c:pt>
                <c:pt idx="5">
                  <c:v>56.511363636363633</c:v>
                </c:pt>
                <c:pt idx="6">
                  <c:v>59.840909090909093</c:v>
                </c:pt>
                <c:pt idx="7">
                  <c:v>64.964285714285708</c:v>
                </c:pt>
                <c:pt idx="8">
                  <c:v>76.38095238095238</c:v>
                </c:pt>
                <c:pt idx="9">
                  <c:v>79.693181818181813</c:v>
                </c:pt>
                <c:pt idx="10">
                  <c:v>87.315789473684205</c:v>
                </c:pt>
                <c:pt idx="11">
                  <c:v>97.181818181818187</c:v>
                </c:pt>
                <c:pt idx="12">
                  <c:v>102.61842105263158</c:v>
                </c:pt>
                <c:pt idx="13">
                  <c:v>109.89473684210526</c:v>
                </c:pt>
                <c:pt idx="14">
                  <c:v>138.40217391304347</c:v>
                </c:pt>
                <c:pt idx="15">
                  <c:v>145.82142857142858</c:v>
                </c:pt>
                <c:pt idx="16">
                  <c:v>188.3125</c:v>
                </c:pt>
                <c:pt idx="17">
                  <c:v>176.5</c:v>
                </c:pt>
                <c:pt idx="18">
                  <c:v>165.60714285714286</c:v>
                </c:pt>
                <c:pt idx="19">
                  <c:v>171.84090909090909</c:v>
                </c:pt>
                <c:pt idx="20">
                  <c:v>143.66666666666666</c:v>
                </c:pt>
                <c:pt idx="21">
                  <c:v>153.52380952380952</c:v>
                </c:pt>
                <c:pt idx="22">
                  <c:v>142.94999999999999</c:v>
                </c:pt>
                <c:pt idx="23">
                  <c:v>151.0595238095238</c:v>
                </c:pt>
                <c:pt idx="24">
                  <c:v>135.71250000000001</c:v>
                </c:pt>
                <c:pt idx="25">
                  <c:v>146.46052631578948</c:v>
                </c:pt>
                <c:pt idx="26">
                  <c:v>148.36956521739131</c:v>
                </c:pt>
                <c:pt idx="27">
                  <c:v>166.66874999999999</c:v>
                </c:pt>
                <c:pt idx="28">
                  <c:v>178.38095238095238</c:v>
                </c:pt>
                <c:pt idx="29">
                  <c:v>163.25</c:v>
                </c:pt>
                <c:pt idx="30">
                  <c:v>161.42500000000001</c:v>
                </c:pt>
                <c:pt idx="31">
                  <c:v>176.58695652173913</c:v>
                </c:pt>
                <c:pt idx="32">
                  <c:v>174.8154761904762</c:v>
                </c:pt>
                <c:pt idx="33">
                  <c:v>181.3095238095238</c:v>
                </c:pt>
                <c:pt idx="34">
                  <c:v>191.47499999999999</c:v>
                </c:pt>
                <c:pt idx="35">
                  <c:v>173.02380952380952</c:v>
                </c:pt>
                <c:pt idx="36">
                  <c:v>169.125</c:v>
                </c:pt>
                <c:pt idx="37">
                  <c:v>161.97368421052633</c:v>
                </c:pt>
                <c:pt idx="38">
                  <c:v>157.40217391304347</c:v>
                </c:pt>
                <c:pt idx="39">
                  <c:v>156.70526315789473</c:v>
                </c:pt>
                <c:pt idx="40">
                  <c:v>153.39772727272728</c:v>
                </c:pt>
                <c:pt idx="41">
                  <c:v>144.4702380952381</c:v>
                </c:pt>
                <c:pt idx="42">
                  <c:v>155.63749999999999</c:v>
                </c:pt>
                <c:pt idx="43">
                  <c:v>145.03260869565219</c:v>
                </c:pt>
                <c:pt idx="44">
                  <c:v>119.4</c:v>
                </c:pt>
                <c:pt idx="45">
                  <c:v>88.602272727272734</c:v>
                </c:pt>
                <c:pt idx="46">
                  <c:v>82.912499999999994</c:v>
                </c:pt>
                <c:pt idx="47">
                  <c:v>81.231250000000003</c:v>
                </c:pt>
                <c:pt idx="48">
                  <c:v>72.583333333333329</c:v>
                </c:pt>
                <c:pt idx="49">
                  <c:v>47.987499999999997</c:v>
                </c:pt>
                <c:pt idx="50">
                  <c:v>52.475000000000001</c:v>
                </c:pt>
                <c:pt idx="51">
                  <c:v>48.477272727272727</c:v>
                </c:pt>
                <c:pt idx="52">
                  <c:v>49.738636363636367</c:v>
                </c:pt>
                <c:pt idx="53">
                  <c:v>55.157894736842103</c:v>
                </c:pt>
                <c:pt idx="54">
                  <c:v>64.045909090909106</c:v>
                </c:pt>
                <c:pt idx="55">
                  <c:v>56.591818181818191</c:v>
                </c:pt>
                <c:pt idx="56">
                  <c:v>60.412500000000001</c:v>
                </c:pt>
                <c:pt idx="57">
                  <c:v>69.870434782608697</c:v>
                </c:pt>
              </c:numCache>
            </c:numRef>
          </c:xVal>
          <c:yVal>
            <c:numRef>
              <c:f>Monthly!$Y$82:$Y$139</c:f>
              <c:numCache>
                <c:formatCode>General</c:formatCode>
                <c:ptCount val="58"/>
                <c:pt idx="0">
                  <c:v>30.43</c:v>
                </c:pt>
                <c:pt idx="1">
                  <c:v>34.29</c:v>
                </c:pt>
                <c:pt idx="2">
                  <c:v>30.86</c:v>
                </c:pt>
                <c:pt idx="3">
                  <c:v>30.78</c:v>
                </c:pt>
                <c:pt idx="4">
                  <c:v>33.65</c:v>
                </c:pt>
                <c:pt idx="5">
                  <c:v>24.95</c:v>
                </c:pt>
                <c:pt idx="6">
                  <c:v>23.46</c:v>
                </c:pt>
                <c:pt idx="7">
                  <c:v>30.1</c:v>
                </c:pt>
                <c:pt idx="8">
                  <c:v>31.17</c:v>
                </c:pt>
                <c:pt idx="9">
                  <c:v>31.64</c:v>
                </c:pt>
                <c:pt idx="10">
                  <c:v>32</c:v>
                </c:pt>
                <c:pt idx="11">
                  <c:v>35.549999999999997</c:v>
                </c:pt>
                <c:pt idx="12">
                  <c:v>39.74</c:v>
                </c:pt>
                <c:pt idx="13">
                  <c:v>43.95</c:v>
                </c:pt>
                <c:pt idx="14">
                  <c:v>50.43</c:v>
                </c:pt>
                <c:pt idx="15">
                  <c:v>53.48</c:v>
                </c:pt>
                <c:pt idx="16">
                  <c:v>54.95</c:v>
                </c:pt>
                <c:pt idx="17">
                  <c:v>58.41</c:v>
                </c:pt>
                <c:pt idx="18">
                  <c:v>61.76</c:v>
                </c:pt>
                <c:pt idx="19">
                  <c:v>66.3</c:v>
                </c:pt>
                <c:pt idx="20">
                  <c:v>62.43</c:v>
                </c:pt>
                <c:pt idx="21">
                  <c:v>68.19</c:v>
                </c:pt>
                <c:pt idx="22">
                  <c:v>65.099999999999994</c:v>
                </c:pt>
                <c:pt idx="23">
                  <c:v>55.55</c:v>
                </c:pt>
                <c:pt idx="24">
                  <c:v>66.39</c:v>
                </c:pt>
                <c:pt idx="25">
                  <c:v>70.28</c:v>
                </c:pt>
                <c:pt idx="26">
                  <c:v>73.59</c:v>
                </c:pt>
                <c:pt idx="27">
                  <c:v>74.33</c:v>
                </c:pt>
                <c:pt idx="28">
                  <c:v>80</c:v>
                </c:pt>
                <c:pt idx="29">
                  <c:v>80.95</c:v>
                </c:pt>
                <c:pt idx="30">
                  <c:v>78.45</c:v>
                </c:pt>
                <c:pt idx="31">
                  <c:v>80</c:v>
                </c:pt>
                <c:pt idx="32">
                  <c:v>76.67</c:v>
                </c:pt>
                <c:pt idx="33">
                  <c:v>74</c:v>
                </c:pt>
                <c:pt idx="34">
                  <c:v>74</c:v>
                </c:pt>
                <c:pt idx="35">
                  <c:v>68.67</c:v>
                </c:pt>
                <c:pt idx="36">
                  <c:v>66.900000000000006</c:v>
                </c:pt>
                <c:pt idx="37">
                  <c:v>59.29</c:v>
                </c:pt>
                <c:pt idx="38">
                  <c:v>53.98</c:v>
                </c:pt>
                <c:pt idx="39">
                  <c:v>52.37</c:v>
                </c:pt>
                <c:pt idx="40">
                  <c:v>56.32</c:v>
                </c:pt>
                <c:pt idx="41">
                  <c:v>58.9</c:v>
                </c:pt>
                <c:pt idx="42">
                  <c:v>65.7</c:v>
                </c:pt>
                <c:pt idx="43">
                  <c:v>68.3</c:v>
                </c:pt>
                <c:pt idx="44">
                  <c:v>68.95</c:v>
                </c:pt>
                <c:pt idx="45">
                  <c:v>59.43</c:v>
                </c:pt>
                <c:pt idx="46">
                  <c:v>50.88</c:v>
                </c:pt>
                <c:pt idx="47">
                  <c:v>45.05</c:v>
                </c:pt>
                <c:pt idx="48">
                  <c:v>41.43</c:v>
                </c:pt>
                <c:pt idx="49">
                  <c:v>40.6</c:v>
                </c:pt>
                <c:pt idx="50">
                  <c:v>41.65</c:v>
                </c:pt>
                <c:pt idx="51">
                  <c:v>41.73</c:v>
                </c:pt>
                <c:pt idx="52">
                  <c:v>41.8</c:v>
                </c:pt>
                <c:pt idx="53">
                  <c:v>47.21</c:v>
                </c:pt>
                <c:pt idx="54">
                  <c:v>51</c:v>
                </c:pt>
                <c:pt idx="55">
                  <c:v>46.76</c:v>
                </c:pt>
                <c:pt idx="56">
                  <c:v>45.75</c:v>
                </c:pt>
                <c:pt idx="57">
                  <c:v>44.59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3F-44DF-A11C-B5ED92462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478224"/>
        <c:axId val="1361464304"/>
      </c:scatterChart>
      <c:valAx>
        <c:axId val="136147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64304"/>
        <c:crosses val="autoZero"/>
        <c:crossBetween val="midCat"/>
      </c:valAx>
      <c:valAx>
        <c:axId val="13614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D4 to CWG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822922134733157"/>
                  <c:y val="-5.474482356372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Monthly!$J$82:$J$139</c:f>
              <c:numCache>
                <c:formatCode>#,##0.00_);[Red]\(#,##0.00\)</c:formatCode>
                <c:ptCount val="58"/>
                <c:pt idx="0">
                  <c:v>40.352272727272727</c:v>
                </c:pt>
                <c:pt idx="1">
                  <c:v>48.539473684210527</c:v>
                </c:pt>
                <c:pt idx="2">
                  <c:v>48.56818181818182</c:v>
                </c:pt>
                <c:pt idx="3">
                  <c:v>52.107142857142854</c:v>
                </c:pt>
                <c:pt idx="4">
                  <c:v>53.625</c:v>
                </c:pt>
                <c:pt idx="5">
                  <c:v>56.511363636363633</c:v>
                </c:pt>
                <c:pt idx="6">
                  <c:v>59.840909090909093</c:v>
                </c:pt>
                <c:pt idx="7">
                  <c:v>64.964285714285708</c:v>
                </c:pt>
                <c:pt idx="8">
                  <c:v>76.38095238095238</c:v>
                </c:pt>
                <c:pt idx="9">
                  <c:v>79.693181818181813</c:v>
                </c:pt>
                <c:pt idx="10">
                  <c:v>87.315789473684205</c:v>
                </c:pt>
                <c:pt idx="11">
                  <c:v>97.181818181818187</c:v>
                </c:pt>
                <c:pt idx="12">
                  <c:v>102.61842105263158</c:v>
                </c:pt>
                <c:pt idx="13">
                  <c:v>109.89473684210526</c:v>
                </c:pt>
                <c:pt idx="14">
                  <c:v>138.40217391304347</c:v>
                </c:pt>
                <c:pt idx="15">
                  <c:v>145.82142857142858</c:v>
                </c:pt>
                <c:pt idx="16">
                  <c:v>188.3125</c:v>
                </c:pt>
                <c:pt idx="17">
                  <c:v>176.5</c:v>
                </c:pt>
                <c:pt idx="18">
                  <c:v>165.60714285714286</c:v>
                </c:pt>
                <c:pt idx="19">
                  <c:v>171.84090909090909</c:v>
                </c:pt>
                <c:pt idx="20">
                  <c:v>143.66666666666666</c:v>
                </c:pt>
                <c:pt idx="21">
                  <c:v>153.52380952380952</c:v>
                </c:pt>
                <c:pt idx="22">
                  <c:v>142.94999999999999</c:v>
                </c:pt>
                <c:pt idx="23">
                  <c:v>151.0595238095238</c:v>
                </c:pt>
                <c:pt idx="24">
                  <c:v>135.71250000000001</c:v>
                </c:pt>
                <c:pt idx="25">
                  <c:v>146.46052631578948</c:v>
                </c:pt>
                <c:pt idx="26">
                  <c:v>148.36956521739131</c:v>
                </c:pt>
                <c:pt idx="27">
                  <c:v>166.66874999999999</c:v>
                </c:pt>
                <c:pt idx="28">
                  <c:v>178.38095238095238</c:v>
                </c:pt>
                <c:pt idx="29">
                  <c:v>163.25</c:v>
                </c:pt>
                <c:pt idx="30">
                  <c:v>161.42500000000001</c:v>
                </c:pt>
                <c:pt idx="31">
                  <c:v>176.58695652173913</c:v>
                </c:pt>
                <c:pt idx="32">
                  <c:v>174.8154761904762</c:v>
                </c:pt>
                <c:pt idx="33">
                  <c:v>181.3095238095238</c:v>
                </c:pt>
                <c:pt idx="34">
                  <c:v>191.47499999999999</c:v>
                </c:pt>
                <c:pt idx="35">
                  <c:v>173.02380952380952</c:v>
                </c:pt>
                <c:pt idx="36">
                  <c:v>169.125</c:v>
                </c:pt>
                <c:pt idx="37">
                  <c:v>161.97368421052633</c:v>
                </c:pt>
                <c:pt idx="38">
                  <c:v>157.40217391304347</c:v>
                </c:pt>
                <c:pt idx="39">
                  <c:v>156.70526315789473</c:v>
                </c:pt>
                <c:pt idx="40">
                  <c:v>153.39772727272728</c:v>
                </c:pt>
                <c:pt idx="41">
                  <c:v>144.4702380952381</c:v>
                </c:pt>
                <c:pt idx="42">
                  <c:v>155.63749999999999</c:v>
                </c:pt>
                <c:pt idx="43">
                  <c:v>145.03260869565219</c:v>
                </c:pt>
                <c:pt idx="44">
                  <c:v>119.4</c:v>
                </c:pt>
                <c:pt idx="45">
                  <c:v>88.602272727272734</c:v>
                </c:pt>
                <c:pt idx="46">
                  <c:v>82.912499999999994</c:v>
                </c:pt>
                <c:pt idx="47">
                  <c:v>81.231250000000003</c:v>
                </c:pt>
                <c:pt idx="48">
                  <c:v>72.583333333333329</c:v>
                </c:pt>
                <c:pt idx="49">
                  <c:v>47.987499999999997</c:v>
                </c:pt>
                <c:pt idx="50">
                  <c:v>52.475000000000001</c:v>
                </c:pt>
                <c:pt idx="51">
                  <c:v>48.477272727272727</c:v>
                </c:pt>
                <c:pt idx="52">
                  <c:v>49.738636363636367</c:v>
                </c:pt>
                <c:pt idx="53">
                  <c:v>55.157894736842103</c:v>
                </c:pt>
                <c:pt idx="54">
                  <c:v>64.045909090909106</c:v>
                </c:pt>
                <c:pt idx="55">
                  <c:v>56.591818181818191</c:v>
                </c:pt>
                <c:pt idx="56">
                  <c:v>60.412500000000001</c:v>
                </c:pt>
                <c:pt idx="57">
                  <c:v>69.870434782608697</c:v>
                </c:pt>
              </c:numCache>
            </c:numRef>
          </c:xVal>
          <c:yVal>
            <c:numRef>
              <c:f>Monthly!$Z$82:$Z$139</c:f>
              <c:numCache>
                <c:formatCode>General</c:formatCode>
                <c:ptCount val="58"/>
                <c:pt idx="0">
                  <c:v>25.65</c:v>
                </c:pt>
                <c:pt idx="1">
                  <c:v>27.04</c:v>
                </c:pt>
                <c:pt idx="2">
                  <c:v>22.99</c:v>
                </c:pt>
                <c:pt idx="3">
                  <c:v>22.71</c:v>
                </c:pt>
                <c:pt idx="4">
                  <c:v>22.43</c:v>
                </c:pt>
                <c:pt idx="5">
                  <c:v>19.41</c:v>
                </c:pt>
                <c:pt idx="6">
                  <c:v>19.36</c:v>
                </c:pt>
                <c:pt idx="7">
                  <c:v>22.67</c:v>
                </c:pt>
                <c:pt idx="8">
                  <c:v>26.71</c:v>
                </c:pt>
                <c:pt idx="9">
                  <c:v>26.45</c:v>
                </c:pt>
                <c:pt idx="10">
                  <c:v>26.1</c:v>
                </c:pt>
                <c:pt idx="11">
                  <c:v>29.22</c:v>
                </c:pt>
                <c:pt idx="12">
                  <c:v>33.25</c:v>
                </c:pt>
                <c:pt idx="13">
                  <c:v>38.24</c:v>
                </c:pt>
                <c:pt idx="14">
                  <c:v>45.24</c:v>
                </c:pt>
                <c:pt idx="15">
                  <c:v>47.52</c:v>
                </c:pt>
                <c:pt idx="16">
                  <c:v>49.73</c:v>
                </c:pt>
                <c:pt idx="17">
                  <c:v>53.59</c:v>
                </c:pt>
                <c:pt idx="18">
                  <c:v>57.55</c:v>
                </c:pt>
                <c:pt idx="19">
                  <c:v>62.61</c:v>
                </c:pt>
                <c:pt idx="20">
                  <c:v>50.02</c:v>
                </c:pt>
                <c:pt idx="21">
                  <c:v>51.71</c:v>
                </c:pt>
                <c:pt idx="22">
                  <c:v>49.2</c:v>
                </c:pt>
                <c:pt idx="23">
                  <c:v>41.67</c:v>
                </c:pt>
                <c:pt idx="24">
                  <c:v>52.55</c:v>
                </c:pt>
                <c:pt idx="25">
                  <c:v>64.61</c:v>
                </c:pt>
                <c:pt idx="26">
                  <c:v>68.459999999999994</c:v>
                </c:pt>
                <c:pt idx="27">
                  <c:v>66.459999999999994</c:v>
                </c:pt>
                <c:pt idx="28">
                  <c:v>71.349999999999994</c:v>
                </c:pt>
                <c:pt idx="29">
                  <c:v>72.67</c:v>
                </c:pt>
                <c:pt idx="30">
                  <c:v>64.48</c:v>
                </c:pt>
                <c:pt idx="31">
                  <c:v>66.78</c:v>
                </c:pt>
                <c:pt idx="32">
                  <c:v>69.73</c:v>
                </c:pt>
                <c:pt idx="33">
                  <c:v>66.86</c:v>
                </c:pt>
                <c:pt idx="34">
                  <c:v>67.239999999999995</c:v>
                </c:pt>
                <c:pt idx="35">
                  <c:v>64.430000000000007</c:v>
                </c:pt>
                <c:pt idx="36">
                  <c:v>61.73</c:v>
                </c:pt>
                <c:pt idx="37">
                  <c:v>54.63</c:v>
                </c:pt>
                <c:pt idx="38">
                  <c:v>48.43</c:v>
                </c:pt>
                <c:pt idx="39">
                  <c:v>48.01</c:v>
                </c:pt>
                <c:pt idx="40">
                  <c:v>51.98</c:v>
                </c:pt>
                <c:pt idx="41">
                  <c:v>53.3</c:v>
                </c:pt>
                <c:pt idx="42">
                  <c:v>59.16</c:v>
                </c:pt>
                <c:pt idx="43">
                  <c:v>64.02</c:v>
                </c:pt>
                <c:pt idx="44">
                  <c:v>65.239999999999995</c:v>
                </c:pt>
                <c:pt idx="45">
                  <c:v>53.55</c:v>
                </c:pt>
                <c:pt idx="46">
                  <c:v>43.5</c:v>
                </c:pt>
                <c:pt idx="47">
                  <c:v>35.700000000000003</c:v>
                </c:pt>
                <c:pt idx="48">
                  <c:v>33</c:v>
                </c:pt>
                <c:pt idx="49">
                  <c:v>33.53</c:v>
                </c:pt>
                <c:pt idx="50">
                  <c:v>35.61</c:v>
                </c:pt>
                <c:pt idx="51">
                  <c:v>38.200000000000003</c:v>
                </c:pt>
                <c:pt idx="52">
                  <c:v>39.03</c:v>
                </c:pt>
                <c:pt idx="53">
                  <c:v>42.86</c:v>
                </c:pt>
                <c:pt idx="54">
                  <c:v>45.27</c:v>
                </c:pt>
                <c:pt idx="55">
                  <c:v>44.31</c:v>
                </c:pt>
                <c:pt idx="56">
                  <c:v>43.54</c:v>
                </c:pt>
                <c:pt idx="57">
                  <c:v>43.03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8B-4EE4-876F-A1AFB5DB6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478224"/>
        <c:axId val="1361464304"/>
      </c:scatterChart>
      <c:valAx>
        <c:axId val="136147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64304"/>
        <c:crosses val="autoZero"/>
        <c:crossBetween val="midCat"/>
      </c:valAx>
      <c:valAx>
        <c:axId val="13614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D4 to Poultry Fat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822922134733157"/>
                  <c:y val="-5.474482356372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Monthly!$J$82:$J$133</c:f>
              <c:numCache>
                <c:formatCode>#,##0.00_);[Red]\(#,##0.00\)</c:formatCode>
                <c:ptCount val="52"/>
                <c:pt idx="0">
                  <c:v>40.352272727272727</c:v>
                </c:pt>
                <c:pt idx="1">
                  <c:v>48.539473684210527</c:v>
                </c:pt>
                <c:pt idx="2">
                  <c:v>48.56818181818182</c:v>
                </c:pt>
                <c:pt idx="3">
                  <c:v>52.107142857142854</c:v>
                </c:pt>
                <c:pt idx="4">
                  <c:v>53.625</c:v>
                </c:pt>
                <c:pt idx="5">
                  <c:v>56.511363636363633</c:v>
                </c:pt>
                <c:pt idx="6">
                  <c:v>59.840909090909093</c:v>
                </c:pt>
                <c:pt idx="7">
                  <c:v>64.964285714285708</c:v>
                </c:pt>
                <c:pt idx="8">
                  <c:v>76.38095238095238</c:v>
                </c:pt>
                <c:pt idx="9">
                  <c:v>79.693181818181813</c:v>
                </c:pt>
                <c:pt idx="10">
                  <c:v>87.315789473684205</c:v>
                </c:pt>
                <c:pt idx="11">
                  <c:v>97.181818181818187</c:v>
                </c:pt>
                <c:pt idx="12">
                  <c:v>102.61842105263158</c:v>
                </c:pt>
                <c:pt idx="13">
                  <c:v>109.89473684210526</c:v>
                </c:pt>
                <c:pt idx="14">
                  <c:v>138.40217391304347</c:v>
                </c:pt>
                <c:pt idx="15">
                  <c:v>145.82142857142858</c:v>
                </c:pt>
                <c:pt idx="16">
                  <c:v>188.3125</c:v>
                </c:pt>
                <c:pt idx="17">
                  <c:v>176.5</c:v>
                </c:pt>
                <c:pt idx="18">
                  <c:v>165.60714285714286</c:v>
                </c:pt>
                <c:pt idx="19">
                  <c:v>171.84090909090909</c:v>
                </c:pt>
                <c:pt idx="20">
                  <c:v>143.66666666666666</c:v>
                </c:pt>
                <c:pt idx="21">
                  <c:v>153.52380952380952</c:v>
                </c:pt>
                <c:pt idx="22">
                  <c:v>142.94999999999999</c:v>
                </c:pt>
                <c:pt idx="23">
                  <c:v>151.0595238095238</c:v>
                </c:pt>
                <c:pt idx="24">
                  <c:v>135.71250000000001</c:v>
                </c:pt>
                <c:pt idx="25">
                  <c:v>146.46052631578948</c:v>
                </c:pt>
                <c:pt idx="26">
                  <c:v>148.36956521739131</c:v>
                </c:pt>
                <c:pt idx="27">
                  <c:v>166.66874999999999</c:v>
                </c:pt>
                <c:pt idx="28">
                  <c:v>178.38095238095238</c:v>
                </c:pt>
                <c:pt idx="29">
                  <c:v>163.25</c:v>
                </c:pt>
                <c:pt idx="30">
                  <c:v>161.42500000000001</c:v>
                </c:pt>
                <c:pt idx="31">
                  <c:v>176.58695652173913</c:v>
                </c:pt>
                <c:pt idx="32">
                  <c:v>174.8154761904762</c:v>
                </c:pt>
                <c:pt idx="33">
                  <c:v>181.3095238095238</c:v>
                </c:pt>
                <c:pt idx="34">
                  <c:v>191.47499999999999</c:v>
                </c:pt>
                <c:pt idx="35">
                  <c:v>173.02380952380952</c:v>
                </c:pt>
                <c:pt idx="36">
                  <c:v>169.125</c:v>
                </c:pt>
                <c:pt idx="37">
                  <c:v>161.97368421052633</c:v>
                </c:pt>
                <c:pt idx="38">
                  <c:v>157.40217391304347</c:v>
                </c:pt>
                <c:pt idx="39">
                  <c:v>156.70526315789473</c:v>
                </c:pt>
                <c:pt idx="40">
                  <c:v>153.39772727272728</c:v>
                </c:pt>
                <c:pt idx="41">
                  <c:v>144.4702380952381</c:v>
                </c:pt>
                <c:pt idx="42">
                  <c:v>155.63749999999999</c:v>
                </c:pt>
                <c:pt idx="43">
                  <c:v>145.03260869565219</c:v>
                </c:pt>
                <c:pt idx="44">
                  <c:v>119.4</c:v>
                </c:pt>
                <c:pt idx="45">
                  <c:v>88.602272727272734</c:v>
                </c:pt>
                <c:pt idx="46">
                  <c:v>82.912499999999994</c:v>
                </c:pt>
                <c:pt idx="47">
                  <c:v>81.231250000000003</c:v>
                </c:pt>
                <c:pt idx="48">
                  <c:v>72.583333333333329</c:v>
                </c:pt>
                <c:pt idx="49">
                  <c:v>47.987499999999997</c:v>
                </c:pt>
                <c:pt idx="50">
                  <c:v>52.475000000000001</c:v>
                </c:pt>
                <c:pt idx="51">
                  <c:v>48.477272727272727</c:v>
                </c:pt>
              </c:numCache>
            </c:numRef>
          </c:xVal>
          <c:yVal>
            <c:numRef>
              <c:f>Monthly!$AA$82:$AA$133</c:f>
              <c:numCache>
                <c:formatCode>General</c:formatCode>
                <c:ptCount val="52"/>
                <c:pt idx="0">
                  <c:v>28.5</c:v>
                </c:pt>
                <c:pt idx="1">
                  <c:v>28.5</c:v>
                </c:pt>
                <c:pt idx="2">
                  <c:v>28</c:v>
                </c:pt>
                <c:pt idx="3">
                  <c:v>29.23</c:v>
                </c:pt>
                <c:pt idx="4">
                  <c:v>30</c:v>
                </c:pt>
                <c:pt idx="5">
                  <c:v>26.52</c:v>
                </c:pt>
                <c:pt idx="6">
                  <c:v>25.5</c:v>
                </c:pt>
                <c:pt idx="7">
                  <c:v>27.4</c:v>
                </c:pt>
                <c:pt idx="8">
                  <c:v>29.04</c:v>
                </c:pt>
                <c:pt idx="9">
                  <c:v>30.07</c:v>
                </c:pt>
                <c:pt idx="10">
                  <c:v>33.24</c:v>
                </c:pt>
                <c:pt idx="11">
                  <c:v>36.86</c:v>
                </c:pt>
                <c:pt idx="12">
                  <c:v>39.869999999999997</c:v>
                </c:pt>
                <c:pt idx="13">
                  <c:v>43.13</c:v>
                </c:pt>
                <c:pt idx="14">
                  <c:v>47.7</c:v>
                </c:pt>
                <c:pt idx="15">
                  <c:v>50.95</c:v>
                </c:pt>
                <c:pt idx="16">
                  <c:v>53.73</c:v>
                </c:pt>
                <c:pt idx="17">
                  <c:v>56</c:v>
                </c:pt>
                <c:pt idx="18">
                  <c:v>56.5</c:v>
                </c:pt>
                <c:pt idx="19">
                  <c:v>57.86</c:v>
                </c:pt>
                <c:pt idx="20">
                  <c:v>58</c:v>
                </c:pt>
                <c:pt idx="21">
                  <c:v>58</c:v>
                </c:pt>
                <c:pt idx="22">
                  <c:v>58</c:v>
                </c:pt>
                <c:pt idx="23">
                  <c:v>57.31</c:v>
                </c:pt>
                <c:pt idx="24">
                  <c:v>57.25</c:v>
                </c:pt>
                <c:pt idx="25">
                  <c:v>61.11</c:v>
                </c:pt>
                <c:pt idx="26">
                  <c:v>72.349999999999994</c:v>
                </c:pt>
                <c:pt idx="27">
                  <c:v>73.709999999999994</c:v>
                </c:pt>
                <c:pt idx="28">
                  <c:v>75.48</c:v>
                </c:pt>
                <c:pt idx="29">
                  <c:v>79.739999999999995</c:v>
                </c:pt>
                <c:pt idx="30">
                  <c:v>76.98</c:v>
                </c:pt>
                <c:pt idx="31">
                  <c:v>70.62</c:v>
                </c:pt>
                <c:pt idx="32">
                  <c:v>69.88</c:v>
                </c:pt>
                <c:pt idx="33">
                  <c:v>66.52</c:v>
                </c:pt>
                <c:pt idx="34">
                  <c:v>67.75</c:v>
                </c:pt>
                <c:pt idx="35">
                  <c:v>70.260000000000005</c:v>
                </c:pt>
                <c:pt idx="36">
                  <c:v>69.5</c:v>
                </c:pt>
                <c:pt idx="37">
                  <c:v>61.71</c:v>
                </c:pt>
                <c:pt idx="38">
                  <c:v>61.28</c:v>
                </c:pt>
                <c:pt idx="39">
                  <c:v>58.83</c:v>
                </c:pt>
                <c:pt idx="40">
                  <c:v>58.5</c:v>
                </c:pt>
                <c:pt idx="41">
                  <c:v>58.5</c:v>
                </c:pt>
                <c:pt idx="42">
                  <c:v>59.75</c:v>
                </c:pt>
                <c:pt idx="43">
                  <c:v>60.5</c:v>
                </c:pt>
                <c:pt idx="44">
                  <c:v>60.5</c:v>
                </c:pt>
                <c:pt idx="45">
                  <c:v>57.02</c:v>
                </c:pt>
                <c:pt idx="46">
                  <c:v>48.75</c:v>
                </c:pt>
                <c:pt idx="47">
                  <c:v>47.23</c:v>
                </c:pt>
                <c:pt idx="48">
                  <c:v>45.79</c:v>
                </c:pt>
                <c:pt idx="49">
                  <c:v>45.5</c:v>
                </c:pt>
                <c:pt idx="50">
                  <c:v>45.5</c:v>
                </c:pt>
                <c:pt idx="51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4E-464D-94CD-4D3059117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478224"/>
        <c:axId val="1361464304"/>
      </c:scatterChart>
      <c:valAx>
        <c:axId val="136147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64304"/>
        <c:crosses val="autoZero"/>
        <c:crossBetween val="midCat"/>
      </c:valAx>
      <c:valAx>
        <c:axId val="13614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D4 to DCO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822922134733157"/>
                  <c:y val="-5.474482356372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Monthly!$J$82:$J$133</c:f>
              <c:numCache>
                <c:formatCode>#,##0.00_);[Red]\(#,##0.00\)</c:formatCode>
                <c:ptCount val="52"/>
                <c:pt idx="0">
                  <c:v>40.352272727272727</c:v>
                </c:pt>
                <c:pt idx="1">
                  <c:v>48.539473684210527</c:v>
                </c:pt>
                <c:pt idx="2">
                  <c:v>48.56818181818182</c:v>
                </c:pt>
                <c:pt idx="3">
                  <c:v>52.107142857142854</c:v>
                </c:pt>
                <c:pt idx="4">
                  <c:v>53.625</c:v>
                </c:pt>
                <c:pt idx="5">
                  <c:v>56.511363636363633</c:v>
                </c:pt>
                <c:pt idx="6">
                  <c:v>59.840909090909093</c:v>
                </c:pt>
                <c:pt idx="7">
                  <c:v>64.964285714285708</c:v>
                </c:pt>
                <c:pt idx="8">
                  <c:v>76.38095238095238</c:v>
                </c:pt>
                <c:pt idx="9">
                  <c:v>79.693181818181813</c:v>
                </c:pt>
                <c:pt idx="10">
                  <c:v>87.315789473684205</c:v>
                </c:pt>
                <c:pt idx="11">
                  <c:v>97.181818181818187</c:v>
                </c:pt>
                <c:pt idx="12">
                  <c:v>102.61842105263158</c:v>
                </c:pt>
                <c:pt idx="13">
                  <c:v>109.89473684210526</c:v>
                </c:pt>
                <c:pt idx="14">
                  <c:v>138.40217391304347</c:v>
                </c:pt>
                <c:pt idx="15">
                  <c:v>145.82142857142858</c:v>
                </c:pt>
                <c:pt idx="16">
                  <c:v>188.3125</c:v>
                </c:pt>
                <c:pt idx="17">
                  <c:v>176.5</c:v>
                </c:pt>
                <c:pt idx="18">
                  <c:v>165.60714285714286</c:v>
                </c:pt>
                <c:pt idx="19">
                  <c:v>171.84090909090909</c:v>
                </c:pt>
                <c:pt idx="20">
                  <c:v>143.66666666666666</c:v>
                </c:pt>
                <c:pt idx="21">
                  <c:v>153.52380952380952</c:v>
                </c:pt>
                <c:pt idx="22">
                  <c:v>142.94999999999999</c:v>
                </c:pt>
                <c:pt idx="23">
                  <c:v>151.0595238095238</c:v>
                </c:pt>
                <c:pt idx="24">
                  <c:v>135.71250000000001</c:v>
                </c:pt>
                <c:pt idx="25">
                  <c:v>146.46052631578948</c:v>
                </c:pt>
                <c:pt idx="26">
                  <c:v>148.36956521739131</c:v>
                </c:pt>
                <c:pt idx="27">
                  <c:v>166.66874999999999</c:v>
                </c:pt>
                <c:pt idx="28">
                  <c:v>178.38095238095238</c:v>
                </c:pt>
                <c:pt idx="29">
                  <c:v>163.25</c:v>
                </c:pt>
                <c:pt idx="30">
                  <c:v>161.42500000000001</c:v>
                </c:pt>
                <c:pt idx="31">
                  <c:v>176.58695652173913</c:v>
                </c:pt>
                <c:pt idx="32">
                  <c:v>174.8154761904762</c:v>
                </c:pt>
                <c:pt idx="33">
                  <c:v>181.3095238095238</c:v>
                </c:pt>
                <c:pt idx="34">
                  <c:v>191.47499999999999</c:v>
                </c:pt>
                <c:pt idx="35">
                  <c:v>173.02380952380952</c:v>
                </c:pt>
                <c:pt idx="36">
                  <c:v>169.125</c:v>
                </c:pt>
                <c:pt idx="37">
                  <c:v>161.97368421052633</c:v>
                </c:pt>
                <c:pt idx="38">
                  <c:v>157.40217391304347</c:v>
                </c:pt>
                <c:pt idx="39">
                  <c:v>156.70526315789473</c:v>
                </c:pt>
                <c:pt idx="40">
                  <c:v>153.39772727272728</c:v>
                </c:pt>
                <c:pt idx="41">
                  <c:v>144.4702380952381</c:v>
                </c:pt>
                <c:pt idx="42">
                  <c:v>155.63749999999999</c:v>
                </c:pt>
                <c:pt idx="43">
                  <c:v>145.03260869565219</c:v>
                </c:pt>
                <c:pt idx="44">
                  <c:v>119.4</c:v>
                </c:pt>
                <c:pt idx="45">
                  <c:v>88.602272727272734</c:v>
                </c:pt>
                <c:pt idx="46">
                  <c:v>82.912499999999994</c:v>
                </c:pt>
                <c:pt idx="47">
                  <c:v>81.231250000000003</c:v>
                </c:pt>
                <c:pt idx="48">
                  <c:v>72.583333333333329</c:v>
                </c:pt>
                <c:pt idx="49">
                  <c:v>47.987499999999997</c:v>
                </c:pt>
                <c:pt idx="50">
                  <c:v>52.475000000000001</c:v>
                </c:pt>
                <c:pt idx="51">
                  <c:v>48.477272727272727</c:v>
                </c:pt>
              </c:numCache>
            </c:numRef>
          </c:xVal>
          <c:yVal>
            <c:numRef>
              <c:f>Monthly!$AB$82:$AB$133</c:f>
              <c:numCache>
                <c:formatCode>General</c:formatCode>
                <c:ptCount val="52"/>
                <c:pt idx="0">
                  <c:v>25.05</c:v>
                </c:pt>
                <c:pt idx="1">
                  <c:v>28.04</c:v>
                </c:pt>
                <c:pt idx="2">
                  <c:v>27.7</c:v>
                </c:pt>
                <c:pt idx="3">
                  <c:v>29.04</c:v>
                </c:pt>
                <c:pt idx="4">
                  <c:v>26.98</c:v>
                </c:pt>
                <c:pt idx="5">
                  <c:v>23.08</c:v>
                </c:pt>
                <c:pt idx="6">
                  <c:v>21.57</c:v>
                </c:pt>
                <c:pt idx="7">
                  <c:v>24.5</c:v>
                </c:pt>
                <c:pt idx="8">
                  <c:v>28.38</c:v>
                </c:pt>
                <c:pt idx="9">
                  <c:v>30.93</c:v>
                </c:pt>
                <c:pt idx="10">
                  <c:v>33.07</c:v>
                </c:pt>
                <c:pt idx="11">
                  <c:v>35.26</c:v>
                </c:pt>
                <c:pt idx="12">
                  <c:v>39.92</c:v>
                </c:pt>
                <c:pt idx="13">
                  <c:v>43.5</c:v>
                </c:pt>
                <c:pt idx="14">
                  <c:v>51.25</c:v>
                </c:pt>
                <c:pt idx="15">
                  <c:v>49.13</c:v>
                </c:pt>
                <c:pt idx="16">
                  <c:v>51.49</c:v>
                </c:pt>
                <c:pt idx="17">
                  <c:v>55.42</c:v>
                </c:pt>
                <c:pt idx="18">
                  <c:v>59.85</c:v>
                </c:pt>
                <c:pt idx="19">
                  <c:v>64.099999999999994</c:v>
                </c:pt>
                <c:pt idx="20">
                  <c:v>53.87</c:v>
                </c:pt>
                <c:pt idx="21">
                  <c:v>60.9</c:v>
                </c:pt>
                <c:pt idx="22">
                  <c:v>58.68</c:v>
                </c:pt>
                <c:pt idx="23">
                  <c:v>53.74</c:v>
                </c:pt>
                <c:pt idx="24">
                  <c:v>64.760000000000005</c:v>
                </c:pt>
                <c:pt idx="25">
                  <c:v>73.760000000000005</c:v>
                </c:pt>
                <c:pt idx="26">
                  <c:v>80.040000000000006</c:v>
                </c:pt>
                <c:pt idx="27">
                  <c:v>78.73</c:v>
                </c:pt>
                <c:pt idx="28">
                  <c:v>80.11</c:v>
                </c:pt>
                <c:pt idx="29">
                  <c:v>74.27</c:v>
                </c:pt>
                <c:pt idx="30">
                  <c:v>65.05</c:v>
                </c:pt>
                <c:pt idx="31">
                  <c:v>71.83</c:v>
                </c:pt>
                <c:pt idx="32">
                  <c:v>72.45</c:v>
                </c:pt>
                <c:pt idx="33">
                  <c:v>74.14</c:v>
                </c:pt>
                <c:pt idx="34">
                  <c:v>77.459999999999994</c:v>
                </c:pt>
                <c:pt idx="35">
                  <c:v>67.92</c:v>
                </c:pt>
                <c:pt idx="36">
                  <c:v>66.39</c:v>
                </c:pt>
                <c:pt idx="37">
                  <c:v>56.58</c:v>
                </c:pt>
                <c:pt idx="38">
                  <c:v>51.49</c:v>
                </c:pt>
                <c:pt idx="39">
                  <c:v>53.34</c:v>
                </c:pt>
                <c:pt idx="40">
                  <c:v>55.64</c:v>
                </c:pt>
                <c:pt idx="41">
                  <c:v>58.75</c:v>
                </c:pt>
                <c:pt idx="42">
                  <c:v>67.14</c:v>
                </c:pt>
                <c:pt idx="43">
                  <c:v>68.260000000000005</c:v>
                </c:pt>
                <c:pt idx="44">
                  <c:v>66.44</c:v>
                </c:pt>
                <c:pt idx="45">
                  <c:v>58.68</c:v>
                </c:pt>
                <c:pt idx="46">
                  <c:v>53.65</c:v>
                </c:pt>
                <c:pt idx="47">
                  <c:v>48.63</c:v>
                </c:pt>
                <c:pt idx="48">
                  <c:v>45.64</c:v>
                </c:pt>
                <c:pt idx="49">
                  <c:v>43.63</c:v>
                </c:pt>
                <c:pt idx="50">
                  <c:v>42.71</c:v>
                </c:pt>
                <c:pt idx="51">
                  <c:v>41.3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8B-479C-A7A1-980DDCC99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478224"/>
        <c:axId val="1361464304"/>
      </c:scatterChart>
      <c:valAx>
        <c:axId val="136147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64304"/>
        <c:crosses val="autoZero"/>
        <c:crossBetween val="midCat"/>
      </c:valAx>
      <c:valAx>
        <c:axId val="13614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D4 to UCO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822922134733157"/>
                  <c:y val="-5.474482356372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Monthly!$J$82:$J$133</c:f>
              <c:numCache>
                <c:formatCode>#,##0.00_);[Red]\(#,##0.00\)</c:formatCode>
                <c:ptCount val="52"/>
                <c:pt idx="0">
                  <c:v>40.352272727272727</c:v>
                </c:pt>
                <c:pt idx="1">
                  <c:v>48.539473684210527</c:v>
                </c:pt>
                <c:pt idx="2">
                  <c:v>48.56818181818182</c:v>
                </c:pt>
                <c:pt idx="3">
                  <c:v>52.107142857142854</c:v>
                </c:pt>
                <c:pt idx="4">
                  <c:v>53.625</c:v>
                </c:pt>
                <c:pt idx="5">
                  <c:v>56.511363636363633</c:v>
                </c:pt>
                <c:pt idx="6">
                  <c:v>59.840909090909093</c:v>
                </c:pt>
                <c:pt idx="7">
                  <c:v>64.964285714285708</c:v>
                </c:pt>
                <c:pt idx="8">
                  <c:v>76.38095238095238</c:v>
                </c:pt>
                <c:pt idx="9">
                  <c:v>79.693181818181813</c:v>
                </c:pt>
                <c:pt idx="10">
                  <c:v>87.315789473684205</c:v>
                </c:pt>
                <c:pt idx="11">
                  <c:v>97.181818181818187</c:v>
                </c:pt>
                <c:pt idx="12">
                  <c:v>102.61842105263158</c:v>
                </c:pt>
                <c:pt idx="13">
                  <c:v>109.89473684210526</c:v>
                </c:pt>
                <c:pt idx="14">
                  <c:v>138.40217391304347</c:v>
                </c:pt>
                <c:pt idx="15">
                  <c:v>145.82142857142858</c:v>
                </c:pt>
                <c:pt idx="16">
                  <c:v>188.3125</c:v>
                </c:pt>
                <c:pt idx="17">
                  <c:v>176.5</c:v>
                </c:pt>
                <c:pt idx="18">
                  <c:v>165.60714285714286</c:v>
                </c:pt>
                <c:pt idx="19">
                  <c:v>171.84090909090909</c:v>
                </c:pt>
                <c:pt idx="20">
                  <c:v>143.66666666666666</c:v>
                </c:pt>
                <c:pt idx="21">
                  <c:v>153.52380952380952</c:v>
                </c:pt>
                <c:pt idx="22">
                  <c:v>142.94999999999999</c:v>
                </c:pt>
                <c:pt idx="23">
                  <c:v>151.0595238095238</c:v>
                </c:pt>
                <c:pt idx="24">
                  <c:v>135.71250000000001</c:v>
                </c:pt>
                <c:pt idx="25">
                  <c:v>146.46052631578948</c:v>
                </c:pt>
                <c:pt idx="26">
                  <c:v>148.36956521739131</c:v>
                </c:pt>
                <c:pt idx="27">
                  <c:v>166.66874999999999</c:v>
                </c:pt>
                <c:pt idx="28">
                  <c:v>178.38095238095238</c:v>
                </c:pt>
                <c:pt idx="29">
                  <c:v>163.25</c:v>
                </c:pt>
                <c:pt idx="30">
                  <c:v>161.42500000000001</c:v>
                </c:pt>
                <c:pt idx="31">
                  <c:v>176.58695652173913</c:v>
                </c:pt>
                <c:pt idx="32">
                  <c:v>174.8154761904762</c:v>
                </c:pt>
                <c:pt idx="33">
                  <c:v>181.3095238095238</c:v>
                </c:pt>
                <c:pt idx="34">
                  <c:v>191.47499999999999</c:v>
                </c:pt>
                <c:pt idx="35">
                  <c:v>173.02380952380952</c:v>
                </c:pt>
                <c:pt idx="36">
                  <c:v>169.125</c:v>
                </c:pt>
                <c:pt idx="37">
                  <c:v>161.97368421052633</c:v>
                </c:pt>
                <c:pt idx="38">
                  <c:v>157.40217391304347</c:v>
                </c:pt>
                <c:pt idx="39">
                  <c:v>156.70526315789473</c:v>
                </c:pt>
                <c:pt idx="40">
                  <c:v>153.39772727272728</c:v>
                </c:pt>
                <c:pt idx="41">
                  <c:v>144.4702380952381</c:v>
                </c:pt>
                <c:pt idx="42">
                  <c:v>155.63749999999999</c:v>
                </c:pt>
                <c:pt idx="43">
                  <c:v>145.03260869565219</c:v>
                </c:pt>
                <c:pt idx="44">
                  <c:v>119.4</c:v>
                </c:pt>
                <c:pt idx="45">
                  <c:v>88.602272727272734</c:v>
                </c:pt>
                <c:pt idx="46">
                  <c:v>82.912499999999994</c:v>
                </c:pt>
                <c:pt idx="47">
                  <c:v>81.231250000000003</c:v>
                </c:pt>
                <c:pt idx="48">
                  <c:v>72.583333333333329</c:v>
                </c:pt>
                <c:pt idx="49">
                  <c:v>47.987499999999997</c:v>
                </c:pt>
                <c:pt idx="50">
                  <c:v>52.475000000000001</c:v>
                </c:pt>
                <c:pt idx="51">
                  <c:v>48.477272727272727</c:v>
                </c:pt>
              </c:numCache>
            </c:numRef>
          </c:xVal>
          <c:yVal>
            <c:numRef>
              <c:f>Monthly!$T$82:$T$133</c:f>
              <c:numCache>
                <c:formatCode>#,##0.00_);[Red]\(#,##0.00\)</c:formatCode>
                <c:ptCount val="52"/>
                <c:pt idx="0">
                  <c:v>26.785699999999999</c:v>
                </c:pt>
                <c:pt idx="1">
                  <c:v>28.184200000000001</c:v>
                </c:pt>
                <c:pt idx="2">
                  <c:v>28.5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28.5</c:v>
                </c:pt>
                <c:pt idx="7">
                  <c:v>29.357099999999999</c:v>
                </c:pt>
                <c:pt idx="8">
                  <c:v>29.523800000000001</c:v>
                </c:pt>
                <c:pt idx="9">
                  <c:v>30.125</c:v>
                </c:pt>
                <c:pt idx="10">
                  <c:v>30.888500000000001</c:v>
                </c:pt>
                <c:pt idx="11">
                  <c:v>33.336956521739133</c:v>
                </c:pt>
                <c:pt idx="12">
                  <c:v>36.60526315789474</c:v>
                </c:pt>
                <c:pt idx="13">
                  <c:v>39</c:v>
                </c:pt>
                <c:pt idx="14">
                  <c:v>42.195652173913047</c:v>
                </c:pt>
                <c:pt idx="15">
                  <c:v>43.535714285714285</c:v>
                </c:pt>
                <c:pt idx="16">
                  <c:v>45.387500000000003</c:v>
                </c:pt>
                <c:pt idx="17">
                  <c:v>49.284090909090907</c:v>
                </c:pt>
                <c:pt idx="18">
                  <c:v>51.952380952380949</c:v>
                </c:pt>
                <c:pt idx="19">
                  <c:v>56</c:v>
                </c:pt>
                <c:pt idx="20">
                  <c:v>53.38095238095238</c:v>
                </c:pt>
                <c:pt idx="21">
                  <c:v>54.452380952380949</c:v>
                </c:pt>
                <c:pt idx="22">
                  <c:v>57.2</c:v>
                </c:pt>
                <c:pt idx="23">
                  <c:v>59.61904761904762</c:v>
                </c:pt>
                <c:pt idx="24">
                  <c:v>61.15</c:v>
                </c:pt>
                <c:pt idx="25">
                  <c:v>63.921052631578945</c:v>
                </c:pt>
                <c:pt idx="26">
                  <c:v>69.021739130434781</c:v>
                </c:pt>
                <c:pt idx="27">
                  <c:v>70.650000000000006</c:v>
                </c:pt>
                <c:pt idx="28">
                  <c:v>70.5</c:v>
                </c:pt>
                <c:pt idx="29">
                  <c:v>71.785714285714292</c:v>
                </c:pt>
                <c:pt idx="30">
                  <c:v>70.137500000000003</c:v>
                </c:pt>
                <c:pt idx="31">
                  <c:v>67.673913043478265</c:v>
                </c:pt>
                <c:pt idx="32">
                  <c:v>66.321428571428569</c:v>
                </c:pt>
                <c:pt idx="33">
                  <c:v>65.5</c:v>
                </c:pt>
                <c:pt idx="34">
                  <c:v>67</c:v>
                </c:pt>
                <c:pt idx="35">
                  <c:v>66.452380952380949</c:v>
                </c:pt>
                <c:pt idx="36">
                  <c:v>63.9</c:v>
                </c:pt>
                <c:pt idx="37">
                  <c:v>56.631578947368418</c:v>
                </c:pt>
                <c:pt idx="38">
                  <c:v>44.847826086956523</c:v>
                </c:pt>
                <c:pt idx="39">
                  <c:v>42.368421052631582</c:v>
                </c:pt>
                <c:pt idx="40">
                  <c:v>45.272727272727273</c:v>
                </c:pt>
                <c:pt idx="41">
                  <c:v>50.166666666666664</c:v>
                </c:pt>
                <c:pt idx="42">
                  <c:v>52.05</c:v>
                </c:pt>
                <c:pt idx="43">
                  <c:v>53</c:v>
                </c:pt>
                <c:pt idx="44">
                  <c:v>54.274999999999999</c:v>
                </c:pt>
                <c:pt idx="45">
                  <c:v>51.227272727272727</c:v>
                </c:pt>
                <c:pt idx="46">
                  <c:v>39</c:v>
                </c:pt>
                <c:pt idx="47">
                  <c:v>35.762500000000003</c:v>
                </c:pt>
                <c:pt idx="48">
                  <c:v>33.011904761904759</c:v>
                </c:pt>
                <c:pt idx="49">
                  <c:v>32.25</c:v>
                </c:pt>
                <c:pt idx="50">
                  <c:v>32.25</c:v>
                </c:pt>
                <c:pt idx="51">
                  <c:v>34.215909090909093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C5-43DA-B7CF-C8FD5DD95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478224"/>
        <c:axId val="1361464304"/>
      </c:scatterChart>
      <c:valAx>
        <c:axId val="136147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64304"/>
        <c:crosses val="autoZero"/>
        <c:crossBetween val="midCat"/>
      </c:valAx>
      <c:valAx>
        <c:axId val="13614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D4 to Yellow Grease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822922134733157"/>
                  <c:y val="-5.474482356372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Monthly!$J$82:$J$139</c:f>
              <c:numCache>
                <c:formatCode>#,##0.00_);[Red]\(#,##0.00\)</c:formatCode>
                <c:ptCount val="58"/>
                <c:pt idx="0">
                  <c:v>40.352272727272727</c:v>
                </c:pt>
                <c:pt idx="1">
                  <c:v>48.539473684210527</c:v>
                </c:pt>
                <c:pt idx="2">
                  <c:v>48.56818181818182</c:v>
                </c:pt>
                <c:pt idx="3">
                  <c:v>52.107142857142854</c:v>
                </c:pt>
                <c:pt idx="4">
                  <c:v>53.625</c:v>
                </c:pt>
                <c:pt idx="5">
                  <c:v>56.511363636363633</c:v>
                </c:pt>
                <c:pt idx="6">
                  <c:v>59.840909090909093</c:v>
                </c:pt>
                <c:pt idx="7">
                  <c:v>64.964285714285708</c:v>
                </c:pt>
                <c:pt idx="8">
                  <c:v>76.38095238095238</c:v>
                </c:pt>
                <c:pt idx="9">
                  <c:v>79.693181818181813</c:v>
                </c:pt>
                <c:pt idx="10">
                  <c:v>87.315789473684205</c:v>
                </c:pt>
                <c:pt idx="11">
                  <c:v>97.181818181818187</c:v>
                </c:pt>
                <c:pt idx="12">
                  <c:v>102.61842105263158</c:v>
                </c:pt>
                <c:pt idx="13">
                  <c:v>109.89473684210526</c:v>
                </c:pt>
                <c:pt idx="14">
                  <c:v>138.40217391304347</c:v>
                </c:pt>
                <c:pt idx="15">
                  <c:v>145.82142857142858</c:v>
                </c:pt>
                <c:pt idx="16">
                  <c:v>188.3125</c:v>
                </c:pt>
                <c:pt idx="17">
                  <c:v>176.5</c:v>
                </c:pt>
                <c:pt idx="18">
                  <c:v>165.60714285714286</c:v>
                </c:pt>
                <c:pt idx="19">
                  <c:v>171.84090909090909</c:v>
                </c:pt>
                <c:pt idx="20">
                  <c:v>143.66666666666666</c:v>
                </c:pt>
                <c:pt idx="21">
                  <c:v>153.52380952380952</c:v>
                </c:pt>
                <c:pt idx="22">
                  <c:v>142.94999999999999</c:v>
                </c:pt>
                <c:pt idx="23">
                  <c:v>151.0595238095238</c:v>
                </c:pt>
                <c:pt idx="24">
                  <c:v>135.71250000000001</c:v>
                </c:pt>
                <c:pt idx="25">
                  <c:v>146.46052631578948</c:v>
                </c:pt>
                <c:pt idx="26">
                  <c:v>148.36956521739131</c:v>
                </c:pt>
                <c:pt idx="27">
                  <c:v>166.66874999999999</c:v>
                </c:pt>
                <c:pt idx="28">
                  <c:v>178.38095238095238</c:v>
                </c:pt>
                <c:pt idx="29">
                  <c:v>163.25</c:v>
                </c:pt>
                <c:pt idx="30">
                  <c:v>161.42500000000001</c:v>
                </c:pt>
                <c:pt idx="31">
                  <c:v>176.58695652173913</c:v>
                </c:pt>
                <c:pt idx="32">
                  <c:v>174.8154761904762</c:v>
                </c:pt>
                <c:pt idx="33">
                  <c:v>181.3095238095238</c:v>
                </c:pt>
                <c:pt idx="34">
                  <c:v>191.47499999999999</c:v>
                </c:pt>
                <c:pt idx="35">
                  <c:v>173.02380952380952</c:v>
                </c:pt>
                <c:pt idx="36">
                  <c:v>169.125</c:v>
                </c:pt>
                <c:pt idx="37">
                  <c:v>161.97368421052633</c:v>
                </c:pt>
                <c:pt idx="38">
                  <c:v>157.40217391304347</c:v>
                </c:pt>
                <c:pt idx="39">
                  <c:v>156.70526315789473</c:v>
                </c:pt>
                <c:pt idx="40">
                  <c:v>153.39772727272728</c:v>
                </c:pt>
                <c:pt idx="41">
                  <c:v>144.4702380952381</c:v>
                </c:pt>
                <c:pt idx="42">
                  <c:v>155.63749999999999</c:v>
                </c:pt>
                <c:pt idx="43">
                  <c:v>145.03260869565219</c:v>
                </c:pt>
                <c:pt idx="44">
                  <c:v>119.4</c:v>
                </c:pt>
                <c:pt idx="45">
                  <c:v>88.602272727272734</c:v>
                </c:pt>
                <c:pt idx="46">
                  <c:v>82.912499999999994</c:v>
                </c:pt>
                <c:pt idx="47">
                  <c:v>81.231250000000003</c:v>
                </c:pt>
                <c:pt idx="48">
                  <c:v>72.583333333333329</c:v>
                </c:pt>
                <c:pt idx="49">
                  <c:v>47.987499999999997</c:v>
                </c:pt>
                <c:pt idx="50">
                  <c:v>52.475000000000001</c:v>
                </c:pt>
                <c:pt idx="51">
                  <c:v>48.477272727272727</c:v>
                </c:pt>
                <c:pt idx="52">
                  <c:v>49.738636363636367</c:v>
                </c:pt>
                <c:pt idx="53">
                  <c:v>55.157894736842103</c:v>
                </c:pt>
                <c:pt idx="54">
                  <c:v>64.045909090909106</c:v>
                </c:pt>
                <c:pt idx="55">
                  <c:v>56.591818181818191</c:v>
                </c:pt>
                <c:pt idx="56">
                  <c:v>60.412500000000001</c:v>
                </c:pt>
                <c:pt idx="57">
                  <c:v>69.870434782608697</c:v>
                </c:pt>
              </c:numCache>
            </c:numRef>
          </c:xVal>
          <c:yVal>
            <c:numRef>
              <c:f>Monthly!$AD$82:$AD$139</c:f>
              <c:numCache>
                <c:formatCode>General</c:formatCode>
                <c:ptCount val="58"/>
                <c:pt idx="0">
                  <c:v>22.21</c:v>
                </c:pt>
                <c:pt idx="1">
                  <c:v>23.09</c:v>
                </c:pt>
                <c:pt idx="2">
                  <c:v>23.74</c:v>
                </c:pt>
                <c:pt idx="3">
                  <c:v>22.88</c:v>
                </c:pt>
                <c:pt idx="4">
                  <c:v>24</c:v>
                </c:pt>
                <c:pt idx="5">
                  <c:v>23.85</c:v>
                </c:pt>
                <c:pt idx="6">
                  <c:v>23.5</c:v>
                </c:pt>
                <c:pt idx="7">
                  <c:v>23.57</c:v>
                </c:pt>
                <c:pt idx="8">
                  <c:v>24</c:v>
                </c:pt>
                <c:pt idx="9">
                  <c:v>24.5</c:v>
                </c:pt>
                <c:pt idx="10">
                  <c:v>24.55</c:v>
                </c:pt>
                <c:pt idx="11">
                  <c:v>26.85</c:v>
                </c:pt>
                <c:pt idx="12">
                  <c:v>30.75</c:v>
                </c:pt>
                <c:pt idx="13">
                  <c:v>34.89</c:v>
                </c:pt>
                <c:pt idx="14">
                  <c:v>39.200000000000003</c:v>
                </c:pt>
                <c:pt idx="15">
                  <c:v>41.05</c:v>
                </c:pt>
                <c:pt idx="16">
                  <c:v>42.81</c:v>
                </c:pt>
                <c:pt idx="17">
                  <c:v>45.03</c:v>
                </c:pt>
                <c:pt idx="18">
                  <c:v>46.26</c:v>
                </c:pt>
                <c:pt idx="19">
                  <c:v>49.83</c:v>
                </c:pt>
                <c:pt idx="20">
                  <c:v>48.02</c:v>
                </c:pt>
                <c:pt idx="21">
                  <c:v>49.8</c:v>
                </c:pt>
                <c:pt idx="22">
                  <c:v>53.66</c:v>
                </c:pt>
                <c:pt idx="23">
                  <c:v>50.88</c:v>
                </c:pt>
                <c:pt idx="24">
                  <c:v>52.21</c:v>
                </c:pt>
                <c:pt idx="25">
                  <c:v>57</c:v>
                </c:pt>
                <c:pt idx="26">
                  <c:v>62.93</c:v>
                </c:pt>
                <c:pt idx="27">
                  <c:v>60.53</c:v>
                </c:pt>
                <c:pt idx="28">
                  <c:v>62.5</c:v>
                </c:pt>
                <c:pt idx="29">
                  <c:v>62.36</c:v>
                </c:pt>
                <c:pt idx="30">
                  <c:v>57.63</c:v>
                </c:pt>
                <c:pt idx="31">
                  <c:v>55.75</c:v>
                </c:pt>
                <c:pt idx="32">
                  <c:v>54.5</c:v>
                </c:pt>
                <c:pt idx="33">
                  <c:v>54.5</c:v>
                </c:pt>
                <c:pt idx="34">
                  <c:v>54.95</c:v>
                </c:pt>
                <c:pt idx="35">
                  <c:v>54.48</c:v>
                </c:pt>
                <c:pt idx="36">
                  <c:v>52.8</c:v>
                </c:pt>
                <c:pt idx="37">
                  <c:v>50.5</c:v>
                </c:pt>
                <c:pt idx="38">
                  <c:v>42.9</c:v>
                </c:pt>
                <c:pt idx="39">
                  <c:v>41.5</c:v>
                </c:pt>
                <c:pt idx="40">
                  <c:v>42.41</c:v>
                </c:pt>
                <c:pt idx="41">
                  <c:v>43.55</c:v>
                </c:pt>
                <c:pt idx="42">
                  <c:v>46.13</c:v>
                </c:pt>
                <c:pt idx="43">
                  <c:v>47</c:v>
                </c:pt>
                <c:pt idx="44">
                  <c:v>48.6</c:v>
                </c:pt>
                <c:pt idx="45">
                  <c:v>46.8</c:v>
                </c:pt>
                <c:pt idx="46">
                  <c:v>37.229999999999997</c:v>
                </c:pt>
                <c:pt idx="47">
                  <c:v>34.4</c:v>
                </c:pt>
                <c:pt idx="48">
                  <c:v>31</c:v>
                </c:pt>
                <c:pt idx="49">
                  <c:v>30</c:v>
                </c:pt>
                <c:pt idx="50">
                  <c:v>30</c:v>
                </c:pt>
                <c:pt idx="51">
                  <c:v>30.23</c:v>
                </c:pt>
                <c:pt idx="52">
                  <c:v>29.5</c:v>
                </c:pt>
                <c:pt idx="53">
                  <c:v>29.5</c:v>
                </c:pt>
                <c:pt idx="54">
                  <c:v>29.86</c:v>
                </c:pt>
                <c:pt idx="55">
                  <c:v>31.5</c:v>
                </c:pt>
                <c:pt idx="56">
                  <c:v>37.03</c:v>
                </c:pt>
                <c:pt idx="57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7B-46CE-B5D6-F9A581954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478224"/>
        <c:axId val="1361464304"/>
      </c:scatterChart>
      <c:valAx>
        <c:axId val="136147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64304"/>
        <c:crosses val="autoZero"/>
        <c:crossBetween val="midCat"/>
      </c:valAx>
      <c:valAx>
        <c:axId val="13614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FD87EF-ADBF-448B-A8FA-8726B493480E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B175DC-3620-4F36-9CD7-62387FF14D1D}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8B8164B-2A57-428D-950E-BD59FF337935}">
  <sheetPr/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1410FC2-BD17-430F-8669-51ED2947E704}">
  <sheetPr/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31E89DF-683D-474A-94ED-94EDF24A7E5F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chart" Target="../charts/chart18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2" Type="http://schemas.openxmlformats.org/officeDocument/2006/relationships/chart" Target="../charts/chart7.xml"/><Relationship Id="rId16" Type="http://schemas.openxmlformats.org/officeDocument/2006/relationships/chart" Target="../charts/chart21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5" Type="http://schemas.openxmlformats.org/officeDocument/2006/relationships/chart" Target="../charts/chart2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A1F80-EFEF-B020-EA7E-CB0E4639B9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0.96119</cdr:y>
    </cdr:from>
    <cdr:to>
      <cdr:x>0.54725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C0C2085-AE22-B2F9-0ADA-980AE56880E8}"/>
            </a:ext>
          </a:extLst>
        </cdr:cNvPr>
        <cdr:cNvSpPr txBox="1"/>
      </cdr:nvSpPr>
      <cdr:spPr>
        <a:xfrm xmlns:a="http://schemas.openxmlformats.org/drawingml/2006/main">
          <a:off x="0" y="6051703"/>
          <a:ext cx="4743450" cy="244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CARB, OR Dept of</a:t>
          </a:r>
          <a:r>
            <a:rPr lang="en-US" sz="1200" b="0" baseline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 Environmental Quality</a:t>
          </a:r>
          <a:r>
            <a:rPr lang="en-US" sz="12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,</a:t>
          </a:r>
          <a:r>
            <a:rPr lang="en-US" sz="1200" b="0" baseline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 WA Dept of Ecology,</a:t>
          </a:r>
          <a:r>
            <a:rPr lang="en-US" sz="12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 Fastmarkets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714FB-9D36-571A-8D00-1438DB519B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1.1537E-7</cdr:x>
      <cdr:y>0.96117</cdr:y>
    </cdr:from>
    <cdr:to>
      <cdr:x>0.33846</cdr:x>
      <cdr:y>0.99998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C0C2085-AE22-B2F9-0ADA-980AE56880E8}"/>
            </a:ext>
          </a:extLst>
        </cdr:cNvPr>
        <cdr:cNvSpPr txBox="1"/>
      </cdr:nvSpPr>
      <cdr:spPr>
        <a:xfrm xmlns:a="http://schemas.openxmlformats.org/drawingml/2006/main">
          <a:off x="1" y="6051550"/>
          <a:ext cx="2933700" cy="244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DA42E-2324-33B0-C188-C8E4E5E474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0.95966</cdr:y>
    </cdr:from>
    <cdr:to>
      <cdr:x>0.33846</cdr:x>
      <cdr:y>0.99846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1BD3202-82BD-F1FF-C604-8C3ACCEBC4E9}"/>
            </a:ext>
          </a:extLst>
        </cdr:cNvPr>
        <cdr:cNvSpPr txBox="1"/>
      </cdr:nvSpPr>
      <cdr:spPr>
        <a:xfrm xmlns:a="http://schemas.openxmlformats.org/drawingml/2006/main">
          <a:off x="0" y="6042025"/>
          <a:ext cx="2933700" cy="244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02642E-BFFE-91E3-3C69-76F83FC4B9B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0.95966</cdr:y>
    </cdr:from>
    <cdr:to>
      <cdr:x>0.33846</cdr:x>
      <cdr:y>0.99846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1BD3202-82BD-F1FF-C604-8C3ACCEBC4E9}"/>
            </a:ext>
          </a:extLst>
        </cdr:cNvPr>
        <cdr:cNvSpPr txBox="1"/>
      </cdr:nvSpPr>
      <cdr:spPr>
        <a:xfrm xmlns:a="http://schemas.openxmlformats.org/drawingml/2006/main">
          <a:off x="0" y="6042025"/>
          <a:ext cx="2933700" cy="244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5A197-882A-B3BF-7610-AD847F6F6C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0.00366</cdr:x>
      <cdr:y>0.95663</cdr:y>
    </cdr:from>
    <cdr:to>
      <cdr:x>0.34212</cdr:x>
      <cdr:y>0.99544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1BD3202-82BD-F1FF-C604-8C3ACCEBC4E9}"/>
            </a:ext>
          </a:extLst>
        </cdr:cNvPr>
        <cdr:cNvSpPr txBox="1"/>
      </cdr:nvSpPr>
      <cdr:spPr>
        <a:xfrm xmlns:a="http://schemas.openxmlformats.org/drawingml/2006/main">
          <a:off x="31750" y="6022975"/>
          <a:ext cx="2933700" cy="244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23812</xdr:rowOff>
    </xdr:from>
    <xdr:to>
      <xdr:col>8</xdr:col>
      <xdr:colOff>314325</xdr:colOff>
      <xdr:row>15</xdr:row>
      <xdr:rowOff>100012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64C25B9-E966-4500-9227-4195B30FA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1</xdr:row>
      <xdr:rowOff>23812</xdr:rowOff>
    </xdr:from>
    <xdr:to>
      <xdr:col>16</xdr:col>
      <xdr:colOff>323850</xdr:colOff>
      <xdr:row>15</xdr:row>
      <xdr:rowOff>100012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F130B928-EB04-45B2-9EB7-5B8770EB3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</xdr:row>
      <xdr:rowOff>14287</xdr:rowOff>
    </xdr:from>
    <xdr:to>
      <xdr:col>8</xdr:col>
      <xdr:colOff>304800</xdr:colOff>
      <xdr:row>30</xdr:row>
      <xdr:rowOff>90487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78A07A8C-9D4B-45EF-B227-3579B05AD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AC9B01-1136-46E2-A048-26CC99C73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19050</xdr:colOff>
      <xdr:row>0</xdr:row>
      <xdr:rowOff>161925</xdr:rowOff>
    </xdr:from>
    <xdr:to>
      <xdr:col>24</xdr:col>
      <xdr:colOff>323850</xdr:colOff>
      <xdr:row>15</xdr:row>
      <xdr:rowOff>47625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28528FA1-12C5-457C-8B89-2EB45EAD2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31</xdr:row>
      <xdr:rowOff>4762</xdr:rowOff>
    </xdr:from>
    <xdr:to>
      <xdr:col>24</xdr:col>
      <xdr:colOff>304800</xdr:colOff>
      <xdr:row>45</xdr:row>
      <xdr:rowOff>80962</xdr:rowOff>
    </xdr:to>
    <xdr:graphicFrame macro="">
      <xdr:nvGraphicFramePr>
        <xdr:cNvPr id="7" name="Chart 9">
          <a:extLst>
            <a:ext uri="{FF2B5EF4-FFF2-40B4-BE49-F238E27FC236}">
              <a16:creationId xmlns:a16="http://schemas.microsoft.com/office/drawing/2014/main" id="{81CAC1AB-95E4-49A4-9DD1-CD7276CCE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8</xdr:col>
      <xdr:colOff>304800</xdr:colOff>
      <xdr:row>45</xdr:row>
      <xdr:rowOff>76200</xdr:rowOff>
    </xdr:to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72A49172-2351-4C26-BF4D-29E1033BE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16</xdr:col>
      <xdr:colOff>304800</xdr:colOff>
      <xdr:row>45</xdr:row>
      <xdr:rowOff>76200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66097629-C1B5-42E8-A8B3-639E57BF8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16</xdr:row>
      <xdr:rowOff>0</xdr:rowOff>
    </xdr:from>
    <xdr:to>
      <xdr:col>24</xdr:col>
      <xdr:colOff>304800</xdr:colOff>
      <xdr:row>30</xdr:row>
      <xdr:rowOff>76200</xdr:rowOff>
    </xdr:to>
    <xdr:graphicFrame macro="">
      <xdr:nvGraphicFramePr>
        <xdr:cNvPr id="10" name="Chart 10">
          <a:extLst>
            <a:ext uri="{FF2B5EF4-FFF2-40B4-BE49-F238E27FC236}">
              <a16:creationId xmlns:a16="http://schemas.microsoft.com/office/drawing/2014/main" id="{9B178F76-9D96-453E-AB19-B45029448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46</xdr:row>
      <xdr:rowOff>0</xdr:rowOff>
    </xdr:from>
    <xdr:to>
      <xdr:col>8</xdr:col>
      <xdr:colOff>304800</xdr:colOff>
      <xdr:row>60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7CBA76-FA1A-4A85-A690-9D46D92BC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0</xdr:colOff>
      <xdr:row>46</xdr:row>
      <xdr:rowOff>0</xdr:rowOff>
    </xdr:from>
    <xdr:to>
      <xdr:col>16</xdr:col>
      <xdr:colOff>304800</xdr:colOff>
      <xdr:row>60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C56056F-F5A1-44E9-84AA-D194739C7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0</xdr:colOff>
      <xdr:row>46</xdr:row>
      <xdr:rowOff>0</xdr:rowOff>
    </xdr:from>
    <xdr:to>
      <xdr:col>24</xdr:col>
      <xdr:colOff>304800</xdr:colOff>
      <xdr:row>60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49983CA-7B1A-4DFC-BA4F-90EB2DCFA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61</xdr:row>
      <xdr:rowOff>0</xdr:rowOff>
    </xdr:from>
    <xdr:to>
      <xdr:col>8</xdr:col>
      <xdr:colOff>304800</xdr:colOff>
      <xdr:row>75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AC7EB09-2739-44EE-B08D-CE3997CF0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61</xdr:row>
      <xdr:rowOff>0</xdr:rowOff>
    </xdr:from>
    <xdr:to>
      <xdr:col>16</xdr:col>
      <xdr:colOff>304800</xdr:colOff>
      <xdr:row>75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A687E17-7DE5-499F-879C-A57C598AD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61</xdr:row>
      <xdr:rowOff>0</xdr:rowOff>
    </xdr:from>
    <xdr:to>
      <xdr:col>24</xdr:col>
      <xdr:colOff>304800</xdr:colOff>
      <xdr:row>75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320AEDD-FC9D-491F-9034-C94F9B814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76</xdr:row>
      <xdr:rowOff>0</xdr:rowOff>
    </xdr:from>
    <xdr:to>
      <xdr:col>8</xdr:col>
      <xdr:colOff>304800</xdr:colOff>
      <xdr:row>90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730E2C6-A117-4E57-81FA-B4075BFFC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Credit%20Price%20Forecasts%20-%20HOBO.xlsx" TargetMode="External"/><Relationship Id="rId1" Type="http://schemas.openxmlformats.org/officeDocument/2006/relationships/externalLinkPath" Target="/Users/torem/Dropbox/FM%20Files/HOBO/Biofuel%20Model/Credit%20Price%20Forecasts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fgprices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vegoilspreads%20-%20HOBO.xlsx" TargetMode="External"/><Relationship Id="rId1" Type="http://schemas.openxmlformats.org/officeDocument/2006/relationships/externalLinkPath" Target="/Users/torem/Dropbox/FM%20Files/HOBO/Biofuel%20Model/vegoilspreads%20-%20HOB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soyprices%20-%20HOBO.xlsx" TargetMode="External"/><Relationship Id="rId1" Type="http://schemas.openxmlformats.org/officeDocument/2006/relationships/externalLinkPath" Target="/Users/torem/Dropbox/FM%20Files/HOBO/Biofuel%20Model/soyprices%20-%20HOB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UCO%20Prices%20-%20HOBO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oilseedbal%20-%20HOBO.xlsx" TargetMode="External"/><Relationship Id="rId1" Type="http://schemas.openxmlformats.org/officeDocument/2006/relationships/externalLinkPath" Target="/Users/torem/Dropbox/FM%20Files/HOBO/Biofuel%20Model/usoilseedbal%20-%20HOBO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Soybean%20Oil%20Cash%20Prices%20-%20HOBO.xlsx" TargetMode="External"/><Relationship Id="rId1" Type="http://schemas.openxmlformats.org/officeDocument/2006/relationships/externalLinkPath" Target="/Users/torem/Dropbox/FM%20Files/HOBO/Biofuel%20Model/Soybean%20Oil%20Cash%20Prices%20-%20HOBO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CARB%20Data%20-%20HOBO.xlsx" TargetMode="External"/><Relationship Id="rId1" Type="http://schemas.openxmlformats.org/officeDocument/2006/relationships/externalLinkPath" Target="/Users/torem/Dropbox/FM%20Files/HOBO/Biofuel%20Model/CARB%20Data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Prices"/>
      <sheetName val="RIN Daily Prices"/>
      <sheetName val="Monthly"/>
      <sheetName val="Quarterly"/>
      <sheetName val="Annual"/>
      <sheetName val="Chart2"/>
      <sheetName val="Chart7"/>
      <sheetName val="Chart8"/>
      <sheetName val="Chart9"/>
      <sheetName val="Chart10"/>
      <sheetName val="MultiRegLCFS"/>
      <sheetName val="Regression RINs"/>
      <sheetName val="MultiRegressionD4RIN"/>
    </sheetNames>
    <sheetDataSet>
      <sheetData sheetId="0"/>
      <sheetData sheetId="1"/>
      <sheetData sheetId="2">
        <row r="82">
          <cell r="J82">
            <v>40.352272727272727</v>
          </cell>
          <cell r="K82">
            <v>39.840909090909093</v>
          </cell>
          <cell r="L82">
            <v>15.909090909090908</v>
          </cell>
          <cell r="M82">
            <v>1.3776360544217687</v>
          </cell>
          <cell r="N82">
            <v>1.6160000000000001</v>
          </cell>
          <cell r="O82">
            <v>0.23836394557823137</v>
          </cell>
          <cell r="R82">
            <v>0.66647238095238115</v>
          </cell>
          <cell r="S82">
            <v>33.150952380952383</v>
          </cell>
          <cell r="T82">
            <v>26.785699999999999</v>
          </cell>
          <cell r="X82">
            <v>40.82</v>
          </cell>
          <cell r="Y82">
            <v>30.43</v>
          </cell>
          <cell r="Z82">
            <v>25.65</v>
          </cell>
          <cell r="AA82">
            <v>28.5</v>
          </cell>
          <cell r="AB82">
            <v>25.05</v>
          </cell>
          <cell r="AD82">
            <v>22.21</v>
          </cell>
        </row>
        <row r="83">
          <cell r="J83">
            <v>48.539473684210527</v>
          </cell>
          <cell r="K83">
            <v>48.05263157894737</v>
          </cell>
          <cell r="L83">
            <v>30.815789473684209</v>
          </cell>
          <cell r="M83">
            <v>1.3505169172932332</v>
          </cell>
          <cell r="N83">
            <v>1.5369999999999999</v>
          </cell>
          <cell r="O83">
            <v>0.18648308270676672</v>
          </cell>
          <cell r="R83">
            <v>0.67588000000000004</v>
          </cell>
          <cell r="S83">
            <v>30.248421052631581</v>
          </cell>
          <cell r="T83">
            <v>28.184200000000001</v>
          </cell>
          <cell r="X83">
            <v>38.119999999999997</v>
          </cell>
          <cell r="Y83">
            <v>34.29</v>
          </cell>
          <cell r="Z83">
            <v>27.04</v>
          </cell>
          <cell r="AA83">
            <v>28.5</v>
          </cell>
          <cell r="AB83">
            <v>28.04</v>
          </cell>
          <cell r="AD83">
            <v>23.09</v>
          </cell>
        </row>
        <row r="84">
          <cell r="J84">
            <v>48.56818181818182</v>
          </cell>
          <cell r="K84">
            <v>48.136363636363633</v>
          </cell>
          <cell r="L84">
            <v>28.829545454545453</v>
          </cell>
          <cell r="M84">
            <v>1.2816558441558443</v>
          </cell>
          <cell r="N84">
            <v>0.89800000000000002</v>
          </cell>
          <cell r="O84">
            <v>-0.38365584415584431</v>
          </cell>
          <cell r="R84">
            <v>0.87834727272727231</v>
          </cell>
          <cell r="S84">
            <v>27.017727272727271</v>
          </cell>
          <cell r="T84">
            <v>28.5</v>
          </cell>
          <cell r="X84">
            <v>35.5</v>
          </cell>
          <cell r="Y84">
            <v>30.86</v>
          </cell>
          <cell r="Z84">
            <v>22.99</v>
          </cell>
          <cell r="AA84">
            <v>28</v>
          </cell>
          <cell r="AB84">
            <v>27.7</v>
          </cell>
          <cell r="AD84">
            <v>23.74</v>
          </cell>
        </row>
        <row r="85">
          <cell r="J85">
            <v>52.107142857142854</v>
          </cell>
          <cell r="K85">
            <v>51.55952380952381</v>
          </cell>
          <cell r="L85">
            <v>35.05952380952381</v>
          </cell>
          <cell r="M85">
            <v>1.1571003401360545</v>
          </cell>
          <cell r="N85">
            <v>0.66800000000000004</v>
          </cell>
          <cell r="O85">
            <v>-0.48910034013605441</v>
          </cell>
          <cell r="R85">
            <v>1.1244171428571432</v>
          </cell>
          <cell r="S85">
            <v>26.202857142857148</v>
          </cell>
          <cell r="T85">
            <v>28.5</v>
          </cell>
          <cell r="X85">
            <v>35.58</v>
          </cell>
          <cell r="Y85">
            <v>30.78</v>
          </cell>
          <cell r="Z85">
            <v>22.71</v>
          </cell>
          <cell r="AA85">
            <v>29.23</v>
          </cell>
          <cell r="AB85">
            <v>29.04</v>
          </cell>
          <cell r="AD85">
            <v>22.88</v>
          </cell>
        </row>
        <row r="86">
          <cell r="J86">
            <v>53.625</v>
          </cell>
          <cell r="K86">
            <v>53.125</v>
          </cell>
          <cell r="L86">
            <v>38.4</v>
          </cell>
          <cell r="M86">
            <v>1.1407589285714286</v>
          </cell>
          <cell r="N86">
            <v>0.95499999999999996</v>
          </cell>
          <cell r="O86">
            <v>-0.18575892857142862</v>
          </cell>
          <cell r="R86">
            <v>1.1198839999999994</v>
          </cell>
          <cell r="S86">
            <v>26.708999999999996</v>
          </cell>
          <cell r="T86">
            <v>28.5</v>
          </cell>
          <cell r="X86">
            <v>34.700000000000003</v>
          </cell>
          <cell r="Y86">
            <v>33.65</v>
          </cell>
          <cell r="Z86">
            <v>22.43</v>
          </cell>
          <cell r="AA86">
            <v>30</v>
          </cell>
          <cell r="AB86">
            <v>26.98</v>
          </cell>
          <cell r="AD86">
            <v>24</v>
          </cell>
        </row>
        <row r="87">
          <cell r="J87">
            <v>56.511363636363633</v>
          </cell>
          <cell r="K87">
            <v>56.090909090909093</v>
          </cell>
          <cell r="L87">
            <v>46.477272727272727</v>
          </cell>
          <cell r="M87">
            <v>1.171875</v>
          </cell>
          <cell r="N87">
            <v>1.1890000000000001</v>
          </cell>
          <cell r="O87">
            <v>1.7125000000000057E-2</v>
          </cell>
          <cell r="R87">
            <v>0.9757436363636367</v>
          </cell>
          <cell r="S87">
            <v>27.891363636363643</v>
          </cell>
          <cell r="T87">
            <v>28.5</v>
          </cell>
          <cell r="X87">
            <v>37.53</v>
          </cell>
          <cell r="Y87">
            <v>24.95</v>
          </cell>
          <cell r="Z87">
            <v>19.41</v>
          </cell>
          <cell r="AA87">
            <v>26.52</v>
          </cell>
          <cell r="AB87">
            <v>23.08</v>
          </cell>
          <cell r="AD87">
            <v>23.85</v>
          </cell>
        </row>
        <row r="88">
          <cell r="J88">
            <v>59.840909090909093</v>
          </cell>
          <cell r="K88">
            <v>59.375</v>
          </cell>
          <cell r="L88">
            <v>47.096590909090907</v>
          </cell>
          <cell r="M88">
            <v>1.2125405844155845</v>
          </cell>
          <cell r="N88">
            <v>1.254</v>
          </cell>
          <cell r="O88">
            <v>4.145941558441546E-2</v>
          </cell>
          <cell r="R88">
            <v>0.98171818181818171</v>
          </cell>
          <cell r="S88">
            <v>29.206818181818178</v>
          </cell>
          <cell r="T88">
            <v>28.5</v>
          </cell>
          <cell r="X88">
            <v>44.2</v>
          </cell>
          <cell r="Y88">
            <v>23.46</v>
          </cell>
          <cell r="Z88">
            <v>19.36</v>
          </cell>
          <cell r="AA88">
            <v>25.5</v>
          </cell>
          <cell r="AB88">
            <v>21.57</v>
          </cell>
          <cell r="AD88">
            <v>23.5</v>
          </cell>
        </row>
        <row r="89">
          <cell r="J89">
            <v>64.964285714285708</v>
          </cell>
          <cell r="K89">
            <v>63.964285714285715</v>
          </cell>
          <cell r="L89">
            <v>44.526190476190472</v>
          </cell>
          <cell r="M89">
            <v>1.1612670068027213</v>
          </cell>
          <cell r="N89">
            <v>1.27</v>
          </cell>
          <cell r="O89">
            <v>0.10873299319727869</v>
          </cell>
          <cell r="R89">
            <v>1.1620209523809526</v>
          </cell>
          <cell r="S89">
            <v>31.59238095238096</v>
          </cell>
          <cell r="T89">
            <v>29.357099999999999</v>
          </cell>
          <cell r="X89">
            <v>46.6</v>
          </cell>
          <cell r="Y89">
            <v>30.1</v>
          </cell>
          <cell r="Z89">
            <v>22.67</v>
          </cell>
          <cell r="AA89">
            <v>27.4</v>
          </cell>
          <cell r="AB89">
            <v>24.5</v>
          </cell>
          <cell r="AD89">
            <v>23.57</v>
          </cell>
        </row>
        <row r="90">
          <cell r="J90">
            <v>76.38095238095238</v>
          </cell>
          <cell r="K90">
            <v>75.166666666666671</v>
          </cell>
          <cell r="L90">
            <v>48.386904761904759</v>
          </cell>
          <cell r="M90">
            <v>1.3081207482993198</v>
          </cell>
          <cell r="N90">
            <v>1.1759999999999999</v>
          </cell>
          <cell r="O90">
            <v>-0.13212074829931986</v>
          </cell>
          <cell r="R90">
            <v>1.4197961904761904</v>
          </cell>
          <cell r="S90">
            <v>33.51047619047619</v>
          </cell>
          <cell r="T90">
            <v>29.523800000000001</v>
          </cell>
          <cell r="X90">
            <v>48.51</v>
          </cell>
          <cell r="Y90">
            <v>31.17</v>
          </cell>
          <cell r="Z90">
            <v>26.71</v>
          </cell>
          <cell r="AA90">
            <v>29.04</v>
          </cell>
          <cell r="AB90">
            <v>28.38</v>
          </cell>
          <cell r="AD90">
            <v>24</v>
          </cell>
        </row>
        <row r="91">
          <cell r="J91">
            <v>79.693181818181813</v>
          </cell>
          <cell r="K91">
            <v>79.23863636363636</v>
          </cell>
          <cell r="L91">
            <v>53.386363636363633</v>
          </cell>
          <cell r="M91">
            <v>1.4246347402597404</v>
          </cell>
          <cell r="N91">
            <v>1.1579999999999999</v>
          </cell>
          <cell r="O91">
            <v>-0.26663474025974043</v>
          </cell>
          <cell r="R91">
            <v>1.3780381818181817</v>
          </cell>
          <cell r="S91">
            <v>33.276818181818186</v>
          </cell>
          <cell r="T91">
            <v>30.125</v>
          </cell>
          <cell r="X91">
            <v>48.28</v>
          </cell>
          <cell r="Y91">
            <v>31.64</v>
          </cell>
          <cell r="Z91">
            <v>26.45</v>
          </cell>
          <cell r="AA91">
            <v>30.07</v>
          </cell>
          <cell r="AB91">
            <v>30.93</v>
          </cell>
          <cell r="AD91">
            <v>24.5</v>
          </cell>
        </row>
        <row r="92">
          <cell r="J92">
            <v>87.315789473684205</v>
          </cell>
          <cell r="K92">
            <v>86.815789473684205</v>
          </cell>
          <cell r="L92">
            <v>63.407894736842103</v>
          </cell>
          <cell r="M92">
            <v>1.4923214285714288</v>
          </cell>
          <cell r="N92">
            <v>1.161</v>
          </cell>
          <cell r="O92">
            <v>-0.33132142857142877</v>
          </cell>
          <cell r="R92">
            <v>1.5605499999999997</v>
          </cell>
          <cell r="S92">
            <v>36.862499999999997</v>
          </cell>
          <cell r="T92">
            <v>30.888500000000001</v>
          </cell>
          <cell r="X92">
            <v>50.56</v>
          </cell>
          <cell r="Y92">
            <v>32</v>
          </cell>
          <cell r="Z92">
            <v>26.1</v>
          </cell>
          <cell r="AA92">
            <v>33.24</v>
          </cell>
          <cell r="AB92">
            <v>33.07</v>
          </cell>
          <cell r="AD92">
            <v>24.55</v>
          </cell>
        </row>
        <row r="93">
          <cell r="J93">
            <v>97.181818181818187</v>
          </cell>
          <cell r="K93">
            <v>96.590909090909093</v>
          </cell>
          <cell r="L93">
            <v>71.568181818181813</v>
          </cell>
          <cell r="M93">
            <v>1.567951127819549</v>
          </cell>
          <cell r="N93">
            <v>1.3280000000000001</v>
          </cell>
          <cell r="O93">
            <v>-0.23995112781954897</v>
          </cell>
          <cell r="R93">
            <v>1.5594236363636367</v>
          </cell>
          <cell r="S93">
            <v>39.571363636363643</v>
          </cell>
          <cell r="T93">
            <v>33.336956521739133</v>
          </cell>
          <cell r="X93">
            <v>54.57</v>
          </cell>
          <cell r="Y93">
            <v>35.549999999999997</v>
          </cell>
          <cell r="Z93">
            <v>29.22</v>
          </cell>
          <cell r="AA93">
            <v>36.86</v>
          </cell>
          <cell r="AB93">
            <v>35.26</v>
          </cell>
          <cell r="AD93">
            <v>26.85</v>
          </cell>
        </row>
        <row r="94">
          <cell r="J94">
            <v>102.61842105263158</v>
          </cell>
          <cell r="K94">
            <v>101.14473684210526</v>
          </cell>
          <cell r="L94">
            <v>90.65789473684211</v>
          </cell>
          <cell r="M94">
            <v>1.8406954887218048</v>
          </cell>
          <cell r="N94">
            <v>1.5309999999999999</v>
          </cell>
          <cell r="O94">
            <v>-0.30969548872180486</v>
          </cell>
          <cell r="R94">
            <v>1.7017199999999997</v>
          </cell>
          <cell r="S94">
            <v>43.154210526315786</v>
          </cell>
          <cell r="T94">
            <v>36.60526315789474</v>
          </cell>
          <cell r="X94">
            <v>57.73</v>
          </cell>
          <cell r="Y94">
            <v>39.74</v>
          </cell>
          <cell r="Z94">
            <v>33.25</v>
          </cell>
          <cell r="AA94">
            <v>39.869999999999997</v>
          </cell>
          <cell r="AB94">
            <v>39.92</v>
          </cell>
          <cell r="AD94">
            <v>30.75</v>
          </cell>
        </row>
        <row r="95">
          <cell r="J95">
            <v>109.89473684210526</v>
          </cell>
          <cell r="K95">
            <v>109.39473684210526</v>
          </cell>
          <cell r="L95">
            <v>100.85526315789474</v>
          </cell>
          <cell r="M95">
            <v>1.9641917293233084</v>
          </cell>
          <cell r="N95">
            <v>1.7390000000000001</v>
          </cell>
          <cell r="O95">
            <v>-0.22519172932330833</v>
          </cell>
          <cell r="R95">
            <v>1.7829199999999996</v>
          </cell>
          <cell r="S95">
            <v>46.94631578947368</v>
          </cell>
          <cell r="T95">
            <v>39</v>
          </cell>
          <cell r="X95">
            <v>62.68</v>
          </cell>
          <cell r="Y95">
            <v>43.95</v>
          </cell>
          <cell r="Z95">
            <v>38.24</v>
          </cell>
          <cell r="AA95">
            <v>43.13</v>
          </cell>
          <cell r="AB95">
            <v>43.5</v>
          </cell>
          <cell r="AD95">
            <v>34.89</v>
          </cell>
        </row>
        <row r="96">
          <cell r="J96">
            <v>138.40217391304347</v>
          </cell>
          <cell r="K96">
            <v>137.83695652173913</v>
          </cell>
          <cell r="L96">
            <v>129.1358695652174</v>
          </cell>
          <cell r="M96">
            <v>1.9555357142857142</v>
          </cell>
          <cell r="N96">
            <v>2.0070000000000001</v>
          </cell>
          <cell r="O96">
            <v>5.1464285714285962E-2</v>
          </cell>
          <cell r="R96">
            <v>2.200120000000001</v>
          </cell>
          <cell r="S96">
            <v>53.370000000000012</v>
          </cell>
          <cell r="T96">
            <v>42.195652173913047</v>
          </cell>
          <cell r="X96">
            <v>72.63</v>
          </cell>
          <cell r="Y96">
            <v>50.43</v>
          </cell>
          <cell r="Z96">
            <v>45.24</v>
          </cell>
          <cell r="AA96">
            <v>47.7</v>
          </cell>
          <cell r="AB96">
            <v>51.25</v>
          </cell>
          <cell r="AD96">
            <v>39.200000000000003</v>
          </cell>
        </row>
        <row r="97">
          <cell r="J97">
            <v>145.82142857142858</v>
          </cell>
          <cell r="K97">
            <v>145.07142857142858</v>
          </cell>
          <cell r="L97">
            <v>138.08333333333334</v>
          </cell>
          <cell r="M97">
            <v>2.2002551020408165</v>
          </cell>
          <cell r="N97">
            <v>2.0070000000000001</v>
          </cell>
          <cell r="O97">
            <v>-0.19325510204081642</v>
          </cell>
          <cell r="R97">
            <v>2.5639142857142865</v>
          </cell>
          <cell r="S97">
            <v>58.235714285714302</v>
          </cell>
          <cell r="T97">
            <v>43.535714285714285</v>
          </cell>
          <cell r="X97">
            <v>88.14</v>
          </cell>
          <cell r="Y97">
            <v>53.48</v>
          </cell>
          <cell r="Z97">
            <v>47.52</v>
          </cell>
          <cell r="AA97">
            <v>50.95</v>
          </cell>
          <cell r="AB97">
            <v>49.13</v>
          </cell>
          <cell r="AD97">
            <v>41.05</v>
          </cell>
        </row>
        <row r="98">
          <cell r="J98">
            <v>188.3125</v>
          </cell>
          <cell r="K98">
            <v>187.5625</v>
          </cell>
          <cell r="L98">
            <v>179.98750000000001</v>
          </cell>
          <cell r="M98">
            <v>2.4141517857142856</v>
          </cell>
          <cell r="N98">
            <v>2.1259999999999999</v>
          </cell>
          <cell r="O98">
            <v>-0.28815178571428568</v>
          </cell>
          <cell r="R98">
            <v>2.9676020000000012</v>
          </cell>
          <cell r="S98">
            <v>65.639500000000012</v>
          </cell>
          <cell r="T98">
            <v>45.387500000000003</v>
          </cell>
          <cell r="X98">
            <v>103.64</v>
          </cell>
          <cell r="Y98">
            <v>54.95</v>
          </cell>
          <cell r="Z98">
            <v>49.73</v>
          </cell>
          <cell r="AA98">
            <v>53.73</v>
          </cell>
          <cell r="AB98">
            <v>51.49</v>
          </cell>
          <cell r="AD98">
            <v>42.81</v>
          </cell>
        </row>
        <row r="99">
          <cell r="J99">
            <v>176.5</v>
          </cell>
          <cell r="K99">
            <v>175.75</v>
          </cell>
          <cell r="L99">
            <v>167.23863636363637</v>
          </cell>
          <cell r="M99">
            <v>2.4014610389610391</v>
          </cell>
          <cell r="N99">
            <v>2.206</v>
          </cell>
          <cell r="O99">
            <v>-0.19546103896103917</v>
          </cell>
          <cell r="R99">
            <v>2.8384818181818199</v>
          </cell>
          <cell r="S99">
            <v>65.243181818181839</v>
          </cell>
          <cell r="T99">
            <v>49.284090909090907</v>
          </cell>
          <cell r="X99">
            <v>99.15</v>
          </cell>
          <cell r="Y99">
            <v>58.41</v>
          </cell>
          <cell r="Z99">
            <v>53.59</v>
          </cell>
          <cell r="AA99">
            <v>56</v>
          </cell>
          <cell r="AB99">
            <v>55.42</v>
          </cell>
          <cell r="AD99">
            <v>45.03</v>
          </cell>
        </row>
        <row r="100">
          <cell r="J100">
            <v>165.60714285714286</v>
          </cell>
          <cell r="K100">
            <v>163.3095238095238</v>
          </cell>
          <cell r="L100">
            <v>150.9702380952381</v>
          </cell>
          <cell r="M100">
            <v>1.9904336734693877</v>
          </cell>
          <cell r="N100">
            <v>2.2669999999999999</v>
          </cell>
          <cell r="O100">
            <v>0.27656632653061219</v>
          </cell>
          <cell r="R100">
            <v>2.8061504761904756</v>
          </cell>
          <cell r="S100">
            <v>64.936190476190475</v>
          </cell>
          <cell r="T100">
            <v>51.952380952380949</v>
          </cell>
          <cell r="X100">
            <v>96.62</v>
          </cell>
          <cell r="Y100">
            <v>61.76</v>
          </cell>
          <cell r="Z100">
            <v>57.55</v>
          </cell>
          <cell r="AA100">
            <v>56.5</v>
          </cell>
          <cell r="AB100">
            <v>59.85</v>
          </cell>
          <cell r="AD100">
            <v>46.26</v>
          </cell>
        </row>
        <row r="101">
          <cell r="J101">
            <v>171.84090909090909</v>
          </cell>
          <cell r="K101">
            <v>170.90909090909091</v>
          </cell>
          <cell r="L101">
            <v>154.97727272727272</v>
          </cell>
          <cell r="M101">
            <v>1.97224025974026</v>
          </cell>
          <cell r="N101">
            <v>2.2290000000000001</v>
          </cell>
          <cell r="O101">
            <v>0.25675974025974013</v>
          </cell>
          <cell r="R101">
            <v>2.600270909090908</v>
          </cell>
          <cell r="S101">
            <v>61.464090909090899</v>
          </cell>
          <cell r="T101">
            <v>56</v>
          </cell>
          <cell r="X101">
            <v>91.15</v>
          </cell>
          <cell r="Y101">
            <v>66.3</v>
          </cell>
          <cell r="Z101">
            <v>62.61</v>
          </cell>
          <cell r="AA101">
            <v>57.86</v>
          </cell>
          <cell r="AB101">
            <v>64.099999999999994</v>
          </cell>
          <cell r="AD101">
            <v>49.83</v>
          </cell>
        </row>
        <row r="102">
          <cell r="J102">
            <v>143.66666666666666</v>
          </cell>
          <cell r="K102">
            <v>143.10714285714286</v>
          </cell>
          <cell r="L102">
            <v>117.39285714285714</v>
          </cell>
          <cell r="M102">
            <v>1.8730654761904766</v>
          </cell>
          <cell r="N102">
            <v>2.1640000000000001</v>
          </cell>
          <cell r="O102">
            <v>0.29093452380952356</v>
          </cell>
          <cell r="R102">
            <v>2.1465619047619042</v>
          </cell>
          <cell r="S102">
            <v>57.204761904761902</v>
          </cell>
          <cell r="T102">
            <v>53.38095238095238</v>
          </cell>
          <cell r="X102">
            <v>83.73</v>
          </cell>
          <cell r="Y102">
            <v>62.43</v>
          </cell>
          <cell r="Z102">
            <v>50.02</v>
          </cell>
          <cell r="AA102">
            <v>58</v>
          </cell>
          <cell r="AB102">
            <v>53.87</v>
          </cell>
          <cell r="AD102">
            <v>48.02</v>
          </cell>
        </row>
        <row r="103">
          <cell r="J103">
            <v>153.52380952380952</v>
          </cell>
          <cell r="K103">
            <v>153</v>
          </cell>
          <cell r="L103">
            <v>127.94047619047619</v>
          </cell>
          <cell r="M103">
            <v>1.9164965986394558</v>
          </cell>
          <cell r="N103">
            <v>2.42</v>
          </cell>
          <cell r="O103">
            <v>0.50350340136054417</v>
          </cell>
          <cell r="R103">
            <v>2.1387104761904761</v>
          </cell>
          <cell r="S103">
            <v>61.246190476190478</v>
          </cell>
          <cell r="T103">
            <v>54.452380952380949</v>
          </cell>
          <cell r="X103">
            <v>86.85</v>
          </cell>
          <cell r="Y103">
            <v>68.19</v>
          </cell>
          <cell r="Z103">
            <v>51.71</v>
          </cell>
          <cell r="AA103">
            <v>58</v>
          </cell>
          <cell r="AB103">
            <v>60.9</v>
          </cell>
          <cell r="AD103">
            <v>49.8</v>
          </cell>
        </row>
        <row r="104">
          <cell r="J104">
            <v>142.94999999999999</v>
          </cell>
          <cell r="K104">
            <v>142.65</v>
          </cell>
          <cell r="L104">
            <v>109.4375</v>
          </cell>
          <cell r="M104">
            <v>2.0389030612244898</v>
          </cell>
          <cell r="N104">
            <v>2.294</v>
          </cell>
          <cell r="O104">
            <v>0.25509693877551021</v>
          </cell>
          <cell r="R104">
            <v>2.1138419047619044</v>
          </cell>
          <cell r="S104">
            <v>59.234761904761896</v>
          </cell>
          <cell r="T104">
            <v>57.2</v>
          </cell>
          <cell r="X104">
            <v>90.85</v>
          </cell>
          <cell r="Y104">
            <v>65.099999999999994</v>
          </cell>
          <cell r="Z104">
            <v>49.2</v>
          </cell>
          <cell r="AA104">
            <v>58</v>
          </cell>
          <cell r="AB104">
            <v>58.68</v>
          </cell>
          <cell r="AD104">
            <v>53.66</v>
          </cell>
        </row>
        <row r="105">
          <cell r="J105">
            <v>151.0595238095238</v>
          </cell>
          <cell r="K105">
            <v>147.38095238095238</v>
          </cell>
          <cell r="L105">
            <v>100.80952380952381</v>
          </cell>
          <cell r="M105">
            <v>2.1149350649350649</v>
          </cell>
          <cell r="N105">
            <v>2.1349999999999998</v>
          </cell>
          <cell r="O105">
            <v>2.0064935064934897E-2</v>
          </cell>
          <cell r="R105">
            <v>1.9459254545454545</v>
          </cell>
          <cell r="S105">
            <v>55.209545454545463</v>
          </cell>
          <cell r="T105">
            <v>59.61904761904762</v>
          </cell>
          <cell r="X105">
            <v>87.16</v>
          </cell>
          <cell r="Y105">
            <v>55.55</v>
          </cell>
          <cell r="Z105">
            <v>41.67</v>
          </cell>
          <cell r="AA105">
            <v>57.31</v>
          </cell>
          <cell r="AB105">
            <v>53.74</v>
          </cell>
          <cell r="AD105">
            <v>50.88</v>
          </cell>
        </row>
        <row r="106">
          <cell r="J106">
            <v>135.71250000000001</v>
          </cell>
          <cell r="K106">
            <v>134.72499999999999</v>
          </cell>
          <cell r="L106">
            <v>113.02631578947368</v>
          </cell>
          <cell r="M106">
            <v>2.176339285714286</v>
          </cell>
          <cell r="N106">
            <v>2.4020000000000001</v>
          </cell>
          <cell r="O106">
            <v>0.2256607142857141</v>
          </cell>
          <cell r="R106">
            <v>2.0026799999999998</v>
          </cell>
          <cell r="S106">
            <v>60.679999999999993</v>
          </cell>
          <cell r="T106">
            <v>61.15</v>
          </cell>
          <cell r="X106">
            <v>92.68</v>
          </cell>
          <cell r="Y106">
            <v>66.39</v>
          </cell>
          <cell r="Z106">
            <v>52.55</v>
          </cell>
          <cell r="AA106">
            <v>57.25</v>
          </cell>
          <cell r="AB106">
            <v>64.760000000000005</v>
          </cell>
          <cell r="AD106">
            <v>52.21</v>
          </cell>
        </row>
        <row r="107">
          <cell r="J107">
            <v>146.46052631578948</v>
          </cell>
          <cell r="K107">
            <v>145.46052631578948</v>
          </cell>
          <cell r="L107">
            <v>115.61184210526316</v>
          </cell>
          <cell r="M107">
            <v>2.3227443609022558</v>
          </cell>
          <cell r="N107">
            <v>2.6869999999999998</v>
          </cell>
          <cell r="O107">
            <v>0.36425563909774406</v>
          </cell>
          <cell r="R107">
            <v>2.2459599999999997</v>
          </cell>
          <cell r="S107">
            <v>67.012631578947364</v>
          </cell>
          <cell r="T107">
            <v>63.921052631578945</v>
          </cell>
          <cell r="X107">
            <v>99.01</v>
          </cell>
          <cell r="Y107">
            <v>70.28</v>
          </cell>
          <cell r="Z107">
            <v>64.61</v>
          </cell>
          <cell r="AA107">
            <v>61.11</v>
          </cell>
          <cell r="AB107">
            <v>73.760000000000005</v>
          </cell>
          <cell r="AD107">
            <v>57</v>
          </cell>
        </row>
        <row r="108">
          <cell r="J108">
            <v>148.36956521739131</v>
          </cell>
          <cell r="K108">
            <v>147.36956521739131</v>
          </cell>
          <cell r="L108">
            <v>114.58695652173913</v>
          </cell>
          <cell r="M108">
            <v>2.6663043478260873</v>
          </cell>
          <cell r="N108">
            <v>3.2949999999999999</v>
          </cell>
          <cell r="O108">
            <v>0.62869565217391266</v>
          </cell>
          <cell r="R108">
            <v>1.9724956521739143</v>
          </cell>
          <cell r="S108">
            <v>74.006521739130449</v>
          </cell>
          <cell r="T108">
            <v>69.021739130434781</v>
          </cell>
          <cell r="X108">
            <v>102.7</v>
          </cell>
          <cell r="Y108">
            <v>73.59</v>
          </cell>
          <cell r="Z108">
            <v>68.459999999999994</v>
          </cell>
          <cell r="AA108">
            <v>72.349999999999994</v>
          </cell>
          <cell r="AB108">
            <v>80.040000000000006</v>
          </cell>
          <cell r="AD108">
            <v>62.93</v>
          </cell>
        </row>
        <row r="109">
          <cell r="J109">
            <v>166.66874999999999</v>
          </cell>
          <cell r="K109">
            <v>165.41874999999999</v>
          </cell>
          <cell r="L109">
            <v>128.70625000000001</v>
          </cell>
          <cell r="M109">
            <v>2.8073660714285715</v>
          </cell>
          <cell r="N109">
            <v>3.2559999999999998</v>
          </cell>
          <cell r="O109">
            <v>0.44863392857142825</v>
          </cell>
          <cell r="R109">
            <v>2.1493520000000004</v>
          </cell>
          <cell r="S109">
            <v>79.201999999999998</v>
          </cell>
          <cell r="T109">
            <v>70.650000000000006</v>
          </cell>
          <cell r="X109">
            <v>109.15</v>
          </cell>
          <cell r="Y109">
            <v>74.33</v>
          </cell>
          <cell r="Z109">
            <v>66.459999999999994</v>
          </cell>
          <cell r="AA109">
            <v>73.709999999999994</v>
          </cell>
          <cell r="AB109">
            <v>78.73</v>
          </cell>
          <cell r="AD109">
            <v>60.53</v>
          </cell>
        </row>
        <row r="110">
          <cell r="J110">
            <v>178.38095238095238</v>
          </cell>
          <cell r="K110">
            <v>177.26190476190476</v>
          </cell>
          <cell r="L110">
            <v>153.20238095238096</v>
          </cell>
          <cell r="M110">
            <v>2.7995323129251704</v>
          </cell>
          <cell r="N110">
            <v>3.7839999999999998</v>
          </cell>
          <cell r="O110">
            <v>0.98446768707482946</v>
          </cell>
          <cell r="R110">
            <v>2.2313619047619051</v>
          </cell>
          <cell r="S110">
            <v>81.004761904761907</v>
          </cell>
          <cell r="T110">
            <v>70.5</v>
          </cell>
          <cell r="X110">
            <v>114.86</v>
          </cell>
          <cell r="Y110">
            <v>80</v>
          </cell>
          <cell r="Z110">
            <v>71.349999999999994</v>
          </cell>
          <cell r="AA110">
            <v>75.48</v>
          </cell>
          <cell r="AB110">
            <v>80.11</v>
          </cell>
          <cell r="AD110">
            <v>62.5</v>
          </cell>
        </row>
        <row r="111">
          <cell r="J111">
            <v>163.25</v>
          </cell>
          <cell r="K111">
            <v>162.26190476190476</v>
          </cell>
          <cell r="L111">
            <v>152.1904761904762</v>
          </cell>
          <cell r="M111">
            <v>2.7085884353741498</v>
          </cell>
          <cell r="N111">
            <v>3.9870000000000001</v>
          </cell>
          <cell r="O111">
            <v>1.2784115646258503</v>
          </cell>
          <cell r="R111">
            <v>1.4980799999999999</v>
          </cell>
          <cell r="S111">
            <v>76.33</v>
          </cell>
          <cell r="T111">
            <v>71.785714285714292</v>
          </cell>
          <cell r="X111">
            <v>111.33</v>
          </cell>
          <cell r="Y111">
            <v>80.95</v>
          </cell>
          <cell r="Z111">
            <v>72.67</v>
          </cell>
          <cell r="AA111">
            <v>79.739999999999995</v>
          </cell>
          <cell r="AB111">
            <v>74.27</v>
          </cell>
          <cell r="AD111">
            <v>62.36</v>
          </cell>
        </row>
        <row r="112">
          <cell r="J112">
            <v>161.42500000000001</v>
          </cell>
          <cell r="K112">
            <v>160.42500000000001</v>
          </cell>
          <cell r="L112">
            <v>149.8125</v>
          </cell>
          <cell r="M112">
            <v>2.1507142857142858</v>
          </cell>
          <cell r="N112">
            <v>3.3410000000000002</v>
          </cell>
          <cell r="O112">
            <v>1.1902857142857144</v>
          </cell>
          <cell r="R112">
            <v>1.0262479999999994</v>
          </cell>
          <cell r="S112">
            <v>61.398000000000003</v>
          </cell>
          <cell r="T112">
            <v>70.137500000000003</v>
          </cell>
          <cell r="X112">
            <v>96.4</v>
          </cell>
          <cell r="Y112">
            <v>78.45</v>
          </cell>
          <cell r="Z112">
            <v>64.48</v>
          </cell>
          <cell r="AA112">
            <v>76.98</v>
          </cell>
          <cell r="AB112">
            <v>65.05</v>
          </cell>
          <cell r="AD112">
            <v>57.63</v>
          </cell>
        </row>
        <row r="113">
          <cell r="J113">
            <v>176.58695652173913</v>
          </cell>
          <cell r="K113">
            <v>175.58695652173913</v>
          </cell>
          <cell r="L113">
            <v>162.25</v>
          </cell>
          <cell r="M113">
            <v>2.2574145962732919</v>
          </cell>
          <cell r="N113">
            <v>2.911</v>
          </cell>
          <cell r="O113">
            <v>0.65358540372670815</v>
          </cell>
          <cell r="R113">
            <v>1.5360086956521721</v>
          </cell>
          <cell r="S113">
            <v>67.486956521739117</v>
          </cell>
          <cell r="T113">
            <v>67.673913043478265</v>
          </cell>
          <cell r="X113">
            <v>97.35</v>
          </cell>
          <cell r="Y113">
            <v>80</v>
          </cell>
          <cell r="Z113">
            <v>66.78</v>
          </cell>
          <cell r="AA113">
            <v>70.62</v>
          </cell>
          <cell r="AB113">
            <v>71.83</v>
          </cell>
          <cell r="AD113">
            <v>55.75</v>
          </cell>
        </row>
        <row r="114">
          <cell r="J114">
            <v>174.8154761904762</v>
          </cell>
          <cell r="K114">
            <v>173.8154761904762</v>
          </cell>
          <cell r="L114">
            <v>161.8154761904762</v>
          </cell>
          <cell r="M114">
            <v>2.4187074829931974</v>
          </cell>
          <cell r="N114">
            <v>2.4470000000000001</v>
          </cell>
          <cell r="O114">
            <v>2.8292517006802687E-2</v>
          </cell>
          <cell r="R114">
            <v>1.6723733333333328</v>
          </cell>
          <cell r="S114">
            <v>66.873333333333335</v>
          </cell>
          <cell r="T114">
            <v>66.321428571428569</v>
          </cell>
          <cell r="X114">
            <v>90.59</v>
          </cell>
          <cell r="Y114">
            <v>76.67</v>
          </cell>
          <cell r="Z114">
            <v>69.73</v>
          </cell>
          <cell r="AA114">
            <v>69.88</v>
          </cell>
          <cell r="AB114">
            <v>72.45</v>
          </cell>
          <cell r="AD114">
            <v>54.5</v>
          </cell>
        </row>
        <row r="115">
          <cell r="J115">
            <v>181.3095238095238</v>
          </cell>
          <cell r="K115">
            <v>180.3095238095238</v>
          </cell>
          <cell r="L115">
            <v>162.4345238095238</v>
          </cell>
          <cell r="M115">
            <v>2.4483843537414969</v>
          </cell>
          <cell r="N115">
            <v>2.7080000000000002</v>
          </cell>
          <cell r="O115">
            <v>0.25961564625850331</v>
          </cell>
          <cell r="R115">
            <v>1.2535657142857142</v>
          </cell>
          <cell r="S115">
            <v>68.494285714285709</v>
          </cell>
          <cell r="T115">
            <v>65.5</v>
          </cell>
          <cell r="X115">
            <v>88.14</v>
          </cell>
          <cell r="Y115">
            <v>74</v>
          </cell>
          <cell r="Z115">
            <v>66.86</v>
          </cell>
          <cell r="AA115">
            <v>66.52</v>
          </cell>
          <cell r="AB115">
            <v>74.14</v>
          </cell>
          <cell r="AD115">
            <v>54.5</v>
          </cell>
        </row>
        <row r="116">
          <cell r="J116">
            <v>191.47499999999999</v>
          </cell>
          <cell r="K116">
            <v>190.47499999999999</v>
          </cell>
          <cell r="L116">
            <v>177.98750000000001</v>
          </cell>
          <cell r="M116">
            <v>2.3865646258503403</v>
          </cell>
          <cell r="N116">
            <v>2.5249999999999999</v>
          </cell>
          <cell r="O116">
            <v>0.13843537414965956</v>
          </cell>
          <cell r="R116">
            <v>2.1405752380952383</v>
          </cell>
          <cell r="S116">
            <v>74.968095238095245</v>
          </cell>
          <cell r="T116">
            <v>67</v>
          </cell>
          <cell r="X116">
            <v>93.08</v>
          </cell>
          <cell r="Y116">
            <v>74</v>
          </cell>
          <cell r="Z116">
            <v>67.239999999999995</v>
          </cell>
          <cell r="AA116">
            <v>67.75</v>
          </cell>
          <cell r="AB116">
            <v>77.459999999999994</v>
          </cell>
          <cell r="AD116">
            <v>54.95</v>
          </cell>
        </row>
        <row r="117">
          <cell r="J117">
            <v>173.02380952380952</v>
          </cell>
          <cell r="K117">
            <v>172.02380952380952</v>
          </cell>
          <cell r="L117">
            <v>160.625</v>
          </cell>
          <cell r="M117">
            <v>2.3436224489795916</v>
          </cell>
          <cell r="N117">
            <v>2.2280000000000002</v>
          </cell>
          <cell r="O117">
            <v>-0.1156224489795914</v>
          </cell>
          <cell r="R117">
            <v>1.7554895238095241</v>
          </cell>
          <cell r="S117">
            <v>64.203809523809525</v>
          </cell>
          <cell r="T117">
            <v>66.452380952380949</v>
          </cell>
          <cell r="X117">
            <v>82.2</v>
          </cell>
          <cell r="Y117">
            <v>68.67</v>
          </cell>
          <cell r="Z117">
            <v>64.430000000000007</v>
          </cell>
          <cell r="AA117">
            <v>70.260000000000005</v>
          </cell>
          <cell r="AB117">
            <v>67.92</v>
          </cell>
          <cell r="AD117">
            <v>54.48</v>
          </cell>
        </row>
        <row r="118">
          <cell r="J118">
            <v>169.125</v>
          </cell>
          <cell r="K118">
            <v>168.47499999999999</v>
          </cell>
          <cell r="L118">
            <v>166.33750000000001</v>
          </cell>
          <cell r="M118">
            <v>2.3942410714285716</v>
          </cell>
          <cell r="N118">
            <v>2.4849999999999999</v>
          </cell>
          <cell r="O118">
            <v>9.075892857142831E-2</v>
          </cell>
          <cell r="R118">
            <v>1.5131839999999994</v>
          </cell>
          <cell r="S118">
            <v>62.383999999999993</v>
          </cell>
          <cell r="T118">
            <v>63.9</v>
          </cell>
          <cell r="X118">
            <v>80.38</v>
          </cell>
          <cell r="Y118">
            <v>66.900000000000006</v>
          </cell>
          <cell r="Z118">
            <v>61.73</v>
          </cell>
          <cell r="AA118">
            <v>69.5</v>
          </cell>
          <cell r="AB118">
            <v>66.39</v>
          </cell>
          <cell r="AD118">
            <v>52.8</v>
          </cell>
        </row>
        <row r="119">
          <cell r="J119">
            <v>161.97368421052633</v>
          </cell>
          <cell r="K119">
            <v>160.97368421052633</v>
          </cell>
          <cell r="L119">
            <v>158.56578947368422</v>
          </cell>
          <cell r="M119">
            <v>2.3967575187969925</v>
          </cell>
          <cell r="N119">
            <v>2.4279999999999999</v>
          </cell>
          <cell r="O119">
            <v>3.1242481203007433E-2</v>
          </cell>
          <cell r="R119">
            <v>1.7915199999999998</v>
          </cell>
          <cell r="S119">
            <v>60.783157894736839</v>
          </cell>
          <cell r="T119">
            <v>56.631578947368418</v>
          </cell>
          <cell r="X119">
            <v>76.47</v>
          </cell>
          <cell r="Y119">
            <v>59.29</v>
          </cell>
          <cell r="Z119">
            <v>54.63</v>
          </cell>
          <cell r="AA119">
            <v>61.71</v>
          </cell>
          <cell r="AB119">
            <v>56.58</v>
          </cell>
          <cell r="AD119">
            <v>50.5</v>
          </cell>
        </row>
        <row r="120">
          <cell r="J120">
            <v>157.40217391304347</v>
          </cell>
          <cell r="K120">
            <v>156.40217391304347</v>
          </cell>
          <cell r="L120">
            <v>153.58695652173913</v>
          </cell>
          <cell r="M120">
            <v>2.2654891304347826</v>
          </cell>
          <cell r="N120">
            <v>2.6280000000000001</v>
          </cell>
          <cell r="O120">
            <v>0.3625108695652175</v>
          </cell>
          <cell r="R120">
            <v>1.5877391304347825</v>
          </cell>
          <cell r="S120">
            <v>56.891304347826086</v>
          </cell>
          <cell r="T120">
            <v>44.847826086956523</v>
          </cell>
          <cell r="X120">
            <v>71.8</v>
          </cell>
          <cell r="Y120">
            <v>53.98</v>
          </cell>
          <cell r="Z120">
            <v>48.43</v>
          </cell>
          <cell r="AA120">
            <v>61.28</v>
          </cell>
          <cell r="AB120">
            <v>51.49</v>
          </cell>
          <cell r="AD120">
            <v>42.9</v>
          </cell>
        </row>
        <row r="121">
          <cell r="J121">
            <v>156.70526315789473</v>
          </cell>
          <cell r="K121">
            <v>155.70526315789473</v>
          </cell>
          <cell r="L121">
            <v>153.875</v>
          </cell>
          <cell r="M121">
            <v>2.3388627819548873</v>
          </cell>
          <cell r="N121">
            <v>2.7149999999999999</v>
          </cell>
          <cell r="O121">
            <v>0.37613721804511258</v>
          </cell>
          <cell r="R121">
            <v>1.5227599999999999</v>
          </cell>
          <cell r="S121">
            <v>53.917894736842108</v>
          </cell>
          <cell r="T121">
            <v>42.368421052631582</v>
          </cell>
          <cell r="X121">
            <v>68.94</v>
          </cell>
          <cell r="Y121">
            <v>52.37</v>
          </cell>
          <cell r="Z121">
            <v>48.01</v>
          </cell>
          <cell r="AA121">
            <v>58.83</v>
          </cell>
          <cell r="AB121">
            <v>53.34</v>
          </cell>
          <cell r="AD121">
            <v>41.5</v>
          </cell>
        </row>
        <row r="122">
          <cell r="J122">
            <v>153.39772727272728</v>
          </cell>
          <cell r="K122">
            <v>152.97727272727272</v>
          </cell>
          <cell r="L122">
            <v>150.5625</v>
          </cell>
          <cell r="M122">
            <v>2.0851033834586468</v>
          </cell>
          <cell r="N122">
            <v>2.5259999999999998</v>
          </cell>
          <cell r="O122">
            <v>0.44089661654135304</v>
          </cell>
          <cell r="R122">
            <v>1.4361745454545458</v>
          </cell>
          <cell r="S122">
            <v>49.765454545454553</v>
          </cell>
          <cell r="T122">
            <v>45.272727272727273</v>
          </cell>
          <cell r="X122">
            <v>65.77</v>
          </cell>
          <cell r="Y122">
            <v>56.32</v>
          </cell>
          <cell r="Z122">
            <v>51.98</v>
          </cell>
          <cell r="AA122">
            <v>58.5</v>
          </cell>
          <cell r="AB122">
            <v>55.64</v>
          </cell>
          <cell r="AD122">
            <v>42.41</v>
          </cell>
        </row>
        <row r="123">
          <cell r="J123">
            <v>144.4702380952381</v>
          </cell>
          <cell r="K123">
            <v>143.57738095238096</v>
          </cell>
          <cell r="L123">
            <v>142.38095238095238</v>
          </cell>
          <cell r="M123">
            <v>2.1970238095238095</v>
          </cell>
          <cell r="N123">
            <v>2.5710000000000002</v>
          </cell>
          <cell r="O123">
            <v>0.37397619047619068</v>
          </cell>
          <cell r="R123">
            <v>1.8314323809523798</v>
          </cell>
          <cell r="S123">
            <v>55.860952380952369</v>
          </cell>
          <cell r="T123">
            <v>50.166666666666664</v>
          </cell>
          <cell r="X123">
            <v>75.459999999999994</v>
          </cell>
          <cell r="Y123">
            <v>58.9</v>
          </cell>
          <cell r="Z123">
            <v>53.3</v>
          </cell>
          <cell r="AA123">
            <v>58.5</v>
          </cell>
          <cell r="AB123">
            <v>58.75</v>
          </cell>
          <cell r="AD123">
            <v>43.55</v>
          </cell>
        </row>
        <row r="124">
          <cell r="J124">
            <v>155.63749999999999</v>
          </cell>
          <cell r="K124">
            <v>154.53749999999999</v>
          </cell>
          <cell r="L124">
            <v>155.02500000000001</v>
          </cell>
          <cell r="M124">
            <v>1.8496848739495799</v>
          </cell>
          <cell r="N124">
            <v>2.7189999999999999</v>
          </cell>
          <cell r="O124">
            <v>0.86931512605041994</v>
          </cell>
          <cell r="R124">
            <v>2.3796399999999971</v>
          </cell>
          <cell r="S124">
            <v>66.389999999999972</v>
          </cell>
          <cell r="T124">
            <v>52.05</v>
          </cell>
          <cell r="X124">
            <v>87.39</v>
          </cell>
          <cell r="Y124">
            <v>65.7</v>
          </cell>
          <cell r="Z124">
            <v>59.16</v>
          </cell>
          <cell r="AA124">
            <v>59.75</v>
          </cell>
          <cell r="AB124">
            <v>67.14</v>
          </cell>
          <cell r="AD124">
            <v>46.13</v>
          </cell>
        </row>
        <row r="125">
          <cell r="I125">
            <v>294.60000000000002</v>
          </cell>
          <cell r="J125">
            <v>145.03260869565219</v>
          </cell>
          <cell r="K125">
            <v>144.07608695652175</v>
          </cell>
          <cell r="L125">
            <v>144.52173913043478</v>
          </cell>
          <cell r="M125">
            <v>1.6994565217391306</v>
          </cell>
          <cell r="N125">
            <v>2.8290000000000002</v>
          </cell>
          <cell r="O125">
            <v>1.1295434782608695</v>
          </cell>
          <cell r="R125">
            <v>1.8711617391304349</v>
          </cell>
          <cell r="S125">
            <v>65.607391304347829</v>
          </cell>
          <cell r="T125">
            <v>53</v>
          </cell>
          <cell r="X125">
            <v>84.65</v>
          </cell>
          <cell r="Y125">
            <v>68.3</v>
          </cell>
          <cell r="Z125">
            <v>64.02</v>
          </cell>
          <cell r="AA125">
            <v>60.5</v>
          </cell>
          <cell r="AB125">
            <v>68.260000000000005</v>
          </cell>
          <cell r="AD125">
            <v>47</v>
          </cell>
        </row>
        <row r="126">
          <cell r="I126">
            <v>295.42500000000001</v>
          </cell>
          <cell r="J126">
            <v>119.4</v>
          </cell>
          <cell r="K126">
            <v>118.4</v>
          </cell>
          <cell r="L126">
            <v>118.425</v>
          </cell>
          <cell r="M126">
            <v>1.7172321428571431</v>
          </cell>
          <cell r="N126">
            <v>2.625</v>
          </cell>
          <cell r="O126">
            <v>0.9077678571428569</v>
          </cell>
          <cell r="R126">
            <v>1.352053999999999</v>
          </cell>
          <cell r="S126">
            <v>61.316499999999984</v>
          </cell>
          <cell r="T126">
            <v>54.274999999999999</v>
          </cell>
          <cell r="X126">
            <v>78.459999999999994</v>
          </cell>
          <cell r="Y126">
            <v>68.95</v>
          </cell>
          <cell r="Z126">
            <v>65.239999999999995</v>
          </cell>
          <cell r="AA126">
            <v>60.5</v>
          </cell>
          <cell r="AB126">
            <v>66.44</v>
          </cell>
          <cell r="AD126">
            <v>48.6</v>
          </cell>
        </row>
        <row r="127">
          <cell r="I127">
            <v>332.92045454545456</v>
          </cell>
          <cell r="J127">
            <v>88.602272727272734</v>
          </cell>
          <cell r="K127">
            <v>87.772727272727266</v>
          </cell>
          <cell r="L127">
            <v>88.068181818181813</v>
          </cell>
          <cell r="M127">
            <v>1.7443993506493509</v>
          </cell>
          <cell r="N127">
            <v>2.274</v>
          </cell>
          <cell r="O127">
            <v>0.5296006493506491</v>
          </cell>
          <cell r="R127">
            <v>1.0269818181818193</v>
          </cell>
          <cell r="S127">
            <v>53.868181818181831</v>
          </cell>
          <cell r="T127">
            <v>51.227272727272727</v>
          </cell>
          <cell r="X127">
            <v>70.66</v>
          </cell>
          <cell r="Y127">
            <v>59.43</v>
          </cell>
          <cell r="Z127">
            <v>53.55</v>
          </cell>
          <cell r="AA127">
            <v>57.02</v>
          </cell>
          <cell r="AB127">
            <v>58.68</v>
          </cell>
          <cell r="AD127">
            <v>46.8</v>
          </cell>
        </row>
        <row r="128">
          <cell r="I128">
            <v>345.32499999999999</v>
          </cell>
          <cell r="J128">
            <v>82.912499999999994</v>
          </cell>
          <cell r="K128">
            <v>82.012500000000003</v>
          </cell>
          <cell r="L128">
            <v>82.887500000000003</v>
          </cell>
          <cell r="M128">
            <v>1.7351615646258503</v>
          </cell>
          <cell r="N128">
            <v>2.2010000000000001</v>
          </cell>
          <cell r="O128">
            <v>0.46583843537414982</v>
          </cell>
          <cell r="R128">
            <v>1.0720285714285707</v>
          </cell>
          <cell r="S128">
            <v>51.671428571428564</v>
          </cell>
          <cell r="T128">
            <v>39</v>
          </cell>
          <cell r="X128">
            <v>67.099999999999994</v>
          </cell>
          <cell r="Y128">
            <v>50.88</v>
          </cell>
          <cell r="Z128">
            <v>43.5</v>
          </cell>
          <cell r="AA128">
            <v>48.75</v>
          </cell>
          <cell r="AB128">
            <v>53.65</v>
          </cell>
          <cell r="AD128">
            <v>37.229999999999997</v>
          </cell>
        </row>
        <row r="129">
          <cell r="I129">
            <v>309.16250000000002</v>
          </cell>
          <cell r="J129">
            <v>81.231250000000003</v>
          </cell>
          <cell r="K129">
            <v>80.556250000000006</v>
          </cell>
          <cell r="L129">
            <v>81.15625</v>
          </cell>
          <cell r="M129">
            <v>1.7132589285714284</v>
          </cell>
          <cell r="N129">
            <v>2.105</v>
          </cell>
          <cell r="O129">
            <v>0.39174107142857162</v>
          </cell>
          <cell r="R129">
            <v>1.1627480000000001</v>
          </cell>
          <cell r="S129">
            <v>49.773000000000003</v>
          </cell>
          <cell r="T129">
            <v>35.762500000000003</v>
          </cell>
          <cell r="X129">
            <v>64.91</v>
          </cell>
          <cell r="Y129">
            <v>45.05</v>
          </cell>
          <cell r="Z129">
            <v>35.700000000000003</v>
          </cell>
          <cell r="AA129">
            <v>47.23</v>
          </cell>
          <cell r="AB129">
            <v>48.63</v>
          </cell>
          <cell r="AD129">
            <v>34.4</v>
          </cell>
        </row>
        <row r="130">
          <cell r="I130">
            <v>314.57142857142856</v>
          </cell>
          <cell r="J130">
            <v>72.583333333333329</v>
          </cell>
          <cell r="K130">
            <v>71.511904761904759</v>
          </cell>
          <cell r="L130">
            <v>71.666666666666671</v>
          </cell>
          <cell r="M130">
            <v>1.6137329931972788</v>
          </cell>
          <cell r="N130">
            <v>2.16</v>
          </cell>
          <cell r="O130">
            <v>0.54626700680272133</v>
          </cell>
          <cell r="R130">
            <v>0.93107619047618995</v>
          </cell>
          <cell r="S130">
            <v>47.540476190476184</v>
          </cell>
          <cell r="T130">
            <v>33.011904761904759</v>
          </cell>
          <cell r="X130">
            <v>60.56</v>
          </cell>
          <cell r="Y130">
            <v>41.43</v>
          </cell>
          <cell r="Z130">
            <v>33</v>
          </cell>
          <cell r="AA130">
            <v>45.79</v>
          </cell>
          <cell r="AB130">
            <v>45.64</v>
          </cell>
          <cell r="AD130">
            <v>31</v>
          </cell>
        </row>
        <row r="131">
          <cell r="I131">
            <v>295.14999999999998</v>
          </cell>
          <cell r="J131">
            <v>47.987499999999997</v>
          </cell>
          <cell r="K131">
            <v>47.25</v>
          </cell>
          <cell r="L131">
            <v>47.35</v>
          </cell>
          <cell r="M131">
            <v>1.5120535714285714</v>
          </cell>
          <cell r="N131">
            <v>2.2919999999999998</v>
          </cell>
          <cell r="O131">
            <v>0.77994642857142837</v>
          </cell>
          <cell r="R131">
            <v>0.69363999999999937</v>
          </cell>
          <cell r="S131">
            <v>45.639999999999993</v>
          </cell>
          <cell r="T131">
            <v>32.25</v>
          </cell>
          <cell r="X131">
            <v>57.37</v>
          </cell>
          <cell r="Y131">
            <v>40.6</v>
          </cell>
          <cell r="Z131">
            <v>33.53</v>
          </cell>
          <cell r="AA131">
            <v>45.5</v>
          </cell>
          <cell r="AB131">
            <v>43.63</v>
          </cell>
          <cell r="AD131">
            <v>30</v>
          </cell>
        </row>
        <row r="132">
          <cell r="I132">
            <v>398.77499999999998</v>
          </cell>
          <cell r="J132">
            <v>52.475000000000001</v>
          </cell>
          <cell r="K132">
            <v>51.537500000000001</v>
          </cell>
          <cell r="L132">
            <v>51.912500000000001</v>
          </cell>
          <cell r="M132">
            <v>1.5564732142857145</v>
          </cell>
          <cell r="N132">
            <v>2.6619999999999999</v>
          </cell>
          <cell r="O132">
            <v>1.1055267857142854</v>
          </cell>
          <cell r="R132">
            <v>0.93564399999999948</v>
          </cell>
          <cell r="S132">
            <v>47.468999999999994</v>
          </cell>
          <cell r="T132">
            <v>32.25</v>
          </cell>
          <cell r="X132">
            <v>58.49</v>
          </cell>
          <cell r="Y132">
            <v>41.65</v>
          </cell>
          <cell r="Z132">
            <v>35.61</v>
          </cell>
          <cell r="AA132">
            <v>45.5</v>
          </cell>
          <cell r="AB132">
            <v>42.71</v>
          </cell>
          <cell r="AD132">
            <v>30</v>
          </cell>
        </row>
        <row r="133">
          <cell r="I133">
            <v>327.82954545454544</v>
          </cell>
          <cell r="J133">
            <v>48.477272727272727</v>
          </cell>
          <cell r="K133">
            <v>47.659090909090907</v>
          </cell>
          <cell r="L133">
            <v>48.272727272727273</v>
          </cell>
          <cell r="M133">
            <v>1.5522321428571431</v>
          </cell>
          <cell r="N133">
            <v>2.7629999999999999</v>
          </cell>
          <cell r="O133">
            <v>1.2107678571428568</v>
          </cell>
          <cell r="R133">
            <v>0.79343999999999903</v>
          </cell>
          <cell r="S133">
            <v>46.189999999999991</v>
          </cell>
          <cell r="T133">
            <v>34.215909090909093</v>
          </cell>
          <cell r="X133">
            <v>56.97</v>
          </cell>
          <cell r="Y133">
            <v>41.73</v>
          </cell>
          <cell r="Z133">
            <v>38.200000000000003</v>
          </cell>
          <cell r="AA133">
            <v>45</v>
          </cell>
          <cell r="AB133">
            <v>41.3</v>
          </cell>
          <cell r="AD133">
            <v>30.23</v>
          </cell>
        </row>
        <row r="134">
          <cell r="I134">
            <v>316.89772727272725</v>
          </cell>
          <cell r="J134">
            <v>49.738636363636367</v>
          </cell>
          <cell r="K134">
            <v>48.897727272727273</v>
          </cell>
          <cell r="L134">
            <v>49.579545454545453</v>
          </cell>
          <cell r="X134">
            <v>54.82</v>
          </cell>
          <cell r="Y134">
            <v>41.8</v>
          </cell>
          <cell r="Z134">
            <v>39.03</v>
          </cell>
          <cell r="AD134">
            <v>29.5</v>
          </cell>
        </row>
        <row r="135">
          <cell r="I135">
            <v>312.07894736842104</v>
          </cell>
          <cell r="J135">
            <v>55.157894736842103</v>
          </cell>
          <cell r="K135">
            <v>54.25</v>
          </cell>
          <cell r="L135">
            <v>55.006842105263161</v>
          </cell>
          <cell r="X135">
            <v>54.21</v>
          </cell>
          <cell r="Y135">
            <v>47.21</v>
          </cell>
          <cell r="Z135">
            <v>42.86</v>
          </cell>
          <cell r="AD135">
            <v>29.5</v>
          </cell>
        </row>
        <row r="136">
          <cell r="I136">
            <v>328.76136363636363</v>
          </cell>
          <cell r="J136">
            <v>64.045909090909106</v>
          </cell>
          <cell r="K136">
            <v>63.352272727272727</v>
          </cell>
          <cell r="L136">
            <v>64.000454545454559</v>
          </cell>
          <cell r="X136">
            <v>58.2</v>
          </cell>
          <cell r="Y136">
            <v>51</v>
          </cell>
          <cell r="Z136">
            <v>45.27</v>
          </cell>
          <cell r="AD136">
            <v>29.86</v>
          </cell>
        </row>
        <row r="137">
          <cell r="I137">
            <v>336.20454545454544</v>
          </cell>
          <cell r="J137">
            <v>56.591818181818191</v>
          </cell>
          <cell r="K137">
            <v>55.926363636363639</v>
          </cell>
          <cell r="L137">
            <v>56.545909090909092</v>
          </cell>
          <cell r="X137">
            <v>53.89</v>
          </cell>
          <cell r="Y137">
            <v>46.76</v>
          </cell>
          <cell r="Z137">
            <v>44.31</v>
          </cell>
          <cell r="AD137">
            <v>31.5</v>
          </cell>
        </row>
        <row r="138">
          <cell r="I138">
            <v>339.61900000000003</v>
          </cell>
          <cell r="J138">
            <v>60.412500000000001</v>
          </cell>
          <cell r="K138">
            <v>59.9</v>
          </cell>
          <cell r="L138">
            <v>60.340499999999999</v>
          </cell>
          <cell r="X138">
            <v>53.47</v>
          </cell>
          <cell r="Y138">
            <v>45.75</v>
          </cell>
          <cell r="Z138">
            <v>43.54</v>
          </cell>
          <cell r="AD138">
            <v>37.03</v>
          </cell>
        </row>
        <row r="139">
          <cell r="I139">
            <v>326.47826086956519</v>
          </cell>
          <cell r="J139">
            <v>69.870434782608697</v>
          </cell>
          <cell r="K139">
            <v>69.201739130434774</v>
          </cell>
          <cell r="L139">
            <v>69.833043478260876</v>
          </cell>
          <cell r="X139">
            <v>54.18</v>
          </cell>
          <cell r="Y139">
            <v>44.59</v>
          </cell>
          <cell r="Z139">
            <v>43.03</v>
          </cell>
          <cell r="AD139">
            <v>39</v>
          </cell>
        </row>
        <row r="140">
          <cell r="I140">
            <v>274.9375</v>
          </cell>
          <cell r="J140">
            <v>68.287999999999997</v>
          </cell>
          <cell r="K140">
            <v>67.075000000000003</v>
          </cell>
          <cell r="L140">
            <v>67.763000000000005</v>
          </cell>
        </row>
      </sheetData>
      <sheetData sheetId="3"/>
      <sheetData sheetId="4">
        <row r="1">
          <cell r="C1" t="str">
            <v>CFP OR</v>
          </cell>
          <cell r="F1" t="str">
            <v>LCFS CA</v>
          </cell>
          <cell r="I1" t="str">
            <v>CFS WA</v>
          </cell>
          <cell r="P1" t="str">
            <v>D4 RIN</v>
          </cell>
          <cell r="T1" t="str">
            <v>D5 RIN</v>
          </cell>
          <cell r="X1" t="str">
            <v>D6 RIN</v>
          </cell>
        </row>
        <row r="7">
          <cell r="B7">
            <v>2017</v>
          </cell>
          <cell r="C7">
            <v>46.956666666666671</v>
          </cell>
          <cell r="F7">
            <v>89.156675941335564</v>
          </cell>
        </row>
        <row r="8">
          <cell r="B8">
            <v>2018</v>
          </cell>
          <cell r="C8">
            <v>75.710833333333341</v>
          </cell>
          <cell r="F8">
            <v>168.1179582788493</v>
          </cell>
        </row>
        <row r="9">
          <cell r="B9">
            <v>2019</v>
          </cell>
          <cell r="C9">
            <v>151.05000000000001</v>
          </cell>
          <cell r="F9">
            <v>196.42783136530389</v>
          </cell>
        </row>
        <row r="10">
          <cell r="A10">
            <v>2020</v>
          </cell>
          <cell r="B10">
            <v>2020</v>
          </cell>
          <cell r="C10">
            <v>132.10749999999999</v>
          </cell>
          <cell r="F10">
            <v>200.31545862762968</v>
          </cell>
          <cell r="P10">
            <v>63.756697615250253</v>
          </cell>
          <cell r="R10">
            <v>40.352272727272727</v>
          </cell>
          <cell r="S10">
            <v>56.82954545454546</v>
          </cell>
          <cell r="T10">
            <v>63.163052042986259</v>
          </cell>
          <cell r="V10">
            <v>39.840909090909093</v>
          </cell>
          <cell r="W10">
            <v>56.75</v>
          </cell>
          <cell r="X10">
            <v>43.655279059390899</v>
          </cell>
          <cell r="Z10">
            <v>15.909090909090908</v>
          </cell>
          <cell r="AA10">
            <v>55.659090909090907</v>
          </cell>
        </row>
        <row r="11">
          <cell r="A11">
            <v>2021</v>
          </cell>
          <cell r="B11">
            <v>2021</v>
          </cell>
          <cell r="C11">
            <v>125.2525</v>
          </cell>
          <cell r="F11">
            <v>177.73874142495566</v>
          </cell>
          <cell r="P11">
            <v>149.18310936060507</v>
          </cell>
          <cell r="R11">
            <v>102.61842105263158</v>
          </cell>
          <cell r="S11">
            <v>85.694078947368425</v>
          </cell>
          <cell r="T11">
            <v>148.09308906117403</v>
          </cell>
          <cell r="V11">
            <v>101.14473684210526</v>
          </cell>
          <cell r="W11">
            <v>86.41776315789474</v>
          </cell>
          <cell r="X11">
            <v>130.62386376019097</v>
          </cell>
          <cell r="Z11">
            <v>90.65789473684211</v>
          </cell>
          <cell r="AA11">
            <v>89.329605263157902</v>
          </cell>
        </row>
        <row r="12">
          <cell r="A12">
            <v>2022</v>
          </cell>
          <cell r="B12">
            <v>2022</v>
          </cell>
          <cell r="C12">
            <v>119.02166666666666</v>
          </cell>
          <cell r="F12">
            <v>98.858071242417637</v>
          </cell>
          <cell r="P12">
            <v>166.45650499664018</v>
          </cell>
          <cell r="R12">
            <v>135.71250000000001</v>
          </cell>
          <cell r="S12">
            <v>55.762499999999989</v>
          </cell>
          <cell r="T12">
            <v>165.42778475854493</v>
          </cell>
          <cell r="V12">
            <v>134.72499999999999</v>
          </cell>
          <cell r="W12">
            <v>55.75</v>
          </cell>
          <cell r="X12">
            <v>146.02076846327776</v>
          </cell>
          <cell r="Z12">
            <v>113.02631578947368</v>
          </cell>
          <cell r="AA12">
            <v>64.961184210526326</v>
          </cell>
        </row>
        <row r="13">
          <cell r="A13">
            <v>2023</v>
          </cell>
          <cell r="B13">
            <v>2023</v>
          </cell>
          <cell r="C13">
            <v>130.63333333333333</v>
          </cell>
          <cell r="F13">
            <v>72.666231630211897</v>
          </cell>
          <cell r="I13">
            <v>93.775000000000006</v>
          </cell>
          <cell r="P13">
            <v>134.65751817269623</v>
          </cell>
          <cell r="R13">
            <v>81.231250000000003</v>
          </cell>
          <cell r="S13">
            <v>87.893749999999997</v>
          </cell>
          <cell r="T13">
            <v>133.78881993253063</v>
          </cell>
          <cell r="V13">
            <v>80.556250000000006</v>
          </cell>
          <cell r="W13">
            <v>87.918749999999989</v>
          </cell>
          <cell r="X13">
            <v>132.94936411041604</v>
          </cell>
          <cell r="Z13">
            <v>81.15625</v>
          </cell>
          <cell r="AA13">
            <v>85.181250000000006</v>
          </cell>
        </row>
        <row r="14">
          <cell r="A14">
            <v>2024</v>
          </cell>
          <cell r="B14">
            <v>2024</v>
          </cell>
          <cell r="C14">
            <v>79.875</v>
          </cell>
          <cell r="F14">
            <v>60.421359974375989</v>
          </cell>
          <cell r="I14">
            <v>48.270833333333336</v>
          </cell>
          <cell r="P14">
            <v>58.821842395019182</v>
          </cell>
          <cell r="R14">
            <v>47.987499999999997</v>
          </cell>
          <cell r="S14">
            <v>24.595833333333331</v>
          </cell>
          <cell r="T14">
            <v>58.033903044419354</v>
          </cell>
          <cell r="V14">
            <v>47.25</v>
          </cell>
          <cell r="W14">
            <v>24.261904761904759</v>
          </cell>
          <cell r="X14">
            <v>58.537995876549083</v>
          </cell>
          <cell r="Z14">
            <v>47.35</v>
          </cell>
          <cell r="AA14">
            <v>24.31666666666667</v>
          </cell>
        </row>
        <row r="15">
          <cell r="A15" t="str">
            <v>2025e</v>
          </cell>
          <cell r="B15">
            <v>2025</v>
          </cell>
          <cell r="C15">
            <v>47.341474685590228</v>
          </cell>
          <cell r="F15">
            <v>75.275569527723746</v>
          </cell>
          <cell r="I15">
            <v>37.225486366560389</v>
          </cell>
          <cell r="P15">
            <v>90.868780780435074</v>
          </cell>
          <cell r="R15">
            <v>71.86904761904762</v>
          </cell>
          <cell r="S15">
            <v>33.899171393654598</v>
          </cell>
          <cell r="T15">
            <v>89.821893234897743</v>
          </cell>
          <cell r="V15">
            <v>71.142857142857139</v>
          </cell>
          <cell r="W15">
            <v>33.702232478596073</v>
          </cell>
          <cell r="X15">
            <v>84.82646144041837</v>
          </cell>
          <cell r="Z15">
            <v>69.142857142857139</v>
          </cell>
          <cell r="AA15">
            <v>27.625361869845079</v>
          </cell>
        </row>
        <row r="16">
          <cell r="A16" t="str">
            <v>2026f</v>
          </cell>
          <cell r="B16">
            <v>2026</v>
          </cell>
          <cell r="C16">
            <v>62.936965262525874</v>
          </cell>
          <cell r="F16">
            <v>85.079045389989574</v>
          </cell>
          <cell r="I16">
            <v>45.465756327787545</v>
          </cell>
          <cell r="P16">
            <v>89.753674676187572</v>
          </cell>
          <cell r="R16">
            <v>73.797761728515056</v>
          </cell>
          <cell r="S16">
            <v>24.121051509669741</v>
          </cell>
          <cell r="T16">
            <v>88.852351761788455</v>
          </cell>
          <cell r="V16">
            <v>72.918165454537373</v>
          </cell>
          <cell r="W16">
            <v>24.088206669361583</v>
          </cell>
          <cell r="X16">
            <v>82.253674676187572</v>
          </cell>
          <cell r="Z16">
            <v>65.797761728515056</v>
          </cell>
          <cell r="AA16">
            <v>26.809310104992122</v>
          </cell>
        </row>
        <row r="17">
          <cell r="A17" t="str">
            <v>2027f</v>
          </cell>
          <cell r="B17">
            <v>2027</v>
          </cell>
          <cell r="C17">
            <v>71.095071885204646</v>
          </cell>
          <cell r="F17">
            <v>87.168118221641322</v>
          </cell>
          <cell r="I17">
            <v>46.961172594955841</v>
          </cell>
          <cell r="P17">
            <v>77.489782840411436</v>
          </cell>
          <cell r="R17">
            <v>55.746091419186698</v>
          </cell>
          <cell r="S17">
            <v>38.265839801372735</v>
          </cell>
          <cell r="T17">
            <v>76.605159263051647</v>
          </cell>
          <cell r="V17">
            <v>54.891075509309935</v>
          </cell>
          <cell r="W17">
            <v>38.213734469354826</v>
          </cell>
          <cell r="X17">
            <v>69.489782840411436</v>
          </cell>
          <cell r="Z17">
            <v>47.746091419186698</v>
          </cell>
          <cell r="AA17">
            <v>38.265839801372735</v>
          </cell>
        </row>
        <row r="18">
          <cell r="A18" t="str">
            <v>2028f</v>
          </cell>
          <cell r="B18">
            <v>2028</v>
          </cell>
          <cell r="C18">
            <v>76.304899974447068</v>
          </cell>
          <cell r="F18">
            <v>93.357076681605889</v>
          </cell>
          <cell r="I18">
            <v>46.992001192762615</v>
          </cell>
          <cell r="P18">
            <v>75.081233025460008</v>
          </cell>
          <cell r="R18">
            <v>57.73630151882309</v>
          </cell>
          <cell r="S18">
            <v>48.722893018127856</v>
          </cell>
          <cell r="T18">
            <v>74.199889090947181</v>
          </cell>
          <cell r="V18">
            <v>56.878575605492422</v>
          </cell>
          <cell r="W18">
            <v>48.656548661627092</v>
          </cell>
          <cell r="X18">
            <v>67.081233025460008</v>
          </cell>
          <cell r="Z18">
            <v>49.73630151882309</v>
          </cell>
          <cell r="AA18">
            <v>48.722893018127856</v>
          </cell>
        </row>
        <row r="19">
          <cell r="A19" t="str">
            <v>2029f</v>
          </cell>
          <cell r="B19">
            <v>2029</v>
          </cell>
          <cell r="C19">
            <v>91.457369599594955</v>
          </cell>
          <cell r="F19">
            <v>110.96401084488123</v>
          </cell>
          <cell r="I19">
            <v>44.021550663870244</v>
          </cell>
          <cell r="P19">
            <v>76.658824640769936</v>
          </cell>
          <cell r="R19">
            <v>52.071090732749845</v>
          </cell>
          <cell r="S19">
            <v>58.333925654492326</v>
          </cell>
          <cell r="T19">
            <v>75.775332551784899</v>
          </cell>
          <cell r="V19">
            <v>51.221078950103163</v>
          </cell>
          <cell r="W19">
            <v>58.254494271830566</v>
          </cell>
          <cell r="X19">
            <v>68.658824640769936</v>
          </cell>
          <cell r="Z19">
            <v>44.071090732749845</v>
          </cell>
          <cell r="AA19">
            <v>58.333925654492326</v>
          </cell>
        </row>
        <row r="20">
          <cell r="A20" t="str">
            <v>2030f</v>
          </cell>
          <cell r="B20">
            <v>2030</v>
          </cell>
          <cell r="C20">
            <v>93.055759936179982</v>
          </cell>
          <cell r="F20">
            <v>103.76153560417058</v>
          </cell>
          <cell r="I20">
            <v>44.456808596280318</v>
          </cell>
          <cell r="P20">
            <v>96.856580346883518</v>
          </cell>
          <cell r="R20">
            <v>71.284880026867583</v>
          </cell>
          <cell r="S20">
            <v>59.02462865326585</v>
          </cell>
          <cell r="T20">
            <v>95.945585640092432</v>
          </cell>
          <cell r="V20">
            <v>70.408705461026059</v>
          </cell>
          <cell r="W20">
            <v>58.944256763110602</v>
          </cell>
          <cell r="X20">
            <v>88.856580346883518</v>
          </cell>
          <cell r="Z20">
            <v>63.284880026867583</v>
          </cell>
          <cell r="AA20">
            <v>59.02462865326585</v>
          </cell>
        </row>
        <row r="21">
          <cell r="A21" t="str">
            <v>2031f</v>
          </cell>
          <cell r="B21">
            <v>2031</v>
          </cell>
          <cell r="C21">
            <v>91.948816941893782</v>
          </cell>
          <cell r="F21">
            <v>100.34017311811138</v>
          </cell>
          <cell r="I21">
            <v>44.819658050642666</v>
          </cell>
          <cell r="P21">
            <v>88.143785861530446</v>
          </cell>
          <cell r="R21">
            <v>58.149157406989929</v>
          </cell>
          <cell r="S21">
            <v>72.190375763097336</v>
          </cell>
          <cell r="T21">
            <v>87.244655079634754</v>
          </cell>
          <cell r="V21">
            <v>57.2908693214127</v>
          </cell>
          <cell r="W21">
            <v>72.092076509320023</v>
          </cell>
          <cell r="X21">
            <v>80.143785861530446</v>
          </cell>
          <cell r="Z21">
            <v>50.149157406989929</v>
          </cell>
          <cell r="AA21">
            <v>72.190375763097336</v>
          </cell>
        </row>
        <row r="22">
          <cell r="A22" t="str">
            <v>2032f</v>
          </cell>
          <cell r="B22">
            <v>2032</v>
          </cell>
          <cell r="C22">
            <v>91.622968166856339</v>
          </cell>
          <cell r="F22">
            <v>98.785139801577159</v>
          </cell>
          <cell r="I22">
            <v>44.984575680013648</v>
          </cell>
          <cell r="P22">
            <v>75.034255375346987</v>
          </cell>
          <cell r="R22">
            <v>45.248167319913634</v>
          </cell>
          <cell r="S22">
            <v>60.602434849170209</v>
          </cell>
          <cell r="T22">
            <v>74.152975408750976</v>
          </cell>
          <cell r="V22">
            <v>44.407446087052413</v>
          </cell>
          <cell r="W22">
            <v>60.51991451235542</v>
          </cell>
          <cell r="X22">
            <v>67.034255375347001</v>
          </cell>
          <cell r="Z22">
            <v>37.248167319913634</v>
          </cell>
          <cell r="AA22">
            <v>60.602434849170209</v>
          </cell>
        </row>
        <row r="23">
          <cell r="A23" t="str">
            <v>2033f</v>
          </cell>
          <cell r="B23">
            <v>2033</v>
          </cell>
          <cell r="C23">
            <v>94.34853131213049</v>
          </cell>
          <cell r="F23">
            <v>104.43592969598859</v>
          </cell>
          <cell r="I23">
            <v>44.385286350614031</v>
          </cell>
          <cell r="P23">
            <v>106.54395176769891</v>
          </cell>
          <cell r="R23">
            <v>56.095287045066904</v>
          </cell>
          <cell r="S23">
            <v>96.517730115401179</v>
          </cell>
          <cell r="T23">
            <v>105.61976608674176</v>
          </cell>
          <cell r="V23">
            <v>55.239795647023165</v>
          </cell>
          <cell r="W23">
            <v>96.38630510553898</v>
          </cell>
          <cell r="X23">
            <v>98.543951767698914</v>
          </cell>
          <cell r="Z23">
            <v>48.095287045066904</v>
          </cell>
          <cell r="AA23">
            <v>96.517730115401179</v>
          </cell>
        </row>
        <row r="24">
          <cell r="A24" t="str">
            <v>2034f</v>
          </cell>
          <cell r="B24">
            <v>2034</v>
          </cell>
          <cell r="C24">
            <v>102.38124269181888</v>
          </cell>
          <cell r="F24">
            <v>122.62173949609682</v>
          </cell>
          <cell r="I24">
            <v>42.456607004302725</v>
          </cell>
          <cell r="P24">
            <v>132.09584587417811</v>
          </cell>
          <cell r="R24">
            <v>61.174665673487063</v>
          </cell>
          <cell r="S24">
            <v>133.46834681600561</v>
          </cell>
          <cell r="T24">
            <v>131.13686702173914</v>
          </cell>
          <cell r="V24">
            <v>60.312257853087189</v>
          </cell>
          <cell r="W24">
            <v>133.28660737004458</v>
          </cell>
          <cell r="X24">
            <v>124.09584587417811</v>
          </cell>
          <cell r="Z24">
            <v>53.174665673487063</v>
          </cell>
          <cell r="AA24">
            <v>133.46834681600561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s"/>
      <sheetName val="Prices"/>
      <sheetName val="Sheet1"/>
      <sheetName val="Barley"/>
      <sheetName val="Corn and Barley Monthly"/>
      <sheetName val="Chart1"/>
      <sheetName val="fgprices - HOBO"/>
    </sheetNames>
    <sheetDataSet>
      <sheetData sheetId="0"/>
      <sheetData sheetId="1">
        <row r="517">
          <cell r="D517">
            <v>5.2798863636363622</v>
          </cell>
        </row>
        <row r="518">
          <cell r="D518">
            <v>4.8317045454545458</v>
          </cell>
        </row>
        <row r="519">
          <cell r="D519">
            <v>4.5952500000000001</v>
          </cell>
        </row>
        <row r="520">
          <cell r="D520">
            <v>4.3916304347826092</v>
          </cell>
        </row>
        <row r="521">
          <cell r="D521">
            <v>4.2300000000000004</v>
          </cell>
        </row>
        <row r="522">
          <cell r="D522">
            <v>4.3046428571428574</v>
          </cell>
        </row>
        <row r="523">
          <cell r="D523">
            <v>4.2722619047619057</v>
          </cell>
        </row>
        <row r="524">
          <cell r="D524">
            <v>4.4728947368421057</v>
          </cell>
        </row>
        <row r="525">
          <cell r="D525">
            <v>4.8548809523809524</v>
          </cell>
        </row>
        <row r="526">
          <cell r="D526">
            <v>5.0220238095238097</v>
          </cell>
        </row>
        <row r="527">
          <cell r="D527">
            <v>4.9014285714285721</v>
          </cell>
        </row>
        <row r="528">
          <cell r="D528">
            <v>4.4666670000000002</v>
          </cell>
        </row>
        <row r="529">
          <cell r="D529">
            <v>3.7890910000000004</v>
          </cell>
        </row>
        <row r="530">
          <cell r="D530">
            <v>3.5934519999999996</v>
          </cell>
        </row>
        <row r="531">
          <cell r="D531">
            <v>3.3880950000000003</v>
          </cell>
        </row>
        <row r="532">
          <cell r="D532">
            <v>3.4941300000000002</v>
          </cell>
        </row>
        <row r="533">
          <cell r="D533">
            <v>3.7317110000000002</v>
          </cell>
        </row>
        <row r="534">
          <cell r="D534">
            <v>4.0144320000000002</v>
          </cell>
        </row>
        <row r="535">
          <cell r="D535">
            <v>3.8810000000000002</v>
          </cell>
        </row>
        <row r="536">
          <cell r="D536">
            <v>3.8368419999999999</v>
          </cell>
        </row>
        <row r="537">
          <cell r="D537">
            <v>3.8620450000000002</v>
          </cell>
        </row>
        <row r="538">
          <cell r="D538">
            <v>3.7396429999999996</v>
          </cell>
        </row>
        <row r="539">
          <cell r="D539">
            <v>3.61</v>
          </cell>
        </row>
        <row r="540">
          <cell r="D540">
            <v>3.643977</v>
          </cell>
        </row>
        <row r="541">
          <cell r="D541">
            <v>4.0943180000000003</v>
          </cell>
        </row>
        <row r="542">
          <cell r="D542">
            <v>3.6771429999999996</v>
          </cell>
        </row>
        <row r="543">
          <cell r="D543">
            <v>3.7946429999999998</v>
          </cell>
        </row>
        <row r="544">
          <cell r="D544">
            <v>3.830568</v>
          </cell>
        </row>
        <row r="545">
          <cell r="D545">
            <v>3.663125</v>
          </cell>
        </row>
        <row r="546">
          <cell r="D546">
            <v>3.7097730000000002</v>
          </cell>
        </row>
        <row r="547">
          <cell r="D547">
            <v>3.6184210000000001</v>
          </cell>
        </row>
        <row r="548">
          <cell r="D548">
            <v>3.6327499999999997</v>
          </cell>
        </row>
        <row r="549">
          <cell r="D549">
            <v>3.6429550000000002</v>
          </cell>
        </row>
        <row r="550">
          <cell r="D550">
            <v>3.7267860000000002</v>
          </cell>
        </row>
        <row r="551">
          <cell r="D551">
            <v>3.9083330000000003</v>
          </cell>
        </row>
        <row r="552">
          <cell r="D552">
            <v>4.102614</v>
          </cell>
        </row>
        <row r="553">
          <cell r="D553">
            <v>3.4478750000000002</v>
          </cell>
        </row>
        <row r="554">
          <cell r="D554">
            <v>3.2304349999999999</v>
          </cell>
        </row>
        <row r="555">
          <cell r="D555">
            <v>3.3374999999999999</v>
          </cell>
        </row>
        <row r="556">
          <cell r="D556">
            <v>3.4948809999999999</v>
          </cell>
        </row>
        <row r="557">
          <cell r="D557">
            <v>3.4497620000000002</v>
          </cell>
        </row>
        <row r="558">
          <cell r="D558">
            <v>3.535952</v>
          </cell>
        </row>
        <row r="559">
          <cell r="D559">
            <v>3.618125</v>
          </cell>
        </row>
        <row r="560">
          <cell r="D560">
            <v>3.6921050000000002</v>
          </cell>
        </row>
        <row r="561">
          <cell r="D561">
            <v>3.6568480000000001</v>
          </cell>
        </row>
        <row r="562">
          <cell r="D562">
            <v>3.6301319999999997</v>
          </cell>
        </row>
        <row r="563">
          <cell r="D563">
            <v>3.7054550000000002</v>
          </cell>
        </row>
        <row r="564">
          <cell r="D564">
            <v>3.7228409999999998</v>
          </cell>
        </row>
        <row r="565">
          <cell r="D565">
            <v>3.8210000000000002</v>
          </cell>
        </row>
        <row r="566">
          <cell r="D566">
            <v>3.531196</v>
          </cell>
        </row>
        <row r="567">
          <cell r="D567">
            <v>3.5387499999999998</v>
          </cell>
        </row>
        <row r="568">
          <cell r="D568">
            <v>3.4938636363636362</v>
          </cell>
        </row>
        <row r="569">
          <cell r="D569">
            <v>3.4317857142857147</v>
          </cell>
        </row>
        <row r="570">
          <cell r="D570">
            <v>3.5105</v>
          </cell>
        </row>
        <row r="571">
          <cell r="D571">
            <v>3.5272619047619047</v>
          </cell>
        </row>
        <row r="572">
          <cell r="D572">
            <v>3.6062500000000002</v>
          </cell>
        </row>
        <row r="573">
          <cell r="D573">
            <v>3.8314285714285718</v>
          </cell>
        </row>
        <row r="574">
          <cell r="D574">
            <v>3.851375</v>
          </cell>
        </row>
        <row r="575">
          <cell r="D575">
            <v>4.0180681818181823</v>
          </cell>
        </row>
        <row r="576">
          <cell r="D576">
            <v>3.6486904761904757</v>
          </cell>
        </row>
        <row r="577">
          <cell r="D577">
            <v>3.5302380952380954</v>
          </cell>
        </row>
        <row r="578">
          <cell r="D578">
            <v>3.5833695652173914</v>
          </cell>
        </row>
        <row r="579">
          <cell r="D579">
            <v>3.5844736842105265</v>
          </cell>
        </row>
        <row r="580">
          <cell r="D580">
            <v>3.6815217391304351</v>
          </cell>
        </row>
        <row r="581">
          <cell r="D581">
            <v>3.6160714285714284</v>
          </cell>
        </row>
        <row r="582">
          <cell r="D582">
            <v>3.8116250000000003</v>
          </cell>
        </row>
        <row r="583">
          <cell r="D583">
            <v>3.7869047619047622</v>
          </cell>
        </row>
        <row r="584">
          <cell r="D584">
            <v>3.7444444444444445</v>
          </cell>
        </row>
        <row r="585">
          <cell r="D585">
            <v>3.7110714285714281</v>
          </cell>
        </row>
        <row r="586">
          <cell r="D586">
            <v>3.5770238095238098</v>
          </cell>
        </row>
        <row r="587">
          <cell r="D587">
            <v>3.8367045454545456</v>
          </cell>
        </row>
        <row r="588">
          <cell r="D588">
            <v>4.3522500000000006</v>
          </cell>
        </row>
        <row r="589">
          <cell r="D589">
            <v>4.2801136363636365</v>
          </cell>
        </row>
        <row r="590">
          <cell r="D590">
            <v>3.7710714285714282</v>
          </cell>
        </row>
        <row r="591">
          <cell r="D591">
            <v>3.6782499999999998</v>
          </cell>
        </row>
        <row r="592">
          <cell r="D592">
            <v>3.8977173913043486</v>
          </cell>
        </row>
        <row r="593">
          <cell r="D593">
            <v>3.7518750000000001</v>
          </cell>
        </row>
        <row r="594">
          <cell r="D594">
            <v>3.8323809523809524</v>
          </cell>
        </row>
        <row r="595">
          <cell r="D595">
            <v>3.8573809523809524</v>
          </cell>
        </row>
        <row r="596">
          <cell r="D596">
            <v>3.7814473684210528</v>
          </cell>
        </row>
        <row r="597">
          <cell r="D597">
            <v>3.5886363636363638</v>
          </cell>
        </row>
        <row r="598">
          <cell r="D598">
            <v>3.2398809523809522</v>
          </cell>
        </row>
        <row r="599">
          <cell r="D599">
            <v>3.1941250000000001</v>
          </cell>
        </row>
        <row r="600">
          <cell r="D600">
            <v>3.28125</v>
          </cell>
        </row>
        <row r="601">
          <cell r="D601">
            <v>3.3951136363636363</v>
          </cell>
        </row>
        <row r="602">
          <cell r="D602">
            <v>3.2515476190476198</v>
          </cell>
        </row>
        <row r="603">
          <cell r="D603">
            <v>3.6627380952380952</v>
          </cell>
        </row>
        <row r="604">
          <cell r="D604">
            <v>3.9889772727272725</v>
          </cell>
        </row>
        <row r="605">
          <cell r="D605">
            <v>4.1785000000000005</v>
          </cell>
        </row>
        <row r="606">
          <cell r="D606">
            <v>4.3902631578947373</v>
          </cell>
        </row>
        <row r="607">
          <cell r="D607">
            <v>5.1539473684210533</v>
          </cell>
        </row>
        <row r="608">
          <cell r="D608">
            <v>5.4997368421052633</v>
          </cell>
        </row>
        <row r="609">
          <cell r="D609">
            <v>5.4754999999999994</v>
          </cell>
        </row>
        <row r="610">
          <cell r="D610">
            <v>6.1607142857142856</v>
          </cell>
        </row>
        <row r="611">
          <cell r="D611">
            <v>6.7596249999999998</v>
          </cell>
        </row>
        <row r="612">
          <cell r="D612">
            <v>6.7240909090909087</v>
          </cell>
        </row>
        <row r="613">
          <cell r="D613">
            <v>5.5732142857142852</v>
          </cell>
        </row>
        <row r="614">
          <cell r="D614">
            <v>5.5222727272727274</v>
          </cell>
        </row>
        <row r="615">
          <cell r="D615">
            <v>5.2445833333333338</v>
          </cell>
        </row>
        <row r="616">
          <cell r="D616">
            <v>5.366190476190476</v>
          </cell>
        </row>
        <row r="617">
          <cell r="D617">
            <v>5.7089285714285714</v>
          </cell>
        </row>
        <row r="618">
          <cell r="D618">
            <v>5.921818181818181</v>
          </cell>
        </row>
        <row r="619">
          <cell r="D619">
            <v>6.09375</v>
          </cell>
        </row>
        <row r="620">
          <cell r="D620">
            <v>6.5036842105263153</v>
          </cell>
        </row>
        <row r="621">
          <cell r="D621">
            <v>7.4656521739130435</v>
          </cell>
        </row>
        <row r="622">
          <cell r="D622">
            <v>7.8606249999999998</v>
          </cell>
        </row>
        <row r="623">
          <cell r="D623">
            <v>7.8386904761904761</v>
          </cell>
        </row>
        <row r="624">
          <cell r="D624">
            <v>7.5840476190476194</v>
          </cell>
        </row>
        <row r="625">
          <cell r="D625">
            <v>6.0220000000000002</v>
          </cell>
        </row>
        <row r="626">
          <cell r="D626">
            <v>6.3207608695652171</v>
          </cell>
        </row>
        <row r="627">
          <cell r="D627">
            <v>6.7723809523809519</v>
          </cell>
        </row>
        <row r="628">
          <cell r="D628">
            <v>6.8554761904761907</v>
          </cell>
        </row>
        <row r="629">
          <cell r="D629">
            <v>6.6823809523809521</v>
          </cell>
        </row>
        <row r="630">
          <cell r="D630">
            <v>6.5621428571428559</v>
          </cell>
        </row>
        <row r="631">
          <cell r="D631">
            <v>6.703875</v>
          </cell>
        </row>
        <row r="632">
          <cell r="D632">
            <v>6.710921052631579</v>
          </cell>
        </row>
        <row r="633">
          <cell r="D633">
            <v>6.3433695652173911</v>
          </cell>
        </row>
        <row r="634">
          <cell r="D634">
            <v>6.548815789473684</v>
          </cell>
        </row>
        <row r="635">
          <cell r="D635">
            <v>5.8382894736842106</v>
          </cell>
        </row>
        <row r="636">
          <cell r="D636">
            <v>6.1516666666666664</v>
          </cell>
        </row>
        <row r="637">
          <cell r="D637">
            <v>5.1791176470588232</v>
          </cell>
        </row>
        <row r="638">
          <cell r="D638">
            <v>4.7584782608695653</v>
          </cell>
        </row>
        <row r="639">
          <cell r="D639">
            <v>4.8082500000000001</v>
          </cell>
        </row>
        <row r="640">
          <cell r="D640">
            <v>4.8843181818181822</v>
          </cell>
        </row>
        <row r="641">
          <cell r="D641">
            <v>4.8584523809523805</v>
          </cell>
        </row>
        <row r="642">
          <cell r="D642">
            <v>4.7971249999999994</v>
          </cell>
        </row>
        <row r="643">
          <cell r="D643">
            <v>4.5184523809523807</v>
          </cell>
        </row>
        <row r="644">
          <cell r="D644">
            <v>4.2337499999999997</v>
          </cell>
        </row>
        <row r="645">
          <cell r="D645">
            <v>4.3581250000000002</v>
          </cell>
        </row>
        <row r="646">
          <cell r="D646">
            <v>4.3462500000000004</v>
          </cell>
        </row>
        <row r="647">
          <cell r="D647">
            <v>4.6021590909090904</v>
          </cell>
        </row>
        <row r="648">
          <cell r="D648">
            <v>4.3939473684210526</v>
          </cell>
        </row>
        <row r="649">
          <cell r="D649">
            <v>3.9970833333333333</v>
          </cell>
        </row>
        <row r="650">
          <cell r="D650">
            <v>3.7802777777777776</v>
          </cell>
        </row>
        <row r="651">
          <cell r="D651">
            <v>4.1072500000000005</v>
          </cell>
        </row>
        <row r="652">
          <cell r="D652">
            <v>4.1611956521739133</v>
          </cell>
        </row>
        <row r="653">
          <cell r="D653">
            <v>4.242375</v>
          </cell>
        </row>
        <row r="654">
          <cell r="D654">
            <v>4.3899999999999997</v>
          </cell>
        </row>
        <row r="655">
          <cell r="D655">
            <v>4.753333333333333</v>
          </cell>
        </row>
        <row r="656">
          <cell r="D656">
            <v>4.8748684210526321</v>
          </cell>
        </row>
        <row r="657">
          <cell r="D657">
            <v>4.5458333333333334</v>
          </cell>
        </row>
        <row r="658">
          <cell r="D658">
            <v>4.7288749999999995</v>
          </cell>
        </row>
        <row r="659">
          <cell r="D659">
            <v>4.8273901106521242</v>
          </cell>
        </row>
        <row r="660">
          <cell r="D660">
            <v>4.6030321133862326</v>
          </cell>
        </row>
        <row r="661">
          <cell r="D661">
            <v>4.066522623753059</v>
          </cell>
        </row>
        <row r="662">
          <cell r="D662">
            <v>3.8495023674819078</v>
          </cell>
        </row>
        <row r="663">
          <cell r="D663">
            <v>3.9579166626070723</v>
          </cell>
        </row>
        <row r="664">
          <cell r="D664">
            <v>4.1232120889198898</v>
          </cell>
        </row>
        <row r="665">
          <cell r="D665">
            <v>4.1607035673689765</v>
          </cell>
        </row>
        <row r="666">
          <cell r="D666">
            <v>4.225422216263941</v>
          </cell>
        </row>
        <row r="667">
          <cell r="D667">
            <v>4.3901573267674729</v>
          </cell>
        </row>
        <row r="668">
          <cell r="D668">
            <v>4.4705840811534374</v>
          </cell>
        </row>
        <row r="669">
          <cell r="D669">
            <v>4.5709328069699549</v>
          </cell>
        </row>
        <row r="670">
          <cell r="D670">
            <v>4.7559333919303795</v>
          </cell>
        </row>
        <row r="671">
          <cell r="D671">
            <v>4.7712539945733505</v>
          </cell>
        </row>
        <row r="672">
          <cell r="D672">
            <v>4.7516766990618446</v>
          </cell>
        </row>
        <row r="673">
          <cell r="D673">
            <v>3.9579819669106109</v>
          </cell>
        </row>
        <row r="674">
          <cell r="D674">
            <v>3.8513436373231769</v>
          </cell>
        </row>
        <row r="675">
          <cell r="D675">
            <v>4.0437166626070713</v>
          </cell>
        </row>
        <row r="676">
          <cell r="D676">
            <v>4.1759077410938019</v>
          </cell>
        </row>
        <row r="677">
          <cell r="D677">
            <v>4.2588035673689761</v>
          </cell>
        </row>
        <row r="678">
          <cell r="D678">
            <v>4.3369460257877499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9 (2)"/>
      <sheetName val="Chart1"/>
      <sheetName val="Chart17"/>
      <sheetName val="Chart20"/>
      <sheetName val="Spreads"/>
      <sheetName val="Chart9"/>
      <sheetName val="Monthly Data"/>
      <sheetName val="Chart2"/>
      <sheetName val="Chart3"/>
      <sheetName val="Chart4"/>
      <sheetName val="Chart5"/>
      <sheetName val="Arg Monthly SBO Price Comp"/>
      <sheetName val="Chart6"/>
      <sheetName val="Chart7"/>
      <sheetName val="Chart8"/>
      <sheetName val="Argentina Cash"/>
      <sheetName val="Brazil Cash"/>
      <sheetName val="Chart10"/>
      <sheetName val="Chart11"/>
      <sheetName val="Chart12"/>
      <sheetName val="Chart13"/>
      <sheetName val="Chart14"/>
      <sheetName val="Chart15"/>
      <sheetName val="Chart16"/>
      <sheetName val="Argy vs. SBO"/>
      <sheetName val="Argy Monthly SBO Basis"/>
      <sheetName val="Argy Daily SBO Basis"/>
      <sheetName val="Chart18"/>
      <sheetName val="Chart19"/>
      <sheetName val="Chart38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>
        <row r="3">
          <cell r="AE3">
            <v>28.426500000000004</v>
          </cell>
        </row>
        <row r="4">
          <cell r="AE4">
            <v>29.000952380952373</v>
          </cell>
        </row>
        <row r="5">
          <cell r="AE5">
            <v>30.344210526315795</v>
          </cell>
        </row>
        <row r="6">
          <cell r="AE6">
            <v>29.380476190476195</v>
          </cell>
        </row>
        <row r="7">
          <cell r="AE7">
            <v>28.644285714285719</v>
          </cell>
        </row>
        <row r="8">
          <cell r="AE8">
            <v>27.230454545454549</v>
          </cell>
        </row>
        <row r="9">
          <cell r="AE9">
            <v>27.859499999999997</v>
          </cell>
        </row>
        <row r="10">
          <cell r="AE10">
            <v>28.533636363636369</v>
          </cell>
        </row>
        <row r="11">
          <cell r="AE11">
            <v>28.92227272727273</v>
          </cell>
        </row>
        <row r="12">
          <cell r="AE12">
            <v>29.217000000000002</v>
          </cell>
        </row>
        <row r="13">
          <cell r="AE13">
            <v>30.28</v>
          </cell>
        </row>
        <row r="14">
          <cell r="AE14">
            <v>31.0075</v>
          </cell>
        </row>
        <row r="15">
          <cell r="AE15">
            <v>32.783809523809524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tures Price Forecasts"/>
      <sheetName val="Forecasts"/>
      <sheetName val="Sheet1"/>
      <sheetName val="Prices"/>
    </sheetNames>
    <sheetDataSet>
      <sheetData sheetId="0"/>
      <sheetData sheetId="1"/>
      <sheetData sheetId="2"/>
      <sheetData sheetId="3">
        <row r="516">
          <cell r="D516">
            <v>51.004347826086899</v>
          </cell>
        </row>
        <row r="603">
          <cell r="D603">
            <v>33.150952380952383</v>
          </cell>
        </row>
        <row r="604">
          <cell r="D604">
            <v>30.248421052631581</v>
          </cell>
        </row>
        <row r="605">
          <cell r="D605">
            <v>27.017727272727271</v>
          </cell>
        </row>
        <row r="606">
          <cell r="D606">
            <v>26.202857142857148</v>
          </cell>
        </row>
        <row r="607">
          <cell r="D607">
            <v>26.708999999999996</v>
          </cell>
        </row>
        <row r="608">
          <cell r="D608">
            <v>27.891363636363643</v>
          </cell>
        </row>
        <row r="609">
          <cell r="D609">
            <v>29.206818181818178</v>
          </cell>
        </row>
        <row r="610">
          <cell r="D610">
            <v>31.59238095238096</v>
          </cell>
        </row>
        <row r="611">
          <cell r="D611">
            <v>33.51047619047619</v>
          </cell>
        </row>
        <row r="612">
          <cell r="D612">
            <v>33.276818181818186</v>
          </cell>
        </row>
        <row r="613">
          <cell r="D613">
            <v>36.862499999999997</v>
          </cell>
        </row>
        <row r="614">
          <cell r="D614">
            <v>39.571363636363643</v>
          </cell>
        </row>
        <row r="615">
          <cell r="D615">
            <v>43.154210526315786</v>
          </cell>
        </row>
        <row r="616">
          <cell r="D616">
            <v>46.94631578947368</v>
          </cell>
        </row>
        <row r="617">
          <cell r="D617">
            <v>53.370000000000012</v>
          </cell>
        </row>
        <row r="618">
          <cell r="D618">
            <v>58.235714285714302</v>
          </cell>
        </row>
        <row r="619">
          <cell r="D619">
            <v>65.639500000000012</v>
          </cell>
        </row>
        <row r="620">
          <cell r="D620">
            <v>65.243181818181839</v>
          </cell>
        </row>
        <row r="621">
          <cell r="D621">
            <v>64.936190476190475</v>
          </cell>
        </row>
        <row r="622">
          <cell r="D622">
            <v>61.464090909090899</v>
          </cell>
        </row>
        <row r="623">
          <cell r="D623">
            <v>57.204761904761902</v>
          </cell>
        </row>
        <row r="624">
          <cell r="D624">
            <v>61.246190476190478</v>
          </cell>
        </row>
        <row r="625">
          <cell r="D625">
            <v>59.234761904761896</v>
          </cell>
        </row>
        <row r="626">
          <cell r="D626">
            <v>55.209545454545463</v>
          </cell>
        </row>
        <row r="627">
          <cell r="D627">
            <v>60.679999999999993</v>
          </cell>
        </row>
        <row r="628">
          <cell r="D628">
            <v>67.012631578947364</v>
          </cell>
        </row>
        <row r="629">
          <cell r="D629">
            <v>74.006521739130449</v>
          </cell>
        </row>
        <row r="630">
          <cell r="D630">
            <v>79.201999999999998</v>
          </cell>
        </row>
        <row r="631">
          <cell r="D631">
            <v>81.004761904761907</v>
          </cell>
        </row>
        <row r="632">
          <cell r="D632">
            <v>76.33</v>
          </cell>
        </row>
        <row r="633">
          <cell r="D633">
            <v>61.398000000000003</v>
          </cell>
        </row>
        <row r="634">
          <cell r="D634">
            <v>67.486956521739117</v>
          </cell>
        </row>
        <row r="635">
          <cell r="D635">
            <v>66.873333333333335</v>
          </cell>
        </row>
        <row r="636">
          <cell r="D636">
            <v>68.494285714285709</v>
          </cell>
        </row>
        <row r="637">
          <cell r="D637">
            <v>74.968095238095245</v>
          </cell>
        </row>
        <row r="638">
          <cell r="D638">
            <v>64.203809523809525</v>
          </cell>
        </row>
        <row r="639">
          <cell r="D639">
            <v>62.383999999999993</v>
          </cell>
        </row>
        <row r="640">
          <cell r="D640">
            <v>60.783157894736839</v>
          </cell>
        </row>
        <row r="641">
          <cell r="D641">
            <v>56.891304347826086</v>
          </cell>
        </row>
        <row r="642">
          <cell r="D642">
            <v>53.917894736842108</v>
          </cell>
        </row>
        <row r="643">
          <cell r="D643">
            <v>49.765454545454553</v>
          </cell>
        </row>
        <row r="644">
          <cell r="D644">
            <v>55.860952380952369</v>
          </cell>
        </row>
        <row r="645">
          <cell r="D645">
            <v>66.389999999999972</v>
          </cell>
        </row>
        <row r="646">
          <cell r="D646">
            <v>65.607391304347829</v>
          </cell>
        </row>
        <row r="647">
          <cell r="D647">
            <v>61.316499999999984</v>
          </cell>
        </row>
        <row r="648">
          <cell r="D648">
            <v>53.868181818181831</v>
          </cell>
        </row>
        <row r="649">
          <cell r="D649">
            <v>51.671428571428564</v>
          </cell>
        </row>
        <row r="650">
          <cell r="D650">
            <v>49.773000000000003</v>
          </cell>
        </row>
        <row r="651">
          <cell r="D651">
            <v>47.540476190476184</v>
          </cell>
        </row>
        <row r="652">
          <cell r="D652">
            <v>45.639999999999993</v>
          </cell>
        </row>
        <row r="653">
          <cell r="D653">
            <v>47.468999999999994</v>
          </cell>
        </row>
        <row r="654">
          <cell r="D654">
            <v>46.189999999999991</v>
          </cell>
        </row>
        <row r="655">
          <cell r="D655">
            <v>44.612272727272725</v>
          </cell>
        </row>
        <row r="656">
          <cell r="D656">
            <v>43.706842105263163</v>
          </cell>
        </row>
        <row r="657">
          <cell r="D657">
            <v>46.263181818181813</v>
          </cell>
        </row>
        <row r="658">
          <cell r="D658">
            <v>41.318181818181813</v>
          </cell>
        </row>
        <row r="659">
          <cell r="D659">
            <v>41.493000000000002</v>
          </cell>
        </row>
        <row r="660">
          <cell r="D660">
            <v>43.290869565217378</v>
          </cell>
        </row>
        <row r="661">
          <cell r="D661">
            <v>44.668500000000002</v>
          </cell>
        </row>
        <row r="662">
          <cell r="D662">
            <v>41.116190476190482</v>
          </cell>
        </row>
        <row r="663">
          <cell r="D663">
            <v>46.11</v>
          </cell>
        </row>
        <row r="664">
          <cell r="D664">
            <v>45.823157894736845</v>
          </cell>
        </row>
        <row r="665">
          <cell r="D665">
            <v>43.49</v>
          </cell>
        </row>
        <row r="666">
          <cell r="D666">
            <v>47.49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rices"/>
      <sheetName val="Fat and Grease Data"/>
      <sheetName val="Fats and Greases"/>
      <sheetName val="UCO Prices - HOBO"/>
    </sheetNames>
    <sheetDataSet>
      <sheetData sheetId="0">
        <row r="253">
          <cell r="N253">
            <v>30.888500000000001</v>
          </cell>
        </row>
        <row r="254">
          <cell r="N254">
            <v>33.336956521739133</v>
          </cell>
        </row>
        <row r="255">
          <cell r="N255">
            <v>36.60526315789474</v>
          </cell>
        </row>
        <row r="256">
          <cell r="N256">
            <v>39</v>
          </cell>
        </row>
        <row r="257">
          <cell r="N257">
            <v>42.195652173913047</v>
          </cell>
        </row>
        <row r="258">
          <cell r="N258">
            <v>43.535714285714285</v>
          </cell>
        </row>
        <row r="259">
          <cell r="N259">
            <v>45.387500000000003</v>
          </cell>
        </row>
        <row r="260">
          <cell r="N260">
            <v>49.284090909090907</v>
          </cell>
        </row>
        <row r="261">
          <cell r="N261">
            <v>51.952380952380949</v>
          </cell>
        </row>
        <row r="262">
          <cell r="N262">
            <v>56</v>
          </cell>
        </row>
        <row r="263">
          <cell r="N263">
            <v>53.38095238095238</v>
          </cell>
        </row>
        <row r="264">
          <cell r="N264">
            <v>54.452380952380949</v>
          </cell>
        </row>
        <row r="265">
          <cell r="N265">
            <v>57.2</v>
          </cell>
        </row>
        <row r="266">
          <cell r="N266">
            <v>59.61904761904762</v>
          </cell>
        </row>
        <row r="267">
          <cell r="N267">
            <v>61.15</v>
          </cell>
        </row>
        <row r="268">
          <cell r="N268">
            <v>63.921052631578945</v>
          </cell>
        </row>
        <row r="269">
          <cell r="N269">
            <v>69.021739130434781</v>
          </cell>
        </row>
        <row r="270">
          <cell r="N270">
            <v>70.650000000000006</v>
          </cell>
        </row>
        <row r="271">
          <cell r="N271">
            <v>70.5</v>
          </cell>
        </row>
        <row r="272">
          <cell r="N272">
            <v>71.785714285714292</v>
          </cell>
        </row>
        <row r="273">
          <cell r="N273">
            <v>70.137500000000003</v>
          </cell>
        </row>
        <row r="274">
          <cell r="N274">
            <v>67.673913043478265</v>
          </cell>
        </row>
        <row r="275">
          <cell r="N275">
            <v>66.321428571428569</v>
          </cell>
        </row>
        <row r="276">
          <cell r="N276">
            <v>65.5</v>
          </cell>
        </row>
        <row r="277">
          <cell r="N277">
            <v>67</v>
          </cell>
        </row>
        <row r="278">
          <cell r="N278">
            <v>66.452380952380949</v>
          </cell>
        </row>
        <row r="279">
          <cell r="N279">
            <v>63.9</v>
          </cell>
        </row>
        <row r="280">
          <cell r="N280">
            <v>56.631578947368418</v>
          </cell>
        </row>
        <row r="281">
          <cell r="N281">
            <v>44.847826086956523</v>
          </cell>
        </row>
        <row r="282">
          <cell r="N282">
            <v>42.368421052631582</v>
          </cell>
        </row>
        <row r="283">
          <cell r="N283">
            <v>45.272727272727273</v>
          </cell>
        </row>
        <row r="284">
          <cell r="N284">
            <v>50.166666666666664</v>
          </cell>
        </row>
        <row r="285">
          <cell r="N285">
            <v>52.05</v>
          </cell>
        </row>
        <row r="286">
          <cell r="N286">
            <v>53</v>
          </cell>
        </row>
        <row r="287">
          <cell r="N287">
            <v>54.274999999999999</v>
          </cell>
        </row>
        <row r="288">
          <cell r="N288">
            <v>51.227272727272727</v>
          </cell>
        </row>
        <row r="289">
          <cell r="N289">
            <v>39</v>
          </cell>
        </row>
        <row r="290">
          <cell r="N290">
            <v>35.762500000000003</v>
          </cell>
        </row>
        <row r="291">
          <cell r="N291">
            <v>33.011904761904759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tblSAFFeedstock"/>
      <sheetName val="DataDepotMetaData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198">
          <cell r="AG198">
            <v>37.173913043478258</v>
          </cell>
          <cell r="AH198">
            <v>47.25</v>
          </cell>
          <cell r="AI198">
            <v>41</v>
          </cell>
          <cell r="AJ198">
            <v>35.75</v>
          </cell>
          <cell r="AK198">
            <v>38.25</v>
          </cell>
          <cell r="AL198">
            <v>36.75</v>
          </cell>
          <cell r="AM198">
            <v>40.5</v>
          </cell>
          <cell r="AN198">
            <v>40.5</v>
          </cell>
          <cell r="AO198">
            <v>44.75</v>
          </cell>
          <cell r="AP198">
            <v>40</v>
          </cell>
          <cell r="AQ198">
            <v>40.5</v>
          </cell>
          <cell r="AR198">
            <v>43.75</v>
          </cell>
          <cell r="AS198">
            <v>53.5</v>
          </cell>
          <cell r="AT198">
            <v>48.5</v>
          </cell>
          <cell r="AU198">
            <v>41</v>
          </cell>
          <cell r="AV198">
            <v>43.75</v>
          </cell>
          <cell r="AW198">
            <v>54.5</v>
          </cell>
          <cell r="AX198">
            <v>66.25</v>
          </cell>
          <cell r="AY198">
            <v>64.25</v>
          </cell>
          <cell r="AZ198">
            <v>57</v>
          </cell>
          <cell r="BA198">
            <v>62</v>
          </cell>
          <cell r="BB198">
            <v>50</v>
          </cell>
          <cell r="BC198">
            <v>59.75</v>
          </cell>
          <cell r="BD198">
            <v>50.75</v>
          </cell>
          <cell r="BE198">
            <v>72</v>
          </cell>
          <cell r="BF198">
            <v>63.5</v>
          </cell>
          <cell r="BG198">
            <v>71.75</v>
          </cell>
        </row>
        <row r="199">
          <cell r="AG199">
            <v>37.5</v>
          </cell>
          <cell r="AH199">
            <v>41</v>
          </cell>
          <cell r="AI199">
            <v>37.5</v>
          </cell>
          <cell r="AJ199">
            <v>31</v>
          </cell>
          <cell r="AK199">
            <v>32.5</v>
          </cell>
          <cell r="AL199">
            <v>31.5</v>
          </cell>
          <cell r="AM199">
            <v>33</v>
          </cell>
          <cell r="AN199">
            <v>30.5</v>
          </cell>
          <cell r="AO199">
            <v>39</v>
          </cell>
          <cell r="AP199">
            <v>32</v>
          </cell>
          <cell r="AQ199">
            <v>33</v>
          </cell>
          <cell r="AR199">
            <v>36.25</v>
          </cell>
          <cell r="AS199">
            <v>48</v>
          </cell>
          <cell r="AT199">
            <v>39.5</v>
          </cell>
          <cell r="AU199">
            <v>27.25</v>
          </cell>
          <cell r="AV199">
            <v>30.5</v>
          </cell>
          <cell r="AW199">
            <v>46.5</v>
          </cell>
          <cell r="AX199">
            <v>61.75</v>
          </cell>
          <cell r="AY199">
            <v>52</v>
          </cell>
          <cell r="AZ199">
            <v>54.25</v>
          </cell>
          <cell r="BA199">
            <v>58.5</v>
          </cell>
          <cell r="BB199">
            <v>44</v>
          </cell>
          <cell r="BC199">
            <v>56.25</v>
          </cell>
          <cell r="BD199">
            <v>41.5</v>
          </cell>
          <cell r="BE199">
            <v>67.25</v>
          </cell>
          <cell r="BF199">
            <v>64.25</v>
          </cell>
          <cell r="BG199">
            <v>72</v>
          </cell>
        </row>
        <row r="200">
          <cell r="AG200">
            <v>37.5</v>
          </cell>
          <cell r="AH200">
            <v>32.25</v>
          </cell>
          <cell r="AI200">
            <v>34.75</v>
          </cell>
          <cell r="AJ200">
            <v>34</v>
          </cell>
          <cell r="AK200">
            <v>32.25</v>
          </cell>
          <cell r="AL200">
            <v>33.5</v>
          </cell>
          <cell r="AM200">
            <v>33.75</v>
          </cell>
          <cell r="AN200">
            <v>33.25</v>
          </cell>
          <cell r="AO200">
            <v>39.25</v>
          </cell>
          <cell r="AP200">
            <v>54.5</v>
          </cell>
          <cell r="AQ200">
            <v>65.5</v>
          </cell>
          <cell r="AR200">
            <v>64.5</v>
          </cell>
          <cell r="AS200">
            <v>58.25</v>
          </cell>
          <cell r="AT200">
            <v>55</v>
          </cell>
          <cell r="AU200">
            <v>36</v>
          </cell>
          <cell r="AV200">
            <v>39.5</v>
          </cell>
          <cell r="AW200">
            <v>57</v>
          </cell>
          <cell r="AX200">
            <v>67.75</v>
          </cell>
          <cell r="AY200">
            <v>62.75</v>
          </cell>
          <cell r="AZ200">
            <v>66</v>
          </cell>
          <cell r="BA200">
            <v>70</v>
          </cell>
          <cell r="BB200">
            <v>57.75</v>
          </cell>
          <cell r="BC200">
            <v>75</v>
          </cell>
          <cell r="BD200">
            <v>52</v>
          </cell>
          <cell r="BE200">
            <v>82.75</v>
          </cell>
          <cell r="BF200">
            <v>77</v>
          </cell>
          <cell r="BG200">
            <v>82.75</v>
          </cell>
        </row>
        <row r="201">
          <cell r="AG201">
            <v>40.357142857142854</v>
          </cell>
          <cell r="AH201">
            <v>36.25</v>
          </cell>
          <cell r="AI201">
            <v>37.5</v>
          </cell>
          <cell r="AJ201">
            <v>39.25</v>
          </cell>
          <cell r="AK201">
            <v>30.25</v>
          </cell>
          <cell r="AL201">
            <v>40</v>
          </cell>
          <cell r="AM201">
            <v>34.75</v>
          </cell>
          <cell r="AN201">
            <v>30.5</v>
          </cell>
          <cell r="AO201">
            <v>44.75</v>
          </cell>
          <cell r="AP201">
            <v>55.5</v>
          </cell>
          <cell r="AQ201">
            <v>68</v>
          </cell>
          <cell r="AR201">
            <v>69.75</v>
          </cell>
          <cell r="AS201">
            <v>58</v>
          </cell>
          <cell r="AT201">
            <v>55.5</v>
          </cell>
          <cell r="AU201">
            <v>35</v>
          </cell>
          <cell r="AV201">
            <v>40.75</v>
          </cell>
          <cell r="AW201">
            <v>57.75</v>
          </cell>
          <cell r="AX201">
            <v>66.25</v>
          </cell>
          <cell r="AY201">
            <v>59.75</v>
          </cell>
          <cell r="AZ201">
            <v>70.25</v>
          </cell>
          <cell r="BA201">
            <v>76</v>
          </cell>
          <cell r="BB201">
            <v>59.75</v>
          </cell>
          <cell r="BC201">
            <v>80.5</v>
          </cell>
          <cell r="BD201">
            <v>51</v>
          </cell>
          <cell r="BE201">
            <v>88.5</v>
          </cell>
          <cell r="BF201">
            <v>80</v>
          </cell>
        </row>
        <row r="202">
          <cell r="AF202">
            <v>32.25</v>
          </cell>
          <cell r="AG202">
            <v>42.5</v>
          </cell>
          <cell r="AH202">
            <v>38.75</v>
          </cell>
          <cell r="AI202">
            <v>39.25</v>
          </cell>
          <cell r="AJ202">
            <v>36.25</v>
          </cell>
          <cell r="AK202">
            <v>33.5</v>
          </cell>
          <cell r="AL202">
            <v>40.75</v>
          </cell>
          <cell r="AM202">
            <v>30.25</v>
          </cell>
          <cell r="AN202">
            <v>27</v>
          </cell>
          <cell r="AO202">
            <v>47.25</v>
          </cell>
          <cell r="AP202">
            <v>56.25</v>
          </cell>
          <cell r="AQ202">
            <v>68.25</v>
          </cell>
          <cell r="AR202">
            <v>70.25</v>
          </cell>
          <cell r="AS202">
            <v>55.5</v>
          </cell>
          <cell r="AT202">
            <v>54.75</v>
          </cell>
          <cell r="AU202">
            <v>43</v>
          </cell>
          <cell r="AV202">
            <v>43.5</v>
          </cell>
          <cell r="AW202">
            <v>58.5</v>
          </cell>
          <cell r="AX202">
            <v>65.75</v>
          </cell>
          <cell r="AY202">
            <v>59.75</v>
          </cell>
          <cell r="AZ202">
            <v>68.75</v>
          </cell>
          <cell r="BA202">
            <v>74.25</v>
          </cell>
          <cell r="BB202">
            <v>60</v>
          </cell>
          <cell r="BC202">
            <v>71.5</v>
          </cell>
          <cell r="BD202">
            <v>50.75</v>
          </cell>
          <cell r="BE202">
            <v>87</v>
          </cell>
          <cell r="BF202">
            <v>76.5</v>
          </cell>
        </row>
        <row r="203">
          <cell r="AF203">
            <v>32.25</v>
          </cell>
          <cell r="AG203">
            <v>43.333333333333336</v>
          </cell>
          <cell r="AH203">
            <v>43.5</v>
          </cell>
          <cell r="AI203">
            <v>43</v>
          </cell>
          <cell r="AJ203">
            <v>37.25</v>
          </cell>
          <cell r="AK203">
            <v>40.75</v>
          </cell>
          <cell r="AL203">
            <v>47.5</v>
          </cell>
          <cell r="AM203">
            <v>37.75</v>
          </cell>
          <cell r="AN203">
            <v>35.75</v>
          </cell>
          <cell r="AO203">
            <v>59.5</v>
          </cell>
          <cell r="AP203">
            <v>69</v>
          </cell>
          <cell r="AQ203">
            <v>82</v>
          </cell>
          <cell r="AR203">
            <v>80.25</v>
          </cell>
          <cell r="AS203">
            <v>65.5</v>
          </cell>
          <cell r="AT203">
            <v>65.75</v>
          </cell>
          <cell r="AU203">
            <v>59.25</v>
          </cell>
          <cell r="AV203">
            <v>57.25</v>
          </cell>
          <cell r="AW203">
            <v>71</v>
          </cell>
          <cell r="AX203">
            <v>76.5</v>
          </cell>
          <cell r="AY203">
            <v>70.5</v>
          </cell>
          <cell r="AZ203">
            <v>78.5</v>
          </cell>
          <cell r="BA203">
            <v>84</v>
          </cell>
          <cell r="BB203">
            <v>72.25</v>
          </cell>
          <cell r="BC203">
            <v>78.5</v>
          </cell>
          <cell r="BD203">
            <v>64.5</v>
          </cell>
          <cell r="BE203">
            <v>99.5</v>
          </cell>
          <cell r="BF203">
            <v>87</v>
          </cell>
        </row>
        <row r="204">
          <cell r="AF204">
            <v>34.215909090909093</v>
          </cell>
          <cell r="AG204">
            <v>42.25</v>
          </cell>
          <cell r="AH204">
            <v>42.25</v>
          </cell>
          <cell r="AI204">
            <v>45.5</v>
          </cell>
          <cell r="AJ204">
            <v>37</v>
          </cell>
          <cell r="AK204">
            <v>45.5</v>
          </cell>
          <cell r="AL204">
            <v>51.75</v>
          </cell>
          <cell r="AM204">
            <v>41.5</v>
          </cell>
          <cell r="AN204">
            <v>36.5</v>
          </cell>
          <cell r="AO204">
            <v>65.75</v>
          </cell>
          <cell r="AP204">
            <v>74.75</v>
          </cell>
          <cell r="AQ204">
            <v>85.75</v>
          </cell>
          <cell r="AR204">
            <v>85</v>
          </cell>
          <cell r="AS204">
            <v>68.25</v>
          </cell>
          <cell r="AT204">
            <v>69.5</v>
          </cell>
          <cell r="AU204">
            <v>69.75</v>
          </cell>
          <cell r="AV204">
            <v>65.25</v>
          </cell>
          <cell r="AW204">
            <v>77.25</v>
          </cell>
          <cell r="AX204">
            <v>81.25</v>
          </cell>
          <cell r="AY204">
            <v>75.5</v>
          </cell>
          <cell r="AZ204">
            <v>82.25</v>
          </cell>
          <cell r="BA204">
            <v>87.75</v>
          </cell>
          <cell r="BB204">
            <v>78</v>
          </cell>
          <cell r="BC204">
            <v>77.5</v>
          </cell>
          <cell r="BD204">
            <v>71</v>
          </cell>
          <cell r="BE204">
            <v>104.5</v>
          </cell>
          <cell r="BF204">
            <v>90.25</v>
          </cell>
        </row>
        <row r="205">
          <cell r="AF205">
            <v>36</v>
          </cell>
          <cell r="AG205">
            <v>37.75</v>
          </cell>
          <cell r="AH205">
            <v>40.75</v>
          </cell>
          <cell r="AI205">
            <v>43.5</v>
          </cell>
          <cell r="AJ205">
            <v>39.75</v>
          </cell>
          <cell r="AK205">
            <v>46.25</v>
          </cell>
          <cell r="AL205">
            <v>45.5</v>
          </cell>
          <cell r="AM205">
            <v>43.75</v>
          </cell>
          <cell r="AN205">
            <v>35.5</v>
          </cell>
          <cell r="AO205">
            <v>63.25</v>
          </cell>
          <cell r="AP205">
            <v>74.25</v>
          </cell>
          <cell r="AQ205">
            <v>83.5</v>
          </cell>
          <cell r="AR205">
            <v>83.5</v>
          </cell>
          <cell r="AS205">
            <v>65.75</v>
          </cell>
          <cell r="AT205">
            <v>68</v>
          </cell>
          <cell r="AU205">
            <v>75.25</v>
          </cell>
          <cell r="AV205">
            <v>68.25</v>
          </cell>
          <cell r="AW205">
            <v>78</v>
          </cell>
          <cell r="AX205">
            <v>80.5</v>
          </cell>
          <cell r="AY205">
            <v>75.75</v>
          </cell>
          <cell r="AZ205">
            <v>80.75</v>
          </cell>
          <cell r="BA205">
            <v>86</v>
          </cell>
          <cell r="BB205">
            <v>78.75</v>
          </cell>
          <cell r="BC205">
            <v>79.25</v>
          </cell>
          <cell r="BD205">
            <v>74.5</v>
          </cell>
          <cell r="BE205">
            <v>97.75</v>
          </cell>
          <cell r="BF205">
            <v>89.25</v>
          </cell>
        </row>
        <row r="206">
          <cell r="AF206">
            <v>37.763157894736842</v>
          </cell>
          <cell r="AG206">
            <v>41</v>
          </cell>
          <cell r="AH206">
            <v>41</v>
          </cell>
          <cell r="AI206">
            <v>44</v>
          </cell>
          <cell r="AJ206">
            <v>45.5</v>
          </cell>
          <cell r="AK206">
            <v>50.25</v>
          </cell>
          <cell r="AL206">
            <v>50</v>
          </cell>
          <cell r="AM206">
            <v>48.75</v>
          </cell>
          <cell r="AN206">
            <v>41.5</v>
          </cell>
          <cell r="AO206">
            <v>65.5</v>
          </cell>
          <cell r="AP206">
            <v>79.25</v>
          </cell>
          <cell r="AQ206">
            <v>89.25</v>
          </cell>
          <cell r="AR206">
            <v>90.5</v>
          </cell>
          <cell r="AS206">
            <v>69</v>
          </cell>
          <cell r="AT206">
            <v>72.75</v>
          </cell>
          <cell r="AU206">
            <v>78.25</v>
          </cell>
          <cell r="AV206">
            <v>74.75</v>
          </cell>
          <cell r="AW206">
            <v>82.5</v>
          </cell>
          <cell r="AX206">
            <v>83.5</v>
          </cell>
          <cell r="AY206">
            <v>77.75</v>
          </cell>
          <cell r="AZ206">
            <v>83</v>
          </cell>
          <cell r="BA206">
            <v>87.5</v>
          </cell>
          <cell r="BB206">
            <v>82.25</v>
          </cell>
          <cell r="BC206">
            <v>83.75</v>
          </cell>
          <cell r="BD206">
            <v>79.75</v>
          </cell>
          <cell r="BE206">
            <v>95.5</v>
          </cell>
          <cell r="BF206">
            <v>91</v>
          </cell>
        </row>
        <row r="207">
          <cell r="AF207">
            <v>40.5</v>
          </cell>
          <cell r="AG207">
            <v>40.5</v>
          </cell>
          <cell r="AH207">
            <v>40.75</v>
          </cell>
          <cell r="AI207">
            <v>44.5</v>
          </cell>
          <cell r="AJ207">
            <v>51.5</v>
          </cell>
          <cell r="AK207">
            <v>52.75</v>
          </cell>
          <cell r="AL207">
            <v>54.25</v>
          </cell>
          <cell r="AM207">
            <v>54</v>
          </cell>
          <cell r="AN207">
            <v>48</v>
          </cell>
          <cell r="AO207">
            <v>67</v>
          </cell>
          <cell r="AP207">
            <v>82.75</v>
          </cell>
          <cell r="AQ207">
            <v>93.5</v>
          </cell>
          <cell r="AR207">
            <v>96.5</v>
          </cell>
          <cell r="AS207">
            <v>72</v>
          </cell>
          <cell r="AT207">
            <v>77.5</v>
          </cell>
          <cell r="AU207">
            <v>81</v>
          </cell>
          <cell r="AV207">
            <v>81.5</v>
          </cell>
          <cell r="AW207">
            <v>87</v>
          </cell>
          <cell r="AX207">
            <v>86.25</v>
          </cell>
          <cell r="AY207">
            <v>79.75</v>
          </cell>
          <cell r="AZ207">
            <v>84.75</v>
          </cell>
          <cell r="BA207">
            <v>88.75</v>
          </cell>
          <cell r="BB207">
            <v>85.5</v>
          </cell>
          <cell r="BC207">
            <v>88.25</v>
          </cell>
          <cell r="BD207">
            <v>85.5</v>
          </cell>
          <cell r="BE207">
            <v>92</v>
          </cell>
          <cell r="BF207">
            <v>92.75</v>
          </cell>
        </row>
        <row r="208">
          <cell r="AF208">
            <v>37.704545454545453</v>
          </cell>
          <cell r="AG208">
            <v>39.75</v>
          </cell>
          <cell r="AH208">
            <v>44.25</v>
          </cell>
          <cell r="AI208">
            <v>36.25</v>
          </cell>
          <cell r="AJ208">
            <v>46.25</v>
          </cell>
          <cell r="AK208">
            <v>43.5</v>
          </cell>
          <cell r="AL208">
            <v>48.75</v>
          </cell>
          <cell r="AM208">
            <v>34.25</v>
          </cell>
          <cell r="AN208">
            <v>26.5</v>
          </cell>
          <cell r="AO208">
            <v>29.75</v>
          </cell>
          <cell r="AP208">
            <v>48.75</v>
          </cell>
          <cell r="AQ208">
            <v>39.5</v>
          </cell>
          <cell r="AR208">
            <v>44.75</v>
          </cell>
          <cell r="AS208">
            <v>40</v>
          </cell>
          <cell r="AT208">
            <v>37.75</v>
          </cell>
          <cell r="AU208">
            <v>42.5</v>
          </cell>
          <cell r="AV208">
            <v>45.75</v>
          </cell>
          <cell r="AW208">
            <v>51.5</v>
          </cell>
          <cell r="AX208">
            <v>51</v>
          </cell>
          <cell r="AY208">
            <v>42.5</v>
          </cell>
          <cell r="AZ208">
            <v>45.25</v>
          </cell>
          <cell r="BA208">
            <v>49.75</v>
          </cell>
          <cell r="BB208">
            <v>44.75</v>
          </cell>
          <cell r="BC208">
            <v>45.75</v>
          </cell>
          <cell r="BD208">
            <v>46.75</v>
          </cell>
          <cell r="BE208">
            <v>50.75</v>
          </cell>
          <cell r="BF208">
            <v>50.75</v>
          </cell>
        </row>
        <row r="209">
          <cell r="AF209">
            <v>36</v>
          </cell>
          <cell r="AG209">
            <v>39</v>
          </cell>
          <cell r="AH209">
            <v>36.25</v>
          </cell>
          <cell r="AI209">
            <v>34</v>
          </cell>
          <cell r="AJ209">
            <v>36.75</v>
          </cell>
          <cell r="AK209">
            <v>32.75</v>
          </cell>
          <cell r="AL209">
            <v>36.25</v>
          </cell>
          <cell r="AM209">
            <v>35</v>
          </cell>
          <cell r="AN209">
            <v>34.75</v>
          </cell>
          <cell r="AO209">
            <v>34.25</v>
          </cell>
          <cell r="AP209">
            <v>33.75</v>
          </cell>
          <cell r="AQ209">
            <v>33.25</v>
          </cell>
          <cell r="AR209">
            <v>38.75</v>
          </cell>
          <cell r="AS209">
            <v>39.25</v>
          </cell>
          <cell r="AT209">
            <v>33.25</v>
          </cell>
          <cell r="AU209">
            <v>35.75</v>
          </cell>
          <cell r="AV209">
            <v>41.75</v>
          </cell>
          <cell r="AW209">
            <v>47.25</v>
          </cell>
          <cell r="AX209">
            <v>44</v>
          </cell>
          <cell r="AY209">
            <v>36</v>
          </cell>
          <cell r="AZ209">
            <v>37.5</v>
          </cell>
          <cell r="BA209">
            <v>41.25</v>
          </cell>
          <cell r="BB209">
            <v>37.75</v>
          </cell>
          <cell r="BC209">
            <v>39.75</v>
          </cell>
          <cell r="BD209">
            <v>41.75</v>
          </cell>
          <cell r="BE209">
            <v>45</v>
          </cell>
          <cell r="BF209">
            <v>43.5</v>
          </cell>
        </row>
      </sheetData>
      <sheetData sheetId="49"/>
      <sheetData sheetId="50"/>
      <sheetData sheetId="51"/>
      <sheetData sheetId="52" refreshError="1"/>
      <sheetData sheetId="53" refreshError="1"/>
      <sheetData sheetId="5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Prices"/>
      <sheetName val="Weekly Data"/>
      <sheetName val="Veg Oils"/>
      <sheetName val="Veg Oil Data"/>
      <sheetName val="Sheet1"/>
    </sheetNames>
    <sheetDataSet>
      <sheetData sheetId="0">
        <row r="215">
          <cell r="D215">
            <v>33.292500000000004</v>
          </cell>
        </row>
        <row r="307">
          <cell r="D307">
            <v>48.585573661426288</v>
          </cell>
        </row>
        <row r="308">
          <cell r="D308">
            <v>49.206002141717924</v>
          </cell>
        </row>
        <row r="309">
          <cell r="D309">
            <v>49.166804039743617</v>
          </cell>
        </row>
        <row r="310">
          <cell r="D310">
            <v>49.268600049530924</v>
          </cell>
        </row>
        <row r="311">
          <cell r="D311">
            <v>48.162306128958747</v>
          </cell>
        </row>
        <row r="312">
          <cell r="D312">
            <v>47.550407502947088</v>
          </cell>
        </row>
        <row r="313">
          <cell r="D313">
            <v>48.925001367053994</v>
          </cell>
        </row>
        <row r="314">
          <cell r="D314">
            <v>45.214199202551832</v>
          </cell>
        </row>
        <row r="315">
          <cell r="D315">
            <v>45.521136956026417</v>
          </cell>
        </row>
        <row r="316">
          <cell r="D316">
            <v>46.506722920938699</v>
          </cell>
        </row>
        <row r="317">
          <cell r="D317">
            <v>48.879648779062272</v>
          </cell>
        </row>
        <row r="318">
          <cell r="D318">
            <v>51.245428571428562</v>
          </cell>
        </row>
        <row r="319">
          <cell r="D319">
            <v>53.248988393711542</v>
          </cell>
        </row>
        <row r="320">
          <cell r="D320">
            <v>53.724384388243323</v>
          </cell>
        </row>
        <row r="321">
          <cell r="D321">
            <v>53.272947456387989</v>
          </cell>
        </row>
        <row r="322">
          <cell r="D322">
            <v>52.723748630865678</v>
          </cell>
        </row>
        <row r="323">
          <cell r="D323">
            <v>50.981243545226683</v>
          </cell>
        </row>
        <row r="324">
          <cell r="D324">
            <v>47.178425031101241</v>
          </cell>
        </row>
        <row r="325">
          <cell r="D325">
            <v>44.06444004034698</v>
          </cell>
        </row>
        <row r="326">
          <cell r="D326">
            <v>43.056067682248447</v>
          </cell>
        </row>
        <row r="327">
          <cell r="D327">
            <v>40.841929896799236</v>
          </cell>
        </row>
        <row r="328">
          <cell r="D328">
            <v>41.294705356553678</v>
          </cell>
        </row>
        <row r="329">
          <cell r="D329">
            <v>45.353287469928702</v>
          </cell>
        </row>
        <row r="330">
          <cell r="D330">
            <v>49.046309724361137</v>
          </cell>
        </row>
        <row r="331">
          <cell r="D331">
            <v>48.920447388959332</v>
          </cell>
        </row>
        <row r="332">
          <cell r="D332">
            <v>47.720433327852476</v>
          </cell>
        </row>
        <row r="333">
          <cell r="D333">
            <v>48.295728038887283</v>
          </cell>
        </row>
        <row r="334">
          <cell r="D334">
            <v>39.219184405559346</v>
          </cell>
        </row>
        <row r="335">
          <cell r="D335">
            <v>37.491163598025565</v>
          </cell>
        </row>
        <row r="336">
          <cell r="D336">
            <v>36.59176836493355</v>
          </cell>
        </row>
        <row r="337">
          <cell r="D337">
            <v>33.277158167090342</v>
          </cell>
        </row>
        <row r="338">
          <cell r="D338">
            <v>40.784296145149526</v>
          </cell>
        </row>
        <row r="339">
          <cell r="D339">
            <v>39.706765934256701</v>
          </cell>
        </row>
        <row r="340">
          <cell r="D340">
            <v>34.769986255090693</v>
          </cell>
        </row>
        <row r="341">
          <cell r="D341">
            <v>36.338506076734014</v>
          </cell>
        </row>
        <row r="342">
          <cell r="D342">
            <v>35.883547908487706</v>
          </cell>
        </row>
        <row r="343">
          <cell r="D343">
            <v>41.148242718497187</v>
          </cell>
        </row>
        <row r="344">
          <cell r="D344">
            <v>45.69353903251875</v>
          </cell>
        </row>
        <row r="345">
          <cell r="D345">
            <v>53.204005761191084</v>
          </cell>
        </row>
        <row r="346">
          <cell r="D346">
            <v>51.020840616041703</v>
          </cell>
        </row>
        <row r="347">
          <cell r="D347">
            <v>40.257591677489145</v>
          </cell>
        </row>
        <row r="348">
          <cell r="D348">
            <v>37.472191442312003</v>
          </cell>
        </row>
        <row r="349">
          <cell r="D349">
            <v>33.532565565095908</v>
          </cell>
        </row>
        <row r="350">
          <cell r="D350">
            <v>36.387318736073354</v>
          </cell>
        </row>
        <row r="351">
          <cell r="D351">
            <v>31.276173474413103</v>
          </cell>
        </row>
        <row r="352">
          <cell r="D352">
            <v>31.341476271063065</v>
          </cell>
        </row>
        <row r="353">
          <cell r="D353">
            <v>39.279265879639603</v>
          </cell>
        </row>
        <row r="354">
          <cell r="D354">
            <v>45.171043227163771</v>
          </cell>
        </row>
        <row r="355">
          <cell r="D355">
            <v>49.502888297810017</v>
          </cell>
        </row>
        <row r="356">
          <cell r="D356">
            <v>52.230118574199025</v>
          </cell>
        </row>
        <row r="357">
          <cell r="D357">
            <v>55.015706321058694</v>
          </cell>
        </row>
        <row r="358">
          <cell r="D358">
            <v>47.566947466974192</v>
          </cell>
        </row>
        <row r="359">
          <cell r="D359">
            <v>35.769097788088395</v>
          </cell>
        </row>
        <row r="360">
          <cell r="D360">
            <v>34.020261932753726</v>
          </cell>
        </row>
        <row r="361">
          <cell r="D361">
            <v>32.919540665898829</v>
          </cell>
        </row>
        <row r="362">
          <cell r="D362">
            <v>40.959040288617743</v>
          </cell>
        </row>
        <row r="363">
          <cell r="D363">
            <v>43.065141068593903</v>
          </cell>
        </row>
        <row r="364">
          <cell r="D364">
            <v>40.131373820530314</v>
          </cell>
        </row>
        <row r="365">
          <cell r="D365">
            <v>50.138273468722161</v>
          </cell>
        </row>
        <row r="366">
          <cell r="D366">
            <v>57.059997110221865</v>
          </cell>
        </row>
        <row r="367">
          <cell r="D367">
            <v>56.447898527311089</v>
          </cell>
        </row>
        <row r="368">
          <cell r="D368">
            <v>61.28990698877211</v>
          </cell>
        </row>
        <row r="369">
          <cell r="D369">
            <v>67.793423875249033</v>
          </cell>
        </row>
        <row r="370">
          <cell r="D370">
            <v>64.497515654108213</v>
          </cell>
        </row>
        <row r="371">
          <cell r="D371">
            <v>52.285267558132112</v>
          </cell>
        </row>
        <row r="372">
          <cell r="D372">
            <v>47.643128729815423</v>
          </cell>
        </row>
        <row r="373">
          <cell r="D373">
            <v>42.624601992543646</v>
          </cell>
        </row>
        <row r="374">
          <cell r="D374">
            <v>47.612931851064083</v>
          </cell>
        </row>
        <row r="375">
          <cell r="D375">
            <v>44.175881188025343</v>
          </cell>
        </row>
        <row r="376">
          <cell r="D376">
            <v>35.524819064771307</v>
          </cell>
        </row>
        <row r="377">
          <cell r="D377">
            <v>44.821151218776222</v>
          </cell>
        </row>
        <row r="378">
          <cell r="D378">
            <v>50.993116145813332</v>
          </cell>
        </row>
        <row r="379">
          <cell r="D379">
            <v>56.813060728232898</v>
          </cell>
        </row>
        <row r="380">
          <cell r="D380">
            <v>61.511176397165492</v>
          </cell>
        </row>
        <row r="381">
          <cell r="D381">
            <v>68.003707152306703</v>
          </cell>
        </row>
        <row r="382">
          <cell r="D382">
            <v>47.892879810267615</v>
          </cell>
        </row>
        <row r="383">
          <cell r="D383">
            <v>50.227219739582679</v>
          </cell>
        </row>
        <row r="384">
          <cell r="D384">
            <v>49.92887720140682</v>
          </cell>
        </row>
        <row r="385">
          <cell r="D385">
            <v>41.940351599876728</v>
          </cell>
        </row>
        <row r="386">
          <cell r="D386">
            <v>49.400300760581985</v>
          </cell>
        </row>
        <row r="387">
          <cell r="D387">
            <v>39.008743081257087</v>
          </cell>
        </row>
        <row r="388">
          <cell r="D388">
            <v>28.967708707136683</v>
          </cell>
        </row>
        <row r="389">
          <cell r="D389">
            <v>39.034117946989006</v>
          </cell>
        </row>
        <row r="390">
          <cell r="D390">
            <v>40.597368744198754</v>
          </cell>
        </row>
        <row r="391">
          <cell r="D391">
            <v>42.449479125189207</v>
          </cell>
        </row>
        <row r="392">
          <cell r="D392">
            <v>48.039404075185878</v>
          </cell>
        </row>
        <row r="393">
          <cell r="D393">
            <v>55.428732883631476</v>
          </cell>
        </row>
        <row r="394">
          <cell r="D394">
            <v>32.881948488005463</v>
          </cell>
        </row>
        <row r="395">
          <cell r="D395">
            <v>43.364886187824226</v>
          </cell>
        </row>
        <row r="396">
          <cell r="D396">
            <v>46.062801111113615</v>
          </cell>
        </row>
        <row r="397">
          <cell r="D397">
            <v>44.326560309876015</v>
          </cell>
        </row>
        <row r="398">
          <cell r="D398">
            <v>50.224929684626858</v>
          </cell>
        </row>
        <row r="399">
          <cell r="D399">
            <v>49.107715135063223</v>
          </cell>
        </row>
        <row r="400">
          <cell r="D400">
            <v>45.716421603448381</v>
          </cell>
        </row>
        <row r="401">
          <cell r="D401">
            <v>60.074670957696497</v>
          </cell>
        </row>
        <row r="402">
          <cell r="D402">
            <v>68.191221555253151</v>
          </cell>
        </row>
        <row r="403">
          <cell r="D403">
            <v>70.675513342904708</v>
          </cell>
        </row>
        <row r="404">
          <cell r="D404">
            <v>71.273809515355936</v>
          </cell>
        </row>
        <row r="405">
          <cell r="D405">
            <v>73.729774107530488</v>
          </cell>
        </row>
        <row r="406">
          <cell r="D406">
            <v>34.467729223950037</v>
          </cell>
        </row>
        <row r="407">
          <cell r="D407">
            <v>40.684878618275931</v>
          </cell>
        </row>
        <row r="408">
          <cell r="D408">
            <v>38.916464774171075</v>
          </cell>
        </row>
        <row r="409">
          <cell r="D409">
            <v>33.960788218337775</v>
          </cell>
        </row>
        <row r="410">
          <cell r="D410">
            <v>63.33919375701381</v>
          </cell>
        </row>
        <row r="411">
          <cell r="D411">
            <v>63.700093621773149</v>
          </cell>
        </row>
        <row r="412">
          <cell r="D412">
            <v>57.689738209230242</v>
          </cell>
        </row>
        <row r="413">
          <cell r="D413">
            <v>70.648187135824415</v>
          </cell>
        </row>
        <row r="414">
          <cell r="D414">
            <v>78.3035472670649</v>
          </cell>
        </row>
        <row r="415">
          <cell r="D415">
            <v>83.362708749425778</v>
          </cell>
        </row>
        <row r="416">
          <cell r="D416">
            <v>86.491374541535137</v>
          </cell>
        </row>
        <row r="417">
          <cell r="D417">
            <v>91.183639164150179</v>
          </cell>
        </row>
        <row r="418">
          <cell r="D418">
            <v>56.798917546258075</v>
          </cell>
        </row>
        <row r="419">
          <cell r="D419">
            <v>41.121811864825716</v>
          </cell>
        </row>
        <row r="420">
          <cell r="D420">
            <v>40.233766528339544</v>
          </cell>
        </row>
        <row r="421">
          <cell r="D421">
            <v>35.557434103103404</v>
          </cell>
        </row>
        <row r="422">
          <cell r="D422">
            <v>76.279286871213756</v>
          </cell>
        </row>
        <row r="423">
          <cell r="D423">
            <v>70.218958265367576</v>
          </cell>
        </row>
        <row r="424">
          <cell r="D424">
            <v>64.050495206922932</v>
          </cell>
        </row>
        <row r="425">
          <cell r="D425">
            <v>78.120230603125052</v>
          </cell>
        </row>
        <row r="426">
          <cell r="D426">
            <v>83.944142622288041</v>
          </cell>
        </row>
        <row r="427">
          <cell r="D427">
            <v>87.567449306495575</v>
          </cell>
        </row>
        <row r="428">
          <cell r="D428">
            <v>91.296574612361624</v>
          </cell>
        </row>
        <row r="429">
          <cell r="D429">
            <v>96.89573140489405</v>
          </cell>
        </row>
        <row r="430">
          <cell r="D430">
            <v>39.838983324019814</v>
          </cell>
        </row>
        <row r="431">
          <cell r="D431">
            <v>36.520637178017346</v>
          </cell>
        </row>
        <row r="432">
          <cell r="D432">
            <v>38.092933684266278</v>
          </cell>
        </row>
        <row r="433">
          <cell r="D433">
            <v>34.49496743072956</v>
          </cell>
        </row>
        <row r="434">
          <cell r="D434">
            <v>72.79066077209049</v>
          </cell>
        </row>
        <row r="435">
          <cell r="D435">
            <v>73.664284246147787</v>
          </cell>
        </row>
        <row r="436">
          <cell r="D436">
            <v>68.886963435976611</v>
          </cell>
        </row>
        <row r="437">
          <cell r="D437">
            <v>81.58550271571805</v>
          </cell>
        </row>
        <row r="438">
          <cell r="D438">
            <v>89.083452190573695</v>
          </cell>
        </row>
        <row r="439">
          <cell r="D439">
            <v>93.802699165449255</v>
          </cell>
        </row>
        <row r="440">
          <cell r="D440">
            <v>98.923453774069927</v>
          </cell>
        </row>
        <row r="441">
          <cell r="D441">
            <v>106.35168589687829</v>
          </cell>
        </row>
        <row r="442">
          <cell r="D442">
            <v>50.889123783385941</v>
          </cell>
        </row>
        <row r="443">
          <cell r="D443">
            <v>44.69859078324091</v>
          </cell>
        </row>
        <row r="444">
          <cell r="D444">
            <v>43.474904199993716</v>
          </cell>
        </row>
        <row r="445">
          <cell r="D445">
            <v>34.591471337880947</v>
          </cell>
        </row>
        <row r="446">
          <cell r="D446">
            <v>53.144656327437815</v>
          </cell>
        </row>
        <row r="447">
          <cell r="D447">
            <v>49.238240004047292</v>
          </cell>
        </row>
        <row r="448">
          <cell r="D448">
            <v>41.925512876282006</v>
          </cell>
        </row>
        <row r="449">
          <cell r="D449">
            <v>54.781923867732274</v>
          </cell>
        </row>
        <row r="450">
          <cell r="D450">
            <v>60.920592867618161</v>
          </cell>
        </row>
        <row r="451">
          <cell r="D451">
            <v>64.636512526243592</v>
          </cell>
        </row>
        <row r="452">
          <cell r="D452">
            <v>67.705262986891526</v>
          </cell>
        </row>
        <row r="453">
          <cell r="D453">
            <v>73.120525097218149</v>
          </cell>
        </row>
        <row r="454">
          <cell r="D454">
            <v>41.419188472802979</v>
          </cell>
        </row>
        <row r="455">
          <cell r="D455">
            <v>43.262789455709296</v>
          </cell>
        </row>
        <row r="456">
          <cell r="D456">
            <v>42.27727555947007</v>
          </cell>
        </row>
        <row r="457">
          <cell r="D457">
            <v>35.686582480873057</v>
          </cell>
        </row>
        <row r="458">
          <cell r="D458">
            <v>59.424407554464011</v>
          </cell>
        </row>
        <row r="459">
          <cell r="D459">
            <v>56.390042291516473</v>
          </cell>
        </row>
        <row r="460">
          <cell r="D460">
            <v>49.213066636889344</v>
          </cell>
        </row>
        <row r="461">
          <cell r="D461">
            <v>62.437986918408633</v>
          </cell>
        </row>
        <row r="462">
          <cell r="D462">
            <v>69.111639117492231</v>
          </cell>
        </row>
        <row r="463">
          <cell r="D463">
            <v>73.824586079493116</v>
          </cell>
        </row>
        <row r="464">
          <cell r="D464">
            <v>78.205351323673938</v>
          </cell>
        </row>
        <row r="465">
          <cell r="D465">
            <v>85.251582652695248</v>
          </cell>
        </row>
        <row r="466">
          <cell r="D466">
            <v>44.454751938067304</v>
          </cell>
        </row>
        <row r="467">
          <cell r="D467">
            <v>42.274572463195916</v>
          </cell>
        </row>
        <row r="468">
          <cell r="D468">
            <v>37.23926808618176</v>
          </cell>
        </row>
        <row r="469">
          <cell r="D469">
            <v>24.095701818948456</v>
          </cell>
        </row>
        <row r="470">
          <cell r="D470">
            <v>39.686350623331457</v>
          </cell>
        </row>
        <row r="471">
          <cell r="D471">
            <v>34.22119578430928</v>
          </cell>
        </row>
        <row r="472">
          <cell r="D472">
            <v>35.616242147392342</v>
          </cell>
        </row>
        <row r="473">
          <cell r="D473">
            <v>53.831062987815841</v>
          </cell>
        </row>
        <row r="474">
          <cell r="D474">
            <v>66.975325472189482</v>
          </cell>
        </row>
        <row r="475">
          <cell r="D475">
            <v>79.038477183431525</v>
          </cell>
        </row>
        <row r="476">
          <cell r="D476">
            <v>80.197784153115052</v>
          </cell>
        </row>
        <row r="477">
          <cell r="D477">
            <v>84.054480480277959</v>
          </cell>
        </row>
        <row r="478">
          <cell r="D478">
            <v>43.97583042155874</v>
          </cell>
        </row>
        <row r="479">
          <cell r="D479">
            <v>38.259086965428288</v>
          </cell>
        </row>
        <row r="480">
          <cell r="D480">
            <v>33.590827858738763</v>
          </cell>
        </row>
        <row r="481">
          <cell r="D481">
            <v>14.334042031814977</v>
          </cell>
        </row>
        <row r="482">
          <cell r="D482">
            <v>25.399299160547184</v>
          </cell>
        </row>
        <row r="483">
          <cell r="D483">
            <v>18.084106171571083</v>
          </cell>
        </row>
        <row r="484">
          <cell r="D484">
            <v>17.128645575695153</v>
          </cell>
        </row>
        <row r="485">
          <cell r="D485">
            <v>35.951238529430405</v>
          </cell>
        </row>
        <row r="486">
          <cell r="D486">
            <v>48.55120330825455</v>
          </cell>
        </row>
        <row r="487">
          <cell r="D487">
            <v>59.456464162925883</v>
          </cell>
        </row>
        <row r="488">
          <cell r="D488">
            <v>66.951829661650194</v>
          </cell>
        </row>
        <row r="489">
          <cell r="D489">
            <v>77.345659355244763</v>
          </cell>
        </row>
        <row r="490">
          <cell r="D490">
            <v>42.12083021968234</v>
          </cell>
        </row>
        <row r="491">
          <cell r="D491">
            <v>40.378054008695038</v>
          </cell>
        </row>
        <row r="492">
          <cell r="D492">
            <v>40.51186958214354</v>
          </cell>
        </row>
        <row r="493">
          <cell r="D493">
            <v>32.834003859980051</v>
          </cell>
        </row>
        <row r="494">
          <cell r="D494">
            <v>52.393070249004467</v>
          </cell>
        </row>
        <row r="495">
          <cell r="D495">
            <v>50.259191447573528</v>
          </cell>
        </row>
        <row r="496">
          <cell r="D496">
            <v>36.87485829528147</v>
          </cell>
        </row>
        <row r="497">
          <cell r="D497">
            <v>47.504743565496526</v>
          </cell>
        </row>
        <row r="498">
          <cell r="D498">
            <v>50.43550567635949</v>
          </cell>
        </row>
        <row r="499">
          <cell r="D499">
            <v>59.855114768692637</v>
          </cell>
        </row>
        <row r="500">
          <cell r="D500">
            <v>65.14226517064543</v>
          </cell>
        </row>
        <row r="501">
          <cell r="D501">
            <v>73.467318991185678</v>
          </cell>
        </row>
        <row r="502">
          <cell r="D502">
            <v>39.005642926885479</v>
          </cell>
        </row>
        <row r="503">
          <cell r="D503">
            <v>37.872004352878101</v>
          </cell>
        </row>
        <row r="504">
          <cell r="D504">
            <v>45.621851259330242</v>
          </cell>
        </row>
        <row r="505">
          <cell r="D505">
            <v>42.43315683171955</v>
          </cell>
        </row>
        <row r="506">
          <cell r="D506">
            <v>57.136903766458573</v>
          </cell>
        </row>
        <row r="507">
          <cell r="D507">
            <v>51.170407861919031</v>
          </cell>
        </row>
        <row r="508">
          <cell r="D508">
            <v>43.952886586005668</v>
          </cell>
        </row>
        <row r="509">
          <cell r="D509">
            <v>58.121131169891108</v>
          </cell>
        </row>
        <row r="510">
          <cell r="D510">
            <v>65.724847237600457</v>
          </cell>
        </row>
        <row r="511">
          <cell r="D511">
            <v>74.120628873368616</v>
          </cell>
        </row>
        <row r="512">
          <cell r="D512">
            <v>77.67154709969185</v>
          </cell>
        </row>
        <row r="513">
          <cell r="D513">
            <v>83.961030139605697</v>
          </cell>
        </row>
        <row r="514">
          <cell r="D514">
            <v>50.045151310172812</v>
          </cell>
        </row>
        <row r="515">
          <cell r="D515">
            <v>45.451759596741759</v>
          </cell>
        </row>
        <row r="516">
          <cell r="D516">
            <v>53.926996658461647</v>
          </cell>
        </row>
        <row r="517">
          <cell r="D517">
            <v>41.245418087474327</v>
          </cell>
        </row>
        <row r="518">
          <cell r="D518">
            <v>60.048757661412168</v>
          </cell>
        </row>
        <row r="519">
          <cell r="D519">
            <v>51.389756368888385</v>
          </cell>
        </row>
        <row r="520">
          <cell r="D520">
            <v>43.371020278369052</v>
          </cell>
        </row>
        <row r="521">
          <cell r="D521">
            <v>56.828243391430476</v>
          </cell>
        </row>
        <row r="522">
          <cell r="D522">
            <v>64.057285427029839</v>
          </cell>
        </row>
        <row r="523">
          <cell r="D523">
            <v>73.094912317158361</v>
          </cell>
        </row>
        <row r="524">
          <cell r="D524">
            <v>75.514883043163849</v>
          </cell>
        </row>
        <row r="525">
          <cell r="D525">
            <v>81.146616741597924</v>
          </cell>
        </row>
        <row r="526">
          <cell r="D526">
            <v>44.566576737665926</v>
          </cell>
        </row>
        <row r="527">
          <cell r="D527">
            <v>40.644740441257817</v>
          </cell>
        </row>
        <row r="528">
          <cell r="D528">
            <v>49.433632180324857</v>
          </cell>
        </row>
        <row r="529">
          <cell r="D529">
            <v>46.028085309463968</v>
          </cell>
        </row>
        <row r="530">
          <cell r="D530">
            <v>65.410733347219619</v>
          </cell>
        </row>
        <row r="531">
          <cell r="D531">
            <v>63.496844166185554</v>
          </cell>
        </row>
        <row r="532">
          <cell r="D532">
            <v>52.820024239270026</v>
          </cell>
        </row>
        <row r="533">
          <cell r="D533">
            <v>64.675216518228495</v>
          </cell>
        </row>
        <row r="534">
          <cell r="D534">
            <v>69.714397238946063</v>
          </cell>
        </row>
        <row r="535">
          <cell r="D535">
            <v>77.132169962205225</v>
          </cell>
        </row>
        <row r="536">
          <cell r="D536">
            <v>79.551697962139755</v>
          </cell>
        </row>
        <row r="537">
          <cell r="D537">
            <v>84.81154402491417</v>
          </cell>
        </row>
        <row r="538">
          <cell r="D538">
            <v>45.744125877647569</v>
          </cell>
        </row>
        <row r="539">
          <cell r="D539">
            <v>40.155884711146001</v>
          </cell>
        </row>
        <row r="540">
          <cell r="D540">
            <v>52.751775774810952</v>
          </cell>
        </row>
        <row r="541">
          <cell r="D541">
            <v>49.539616257765367</v>
          </cell>
        </row>
        <row r="542">
          <cell r="D542">
            <v>70.094467263765978</v>
          </cell>
        </row>
        <row r="543">
          <cell r="D543">
            <v>71.175518586783767</v>
          </cell>
        </row>
        <row r="544">
          <cell r="D544">
            <v>58.922445929393</v>
          </cell>
        </row>
        <row r="545">
          <cell r="D545">
            <v>69.907598521273101</v>
          </cell>
        </row>
        <row r="546">
          <cell r="D546">
            <v>74.169241358975782</v>
          </cell>
        </row>
        <row r="547">
          <cell r="D547">
            <v>81.506655090192922</v>
          </cell>
        </row>
        <row r="548">
          <cell r="D548">
            <v>83.361820683508526</v>
          </cell>
        </row>
        <row r="549">
          <cell r="D549">
            <v>88.148265265038319</v>
          </cell>
        </row>
        <row r="550">
          <cell r="D550">
            <v>49.897668664815328</v>
          </cell>
        </row>
        <row r="551">
          <cell r="D551">
            <v>43.676733048022761</v>
          </cell>
        </row>
        <row r="552">
          <cell r="D552">
            <v>38.651251681591198</v>
          </cell>
        </row>
        <row r="553">
          <cell r="D553">
            <v>32.684408481101428</v>
          </cell>
        </row>
        <row r="554">
          <cell r="D554">
            <v>55.079432387748703</v>
          </cell>
        </row>
        <row r="555">
          <cell r="D555">
            <v>52.339223590761343</v>
          </cell>
        </row>
        <row r="556">
          <cell r="D556">
            <v>43.521450546880843</v>
          </cell>
        </row>
        <row r="557">
          <cell r="D557">
            <v>58.229492355776181</v>
          </cell>
        </row>
        <row r="558">
          <cell r="D558">
            <v>65.867781309711788</v>
          </cell>
        </row>
        <row r="559">
          <cell r="D559">
            <v>75.497582709490615</v>
          </cell>
        </row>
        <row r="560">
          <cell r="D560">
            <v>79.720221877796035</v>
          </cell>
        </row>
        <row r="561">
          <cell r="D561">
            <v>86.937773831240136</v>
          </cell>
        </row>
        <row r="562">
          <cell r="D562">
            <v>46.285663048564821</v>
          </cell>
        </row>
        <row r="563">
          <cell r="D563">
            <v>41.821128421228075</v>
          </cell>
        </row>
        <row r="564">
          <cell r="D564">
            <v>51.223368409959505</v>
          </cell>
        </row>
        <row r="565">
          <cell r="D565">
            <v>47.945512071810235</v>
          </cell>
        </row>
        <row r="566">
          <cell r="D566">
            <v>76.110807412809493</v>
          </cell>
        </row>
        <row r="567">
          <cell r="D567">
            <v>75.588102450548604</v>
          </cell>
        </row>
        <row r="568">
          <cell r="D568">
            <v>55.918017517057379</v>
          </cell>
        </row>
        <row r="569">
          <cell r="D569">
            <v>64.714575059566656</v>
          </cell>
        </row>
        <row r="570">
          <cell r="D570">
            <v>64.670659648549204</v>
          </cell>
        </row>
        <row r="571">
          <cell r="D571">
            <v>75.717768933907479</v>
          </cell>
        </row>
        <row r="572">
          <cell r="D572">
            <v>80.853155022421447</v>
          </cell>
        </row>
        <row r="573">
          <cell r="D573">
            <v>89.109148950521444</v>
          </cell>
        </row>
        <row r="574">
          <cell r="D574">
            <v>46.956520274241257</v>
          </cell>
        </row>
        <row r="575">
          <cell r="D575">
            <v>43.801825184252174</v>
          </cell>
        </row>
        <row r="576">
          <cell r="D576">
            <v>40.559447224910961</v>
          </cell>
        </row>
        <row r="577">
          <cell r="D577">
            <v>30.397824309431375</v>
          </cell>
        </row>
        <row r="578">
          <cell r="D578">
            <v>48.789853563396917</v>
          </cell>
        </row>
        <row r="579">
          <cell r="D579">
            <v>42.491531885100819</v>
          </cell>
        </row>
        <row r="580">
          <cell r="D580">
            <v>31.798134365188393</v>
          </cell>
        </row>
        <row r="581">
          <cell r="D581">
            <v>47.586625736263073</v>
          </cell>
        </row>
        <row r="582">
          <cell r="D582">
            <v>55.199785754548969</v>
          </cell>
        </row>
        <row r="583">
          <cell r="D583">
            <v>67.726794657170828</v>
          </cell>
        </row>
        <row r="584">
          <cell r="D584">
            <v>74.180389937012023</v>
          </cell>
        </row>
        <row r="585">
          <cell r="D585">
            <v>83.954682585980422</v>
          </cell>
        </row>
        <row r="586">
          <cell r="D586">
            <v>46.409877753050104</v>
          </cell>
        </row>
        <row r="587">
          <cell r="D587">
            <v>44.211164568924957</v>
          </cell>
        </row>
        <row r="588">
          <cell r="D588">
            <v>61.882632177154122</v>
          </cell>
        </row>
        <row r="589">
          <cell r="D589">
            <v>57.132686880284282</v>
          </cell>
        </row>
        <row r="590">
          <cell r="D590">
            <v>82.282688682293653</v>
          </cell>
        </row>
        <row r="591">
          <cell r="D591">
            <v>81.412020459899367</v>
          </cell>
        </row>
        <row r="592">
          <cell r="D592">
            <v>69.2233830915049</v>
          </cell>
        </row>
        <row r="593">
          <cell r="D593">
            <v>83.628133932240928</v>
          </cell>
        </row>
        <row r="594">
          <cell r="D594">
            <v>90.098911764949264</v>
          </cell>
        </row>
        <row r="595">
          <cell r="D595">
            <v>92.976236229265226</v>
          </cell>
        </row>
        <row r="596">
          <cell r="D596">
            <v>90.016102335180761</v>
          </cell>
        </row>
        <row r="597">
          <cell r="D597">
            <v>89.669464468248677</v>
          </cell>
        </row>
        <row r="598">
          <cell r="D598">
            <v>49.000330632954586</v>
          </cell>
        </row>
        <row r="599">
          <cell r="D599">
            <v>46.440199393201034</v>
          </cell>
        </row>
        <row r="600">
          <cell r="D600">
            <v>50.50591270213684</v>
          </cell>
        </row>
        <row r="601">
          <cell r="D601">
            <v>51.739200465067469</v>
          </cell>
        </row>
        <row r="602">
          <cell r="D602">
            <v>73.933016170171754</v>
          </cell>
        </row>
        <row r="603">
          <cell r="D603">
            <v>69.932792153249579</v>
          </cell>
        </row>
        <row r="604">
          <cell r="D604">
            <v>55.383966857137445</v>
          </cell>
        </row>
        <row r="605">
          <cell r="D605">
            <v>67.882056992884259</v>
          </cell>
        </row>
        <row r="606">
          <cell r="D606">
            <v>72.281282548444452</v>
          </cell>
        </row>
        <row r="607">
          <cell r="D607">
            <v>80.780234690288538</v>
          </cell>
        </row>
        <row r="608">
          <cell r="D608">
            <v>82.873192684840845</v>
          </cell>
        </row>
        <row r="609">
          <cell r="D609">
            <v>88.2438719645303</v>
          </cell>
        </row>
        <row r="610">
          <cell r="D610">
            <v>46.965233637441223</v>
          </cell>
        </row>
        <row r="611">
          <cell r="D611">
            <v>42.558515812319563</v>
          </cell>
        </row>
        <row r="612">
          <cell r="D612">
            <v>57.016861923731028</v>
          </cell>
        </row>
        <row r="613">
          <cell r="D613">
            <v>57.73230515549578</v>
          </cell>
        </row>
        <row r="614">
          <cell r="D614">
            <v>77.456764276232022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EMTS-CARB Forecast"/>
      <sheetName val="Fuel Vol and Credit Gen"/>
      <sheetName val="Qrtly Credit-Deficit Generation"/>
      <sheetName val="Annual Credit-Deficit Gen"/>
      <sheetName val="Biofuel Feedstocks"/>
      <sheetName val="Graph Testing"/>
      <sheetName val="CA LCFS Performance"/>
      <sheetName val="Chart1"/>
      <sheetName val="Table 1"/>
      <sheetName val="Chart2"/>
      <sheetName val="Chart3"/>
      <sheetName val="FeedStock"/>
      <sheetName val="FeedStock 2011 - 2021"/>
      <sheetName val="Graphs"/>
      <sheetName val="Graph Data"/>
      <sheetName val="DMAggregatedFuelVolumes"/>
      <sheetName val="Chart23"/>
      <sheetName val="Chart24"/>
      <sheetName val="Chart25"/>
      <sheetName val="Chart26"/>
      <sheetName val="Chart27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hart36"/>
      <sheetName val="Chart37"/>
      <sheetName val="Chart39"/>
      <sheetName val="Chart40"/>
      <sheetName val="Chart41"/>
      <sheetName val="Chart42"/>
      <sheetName val="Chart43"/>
      <sheetName val="Chart44"/>
      <sheetName val="Fig E w ARGUS"/>
      <sheetName val="Fig10"/>
    </sheetNames>
    <sheetDataSet>
      <sheetData sheetId="0"/>
      <sheetData sheetId="1"/>
      <sheetData sheetId="2">
        <row r="55">
          <cell r="M55">
            <v>586902</v>
          </cell>
          <cell r="N55">
            <v>510999</v>
          </cell>
          <cell r="O55">
            <v>459238</v>
          </cell>
          <cell r="P55">
            <v>551332</v>
          </cell>
          <cell r="Q55">
            <v>528433</v>
          </cell>
          <cell r="R55">
            <v>491880</v>
          </cell>
          <cell r="S55">
            <v>473209</v>
          </cell>
          <cell r="T55">
            <v>504542</v>
          </cell>
          <cell r="U55">
            <v>538519</v>
          </cell>
          <cell r="V55">
            <v>608484</v>
          </cell>
          <cell r="W55">
            <v>836629</v>
          </cell>
          <cell r="X55">
            <v>857168</v>
          </cell>
          <cell r="Y55">
            <v>919750</v>
          </cell>
          <cell r="Z55">
            <v>905839</v>
          </cell>
          <cell r="AA55">
            <v>783039</v>
          </cell>
          <cell r="AB55">
            <v>856950</v>
          </cell>
          <cell r="AC55">
            <v>931601</v>
          </cell>
          <cell r="AD55">
            <v>916634</v>
          </cell>
          <cell r="AE55">
            <v>776336</v>
          </cell>
          <cell r="AF55">
            <v>775942</v>
          </cell>
          <cell r="AG55">
            <v>949941</v>
          </cell>
          <cell r="AH55">
            <v>956310</v>
          </cell>
          <cell r="AI55">
            <v>946616</v>
          </cell>
          <cell r="AJ55">
            <v>1086445</v>
          </cell>
          <cell r="AK55">
            <v>1169325</v>
          </cell>
          <cell r="AL55">
            <v>1139746</v>
          </cell>
          <cell r="AM55">
            <v>1045797</v>
          </cell>
          <cell r="AN55">
            <v>648935</v>
          </cell>
          <cell r="AO55">
            <v>1052908</v>
          </cell>
          <cell r="AP55">
            <v>989015</v>
          </cell>
          <cell r="AQ55">
            <v>747150</v>
          </cell>
          <cell r="AR55">
            <v>1006898</v>
          </cell>
          <cell r="AS55">
            <v>1113796</v>
          </cell>
          <cell r="AT55">
            <v>957708</v>
          </cell>
          <cell r="AU55">
            <v>917950</v>
          </cell>
          <cell r="AV55">
            <v>919767</v>
          </cell>
          <cell r="AW55">
            <v>975746</v>
          </cell>
          <cell r="AX55">
            <v>927177</v>
          </cell>
          <cell r="AY55">
            <v>827472</v>
          </cell>
          <cell r="AZ55">
            <v>736436</v>
          </cell>
          <cell r="BA55">
            <v>882062</v>
          </cell>
          <cell r="BB55">
            <v>916926</v>
          </cell>
          <cell r="BC55">
            <v>810581</v>
          </cell>
          <cell r="BD55">
            <v>910853</v>
          </cell>
          <cell r="BE55">
            <v>866406</v>
          </cell>
          <cell r="BF55">
            <v>906093.05235575559</v>
          </cell>
          <cell r="BG55">
            <v>900355.84559094883</v>
          </cell>
          <cell r="BH55">
            <v>933213.05483336234</v>
          </cell>
          <cell r="BI55">
            <v>970209.57344730967</v>
          </cell>
          <cell r="BJ55">
            <v>918982.74506998109</v>
          </cell>
          <cell r="BK55">
            <v>914457.74311546865</v>
          </cell>
          <cell r="BL55">
            <v>955642.61710095417</v>
          </cell>
          <cell r="BM55">
            <v>1004872.2990071601</v>
          </cell>
          <cell r="BN55">
            <v>931490.92581322638</v>
          </cell>
          <cell r="BO55">
            <v>918940.21254059952</v>
          </cell>
          <cell r="BP55">
            <v>952447.00998822832</v>
          </cell>
          <cell r="BQ55">
            <v>986862.10126249609</v>
          </cell>
          <cell r="BR55">
            <v>919747.37944165384</v>
          </cell>
          <cell r="BS55">
            <v>907506.95610542526</v>
          </cell>
          <cell r="BT55">
            <v>939669.47859426192</v>
          </cell>
          <cell r="BU55">
            <v>981897.92228836112</v>
          </cell>
          <cell r="BV55">
            <v>908604.3923023286</v>
          </cell>
          <cell r="BW55">
            <v>895233.66636269761</v>
          </cell>
          <cell r="BX55">
            <v>931824.33288568794</v>
          </cell>
          <cell r="BY55">
            <v>974756.97476904455</v>
          </cell>
          <cell r="BZ55">
            <v>902354.94000601803</v>
          </cell>
          <cell r="CA55">
            <v>890131.66705836786</v>
          </cell>
          <cell r="CB55">
            <v>929747.07445015619</v>
          </cell>
          <cell r="CC55">
            <v>974426.97307896183</v>
          </cell>
          <cell r="CD55">
            <v>904046.50510032207</v>
          </cell>
          <cell r="CE55">
            <v>895992.54540165141</v>
          </cell>
          <cell r="CF55">
            <v>934529.00695348624</v>
          </cell>
          <cell r="CG55">
            <v>980306.28958909877</v>
          </cell>
          <cell r="CH55">
            <v>911240.15268217155</v>
          </cell>
          <cell r="CI55">
            <v>900578.99641627283</v>
          </cell>
          <cell r="CJ55">
            <v>939357.43877861323</v>
          </cell>
          <cell r="CK55">
            <v>981821.71888086142</v>
          </cell>
          <cell r="CL55">
            <v>914366.9860535328</v>
          </cell>
          <cell r="CM55">
            <v>902890.15981721552</v>
          </cell>
          <cell r="CN55">
            <v>940404.38744142069</v>
          </cell>
          <cell r="CO55">
            <v>983476.51655146957</v>
          </cell>
          <cell r="CP55">
            <v>913628.89999476739</v>
          </cell>
          <cell r="CQ55">
            <v>901052.57032679743</v>
          </cell>
          <cell r="CR55">
            <v>938396.77901569114</v>
          </cell>
          <cell r="CS55">
            <v>980484.74104047555</v>
          </cell>
          <cell r="CT55">
            <v>911182.85140072752</v>
          </cell>
          <cell r="CU55">
            <v>898694.25978582213</v>
          </cell>
          <cell r="CV55">
            <v>936508.9599769112</v>
          </cell>
          <cell r="CW55">
            <v>979486.27762008493</v>
          </cell>
          <cell r="CX55">
            <v>909749.46020003711</v>
          </cell>
          <cell r="CY55">
            <v>897546.51626975765</v>
          </cell>
          <cell r="CZ55">
            <v>935744.46006825753</v>
          </cell>
          <cell r="DA55">
            <v>979246.38812874688</v>
          </cell>
          <cell r="DB55">
            <v>909831.82601504319</v>
          </cell>
          <cell r="DC55">
            <v>897947.92197483964</v>
          </cell>
          <cell r="DD55">
            <v>936191.46823726268</v>
          </cell>
          <cell r="DE55">
            <v>979903.93730137264</v>
          </cell>
          <cell r="DF55">
            <v>910800.21359383001</v>
          </cell>
          <cell r="DG55">
            <v>899073.64062061661</v>
          </cell>
          <cell r="DH55">
            <v>937139.73042181972</v>
          </cell>
          <cell r="DI55">
            <v>980674.38036505389</v>
          </cell>
          <cell r="DJ55">
            <v>911538.77118675457</v>
          </cell>
          <cell r="DK55">
            <v>899674.88277000142</v>
          </cell>
          <cell r="DL55">
            <v>937558.0158984313</v>
          </cell>
          <cell r="DM55">
            <v>980768.80152223818</v>
          </cell>
          <cell r="DN55">
            <v>911591.75821749563</v>
          </cell>
          <cell r="DO55">
            <v>899570.00903258007</v>
          </cell>
          <cell r="DP55">
            <v>937431.10915550299</v>
          </cell>
          <cell r="DQ55">
            <v>980584.70941361459</v>
          </cell>
          <cell r="DR55">
            <v>911196.18532046443</v>
          </cell>
          <cell r="DS55">
            <v>899090.00293461035</v>
          </cell>
          <cell r="DT55">
            <v>937006.21547634597</v>
          </cell>
          <cell r="DU55">
            <v>980177.91369257367</v>
          </cell>
          <cell r="DV55">
            <v>910859.08336264291</v>
          </cell>
          <cell r="DW55">
            <v>898816.83349778131</v>
          </cell>
          <cell r="DX55">
            <v>936806.34734811389</v>
          </cell>
          <cell r="DY55">
            <v>980121.75223904895</v>
          </cell>
          <cell r="DZ55">
            <v>980119.41872116318</v>
          </cell>
          <cell r="EA55">
            <v>898820.126221154</v>
          </cell>
          <cell r="EB55">
            <v>936834.62626504025</v>
          </cell>
          <cell r="EC55">
            <v>980198.23905625509</v>
          </cell>
          <cell r="ED55">
            <v>980172.41459425469</v>
          </cell>
          <cell r="EE55">
            <v>899011.76090197137</v>
          </cell>
          <cell r="EF55">
            <v>936983.6641108843</v>
          </cell>
          <cell r="EG55">
            <v>980303.52615911863</v>
          </cell>
          <cell r="EH55">
            <v>980283.47134968243</v>
          </cell>
          <cell r="EI55">
            <v>899188.90355901711</v>
          </cell>
          <cell r="EJ55">
            <v>937102.48576495156</v>
          </cell>
          <cell r="EK55">
            <v>980345.33388280007</v>
          </cell>
          <cell r="EL55">
            <v>980343.14286003483</v>
          </cell>
          <cell r="EM55">
            <v>899215.92884620698</v>
          </cell>
          <cell r="EN55">
            <v>937108.58559579472</v>
          </cell>
          <cell r="EO55">
            <v>980315.86189534888</v>
          </cell>
          <cell r="EP55">
            <v>980323.29704317858</v>
          </cell>
          <cell r="EQ55">
            <v>899132.02436073683</v>
          </cell>
          <cell r="ER55">
            <v>937046.26244688407</v>
          </cell>
          <cell r="ES55">
            <v>980276.80397102935</v>
          </cell>
          <cell r="ET55">
            <v>980283.6316270167</v>
          </cell>
          <cell r="EU55">
            <v>899037.74535780889</v>
          </cell>
          <cell r="EV55">
            <v>936983.31115701306</v>
          </cell>
          <cell r="EW55">
            <v>980251.74485047732</v>
          </cell>
          <cell r="EX55">
            <v>980252.60598219</v>
          </cell>
          <cell r="EY55">
            <v>899019.61373956432</v>
          </cell>
          <cell r="EZ55">
            <v>936973.58592816675</v>
          </cell>
          <cell r="FA55">
            <v>980256.55239815498</v>
          </cell>
          <cell r="FB55">
            <v>980253.74075104936</v>
          </cell>
          <cell r="FC55">
            <v>899064.27055988158</v>
          </cell>
          <cell r="FD55">
            <v>937001.40171293519</v>
          </cell>
          <cell r="FE55">
            <v>980275.57101321872</v>
          </cell>
          <cell r="FF55">
            <v>980272.40095253475</v>
          </cell>
        </row>
        <row r="61">
          <cell r="M61">
            <v>1106307</v>
          </cell>
          <cell r="N61">
            <v>1128256</v>
          </cell>
          <cell r="O61">
            <v>920243</v>
          </cell>
          <cell r="P61">
            <v>1053893</v>
          </cell>
          <cell r="Q61">
            <v>1077268</v>
          </cell>
          <cell r="R61">
            <v>1029032</v>
          </cell>
          <cell r="S61">
            <v>1028883</v>
          </cell>
          <cell r="T61">
            <v>1227191</v>
          </cell>
          <cell r="U61">
            <v>1416627</v>
          </cell>
          <cell r="V61">
            <v>1485751</v>
          </cell>
          <cell r="W61">
            <v>1664272</v>
          </cell>
          <cell r="X61">
            <v>2158313</v>
          </cell>
          <cell r="Y61">
            <v>2163707</v>
          </cell>
          <cell r="Z61">
            <v>2364004</v>
          </cell>
          <cell r="AA61">
            <v>1853645</v>
          </cell>
          <cell r="AB61">
            <v>2203124</v>
          </cell>
          <cell r="AC61">
            <v>2369643</v>
          </cell>
          <cell r="AD61">
            <v>2151196</v>
          </cell>
          <cell r="AE61">
            <v>2101591</v>
          </cell>
          <cell r="AF61">
            <v>2226698</v>
          </cell>
          <cell r="AG61">
            <v>2291380</v>
          </cell>
          <cell r="AH61">
            <v>2748934</v>
          </cell>
          <cell r="AI61">
            <v>2682648</v>
          </cell>
          <cell r="AJ61">
            <v>3040996</v>
          </cell>
          <cell r="AK61">
            <v>3002255</v>
          </cell>
          <cell r="AL61">
            <v>3232130</v>
          </cell>
          <cell r="AM61">
            <v>2871617</v>
          </cell>
          <cell r="AN61">
            <v>2625886</v>
          </cell>
          <cell r="AO61">
            <v>3271414</v>
          </cell>
          <cell r="AP61">
            <v>3508149</v>
          </cell>
          <cell r="AQ61">
            <v>3164286</v>
          </cell>
          <cell r="AR61">
            <v>3828242</v>
          </cell>
          <cell r="AS61">
            <v>4345435</v>
          </cell>
          <cell r="AT61">
            <v>4322446</v>
          </cell>
          <cell r="AU61">
            <v>4576664</v>
          </cell>
          <cell r="AV61">
            <v>5081972</v>
          </cell>
          <cell r="AW61">
            <v>5195611</v>
          </cell>
          <cell r="AX61">
            <v>5296993</v>
          </cell>
          <cell r="AY61">
            <v>4960158</v>
          </cell>
          <cell r="AZ61">
            <v>5496033</v>
          </cell>
          <cell r="BA61">
            <v>6058457</v>
          </cell>
          <cell r="BB61">
            <v>6400234</v>
          </cell>
          <cell r="BC61">
            <v>6065553</v>
          </cell>
          <cell r="BD61">
            <v>6873607</v>
          </cell>
          <cell r="BE61">
            <v>7465821.0000000009</v>
          </cell>
          <cell r="BF61">
            <v>6085410.5408846326</v>
          </cell>
          <cell r="BG61">
            <v>5464138.8101690123</v>
          </cell>
          <cell r="BH61">
            <v>5465161.5701585319</v>
          </cell>
          <cell r="BI61">
            <v>6448196.4490094678</v>
          </cell>
          <cell r="BJ61">
            <v>5956156.456241345</v>
          </cell>
          <cell r="BK61">
            <v>5564261.0067813965</v>
          </cell>
          <cell r="BL61">
            <v>5929369.0703080744</v>
          </cell>
          <cell r="BM61">
            <v>6425694.2013823502</v>
          </cell>
          <cell r="BN61">
            <v>6456901.6836422076</v>
          </cell>
          <cell r="BO61">
            <v>6411728.3912375113</v>
          </cell>
          <cell r="BP61">
            <v>6809270.1097229812</v>
          </cell>
          <cell r="BQ61">
            <v>7540995.1058069402</v>
          </cell>
          <cell r="BR61">
            <v>6958032.4189959876</v>
          </cell>
          <cell r="BS61">
            <v>6552368.8934044987</v>
          </cell>
          <cell r="BT61">
            <v>6726177.7234967584</v>
          </cell>
          <cell r="BU61">
            <v>7716734.1313639116</v>
          </cell>
          <cell r="BV61">
            <v>6896742.9296329394</v>
          </cell>
          <cell r="BW61">
            <v>6924929.9408243904</v>
          </cell>
          <cell r="BX61">
            <v>7270744.7583916616</v>
          </cell>
          <cell r="BY61">
            <v>8416144.1967598237</v>
          </cell>
          <cell r="BZ61">
            <v>6971414.9454460833</v>
          </cell>
          <cell r="CA61">
            <v>7648565.6639145557</v>
          </cell>
          <cell r="CB61">
            <v>8037917.0040072259</v>
          </cell>
          <cell r="CC61">
            <v>9321989.4461584333</v>
          </cell>
          <cell r="CD61">
            <v>7463129.3669214081</v>
          </cell>
          <cell r="CE61">
            <v>8182216.0075507034</v>
          </cell>
          <cell r="CF61">
            <v>8682903.5914830975</v>
          </cell>
          <cell r="CG61">
            <v>9839828.0350842718</v>
          </cell>
          <cell r="CH61">
            <v>7870165.7015759144</v>
          </cell>
          <cell r="CI61">
            <v>9320791.2034986466</v>
          </cell>
          <cell r="CJ61">
            <v>9953334.5853914805</v>
          </cell>
          <cell r="CK61">
            <v>10644461.738715284</v>
          </cell>
          <cell r="CL61">
            <v>8728452.660628181</v>
          </cell>
          <cell r="CM61">
            <v>9489939.3046371881</v>
          </cell>
          <cell r="CN61">
            <v>10060819.740933744</v>
          </cell>
          <cell r="CO61">
            <v>10929031.73359571</v>
          </cell>
          <cell r="CP61">
            <v>8791502.230352927</v>
          </cell>
          <cell r="CQ61">
            <v>9749833.7116461508</v>
          </cell>
          <cell r="CR61">
            <v>10288497.847463692</v>
          </cell>
          <cell r="CS61">
            <v>11367447.085090116</v>
          </cell>
          <cell r="CT61">
            <v>8785695.848155167</v>
          </cell>
          <cell r="CU61">
            <v>10172173.026559263</v>
          </cell>
          <cell r="CV61">
            <v>10776662.395750999</v>
          </cell>
          <cell r="CW61">
            <v>11518599.380779345</v>
          </cell>
          <cell r="CX61">
            <v>9240116.245389523</v>
          </cell>
          <cell r="CY61">
            <v>9395327.9064084534</v>
          </cell>
          <cell r="CZ61">
            <v>9859937.8734479845</v>
          </cell>
          <cell r="DA61">
            <v>10095156.801769339</v>
          </cell>
          <cell r="DB61">
            <v>9236050.1685669031</v>
          </cell>
          <cell r="DC61">
            <v>10098427.736731889</v>
          </cell>
          <cell r="DD61">
            <v>10525248.492760165</v>
          </cell>
          <cell r="DE61">
            <v>10298122.073981419</v>
          </cell>
          <cell r="DF61">
            <v>9987089.255361272</v>
          </cell>
          <cell r="DG61">
            <v>10877443.603092223</v>
          </cell>
          <cell r="DH61">
            <v>11376906.751092818</v>
          </cell>
          <cell r="DI61">
            <v>10778673.915058469</v>
          </cell>
          <cell r="DJ61">
            <v>10695505.376046048</v>
          </cell>
          <cell r="DK61">
            <v>10912025.973836839</v>
          </cell>
          <cell r="DL61">
            <v>11313210.162289619</v>
          </cell>
          <cell r="DM61">
            <v>10736105.509057604</v>
          </cell>
          <cell r="DN61">
            <v>10732675.050830647</v>
          </cell>
          <cell r="DO61">
            <v>10518872.66087937</v>
          </cell>
          <cell r="DP61">
            <v>10760039.184018085</v>
          </cell>
          <cell r="DQ61">
            <v>10838813.907053715</v>
          </cell>
          <cell r="DR61">
            <v>10033565.213683803</v>
          </cell>
          <cell r="DS61">
            <v>9756721.4776653796</v>
          </cell>
          <cell r="DT61">
            <v>9947941.7222725116</v>
          </cell>
          <cell r="DU61">
            <v>10199475.48861891</v>
          </cell>
          <cell r="DV61">
            <v>10035368.996174872</v>
          </cell>
          <cell r="DW61">
            <v>9757868.2214422803</v>
          </cell>
          <cell r="DX61">
            <v>9949607.1706754044</v>
          </cell>
          <cell r="DY61">
            <v>10201981.789748762</v>
          </cell>
          <cell r="DZ61">
            <v>10202467.766216233</v>
          </cell>
          <cell r="EA61">
            <v>9760316.8853889648</v>
          </cell>
          <cell r="EB61">
            <v>9952082.2326880805</v>
          </cell>
          <cell r="EC61">
            <v>10204565.640196629</v>
          </cell>
          <cell r="ED61">
            <v>10205003.474308208</v>
          </cell>
          <cell r="EE61">
            <v>9763327.8367648721</v>
          </cell>
          <cell r="EF61">
            <v>9954830.4240334518</v>
          </cell>
          <cell r="EG61">
            <v>10206821.826584363</v>
          </cell>
          <cell r="EH61">
            <v>10207305.304794215</v>
          </cell>
          <cell r="EI61">
            <v>9765725.6871340591</v>
          </cell>
          <cell r="EJ61">
            <v>9957078.6874321252</v>
          </cell>
          <cell r="EK61">
            <v>10208710.478102118</v>
          </cell>
          <cell r="EL61">
            <v>10209219.902798748</v>
          </cell>
          <cell r="EM61">
            <v>9767710.1940645594</v>
          </cell>
          <cell r="EN61">
            <v>9959090.7446433306</v>
          </cell>
          <cell r="EO61">
            <v>10210628.94939689</v>
          </cell>
          <cell r="EP61">
            <v>10211116.610103052</v>
          </cell>
          <cell r="EQ61">
            <v>9769480.2027914599</v>
          </cell>
          <cell r="ER61">
            <v>9961108.1805678271</v>
          </cell>
          <cell r="ES61">
            <v>10212839.885842238</v>
          </cell>
          <cell r="ET61">
            <v>10213291.551098648</v>
          </cell>
          <cell r="EU61">
            <v>9772127.7386357281</v>
          </cell>
          <cell r="EV61">
            <v>9963429.2270629853</v>
          </cell>
          <cell r="EW61">
            <v>10215587.155732695</v>
          </cell>
          <cell r="EX61">
            <v>10216142.39017099</v>
          </cell>
          <cell r="EY61">
            <v>9774341.5897020977</v>
          </cell>
          <cell r="EZ61">
            <v>9965665.4404041171</v>
          </cell>
          <cell r="FA61">
            <v>10217855.466094771</v>
          </cell>
          <cell r="FB61">
            <v>10218408.215353247</v>
          </cell>
          <cell r="FC61">
            <v>9776715.5825113319</v>
          </cell>
          <cell r="FD61">
            <v>9967994.7625201698</v>
          </cell>
          <cell r="FE61">
            <v>10220113.538720645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B3BF-E6A7-45A8-96FA-4D52E544F955}">
  <dimension ref="A1:H2949"/>
  <sheetViews>
    <sheetView tabSelected="1" topLeftCell="A2925" workbookViewId="0">
      <selection activeCell="G2945" sqref="G2945:H2949"/>
    </sheetView>
  </sheetViews>
  <sheetFormatPr defaultRowHeight="15" x14ac:dyDescent="0.25"/>
  <cols>
    <col min="1" max="2" width="15.140625" bestFit="1" customWidth="1"/>
    <col min="5" max="5" width="15.140625" bestFit="1" customWidth="1"/>
    <col min="6" max="6" width="14.28515625" bestFit="1" customWidth="1"/>
  </cols>
  <sheetData>
    <row r="1" spans="1:8" x14ac:dyDescent="0.25">
      <c r="A1" t="s">
        <v>0</v>
      </c>
      <c r="B1" t="s">
        <v>1</v>
      </c>
      <c r="E1" t="s">
        <v>0</v>
      </c>
      <c r="F1" t="s">
        <v>2</v>
      </c>
    </row>
    <row r="2" spans="1:8" x14ac:dyDescent="0.25">
      <c r="A2" t="s">
        <v>3</v>
      </c>
      <c r="B2" s="1" t="e" cm="1">
        <f t="array" aca="1" ref="B2" ca="1">_xll.GetLatestPrice(B1,,"Description",,)</f>
        <v>#NAME?</v>
      </c>
      <c r="E2" t="s">
        <v>3</v>
      </c>
      <c r="F2" s="1" t="e" cm="1">
        <f t="array" aca="1" ref="F2" ca="1">_xll.GetLatestPrice(F1,,"Description",,)</f>
        <v>#NAME?</v>
      </c>
    </row>
    <row r="3" spans="1:8" x14ac:dyDescent="0.25">
      <c r="A3" t="e" cm="1">
        <f t="array" aca="1" ref="A3" ca="1">_xll.GetPriceHistoryNonPreliminary(B1,,DATE(2018,1,1),DATE(2025,12,31),"ValueOnly",,"A",,,"Date","Mid")</f>
        <v>#NAME?</v>
      </c>
      <c r="B3" t="s">
        <v>4</v>
      </c>
      <c r="C3" t="s">
        <v>5</v>
      </c>
      <c r="D3" t="s">
        <v>6</v>
      </c>
      <c r="E3" t="e" cm="1">
        <f t="array" aca="1" ref="E3" ca="1">_xll.GetPriceHistoryNonPreliminary(F1,,DATE(2010,1,1),DATE(2025,12,31),"ValueOnly",,"A",,,"Date","Mid")</f>
        <v>#NAME?</v>
      </c>
      <c r="F3" t="s">
        <v>4</v>
      </c>
      <c r="G3" t="s">
        <v>5</v>
      </c>
      <c r="H3" t="s">
        <v>6</v>
      </c>
    </row>
    <row r="4" spans="1:8" x14ac:dyDescent="0.25">
      <c r="A4" s="2">
        <v>45149</v>
      </c>
      <c r="B4">
        <v>160</v>
      </c>
      <c r="C4">
        <f>MONTH(A4)</f>
        <v>8</v>
      </c>
      <c r="D4">
        <f>YEAR(A4)</f>
        <v>2023</v>
      </c>
      <c r="E4" s="2">
        <v>41474</v>
      </c>
      <c r="F4">
        <v>66</v>
      </c>
      <c r="G4">
        <f>MONTH(E4)</f>
        <v>7</v>
      </c>
      <c r="H4">
        <f>YEAR(E4)</f>
        <v>2013</v>
      </c>
    </row>
    <row r="5" spans="1:8" x14ac:dyDescent="0.25">
      <c r="A5" s="2">
        <v>45152</v>
      </c>
      <c r="B5">
        <v>160</v>
      </c>
      <c r="C5">
        <f t="shared" ref="C5:C68" si="0">MONTH(A5)</f>
        <v>8</v>
      </c>
      <c r="D5">
        <f t="shared" ref="D5:D68" si="1">YEAR(A5)</f>
        <v>2023</v>
      </c>
      <c r="E5" s="2">
        <v>41477</v>
      </c>
      <c r="F5">
        <v>69</v>
      </c>
      <c r="G5">
        <f t="shared" ref="G5:G68" si="2">MONTH(E5)</f>
        <v>7</v>
      </c>
      <c r="H5">
        <f t="shared" ref="H5:H68" si="3">YEAR(E5)</f>
        <v>2013</v>
      </c>
    </row>
    <row r="6" spans="1:8" x14ac:dyDescent="0.25">
      <c r="A6" s="2">
        <v>45153</v>
      </c>
      <c r="B6">
        <v>160</v>
      </c>
      <c r="C6">
        <f t="shared" si="0"/>
        <v>8</v>
      </c>
      <c r="D6">
        <f t="shared" si="1"/>
        <v>2023</v>
      </c>
      <c r="E6" s="2">
        <v>41478</v>
      </c>
      <c r="F6">
        <v>69</v>
      </c>
      <c r="G6">
        <f t="shared" si="2"/>
        <v>7</v>
      </c>
      <c r="H6">
        <f t="shared" si="3"/>
        <v>2013</v>
      </c>
    </row>
    <row r="7" spans="1:8" x14ac:dyDescent="0.25">
      <c r="A7" s="2">
        <v>45154</v>
      </c>
      <c r="B7">
        <v>160</v>
      </c>
      <c r="C7">
        <f t="shared" si="0"/>
        <v>8</v>
      </c>
      <c r="D7">
        <f t="shared" si="1"/>
        <v>2023</v>
      </c>
      <c r="E7" s="2">
        <v>41479</v>
      </c>
      <c r="F7">
        <v>69</v>
      </c>
      <c r="G7">
        <f t="shared" si="2"/>
        <v>7</v>
      </c>
      <c r="H7">
        <f t="shared" si="3"/>
        <v>2013</v>
      </c>
    </row>
    <row r="8" spans="1:8" x14ac:dyDescent="0.25">
      <c r="A8" s="2">
        <v>45155</v>
      </c>
      <c r="B8">
        <v>160</v>
      </c>
      <c r="C8">
        <f t="shared" si="0"/>
        <v>8</v>
      </c>
      <c r="D8">
        <f t="shared" si="1"/>
        <v>2023</v>
      </c>
      <c r="E8" s="2">
        <v>41480</v>
      </c>
      <c r="F8">
        <v>69</v>
      </c>
      <c r="G8">
        <f t="shared" si="2"/>
        <v>7</v>
      </c>
      <c r="H8">
        <f t="shared" si="3"/>
        <v>2013</v>
      </c>
    </row>
    <row r="9" spans="1:8" x14ac:dyDescent="0.25">
      <c r="A9" s="2">
        <v>45156</v>
      </c>
      <c r="B9">
        <v>160</v>
      </c>
      <c r="C9">
        <f t="shared" si="0"/>
        <v>8</v>
      </c>
      <c r="D9">
        <f t="shared" si="1"/>
        <v>2023</v>
      </c>
      <c r="E9" s="2">
        <v>41481</v>
      </c>
      <c r="F9">
        <v>69</v>
      </c>
      <c r="G9">
        <f t="shared" si="2"/>
        <v>7</v>
      </c>
      <c r="H9">
        <f t="shared" si="3"/>
        <v>2013</v>
      </c>
    </row>
    <row r="10" spans="1:8" x14ac:dyDescent="0.25">
      <c r="A10" s="2">
        <v>45159</v>
      </c>
      <c r="B10">
        <v>160</v>
      </c>
      <c r="C10">
        <f t="shared" si="0"/>
        <v>8</v>
      </c>
      <c r="D10">
        <f t="shared" si="1"/>
        <v>2023</v>
      </c>
      <c r="E10" s="2">
        <v>41484</v>
      </c>
      <c r="F10">
        <v>66</v>
      </c>
      <c r="G10">
        <f t="shared" si="2"/>
        <v>7</v>
      </c>
      <c r="H10">
        <f t="shared" si="3"/>
        <v>2013</v>
      </c>
    </row>
    <row r="11" spans="1:8" x14ac:dyDescent="0.25">
      <c r="A11" s="2">
        <v>45160</v>
      </c>
      <c r="B11">
        <v>160</v>
      </c>
      <c r="C11">
        <f t="shared" si="0"/>
        <v>8</v>
      </c>
      <c r="D11">
        <f t="shared" si="1"/>
        <v>2023</v>
      </c>
      <c r="E11" s="2">
        <v>41485</v>
      </c>
      <c r="F11">
        <v>62.5</v>
      </c>
      <c r="G11">
        <f t="shared" si="2"/>
        <v>7</v>
      </c>
      <c r="H11">
        <f t="shared" si="3"/>
        <v>2013</v>
      </c>
    </row>
    <row r="12" spans="1:8" x14ac:dyDescent="0.25">
      <c r="A12" s="2">
        <v>45161</v>
      </c>
      <c r="B12">
        <v>160</v>
      </c>
      <c r="C12">
        <f t="shared" si="0"/>
        <v>8</v>
      </c>
      <c r="D12">
        <f t="shared" si="1"/>
        <v>2023</v>
      </c>
      <c r="E12" s="2">
        <v>41486</v>
      </c>
      <c r="F12">
        <v>62.5</v>
      </c>
      <c r="G12">
        <f t="shared" si="2"/>
        <v>7</v>
      </c>
      <c r="H12">
        <f t="shared" si="3"/>
        <v>2013</v>
      </c>
    </row>
    <row r="13" spans="1:8" x14ac:dyDescent="0.25">
      <c r="A13" s="2">
        <v>45162</v>
      </c>
      <c r="B13">
        <v>160</v>
      </c>
      <c r="C13">
        <f t="shared" si="0"/>
        <v>8</v>
      </c>
      <c r="D13">
        <f t="shared" si="1"/>
        <v>2023</v>
      </c>
      <c r="E13" s="2">
        <v>41487</v>
      </c>
      <c r="F13">
        <v>64</v>
      </c>
      <c r="G13">
        <f t="shared" si="2"/>
        <v>8</v>
      </c>
      <c r="H13">
        <f t="shared" si="3"/>
        <v>2013</v>
      </c>
    </row>
    <row r="14" spans="1:8" x14ac:dyDescent="0.25">
      <c r="A14" s="2">
        <v>45163</v>
      </c>
      <c r="B14">
        <v>160</v>
      </c>
      <c r="C14">
        <f t="shared" si="0"/>
        <v>8</v>
      </c>
      <c r="D14">
        <f t="shared" si="1"/>
        <v>2023</v>
      </c>
      <c r="E14" s="2">
        <v>41488</v>
      </c>
      <c r="F14">
        <v>63.5</v>
      </c>
      <c r="G14">
        <f t="shared" si="2"/>
        <v>8</v>
      </c>
      <c r="H14">
        <f t="shared" si="3"/>
        <v>2013</v>
      </c>
    </row>
    <row r="15" spans="1:8" x14ac:dyDescent="0.25">
      <c r="A15" s="2">
        <v>45166</v>
      </c>
      <c r="B15">
        <v>160</v>
      </c>
      <c r="C15">
        <f t="shared" si="0"/>
        <v>8</v>
      </c>
      <c r="D15">
        <f t="shared" si="1"/>
        <v>2023</v>
      </c>
      <c r="E15" s="2">
        <v>41491</v>
      </c>
      <c r="F15">
        <v>64.5</v>
      </c>
      <c r="G15">
        <f t="shared" si="2"/>
        <v>8</v>
      </c>
      <c r="H15">
        <f t="shared" si="3"/>
        <v>2013</v>
      </c>
    </row>
    <row r="16" spans="1:8" x14ac:dyDescent="0.25">
      <c r="A16" s="2">
        <v>45167</v>
      </c>
      <c r="B16">
        <v>160</v>
      </c>
      <c r="C16">
        <f t="shared" si="0"/>
        <v>8</v>
      </c>
      <c r="D16">
        <f t="shared" si="1"/>
        <v>2023</v>
      </c>
      <c r="E16" s="2">
        <v>41492</v>
      </c>
      <c r="F16">
        <v>64.5</v>
      </c>
      <c r="G16">
        <f t="shared" si="2"/>
        <v>8</v>
      </c>
      <c r="H16">
        <f t="shared" si="3"/>
        <v>2013</v>
      </c>
    </row>
    <row r="17" spans="1:8" x14ac:dyDescent="0.25">
      <c r="A17" s="2">
        <v>45168</v>
      </c>
      <c r="B17">
        <v>160</v>
      </c>
      <c r="C17">
        <f t="shared" si="0"/>
        <v>8</v>
      </c>
      <c r="D17">
        <f t="shared" si="1"/>
        <v>2023</v>
      </c>
      <c r="E17" s="2">
        <v>41493</v>
      </c>
      <c r="F17">
        <v>64.5</v>
      </c>
      <c r="G17">
        <f t="shared" si="2"/>
        <v>8</v>
      </c>
      <c r="H17">
        <f t="shared" si="3"/>
        <v>2013</v>
      </c>
    </row>
    <row r="18" spans="1:8" x14ac:dyDescent="0.25">
      <c r="A18" s="2">
        <v>45169</v>
      </c>
      <c r="B18">
        <v>159</v>
      </c>
      <c r="C18">
        <f t="shared" si="0"/>
        <v>8</v>
      </c>
      <c r="D18">
        <f t="shared" si="1"/>
        <v>2023</v>
      </c>
      <c r="E18" s="2">
        <v>41494</v>
      </c>
      <c r="F18">
        <v>64.5</v>
      </c>
      <c r="G18">
        <f t="shared" si="2"/>
        <v>8</v>
      </c>
      <c r="H18">
        <f t="shared" si="3"/>
        <v>2013</v>
      </c>
    </row>
    <row r="19" spans="1:8" x14ac:dyDescent="0.25">
      <c r="A19" s="2">
        <v>45170</v>
      </c>
      <c r="B19">
        <v>159</v>
      </c>
      <c r="C19">
        <f t="shared" si="0"/>
        <v>9</v>
      </c>
      <c r="D19">
        <f t="shared" si="1"/>
        <v>2023</v>
      </c>
      <c r="E19" s="2">
        <v>41495</v>
      </c>
      <c r="F19">
        <v>64.5</v>
      </c>
      <c r="G19">
        <f t="shared" si="2"/>
        <v>8</v>
      </c>
      <c r="H19">
        <f t="shared" si="3"/>
        <v>2013</v>
      </c>
    </row>
    <row r="20" spans="1:8" x14ac:dyDescent="0.25">
      <c r="A20" s="2">
        <v>45174</v>
      </c>
      <c r="B20">
        <v>165</v>
      </c>
      <c r="C20">
        <f t="shared" si="0"/>
        <v>9</v>
      </c>
      <c r="D20">
        <f t="shared" si="1"/>
        <v>2023</v>
      </c>
      <c r="E20" s="2">
        <v>41498</v>
      </c>
      <c r="F20">
        <v>63.5</v>
      </c>
      <c r="G20">
        <f t="shared" si="2"/>
        <v>8</v>
      </c>
      <c r="H20">
        <f t="shared" si="3"/>
        <v>2013</v>
      </c>
    </row>
    <row r="21" spans="1:8" x14ac:dyDescent="0.25">
      <c r="A21" s="2">
        <v>45175</v>
      </c>
      <c r="B21">
        <v>165</v>
      </c>
      <c r="C21">
        <f t="shared" si="0"/>
        <v>9</v>
      </c>
      <c r="D21">
        <f t="shared" si="1"/>
        <v>2023</v>
      </c>
      <c r="E21" s="2">
        <v>41499</v>
      </c>
      <c r="F21">
        <v>63.5</v>
      </c>
      <c r="G21">
        <f t="shared" si="2"/>
        <v>8</v>
      </c>
      <c r="H21">
        <f t="shared" si="3"/>
        <v>2013</v>
      </c>
    </row>
    <row r="22" spans="1:8" x14ac:dyDescent="0.25">
      <c r="A22" s="2">
        <v>45176</v>
      </c>
      <c r="B22">
        <v>165</v>
      </c>
      <c r="C22">
        <f t="shared" si="0"/>
        <v>9</v>
      </c>
      <c r="D22">
        <f t="shared" si="1"/>
        <v>2023</v>
      </c>
      <c r="E22" s="2">
        <v>41500</v>
      </c>
      <c r="F22">
        <v>63.5</v>
      </c>
      <c r="G22">
        <f t="shared" si="2"/>
        <v>8</v>
      </c>
      <c r="H22">
        <f t="shared" si="3"/>
        <v>2013</v>
      </c>
    </row>
    <row r="23" spans="1:8" x14ac:dyDescent="0.25">
      <c r="A23" s="2">
        <v>45177</v>
      </c>
      <c r="B23">
        <v>165</v>
      </c>
      <c r="C23">
        <f t="shared" si="0"/>
        <v>9</v>
      </c>
      <c r="D23">
        <f t="shared" si="1"/>
        <v>2023</v>
      </c>
      <c r="E23" s="2">
        <v>41501</v>
      </c>
      <c r="F23">
        <v>62.5</v>
      </c>
      <c r="G23">
        <f t="shared" si="2"/>
        <v>8</v>
      </c>
      <c r="H23">
        <f t="shared" si="3"/>
        <v>2013</v>
      </c>
    </row>
    <row r="24" spans="1:8" x14ac:dyDescent="0.25">
      <c r="A24" s="2">
        <v>45180</v>
      </c>
      <c r="B24">
        <v>165</v>
      </c>
      <c r="C24">
        <f t="shared" si="0"/>
        <v>9</v>
      </c>
      <c r="D24">
        <f t="shared" si="1"/>
        <v>2023</v>
      </c>
      <c r="E24" s="2">
        <v>41502</v>
      </c>
      <c r="F24">
        <v>60.5</v>
      </c>
      <c r="G24">
        <f t="shared" si="2"/>
        <v>8</v>
      </c>
      <c r="H24">
        <f t="shared" si="3"/>
        <v>2013</v>
      </c>
    </row>
    <row r="25" spans="1:8" x14ac:dyDescent="0.25">
      <c r="A25" s="2">
        <v>45181</v>
      </c>
      <c r="B25">
        <v>165.5</v>
      </c>
      <c r="C25">
        <f t="shared" si="0"/>
        <v>9</v>
      </c>
      <c r="D25">
        <f t="shared" si="1"/>
        <v>2023</v>
      </c>
      <c r="E25" s="2">
        <v>41505</v>
      </c>
      <c r="F25">
        <v>60.5</v>
      </c>
      <c r="G25">
        <f t="shared" si="2"/>
        <v>8</v>
      </c>
      <c r="H25">
        <f t="shared" si="3"/>
        <v>2013</v>
      </c>
    </row>
    <row r="26" spans="1:8" x14ac:dyDescent="0.25">
      <c r="A26" s="2">
        <v>45182</v>
      </c>
      <c r="B26">
        <v>165.5</v>
      </c>
      <c r="C26">
        <f t="shared" si="0"/>
        <v>9</v>
      </c>
      <c r="D26">
        <f t="shared" si="1"/>
        <v>2023</v>
      </c>
      <c r="E26" s="2">
        <v>41506</v>
      </c>
      <c r="F26">
        <v>60.5</v>
      </c>
      <c r="G26">
        <f t="shared" si="2"/>
        <v>8</v>
      </c>
      <c r="H26">
        <f t="shared" si="3"/>
        <v>2013</v>
      </c>
    </row>
    <row r="27" spans="1:8" x14ac:dyDescent="0.25">
      <c r="A27" s="2">
        <v>45183</v>
      </c>
      <c r="B27">
        <v>165.5</v>
      </c>
      <c r="C27">
        <f t="shared" si="0"/>
        <v>9</v>
      </c>
      <c r="D27">
        <f t="shared" si="1"/>
        <v>2023</v>
      </c>
      <c r="E27" s="2">
        <v>41507</v>
      </c>
      <c r="F27">
        <v>60</v>
      </c>
      <c r="G27">
        <f t="shared" si="2"/>
        <v>8</v>
      </c>
      <c r="H27">
        <f t="shared" si="3"/>
        <v>2013</v>
      </c>
    </row>
    <row r="28" spans="1:8" x14ac:dyDescent="0.25">
      <c r="A28" s="2">
        <v>45184</v>
      </c>
      <c r="B28">
        <v>165</v>
      </c>
      <c r="C28">
        <f t="shared" si="0"/>
        <v>9</v>
      </c>
      <c r="D28">
        <f t="shared" si="1"/>
        <v>2023</v>
      </c>
      <c r="E28" s="2">
        <v>41508</v>
      </c>
      <c r="F28">
        <v>60</v>
      </c>
      <c r="G28">
        <f t="shared" si="2"/>
        <v>8</v>
      </c>
      <c r="H28">
        <f t="shared" si="3"/>
        <v>2013</v>
      </c>
    </row>
    <row r="29" spans="1:8" x14ac:dyDescent="0.25">
      <c r="A29" s="2">
        <v>45187</v>
      </c>
      <c r="B29">
        <v>165</v>
      </c>
      <c r="C29">
        <f t="shared" si="0"/>
        <v>9</v>
      </c>
      <c r="D29">
        <f t="shared" si="1"/>
        <v>2023</v>
      </c>
      <c r="E29" s="2">
        <v>41509</v>
      </c>
      <c r="F29">
        <v>61.5</v>
      </c>
      <c r="G29">
        <f t="shared" si="2"/>
        <v>8</v>
      </c>
      <c r="H29">
        <f t="shared" si="3"/>
        <v>2013</v>
      </c>
    </row>
    <row r="30" spans="1:8" x14ac:dyDescent="0.25">
      <c r="A30" s="2">
        <v>45188</v>
      </c>
      <c r="B30">
        <v>162</v>
      </c>
      <c r="C30">
        <f t="shared" si="0"/>
        <v>9</v>
      </c>
      <c r="D30">
        <f t="shared" si="1"/>
        <v>2023</v>
      </c>
      <c r="E30" s="2">
        <v>41512</v>
      </c>
      <c r="F30">
        <v>61.5</v>
      </c>
      <c r="G30">
        <f t="shared" si="2"/>
        <v>8</v>
      </c>
      <c r="H30">
        <f t="shared" si="3"/>
        <v>2013</v>
      </c>
    </row>
    <row r="31" spans="1:8" x14ac:dyDescent="0.25">
      <c r="A31" s="2">
        <v>45189</v>
      </c>
      <c r="B31">
        <v>162</v>
      </c>
      <c r="C31">
        <f t="shared" si="0"/>
        <v>9</v>
      </c>
      <c r="D31">
        <f t="shared" si="1"/>
        <v>2023</v>
      </c>
      <c r="E31" s="2">
        <v>41513</v>
      </c>
      <c r="F31">
        <v>62</v>
      </c>
      <c r="G31">
        <f t="shared" si="2"/>
        <v>8</v>
      </c>
      <c r="H31">
        <f t="shared" si="3"/>
        <v>2013</v>
      </c>
    </row>
    <row r="32" spans="1:8" x14ac:dyDescent="0.25">
      <c r="A32" s="2">
        <v>45190</v>
      </c>
      <c r="B32">
        <v>162</v>
      </c>
      <c r="C32">
        <f t="shared" si="0"/>
        <v>9</v>
      </c>
      <c r="D32">
        <f t="shared" si="1"/>
        <v>2023</v>
      </c>
      <c r="E32" s="2">
        <v>41514</v>
      </c>
      <c r="F32">
        <v>62.5</v>
      </c>
      <c r="G32">
        <f t="shared" si="2"/>
        <v>8</v>
      </c>
      <c r="H32">
        <f t="shared" si="3"/>
        <v>2013</v>
      </c>
    </row>
    <row r="33" spans="1:8" x14ac:dyDescent="0.25">
      <c r="A33" s="2">
        <v>45191</v>
      </c>
      <c r="B33">
        <v>162</v>
      </c>
      <c r="C33">
        <f t="shared" si="0"/>
        <v>9</v>
      </c>
      <c r="D33">
        <f t="shared" si="1"/>
        <v>2023</v>
      </c>
      <c r="E33" s="2">
        <v>41515</v>
      </c>
      <c r="F33">
        <v>62.5</v>
      </c>
      <c r="G33">
        <f t="shared" si="2"/>
        <v>8</v>
      </c>
      <c r="H33">
        <f t="shared" si="3"/>
        <v>2013</v>
      </c>
    </row>
    <row r="34" spans="1:8" x14ac:dyDescent="0.25">
      <c r="A34" s="2">
        <v>45194</v>
      </c>
      <c r="B34">
        <v>162</v>
      </c>
      <c r="C34">
        <f t="shared" si="0"/>
        <v>9</v>
      </c>
      <c r="D34">
        <f t="shared" si="1"/>
        <v>2023</v>
      </c>
      <c r="E34" s="2">
        <v>41516</v>
      </c>
      <c r="F34">
        <v>62.5</v>
      </c>
      <c r="G34">
        <f t="shared" si="2"/>
        <v>8</v>
      </c>
      <c r="H34">
        <f t="shared" si="3"/>
        <v>2013</v>
      </c>
    </row>
    <row r="35" spans="1:8" x14ac:dyDescent="0.25">
      <c r="A35" s="2">
        <v>45195</v>
      </c>
      <c r="B35">
        <v>163.5</v>
      </c>
      <c r="C35">
        <f t="shared" si="0"/>
        <v>9</v>
      </c>
      <c r="D35">
        <f t="shared" si="1"/>
        <v>2023</v>
      </c>
      <c r="E35" s="2">
        <v>41520</v>
      </c>
      <c r="F35">
        <v>62.5</v>
      </c>
      <c r="G35">
        <f t="shared" si="2"/>
        <v>9</v>
      </c>
      <c r="H35">
        <f t="shared" si="3"/>
        <v>2013</v>
      </c>
    </row>
    <row r="36" spans="1:8" x14ac:dyDescent="0.25">
      <c r="A36" s="2">
        <v>45196</v>
      </c>
      <c r="B36">
        <v>163.5</v>
      </c>
      <c r="C36">
        <f t="shared" si="0"/>
        <v>9</v>
      </c>
      <c r="D36">
        <f t="shared" si="1"/>
        <v>2023</v>
      </c>
      <c r="E36" s="2">
        <v>41521</v>
      </c>
      <c r="F36">
        <v>66</v>
      </c>
      <c r="G36">
        <f t="shared" si="2"/>
        <v>9</v>
      </c>
      <c r="H36">
        <f t="shared" si="3"/>
        <v>2013</v>
      </c>
    </row>
    <row r="37" spans="1:8" x14ac:dyDescent="0.25">
      <c r="A37" s="2">
        <v>45197</v>
      </c>
      <c r="B37">
        <v>163.5</v>
      </c>
      <c r="C37">
        <f t="shared" si="0"/>
        <v>9</v>
      </c>
      <c r="D37">
        <f t="shared" si="1"/>
        <v>2023</v>
      </c>
      <c r="E37" s="2">
        <v>41522</v>
      </c>
      <c r="F37">
        <v>66</v>
      </c>
      <c r="G37">
        <f t="shared" si="2"/>
        <v>9</v>
      </c>
      <c r="H37">
        <f t="shared" si="3"/>
        <v>2013</v>
      </c>
    </row>
    <row r="38" spans="1:8" x14ac:dyDescent="0.25">
      <c r="A38" s="2">
        <v>45198</v>
      </c>
      <c r="B38">
        <v>163.5</v>
      </c>
      <c r="C38">
        <f t="shared" si="0"/>
        <v>9</v>
      </c>
      <c r="D38">
        <f t="shared" si="1"/>
        <v>2023</v>
      </c>
      <c r="E38" s="2">
        <v>41523</v>
      </c>
      <c r="F38">
        <v>66</v>
      </c>
      <c r="G38">
        <f t="shared" si="2"/>
        <v>9</v>
      </c>
      <c r="H38">
        <f t="shared" si="3"/>
        <v>2013</v>
      </c>
    </row>
    <row r="39" spans="1:8" x14ac:dyDescent="0.25">
      <c r="A39" s="2">
        <v>45201</v>
      </c>
      <c r="B39">
        <v>163.5</v>
      </c>
      <c r="C39">
        <f t="shared" si="0"/>
        <v>10</v>
      </c>
      <c r="D39">
        <f t="shared" si="1"/>
        <v>2023</v>
      </c>
      <c r="E39" s="2">
        <v>41526</v>
      </c>
      <c r="F39">
        <v>67.5</v>
      </c>
      <c r="G39">
        <f t="shared" si="2"/>
        <v>9</v>
      </c>
      <c r="H39">
        <f t="shared" si="3"/>
        <v>2013</v>
      </c>
    </row>
    <row r="40" spans="1:8" x14ac:dyDescent="0.25">
      <c r="A40" s="2">
        <v>45202</v>
      </c>
      <c r="B40">
        <v>164.5</v>
      </c>
      <c r="C40">
        <f t="shared" si="0"/>
        <v>10</v>
      </c>
      <c r="D40">
        <f t="shared" si="1"/>
        <v>2023</v>
      </c>
      <c r="E40" s="2">
        <v>41527</v>
      </c>
      <c r="F40">
        <v>67.5</v>
      </c>
      <c r="G40">
        <f t="shared" si="2"/>
        <v>9</v>
      </c>
      <c r="H40">
        <f t="shared" si="3"/>
        <v>2013</v>
      </c>
    </row>
    <row r="41" spans="1:8" x14ac:dyDescent="0.25">
      <c r="A41" s="2">
        <v>45203</v>
      </c>
      <c r="B41">
        <v>164.5</v>
      </c>
      <c r="C41">
        <f t="shared" si="0"/>
        <v>10</v>
      </c>
      <c r="D41">
        <f t="shared" si="1"/>
        <v>2023</v>
      </c>
      <c r="E41" s="2">
        <v>41528</v>
      </c>
      <c r="F41">
        <v>67.5</v>
      </c>
      <c r="G41">
        <f t="shared" si="2"/>
        <v>9</v>
      </c>
      <c r="H41">
        <f t="shared" si="3"/>
        <v>2013</v>
      </c>
    </row>
    <row r="42" spans="1:8" x14ac:dyDescent="0.25">
      <c r="A42" s="2">
        <v>45204</v>
      </c>
      <c r="B42">
        <v>164.5</v>
      </c>
      <c r="C42">
        <f t="shared" si="0"/>
        <v>10</v>
      </c>
      <c r="D42">
        <f t="shared" si="1"/>
        <v>2023</v>
      </c>
      <c r="E42" s="2">
        <v>41529</v>
      </c>
      <c r="F42">
        <v>71.5</v>
      </c>
      <c r="G42">
        <f t="shared" si="2"/>
        <v>9</v>
      </c>
      <c r="H42">
        <f t="shared" si="3"/>
        <v>2013</v>
      </c>
    </row>
    <row r="43" spans="1:8" x14ac:dyDescent="0.25">
      <c r="A43" s="2">
        <v>45205</v>
      </c>
      <c r="B43">
        <v>164.5</v>
      </c>
      <c r="C43">
        <f t="shared" si="0"/>
        <v>10</v>
      </c>
      <c r="D43">
        <f t="shared" si="1"/>
        <v>2023</v>
      </c>
      <c r="E43" s="2">
        <v>41530</v>
      </c>
      <c r="F43">
        <v>73.5</v>
      </c>
      <c r="G43">
        <f t="shared" si="2"/>
        <v>9</v>
      </c>
      <c r="H43">
        <f t="shared" si="3"/>
        <v>2013</v>
      </c>
    </row>
    <row r="44" spans="1:8" x14ac:dyDescent="0.25">
      <c r="A44" s="2">
        <v>45208</v>
      </c>
      <c r="B44">
        <v>164.25</v>
      </c>
      <c r="C44">
        <f t="shared" si="0"/>
        <v>10</v>
      </c>
      <c r="D44">
        <f t="shared" si="1"/>
        <v>2023</v>
      </c>
      <c r="E44" s="2">
        <v>41533</v>
      </c>
      <c r="F44">
        <v>76</v>
      </c>
      <c r="G44">
        <f t="shared" si="2"/>
        <v>9</v>
      </c>
      <c r="H44">
        <f t="shared" si="3"/>
        <v>2013</v>
      </c>
    </row>
    <row r="45" spans="1:8" x14ac:dyDescent="0.25">
      <c r="A45" s="2">
        <v>45209</v>
      </c>
      <c r="B45">
        <v>160</v>
      </c>
      <c r="C45">
        <f t="shared" si="0"/>
        <v>10</v>
      </c>
      <c r="D45">
        <f t="shared" si="1"/>
        <v>2023</v>
      </c>
      <c r="E45" s="2">
        <v>41534</v>
      </c>
      <c r="F45">
        <v>76</v>
      </c>
      <c r="G45">
        <f t="shared" si="2"/>
        <v>9</v>
      </c>
      <c r="H45">
        <f t="shared" si="3"/>
        <v>2013</v>
      </c>
    </row>
    <row r="46" spans="1:8" x14ac:dyDescent="0.25">
      <c r="A46" s="2">
        <v>45210</v>
      </c>
      <c r="B46">
        <v>160</v>
      </c>
      <c r="C46">
        <f t="shared" si="0"/>
        <v>10</v>
      </c>
      <c r="D46">
        <f t="shared" si="1"/>
        <v>2023</v>
      </c>
      <c r="E46" s="2">
        <v>41535</v>
      </c>
      <c r="F46">
        <v>76</v>
      </c>
      <c r="G46">
        <f t="shared" si="2"/>
        <v>9</v>
      </c>
      <c r="H46">
        <f t="shared" si="3"/>
        <v>2013</v>
      </c>
    </row>
    <row r="47" spans="1:8" x14ac:dyDescent="0.25">
      <c r="A47" s="2">
        <v>45211</v>
      </c>
      <c r="B47">
        <v>160</v>
      </c>
      <c r="C47">
        <f t="shared" si="0"/>
        <v>10</v>
      </c>
      <c r="D47">
        <f t="shared" si="1"/>
        <v>2023</v>
      </c>
      <c r="E47" s="2">
        <v>41536</v>
      </c>
      <c r="F47">
        <v>76</v>
      </c>
      <c r="G47">
        <f t="shared" si="2"/>
        <v>9</v>
      </c>
      <c r="H47">
        <f t="shared" si="3"/>
        <v>2013</v>
      </c>
    </row>
    <row r="48" spans="1:8" x14ac:dyDescent="0.25">
      <c r="A48" s="2">
        <v>45212</v>
      </c>
      <c r="B48">
        <v>160</v>
      </c>
      <c r="C48">
        <f t="shared" si="0"/>
        <v>10</v>
      </c>
      <c r="D48">
        <f t="shared" si="1"/>
        <v>2023</v>
      </c>
      <c r="E48" s="2">
        <v>41537</v>
      </c>
      <c r="F48">
        <v>76</v>
      </c>
      <c r="G48">
        <f t="shared" si="2"/>
        <v>9</v>
      </c>
      <c r="H48">
        <f t="shared" si="3"/>
        <v>2013</v>
      </c>
    </row>
    <row r="49" spans="1:8" x14ac:dyDescent="0.25">
      <c r="A49" s="2">
        <v>45215</v>
      </c>
      <c r="B49">
        <v>160</v>
      </c>
      <c r="C49">
        <f t="shared" si="0"/>
        <v>10</v>
      </c>
      <c r="D49">
        <f t="shared" si="1"/>
        <v>2023</v>
      </c>
      <c r="E49" s="2">
        <v>41540</v>
      </c>
      <c r="F49">
        <v>76</v>
      </c>
      <c r="G49">
        <f t="shared" si="2"/>
        <v>9</v>
      </c>
      <c r="H49">
        <f t="shared" si="3"/>
        <v>2013</v>
      </c>
    </row>
    <row r="50" spans="1:8" x14ac:dyDescent="0.25">
      <c r="A50" s="2">
        <v>45216</v>
      </c>
      <c r="B50">
        <v>160</v>
      </c>
      <c r="C50">
        <f t="shared" si="0"/>
        <v>10</v>
      </c>
      <c r="D50">
        <f t="shared" si="1"/>
        <v>2023</v>
      </c>
      <c r="E50" s="2">
        <v>41541</v>
      </c>
      <c r="F50">
        <v>77.5</v>
      </c>
      <c r="G50">
        <f t="shared" si="2"/>
        <v>9</v>
      </c>
      <c r="H50">
        <f t="shared" si="3"/>
        <v>2013</v>
      </c>
    </row>
    <row r="51" spans="1:8" x14ac:dyDescent="0.25">
      <c r="A51" s="2">
        <v>45217</v>
      </c>
      <c r="B51">
        <v>160</v>
      </c>
      <c r="C51">
        <f t="shared" si="0"/>
        <v>10</v>
      </c>
      <c r="D51">
        <f t="shared" si="1"/>
        <v>2023</v>
      </c>
      <c r="E51" s="2">
        <v>41542</v>
      </c>
      <c r="F51">
        <v>78.5</v>
      </c>
      <c r="G51">
        <f t="shared" si="2"/>
        <v>9</v>
      </c>
      <c r="H51">
        <f t="shared" si="3"/>
        <v>2013</v>
      </c>
    </row>
    <row r="52" spans="1:8" x14ac:dyDescent="0.25">
      <c r="A52" s="2">
        <v>45218</v>
      </c>
      <c r="B52">
        <v>140</v>
      </c>
      <c r="C52">
        <f t="shared" si="0"/>
        <v>10</v>
      </c>
      <c r="D52">
        <f t="shared" si="1"/>
        <v>2023</v>
      </c>
      <c r="E52" s="2">
        <v>41543</v>
      </c>
      <c r="F52">
        <v>78.5</v>
      </c>
      <c r="G52">
        <f t="shared" si="2"/>
        <v>9</v>
      </c>
      <c r="H52">
        <f t="shared" si="3"/>
        <v>2013</v>
      </c>
    </row>
    <row r="53" spans="1:8" x14ac:dyDescent="0.25">
      <c r="A53" s="2">
        <v>45219</v>
      </c>
      <c r="B53">
        <v>135</v>
      </c>
      <c r="C53">
        <f t="shared" si="0"/>
        <v>10</v>
      </c>
      <c r="D53">
        <f t="shared" si="1"/>
        <v>2023</v>
      </c>
      <c r="E53" s="2">
        <v>41544</v>
      </c>
      <c r="F53">
        <v>78.5</v>
      </c>
      <c r="G53">
        <f t="shared" si="2"/>
        <v>9</v>
      </c>
      <c r="H53">
        <f t="shared" si="3"/>
        <v>2013</v>
      </c>
    </row>
    <row r="54" spans="1:8" x14ac:dyDescent="0.25">
      <c r="A54" s="2">
        <v>45222</v>
      </c>
      <c r="B54">
        <v>135</v>
      </c>
      <c r="C54">
        <f t="shared" si="0"/>
        <v>10</v>
      </c>
      <c r="D54">
        <f t="shared" si="1"/>
        <v>2023</v>
      </c>
      <c r="E54" s="2">
        <v>41547</v>
      </c>
      <c r="F54">
        <v>76</v>
      </c>
      <c r="G54">
        <f t="shared" si="2"/>
        <v>9</v>
      </c>
      <c r="H54">
        <f t="shared" si="3"/>
        <v>2013</v>
      </c>
    </row>
    <row r="55" spans="1:8" x14ac:dyDescent="0.25">
      <c r="A55" s="2">
        <v>45223</v>
      </c>
      <c r="B55">
        <v>130</v>
      </c>
      <c r="C55">
        <f t="shared" si="0"/>
        <v>10</v>
      </c>
      <c r="D55">
        <f t="shared" si="1"/>
        <v>2023</v>
      </c>
      <c r="E55" s="2">
        <v>41548</v>
      </c>
      <c r="F55">
        <v>76</v>
      </c>
      <c r="G55">
        <f t="shared" si="2"/>
        <v>10</v>
      </c>
      <c r="H55">
        <f t="shared" si="3"/>
        <v>2013</v>
      </c>
    </row>
    <row r="56" spans="1:8" x14ac:dyDescent="0.25">
      <c r="A56" s="2">
        <v>45224</v>
      </c>
      <c r="B56">
        <v>130</v>
      </c>
      <c r="C56">
        <f t="shared" si="0"/>
        <v>10</v>
      </c>
      <c r="D56">
        <f t="shared" si="1"/>
        <v>2023</v>
      </c>
      <c r="E56" s="2">
        <v>41549</v>
      </c>
      <c r="F56">
        <v>77.5</v>
      </c>
      <c r="G56">
        <f t="shared" si="2"/>
        <v>10</v>
      </c>
      <c r="H56">
        <f t="shared" si="3"/>
        <v>2013</v>
      </c>
    </row>
    <row r="57" spans="1:8" x14ac:dyDescent="0.25">
      <c r="A57" s="2">
        <v>45225</v>
      </c>
      <c r="B57">
        <v>130</v>
      </c>
      <c r="C57">
        <f t="shared" si="0"/>
        <v>10</v>
      </c>
      <c r="D57">
        <f t="shared" si="1"/>
        <v>2023</v>
      </c>
      <c r="E57" s="2">
        <v>41550</v>
      </c>
      <c r="F57">
        <v>78</v>
      </c>
      <c r="G57">
        <f t="shared" si="2"/>
        <v>10</v>
      </c>
      <c r="H57">
        <f t="shared" si="3"/>
        <v>2013</v>
      </c>
    </row>
    <row r="58" spans="1:8" x14ac:dyDescent="0.25">
      <c r="A58" s="2">
        <v>45226</v>
      </c>
      <c r="B58">
        <v>124.5</v>
      </c>
      <c r="C58">
        <f t="shared" si="0"/>
        <v>10</v>
      </c>
      <c r="D58">
        <f t="shared" si="1"/>
        <v>2023</v>
      </c>
      <c r="E58" s="2">
        <v>41551</v>
      </c>
      <c r="F58">
        <v>78</v>
      </c>
      <c r="G58">
        <f t="shared" si="2"/>
        <v>10</v>
      </c>
      <c r="H58">
        <f t="shared" si="3"/>
        <v>2013</v>
      </c>
    </row>
    <row r="59" spans="1:8" x14ac:dyDescent="0.25">
      <c r="A59" s="2">
        <v>45229</v>
      </c>
      <c r="B59">
        <v>125</v>
      </c>
      <c r="C59">
        <f t="shared" si="0"/>
        <v>10</v>
      </c>
      <c r="D59">
        <f t="shared" si="1"/>
        <v>2023</v>
      </c>
      <c r="E59" s="2">
        <v>41554</v>
      </c>
      <c r="F59">
        <v>78</v>
      </c>
      <c r="G59">
        <f t="shared" si="2"/>
        <v>10</v>
      </c>
      <c r="H59">
        <f t="shared" si="3"/>
        <v>2013</v>
      </c>
    </row>
    <row r="60" spans="1:8" x14ac:dyDescent="0.25">
      <c r="A60" s="2">
        <v>45230</v>
      </c>
      <c r="B60">
        <v>125</v>
      </c>
      <c r="C60">
        <f t="shared" si="0"/>
        <v>10</v>
      </c>
      <c r="D60">
        <f t="shared" si="1"/>
        <v>2023</v>
      </c>
      <c r="E60" s="2">
        <v>41555</v>
      </c>
      <c r="F60">
        <v>78.5</v>
      </c>
      <c r="G60">
        <f t="shared" si="2"/>
        <v>10</v>
      </c>
      <c r="H60">
        <f t="shared" si="3"/>
        <v>2013</v>
      </c>
    </row>
    <row r="61" spans="1:8" x14ac:dyDescent="0.25">
      <c r="A61" s="2">
        <v>45231</v>
      </c>
      <c r="B61">
        <v>125</v>
      </c>
      <c r="C61">
        <f t="shared" si="0"/>
        <v>11</v>
      </c>
      <c r="D61">
        <f t="shared" si="1"/>
        <v>2023</v>
      </c>
      <c r="E61" s="2">
        <v>41556</v>
      </c>
      <c r="F61">
        <v>78.5</v>
      </c>
      <c r="G61">
        <f t="shared" si="2"/>
        <v>10</v>
      </c>
      <c r="H61">
        <f t="shared" si="3"/>
        <v>2013</v>
      </c>
    </row>
    <row r="62" spans="1:8" x14ac:dyDescent="0.25">
      <c r="A62" s="2">
        <v>45232</v>
      </c>
      <c r="B62">
        <v>120</v>
      </c>
      <c r="C62">
        <f t="shared" si="0"/>
        <v>11</v>
      </c>
      <c r="D62">
        <f t="shared" si="1"/>
        <v>2023</v>
      </c>
      <c r="E62" s="2">
        <v>41557</v>
      </c>
      <c r="F62">
        <v>78.5</v>
      </c>
      <c r="G62">
        <f t="shared" si="2"/>
        <v>10</v>
      </c>
      <c r="H62">
        <f t="shared" si="3"/>
        <v>2013</v>
      </c>
    </row>
    <row r="63" spans="1:8" x14ac:dyDescent="0.25">
      <c r="A63" s="2">
        <v>45233</v>
      </c>
      <c r="B63">
        <v>120</v>
      </c>
      <c r="C63">
        <f t="shared" si="0"/>
        <v>11</v>
      </c>
      <c r="D63">
        <f t="shared" si="1"/>
        <v>2023</v>
      </c>
      <c r="E63" s="2">
        <v>41558</v>
      </c>
      <c r="F63">
        <v>80.5</v>
      </c>
      <c r="G63">
        <f t="shared" si="2"/>
        <v>10</v>
      </c>
      <c r="H63">
        <f t="shared" si="3"/>
        <v>2013</v>
      </c>
    </row>
    <row r="64" spans="1:8" x14ac:dyDescent="0.25">
      <c r="A64" s="2">
        <v>45236</v>
      </c>
      <c r="B64">
        <v>120</v>
      </c>
      <c r="C64">
        <f t="shared" si="0"/>
        <v>11</v>
      </c>
      <c r="D64">
        <f t="shared" si="1"/>
        <v>2023</v>
      </c>
      <c r="E64" s="2">
        <v>41561</v>
      </c>
      <c r="F64">
        <v>80.5</v>
      </c>
      <c r="G64">
        <f t="shared" si="2"/>
        <v>10</v>
      </c>
      <c r="H64">
        <f t="shared" si="3"/>
        <v>2013</v>
      </c>
    </row>
    <row r="65" spans="1:8" x14ac:dyDescent="0.25">
      <c r="A65" s="2">
        <v>45237</v>
      </c>
      <c r="B65">
        <v>120</v>
      </c>
      <c r="C65">
        <f t="shared" si="0"/>
        <v>11</v>
      </c>
      <c r="D65">
        <f t="shared" si="1"/>
        <v>2023</v>
      </c>
      <c r="E65" s="2">
        <v>41562</v>
      </c>
      <c r="F65">
        <v>80.5</v>
      </c>
      <c r="G65">
        <f t="shared" si="2"/>
        <v>10</v>
      </c>
      <c r="H65">
        <f t="shared" si="3"/>
        <v>2013</v>
      </c>
    </row>
    <row r="66" spans="1:8" x14ac:dyDescent="0.25">
      <c r="A66" s="2">
        <v>45238</v>
      </c>
      <c r="B66">
        <v>111</v>
      </c>
      <c r="C66">
        <f t="shared" si="0"/>
        <v>11</v>
      </c>
      <c r="D66">
        <f t="shared" si="1"/>
        <v>2023</v>
      </c>
      <c r="E66" s="2">
        <v>41563</v>
      </c>
      <c r="F66">
        <v>81.5</v>
      </c>
      <c r="G66">
        <f t="shared" si="2"/>
        <v>10</v>
      </c>
      <c r="H66">
        <f t="shared" si="3"/>
        <v>2013</v>
      </c>
    </row>
    <row r="67" spans="1:8" x14ac:dyDescent="0.25">
      <c r="A67" s="2">
        <v>45239</v>
      </c>
      <c r="B67">
        <v>111</v>
      </c>
      <c r="C67">
        <f t="shared" si="0"/>
        <v>11</v>
      </c>
      <c r="D67">
        <f t="shared" si="1"/>
        <v>2023</v>
      </c>
      <c r="E67" s="2">
        <v>41564</v>
      </c>
      <c r="F67">
        <v>81.5</v>
      </c>
      <c r="G67">
        <f t="shared" si="2"/>
        <v>10</v>
      </c>
      <c r="H67">
        <f t="shared" si="3"/>
        <v>2013</v>
      </c>
    </row>
    <row r="68" spans="1:8" x14ac:dyDescent="0.25">
      <c r="A68" s="2">
        <v>45240</v>
      </c>
      <c r="B68">
        <v>107.5</v>
      </c>
      <c r="C68">
        <f t="shared" si="0"/>
        <v>11</v>
      </c>
      <c r="D68">
        <f t="shared" si="1"/>
        <v>2023</v>
      </c>
      <c r="E68" s="2">
        <v>41565</v>
      </c>
      <c r="F68">
        <v>85</v>
      </c>
      <c r="G68">
        <f t="shared" si="2"/>
        <v>10</v>
      </c>
      <c r="H68">
        <f t="shared" si="3"/>
        <v>2013</v>
      </c>
    </row>
    <row r="69" spans="1:8" x14ac:dyDescent="0.25">
      <c r="A69" s="2">
        <v>45243</v>
      </c>
      <c r="B69">
        <v>104.5</v>
      </c>
      <c r="C69">
        <f t="shared" ref="C69:C132" si="4">MONTH(A69)</f>
        <v>11</v>
      </c>
      <c r="D69">
        <f t="shared" ref="D69:D132" si="5">YEAR(A69)</f>
        <v>2023</v>
      </c>
      <c r="E69" s="2">
        <v>41568</v>
      </c>
      <c r="F69">
        <v>85</v>
      </c>
      <c r="G69">
        <f t="shared" ref="G69:G132" si="6">MONTH(E69)</f>
        <v>10</v>
      </c>
      <c r="H69">
        <f t="shared" ref="H69:H132" si="7">YEAR(E69)</f>
        <v>2013</v>
      </c>
    </row>
    <row r="70" spans="1:8" x14ac:dyDescent="0.25">
      <c r="A70" s="2">
        <v>45244</v>
      </c>
      <c r="B70">
        <v>104</v>
      </c>
      <c r="C70">
        <f t="shared" si="4"/>
        <v>11</v>
      </c>
      <c r="D70">
        <f t="shared" si="5"/>
        <v>2023</v>
      </c>
      <c r="E70" s="2">
        <v>41569</v>
      </c>
      <c r="F70">
        <v>85</v>
      </c>
      <c r="G70">
        <f t="shared" si="6"/>
        <v>10</v>
      </c>
      <c r="H70">
        <f t="shared" si="7"/>
        <v>2013</v>
      </c>
    </row>
    <row r="71" spans="1:8" x14ac:dyDescent="0.25">
      <c r="A71" s="2">
        <v>45245</v>
      </c>
      <c r="B71">
        <v>97.5</v>
      </c>
      <c r="C71">
        <f t="shared" si="4"/>
        <v>11</v>
      </c>
      <c r="D71">
        <f t="shared" si="5"/>
        <v>2023</v>
      </c>
      <c r="E71" s="2">
        <v>41570</v>
      </c>
      <c r="F71">
        <v>85</v>
      </c>
      <c r="G71">
        <f t="shared" si="6"/>
        <v>10</v>
      </c>
      <c r="H71">
        <f t="shared" si="7"/>
        <v>2013</v>
      </c>
    </row>
    <row r="72" spans="1:8" x14ac:dyDescent="0.25">
      <c r="A72" s="2">
        <v>45246</v>
      </c>
      <c r="B72">
        <v>97.5</v>
      </c>
      <c r="C72">
        <f t="shared" si="4"/>
        <v>11</v>
      </c>
      <c r="D72">
        <f t="shared" si="5"/>
        <v>2023</v>
      </c>
      <c r="E72" s="2">
        <v>41571</v>
      </c>
      <c r="F72">
        <v>85</v>
      </c>
      <c r="G72">
        <f t="shared" si="6"/>
        <v>10</v>
      </c>
      <c r="H72">
        <f t="shared" si="7"/>
        <v>2013</v>
      </c>
    </row>
    <row r="73" spans="1:8" x14ac:dyDescent="0.25">
      <c r="A73" s="2">
        <v>45247</v>
      </c>
      <c r="B73">
        <v>97.5</v>
      </c>
      <c r="C73">
        <f t="shared" si="4"/>
        <v>11</v>
      </c>
      <c r="D73">
        <f t="shared" si="5"/>
        <v>2023</v>
      </c>
      <c r="E73" s="2">
        <v>41572</v>
      </c>
      <c r="F73">
        <v>85</v>
      </c>
      <c r="G73">
        <f t="shared" si="6"/>
        <v>10</v>
      </c>
      <c r="H73">
        <f t="shared" si="7"/>
        <v>2013</v>
      </c>
    </row>
    <row r="74" spans="1:8" x14ac:dyDescent="0.25">
      <c r="A74" s="2">
        <v>45250</v>
      </c>
      <c r="B74">
        <v>97.5</v>
      </c>
      <c r="C74">
        <f t="shared" si="4"/>
        <v>11</v>
      </c>
      <c r="D74">
        <f t="shared" si="5"/>
        <v>2023</v>
      </c>
      <c r="E74" s="2">
        <v>41575</v>
      </c>
      <c r="F74">
        <v>82.5</v>
      </c>
      <c r="G74">
        <f t="shared" si="6"/>
        <v>10</v>
      </c>
      <c r="H74">
        <f t="shared" si="7"/>
        <v>2013</v>
      </c>
    </row>
    <row r="75" spans="1:8" x14ac:dyDescent="0.25">
      <c r="A75" s="2">
        <v>45251</v>
      </c>
      <c r="B75">
        <v>97.5</v>
      </c>
      <c r="C75">
        <f t="shared" si="4"/>
        <v>11</v>
      </c>
      <c r="D75">
        <f t="shared" si="5"/>
        <v>2023</v>
      </c>
      <c r="E75" s="2">
        <v>41576</v>
      </c>
      <c r="F75">
        <v>82.5</v>
      </c>
      <c r="G75">
        <f t="shared" si="6"/>
        <v>10</v>
      </c>
      <c r="H75">
        <f t="shared" si="7"/>
        <v>2013</v>
      </c>
    </row>
    <row r="76" spans="1:8" x14ac:dyDescent="0.25">
      <c r="A76" s="2">
        <v>45252</v>
      </c>
      <c r="B76">
        <v>97.5</v>
      </c>
      <c r="C76">
        <f t="shared" si="4"/>
        <v>11</v>
      </c>
      <c r="D76">
        <f t="shared" si="5"/>
        <v>2023</v>
      </c>
      <c r="E76" s="2">
        <v>41577</v>
      </c>
      <c r="F76">
        <v>83</v>
      </c>
      <c r="G76">
        <f t="shared" si="6"/>
        <v>10</v>
      </c>
      <c r="H76">
        <f t="shared" si="7"/>
        <v>2013</v>
      </c>
    </row>
    <row r="77" spans="1:8" x14ac:dyDescent="0.25">
      <c r="A77" s="2">
        <v>45257</v>
      </c>
      <c r="B77">
        <v>97.5</v>
      </c>
      <c r="C77">
        <f t="shared" si="4"/>
        <v>11</v>
      </c>
      <c r="D77">
        <f t="shared" si="5"/>
        <v>2023</v>
      </c>
      <c r="E77" s="2">
        <v>41578</v>
      </c>
      <c r="F77">
        <v>84</v>
      </c>
      <c r="G77">
        <f t="shared" si="6"/>
        <v>10</v>
      </c>
      <c r="H77">
        <f t="shared" si="7"/>
        <v>2013</v>
      </c>
    </row>
    <row r="78" spans="1:8" x14ac:dyDescent="0.25">
      <c r="A78" s="2">
        <v>45258</v>
      </c>
      <c r="B78">
        <v>96</v>
      </c>
      <c r="C78">
        <f t="shared" si="4"/>
        <v>11</v>
      </c>
      <c r="D78">
        <f t="shared" si="5"/>
        <v>2023</v>
      </c>
      <c r="E78" s="2">
        <v>41579</v>
      </c>
      <c r="F78">
        <v>84</v>
      </c>
      <c r="G78">
        <f t="shared" si="6"/>
        <v>11</v>
      </c>
      <c r="H78">
        <f t="shared" si="7"/>
        <v>2013</v>
      </c>
    </row>
    <row r="79" spans="1:8" x14ac:dyDescent="0.25">
      <c r="A79" s="2">
        <v>45259</v>
      </c>
      <c r="B79">
        <v>95.5</v>
      </c>
      <c r="C79">
        <f t="shared" si="4"/>
        <v>11</v>
      </c>
      <c r="D79">
        <f t="shared" si="5"/>
        <v>2023</v>
      </c>
      <c r="E79" s="2">
        <v>41582</v>
      </c>
      <c r="F79">
        <v>84</v>
      </c>
      <c r="G79">
        <f t="shared" si="6"/>
        <v>11</v>
      </c>
      <c r="H79">
        <f t="shared" si="7"/>
        <v>2013</v>
      </c>
    </row>
    <row r="80" spans="1:8" x14ac:dyDescent="0.25">
      <c r="A80" s="2">
        <v>45260</v>
      </c>
      <c r="B80">
        <v>97</v>
      </c>
      <c r="C80">
        <f t="shared" si="4"/>
        <v>11</v>
      </c>
      <c r="D80">
        <f t="shared" si="5"/>
        <v>2023</v>
      </c>
      <c r="E80" s="2">
        <v>41583</v>
      </c>
      <c r="F80">
        <v>84</v>
      </c>
      <c r="G80">
        <f t="shared" si="6"/>
        <v>11</v>
      </c>
      <c r="H80">
        <f t="shared" si="7"/>
        <v>2013</v>
      </c>
    </row>
    <row r="81" spans="1:8" x14ac:dyDescent="0.25">
      <c r="A81" s="2">
        <v>45261</v>
      </c>
      <c r="B81">
        <v>97</v>
      </c>
      <c r="C81">
        <f t="shared" si="4"/>
        <v>12</v>
      </c>
      <c r="D81">
        <f t="shared" si="5"/>
        <v>2023</v>
      </c>
      <c r="E81" s="2">
        <v>41584</v>
      </c>
      <c r="F81">
        <v>84</v>
      </c>
      <c r="G81">
        <f t="shared" si="6"/>
        <v>11</v>
      </c>
      <c r="H81">
        <f t="shared" si="7"/>
        <v>2013</v>
      </c>
    </row>
    <row r="82" spans="1:8" x14ac:dyDescent="0.25">
      <c r="A82" s="2">
        <v>45264</v>
      </c>
      <c r="B82">
        <v>97</v>
      </c>
      <c r="C82">
        <f t="shared" si="4"/>
        <v>12</v>
      </c>
      <c r="D82">
        <f t="shared" si="5"/>
        <v>2023</v>
      </c>
      <c r="E82" s="2">
        <v>41585</v>
      </c>
      <c r="F82">
        <v>84</v>
      </c>
      <c r="G82">
        <f t="shared" si="6"/>
        <v>11</v>
      </c>
      <c r="H82">
        <f t="shared" si="7"/>
        <v>2013</v>
      </c>
    </row>
    <row r="83" spans="1:8" x14ac:dyDescent="0.25">
      <c r="A83" s="2">
        <v>45265</v>
      </c>
      <c r="B83">
        <v>97</v>
      </c>
      <c r="C83">
        <f t="shared" si="4"/>
        <v>12</v>
      </c>
      <c r="D83">
        <f t="shared" si="5"/>
        <v>2023</v>
      </c>
      <c r="E83" s="2">
        <v>41586</v>
      </c>
      <c r="F83">
        <v>84</v>
      </c>
      <c r="G83">
        <f t="shared" si="6"/>
        <v>11</v>
      </c>
      <c r="H83">
        <f t="shared" si="7"/>
        <v>2013</v>
      </c>
    </row>
    <row r="84" spans="1:8" x14ac:dyDescent="0.25">
      <c r="A84" s="2">
        <v>45266</v>
      </c>
      <c r="B84">
        <v>97</v>
      </c>
      <c r="C84">
        <f t="shared" si="4"/>
        <v>12</v>
      </c>
      <c r="D84">
        <f t="shared" si="5"/>
        <v>2023</v>
      </c>
      <c r="E84" s="2">
        <v>41589</v>
      </c>
      <c r="F84">
        <v>84</v>
      </c>
      <c r="G84">
        <f t="shared" si="6"/>
        <v>11</v>
      </c>
      <c r="H84">
        <f t="shared" si="7"/>
        <v>2013</v>
      </c>
    </row>
    <row r="85" spans="1:8" x14ac:dyDescent="0.25">
      <c r="A85" s="2">
        <v>45267</v>
      </c>
      <c r="B85">
        <v>98.5</v>
      </c>
      <c r="C85">
        <f t="shared" si="4"/>
        <v>12</v>
      </c>
      <c r="D85">
        <f t="shared" si="5"/>
        <v>2023</v>
      </c>
      <c r="E85" s="2">
        <v>41590</v>
      </c>
      <c r="F85">
        <v>84.5</v>
      </c>
      <c r="G85">
        <f t="shared" si="6"/>
        <v>11</v>
      </c>
      <c r="H85">
        <f t="shared" si="7"/>
        <v>2013</v>
      </c>
    </row>
    <row r="86" spans="1:8" x14ac:dyDescent="0.25">
      <c r="A86" s="2">
        <v>45268</v>
      </c>
      <c r="B86">
        <v>92.5</v>
      </c>
      <c r="C86">
        <f t="shared" si="4"/>
        <v>12</v>
      </c>
      <c r="D86">
        <f t="shared" si="5"/>
        <v>2023</v>
      </c>
      <c r="E86" s="2">
        <v>41591</v>
      </c>
      <c r="F86">
        <v>83</v>
      </c>
      <c r="G86">
        <f t="shared" si="6"/>
        <v>11</v>
      </c>
      <c r="H86">
        <f t="shared" si="7"/>
        <v>2013</v>
      </c>
    </row>
    <row r="87" spans="1:8" x14ac:dyDescent="0.25">
      <c r="A87" s="2">
        <v>45271</v>
      </c>
      <c r="B87">
        <v>92.5</v>
      </c>
      <c r="C87">
        <f t="shared" si="4"/>
        <v>12</v>
      </c>
      <c r="D87">
        <f t="shared" si="5"/>
        <v>2023</v>
      </c>
      <c r="E87" s="2">
        <v>41592</v>
      </c>
      <c r="F87">
        <v>82</v>
      </c>
      <c r="G87">
        <f t="shared" si="6"/>
        <v>11</v>
      </c>
      <c r="H87">
        <f t="shared" si="7"/>
        <v>2013</v>
      </c>
    </row>
    <row r="88" spans="1:8" x14ac:dyDescent="0.25">
      <c r="A88" s="2">
        <v>45272</v>
      </c>
      <c r="B88">
        <v>97.5</v>
      </c>
      <c r="C88">
        <f t="shared" si="4"/>
        <v>12</v>
      </c>
      <c r="D88">
        <f t="shared" si="5"/>
        <v>2023</v>
      </c>
      <c r="E88" s="2">
        <v>41593</v>
      </c>
      <c r="F88">
        <v>82</v>
      </c>
      <c r="G88">
        <f t="shared" si="6"/>
        <v>11</v>
      </c>
      <c r="H88">
        <f t="shared" si="7"/>
        <v>2013</v>
      </c>
    </row>
    <row r="89" spans="1:8" x14ac:dyDescent="0.25">
      <c r="A89" s="2">
        <v>45273</v>
      </c>
      <c r="B89">
        <v>98</v>
      </c>
      <c r="C89">
        <f t="shared" si="4"/>
        <v>12</v>
      </c>
      <c r="D89">
        <f t="shared" si="5"/>
        <v>2023</v>
      </c>
      <c r="E89" s="2">
        <v>41596</v>
      </c>
      <c r="F89">
        <v>82</v>
      </c>
      <c r="G89">
        <f t="shared" si="6"/>
        <v>11</v>
      </c>
      <c r="H89">
        <f t="shared" si="7"/>
        <v>2013</v>
      </c>
    </row>
    <row r="90" spans="1:8" x14ac:dyDescent="0.25">
      <c r="A90" s="2">
        <v>45274</v>
      </c>
      <c r="B90">
        <v>98</v>
      </c>
      <c r="C90">
        <f t="shared" si="4"/>
        <v>12</v>
      </c>
      <c r="D90">
        <f t="shared" si="5"/>
        <v>2023</v>
      </c>
      <c r="E90" s="2">
        <v>41597</v>
      </c>
      <c r="F90">
        <v>81.5</v>
      </c>
      <c r="G90">
        <f t="shared" si="6"/>
        <v>11</v>
      </c>
      <c r="H90">
        <f t="shared" si="7"/>
        <v>2013</v>
      </c>
    </row>
    <row r="91" spans="1:8" x14ac:dyDescent="0.25">
      <c r="A91" s="2">
        <v>45275</v>
      </c>
      <c r="B91">
        <v>98</v>
      </c>
      <c r="C91">
        <f t="shared" si="4"/>
        <v>12</v>
      </c>
      <c r="D91">
        <f t="shared" si="5"/>
        <v>2023</v>
      </c>
      <c r="E91" s="2">
        <v>41598</v>
      </c>
      <c r="F91">
        <v>81.5</v>
      </c>
      <c r="G91">
        <f t="shared" si="6"/>
        <v>11</v>
      </c>
      <c r="H91">
        <f t="shared" si="7"/>
        <v>2013</v>
      </c>
    </row>
    <row r="92" spans="1:8" x14ac:dyDescent="0.25">
      <c r="A92" s="2">
        <v>45278</v>
      </c>
      <c r="B92">
        <v>98</v>
      </c>
      <c r="C92">
        <f t="shared" si="4"/>
        <v>12</v>
      </c>
      <c r="D92">
        <f t="shared" si="5"/>
        <v>2023</v>
      </c>
      <c r="E92" s="2">
        <v>41599</v>
      </c>
      <c r="F92">
        <v>81.5</v>
      </c>
      <c r="G92">
        <f t="shared" si="6"/>
        <v>11</v>
      </c>
      <c r="H92">
        <f t="shared" si="7"/>
        <v>2013</v>
      </c>
    </row>
    <row r="93" spans="1:8" x14ac:dyDescent="0.25">
      <c r="A93" s="2">
        <v>45279</v>
      </c>
      <c r="B93">
        <v>98</v>
      </c>
      <c r="C93">
        <f t="shared" si="4"/>
        <v>12</v>
      </c>
      <c r="D93">
        <f t="shared" si="5"/>
        <v>2023</v>
      </c>
      <c r="E93" s="2">
        <v>41600</v>
      </c>
      <c r="F93">
        <v>81.5</v>
      </c>
      <c r="G93">
        <f t="shared" si="6"/>
        <v>11</v>
      </c>
      <c r="H93">
        <f t="shared" si="7"/>
        <v>2013</v>
      </c>
    </row>
    <row r="94" spans="1:8" x14ac:dyDescent="0.25">
      <c r="A94" s="2">
        <v>45280</v>
      </c>
      <c r="B94">
        <v>97.5</v>
      </c>
      <c r="C94">
        <f t="shared" si="4"/>
        <v>12</v>
      </c>
      <c r="D94">
        <f t="shared" si="5"/>
        <v>2023</v>
      </c>
      <c r="E94" s="2">
        <v>41603</v>
      </c>
      <c r="F94">
        <v>82.5</v>
      </c>
      <c r="G94">
        <f t="shared" si="6"/>
        <v>11</v>
      </c>
      <c r="H94">
        <f t="shared" si="7"/>
        <v>2013</v>
      </c>
    </row>
    <row r="95" spans="1:8" x14ac:dyDescent="0.25">
      <c r="A95" s="2">
        <v>45281</v>
      </c>
      <c r="B95">
        <v>97.5</v>
      </c>
      <c r="C95">
        <f t="shared" si="4"/>
        <v>12</v>
      </c>
      <c r="D95">
        <f t="shared" si="5"/>
        <v>2023</v>
      </c>
      <c r="E95" s="2">
        <v>41604</v>
      </c>
      <c r="F95">
        <v>82.5</v>
      </c>
      <c r="G95">
        <f t="shared" si="6"/>
        <v>11</v>
      </c>
      <c r="H95">
        <f t="shared" si="7"/>
        <v>2013</v>
      </c>
    </row>
    <row r="96" spans="1:8" x14ac:dyDescent="0.25">
      <c r="A96" s="2">
        <v>45282</v>
      </c>
      <c r="B96">
        <v>97.5</v>
      </c>
      <c r="C96">
        <f t="shared" si="4"/>
        <v>12</v>
      </c>
      <c r="D96">
        <f t="shared" si="5"/>
        <v>2023</v>
      </c>
      <c r="E96" s="2">
        <v>41605</v>
      </c>
      <c r="F96">
        <v>82.5</v>
      </c>
      <c r="G96">
        <f t="shared" si="6"/>
        <v>11</v>
      </c>
      <c r="H96">
        <f t="shared" si="7"/>
        <v>2013</v>
      </c>
    </row>
    <row r="97" spans="1:8" x14ac:dyDescent="0.25">
      <c r="A97" s="2">
        <v>45286</v>
      </c>
      <c r="B97">
        <v>82</v>
      </c>
      <c r="C97">
        <f t="shared" si="4"/>
        <v>12</v>
      </c>
      <c r="D97">
        <f t="shared" si="5"/>
        <v>2023</v>
      </c>
      <c r="E97" s="2">
        <v>41607</v>
      </c>
      <c r="F97">
        <v>82.5</v>
      </c>
      <c r="G97">
        <f t="shared" si="6"/>
        <v>11</v>
      </c>
      <c r="H97">
        <f t="shared" si="7"/>
        <v>2013</v>
      </c>
    </row>
    <row r="98" spans="1:8" x14ac:dyDescent="0.25">
      <c r="A98" s="2">
        <v>45287</v>
      </c>
      <c r="B98">
        <v>82</v>
      </c>
      <c r="C98">
        <f t="shared" si="4"/>
        <v>12</v>
      </c>
      <c r="D98">
        <f t="shared" si="5"/>
        <v>2023</v>
      </c>
      <c r="E98" s="2">
        <v>41610</v>
      </c>
      <c r="F98">
        <v>79.5</v>
      </c>
      <c r="G98">
        <f t="shared" si="6"/>
        <v>12</v>
      </c>
      <c r="H98">
        <f t="shared" si="7"/>
        <v>2013</v>
      </c>
    </row>
    <row r="99" spans="1:8" x14ac:dyDescent="0.25">
      <c r="A99" s="2">
        <v>45288</v>
      </c>
      <c r="B99">
        <v>81</v>
      </c>
      <c r="C99">
        <f t="shared" si="4"/>
        <v>12</v>
      </c>
      <c r="D99">
        <f t="shared" si="5"/>
        <v>2023</v>
      </c>
      <c r="E99" s="2">
        <v>41611</v>
      </c>
      <c r="F99">
        <v>79.5</v>
      </c>
      <c r="G99">
        <f t="shared" si="6"/>
        <v>12</v>
      </c>
      <c r="H99">
        <f t="shared" si="7"/>
        <v>2013</v>
      </c>
    </row>
    <row r="100" spans="1:8" x14ac:dyDescent="0.25">
      <c r="A100" s="2">
        <v>45289</v>
      </c>
      <c r="B100">
        <v>82</v>
      </c>
      <c r="C100">
        <f t="shared" si="4"/>
        <v>12</v>
      </c>
      <c r="D100">
        <f t="shared" si="5"/>
        <v>2023</v>
      </c>
      <c r="E100" s="2">
        <v>41612</v>
      </c>
      <c r="F100">
        <v>79.5</v>
      </c>
      <c r="G100">
        <f t="shared" si="6"/>
        <v>12</v>
      </c>
      <c r="H100">
        <f t="shared" si="7"/>
        <v>2013</v>
      </c>
    </row>
    <row r="101" spans="1:8" x14ac:dyDescent="0.25">
      <c r="A101" s="2">
        <v>45293</v>
      </c>
      <c r="B101">
        <v>80</v>
      </c>
      <c r="C101">
        <f t="shared" si="4"/>
        <v>1</v>
      </c>
      <c r="D101">
        <f t="shared" si="5"/>
        <v>2024</v>
      </c>
      <c r="E101" s="2">
        <v>41613</v>
      </c>
      <c r="F101">
        <v>79.5</v>
      </c>
      <c r="G101">
        <f t="shared" si="6"/>
        <v>12</v>
      </c>
      <c r="H101">
        <f t="shared" si="7"/>
        <v>2013</v>
      </c>
    </row>
    <row r="102" spans="1:8" x14ac:dyDescent="0.25">
      <c r="A102" s="2">
        <v>45294</v>
      </c>
      <c r="B102">
        <v>80</v>
      </c>
      <c r="C102">
        <f t="shared" si="4"/>
        <v>1</v>
      </c>
      <c r="D102">
        <f t="shared" si="5"/>
        <v>2024</v>
      </c>
      <c r="E102" s="2">
        <v>41614</v>
      </c>
      <c r="F102">
        <v>79.5</v>
      </c>
      <c r="G102">
        <f t="shared" si="6"/>
        <v>12</v>
      </c>
      <c r="H102">
        <f t="shared" si="7"/>
        <v>2013</v>
      </c>
    </row>
    <row r="103" spans="1:8" x14ac:dyDescent="0.25">
      <c r="A103" s="2">
        <v>45295</v>
      </c>
      <c r="B103">
        <v>86</v>
      </c>
      <c r="C103">
        <f t="shared" si="4"/>
        <v>1</v>
      </c>
      <c r="D103">
        <f t="shared" si="5"/>
        <v>2024</v>
      </c>
      <c r="E103" s="2">
        <v>41617</v>
      </c>
      <c r="F103">
        <v>79.5</v>
      </c>
      <c r="G103">
        <f t="shared" si="6"/>
        <v>12</v>
      </c>
      <c r="H103">
        <f t="shared" si="7"/>
        <v>2013</v>
      </c>
    </row>
    <row r="104" spans="1:8" x14ac:dyDescent="0.25">
      <c r="A104" s="2">
        <v>45296</v>
      </c>
      <c r="B104">
        <v>90</v>
      </c>
      <c r="C104">
        <f t="shared" si="4"/>
        <v>1</v>
      </c>
      <c r="D104">
        <f t="shared" si="5"/>
        <v>2024</v>
      </c>
      <c r="E104" s="2">
        <v>41618</v>
      </c>
      <c r="F104">
        <v>67.5</v>
      </c>
      <c r="G104">
        <f t="shared" si="6"/>
        <v>12</v>
      </c>
      <c r="H104">
        <f t="shared" si="7"/>
        <v>2013</v>
      </c>
    </row>
    <row r="105" spans="1:8" x14ac:dyDescent="0.25">
      <c r="A105" s="2">
        <v>45299</v>
      </c>
      <c r="B105">
        <v>91</v>
      </c>
      <c r="C105">
        <f t="shared" si="4"/>
        <v>1</v>
      </c>
      <c r="D105">
        <f t="shared" si="5"/>
        <v>2024</v>
      </c>
      <c r="E105" s="2">
        <v>41619</v>
      </c>
      <c r="F105">
        <v>67.5</v>
      </c>
      <c r="G105">
        <f t="shared" si="6"/>
        <v>12</v>
      </c>
      <c r="H105">
        <f t="shared" si="7"/>
        <v>2013</v>
      </c>
    </row>
    <row r="106" spans="1:8" x14ac:dyDescent="0.25">
      <c r="A106" s="2">
        <v>45300</v>
      </c>
      <c r="B106">
        <v>91</v>
      </c>
      <c r="C106">
        <f t="shared" si="4"/>
        <v>1</v>
      </c>
      <c r="D106">
        <f t="shared" si="5"/>
        <v>2024</v>
      </c>
      <c r="E106" s="2">
        <v>41620</v>
      </c>
      <c r="F106">
        <v>67.5</v>
      </c>
      <c r="G106">
        <f t="shared" si="6"/>
        <v>12</v>
      </c>
      <c r="H106">
        <f t="shared" si="7"/>
        <v>2013</v>
      </c>
    </row>
    <row r="107" spans="1:8" x14ac:dyDescent="0.25">
      <c r="A107" s="2">
        <v>45301</v>
      </c>
      <c r="B107">
        <v>92</v>
      </c>
      <c r="C107">
        <f t="shared" si="4"/>
        <v>1</v>
      </c>
      <c r="D107">
        <f t="shared" si="5"/>
        <v>2024</v>
      </c>
      <c r="E107" s="2">
        <v>41621</v>
      </c>
      <c r="F107">
        <v>67.5</v>
      </c>
      <c r="G107">
        <f t="shared" si="6"/>
        <v>12</v>
      </c>
      <c r="H107">
        <f t="shared" si="7"/>
        <v>2013</v>
      </c>
    </row>
    <row r="108" spans="1:8" x14ac:dyDescent="0.25">
      <c r="A108" s="2">
        <v>45302</v>
      </c>
      <c r="B108">
        <v>92</v>
      </c>
      <c r="C108">
        <f t="shared" si="4"/>
        <v>1</v>
      </c>
      <c r="D108">
        <f t="shared" si="5"/>
        <v>2024</v>
      </c>
      <c r="E108" s="2">
        <v>41624</v>
      </c>
      <c r="F108">
        <v>67.5</v>
      </c>
      <c r="G108">
        <f t="shared" si="6"/>
        <v>12</v>
      </c>
      <c r="H108">
        <f t="shared" si="7"/>
        <v>2013</v>
      </c>
    </row>
    <row r="109" spans="1:8" x14ac:dyDescent="0.25">
      <c r="A109" s="2">
        <v>45303</v>
      </c>
      <c r="B109">
        <v>90</v>
      </c>
      <c r="C109">
        <f t="shared" si="4"/>
        <v>1</v>
      </c>
      <c r="D109">
        <f t="shared" si="5"/>
        <v>2024</v>
      </c>
      <c r="E109" s="2">
        <v>41625</v>
      </c>
      <c r="F109">
        <v>50</v>
      </c>
      <c r="G109">
        <f t="shared" si="6"/>
        <v>12</v>
      </c>
      <c r="H109">
        <f t="shared" si="7"/>
        <v>2013</v>
      </c>
    </row>
    <row r="110" spans="1:8" x14ac:dyDescent="0.25">
      <c r="A110" s="2">
        <v>45307</v>
      </c>
      <c r="B110">
        <v>90</v>
      </c>
      <c r="C110">
        <f t="shared" si="4"/>
        <v>1</v>
      </c>
      <c r="D110">
        <f t="shared" si="5"/>
        <v>2024</v>
      </c>
      <c r="E110" s="2">
        <v>41626</v>
      </c>
      <c r="F110">
        <v>52.5</v>
      </c>
      <c r="G110">
        <f t="shared" si="6"/>
        <v>12</v>
      </c>
      <c r="H110">
        <f t="shared" si="7"/>
        <v>2013</v>
      </c>
    </row>
    <row r="111" spans="1:8" x14ac:dyDescent="0.25">
      <c r="A111" s="2">
        <v>45308</v>
      </c>
      <c r="B111">
        <v>90</v>
      </c>
      <c r="C111">
        <f t="shared" si="4"/>
        <v>1</v>
      </c>
      <c r="D111">
        <f t="shared" si="5"/>
        <v>2024</v>
      </c>
      <c r="E111" s="2">
        <v>41627</v>
      </c>
      <c r="F111">
        <v>47.5</v>
      </c>
      <c r="G111">
        <f t="shared" si="6"/>
        <v>12</v>
      </c>
      <c r="H111">
        <f t="shared" si="7"/>
        <v>2013</v>
      </c>
    </row>
    <row r="112" spans="1:8" x14ac:dyDescent="0.25">
      <c r="A112" s="2">
        <v>45309</v>
      </c>
      <c r="B112">
        <v>90</v>
      </c>
      <c r="C112">
        <f t="shared" si="4"/>
        <v>1</v>
      </c>
      <c r="D112">
        <f t="shared" si="5"/>
        <v>2024</v>
      </c>
      <c r="E112" s="2">
        <v>41628</v>
      </c>
      <c r="F112">
        <v>47.5</v>
      </c>
      <c r="G112">
        <f t="shared" si="6"/>
        <v>12</v>
      </c>
      <c r="H112">
        <f t="shared" si="7"/>
        <v>2013</v>
      </c>
    </row>
    <row r="113" spans="1:8" x14ac:dyDescent="0.25">
      <c r="A113" s="2">
        <v>45310</v>
      </c>
      <c r="B113">
        <v>86</v>
      </c>
      <c r="C113">
        <f t="shared" si="4"/>
        <v>1</v>
      </c>
      <c r="D113">
        <f t="shared" si="5"/>
        <v>2024</v>
      </c>
      <c r="E113" s="2">
        <v>41631</v>
      </c>
      <c r="F113">
        <v>47.5</v>
      </c>
      <c r="G113">
        <f t="shared" si="6"/>
        <v>12</v>
      </c>
      <c r="H113">
        <f t="shared" si="7"/>
        <v>2013</v>
      </c>
    </row>
    <row r="114" spans="1:8" x14ac:dyDescent="0.25">
      <c r="A114" s="2">
        <v>45313</v>
      </c>
      <c r="B114">
        <v>87</v>
      </c>
      <c r="C114">
        <f t="shared" si="4"/>
        <v>1</v>
      </c>
      <c r="D114">
        <f t="shared" si="5"/>
        <v>2024</v>
      </c>
      <c r="E114" s="2">
        <v>41634</v>
      </c>
      <c r="F114">
        <v>47.5</v>
      </c>
      <c r="G114">
        <f t="shared" si="6"/>
        <v>12</v>
      </c>
      <c r="H114">
        <f t="shared" si="7"/>
        <v>2013</v>
      </c>
    </row>
    <row r="115" spans="1:8" x14ac:dyDescent="0.25">
      <c r="A115" s="2">
        <v>45314</v>
      </c>
      <c r="B115">
        <v>85</v>
      </c>
      <c r="C115">
        <f t="shared" si="4"/>
        <v>1</v>
      </c>
      <c r="D115">
        <f t="shared" si="5"/>
        <v>2024</v>
      </c>
      <c r="E115" s="2">
        <v>41635</v>
      </c>
      <c r="F115">
        <v>47.5</v>
      </c>
      <c r="G115">
        <f t="shared" si="6"/>
        <v>12</v>
      </c>
      <c r="H115">
        <f t="shared" si="7"/>
        <v>2013</v>
      </c>
    </row>
    <row r="116" spans="1:8" x14ac:dyDescent="0.25">
      <c r="A116" s="2">
        <v>45315</v>
      </c>
      <c r="B116">
        <v>83.5</v>
      </c>
      <c r="C116">
        <f t="shared" si="4"/>
        <v>1</v>
      </c>
      <c r="D116">
        <f t="shared" si="5"/>
        <v>2024</v>
      </c>
      <c r="E116" s="2">
        <v>41638</v>
      </c>
      <c r="F116">
        <v>48.5</v>
      </c>
      <c r="G116">
        <f t="shared" si="6"/>
        <v>12</v>
      </c>
      <c r="H116">
        <f t="shared" si="7"/>
        <v>2013</v>
      </c>
    </row>
    <row r="117" spans="1:8" x14ac:dyDescent="0.25">
      <c r="A117" s="2">
        <v>45316</v>
      </c>
      <c r="B117">
        <v>83.5</v>
      </c>
      <c r="C117">
        <f t="shared" si="4"/>
        <v>1</v>
      </c>
      <c r="D117">
        <f t="shared" si="5"/>
        <v>2024</v>
      </c>
      <c r="E117" s="2">
        <v>41639</v>
      </c>
      <c r="F117">
        <v>48.5</v>
      </c>
      <c r="G117">
        <f t="shared" si="6"/>
        <v>12</v>
      </c>
      <c r="H117">
        <f t="shared" si="7"/>
        <v>2013</v>
      </c>
    </row>
    <row r="118" spans="1:8" x14ac:dyDescent="0.25">
      <c r="A118" s="2">
        <v>45317</v>
      </c>
      <c r="B118">
        <v>83.5</v>
      </c>
      <c r="C118">
        <f t="shared" si="4"/>
        <v>1</v>
      </c>
      <c r="D118">
        <f t="shared" si="5"/>
        <v>2024</v>
      </c>
      <c r="E118" s="2">
        <v>41641</v>
      </c>
      <c r="F118">
        <v>48.5</v>
      </c>
      <c r="G118">
        <f t="shared" si="6"/>
        <v>1</v>
      </c>
      <c r="H118">
        <f t="shared" si="7"/>
        <v>2014</v>
      </c>
    </row>
    <row r="119" spans="1:8" x14ac:dyDescent="0.25">
      <c r="A119" s="2">
        <v>45320</v>
      </c>
      <c r="B119">
        <v>83.5</v>
      </c>
      <c r="C119">
        <f t="shared" si="4"/>
        <v>1</v>
      </c>
      <c r="D119">
        <f t="shared" si="5"/>
        <v>2024</v>
      </c>
      <c r="E119" s="2">
        <v>41642</v>
      </c>
      <c r="F119">
        <v>48.5</v>
      </c>
      <c r="G119">
        <f t="shared" si="6"/>
        <v>1</v>
      </c>
      <c r="H119">
        <f t="shared" si="7"/>
        <v>2014</v>
      </c>
    </row>
    <row r="120" spans="1:8" x14ac:dyDescent="0.25">
      <c r="A120" s="2">
        <v>45321</v>
      </c>
      <c r="B120">
        <v>83.5</v>
      </c>
      <c r="C120">
        <f t="shared" si="4"/>
        <v>1</v>
      </c>
      <c r="D120">
        <f t="shared" si="5"/>
        <v>2024</v>
      </c>
      <c r="E120" s="2">
        <v>41645</v>
      </c>
      <c r="F120">
        <v>47.5</v>
      </c>
      <c r="G120">
        <f t="shared" si="6"/>
        <v>1</v>
      </c>
      <c r="H120">
        <f t="shared" si="7"/>
        <v>2014</v>
      </c>
    </row>
    <row r="121" spans="1:8" x14ac:dyDescent="0.25">
      <c r="A121" s="2">
        <v>45322</v>
      </c>
      <c r="B121">
        <v>81.25</v>
      </c>
      <c r="C121">
        <f t="shared" si="4"/>
        <v>1</v>
      </c>
      <c r="D121">
        <f t="shared" si="5"/>
        <v>2024</v>
      </c>
      <c r="E121" s="2">
        <v>41646</v>
      </c>
      <c r="F121">
        <v>47.5</v>
      </c>
      <c r="G121">
        <f t="shared" si="6"/>
        <v>1</v>
      </c>
      <c r="H121">
        <f t="shared" si="7"/>
        <v>2014</v>
      </c>
    </row>
    <row r="122" spans="1:8" x14ac:dyDescent="0.25">
      <c r="A122" s="2">
        <v>45323</v>
      </c>
      <c r="B122">
        <v>81.25</v>
      </c>
      <c r="C122">
        <f t="shared" si="4"/>
        <v>2</v>
      </c>
      <c r="D122">
        <f t="shared" si="5"/>
        <v>2024</v>
      </c>
      <c r="E122" s="2">
        <v>41647</v>
      </c>
      <c r="F122">
        <v>44</v>
      </c>
      <c r="G122">
        <f t="shared" si="6"/>
        <v>1</v>
      </c>
      <c r="H122">
        <f t="shared" si="7"/>
        <v>2014</v>
      </c>
    </row>
    <row r="123" spans="1:8" x14ac:dyDescent="0.25">
      <c r="A123" s="2">
        <v>45324</v>
      </c>
      <c r="B123">
        <v>84.5</v>
      </c>
      <c r="C123">
        <f t="shared" si="4"/>
        <v>2</v>
      </c>
      <c r="D123">
        <f t="shared" si="5"/>
        <v>2024</v>
      </c>
      <c r="E123" s="2">
        <v>41648</v>
      </c>
      <c r="F123">
        <v>47.5</v>
      </c>
      <c r="G123">
        <f t="shared" si="6"/>
        <v>1</v>
      </c>
      <c r="H123">
        <f t="shared" si="7"/>
        <v>2014</v>
      </c>
    </row>
    <row r="124" spans="1:8" x14ac:dyDescent="0.25">
      <c r="A124" s="2">
        <v>45327</v>
      </c>
      <c r="B124">
        <v>85</v>
      </c>
      <c r="C124">
        <f t="shared" si="4"/>
        <v>2</v>
      </c>
      <c r="D124">
        <f t="shared" si="5"/>
        <v>2024</v>
      </c>
      <c r="E124" s="2">
        <v>41649</v>
      </c>
      <c r="F124">
        <v>47.5</v>
      </c>
      <c r="G124">
        <f t="shared" si="6"/>
        <v>1</v>
      </c>
      <c r="H124">
        <f t="shared" si="7"/>
        <v>2014</v>
      </c>
    </row>
    <row r="125" spans="1:8" x14ac:dyDescent="0.25">
      <c r="A125" s="2">
        <v>45328</v>
      </c>
      <c r="B125">
        <v>85</v>
      </c>
      <c r="C125">
        <f t="shared" si="4"/>
        <v>2</v>
      </c>
      <c r="D125">
        <f t="shared" si="5"/>
        <v>2024</v>
      </c>
      <c r="E125" s="2">
        <v>41652</v>
      </c>
      <c r="F125">
        <v>42.5</v>
      </c>
      <c r="G125">
        <f t="shared" si="6"/>
        <v>1</v>
      </c>
      <c r="H125">
        <f t="shared" si="7"/>
        <v>2014</v>
      </c>
    </row>
    <row r="126" spans="1:8" x14ac:dyDescent="0.25">
      <c r="A126" s="2">
        <v>45329</v>
      </c>
      <c r="B126">
        <v>85</v>
      </c>
      <c r="C126">
        <f t="shared" si="4"/>
        <v>2</v>
      </c>
      <c r="D126">
        <f t="shared" si="5"/>
        <v>2024</v>
      </c>
      <c r="E126" s="2">
        <v>41653</v>
      </c>
      <c r="F126">
        <v>41.5</v>
      </c>
      <c r="G126">
        <f t="shared" si="6"/>
        <v>1</v>
      </c>
      <c r="H126">
        <f t="shared" si="7"/>
        <v>2014</v>
      </c>
    </row>
    <row r="127" spans="1:8" x14ac:dyDescent="0.25">
      <c r="A127" s="2">
        <v>45330</v>
      </c>
      <c r="B127">
        <v>85</v>
      </c>
      <c r="C127">
        <f t="shared" si="4"/>
        <v>2</v>
      </c>
      <c r="D127">
        <f t="shared" si="5"/>
        <v>2024</v>
      </c>
      <c r="E127" s="2">
        <v>41654</v>
      </c>
      <c r="F127">
        <v>41.5</v>
      </c>
      <c r="G127">
        <f t="shared" si="6"/>
        <v>1</v>
      </c>
      <c r="H127">
        <f t="shared" si="7"/>
        <v>2014</v>
      </c>
    </row>
    <row r="128" spans="1:8" x14ac:dyDescent="0.25">
      <c r="A128" s="2">
        <v>45331</v>
      </c>
      <c r="B128">
        <v>85</v>
      </c>
      <c r="C128">
        <f t="shared" si="4"/>
        <v>2</v>
      </c>
      <c r="D128">
        <f t="shared" si="5"/>
        <v>2024</v>
      </c>
      <c r="E128" s="2">
        <v>41655</v>
      </c>
      <c r="F128">
        <v>42.5</v>
      </c>
      <c r="G128">
        <f t="shared" si="6"/>
        <v>1</v>
      </c>
      <c r="H128">
        <f t="shared" si="7"/>
        <v>2014</v>
      </c>
    </row>
    <row r="129" spans="1:8" x14ac:dyDescent="0.25">
      <c r="A129" s="2">
        <v>45334</v>
      </c>
      <c r="B129">
        <v>85</v>
      </c>
      <c r="C129">
        <f t="shared" si="4"/>
        <v>2</v>
      </c>
      <c r="D129">
        <f t="shared" si="5"/>
        <v>2024</v>
      </c>
      <c r="E129" s="2">
        <v>41656</v>
      </c>
      <c r="F129">
        <v>42.5</v>
      </c>
      <c r="G129">
        <f t="shared" si="6"/>
        <v>1</v>
      </c>
      <c r="H129">
        <f t="shared" si="7"/>
        <v>2014</v>
      </c>
    </row>
    <row r="130" spans="1:8" x14ac:dyDescent="0.25">
      <c r="A130" s="2">
        <v>45335</v>
      </c>
      <c r="B130">
        <v>85</v>
      </c>
      <c r="C130">
        <f t="shared" si="4"/>
        <v>2</v>
      </c>
      <c r="D130">
        <f t="shared" si="5"/>
        <v>2024</v>
      </c>
      <c r="E130" s="2">
        <v>41660</v>
      </c>
      <c r="F130">
        <v>42.5</v>
      </c>
      <c r="G130">
        <f t="shared" si="6"/>
        <v>1</v>
      </c>
      <c r="H130">
        <f t="shared" si="7"/>
        <v>2014</v>
      </c>
    </row>
    <row r="131" spans="1:8" x14ac:dyDescent="0.25">
      <c r="A131" s="2">
        <v>45336</v>
      </c>
      <c r="B131">
        <v>85</v>
      </c>
      <c r="C131">
        <f t="shared" si="4"/>
        <v>2</v>
      </c>
      <c r="D131">
        <f t="shared" si="5"/>
        <v>2024</v>
      </c>
      <c r="E131" s="2">
        <v>41661</v>
      </c>
      <c r="F131">
        <v>42.5</v>
      </c>
      <c r="G131">
        <f t="shared" si="6"/>
        <v>1</v>
      </c>
      <c r="H131">
        <f t="shared" si="7"/>
        <v>2014</v>
      </c>
    </row>
    <row r="132" spans="1:8" x14ac:dyDescent="0.25">
      <c r="A132" s="2">
        <v>45337</v>
      </c>
      <c r="B132">
        <v>85</v>
      </c>
      <c r="C132">
        <f t="shared" si="4"/>
        <v>2</v>
      </c>
      <c r="D132">
        <f t="shared" si="5"/>
        <v>2024</v>
      </c>
      <c r="E132" s="2">
        <v>41662</v>
      </c>
      <c r="F132">
        <v>42.5</v>
      </c>
      <c r="G132">
        <f t="shared" si="6"/>
        <v>1</v>
      </c>
      <c r="H132">
        <f t="shared" si="7"/>
        <v>2014</v>
      </c>
    </row>
    <row r="133" spans="1:8" x14ac:dyDescent="0.25">
      <c r="A133" s="2">
        <v>45338</v>
      </c>
      <c r="B133">
        <v>85</v>
      </c>
      <c r="C133">
        <f t="shared" ref="C133:C196" si="8">MONTH(A133)</f>
        <v>2</v>
      </c>
      <c r="D133">
        <f t="shared" ref="D133:D196" si="9">YEAR(A133)</f>
        <v>2024</v>
      </c>
      <c r="E133" s="2">
        <v>41663</v>
      </c>
      <c r="F133">
        <v>47.5</v>
      </c>
      <c r="G133">
        <f t="shared" ref="G133:G196" si="10">MONTH(E133)</f>
        <v>1</v>
      </c>
      <c r="H133">
        <f t="shared" ref="H133:H196" si="11">YEAR(E133)</f>
        <v>2014</v>
      </c>
    </row>
    <row r="134" spans="1:8" x14ac:dyDescent="0.25">
      <c r="A134" s="2">
        <v>45342</v>
      </c>
      <c r="B134">
        <v>83</v>
      </c>
      <c r="C134">
        <f t="shared" si="8"/>
        <v>2</v>
      </c>
      <c r="D134">
        <f t="shared" si="9"/>
        <v>2024</v>
      </c>
      <c r="E134" s="2">
        <v>41666</v>
      </c>
      <c r="F134">
        <v>47.5</v>
      </c>
      <c r="G134">
        <f t="shared" si="10"/>
        <v>1</v>
      </c>
      <c r="H134">
        <f t="shared" si="11"/>
        <v>2014</v>
      </c>
    </row>
    <row r="135" spans="1:8" x14ac:dyDescent="0.25">
      <c r="A135" s="2">
        <v>45343</v>
      </c>
      <c r="B135">
        <v>83</v>
      </c>
      <c r="C135">
        <f t="shared" si="8"/>
        <v>2</v>
      </c>
      <c r="D135">
        <f t="shared" si="9"/>
        <v>2024</v>
      </c>
      <c r="E135" s="2">
        <v>41667</v>
      </c>
      <c r="F135">
        <v>47.5</v>
      </c>
      <c r="G135">
        <f t="shared" si="10"/>
        <v>1</v>
      </c>
      <c r="H135">
        <f t="shared" si="11"/>
        <v>2014</v>
      </c>
    </row>
    <row r="136" spans="1:8" x14ac:dyDescent="0.25">
      <c r="A136" s="2">
        <v>45344</v>
      </c>
      <c r="B136">
        <v>80</v>
      </c>
      <c r="C136">
        <f t="shared" si="8"/>
        <v>2</v>
      </c>
      <c r="D136">
        <f t="shared" si="9"/>
        <v>2024</v>
      </c>
      <c r="E136" s="2">
        <v>41668</v>
      </c>
      <c r="F136">
        <v>47.5</v>
      </c>
      <c r="G136">
        <f t="shared" si="10"/>
        <v>1</v>
      </c>
      <c r="H136">
        <f t="shared" si="11"/>
        <v>2014</v>
      </c>
    </row>
    <row r="137" spans="1:8" x14ac:dyDescent="0.25">
      <c r="A137" s="2">
        <v>45345</v>
      </c>
      <c r="B137">
        <v>80</v>
      </c>
      <c r="C137">
        <f t="shared" si="8"/>
        <v>2</v>
      </c>
      <c r="D137">
        <f t="shared" si="9"/>
        <v>2024</v>
      </c>
      <c r="E137" s="2">
        <v>41669</v>
      </c>
      <c r="F137">
        <v>47.5</v>
      </c>
      <c r="G137">
        <f t="shared" si="10"/>
        <v>1</v>
      </c>
      <c r="H137">
        <f t="shared" si="11"/>
        <v>2014</v>
      </c>
    </row>
    <row r="138" spans="1:8" x14ac:dyDescent="0.25">
      <c r="A138" s="2">
        <v>45348</v>
      </c>
      <c r="B138">
        <v>80</v>
      </c>
      <c r="C138">
        <f t="shared" si="8"/>
        <v>2</v>
      </c>
      <c r="D138">
        <f t="shared" si="9"/>
        <v>2024</v>
      </c>
      <c r="E138" s="2">
        <v>41670</v>
      </c>
      <c r="F138">
        <v>47.5</v>
      </c>
      <c r="G138">
        <f t="shared" si="10"/>
        <v>1</v>
      </c>
      <c r="H138">
        <f t="shared" si="11"/>
        <v>2014</v>
      </c>
    </row>
    <row r="139" spans="1:8" x14ac:dyDescent="0.25">
      <c r="A139" s="2">
        <v>45349</v>
      </c>
      <c r="B139">
        <v>80</v>
      </c>
      <c r="C139">
        <f t="shared" si="8"/>
        <v>2</v>
      </c>
      <c r="D139">
        <f t="shared" si="9"/>
        <v>2024</v>
      </c>
      <c r="E139" s="2">
        <v>41673</v>
      </c>
      <c r="F139">
        <v>47.5</v>
      </c>
      <c r="G139">
        <f t="shared" si="10"/>
        <v>2</v>
      </c>
      <c r="H139">
        <f t="shared" si="11"/>
        <v>2014</v>
      </c>
    </row>
    <row r="140" spans="1:8" x14ac:dyDescent="0.25">
      <c r="A140" s="2">
        <v>45350</v>
      </c>
      <c r="B140">
        <v>80</v>
      </c>
      <c r="C140">
        <f t="shared" si="8"/>
        <v>2</v>
      </c>
      <c r="D140">
        <f t="shared" si="9"/>
        <v>2024</v>
      </c>
      <c r="E140" s="2">
        <v>41674</v>
      </c>
      <c r="F140">
        <v>47.5</v>
      </c>
      <c r="G140">
        <f t="shared" si="10"/>
        <v>2</v>
      </c>
      <c r="H140">
        <f t="shared" si="11"/>
        <v>2014</v>
      </c>
    </row>
    <row r="141" spans="1:8" x14ac:dyDescent="0.25">
      <c r="A141" s="2">
        <v>45351</v>
      </c>
      <c r="B141">
        <v>74</v>
      </c>
      <c r="C141">
        <f t="shared" si="8"/>
        <v>2</v>
      </c>
      <c r="D141">
        <f t="shared" si="9"/>
        <v>2024</v>
      </c>
      <c r="E141" s="2">
        <v>41675</v>
      </c>
      <c r="F141">
        <v>47.5</v>
      </c>
      <c r="G141">
        <f t="shared" si="10"/>
        <v>2</v>
      </c>
      <c r="H141">
        <f t="shared" si="11"/>
        <v>2014</v>
      </c>
    </row>
    <row r="142" spans="1:8" x14ac:dyDescent="0.25">
      <c r="A142" s="2">
        <v>45352</v>
      </c>
      <c r="B142">
        <v>74</v>
      </c>
      <c r="C142">
        <f t="shared" si="8"/>
        <v>3</v>
      </c>
      <c r="D142">
        <f t="shared" si="9"/>
        <v>2024</v>
      </c>
      <c r="E142" s="2">
        <v>41676</v>
      </c>
      <c r="F142">
        <v>47.5</v>
      </c>
      <c r="G142">
        <f t="shared" si="10"/>
        <v>2</v>
      </c>
      <c r="H142">
        <f t="shared" si="11"/>
        <v>2014</v>
      </c>
    </row>
    <row r="143" spans="1:8" x14ac:dyDescent="0.25">
      <c r="A143" s="2">
        <v>45355</v>
      </c>
      <c r="B143">
        <v>74</v>
      </c>
      <c r="C143">
        <f t="shared" si="8"/>
        <v>3</v>
      </c>
      <c r="D143">
        <f t="shared" si="9"/>
        <v>2024</v>
      </c>
      <c r="E143" s="2">
        <v>41677</v>
      </c>
      <c r="F143">
        <v>51.5</v>
      </c>
      <c r="G143">
        <f t="shared" si="10"/>
        <v>2</v>
      </c>
      <c r="H143">
        <f t="shared" si="11"/>
        <v>2014</v>
      </c>
    </row>
    <row r="144" spans="1:8" x14ac:dyDescent="0.25">
      <c r="A144" s="2">
        <v>45356</v>
      </c>
      <c r="B144">
        <v>70.5</v>
      </c>
      <c r="C144">
        <f t="shared" si="8"/>
        <v>3</v>
      </c>
      <c r="D144">
        <f t="shared" si="9"/>
        <v>2024</v>
      </c>
      <c r="E144" s="2">
        <v>41680</v>
      </c>
      <c r="F144">
        <v>51.5</v>
      </c>
      <c r="G144">
        <f t="shared" si="10"/>
        <v>2</v>
      </c>
      <c r="H144">
        <f t="shared" si="11"/>
        <v>2014</v>
      </c>
    </row>
    <row r="145" spans="1:8" x14ac:dyDescent="0.25">
      <c r="A145" s="2">
        <v>45357</v>
      </c>
      <c r="B145">
        <v>70.5</v>
      </c>
      <c r="C145">
        <f t="shared" si="8"/>
        <v>3</v>
      </c>
      <c r="D145">
        <f t="shared" si="9"/>
        <v>2024</v>
      </c>
      <c r="E145" s="2">
        <v>41681</v>
      </c>
      <c r="F145">
        <v>48.5</v>
      </c>
      <c r="G145">
        <f t="shared" si="10"/>
        <v>2</v>
      </c>
      <c r="H145">
        <f t="shared" si="11"/>
        <v>2014</v>
      </c>
    </row>
    <row r="146" spans="1:8" x14ac:dyDescent="0.25">
      <c r="A146" s="2">
        <v>45358</v>
      </c>
      <c r="B146">
        <v>69.5</v>
      </c>
      <c r="C146">
        <f t="shared" si="8"/>
        <v>3</v>
      </c>
      <c r="D146">
        <f t="shared" si="9"/>
        <v>2024</v>
      </c>
      <c r="E146" s="2">
        <v>41682</v>
      </c>
      <c r="F146">
        <v>48.5</v>
      </c>
      <c r="G146">
        <f t="shared" si="10"/>
        <v>2</v>
      </c>
      <c r="H146">
        <f t="shared" si="11"/>
        <v>2014</v>
      </c>
    </row>
    <row r="147" spans="1:8" x14ac:dyDescent="0.25">
      <c r="A147" s="2">
        <v>45359</v>
      </c>
      <c r="B147">
        <v>69.5</v>
      </c>
      <c r="C147">
        <f t="shared" si="8"/>
        <v>3</v>
      </c>
      <c r="D147">
        <f t="shared" si="9"/>
        <v>2024</v>
      </c>
      <c r="E147" s="2">
        <v>41683</v>
      </c>
      <c r="F147">
        <v>45</v>
      </c>
      <c r="G147">
        <f t="shared" si="10"/>
        <v>2</v>
      </c>
      <c r="H147">
        <f t="shared" si="11"/>
        <v>2014</v>
      </c>
    </row>
    <row r="148" spans="1:8" x14ac:dyDescent="0.25">
      <c r="A148" s="2">
        <v>45362</v>
      </c>
      <c r="B148">
        <v>69</v>
      </c>
      <c r="C148">
        <f t="shared" si="8"/>
        <v>3</v>
      </c>
      <c r="D148">
        <f t="shared" si="9"/>
        <v>2024</v>
      </c>
      <c r="E148" s="2">
        <v>41684</v>
      </c>
      <c r="F148">
        <v>45</v>
      </c>
      <c r="G148">
        <f t="shared" si="10"/>
        <v>2</v>
      </c>
      <c r="H148">
        <f t="shared" si="11"/>
        <v>2014</v>
      </c>
    </row>
    <row r="149" spans="1:8" x14ac:dyDescent="0.25">
      <c r="A149" s="2">
        <v>45363</v>
      </c>
      <c r="B149">
        <v>69</v>
      </c>
      <c r="C149">
        <f t="shared" si="8"/>
        <v>3</v>
      </c>
      <c r="D149">
        <f t="shared" si="9"/>
        <v>2024</v>
      </c>
      <c r="E149" s="2">
        <v>41688</v>
      </c>
      <c r="F149">
        <v>45</v>
      </c>
      <c r="G149">
        <f t="shared" si="10"/>
        <v>2</v>
      </c>
      <c r="H149">
        <f t="shared" si="11"/>
        <v>2014</v>
      </c>
    </row>
    <row r="150" spans="1:8" x14ac:dyDescent="0.25">
      <c r="A150" s="2">
        <v>45364</v>
      </c>
      <c r="B150">
        <v>68.5</v>
      </c>
      <c r="C150">
        <f t="shared" si="8"/>
        <v>3</v>
      </c>
      <c r="D150">
        <f t="shared" si="9"/>
        <v>2024</v>
      </c>
      <c r="E150" s="2">
        <v>41689</v>
      </c>
      <c r="F150">
        <v>45</v>
      </c>
      <c r="G150">
        <f t="shared" si="10"/>
        <v>2</v>
      </c>
      <c r="H150">
        <f t="shared" si="11"/>
        <v>2014</v>
      </c>
    </row>
    <row r="151" spans="1:8" x14ac:dyDescent="0.25">
      <c r="A151" s="2">
        <v>45365</v>
      </c>
      <c r="B151">
        <v>68.5</v>
      </c>
      <c r="C151">
        <f t="shared" si="8"/>
        <v>3</v>
      </c>
      <c r="D151">
        <f t="shared" si="9"/>
        <v>2024</v>
      </c>
      <c r="E151" s="2">
        <v>41690</v>
      </c>
      <c r="F151">
        <v>42</v>
      </c>
      <c r="G151">
        <f t="shared" si="10"/>
        <v>2</v>
      </c>
      <c r="H151">
        <f t="shared" si="11"/>
        <v>2014</v>
      </c>
    </row>
    <row r="152" spans="1:8" x14ac:dyDescent="0.25">
      <c r="A152" s="2">
        <v>45366</v>
      </c>
      <c r="B152">
        <v>68.5</v>
      </c>
      <c r="C152">
        <f t="shared" si="8"/>
        <v>3</v>
      </c>
      <c r="D152">
        <f t="shared" si="9"/>
        <v>2024</v>
      </c>
      <c r="E152" s="2">
        <v>41691</v>
      </c>
      <c r="F152">
        <v>42</v>
      </c>
      <c r="G152">
        <f t="shared" si="10"/>
        <v>2</v>
      </c>
      <c r="H152">
        <f t="shared" si="11"/>
        <v>2014</v>
      </c>
    </row>
    <row r="153" spans="1:8" x14ac:dyDescent="0.25">
      <c r="A153" s="2">
        <v>45369</v>
      </c>
      <c r="B153">
        <v>72</v>
      </c>
      <c r="C153">
        <f t="shared" si="8"/>
        <v>3</v>
      </c>
      <c r="D153">
        <f t="shared" si="9"/>
        <v>2024</v>
      </c>
      <c r="E153" s="2">
        <v>41694</v>
      </c>
      <c r="F153">
        <v>42</v>
      </c>
      <c r="G153">
        <f t="shared" si="10"/>
        <v>2</v>
      </c>
      <c r="H153">
        <f t="shared" si="11"/>
        <v>2014</v>
      </c>
    </row>
    <row r="154" spans="1:8" x14ac:dyDescent="0.25">
      <c r="A154" s="2">
        <v>45370</v>
      </c>
      <c r="B154">
        <v>72</v>
      </c>
      <c r="C154">
        <f t="shared" si="8"/>
        <v>3</v>
      </c>
      <c r="D154">
        <f t="shared" si="9"/>
        <v>2024</v>
      </c>
      <c r="E154" s="2">
        <v>41695</v>
      </c>
      <c r="F154">
        <v>44</v>
      </c>
      <c r="G154">
        <f t="shared" si="10"/>
        <v>2</v>
      </c>
      <c r="H154">
        <f t="shared" si="11"/>
        <v>2014</v>
      </c>
    </row>
    <row r="155" spans="1:8" x14ac:dyDescent="0.25">
      <c r="A155" s="2">
        <v>45371</v>
      </c>
      <c r="B155">
        <v>71</v>
      </c>
      <c r="C155">
        <f t="shared" si="8"/>
        <v>3</v>
      </c>
      <c r="D155">
        <f t="shared" si="9"/>
        <v>2024</v>
      </c>
      <c r="E155" s="2">
        <v>41696</v>
      </c>
      <c r="F155">
        <v>44</v>
      </c>
      <c r="G155">
        <f t="shared" si="10"/>
        <v>2</v>
      </c>
      <c r="H155">
        <f t="shared" si="11"/>
        <v>2014</v>
      </c>
    </row>
    <row r="156" spans="1:8" x14ac:dyDescent="0.25">
      <c r="A156" s="2">
        <v>45372</v>
      </c>
      <c r="B156">
        <v>71</v>
      </c>
      <c r="C156">
        <f t="shared" si="8"/>
        <v>3</v>
      </c>
      <c r="D156">
        <f t="shared" si="9"/>
        <v>2024</v>
      </c>
      <c r="E156" s="2">
        <v>41697</v>
      </c>
      <c r="F156">
        <v>44</v>
      </c>
      <c r="G156">
        <f t="shared" si="10"/>
        <v>2</v>
      </c>
      <c r="H156">
        <f t="shared" si="11"/>
        <v>2014</v>
      </c>
    </row>
    <row r="157" spans="1:8" x14ac:dyDescent="0.25">
      <c r="A157" s="2">
        <v>45373</v>
      </c>
      <c r="B157">
        <v>70</v>
      </c>
      <c r="C157">
        <f t="shared" si="8"/>
        <v>3</v>
      </c>
      <c r="D157">
        <f t="shared" si="9"/>
        <v>2024</v>
      </c>
      <c r="E157" s="2">
        <v>41698</v>
      </c>
      <c r="F157">
        <v>43</v>
      </c>
      <c r="G157">
        <f t="shared" si="10"/>
        <v>2</v>
      </c>
      <c r="H157">
        <f t="shared" si="11"/>
        <v>2014</v>
      </c>
    </row>
    <row r="158" spans="1:8" x14ac:dyDescent="0.25">
      <c r="A158" s="2">
        <v>45376</v>
      </c>
      <c r="B158">
        <v>70</v>
      </c>
      <c r="C158">
        <f t="shared" si="8"/>
        <v>3</v>
      </c>
      <c r="D158">
        <f t="shared" si="9"/>
        <v>2024</v>
      </c>
      <c r="E158" s="2">
        <v>41701</v>
      </c>
      <c r="F158">
        <v>42</v>
      </c>
      <c r="G158">
        <f t="shared" si="10"/>
        <v>3</v>
      </c>
      <c r="H158">
        <f t="shared" si="11"/>
        <v>2014</v>
      </c>
    </row>
    <row r="159" spans="1:8" x14ac:dyDescent="0.25">
      <c r="A159" s="2">
        <v>45377</v>
      </c>
      <c r="B159">
        <v>71.5</v>
      </c>
      <c r="C159">
        <f t="shared" si="8"/>
        <v>3</v>
      </c>
      <c r="D159">
        <f t="shared" si="9"/>
        <v>2024</v>
      </c>
      <c r="E159" s="2">
        <v>41702</v>
      </c>
      <c r="F159">
        <v>42</v>
      </c>
      <c r="G159">
        <f t="shared" si="10"/>
        <v>3</v>
      </c>
      <c r="H159">
        <f t="shared" si="11"/>
        <v>2014</v>
      </c>
    </row>
    <row r="160" spans="1:8" x14ac:dyDescent="0.25">
      <c r="A160" s="2">
        <v>45378</v>
      </c>
      <c r="B160">
        <v>69</v>
      </c>
      <c r="C160">
        <f t="shared" si="8"/>
        <v>3</v>
      </c>
      <c r="D160">
        <f t="shared" si="9"/>
        <v>2024</v>
      </c>
      <c r="E160" s="2">
        <v>41703</v>
      </c>
      <c r="F160">
        <v>42</v>
      </c>
      <c r="G160">
        <f t="shared" si="10"/>
        <v>3</v>
      </c>
      <c r="H160">
        <f t="shared" si="11"/>
        <v>2014</v>
      </c>
    </row>
    <row r="161" spans="1:8" x14ac:dyDescent="0.25">
      <c r="A161" s="2">
        <v>45379</v>
      </c>
      <c r="B161">
        <v>68</v>
      </c>
      <c r="C161">
        <f t="shared" si="8"/>
        <v>3</v>
      </c>
      <c r="D161">
        <f t="shared" si="9"/>
        <v>2024</v>
      </c>
      <c r="E161" s="2">
        <v>41704</v>
      </c>
      <c r="F161">
        <v>39.5</v>
      </c>
      <c r="G161">
        <f t="shared" si="10"/>
        <v>3</v>
      </c>
      <c r="H161">
        <f t="shared" si="11"/>
        <v>2014</v>
      </c>
    </row>
    <row r="162" spans="1:8" x14ac:dyDescent="0.25">
      <c r="A162" s="2">
        <v>45383</v>
      </c>
      <c r="B162">
        <v>67.75</v>
      </c>
      <c r="C162">
        <f t="shared" si="8"/>
        <v>4</v>
      </c>
      <c r="D162">
        <f t="shared" si="9"/>
        <v>2024</v>
      </c>
      <c r="E162" s="2">
        <v>41705</v>
      </c>
      <c r="F162">
        <v>39.5</v>
      </c>
      <c r="G162">
        <f t="shared" si="10"/>
        <v>3</v>
      </c>
      <c r="H162">
        <f t="shared" si="11"/>
        <v>2014</v>
      </c>
    </row>
    <row r="163" spans="1:8" x14ac:dyDescent="0.25">
      <c r="A163" s="2">
        <v>45384</v>
      </c>
      <c r="B163">
        <v>69</v>
      </c>
      <c r="C163">
        <f t="shared" si="8"/>
        <v>4</v>
      </c>
      <c r="D163">
        <f t="shared" si="9"/>
        <v>2024</v>
      </c>
      <c r="E163" s="2">
        <v>41708</v>
      </c>
      <c r="F163">
        <v>39.5</v>
      </c>
      <c r="G163">
        <f t="shared" si="10"/>
        <v>3</v>
      </c>
      <c r="H163">
        <f t="shared" si="11"/>
        <v>2014</v>
      </c>
    </row>
    <row r="164" spans="1:8" x14ac:dyDescent="0.25">
      <c r="A164" s="2">
        <v>45385</v>
      </c>
      <c r="B164">
        <v>67</v>
      </c>
      <c r="C164">
        <f t="shared" si="8"/>
        <v>4</v>
      </c>
      <c r="D164">
        <f t="shared" si="9"/>
        <v>2024</v>
      </c>
      <c r="E164" s="2">
        <v>41709</v>
      </c>
      <c r="F164">
        <v>39.5</v>
      </c>
      <c r="G164">
        <f t="shared" si="10"/>
        <v>3</v>
      </c>
      <c r="H164">
        <f t="shared" si="11"/>
        <v>2014</v>
      </c>
    </row>
    <row r="165" spans="1:8" x14ac:dyDescent="0.25">
      <c r="A165" s="2">
        <v>45386</v>
      </c>
      <c r="B165">
        <v>66</v>
      </c>
      <c r="C165">
        <f t="shared" si="8"/>
        <v>4</v>
      </c>
      <c r="D165">
        <f t="shared" si="9"/>
        <v>2024</v>
      </c>
      <c r="E165" s="2">
        <v>41710</v>
      </c>
      <c r="F165">
        <v>38.5</v>
      </c>
      <c r="G165">
        <f t="shared" si="10"/>
        <v>3</v>
      </c>
      <c r="H165">
        <f t="shared" si="11"/>
        <v>2014</v>
      </c>
    </row>
    <row r="166" spans="1:8" x14ac:dyDescent="0.25">
      <c r="A166" s="2">
        <v>45387</v>
      </c>
      <c r="B166">
        <v>66</v>
      </c>
      <c r="C166">
        <f t="shared" si="8"/>
        <v>4</v>
      </c>
      <c r="D166">
        <f t="shared" si="9"/>
        <v>2024</v>
      </c>
      <c r="E166" s="2">
        <v>41711</v>
      </c>
      <c r="F166">
        <v>38.5</v>
      </c>
      <c r="G166">
        <f t="shared" si="10"/>
        <v>3</v>
      </c>
      <c r="H166">
        <f t="shared" si="11"/>
        <v>2014</v>
      </c>
    </row>
    <row r="167" spans="1:8" x14ac:dyDescent="0.25">
      <c r="A167" s="2">
        <v>45390</v>
      </c>
      <c r="B167">
        <v>66</v>
      </c>
      <c r="C167">
        <f t="shared" si="8"/>
        <v>4</v>
      </c>
      <c r="D167">
        <f t="shared" si="9"/>
        <v>2024</v>
      </c>
      <c r="E167" s="2">
        <v>41712</v>
      </c>
      <c r="F167">
        <v>38.5</v>
      </c>
      <c r="G167">
        <f t="shared" si="10"/>
        <v>3</v>
      </c>
      <c r="H167">
        <f t="shared" si="11"/>
        <v>2014</v>
      </c>
    </row>
    <row r="168" spans="1:8" x14ac:dyDescent="0.25">
      <c r="A168" s="2">
        <v>45391</v>
      </c>
      <c r="B168">
        <v>66</v>
      </c>
      <c r="C168">
        <f t="shared" si="8"/>
        <v>4</v>
      </c>
      <c r="D168">
        <f t="shared" si="9"/>
        <v>2024</v>
      </c>
      <c r="E168" s="2">
        <v>41715</v>
      </c>
      <c r="F168">
        <v>38.5</v>
      </c>
      <c r="G168">
        <f t="shared" si="10"/>
        <v>3</v>
      </c>
      <c r="H168">
        <f t="shared" si="11"/>
        <v>2014</v>
      </c>
    </row>
    <row r="169" spans="1:8" x14ac:dyDescent="0.25">
      <c r="A169" s="2">
        <v>45392</v>
      </c>
      <c r="B169">
        <v>66</v>
      </c>
      <c r="C169">
        <f t="shared" si="8"/>
        <v>4</v>
      </c>
      <c r="D169">
        <f t="shared" si="9"/>
        <v>2024</v>
      </c>
      <c r="E169" s="2">
        <v>41716</v>
      </c>
      <c r="F169">
        <v>38.5</v>
      </c>
      <c r="G169">
        <f t="shared" si="10"/>
        <v>3</v>
      </c>
      <c r="H169">
        <f t="shared" si="11"/>
        <v>2014</v>
      </c>
    </row>
    <row r="170" spans="1:8" x14ac:dyDescent="0.25">
      <c r="A170" s="2">
        <v>45393</v>
      </c>
      <c r="B170">
        <v>64.5</v>
      </c>
      <c r="C170">
        <f t="shared" si="8"/>
        <v>4</v>
      </c>
      <c r="D170">
        <f t="shared" si="9"/>
        <v>2024</v>
      </c>
      <c r="E170" s="2">
        <v>41717</v>
      </c>
      <c r="F170">
        <v>35.5</v>
      </c>
      <c r="G170">
        <f t="shared" si="10"/>
        <v>3</v>
      </c>
      <c r="H170">
        <f t="shared" si="11"/>
        <v>2014</v>
      </c>
    </row>
    <row r="171" spans="1:8" x14ac:dyDescent="0.25">
      <c r="A171" s="2">
        <v>45394</v>
      </c>
      <c r="B171">
        <v>67.5</v>
      </c>
      <c r="C171">
        <f t="shared" si="8"/>
        <v>4</v>
      </c>
      <c r="D171">
        <f t="shared" si="9"/>
        <v>2024</v>
      </c>
      <c r="E171" s="2">
        <v>41718</v>
      </c>
      <c r="F171">
        <v>32.5</v>
      </c>
      <c r="G171">
        <f t="shared" si="10"/>
        <v>3</v>
      </c>
      <c r="H171">
        <f t="shared" si="11"/>
        <v>2014</v>
      </c>
    </row>
    <row r="172" spans="1:8" x14ac:dyDescent="0.25">
      <c r="A172" s="2">
        <v>45397</v>
      </c>
      <c r="B172">
        <v>67.5</v>
      </c>
      <c r="C172">
        <f t="shared" si="8"/>
        <v>4</v>
      </c>
      <c r="D172">
        <f t="shared" si="9"/>
        <v>2024</v>
      </c>
      <c r="E172" s="2">
        <v>41719</v>
      </c>
      <c r="F172">
        <v>32.5</v>
      </c>
      <c r="G172">
        <f t="shared" si="10"/>
        <v>3</v>
      </c>
      <c r="H172">
        <f t="shared" si="11"/>
        <v>2014</v>
      </c>
    </row>
    <row r="173" spans="1:8" x14ac:dyDescent="0.25">
      <c r="A173" s="2">
        <v>45398</v>
      </c>
      <c r="B173">
        <v>67.5</v>
      </c>
      <c r="C173">
        <f t="shared" si="8"/>
        <v>4</v>
      </c>
      <c r="D173">
        <f t="shared" si="9"/>
        <v>2024</v>
      </c>
      <c r="E173" s="2">
        <v>41722</v>
      </c>
      <c r="F173">
        <v>32.5</v>
      </c>
      <c r="G173">
        <f t="shared" si="10"/>
        <v>3</v>
      </c>
      <c r="H173">
        <f t="shared" si="11"/>
        <v>2014</v>
      </c>
    </row>
    <row r="174" spans="1:8" x14ac:dyDescent="0.25">
      <c r="A174" s="2">
        <v>45399</v>
      </c>
      <c r="B174">
        <v>67</v>
      </c>
      <c r="C174">
        <f t="shared" si="8"/>
        <v>4</v>
      </c>
      <c r="D174">
        <f t="shared" si="9"/>
        <v>2024</v>
      </c>
      <c r="E174" s="2">
        <v>41723</v>
      </c>
      <c r="F174">
        <v>33.5</v>
      </c>
      <c r="G174">
        <f t="shared" si="10"/>
        <v>3</v>
      </c>
      <c r="H174">
        <f t="shared" si="11"/>
        <v>2014</v>
      </c>
    </row>
    <row r="175" spans="1:8" x14ac:dyDescent="0.25">
      <c r="A175" s="2">
        <v>45400</v>
      </c>
      <c r="B175">
        <v>69</v>
      </c>
      <c r="C175">
        <f t="shared" si="8"/>
        <v>4</v>
      </c>
      <c r="D175">
        <f t="shared" si="9"/>
        <v>2024</v>
      </c>
      <c r="E175" s="2">
        <v>41724</v>
      </c>
      <c r="F175">
        <v>32</v>
      </c>
      <c r="G175">
        <f t="shared" si="10"/>
        <v>3</v>
      </c>
      <c r="H175">
        <f t="shared" si="11"/>
        <v>2014</v>
      </c>
    </row>
    <row r="176" spans="1:8" x14ac:dyDescent="0.25">
      <c r="A176" s="2">
        <v>45401</v>
      </c>
      <c r="B176">
        <v>68</v>
      </c>
      <c r="C176">
        <f t="shared" si="8"/>
        <v>4</v>
      </c>
      <c r="D176">
        <f t="shared" si="9"/>
        <v>2024</v>
      </c>
      <c r="E176" s="2">
        <v>41725</v>
      </c>
      <c r="F176">
        <v>32</v>
      </c>
      <c r="G176">
        <f t="shared" si="10"/>
        <v>3</v>
      </c>
      <c r="H176">
        <f t="shared" si="11"/>
        <v>2014</v>
      </c>
    </row>
    <row r="177" spans="1:8" x14ac:dyDescent="0.25">
      <c r="A177" s="2">
        <v>45404</v>
      </c>
      <c r="B177">
        <v>70</v>
      </c>
      <c r="C177">
        <f t="shared" si="8"/>
        <v>4</v>
      </c>
      <c r="D177">
        <f t="shared" si="9"/>
        <v>2024</v>
      </c>
      <c r="E177" s="2">
        <v>41726</v>
      </c>
      <c r="F177">
        <v>22.5</v>
      </c>
      <c r="G177">
        <f t="shared" si="10"/>
        <v>3</v>
      </c>
      <c r="H177">
        <f t="shared" si="11"/>
        <v>2014</v>
      </c>
    </row>
    <row r="178" spans="1:8" x14ac:dyDescent="0.25">
      <c r="A178" s="2">
        <v>45405</v>
      </c>
      <c r="B178">
        <v>70</v>
      </c>
      <c r="C178">
        <f t="shared" si="8"/>
        <v>4</v>
      </c>
      <c r="D178">
        <f t="shared" si="9"/>
        <v>2024</v>
      </c>
      <c r="E178" s="2">
        <v>41729</v>
      </c>
      <c r="F178">
        <v>22.5</v>
      </c>
      <c r="G178">
        <f t="shared" si="10"/>
        <v>3</v>
      </c>
      <c r="H178">
        <f t="shared" si="11"/>
        <v>2014</v>
      </c>
    </row>
    <row r="179" spans="1:8" x14ac:dyDescent="0.25">
      <c r="A179" s="2">
        <v>45406</v>
      </c>
      <c r="B179">
        <v>70</v>
      </c>
      <c r="C179">
        <f t="shared" si="8"/>
        <v>4</v>
      </c>
      <c r="D179">
        <f t="shared" si="9"/>
        <v>2024</v>
      </c>
      <c r="E179" s="2">
        <v>41730</v>
      </c>
      <c r="F179">
        <v>21.5</v>
      </c>
      <c r="G179">
        <f t="shared" si="10"/>
        <v>4</v>
      </c>
      <c r="H179">
        <f t="shared" si="11"/>
        <v>2014</v>
      </c>
    </row>
    <row r="180" spans="1:8" x14ac:dyDescent="0.25">
      <c r="A180" s="2">
        <v>45407</v>
      </c>
      <c r="B180">
        <v>70</v>
      </c>
      <c r="C180">
        <f t="shared" si="8"/>
        <v>4</v>
      </c>
      <c r="D180">
        <f t="shared" si="9"/>
        <v>2024</v>
      </c>
      <c r="E180" s="2">
        <v>41731</v>
      </c>
      <c r="F180">
        <v>21.5</v>
      </c>
      <c r="G180">
        <f t="shared" si="10"/>
        <v>4</v>
      </c>
      <c r="H180">
        <f t="shared" si="11"/>
        <v>2014</v>
      </c>
    </row>
    <row r="181" spans="1:8" x14ac:dyDescent="0.25">
      <c r="A181" s="2">
        <v>45408</v>
      </c>
      <c r="B181">
        <v>69</v>
      </c>
      <c r="C181">
        <f t="shared" si="8"/>
        <v>4</v>
      </c>
      <c r="D181">
        <f t="shared" si="9"/>
        <v>2024</v>
      </c>
      <c r="E181" s="2">
        <v>41732</v>
      </c>
      <c r="F181">
        <v>21.5</v>
      </c>
      <c r="G181">
        <f t="shared" si="10"/>
        <v>4</v>
      </c>
      <c r="H181">
        <f t="shared" si="11"/>
        <v>2014</v>
      </c>
    </row>
    <row r="182" spans="1:8" x14ac:dyDescent="0.25">
      <c r="A182" s="2">
        <v>45411</v>
      </c>
      <c r="B182">
        <v>70</v>
      </c>
      <c r="C182">
        <f t="shared" si="8"/>
        <v>4</v>
      </c>
      <c r="D182">
        <f t="shared" si="9"/>
        <v>2024</v>
      </c>
      <c r="E182" s="2">
        <v>41733</v>
      </c>
      <c r="F182">
        <v>21.5</v>
      </c>
      <c r="G182">
        <f t="shared" si="10"/>
        <v>4</v>
      </c>
      <c r="H182">
        <f t="shared" si="11"/>
        <v>2014</v>
      </c>
    </row>
    <row r="183" spans="1:8" x14ac:dyDescent="0.25">
      <c r="A183" s="2">
        <v>45412</v>
      </c>
      <c r="B183">
        <v>70</v>
      </c>
      <c r="C183">
        <f t="shared" si="8"/>
        <v>4</v>
      </c>
      <c r="D183">
        <f t="shared" si="9"/>
        <v>2024</v>
      </c>
      <c r="E183" s="2">
        <v>41736</v>
      </c>
      <c r="F183">
        <v>21.5</v>
      </c>
      <c r="G183">
        <f t="shared" si="10"/>
        <v>4</v>
      </c>
      <c r="H183">
        <f t="shared" si="11"/>
        <v>2014</v>
      </c>
    </row>
    <row r="184" spans="1:8" x14ac:dyDescent="0.25">
      <c r="A184" s="2">
        <v>45413</v>
      </c>
      <c r="B184">
        <v>71</v>
      </c>
      <c r="C184">
        <f t="shared" si="8"/>
        <v>5</v>
      </c>
      <c r="D184">
        <f t="shared" si="9"/>
        <v>2024</v>
      </c>
      <c r="E184" s="2">
        <v>41737</v>
      </c>
      <c r="F184">
        <v>21.5</v>
      </c>
      <c r="G184">
        <f t="shared" si="10"/>
        <v>4</v>
      </c>
      <c r="H184">
        <f t="shared" si="11"/>
        <v>2014</v>
      </c>
    </row>
    <row r="185" spans="1:8" x14ac:dyDescent="0.25">
      <c r="A185" s="2">
        <v>45414</v>
      </c>
      <c r="B185">
        <v>70</v>
      </c>
      <c r="C185">
        <f t="shared" si="8"/>
        <v>5</v>
      </c>
      <c r="D185">
        <f t="shared" si="9"/>
        <v>2024</v>
      </c>
      <c r="E185" s="2">
        <v>41738</v>
      </c>
      <c r="F185">
        <v>19</v>
      </c>
      <c r="G185">
        <f t="shared" si="10"/>
        <v>4</v>
      </c>
      <c r="H185">
        <f t="shared" si="11"/>
        <v>2014</v>
      </c>
    </row>
    <row r="186" spans="1:8" x14ac:dyDescent="0.25">
      <c r="A186" s="2">
        <v>45415</v>
      </c>
      <c r="B186">
        <v>70</v>
      </c>
      <c r="C186">
        <f t="shared" si="8"/>
        <v>5</v>
      </c>
      <c r="D186">
        <f t="shared" si="9"/>
        <v>2024</v>
      </c>
      <c r="E186" s="2">
        <v>41739</v>
      </c>
      <c r="F186">
        <v>19</v>
      </c>
      <c r="G186">
        <f t="shared" si="10"/>
        <v>4</v>
      </c>
      <c r="H186">
        <f t="shared" si="11"/>
        <v>2014</v>
      </c>
    </row>
    <row r="187" spans="1:8" x14ac:dyDescent="0.25">
      <c r="A187" s="2">
        <v>45418</v>
      </c>
      <c r="B187">
        <v>70</v>
      </c>
      <c r="C187">
        <f t="shared" si="8"/>
        <v>5</v>
      </c>
      <c r="D187">
        <f t="shared" si="9"/>
        <v>2024</v>
      </c>
      <c r="E187" s="2">
        <v>41740</v>
      </c>
      <c r="F187">
        <v>17.5</v>
      </c>
      <c r="G187">
        <f t="shared" si="10"/>
        <v>4</v>
      </c>
      <c r="H187">
        <f t="shared" si="11"/>
        <v>2014</v>
      </c>
    </row>
    <row r="188" spans="1:8" x14ac:dyDescent="0.25">
      <c r="A188" s="2">
        <v>45419</v>
      </c>
      <c r="B188">
        <v>70</v>
      </c>
      <c r="C188">
        <f t="shared" si="8"/>
        <v>5</v>
      </c>
      <c r="D188">
        <f t="shared" si="9"/>
        <v>2024</v>
      </c>
      <c r="E188" s="2">
        <v>41743</v>
      </c>
      <c r="F188">
        <v>20.5</v>
      </c>
      <c r="G188">
        <f t="shared" si="10"/>
        <v>4</v>
      </c>
      <c r="H188">
        <f t="shared" si="11"/>
        <v>2014</v>
      </c>
    </row>
    <row r="189" spans="1:8" x14ac:dyDescent="0.25">
      <c r="A189" s="2">
        <v>45420</v>
      </c>
      <c r="B189">
        <v>61.5</v>
      </c>
      <c r="C189">
        <f t="shared" si="8"/>
        <v>5</v>
      </c>
      <c r="D189">
        <f t="shared" si="9"/>
        <v>2024</v>
      </c>
      <c r="E189" s="2">
        <v>41744</v>
      </c>
      <c r="F189">
        <v>20.5</v>
      </c>
      <c r="G189">
        <f t="shared" si="10"/>
        <v>4</v>
      </c>
      <c r="H189">
        <f t="shared" si="11"/>
        <v>2014</v>
      </c>
    </row>
    <row r="190" spans="1:8" x14ac:dyDescent="0.25">
      <c r="A190" s="2">
        <v>45421</v>
      </c>
      <c r="B190">
        <v>60.5</v>
      </c>
      <c r="C190">
        <f t="shared" si="8"/>
        <v>5</v>
      </c>
      <c r="D190">
        <f t="shared" si="9"/>
        <v>2024</v>
      </c>
      <c r="E190" s="2">
        <v>41745</v>
      </c>
      <c r="F190">
        <v>20.5</v>
      </c>
      <c r="G190">
        <f t="shared" si="10"/>
        <v>4</v>
      </c>
      <c r="H190">
        <f t="shared" si="11"/>
        <v>2014</v>
      </c>
    </row>
    <row r="191" spans="1:8" x14ac:dyDescent="0.25">
      <c r="A191" s="2">
        <v>45422</v>
      </c>
      <c r="B191">
        <v>61.5</v>
      </c>
      <c r="C191">
        <f t="shared" si="8"/>
        <v>5</v>
      </c>
      <c r="D191">
        <f t="shared" si="9"/>
        <v>2024</v>
      </c>
      <c r="E191" s="2">
        <v>41746</v>
      </c>
      <c r="F191">
        <v>20.5</v>
      </c>
      <c r="G191">
        <f t="shared" si="10"/>
        <v>4</v>
      </c>
      <c r="H191">
        <f t="shared" si="11"/>
        <v>2014</v>
      </c>
    </row>
    <row r="192" spans="1:8" x14ac:dyDescent="0.25">
      <c r="A192" s="2">
        <v>45425</v>
      </c>
      <c r="B192">
        <v>61</v>
      </c>
      <c r="C192">
        <f t="shared" si="8"/>
        <v>5</v>
      </c>
      <c r="D192">
        <f t="shared" si="9"/>
        <v>2024</v>
      </c>
      <c r="E192" s="2">
        <v>41750</v>
      </c>
      <c r="F192">
        <v>20.5</v>
      </c>
      <c r="G192">
        <f t="shared" si="10"/>
        <v>4</v>
      </c>
      <c r="H192">
        <f t="shared" si="11"/>
        <v>2014</v>
      </c>
    </row>
    <row r="193" spans="1:8" x14ac:dyDescent="0.25">
      <c r="A193" s="2">
        <v>45426</v>
      </c>
      <c r="B193">
        <v>60</v>
      </c>
      <c r="C193">
        <f t="shared" si="8"/>
        <v>5</v>
      </c>
      <c r="D193">
        <f t="shared" si="9"/>
        <v>2024</v>
      </c>
      <c r="E193" s="2">
        <v>41751</v>
      </c>
      <c r="F193">
        <v>20.5</v>
      </c>
      <c r="G193">
        <f t="shared" si="10"/>
        <v>4</v>
      </c>
      <c r="H193">
        <f t="shared" si="11"/>
        <v>2014</v>
      </c>
    </row>
    <row r="194" spans="1:8" x14ac:dyDescent="0.25">
      <c r="A194" s="2">
        <v>45427</v>
      </c>
      <c r="B194">
        <v>57.5</v>
      </c>
      <c r="C194">
        <f t="shared" si="8"/>
        <v>5</v>
      </c>
      <c r="D194">
        <f t="shared" si="9"/>
        <v>2024</v>
      </c>
      <c r="E194" s="2">
        <v>41752</v>
      </c>
      <c r="F194">
        <v>20.5</v>
      </c>
      <c r="G194">
        <f t="shared" si="10"/>
        <v>4</v>
      </c>
      <c r="H194">
        <f t="shared" si="11"/>
        <v>2014</v>
      </c>
    </row>
    <row r="195" spans="1:8" x14ac:dyDescent="0.25">
      <c r="A195" s="2">
        <v>45428</v>
      </c>
      <c r="B195">
        <v>56.5</v>
      </c>
      <c r="C195">
        <f t="shared" si="8"/>
        <v>5</v>
      </c>
      <c r="D195">
        <f t="shared" si="9"/>
        <v>2024</v>
      </c>
      <c r="E195" s="2">
        <v>41753</v>
      </c>
      <c r="F195">
        <v>20.5</v>
      </c>
      <c r="G195">
        <f t="shared" si="10"/>
        <v>4</v>
      </c>
      <c r="H195">
        <f t="shared" si="11"/>
        <v>2014</v>
      </c>
    </row>
    <row r="196" spans="1:8" x14ac:dyDescent="0.25">
      <c r="A196" s="2">
        <v>45429</v>
      </c>
      <c r="B196">
        <v>55.75</v>
      </c>
      <c r="C196">
        <f t="shared" si="8"/>
        <v>5</v>
      </c>
      <c r="D196">
        <f t="shared" si="9"/>
        <v>2024</v>
      </c>
      <c r="E196" s="2">
        <v>41754</v>
      </c>
      <c r="F196">
        <v>20.5</v>
      </c>
      <c r="G196">
        <f t="shared" si="10"/>
        <v>4</v>
      </c>
      <c r="H196">
        <f t="shared" si="11"/>
        <v>2014</v>
      </c>
    </row>
    <row r="197" spans="1:8" x14ac:dyDescent="0.25">
      <c r="A197" s="2">
        <v>45432</v>
      </c>
      <c r="B197">
        <v>57</v>
      </c>
      <c r="C197">
        <f t="shared" ref="C197:C260" si="12">MONTH(A197)</f>
        <v>5</v>
      </c>
      <c r="D197">
        <f t="shared" ref="D197:D260" si="13">YEAR(A197)</f>
        <v>2024</v>
      </c>
      <c r="E197" s="2">
        <v>41757</v>
      </c>
      <c r="F197">
        <v>20.5</v>
      </c>
      <c r="G197">
        <f t="shared" ref="G197:G260" si="14">MONTH(E197)</f>
        <v>4</v>
      </c>
      <c r="H197">
        <f t="shared" ref="H197:H260" si="15">YEAR(E197)</f>
        <v>2014</v>
      </c>
    </row>
    <row r="198" spans="1:8" x14ac:dyDescent="0.25">
      <c r="A198" s="2">
        <v>45433</v>
      </c>
      <c r="B198">
        <v>57</v>
      </c>
      <c r="C198">
        <f t="shared" si="12"/>
        <v>5</v>
      </c>
      <c r="D198">
        <f t="shared" si="13"/>
        <v>2024</v>
      </c>
      <c r="E198" s="2">
        <v>41758</v>
      </c>
      <c r="F198">
        <v>20.5</v>
      </c>
      <c r="G198">
        <f t="shared" si="14"/>
        <v>4</v>
      </c>
      <c r="H198">
        <f t="shared" si="15"/>
        <v>2014</v>
      </c>
    </row>
    <row r="199" spans="1:8" x14ac:dyDescent="0.25">
      <c r="A199" s="2">
        <v>45434</v>
      </c>
      <c r="B199">
        <v>56</v>
      </c>
      <c r="C199">
        <f t="shared" si="12"/>
        <v>5</v>
      </c>
      <c r="D199">
        <f t="shared" si="13"/>
        <v>2024</v>
      </c>
      <c r="E199" s="2">
        <v>41759</v>
      </c>
      <c r="F199">
        <v>20.5</v>
      </c>
      <c r="G199">
        <f t="shared" si="14"/>
        <v>4</v>
      </c>
      <c r="H199">
        <f t="shared" si="15"/>
        <v>2014</v>
      </c>
    </row>
    <row r="200" spans="1:8" x14ac:dyDescent="0.25">
      <c r="A200" s="2">
        <v>45435</v>
      </c>
      <c r="B200">
        <v>55.5</v>
      </c>
      <c r="C200">
        <f t="shared" si="12"/>
        <v>5</v>
      </c>
      <c r="D200">
        <f t="shared" si="13"/>
        <v>2024</v>
      </c>
      <c r="E200" s="2">
        <v>41760</v>
      </c>
      <c r="F200">
        <v>20.5</v>
      </c>
      <c r="G200">
        <f t="shared" si="14"/>
        <v>5</v>
      </c>
      <c r="H200">
        <f t="shared" si="15"/>
        <v>2014</v>
      </c>
    </row>
    <row r="201" spans="1:8" x14ac:dyDescent="0.25">
      <c r="A201" s="2">
        <v>45436</v>
      </c>
      <c r="B201">
        <v>54</v>
      </c>
      <c r="C201">
        <f t="shared" si="12"/>
        <v>5</v>
      </c>
      <c r="D201">
        <f t="shared" si="13"/>
        <v>2024</v>
      </c>
      <c r="E201" s="2">
        <v>41761</v>
      </c>
      <c r="F201">
        <v>20.5</v>
      </c>
      <c r="G201">
        <f t="shared" si="14"/>
        <v>5</v>
      </c>
      <c r="H201">
        <f t="shared" si="15"/>
        <v>2014</v>
      </c>
    </row>
    <row r="202" spans="1:8" x14ac:dyDescent="0.25">
      <c r="A202" s="2">
        <v>45440</v>
      </c>
      <c r="B202">
        <v>54</v>
      </c>
      <c r="C202">
        <f t="shared" si="12"/>
        <v>5</v>
      </c>
      <c r="D202">
        <f t="shared" si="13"/>
        <v>2024</v>
      </c>
      <c r="E202" s="2">
        <v>41764</v>
      </c>
      <c r="F202">
        <v>20.5</v>
      </c>
      <c r="G202">
        <f t="shared" si="14"/>
        <v>5</v>
      </c>
      <c r="H202">
        <f t="shared" si="15"/>
        <v>2014</v>
      </c>
    </row>
    <row r="203" spans="1:8" x14ac:dyDescent="0.25">
      <c r="A203" s="2">
        <v>45441</v>
      </c>
      <c r="B203">
        <v>55.5</v>
      </c>
      <c r="C203">
        <f t="shared" si="12"/>
        <v>5</v>
      </c>
      <c r="D203">
        <f t="shared" si="13"/>
        <v>2024</v>
      </c>
      <c r="E203" s="2">
        <v>41765</v>
      </c>
      <c r="F203">
        <v>20.5</v>
      </c>
      <c r="G203">
        <f t="shared" si="14"/>
        <v>5</v>
      </c>
      <c r="H203">
        <f t="shared" si="15"/>
        <v>2014</v>
      </c>
    </row>
    <row r="204" spans="1:8" x14ac:dyDescent="0.25">
      <c r="A204" s="2">
        <v>45442</v>
      </c>
      <c r="B204">
        <v>55.5</v>
      </c>
      <c r="C204">
        <f t="shared" si="12"/>
        <v>5</v>
      </c>
      <c r="D204">
        <f t="shared" si="13"/>
        <v>2024</v>
      </c>
      <c r="E204" s="2">
        <v>41766</v>
      </c>
      <c r="F204">
        <v>20.5</v>
      </c>
      <c r="G204">
        <f t="shared" si="14"/>
        <v>5</v>
      </c>
      <c r="H204">
        <f t="shared" si="15"/>
        <v>2014</v>
      </c>
    </row>
    <row r="205" spans="1:8" x14ac:dyDescent="0.25">
      <c r="A205" s="2">
        <v>45443</v>
      </c>
      <c r="B205">
        <v>55</v>
      </c>
      <c r="C205">
        <f t="shared" si="12"/>
        <v>5</v>
      </c>
      <c r="D205">
        <f t="shared" si="13"/>
        <v>2024</v>
      </c>
      <c r="E205" s="2">
        <v>41767</v>
      </c>
      <c r="F205">
        <v>20.5</v>
      </c>
      <c r="G205">
        <f t="shared" si="14"/>
        <v>5</v>
      </c>
      <c r="H205">
        <f t="shared" si="15"/>
        <v>2014</v>
      </c>
    </row>
    <row r="206" spans="1:8" x14ac:dyDescent="0.25">
      <c r="A206" s="2">
        <v>45446</v>
      </c>
      <c r="B206">
        <v>55</v>
      </c>
      <c r="C206">
        <f t="shared" si="12"/>
        <v>6</v>
      </c>
      <c r="D206">
        <f t="shared" si="13"/>
        <v>2024</v>
      </c>
      <c r="E206" s="2">
        <v>41768</v>
      </c>
      <c r="F206">
        <v>25.5</v>
      </c>
      <c r="G206">
        <f t="shared" si="14"/>
        <v>5</v>
      </c>
      <c r="H206">
        <f t="shared" si="15"/>
        <v>2014</v>
      </c>
    </row>
    <row r="207" spans="1:8" x14ac:dyDescent="0.25">
      <c r="A207" s="2">
        <v>45447</v>
      </c>
      <c r="B207">
        <v>54</v>
      </c>
      <c r="C207">
        <f t="shared" si="12"/>
        <v>6</v>
      </c>
      <c r="D207">
        <f t="shared" si="13"/>
        <v>2024</v>
      </c>
      <c r="E207" s="2">
        <v>41771</v>
      </c>
      <c r="F207">
        <v>26.5</v>
      </c>
      <c r="G207">
        <f t="shared" si="14"/>
        <v>5</v>
      </c>
      <c r="H207">
        <f t="shared" si="15"/>
        <v>2014</v>
      </c>
    </row>
    <row r="208" spans="1:8" x14ac:dyDescent="0.25">
      <c r="A208" s="2">
        <v>45448</v>
      </c>
      <c r="B208">
        <v>53</v>
      </c>
      <c r="C208">
        <f t="shared" si="12"/>
        <v>6</v>
      </c>
      <c r="D208">
        <f t="shared" si="13"/>
        <v>2024</v>
      </c>
      <c r="E208" s="2">
        <v>41772</v>
      </c>
      <c r="F208">
        <v>26.5</v>
      </c>
      <c r="G208">
        <f t="shared" si="14"/>
        <v>5</v>
      </c>
      <c r="H208">
        <f t="shared" si="15"/>
        <v>2014</v>
      </c>
    </row>
    <row r="209" spans="1:8" x14ac:dyDescent="0.25">
      <c r="A209" s="2">
        <v>45449</v>
      </c>
      <c r="B209">
        <v>53</v>
      </c>
      <c r="C209">
        <f t="shared" si="12"/>
        <v>6</v>
      </c>
      <c r="D209">
        <f t="shared" si="13"/>
        <v>2024</v>
      </c>
      <c r="E209" s="2">
        <v>41773</v>
      </c>
      <c r="F209">
        <v>26.5</v>
      </c>
      <c r="G209">
        <f t="shared" si="14"/>
        <v>5</v>
      </c>
      <c r="H209">
        <f t="shared" si="15"/>
        <v>2014</v>
      </c>
    </row>
    <row r="210" spans="1:8" x14ac:dyDescent="0.25">
      <c r="A210" s="2">
        <v>45450</v>
      </c>
      <c r="B210">
        <v>53</v>
      </c>
      <c r="C210">
        <f t="shared" si="12"/>
        <v>6</v>
      </c>
      <c r="D210">
        <f t="shared" si="13"/>
        <v>2024</v>
      </c>
      <c r="E210" s="2">
        <v>41774</v>
      </c>
      <c r="F210">
        <v>26.5</v>
      </c>
      <c r="G210">
        <f t="shared" si="14"/>
        <v>5</v>
      </c>
      <c r="H210">
        <f t="shared" si="15"/>
        <v>2014</v>
      </c>
    </row>
    <row r="211" spans="1:8" x14ac:dyDescent="0.25">
      <c r="A211" s="2">
        <v>45453</v>
      </c>
      <c r="B211">
        <v>53</v>
      </c>
      <c r="C211">
        <f t="shared" si="12"/>
        <v>6</v>
      </c>
      <c r="D211">
        <f t="shared" si="13"/>
        <v>2024</v>
      </c>
      <c r="E211" s="2">
        <v>41775</v>
      </c>
      <c r="F211">
        <v>26.5</v>
      </c>
      <c r="G211">
        <f t="shared" si="14"/>
        <v>5</v>
      </c>
      <c r="H211">
        <f t="shared" si="15"/>
        <v>2014</v>
      </c>
    </row>
    <row r="212" spans="1:8" x14ac:dyDescent="0.25">
      <c r="A212" s="2">
        <v>45454</v>
      </c>
      <c r="B212">
        <v>44</v>
      </c>
      <c r="C212">
        <f t="shared" si="12"/>
        <v>6</v>
      </c>
      <c r="D212">
        <f t="shared" si="13"/>
        <v>2024</v>
      </c>
      <c r="E212" s="2">
        <v>41778</v>
      </c>
      <c r="F212">
        <v>26.5</v>
      </c>
      <c r="G212">
        <f t="shared" si="14"/>
        <v>5</v>
      </c>
      <c r="H212">
        <f t="shared" si="15"/>
        <v>2014</v>
      </c>
    </row>
    <row r="213" spans="1:8" x14ac:dyDescent="0.25">
      <c r="A213" s="2">
        <v>45455</v>
      </c>
      <c r="B213">
        <v>42</v>
      </c>
      <c r="C213">
        <f t="shared" si="12"/>
        <v>6</v>
      </c>
      <c r="D213">
        <f t="shared" si="13"/>
        <v>2024</v>
      </c>
      <c r="E213" s="2">
        <v>41779</v>
      </c>
      <c r="F213">
        <v>26.5</v>
      </c>
      <c r="G213">
        <f t="shared" si="14"/>
        <v>5</v>
      </c>
      <c r="H213">
        <f t="shared" si="15"/>
        <v>2014</v>
      </c>
    </row>
    <row r="214" spans="1:8" x14ac:dyDescent="0.25">
      <c r="A214" s="2">
        <v>45456</v>
      </c>
      <c r="B214">
        <v>37</v>
      </c>
      <c r="C214">
        <f t="shared" si="12"/>
        <v>6</v>
      </c>
      <c r="D214">
        <f t="shared" si="13"/>
        <v>2024</v>
      </c>
      <c r="E214" s="2">
        <v>41780</v>
      </c>
      <c r="F214">
        <v>26.5</v>
      </c>
      <c r="G214">
        <f t="shared" si="14"/>
        <v>5</v>
      </c>
      <c r="H214">
        <f t="shared" si="15"/>
        <v>2014</v>
      </c>
    </row>
    <row r="215" spans="1:8" x14ac:dyDescent="0.25">
      <c r="A215" s="2">
        <v>45457</v>
      </c>
      <c r="B215">
        <v>35.5</v>
      </c>
      <c r="C215">
        <f t="shared" si="12"/>
        <v>6</v>
      </c>
      <c r="D215">
        <f t="shared" si="13"/>
        <v>2024</v>
      </c>
      <c r="E215" s="2">
        <v>41781</v>
      </c>
      <c r="F215">
        <v>28.5</v>
      </c>
      <c r="G215">
        <f t="shared" si="14"/>
        <v>5</v>
      </c>
      <c r="H215">
        <f t="shared" si="15"/>
        <v>2014</v>
      </c>
    </row>
    <row r="216" spans="1:8" x14ac:dyDescent="0.25">
      <c r="A216" s="2">
        <v>45460</v>
      </c>
      <c r="B216">
        <v>35.5</v>
      </c>
      <c r="C216">
        <f t="shared" si="12"/>
        <v>6</v>
      </c>
      <c r="D216">
        <f t="shared" si="13"/>
        <v>2024</v>
      </c>
      <c r="E216" s="2">
        <v>41782</v>
      </c>
      <c r="F216">
        <v>28.5</v>
      </c>
      <c r="G216">
        <f t="shared" si="14"/>
        <v>5</v>
      </c>
      <c r="H216">
        <f t="shared" si="15"/>
        <v>2014</v>
      </c>
    </row>
    <row r="217" spans="1:8" x14ac:dyDescent="0.25">
      <c r="A217" s="2">
        <v>45461</v>
      </c>
      <c r="B217">
        <v>35.5</v>
      </c>
      <c r="C217">
        <f t="shared" si="12"/>
        <v>6</v>
      </c>
      <c r="D217">
        <f t="shared" si="13"/>
        <v>2024</v>
      </c>
      <c r="E217" s="2">
        <v>41786</v>
      </c>
      <c r="F217">
        <v>28.5</v>
      </c>
      <c r="G217">
        <f t="shared" si="14"/>
        <v>5</v>
      </c>
      <c r="H217">
        <f t="shared" si="15"/>
        <v>2014</v>
      </c>
    </row>
    <row r="218" spans="1:8" x14ac:dyDescent="0.25">
      <c r="A218" s="2">
        <v>45463</v>
      </c>
      <c r="B218">
        <v>35</v>
      </c>
      <c r="C218">
        <f t="shared" si="12"/>
        <v>6</v>
      </c>
      <c r="D218">
        <f t="shared" si="13"/>
        <v>2024</v>
      </c>
      <c r="E218" s="2">
        <v>41787</v>
      </c>
      <c r="F218">
        <v>28.5</v>
      </c>
      <c r="G218">
        <f t="shared" si="14"/>
        <v>5</v>
      </c>
      <c r="H218">
        <f t="shared" si="15"/>
        <v>2014</v>
      </c>
    </row>
    <row r="219" spans="1:8" x14ac:dyDescent="0.25">
      <c r="A219" s="2">
        <v>45464</v>
      </c>
      <c r="B219">
        <v>28</v>
      </c>
      <c r="C219">
        <f t="shared" si="12"/>
        <v>6</v>
      </c>
      <c r="D219">
        <f t="shared" si="13"/>
        <v>2024</v>
      </c>
      <c r="E219" s="2">
        <v>41788</v>
      </c>
      <c r="F219">
        <v>28.5</v>
      </c>
      <c r="G219">
        <f t="shared" si="14"/>
        <v>5</v>
      </c>
      <c r="H219">
        <f t="shared" si="15"/>
        <v>2014</v>
      </c>
    </row>
    <row r="220" spans="1:8" x14ac:dyDescent="0.25">
      <c r="A220" s="2">
        <v>45467</v>
      </c>
      <c r="B220">
        <v>28</v>
      </c>
      <c r="C220">
        <f t="shared" si="12"/>
        <v>6</v>
      </c>
      <c r="D220">
        <f t="shared" si="13"/>
        <v>2024</v>
      </c>
      <c r="E220" s="2">
        <v>41789</v>
      </c>
      <c r="F220">
        <v>28.5</v>
      </c>
      <c r="G220">
        <f t="shared" si="14"/>
        <v>5</v>
      </c>
      <c r="H220">
        <f t="shared" si="15"/>
        <v>2014</v>
      </c>
    </row>
    <row r="221" spans="1:8" x14ac:dyDescent="0.25">
      <c r="A221" s="2">
        <v>45468</v>
      </c>
      <c r="B221">
        <v>30.5</v>
      </c>
      <c r="C221">
        <f t="shared" si="12"/>
        <v>6</v>
      </c>
      <c r="D221">
        <f t="shared" si="13"/>
        <v>2024</v>
      </c>
      <c r="E221" s="2">
        <v>41792</v>
      </c>
      <c r="F221">
        <v>28.5</v>
      </c>
      <c r="G221">
        <f t="shared" si="14"/>
        <v>6</v>
      </c>
      <c r="H221">
        <f t="shared" si="15"/>
        <v>2014</v>
      </c>
    </row>
    <row r="222" spans="1:8" x14ac:dyDescent="0.25">
      <c r="A222" s="2">
        <v>45469</v>
      </c>
      <c r="B222">
        <v>29</v>
      </c>
      <c r="C222">
        <f t="shared" si="12"/>
        <v>6</v>
      </c>
      <c r="D222">
        <f t="shared" si="13"/>
        <v>2024</v>
      </c>
      <c r="E222" s="2">
        <v>41793</v>
      </c>
      <c r="F222">
        <v>28.5</v>
      </c>
      <c r="G222">
        <f t="shared" si="14"/>
        <v>6</v>
      </c>
      <c r="H222">
        <f t="shared" si="15"/>
        <v>2014</v>
      </c>
    </row>
    <row r="223" spans="1:8" x14ac:dyDescent="0.25">
      <c r="A223" s="2">
        <v>45470</v>
      </c>
      <c r="B223">
        <v>29</v>
      </c>
      <c r="C223">
        <f t="shared" si="12"/>
        <v>6</v>
      </c>
      <c r="D223">
        <f t="shared" si="13"/>
        <v>2024</v>
      </c>
      <c r="E223" s="2">
        <v>41794</v>
      </c>
      <c r="F223">
        <v>25.5</v>
      </c>
      <c r="G223">
        <f t="shared" si="14"/>
        <v>6</v>
      </c>
      <c r="H223">
        <f t="shared" si="15"/>
        <v>2014</v>
      </c>
    </row>
    <row r="224" spans="1:8" x14ac:dyDescent="0.25">
      <c r="A224" s="2">
        <v>45471</v>
      </c>
      <c r="B224">
        <v>29</v>
      </c>
      <c r="C224">
        <f t="shared" si="12"/>
        <v>6</v>
      </c>
      <c r="D224">
        <f t="shared" si="13"/>
        <v>2024</v>
      </c>
      <c r="E224" s="2">
        <v>41795</v>
      </c>
      <c r="F224">
        <v>25.5</v>
      </c>
      <c r="G224">
        <f t="shared" si="14"/>
        <v>6</v>
      </c>
      <c r="H224">
        <f t="shared" si="15"/>
        <v>2014</v>
      </c>
    </row>
    <row r="225" spans="1:8" x14ac:dyDescent="0.25">
      <c r="A225" s="2">
        <v>45474</v>
      </c>
      <c r="B225">
        <v>29</v>
      </c>
      <c r="C225">
        <f t="shared" si="12"/>
        <v>7</v>
      </c>
      <c r="D225">
        <f t="shared" si="13"/>
        <v>2024</v>
      </c>
      <c r="E225" s="2">
        <v>41796</v>
      </c>
      <c r="F225">
        <v>25.5</v>
      </c>
      <c r="G225">
        <f t="shared" si="14"/>
        <v>6</v>
      </c>
      <c r="H225">
        <f t="shared" si="15"/>
        <v>2014</v>
      </c>
    </row>
    <row r="226" spans="1:8" x14ac:dyDescent="0.25">
      <c r="A226" s="2">
        <v>45475</v>
      </c>
      <c r="B226">
        <v>28.5</v>
      </c>
      <c r="C226">
        <f t="shared" si="12"/>
        <v>7</v>
      </c>
      <c r="D226">
        <f t="shared" si="13"/>
        <v>2024</v>
      </c>
      <c r="E226" s="2">
        <v>41799</v>
      </c>
      <c r="F226">
        <v>25.5</v>
      </c>
      <c r="G226">
        <f t="shared" si="14"/>
        <v>6</v>
      </c>
      <c r="H226">
        <f t="shared" si="15"/>
        <v>2014</v>
      </c>
    </row>
    <row r="227" spans="1:8" x14ac:dyDescent="0.25">
      <c r="A227" s="2">
        <v>45476</v>
      </c>
      <c r="B227">
        <v>28.5</v>
      </c>
      <c r="C227">
        <f t="shared" si="12"/>
        <v>7</v>
      </c>
      <c r="D227">
        <f t="shared" si="13"/>
        <v>2024</v>
      </c>
      <c r="E227" s="2">
        <v>41800</v>
      </c>
      <c r="F227">
        <v>25.5</v>
      </c>
      <c r="G227">
        <f t="shared" si="14"/>
        <v>6</v>
      </c>
      <c r="H227">
        <f t="shared" si="15"/>
        <v>2014</v>
      </c>
    </row>
    <row r="228" spans="1:8" x14ac:dyDescent="0.25">
      <c r="A228" s="2">
        <v>45478</v>
      </c>
      <c r="B228">
        <v>28.5</v>
      </c>
      <c r="C228">
        <f t="shared" si="12"/>
        <v>7</v>
      </c>
      <c r="D228">
        <f t="shared" si="13"/>
        <v>2024</v>
      </c>
      <c r="E228" s="2">
        <v>41801</v>
      </c>
      <c r="F228">
        <v>25.5</v>
      </c>
      <c r="G228">
        <f t="shared" si="14"/>
        <v>6</v>
      </c>
      <c r="H228">
        <f t="shared" si="15"/>
        <v>2014</v>
      </c>
    </row>
    <row r="229" spans="1:8" x14ac:dyDescent="0.25">
      <c r="A229" s="2">
        <v>45481</v>
      </c>
      <c r="B229">
        <v>29</v>
      </c>
      <c r="C229">
        <f t="shared" si="12"/>
        <v>7</v>
      </c>
      <c r="D229">
        <f t="shared" si="13"/>
        <v>2024</v>
      </c>
      <c r="E229" s="2">
        <v>41802</v>
      </c>
      <c r="F229">
        <v>25.5</v>
      </c>
      <c r="G229">
        <f t="shared" si="14"/>
        <v>6</v>
      </c>
      <c r="H229">
        <f t="shared" si="15"/>
        <v>2014</v>
      </c>
    </row>
    <row r="230" spans="1:8" x14ac:dyDescent="0.25">
      <c r="A230" s="2">
        <v>45482</v>
      </c>
      <c r="B230">
        <v>29</v>
      </c>
      <c r="C230">
        <f t="shared" si="12"/>
        <v>7</v>
      </c>
      <c r="D230">
        <f t="shared" si="13"/>
        <v>2024</v>
      </c>
      <c r="E230" s="2">
        <v>41803</v>
      </c>
      <c r="F230">
        <v>25.5</v>
      </c>
      <c r="G230">
        <f t="shared" si="14"/>
        <v>6</v>
      </c>
      <c r="H230">
        <f t="shared" si="15"/>
        <v>2014</v>
      </c>
    </row>
    <row r="231" spans="1:8" x14ac:dyDescent="0.25">
      <c r="A231" s="2">
        <v>45483</v>
      </c>
      <c r="B231">
        <v>30</v>
      </c>
      <c r="C231">
        <f t="shared" si="12"/>
        <v>7</v>
      </c>
      <c r="D231">
        <f t="shared" si="13"/>
        <v>2024</v>
      </c>
      <c r="E231" s="2">
        <v>41806</v>
      </c>
      <c r="F231">
        <v>27.5</v>
      </c>
      <c r="G231">
        <f t="shared" si="14"/>
        <v>6</v>
      </c>
      <c r="H231">
        <f t="shared" si="15"/>
        <v>2014</v>
      </c>
    </row>
    <row r="232" spans="1:8" x14ac:dyDescent="0.25">
      <c r="A232" s="2">
        <v>45484</v>
      </c>
      <c r="B232">
        <v>30</v>
      </c>
      <c r="C232">
        <f t="shared" si="12"/>
        <v>7</v>
      </c>
      <c r="D232">
        <f t="shared" si="13"/>
        <v>2024</v>
      </c>
      <c r="E232" s="2">
        <v>41807</v>
      </c>
      <c r="F232">
        <v>27.5</v>
      </c>
      <c r="G232">
        <f t="shared" si="14"/>
        <v>6</v>
      </c>
      <c r="H232">
        <f t="shared" si="15"/>
        <v>2014</v>
      </c>
    </row>
    <row r="233" spans="1:8" x14ac:dyDescent="0.25">
      <c r="A233" s="2">
        <v>45485</v>
      </c>
      <c r="B233">
        <v>25.5</v>
      </c>
      <c r="C233">
        <f t="shared" si="12"/>
        <v>7</v>
      </c>
      <c r="D233">
        <f t="shared" si="13"/>
        <v>2024</v>
      </c>
      <c r="E233" s="2">
        <v>41808</v>
      </c>
      <c r="F233">
        <v>27.5</v>
      </c>
      <c r="G233">
        <f t="shared" si="14"/>
        <v>6</v>
      </c>
      <c r="H233">
        <f t="shared" si="15"/>
        <v>2014</v>
      </c>
    </row>
    <row r="234" spans="1:8" x14ac:dyDescent="0.25">
      <c r="A234" s="2">
        <v>45488</v>
      </c>
      <c r="B234">
        <v>25.5</v>
      </c>
      <c r="C234">
        <f t="shared" si="12"/>
        <v>7</v>
      </c>
      <c r="D234">
        <f t="shared" si="13"/>
        <v>2024</v>
      </c>
      <c r="E234" s="2">
        <v>41809</v>
      </c>
      <c r="F234">
        <v>29.5</v>
      </c>
      <c r="G234">
        <f t="shared" si="14"/>
        <v>6</v>
      </c>
      <c r="H234">
        <f t="shared" si="15"/>
        <v>2014</v>
      </c>
    </row>
    <row r="235" spans="1:8" x14ac:dyDescent="0.25">
      <c r="A235" s="2">
        <v>45489</v>
      </c>
      <c r="B235">
        <v>25.5</v>
      </c>
      <c r="C235">
        <f t="shared" si="12"/>
        <v>7</v>
      </c>
      <c r="D235">
        <f t="shared" si="13"/>
        <v>2024</v>
      </c>
      <c r="E235" s="2">
        <v>41810</v>
      </c>
      <c r="F235">
        <v>29.5</v>
      </c>
      <c r="G235">
        <f t="shared" si="14"/>
        <v>6</v>
      </c>
      <c r="H235">
        <f t="shared" si="15"/>
        <v>2014</v>
      </c>
    </row>
    <row r="236" spans="1:8" x14ac:dyDescent="0.25">
      <c r="A236" s="2">
        <v>45490</v>
      </c>
      <c r="B236">
        <v>23.5</v>
      </c>
      <c r="C236">
        <f t="shared" si="12"/>
        <v>7</v>
      </c>
      <c r="D236">
        <f t="shared" si="13"/>
        <v>2024</v>
      </c>
      <c r="E236" s="2">
        <v>41813</v>
      </c>
      <c r="F236">
        <v>29.5</v>
      </c>
      <c r="G236">
        <f t="shared" si="14"/>
        <v>6</v>
      </c>
      <c r="H236">
        <f t="shared" si="15"/>
        <v>2014</v>
      </c>
    </row>
    <row r="237" spans="1:8" x14ac:dyDescent="0.25">
      <c r="A237" s="2">
        <v>45491</v>
      </c>
      <c r="B237">
        <v>23.5</v>
      </c>
      <c r="C237">
        <f t="shared" si="12"/>
        <v>7</v>
      </c>
      <c r="D237">
        <f t="shared" si="13"/>
        <v>2024</v>
      </c>
      <c r="E237" s="2">
        <v>41814</v>
      </c>
      <c r="F237">
        <v>29.5</v>
      </c>
      <c r="G237">
        <f t="shared" si="14"/>
        <v>6</v>
      </c>
      <c r="H237">
        <f t="shared" si="15"/>
        <v>2014</v>
      </c>
    </row>
    <row r="238" spans="1:8" x14ac:dyDescent="0.25">
      <c r="A238" s="2">
        <v>45492</v>
      </c>
      <c r="B238">
        <v>25</v>
      </c>
      <c r="C238">
        <f t="shared" si="12"/>
        <v>7</v>
      </c>
      <c r="D238">
        <f t="shared" si="13"/>
        <v>2024</v>
      </c>
      <c r="E238" s="2">
        <v>41815</v>
      </c>
      <c r="F238">
        <v>29.5</v>
      </c>
      <c r="G238">
        <f t="shared" si="14"/>
        <v>6</v>
      </c>
      <c r="H238">
        <f t="shared" si="15"/>
        <v>2014</v>
      </c>
    </row>
    <row r="239" spans="1:8" x14ac:dyDescent="0.25">
      <c r="A239" s="2">
        <v>45495</v>
      </c>
      <c r="B239">
        <v>25</v>
      </c>
      <c r="C239">
        <f t="shared" si="12"/>
        <v>7</v>
      </c>
      <c r="D239">
        <f t="shared" si="13"/>
        <v>2024</v>
      </c>
      <c r="E239" s="2">
        <v>41816</v>
      </c>
      <c r="F239">
        <v>29.5</v>
      </c>
      <c r="G239">
        <f t="shared" si="14"/>
        <v>6</v>
      </c>
      <c r="H239">
        <f t="shared" si="15"/>
        <v>2014</v>
      </c>
    </row>
    <row r="240" spans="1:8" x14ac:dyDescent="0.25">
      <c r="A240" s="2">
        <v>45496</v>
      </c>
      <c r="B240">
        <v>21</v>
      </c>
      <c r="C240">
        <f t="shared" si="12"/>
        <v>7</v>
      </c>
      <c r="D240">
        <f t="shared" si="13"/>
        <v>2024</v>
      </c>
      <c r="E240" s="2">
        <v>41817</v>
      </c>
      <c r="F240">
        <v>29.5</v>
      </c>
      <c r="G240">
        <f t="shared" si="14"/>
        <v>6</v>
      </c>
      <c r="H240">
        <f t="shared" si="15"/>
        <v>2014</v>
      </c>
    </row>
    <row r="241" spans="1:8" x14ac:dyDescent="0.25">
      <c r="A241" s="2">
        <v>45497</v>
      </c>
      <c r="B241">
        <v>22</v>
      </c>
      <c r="C241">
        <f t="shared" si="12"/>
        <v>7</v>
      </c>
      <c r="D241">
        <f t="shared" si="13"/>
        <v>2024</v>
      </c>
      <c r="E241" s="2">
        <v>41820</v>
      </c>
      <c r="F241">
        <v>29.5</v>
      </c>
      <c r="G241">
        <f t="shared" si="14"/>
        <v>6</v>
      </c>
      <c r="H241">
        <f t="shared" si="15"/>
        <v>2014</v>
      </c>
    </row>
    <row r="242" spans="1:8" x14ac:dyDescent="0.25">
      <c r="A242" s="2">
        <v>45498</v>
      </c>
      <c r="B242">
        <v>27</v>
      </c>
      <c r="C242">
        <f t="shared" si="12"/>
        <v>7</v>
      </c>
      <c r="D242">
        <f t="shared" si="13"/>
        <v>2024</v>
      </c>
      <c r="E242" s="2">
        <v>41821</v>
      </c>
      <c r="F242">
        <v>29.5</v>
      </c>
      <c r="G242">
        <f t="shared" si="14"/>
        <v>7</v>
      </c>
      <c r="H242">
        <f t="shared" si="15"/>
        <v>2014</v>
      </c>
    </row>
    <row r="243" spans="1:8" x14ac:dyDescent="0.25">
      <c r="A243" s="2">
        <v>45499</v>
      </c>
      <c r="B243">
        <v>28</v>
      </c>
      <c r="C243">
        <f t="shared" si="12"/>
        <v>7</v>
      </c>
      <c r="D243">
        <f t="shared" si="13"/>
        <v>2024</v>
      </c>
      <c r="E243" s="2">
        <v>41822</v>
      </c>
      <c r="F243">
        <v>29.5</v>
      </c>
      <c r="G243">
        <f t="shared" si="14"/>
        <v>7</v>
      </c>
      <c r="H243">
        <f t="shared" si="15"/>
        <v>2014</v>
      </c>
    </row>
    <row r="244" spans="1:8" x14ac:dyDescent="0.25">
      <c r="A244" s="2">
        <v>45502</v>
      </c>
      <c r="B244">
        <v>29</v>
      </c>
      <c r="C244">
        <f t="shared" si="12"/>
        <v>7</v>
      </c>
      <c r="D244">
        <f t="shared" si="13"/>
        <v>2024</v>
      </c>
      <c r="E244" s="2">
        <v>41823</v>
      </c>
      <c r="F244">
        <v>29.5</v>
      </c>
      <c r="G244">
        <f t="shared" si="14"/>
        <v>7</v>
      </c>
      <c r="H244">
        <f t="shared" si="15"/>
        <v>2014</v>
      </c>
    </row>
    <row r="245" spans="1:8" x14ac:dyDescent="0.25">
      <c r="A245" s="2">
        <v>45503</v>
      </c>
      <c r="B245">
        <v>29</v>
      </c>
      <c r="C245">
        <f t="shared" si="12"/>
        <v>7</v>
      </c>
      <c r="D245">
        <f t="shared" si="13"/>
        <v>2024</v>
      </c>
      <c r="E245" s="2">
        <v>41827</v>
      </c>
      <c r="F245">
        <v>29.5</v>
      </c>
      <c r="G245">
        <f t="shared" si="14"/>
        <v>7</v>
      </c>
      <c r="H245">
        <f t="shared" si="15"/>
        <v>2014</v>
      </c>
    </row>
    <row r="246" spans="1:8" x14ac:dyDescent="0.25">
      <c r="A246" s="2">
        <v>45504</v>
      </c>
      <c r="B246">
        <v>29</v>
      </c>
      <c r="C246">
        <f t="shared" si="12"/>
        <v>7</v>
      </c>
      <c r="D246">
        <f t="shared" si="13"/>
        <v>2024</v>
      </c>
      <c r="E246" s="2">
        <v>41828</v>
      </c>
      <c r="F246">
        <v>29.5</v>
      </c>
      <c r="G246">
        <f t="shared" si="14"/>
        <v>7</v>
      </c>
      <c r="H246">
        <f t="shared" si="15"/>
        <v>2014</v>
      </c>
    </row>
    <row r="247" spans="1:8" x14ac:dyDescent="0.25">
      <c r="A247" s="2">
        <v>45505</v>
      </c>
      <c r="B247">
        <v>29</v>
      </c>
      <c r="C247">
        <f t="shared" si="12"/>
        <v>8</v>
      </c>
      <c r="D247">
        <f t="shared" si="13"/>
        <v>2024</v>
      </c>
      <c r="E247" s="2">
        <v>41829</v>
      </c>
      <c r="F247">
        <v>29.5</v>
      </c>
      <c r="G247">
        <f t="shared" si="14"/>
        <v>7</v>
      </c>
      <c r="H247">
        <f t="shared" si="15"/>
        <v>2014</v>
      </c>
    </row>
    <row r="248" spans="1:8" x14ac:dyDescent="0.25">
      <c r="A248" s="2">
        <v>45506</v>
      </c>
      <c r="B248">
        <v>29</v>
      </c>
      <c r="C248">
        <f t="shared" si="12"/>
        <v>8</v>
      </c>
      <c r="D248">
        <f t="shared" si="13"/>
        <v>2024</v>
      </c>
      <c r="E248" s="2">
        <v>41830</v>
      </c>
      <c r="F248">
        <v>29.5</v>
      </c>
      <c r="G248">
        <f t="shared" si="14"/>
        <v>7</v>
      </c>
      <c r="H248">
        <f t="shared" si="15"/>
        <v>2014</v>
      </c>
    </row>
    <row r="249" spans="1:8" x14ac:dyDescent="0.25">
      <c r="A249" s="2">
        <v>45509</v>
      </c>
      <c r="B249">
        <v>29</v>
      </c>
      <c r="C249">
        <f t="shared" si="12"/>
        <v>8</v>
      </c>
      <c r="D249">
        <f t="shared" si="13"/>
        <v>2024</v>
      </c>
      <c r="E249" s="2">
        <v>41831</v>
      </c>
      <c r="F249">
        <v>29.5</v>
      </c>
      <c r="G249">
        <f t="shared" si="14"/>
        <v>7</v>
      </c>
      <c r="H249">
        <f t="shared" si="15"/>
        <v>2014</v>
      </c>
    </row>
    <row r="250" spans="1:8" x14ac:dyDescent="0.25">
      <c r="A250" s="2">
        <v>45510</v>
      </c>
      <c r="B250">
        <v>29</v>
      </c>
      <c r="C250">
        <f t="shared" si="12"/>
        <v>8</v>
      </c>
      <c r="D250">
        <f t="shared" si="13"/>
        <v>2024</v>
      </c>
      <c r="E250" s="2">
        <v>41834</v>
      </c>
      <c r="F250">
        <v>29.5</v>
      </c>
      <c r="G250">
        <f t="shared" si="14"/>
        <v>7</v>
      </c>
      <c r="H250">
        <f t="shared" si="15"/>
        <v>2014</v>
      </c>
    </row>
    <row r="251" spans="1:8" x14ac:dyDescent="0.25">
      <c r="A251" s="2">
        <v>45511</v>
      </c>
      <c r="B251">
        <v>29</v>
      </c>
      <c r="C251">
        <f t="shared" si="12"/>
        <v>8</v>
      </c>
      <c r="D251">
        <f t="shared" si="13"/>
        <v>2024</v>
      </c>
      <c r="E251" s="2">
        <v>41835</v>
      </c>
      <c r="F251">
        <v>29.5</v>
      </c>
      <c r="G251">
        <f t="shared" si="14"/>
        <v>7</v>
      </c>
      <c r="H251">
        <f t="shared" si="15"/>
        <v>2014</v>
      </c>
    </row>
    <row r="252" spans="1:8" x14ac:dyDescent="0.25">
      <c r="A252" s="2">
        <v>45512</v>
      </c>
      <c r="B252">
        <v>29</v>
      </c>
      <c r="C252">
        <f t="shared" si="12"/>
        <v>8</v>
      </c>
      <c r="D252">
        <f t="shared" si="13"/>
        <v>2024</v>
      </c>
      <c r="E252" s="2">
        <v>41836</v>
      </c>
      <c r="F252">
        <v>29.5</v>
      </c>
      <c r="G252">
        <f t="shared" si="14"/>
        <v>7</v>
      </c>
      <c r="H252">
        <f t="shared" si="15"/>
        <v>2014</v>
      </c>
    </row>
    <row r="253" spans="1:8" x14ac:dyDescent="0.25">
      <c r="A253" s="2">
        <v>45513</v>
      </c>
      <c r="B253">
        <v>29</v>
      </c>
      <c r="C253">
        <f t="shared" si="12"/>
        <v>8</v>
      </c>
      <c r="D253">
        <f t="shared" si="13"/>
        <v>2024</v>
      </c>
      <c r="E253" s="2">
        <v>41837</v>
      </c>
      <c r="F253">
        <v>29.5</v>
      </c>
      <c r="G253">
        <f t="shared" si="14"/>
        <v>7</v>
      </c>
      <c r="H253">
        <f t="shared" si="15"/>
        <v>2014</v>
      </c>
    </row>
    <row r="254" spans="1:8" x14ac:dyDescent="0.25">
      <c r="A254" s="2">
        <v>45516</v>
      </c>
      <c r="B254">
        <v>29</v>
      </c>
      <c r="C254">
        <f t="shared" si="12"/>
        <v>8</v>
      </c>
      <c r="D254">
        <f t="shared" si="13"/>
        <v>2024</v>
      </c>
      <c r="E254" s="2">
        <v>41838</v>
      </c>
      <c r="F254">
        <v>29.5</v>
      </c>
      <c r="G254">
        <f t="shared" si="14"/>
        <v>7</v>
      </c>
      <c r="H254">
        <f t="shared" si="15"/>
        <v>2014</v>
      </c>
    </row>
    <row r="255" spans="1:8" x14ac:dyDescent="0.25">
      <c r="A255" s="2">
        <v>45517</v>
      </c>
      <c r="B255">
        <v>29</v>
      </c>
      <c r="C255">
        <f t="shared" si="12"/>
        <v>8</v>
      </c>
      <c r="D255">
        <f t="shared" si="13"/>
        <v>2024</v>
      </c>
      <c r="E255" s="2">
        <v>41841</v>
      </c>
      <c r="F255">
        <v>29.5</v>
      </c>
      <c r="G255">
        <f t="shared" si="14"/>
        <v>7</v>
      </c>
      <c r="H255">
        <f t="shared" si="15"/>
        <v>2014</v>
      </c>
    </row>
    <row r="256" spans="1:8" x14ac:dyDescent="0.25">
      <c r="A256" s="2">
        <v>45518</v>
      </c>
      <c r="B256">
        <v>29</v>
      </c>
      <c r="C256">
        <f t="shared" si="12"/>
        <v>8</v>
      </c>
      <c r="D256">
        <f t="shared" si="13"/>
        <v>2024</v>
      </c>
      <c r="E256" s="2">
        <v>41842</v>
      </c>
      <c r="F256">
        <v>29.5</v>
      </c>
      <c r="G256">
        <f t="shared" si="14"/>
        <v>7</v>
      </c>
      <c r="H256">
        <f t="shared" si="15"/>
        <v>2014</v>
      </c>
    </row>
    <row r="257" spans="1:8" x14ac:dyDescent="0.25">
      <c r="A257" s="2">
        <v>45519</v>
      </c>
      <c r="B257">
        <v>29</v>
      </c>
      <c r="C257">
        <f t="shared" si="12"/>
        <v>8</v>
      </c>
      <c r="D257">
        <f t="shared" si="13"/>
        <v>2024</v>
      </c>
      <c r="E257" s="2">
        <v>41843</v>
      </c>
      <c r="F257">
        <v>29.5</v>
      </c>
      <c r="G257">
        <f t="shared" si="14"/>
        <v>7</v>
      </c>
      <c r="H257">
        <f t="shared" si="15"/>
        <v>2014</v>
      </c>
    </row>
    <row r="258" spans="1:8" x14ac:dyDescent="0.25">
      <c r="A258" s="2">
        <v>45520</v>
      </c>
      <c r="B258">
        <v>29</v>
      </c>
      <c r="C258">
        <f t="shared" si="12"/>
        <v>8</v>
      </c>
      <c r="D258">
        <f t="shared" si="13"/>
        <v>2024</v>
      </c>
      <c r="E258" s="2">
        <v>41844</v>
      </c>
      <c r="F258">
        <v>29.5</v>
      </c>
      <c r="G258">
        <f t="shared" si="14"/>
        <v>7</v>
      </c>
      <c r="H258">
        <f t="shared" si="15"/>
        <v>2014</v>
      </c>
    </row>
    <row r="259" spans="1:8" x14ac:dyDescent="0.25">
      <c r="A259" s="2">
        <v>45523</v>
      </c>
      <c r="B259">
        <v>29</v>
      </c>
      <c r="C259">
        <f t="shared" si="12"/>
        <v>8</v>
      </c>
      <c r="D259">
        <f t="shared" si="13"/>
        <v>2024</v>
      </c>
      <c r="E259" s="2">
        <v>41845</v>
      </c>
      <c r="F259">
        <v>29.5</v>
      </c>
      <c r="G259">
        <f t="shared" si="14"/>
        <v>7</v>
      </c>
      <c r="H259">
        <f t="shared" si="15"/>
        <v>2014</v>
      </c>
    </row>
    <row r="260" spans="1:8" x14ac:dyDescent="0.25">
      <c r="A260" s="2">
        <v>45524</v>
      </c>
      <c r="B260">
        <v>29</v>
      </c>
      <c r="C260">
        <f t="shared" si="12"/>
        <v>8</v>
      </c>
      <c r="D260">
        <f t="shared" si="13"/>
        <v>2024</v>
      </c>
      <c r="E260" s="2">
        <v>41848</v>
      </c>
      <c r="F260">
        <v>29.5</v>
      </c>
      <c r="G260">
        <f t="shared" si="14"/>
        <v>7</v>
      </c>
      <c r="H260">
        <f t="shared" si="15"/>
        <v>2014</v>
      </c>
    </row>
    <row r="261" spans="1:8" x14ac:dyDescent="0.25">
      <c r="A261" s="2">
        <v>45525</v>
      </c>
      <c r="B261">
        <v>29</v>
      </c>
      <c r="C261">
        <f t="shared" ref="C261:C324" si="16">MONTH(A261)</f>
        <v>8</v>
      </c>
      <c r="D261">
        <f t="shared" ref="D261:D324" si="17">YEAR(A261)</f>
        <v>2024</v>
      </c>
      <c r="E261" s="2">
        <v>41849</v>
      </c>
      <c r="F261">
        <v>29.5</v>
      </c>
      <c r="G261">
        <f t="shared" ref="G261:G324" si="18">MONTH(E261)</f>
        <v>7</v>
      </c>
      <c r="H261">
        <f t="shared" ref="H261:H324" si="19">YEAR(E261)</f>
        <v>2014</v>
      </c>
    </row>
    <row r="262" spans="1:8" x14ac:dyDescent="0.25">
      <c r="A262" s="2">
        <v>45526</v>
      </c>
      <c r="B262">
        <v>30</v>
      </c>
      <c r="C262">
        <f t="shared" si="16"/>
        <v>8</v>
      </c>
      <c r="D262">
        <f t="shared" si="17"/>
        <v>2024</v>
      </c>
      <c r="E262" s="2">
        <v>41850</v>
      </c>
      <c r="F262">
        <v>29.5</v>
      </c>
      <c r="G262">
        <f t="shared" si="18"/>
        <v>7</v>
      </c>
      <c r="H262">
        <f t="shared" si="19"/>
        <v>2014</v>
      </c>
    </row>
    <row r="263" spans="1:8" x14ac:dyDescent="0.25">
      <c r="A263" s="2">
        <v>45527</v>
      </c>
      <c r="B263">
        <v>30</v>
      </c>
      <c r="C263">
        <f t="shared" si="16"/>
        <v>8</v>
      </c>
      <c r="D263">
        <f t="shared" si="17"/>
        <v>2024</v>
      </c>
      <c r="E263" s="2">
        <v>41851</v>
      </c>
      <c r="F263">
        <v>29.5</v>
      </c>
      <c r="G263">
        <f t="shared" si="18"/>
        <v>7</v>
      </c>
      <c r="H263">
        <f t="shared" si="19"/>
        <v>2014</v>
      </c>
    </row>
    <row r="264" spans="1:8" x14ac:dyDescent="0.25">
      <c r="A264" s="2">
        <v>45530</v>
      </c>
      <c r="B264">
        <v>30</v>
      </c>
      <c r="C264">
        <f t="shared" si="16"/>
        <v>8</v>
      </c>
      <c r="D264">
        <f t="shared" si="17"/>
        <v>2024</v>
      </c>
      <c r="E264" s="2">
        <v>41852</v>
      </c>
      <c r="F264">
        <v>29.5</v>
      </c>
      <c r="G264">
        <f t="shared" si="18"/>
        <v>8</v>
      </c>
      <c r="H264">
        <f t="shared" si="19"/>
        <v>2014</v>
      </c>
    </row>
    <row r="265" spans="1:8" x14ac:dyDescent="0.25">
      <c r="A265" s="2">
        <v>45531</v>
      </c>
      <c r="B265">
        <v>31</v>
      </c>
      <c r="C265">
        <f t="shared" si="16"/>
        <v>8</v>
      </c>
      <c r="D265">
        <f t="shared" si="17"/>
        <v>2024</v>
      </c>
      <c r="E265" s="2">
        <v>41855</v>
      </c>
      <c r="F265">
        <v>29.5</v>
      </c>
      <c r="G265">
        <f t="shared" si="18"/>
        <v>8</v>
      </c>
      <c r="H265">
        <f t="shared" si="19"/>
        <v>2014</v>
      </c>
    </row>
    <row r="266" spans="1:8" x14ac:dyDescent="0.25">
      <c r="A266" s="2">
        <v>45532</v>
      </c>
      <c r="B266">
        <v>31</v>
      </c>
      <c r="C266">
        <f t="shared" si="16"/>
        <v>8</v>
      </c>
      <c r="D266">
        <f t="shared" si="17"/>
        <v>2024</v>
      </c>
      <c r="E266" s="2">
        <v>41856</v>
      </c>
      <c r="F266">
        <v>29.5</v>
      </c>
      <c r="G266">
        <f t="shared" si="18"/>
        <v>8</v>
      </c>
      <c r="H266">
        <f t="shared" si="19"/>
        <v>2014</v>
      </c>
    </row>
    <row r="267" spans="1:8" x14ac:dyDescent="0.25">
      <c r="A267" s="2">
        <v>45533</v>
      </c>
      <c r="B267">
        <v>31</v>
      </c>
      <c r="C267">
        <f t="shared" si="16"/>
        <v>8</v>
      </c>
      <c r="D267">
        <f t="shared" si="17"/>
        <v>2024</v>
      </c>
      <c r="E267" s="2">
        <v>41857</v>
      </c>
      <c r="F267">
        <v>29.5</v>
      </c>
      <c r="G267">
        <f t="shared" si="18"/>
        <v>8</v>
      </c>
      <c r="H267">
        <f t="shared" si="19"/>
        <v>2014</v>
      </c>
    </row>
    <row r="268" spans="1:8" x14ac:dyDescent="0.25">
      <c r="A268" s="2">
        <v>45534</v>
      </c>
      <c r="B268">
        <v>30</v>
      </c>
      <c r="C268">
        <f t="shared" si="16"/>
        <v>8</v>
      </c>
      <c r="D268">
        <f t="shared" si="17"/>
        <v>2024</v>
      </c>
      <c r="E268" s="2">
        <v>41858</v>
      </c>
      <c r="F268">
        <v>29.5</v>
      </c>
      <c r="G268">
        <f t="shared" si="18"/>
        <v>8</v>
      </c>
      <c r="H268">
        <f t="shared" si="19"/>
        <v>2014</v>
      </c>
    </row>
    <row r="269" spans="1:8" x14ac:dyDescent="0.25">
      <c r="A269" s="2">
        <v>45538</v>
      </c>
      <c r="B269">
        <v>30</v>
      </c>
      <c r="C269">
        <f t="shared" si="16"/>
        <v>9</v>
      </c>
      <c r="D269">
        <f t="shared" si="17"/>
        <v>2024</v>
      </c>
      <c r="E269" s="2">
        <v>41859</v>
      </c>
      <c r="F269">
        <v>29.5</v>
      </c>
      <c r="G269">
        <f t="shared" si="18"/>
        <v>8</v>
      </c>
      <c r="H269">
        <f t="shared" si="19"/>
        <v>2014</v>
      </c>
    </row>
    <row r="270" spans="1:8" x14ac:dyDescent="0.25">
      <c r="A270" s="2">
        <v>45539</v>
      </c>
      <c r="B270">
        <v>30</v>
      </c>
      <c r="C270">
        <f t="shared" si="16"/>
        <v>9</v>
      </c>
      <c r="D270">
        <f t="shared" si="17"/>
        <v>2024</v>
      </c>
      <c r="E270" s="2">
        <v>41862</v>
      </c>
      <c r="F270">
        <v>29.5</v>
      </c>
      <c r="G270">
        <f t="shared" si="18"/>
        <v>8</v>
      </c>
      <c r="H270">
        <f t="shared" si="19"/>
        <v>2014</v>
      </c>
    </row>
    <row r="271" spans="1:8" x14ac:dyDescent="0.25">
      <c r="A271" s="2">
        <v>45540</v>
      </c>
      <c r="B271">
        <v>30</v>
      </c>
      <c r="C271">
        <f t="shared" si="16"/>
        <v>9</v>
      </c>
      <c r="D271">
        <f t="shared" si="17"/>
        <v>2024</v>
      </c>
      <c r="E271" s="2">
        <v>41863</v>
      </c>
      <c r="F271">
        <v>29.5</v>
      </c>
      <c r="G271">
        <f t="shared" si="18"/>
        <v>8</v>
      </c>
      <c r="H271">
        <f t="shared" si="19"/>
        <v>2014</v>
      </c>
    </row>
    <row r="272" spans="1:8" x14ac:dyDescent="0.25">
      <c r="A272" s="2">
        <v>45541</v>
      </c>
      <c r="B272">
        <v>30.5</v>
      </c>
      <c r="C272">
        <f t="shared" si="16"/>
        <v>9</v>
      </c>
      <c r="D272">
        <f t="shared" si="17"/>
        <v>2024</v>
      </c>
      <c r="E272" s="2">
        <v>41864</v>
      </c>
      <c r="F272">
        <v>29</v>
      </c>
      <c r="G272">
        <f t="shared" si="18"/>
        <v>8</v>
      </c>
      <c r="H272">
        <f t="shared" si="19"/>
        <v>2014</v>
      </c>
    </row>
    <row r="273" spans="1:8" x14ac:dyDescent="0.25">
      <c r="A273" s="2">
        <v>45544</v>
      </c>
      <c r="B273">
        <v>31.5</v>
      </c>
      <c r="C273">
        <f t="shared" si="16"/>
        <v>9</v>
      </c>
      <c r="D273">
        <f t="shared" si="17"/>
        <v>2024</v>
      </c>
      <c r="E273" s="2">
        <v>41865</v>
      </c>
      <c r="F273">
        <v>29</v>
      </c>
      <c r="G273">
        <f t="shared" si="18"/>
        <v>8</v>
      </c>
      <c r="H273">
        <f t="shared" si="19"/>
        <v>2014</v>
      </c>
    </row>
    <row r="274" spans="1:8" x14ac:dyDescent="0.25">
      <c r="A274" s="2">
        <v>45545</v>
      </c>
      <c r="B274">
        <v>31</v>
      </c>
      <c r="C274">
        <f t="shared" si="16"/>
        <v>9</v>
      </c>
      <c r="D274">
        <f t="shared" si="17"/>
        <v>2024</v>
      </c>
      <c r="E274" s="2">
        <v>41866</v>
      </c>
      <c r="F274">
        <v>28.5</v>
      </c>
      <c r="G274">
        <f t="shared" si="18"/>
        <v>8</v>
      </c>
      <c r="H274">
        <f t="shared" si="19"/>
        <v>2014</v>
      </c>
    </row>
    <row r="275" spans="1:8" x14ac:dyDescent="0.25">
      <c r="A275" s="2">
        <v>45546</v>
      </c>
      <c r="B275">
        <v>31</v>
      </c>
      <c r="C275">
        <f t="shared" si="16"/>
        <v>9</v>
      </c>
      <c r="D275">
        <f t="shared" si="17"/>
        <v>2024</v>
      </c>
      <c r="E275" s="2">
        <v>41869</v>
      </c>
      <c r="F275">
        <v>28.5</v>
      </c>
      <c r="G275">
        <f t="shared" si="18"/>
        <v>8</v>
      </c>
      <c r="H275">
        <f t="shared" si="19"/>
        <v>2014</v>
      </c>
    </row>
    <row r="276" spans="1:8" x14ac:dyDescent="0.25">
      <c r="A276" s="2">
        <v>45547</v>
      </c>
      <c r="B276">
        <v>31</v>
      </c>
      <c r="C276">
        <f t="shared" si="16"/>
        <v>9</v>
      </c>
      <c r="D276">
        <f t="shared" si="17"/>
        <v>2024</v>
      </c>
      <c r="E276" s="2">
        <v>41870</v>
      </c>
      <c r="F276">
        <v>28.5</v>
      </c>
      <c r="G276">
        <f t="shared" si="18"/>
        <v>8</v>
      </c>
      <c r="H276">
        <f t="shared" si="19"/>
        <v>2014</v>
      </c>
    </row>
    <row r="277" spans="1:8" x14ac:dyDescent="0.25">
      <c r="A277" s="2">
        <v>45548</v>
      </c>
      <c r="B277">
        <v>31</v>
      </c>
      <c r="C277">
        <f t="shared" si="16"/>
        <v>9</v>
      </c>
      <c r="D277">
        <f t="shared" si="17"/>
        <v>2024</v>
      </c>
      <c r="E277" s="2">
        <v>41871</v>
      </c>
      <c r="F277">
        <v>27.5</v>
      </c>
      <c r="G277">
        <f t="shared" si="18"/>
        <v>8</v>
      </c>
      <c r="H277">
        <f t="shared" si="19"/>
        <v>2014</v>
      </c>
    </row>
    <row r="278" spans="1:8" x14ac:dyDescent="0.25">
      <c r="A278" s="2">
        <v>45551</v>
      </c>
      <c r="B278">
        <v>31</v>
      </c>
      <c r="C278">
        <f t="shared" si="16"/>
        <v>9</v>
      </c>
      <c r="D278">
        <f t="shared" si="17"/>
        <v>2024</v>
      </c>
      <c r="E278" s="2">
        <v>41872</v>
      </c>
      <c r="F278">
        <v>27.5</v>
      </c>
      <c r="G278">
        <f t="shared" si="18"/>
        <v>8</v>
      </c>
      <c r="H278">
        <f t="shared" si="19"/>
        <v>2014</v>
      </c>
    </row>
    <row r="279" spans="1:8" x14ac:dyDescent="0.25">
      <c r="A279" s="2">
        <v>45552</v>
      </c>
      <c r="B279">
        <v>31</v>
      </c>
      <c r="C279">
        <f t="shared" si="16"/>
        <v>9</v>
      </c>
      <c r="D279">
        <f t="shared" si="17"/>
        <v>2024</v>
      </c>
      <c r="E279" s="2">
        <v>41873</v>
      </c>
      <c r="F279">
        <v>26</v>
      </c>
      <c r="G279">
        <f t="shared" si="18"/>
        <v>8</v>
      </c>
      <c r="H279">
        <f t="shared" si="19"/>
        <v>2014</v>
      </c>
    </row>
    <row r="280" spans="1:8" x14ac:dyDescent="0.25">
      <c r="A280" s="2">
        <v>45553</v>
      </c>
      <c r="B280">
        <v>30</v>
      </c>
      <c r="C280">
        <f t="shared" si="16"/>
        <v>9</v>
      </c>
      <c r="D280">
        <f t="shared" si="17"/>
        <v>2024</v>
      </c>
      <c r="E280" s="2">
        <v>41876</v>
      </c>
      <c r="F280">
        <v>26</v>
      </c>
      <c r="G280">
        <f t="shared" si="18"/>
        <v>8</v>
      </c>
      <c r="H280">
        <f t="shared" si="19"/>
        <v>2014</v>
      </c>
    </row>
    <row r="281" spans="1:8" x14ac:dyDescent="0.25">
      <c r="A281" s="2">
        <v>45554</v>
      </c>
      <c r="B281">
        <v>30</v>
      </c>
      <c r="C281">
        <f t="shared" si="16"/>
        <v>9</v>
      </c>
      <c r="D281">
        <f t="shared" si="17"/>
        <v>2024</v>
      </c>
      <c r="E281" s="2">
        <v>41877</v>
      </c>
      <c r="F281">
        <v>26</v>
      </c>
      <c r="G281">
        <f t="shared" si="18"/>
        <v>8</v>
      </c>
      <c r="H281">
        <f t="shared" si="19"/>
        <v>2014</v>
      </c>
    </row>
    <row r="282" spans="1:8" x14ac:dyDescent="0.25">
      <c r="A282" s="2">
        <v>45555</v>
      </c>
      <c r="B282">
        <v>30</v>
      </c>
      <c r="C282">
        <f t="shared" si="16"/>
        <v>9</v>
      </c>
      <c r="D282">
        <f t="shared" si="17"/>
        <v>2024</v>
      </c>
      <c r="E282" s="2">
        <v>41878</v>
      </c>
      <c r="F282">
        <v>26</v>
      </c>
      <c r="G282">
        <f t="shared" si="18"/>
        <v>8</v>
      </c>
      <c r="H282">
        <f t="shared" si="19"/>
        <v>2014</v>
      </c>
    </row>
    <row r="283" spans="1:8" x14ac:dyDescent="0.25">
      <c r="A283" s="2">
        <v>45558</v>
      </c>
      <c r="B283">
        <v>30</v>
      </c>
      <c r="C283">
        <f t="shared" si="16"/>
        <v>9</v>
      </c>
      <c r="D283">
        <f t="shared" si="17"/>
        <v>2024</v>
      </c>
      <c r="E283" s="2">
        <v>41879</v>
      </c>
      <c r="F283">
        <v>26</v>
      </c>
      <c r="G283">
        <f t="shared" si="18"/>
        <v>8</v>
      </c>
      <c r="H283">
        <f t="shared" si="19"/>
        <v>2014</v>
      </c>
    </row>
    <row r="284" spans="1:8" x14ac:dyDescent="0.25">
      <c r="A284" s="2">
        <v>45559</v>
      </c>
      <c r="B284">
        <v>32</v>
      </c>
      <c r="C284">
        <f t="shared" si="16"/>
        <v>9</v>
      </c>
      <c r="D284">
        <f t="shared" si="17"/>
        <v>2024</v>
      </c>
      <c r="E284" s="2">
        <v>41880</v>
      </c>
      <c r="F284">
        <v>26</v>
      </c>
      <c r="G284">
        <f t="shared" si="18"/>
        <v>8</v>
      </c>
      <c r="H284">
        <f t="shared" si="19"/>
        <v>2014</v>
      </c>
    </row>
    <row r="285" spans="1:8" x14ac:dyDescent="0.25">
      <c r="A285" s="2">
        <v>45560</v>
      </c>
      <c r="B285">
        <v>32</v>
      </c>
      <c r="C285">
        <f t="shared" si="16"/>
        <v>9</v>
      </c>
      <c r="D285">
        <f t="shared" si="17"/>
        <v>2024</v>
      </c>
      <c r="E285" s="2">
        <v>41884</v>
      </c>
      <c r="F285">
        <v>26</v>
      </c>
      <c r="G285">
        <f t="shared" si="18"/>
        <v>9</v>
      </c>
      <c r="H285">
        <f t="shared" si="19"/>
        <v>2014</v>
      </c>
    </row>
    <row r="286" spans="1:8" x14ac:dyDescent="0.25">
      <c r="A286" s="2">
        <v>45561</v>
      </c>
      <c r="B286">
        <v>32</v>
      </c>
      <c r="C286">
        <f t="shared" si="16"/>
        <v>9</v>
      </c>
      <c r="D286">
        <f t="shared" si="17"/>
        <v>2024</v>
      </c>
      <c r="E286" s="2">
        <v>41885</v>
      </c>
      <c r="F286">
        <v>26</v>
      </c>
      <c r="G286">
        <f t="shared" si="18"/>
        <v>9</v>
      </c>
      <c r="H286">
        <f t="shared" si="19"/>
        <v>2014</v>
      </c>
    </row>
    <row r="287" spans="1:8" x14ac:dyDescent="0.25">
      <c r="A287" s="2">
        <v>45562</v>
      </c>
      <c r="B287">
        <v>32</v>
      </c>
      <c r="C287">
        <f t="shared" si="16"/>
        <v>9</v>
      </c>
      <c r="D287">
        <f t="shared" si="17"/>
        <v>2024</v>
      </c>
      <c r="E287" s="2">
        <v>41886</v>
      </c>
      <c r="F287">
        <v>26</v>
      </c>
      <c r="G287">
        <f t="shared" si="18"/>
        <v>9</v>
      </c>
      <c r="H287">
        <f t="shared" si="19"/>
        <v>2014</v>
      </c>
    </row>
    <row r="288" spans="1:8" x14ac:dyDescent="0.25">
      <c r="A288" s="2">
        <v>45565</v>
      </c>
      <c r="B288">
        <v>32</v>
      </c>
      <c r="C288">
        <f t="shared" si="16"/>
        <v>9</v>
      </c>
      <c r="D288">
        <f t="shared" si="17"/>
        <v>2024</v>
      </c>
      <c r="E288" s="2">
        <v>41887</v>
      </c>
      <c r="F288">
        <v>26</v>
      </c>
      <c r="G288">
        <f t="shared" si="18"/>
        <v>9</v>
      </c>
      <c r="H288">
        <f t="shared" si="19"/>
        <v>2014</v>
      </c>
    </row>
    <row r="289" spans="1:8" x14ac:dyDescent="0.25">
      <c r="A289" s="2">
        <v>45566</v>
      </c>
      <c r="B289">
        <v>36</v>
      </c>
      <c r="C289">
        <f t="shared" si="16"/>
        <v>10</v>
      </c>
      <c r="D289">
        <f t="shared" si="17"/>
        <v>2024</v>
      </c>
      <c r="E289" s="2">
        <v>41890</v>
      </c>
      <c r="F289">
        <v>26</v>
      </c>
      <c r="G289">
        <f t="shared" si="18"/>
        <v>9</v>
      </c>
      <c r="H289">
        <f t="shared" si="19"/>
        <v>2014</v>
      </c>
    </row>
    <row r="290" spans="1:8" x14ac:dyDescent="0.25">
      <c r="A290" s="2">
        <v>45567</v>
      </c>
      <c r="B290">
        <v>36</v>
      </c>
      <c r="C290">
        <f t="shared" si="16"/>
        <v>10</v>
      </c>
      <c r="D290">
        <f t="shared" si="17"/>
        <v>2024</v>
      </c>
      <c r="E290" s="2">
        <v>41891</v>
      </c>
      <c r="F290">
        <v>26</v>
      </c>
      <c r="G290">
        <f t="shared" si="18"/>
        <v>9</v>
      </c>
      <c r="H290">
        <f t="shared" si="19"/>
        <v>2014</v>
      </c>
    </row>
    <row r="291" spans="1:8" x14ac:dyDescent="0.25">
      <c r="A291" s="2">
        <v>45568</v>
      </c>
      <c r="B291">
        <v>37.5</v>
      </c>
      <c r="C291">
        <f t="shared" si="16"/>
        <v>10</v>
      </c>
      <c r="D291">
        <f t="shared" si="17"/>
        <v>2024</v>
      </c>
      <c r="E291" s="2">
        <v>41892</v>
      </c>
      <c r="F291">
        <v>26</v>
      </c>
      <c r="G291">
        <f t="shared" si="18"/>
        <v>9</v>
      </c>
      <c r="H291">
        <f t="shared" si="19"/>
        <v>2014</v>
      </c>
    </row>
    <row r="292" spans="1:8" x14ac:dyDescent="0.25">
      <c r="A292" s="2">
        <v>45569</v>
      </c>
      <c r="B292">
        <v>37.5</v>
      </c>
      <c r="C292">
        <f t="shared" si="16"/>
        <v>10</v>
      </c>
      <c r="D292">
        <f t="shared" si="17"/>
        <v>2024</v>
      </c>
      <c r="E292" s="2">
        <v>41893</v>
      </c>
      <c r="F292">
        <v>26</v>
      </c>
      <c r="G292">
        <f t="shared" si="18"/>
        <v>9</v>
      </c>
      <c r="H292">
        <f t="shared" si="19"/>
        <v>2014</v>
      </c>
    </row>
    <row r="293" spans="1:8" x14ac:dyDescent="0.25">
      <c r="A293" s="2">
        <v>45572</v>
      </c>
      <c r="B293">
        <v>36.5</v>
      </c>
      <c r="C293">
        <f t="shared" si="16"/>
        <v>10</v>
      </c>
      <c r="D293">
        <f t="shared" si="17"/>
        <v>2024</v>
      </c>
      <c r="E293" s="2">
        <v>41894</v>
      </c>
      <c r="F293">
        <v>27.5</v>
      </c>
      <c r="G293">
        <f t="shared" si="18"/>
        <v>9</v>
      </c>
      <c r="H293">
        <f t="shared" si="19"/>
        <v>2014</v>
      </c>
    </row>
    <row r="294" spans="1:8" x14ac:dyDescent="0.25">
      <c r="A294" s="2">
        <v>45573</v>
      </c>
      <c r="B294">
        <v>36</v>
      </c>
      <c r="C294">
        <f t="shared" si="16"/>
        <v>10</v>
      </c>
      <c r="D294">
        <f t="shared" si="17"/>
        <v>2024</v>
      </c>
      <c r="E294" s="2">
        <v>41897</v>
      </c>
      <c r="F294">
        <v>27.5</v>
      </c>
      <c r="G294">
        <f t="shared" si="18"/>
        <v>9</v>
      </c>
      <c r="H294">
        <f t="shared" si="19"/>
        <v>2014</v>
      </c>
    </row>
    <row r="295" spans="1:8" x14ac:dyDescent="0.25">
      <c r="A295" s="2">
        <v>45574</v>
      </c>
      <c r="B295">
        <v>36</v>
      </c>
      <c r="C295">
        <f t="shared" si="16"/>
        <v>10</v>
      </c>
      <c r="D295">
        <f t="shared" si="17"/>
        <v>2024</v>
      </c>
      <c r="E295" s="2">
        <v>41898</v>
      </c>
      <c r="F295">
        <v>27.5</v>
      </c>
      <c r="G295">
        <f t="shared" si="18"/>
        <v>9</v>
      </c>
      <c r="H295">
        <f t="shared" si="19"/>
        <v>2014</v>
      </c>
    </row>
    <row r="296" spans="1:8" x14ac:dyDescent="0.25">
      <c r="A296" s="2">
        <v>45575</v>
      </c>
      <c r="B296">
        <v>36</v>
      </c>
      <c r="C296">
        <f t="shared" si="16"/>
        <v>10</v>
      </c>
      <c r="D296">
        <f t="shared" si="17"/>
        <v>2024</v>
      </c>
      <c r="E296" s="2">
        <v>41899</v>
      </c>
      <c r="F296">
        <v>27.5</v>
      </c>
      <c r="G296">
        <f t="shared" si="18"/>
        <v>9</v>
      </c>
      <c r="H296">
        <f t="shared" si="19"/>
        <v>2014</v>
      </c>
    </row>
    <row r="297" spans="1:8" x14ac:dyDescent="0.25">
      <c r="A297" s="2">
        <v>45576</v>
      </c>
      <c r="B297">
        <v>36</v>
      </c>
      <c r="C297">
        <f t="shared" si="16"/>
        <v>10</v>
      </c>
      <c r="D297">
        <f t="shared" si="17"/>
        <v>2024</v>
      </c>
      <c r="E297" s="2">
        <v>41900</v>
      </c>
      <c r="F297">
        <v>27.5</v>
      </c>
      <c r="G297">
        <f t="shared" si="18"/>
        <v>9</v>
      </c>
      <c r="H297">
        <f t="shared" si="19"/>
        <v>2014</v>
      </c>
    </row>
    <row r="298" spans="1:8" x14ac:dyDescent="0.25">
      <c r="A298" s="2">
        <v>45579</v>
      </c>
      <c r="B298">
        <v>36</v>
      </c>
      <c r="C298">
        <f t="shared" si="16"/>
        <v>10</v>
      </c>
      <c r="D298">
        <f t="shared" si="17"/>
        <v>2024</v>
      </c>
      <c r="E298" s="2">
        <v>41901</v>
      </c>
      <c r="F298">
        <v>27.5</v>
      </c>
      <c r="G298">
        <f t="shared" si="18"/>
        <v>9</v>
      </c>
      <c r="H298">
        <f t="shared" si="19"/>
        <v>2014</v>
      </c>
    </row>
    <row r="299" spans="1:8" x14ac:dyDescent="0.25">
      <c r="A299" s="2">
        <v>45580</v>
      </c>
      <c r="B299">
        <v>36</v>
      </c>
      <c r="C299">
        <f t="shared" si="16"/>
        <v>10</v>
      </c>
      <c r="D299">
        <f t="shared" si="17"/>
        <v>2024</v>
      </c>
      <c r="E299" s="2">
        <v>41904</v>
      </c>
      <c r="F299">
        <v>27.5</v>
      </c>
      <c r="G299">
        <f t="shared" si="18"/>
        <v>9</v>
      </c>
      <c r="H299">
        <f t="shared" si="19"/>
        <v>2014</v>
      </c>
    </row>
    <row r="300" spans="1:8" x14ac:dyDescent="0.25">
      <c r="A300" s="2">
        <v>45581</v>
      </c>
      <c r="B300">
        <v>36</v>
      </c>
      <c r="C300">
        <f t="shared" si="16"/>
        <v>10</v>
      </c>
      <c r="D300">
        <f t="shared" si="17"/>
        <v>2024</v>
      </c>
      <c r="E300" s="2">
        <v>41905</v>
      </c>
      <c r="F300">
        <v>27.5</v>
      </c>
      <c r="G300">
        <f t="shared" si="18"/>
        <v>9</v>
      </c>
      <c r="H300">
        <f t="shared" si="19"/>
        <v>2014</v>
      </c>
    </row>
    <row r="301" spans="1:8" x14ac:dyDescent="0.25">
      <c r="A301" s="2">
        <v>45582</v>
      </c>
      <c r="B301">
        <v>36</v>
      </c>
      <c r="C301">
        <f t="shared" si="16"/>
        <v>10</v>
      </c>
      <c r="D301">
        <f t="shared" si="17"/>
        <v>2024</v>
      </c>
      <c r="E301" s="2">
        <v>41906</v>
      </c>
      <c r="F301">
        <v>27.5</v>
      </c>
      <c r="G301">
        <f t="shared" si="18"/>
        <v>9</v>
      </c>
      <c r="H301">
        <f t="shared" si="19"/>
        <v>2014</v>
      </c>
    </row>
    <row r="302" spans="1:8" x14ac:dyDescent="0.25">
      <c r="A302" s="2">
        <v>45583</v>
      </c>
      <c r="B302">
        <v>38</v>
      </c>
      <c r="C302">
        <f t="shared" si="16"/>
        <v>10</v>
      </c>
      <c r="D302">
        <f t="shared" si="17"/>
        <v>2024</v>
      </c>
      <c r="E302" s="2">
        <v>41907</v>
      </c>
      <c r="F302">
        <v>27.5</v>
      </c>
      <c r="G302">
        <f t="shared" si="18"/>
        <v>9</v>
      </c>
      <c r="H302">
        <f t="shared" si="19"/>
        <v>2014</v>
      </c>
    </row>
    <row r="303" spans="1:8" x14ac:dyDescent="0.25">
      <c r="A303" s="2">
        <v>45586</v>
      </c>
      <c r="B303">
        <v>40</v>
      </c>
      <c r="C303">
        <f t="shared" si="16"/>
        <v>10</v>
      </c>
      <c r="D303">
        <f t="shared" si="17"/>
        <v>2024</v>
      </c>
      <c r="E303" s="2">
        <v>41908</v>
      </c>
      <c r="F303">
        <v>27.5</v>
      </c>
      <c r="G303">
        <f t="shared" si="18"/>
        <v>9</v>
      </c>
      <c r="H303">
        <f t="shared" si="19"/>
        <v>2014</v>
      </c>
    </row>
    <row r="304" spans="1:8" x14ac:dyDescent="0.25">
      <c r="A304" s="2">
        <v>45587</v>
      </c>
      <c r="B304">
        <v>40</v>
      </c>
      <c r="C304">
        <f t="shared" si="16"/>
        <v>10</v>
      </c>
      <c r="D304">
        <f t="shared" si="17"/>
        <v>2024</v>
      </c>
      <c r="E304" s="2">
        <v>41911</v>
      </c>
      <c r="F304">
        <v>27.5</v>
      </c>
      <c r="G304">
        <f t="shared" si="18"/>
        <v>9</v>
      </c>
      <c r="H304">
        <f t="shared" si="19"/>
        <v>2014</v>
      </c>
    </row>
    <row r="305" spans="1:8" x14ac:dyDescent="0.25">
      <c r="A305" s="2">
        <v>45588</v>
      </c>
      <c r="B305">
        <v>40</v>
      </c>
      <c r="C305">
        <f t="shared" si="16"/>
        <v>10</v>
      </c>
      <c r="D305">
        <f t="shared" si="17"/>
        <v>2024</v>
      </c>
      <c r="E305" s="2">
        <v>41912</v>
      </c>
      <c r="F305">
        <v>27.5</v>
      </c>
      <c r="G305">
        <f t="shared" si="18"/>
        <v>9</v>
      </c>
      <c r="H305">
        <f t="shared" si="19"/>
        <v>2014</v>
      </c>
    </row>
    <row r="306" spans="1:8" x14ac:dyDescent="0.25">
      <c r="A306" s="2">
        <v>45589</v>
      </c>
      <c r="B306">
        <v>40</v>
      </c>
      <c r="C306">
        <f t="shared" si="16"/>
        <v>10</v>
      </c>
      <c r="D306">
        <f t="shared" si="17"/>
        <v>2024</v>
      </c>
      <c r="E306" s="2">
        <v>41913</v>
      </c>
      <c r="F306">
        <v>27.5</v>
      </c>
      <c r="G306">
        <f t="shared" si="18"/>
        <v>10</v>
      </c>
      <c r="H306">
        <f t="shared" si="19"/>
        <v>2014</v>
      </c>
    </row>
    <row r="307" spans="1:8" x14ac:dyDescent="0.25">
      <c r="A307" s="2">
        <v>45590</v>
      </c>
      <c r="B307">
        <v>40</v>
      </c>
      <c r="C307">
        <f t="shared" si="16"/>
        <v>10</v>
      </c>
      <c r="D307">
        <f t="shared" si="17"/>
        <v>2024</v>
      </c>
      <c r="E307" s="2">
        <v>41914</v>
      </c>
      <c r="F307">
        <v>27.5</v>
      </c>
      <c r="G307">
        <f t="shared" si="18"/>
        <v>10</v>
      </c>
      <c r="H307">
        <f t="shared" si="19"/>
        <v>2014</v>
      </c>
    </row>
    <row r="308" spans="1:8" x14ac:dyDescent="0.25">
      <c r="A308" s="2">
        <v>45593</v>
      </c>
      <c r="B308">
        <v>41</v>
      </c>
      <c r="C308">
        <f t="shared" si="16"/>
        <v>10</v>
      </c>
      <c r="D308">
        <f t="shared" si="17"/>
        <v>2024</v>
      </c>
      <c r="E308" s="2">
        <v>41915</v>
      </c>
      <c r="F308">
        <v>27.5</v>
      </c>
      <c r="G308">
        <f t="shared" si="18"/>
        <v>10</v>
      </c>
      <c r="H308">
        <f t="shared" si="19"/>
        <v>2014</v>
      </c>
    </row>
    <row r="309" spans="1:8" x14ac:dyDescent="0.25">
      <c r="A309" s="2">
        <v>45594</v>
      </c>
      <c r="B309">
        <v>41</v>
      </c>
      <c r="C309">
        <f t="shared" si="16"/>
        <v>10</v>
      </c>
      <c r="D309">
        <f t="shared" si="17"/>
        <v>2024</v>
      </c>
      <c r="E309" s="2">
        <v>41918</v>
      </c>
      <c r="F309">
        <v>27.5</v>
      </c>
      <c r="G309">
        <f t="shared" si="18"/>
        <v>10</v>
      </c>
      <c r="H309">
        <f t="shared" si="19"/>
        <v>2014</v>
      </c>
    </row>
    <row r="310" spans="1:8" x14ac:dyDescent="0.25">
      <c r="A310" s="2">
        <v>45595</v>
      </c>
      <c r="B310">
        <v>41</v>
      </c>
      <c r="C310">
        <f t="shared" si="16"/>
        <v>10</v>
      </c>
      <c r="D310">
        <f t="shared" si="17"/>
        <v>2024</v>
      </c>
      <c r="E310" s="2">
        <v>41919</v>
      </c>
      <c r="F310">
        <v>27.5</v>
      </c>
      <c r="G310">
        <f t="shared" si="18"/>
        <v>10</v>
      </c>
      <c r="H310">
        <f t="shared" si="19"/>
        <v>2014</v>
      </c>
    </row>
    <row r="311" spans="1:8" x14ac:dyDescent="0.25">
      <c r="A311" s="2">
        <v>45596</v>
      </c>
      <c r="B311">
        <v>41</v>
      </c>
      <c r="C311">
        <f t="shared" si="16"/>
        <v>10</v>
      </c>
      <c r="D311">
        <f t="shared" si="17"/>
        <v>2024</v>
      </c>
      <c r="E311" s="2">
        <v>41920</v>
      </c>
      <c r="F311">
        <v>27.5</v>
      </c>
      <c r="G311">
        <f t="shared" si="18"/>
        <v>10</v>
      </c>
      <c r="H311">
        <f t="shared" si="19"/>
        <v>2014</v>
      </c>
    </row>
    <row r="312" spans="1:8" x14ac:dyDescent="0.25">
      <c r="A312" s="2">
        <v>45597</v>
      </c>
      <c r="B312">
        <v>41</v>
      </c>
      <c r="C312">
        <f t="shared" si="16"/>
        <v>11</v>
      </c>
      <c r="D312">
        <f t="shared" si="17"/>
        <v>2024</v>
      </c>
      <c r="E312" s="2">
        <v>41921</v>
      </c>
      <c r="F312">
        <v>27.5</v>
      </c>
      <c r="G312">
        <f t="shared" si="18"/>
        <v>10</v>
      </c>
      <c r="H312">
        <f t="shared" si="19"/>
        <v>2014</v>
      </c>
    </row>
    <row r="313" spans="1:8" x14ac:dyDescent="0.25">
      <c r="A313" s="2">
        <v>45600</v>
      </c>
      <c r="B313">
        <v>40</v>
      </c>
      <c r="C313">
        <f t="shared" si="16"/>
        <v>11</v>
      </c>
      <c r="D313">
        <f t="shared" si="17"/>
        <v>2024</v>
      </c>
      <c r="E313" s="2">
        <v>41922</v>
      </c>
      <c r="F313">
        <v>27.5</v>
      </c>
      <c r="G313">
        <f t="shared" si="18"/>
        <v>10</v>
      </c>
      <c r="H313">
        <f t="shared" si="19"/>
        <v>2014</v>
      </c>
    </row>
    <row r="314" spans="1:8" x14ac:dyDescent="0.25">
      <c r="A314" s="2">
        <v>45601</v>
      </c>
      <c r="B314">
        <v>40</v>
      </c>
      <c r="C314">
        <f t="shared" si="16"/>
        <v>11</v>
      </c>
      <c r="D314">
        <f t="shared" si="17"/>
        <v>2024</v>
      </c>
      <c r="E314" s="2">
        <v>41925</v>
      </c>
      <c r="F314">
        <v>27.5</v>
      </c>
      <c r="G314">
        <f t="shared" si="18"/>
        <v>10</v>
      </c>
      <c r="H314">
        <f t="shared" si="19"/>
        <v>2014</v>
      </c>
    </row>
    <row r="315" spans="1:8" x14ac:dyDescent="0.25">
      <c r="A315" s="2">
        <v>45602</v>
      </c>
      <c r="B315">
        <v>40.25</v>
      </c>
      <c r="C315">
        <f t="shared" si="16"/>
        <v>11</v>
      </c>
      <c r="D315">
        <f t="shared" si="17"/>
        <v>2024</v>
      </c>
      <c r="E315" s="2">
        <v>41926</v>
      </c>
      <c r="F315">
        <v>27.5</v>
      </c>
      <c r="G315">
        <f t="shared" si="18"/>
        <v>10</v>
      </c>
      <c r="H315">
        <f t="shared" si="19"/>
        <v>2014</v>
      </c>
    </row>
    <row r="316" spans="1:8" x14ac:dyDescent="0.25">
      <c r="A316" s="2">
        <v>45603</v>
      </c>
      <c r="B316">
        <v>45</v>
      </c>
      <c r="C316">
        <f t="shared" si="16"/>
        <v>11</v>
      </c>
      <c r="D316">
        <f t="shared" si="17"/>
        <v>2024</v>
      </c>
      <c r="E316" s="2">
        <v>41927</v>
      </c>
      <c r="F316">
        <v>27.5</v>
      </c>
      <c r="G316">
        <f t="shared" si="18"/>
        <v>10</v>
      </c>
      <c r="H316">
        <f t="shared" si="19"/>
        <v>2014</v>
      </c>
    </row>
    <row r="317" spans="1:8" x14ac:dyDescent="0.25">
      <c r="A317" s="2">
        <v>45604</v>
      </c>
      <c r="B317">
        <v>43</v>
      </c>
      <c r="C317">
        <f t="shared" si="16"/>
        <v>11</v>
      </c>
      <c r="D317">
        <f t="shared" si="17"/>
        <v>2024</v>
      </c>
      <c r="E317" s="2">
        <v>41928</v>
      </c>
      <c r="F317">
        <v>27.5</v>
      </c>
      <c r="G317">
        <f t="shared" si="18"/>
        <v>10</v>
      </c>
      <c r="H317">
        <f t="shared" si="19"/>
        <v>2014</v>
      </c>
    </row>
    <row r="318" spans="1:8" x14ac:dyDescent="0.25">
      <c r="A318" s="2">
        <v>45607</v>
      </c>
      <c r="B318">
        <v>43</v>
      </c>
      <c r="C318">
        <f t="shared" si="16"/>
        <v>11</v>
      </c>
      <c r="D318">
        <f t="shared" si="17"/>
        <v>2024</v>
      </c>
      <c r="E318" s="2">
        <v>41929</v>
      </c>
      <c r="F318">
        <v>27.5</v>
      </c>
      <c r="G318">
        <f t="shared" si="18"/>
        <v>10</v>
      </c>
      <c r="H318">
        <f t="shared" si="19"/>
        <v>2014</v>
      </c>
    </row>
    <row r="319" spans="1:8" x14ac:dyDescent="0.25">
      <c r="A319" s="2">
        <v>45608</v>
      </c>
      <c r="B319">
        <v>43</v>
      </c>
      <c r="C319">
        <f t="shared" si="16"/>
        <v>11</v>
      </c>
      <c r="D319">
        <f t="shared" si="17"/>
        <v>2024</v>
      </c>
      <c r="E319" s="2">
        <v>41932</v>
      </c>
      <c r="F319">
        <v>27.5</v>
      </c>
      <c r="G319">
        <f t="shared" si="18"/>
        <v>10</v>
      </c>
      <c r="H319">
        <f t="shared" si="19"/>
        <v>2014</v>
      </c>
    </row>
    <row r="320" spans="1:8" x14ac:dyDescent="0.25">
      <c r="A320" s="2">
        <v>45609</v>
      </c>
      <c r="B320">
        <v>43</v>
      </c>
      <c r="C320">
        <f t="shared" si="16"/>
        <v>11</v>
      </c>
      <c r="D320">
        <f t="shared" si="17"/>
        <v>2024</v>
      </c>
      <c r="E320" s="2">
        <v>41933</v>
      </c>
      <c r="F320">
        <v>27.5</v>
      </c>
      <c r="G320">
        <f t="shared" si="18"/>
        <v>10</v>
      </c>
      <c r="H320">
        <f t="shared" si="19"/>
        <v>2014</v>
      </c>
    </row>
    <row r="321" spans="1:8" x14ac:dyDescent="0.25">
      <c r="A321" s="2">
        <v>45610</v>
      </c>
      <c r="B321">
        <v>42</v>
      </c>
      <c r="C321">
        <f t="shared" si="16"/>
        <v>11</v>
      </c>
      <c r="D321">
        <f t="shared" si="17"/>
        <v>2024</v>
      </c>
      <c r="E321" s="2">
        <v>41934</v>
      </c>
      <c r="F321">
        <v>27.5</v>
      </c>
      <c r="G321">
        <f t="shared" si="18"/>
        <v>10</v>
      </c>
      <c r="H321">
        <f t="shared" si="19"/>
        <v>2014</v>
      </c>
    </row>
    <row r="322" spans="1:8" x14ac:dyDescent="0.25">
      <c r="A322" s="2">
        <v>45611</v>
      </c>
      <c r="B322">
        <v>42</v>
      </c>
      <c r="C322">
        <f t="shared" si="16"/>
        <v>11</v>
      </c>
      <c r="D322">
        <f t="shared" si="17"/>
        <v>2024</v>
      </c>
      <c r="E322" s="2">
        <v>41935</v>
      </c>
      <c r="F322">
        <v>27.5</v>
      </c>
      <c r="G322">
        <f t="shared" si="18"/>
        <v>10</v>
      </c>
      <c r="H322">
        <f t="shared" si="19"/>
        <v>2014</v>
      </c>
    </row>
    <row r="323" spans="1:8" x14ac:dyDescent="0.25">
      <c r="A323" s="2">
        <v>45614</v>
      </c>
      <c r="B323">
        <v>37.5</v>
      </c>
      <c r="C323">
        <f t="shared" si="16"/>
        <v>11</v>
      </c>
      <c r="D323">
        <f t="shared" si="17"/>
        <v>2024</v>
      </c>
      <c r="E323" s="2">
        <v>41936</v>
      </c>
      <c r="F323">
        <v>27.5</v>
      </c>
      <c r="G323">
        <f t="shared" si="18"/>
        <v>10</v>
      </c>
      <c r="H323">
        <f t="shared" si="19"/>
        <v>2014</v>
      </c>
    </row>
    <row r="324" spans="1:8" x14ac:dyDescent="0.25">
      <c r="A324" s="2">
        <v>45615</v>
      </c>
      <c r="B324">
        <v>37.5</v>
      </c>
      <c r="C324">
        <f t="shared" si="16"/>
        <v>11</v>
      </c>
      <c r="D324">
        <f t="shared" si="17"/>
        <v>2024</v>
      </c>
      <c r="E324" s="2">
        <v>41939</v>
      </c>
      <c r="F324">
        <v>27.5</v>
      </c>
      <c r="G324">
        <f t="shared" si="18"/>
        <v>10</v>
      </c>
      <c r="H324">
        <f t="shared" si="19"/>
        <v>2014</v>
      </c>
    </row>
    <row r="325" spans="1:8" x14ac:dyDescent="0.25">
      <c r="A325" s="2">
        <v>45616</v>
      </c>
      <c r="B325">
        <v>42.5</v>
      </c>
      <c r="C325">
        <f t="shared" ref="C325:C388" si="20">MONTH(A325)</f>
        <v>11</v>
      </c>
      <c r="D325">
        <f t="shared" ref="D325:D388" si="21">YEAR(A325)</f>
        <v>2024</v>
      </c>
      <c r="E325" s="2">
        <v>41940</v>
      </c>
      <c r="F325">
        <v>27.5</v>
      </c>
      <c r="G325">
        <f t="shared" ref="G325:G388" si="22">MONTH(E325)</f>
        <v>10</v>
      </c>
      <c r="H325">
        <f t="shared" ref="H325:H388" si="23">YEAR(E325)</f>
        <v>2014</v>
      </c>
    </row>
    <row r="326" spans="1:8" x14ac:dyDescent="0.25">
      <c r="A326" s="2">
        <v>45617</v>
      </c>
      <c r="B326">
        <v>44</v>
      </c>
      <c r="C326">
        <f t="shared" si="20"/>
        <v>11</v>
      </c>
      <c r="D326">
        <f t="shared" si="21"/>
        <v>2024</v>
      </c>
      <c r="E326" s="2">
        <v>41941</v>
      </c>
      <c r="F326">
        <v>27.5</v>
      </c>
      <c r="G326">
        <f t="shared" si="22"/>
        <v>10</v>
      </c>
      <c r="H326">
        <f t="shared" si="23"/>
        <v>2014</v>
      </c>
    </row>
    <row r="327" spans="1:8" x14ac:dyDescent="0.25">
      <c r="A327" s="2">
        <v>45618</v>
      </c>
      <c r="B327">
        <v>43</v>
      </c>
      <c r="C327">
        <f t="shared" si="20"/>
        <v>11</v>
      </c>
      <c r="D327">
        <f t="shared" si="21"/>
        <v>2024</v>
      </c>
      <c r="E327" s="2">
        <v>41942</v>
      </c>
      <c r="F327">
        <v>27.5</v>
      </c>
      <c r="G327">
        <f t="shared" si="22"/>
        <v>10</v>
      </c>
      <c r="H327">
        <f t="shared" si="23"/>
        <v>2014</v>
      </c>
    </row>
    <row r="328" spans="1:8" x14ac:dyDescent="0.25">
      <c r="A328" s="2">
        <v>45621</v>
      </c>
      <c r="B328">
        <v>43</v>
      </c>
      <c r="C328">
        <f t="shared" si="20"/>
        <v>11</v>
      </c>
      <c r="D328">
        <f t="shared" si="21"/>
        <v>2024</v>
      </c>
      <c r="E328" s="2">
        <v>41943</v>
      </c>
      <c r="F328">
        <v>27.5</v>
      </c>
      <c r="G328">
        <f t="shared" si="22"/>
        <v>10</v>
      </c>
      <c r="H328">
        <f t="shared" si="23"/>
        <v>2014</v>
      </c>
    </row>
    <row r="329" spans="1:8" x14ac:dyDescent="0.25">
      <c r="A329" s="2">
        <v>45622</v>
      </c>
      <c r="B329">
        <v>43</v>
      </c>
      <c r="C329">
        <f t="shared" si="20"/>
        <v>11</v>
      </c>
      <c r="D329">
        <f t="shared" si="21"/>
        <v>2024</v>
      </c>
      <c r="E329" s="2">
        <v>41946</v>
      </c>
      <c r="F329">
        <v>25.5</v>
      </c>
      <c r="G329">
        <f t="shared" si="22"/>
        <v>11</v>
      </c>
      <c r="H329">
        <f t="shared" si="23"/>
        <v>2014</v>
      </c>
    </row>
    <row r="330" spans="1:8" x14ac:dyDescent="0.25">
      <c r="A330" s="2">
        <v>45623</v>
      </c>
      <c r="B330">
        <v>42</v>
      </c>
      <c r="C330">
        <f t="shared" si="20"/>
        <v>11</v>
      </c>
      <c r="D330">
        <f t="shared" si="21"/>
        <v>2024</v>
      </c>
      <c r="E330" s="2">
        <v>41947</v>
      </c>
      <c r="F330">
        <v>25.5</v>
      </c>
      <c r="G330">
        <f t="shared" si="22"/>
        <v>11</v>
      </c>
      <c r="H330">
        <f t="shared" si="23"/>
        <v>2014</v>
      </c>
    </row>
    <row r="331" spans="1:8" x14ac:dyDescent="0.25">
      <c r="A331" s="2">
        <v>45625</v>
      </c>
      <c r="B331">
        <v>42</v>
      </c>
      <c r="C331">
        <f t="shared" si="20"/>
        <v>11</v>
      </c>
      <c r="D331">
        <f t="shared" si="21"/>
        <v>2024</v>
      </c>
      <c r="E331" s="2">
        <v>41948</v>
      </c>
      <c r="F331">
        <v>25.5</v>
      </c>
      <c r="G331">
        <f t="shared" si="22"/>
        <v>11</v>
      </c>
      <c r="H331">
        <f t="shared" si="23"/>
        <v>2014</v>
      </c>
    </row>
    <row r="332" spans="1:8" x14ac:dyDescent="0.25">
      <c r="A332" s="2">
        <v>45628</v>
      </c>
      <c r="B332">
        <v>42</v>
      </c>
      <c r="C332">
        <f t="shared" si="20"/>
        <v>12</v>
      </c>
      <c r="D332">
        <f t="shared" si="21"/>
        <v>2024</v>
      </c>
      <c r="E332" s="2">
        <v>41949</v>
      </c>
      <c r="F332">
        <v>25.5</v>
      </c>
      <c r="G332">
        <f t="shared" si="22"/>
        <v>11</v>
      </c>
      <c r="H332">
        <f t="shared" si="23"/>
        <v>2014</v>
      </c>
    </row>
    <row r="333" spans="1:8" x14ac:dyDescent="0.25">
      <c r="A333" s="2">
        <v>45629</v>
      </c>
      <c r="B333">
        <v>43</v>
      </c>
      <c r="C333">
        <f t="shared" si="20"/>
        <v>12</v>
      </c>
      <c r="D333">
        <f t="shared" si="21"/>
        <v>2024</v>
      </c>
      <c r="E333" s="2">
        <v>41950</v>
      </c>
      <c r="F333">
        <v>25.5</v>
      </c>
      <c r="G333">
        <f t="shared" si="22"/>
        <v>11</v>
      </c>
      <c r="H333">
        <f t="shared" si="23"/>
        <v>2014</v>
      </c>
    </row>
    <row r="334" spans="1:8" x14ac:dyDescent="0.25">
      <c r="A334" s="2">
        <v>45630</v>
      </c>
      <c r="B334">
        <v>43</v>
      </c>
      <c r="C334">
        <f t="shared" si="20"/>
        <v>12</v>
      </c>
      <c r="D334">
        <f t="shared" si="21"/>
        <v>2024</v>
      </c>
      <c r="E334" s="2">
        <v>41953</v>
      </c>
      <c r="F334">
        <v>25.5</v>
      </c>
      <c r="G334">
        <f t="shared" si="22"/>
        <v>11</v>
      </c>
      <c r="H334">
        <f t="shared" si="23"/>
        <v>2014</v>
      </c>
    </row>
    <row r="335" spans="1:8" x14ac:dyDescent="0.25">
      <c r="A335" s="2">
        <v>45631</v>
      </c>
      <c r="B335">
        <v>43</v>
      </c>
      <c r="C335">
        <f t="shared" si="20"/>
        <v>12</v>
      </c>
      <c r="D335">
        <f t="shared" si="21"/>
        <v>2024</v>
      </c>
      <c r="E335" s="2">
        <v>41954</v>
      </c>
      <c r="F335">
        <v>25.5</v>
      </c>
      <c r="G335">
        <f t="shared" si="22"/>
        <v>11</v>
      </c>
      <c r="H335">
        <f t="shared" si="23"/>
        <v>2014</v>
      </c>
    </row>
    <row r="336" spans="1:8" x14ac:dyDescent="0.25">
      <c r="A336" s="2">
        <v>45632</v>
      </c>
      <c r="B336">
        <v>42</v>
      </c>
      <c r="C336">
        <f t="shared" si="20"/>
        <v>12</v>
      </c>
      <c r="D336">
        <f t="shared" si="21"/>
        <v>2024</v>
      </c>
      <c r="E336" s="2">
        <v>41955</v>
      </c>
      <c r="F336">
        <v>25.5</v>
      </c>
      <c r="G336">
        <f t="shared" si="22"/>
        <v>11</v>
      </c>
      <c r="H336">
        <f t="shared" si="23"/>
        <v>2014</v>
      </c>
    </row>
    <row r="337" spans="1:8" x14ac:dyDescent="0.25">
      <c r="A337" s="2">
        <v>45635</v>
      </c>
      <c r="B337">
        <v>42</v>
      </c>
      <c r="C337">
        <f t="shared" si="20"/>
        <v>12</v>
      </c>
      <c r="D337">
        <f t="shared" si="21"/>
        <v>2024</v>
      </c>
      <c r="E337" s="2">
        <v>41956</v>
      </c>
      <c r="F337">
        <v>25.5</v>
      </c>
      <c r="G337">
        <f t="shared" si="22"/>
        <v>11</v>
      </c>
      <c r="H337">
        <f t="shared" si="23"/>
        <v>2014</v>
      </c>
    </row>
    <row r="338" spans="1:8" x14ac:dyDescent="0.25">
      <c r="A338" s="2">
        <v>45636</v>
      </c>
      <c r="B338">
        <v>42</v>
      </c>
      <c r="C338">
        <f t="shared" si="20"/>
        <v>12</v>
      </c>
      <c r="D338">
        <f t="shared" si="21"/>
        <v>2024</v>
      </c>
      <c r="E338" s="2">
        <v>41957</v>
      </c>
      <c r="F338">
        <v>25.5</v>
      </c>
      <c r="G338">
        <f t="shared" si="22"/>
        <v>11</v>
      </c>
      <c r="H338">
        <f t="shared" si="23"/>
        <v>2014</v>
      </c>
    </row>
    <row r="339" spans="1:8" x14ac:dyDescent="0.25">
      <c r="A339" s="2">
        <v>45637</v>
      </c>
      <c r="B339">
        <v>42</v>
      </c>
      <c r="C339">
        <f t="shared" si="20"/>
        <v>12</v>
      </c>
      <c r="D339">
        <f t="shared" si="21"/>
        <v>2024</v>
      </c>
      <c r="E339" s="2">
        <v>41960</v>
      </c>
      <c r="F339">
        <v>25.5</v>
      </c>
      <c r="G339">
        <f t="shared" si="22"/>
        <v>11</v>
      </c>
      <c r="H339">
        <f t="shared" si="23"/>
        <v>2014</v>
      </c>
    </row>
    <row r="340" spans="1:8" x14ac:dyDescent="0.25">
      <c r="A340" s="2">
        <v>45638</v>
      </c>
      <c r="B340">
        <v>41</v>
      </c>
      <c r="C340">
        <f t="shared" si="20"/>
        <v>12</v>
      </c>
      <c r="D340">
        <f t="shared" si="21"/>
        <v>2024</v>
      </c>
      <c r="E340" s="2">
        <v>41961</v>
      </c>
      <c r="F340">
        <v>25.5</v>
      </c>
      <c r="G340">
        <f t="shared" si="22"/>
        <v>11</v>
      </c>
      <c r="H340">
        <f t="shared" si="23"/>
        <v>2014</v>
      </c>
    </row>
    <row r="341" spans="1:8" x14ac:dyDescent="0.25">
      <c r="A341" s="2">
        <v>45639</v>
      </c>
      <c r="B341">
        <v>41.5</v>
      </c>
      <c r="C341">
        <f t="shared" si="20"/>
        <v>12</v>
      </c>
      <c r="D341">
        <f t="shared" si="21"/>
        <v>2024</v>
      </c>
      <c r="E341" s="2">
        <v>41962</v>
      </c>
      <c r="F341">
        <v>25.5</v>
      </c>
      <c r="G341">
        <f t="shared" si="22"/>
        <v>11</v>
      </c>
      <c r="H341">
        <f t="shared" si="23"/>
        <v>2014</v>
      </c>
    </row>
    <row r="342" spans="1:8" x14ac:dyDescent="0.25">
      <c r="A342" s="2">
        <v>45642</v>
      </c>
      <c r="B342">
        <v>41.5</v>
      </c>
      <c r="C342">
        <f t="shared" si="20"/>
        <v>12</v>
      </c>
      <c r="D342">
        <f t="shared" si="21"/>
        <v>2024</v>
      </c>
      <c r="E342" s="2">
        <v>41963</v>
      </c>
      <c r="F342">
        <v>25.5</v>
      </c>
      <c r="G342">
        <f t="shared" si="22"/>
        <v>11</v>
      </c>
      <c r="H342">
        <f t="shared" si="23"/>
        <v>2014</v>
      </c>
    </row>
    <row r="343" spans="1:8" x14ac:dyDescent="0.25">
      <c r="A343" s="2">
        <v>45643</v>
      </c>
      <c r="B343">
        <v>41.5</v>
      </c>
      <c r="C343">
        <f t="shared" si="20"/>
        <v>12</v>
      </c>
      <c r="D343">
        <f t="shared" si="21"/>
        <v>2024</v>
      </c>
      <c r="E343" s="2">
        <v>41964</v>
      </c>
      <c r="F343">
        <v>25.5</v>
      </c>
      <c r="G343">
        <f t="shared" si="22"/>
        <v>11</v>
      </c>
      <c r="H343">
        <f t="shared" si="23"/>
        <v>2014</v>
      </c>
    </row>
    <row r="344" spans="1:8" x14ac:dyDescent="0.25">
      <c r="A344" s="2">
        <v>45644</v>
      </c>
      <c r="B344">
        <v>41.5</v>
      </c>
      <c r="C344">
        <f t="shared" si="20"/>
        <v>12</v>
      </c>
      <c r="D344">
        <f t="shared" si="21"/>
        <v>2024</v>
      </c>
      <c r="E344" s="2">
        <v>41967</v>
      </c>
      <c r="F344">
        <v>25.5</v>
      </c>
      <c r="G344">
        <f t="shared" si="22"/>
        <v>11</v>
      </c>
      <c r="H344">
        <f t="shared" si="23"/>
        <v>2014</v>
      </c>
    </row>
    <row r="345" spans="1:8" x14ac:dyDescent="0.25">
      <c r="A345" s="2">
        <v>45645</v>
      </c>
      <c r="B345">
        <v>40</v>
      </c>
      <c r="C345">
        <f t="shared" si="20"/>
        <v>12</v>
      </c>
      <c r="D345">
        <f t="shared" si="21"/>
        <v>2024</v>
      </c>
      <c r="E345" s="2">
        <v>41968</v>
      </c>
      <c r="F345">
        <v>25.5</v>
      </c>
      <c r="G345">
        <f t="shared" si="22"/>
        <v>11</v>
      </c>
      <c r="H345">
        <f t="shared" si="23"/>
        <v>2014</v>
      </c>
    </row>
    <row r="346" spans="1:8" x14ac:dyDescent="0.25">
      <c r="A346" s="2">
        <v>45646</v>
      </c>
      <c r="B346">
        <v>40</v>
      </c>
      <c r="C346">
        <f t="shared" si="20"/>
        <v>12</v>
      </c>
      <c r="D346">
        <f t="shared" si="21"/>
        <v>2024</v>
      </c>
      <c r="E346" s="2">
        <v>41969</v>
      </c>
      <c r="F346">
        <v>25.5</v>
      </c>
      <c r="G346">
        <f t="shared" si="22"/>
        <v>11</v>
      </c>
      <c r="H346">
        <f t="shared" si="23"/>
        <v>2014</v>
      </c>
    </row>
    <row r="347" spans="1:8" x14ac:dyDescent="0.25">
      <c r="A347" s="2">
        <v>45649</v>
      </c>
      <c r="B347">
        <v>40</v>
      </c>
      <c r="C347">
        <f t="shared" si="20"/>
        <v>12</v>
      </c>
      <c r="D347">
        <f t="shared" si="21"/>
        <v>2024</v>
      </c>
      <c r="E347" s="2">
        <v>41974</v>
      </c>
      <c r="F347">
        <v>25.5</v>
      </c>
      <c r="G347">
        <f t="shared" si="22"/>
        <v>12</v>
      </c>
      <c r="H347">
        <f t="shared" si="23"/>
        <v>2014</v>
      </c>
    </row>
    <row r="348" spans="1:8" x14ac:dyDescent="0.25">
      <c r="A348" s="2">
        <v>45650</v>
      </c>
      <c r="B348">
        <v>40</v>
      </c>
      <c r="C348">
        <f t="shared" si="20"/>
        <v>12</v>
      </c>
      <c r="D348">
        <f t="shared" si="21"/>
        <v>2024</v>
      </c>
      <c r="E348" s="2">
        <v>41975</v>
      </c>
      <c r="F348">
        <v>25.5</v>
      </c>
      <c r="G348">
        <f t="shared" si="22"/>
        <v>12</v>
      </c>
      <c r="H348">
        <f t="shared" si="23"/>
        <v>2014</v>
      </c>
    </row>
    <row r="349" spans="1:8" x14ac:dyDescent="0.25">
      <c r="A349" s="2">
        <v>45652</v>
      </c>
      <c r="B349">
        <v>40</v>
      </c>
      <c r="C349">
        <f t="shared" si="20"/>
        <v>12</v>
      </c>
      <c r="D349">
        <f t="shared" si="21"/>
        <v>2024</v>
      </c>
      <c r="E349" s="2">
        <v>41976</v>
      </c>
      <c r="F349">
        <v>26</v>
      </c>
      <c r="G349">
        <f t="shared" si="22"/>
        <v>12</v>
      </c>
      <c r="H349">
        <f t="shared" si="23"/>
        <v>2014</v>
      </c>
    </row>
    <row r="350" spans="1:8" x14ac:dyDescent="0.25">
      <c r="A350" s="2">
        <v>45653</v>
      </c>
      <c r="B350">
        <v>40</v>
      </c>
      <c r="C350">
        <f t="shared" si="20"/>
        <v>12</v>
      </c>
      <c r="D350">
        <f t="shared" si="21"/>
        <v>2024</v>
      </c>
      <c r="E350" s="2">
        <v>41977</v>
      </c>
      <c r="F350">
        <v>26</v>
      </c>
      <c r="G350">
        <f t="shared" si="22"/>
        <v>12</v>
      </c>
      <c r="H350">
        <f t="shared" si="23"/>
        <v>2014</v>
      </c>
    </row>
    <row r="351" spans="1:8" x14ac:dyDescent="0.25">
      <c r="A351" s="2">
        <v>45656</v>
      </c>
      <c r="B351">
        <v>40</v>
      </c>
      <c r="C351">
        <f t="shared" si="20"/>
        <v>12</v>
      </c>
      <c r="D351">
        <f t="shared" si="21"/>
        <v>2024</v>
      </c>
      <c r="E351" s="2">
        <v>41978</v>
      </c>
      <c r="F351">
        <v>26</v>
      </c>
      <c r="G351">
        <f t="shared" si="22"/>
        <v>12</v>
      </c>
      <c r="H351">
        <f t="shared" si="23"/>
        <v>2014</v>
      </c>
    </row>
    <row r="352" spans="1:8" x14ac:dyDescent="0.25">
      <c r="A352" s="2">
        <v>45657</v>
      </c>
      <c r="B352">
        <v>40</v>
      </c>
      <c r="C352">
        <f t="shared" si="20"/>
        <v>12</v>
      </c>
      <c r="D352">
        <f t="shared" si="21"/>
        <v>2024</v>
      </c>
      <c r="E352" s="2">
        <v>41981</v>
      </c>
      <c r="F352">
        <v>26</v>
      </c>
      <c r="G352">
        <f t="shared" si="22"/>
        <v>12</v>
      </c>
      <c r="H352">
        <f t="shared" si="23"/>
        <v>2014</v>
      </c>
    </row>
    <row r="353" spans="1:8" x14ac:dyDescent="0.25">
      <c r="A353" s="2">
        <v>45659</v>
      </c>
      <c r="B353">
        <v>40</v>
      </c>
      <c r="C353">
        <f t="shared" si="20"/>
        <v>1</v>
      </c>
      <c r="D353">
        <f t="shared" si="21"/>
        <v>2025</v>
      </c>
      <c r="E353" s="2">
        <v>41982</v>
      </c>
      <c r="F353">
        <v>26</v>
      </c>
      <c r="G353">
        <f t="shared" si="22"/>
        <v>12</v>
      </c>
      <c r="H353">
        <f t="shared" si="23"/>
        <v>2014</v>
      </c>
    </row>
    <row r="354" spans="1:8" x14ac:dyDescent="0.25">
      <c r="A354" s="2">
        <v>45660</v>
      </c>
      <c r="B354">
        <v>49.5</v>
      </c>
      <c r="C354">
        <f t="shared" si="20"/>
        <v>1</v>
      </c>
      <c r="D354">
        <f t="shared" si="21"/>
        <v>2025</v>
      </c>
      <c r="E354" s="2">
        <v>41983</v>
      </c>
      <c r="F354">
        <v>26</v>
      </c>
      <c r="G354">
        <f t="shared" si="22"/>
        <v>12</v>
      </c>
      <c r="H354">
        <f t="shared" si="23"/>
        <v>2014</v>
      </c>
    </row>
    <row r="355" spans="1:8" x14ac:dyDescent="0.25">
      <c r="A355" s="2">
        <v>45663</v>
      </c>
      <c r="B355">
        <v>49.5</v>
      </c>
      <c r="C355">
        <f t="shared" si="20"/>
        <v>1</v>
      </c>
      <c r="D355">
        <f t="shared" si="21"/>
        <v>2025</v>
      </c>
      <c r="E355" s="2">
        <v>41984</v>
      </c>
      <c r="F355">
        <v>26</v>
      </c>
      <c r="G355">
        <f t="shared" si="22"/>
        <v>12</v>
      </c>
      <c r="H355">
        <f t="shared" si="23"/>
        <v>2014</v>
      </c>
    </row>
    <row r="356" spans="1:8" x14ac:dyDescent="0.25">
      <c r="A356" s="2">
        <v>45664</v>
      </c>
      <c r="B356">
        <v>49.5</v>
      </c>
      <c r="C356">
        <f t="shared" si="20"/>
        <v>1</v>
      </c>
      <c r="D356">
        <f t="shared" si="21"/>
        <v>2025</v>
      </c>
      <c r="E356" s="2">
        <v>41985</v>
      </c>
      <c r="F356">
        <v>26</v>
      </c>
      <c r="G356">
        <f t="shared" si="22"/>
        <v>12</v>
      </c>
      <c r="H356">
        <f t="shared" si="23"/>
        <v>2014</v>
      </c>
    </row>
    <row r="357" spans="1:8" x14ac:dyDescent="0.25">
      <c r="A357" s="2">
        <v>45665</v>
      </c>
      <c r="B357">
        <v>50</v>
      </c>
      <c r="C357">
        <f t="shared" si="20"/>
        <v>1</v>
      </c>
      <c r="D357">
        <f t="shared" si="21"/>
        <v>2025</v>
      </c>
      <c r="E357" s="2">
        <v>41988</v>
      </c>
      <c r="F357">
        <v>26</v>
      </c>
      <c r="G357">
        <f t="shared" si="22"/>
        <v>12</v>
      </c>
      <c r="H357">
        <f t="shared" si="23"/>
        <v>2014</v>
      </c>
    </row>
    <row r="358" spans="1:8" x14ac:dyDescent="0.25">
      <c r="A358" s="2">
        <v>45666</v>
      </c>
      <c r="B358">
        <v>50</v>
      </c>
      <c r="C358">
        <f t="shared" si="20"/>
        <v>1</v>
      </c>
      <c r="D358">
        <f t="shared" si="21"/>
        <v>2025</v>
      </c>
      <c r="E358" s="2">
        <v>41989</v>
      </c>
      <c r="F358">
        <v>26</v>
      </c>
      <c r="G358">
        <f t="shared" si="22"/>
        <v>12</v>
      </c>
      <c r="H358">
        <f t="shared" si="23"/>
        <v>2014</v>
      </c>
    </row>
    <row r="359" spans="1:8" x14ac:dyDescent="0.25">
      <c r="A359" s="2">
        <v>45667</v>
      </c>
      <c r="B359">
        <v>50</v>
      </c>
      <c r="C359">
        <f t="shared" si="20"/>
        <v>1</v>
      </c>
      <c r="D359">
        <f t="shared" si="21"/>
        <v>2025</v>
      </c>
      <c r="E359" s="2">
        <v>41990</v>
      </c>
      <c r="F359">
        <v>26</v>
      </c>
      <c r="G359">
        <f t="shared" si="22"/>
        <v>12</v>
      </c>
      <c r="H359">
        <f t="shared" si="23"/>
        <v>2014</v>
      </c>
    </row>
    <row r="360" spans="1:8" x14ac:dyDescent="0.25">
      <c r="A360" s="2">
        <v>45670</v>
      </c>
      <c r="B360">
        <v>50</v>
      </c>
      <c r="C360">
        <f t="shared" si="20"/>
        <v>1</v>
      </c>
      <c r="D360">
        <f t="shared" si="21"/>
        <v>2025</v>
      </c>
      <c r="E360" s="2">
        <v>41991</v>
      </c>
      <c r="F360">
        <v>26</v>
      </c>
      <c r="G360">
        <f t="shared" si="22"/>
        <v>12</v>
      </c>
      <c r="H360">
        <f t="shared" si="23"/>
        <v>2014</v>
      </c>
    </row>
    <row r="361" spans="1:8" x14ac:dyDescent="0.25">
      <c r="A361" s="2">
        <v>45671</v>
      </c>
      <c r="B361">
        <v>52.5</v>
      </c>
      <c r="C361">
        <f t="shared" si="20"/>
        <v>1</v>
      </c>
      <c r="D361">
        <f t="shared" si="21"/>
        <v>2025</v>
      </c>
      <c r="E361" s="2">
        <v>41992</v>
      </c>
      <c r="F361">
        <v>26</v>
      </c>
      <c r="G361">
        <f t="shared" si="22"/>
        <v>12</v>
      </c>
      <c r="H361">
        <f t="shared" si="23"/>
        <v>2014</v>
      </c>
    </row>
    <row r="362" spans="1:8" x14ac:dyDescent="0.25">
      <c r="A362" s="2">
        <v>45672</v>
      </c>
      <c r="B362">
        <v>53</v>
      </c>
      <c r="C362">
        <f t="shared" si="20"/>
        <v>1</v>
      </c>
      <c r="D362">
        <f t="shared" si="21"/>
        <v>2025</v>
      </c>
      <c r="E362" s="2">
        <v>41995</v>
      </c>
      <c r="F362">
        <v>26.5</v>
      </c>
      <c r="G362">
        <f t="shared" si="22"/>
        <v>12</v>
      </c>
      <c r="H362">
        <f t="shared" si="23"/>
        <v>2014</v>
      </c>
    </row>
    <row r="363" spans="1:8" x14ac:dyDescent="0.25">
      <c r="A363" s="2">
        <v>45673</v>
      </c>
      <c r="B363">
        <v>53</v>
      </c>
      <c r="C363">
        <f t="shared" si="20"/>
        <v>1</v>
      </c>
      <c r="D363">
        <f t="shared" si="21"/>
        <v>2025</v>
      </c>
      <c r="E363" s="2">
        <v>41996</v>
      </c>
      <c r="F363">
        <v>26.5</v>
      </c>
      <c r="G363">
        <f t="shared" si="22"/>
        <v>12</v>
      </c>
      <c r="H363">
        <f t="shared" si="23"/>
        <v>2014</v>
      </c>
    </row>
    <row r="364" spans="1:8" x14ac:dyDescent="0.25">
      <c r="A364" s="2">
        <v>45674</v>
      </c>
      <c r="B364">
        <v>53</v>
      </c>
      <c r="C364">
        <f t="shared" si="20"/>
        <v>1</v>
      </c>
      <c r="D364">
        <f t="shared" si="21"/>
        <v>2025</v>
      </c>
      <c r="E364" s="2">
        <v>41997</v>
      </c>
      <c r="F364">
        <v>26.5</v>
      </c>
      <c r="G364">
        <f t="shared" si="22"/>
        <v>12</v>
      </c>
      <c r="H364">
        <f t="shared" si="23"/>
        <v>2014</v>
      </c>
    </row>
    <row r="365" spans="1:8" x14ac:dyDescent="0.25">
      <c r="A365" s="2">
        <v>45678</v>
      </c>
      <c r="B365">
        <v>53</v>
      </c>
      <c r="C365">
        <f t="shared" si="20"/>
        <v>1</v>
      </c>
      <c r="D365">
        <f t="shared" si="21"/>
        <v>2025</v>
      </c>
      <c r="E365" s="2">
        <v>41999</v>
      </c>
      <c r="F365">
        <v>26.5</v>
      </c>
      <c r="G365">
        <f t="shared" si="22"/>
        <v>12</v>
      </c>
      <c r="H365">
        <f t="shared" si="23"/>
        <v>2014</v>
      </c>
    </row>
    <row r="366" spans="1:8" x14ac:dyDescent="0.25">
      <c r="A366" s="2">
        <v>45679</v>
      </c>
      <c r="B366">
        <v>53</v>
      </c>
      <c r="C366">
        <f t="shared" si="20"/>
        <v>1</v>
      </c>
      <c r="D366">
        <f t="shared" si="21"/>
        <v>2025</v>
      </c>
      <c r="E366" s="2">
        <v>42002</v>
      </c>
      <c r="F366">
        <v>26.5</v>
      </c>
      <c r="G366">
        <f t="shared" si="22"/>
        <v>12</v>
      </c>
      <c r="H366">
        <f t="shared" si="23"/>
        <v>2014</v>
      </c>
    </row>
    <row r="367" spans="1:8" x14ac:dyDescent="0.25">
      <c r="A367" s="2">
        <v>45680</v>
      </c>
      <c r="B367">
        <v>51.5</v>
      </c>
      <c r="C367">
        <f t="shared" si="20"/>
        <v>1</v>
      </c>
      <c r="D367">
        <f t="shared" si="21"/>
        <v>2025</v>
      </c>
      <c r="E367" s="2">
        <v>42003</v>
      </c>
      <c r="F367">
        <v>26.5</v>
      </c>
      <c r="G367">
        <f t="shared" si="22"/>
        <v>12</v>
      </c>
      <c r="H367">
        <f t="shared" si="23"/>
        <v>2014</v>
      </c>
    </row>
    <row r="368" spans="1:8" x14ac:dyDescent="0.25">
      <c r="A368" s="2">
        <v>45681</v>
      </c>
      <c r="B368">
        <v>51.5</v>
      </c>
      <c r="C368">
        <f t="shared" si="20"/>
        <v>1</v>
      </c>
      <c r="D368">
        <f t="shared" si="21"/>
        <v>2025</v>
      </c>
      <c r="E368" s="2">
        <v>42006</v>
      </c>
      <c r="F368">
        <v>26.5</v>
      </c>
      <c r="G368">
        <f t="shared" si="22"/>
        <v>1</v>
      </c>
      <c r="H368">
        <f t="shared" si="23"/>
        <v>2015</v>
      </c>
    </row>
    <row r="369" spans="1:8" x14ac:dyDescent="0.25">
      <c r="A369" s="2">
        <v>45684</v>
      </c>
      <c r="B369">
        <v>55</v>
      </c>
      <c r="C369">
        <f t="shared" si="20"/>
        <v>1</v>
      </c>
      <c r="D369">
        <f t="shared" si="21"/>
        <v>2025</v>
      </c>
      <c r="E369" s="2">
        <v>42009</v>
      </c>
      <c r="F369">
        <v>26.5</v>
      </c>
      <c r="G369">
        <f t="shared" si="22"/>
        <v>1</v>
      </c>
      <c r="H369">
        <f t="shared" si="23"/>
        <v>2015</v>
      </c>
    </row>
    <row r="370" spans="1:8" x14ac:dyDescent="0.25">
      <c r="A370" s="2">
        <v>45685</v>
      </c>
      <c r="B370">
        <v>55</v>
      </c>
      <c r="C370">
        <f t="shared" si="20"/>
        <v>1</v>
      </c>
      <c r="D370">
        <f t="shared" si="21"/>
        <v>2025</v>
      </c>
      <c r="E370" s="2">
        <v>42010</v>
      </c>
      <c r="F370">
        <v>25.5</v>
      </c>
      <c r="G370">
        <f t="shared" si="22"/>
        <v>1</v>
      </c>
      <c r="H370">
        <f t="shared" si="23"/>
        <v>2015</v>
      </c>
    </row>
    <row r="371" spans="1:8" x14ac:dyDescent="0.25">
      <c r="A371" s="2">
        <v>45686</v>
      </c>
      <c r="B371">
        <v>55</v>
      </c>
      <c r="C371">
        <f t="shared" si="20"/>
        <v>1</v>
      </c>
      <c r="D371">
        <f t="shared" si="21"/>
        <v>2025</v>
      </c>
      <c r="E371" s="2">
        <v>42011</v>
      </c>
      <c r="F371">
        <v>25.75</v>
      </c>
      <c r="G371">
        <f t="shared" si="22"/>
        <v>1</v>
      </c>
      <c r="H371">
        <f t="shared" si="23"/>
        <v>2015</v>
      </c>
    </row>
    <row r="372" spans="1:8" x14ac:dyDescent="0.25">
      <c r="A372" s="2">
        <v>45687</v>
      </c>
      <c r="B372">
        <v>56.5</v>
      </c>
      <c r="C372">
        <f t="shared" si="20"/>
        <v>1</v>
      </c>
      <c r="D372">
        <f t="shared" si="21"/>
        <v>2025</v>
      </c>
      <c r="E372" s="2">
        <v>42012</v>
      </c>
      <c r="F372">
        <v>24.75</v>
      </c>
      <c r="G372">
        <f t="shared" si="22"/>
        <v>1</v>
      </c>
      <c r="H372">
        <f t="shared" si="23"/>
        <v>2015</v>
      </c>
    </row>
    <row r="373" spans="1:8" x14ac:dyDescent="0.25">
      <c r="A373" s="2">
        <v>45688</v>
      </c>
      <c r="B373">
        <v>56.5</v>
      </c>
      <c r="C373">
        <f t="shared" si="20"/>
        <v>1</v>
      </c>
      <c r="D373">
        <f t="shared" si="21"/>
        <v>2025</v>
      </c>
      <c r="E373" s="2">
        <v>42013</v>
      </c>
      <c r="F373">
        <v>24.75</v>
      </c>
      <c r="G373">
        <f t="shared" si="22"/>
        <v>1</v>
      </c>
      <c r="H373">
        <f t="shared" si="23"/>
        <v>2015</v>
      </c>
    </row>
    <row r="374" spans="1:8" x14ac:dyDescent="0.25">
      <c r="A374" s="2">
        <v>45691</v>
      </c>
      <c r="B374">
        <v>56.5</v>
      </c>
      <c r="C374">
        <f t="shared" si="20"/>
        <v>2</v>
      </c>
      <c r="D374">
        <f t="shared" si="21"/>
        <v>2025</v>
      </c>
      <c r="E374" s="2">
        <v>42016</v>
      </c>
      <c r="F374">
        <v>24.75</v>
      </c>
      <c r="G374">
        <f t="shared" si="22"/>
        <v>1</v>
      </c>
      <c r="H374">
        <f t="shared" si="23"/>
        <v>2015</v>
      </c>
    </row>
    <row r="375" spans="1:8" x14ac:dyDescent="0.25">
      <c r="A375" s="2">
        <v>45692</v>
      </c>
      <c r="B375">
        <v>56.5</v>
      </c>
      <c r="C375">
        <f t="shared" si="20"/>
        <v>2</v>
      </c>
      <c r="D375">
        <f t="shared" si="21"/>
        <v>2025</v>
      </c>
      <c r="E375" s="2">
        <v>42017</v>
      </c>
      <c r="F375">
        <v>24.5</v>
      </c>
      <c r="G375">
        <f t="shared" si="22"/>
        <v>1</v>
      </c>
      <c r="H375">
        <f t="shared" si="23"/>
        <v>2015</v>
      </c>
    </row>
    <row r="376" spans="1:8" x14ac:dyDescent="0.25">
      <c r="A376" s="2">
        <v>45693</v>
      </c>
      <c r="B376">
        <v>56.5</v>
      </c>
      <c r="C376">
        <f t="shared" si="20"/>
        <v>2</v>
      </c>
      <c r="D376">
        <f t="shared" si="21"/>
        <v>2025</v>
      </c>
      <c r="E376" s="2">
        <v>42018</v>
      </c>
      <c r="F376">
        <v>24.5</v>
      </c>
      <c r="G376">
        <f t="shared" si="22"/>
        <v>1</v>
      </c>
      <c r="H376">
        <f t="shared" si="23"/>
        <v>2015</v>
      </c>
    </row>
    <row r="377" spans="1:8" x14ac:dyDescent="0.25">
      <c r="A377" s="2">
        <v>45694</v>
      </c>
      <c r="B377">
        <v>56.5</v>
      </c>
      <c r="C377">
        <f t="shared" si="20"/>
        <v>2</v>
      </c>
      <c r="D377">
        <f t="shared" si="21"/>
        <v>2025</v>
      </c>
      <c r="E377" s="2">
        <v>42019</v>
      </c>
      <c r="F377">
        <v>23.5</v>
      </c>
      <c r="G377">
        <f t="shared" si="22"/>
        <v>1</v>
      </c>
      <c r="H377">
        <f t="shared" si="23"/>
        <v>2015</v>
      </c>
    </row>
    <row r="378" spans="1:8" x14ac:dyDescent="0.25">
      <c r="A378" s="2">
        <v>45695</v>
      </c>
      <c r="B378">
        <v>55</v>
      </c>
      <c r="C378">
        <f t="shared" si="20"/>
        <v>2</v>
      </c>
      <c r="D378">
        <f t="shared" si="21"/>
        <v>2025</v>
      </c>
      <c r="E378" s="2">
        <v>42020</v>
      </c>
      <c r="F378">
        <v>23.5</v>
      </c>
      <c r="G378">
        <f t="shared" si="22"/>
        <v>1</v>
      </c>
      <c r="H378">
        <f t="shared" si="23"/>
        <v>2015</v>
      </c>
    </row>
    <row r="379" spans="1:8" x14ac:dyDescent="0.25">
      <c r="A379" s="2">
        <v>45698</v>
      </c>
      <c r="B379">
        <v>55</v>
      </c>
      <c r="C379">
        <f t="shared" si="20"/>
        <v>2</v>
      </c>
      <c r="D379">
        <f t="shared" si="21"/>
        <v>2025</v>
      </c>
      <c r="E379" s="2">
        <v>42024</v>
      </c>
      <c r="F379">
        <v>23.5</v>
      </c>
      <c r="G379">
        <f t="shared" si="22"/>
        <v>1</v>
      </c>
      <c r="H379">
        <f t="shared" si="23"/>
        <v>2015</v>
      </c>
    </row>
    <row r="380" spans="1:8" x14ac:dyDescent="0.25">
      <c r="A380" s="2">
        <v>45699</v>
      </c>
      <c r="B380">
        <v>55</v>
      </c>
      <c r="C380">
        <f t="shared" si="20"/>
        <v>2</v>
      </c>
      <c r="D380">
        <f t="shared" si="21"/>
        <v>2025</v>
      </c>
      <c r="E380" s="2">
        <v>42025</v>
      </c>
      <c r="F380">
        <v>24</v>
      </c>
      <c r="G380">
        <f t="shared" si="22"/>
        <v>1</v>
      </c>
      <c r="H380">
        <f t="shared" si="23"/>
        <v>2015</v>
      </c>
    </row>
    <row r="381" spans="1:8" x14ac:dyDescent="0.25">
      <c r="A381" s="2">
        <v>45700</v>
      </c>
      <c r="B381">
        <v>55</v>
      </c>
      <c r="C381">
        <f t="shared" si="20"/>
        <v>2</v>
      </c>
      <c r="D381">
        <f t="shared" si="21"/>
        <v>2025</v>
      </c>
      <c r="E381" s="2">
        <v>42026</v>
      </c>
      <c r="F381">
        <v>24</v>
      </c>
      <c r="G381">
        <f t="shared" si="22"/>
        <v>1</v>
      </c>
      <c r="H381">
        <f t="shared" si="23"/>
        <v>2015</v>
      </c>
    </row>
    <row r="382" spans="1:8" x14ac:dyDescent="0.25">
      <c r="A382" s="2">
        <v>45701</v>
      </c>
      <c r="B382">
        <v>77.5</v>
      </c>
      <c r="C382">
        <f t="shared" si="20"/>
        <v>2</v>
      </c>
      <c r="D382">
        <f t="shared" si="21"/>
        <v>2025</v>
      </c>
      <c r="E382" s="2">
        <v>42027</v>
      </c>
      <c r="F382">
        <v>24</v>
      </c>
      <c r="G382">
        <f t="shared" si="22"/>
        <v>1</v>
      </c>
      <c r="H382">
        <f t="shared" si="23"/>
        <v>2015</v>
      </c>
    </row>
    <row r="383" spans="1:8" x14ac:dyDescent="0.25">
      <c r="A383" s="2">
        <v>45702</v>
      </c>
      <c r="B383">
        <v>72.5</v>
      </c>
      <c r="C383">
        <f t="shared" si="20"/>
        <v>2</v>
      </c>
      <c r="D383">
        <f t="shared" si="21"/>
        <v>2025</v>
      </c>
      <c r="E383" s="2">
        <v>42030</v>
      </c>
      <c r="F383">
        <v>24</v>
      </c>
      <c r="G383">
        <f t="shared" si="22"/>
        <v>1</v>
      </c>
      <c r="H383">
        <f t="shared" si="23"/>
        <v>2015</v>
      </c>
    </row>
    <row r="384" spans="1:8" x14ac:dyDescent="0.25">
      <c r="A384" s="2">
        <v>45706</v>
      </c>
      <c r="B384">
        <v>72.5</v>
      </c>
      <c r="C384">
        <f t="shared" si="20"/>
        <v>2</v>
      </c>
      <c r="D384">
        <f t="shared" si="21"/>
        <v>2025</v>
      </c>
      <c r="E384" s="2">
        <v>42031</v>
      </c>
      <c r="F384">
        <v>24</v>
      </c>
      <c r="G384">
        <f t="shared" si="22"/>
        <v>1</v>
      </c>
      <c r="H384">
        <f t="shared" si="23"/>
        <v>2015</v>
      </c>
    </row>
    <row r="385" spans="1:8" x14ac:dyDescent="0.25">
      <c r="A385" s="2">
        <v>45707</v>
      </c>
      <c r="B385">
        <v>72.5</v>
      </c>
      <c r="C385">
        <f t="shared" si="20"/>
        <v>2</v>
      </c>
      <c r="D385">
        <f t="shared" si="21"/>
        <v>2025</v>
      </c>
      <c r="E385" s="2">
        <v>42032</v>
      </c>
      <c r="F385">
        <v>22.75</v>
      </c>
      <c r="G385">
        <f t="shared" si="22"/>
        <v>1</v>
      </c>
      <c r="H385">
        <f t="shared" si="23"/>
        <v>2015</v>
      </c>
    </row>
    <row r="386" spans="1:8" x14ac:dyDescent="0.25">
      <c r="A386" s="2">
        <v>45708</v>
      </c>
      <c r="B386">
        <v>73</v>
      </c>
      <c r="C386">
        <f t="shared" si="20"/>
        <v>2</v>
      </c>
      <c r="D386">
        <f t="shared" si="21"/>
        <v>2025</v>
      </c>
      <c r="E386" s="2">
        <v>42033</v>
      </c>
      <c r="F386">
        <v>22.75</v>
      </c>
      <c r="G386">
        <f t="shared" si="22"/>
        <v>1</v>
      </c>
      <c r="H386">
        <f t="shared" si="23"/>
        <v>2015</v>
      </c>
    </row>
    <row r="387" spans="1:8" x14ac:dyDescent="0.25">
      <c r="A387" s="2">
        <v>45709</v>
      </c>
      <c r="B387">
        <v>73</v>
      </c>
      <c r="C387">
        <f t="shared" si="20"/>
        <v>2</v>
      </c>
      <c r="D387">
        <f t="shared" si="21"/>
        <v>2025</v>
      </c>
      <c r="E387" s="2">
        <v>42034</v>
      </c>
      <c r="F387">
        <v>22.5</v>
      </c>
      <c r="G387">
        <f t="shared" si="22"/>
        <v>1</v>
      </c>
      <c r="H387">
        <f t="shared" si="23"/>
        <v>2015</v>
      </c>
    </row>
    <row r="388" spans="1:8" x14ac:dyDescent="0.25">
      <c r="A388" s="2">
        <v>45712</v>
      </c>
      <c r="B388">
        <v>66</v>
      </c>
      <c r="C388">
        <f t="shared" si="20"/>
        <v>2</v>
      </c>
      <c r="D388">
        <f t="shared" si="21"/>
        <v>2025</v>
      </c>
      <c r="E388" s="2">
        <v>42037</v>
      </c>
      <c r="F388">
        <v>22.5</v>
      </c>
      <c r="G388">
        <f t="shared" si="22"/>
        <v>2</v>
      </c>
      <c r="H388">
        <f t="shared" si="23"/>
        <v>2015</v>
      </c>
    </row>
    <row r="389" spans="1:8" x14ac:dyDescent="0.25">
      <c r="A389" s="2">
        <v>45713</v>
      </c>
      <c r="B389">
        <v>70</v>
      </c>
      <c r="C389">
        <f t="shared" ref="C389:C425" si="24">MONTH(A389)</f>
        <v>2</v>
      </c>
      <c r="D389">
        <f t="shared" ref="D389:D425" si="25">YEAR(A389)</f>
        <v>2025</v>
      </c>
      <c r="E389" s="2">
        <v>42038</v>
      </c>
      <c r="F389">
        <v>22</v>
      </c>
      <c r="G389">
        <f t="shared" ref="G389:G452" si="26">MONTH(E389)</f>
        <v>2</v>
      </c>
      <c r="H389">
        <f t="shared" ref="H389:H452" si="27">YEAR(E389)</f>
        <v>2015</v>
      </c>
    </row>
    <row r="390" spans="1:8" x14ac:dyDescent="0.25">
      <c r="A390" s="2">
        <v>45714</v>
      </c>
      <c r="B390">
        <v>70</v>
      </c>
      <c r="C390">
        <f t="shared" si="24"/>
        <v>2</v>
      </c>
      <c r="D390">
        <f t="shared" si="25"/>
        <v>2025</v>
      </c>
      <c r="E390" s="2">
        <v>42039</v>
      </c>
      <c r="F390">
        <v>20</v>
      </c>
      <c r="G390">
        <f t="shared" si="26"/>
        <v>2</v>
      </c>
      <c r="H390">
        <f t="shared" si="27"/>
        <v>2015</v>
      </c>
    </row>
    <row r="391" spans="1:8" x14ac:dyDescent="0.25">
      <c r="A391" s="2">
        <v>45715</v>
      </c>
      <c r="B391">
        <v>65</v>
      </c>
      <c r="C391">
        <f t="shared" si="24"/>
        <v>2</v>
      </c>
      <c r="D391">
        <f t="shared" si="25"/>
        <v>2025</v>
      </c>
      <c r="E391" s="2">
        <v>42040</v>
      </c>
      <c r="F391">
        <v>21.75</v>
      </c>
      <c r="G391">
        <f t="shared" si="26"/>
        <v>2</v>
      </c>
      <c r="H391">
        <f t="shared" si="27"/>
        <v>2015</v>
      </c>
    </row>
    <row r="392" spans="1:8" x14ac:dyDescent="0.25">
      <c r="A392" s="2">
        <v>45716</v>
      </c>
      <c r="B392">
        <v>67</v>
      </c>
      <c r="C392">
        <f t="shared" si="24"/>
        <v>2</v>
      </c>
      <c r="D392">
        <f t="shared" si="25"/>
        <v>2025</v>
      </c>
      <c r="E392" s="2">
        <v>42041</v>
      </c>
      <c r="F392">
        <v>22.5</v>
      </c>
      <c r="G392">
        <f t="shared" si="26"/>
        <v>2</v>
      </c>
      <c r="H392">
        <f t="shared" si="27"/>
        <v>2015</v>
      </c>
    </row>
    <row r="393" spans="1:8" x14ac:dyDescent="0.25">
      <c r="A393" s="2">
        <v>45719</v>
      </c>
      <c r="B393">
        <v>64</v>
      </c>
      <c r="C393">
        <f t="shared" si="24"/>
        <v>3</v>
      </c>
      <c r="D393">
        <f t="shared" si="25"/>
        <v>2025</v>
      </c>
      <c r="E393" s="2">
        <v>42044</v>
      </c>
      <c r="F393">
        <v>23</v>
      </c>
      <c r="G393">
        <f t="shared" si="26"/>
        <v>2</v>
      </c>
      <c r="H393">
        <f t="shared" si="27"/>
        <v>2015</v>
      </c>
    </row>
    <row r="394" spans="1:8" x14ac:dyDescent="0.25">
      <c r="A394" s="2">
        <v>45720</v>
      </c>
      <c r="B394">
        <v>65.5</v>
      </c>
      <c r="C394">
        <f t="shared" si="24"/>
        <v>3</v>
      </c>
      <c r="D394">
        <f t="shared" si="25"/>
        <v>2025</v>
      </c>
      <c r="E394" s="2">
        <v>42045</v>
      </c>
      <c r="F394">
        <v>23</v>
      </c>
      <c r="G394">
        <f t="shared" si="26"/>
        <v>2</v>
      </c>
      <c r="H394">
        <f t="shared" si="27"/>
        <v>2015</v>
      </c>
    </row>
    <row r="395" spans="1:8" x14ac:dyDescent="0.25">
      <c r="A395" s="2">
        <v>45721</v>
      </c>
      <c r="B395">
        <v>65.5</v>
      </c>
      <c r="C395">
        <f t="shared" si="24"/>
        <v>3</v>
      </c>
      <c r="D395">
        <f t="shared" si="25"/>
        <v>2025</v>
      </c>
      <c r="E395" s="2">
        <v>42046</v>
      </c>
      <c r="F395">
        <v>23</v>
      </c>
      <c r="G395">
        <f t="shared" si="26"/>
        <v>2</v>
      </c>
      <c r="H395">
        <f t="shared" si="27"/>
        <v>2015</v>
      </c>
    </row>
    <row r="396" spans="1:8" x14ac:dyDescent="0.25">
      <c r="A396" s="2">
        <v>45722</v>
      </c>
      <c r="B396">
        <v>65.5</v>
      </c>
      <c r="C396">
        <f t="shared" si="24"/>
        <v>3</v>
      </c>
      <c r="D396">
        <f t="shared" si="25"/>
        <v>2025</v>
      </c>
      <c r="E396" s="2">
        <v>42047</v>
      </c>
      <c r="F396">
        <v>22.75</v>
      </c>
      <c r="G396">
        <f t="shared" si="26"/>
        <v>2</v>
      </c>
      <c r="H396">
        <f t="shared" si="27"/>
        <v>2015</v>
      </c>
    </row>
    <row r="397" spans="1:8" x14ac:dyDescent="0.25">
      <c r="A397" s="2">
        <v>45723</v>
      </c>
      <c r="B397">
        <v>65.5</v>
      </c>
      <c r="C397">
        <f t="shared" si="24"/>
        <v>3</v>
      </c>
      <c r="D397">
        <f t="shared" si="25"/>
        <v>2025</v>
      </c>
      <c r="E397" s="2">
        <v>42048</v>
      </c>
      <c r="F397">
        <v>22.75</v>
      </c>
      <c r="G397">
        <f t="shared" si="26"/>
        <v>2</v>
      </c>
      <c r="H397">
        <f t="shared" si="27"/>
        <v>2015</v>
      </c>
    </row>
    <row r="398" spans="1:8" x14ac:dyDescent="0.25">
      <c r="A398" s="2">
        <v>45726</v>
      </c>
      <c r="B398">
        <v>62</v>
      </c>
      <c r="C398">
        <f t="shared" si="24"/>
        <v>3</v>
      </c>
      <c r="D398">
        <f t="shared" si="25"/>
        <v>2025</v>
      </c>
      <c r="E398" s="2">
        <v>42052</v>
      </c>
      <c r="F398">
        <v>22.75</v>
      </c>
      <c r="G398">
        <f t="shared" si="26"/>
        <v>2</v>
      </c>
      <c r="H398">
        <f t="shared" si="27"/>
        <v>2015</v>
      </c>
    </row>
    <row r="399" spans="1:8" x14ac:dyDescent="0.25">
      <c r="A399" s="2">
        <v>45727</v>
      </c>
      <c r="B399">
        <v>62</v>
      </c>
      <c r="C399">
        <f t="shared" si="24"/>
        <v>3</v>
      </c>
      <c r="D399">
        <f t="shared" si="25"/>
        <v>2025</v>
      </c>
      <c r="E399" s="2">
        <v>42053</v>
      </c>
      <c r="F399">
        <v>22.75</v>
      </c>
      <c r="G399">
        <f t="shared" si="26"/>
        <v>2</v>
      </c>
      <c r="H399">
        <f t="shared" si="27"/>
        <v>2015</v>
      </c>
    </row>
    <row r="400" spans="1:8" x14ac:dyDescent="0.25">
      <c r="A400" s="2">
        <v>45728</v>
      </c>
      <c r="B400">
        <v>62</v>
      </c>
      <c r="C400">
        <f t="shared" si="24"/>
        <v>3</v>
      </c>
      <c r="D400">
        <f t="shared" si="25"/>
        <v>2025</v>
      </c>
      <c r="E400" s="2">
        <v>42054</v>
      </c>
      <c r="F400">
        <v>22.5</v>
      </c>
      <c r="G400">
        <f t="shared" si="26"/>
        <v>2</v>
      </c>
      <c r="H400">
        <f t="shared" si="27"/>
        <v>2015</v>
      </c>
    </row>
    <row r="401" spans="1:8" x14ac:dyDescent="0.25">
      <c r="A401" s="2">
        <v>45729</v>
      </c>
      <c r="B401">
        <v>62</v>
      </c>
      <c r="C401">
        <f t="shared" si="24"/>
        <v>3</v>
      </c>
      <c r="D401">
        <f t="shared" si="25"/>
        <v>2025</v>
      </c>
      <c r="E401" s="2">
        <v>42055</v>
      </c>
      <c r="F401">
        <v>22.5</v>
      </c>
      <c r="G401">
        <f t="shared" si="26"/>
        <v>2</v>
      </c>
      <c r="H401">
        <f t="shared" si="27"/>
        <v>2015</v>
      </c>
    </row>
    <row r="402" spans="1:8" x14ac:dyDescent="0.25">
      <c r="A402" s="2">
        <v>45730</v>
      </c>
      <c r="B402">
        <v>64</v>
      </c>
      <c r="C402">
        <f t="shared" si="24"/>
        <v>3</v>
      </c>
      <c r="D402">
        <f t="shared" si="25"/>
        <v>2025</v>
      </c>
      <c r="E402" s="2">
        <v>42058</v>
      </c>
      <c r="F402">
        <v>22.5</v>
      </c>
      <c r="G402">
        <f t="shared" si="26"/>
        <v>2</v>
      </c>
      <c r="H402">
        <f t="shared" si="27"/>
        <v>2015</v>
      </c>
    </row>
    <row r="403" spans="1:8" x14ac:dyDescent="0.25">
      <c r="A403" s="2">
        <v>45733</v>
      </c>
      <c r="B403">
        <v>64</v>
      </c>
      <c r="C403">
        <f t="shared" si="24"/>
        <v>3</v>
      </c>
      <c r="D403">
        <f t="shared" si="25"/>
        <v>2025</v>
      </c>
      <c r="E403" s="2">
        <v>42059</v>
      </c>
      <c r="F403">
        <v>22</v>
      </c>
      <c r="G403">
        <f t="shared" si="26"/>
        <v>2</v>
      </c>
      <c r="H403">
        <f t="shared" si="27"/>
        <v>2015</v>
      </c>
    </row>
    <row r="404" spans="1:8" x14ac:dyDescent="0.25">
      <c r="A404" s="2">
        <v>45734</v>
      </c>
      <c r="B404">
        <v>64</v>
      </c>
      <c r="C404">
        <f t="shared" si="24"/>
        <v>3</v>
      </c>
      <c r="D404">
        <f t="shared" si="25"/>
        <v>2025</v>
      </c>
      <c r="E404" s="2">
        <v>42060</v>
      </c>
      <c r="F404">
        <v>22</v>
      </c>
      <c r="G404">
        <f t="shared" si="26"/>
        <v>2</v>
      </c>
      <c r="H404">
        <f t="shared" si="27"/>
        <v>2015</v>
      </c>
    </row>
    <row r="405" spans="1:8" x14ac:dyDescent="0.25">
      <c r="A405" s="2">
        <v>45735</v>
      </c>
      <c r="B405">
        <v>62</v>
      </c>
      <c r="C405">
        <f t="shared" si="24"/>
        <v>3</v>
      </c>
      <c r="D405">
        <f t="shared" si="25"/>
        <v>2025</v>
      </c>
      <c r="E405" s="2">
        <v>42061</v>
      </c>
      <c r="F405">
        <v>22</v>
      </c>
      <c r="G405">
        <f t="shared" si="26"/>
        <v>2</v>
      </c>
      <c r="H405">
        <f t="shared" si="27"/>
        <v>2015</v>
      </c>
    </row>
    <row r="406" spans="1:8" x14ac:dyDescent="0.25">
      <c r="A406" s="2">
        <v>45736</v>
      </c>
      <c r="B406">
        <v>62</v>
      </c>
      <c r="C406">
        <f t="shared" si="24"/>
        <v>3</v>
      </c>
      <c r="D406">
        <f t="shared" si="25"/>
        <v>2025</v>
      </c>
      <c r="E406" s="2">
        <v>42062</v>
      </c>
      <c r="F406">
        <v>22</v>
      </c>
      <c r="G406">
        <f t="shared" si="26"/>
        <v>2</v>
      </c>
      <c r="H406">
        <f t="shared" si="27"/>
        <v>2015</v>
      </c>
    </row>
    <row r="407" spans="1:8" x14ac:dyDescent="0.25">
      <c r="A407" s="2">
        <v>45737</v>
      </c>
      <c r="B407">
        <v>62</v>
      </c>
      <c r="C407">
        <f t="shared" si="24"/>
        <v>3</v>
      </c>
      <c r="D407">
        <f t="shared" si="25"/>
        <v>2025</v>
      </c>
      <c r="E407" s="2">
        <v>42065</v>
      </c>
      <c r="F407">
        <v>21.75</v>
      </c>
      <c r="G407">
        <f t="shared" si="26"/>
        <v>3</v>
      </c>
      <c r="H407">
        <f t="shared" si="27"/>
        <v>2015</v>
      </c>
    </row>
    <row r="408" spans="1:8" x14ac:dyDescent="0.25">
      <c r="A408" s="2">
        <v>45740</v>
      </c>
      <c r="B408">
        <v>62</v>
      </c>
      <c r="C408">
        <f t="shared" si="24"/>
        <v>3</v>
      </c>
      <c r="D408">
        <f t="shared" si="25"/>
        <v>2025</v>
      </c>
      <c r="E408" s="2">
        <v>42066</v>
      </c>
      <c r="F408">
        <v>21.75</v>
      </c>
      <c r="G408">
        <f t="shared" si="26"/>
        <v>3</v>
      </c>
      <c r="H408">
        <f t="shared" si="27"/>
        <v>2015</v>
      </c>
    </row>
    <row r="409" spans="1:8" x14ac:dyDescent="0.25">
      <c r="A409" s="2">
        <v>45741</v>
      </c>
      <c r="B409">
        <v>62</v>
      </c>
      <c r="C409">
        <f t="shared" si="24"/>
        <v>3</v>
      </c>
      <c r="D409">
        <f t="shared" si="25"/>
        <v>2025</v>
      </c>
      <c r="E409" s="2">
        <v>42067</v>
      </c>
      <c r="F409">
        <v>22</v>
      </c>
      <c r="G409">
        <f t="shared" si="26"/>
        <v>3</v>
      </c>
      <c r="H409">
        <f t="shared" si="27"/>
        <v>2015</v>
      </c>
    </row>
    <row r="410" spans="1:8" x14ac:dyDescent="0.25">
      <c r="A410" s="2">
        <v>45742</v>
      </c>
      <c r="B410">
        <v>62</v>
      </c>
      <c r="C410">
        <f t="shared" si="24"/>
        <v>3</v>
      </c>
      <c r="D410">
        <f t="shared" si="25"/>
        <v>2025</v>
      </c>
      <c r="E410" s="2">
        <v>42068</v>
      </c>
      <c r="F410">
        <v>22</v>
      </c>
      <c r="G410">
        <f t="shared" si="26"/>
        <v>3</v>
      </c>
      <c r="H410">
        <f t="shared" si="27"/>
        <v>2015</v>
      </c>
    </row>
    <row r="411" spans="1:8" x14ac:dyDescent="0.25">
      <c r="A411" s="2">
        <v>45743</v>
      </c>
      <c r="B411">
        <v>62</v>
      </c>
      <c r="C411">
        <f t="shared" si="24"/>
        <v>3</v>
      </c>
      <c r="D411">
        <f t="shared" si="25"/>
        <v>2025</v>
      </c>
      <c r="E411" s="2">
        <v>42069</v>
      </c>
      <c r="F411">
        <v>22</v>
      </c>
      <c r="G411">
        <f t="shared" si="26"/>
        <v>3</v>
      </c>
      <c r="H411">
        <f t="shared" si="27"/>
        <v>2015</v>
      </c>
    </row>
    <row r="412" spans="1:8" x14ac:dyDescent="0.25">
      <c r="A412" s="2">
        <v>45744</v>
      </c>
      <c r="B412">
        <v>62</v>
      </c>
      <c r="C412">
        <f t="shared" si="24"/>
        <v>3</v>
      </c>
      <c r="D412">
        <f t="shared" si="25"/>
        <v>2025</v>
      </c>
      <c r="E412" s="2">
        <v>42072</v>
      </c>
      <c r="F412">
        <v>22</v>
      </c>
      <c r="G412">
        <f t="shared" si="26"/>
        <v>3</v>
      </c>
      <c r="H412">
        <f t="shared" si="27"/>
        <v>2015</v>
      </c>
    </row>
    <row r="413" spans="1:8" x14ac:dyDescent="0.25">
      <c r="A413" s="2">
        <v>45747</v>
      </c>
      <c r="B413">
        <v>61</v>
      </c>
      <c r="C413">
        <f t="shared" si="24"/>
        <v>3</v>
      </c>
      <c r="D413">
        <f t="shared" si="25"/>
        <v>2025</v>
      </c>
      <c r="E413" s="2">
        <v>42073</v>
      </c>
      <c r="F413">
        <v>22</v>
      </c>
      <c r="G413">
        <f t="shared" si="26"/>
        <v>3</v>
      </c>
      <c r="H413">
        <f t="shared" si="27"/>
        <v>2015</v>
      </c>
    </row>
    <row r="414" spans="1:8" x14ac:dyDescent="0.25">
      <c r="A414" s="2">
        <v>45748</v>
      </c>
      <c r="B414">
        <v>61</v>
      </c>
      <c r="C414">
        <f t="shared" si="24"/>
        <v>4</v>
      </c>
      <c r="D414">
        <f t="shared" si="25"/>
        <v>2025</v>
      </c>
      <c r="E414" s="2">
        <v>42074</v>
      </c>
      <c r="F414">
        <v>22</v>
      </c>
      <c r="G414">
        <f t="shared" si="26"/>
        <v>3</v>
      </c>
      <c r="H414">
        <f t="shared" si="27"/>
        <v>2015</v>
      </c>
    </row>
    <row r="415" spans="1:8" x14ac:dyDescent="0.25">
      <c r="A415" s="2">
        <v>45749</v>
      </c>
      <c r="B415">
        <v>61</v>
      </c>
      <c r="C415">
        <f t="shared" si="24"/>
        <v>4</v>
      </c>
      <c r="D415">
        <f t="shared" si="25"/>
        <v>2025</v>
      </c>
      <c r="E415" s="2">
        <v>42075</v>
      </c>
      <c r="F415">
        <v>22</v>
      </c>
      <c r="G415">
        <f t="shared" si="26"/>
        <v>3</v>
      </c>
      <c r="H415">
        <f t="shared" si="27"/>
        <v>2015</v>
      </c>
    </row>
    <row r="416" spans="1:8" x14ac:dyDescent="0.25">
      <c r="A416" s="2">
        <v>45750</v>
      </c>
      <c r="B416">
        <v>61</v>
      </c>
      <c r="C416">
        <f t="shared" si="24"/>
        <v>4</v>
      </c>
      <c r="D416">
        <f t="shared" si="25"/>
        <v>2025</v>
      </c>
      <c r="E416" s="2">
        <v>42076</v>
      </c>
      <c r="F416">
        <v>22</v>
      </c>
      <c r="G416">
        <f t="shared" si="26"/>
        <v>3</v>
      </c>
      <c r="H416">
        <f t="shared" si="27"/>
        <v>2015</v>
      </c>
    </row>
    <row r="417" spans="1:8" x14ac:dyDescent="0.25">
      <c r="A417" s="2">
        <v>45751</v>
      </c>
      <c r="B417">
        <v>67.5</v>
      </c>
      <c r="C417">
        <f t="shared" si="24"/>
        <v>4</v>
      </c>
      <c r="D417">
        <f t="shared" si="25"/>
        <v>2025</v>
      </c>
      <c r="E417" s="2">
        <v>42079</v>
      </c>
      <c r="F417">
        <v>21.5</v>
      </c>
      <c r="G417">
        <f t="shared" si="26"/>
        <v>3</v>
      </c>
      <c r="H417">
        <f t="shared" si="27"/>
        <v>2015</v>
      </c>
    </row>
    <row r="418" spans="1:8" x14ac:dyDescent="0.25">
      <c r="A418" s="2">
        <v>45754</v>
      </c>
      <c r="B418">
        <v>67.5</v>
      </c>
      <c r="C418">
        <f t="shared" si="24"/>
        <v>4</v>
      </c>
      <c r="D418">
        <f t="shared" si="25"/>
        <v>2025</v>
      </c>
      <c r="E418" s="2">
        <v>42080</v>
      </c>
      <c r="F418">
        <v>21.5</v>
      </c>
      <c r="G418">
        <f t="shared" si="26"/>
        <v>3</v>
      </c>
      <c r="H418">
        <f t="shared" si="27"/>
        <v>2015</v>
      </c>
    </row>
    <row r="419" spans="1:8" x14ac:dyDescent="0.25">
      <c r="A419" s="2">
        <v>45755</v>
      </c>
      <c r="B419">
        <v>67.5</v>
      </c>
      <c r="C419">
        <f t="shared" si="24"/>
        <v>4</v>
      </c>
      <c r="D419">
        <f t="shared" si="25"/>
        <v>2025</v>
      </c>
      <c r="E419" s="2">
        <v>42081</v>
      </c>
      <c r="F419">
        <v>21.5</v>
      </c>
      <c r="G419">
        <f t="shared" si="26"/>
        <v>3</v>
      </c>
      <c r="H419">
        <f t="shared" si="27"/>
        <v>2015</v>
      </c>
    </row>
    <row r="420" spans="1:8" x14ac:dyDescent="0.25">
      <c r="A420" s="2">
        <v>45756</v>
      </c>
      <c r="B420">
        <v>67.5</v>
      </c>
      <c r="C420">
        <f t="shared" si="24"/>
        <v>4</v>
      </c>
      <c r="D420">
        <f t="shared" si="25"/>
        <v>2025</v>
      </c>
      <c r="E420" s="2">
        <v>42082</v>
      </c>
      <c r="F420">
        <v>21.5</v>
      </c>
      <c r="G420">
        <f t="shared" si="26"/>
        <v>3</v>
      </c>
      <c r="H420">
        <f t="shared" si="27"/>
        <v>2015</v>
      </c>
    </row>
    <row r="421" spans="1:8" x14ac:dyDescent="0.25">
      <c r="A421" s="2">
        <v>45757</v>
      </c>
      <c r="B421">
        <v>67.5</v>
      </c>
      <c r="C421">
        <f t="shared" si="24"/>
        <v>4</v>
      </c>
      <c r="D421">
        <f t="shared" si="25"/>
        <v>2025</v>
      </c>
      <c r="E421" s="2">
        <v>42083</v>
      </c>
      <c r="F421">
        <v>21.5</v>
      </c>
      <c r="G421">
        <f t="shared" si="26"/>
        <v>3</v>
      </c>
      <c r="H421">
        <f t="shared" si="27"/>
        <v>2015</v>
      </c>
    </row>
    <row r="422" spans="1:8" x14ac:dyDescent="0.25">
      <c r="A422" s="2">
        <v>45758</v>
      </c>
      <c r="B422">
        <v>67.5</v>
      </c>
      <c r="C422">
        <f t="shared" si="24"/>
        <v>4</v>
      </c>
      <c r="D422">
        <f t="shared" si="25"/>
        <v>2025</v>
      </c>
      <c r="E422" s="2">
        <v>42086</v>
      </c>
      <c r="F422">
        <v>22</v>
      </c>
      <c r="G422">
        <f t="shared" si="26"/>
        <v>3</v>
      </c>
      <c r="H422">
        <f t="shared" si="27"/>
        <v>2015</v>
      </c>
    </row>
    <row r="423" spans="1:8" x14ac:dyDescent="0.25">
      <c r="A423" s="2">
        <v>45761</v>
      </c>
      <c r="B423">
        <v>67.5</v>
      </c>
      <c r="C423">
        <f t="shared" si="24"/>
        <v>4</v>
      </c>
      <c r="D423">
        <f t="shared" si="25"/>
        <v>2025</v>
      </c>
      <c r="E423" s="2">
        <v>42087</v>
      </c>
      <c r="F423">
        <v>22</v>
      </c>
      <c r="G423">
        <f t="shared" si="26"/>
        <v>3</v>
      </c>
      <c r="H423">
        <f t="shared" si="27"/>
        <v>2015</v>
      </c>
    </row>
    <row r="424" spans="1:8" x14ac:dyDescent="0.25">
      <c r="A424" s="2">
        <v>45762</v>
      </c>
      <c r="B424">
        <v>67.5</v>
      </c>
      <c r="C424">
        <f t="shared" si="24"/>
        <v>4</v>
      </c>
      <c r="D424">
        <f t="shared" si="25"/>
        <v>2025</v>
      </c>
      <c r="E424" s="2">
        <v>42088</v>
      </c>
      <c r="F424">
        <v>22</v>
      </c>
      <c r="G424">
        <f t="shared" si="26"/>
        <v>3</v>
      </c>
      <c r="H424">
        <f t="shared" si="27"/>
        <v>2015</v>
      </c>
    </row>
    <row r="425" spans="1:8" x14ac:dyDescent="0.25">
      <c r="A425" s="2">
        <v>45763</v>
      </c>
      <c r="B425">
        <v>67.5</v>
      </c>
      <c r="C425">
        <f t="shared" si="24"/>
        <v>4</v>
      </c>
      <c r="D425">
        <f t="shared" si="25"/>
        <v>2025</v>
      </c>
      <c r="E425" s="2">
        <v>42089</v>
      </c>
      <c r="F425">
        <v>22</v>
      </c>
      <c r="G425">
        <f t="shared" si="26"/>
        <v>3</v>
      </c>
      <c r="H425">
        <f t="shared" si="27"/>
        <v>2015</v>
      </c>
    </row>
    <row r="426" spans="1:8" x14ac:dyDescent="0.25">
      <c r="E426" s="2">
        <v>42090</v>
      </c>
      <c r="F426">
        <v>22.5</v>
      </c>
      <c r="G426">
        <f t="shared" si="26"/>
        <v>3</v>
      </c>
      <c r="H426">
        <f t="shared" si="27"/>
        <v>2015</v>
      </c>
    </row>
    <row r="427" spans="1:8" x14ac:dyDescent="0.25">
      <c r="E427" s="2">
        <v>42093</v>
      </c>
      <c r="F427">
        <v>22.5</v>
      </c>
      <c r="G427">
        <f t="shared" si="26"/>
        <v>3</v>
      </c>
      <c r="H427">
        <f t="shared" si="27"/>
        <v>2015</v>
      </c>
    </row>
    <row r="428" spans="1:8" x14ac:dyDescent="0.25">
      <c r="E428" s="2">
        <v>42094</v>
      </c>
      <c r="F428">
        <v>21.75</v>
      </c>
      <c r="G428">
        <f t="shared" si="26"/>
        <v>3</v>
      </c>
      <c r="H428">
        <f t="shared" si="27"/>
        <v>2015</v>
      </c>
    </row>
    <row r="429" spans="1:8" x14ac:dyDescent="0.25">
      <c r="E429" s="2">
        <v>42095</v>
      </c>
      <c r="F429">
        <v>21.75</v>
      </c>
      <c r="G429">
        <f t="shared" si="26"/>
        <v>4</v>
      </c>
      <c r="H429">
        <f t="shared" si="27"/>
        <v>2015</v>
      </c>
    </row>
    <row r="430" spans="1:8" x14ac:dyDescent="0.25">
      <c r="E430" s="2">
        <v>42096</v>
      </c>
      <c r="F430">
        <v>21.75</v>
      </c>
      <c r="G430">
        <f t="shared" si="26"/>
        <v>4</v>
      </c>
      <c r="H430">
        <f t="shared" si="27"/>
        <v>2015</v>
      </c>
    </row>
    <row r="431" spans="1:8" x14ac:dyDescent="0.25">
      <c r="E431" s="2">
        <v>42100</v>
      </c>
      <c r="F431">
        <v>21.75</v>
      </c>
      <c r="G431">
        <f t="shared" si="26"/>
        <v>4</v>
      </c>
      <c r="H431">
        <f t="shared" si="27"/>
        <v>2015</v>
      </c>
    </row>
    <row r="432" spans="1:8" x14ac:dyDescent="0.25">
      <c r="E432" s="2">
        <v>42101</v>
      </c>
      <c r="F432">
        <v>21.75</v>
      </c>
      <c r="G432">
        <f t="shared" si="26"/>
        <v>4</v>
      </c>
      <c r="H432">
        <f t="shared" si="27"/>
        <v>2015</v>
      </c>
    </row>
    <row r="433" spans="5:8" x14ac:dyDescent="0.25">
      <c r="E433" s="2">
        <v>42102</v>
      </c>
      <c r="F433">
        <v>21.75</v>
      </c>
      <c r="G433">
        <f t="shared" si="26"/>
        <v>4</v>
      </c>
      <c r="H433">
        <f t="shared" si="27"/>
        <v>2015</v>
      </c>
    </row>
    <row r="434" spans="5:8" x14ac:dyDescent="0.25">
      <c r="E434" s="2">
        <v>42103</v>
      </c>
      <c r="F434">
        <v>21.75</v>
      </c>
      <c r="G434">
        <f t="shared" si="26"/>
        <v>4</v>
      </c>
      <c r="H434">
        <f t="shared" si="27"/>
        <v>2015</v>
      </c>
    </row>
    <row r="435" spans="5:8" x14ac:dyDescent="0.25">
      <c r="E435" s="2">
        <v>42104</v>
      </c>
      <c r="F435">
        <v>21.75</v>
      </c>
      <c r="G435">
        <f t="shared" si="26"/>
        <v>4</v>
      </c>
      <c r="H435">
        <f t="shared" si="27"/>
        <v>2015</v>
      </c>
    </row>
    <row r="436" spans="5:8" x14ac:dyDescent="0.25">
      <c r="E436" s="2">
        <v>42107</v>
      </c>
      <c r="F436">
        <v>21.75</v>
      </c>
      <c r="G436">
        <f t="shared" si="26"/>
        <v>4</v>
      </c>
      <c r="H436">
        <f t="shared" si="27"/>
        <v>2015</v>
      </c>
    </row>
    <row r="437" spans="5:8" x14ac:dyDescent="0.25">
      <c r="E437" s="2">
        <v>42108</v>
      </c>
      <c r="F437">
        <v>21.5</v>
      </c>
      <c r="G437">
        <f t="shared" si="26"/>
        <v>4</v>
      </c>
      <c r="H437">
        <f t="shared" si="27"/>
        <v>2015</v>
      </c>
    </row>
    <row r="438" spans="5:8" x14ac:dyDescent="0.25">
      <c r="E438" s="2">
        <v>42109</v>
      </c>
      <c r="F438">
        <v>21.5</v>
      </c>
      <c r="G438">
        <f t="shared" si="26"/>
        <v>4</v>
      </c>
      <c r="H438">
        <f t="shared" si="27"/>
        <v>2015</v>
      </c>
    </row>
    <row r="439" spans="5:8" x14ac:dyDescent="0.25">
      <c r="E439" s="2">
        <v>42110</v>
      </c>
      <c r="F439">
        <v>21.5</v>
      </c>
      <c r="G439">
        <f t="shared" si="26"/>
        <v>4</v>
      </c>
      <c r="H439">
        <f t="shared" si="27"/>
        <v>2015</v>
      </c>
    </row>
    <row r="440" spans="5:8" x14ac:dyDescent="0.25">
      <c r="E440" s="2">
        <v>42111</v>
      </c>
      <c r="F440">
        <v>21.5</v>
      </c>
      <c r="G440">
        <f t="shared" si="26"/>
        <v>4</v>
      </c>
      <c r="H440">
        <f t="shared" si="27"/>
        <v>2015</v>
      </c>
    </row>
    <row r="441" spans="5:8" x14ac:dyDescent="0.25">
      <c r="E441" s="2">
        <v>42114</v>
      </c>
      <c r="F441">
        <v>21.5</v>
      </c>
      <c r="G441">
        <f t="shared" si="26"/>
        <v>4</v>
      </c>
      <c r="H441">
        <f t="shared" si="27"/>
        <v>2015</v>
      </c>
    </row>
    <row r="442" spans="5:8" x14ac:dyDescent="0.25">
      <c r="E442" s="2">
        <v>42115</v>
      </c>
      <c r="F442">
        <v>21.5</v>
      </c>
      <c r="G442">
        <f t="shared" si="26"/>
        <v>4</v>
      </c>
      <c r="H442">
        <f t="shared" si="27"/>
        <v>2015</v>
      </c>
    </row>
    <row r="443" spans="5:8" x14ac:dyDescent="0.25">
      <c r="E443" s="2">
        <v>42116</v>
      </c>
      <c r="F443">
        <v>21.5</v>
      </c>
      <c r="G443">
        <f t="shared" si="26"/>
        <v>4</v>
      </c>
      <c r="H443">
        <f t="shared" si="27"/>
        <v>2015</v>
      </c>
    </row>
    <row r="444" spans="5:8" x14ac:dyDescent="0.25">
      <c r="E444" s="2">
        <v>42117</v>
      </c>
      <c r="F444">
        <v>21.5</v>
      </c>
      <c r="G444">
        <f t="shared" si="26"/>
        <v>4</v>
      </c>
      <c r="H444">
        <f t="shared" si="27"/>
        <v>2015</v>
      </c>
    </row>
    <row r="445" spans="5:8" x14ac:dyDescent="0.25">
      <c r="E445" s="2">
        <v>42118</v>
      </c>
      <c r="F445">
        <v>21.5</v>
      </c>
      <c r="G445">
        <f t="shared" si="26"/>
        <v>4</v>
      </c>
      <c r="H445">
        <f t="shared" si="27"/>
        <v>2015</v>
      </c>
    </row>
    <row r="446" spans="5:8" x14ac:dyDescent="0.25">
      <c r="E446" s="2">
        <v>42121</v>
      </c>
      <c r="F446">
        <v>21.5</v>
      </c>
      <c r="G446">
        <f t="shared" si="26"/>
        <v>4</v>
      </c>
      <c r="H446">
        <f t="shared" si="27"/>
        <v>2015</v>
      </c>
    </row>
    <row r="447" spans="5:8" x14ac:dyDescent="0.25">
      <c r="E447" s="2">
        <v>42122</v>
      </c>
      <c r="F447">
        <v>21.5</v>
      </c>
      <c r="G447">
        <f t="shared" si="26"/>
        <v>4</v>
      </c>
      <c r="H447">
        <f t="shared" si="27"/>
        <v>2015</v>
      </c>
    </row>
    <row r="448" spans="5:8" x14ac:dyDescent="0.25">
      <c r="E448" s="2">
        <v>42123</v>
      </c>
      <c r="F448">
        <v>21.5</v>
      </c>
      <c r="G448">
        <f t="shared" si="26"/>
        <v>4</v>
      </c>
      <c r="H448">
        <f t="shared" si="27"/>
        <v>2015</v>
      </c>
    </row>
    <row r="449" spans="5:8" x14ac:dyDescent="0.25">
      <c r="E449" s="2">
        <v>42124</v>
      </c>
      <c r="F449">
        <v>21.5</v>
      </c>
      <c r="G449">
        <f t="shared" si="26"/>
        <v>4</v>
      </c>
      <c r="H449">
        <f t="shared" si="27"/>
        <v>2015</v>
      </c>
    </row>
    <row r="450" spans="5:8" x14ac:dyDescent="0.25">
      <c r="E450" s="2">
        <v>42125</v>
      </c>
      <c r="F450">
        <v>21.5</v>
      </c>
      <c r="G450">
        <f t="shared" si="26"/>
        <v>5</v>
      </c>
      <c r="H450">
        <f t="shared" si="27"/>
        <v>2015</v>
      </c>
    </row>
    <row r="451" spans="5:8" x14ac:dyDescent="0.25">
      <c r="E451" s="2">
        <v>42128</v>
      </c>
      <c r="F451">
        <v>21.5</v>
      </c>
      <c r="G451">
        <f t="shared" si="26"/>
        <v>5</v>
      </c>
      <c r="H451">
        <f t="shared" si="27"/>
        <v>2015</v>
      </c>
    </row>
    <row r="452" spans="5:8" x14ac:dyDescent="0.25">
      <c r="E452" s="2">
        <v>42129</v>
      </c>
      <c r="F452">
        <v>21.5</v>
      </c>
      <c r="G452">
        <f t="shared" si="26"/>
        <v>5</v>
      </c>
      <c r="H452">
        <f t="shared" si="27"/>
        <v>2015</v>
      </c>
    </row>
    <row r="453" spans="5:8" x14ac:dyDescent="0.25">
      <c r="E453" s="2">
        <v>42130</v>
      </c>
      <c r="F453">
        <v>21.5</v>
      </c>
      <c r="G453">
        <f t="shared" ref="G453:G516" si="28">MONTH(E453)</f>
        <v>5</v>
      </c>
      <c r="H453">
        <f t="shared" ref="H453:H516" si="29">YEAR(E453)</f>
        <v>2015</v>
      </c>
    </row>
    <row r="454" spans="5:8" x14ac:dyDescent="0.25">
      <c r="E454" s="2">
        <v>42131</v>
      </c>
      <c r="F454">
        <v>21.5</v>
      </c>
      <c r="G454">
        <f t="shared" si="28"/>
        <v>5</v>
      </c>
      <c r="H454">
        <f t="shared" si="29"/>
        <v>2015</v>
      </c>
    </row>
    <row r="455" spans="5:8" x14ac:dyDescent="0.25">
      <c r="E455" s="2">
        <v>42132</v>
      </c>
      <c r="F455">
        <v>21.5</v>
      </c>
      <c r="G455">
        <f t="shared" si="28"/>
        <v>5</v>
      </c>
      <c r="H455">
        <f t="shared" si="29"/>
        <v>2015</v>
      </c>
    </row>
    <row r="456" spans="5:8" x14ac:dyDescent="0.25">
      <c r="E456" s="2">
        <v>42135</v>
      </c>
      <c r="F456">
        <v>21</v>
      </c>
      <c r="G456">
        <f t="shared" si="28"/>
        <v>5</v>
      </c>
      <c r="H456">
        <f t="shared" si="29"/>
        <v>2015</v>
      </c>
    </row>
    <row r="457" spans="5:8" x14ac:dyDescent="0.25">
      <c r="E457" s="2">
        <v>42136</v>
      </c>
      <c r="F457">
        <v>21</v>
      </c>
      <c r="G457">
        <f t="shared" si="28"/>
        <v>5</v>
      </c>
      <c r="H457">
        <f t="shared" si="29"/>
        <v>2015</v>
      </c>
    </row>
    <row r="458" spans="5:8" x14ac:dyDescent="0.25">
      <c r="E458" s="2">
        <v>42137</v>
      </c>
      <c r="F458">
        <v>21</v>
      </c>
      <c r="G458">
        <f t="shared" si="28"/>
        <v>5</v>
      </c>
      <c r="H458">
        <f t="shared" si="29"/>
        <v>2015</v>
      </c>
    </row>
    <row r="459" spans="5:8" x14ac:dyDescent="0.25">
      <c r="E459" s="2">
        <v>42138</v>
      </c>
      <c r="F459">
        <v>21</v>
      </c>
      <c r="G459">
        <f t="shared" si="28"/>
        <v>5</v>
      </c>
      <c r="H459">
        <f t="shared" si="29"/>
        <v>2015</v>
      </c>
    </row>
    <row r="460" spans="5:8" x14ac:dyDescent="0.25">
      <c r="E460" s="2">
        <v>42139</v>
      </c>
      <c r="F460">
        <v>21</v>
      </c>
      <c r="G460">
        <f t="shared" si="28"/>
        <v>5</v>
      </c>
      <c r="H460">
        <f t="shared" si="29"/>
        <v>2015</v>
      </c>
    </row>
    <row r="461" spans="5:8" x14ac:dyDescent="0.25">
      <c r="E461" s="2">
        <v>42142</v>
      </c>
      <c r="F461">
        <v>21</v>
      </c>
      <c r="G461">
        <f t="shared" si="28"/>
        <v>5</v>
      </c>
      <c r="H461">
        <f t="shared" si="29"/>
        <v>2015</v>
      </c>
    </row>
    <row r="462" spans="5:8" x14ac:dyDescent="0.25">
      <c r="E462" s="2">
        <v>42143</v>
      </c>
      <c r="F462">
        <v>21</v>
      </c>
      <c r="G462">
        <f t="shared" si="28"/>
        <v>5</v>
      </c>
      <c r="H462">
        <f t="shared" si="29"/>
        <v>2015</v>
      </c>
    </row>
    <row r="463" spans="5:8" x14ac:dyDescent="0.25">
      <c r="E463" s="2">
        <v>42144</v>
      </c>
      <c r="F463">
        <v>21</v>
      </c>
      <c r="G463">
        <f t="shared" si="28"/>
        <v>5</v>
      </c>
      <c r="H463">
        <f t="shared" si="29"/>
        <v>2015</v>
      </c>
    </row>
    <row r="464" spans="5:8" x14ac:dyDescent="0.25">
      <c r="E464" s="2">
        <v>42145</v>
      </c>
      <c r="F464">
        <v>21</v>
      </c>
      <c r="G464">
        <f t="shared" si="28"/>
        <v>5</v>
      </c>
      <c r="H464">
        <f t="shared" si="29"/>
        <v>2015</v>
      </c>
    </row>
    <row r="465" spans="5:8" x14ac:dyDescent="0.25">
      <c r="E465" s="2">
        <v>42146</v>
      </c>
      <c r="F465">
        <v>21.5</v>
      </c>
      <c r="G465">
        <f t="shared" si="28"/>
        <v>5</v>
      </c>
      <c r="H465">
        <f t="shared" si="29"/>
        <v>2015</v>
      </c>
    </row>
    <row r="466" spans="5:8" x14ac:dyDescent="0.25">
      <c r="E466" s="2">
        <v>42150</v>
      </c>
      <c r="F466">
        <v>21.5</v>
      </c>
      <c r="G466">
        <f t="shared" si="28"/>
        <v>5</v>
      </c>
      <c r="H466">
        <f t="shared" si="29"/>
        <v>2015</v>
      </c>
    </row>
    <row r="467" spans="5:8" x14ac:dyDescent="0.25">
      <c r="E467" s="2">
        <v>42151</v>
      </c>
      <c r="F467">
        <v>21.5</v>
      </c>
      <c r="G467">
        <f t="shared" si="28"/>
        <v>5</v>
      </c>
      <c r="H467">
        <f t="shared" si="29"/>
        <v>2015</v>
      </c>
    </row>
    <row r="468" spans="5:8" x14ac:dyDescent="0.25">
      <c r="E468" s="2">
        <v>42152</v>
      </c>
      <c r="F468">
        <v>22.5</v>
      </c>
      <c r="G468">
        <f t="shared" si="28"/>
        <v>5</v>
      </c>
      <c r="H468">
        <f t="shared" si="29"/>
        <v>2015</v>
      </c>
    </row>
    <row r="469" spans="5:8" x14ac:dyDescent="0.25">
      <c r="E469" s="2">
        <v>42153</v>
      </c>
      <c r="F469">
        <v>22.5</v>
      </c>
      <c r="G469">
        <f t="shared" si="28"/>
        <v>5</v>
      </c>
      <c r="H469">
        <f t="shared" si="29"/>
        <v>2015</v>
      </c>
    </row>
    <row r="470" spans="5:8" x14ac:dyDescent="0.25">
      <c r="E470" s="2">
        <v>42156</v>
      </c>
      <c r="F470">
        <v>22.5</v>
      </c>
      <c r="G470">
        <f t="shared" si="28"/>
        <v>6</v>
      </c>
      <c r="H470">
        <f t="shared" si="29"/>
        <v>2015</v>
      </c>
    </row>
    <row r="471" spans="5:8" x14ac:dyDescent="0.25">
      <c r="E471" s="2">
        <v>42157</v>
      </c>
      <c r="F471">
        <v>22.5</v>
      </c>
      <c r="G471">
        <f t="shared" si="28"/>
        <v>6</v>
      </c>
      <c r="H471">
        <f t="shared" si="29"/>
        <v>2015</v>
      </c>
    </row>
    <row r="472" spans="5:8" x14ac:dyDescent="0.25">
      <c r="E472" s="2">
        <v>42158</v>
      </c>
      <c r="F472">
        <v>22.75</v>
      </c>
      <c r="G472">
        <f t="shared" si="28"/>
        <v>6</v>
      </c>
      <c r="H472">
        <f t="shared" si="29"/>
        <v>2015</v>
      </c>
    </row>
    <row r="473" spans="5:8" x14ac:dyDescent="0.25">
      <c r="E473" s="2">
        <v>42159</v>
      </c>
      <c r="F473">
        <v>22.75</v>
      </c>
      <c r="G473">
        <f t="shared" si="28"/>
        <v>6</v>
      </c>
      <c r="H473">
        <f t="shared" si="29"/>
        <v>2015</v>
      </c>
    </row>
    <row r="474" spans="5:8" x14ac:dyDescent="0.25">
      <c r="E474" s="2">
        <v>42160</v>
      </c>
      <c r="F474">
        <v>22.75</v>
      </c>
      <c r="G474">
        <f t="shared" si="28"/>
        <v>6</v>
      </c>
      <c r="H474">
        <f t="shared" si="29"/>
        <v>2015</v>
      </c>
    </row>
    <row r="475" spans="5:8" x14ac:dyDescent="0.25">
      <c r="E475" s="2">
        <v>42163</v>
      </c>
      <c r="F475">
        <v>23.25</v>
      </c>
      <c r="G475">
        <f t="shared" si="28"/>
        <v>6</v>
      </c>
      <c r="H475">
        <f t="shared" si="29"/>
        <v>2015</v>
      </c>
    </row>
    <row r="476" spans="5:8" x14ac:dyDescent="0.25">
      <c r="E476" s="2">
        <v>42164</v>
      </c>
      <c r="F476">
        <v>24</v>
      </c>
      <c r="G476">
        <f t="shared" si="28"/>
        <v>6</v>
      </c>
      <c r="H476">
        <f t="shared" si="29"/>
        <v>2015</v>
      </c>
    </row>
    <row r="477" spans="5:8" x14ac:dyDescent="0.25">
      <c r="E477" s="2">
        <v>42165</v>
      </c>
      <c r="F477">
        <v>26</v>
      </c>
      <c r="G477">
        <f t="shared" si="28"/>
        <v>6</v>
      </c>
      <c r="H477">
        <f t="shared" si="29"/>
        <v>2015</v>
      </c>
    </row>
    <row r="478" spans="5:8" x14ac:dyDescent="0.25">
      <c r="E478" s="2">
        <v>42166</v>
      </c>
      <c r="F478">
        <v>26</v>
      </c>
      <c r="G478">
        <f t="shared" si="28"/>
        <v>6</v>
      </c>
      <c r="H478">
        <f t="shared" si="29"/>
        <v>2015</v>
      </c>
    </row>
    <row r="479" spans="5:8" x14ac:dyDescent="0.25">
      <c r="E479" s="2">
        <v>42167</v>
      </c>
      <c r="F479">
        <v>31</v>
      </c>
      <c r="G479">
        <f t="shared" si="28"/>
        <v>6</v>
      </c>
      <c r="H479">
        <f t="shared" si="29"/>
        <v>2015</v>
      </c>
    </row>
    <row r="480" spans="5:8" x14ac:dyDescent="0.25">
      <c r="E480" s="2">
        <v>42170</v>
      </c>
      <c r="F480">
        <v>31.5</v>
      </c>
      <c r="G480">
        <f t="shared" si="28"/>
        <v>6</v>
      </c>
      <c r="H480">
        <f t="shared" si="29"/>
        <v>2015</v>
      </c>
    </row>
    <row r="481" spans="5:8" x14ac:dyDescent="0.25">
      <c r="E481" s="2">
        <v>42171</v>
      </c>
      <c r="F481">
        <v>31.5</v>
      </c>
      <c r="G481">
        <f t="shared" si="28"/>
        <v>6</v>
      </c>
      <c r="H481">
        <f t="shared" si="29"/>
        <v>2015</v>
      </c>
    </row>
    <row r="482" spans="5:8" x14ac:dyDescent="0.25">
      <c r="E482" s="2">
        <v>42172</v>
      </c>
      <c r="F482">
        <v>31.5</v>
      </c>
      <c r="G482">
        <f t="shared" si="28"/>
        <v>6</v>
      </c>
      <c r="H482">
        <f t="shared" si="29"/>
        <v>2015</v>
      </c>
    </row>
    <row r="483" spans="5:8" x14ac:dyDescent="0.25">
      <c r="E483" s="2">
        <v>42173</v>
      </c>
      <c r="F483">
        <v>31.5</v>
      </c>
      <c r="G483">
        <f t="shared" si="28"/>
        <v>6</v>
      </c>
      <c r="H483">
        <f t="shared" si="29"/>
        <v>2015</v>
      </c>
    </row>
    <row r="484" spans="5:8" x14ac:dyDescent="0.25">
      <c r="E484" s="2">
        <v>42174</v>
      </c>
      <c r="F484">
        <v>34</v>
      </c>
      <c r="G484">
        <f t="shared" si="28"/>
        <v>6</v>
      </c>
      <c r="H484">
        <f t="shared" si="29"/>
        <v>2015</v>
      </c>
    </row>
    <row r="485" spans="5:8" x14ac:dyDescent="0.25">
      <c r="E485" s="2">
        <v>42177</v>
      </c>
      <c r="F485">
        <v>36</v>
      </c>
      <c r="G485">
        <f t="shared" si="28"/>
        <v>6</v>
      </c>
      <c r="H485">
        <f t="shared" si="29"/>
        <v>2015</v>
      </c>
    </row>
    <row r="486" spans="5:8" x14ac:dyDescent="0.25">
      <c r="E486" s="2">
        <v>42178</v>
      </c>
      <c r="F486">
        <v>36</v>
      </c>
      <c r="G486">
        <f t="shared" si="28"/>
        <v>6</v>
      </c>
      <c r="H486">
        <f t="shared" si="29"/>
        <v>2015</v>
      </c>
    </row>
    <row r="487" spans="5:8" x14ac:dyDescent="0.25">
      <c r="E487" s="2">
        <v>42179</v>
      </c>
      <c r="F487">
        <v>41.5</v>
      </c>
      <c r="G487">
        <f t="shared" si="28"/>
        <v>6</v>
      </c>
      <c r="H487">
        <f t="shared" si="29"/>
        <v>2015</v>
      </c>
    </row>
    <row r="488" spans="5:8" x14ac:dyDescent="0.25">
      <c r="E488" s="2">
        <v>42180</v>
      </c>
      <c r="F488">
        <v>52.5</v>
      </c>
      <c r="G488">
        <f t="shared" si="28"/>
        <v>6</v>
      </c>
      <c r="H488">
        <f t="shared" si="29"/>
        <v>2015</v>
      </c>
    </row>
    <row r="489" spans="5:8" x14ac:dyDescent="0.25">
      <c r="E489" s="2">
        <v>42181</v>
      </c>
      <c r="F489">
        <v>52.5</v>
      </c>
      <c r="G489">
        <f t="shared" si="28"/>
        <v>6</v>
      </c>
      <c r="H489">
        <f t="shared" si="29"/>
        <v>2015</v>
      </c>
    </row>
    <row r="490" spans="5:8" x14ac:dyDescent="0.25">
      <c r="E490" s="2">
        <v>42184</v>
      </c>
      <c r="F490">
        <v>61.5</v>
      </c>
      <c r="G490">
        <f t="shared" si="28"/>
        <v>6</v>
      </c>
      <c r="H490">
        <f t="shared" si="29"/>
        <v>2015</v>
      </c>
    </row>
    <row r="491" spans="5:8" x14ac:dyDescent="0.25">
      <c r="E491" s="2">
        <v>42185</v>
      </c>
      <c r="F491">
        <v>57.5</v>
      </c>
      <c r="G491">
        <f t="shared" si="28"/>
        <v>6</v>
      </c>
      <c r="H491">
        <f t="shared" si="29"/>
        <v>2015</v>
      </c>
    </row>
    <row r="492" spans="5:8" x14ac:dyDescent="0.25">
      <c r="E492" s="2">
        <v>42186</v>
      </c>
      <c r="F492">
        <v>57.5</v>
      </c>
      <c r="G492">
        <f t="shared" si="28"/>
        <v>7</v>
      </c>
      <c r="H492">
        <f t="shared" si="29"/>
        <v>2015</v>
      </c>
    </row>
    <row r="493" spans="5:8" x14ac:dyDescent="0.25">
      <c r="E493" s="2">
        <v>42187</v>
      </c>
      <c r="F493">
        <v>57.5</v>
      </c>
      <c r="G493">
        <f t="shared" si="28"/>
        <v>7</v>
      </c>
      <c r="H493">
        <f t="shared" si="29"/>
        <v>2015</v>
      </c>
    </row>
    <row r="494" spans="5:8" x14ac:dyDescent="0.25">
      <c r="E494" s="2">
        <v>42191</v>
      </c>
      <c r="F494">
        <v>52.5</v>
      </c>
      <c r="G494">
        <f t="shared" si="28"/>
        <v>7</v>
      </c>
      <c r="H494">
        <f t="shared" si="29"/>
        <v>2015</v>
      </c>
    </row>
    <row r="495" spans="5:8" x14ac:dyDescent="0.25">
      <c r="E495" s="2">
        <v>42192</v>
      </c>
      <c r="F495">
        <v>52.5</v>
      </c>
      <c r="G495">
        <f t="shared" si="28"/>
        <v>7</v>
      </c>
      <c r="H495">
        <f t="shared" si="29"/>
        <v>2015</v>
      </c>
    </row>
    <row r="496" spans="5:8" x14ac:dyDescent="0.25">
      <c r="E496" s="2">
        <v>42193</v>
      </c>
      <c r="F496">
        <v>52.5</v>
      </c>
      <c r="G496">
        <f t="shared" si="28"/>
        <v>7</v>
      </c>
      <c r="H496">
        <f t="shared" si="29"/>
        <v>2015</v>
      </c>
    </row>
    <row r="497" spans="5:8" x14ac:dyDescent="0.25">
      <c r="E497" s="2">
        <v>42194</v>
      </c>
      <c r="F497">
        <v>52.5</v>
      </c>
      <c r="G497">
        <f t="shared" si="28"/>
        <v>7</v>
      </c>
      <c r="H497">
        <f t="shared" si="29"/>
        <v>2015</v>
      </c>
    </row>
    <row r="498" spans="5:8" x14ac:dyDescent="0.25">
      <c r="E498" s="2">
        <v>42195</v>
      </c>
      <c r="F498">
        <v>51.5</v>
      </c>
      <c r="G498">
        <f t="shared" si="28"/>
        <v>7</v>
      </c>
      <c r="H498">
        <f t="shared" si="29"/>
        <v>2015</v>
      </c>
    </row>
    <row r="499" spans="5:8" x14ac:dyDescent="0.25">
      <c r="E499" s="2">
        <v>42198</v>
      </c>
      <c r="F499">
        <v>51.5</v>
      </c>
      <c r="G499">
        <f t="shared" si="28"/>
        <v>7</v>
      </c>
      <c r="H499">
        <f t="shared" si="29"/>
        <v>2015</v>
      </c>
    </row>
    <row r="500" spans="5:8" x14ac:dyDescent="0.25">
      <c r="E500" s="2">
        <v>42199</v>
      </c>
      <c r="F500">
        <v>51.5</v>
      </c>
      <c r="G500">
        <f t="shared" si="28"/>
        <v>7</v>
      </c>
      <c r="H500">
        <f t="shared" si="29"/>
        <v>2015</v>
      </c>
    </row>
    <row r="501" spans="5:8" x14ac:dyDescent="0.25">
      <c r="E501" s="2">
        <v>42200</v>
      </c>
      <c r="F501">
        <v>51.5</v>
      </c>
      <c r="G501">
        <f t="shared" si="28"/>
        <v>7</v>
      </c>
      <c r="H501">
        <f t="shared" si="29"/>
        <v>2015</v>
      </c>
    </row>
    <row r="502" spans="5:8" x14ac:dyDescent="0.25">
      <c r="E502" s="2">
        <v>42201</v>
      </c>
      <c r="F502">
        <v>51.5</v>
      </c>
      <c r="G502">
        <f t="shared" si="28"/>
        <v>7</v>
      </c>
      <c r="H502">
        <f t="shared" si="29"/>
        <v>2015</v>
      </c>
    </row>
    <row r="503" spans="5:8" x14ac:dyDescent="0.25">
      <c r="E503" s="2">
        <v>42202</v>
      </c>
      <c r="F503">
        <v>51.5</v>
      </c>
      <c r="G503">
        <f t="shared" si="28"/>
        <v>7</v>
      </c>
      <c r="H503">
        <f t="shared" si="29"/>
        <v>2015</v>
      </c>
    </row>
    <row r="504" spans="5:8" x14ac:dyDescent="0.25">
      <c r="E504" s="2">
        <v>42205</v>
      </c>
      <c r="F504">
        <v>51.5</v>
      </c>
      <c r="G504">
        <f t="shared" si="28"/>
        <v>7</v>
      </c>
      <c r="H504">
        <f t="shared" si="29"/>
        <v>2015</v>
      </c>
    </row>
    <row r="505" spans="5:8" x14ac:dyDescent="0.25">
      <c r="E505" s="2">
        <v>42206</v>
      </c>
      <c r="F505">
        <v>51.5</v>
      </c>
      <c r="G505">
        <f t="shared" si="28"/>
        <v>7</v>
      </c>
      <c r="H505">
        <f t="shared" si="29"/>
        <v>2015</v>
      </c>
    </row>
    <row r="506" spans="5:8" x14ac:dyDescent="0.25">
      <c r="E506" s="2">
        <v>42207</v>
      </c>
      <c r="F506">
        <v>51.5</v>
      </c>
      <c r="G506">
        <f t="shared" si="28"/>
        <v>7</v>
      </c>
      <c r="H506">
        <f t="shared" si="29"/>
        <v>2015</v>
      </c>
    </row>
    <row r="507" spans="5:8" x14ac:dyDescent="0.25">
      <c r="E507" s="2">
        <v>42208</v>
      </c>
      <c r="F507">
        <v>51.5</v>
      </c>
      <c r="G507">
        <f t="shared" si="28"/>
        <v>7</v>
      </c>
      <c r="H507">
        <f t="shared" si="29"/>
        <v>2015</v>
      </c>
    </row>
    <row r="508" spans="5:8" x14ac:dyDescent="0.25">
      <c r="E508" s="2">
        <v>42209</v>
      </c>
      <c r="F508">
        <v>50.5</v>
      </c>
      <c r="G508">
        <f t="shared" si="28"/>
        <v>7</v>
      </c>
      <c r="H508">
        <f t="shared" si="29"/>
        <v>2015</v>
      </c>
    </row>
    <row r="509" spans="5:8" x14ac:dyDescent="0.25">
      <c r="E509" s="2">
        <v>42212</v>
      </c>
      <c r="F509">
        <v>51</v>
      </c>
      <c r="G509">
        <f t="shared" si="28"/>
        <v>7</v>
      </c>
      <c r="H509">
        <f t="shared" si="29"/>
        <v>2015</v>
      </c>
    </row>
    <row r="510" spans="5:8" x14ac:dyDescent="0.25">
      <c r="E510" s="2">
        <v>42213</v>
      </c>
      <c r="F510">
        <v>51.5</v>
      </c>
      <c r="G510">
        <f t="shared" si="28"/>
        <v>7</v>
      </c>
      <c r="H510">
        <f t="shared" si="29"/>
        <v>2015</v>
      </c>
    </row>
    <row r="511" spans="5:8" x14ac:dyDescent="0.25">
      <c r="E511" s="2">
        <v>42214</v>
      </c>
      <c r="F511">
        <v>53</v>
      </c>
      <c r="G511">
        <f t="shared" si="28"/>
        <v>7</v>
      </c>
      <c r="H511">
        <f t="shared" si="29"/>
        <v>2015</v>
      </c>
    </row>
    <row r="512" spans="5:8" x14ac:dyDescent="0.25">
      <c r="E512" s="2">
        <v>42215</v>
      </c>
      <c r="F512">
        <v>53</v>
      </c>
      <c r="G512">
        <f t="shared" si="28"/>
        <v>7</v>
      </c>
      <c r="H512">
        <f t="shared" si="29"/>
        <v>2015</v>
      </c>
    </row>
    <row r="513" spans="5:8" x14ac:dyDescent="0.25">
      <c r="E513" s="2">
        <v>42216</v>
      </c>
      <c r="F513">
        <v>53</v>
      </c>
      <c r="G513">
        <f t="shared" si="28"/>
        <v>7</v>
      </c>
      <c r="H513">
        <f t="shared" si="29"/>
        <v>2015</v>
      </c>
    </row>
    <row r="514" spans="5:8" x14ac:dyDescent="0.25">
      <c r="E514" s="2">
        <v>42219</v>
      </c>
      <c r="F514">
        <v>53</v>
      </c>
      <c r="G514">
        <f t="shared" si="28"/>
        <v>8</v>
      </c>
      <c r="H514">
        <f t="shared" si="29"/>
        <v>2015</v>
      </c>
    </row>
    <row r="515" spans="5:8" x14ac:dyDescent="0.25">
      <c r="E515" s="2">
        <v>42220</v>
      </c>
      <c r="F515">
        <v>53</v>
      </c>
      <c r="G515">
        <f t="shared" si="28"/>
        <v>8</v>
      </c>
      <c r="H515">
        <f t="shared" si="29"/>
        <v>2015</v>
      </c>
    </row>
    <row r="516" spans="5:8" x14ac:dyDescent="0.25">
      <c r="E516" s="2">
        <v>42221</v>
      </c>
      <c r="F516">
        <v>53</v>
      </c>
      <c r="G516">
        <f t="shared" si="28"/>
        <v>8</v>
      </c>
      <c r="H516">
        <f t="shared" si="29"/>
        <v>2015</v>
      </c>
    </row>
    <row r="517" spans="5:8" x14ac:dyDescent="0.25">
      <c r="E517" s="2">
        <v>42222</v>
      </c>
      <c r="F517">
        <v>53</v>
      </c>
      <c r="G517">
        <f t="shared" ref="G517:G580" si="30">MONTH(E517)</f>
        <v>8</v>
      </c>
      <c r="H517">
        <f t="shared" ref="H517:H580" si="31">YEAR(E517)</f>
        <v>2015</v>
      </c>
    </row>
    <row r="518" spans="5:8" x14ac:dyDescent="0.25">
      <c r="E518" s="2">
        <v>42223</v>
      </c>
      <c r="F518">
        <v>53</v>
      </c>
      <c r="G518">
        <f t="shared" si="30"/>
        <v>8</v>
      </c>
      <c r="H518">
        <f t="shared" si="31"/>
        <v>2015</v>
      </c>
    </row>
    <row r="519" spans="5:8" x14ac:dyDescent="0.25">
      <c r="E519" s="2">
        <v>42226</v>
      </c>
      <c r="F519">
        <v>53</v>
      </c>
      <c r="G519">
        <f t="shared" si="30"/>
        <v>8</v>
      </c>
      <c r="H519">
        <f t="shared" si="31"/>
        <v>2015</v>
      </c>
    </row>
    <row r="520" spans="5:8" x14ac:dyDescent="0.25">
      <c r="E520" s="2">
        <v>42227</v>
      </c>
      <c r="F520">
        <v>53</v>
      </c>
      <c r="G520">
        <f t="shared" si="30"/>
        <v>8</v>
      </c>
      <c r="H520">
        <f t="shared" si="31"/>
        <v>2015</v>
      </c>
    </row>
    <row r="521" spans="5:8" x14ac:dyDescent="0.25">
      <c r="E521" s="2">
        <v>42228</v>
      </c>
      <c r="F521">
        <v>55</v>
      </c>
      <c r="G521">
        <f t="shared" si="30"/>
        <v>8</v>
      </c>
      <c r="H521">
        <f t="shared" si="31"/>
        <v>2015</v>
      </c>
    </row>
    <row r="522" spans="5:8" x14ac:dyDescent="0.25">
      <c r="E522" s="2">
        <v>42229</v>
      </c>
      <c r="F522">
        <v>55</v>
      </c>
      <c r="G522">
        <f t="shared" si="30"/>
        <v>8</v>
      </c>
      <c r="H522">
        <f t="shared" si="31"/>
        <v>2015</v>
      </c>
    </row>
    <row r="523" spans="5:8" x14ac:dyDescent="0.25">
      <c r="E523" s="2">
        <v>42230</v>
      </c>
      <c r="F523">
        <v>61.5</v>
      </c>
      <c r="G523">
        <f t="shared" si="30"/>
        <v>8</v>
      </c>
      <c r="H523">
        <f t="shared" si="31"/>
        <v>2015</v>
      </c>
    </row>
    <row r="524" spans="5:8" x14ac:dyDescent="0.25">
      <c r="E524" s="2">
        <v>42233</v>
      </c>
      <c r="F524">
        <v>61.5</v>
      </c>
      <c r="G524">
        <f t="shared" si="30"/>
        <v>8</v>
      </c>
      <c r="H524">
        <f t="shared" si="31"/>
        <v>2015</v>
      </c>
    </row>
    <row r="525" spans="5:8" x14ac:dyDescent="0.25">
      <c r="E525" s="2">
        <v>42234</v>
      </c>
      <c r="F525">
        <v>61.5</v>
      </c>
      <c r="G525">
        <f t="shared" si="30"/>
        <v>8</v>
      </c>
      <c r="H525">
        <f t="shared" si="31"/>
        <v>2015</v>
      </c>
    </row>
    <row r="526" spans="5:8" x14ac:dyDescent="0.25">
      <c r="E526" s="2">
        <v>42235</v>
      </c>
      <c r="F526">
        <v>61.5</v>
      </c>
      <c r="G526">
        <f t="shared" si="30"/>
        <v>8</v>
      </c>
      <c r="H526">
        <f t="shared" si="31"/>
        <v>2015</v>
      </c>
    </row>
    <row r="527" spans="5:8" x14ac:dyDescent="0.25">
      <c r="E527" s="2">
        <v>42236</v>
      </c>
      <c r="F527">
        <v>61.5</v>
      </c>
      <c r="G527">
        <f t="shared" si="30"/>
        <v>8</v>
      </c>
      <c r="H527">
        <f t="shared" si="31"/>
        <v>2015</v>
      </c>
    </row>
    <row r="528" spans="5:8" x14ac:dyDescent="0.25">
      <c r="E528" s="2">
        <v>42237</v>
      </c>
      <c r="F528">
        <v>68</v>
      </c>
      <c r="G528">
        <f t="shared" si="30"/>
        <v>8</v>
      </c>
      <c r="H528">
        <f t="shared" si="31"/>
        <v>2015</v>
      </c>
    </row>
    <row r="529" spans="5:8" x14ac:dyDescent="0.25">
      <c r="E529" s="2">
        <v>42240</v>
      </c>
      <c r="F529">
        <v>68</v>
      </c>
      <c r="G529">
        <f t="shared" si="30"/>
        <v>8</v>
      </c>
      <c r="H529">
        <f t="shared" si="31"/>
        <v>2015</v>
      </c>
    </row>
    <row r="530" spans="5:8" x14ac:dyDescent="0.25">
      <c r="E530" s="2">
        <v>42241</v>
      </c>
      <c r="F530">
        <v>68</v>
      </c>
      <c r="G530">
        <f t="shared" si="30"/>
        <v>8</v>
      </c>
      <c r="H530">
        <f t="shared" si="31"/>
        <v>2015</v>
      </c>
    </row>
    <row r="531" spans="5:8" x14ac:dyDescent="0.25">
      <c r="E531" s="2">
        <v>42242</v>
      </c>
      <c r="F531">
        <v>63</v>
      </c>
      <c r="G531">
        <f t="shared" si="30"/>
        <v>8</v>
      </c>
      <c r="H531">
        <f t="shared" si="31"/>
        <v>2015</v>
      </c>
    </row>
    <row r="532" spans="5:8" x14ac:dyDescent="0.25">
      <c r="E532" s="2">
        <v>42243</v>
      </c>
      <c r="F532">
        <v>63</v>
      </c>
      <c r="G532">
        <f t="shared" si="30"/>
        <v>8</v>
      </c>
      <c r="H532">
        <f t="shared" si="31"/>
        <v>2015</v>
      </c>
    </row>
    <row r="533" spans="5:8" x14ac:dyDescent="0.25">
      <c r="E533" s="2">
        <v>42244</v>
      </c>
      <c r="F533">
        <v>63</v>
      </c>
      <c r="G533">
        <f t="shared" si="30"/>
        <v>8</v>
      </c>
      <c r="H533">
        <f t="shared" si="31"/>
        <v>2015</v>
      </c>
    </row>
    <row r="534" spans="5:8" x14ac:dyDescent="0.25">
      <c r="E534" s="2">
        <v>42247</v>
      </c>
      <c r="F534">
        <v>63</v>
      </c>
      <c r="G534">
        <f t="shared" si="30"/>
        <v>8</v>
      </c>
      <c r="H534">
        <f t="shared" si="31"/>
        <v>2015</v>
      </c>
    </row>
    <row r="535" spans="5:8" x14ac:dyDescent="0.25">
      <c r="E535" s="2">
        <v>42248</v>
      </c>
      <c r="F535">
        <v>67.5</v>
      </c>
      <c r="G535">
        <f t="shared" si="30"/>
        <v>9</v>
      </c>
      <c r="H535">
        <f t="shared" si="31"/>
        <v>2015</v>
      </c>
    </row>
    <row r="536" spans="5:8" x14ac:dyDescent="0.25">
      <c r="E536" s="2">
        <v>42249</v>
      </c>
      <c r="F536">
        <v>67.5</v>
      </c>
      <c r="G536">
        <f t="shared" si="30"/>
        <v>9</v>
      </c>
      <c r="H536">
        <f t="shared" si="31"/>
        <v>2015</v>
      </c>
    </row>
    <row r="537" spans="5:8" x14ac:dyDescent="0.25">
      <c r="E537" s="2">
        <v>42250</v>
      </c>
      <c r="F537">
        <v>67.5</v>
      </c>
      <c r="G537">
        <f t="shared" si="30"/>
        <v>9</v>
      </c>
      <c r="H537">
        <f t="shared" si="31"/>
        <v>2015</v>
      </c>
    </row>
    <row r="538" spans="5:8" x14ac:dyDescent="0.25">
      <c r="E538" s="2">
        <v>42251</v>
      </c>
      <c r="F538">
        <v>67.5</v>
      </c>
      <c r="G538">
        <f t="shared" si="30"/>
        <v>9</v>
      </c>
      <c r="H538">
        <f t="shared" si="31"/>
        <v>2015</v>
      </c>
    </row>
    <row r="539" spans="5:8" x14ac:dyDescent="0.25">
      <c r="E539" s="2">
        <v>42255</v>
      </c>
      <c r="F539">
        <v>67.5</v>
      </c>
      <c r="G539">
        <f t="shared" si="30"/>
        <v>9</v>
      </c>
      <c r="H539">
        <f t="shared" si="31"/>
        <v>2015</v>
      </c>
    </row>
    <row r="540" spans="5:8" x14ac:dyDescent="0.25">
      <c r="E540" s="2">
        <v>42256</v>
      </c>
      <c r="F540">
        <v>66.5</v>
      </c>
      <c r="G540">
        <f t="shared" si="30"/>
        <v>9</v>
      </c>
      <c r="H540">
        <f t="shared" si="31"/>
        <v>2015</v>
      </c>
    </row>
    <row r="541" spans="5:8" x14ac:dyDescent="0.25">
      <c r="E541" s="2">
        <v>42257</v>
      </c>
      <c r="F541">
        <v>66.5</v>
      </c>
      <c r="G541">
        <f t="shared" si="30"/>
        <v>9</v>
      </c>
      <c r="H541">
        <f t="shared" si="31"/>
        <v>2015</v>
      </c>
    </row>
    <row r="542" spans="5:8" x14ac:dyDescent="0.25">
      <c r="E542" s="2">
        <v>42258</v>
      </c>
      <c r="F542">
        <v>66.5</v>
      </c>
      <c r="G542">
        <f t="shared" si="30"/>
        <v>9</v>
      </c>
      <c r="H542">
        <f t="shared" si="31"/>
        <v>2015</v>
      </c>
    </row>
    <row r="543" spans="5:8" x14ac:dyDescent="0.25">
      <c r="E543" s="2">
        <v>42261</v>
      </c>
      <c r="F543">
        <v>66.5</v>
      </c>
      <c r="G543">
        <f t="shared" si="30"/>
        <v>9</v>
      </c>
      <c r="H543">
        <f t="shared" si="31"/>
        <v>2015</v>
      </c>
    </row>
    <row r="544" spans="5:8" x14ac:dyDescent="0.25">
      <c r="E544" s="2">
        <v>42262</v>
      </c>
      <c r="F544">
        <v>65</v>
      </c>
      <c r="G544">
        <f t="shared" si="30"/>
        <v>9</v>
      </c>
      <c r="H544">
        <f t="shared" si="31"/>
        <v>2015</v>
      </c>
    </row>
    <row r="545" spans="5:8" x14ac:dyDescent="0.25">
      <c r="E545" s="2">
        <v>42263</v>
      </c>
      <c r="F545">
        <v>65</v>
      </c>
      <c r="G545">
        <f t="shared" si="30"/>
        <v>9</v>
      </c>
      <c r="H545">
        <f t="shared" si="31"/>
        <v>2015</v>
      </c>
    </row>
    <row r="546" spans="5:8" x14ac:dyDescent="0.25">
      <c r="E546" s="2">
        <v>42264</v>
      </c>
      <c r="F546">
        <v>65.5</v>
      </c>
      <c r="G546">
        <f t="shared" si="30"/>
        <v>9</v>
      </c>
      <c r="H546">
        <f t="shared" si="31"/>
        <v>2015</v>
      </c>
    </row>
    <row r="547" spans="5:8" x14ac:dyDescent="0.25">
      <c r="E547" s="2">
        <v>42265</v>
      </c>
      <c r="F547">
        <v>65.5</v>
      </c>
      <c r="G547">
        <f t="shared" si="30"/>
        <v>9</v>
      </c>
      <c r="H547">
        <f t="shared" si="31"/>
        <v>2015</v>
      </c>
    </row>
    <row r="548" spans="5:8" x14ac:dyDescent="0.25">
      <c r="E548" s="2">
        <v>42268</v>
      </c>
      <c r="F548">
        <v>66</v>
      </c>
      <c r="G548">
        <f t="shared" si="30"/>
        <v>9</v>
      </c>
      <c r="H548">
        <f t="shared" si="31"/>
        <v>2015</v>
      </c>
    </row>
    <row r="549" spans="5:8" x14ac:dyDescent="0.25">
      <c r="E549" s="2">
        <v>42269</v>
      </c>
      <c r="F549">
        <v>66.5</v>
      </c>
      <c r="G549">
        <f t="shared" si="30"/>
        <v>9</v>
      </c>
      <c r="H549">
        <f t="shared" si="31"/>
        <v>2015</v>
      </c>
    </row>
    <row r="550" spans="5:8" x14ac:dyDescent="0.25">
      <c r="E550" s="2">
        <v>42270</v>
      </c>
      <c r="F550">
        <v>68</v>
      </c>
      <c r="G550">
        <f t="shared" si="30"/>
        <v>9</v>
      </c>
      <c r="H550">
        <f t="shared" si="31"/>
        <v>2015</v>
      </c>
    </row>
    <row r="551" spans="5:8" x14ac:dyDescent="0.25">
      <c r="E551" s="2">
        <v>42271</v>
      </c>
      <c r="F551">
        <v>68.5</v>
      </c>
      <c r="G551">
        <f t="shared" si="30"/>
        <v>9</v>
      </c>
      <c r="H551">
        <f t="shared" si="31"/>
        <v>2015</v>
      </c>
    </row>
    <row r="552" spans="5:8" x14ac:dyDescent="0.25">
      <c r="E552" s="2">
        <v>42272</v>
      </c>
      <c r="F552">
        <v>70</v>
      </c>
      <c r="G552">
        <f t="shared" si="30"/>
        <v>9</v>
      </c>
      <c r="H552">
        <f t="shared" si="31"/>
        <v>2015</v>
      </c>
    </row>
    <row r="553" spans="5:8" x14ac:dyDescent="0.25">
      <c r="E553" s="2">
        <v>42275</v>
      </c>
      <c r="F553">
        <v>72.5</v>
      </c>
      <c r="G553">
        <f t="shared" si="30"/>
        <v>9</v>
      </c>
      <c r="H553">
        <f t="shared" si="31"/>
        <v>2015</v>
      </c>
    </row>
    <row r="554" spans="5:8" x14ac:dyDescent="0.25">
      <c r="E554" s="2">
        <v>42276</v>
      </c>
      <c r="F554">
        <v>73</v>
      </c>
      <c r="G554">
        <f t="shared" si="30"/>
        <v>9</v>
      </c>
      <c r="H554">
        <f t="shared" si="31"/>
        <v>2015</v>
      </c>
    </row>
    <row r="555" spans="5:8" x14ac:dyDescent="0.25">
      <c r="E555" s="2">
        <v>42277</v>
      </c>
      <c r="F555">
        <v>77</v>
      </c>
      <c r="G555">
        <f t="shared" si="30"/>
        <v>9</v>
      </c>
      <c r="H555">
        <f t="shared" si="31"/>
        <v>2015</v>
      </c>
    </row>
    <row r="556" spans="5:8" x14ac:dyDescent="0.25">
      <c r="E556" s="2">
        <v>42278</v>
      </c>
      <c r="F556">
        <v>77</v>
      </c>
      <c r="G556">
        <f t="shared" si="30"/>
        <v>10</v>
      </c>
      <c r="H556">
        <f t="shared" si="31"/>
        <v>2015</v>
      </c>
    </row>
    <row r="557" spans="5:8" x14ac:dyDescent="0.25">
      <c r="E557" s="2">
        <v>42279</v>
      </c>
      <c r="F557">
        <v>77</v>
      </c>
      <c r="G557">
        <f t="shared" si="30"/>
        <v>10</v>
      </c>
      <c r="H557">
        <f t="shared" si="31"/>
        <v>2015</v>
      </c>
    </row>
    <row r="558" spans="5:8" x14ac:dyDescent="0.25">
      <c r="E558" s="2">
        <v>42282</v>
      </c>
      <c r="F558">
        <v>77</v>
      </c>
      <c r="G558">
        <f t="shared" si="30"/>
        <v>10</v>
      </c>
      <c r="H558">
        <f t="shared" si="31"/>
        <v>2015</v>
      </c>
    </row>
    <row r="559" spans="5:8" x14ac:dyDescent="0.25">
      <c r="E559" s="2">
        <v>42283</v>
      </c>
      <c r="F559">
        <v>81.5</v>
      </c>
      <c r="G559">
        <f t="shared" si="30"/>
        <v>10</v>
      </c>
      <c r="H559">
        <f t="shared" si="31"/>
        <v>2015</v>
      </c>
    </row>
    <row r="560" spans="5:8" x14ac:dyDescent="0.25">
      <c r="E560" s="2">
        <v>42284</v>
      </c>
      <c r="F560">
        <v>82</v>
      </c>
      <c r="G560">
        <f t="shared" si="30"/>
        <v>10</v>
      </c>
      <c r="H560">
        <f t="shared" si="31"/>
        <v>2015</v>
      </c>
    </row>
    <row r="561" spans="5:8" x14ac:dyDescent="0.25">
      <c r="E561" s="2">
        <v>42285</v>
      </c>
      <c r="F561">
        <v>81</v>
      </c>
      <c r="G561">
        <f t="shared" si="30"/>
        <v>10</v>
      </c>
      <c r="H561">
        <f t="shared" si="31"/>
        <v>2015</v>
      </c>
    </row>
    <row r="562" spans="5:8" x14ac:dyDescent="0.25">
      <c r="E562" s="2">
        <v>42286</v>
      </c>
      <c r="F562">
        <v>81.5</v>
      </c>
      <c r="G562">
        <f t="shared" si="30"/>
        <v>10</v>
      </c>
      <c r="H562">
        <f t="shared" si="31"/>
        <v>2015</v>
      </c>
    </row>
    <row r="563" spans="5:8" x14ac:dyDescent="0.25">
      <c r="E563" s="2">
        <v>42289</v>
      </c>
      <c r="F563">
        <v>81.5</v>
      </c>
      <c r="G563">
        <f t="shared" si="30"/>
        <v>10</v>
      </c>
      <c r="H563">
        <f t="shared" si="31"/>
        <v>2015</v>
      </c>
    </row>
    <row r="564" spans="5:8" x14ac:dyDescent="0.25">
      <c r="E564" s="2">
        <v>42290</v>
      </c>
      <c r="F564">
        <v>81.5</v>
      </c>
      <c r="G564">
        <f t="shared" si="30"/>
        <v>10</v>
      </c>
      <c r="H564">
        <f t="shared" si="31"/>
        <v>2015</v>
      </c>
    </row>
    <row r="565" spans="5:8" x14ac:dyDescent="0.25">
      <c r="E565" s="2">
        <v>42291</v>
      </c>
      <c r="F565">
        <v>81.5</v>
      </c>
      <c r="G565">
        <f t="shared" si="30"/>
        <v>10</v>
      </c>
      <c r="H565">
        <f t="shared" si="31"/>
        <v>2015</v>
      </c>
    </row>
    <row r="566" spans="5:8" x14ac:dyDescent="0.25">
      <c r="E566" s="2">
        <v>42292</v>
      </c>
      <c r="F566">
        <v>81.5</v>
      </c>
      <c r="G566">
        <f t="shared" si="30"/>
        <v>10</v>
      </c>
      <c r="H566">
        <f t="shared" si="31"/>
        <v>2015</v>
      </c>
    </row>
    <row r="567" spans="5:8" x14ac:dyDescent="0.25">
      <c r="E567" s="2">
        <v>42293</v>
      </c>
      <c r="F567">
        <v>81.5</v>
      </c>
      <c r="G567">
        <f t="shared" si="30"/>
        <v>10</v>
      </c>
      <c r="H567">
        <f t="shared" si="31"/>
        <v>2015</v>
      </c>
    </row>
    <row r="568" spans="5:8" x14ac:dyDescent="0.25">
      <c r="E568" s="2">
        <v>42296</v>
      </c>
      <c r="F568">
        <v>81.5</v>
      </c>
      <c r="G568">
        <f t="shared" si="30"/>
        <v>10</v>
      </c>
      <c r="H568">
        <f t="shared" si="31"/>
        <v>2015</v>
      </c>
    </row>
    <row r="569" spans="5:8" x14ac:dyDescent="0.25">
      <c r="E569" s="2">
        <v>42297</v>
      </c>
      <c r="F569">
        <v>80.5</v>
      </c>
      <c r="G569">
        <f t="shared" si="30"/>
        <v>10</v>
      </c>
      <c r="H569">
        <f t="shared" si="31"/>
        <v>2015</v>
      </c>
    </row>
    <row r="570" spans="5:8" x14ac:dyDescent="0.25">
      <c r="E570" s="2">
        <v>42298</v>
      </c>
      <c r="F570">
        <v>80.5</v>
      </c>
      <c r="G570">
        <f t="shared" si="30"/>
        <v>10</v>
      </c>
      <c r="H570">
        <f t="shared" si="31"/>
        <v>2015</v>
      </c>
    </row>
    <row r="571" spans="5:8" x14ac:dyDescent="0.25">
      <c r="E571" s="2">
        <v>42299</v>
      </c>
      <c r="F571">
        <v>81</v>
      </c>
      <c r="G571">
        <f t="shared" si="30"/>
        <v>10</v>
      </c>
      <c r="H571">
        <f t="shared" si="31"/>
        <v>2015</v>
      </c>
    </row>
    <row r="572" spans="5:8" x14ac:dyDescent="0.25">
      <c r="E572" s="2">
        <v>42300</v>
      </c>
      <c r="F572">
        <v>80.5</v>
      </c>
      <c r="G572">
        <f t="shared" si="30"/>
        <v>10</v>
      </c>
      <c r="H572">
        <f t="shared" si="31"/>
        <v>2015</v>
      </c>
    </row>
    <row r="573" spans="5:8" x14ac:dyDescent="0.25">
      <c r="E573" s="2">
        <v>42303</v>
      </c>
      <c r="F573">
        <v>80.5</v>
      </c>
      <c r="G573">
        <f t="shared" si="30"/>
        <v>10</v>
      </c>
      <c r="H573">
        <f t="shared" si="31"/>
        <v>2015</v>
      </c>
    </row>
    <row r="574" spans="5:8" x14ac:dyDescent="0.25">
      <c r="E574" s="2">
        <v>42304</v>
      </c>
      <c r="F574">
        <v>82</v>
      </c>
      <c r="G574">
        <f t="shared" si="30"/>
        <v>10</v>
      </c>
      <c r="H574">
        <f t="shared" si="31"/>
        <v>2015</v>
      </c>
    </row>
    <row r="575" spans="5:8" x14ac:dyDescent="0.25">
      <c r="E575" s="2">
        <v>42305</v>
      </c>
      <c r="F575">
        <v>82</v>
      </c>
      <c r="G575">
        <f t="shared" si="30"/>
        <v>10</v>
      </c>
      <c r="H575">
        <f t="shared" si="31"/>
        <v>2015</v>
      </c>
    </row>
    <row r="576" spans="5:8" x14ac:dyDescent="0.25">
      <c r="E576" s="2">
        <v>42306</v>
      </c>
      <c r="F576">
        <v>83</v>
      </c>
      <c r="G576">
        <f t="shared" si="30"/>
        <v>10</v>
      </c>
      <c r="H576">
        <f t="shared" si="31"/>
        <v>2015</v>
      </c>
    </row>
    <row r="577" spans="5:8" x14ac:dyDescent="0.25">
      <c r="E577" s="2">
        <v>42307</v>
      </c>
      <c r="F577">
        <v>86.5</v>
      </c>
      <c r="G577">
        <f t="shared" si="30"/>
        <v>10</v>
      </c>
      <c r="H577">
        <f t="shared" si="31"/>
        <v>2015</v>
      </c>
    </row>
    <row r="578" spans="5:8" x14ac:dyDescent="0.25">
      <c r="E578" s="2">
        <v>42310</v>
      </c>
      <c r="F578">
        <v>86.5</v>
      </c>
      <c r="G578">
        <f t="shared" si="30"/>
        <v>11</v>
      </c>
      <c r="H578">
        <f t="shared" si="31"/>
        <v>2015</v>
      </c>
    </row>
    <row r="579" spans="5:8" x14ac:dyDescent="0.25">
      <c r="E579" s="2">
        <v>42311</v>
      </c>
      <c r="F579">
        <v>97.5</v>
      </c>
      <c r="G579">
        <f t="shared" si="30"/>
        <v>11</v>
      </c>
      <c r="H579">
        <f t="shared" si="31"/>
        <v>2015</v>
      </c>
    </row>
    <row r="580" spans="5:8" x14ac:dyDescent="0.25">
      <c r="E580" s="2">
        <v>42312</v>
      </c>
      <c r="F580">
        <v>101</v>
      </c>
      <c r="G580">
        <f t="shared" si="30"/>
        <v>11</v>
      </c>
      <c r="H580">
        <f t="shared" si="31"/>
        <v>2015</v>
      </c>
    </row>
    <row r="581" spans="5:8" x14ac:dyDescent="0.25">
      <c r="E581" s="2">
        <v>42313</v>
      </c>
      <c r="F581">
        <v>101.5</v>
      </c>
      <c r="G581">
        <f t="shared" ref="G581:G644" si="32">MONTH(E581)</f>
        <v>11</v>
      </c>
      <c r="H581">
        <f t="shared" ref="H581:H644" si="33">YEAR(E581)</f>
        <v>2015</v>
      </c>
    </row>
    <row r="582" spans="5:8" x14ac:dyDescent="0.25">
      <c r="E582" s="2">
        <v>42314</v>
      </c>
      <c r="F582">
        <v>101.5</v>
      </c>
      <c r="G582">
        <f t="shared" si="32"/>
        <v>11</v>
      </c>
      <c r="H582">
        <f t="shared" si="33"/>
        <v>2015</v>
      </c>
    </row>
    <row r="583" spans="5:8" x14ac:dyDescent="0.25">
      <c r="E583" s="2">
        <v>42317</v>
      </c>
      <c r="F583">
        <v>99</v>
      </c>
      <c r="G583">
        <f t="shared" si="32"/>
        <v>11</v>
      </c>
      <c r="H583">
        <f t="shared" si="33"/>
        <v>2015</v>
      </c>
    </row>
    <row r="584" spans="5:8" x14ac:dyDescent="0.25">
      <c r="E584" s="2">
        <v>42318</v>
      </c>
      <c r="F584">
        <v>98.5</v>
      </c>
      <c r="G584">
        <f t="shared" si="32"/>
        <v>11</v>
      </c>
      <c r="H584">
        <f t="shared" si="33"/>
        <v>2015</v>
      </c>
    </row>
    <row r="585" spans="5:8" x14ac:dyDescent="0.25">
      <c r="E585" s="2">
        <v>42319</v>
      </c>
      <c r="F585">
        <v>98.5</v>
      </c>
      <c r="G585">
        <f t="shared" si="32"/>
        <v>11</v>
      </c>
      <c r="H585">
        <f t="shared" si="33"/>
        <v>2015</v>
      </c>
    </row>
    <row r="586" spans="5:8" x14ac:dyDescent="0.25">
      <c r="E586" s="2">
        <v>42320</v>
      </c>
      <c r="F586">
        <v>97.5</v>
      </c>
      <c r="G586">
        <f t="shared" si="32"/>
        <v>11</v>
      </c>
      <c r="H586">
        <f t="shared" si="33"/>
        <v>2015</v>
      </c>
    </row>
    <row r="587" spans="5:8" x14ac:dyDescent="0.25">
      <c r="E587" s="2">
        <v>42321</v>
      </c>
      <c r="F587">
        <v>97.5</v>
      </c>
      <c r="G587">
        <f t="shared" si="32"/>
        <v>11</v>
      </c>
      <c r="H587">
        <f t="shared" si="33"/>
        <v>2015</v>
      </c>
    </row>
    <row r="588" spans="5:8" x14ac:dyDescent="0.25">
      <c r="E588" s="2">
        <v>42324</v>
      </c>
      <c r="F588">
        <v>97.5</v>
      </c>
      <c r="G588">
        <f t="shared" si="32"/>
        <v>11</v>
      </c>
      <c r="H588">
        <f t="shared" si="33"/>
        <v>2015</v>
      </c>
    </row>
    <row r="589" spans="5:8" x14ac:dyDescent="0.25">
      <c r="E589" s="2">
        <v>42325</v>
      </c>
      <c r="F589">
        <v>97.5</v>
      </c>
      <c r="G589">
        <f t="shared" si="32"/>
        <v>11</v>
      </c>
      <c r="H589">
        <f t="shared" si="33"/>
        <v>2015</v>
      </c>
    </row>
    <row r="590" spans="5:8" x14ac:dyDescent="0.25">
      <c r="E590" s="2">
        <v>42326</v>
      </c>
      <c r="F590">
        <v>97.5</v>
      </c>
      <c r="G590">
        <f t="shared" si="32"/>
        <v>11</v>
      </c>
      <c r="H590">
        <f t="shared" si="33"/>
        <v>2015</v>
      </c>
    </row>
    <row r="591" spans="5:8" x14ac:dyDescent="0.25">
      <c r="E591" s="2">
        <v>42327</v>
      </c>
      <c r="F591">
        <v>101.5</v>
      </c>
      <c r="G591">
        <f t="shared" si="32"/>
        <v>11</v>
      </c>
      <c r="H591">
        <f t="shared" si="33"/>
        <v>2015</v>
      </c>
    </row>
    <row r="592" spans="5:8" x14ac:dyDescent="0.25">
      <c r="E592" s="2">
        <v>42328</v>
      </c>
      <c r="F592">
        <v>103</v>
      </c>
      <c r="G592">
        <f t="shared" si="32"/>
        <v>11</v>
      </c>
      <c r="H592">
        <f t="shared" si="33"/>
        <v>2015</v>
      </c>
    </row>
    <row r="593" spans="5:8" x14ac:dyDescent="0.25">
      <c r="E593" s="2">
        <v>42331</v>
      </c>
      <c r="F593">
        <v>104</v>
      </c>
      <c r="G593">
        <f t="shared" si="32"/>
        <v>11</v>
      </c>
      <c r="H593">
        <f t="shared" si="33"/>
        <v>2015</v>
      </c>
    </row>
    <row r="594" spans="5:8" x14ac:dyDescent="0.25">
      <c r="E594" s="2">
        <v>42332</v>
      </c>
      <c r="F594">
        <v>106.5</v>
      </c>
      <c r="G594">
        <f t="shared" si="32"/>
        <v>11</v>
      </c>
      <c r="H594">
        <f t="shared" si="33"/>
        <v>2015</v>
      </c>
    </row>
    <row r="595" spans="5:8" x14ac:dyDescent="0.25">
      <c r="E595" s="2">
        <v>42333</v>
      </c>
      <c r="F595">
        <v>106.5</v>
      </c>
      <c r="G595">
        <f t="shared" si="32"/>
        <v>11</v>
      </c>
      <c r="H595">
        <f t="shared" si="33"/>
        <v>2015</v>
      </c>
    </row>
    <row r="596" spans="5:8" x14ac:dyDescent="0.25">
      <c r="E596" s="2">
        <v>42338</v>
      </c>
      <c r="F596">
        <v>106.5</v>
      </c>
      <c r="G596">
        <f t="shared" si="32"/>
        <v>11</v>
      </c>
      <c r="H596">
        <f t="shared" si="33"/>
        <v>2015</v>
      </c>
    </row>
    <row r="597" spans="5:8" x14ac:dyDescent="0.25">
      <c r="E597" s="2">
        <v>42339</v>
      </c>
      <c r="F597">
        <v>109</v>
      </c>
      <c r="G597">
        <f t="shared" si="32"/>
        <v>12</v>
      </c>
      <c r="H597">
        <f t="shared" si="33"/>
        <v>2015</v>
      </c>
    </row>
    <row r="598" spans="5:8" x14ac:dyDescent="0.25">
      <c r="E598" s="2">
        <v>42340</v>
      </c>
      <c r="F598">
        <v>109</v>
      </c>
      <c r="G598">
        <f t="shared" si="32"/>
        <v>12</v>
      </c>
      <c r="H598">
        <f t="shared" si="33"/>
        <v>2015</v>
      </c>
    </row>
    <row r="599" spans="5:8" x14ac:dyDescent="0.25">
      <c r="E599" s="2">
        <v>42341</v>
      </c>
      <c r="F599">
        <v>113</v>
      </c>
      <c r="G599">
        <f t="shared" si="32"/>
        <v>12</v>
      </c>
      <c r="H599">
        <f t="shared" si="33"/>
        <v>2015</v>
      </c>
    </row>
    <row r="600" spans="5:8" x14ac:dyDescent="0.25">
      <c r="E600" s="2">
        <v>42342</v>
      </c>
      <c r="F600">
        <v>116.5</v>
      </c>
      <c r="G600">
        <f t="shared" si="32"/>
        <v>12</v>
      </c>
      <c r="H600">
        <f t="shared" si="33"/>
        <v>2015</v>
      </c>
    </row>
    <row r="601" spans="5:8" x14ac:dyDescent="0.25">
      <c r="E601" s="2">
        <v>42345</v>
      </c>
      <c r="F601">
        <v>116.5</v>
      </c>
      <c r="G601">
        <f t="shared" si="32"/>
        <v>12</v>
      </c>
      <c r="H601">
        <f t="shared" si="33"/>
        <v>2015</v>
      </c>
    </row>
    <row r="602" spans="5:8" x14ac:dyDescent="0.25">
      <c r="E602" s="2">
        <v>42346</v>
      </c>
      <c r="F602">
        <v>116.5</v>
      </c>
      <c r="G602">
        <f t="shared" si="32"/>
        <v>12</v>
      </c>
      <c r="H602">
        <f t="shared" si="33"/>
        <v>2015</v>
      </c>
    </row>
    <row r="603" spans="5:8" x14ac:dyDescent="0.25">
      <c r="E603" s="2">
        <v>42347</v>
      </c>
      <c r="F603">
        <v>116.5</v>
      </c>
      <c r="G603">
        <f t="shared" si="32"/>
        <v>12</v>
      </c>
      <c r="H603">
        <f t="shared" si="33"/>
        <v>2015</v>
      </c>
    </row>
    <row r="604" spans="5:8" x14ac:dyDescent="0.25">
      <c r="E604" s="2">
        <v>42348</v>
      </c>
      <c r="F604">
        <v>113</v>
      </c>
      <c r="G604">
        <f t="shared" si="32"/>
        <v>12</v>
      </c>
      <c r="H604">
        <f t="shared" si="33"/>
        <v>2015</v>
      </c>
    </row>
    <row r="605" spans="5:8" x14ac:dyDescent="0.25">
      <c r="E605" s="2">
        <v>42349</v>
      </c>
      <c r="F605">
        <v>117</v>
      </c>
      <c r="G605">
        <f t="shared" si="32"/>
        <v>12</v>
      </c>
      <c r="H605">
        <f t="shared" si="33"/>
        <v>2015</v>
      </c>
    </row>
    <row r="606" spans="5:8" x14ac:dyDescent="0.25">
      <c r="E606" s="2">
        <v>42352</v>
      </c>
      <c r="F606">
        <v>117</v>
      </c>
      <c r="G606">
        <f t="shared" si="32"/>
        <v>12</v>
      </c>
      <c r="H606">
        <f t="shared" si="33"/>
        <v>2015</v>
      </c>
    </row>
    <row r="607" spans="5:8" x14ac:dyDescent="0.25">
      <c r="E607" s="2">
        <v>42353</v>
      </c>
      <c r="F607">
        <v>118.5</v>
      </c>
      <c r="G607">
        <f t="shared" si="32"/>
        <v>12</v>
      </c>
      <c r="H607">
        <f t="shared" si="33"/>
        <v>2015</v>
      </c>
    </row>
    <row r="608" spans="5:8" x14ac:dyDescent="0.25">
      <c r="E608" s="2">
        <v>42354</v>
      </c>
      <c r="F608">
        <v>118.5</v>
      </c>
      <c r="G608">
        <f t="shared" si="32"/>
        <v>12</v>
      </c>
      <c r="H608">
        <f t="shared" si="33"/>
        <v>2015</v>
      </c>
    </row>
    <row r="609" spans="5:8" x14ac:dyDescent="0.25">
      <c r="E609" s="2">
        <v>42355</v>
      </c>
      <c r="F609">
        <v>118.5</v>
      </c>
      <c r="G609">
        <f t="shared" si="32"/>
        <v>12</v>
      </c>
      <c r="H609">
        <f t="shared" si="33"/>
        <v>2015</v>
      </c>
    </row>
    <row r="610" spans="5:8" x14ac:dyDescent="0.25">
      <c r="E610" s="2">
        <v>42356</v>
      </c>
      <c r="F610">
        <v>118.5</v>
      </c>
      <c r="G610">
        <f t="shared" si="32"/>
        <v>12</v>
      </c>
      <c r="H610">
        <f t="shared" si="33"/>
        <v>2015</v>
      </c>
    </row>
    <row r="611" spans="5:8" x14ac:dyDescent="0.25">
      <c r="E611" s="2">
        <v>42359</v>
      </c>
      <c r="F611">
        <v>118.5</v>
      </c>
      <c r="G611">
        <f t="shared" si="32"/>
        <v>12</v>
      </c>
      <c r="H611">
        <f t="shared" si="33"/>
        <v>2015</v>
      </c>
    </row>
    <row r="612" spans="5:8" x14ac:dyDescent="0.25">
      <c r="E612" s="2">
        <v>42360</v>
      </c>
      <c r="F612">
        <v>118.5</v>
      </c>
      <c r="G612">
        <f t="shared" si="32"/>
        <v>12</v>
      </c>
      <c r="H612">
        <f t="shared" si="33"/>
        <v>2015</v>
      </c>
    </row>
    <row r="613" spans="5:8" x14ac:dyDescent="0.25">
      <c r="E613" s="2">
        <v>42361</v>
      </c>
      <c r="F613">
        <v>117.5</v>
      </c>
      <c r="G613">
        <f t="shared" si="32"/>
        <v>12</v>
      </c>
      <c r="H613">
        <f t="shared" si="33"/>
        <v>2015</v>
      </c>
    </row>
    <row r="614" spans="5:8" x14ac:dyDescent="0.25">
      <c r="E614" s="2">
        <v>42362</v>
      </c>
      <c r="F614">
        <v>117.5</v>
      </c>
      <c r="G614">
        <f t="shared" si="32"/>
        <v>12</v>
      </c>
      <c r="H614">
        <f t="shared" si="33"/>
        <v>2015</v>
      </c>
    </row>
    <row r="615" spans="5:8" x14ac:dyDescent="0.25">
      <c r="E615" s="2">
        <v>42366</v>
      </c>
      <c r="F615">
        <v>117.5</v>
      </c>
      <c r="G615">
        <f t="shared" si="32"/>
        <v>12</v>
      </c>
      <c r="H615">
        <f t="shared" si="33"/>
        <v>2015</v>
      </c>
    </row>
    <row r="616" spans="5:8" x14ac:dyDescent="0.25">
      <c r="E616" s="2">
        <v>42367</v>
      </c>
      <c r="F616">
        <v>117.5</v>
      </c>
      <c r="G616">
        <f t="shared" si="32"/>
        <v>12</v>
      </c>
      <c r="H616">
        <f t="shared" si="33"/>
        <v>2015</v>
      </c>
    </row>
    <row r="617" spans="5:8" x14ac:dyDescent="0.25">
      <c r="E617" s="2">
        <v>42368</v>
      </c>
      <c r="F617">
        <v>117.5</v>
      </c>
      <c r="G617">
        <f t="shared" si="32"/>
        <v>12</v>
      </c>
      <c r="H617">
        <f t="shared" si="33"/>
        <v>2015</v>
      </c>
    </row>
    <row r="618" spans="5:8" x14ac:dyDescent="0.25">
      <c r="E618" s="2">
        <v>42369</v>
      </c>
      <c r="F618">
        <v>117.5</v>
      </c>
      <c r="G618">
        <f t="shared" si="32"/>
        <v>12</v>
      </c>
      <c r="H618">
        <f t="shared" si="33"/>
        <v>2015</v>
      </c>
    </row>
    <row r="619" spans="5:8" x14ac:dyDescent="0.25">
      <c r="E619" s="2">
        <v>42373</v>
      </c>
      <c r="F619">
        <v>117.5</v>
      </c>
      <c r="G619">
        <f t="shared" si="32"/>
        <v>1</v>
      </c>
      <c r="H619">
        <f t="shared" si="33"/>
        <v>2016</v>
      </c>
    </row>
    <row r="620" spans="5:8" x14ac:dyDescent="0.25">
      <c r="E620" s="2">
        <v>42374</v>
      </c>
      <c r="F620">
        <v>120</v>
      </c>
      <c r="G620">
        <f t="shared" si="32"/>
        <v>1</v>
      </c>
      <c r="H620">
        <f t="shared" si="33"/>
        <v>2016</v>
      </c>
    </row>
    <row r="621" spans="5:8" x14ac:dyDescent="0.25">
      <c r="E621" s="2">
        <v>42375</v>
      </c>
      <c r="F621">
        <v>120</v>
      </c>
      <c r="G621">
        <f t="shared" si="32"/>
        <v>1</v>
      </c>
      <c r="H621">
        <f t="shared" si="33"/>
        <v>2016</v>
      </c>
    </row>
    <row r="622" spans="5:8" x14ac:dyDescent="0.25">
      <c r="E622" s="2">
        <v>42376</v>
      </c>
      <c r="F622">
        <v>120</v>
      </c>
      <c r="G622">
        <f t="shared" si="32"/>
        <v>1</v>
      </c>
      <c r="H622">
        <f t="shared" si="33"/>
        <v>2016</v>
      </c>
    </row>
    <row r="623" spans="5:8" x14ac:dyDescent="0.25">
      <c r="E623" s="2">
        <v>42377</v>
      </c>
      <c r="F623">
        <v>120</v>
      </c>
      <c r="G623">
        <f t="shared" si="32"/>
        <v>1</v>
      </c>
      <c r="H623">
        <f t="shared" si="33"/>
        <v>2016</v>
      </c>
    </row>
    <row r="624" spans="5:8" x14ac:dyDescent="0.25">
      <c r="E624" s="2">
        <v>42380</v>
      </c>
      <c r="F624">
        <v>120</v>
      </c>
      <c r="G624">
        <f t="shared" si="32"/>
        <v>1</v>
      </c>
      <c r="H624">
        <f t="shared" si="33"/>
        <v>2016</v>
      </c>
    </row>
    <row r="625" spans="5:8" x14ac:dyDescent="0.25">
      <c r="E625" s="2">
        <v>42381</v>
      </c>
      <c r="F625">
        <v>118</v>
      </c>
      <c r="G625">
        <f t="shared" si="32"/>
        <v>1</v>
      </c>
      <c r="H625">
        <f t="shared" si="33"/>
        <v>2016</v>
      </c>
    </row>
    <row r="626" spans="5:8" x14ac:dyDescent="0.25">
      <c r="E626" s="2">
        <v>42382</v>
      </c>
      <c r="F626">
        <v>118</v>
      </c>
      <c r="G626">
        <f t="shared" si="32"/>
        <v>1</v>
      </c>
      <c r="H626">
        <f t="shared" si="33"/>
        <v>2016</v>
      </c>
    </row>
    <row r="627" spans="5:8" x14ac:dyDescent="0.25">
      <c r="E627" s="2">
        <v>42383</v>
      </c>
      <c r="F627">
        <v>118</v>
      </c>
      <c r="G627">
        <f t="shared" si="32"/>
        <v>1</v>
      </c>
      <c r="H627">
        <f t="shared" si="33"/>
        <v>2016</v>
      </c>
    </row>
    <row r="628" spans="5:8" x14ac:dyDescent="0.25">
      <c r="E628" s="2">
        <v>42384</v>
      </c>
      <c r="F628">
        <v>118</v>
      </c>
      <c r="G628">
        <f t="shared" si="32"/>
        <v>1</v>
      </c>
      <c r="H628">
        <f t="shared" si="33"/>
        <v>2016</v>
      </c>
    </row>
    <row r="629" spans="5:8" x14ac:dyDescent="0.25">
      <c r="E629" s="2">
        <v>42388</v>
      </c>
      <c r="F629">
        <v>118</v>
      </c>
      <c r="G629">
        <f t="shared" si="32"/>
        <v>1</v>
      </c>
      <c r="H629">
        <f t="shared" si="33"/>
        <v>2016</v>
      </c>
    </row>
    <row r="630" spans="5:8" x14ac:dyDescent="0.25">
      <c r="E630" s="2">
        <v>42389</v>
      </c>
      <c r="F630">
        <v>118</v>
      </c>
      <c r="G630">
        <f t="shared" si="32"/>
        <v>1</v>
      </c>
      <c r="H630">
        <f t="shared" si="33"/>
        <v>2016</v>
      </c>
    </row>
    <row r="631" spans="5:8" x14ac:dyDescent="0.25">
      <c r="E631" s="2">
        <v>42390</v>
      </c>
      <c r="F631">
        <v>118</v>
      </c>
      <c r="G631">
        <f t="shared" si="32"/>
        <v>1</v>
      </c>
      <c r="H631">
        <f t="shared" si="33"/>
        <v>2016</v>
      </c>
    </row>
    <row r="632" spans="5:8" x14ac:dyDescent="0.25">
      <c r="E632" s="2">
        <v>42391</v>
      </c>
      <c r="F632">
        <v>118</v>
      </c>
      <c r="G632">
        <f t="shared" si="32"/>
        <v>1</v>
      </c>
      <c r="H632">
        <f t="shared" si="33"/>
        <v>2016</v>
      </c>
    </row>
    <row r="633" spans="5:8" x14ac:dyDescent="0.25">
      <c r="E633" s="2">
        <v>42394</v>
      </c>
      <c r="F633">
        <v>118</v>
      </c>
      <c r="G633">
        <f t="shared" si="32"/>
        <v>1</v>
      </c>
      <c r="H633">
        <f t="shared" si="33"/>
        <v>2016</v>
      </c>
    </row>
    <row r="634" spans="5:8" x14ac:dyDescent="0.25">
      <c r="E634" s="2">
        <v>42395</v>
      </c>
      <c r="F634">
        <v>118</v>
      </c>
      <c r="G634">
        <f t="shared" si="32"/>
        <v>1</v>
      </c>
      <c r="H634">
        <f t="shared" si="33"/>
        <v>2016</v>
      </c>
    </row>
    <row r="635" spans="5:8" x14ac:dyDescent="0.25">
      <c r="E635" s="2">
        <v>42396</v>
      </c>
      <c r="F635">
        <v>126.5</v>
      </c>
      <c r="G635">
        <f t="shared" si="32"/>
        <v>1</v>
      </c>
      <c r="H635">
        <f t="shared" si="33"/>
        <v>2016</v>
      </c>
    </row>
    <row r="636" spans="5:8" x14ac:dyDescent="0.25">
      <c r="E636" s="2">
        <v>42397</v>
      </c>
      <c r="F636">
        <v>126.5</v>
      </c>
      <c r="G636">
        <f t="shared" si="32"/>
        <v>1</v>
      </c>
      <c r="H636">
        <f t="shared" si="33"/>
        <v>2016</v>
      </c>
    </row>
    <row r="637" spans="5:8" x14ac:dyDescent="0.25">
      <c r="E637" s="2">
        <v>42398</v>
      </c>
      <c r="F637">
        <v>126.5</v>
      </c>
      <c r="G637">
        <f t="shared" si="32"/>
        <v>1</v>
      </c>
      <c r="H637">
        <f t="shared" si="33"/>
        <v>2016</v>
      </c>
    </row>
    <row r="638" spans="5:8" x14ac:dyDescent="0.25">
      <c r="E638" s="2">
        <v>42401</v>
      </c>
      <c r="F638">
        <v>126.5</v>
      </c>
      <c r="G638">
        <f t="shared" si="32"/>
        <v>2</v>
      </c>
      <c r="H638">
        <f t="shared" si="33"/>
        <v>2016</v>
      </c>
    </row>
    <row r="639" spans="5:8" x14ac:dyDescent="0.25">
      <c r="E639" s="2">
        <v>42402</v>
      </c>
      <c r="F639">
        <v>126.5</v>
      </c>
      <c r="G639">
        <f t="shared" si="32"/>
        <v>2</v>
      </c>
      <c r="H639">
        <f t="shared" si="33"/>
        <v>2016</v>
      </c>
    </row>
    <row r="640" spans="5:8" x14ac:dyDescent="0.25">
      <c r="E640" s="2">
        <v>42403</v>
      </c>
      <c r="F640">
        <v>126.5</v>
      </c>
      <c r="G640">
        <f t="shared" si="32"/>
        <v>2</v>
      </c>
      <c r="H640">
        <f t="shared" si="33"/>
        <v>2016</v>
      </c>
    </row>
    <row r="641" spans="5:8" x14ac:dyDescent="0.25">
      <c r="E641" s="2">
        <v>42404</v>
      </c>
      <c r="F641">
        <v>126.5</v>
      </c>
      <c r="G641">
        <f t="shared" si="32"/>
        <v>2</v>
      </c>
      <c r="H641">
        <f t="shared" si="33"/>
        <v>2016</v>
      </c>
    </row>
    <row r="642" spans="5:8" x14ac:dyDescent="0.25">
      <c r="E642" s="2">
        <v>42405</v>
      </c>
      <c r="F642">
        <v>126.5</v>
      </c>
      <c r="G642">
        <f t="shared" si="32"/>
        <v>2</v>
      </c>
      <c r="H642">
        <f t="shared" si="33"/>
        <v>2016</v>
      </c>
    </row>
    <row r="643" spans="5:8" x14ac:dyDescent="0.25">
      <c r="E643" s="2">
        <v>42408</v>
      </c>
      <c r="F643">
        <v>126.5</v>
      </c>
      <c r="G643">
        <f t="shared" si="32"/>
        <v>2</v>
      </c>
      <c r="H643">
        <f t="shared" si="33"/>
        <v>2016</v>
      </c>
    </row>
    <row r="644" spans="5:8" x14ac:dyDescent="0.25">
      <c r="E644" s="2">
        <v>42409</v>
      </c>
      <c r="F644">
        <v>126.5</v>
      </c>
      <c r="G644">
        <f t="shared" si="32"/>
        <v>2</v>
      </c>
      <c r="H644">
        <f t="shared" si="33"/>
        <v>2016</v>
      </c>
    </row>
    <row r="645" spans="5:8" x14ac:dyDescent="0.25">
      <c r="E645" s="2">
        <v>42410</v>
      </c>
      <c r="F645">
        <v>124.5</v>
      </c>
      <c r="G645">
        <f t="shared" ref="G645:G708" si="34">MONTH(E645)</f>
        <v>2</v>
      </c>
      <c r="H645">
        <f t="shared" ref="H645:H708" si="35">YEAR(E645)</f>
        <v>2016</v>
      </c>
    </row>
    <row r="646" spans="5:8" x14ac:dyDescent="0.25">
      <c r="E646" s="2">
        <v>42411</v>
      </c>
      <c r="F646">
        <v>124.5</v>
      </c>
      <c r="G646">
        <f t="shared" si="34"/>
        <v>2</v>
      </c>
      <c r="H646">
        <f t="shared" si="35"/>
        <v>2016</v>
      </c>
    </row>
    <row r="647" spans="5:8" x14ac:dyDescent="0.25">
      <c r="E647" s="2">
        <v>42412</v>
      </c>
      <c r="F647">
        <v>124</v>
      </c>
      <c r="G647">
        <f t="shared" si="34"/>
        <v>2</v>
      </c>
      <c r="H647">
        <f t="shared" si="35"/>
        <v>2016</v>
      </c>
    </row>
    <row r="648" spans="5:8" x14ac:dyDescent="0.25">
      <c r="E648" s="2">
        <v>42416</v>
      </c>
      <c r="F648">
        <v>124</v>
      </c>
      <c r="G648">
        <f t="shared" si="34"/>
        <v>2</v>
      </c>
      <c r="H648">
        <f t="shared" si="35"/>
        <v>2016</v>
      </c>
    </row>
    <row r="649" spans="5:8" x14ac:dyDescent="0.25">
      <c r="E649" s="2">
        <v>42417</v>
      </c>
      <c r="F649">
        <v>127.5</v>
      </c>
      <c r="G649">
        <f t="shared" si="34"/>
        <v>2</v>
      </c>
      <c r="H649">
        <f t="shared" si="35"/>
        <v>2016</v>
      </c>
    </row>
    <row r="650" spans="5:8" x14ac:dyDescent="0.25">
      <c r="E650" s="2">
        <v>42418</v>
      </c>
      <c r="F650">
        <v>127.5</v>
      </c>
      <c r="G650">
        <f t="shared" si="34"/>
        <v>2</v>
      </c>
      <c r="H650">
        <f t="shared" si="35"/>
        <v>2016</v>
      </c>
    </row>
    <row r="651" spans="5:8" x14ac:dyDescent="0.25">
      <c r="E651" s="2">
        <v>42419</v>
      </c>
      <c r="F651">
        <v>127.5</v>
      </c>
      <c r="G651">
        <f t="shared" si="34"/>
        <v>2</v>
      </c>
      <c r="H651">
        <f t="shared" si="35"/>
        <v>2016</v>
      </c>
    </row>
    <row r="652" spans="5:8" x14ac:dyDescent="0.25">
      <c r="E652" s="2">
        <v>42422</v>
      </c>
      <c r="F652">
        <v>127.5</v>
      </c>
      <c r="G652">
        <f t="shared" si="34"/>
        <v>2</v>
      </c>
      <c r="H652">
        <f t="shared" si="35"/>
        <v>2016</v>
      </c>
    </row>
    <row r="653" spans="5:8" x14ac:dyDescent="0.25">
      <c r="E653" s="2">
        <v>42423</v>
      </c>
      <c r="F653">
        <v>127</v>
      </c>
      <c r="G653">
        <f t="shared" si="34"/>
        <v>2</v>
      </c>
      <c r="H653">
        <f t="shared" si="35"/>
        <v>2016</v>
      </c>
    </row>
    <row r="654" spans="5:8" x14ac:dyDescent="0.25">
      <c r="E654" s="2">
        <v>42424</v>
      </c>
      <c r="F654">
        <v>126</v>
      </c>
      <c r="G654">
        <f t="shared" si="34"/>
        <v>2</v>
      </c>
      <c r="H654">
        <f t="shared" si="35"/>
        <v>2016</v>
      </c>
    </row>
    <row r="655" spans="5:8" x14ac:dyDescent="0.25">
      <c r="E655" s="2">
        <v>42425</v>
      </c>
      <c r="F655">
        <v>126</v>
      </c>
      <c r="G655">
        <f t="shared" si="34"/>
        <v>2</v>
      </c>
      <c r="H655">
        <f t="shared" si="35"/>
        <v>2016</v>
      </c>
    </row>
    <row r="656" spans="5:8" x14ac:dyDescent="0.25">
      <c r="E656" s="2">
        <v>42426</v>
      </c>
      <c r="F656">
        <v>126</v>
      </c>
      <c r="G656">
        <f t="shared" si="34"/>
        <v>2</v>
      </c>
      <c r="H656">
        <f t="shared" si="35"/>
        <v>2016</v>
      </c>
    </row>
    <row r="657" spans="5:8" x14ac:dyDescent="0.25">
      <c r="E657" s="2">
        <v>42429</v>
      </c>
      <c r="F657">
        <v>126</v>
      </c>
      <c r="G657">
        <f t="shared" si="34"/>
        <v>2</v>
      </c>
      <c r="H657">
        <f t="shared" si="35"/>
        <v>2016</v>
      </c>
    </row>
    <row r="658" spans="5:8" x14ac:dyDescent="0.25">
      <c r="E658" s="2">
        <v>42430</v>
      </c>
      <c r="F658">
        <v>126</v>
      </c>
      <c r="G658">
        <f t="shared" si="34"/>
        <v>3</v>
      </c>
      <c r="H658">
        <f t="shared" si="35"/>
        <v>2016</v>
      </c>
    </row>
    <row r="659" spans="5:8" x14ac:dyDescent="0.25">
      <c r="E659" s="2">
        <v>42431</v>
      </c>
      <c r="F659">
        <v>126</v>
      </c>
      <c r="G659">
        <f t="shared" si="34"/>
        <v>3</v>
      </c>
      <c r="H659">
        <f t="shared" si="35"/>
        <v>2016</v>
      </c>
    </row>
    <row r="660" spans="5:8" x14ac:dyDescent="0.25">
      <c r="E660" s="2">
        <v>42432</v>
      </c>
      <c r="F660">
        <v>126</v>
      </c>
      <c r="G660">
        <f t="shared" si="34"/>
        <v>3</v>
      </c>
      <c r="H660">
        <f t="shared" si="35"/>
        <v>2016</v>
      </c>
    </row>
    <row r="661" spans="5:8" x14ac:dyDescent="0.25">
      <c r="E661" s="2">
        <v>42433</v>
      </c>
      <c r="F661">
        <v>126</v>
      </c>
      <c r="G661">
        <f t="shared" si="34"/>
        <v>3</v>
      </c>
      <c r="H661">
        <f t="shared" si="35"/>
        <v>2016</v>
      </c>
    </row>
    <row r="662" spans="5:8" x14ac:dyDescent="0.25">
      <c r="E662" s="2">
        <v>42436</v>
      </c>
      <c r="F662">
        <v>126</v>
      </c>
      <c r="G662">
        <f t="shared" si="34"/>
        <v>3</v>
      </c>
      <c r="H662">
        <f t="shared" si="35"/>
        <v>2016</v>
      </c>
    </row>
    <row r="663" spans="5:8" x14ac:dyDescent="0.25">
      <c r="E663" s="2">
        <v>42437</v>
      </c>
      <c r="F663">
        <v>127</v>
      </c>
      <c r="G663">
        <f t="shared" si="34"/>
        <v>3</v>
      </c>
      <c r="H663">
        <f t="shared" si="35"/>
        <v>2016</v>
      </c>
    </row>
    <row r="664" spans="5:8" x14ac:dyDescent="0.25">
      <c r="E664" s="2">
        <v>42438</v>
      </c>
      <c r="F664">
        <v>127</v>
      </c>
      <c r="G664">
        <f t="shared" si="34"/>
        <v>3</v>
      </c>
      <c r="H664">
        <f t="shared" si="35"/>
        <v>2016</v>
      </c>
    </row>
    <row r="665" spans="5:8" x14ac:dyDescent="0.25">
      <c r="E665" s="2">
        <v>42439</v>
      </c>
      <c r="F665">
        <v>127</v>
      </c>
      <c r="G665">
        <f t="shared" si="34"/>
        <v>3</v>
      </c>
      <c r="H665">
        <f t="shared" si="35"/>
        <v>2016</v>
      </c>
    </row>
    <row r="666" spans="5:8" x14ac:dyDescent="0.25">
      <c r="E666" s="2">
        <v>42440</v>
      </c>
      <c r="F666">
        <v>127</v>
      </c>
      <c r="G666">
        <f t="shared" si="34"/>
        <v>3</v>
      </c>
      <c r="H666">
        <f t="shared" si="35"/>
        <v>2016</v>
      </c>
    </row>
    <row r="667" spans="5:8" x14ac:dyDescent="0.25">
      <c r="E667" s="2">
        <v>42443</v>
      </c>
      <c r="F667">
        <v>127</v>
      </c>
      <c r="G667">
        <f t="shared" si="34"/>
        <v>3</v>
      </c>
      <c r="H667">
        <f t="shared" si="35"/>
        <v>2016</v>
      </c>
    </row>
    <row r="668" spans="5:8" x14ac:dyDescent="0.25">
      <c r="E668" s="2">
        <v>42444</v>
      </c>
      <c r="F668">
        <v>127</v>
      </c>
      <c r="G668">
        <f t="shared" si="34"/>
        <v>3</v>
      </c>
      <c r="H668">
        <f t="shared" si="35"/>
        <v>2016</v>
      </c>
    </row>
    <row r="669" spans="5:8" x14ac:dyDescent="0.25">
      <c r="E669" s="2">
        <v>42445</v>
      </c>
      <c r="F669">
        <v>127</v>
      </c>
      <c r="G669">
        <f t="shared" si="34"/>
        <v>3</v>
      </c>
      <c r="H669">
        <f t="shared" si="35"/>
        <v>2016</v>
      </c>
    </row>
    <row r="670" spans="5:8" x14ac:dyDescent="0.25">
      <c r="E670" s="2">
        <v>42446</v>
      </c>
      <c r="F670">
        <v>125.5</v>
      </c>
      <c r="G670">
        <f t="shared" si="34"/>
        <v>3</v>
      </c>
      <c r="H670">
        <f t="shared" si="35"/>
        <v>2016</v>
      </c>
    </row>
    <row r="671" spans="5:8" x14ac:dyDescent="0.25">
      <c r="E671" s="2">
        <v>42447</v>
      </c>
      <c r="F671">
        <v>126</v>
      </c>
      <c r="G671">
        <f t="shared" si="34"/>
        <v>3</v>
      </c>
      <c r="H671">
        <f t="shared" si="35"/>
        <v>2016</v>
      </c>
    </row>
    <row r="672" spans="5:8" x14ac:dyDescent="0.25">
      <c r="E672" s="2">
        <v>42450</v>
      </c>
      <c r="F672">
        <v>126</v>
      </c>
      <c r="G672">
        <f t="shared" si="34"/>
        <v>3</v>
      </c>
      <c r="H672">
        <f t="shared" si="35"/>
        <v>2016</v>
      </c>
    </row>
    <row r="673" spans="5:8" x14ac:dyDescent="0.25">
      <c r="E673" s="2">
        <v>42451</v>
      </c>
      <c r="F673">
        <v>126</v>
      </c>
      <c r="G673">
        <f t="shared" si="34"/>
        <v>3</v>
      </c>
      <c r="H673">
        <f t="shared" si="35"/>
        <v>2016</v>
      </c>
    </row>
    <row r="674" spans="5:8" x14ac:dyDescent="0.25">
      <c r="E674" s="2">
        <v>42452</v>
      </c>
      <c r="F674">
        <v>126</v>
      </c>
      <c r="G674">
        <f t="shared" si="34"/>
        <v>3</v>
      </c>
      <c r="H674">
        <f t="shared" si="35"/>
        <v>2016</v>
      </c>
    </row>
    <row r="675" spans="5:8" x14ac:dyDescent="0.25">
      <c r="E675" s="2">
        <v>42453</v>
      </c>
      <c r="F675">
        <v>126</v>
      </c>
      <c r="G675">
        <f t="shared" si="34"/>
        <v>3</v>
      </c>
      <c r="H675">
        <f t="shared" si="35"/>
        <v>2016</v>
      </c>
    </row>
    <row r="676" spans="5:8" x14ac:dyDescent="0.25">
      <c r="E676" s="2">
        <v>42457</v>
      </c>
      <c r="F676">
        <v>122.5</v>
      </c>
      <c r="G676">
        <f t="shared" si="34"/>
        <v>3</v>
      </c>
      <c r="H676">
        <f t="shared" si="35"/>
        <v>2016</v>
      </c>
    </row>
    <row r="677" spans="5:8" x14ac:dyDescent="0.25">
      <c r="E677" s="2">
        <v>42458</v>
      </c>
      <c r="F677">
        <v>122.5</v>
      </c>
      <c r="G677">
        <f t="shared" si="34"/>
        <v>3</v>
      </c>
      <c r="H677">
        <f t="shared" si="35"/>
        <v>2016</v>
      </c>
    </row>
    <row r="678" spans="5:8" x14ac:dyDescent="0.25">
      <c r="E678" s="2">
        <v>42459</v>
      </c>
      <c r="F678">
        <v>122.5</v>
      </c>
      <c r="G678">
        <f t="shared" si="34"/>
        <v>3</v>
      </c>
      <c r="H678">
        <f t="shared" si="35"/>
        <v>2016</v>
      </c>
    </row>
    <row r="679" spans="5:8" x14ac:dyDescent="0.25">
      <c r="E679" s="2">
        <v>42460</v>
      </c>
      <c r="F679">
        <v>122.5</v>
      </c>
      <c r="G679">
        <f t="shared" si="34"/>
        <v>3</v>
      </c>
      <c r="H679">
        <f t="shared" si="35"/>
        <v>2016</v>
      </c>
    </row>
    <row r="680" spans="5:8" x14ac:dyDescent="0.25">
      <c r="E680" s="2">
        <v>42461</v>
      </c>
      <c r="F680">
        <v>122.5</v>
      </c>
      <c r="G680">
        <f t="shared" si="34"/>
        <v>4</v>
      </c>
      <c r="H680">
        <f t="shared" si="35"/>
        <v>2016</v>
      </c>
    </row>
    <row r="681" spans="5:8" x14ac:dyDescent="0.25">
      <c r="E681" s="2">
        <v>42464</v>
      </c>
      <c r="F681">
        <v>122.5</v>
      </c>
      <c r="G681">
        <f t="shared" si="34"/>
        <v>4</v>
      </c>
      <c r="H681">
        <f t="shared" si="35"/>
        <v>2016</v>
      </c>
    </row>
    <row r="682" spans="5:8" x14ac:dyDescent="0.25">
      <c r="E682" s="2">
        <v>42465</v>
      </c>
      <c r="F682">
        <v>122.5</v>
      </c>
      <c r="G682">
        <f t="shared" si="34"/>
        <v>4</v>
      </c>
      <c r="H682">
        <f t="shared" si="35"/>
        <v>2016</v>
      </c>
    </row>
    <row r="683" spans="5:8" x14ac:dyDescent="0.25">
      <c r="E683" s="2">
        <v>42466</v>
      </c>
      <c r="F683">
        <v>121</v>
      </c>
      <c r="G683">
        <f t="shared" si="34"/>
        <v>4</v>
      </c>
      <c r="H683">
        <f t="shared" si="35"/>
        <v>2016</v>
      </c>
    </row>
    <row r="684" spans="5:8" x14ac:dyDescent="0.25">
      <c r="E684" s="2">
        <v>42467</v>
      </c>
      <c r="F684">
        <v>121</v>
      </c>
      <c r="G684">
        <f t="shared" si="34"/>
        <v>4</v>
      </c>
      <c r="H684">
        <f t="shared" si="35"/>
        <v>2016</v>
      </c>
    </row>
    <row r="685" spans="5:8" x14ac:dyDescent="0.25">
      <c r="E685" s="2">
        <v>42468</v>
      </c>
      <c r="F685">
        <v>121</v>
      </c>
      <c r="G685">
        <f t="shared" si="34"/>
        <v>4</v>
      </c>
      <c r="H685">
        <f t="shared" si="35"/>
        <v>2016</v>
      </c>
    </row>
    <row r="686" spans="5:8" x14ac:dyDescent="0.25">
      <c r="E686" s="2">
        <v>42471</v>
      </c>
      <c r="F686">
        <v>121</v>
      </c>
      <c r="G686">
        <f t="shared" si="34"/>
        <v>4</v>
      </c>
      <c r="H686">
        <f t="shared" si="35"/>
        <v>2016</v>
      </c>
    </row>
    <row r="687" spans="5:8" x14ac:dyDescent="0.25">
      <c r="E687" s="2">
        <v>42472</v>
      </c>
      <c r="F687">
        <v>121.5</v>
      </c>
      <c r="G687">
        <f t="shared" si="34"/>
        <v>4</v>
      </c>
      <c r="H687">
        <f t="shared" si="35"/>
        <v>2016</v>
      </c>
    </row>
    <row r="688" spans="5:8" x14ac:dyDescent="0.25">
      <c r="E688" s="2">
        <v>42473</v>
      </c>
      <c r="F688">
        <v>120.5</v>
      </c>
      <c r="G688">
        <f t="shared" si="34"/>
        <v>4</v>
      </c>
      <c r="H688">
        <f t="shared" si="35"/>
        <v>2016</v>
      </c>
    </row>
    <row r="689" spans="5:8" x14ac:dyDescent="0.25">
      <c r="E689" s="2">
        <v>42474</v>
      </c>
      <c r="F689">
        <v>121</v>
      </c>
      <c r="G689">
        <f t="shared" si="34"/>
        <v>4</v>
      </c>
      <c r="H689">
        <f t="shared" si="35"/>
        <v>2016</v>
      </c>
    </row>
    <row r="690" spans="5:8" x14ac:dyDescent="0.25">
      <c r="E690" s="2">
        <v>42475</v>
      </c>
      <c r="F690">
        <v>121</v>
      </c>
      <c r="G690">
        <f t="shared" si="34"/>
        <v>4</v>
      </c>
      <c r="H690">
        <f t="shared" si="35"/>
        <v>2016</v>
      </c>
    </row>
    <row r="691" spans="5:8" x14ac:dyDescent="0.25">
      <c r="E691" s="2">
        <v>42478</v>
      </c>
      <c r="F691">
        <v>121</v>
      </c>
      <c r="G691">
        <f t="shared" si="34"/>
        <v>4</v>
      </c>
      <c r="H691">
        <f t="shared" si="35"/>
        <v>2016</v>
      </c>
    </row>
    <row r="692" spans="5:8" x14ac:dyDescent="0.25">
      <c r="E692" s="2">
        <v>42479</v>
      </c>
      <c r="F692">
        <v>121</v>
      </c>
      <c r="G692">
        <f t="shared" si="34"/>
        <v>4</v>
      </c>
      <c r="H692">
        <f t="shared" si="35"/>
        <v>2016</v>
      </c>
    </row>
    <row r="693" spans="5:8" x14ac:dyDescent="0.25">
      <c r="E693" s="2">
        <v>42480</v>
      </c>
      <c r="F693">
        <v>119.5</v>
      </c>
      <c r="G693">
        <f t="shared" si="34"/>
        <v>4</v>
      </c>
      <c r="H693">
        <f t="shared" si="35"/>
        <v>2016</v>
      </c>
    </row>
    <row r="694" spans="5:8" x14ac:dyDescent="0.25">
      <c r="E694" s="2">
        <v>42481</v>
      </c>
      <c r="F694">
        <v>119.5</v>
      </c>
      <c r="G694">
        <f t="shared" si="34"/>
        <v>4</v>
      </c>
      <c r="H694">
        <f t="shared" si="35"/>
        <v>2016</v>
      </c>
    </row>
    <row r="695" spans="5:8" x14ac:dyDescent="0.25">
      <c r="E695" s="2">
        <v>42482</v>
      </c>
      <c r="F695">
        <v>119.5</v>
      </c>
      <c r="G695">
        <f t="shared" si="34"/>
        <v>4</v>
      </c>
      <c r="H695">
        <f t="shared" si="35"/>
        <v>2016</v>
      </c>
    </row>
    <row r="696" spans="5:8" x14ac:dyDescent="0.25">
      <c r="E696" s="2">
        <v>42485</v>
      </c>
      <c r="F696">
        <v>119.5</v>
      </c>
      <c r="G696">
        <f t="shared" si="34"/>
        <v>4</v>
      </c>
      <c r="H696">
        <f t="shared" si="35"/>
        <v>2016</v>
      </c>
    </row>
    <row r="697" spans="5:8" x14ac:dyDescent="0.25">
      <c r="E697" s="2">
        <v>42486</v>
      </c>
      <c r="F697">
        <v>119.5</v>
      </c>
      <c r="G697">
        <f t="shared" si="34"/>
        <v>4</v>
      </c>
      <c r="H697">
        <f t="shared" si="35"/>
        <v>2016</v>
      </c>
    </row>
    <row r="698" spans="5:8" x14ac:dyDescent="0.25">
      <c r="E698" s="2">
        <v>42487</v>
      </c>
      <c r="F698">
        <v>118.5</v>
      </c>
      <c r="G698">
        <f t="shared" si="34"/>
        <v>4</v>
      </c>
      <c r="H698">
        <f t="shared" si="35"/>
        <v>2016</v>
      </c>
    </row>
    <row r="699" spans="5:8" x14ac:dyDescent="0.25">
      <c r="E699" s="2">
        <v>42488</v>
      </c>
      <c r="F699">
        <v>118.5</v>
      </c>
      <c r="G699">
        <f t="shared" si="34"/>
        <v>4</v>
      </c>
      <c r="H699">
        <f t="shared" si="35"/>
        <v>2016</v>
      </c>
    </row>
    <row r="700" spans="5:8" x14ac:dyDescent="0.25">
      <c r="E700" s="2">
        <v>42489</v>
      </c>
      <c r="F700">
        <v>119</v>
      </c>
      <c r="G700">
        <f t="shared" si="34"/>
        <v>4</v>
      </c>
      <c r="H700">
        <f t="shared" si="35"/>
        <v>2016</v>
      </c>
    </row>
    <row r="701" spans="5:8" x14ac:dyDescent="0.25">
      <c r="E701" s="2">
        <v>42492</v>
      </c>
      <c r="F701">
        <v>119</v>
      </c>
      <c r="G701">
        <f t="shared" si="34"/>
        <v>5</v>
      </c>
      <c r="H701">
        <f t="shared" si="35"/>
        <v>2016</v>
      </c>
    </row>
    <row r="702" spans="5:8" x14ac:dyDescent="0.25">
      <c r="E702" s="2">
        <v>42493</v>
      </c>
      <c r="F702">
        <v>119</v>
      </c>
      <c r="G702">
        <f t="shared" si="34"/>
        <v>5</v>
      </c>
      <c r="H702">
        <f t="shared" si="35"/>
        <v>2016</v>
      </c>
    </row>
    <row r="703" spans="5:8" x14ac:dyDescent="0.25">
      <c r="E703" s="2">
        <v>42494</v>
      </c>
      <c r="F703">
        <v>119.5</v>
      </c>
      <c r="G703">
        <f t="shared" si="34"/>
        <v>5</v>
      </c>
      <c r="H703">
        <f t="shared" si="35"/>
        <v>2016</v>
      </c>
    </row>
    <row r="704" spans="5:8" x14ac:dyDescent="0.25">
      <c r="E704" s="2">
        <v>42495</v>
      </c>
      <c r="F704">
        <v>119</v>
      </c>
      <c r="G704">
        <f t="shared" si="34"/>
        <v>5</v>
      </c>
      <c r="H704">
        <f t="shared" si="35"/>
        <v>2016</v>
      </c>
    </row>
    <row r="705" spans="5:8" x14ac:dyDescent="0.25">
      <c r="E705" s="2">
        <v>42496</v>
      </c>
      <c r="F705">
        <v>119</v>
      </c>
      <c r="G705">
        <f t="shared" si="34"/>
        <v>5</v>
      </c>
      <c r="H705">
        <f t="shared" si="35"/>
        <v>2016</v>
      </c>
    </row>
    <row r="706" spans="5:8" x14ac:dyDescent="0.25">
      <c r="E706" s="2">
        <v>42499</v>
      </c>
      <c r="F706">
        <v>119</v>
      </c>
      <c r="G706">
        <f t="shared" si="34"/>
        <v>5</v>
      </c>
      <c r="H706">
        <f t="shared" si="35"/>
        <v>2016</v>
      </c>
    </row>
    <row r="707" spans="5:8" x14ac:dyDescent="0.25">
      <c r="E707" s="2">
        <v>42500</v>
      </c>
      <c r="F707">
        <v>118.5</v>
      </c>
      <c r="G707">
        <f t="shared" si="34"/>
        <v>5</v>
      </c>
      <c r="H707">
        <f t="shared" si="35"/>
        <v>2016</v>
      </c>
    </row>
    <row r="708" spans="5:8" x14ac:dyDescent="0.25">
      <c r="E708" s="2">
        <v>42501</v>
      </c>
      <c r="F708">
        <v>112.5</v>
      </c>
      <c r="G708">
        <f t="shared" si="34"/>
        <v>5</v>
      </c>
      <c r="H708">
        <f t="shared" si="35"/>
        <v>2016</v>
      </c>
    </row>
    <row r="709" spans="5:8" x14ac:dyDescent="0.25">
      <c r="E709" s="2">
        <v>42502</v>
      </c>
      <c r="F709">
        <v>112.5</v>
      </c>
      <c r="G709">
        <f t="shared" ref="G709:G772" si="36">MONTH(E709)</f>
        <v>5</v>
      </c>
      <c r="H709">
        <f t="shared" ref="H709:H772" si="37">YEAR(E709)</f>
        <v>2016</v>
      </c>
    </row>
    <row r="710" spans="5:8" x14ac:dyDescent="0.25">
      <c r="E710" s="2">
        <v>42503</v>
      </c>
      <c r="F710">
        <v>112.5</v>
      </c>
      <c r="G710">
        <f t="shared" si="36"/>
        <v>5</v>
      </c>
      <c r="H710">
        <f t="shared" si="37"/>
        <v>2016</v>
      </c>
    </row>
    <row r="711" spans="5:8" x14ac:dyDescent="0.25">
      <c r="E711" s="2">
        <v>42506</v>
      </c>
      <c r="F711">
        <v>116.5</v>
      </c>
      <c r="G711">
        <f t="shared" si="36"/>
        <v>5</v>
      </c>
      <c r="H711">
        <f t="shared" si="37"/>
        <v>2016</v>
      </c>
    </row>
    <row r="712" spans="5:8" x14ac:dyDescent="0.25">
      <c r="E712" s="2">
        <v>42507</v>
      </c>
      <c r="F712">
        <v>113.5</v>
      </c>
      <c r="G712">
        <f t="shared" si="36"/>
        <v>5</v>
      </c>
      <c r="H712">
        <f t="shared" si="37"/>
        <v>2016</v>
      </c>
    </row>
    <row r="713" spans="5:8" x14ac:dyDescent="0.25">
      <c r="E713" s="2">
        <v>42508</v>
      </c>
      <c r="F713">
        <v>111.5</v>
      </c>
      <c r="G713">
        <f t="shared" si="36"/>
        <v>5</v>
      </c>
      <c r="H713">
        <f t="shared" si="37"/>
        <v>2016</v>
      </c>
    </row>
    <row r="714" spans="5:8" x14ac:dyDescent="0.25">
      <c r="E714" s="2">
        <v>42509</v>
      </c>
      <c r="F714">
        <v>111.5</v>
      </c>
      <c r="G714">
        <f t="shared" si="36"/>
        <v>5</v>
      </c>
      <c r="H714">
        <f t="shared" si="37"/>
        <v>2016</v>
      </c>
    </row>
    <row r="715" spans="5:8" x14ac:dyDescent="0.25">
      <c r="E715" s="2">
        <v>42510</v>
      </c>
      <c r="F715">
        <v>111.5</v>
      </c>
      <c r="G715">
        <f t="shared" si="36"/>
        <v>5</v>
      </c>
      <c r="H715">
        <f t="shared" si="37"/>
        <v>2016</v>
      </c>
    </row>
    <row r="716" spans="5:8" x14ac:dyDescent="0.25">
      <c r="E716" s="2">
        <v>42513</v>
      </c>
      <c r="F716">
        <v>113</v>
      </c>
      <c r="G716">
        <f t="shared" si="36"/>
        <v>5</v>
      </c>
      <c r="H716">
        <f t="shared" si="37"/>
        <v>2016</v>
      </c>
    </row>
    <row r="717" spans="5:8" x14ac:dyDescent="0.25">
      <c r="E717" s="2">
        <v>42514</v>
      </c>
      <c r="F717">
        <v>113</v>
      </c>
      <c r="G717">
        <f t="shared" si="36"/>
        <v>5</v>
      </c>
      <c r="H717">
        <f t="shared" si="37"/>
        <v>2016</v>
      </c>
    </row>
    <row r="718" spans="5:8" x14ac:dyDescent="0.25">
      <c r="E718" s="2">
        <v>42515</v>
      </c>
      <c r="F718">
        <v>113</v>
      </c>
      <c r="G718">
        <f t="shared" si="36"/>
        <v>5</v>
      </c>
      <c r="H718">
        <f t="shared" si="37"/>
        <v>2016</v>
      </c>
    </row>
    <row r="719" spans="5:8" x14ac:dyDescent="0.25">
      <c r="E719" s="2">
        <v>42516</v>
      </c>
      <c r="F719">
        <v>112</v>
      </c>
      <c r="G719">
        <f t="shared" si="36"/>
        <v>5</v>
      </c>
      <c r="H719">
        <f t="shared" si="37"/>
        <v>2016</v>
      </c>
    </row>
    <row r="720" spans="5:8" x14ac:dyDescent="0.25">
      <c r="E720" s="2">
        <v>42517</v>
      </c>
      <c r="F720">
        <v>112</v>
      </c>
      <c r="G720">
        <f t="shared" si="36"/>
        <v>5</v>
      </c>
      <c r="H720">
        <f t="shared" si="37"/>
        <v>2016</v>
      </c>
    </row>
    <row r="721" spans="5:8" x14ac:dyDescent="0.25">
      <c r="E721" s="2">
        <v>42521</v>
      </c>
      <c r="F721">
        <v>108</v>
      </c>
      <c r="G721">
        <f t="shared" si="36"/>
        <v>5</v>
      </c>
      <c r="H721">
        <f t="shared" si="37"/>
        <v>2016</v>
      </c>
    </row>
    <row r="722" spans="5:8" x14ac:dyDescent="0.25">
      <c r="E722" s="2">
        <v>42522</v>
      </c>
      <c r="F722">
        <v>108.5</v>
      </c>
      <c r="G722">
        <f t="shared" si="36"/>
        <v>6</v>
      </c>
      <c r="H722">
        <f t="shared" si="37"/>
        <v>2016</v>
      </c>
    </row>
    <row r="723" spans="5:8" x14ac:dyDescent="0.25">
      <c r="E723" s="2">
        <v>42523</v>
      </c>
      <c r="F723">
        <v>108.5</v>
      </c>
      <c r="G723">
        <f t="shared" si="36"/>
        <v>6</v>
      </c>
      <c r="H723">
        <f t="shared" si="37"/>
        <v>2016</v>
      </c>
    </row>
    <row r="724" spans="5:8" x14ac:dyDescent="0.25">
      <c r="E724" s="2">
        <v>42524</v>
      </c>
      <c r="F724">
        <v>108.5</v>
      </c>
      <c r="G724">
        <f t="shared" si="36"/>
        <v>6</v>
      </c>
      <c r="H724">
        <f t="shared" si="37"/>
        <v>2016</v>
      </c>
    </row>
    <row r="725" spans="5:8" x14ac:dyDescent="0.25">
      <c r="E725" s="2">
        <v>42527</v>
      </c>
      <c r="F725">
        <v>108.5</v>
      </c>
      <c r="G725">
        <f t="shared" si="36"/>
        <v>6</v>
      </c>
      <c r="H725">
        <f t="shared" si="37"/>
        <v>2016</v>
      </c>
    </row>
    <row r="726" spans="5:8" x14ac:dyDescent="0.25">
      <c r="E726" s="2">
        <v>42528</v>
      </c>
      <c r="F726">
        <v>107.5</v>
      </c>
      <c r="G726">
        <f t="shared" si="36"/>
        <v>6</v>
      </c>
      <c r="H726">
        <f t="shared" si="37"/>
        <v>2016</v>
      </c>
    </row>
    <row r="727" spans="5:8" x14ac:dyDescent="0.25">
      <c r="E727" s="2">
        <v>42529</v>
      </c>
      <c r="F727">
        <v>107.5</v>
      </c>
      <c r="G727">
        <f t="shared" si="36"/>
        <v>6</v>
      </c>
      <c r="H727">
        <f t="shared" si="37"/>
        <v>2016</v>
      </c>
    </row>
    <row r="728" spans="5:8" x14ac:dyDescent="0.25">
      <c r="E728" s="2">
        <v>42530</v>
      </c>
      <c r="F728">
        <v>107.5</v>
      </c>
      <c r="G728">
        <f t="shared" si="36"/>
        <v>6</v>
      </c>
      <c r="H728">
        <f t="shared" si="37"/>
        <v>2016</v>
      </c>
    </row>
    <row r="729" spans="5:8" x14ac:dyDescent="0.25">
      <c r="E729" s="2">
        <v>42531</v>
      </c>
      <c r="F729">
        <v>106.5</v>
      </c>
      <c r="G729">
        <f t="shared" si="36"/>
        <v>6</v>
      </c>
      <c r="H729">
        <f t="shared" si="37"/>
        <v>2016</v>
      </c>
    </row>
    <row r="730" spans="5:8" x14ac:dyDescent="0.25">
      <c r="E730" s="2">
        <v>42534</v>
      </c>
      <c r="F730">
        <v>106.5</v>
      </c>
      <c r="G730">
        <f t="shared" si="36"/>
        <v>6</v>
      </c>
      <c r="H730">
        <f t="shared" si="37"/>
        <v>2016</v>
      </c>
    </row>
    <row r="731" spans="5:8" x14ac:dyDescent="0.25">
      <c r="E731" s="2">
        <v>42535</v>
      </c>
      <c r="F731">
        <v>106.5</v>
      </c>
      <c r="G731">
        <f t="shared" si="36"/>
        <v>6</v>
      </c>
      <c r="H731">
        <f t="shared" si="37"/>
        <v>2016</v>
      </c>
    </row>
    <row r="732" spans="5:8" x14ac:dyDescent="0.25">
      <c r="E732" s="2">
        <v>42536</v>
      </c>
      <c r="F732">
        <v>106.5</v>
      </c>
      <c r="G732">
        <f t="shared" si="36"/>
        <v>6</v>
      </c>
      <c r="H732">
        <f t="shared" si="37"/>
        <v>2016</v>
      </c>
    </row>
    <row r="733" spans="5:8" x14ac:dyDescent="0.25">
      <c r="E733" s="2">
        <v>42537</v>
      </c>
      <c r="F733">
        <v>106.5</v>
      </c>
      <c r="G733">
        <f t="shared" si="36"/>
        <v>6</v>
      </c>
      <c r="H733">
        <f t="shared" si="37"/>
        <v>2016</v>
      </c>
    </row>
    <row r="734" spans="5:8" x14ac:dyDescent="0.25">
      <c r="E734" s="2">
        <v>42538</v>
      </c>
      <c r="F734">
        <v>106.5</v>
      </c>
      <c r="G734">
        <f t="shared" si="36"/>
        <v>6</v>
      </c>
      <c r="H734">
        <f t="shared" si="37"/>
        <v>2016</v>
      </c>
    </row>
    <row r="735" spans="5:8" x14ac:dyDescent="0.25">
      <c r="E735" s="2">
        <v>42541</v>
      </c>
      <c r="F735">
        <v>105</v>
      </c>
      <c r="G735">
        <f t="shared" si="36"/>
        <v>6</v>
      </c>
      <c r="H735">
        <f t="shared" si="37"/>
        <v>2016</v>
      </c>
    </row>
    <row r="736" spans="5:8" x14ac:dyDescent="0.25">
      <c r="E736" s="2">
        <v>42542</v>
      </c>
      <c r="F736">
        <v>105</v>
      </c>
      <c r="G736">
        <f t="shared" si="36"/>
        <v>6</v>
      </c>
      <c r="H736">
        <f t="shared" si="37"/>
        <v>2016</v>
      </c>
    </row>
    <row r="737" spans="5:8" x14ac:dyDescent="0.25">
      <c r="E737" s="2">
        <v>42543</v>
      </c>
      <c r="F737">
        <v>104</v>
      </c>
      <c r="G737">
        <f t="shared" si="36"/>
        <v>6</v>
      </c>
      <c r="H737">
        <f t="shared" si="37"/>
        <v>2016</v>
      </c>
    </row>
    <row r="738" spans="5:8" x14ac:dyDescent="0.25">
      <c r="E738" s="2">
        <v>42544</v>
      </c>
      <c r="F738">
        <v>97.5</v>
      </c>
      <c r="G738">
        <f t="shared" si="36"/>
        <v>6</v>
      </c>
      <c r="H738">
        <f t="shared" si="37"/>
        <v>2016</v>
      </c>
    </row>
    <row r="739" spans="5:8" x14ac:dyDescent="0.25">
      <c r="E739" s="2">
        <v>42545</v>
      </c>
      <c r="F739">
        <v>92.5</v>
      </c>
      <c r="G739">
        <f t="shared" si="36"/>
        <v>6</v>
      </c>
      <c r="H739">
        <f t="shared" si="37"/>
        <v>2016</v>
      </c>
    </row>
    <row r="740" spans="5:8" x14ac:dyDescent="0.25">
      <c r="E740" s="2">
        <v>42548</v>
      </c>
      <c r="F740">
        <v>87.5</v>
      </c>
      <c r="G740">
        <f t="shared" si="36"/>
        <v>6</v>
      </c>
      <c r="H740">
        <f t="shared" si="37"/>
        <v>2016</v>
      </c>
    </row>
    <row r="741" spans="5:8" x14ac:dyDescent="0.25">
      <c r="E741" s="2">
        <v>42549</v>
      </c>
      <c r="F741">
        <v>82.5</v>
      </c>
      <c r="G741">
        <f t="shared" si="36"/>
        <v>6</v>
      </c>
      <c r="H741">
        <f t="shared" si="37"/>
        <v>2016</v>
      </c>
    </row>
    <row r="742" spans="5:8" x14ac:dyDescent="0.25">
      <c r="E742" s="2">
        <v>42550</v>
      </c>
      <c r="F742">
        <v>77.5</v>
      </c>
      <c r="G742">
        <f t="shared" si="36"/>
        <v>6</v>
      </c>
      <c r="H742">
        <f t="shared" si="37"/>
        <v>2016</v>
      </c>
    </row>
    <row r="743" spans="5:8" x14ac:dyDescent="0.25">
      <c r="E743" s="2">
        <v>42551</v>
      </c>
      <c r="F743">
        <v>77.5</v>
      </c>
      <c r="G743">
        <f t="shared" si="36"/>
        <v>6</v>
      </c>
      <c r="H743">
        <f t="shared" si="37"/>
        <v>2016</v>
      </c>
    </row>
    <row r="744" spans="5:8" x14ac:dyDescent="0.25">
      <c r="E744" s="2">
        <v>42552</v>
      </c>
      <c r="F744">
        <v>80</v>
      </c>
      <c r="G744">
        <f t="shared" si="36"/>
        <v>7</v>
      </c>
      <c r="H744">
        <f t="shared" si="37"/>
        <v>2016</v>
      </c>
    </row>
    <row r="745" spans="5:8" x14ac:dyDescent="0.25">
      <c r="E745" s="2">
        <v>42556</v>
      </c>
      <c r="F745">
        <v>77.5</v>
      </c>
      <c r="G745">
        <f t="shared" si="36"/>
        <v>7</v>
      </c>
      <c r="H745">
        <f t="shared" si="37"/>
        <v>2016</v>
      </c>
    </row>
    <row r="746" spans="5:8" x14ac:dyDescent="0.25">
      <c r="E746" s="2">
        <v>42557</v>
      </c>
      <c r="F746">
        <v>76.5</v>
      </c>
      <c r="G746">
        <f t="shared" si="36"/>
        <v>7</v>
      </c>
      <c r="H746">
        <f t="shared" si="37"/>
        <v>2016</v>
      </c>
    </row>
    <row r="747" spans="5:8" x14ac:dyDescent="0.25">
      <c r="E747" s="2">
        <v>42558</v>
      </c>
      <c r="F747">
        <v>70</v>
      </c>
      <c r="G747">
        <f t="shared" si="36"/>
        <v>7</v>
      </c>
      <c r="H747">
        <f t="shared" si="37"/>
        <v>2016</v>
      </c>
    </row>
    <row r="748" spans="5:8" x14ac:dyDescent="0.25">
      <c r="E748" s="2">
        <v>42559</v>
      </c>
      <c r="F748">
        <v>70</v>
      </c>
      <c r="G748">
        <f t="shared" si="36"/>
        <v>7</v>
      </c>
      <c r="H748">
        <f t="shared" si="37"/>
        <v>2016</v>
      </c>
    </row>
    <row r="749" spans="5:8" x14ac:dyDescent="0.25">
      <c r="E749" s="2">
        <v>42562</v>
      </c>
      <c r="F749">
        <v>68</v>
      </c>
      <c r="G749">
        <f t="shared" si="36"/>
        <v>7</v>
      </c>
      <c r="H749">
        <f t="shared" si="37"/>
        <v>2016</v>
      </c>
    </row>
    <row r="750" spans="5:8" x14ac:dyDescent="0.25">
      <c r="E750" s="2">
        <v>42563</v>
      </c>
      <c r="F750">
        <v>68.5</v>
      </c>
      <c r="G750">
        <f t="shared" si="36"/>
        <v>7</v>
      </c>
      <c r="H750">
        <f t="shared" si="37"/>
        <v>2016</v>
      </c>
    </row>
    <row r="751" spans="5:8" x14ac:dyDescent="0.25">
      <c r="E751" s="2">
        <v>42564</v>
      </c>
      <c r="F751">
        <v>72.5</v>
      </c>
      <c r="G751">
        <f t="shared" si="36"/>
        <v>7</v>
      </c>
      <c r="H751">
        <f t="shared" si="37"/>
        <v>2016</v>
      </c>
    </row>
    <row r="752" spans="5:8" x14ac:dyDescent="0.25">
      <c r="E752" s="2">
        <v>42565</v>
      </c>
      <c r="F752">
        <v>70</v>
      </c>
      <c r="G752">
        <f t="shared" si="36"/>
        <v>7</v>
      </c>
      <c r="H752">
        <f t="shared" si="37"/>
        <v>2016</v>
      </c>
    </row>
    <row r="753" spans="5:8" x14ac:dyDescent="0.25">
      <c r="E753" s="2">
        <v>42566</v>
      </c>
      <c r="F753">
        <v>67.5</v>
      </c>
      <c r="G753">
        <f t="shared" si="36"/>
        <v>7</v>
      </c>
      <c r="H753">
        <f t="shared" si="37"/>
        <v>2016</v>
      </c>
    </row>
    <row r="754" spans="5:8" x14ac:dyDescent="0.25">
      <c r="E754" s="2">
        <v>42569</v>
      </c>
      <c r="F754">
        <v>65.5</v>
      </c>
      <c r="G754">
        <f t="shared" si="36"/>
        <v>7</v>
      </c>
      <c r="H754">
        <f t="shared" si="37"/>
        <v>2016</v>
      </c>
    </row>
    <row r="755" spans="5:8" x14ac:dyDescent="0.25">
      <c r="E755" s="2">
        <v>42570</v>
      </c>
      <c r="F755">
        <v>61.5</v>
      </c>
      <c r="G755">
        <f t="shared" si="36"/>
        <v>7</v>
      </c>
      <c r="H755">
        <f t="shared" si="37"/>
        <v>2016</v>
      </c>
    </row>
    <row r="756" spans="5:8" x14ac:dyDescent="0.25">
      <c r="E756" s="2">
        <v>42571</v>
      </c>
      <c r="F756">
        <v>53.5</v>
      </c>
      <c r="G756">
        <f t="shared" si="36"/>
        <v>7</v>
      </c>
      <c r="H756">
        <f t="shared" si="37"/>
        <v>2016</v>
      </c>
    </row>
    <row r="757" spans="5:8" x14ac:dyDescent="0.25">
      <c r="E757" s="2">
        <v>42572</v>
      </c>
      <c r="F757">
        <v>53.5</v>
      </c>
      <c r="G757">
        <f t="shared" si="36"/>
        <v>7</v>
      </c>
      <c r="H757">
        <f t="shared" si="37"/>
        <v>2016</v>
      </c>
    </row>
    <row r="758" spans="5:8" x14ac:dyDescent="0.25">
      <c r="E758" s="2">
        <v>42573</v>
      </c>
      <c r="F758">
        <v>53.5</v>
      </c>
      <c r="G758">
        <f t="shared" si="36"/>
        <v>7</v>
      </c>
      <c r="H758">
        <f t="shared" si="37"/>
        <v>2016</v>
      </c>
    </row>
    <row r="759" spans="5:8" x14ac:dyDescent="0.25">
      <c r="E759" s="2">
        <v>42576</v>
      </c>
      <c r="F759">
        <v>57.5</v>
      </c>
      <c r="G759">
        <f t="shared" si="36"/>
        <v>7</v>
      </c>
      <c r="H759">
        <f t="shared" si="37"/>
        <v>2016</v>
      </c>
    </row>
    <row r="760" spans="5:8" x14ac:dyDescent="0.25">
      <c r="E760" s="2">
        <v>42577</v>
      </c>
      <c r="F760">
        <v>57.5</v>
      </c>
      <c r="G760">
        <f t="shared" si="36"/>
        <v>7</v>
      </c>
      <c r="H760">
        <f t="shared" si="37"/>
        <v>2016</v>
      </c>
    </row>
    <row r="761" spans="5:8" x14ac:dyDescent="0.25">
      <c r="E761" s="2">
        <v>42578</v>
      </c>
      <c r="F761">
        <v>56</v>
      </c>
      <c r="G761">
        <f t="shared" si="36"/>
        <v>7</v>
      </c>
      <c r="H761">
        <f t="shared" si="37"/>
        <v>2016</v>
      </c>
    </row>
    <row r="762" spans="5:8" x14ac:dyDescent="0.25">
      <c r="E762" s="2">
        <v>42579</v>
      </c>
      <c r="F762">
        <v>56</v>
      </c>
      <c r="G762">
        <f t="shared" si="36"/>
        <v>7</v>
      </c>
      <c r="H762">
        <f t="shared" si="37"/>
        <v>2016</v>
      </c>
    </row>
    <row r="763" spans="5:8" x14ac:dyDescent="0.25">
      <c r="E763" s="2">
        <v>42580</v>
      </c>
      <c r="F763">
        <v>61.5</v>
      </c>
      <c r="G763">
        <f t="shared" si="36"/>
        <v>7</v>
      </c>
      <c r="H763">
        <f t="shared" si="37"/>
        <v>2016</v>
      </c>
    </row>
    <row r="764" spans="5:8" x14ac:dyDescent="0.25">
      <c r="E764" s="2">
        <v>42583</v>
      </c>
      <c r="F764">
        <v>61.5</v>
      </c>
      <c r="G764">
        <f t="shared" si="36"/>
        <v>8</v>
      </c>
      <c r="H764">
        <f t="shared" si="37"/>
        <v>2016</v>
      </c>
    </row>
    <row r="765" spans="5:8" x14ac:dyDescent="0.25">
      <c r="E765" s="2">
        <v>42584</v>
      </c>
      <c r="F765">
        <v>62.5</v>
      </c>
      <c r="G765">
        <f t="shared" si="36"/>
        <v>8</v>
      </c>
      <c r="H765">
        <f t="shared" si="37"/>
        <v>2016</v>
      </c>
    </row>
    <row r="766" spans="5:8" x14ac:dyDescent="0.25">
      <c r="E766" s="2">
        <v>42585</v>
      </c>
      <c r="F766">
        <v>67.5</v>
      </c>
      <c r="G766">
        <f t="shared" si="36"/>
        <v>8</v>
      </c>
      <c r="H766">
        <f t="shared" si="37"/>
        <v>2016</v>
      </c>
    </row>
    <row r="767" spans="5:8" x14ac:dyDescent="0.25">
      <c r="E767" s="2">
        <v>42586</v>
      </c>
      <c r="F767">
        <v>70.5</v>
      </c>
      <c r="G767">
        <f t="shared" si="36"/>
        <v>8</v>
      </c>
      <c r="H767">
        <f t="shared" si="37"/>
        <v>2016</v>
      </c>
    </row>
    <row r="768" spans="5:8" x14ac:dyDescent="0.25">
      <c r="E768" s="2">
        <v>42587</v>
      </c>
      <c r="F768">
        <v>69</v>
      </c>
      <c r="G768">
        <f t="shared" si="36"/>
        <v>8</v>
      </c>
      <c r="H768">
        <f t="shared" si="37"/>
        <v>2016</v>
      </c>
    </row>
    <row r="769" spans="5:8" x14ac:dyDescent="0.25">
      <c r="E769" s="2">
        <v>42590</v>
      </c>
      <c r="F769">
        <v>68</v>
      </c>
      <c r="G769">
        <f t="shared" si="36"/>
        <v>8</v>
      </c>
      <c r="H769">
        <f t="shared" si="37"/>
        <v>2016</v>
      </c>
    </row>
    <row r="770" spans="5:8" x14ac:dyDescent="0.25">
      <c r="E770" s="2">
        <v>42591</v>
      </c>
      <c r="F770">
        <v>68</v>
      </c>
      <c r="G770">
        <f t="shared" si="36"/>
        <v>8</v>
      </c>
      <c r="H770">
        <f t="shared" si="37"/>
        <v>2016</v>
      </c>
    </row>
    <row r="771" spans="5:8" x14ac:dyDescent="0.25">
      <c r="E771" s="2">
        <v>42592</v>
      </c>
      <c r="F771">
        <v>69</v>
      </c>
      <c r="G771">
        <f t="shared" si="36"/>
        <v>8</v>
      </c>
      <c r="H771">
        <f t="shared" si="37"/>
        <v>2016</v>
      </c>
    </row>
    <row r="772" spans="5:8" x14ac:dyDescent="0.25">
      <c r="E772" s="2">
        <v>42593</v>
      </c>
      <c r="F772">
        <v>69</v>
      </c>
      <c r="G772">
        <f t="shared" si="36"/>
        <v>8</v>
      </c>
      <c r="H772">
        <f t="shared" si="37"/>
        <v>2016</v>
      </c>
    </row>
    <row r="773" spans="5:8" x14ac:dyDescent="0.25">
      <c r="E773" s="2">
        <v>42594</v>
      </c>
      <c r="F773">
        <v>69</v>
      </c>
      <c r="G773">
        <f t="shared" ref="G773:G836" si="38">MONTH(E773)</f>
        <v>8</v>
      </c>
      <c r="H773">
        <f t="shared" ref="H773:H836" si="39">YEAR(E773)</f>
        <v>2016</v>
      </c>
    </row>
    <row r="774" spans="5:8" x14ac:dyDescent="0.25">
      <c r="E774" s="2">
        <v>42597</v>
      </c>
      <c r="F774">
        <v>69</v>
      </c>
      <c r="G774">
        <f t="shared" si="38"/>
        <v>8</v>
      </c>
      <c r="H774">
        <f t="shared" si="39"/>
        <v>2016</v>
      </c>
    </row>
    <row r="775" spans="5:8" x14ac:dyDescent="0.25">
      <c r="E775" s="2">
        <v>42598</v>
      </c>
      <c r="F775">
        <v>69</v>
      </c>
      <c r="G775">
        <f t="shared" si="38"/>
        <v>8</v>
      </c>
      <c r="H775">
        <f t="shared" si="39"/>
        <v>2016</v>
      </c>
    </row>
    <row r="776" spans="5:8" x14ac:dyDescent="0.25">
      <c r="E776" s="2">
        <v>42599</v>
      </c>
      <c r="F776">
        <v>70</v>
      </c>
      <c r="G776">
        <f t="shared" si="38"/>
        <v>8</v>
      </c>
      <c r="H776">
        <f t="shared" si="39"/>
        <v>2016</v>
      </c>
    </row>
    <row r="777" spans="5:8" x14ac:dyDescent="0.25">
      <c r="E777" s="2">
        <v>42600</v>
      </c>
      <c r="F777">
        <v>70</v>
      </c>
      <c r="G777">
        <f t="shared" si="38"/>
        <v>8</v>
      </c>
      <c r="H777">
        <f t="shared" si="39"/>
        <v>2016</v>
      </c>
    </row>
    <row r="778" spans="5:8" x14ac:dyDescent="0.25">
      <c r="E778" s="2">
        <v>42601</v>
      </c>
      <c r="F778">
        <v>70</v>
      </c>
      <c r="G778">
        <f t="shared" si="38"/>
        <v>8</v>
      </c>
      <c r="H778">
        <f t="shared" si="39"/>
        <v>2016</v>
      </c>
    </row>
    <row r="779" spans="5:8" x14ac:dyDescent="0.25">
      <c r="E779" s="2">
        <v>42604</v>
      </c>
      <c r="F779">
        <v>69</v>
      </c>
      <c r="G779">
        <f t="shared" si="38"/>
        <v>8</v>
      </c>
      <c r="H779">
        <f t="shared" si="39"/>
        <v>2016</v>
      </c>
    </row>
    <row r="780" spans="5:8" x14ac:dyDescent="0.25">
      <c r="E780" s="2">
        <v>42605</v>
      </c>
      <c r="F780">
        <v>69</v>
      </c>
      <c r="G780">
        <f t="shared" si="38"/>
        <v>8</v>
      </c>
      <c r="H780">
        <f t="shared" si="39"/>
        <v>2016</v>
      </c>
    </row>
    <row r="781" spans="5:8" x14ac:dyDescent="0.25">
      <c r="E781" s="2">
        <v>42606</v>
      </c>
      <c r="F781">
        <v>69</v>
      </c>
      <c r="G781">
        <f t="shared" si="38"/>
        <v>8</v>
      </c>
      <c r="H781">
        <f t="shared" si="39"/>
        <v>2016</v>
      </c>
    </row>
    <row r="782" spans="5:8" x14ac:dyDescent="0.25">
      <c r="E782" s="2">
        <v>42607</v>
      </c>
      <c r="F782">
        <v>78</v>
      </c>
      <c r="G782">
        <f t="shared" si="38"/>
        <v>8</v>
      </c>
      <c r="H782">
        <f t="shared" si="39"/>
        <v>2016</v>
      </c>
    </row>
    <row r="783" spans="5:8" x14ac:dyDescent="0.25">
      <c r="E783" s="2">
        <v>42608</v>
      </c>
      <c r="F783">
        <v>85</v>
      </c>
      <c r="G783">
        <f t="shared" si="38"/>
        <v>8</v>
      </c>
      <c r="H783">
        <f t="shared" si="39"/>
        <v>2016</v>
      </c>
    </row>
    <row r="784" spans="5:8" x14ac:dyDescent="0.25">
      <c r="E784" s="2">
        <v>42611</v>
      </c>
      <c r="F784">
        <v>87.5</v>
      </c>
      <c r="G784">
        <f t="shared" si="38"/>
        <v>8</v>
      </c>
      <c r="H784">
        <f t="shared" si="39"/>
        <v>2016</v>
      </c>
    </row>
    <row r="785" spans="5:8" x14ac:dyDescent="0.25">
      <c r="E785" s="2">
        <v>42612</v>
      </c>
      <c r="F785">
        <v>91.5</v>
      </c>
      <c r="G785">
        <f t="shared" si="38"/>
        <v>8</v>
      </c>
      <c r="H785">
        <f t="shared" si="39"/>
        <v>2016</v>
      </c>
    </row>
    <row r="786" spans="5:8" x14ac:dyDescent="0.25">
      <c r="E786" s="2">
        <v>42613</v>
      </c>
      <c r="F786">
        <v>95.5</v>
      </c>
      <c r="G786">
        <f t="shared" si="38"/>
        <v>8</v>
      </c>
      <c r="H786">
        <f t="shared" si="39"/>
        <v>2016</v>
      </c>
    </row>
    <row r="787" spans="5:8" x14ac:dyDescent="0.25">
      <c r="E787" s="2">
        <v>42614</v>
      </c>
      <c r="F787">
        <v>95</v>
      </c>
      <c r="G787">
        <f t="shared" si="38"/>
        <v>9</v>
      </c>
      <c r="H787">
        <f t="shared" si="39"/>
        <v>2016</v>
      </c>
    </row>
    <row r="788" spans="5:8" x14ac:dyDescent="0.25">
      <c r="E788" s="2">
        <v>42615</v>
      </c>
      <c r="F788">
        <v>95</v>
      </c>
      <c r="G788">
        <f t="shared" si="38"/>
        <v>9</v>
      </c>
      <c r="H788">
        <f t="shared" si="39"/>
        <v>2016</v>
      </c>
    </row>
    <row r="789" spans="5:8" x14ac:dyDescent="0.25">
      <c r="E789" s="2">
        <v>42619</v>
      </c>
      <c r="F789">
        <v>93.5</v>
      </c>
      <c r="G789">
        <f t="shared" si="38"/>
        <v>9</v>
      </c>
      <c r="H789">
        <f t="shared" si="39"/>
        <v>2016</v>
      </c>
    </row>
    <row r="790" spans="5:8" x14ac:dyDescent="0.25">
      <c r="E790" s="2">
        <v>42620</v>
      </c>
      <c r="F790">
        <v>94</v>
      </c>
      <c r="G790">
        <f t="shared" si="38"/>
        <v>9</v>
      </c>
      <c r="H790">
        <f t="shared" si="39"/>
        <v>2016</v>
      </c>
    </row>
    <row r="791" spans="5:8" x14ac:dyDescent="0.25">
      <c r="E791" s="2">
        <v>42621</v>
      </c>
      <c r="F791">
        <v>91.5</v>
      </c>
      <c r="G791">
        <f t="shared" si="38"/>
        <v>9</v>
      </c>
      <c r="H791">
        <f t="shared" si="39"/>
        <v>2016</v>
      </c>
    </row>
    <row r="792" spans="5:8" x14ac:dyDescent="0.25">
      <c r="E792" s="2">
        <v>42622</v>
      </c>
      <c r="F792">
        <v>91</v>
      </c>
      <c r="G792">
        <f t="shared" si="38"/>
        <v>9</v>
      </c>
      <c r="H792">
        <f t="shared" si="39"/>
        <v>2016</v>
      </c>
    </row>
    <row r="793" spans="5:8" x14ac:dyDescent="0.25">
      <c r="E793" s="2">
        <v>42625</v>
      </c>
      <c r="F793">
        <v>91.5</v>
      </c>
      <c r="G793">
        <f t="shared" si="38"/>
        <v>9</v>
      </c>
      <c r="H793">
        <f t="shared" si="39"/>
        <v>2016</v>
      </c>
    </row>
    <row r="794" spans="5:8" x14ac:dyDescent="0.25">
      <c r="E794" s="2">
        <v>42626</v>
      </c>
      <c r="F794">
        <v>94</v>
      </c>
      <c r="G794">
        <f t="shared" si="38"/>
        <v>9</v>
      </c>
      <c r="H794">
        <f t="shared" si="39"/>
        <v>2016</v>
      </c>
    </row>
    <row r="795" spans="5:8" x14ac:dyDescent="0.25">
      <c r="E795" s="2">
        <v>42627</v>
      </c>
      <c r="F795">
        <v>95.5</v>
      </c>
      <c r="G795">
        <f t="shared" si="38"/>
        <v>9</v>
      </c>
      <c r="H795">
        <f t="shared" si="39"/>
        <v>2016</v>
      </c>
    </row>
    <row r="796" spans="5:8" x14ac:dyDescent="0.25">
      <c r="E796" s="2">
        <v>42628</v>
      </c>
      <c r="F796">
        <v>95.5</v>
      </c>
      <c r="G796">
        <f t="shared" si="38"/>
        <v>9</v>
      </c>
      <c r="H796">
        <f t="shared" si="39"/>
        <v>2016</v>
      </c>
    </row>
    <row r="797" spans="5:8" x14ac:dyDescent="0.25">
      <c r="E797" s="2">
        <v>42629</v>
      </c>
      <c r="F797">
        <v>96.5</v>
      </c>
      <c r="G797">
        <f t="shared" si="38"/>
        <v>9</v>
      </c>
      <c r="H797">
        <f t="shared" si="39"/>
        <v>2016</v>
      </c>
    </row>
    <row r="798" spans="5:8" x14ac:dyDescent="0.25">
      <c r="E798" s="2">
        <v>42632</v>
      </c>
      <c r="F798">
        <v>96.5</v>
      </c>
      <c r="G798">
        <f t="shared" si="38"/>
        <v>9</v>
      </c>
      <c r="H798">
        <f t="shared" si="39"/>
        <v>2016</v>
      </c>
    </row>
    <row r="799" spans="5:8" x14ac:dyDescent="0.25">
      <c r="E799" s="2">
        <v>42633</v>
      </c>
      <c r="F799">
        <v>96.5</v>
      </c>
      <c r="G799">
        <f t="shared" si="38"/>
        <v>9</v>
      </c>
      <c r="H799">
        <f t="shared" si="39"/>
        <v>2016</v>
      </c>
    </row>
    <row r="800" spans="5:8" x14ac:dyDescent="0.25">
      <c r="E800" s="2">
        <v>42634</v>
      </c>
      <c r="F800">
        <v>96</v>
      </c>
      <c r="G800">
        <f t="shared" si="38"/>
        <v>9</v>
      </c>
      <c r="H800">
        <f t="shared" si="39"/>
        <v>2016</v>
      </c>
    </row>
    <row r="801" spans="5:8" x14ac:dyDescent="0.25">
      <c r="E801" s="2">
        <v>42635</v>
      </c>
      <c r="F801">
        <v>95.5</v>
      </c>
      <c r="G801">
        <f t="shared" si="38"/>
        <v>9</v>
      </c>
      <c r="H801">
        <f t="shared" si="39"/>
        <v>2016</v>
      </c>
    </row>
    <row r="802" spans="5:8" x14ac:dyDescent="0.25">
      <c r="E802" s="2">
        <v>42636</v>
      </c>
      <c r="F802">
        <v>95</v>
      </c>
      <c r="G802">
        <f t="shared" si="38"/>
        <v>9</v>
      </c>
      <c r="H802">
        <f t="shared" si="39"/>
        <v>2016</v>
      </c>
    </row>
    <row r="803" spans="5:8" x14ac:dyDescent="0.25">
      <c r="E803" s="2">
        <v>42639</v>
      </c>
      <c r="F803">
        <v>93</v>
      </c>
      <c r="G803">
        <f t="shared" si="38"/>
        <v>9</v>
      </c>
      <c r="H803">
        <f t="shared" si="39"/>
        <v>2016</v>
      </c>
    </row>
    <row r="804" spans="5:8" x14ac:dyDescent="0.25">
      <c r="E804" s="2">
        <v>42640</v>
      </c>
      <c r="F804">
        <v>88</v>
      </c>
      <c r="G804">
        <f t="shared" si="38"/>
        <v>9</v>
      </c>
      <c r="H804">
        <f t="shared" si="39"/>
        <v>2016</v>
      </c>
    </row>
    <row r="805" spans="5:8" x14ac:dyDescent="0.25">
      <c r="E805" s="2">
        <v>42641</v>
      </c>
      <c r="F805">
        <v>89.5</v>
      </c>
      <c r="G805">
        <f t="shared" si="38"/>
        <v>9</v>
      </c>
      <c r="H805">
        <f t="shared" si="39"/>
        <v>2016</v>
      </c>
    </row>
    <row r="806" spans="5:8" x14ac:dyDescent="0.25">
      <c r="E806" s="2">
        <v>42642</v>
      </c>
      <c r="F806">
        <v>89.5</v>
      </c>
      <c r="G806">
        <f t="shared" si="38"/>
        <v>9</v>
      </c>
      <c r="H806">
        <f t="shared" si="39"/>
        <v>2016</v>
      </c>
    </row>
    <row r="807" spans="5:8" x14ac:dyDescent="0.25">
      <c r="E807" s="2">
        <v>42643</v>
      </c>
      <c r="F807">
        <v>89.5</v>
      </c>
      <c r="G807">
        <f t="shared" si="38"/>
        <v>9</v>
      </c>
      <c r="H807">
        <f t="shared" si="39"/>
        <v>2016</v>
      </c>
    </row>
    <row r="808" spans="5:8" x14ac:dyDescent="0.25">
      <c r="E808" s="2">
        <v>42646</v>
      </c>
      <c r="F808">
        <v>90</v>
      </c>
      <c r="G808">
        <f t="shared" si="38"/>
        <v>10</v>
      </c>
      <c r="H808">
        <f t="shared" si="39"/>
        <v>2016</v>
      </c>
    </row>
    <row r="809" spans="5:8" x14ac:dyDescent="0.25">
      <c r="E809" s="2">
        <v>42647</v>
      </c>
      <c r="F809">
        <v>90</v>
      </c>
      <c r="G809">
        <f t="shared" si="38"/>
        <v>10</v>
      </c>
      <c r="H809">
        <f t="shared" si="39"/>
        <v>2016</v>
      </c>
    </row>
    <row r="810" spans="5:8" x14ac:dyDescent="0.25">
      <c r="E810" s="2">
        <v>42648</v>
      </c>
      <c r="F810">
        <v>90</v>
      </c>
      <c r="G810">
        <f t="shared" si="38"/>
        <v>10</v>
      </c>
      <c r="H810">
        <f t="shared" si="39"/>
        <v>2016</v>
      </c>
    </row>
    <row r="811" spans="5:8" x14ac:dyDescent="0.25">
      <c r="E811" s="2">
        <v>42649</v>
      </c>
      <c r="F811">
        <v>90</v>
      </c>
      <c r="G811">
        <f t="shared" si="38"/>
        <v>10</v>
      </c>
      <c r="H811">
        <f t="shared" si="39"/>
        <v>2016</v>
      </c>
    </row>
    <row r="812" spans="5:8" x14ac:dyDescent="0.25">
      <c r="E812" s="2">
        <v>42650</v>
      </c>
      <c r="F812">
        <v>90</v>
      </c>
      <c r="G812">
        <f t="shared" si="38"/>
        <v>10</v>
      </c>
      <c r="H812">
        <f t="shared" si="39"/>
        <v>2016</v>
      </c>
    </row>
    <row r="813" spans="5:8" x14ac:dyDescent="0.25">
      <c r="E813" s="2">
        <v>42653</v>
      </c>
      <c r="F813">
        <v>87</v>
      </c>
      <c r="G813">
        <f t="shared" si="38"/>
        <v>10</v>
      </c>
      <c r="H813">
        <f t="shared" si="39"/>
        <v>2016</v>
      </c>
    </row>
    <row r="814" spans="5:8" x14ac:dyDescent="0.25">
      <c r="E814" s="2">
        <v>42654</v>
      </c>
      <c r="F814">
        <v>87</v>
      </c>
      <c r="G814">
        <f t="shared" si="38"/>
        <v>10</v>
      </c>
      <c r="H814">
        <f t="shared" si="39"/>
        <v>2016</v>
      </c>
    </row>
    <row r="815" spans="5:8" x14ac:dyDescent="0.25">
      <c r="E815" s="2">
        <v>42655</v>
      </c>
      <c r="F815">
        <v>87</v>
      </c>
      <c r="G815">
        <f t="shared" si="38"/>
        <v>10</v>
      </c>
      <c r="H815">
        <f t="shared" si="39"/>
        <v>2016</v>
      </c>
    </row>
    <row r="816" spans="5:8" x14ac:dyDescent="0.25">
      <c r="E816" s="2">
        <v>42656</v>
      </c>
      <c r="F816">
        <v>86.5</v>
      </c>
      <c r="G816">
        <f t="shared" si="38"/>
        <v>10</v>
      </c>
      <c r="H816">
        <f t="shared" si="39"/>
        <v>2016</v>
      </c>
    </row>
    <row r="817" spans="5:8" x14ac:dyDescent="0.25">
      <c r="E817" s="2">
        <v>42657</v>
      </c>
      <c r="F817">
        <v>86.5</v>
      </c>
      <c r="G817">
        <f t="shared" si="38"/>
        <v>10</v>
      </c>
      <c r="H817">
        <f t="shared" si="39"/>
        <v>2016</v>
      </c>
    </row>
    <row r="818" spans="5:8" x14ac:dyDescent="0.25">
      <c r="E818" s="2">
        <v>42660</v>
      </c>
      <c r="F818">
        <v>85.5</v>
      </c>
      <c r="G818">
        <f t="shared" si="38"/>
        <v>10</v>
      </c>
      <c r="H818">
        <f t="shared" si="39"/>
        <v>2016</v>
      </c>
    </row>
    <row r="819" spans="5:8" x14ac:dyDescent="0.25">
      <c r="E819" s="2">
        <v>42661</v>
      </c>
      <c r="F819">
        <v>85.5</v>
      </c>
      <c r="G819">
        <f t="shared" si="38"/>
        <v>10</v>
      </c>
      <c r="H819">
        <f t="shared" si="39"/>
        <v>2016</v>
      </c>
    </row>
    <row r="820" spans="5:8" x14ac:dyDescent="0.25">
      <c r="E820" s="2">
        <v>42662</v>
      </c>
      <c r="F820">
        <v>86.5</v>
      </c>
      <c r="G820">
        <f t="shared" si="38"/>
        <v>10</v>
      </c>
      <c r="H820">
        <f t="shared" si="39"/>
        <v>2016</v>
      </c>
    </row>
    <row r="821" spans="5:8" x14ac:dyDescent="0.25">
      <c r="E821" s="2">
        <v>42663</v>
      </c>
      <c r="F821">
        <v>81</v>
      </c>
      <c r="G821">
        <f t="shared" si="38"/>
        <v>10</v>
      </c>
      <c r="H821">
        <f t="shared" si="39"/>
        <v>2016</v>
      </c>
    </row>
    <row r="822" spans="5:8" x14ac:dyDescent="0.25">
      <c r="E822" s="2">
        <v>42664</v>
      </c>
      <c r="F822">
        <v>81.5</v>
      </c>
      <c r="G822">
        <f t="shared" si="38"/>
        <v>10</v>
      </c>
      <c r="H822">
        <f t="shared" si="39"/>
        <v>2016</v>
      </c>
    </row>
    <row r="823" spans="5:8" x14ac:dyDescent="0.25">
      <c r="E823" s="2">
        <v>42667</v>
      </c>
      <c r="F823">
        <v>81.5</v>
      </c>
      <c r="G823">
        <f t="shared" si="38"/>
        <v>10</v>
      </c>
      <c r="H823">
        <f t="shared" si="39"/>
        <v>2016</v>
      </c>
    </row>
    <row r="824" spans="5:8" x14ac:dyDescent="0.25">
      <c r="E824" s="2">
        <v>42668</v>
      </c>
      <c r="F824">
        <v>81</v>
      </c>
      <c r="G824">
        <f t="shared" si="38"/>
        <v>10</v>
      </c>
      <c r="H824">
        <f t="shared" si="39"/>
        <v>2016</v>
      </c>
    </row>
    <row r="825" spans="5:8" x14ac:dyDescent="0.25">
      <c r="E825" s="2">
        <v>42669</v>
      </c>
      <c r="F825">
        <v>81</v>
      </c>
      <c r="G825">
        <f t="shared" si="38"/>
        <v>10</v>
      </c>
      <c r="H825">
        <f t="shared" si="39"/>
        <v>2016</v>
      </c>
    </row>
    <row r="826" spans="5:8" x14ac:dyDescent="0.25">
      <c r="E826" s="2">
        <v>42670</v>
      </c>
      <c r="F826">
        <v>81</v>
      </c>
      <c r="G826">
        <f t="shared" si="38"/>
        <v>10</v>
      </c>
      <c r="H826">
        <f t="shared" si="39"/>
        <v>2016</v>
      </c>
    </row>
    <row r="827" spans="5:8" x14ac:dyDescent="0.25">
      <c r="E827" s="2">
        <v>42671</v>
      </c>
      <c r="F827">
        <v>81</v>
      </c>
      <c r="G827">
        <f t="shared" si="38"/>
        <v>10</v>
      </c>
      <c r="H827">
        <f t="shared" si="39"/>
        <v>2016</v>
      </c>
    </row>
    <row r="828" spans="5:8" x14ac:dyDescent="0.25">
      <c r="E828" s="2">
        <v>42674</v>
      </c>
      <c r="F828">
        <v>83</v>
      </c>
      <c r="G828">
        <f t="shared" si="38"/>
        <v>10</v>
      </c>
      <c r="H828">
        <f t="shared" si="39"/>
        <v>2016</v>
      </c>
    </row>
    <row r="829" spans="5:8" x14ac:dyDescent="0.25">
      <c r="E829" s="2">
        <v>42675</v>
      </c>
      <c r="F829">
        <v>93</v>
      </c>
      <c r="G829">
        <f t="shared" si="38"/>
        <v>11</v>
      </c>
      <c r="H829">
        <f t="shared" si="39"/>
        <v>2016</v>
      </c>
    </row>
    <row r="830" spans="5:8" x14ac:dyDescent="0.25">
      <c r="E830" s="2">
        <v>42676</v>
      </c>
      <c r="F830">
        <v>88</v>
      </c>
      <c r="G830">
        <f t="shared" si="38"/>
        <v>11</v>
      </c>
      <c r="H830">
        <f t="shared" si="39"/>
        <v>2016</v>
      </c>
    </row>
    <row r="831" spans="5:8" x14ac:dyDescent="0.25">
      <c r="E831" s="2">
        <v>42677</v>
      </c>
      <c r="F831">
        <v>89</v>
      </c>
      <c r="G831">
        <f t="shared" si="38"/>
        <v>11</v>
      </c>
      <c r="H831">
        <f t="shared" si="39"/>
        <v>2016</v>
      </c>
    </row>
    <row r="832" spans="5:8" x14ac:dyDescent="0.25">
      <c r="E832" s="2">
        <v>42678</v>
      </c>
      <c r="F832">
        <v>93.5</v>
      </c>
      <c r="G832">
        <f t="shared" si="38"/>
        <v>11</v>
      </c>
      <c r="H832">
        <f t="shared" si="39"/>
        <v>2016</v>
      </c>
    </row>
    <row r="833" spans="5:8" x14ac:dyDescent="0.25">
      <c r="E833" s="2">
        <v>42681</v>
      </c>
      <c r="F833">
        <v>93.5</v>
      </c>
      <c r="G833">
        <f t="shared" si="38"/>
        <v>11</v>
      </c>
      <c r="H833">
        <f t="shared" si="39"/>
        <v>2016</v>
      </c>
    </row>
    <row r="834" spans="5:8" x14ac:dyDescent="0.25">
      <c r="E834" s="2">
        <v>42682</v>
      </c>
      <c r="F834">
        <v>95</v>
      </c>
      <c r="G834">
        <f t="shared" si="38"/>
        <v>11</v>
      </c>
      <c r="H834">
        <f t="shared" si="39"/>
        <v>2016</v>
      </c>
    </row>
    <row r="835" spans="5:8" x14ac:dyDescent="0.25">
      <c r="E835" s="2">
        <v>42683</v>
      </c>
      <c r="F835">
        <v>92.5</v>
      </c>
      <c r="G835">
        <f t="shared" si="38"/>
        <v>11</v>
      </c>
      <c r="H835">
        <f t="shared" si="39"/>
        <v>2016</v>
      </c>
    </row>
    <row r="836" spans="5:8" x14ac:dyDescent="0.25">
      <c r="E836" s="2">
        <v>42684</v>
      </c>
      <c r="F836">
        <v>93.5</v>
      </c>
      <c r="G836">
        <f t="shared" si="38"/>
        <v>11</v>
      </c>
      <c r="H836">
        <f t="shared" si="39"/>
        <v>2016</v>
      </c>
    </row>
    <row r="837" spans="5:8" x14ac:dyDescent="0.25">
      <c r="E837" s="2">
        <v>42685</v>
      </c>
      <c r="F837">
        <v>90</v>
      </c>
      <c r="G837">
        <f t="shared" ref="G837:G900" si="40">MONTH(E837)</f>
        <v>11</v>
      </c>
      <c r="H837">
        <f t="shared" ref="H837:H900" si="41">YEAR(E837)</f>
        <v>2016</v>
      </c>
    </row>
    <row r="838" spans="5:8" x14ac:dyDescent="0.25">
      <c r="E838" s="2">
        <v>42688</v>
      </c>
      <c r="F838">
        <v>93</v>
      </c>
      <c r="G838">
        <f t="shared" si="40"/>
        <v>11</v>
      </c>
      <c r="H838">
        <f t="shared" si="41"/>
        <v>2016</v>
      </c>
    </row>
    <row r="839" spans="5:8" x14ac:dyDescent="0.25">
      <c r="E839" s="2">
        <v>42689</v>
      </c>
      <c r="F839">
        <v>93</v>
      </c>
      <c r="G839">
        <f t="shared" si="40"/>
        <v>11</v>
      </c>
      <c r="H839">
        <f t="shared" si="41"/>
        <v>2016</v>
      </c>
    </row>
    <row r="840" spans="5:8" x14ac:dyDescent="0.25">
      <c r="E840" s="2">
        <v>42690</v>
      </c>
      <c r="F840">
        <v>93</v>
      </c>
      <c r="G840">
        <f t="shared" si="40"/>
        <v>11</v>
      </c>
      <c r="H840">
        <f t="shared" si="41"/>
        <v>2016</v>
      </c>
    </row>
    <row r="841" spans="5:8" x14ac:dyDescent="0.25">
      <c r="E841" s="2">
        <v>42691</v>
      </c>
      <c r="F841">
        <v>93</v>
      </c>
      <c r="G841">
        <f t="shared" si="40"/>
        <v>11</v>
      </c>
      <c r="H841">
        <f t="shared" si="41"/>
        <v>2016</v>
      </c>
    </row>
    <row r="842" spans="5:8" x14ac:dyDescent="0.25">
      <c r="E842" s="2">
        <v>42692</v>
      </c>
      <c r="F842">
        <v>93</v>
      </c>
      <c r="G842">
        <f t="shared" si="40"/>
        <v>11</v>
      </c>
      <c r="H842">
        <f t="shared" si="41"/>
        <v>2016</v>
      </c>
    </row>
    <row r="843" spans="5:8" x14ac:dyDescent="0.25">
      <c r="E843" s="2">
        <v>42695</v>
      </c>
      <c r="F843">
        <v>92</v>
      </c>
      <c r="G843">
        <f t="shared" si="40"/>
        <v>11</v>
      </c>
      <c r="H843">
        <f t="shared" si="41"/>
        <v>2016</v>
      </c>
    </row>
    <row r="844" spans="5:8" x14ac:dyDescent="0.25">
      <c r="E844" s="2">
        <v>42696</v>
      </c>
      <c r="F844">
        <v>91.5</v>
      </c>
      <c r="G844">
        <f t="shared" si="40"/>
        <v>11</v>
      </c>
      <c r="H844">
        <f t="shared" si="41"/>
        <v>2016</v>
      </c>
    </row>
    <row r="845" spans="5:8" x14ac:dyDescent="0.25">
      <c r="E845" s="2">
        <v>42697</v>
      </c>
      <c r="F845">
        <v>91.5</v>
      </c>
      <c r="G845">
        <f t="shared" si="40"/>
        <v>11</v>
      </c>
      <c r="H845">
        <f t="shared" si="41"/>
        <v>2016</v>
      </c>
    </row>
    <row r="846" spans="5:8" x14ac:dyDescent="0.25">
      <c r="E846" s="2">
        <v>42702</v>
      </c>
      <c r="F846">
        <v>91.5</v>
      </c>
      <c r="G846">
        <f t="shared" si="40"/>
        <v>11</v>
      </c>
      <c r="H846">
        <f t="shared" si="41"/>
        <v>2016</v>
      </c>
    </row>
    <row r="847" spans="5:8" x14ac:dyDescent="0.25">
      <c r="E847" s="2">
        <v>42703</v>
      </c>
      <c r="F847">
        <v>91</v>
      </c>
      <c r="G847">
        <f t="shared" si="40"/>
        <v>11</v>
      </c>
      <c r="H847">
        <f t="shared" si="41"/>
        <v>2016</v>
      </c>
    </row>
    <row r="848" spans="5:8" x14ac:dyDescent="0.25">
      <c r="E848" s="2">
        <v>42704</v>
      </c>
      <c r="F848">
        <v>91</v>
      </c>
      <c r="G848">
        <f t="shared" si="40"/>
        <v>11</v>
      </c>
      <c r="H848">
        <f t="shared" si="41"/>
        <v>2016</v>
      </c>
    </row>
    <row r="849" spans="5:8" x14ac:dyDescent="0.25">
      <c r="E849" s="2">
        <v>42705</v>
      </c>
      <c r="F849">
        <v>91</v>
      </c>
      <c r="G849">
        <f t="shared" si="40"/>
        <v>12</v>
      </c>
      <c r="H849">
        <f t="shared" si="41"/>
        <v>2016</v>
      </c>
    </row>
    <row r="850" spans="5:8" x14ac:dyDescent="0.25">
      <c r="E850" s="2">
        <v>42706</v>
      </c>
      <c r="F850">
        <v>92</v>
      </c>
      <c r="G850">
        <f t="shared" si="40"/>
        <v>12</v>
      </c>
      <c r="H850">
        <f t="shared" si="41"/>
        <v>2016</v>
      </c>
    </row>
    <row r="851" spans="5:8" x14ac:dyDescent="0.25">
      <c r="E851" s="2">
        <v>42709</v>
      </c>
      <c r="F851">
        <v>92</v>
      </c>
      <c r="G851">
        <f t="shared" si="40"/>
        <v>12</v>
      </c>
      <c r="H851">
        <f t="shared" si="41"/>
        <v>2016</v>
      </c>
    </row>
    <row r="852" spans="5:8" x14ac:dyDescent="0.25">
      <c r="E852" s="2">
        <v>42710</v>
      </c>
      <c r="F852">
        <v>92</v>
      </c>
      <c r="G852">
        <f t="shared" si="40"/>
        <v>12</v>
      </c>
      <c r="H852">
        <f t="shared" si="41"/>
        <v>2016</v>
      </c>
    </row>
    <row r="853" spans="5:8" x14ac:dyDescent="0.25">
      <c r="E853" s="2">
        <v>42711</v>
      </c>
      <c r="F853">
        <v>90</v>
      </c>
      <c r="G853">
        <f t="shared" si="40"/>
        <v>12</v>
      </c>
      <c r="H853">
        <f t="shared" si="41"/>
        <v>2016</v>
      </c>
    </row>
    <row r="854" spans="5:8" x14ac:dyDescent="0.25">
      <c r="E854" s="2">
        <v>42712</v>
      </c>
      <c r="F854">
        <v>90</v>
      </c>
      <c r="G854">
        <f t="shared" si="40"/>
        <v>12</v>
      </c>
      <c r="H854">
        <f t="shared" si="41"/>
        <v>2016</v>
      </c>
    </row>
    <row r="855" spans="5:8" x14ac:dyDescent="0.25">
      <c r="E855" s="2">
        <v>42713</v>
      </c>
      <c r="F855">
        <v>90</v>
      </c>
      <c r="G855">
        <f t="shared" si="40"/>
        <v>12</v>
      </c>
      <c r="H855">
        <f t="shared" si="41"/>
        <v>2016</v>
      </c>
    </row>
    <row r="856" spans="5:8" x14ac:dyDescent="0.25">
      <c r="E856" s="2">
        <v>42716</v>
      </c>
      <c r="F856">
        <v>91.5</v>
      </c>
      <c r="G856">
        <f t="shared" si="40"/>
        <v>12</v>
      </c>
      <c r="H856">
        <f t="shared" si="41"/>
        <v>2016</v>
      </c>
    </row>
    <row r="857" spans="5:8" x14ac:dyDescent="0.25">
      <c r="E857" s="2">
        <v>42717</v>
      </c>
      <c r="F857">
        <v>91.5</v>
      </c>
      <c r="G857">
        <f t="shared" si="40"/>
        <v>12</v>
      </c>
      <c r="H857">
        <f t="shared" si="41"/>
        <v>2016</v>
      </c>
    </row>
    <row r="858" spans="5:8" x14ac:dyDescent="0.25">
      <c r="E858" s="2">
        <v>42718</v>
      </c>
      <c r="F858">
        <v>89.5</v>
      </c>
      <c r="G858">
        <f t="shared" si="40"/>
        <v>12</v>
      </c>
      <c r="H858">
        <f t="shared" si="41"/>
        <v>2016</v>
      </c>
    </row>
    <row r="859" spans="5:8" x14ac:dyDescent="0.25">
      <c r="E859" s="2">
        <v>42719</v>
      </c>
      <c r="F859">
        <v>89.5</v>
      </c>
      <c r="G859">
        <f t="shared" si="40"/>
        <v>12</v>
      </c>
      <c r="H859">
        <f t="shared" si="41"/>
        <v>2016</v>
      </c>
    </row>
    <row r="860" spans="5:8" x14ac:dyDescent="0.25">
      <c r="E860" s="2">
        <v>42720</v>
      </c>
      <c r="F860">
        <v>85.5</v>
      </c>
      <c r="G860">
        <f t="shared" si="40"/>
        <v>12</v>
      </c>
      <c r="H860">
        <f t="shared" si="41"/>
        <v>2016</v>
      </c>
    </row>
    <row r="861" spans="5:8" x14ac:dyDescent="0.25">
      <c r="E861" s="2">
        <v>42723</v>
      </c>
      <c r="F861">
        <v>85.5</v>
      </c>
      <c r="G861">
        <f t="shared" si="40"/>
        <v>12</v>
      </c>
      <c r="H861">
        <f t="shared" si="41"/>
        <v>2016</v>
      </c>
    </row>
    <row r="862" spans="5:8" x14ac:dyDescent="0.25">
      <c r="E862" s="2">
        <v>42724</v>
      </c>
      <c r="F862">
        <v>89</v>
      </c>
      <c r="G862">
        <f t="shared" si="40"/>
        <v>12</v>
      </c>
      <c r="H862">
        <f t="shared" si="41"/>
        <v>2016</v>
      </c>
    </row>
    <row r="863" spans="5:8" x14ac:dyDescent="0.25">
      <c r="E863" s="2">
        <v>42725</v>
      </c>
      <c r="F863">
        <v>90.5</v>
      </c>
      <c r="G863">
        <f t="shared" si="40"/>
        <v>12</v>
      </c>
      <c r="H863">
        <f t="shared" si="41"/>
        <v>2016</v>
      </c>
    </row>
    <row r="864" spans="5:8" x14ac:dyDescent="0.25">
      <c r="E864" s="2">
        <v>42726</v>
      </c>
      <c r="F864">
        <v>91</v>
      </c>
      <c r="G864">
        <f t="shared" si="40"/>
        <v>12</v>
      </c>
      <c r="H864">
        <f t="shared" si="41"/>
        <v>2016</v>
      </c>
    </row>
    <row r="865" spans="5:8" x14ac:dyDescent="0.25">
      <c r="E865" s="2">
        <v>42727</v>
      </c>
      <c r="F865">
        <v>91</v>
      </c>
      <c r="G865">
        <f t="shared" si="40"/>
        <v>12</v>
      </c>
      <c r="H865">
        <f t="shared" si="41"/>
        <v>2016</v>
      </c>
    </row>
    <row r="866" spans="5:8" x14ac:dyDescent="0.25">
      <c r="E866" s="2">
        <v>42731</v>
      </c>
      <c r="F866">
        <v>91</v>
      </c>
      <c r="G866">
        <f t="shared" si="40"/>
        <v>12</v>
      </c>
      <c r="H866">
        <f t="shared" si="41"/>
        <v>2016</v>
      </c>
    </row>
    <row r="867" spans="5:8" x14ac:dyDescent="0.25">
      <c r="E867" s="2">
        <v>42732</v>
      </c>
      <c r="F867">
        <v>91</v>
      </c>
      <c r="G867">
        <f t="shared" si="40"/>
        <v>12</v>
      </c>
      <c r="H867">
        <f t="shared" si="41"/>
        <v>2016</v>
      </c>
    </row>
    <row r="868" spans="5:8" x14ac:dyDescent="0.25">
      <c r="E868" s="2">
        <v>42733</v>
      </c>
      <c r="F868">
        <v>91.5</v>
      </c>
      <c r="G868">
        <f t="shared" si="40"/>
        <v>12</v>
      </c>
      <c r="H868">
        <f t="shared" si="41"/>
        <v>2016</v>
      </c>
    </row>
    <row r="869" spans="5:8" x14ac:dyDescent="0.25">
      <c r="E869" s="2">
        <v>42734</v>
      </c>
      <c r="F869">
        <v>91.5</v>
      </c>
      <c r="G869">
        <f t="shared" si="40"/>
        <v>12</v>
      </c>
      <c r="H869">
        <f t="shared" si="41"/>
        <v>2016</v>
      </c>
    </row>
    <row r="870" spans="5:8" x14ac:dyDescent="0.25">
      <c r="E870" s="2">
        <v>42738</v>
      </c>
      <c r="F870">
        <v>93.5</v>
      </c>
      <c r="G870">
        <f t="shared" si="40"/>
        <v>1</v>
      </c>
      <c r="H870">
        <f t="shared" si="41"/>
        <v>2017</v>
      </c>
    </row>
    <row r="871" spans="5:8" x14ac:dyDescent="0.25">
      <c r="E871" s="2">
        <v>42739</v>
      </c>
      <c r="F871">
        <v>95</v>
      </c>
      <c r="G871">
        <f t="shared" si="40"/>
        <v>1</v>
      </c>
      <c r="H871">
        <f t="shared" si="41"/>
        <v>2017</v>
      </c>
    </row>
    <row r="872" spans="5:8" x14ac:dyDescent="0.25">
      <c r="E872" s="2">
        <v>42740</v>
      </c>
      <c r="F872">
        <v>95.5</v>
      </c>
      <c r="G872">
        <f t="shared" si="40"/>
        <v>1</v>
      </c>
      <c r="H872">
        <f t="shared" si="41"/>
        <v>2017</v>
      </c>
    </row>
    <row r="873" spans="5:8" x14ac:dyDescent="0.25">
      <c r="E873" s="2">
        <v>42741</v>
      </c>
      <c r="F873">
        <v>95.5</v>
      </c>
      <c r="G873">
        <f t="shared" si="40"/>
        <v>1</v>
      </c>
      <c r="H873">
        <f t="shared" si="41"/>
        <v>2017</v>
      </c>
    </row>
    <row r="874" spans="5:8" x14ac:dyDescent="0.25">
      <c r="E874" s="2">
        <v>42744</v>
      </c>
      <c r="F874">
        <v>95.5</v>
      </c>
      <c r="G874">
        <f t="shared" si="40"/>
        <v>1</v>
      </c>
      <c r="H874">
        <f t="shared" si="41"/>
        <v>2017</v>
      </c>
    </row>
    <row r="875" spans="5:8" x14ac:dyDescent="0.25">
      <c r="E875" s="2">
        <v>42745</v>
      </c>
      <c r="F875">
        <v>95.5</v>
      </c>
      <c r="G875">
        <f t="shared" si="40"/>
        <v>1</v>
      </c>
      <c r="H875">
        <f t="shared" si="41"/>
        <v>2017</v>
      </c>
    </row>
    <row r="876" spans="5:8" x14ac:dyDescent="0.25">
      <c r="E876" s="2">
        <v>42746</v>
      </c>
      <c r="F876">
        <v>98.5</v>
      </c>
      <c r="G876">
        <f t="shared" si="40"/>
        <v>1</v>
      </c>
      <c r="H876">
        <f t="shared" si="41"/>
        <v>2017</v>
      </c>
    </row>
    <row r="877" spans="5:8" x14ac:dyDescent="0.25">
      <c r="E877" s="2">
        <v>42747</v>
      </c>
      <c r="F877">
        <v>95.5</v>
      </c>
      <c r="G877">
        <f t="shared" si="40"/>
        <v>1</v>
      </c>
      <c r="H877">
        <f t="shared" si="41"/>
        <v>2017</v>
      </c>
    </row>
    <row r="878" spans="5:8" x14ac:dyDescent="0.25">
      <c r="E878" s="2">
        <v>42748</v>
      </c>
      <c r="F878">
        <v>98.5</v>
      </c>
      <c r="G878">
        <f t="shared" si="40"/>
        <v>1</v>
      </c>
      <c r="H878">
        <f t="shared" si="41"/>
        <v>2017</v>
      </c>
    </row>
    <row r="879" spans="5:8" x14ac:dyDescent="0.25">
      <c r="E879" s="2">
        <v>42752</v>
      </c>
      <c r="F879">
        <v>98.5</v>
      </c>
      <c r="G879">
        <f t="shared" si="40"/>
        <v>1</v>
      </c>
      <c r="H879">
        <f t="shared" si="41"/>
        <v>2017</v>
      </c>
    </row>
    <row r="880" spans="5:8" x14ac:dyDescent="0.25">
      <c r="E880" s="2">
        <v>42753</v>
      </c>
      <c r="F880">
        <v>98.5</v>
      </c>
      <c r="G880">
        <f t="shared" si="40"/>
        <v>1</v>
      </c>
      <c r="H880">
        <f t="shared" si="41"/>
        <v>2017</v>
      </c>
    </row>
    <row r="881" spans="5:8" x14ac:dyDescent="0.25">
      <c r="E881" s="2">
        <v>42754</v>
      </c>
      <c r="F881">
        <v>98</v>
      </c>
      <c r="G881">
        <f t="shared" si="40"/>
        <v>1</v>
      </c>
      <c r="H881">
        <f t="shared" si="41"/>
        <v>2017</v>
      </c>
    </row>
    <row r="882" spans="5:8" x14ac:dyDescent="0.25">
      <c r="E882" s="2">
        <v>42755</v>
      </c>
      <c r="F882">
        <v>98</v>
      </c>
      <c r="G882">
        <f t="shared" si="40"/>
        <v>1</v>
      </c>
      <c r="H882">
        <f t="shared" si="41"/>
        <v>2017</v>
      </c>
    </row>
    <row r="883" spans="5:8" x14ac:dyDescent="0.25">
      <c r="E883" s="2">
        <v>42758</v>
      </c>
      <c r="F883">
        <v>98.5</v>
      </c>
      <c r="G883">
        <f t="shared" si="40"/>
        <v>1</v>
      </c>
      <c r="H883">
        <f t="shared" si="41"/>
        <v>2017</v>
      </c>
    </row>
    <row r="884" spans="5:8" x14ac:dyDescent="0.25">
      <c r="E884" s="2">
        <v>42759</v>
      </c>
      <c r="F884">
        <v>98.5</v>
      </c>
      <c r="G884">
        <f t="shared" si="40"/>
        <v>1</v>
      </c>
      <c r="H884">
        <f t="shared" si="41"/>
        <v>2017</v>
      </c>
    </row>
    <row r="885" spans="5:8" x14ac:dyDescent="0.25">
      <c r="E885" s="2">
        <v>42760</v>
      </c>
      <c r="F885">
        <v>99.5</v>
      </c>
      <c r="G885">
        <f t="shared" si="40"/>
        <v>1</v>
      </c>
      <c r="H885">
        <f t="shared" si="41"/>
        <v>2017</v>
      </c>
    </row>
    <row r="886" spans="5:8" x14ac:dyDescent="0.25">
      <c r="E886" s="2">
        <v>42761</v>
      </c>
      <c r="F886">
        <v>100</v>
      </c>
      <c r="G886">
        <f t="shared" si="40"/>
        <v>1</v>
      </c>
      <c r="H886">
        <f t="shared" si="41"/>
        <v>2017</v>
      </c>
    </row>
    <row r="887" spans="5:8" x14ac:dyDescent="0.25">
      <c r="E887" s="2">
        <v>42762</v>
      </c>
      <c r="F887">
        <v>100</v>
      </c>
      <c r="G887">
        <f t="shared" si="40"/>
        <v>1</v>
      </c>
      <c r="H887">
        <f t="shared" si="41"/>
        <v>2017</v>
      </c>
    </row>
    <row r="888" spans="5:8" x14ac:dyDescent="0.25">
      <c r="E888" s="2">
        <v>42765</v>
      </c>
      <c r="F888">
        <v>100.5</v>
      </c>
      <c r="G888">
        <f t="shared" si="40"/>
        <v>1</v>
      </c>
      <c r="H888">
        <f t="shared" si="41"/>
        <v>2017</v>
      </c>
    </row>
    <row r="889" spans="5:8" x14ac:dyDescent="0.25">
      <c r="E889" s="2">
        <v>42766</v>
      </c>
      <c r="F889">
        <v>100.5</v>
      </c>
      <c r="G889">
        <f t="shared" si="40"/>
        <v>1</v>
      </c>
      <c r="H889">
        <f t="shared" si="41"/>
        <v>2017</v>
      </c>
    </row>
    <row r="890" spans="5:8" x14ac:dyDescent="0.25">
      <c r="E890" s="2">
        <v>42767</v>
      </c>
      <c r="F890">
        <v>99.5</v>
      </c>
      <c r="G890">
        <f t="shared" si="40"/>
        <v>2</v>
      </c>
      <c r="H890">
        <f t="shared" si="41"/>
        <v>2017</v>
      </c>
    </row>
    <row r="891" spans="5:8" x14ac:dyDescent="0.25">
      <c r="E891" s="2">
        <v>42768</v>
      </c>
      <c r="F891">
        <v>99</v>
      </c>
      <c r="G891">
        <f t="shared" si="40"/>
        <v>2</v>
      </c>
      <c r="H891">
        <f t="shared" si="41"/>
        <v>2017</v>
      </c>
    </row>
    <row r="892" spans="5:8" x14ac:dyDescent="0.25">
      <c r="E892" s="2">
        <v>42769</v>
      </c>
      <c r="F892">
        <v>98.5</v>
      </c>
      <c r="G892">
        <f t="shared" si="40"/>
        <v>2</v>
      </c>
      <c r="H892">
        <f t="shared" si="41"/>
        <v>2017</v>
      </c>
    </row>
    <row r="893" spans="5:8" x14ac:dyDescent="0.25">
      <c r="E893" s="2">
        <v>42772</v>
      </c>
      <c r="F893">
        <v>97.5</v>
      </c>
      <c r="G893">
        <f t="shared" si="40"/>
        <v>2</v>
      </c>
      <c r="H893">
        <f t="shared" si="41"/>
        <v>2017</v>
      </c>
    </row>
    <row r="894" spans="5:8" x14ac:dyDescent="0.25">
      <c r="E894" s="2">
        <v>42773</v>
      </c>
      <c r="F894">
        <v>98</v>
      </c>
      <c r="G894">
        <f t="shared" si="40"/>
        <v>2</v>
      </c>
      <c r="H894">
        <f t="shared" si="41"/>
        <v>2017</v>
      </c>
    </row>
    <row r="895" spans="5:8" x14ac:dyDescent="0.25">
      <c r="E895" s="2">
        <v>42774</v>
      </c>
      <c r="F895">
        <v>98</v>
      </c>
      <c r="G895">
        <f t="shared" si="40"/>
        <v>2</v>
      </c>
      <c r="H895">
        <f t="shared" si="41"/>
        <v>2017</v>
      </c>
    </row>
    <row r="896" spans="5:8" x14ac:dyDescent="0.25">
      <c r="E896" s="2">
        <v>42775</v>
      </c>
      <c r="F896">
        <v>98</v>
      </c>
      <c r="G896">
        <f t="shared" si="40"/>
        <v>2</v>
      </c>
      <c r="H896">
        <f t="shared" si="41"/>
        <v>2017</v>
      </c>
    </row>
    <row r="897" spans="5:8" x14ac:dyDescent="0.25">
      <c r="E897" s="2">
        <v>42776</v>
      </c>
      <c r="F897">
        <v>95</v>
      </c>
      <c r="G897">
        <f t="shared" si="40"/>
        <v>2</v>
      </c>
      <c r="H897">
        <f t="shared" si="41"/>
        <v>2017</v>
      </c>
    </row>
    <row r="898" spans="5:8" x14ac:dyDescent="0.25">
      <c r="E898" s="2">
        <v>42779</v>
      </c>
      <c r="F898">
        <v>94</v>
      </c>
      <c r="G898">
        <f t="shared" si="40"/>
        <v>2</v>
      </c>
      <c r="H898">
        <f t="shared" si="41"/>
        <v>2017</v>
      </c>
    </row>
    <row r="899" spans="5:8" x14ac:dyDescent="0.25">
      <c r="E899" s="2">
        <v>42780</v>
      </c>
      <c r="F899">
        <v>94</v>
      </c>
      <c r="G899">
        <f t="shared" si="40"/>
        <v>2</v>
      </c>
      <c r="H899">
        <f t="shared" si="41"/>
        <v>2017</v>
      </c>
    </row>
    <row r="900" spans="5:8" x14ac:dyDescent="0.25">
      <c r="E900" s="2">
        <v>42781</v>
      </c>
      <c r="F900">
        <v>93.5</v>
      </c>
      <c r="G900">
        <f t="shared" si="40"/>
        <v>2</v>
      </c>
      <c r="H900">
        <f t="shared" si="41"/>
        <v>2017</v>
      </c>
    </row>
    <row r="901" spans="5:8" x14ac:dyDescent="0.25">
      <c r="E901" s="2">
        <v>42782</v>
      </c>
      <c r="F901">
        <v>93.5</v>
      </c>
      <c r="G901">
        <f t="shared" ref="G901:G964" si="42">MONTH(E901)</f>
        <v>2</v>
      </c>
      <c r="H901">
        <f t="shared" ref="H901:H964" si="43">YEAR(E901)</f>
        <v>2017</v>
      </c>
    </row>
    <row r="902" spans="5:8" x14ac:dyDescent="0.25">
      <c r="E902" s="2">
        <v>42783</v>
      </c>
      <c r="F902">
        <v>93.5</v>
      </c>
      <c r="G902">
        <f t="shared" si="42"/>
        <v>2</v>
      </c>
      <c r="H902">
        <f t="shared" si="43"/>
        <v>2017</v>
      </c>
    </row>
    <row r="903" spans="5:8" x14ac:dyDescent="0.25">
      <c r="E903" s="2">
        <v>42787</v>
      </c>
      <c r="F903">
        <v>93.5</v>
      </c>
      <c r="G903">
        <f t="shared" si="42"/>
        <v>2</v>
      </c>
      <c r="H903">
        <f t="shared" si="43"/>
        <v>2017</v>
      </c>
    </row>
    <row r="904" spans="5:8" x14ac:dyDescent="0.25">
      <c r="E904" s="2">
        <v>42788</v>
      </c>
      <c r="F904">
        <v>94.5</v>
      </c>
      <c r="G904">
        <f t="shared" si="42"/>
        <v>2</v>
      </c>
      <c r="H904">
        <f t="shared" si="43"/>
        <v>2017</v>
      </c>
    </row>
    <row r="905" spans="5:8" x14ac:dyDescent="0.25">
      <c r="E905" s="2">
        <v>42789</v>
      </c>
      <c r="F905">
        <v>94.5</v>
      </c>
      <c r="G905">
        <f t="shared" si="42"/>
        <v>2</v>
      </c>
      <c r="H905">
        <f t="shared" si="43"/>
        <v>2017</v>
      </c>
    </row>
    <row r="906" spans="5:8" x14ac:dyDescent="0.25">
      <c r="E906" s="2">
        <v>42790</v>
      </c>
      <c r="F906">
        <v>93.5</v>
      </c>
      <c r="G906">
        <f t="shared" si="42"/>
        <v>2</v>
      </c>
      <c r="H906">
        <f t="shared" si="43"/>
        <v>2017</v>
      </c>
    </row>
    <row r="907" spans="5:8" x14ac:dyDescent="0.25">
      <c r="E907" s="2">
        <v>42793</v>
      </c>
      <c r="F907">
        <v>94</v>
      </c>
      <c r="G907">
        <f t="shared" si="42"/>
        <v>2</v>
      </c>
      <c r="H907">
        <f t="shared" si="43"/>
        <v>2017</v>
      </c>
    </row>
    <row r="908" spans="5:8" x14ac:dyDescent="0.25">
      <c r="E908" s="2">
        <v>42794</v>
      </c>
      <c r="F908">
        <v>94</v>
      </c>
      <c r="G908">
        <f t="shared" si="42"/>
        <v>2</v>
      </c>
      <c r="H908">
        <f t="shared" si="43"/>
        <v>2017</v>
      </c>
    </row>
    <row r="909" spans="5:8" x14ac:dyDescent="0.25">
      <c r="E909" s="2">
        <v>42795</v>
      </c>
      <c r="F909">
        <v>94</v>
      </c>
      <c r="G909">
        <f t="shared" si="42"/>
        <v>3</v>
      </c>
      <c r="H909">
        <f t="shared" si="43"/>
        <v>2017</v>
      </c>
    </row>
    <row r="910" spans="5:8" x14ac:dyDescent="0.25">
      <c r="E910" s="2">
        <v>42796</v>
      </c>
      <c r="F910">
        <v>92</v>
      </c>
      <c r="G910">
        <f t="shared" si="42"/>
        <v>3</v>
      </c>
      <c r="H910">
        <f t="shared" si="43"/>
        <v>2017</v>
      </c>
    </row>
    <row r="911" spans="5:8" x14ac:dyDescent="0.25">
      <c r="E911" s="2">
        <v>42797</v>
      </c>
      <c r="F911">
        <v>90</v>
      </c>
      <c r="G911">
        <f t="shared" si="42"/>
        <v>3</v>
      </c>
      <c r="H911">
        <f t="shared" si="43"/>
        <v>2017</v>
      </c>
    </row>
    <row r="912" spans="5:8" x14ac:dyDescent="0.25">
      <c r="E912" s="2">
        <v>42800</v>
      </c>
      <c r="F912">
        <v>90</v>
      </c>
      <c r="G912">
        <f t="shared" si="42"/>
        <v>3</v>
      </c>
      <c r="H912">
        <f t="shared" si="43"/>
        <v>2017</v>
      </c>
    </row>
    <row r="913" spans="5:8" x14ac:dyDescent="0.25">
      <c r="E913" s="2">
        <v>42801</v>
      </c>
      <c r="F913">
        <v>90</v>
      </c>
      <c r="G913">
        <f t="shared" si="42"/>
        <v>3</v>
      </c>
      <c r="H913">
        <f t="shared" si="43"/>
        <v>2017</v>
      </c>
    </row>
    <row r="914" spans="5:8" x14ac:dyDescent="0.25">
      <c r="E914" s="2">
        <v>42802</v>
      </c>
      <c r="F914">
        <v>90</v>
      </c>
      <c r="G914">
        <f t="shared" si="42"/>
        <v>3</v>
      </c>
      <c r="H914">
        <f t="shared" si="43"/>
        <v>2017</v>
      </c>
    </row>
    <row r="915" spans="5:8" x14ac:dyDescent="0.25">
      <c r="E915" s="2">
        <v>42803</v>
      </c>
      <c r="F915">
        <v>86</v>
      </c>
      <c r="G915">
        <f t="shared" si="42"/>
        <v>3</v>
      </c>
      <c r="H915">
        <f t="shared" si="43"/>
        <v>2017</v>
      </c>
    </row>
    <row r="916" spans="5:8" x14ac:dyDescent="0.25">
      <c r="E916" s="2">
        <v>42804</v>
      </c>
      <c r="F916">
        <v>85</v>
      </c>
      <c r="G916">
        <f t="shared" si="42"/>
        <v>3</v>
      </c>
      <c r="H916">
        <f t="shared" si="43"/>
        <v>2017</v>
      </c>
    </row>
    <row r="917" spans="5:8" x14ac:dyDescent="0.25">
      <c r="E917" s="2">
        <v>42807</v>
      </c>
      <c r="F917">
        <v>85</v>
      </c>
      <c r="G917">
        <f t="shared" si="42"/>
        <v>3</v>
      </c>
      <c r="H917">
        <f t="shared" si="43"/>
        <v>2017</v>
      </c>
    </row>
    <row r="918" spans="5:8" x14ac:dyDescent="0.25">
      <c r="E918" s="2">
        <v>42808</v>
      </c>
      <c r="F918">
        <v>87</v>
      </c>
      <c r="G918">
        <f t="shared" si="42"/>
        <v>3</v>
      </c>
      <c r="H918">
        <f t="shared" si="43"/>
        <v>2017</v>
      </c>
    </row>
    <row r="919" spans="5:8" x14ac:dyDescent="0.25">
      <c r="E919" s="2">
        <v>42809</v>
      </c>
      <c r="F919">
        <v>84</v>
      </c>
      <c r="G919">
        <f t="shared" si="42"/>
        <v>3</v>
      </c>
      <c r="H919">
        <f t="shared" si="43"/>
        <v>2017</v>
      </c>
    </row>
    <row r="920" spans="5:8" x14ac:dyDescent="0.25">
      <c r="E920" s="2">
        <v>42810</v>
      </c>
      <c r="F920">
        <v>85</v>
      </c>
      <c r="G920">
        <f t="shared" si="42"/>
        <v>3</v>
      </c>
      <c r="H920">
        <f t="shared" si="43"/>
        <v>2017</v>
      </c>
    </row>
    <row r="921" spans="5:8" x14ac:dyDescent="0.25">
      <c r="E921" s="2">
        <v>42811</v>
      </c>
      <c r="F921">
        <v>82</v>
      </c>
      <c r="G921">
        <f t="shared" si="42"/>
        <v>3</v>
      </c>
      <c r="H921">
        <f t="shared" si="43"/>
        <v>2017</v>
      </c>
    </row>
    <row r="922" spans="5:8" x14ac:dyDescent="0.25">
      <c r="E922" s="2">
        <v>42814</v>
      </c>
      <c r="F922">
        <v>82</v>
      </c>
      <c r="G922">
        <f t="shared" si="42"/>
        <v>3</v>
      </c>
      <c r="H922">
        <f t="shared" si="43"/>
        <v>2017</v>
      </c>
    </row>
    <row r="923" spans="5:8" x14ac:dyDescent="0.25">
      <c r="E923" s="2">
        <v>42815</v>
      </c>
      <c r="F923">
        <v>81</v>
      </c>
      <c r="G923">
        <f t="shared" si="42"/>
        <v>3</v>
      </c>
      <c r="H923">
        <f t="shared" si="43"/>
        <v>2017</v>
      </c>
    </row>
    <row r="924" spans="5:8" x14ac:dyDescent="0.25">
      <c r="E924" s="2">
        <v>42816</v>
      </c>
      <c r="F924">
        <v>79.5</v>
      </c>
      <c r="G924">
        <f t="shared" si="42"/>
        <v>3</v>
      </c>
      <c r="H924">
        <f t="shared" si="43"/>
        <v>2017</v>
      </c>
    </row>
    <row r="925" spans="5:8" x14ac:dyDescent="0.25">
      <c r="E925" s="2">
        <v>42817</v>
      </c>
      <c r="F925">
        <v>77.5</v>
      </c>
      <c r="G925">
        <f t="shared" si="42"/>
        <v>3</v>
      </c>
      <c r="H925">
        <f t="shared" si="43"/>
        <v>2017</v>
      </c>
    </row>
    <row r="926" spans="5:8" x14ac:dyDescent="0.25">
      <c r="E926" s="2">
        <v>42818</v>
      </c>
      <c r="F926">
        <v>77</v>
      </c>
      <c r="G926">
        <f t="shared" si="42"/>
        <v>3</v>
      </c>
      <c r="H926">
        <f t="shared" si="43"/>
        <v>2017</v>
      </c>
    </row>
    <row r="927" spans="5:8" x14ac:dyDescent="0.25">
      <c r="E927" s="2">
        <v>42821</v>
      </c>
      <c r="F927">
        <v>77</v>
      </c>
      <c r="G927">
        <f t="shared" si="42"/>
        <v>3</v>
      </c>
      <c r="H927">
        <f t="shared" si="43"/>
        <v>2017</v>
      </c>
    </row>
    <row r="928" spans="5:8" x14ac:dyDescent="0.25">
      <c r="E928" s="2">
        <v>42822</v>
      </c>
      <c r="F928">
        <v>77</v>
      </c>
      <c r="G928">
        <f t="shared" si="42"/>
        <v>3</v>
      </c>
      <c r="H928">
        <f t="shared" si="43"/>
        <v>2017</v>
      </c>
    </row>
    <row r="929" spans="5:8" x14ac:dyDescent="0.25">
      <c r="E929" s="2">
        <v>42823</v>
      </c>
      <c r="F929">
        <v>77</v>
      </c>
      <c r="G929">
        <f t="shared" si="42"/>
        <v>3</v>
      </c>
      <c r="H929">
        <f t="shared" si="43"/>
        <v>2017</v>
      </c>
    </row>
    <row r="930" spans="5:8" x14ac:dyDescent="0.25">
      <c r="E930" s="2">
        <v>42824</v>
      </c>
      <c r="F930">
        <v>78.5</v>
      </c>
      <c r="G930">
        <f t="shared" si="42"/>
        <v>3</v>
      </c>
      <c r="H930">
        <f t="shared" si="43"/>
        <v>2017</v>
      </c>
    </row>
    <row r="931" spans="5:8" x14ac:dyDescent="0.25">
      <c r="E931" s="2">
        <v>42825</v>
      </c>
      <c r="F931">
        <v>81.5</v>
      </c>
      <c r="G931">
        <f t="shared" si="42"/>
        <v>3</v>
      </c>
      <c r="H931">
        <f t="shared" si="43"/>
        <v>2017</v>
      </c>
    </row>
    <row r="932" spans="5:8" x14ac:dyDescent="0.25">
      <c r="E932" s="2">
        <v>42828</v>
      </c>
      <c r="F932">
        <v>81.5</v>
      </c>
      <c r="G932">
        <f t="shared" si="42"/>
        <v>4</v>
      </c>
      <c r="H932">
        <f t="shared" si="43"/>
        <v>2017</v>
      </c>
    </row>
    <row r="933" spans="5:8" x14ac:dyDescent="0.25">
      <c r="E933" s="2">
        <v>42829</v>
      </c>
      <c r="F933">
        <v>81.5</v>
      </c>
      <c r="G933">
        <f t="shared" si="42"/>
        <v>4</v>
      </c>
      <c r="H933">
        <f t="shared" si="43"/>
        <v>2017</v>
      </c>
    </row>
    <row r="934" spans="5:8" x14ac:dyDescent="0.25">
      <c r="E934" s="2">
        <v>42830</v>
      </c>
      <c r="F934">
        <v>81.5</v>
      </c>
      <c r="G934">
        <f t="shared" si="42"/>
        <v>4</v>
      </c>
      <c r="H934">
        <f t="shared" si="43"/>
        <v>2017</v>
      </c>
    </row>
    <row r="935" spans="5:8" x14ac:dyDescent="0.25">
      <c r="E935" s="2">
        <v>42831</v>
      </c>
      <c r="F935">
        <v>81.5</v>
      </c>
      <c r="G935">
        <f t="shared" si="42"/>
        <v>4</v>
      </c>
      <c r="H935">
        <f t="shared" si="43"/>
        <v>2017</v>
      </c>
    </row>
    <row r="936" spans="5:8" x14ac:dyDescent="0.25">
      <c r="E936" s="2">
        <v>42832</v>
      </c>
      <c r="F936">
        <v>78</v>
      </c>
      <c r="G936">
        <f t="shared" si="42"/>
        <v>4</v>
      </c>
      <c r="H936">
        <f t="shared" si="43"/>
        <v>2017</v>
      </c>
    </row>
    <row r="937" spans="5:8" x14ac:dyDescent="0.25">
      <c r="E937" s="2">
        <v>42835</v>
      </c>
      <c r="F937">
        <v>78</v>
      </c>
      <c r="G937">
        <f t="shared" si="42"/>
        <v>4</v>
      </c>
      <c r="H937">
        <f t="shared" si="43"/>
        <v>2017</v>
      </c>
    </row>
    <row r="938" spans="5:8" x14ac:dyDescent="0.25">
      <c r="E938" s="2">
        <v>42836</v>
      </c>
      <c r="F938">
        <v>80</v>
      </c>
      <c r="G938">
        <f t="shared" si="42"/>
        <v>4</v>
      </c>
      <c r="H938">
        <f t="shared" si="43"/>
        <v>2017</v>
      </c>
    </row>
    <row r="939" spans="5:8" x14ac:dyDescent="0.25">
      <c r="E939" s="2">
        <v>42837</v>
      </c>
      <c r="F939">
        <v>80.5</v>
      </c>
      <c r="G939">
        <f t="shared" si="42"/>
        <v>4</v>
      </c>
      <c r="H939">
        <f t="shared" si="43"/>
        <v>2017</v>
      </c>
    </row>
    <row r="940" spans="5:8" x14ac:dyDescent="0.25">
      <c r="E940" s="2">
        <v>42838</v>
      </c>
      <c r="F940">
        <v>80.5</v>
      </c>
      <c r="G940">
        <f t="shared" si="42"/>
        <v>4</v>
      </c>
      <c r="H940">
        <f t="shared" si="43"/>
        <v>2017</v>
      </c>
    </row>
    <row r="941" spans="5:8" x14ac:dyDescent="0.25">
      <c r="E941" s="2">
        <v>42842</v>
      </c>
      <c r="F941">
        <v>77.75</v>
      </c>
      <c r="G941">
        <f t="shared" si="42"/>
        <v>4</v>
      </c>
      <c r="H941">
        <f t="shared" si="43"/>
        <v>2017</v>
      </c>
    </row>
    <row r="942" spans="5:8" x14ac:dyDescent="0.25">
      <c r="E942" s="2">
        <v>42843</v>
      </c>
      <c r="F942">
        <v>77.75</v>
      </c>
      <c r="G942">
        <f t="shared" si="42"/>
        <v>4</v>
      </c>
      <c r="H942">
        <f t="shared" si="43"/>
        <v>2017</v>
      </c>
    </row>
    <row r="943" spans="5:8" x14ac:dyDescent="0.25">
      <c r="E943" s="2">
        <v>42844</v>
      </c>
      <c r="F943">
        <v>77.5</v>
      </c>
      <c r="G943">
        <f t="shared" si="42"/>
        <v>4</v>
      </c>
      <c r="H943">
        <f t="shared" si="43"/>
        <v>2017</v>
      </c>
    </row>
    <row r="944" spans="5:8" x14ac:dyDescent="0.25">
      <c r="E944" s="2">
        <v>42845</v>
      </c>
      <c r="F944">
        <v>78</v>
      </c>
      <c r="G944">
        <f t="shared" si="42"/>
        <v>4</v>
      </c>
      <c r="H944">
        <f t="shared" si="43"/>
        <v>2017</v>
      </c>
    </row>
    <row r="945" spans="5:8" x14ac:dyDescent="0.25">
      <c r="E945" s="2">
        <v>42846</v>
      </c>
      <c r="F945">
        <v>76.5</v>
      </c>
      <c r="G945">
        <f t="shared" si="42"/>
        <v>4</v>
      </c>
      <c r="H945">
        <f t="shared" si="43"/>
        <v>2017</v>
      </c>
    </row>
    <row r="946" spans="5:8" x14ac:dyDescent="0.25">
      <c r="E946" s="2">
        <v>42849</v>
      </c>
      <c r="F946">
        <v>76.5</v>
      </c>
      <c r="G946">
        <f t="shared" si="42"/>
        <v>4</v>
      </c>
      <c r="H946">
        <f t="shared" si="43"/>
        <v>2017</v>
      </c>
    </row>
    <row r="947" spans="5:8" x14ac:dyDescent="0.25">
      <c r="E947" s="2">
        <v>42850</v>
      </c>
      <c r="F947">
        <v>76.5</v>
      </c>
      <c r="G947">
        <f t="shared" si="42"/>
        <v>4</v>
      </c>
      <c r="H947">
        <f t="shared" si="43"/>
        <v>2017</v>
      </c>
    </row>
    <row r="948" spans="5:8" x14ac:dyDescent="0.25">
      <c r="E948" s="2">
        <v>42851</v>
      </c>
      <c r="F948">
        <v>76.5</v>
      </c>
      <c r="G948">
        <f t="shared" si="42"/>
        <v>4</v>
      </c>
      <c r="H948">
        <f t="shared" si="43"/>
        <v>2017</v>
      </c>
    </row>
    <row r="949" spans="5:8" x14ac:dyDescent="0.25">
      <c r="E949" s="2">
        <v>42852</v>
      </c>
      <c r="F949">
        <v>77</v>
      </c>
      <c r="G949">
        <f t="shared" si="42"/>
        <v>4</v>
      </c>
      <c r="H949">
        <f t="shared" si="43"/>
        <v>2017</v>
      </c>
    </row>
    <row r="950" spans="5:8" x14ac:dyDescent="0.25">
      <c r="E950" s="2">
        <v>42853</v>
      </c>
      <c r="F950">
        <v>77</v>
      </c>
      <c r="G950">
        <f t="shared" si="42"/>
        <v>4</v>
      </c>
      <c r="H950">
        <f t="shared" si="43"/>
        <v>2017</v>
      </c>
    </row>
    <row r="951" spans="5:8" x14ac:dyDescent="0.25">
      <c r="E951" s="2">
        <v>42856</v>
      </c>
      <c r="F951">
        <v>77</v>
      </c>
      <c r="G951">
        <f t="shared" si="42"/>
        <v>5</v>
      </c>
      <c r="H951">
        <f t="shared" si="43"/>
        <v>2017</v>
      </c>
    </row>
    <row r="952" spans="5:8" x14ac:dyDescent="0.25">
      <c r="E952" s="2">
        <v>42857</v>
      </c>
      <c r="F952">
        <v>76.5</v>
      </c>
      <c r="G952">
        <f t="shared" si="42"/>
        <v>5</v>
      </c>
      <c r="H952">
        <f t="shared" si="43"/>
        <v>2017</v>
      </c>
    </row>
    <row r="953" spans="5:8" x14ac:dyDescent="0.25">
      <c r="E953" s="2">
        <v>42858</v>
      </c>
      <c r="F953">
        <v>76.5</v>
      </c>
      <c r="G953">
        <f t="shared" si="42"/>
        <v>5</v>
      </c>
      <c r="H953">
        <f t="shared" si="43"/>
        <v>2017</v>
      </c>
    </row>
    <row r="954" spans="5:8" x14ac:dyDescent="0.25">
      <c r="E954" s="2">
        <v>42859</v>
      </c>
      <c r="F954">
        <v>76.5</v>
      </c>
      <c r="G954">
        <f t="shared" si="42"/>
        <v>5</v>
      </c>
      <c r="H954">
        <f t="shared" si="43"/>
        <v>2017</v>
      </c>
    </row>
    <row r="955" spans="5:8" x14ac:dyDescent="0.25">
      <c r="E955" s="2">
        <v>42860</v>
      </c>
      <c r="F955">
        <v>75.5</v>
      </c>
      <c r="G955">
        <f t="shared" si="42"/>
        <v>5</v>
      </c>
      <c r="H955">
        <f t="shared" si="43"/>
        <v>2017</v>
      </c>
    </row>
    <row r="956" spans="5:8" x14ac:dyDescent="0.25">
      <c r="E956" s="2">
        <v>42863</v>
      </c>
      <c r="F956">
        <v>75.5</v>
      </c>
      <c r="G956">
        <f t="shared" si="42"/>
        <v>5</v>
      </c>
      <c r="H956">
        <f t="shared" si="43"/>
        <v>2017</v>
      </c>
    </row>
    <row r="957" spans="5:8" x14ac:dyDescent="0.25">
      <c r="E957" s="2">
        <v>42864</v>
      </c>
      <c r="F957">
        <v>75.5</v>
      </c>
      <c r="G957">
        <f t="shared" si="42"/>
        <v>5</v>
      </c>
      <c r="H957">
        <f t="shared" si="43"/>
        <v>2017</v>
      </c>
    </row>
    <row r="958" spans="5:8" x14ac:dyDescent="0.25">
      <c r="E958" s="2">
        <v>42865</v>
      </c>
      <c r="F958">
        <v>75.5</v>
      </c>
      <c r="G958">
        <f t="shared" si="42"/>
        <v>5</v>
      </c>
      <c r="H958">
        <f t="shared" si="43"/>
        <v>2017</v>
      </c>
    </row>
    <row r="959" spans="5:8" x14ac:dyDescent="0.25">
      <c r="E959" s="2">
        <v>42866</v>
      </c>
      <c r="F959">
        <v>75.5</v>
      </c>
      <c r="G959">
        <f t="shared" si="42"/>
        <v>5</v>
      </c>
      <c r="H959">
        <f t="shared" si="43"/>
        <v>2017</v>
      </c>
    </row>
    <row r="960" spans="5:8" x14ac:dyDescent="0.25">
      <c r="E960" s="2">
        <v>42867</v>
      </c>
      <c r="F960">
        <v>75</v>
      </c>
      <c r="G960">
        <f t="shared" si="42"/>
        <v>5</v>
      </c>
      <c r="H960">
        <f t="shared" si="43"/>
        <v>2017</v>
      </c>
    </row>
    <row r="961" spans="5:8" x14ac:dyDescent="0.25">
      <c r="E961" s="2">
        <v>42870</v>
      </c>
      <c r="F961">
        <v>73</v>
      </c>
      <c r="G961">
        <f t="shared" si="42"/>
        <v>5</v>
      </c>
      <c r="H961">
        <f t="shared" si="43"/>
        <v>2017</v>
      </c>
    </row>
    <row r="962" spans="5:8" x14ac:dyDescent="0.25">
      <c r="E962" s="2">
        <v>42871</v>
      </c>
      <c r="F962">
        <v>73</v>
      </c>
      <c r="G962">
        <f t="shared" si="42"/>
        <v>5</v>
      </c>
      <c r="H962">
        <f t="shared" si="43"/>
        <v>2017</v>
      </c>
    </row>
    <row r="963" spans="5:8" x14ac:dyDescent="0.25">
      <c r="E963" s="2">
        <v>42872</v>
      </c>
      <c r="F963">
        <v>73</v>
      </c>
      <c r="G963">
        <f t="shared" si="42"/>
        <v>5</v>
      </c>
      <c r="H963">
        <f t="shared" si="43"/>
        <v>2017</v>
      </c>
    </row>
    <row r="964" spans="5:8" x14ac:dyDescent="0.25">
      <c r="E964" s="2">
        <v>42873</v>
      </c>
      <c r="F964">
        <v>66</v>
      </c>
      <c r="G964">
        <f t="shared" si="42"/>
        <v>5</v>
      </c>
      <c r="H964">
        <f t="shared" si="43"/>
        <v>2017</v>
      </c>
    </row>
    <row r="965" spans="5:8" x14ac:dyDescent="0.25">
      <c r="E965" s="2">
        <v>42874</v>
      </c>
      <c r="F965">
        <v>66</v>
      </c>
      <c r="G965">
        <f t="shared" ref="G965:G1028" si="44">MONTH(E965)</f>
        <v>5</v>
      </c>
      <c r="H965">
        <f t="shared" ref="H965:H1028" si="45">YEAR(E965)</f>
        <v>2017</v>
      </c>
    </row>
    <row r="966" spans="5:8" x14ac:dyDescent="0.25">
      <c r="E966" s="2">
        <v>42877</v>
      </c>
      <c r="F966">
        <v>72.5</v>
      </c>
      <c r="G966">
        <f t="shared" si="44"/>
        <v>5</v>
      </c>
      <c r="H966">
        <f t="shared" si="45"/>
        <v>2017</v>
      </c>
    </row>
    <row r="967" spans="5:8" x14ac:dyDescent="0.25">
      <c r="E967" s="2">
        <v>42878</v>
      </c>
      <c r="F967">
        <v>69</v>
      </c>
      <c r="G967">
        <f t="shared" si="44"/>
        <v>5</v>
      </c>
      <c r="H967">
        <f t="shared" si="45"/>
        <v>2017</v>
      </c>
    </row>
    <row r="968" spans="5:8" x14ac:dyDescent="0.25">
      <c r="E968" s="2">
        <v>42879</v>
      </c>
      <c r="F968">
        <v>69</v>
      </c>
      <c r="G968">
        <f t="shared" si="44"/>
        <v>5</v>
      </c>
      <c r="H968">
        <f t="shared" si="45"/>
        <v>2017</v>
      </c>
    </row>
    <row r="969" spans="5:8" x14ac:dyDescent="0.25">
      <c r="E969" s="2">
        <v>42880</v>
      </c>
      <c r="F969">
        <v>69</v>
      </c>
      <c r="G969">
        <f t="shared" si="44"/>
        <v>5</v>
      </c>
      <c r="H969">
        <f t="shared" si="45"/>
        <v>2017</v>
      </c>
    </row>
    <row r="970" spans="5:8" x14ac:dyDescent="0.25">
      <c r="E970" s="2">
        <v>42881</v>
      </c>
      <c r="F970">
        <v>69</v>
      </c>
      <c r="G970">
        <f t="shared" si="44"/>
        <v>5</v>
      </c>
      <c r="H970">
        <f t="shared" si="45"/>
        <v>2017</v>
      </c>
    </row>
    <row r="971" spans="5:8" x14ac:dyDescent="0.25">
      <c r="E971" s="2">
        <v>42885</v>
      </c>
      <c r="F971">
        <v>69</v>
      </c>
      <c r="G971">
        <f t="shared" si="44"/>
        <v>5</v>
      </c>
      <c r="H971">
        <f t="shared" si="45"/>
        <v>2017</v>
      </c>
    </row>
    <row r="972" spans="5:8" x14ac:dyDescent="0.25">
      <c r="E972" s="2">
        <v>42886</v>
      </c>
      <c r="F972">
        <v>69</v>
      </c>
      <c r="G972">
        <f t="shared" si="44"/>
        <v>5</v>
      </c>
      <c r="H972">
        <f t="shared" si="45"/>
        <v>2017</v>
      </c>
    </row>
    <row r="973" spans="5:8" x14ac:dyDescent="0.25">
      <c r="E973" s="2">
        <v>42887</v>
      </c>
      <c r="F973">
        <v>69</v>
      </c>
      <c r="G973">
        <f t="shared" si="44"/>
        <v>6</v>
      </c>
      <c r="H973">
        <f t="shared" si="45"/>
        <v>2017</v>
      </c>
    </row>
    <row r="974" spans="5:8" x14ac:dyDescent="0.25">
      <c r="E974" s="2">
        <v>42888</v>
      </c>
      <c r="F974">
        <v>69</v>
      </c>
      <c r="G974">
        <f t="shared" si="44"/>
        <v>6</v>
      </c>
      <c r="H974">
        <f t="shared" si="45"/>
        <v>2017</v>
      </c>
    </row>
    <row r="975" spans="5:8" x14ac:dyDescent="0.25">
      <c r="E975" s="2">
        <v>42891</v>
      </c>
      <c r="F975">
        <v>69</v>
      </c>
      <c r="G975">
        <f t="shared" si="44"/>
        <v>6</v>
      </c>
      <c r="H975">
        <f t="shared" si="45"/>
        <v>2017</v>
      </c>
    </row>
    <row r="976" spans="5:8" x14ac:dyDescent="0.25">
      <c r="E976" s="2">
        <v>42892</v>
      </c>
      <c r="F976">
        <v>69</v>
      </c>
      <c r="G976">
        <f t="shared" si="44"/>
        <v>6</v>
      </c>
      <c r="H976">
        <f t="shared" si="45"/>
        <v>2017</v>
      </c>
    </row>
    <row r="977" spans="5:8" x14ac:dyDescent="0.25">
      <c r="E977" s="2">
        <v>42893</v>
      </c>
      <c r="F977">
        <v>70</v>
      </c>
      <c r="G977">
        <f t="shared" si="44"/>
        <v>6</v>
      </c>
      <c r="H977">
        <f t="shared" si="45"/>
        <v>2017</v>
      </c>
    </row>
    <row r="978" spans="5:8" x14ac:dyDescent="0.25">
      <c r="E978" s="2">
        <v>42894</v>
      </c>
      <c r="F978">
        <v>70</v>
      </c>
      <c r="G978">
        <f t="shared" si="44"/>
        <v>6</v>
      </c>
      <c r="H978">
        <f t="shared" si="45"/>
        <v>2017</v>
      </c>
    </row>
    <row r="979" spans="5:8" x14ac:dyDescent="0.25">
      <c r="E979" s="2">
        <v>42895</v>
      </c>
      <c r="F979">
        <v>70</v>
      </c>
      <c r="G979">
        <f t="shared" si="44"/>
        <v>6</v>
      </c>
      <c r="H979">
        <f t="shared" si="45"/>
        <v>2017</v>
      </c>
    </row>
    <row r="980" spans="5:8" x14ac:dyDescent="0.25">
      <c r="E980" s="2">
        <v>42898</v>
      </c>
      <c r="F980">
        <v>70.5</v>
      </c>
      <c r="G980">
        <f t="shared" si="44"/>
        <v>6</v>
      </c>
      <c r="H980">
        <f t="shared" si="45"/>
        <v>2017</v>
      </c>
    </row>
    <row r="981" spans="5:8" x14ac:dyDescent="0.25">
      <c r="E981" s="2">
        <v>42899</v>
      </c>
      <c r="F981">
        <v>74</v>
      </c>
      <c r="G981">
        <f t="shared" si="44"/>
        <v>6</v>
      </c>
      <c r="H981">
        <f t="shared" si="45"/>
        <v>2017</v>
      </c>
    </row>
    <row r="982" spans="5:8" x14ac:dyDescent="0.25">
      <c r="E982" s="2">
        <v>42900</v>
      </c>
      <c r="F982">
        <v>76.5</v>
      </c>
      <c r="G982">
        <f t="shared" si="44"/>
        <v>6</v>
      </c>
      <c r="H982">
        <f t="shared" si="45"/>
        <v>2017</v>
      </c>
    </row>
    <row r="983" spans="5:8" x14ac:dyDescent="0.25">
      <c r="E983" s="2">
        <v>42901</v>
      </c>
      <c r="F983">
        <v>77.5</v>
      </c>
      <c r="G983">
        <f t="shared" si="44"/>
        <v>6</v>
      </c>
      <c r="H983">
        <f t="shared" si="45"/>
        <v>2017</v>
      </c>
    </row>
    <row r="984" spans="5:8" x14ac:dyDescent="0.25">
      <c r="E984" s="2">
        <v>42902</v>
      </c>
      <c r="F984">
        <v>81</v>
      </c>
      <c r="G984">
        <f t="shared" si="44"/>
        <v>6</v>
      </c>
      <c r="H984">
        <f t="shared" si="45"/>
        <v>2017</v>
      </c>
    </row>
    <row r="985" spans="5:8" x14ac:dyDescent="0.25">
      <c r="E985" s="2">
        <v>42905</v>
      </c>
      <c r="F985">
        <v>77</v>
      </c>
      <c r="G985">
        <f t="shared" si="44"/>
        <v>6</v>
      </c>
      <c r="H985">
        <f t="shared" si="45"/>
        <v>2017</v>
      </c>
    </row>
    <row r="986" spans="5:8" x14ac:dyDescent="0.25">
      <c r="E986" s="2">
        <v>42906</v>
      </c>
      <c r="F986">
        <v>78.25</v>
      </c>
      <c r="G986">
        <f t="shared" si="44"/>
        <v>6</v>
      </c>
      <c r="H986">
        <f t="shared" si="45"/>
        <v>2017</v>
      </c>
    </row>
    <row r="987" spans="5:8" x14ac:dyDescent="0.25">
      <c r="E987" s="2">
        <v>42907</v>
      </c>
      <c r="F987">
        <v>76.75</v>
      </c>
      <c r="G987">
        <f t="shared" si="44"/>
        <v>6</v>
      </c>
      <c r="H987">
        <f t="shared" si="45"/>
        <v>2017</v>
      </c>
    </row>
    <row r="988" spans="5:8" x14ac:dyDescent="0.25">
      <c r="E988" s="2">
        <v>42908</v>
      </c>
      <c r="F988">
        <v>76.75</v>
      </c>
      <c r="G988">
        <f t="shared" si="44"/>
        <v>6</v>
      </c>
      <c r="H988">
        <f t="shared" si="45"/>
        <v>2017</v>
      </c>
    </row>
    <row r="989" spans="5:8" x14ac:dyDescent="0.25">
      <c r="E989" s="2">
        <v>42909</v>
      </c>
      <c r="F989">
        <v>77.75</v>
      </c>
      <c r="G989">
        <f t="shared" si="44"/>
        <v>6</v>
      </c>
      <c r="H989">
        <f t="shared" si="45"/>
        <v>2017</v>
      </c>
    </row>
    <row r="990" spans="5:8" x14ac:dyDescent="0.25">
      <c r="E990" s="2">
        <v>42912</v>
      </c>
      <c r="F990">
        <v>77.75</v>
      </c>
      <c r="G990">
        <f t="shared" si="44"/>
        <v>6</v>
      </c>
      <c r="H990">
        <f t="shared" si="45"/>
        <v>2017</v>
      </c>
    </row>
    <row r="991" spans="5:8" x14ac:dyDescent="0.25">
      <c r="E991" s="2">
        <v>42913</v>
      </c>
      <c r="F991">
        <v>77.75</v>
      </c>
      <c r="G991">
        <f t="shared" si="44"/>
        <v>6</v>
      </c>
      <c r="H991">
        <f t="shared" si="45"/>
        <v>2017</v>
      </c>
    </row>
    <row r="992" spans="5:8" x14ac:dyDescent="0.25">
      <c r="E992" s="2">
        <v>42914</v>
      </c>
      <c r="F992">
        <v>78</v>
      </c>
      <c r="G992">
        <f t="shared" si="44"/>
        <v>6</v>
      </c>
      <c r="H992">
        <f t="shared" si="45"/>
        <v>2017</v>
      </c>
    </row>
    <row r="993" spans="5:8" x14ac:dyDescent="0.25">
      <c r="E993" s="2">
        <v>42915</v>
      </c>
      <c r="F993">
        <v>78</v>
      </c>
      <c r="G993">
        <f t="shared" si="44"/>
        <v>6</v>
      </c>
      <c r="H993">
        <f t="shared" si="45"/>
        <v>2017</v>
      </c>
    </row>
    <row r="994" spans="5:8" x14ac:dyDescent="0.25">
      <c r="E994" s="2">
        <v>42916</v>
      </c>
      <c r="F994">
        <v>76.5</v>
      </c>
      <c r="G994">
        <f t="shared" si="44"/>
        <v>6</v>
      </c>
      <c r="H994">
        <f t="shared" si="45"/>
        <v>2017</v>
      </c>
    </row>
    <row r="995" spans="5:8" x14ac:dyDescent="0.25">
      <c r="E995" s="2">
        <v>42919</v>
      </c>
      <c r="F995">
        <v>76.5</v>
      </c>
      <c r="G995">
        <f t="shared" si="44"/>
        <v>7</v>
      </c>
      <c r="H995">
        <f t="shared" si="45"/>
        <v>2017</v>
      </c>
    </row>
    <row r="996" spans="5:8" x14ac:dyDescent="0.25">
      <c r="E996" s="2">
        <v>42921</v>
      </c>
      <c r="F996">
        <v>77</v>
      </c>
      <c r="G996">
        <f t="shared" si="44"/>
        <v>7</v>
      </c>
      <c r="H996">
        <f t="shared" si="45"/>
        <v>2017</v>
      </c>
    </row>
    <row r="997" spans="5:8" x14ac:dyDescent="0.25">
      <c r="E997" s="2">
        <v>42922</v>
      </c>
      <c r="F997">
        <v>78</v>
      </c>
      <c r="G997">
        <f t="shared" si="44"/>
        <v>7</v>
      </c>
      <c r="H997">
        <f t="shared" si="45"/>
        <v>2017</v>
      </c>
    </row>
    <row r="998" spans="5:8" x14ac:dyDescent="0.25">
      <c r="E998" s="2">
        <v>42923</v>
      </c>
      <c r="F998">
        <v>77</v>
      </c>
      <c r="G998">
        <f t="shared" si="44"/>
        <v>7</v>
      </c>
      <c r="H998">
        <f t="shared" si="45"/>
        <v>2017</v>
      </c>
    </row>
    <row r="999" spans="5:8" x14ac:dyDescent="0.25">
      <c r="E999" s="2">
        <v>42926</v>
      </c>
      <c r="F999">
        <v>74.5</v>
      </c>
      <c r="G999">
        <f t="shared" si="44"/>
        <v>7</v>
      </c>
      <c r="H999">
        <f t="shared" si="45"/>
        <v>2017</v>
      </c>
    </row>
    <row r="1000" spans="5:8" x14ac:dyDescent="0.25">
      <c r="E1000" s="2">
        <v>42927</v>
      </c>
      <c r="F1000">
        <v>74</v>
      </c>
      <c r="G1000">
        <f t="shared" si="44"/>
        <v>7</v>
      </c>
      <c r="H1000">
        <f t="shared" si="45"/>
        <v>2017</v>
      </c>
    </row>
    <row r="1001" spans="5:8" x14ac:dyDescent="0.25">
      <c r="E1001" s="2">
        <v>42928</v>
      </c>
      <c r="F1001">
        <v>75.25</v>
      </c>
      <c r="G1001">
        <f t="shared" si="44"/>
        <v>7</v>
      </c>
      <c r="H1001">
        <f t="shared" si="45"/>
        <v>2017</v>
      </c>
    </row>
    <row r="1002" spans="5:8" x14ac:dyDescent="0.25">
      <c r="E1002" s="2">
        <v>42929</v>
      </c>
      <c r="F1002">
        <v>74</v>
      </c>
      <c r="G1002">
        <f t="shared" si="44"/>
        <v>7</v>
      </c>
      <c r="H1002">
        <f t="shared" si="45"/>
        <v>2017</v>
      </c>
    </row>
    <row r="1003" spans="5:8" x14ac:dyDescent="0.25">
      <c r="E1003" s="2">
        <v>42930</v>
      </c>
      <c r="F1003">
        <v>75</v>
      </c>
      <c r="G1003">
        <f t="shared" si="44"/>
        <v>7</v>
      </c>
      <c r="H1003">
        <f t="shared" si="45"/>
        <v>2017</v>
      </c>
    </row>
    <row r="1004" spans="5:8" x14ac:dyDescent="0.25">
      <c r="E1004" s="2">
        <v>42933</v>
      </c>
      <c r="F1004">
        <v>74.5</v>
      </c>
      <c r="G1004">
        <f t="shared" si="44"/>
        <v>7</v>
      </c>
      <c r="H1004">
        <f t="shared" si="45"/>
        <v>2017</v>
      </c>
    </row>
    <row r="1005" spans="5:8" x14ac:dyDescent="0.25">
      <c r="E1005" s="2">
        <v>42934</v>
      </c>
      <c r="F1005">
        <v>74.5</v>
      </c>
      <c r="G1005">
        <f t="shared" si="44"/>
        <v>7</v>
      </c>
      <c r="H1005">
        <f t="shared" si="45"/>
        <v>2017</v>
      </c>
    </row>
    <row r="1006" spans="5:8" x14ac:dyDescent="0.25">
      <c r="E1006" s="2">
        <v>42935</v>
      </c>
      <c r="F1006">
        <v>75.25</v>
      </c>
      <c r="G1006">
        <f t="shared" si="44"/>
        <v>7</v>
      </c>
      <c r="H1006">
        <f t="shared" si="45"/>
        <v>2017</v>
      </c>
    </row>
    <row r="1007" spans="5:8" x14ac:dyDescent="0.25">
      <c r="E1007" s="2">
        <v>42936</v>
      </c>
      <c r="F1007">
        <v>75.25</v>
      </c>
      <c r="G1007">
        <f t="shared" si="44"/>
        <v>7</v>
      </c>
      <c r="H1007">
        <f t="shared" si="45"/>
        <v>2017</v>
      </c>
    </row>
    <row r="1008" spans="5:8" x14ac:dyDescent="0.25">
      <c r="E1008" s="2">
        <v>42937</v>
      </c>
      <c r="F1008">
        <v>75.25</v>
      </c>
      <c r="G1008">
        <f t="shared" si="44"/>
        <v>7</v>
      </c>
      <c r="H1008">
        <f t="shared" si="45"/>
        <v>2017</v>
      </c>
    </row>
    <row r="1009" spans="5:8" x14ac:dyDescent="0.25">
      <c r="E1009" s="2">
        <v>42940</v>
      </c>
      <c r="F1009">
        <v>75.25</v>
      </c>
      <c r="G1009">
        <f t="shared" si="44"/>
        <v>7</v>
      </c>
      <c r="H1009">
        <f t="shared" si="45"/>
        <v>2017</v>
      </c>
    </row>
    <row r="1010" spans="5:8" x14ac:dyDescent="0.25">
      <c r="E1010" s="2">
        <v>42941</v>
      </c>
      <c r="F1010">
        <v>75</v>
      </c>
      <c r="G1010">
        <f t="shared" si="44"/>
        <v>7</v>
      </c>
      <c r="H1010">
        <f t="shared" si="45"/>
        <v>2017</v>
      </c>
    </row>
    <row r="1011" spans="5:8" x14ac:dyDescent="0.25">
      <c r="E1011" s="2">
        <v>42942</v>
      </c>
      <c r="F1011">
        <v>75</v>
      </c>
      <c r="G1011">
        <f t="shared" si="44"/>
        <v>7</v>
      </c>
      <c r="H1011">
        <f t="shared" si="45"/>
        <v>2017</v>
      </c>
    </row>
    <row r="1012" spans="5:8" x14ac:dyDescent="0.25">
      <c r="E1012" s="2">
        <v>42943</v>
      </c>
      <c r="F1012">
        <v>75</v>
      </c>
      <c r="G1012">
        <f t="shared" si="44"/>
        <v>7</v>
      </c>
      <c r="H1012">
        <f t="shared" si="45"/>
        <v>2017</v>
      </c>
    </row>
    <row r="1013" spans="5:8" x14ac:dyDescent="0.25">
      <c r="E1013" s="2">
        <v>42944</v>
      </c>
      <c r="F1013">
        <v>75</v>
      </c>
      <c r="G1013">
        <f t="shared" si="44"/>
        <v>7</v>
      </c>
      <c r="H1013">
        <f t="shared" si="45"/>
        <v>2017</v>
      </c>
    </row>
    <row r="1014" spans="5:8" x14ac:dyDescent="0.25">
      <c r="E1014" s="2">
        <v>42947</v>
      </c>
      <c r="F1014">
        <v>75.5</v>
      </c>
      <c r="G1014">
        <f t="shared" si="44"/>
        <v>7</v>
      </c>
      <c r="H1014">
        <f t="shared" si="45"/>
        <v>2017</v>
      </c>
    </row>
    <row r="1015" spans="5:8" x14ac:dyDescent="0.25">
      <c r="E1015" s="2">
        <v>42948</v>
      </c>
      <c r="F1015">
        <v>76.5</v>
      </c>
      <c r="G1015">
        <f t="shared" si="44"/>
        <v>8</v>
      </c>
      <c r="H1015">
        <f t="shared" si="45"/>
        <v>2017</v>
      </c>
    </row>
    <row r="1016" spans="5:8" x14ac:dyDescent="0.25">
      <c r="E1016" s="2">
        <v>42949</v>
      </c>
      <c r="F1016">
        <v>82.5</v>
      </c>
      <c r="G1016">
        <f t="shared" si="44"/>
        <v>8</v>
      </c>
      <c r="H1016">
        <f t="shared" si="45"/>
        <v>2017</v>
      </c>
    </row>
    <row r="1017" spans="5:8" x14ac:dyDescent="0.25">
      <c r="E1017" s="2">
        <v>42950</v>
      </c>
      <c r="F1017">
        <v>88</v>
      </c>
      <c r="G1017">
        <f t="shared" si="44"/>
        <v>8</v>
      </c>
      <c r="H1017">
        <f t="shared" si="45"/>
        <v>2017</v>
      </c>
    </row>
    <row r="1018" spans="5:8" x14ac:dyDescent="0.25">
      <c r="E1018" s="2">
        <v>42951</v>
      </c>
      <c r="F1018">
        <v>88</v>
      </c>
      <c r="G1018">
        <f t="shared" si="44"/>
        <v>8</v>
      </c>
      <c r="H1018">
        <f t="shared" si="45"/>
        <v>2017</v>
      </c>
    </row>
    <row r="1019" spans="5:8" x14ac:dyDescent="0.25">
      <c r="E1019" s="2">
        <v>42954</v>
      </c>
      <c r="F1019">
        <v>93.5</v>
      </c>
      <c r="G1019">
        <f t="shared" si="44"/>
        <v>8</v>
      </c>
      <c r="H1019">
        <f t="shared" si="45"/>
        <v>2017</v>
      </c>
    </row>
    <row r="1020" spans="5:8" x14ac:dyDescent="0.25">
      <c r="E1020" s="2">
        <v>42955</v>
      </c>
      <c r="F1020">
        <v>93</v>
      </c>
      <c r="G1020">
        <f t="shared" si="44"/>
        <v>8</v>
      </c>
      <c r="H1020">
        <f t="shared" si="45"/>
        <v>2017</v>
      </c>
    </row>
    <row r="1021" spans="5:8" x14ac:dyDescent="0.25">
      <c r="E1021" s="2">
        <v>42956</v>
      </c>
      <c r="F1021">
        <v>93</v>
      </c>
      <c r="G1021">
        <f t="shared" si="44"/>
        <v>8</v>
      </c>
      <c r="H1021">
        <f t="shared" si="45"/>
        <v>2017</v>
      </c>
    </row>
    <row r="1022" spans="5:8" x14ac:dyDescent="0.25">
      <c r="E1022" s="2">
        <v>42957</v>
      </c>
      <c r="F1022">
        <v>93</v>
      </c>
      <c r="G1022">
        <f t="shared" si="44"/>
        <v>8</v>
      </c>
      <c r="H1022">
        <f t="shared" si="45"/>
        <v>2017</v>
      </c>
    </row>
    <row r="1023" spans="5:8" x14ac:dyDescent="0.25">
      <c r="E1023" s="2">
        <v>42958</v>
      </c>
      <c r="F1023">
        <v>88.5</v>
      </c>
      <c r="G1023">
        <f t="shared" si="44"/>
        <v>8</v>
      </c>
      <c r="H1023">
        <f t="shared" si="45"/>
        <v>2017</v>
      </c>
    </row>
    <row r="1024" spans="5:8" x14ac:dyDescent="0.25">
      <c r="E1024" s="2">
        <v>42961</v>
      </c>
      <c r="F1024">
        <v>89</v>
      </c>
      <c r="G1024">
        <f t="shared" si="44"/>
        <v>8</v>
      </c>
      <c r="H1024">
        <f t="shared" si="45"/>
        <v>2017</v>
      </c>
    </row>
    <row r="1025" spans="5:8" x14ac:dyDescent="0.25">
      <c r="E1025" s="2">
        <v>42962</v>
      </c>
      <c r="F1025">
        <v>91</v>
      </c>
      <c r="G1025">
        <f t="shared" si="44"/>
        <v>8</v>
      </c>
      <c r="H1025">
        <f t="shared" si="45"/>
        <v>2017</v>
      </c>
    </row>
    <row r="1026" spans="5:8" x14ac:dyDescent="0.25">
      <c r="E1026" s="2">
        <v>42963</v>
      </c>
      <c r="F1026">
        <v>91</v>
      </c>
      <c r="G1026">
        <f t="shared" si="44"/>
        <v>8</v>
      </c>
      <c r="H1026">
        <f t="shared" si="45"/>
        <v>2017</v>
      </c>
    </row>
    <row r="1027" spans="5:8" x14ac:dyDescent="0.25">
      <c r="E1027" s="2">
        <v>42964</v>
      </c>
      <c r="F1027">
        <v>92</v>
      </c>
      <c r="G1027">
        <f t="shared" si="44"/>
        <v>8</v>
      </c>
      <c r="H1027">
        <f t="shared" si="45"/>
        <v>2017</v>
      </c>
    </row>
    <row r="1028" spans="5:8" x14ac:dyDescent="0.25">
      <c r="E1028" s="2">
        <v>42965</v>
      </c>
      <c r="F1028">
        <v>92</v>
      </c>
      <c r="G1028">
        <f t="shared" si="44"/>
        <v>8</v>
      </c>
      <c r="H1028">
        <f t="shared" si="45"/>
        <v>2017</v>
      </c>
    </row>
    <row r="1029" spans="5:8" x14ac:dyDescent="0.25">
      <c r="E1029" s="2">
        <v>42968</v>
      </c>
      <c r="F1029">
        <v>92.5</v>
      </c>
      <c r="G1029">
        <f t="shared" ref="G1029:G1092" si="46">MONTH(E1029)</f>
        <v>8</v>
      </c>
      <c r="H1029">
        <f t="shared" ref="H1029:H1092" si="47">YEAR(E1029)</f>
        <v>2017</v>
      </c>
    </row>
    <row r="1030" spans="5:8" x14ac:dyDescent="0.25">
      <c r="E1030" s="2">
        <v>42969</v>
      </c>
      <c r="F1030">
        <v>93.5</v>
      </c>
      <c r="G1030">
        <f t="shared" si="46"/>
        <v>8</v>
      </c>
      <c r="H1030">
        <f t="shared" si="47"/>
        <v>2017</v>
      </c>
    </row>
    <row r="1031" spans="5:8" x14ac:dyDescent="0.25">
      <c r="E1031" s="2">
        <v>42970</v>
      </c>
      <c r="F1031">
        <v>93.5</v>
      </c>
      <c r="G1031">
        <f t="shared" si="46"/>
        <v>8</v>
      </c>
      <c r="H1031">
        <f t="shared" si="47"/>
        <v>2017</v>
      </c>
    </row>
    <row r="1032" spans="5:8" x14ac:dyDescent="0.25">
      <c r="E1032" s="2">
        <v>42971</v>
      </c>
      <c r="F1032">
        <v>96</v>
      </c>
      <c r="G1032">
        <f t="shared" si="46"/>
        <v>8</v>
      </c>
      <c r="H1032">
        <f t="shared" si="47"/>
        <v>2017</v>
      </c>
    </row>
    <row r="1033" spans="5:8" x14ac:dyDescent="0.25">
      <c r="E1033" s="2">
        <v>42972</v>
      </c>
      <c r="F1033">
        <v>96</v>
      </c>
      <c r="G1033">
        <f t="shared" si="46"/>
        <v>8</v>
      </c>
      <c r="H1033">
        <f t="shared" si="47"/>
        <v>2017</v>
      </c>
    </row>
    <row r="1034" spans="5:8" x14ac:dyDescent="0.25">
      <c r="E1034" s="2">
        <v>42975</v>
      </c>
      <c r="F1034">
        <v>96.5</v>
      </c>
      <c r="G1034">
        <f t="shared" si="46"/>
        <v>8</v>
      </c>
      <c r="H1034">
        <f t="shared" si="47"/>
        <v>2017</v>
      </c>
    </row>
    <row r="1035" spans="5:8" x14ac:dyDescent="0.25">
      <c r="E1035" s="2">
        <v>42976</v>
      </c>
      <c r="F1035">
        <v>96.5</v>
      </c>
      <c r="G1035">
        <f t="shared" si="46"/>
        <v>8</v>
      </c>
      <c r="H1035">
        <f t="shared" si="47"/>
        <v>2017</v>
      </c>
    </row>
    <row r="1036" spans="5:8" x14ac:dyDescent="0.25">
      <c r="E1036" s="2">
        <v>42977</v>
      </c>
      <c r="F1036">
        <v>93.88</v>
      </c>
      <c r="G1036">
        <f t="shared" si="46"/>
        <v>8</v>
      </c>
      <c r="H1036">
        <f t="shared" si="47"/>
        <v>2017</v>
      </c>
    </row>
    <row r="1037" spans="5:8" x14ac:dyDescent="0.25">
      <c r="E1037" s="2">
        <v>42978</v>
      </c>
      <c r="F1037">
        <v>94.5</v>
      </c>
      <c r="G1037">
        <f t="shared" si="46"/>
        <v>8</v>
      </c>
      <c r="H1037">
        <f t="shared" si="47"/>
        <v>2017</v>
      </c>
    </row>
    <row r="1038" spans="5:8" x14ac:dyDescent="0.25">
      <c r="E1038" s="2">
        <v>42979</v>
      </c>
      <c r="F1038">
        <v>95</v>
      </c>
      <c r="G1038">
        <f t="shared" si="46"/>
        <v>9</v>
      </c>
      <c r="H1038">
        <f t="shared" si="47"/>
        <v>2017</v>
      </c>
    </row>
    <row r="1039" spans="5:8" x14ac:dyDescent="0.25">
      <c r="E1039" s="2">
        <v>42983</v>
      </c>
      <c r="F1039">
        <v>95</v>
      </c>
      <c r="G1039">
        <f t="shared" si="46"/>
        <v>9</v>
      </c>
      <c r="H1039">
        <f t="shared" si="47"/>
        <v>2017</v>
      </c>
    </row>
    <row r="1040" spans="5:8" x14ac:dyDescent="0.25">
      <c r="E1040" s="2">
        <v>42984</v>
      </c>
      <c r="F1040">
        <v>95</v>
      </c>
      <c r="G1040">
        <f t="shared" si="46"/>
        <v>9</v>
      </c>
      <c r="H1040">
        <f t="shared" si="47"/>
        <v>2017</v>
      </c>
    </row>
    <row r="1041" spans="5:8" x14ac:dyDescent="0.25">
      <c r="E1041" s="2">
        <v>42985</v>
      </c>
      <c r="F1041">
        <v>94</v>
      </c>
      <c r="G1041">
        <f t="shared" si="46"/>
        <v>9</v>
      </c>
      <c r="H1041">
        <f t="shared" si="47"/>
        <v>2017</v>
      </c>
    </row>
    <row r="1042" spans="5:8" x14ac:dyDescent="0.25">
      <c r="E1042" s="2">
        <v>42986</v>
      </c>
      <c r="F1042">
        <v>93.25</v>
      </c>
      <c r="G1042">
        <f t="shared" si="46"/>
        <v>9</v>
      </c>
      <c r="H1042">
        <f t="shared" si="47"/>
        <v>2017</v>
      </c>
    </row>
    <row r="1043" spans="5:8" x14ac:dyDescent="0.25">
      <c r="E1043" s="2">
        <v>42989</v>
      </c>
      <c r="F1043">
        <v>92.5</v>
      </c>
      <c r="G1043">
        <f t="shared" si="46"/>
        <v>9</v>
      </c>
      <c r="H1043">
        <f t="shared" si="47"/>
        <v>2017</v>
      </c>
    </row>
    <row r="1044" spans="5:8" x14ac:dyDescent="0.25">
      <c r="E1044" s="2">
        <v>42990</v>
      </c>
      <c r="F1044">
        <v>92</v>
      </c>
      <c r="G1044">
        <f t="shared" si="46"/>
        <v>9</v>
      </c>
      <c r="H1044">
        <f t="shared" si="47"/>
        <v>2017</v>
      </c>
    </row>
    <row r="1045" spans="5:8" x14ac:dyDescent="0.25">
      <c r="E1045" s="2">
        <v>42991</v>
      </c>
      <c r="F1045">
        <v>93</v>
      </c>
      <c r="G1045">
        <f t="shared" si="46"/>
        <v>9</v>
      </c>
      <c r="H1045">
        <f t="shared" si="47"/>
        <v>2017</v>
      </c>
    </row>
    <row r="1046" spans="5:8" x14ac:dyDescent="0.25">
      <c r="E1046" s="2">
        <v>42992</v>
      </c>
      <c r="F1046">
        <v>92.75</v>
      </c>
      <c r="G1046">
        <f t="shared" si="46"/>
        <v>9</v>
      </c>
      <c r="H1046">
        <f t="shared" si="47"/>
        <v>2017</v>
      </c>
    </row>
    <row r="1047" spans="5:8" x14ac:dyDescent="0.25">
      <c r="E1047" s="2">
        <v>42993</v>
      </c>
      <c r="F1047">
        <v>93.5</v>
      </c>
      <c r="G1047">
        <f t="shared" si="46"/>
        <v>9</v>
      </c>
      <c r="H1047">
        <f t="shared" si="47"/>
        <v>2017</v>
      </c>
    </row>
    <row r="1048" spans="5:8" x14ac:dyDescent="0.25">
      <c r="E1048" s="2">
        <v>42996</v>
      </c>
      <c r="F1048">
        <v>93</v>
      </c>
      <c r="G1048">
        <f t="shared" si="46"/>
        <v>9</v>
      </c>
      <c r="H1048">
        <f t="shared" si="47"/>
        <v>2017</v>
      </c>
    </row>
    <row r="1049" spans="5:8" x14ac:dyDescent="0.25">
      <c r="E1049" s="2">
        <v>42997</v>
      </c>
      <c r="F1049">
        <v>91.25</v>
      </c>
      <c r="G1049">
        <f t="shared" si="46"/>
        <v>9</v>
      </c>
      <c r="H1049">
        <f t="shared" si="47"/>
        <v>2017</v>
      </c>
    </row>
    <row r="1050" spans="5:8" x14ac:dyDescent="0.25">
      <c r="E1050" s="2">
        <v>42998</v>
      </c>
      <c r="F1050">
        <v>93</v>
      </c>
      <c r="G1050">
        <f t="shared" si="46"/>
        <v>9</v>
      </c>
      <c r="H1050">
        <f t="shared" si="47"/>
        <v>2017</v>
      </c>
    </row>
    <row r="1051" spans="5:8" x14ac:dyDescent="0.25">
      <c r="E1051" s="2">
        <v>42999</v>
      </c>
      <c r="F1051">
        <v>93</v>
      </c>
      <c r="G1051">
        <f t="shared" si="46"/>
        <v>9</v>
      </c>
      <c r="H1051">
        <f t="shared" si="47"/>
        <v>2017</v>
      </c>
    </row>
    <row r="1052" spans="5:8" x14ac:dyDescent="0.25">
      <c r="E1052" s="2">
        <v>43000</v>
      </c>
      <c r="F1052">
        <v>92</v>
      </c>
      <c r="G1052">
        <f t="shared" si="46"/>
        <v>9</v>
      </c>
      <c r="H1052">
        <f t="shared" si="47"/>
        <v>2017</v>
      </c>
    </row>
    <row r="1053" spans="5:8" x14ac:dyDescent="0.25">
      <c r="E1053" s="2">
        <v>43003</v>
      </c>
      <c r="F1053">
        <v>93.5</v>
      </c>
      <c r="G1053">
        <f t="shared" si="46"/>
        <v>9</v>
      </c>
      <c r="H1053">
        <f t="shared" si="47"/>
        <v>2017</v>
      </c>
    </row>
    <row r="1054" spans="5:8" x14ac:dyDescent="0.25">
      <c r="E1054" s="2">
        <v>43004</v>
      </c>
      <c r="F1054">
        <v>93.5</v>
      </c>
      <c r="G1054">
        <f t="shared" si="46"/>
        <v>9</v>
      </c>
      <c r="H1054">
        <f t="shared" si="47"/>
        <v>2017</v>
      </c>
    </row>
    <row r="1055" spans="5:8" x14ac:dyDescent="0.25">
      <c r="E1055" s="2">
        <v>43005</v>
      </c>
      <c r="F1055">
        <v>92.25</v>
      </c>
      <c r="G1055">
        <f t="shared" si="46"/>
        <v>9</v>
      </c>
      <c r="H1055">
        <f t="shared" si="47"/>
        <v>2017</v>
      </c>
    </row>
    <row r="1056" spans="5:8" x14ac:dyDescent="0.25">
      <c r="E1056" s="2">
        <v>43006</v>
      </c>
      <c r="F1056">
        <v>92.5</v>
      </c>
      <c r="G1056">
        <f t="shared" si="46"/>
        <v>9</v>
      </c>
      <c r="H1056">
        <f t="shared" si="47"/>
        <v>2017</v>
      </c>
    </row>
    <row r="1057" spans="5:8" x14ac:dyDescent="0.25">
      <c r="E1057" s="2">
        <v>43007</v>
      </c>
      <c r="F1057">
        <v>93</v>
      </c>
      <c r="G1057">
        <f t="shared" si="46"/>
        <v>9</v>
      </c>
      <c r="H1057">
        <f t="shared" si="47"/>
        <v>2017</v>
      </c>
    </row>
    <row r="1058" spans="5:8" x14ac:dyDescent="0.25">
      <c r="E1058" s="2">
        <v>43010</v>
      </c>
      <c r="F1058">
        <v>93</v>
      </c>
      <c r="G1058">
        <f t="shared" si="46"/>
        <v>10</v>
      </c>
      <c r="H1058">
        <f t="shared" si="47"/>
        <v>2017</v>
      </c>
    </row>
    <row r="1059" spans="5:8" x14ac:dyDescent="0.25">
      <c r="E1059" s="2">
        <v>43011</v>
      </c>
      <c r="F1059">
        <v>92.5</v>
      </c>
      <c r="G1059">
        <f t="shared" si="46"/>
        <v>10</v>
      </c>
      <c r="H1059">
        <f t="shared" si="47"/>
        <v>2017</v>
      </c>
    </row>
    <row r="1060" spans="5:8" x14ac:dyDescent="0.25">
      <c r="E1060" s="2">
        <v>43012</v>
      </c>
      <c r="F1060">
        <v>92.5</v>
      </c>
      <c r="G1060">
        <f t="shared" si="46"/>
        <v>10</v>
      </c>
      <c r="H1060">
        <f t="shared" si="47"/>
        <v>2017</v>
      </c>
    </row>
    <row r="1061" spans="5:8" x14ac:dyDescent="0.25">
      <c r="E1061" s="2">
        <v>43013</v>
      </c>
      <c r="F1061">
        <v>92.25</v>
      </c>
      <c r="G1061">
        <f t="shared" si="46"/>
        <v>10</v>
      </c>
      <c r="H1061">
        <f t="shared" si="47"/>
        <v>2017</v>
      </c>
    </row>
    <row r="1062" spans="5:8" x14ac:dyDescent="0.25">
      <c r="E1062" s="2">
        <v>43014</v>
      </c>
      <c r="F1062">
        <v>92</v>
      </c>
      <c r="G1062">
        <f t="shared" si="46"/>
        <v>10</v>
      </c>
      <c r="H1062">
        <f t="shared" si="47"/>
        <v>2017</v>
      </c>
    </row>
    <row r="1063" spans="5:8" x14ac:dyDescent="0.25">
      <c r="E1063" s="2">
        <v>43017</v>
      </c>
      <c r="F1063">
        <v>92</v>
      </c>
      <c r="G1063">
        <f t="shared" si="46"/>
        <v>10</v>
      </c>
      <c r="H1063">
        <f t="shared" si="47"/>
        <v>2017</v>
      </c>
    </row>
    <row r="1064" spans="5:8" x14ac:dyDescent="0.25">
      <c r="E1064" s="2">
        <v>43018</v>
      </c>
      <c r="F1064">
        <v>92.75</v>
      </c>
      <c r="G1064">
        <f t="shared" si="46"/>
        <v>10</v>
      </c>
      <c r="H1064">
        <f t="shared" si="47"/>
        <v>2017</v>
      </c>
    </row>
    <row r="1065" spans="5:8" x14ac:dyDescent="0.25">
      <c r="E1065" s="2">
        <v>43019</v>
      </c>
      <c r="F1065">
        <v>92.75</v>
      </c>
      <c r="G1065">
        <f t="shared" si="46"/>
        <v>10</v>
      </c>
      <c r="H1065">
        <f t="shared" si="47"/>
        <v>2017</v>
      </c>
    </row>
    <row r="1066" spans="5:8" x14ac:dyDescent="0.25">
      <c r="E1066" s="2">
        <v>43020</v>
      </c>
      <c r="F1066">
        <v>92.75</v>
      </c>
      <c r="G1066">
        <f t="shared" si="46"/>
        <v>10</v>
      </c>
      <c r="H1066">
        <f t="shared" si="47"/>
        <v>2017</v>
      </c>
    </row>
    <row r="1067" spans="5:8" x14ac:dyDescent="0.25">
      <c r="E1067" s="2">
        <v>43021</v>
      </c>
      <c r="F1067">
        <v>92.75</v>
      </c>
      <c r="G1067">
        <f t="shared" si="46"/>
        <v>10</v>
      </c>
      <c r="H1067">
        <f t="shared" si="47"/>
        <v>2017</v>
      </c>
    </row>
    <row r="1068" spans="5:8" x14ac:dyDescent="0.25">
      <c r="E1068" s="2">
        <v>43024</v>
      </c>
      <c r="F1068">
        <v>93</v>
      </c>
      <c r="G1068">
        <f t="shared" si="46"/>
        <v>10</v>
      </c>
      <c r="H1068">
        <f t="shared" si="47"/>
        <v>2017</v>
      </c>
    </row>
    <row r="1069" spans="5:8" x14ac:dyDescent="0.25">
      <c r="E1069" s="2">
        <v>43025</v>
      </c>
      <c r="F1069">
        <v>94</v>
      </c>
      <c r="G1069">
        <f t="shared" si="46"/>
        <v>10</v>
      </c>
      <c r="H1069">
        <f t="shared" si="47"/>
        <v>2017</v>
      </c>
    </row>
    <row r="1070" spans="5:8" x14ac:dyDescent="0.25">
      <c r="E1070" s="2">
        <v>43026</v>
      </c>
      <c r="F1070">
        <v>95.5</v>
      </c>
      <c r="G1070">
        <f t="shared" si="46"/>
        <v>10</v>
      </c>
      <c r="H1070">
        <f t="shared" si="47"/>
        <v>2017</v>
      </c>
    </row>
    <row r="1071" spans="5:8" x14ac:dyDescent="0.25">
      <c r="E1071" s="2">
        <v>43027</v>
      </c>
      <c r="F1071">
        <v>95.75</v>
      </c>
      <c r="G1071">
        <f t="shared" si="46"/>
        <v>10</v>
      </c>
      <c r="H1071">
        <f t="shared" si="47"/>
        <v>2017</v>
      </c>
    </row>
    <row r="1072" spans="5:8" x14ac:dyDescent="0.25">
      <c r="E1072" s="2">
        <v>43028</v>
      </c>
      <c r="F1072">
        <v>95.75</v>
      </c>
      <c r="G1072">
        <f t="shared" si="46"/>
        <v>10</v>
      </c>
      <c r="H1072">
        <f t="shared" si="47"/>
        <v>2017</v>
      </c>
    </row>
    <row r="1073" spans="5:8" x14ac:dyDescent="0.25">
      <c r="E1073" s="2">
        <v>43031</v>
      </c>
      <c r="F1073">
        <v>95.75</v>
      </c>
      <c r="G1073">
        <f t="shared" si="46"/>
        <v>10</v>
      </c>
      <c r="H1073">
        <f t="shared" si="47"/>
        <v>2017</v>
      </c>
    </row>
    <row r="1074" spans="5:8" x14ac:dyDescent="0.25">
      <c r="E1074" s="2">
        <v>43032</v>
      </c>
      <c r="F1074">
        <v>95.75</v>
      </c>
      <c r="G1074">
        <f t="shared" si="46"/>
        <v>10</v>
      </c>
      <c r="H1074">
        <f t="shared" si="47"/>
        <v>2017</v>
      </c>
    </row>
    <row r="1075" spans="5:8" x14ac:dyDescent="0.25">
      <c r="E1075" s="2">
        <v>43033</v>
      </c>
      <c r="F1075">
        <v>96.5</v>
      </c>
      <c r="G1075">
        <f t="shared" si="46"/>
        <v>10</v>
      </c>
      <c r="H1075">
        <f t="shared" si="47"/>
        <v>2017</v>
      </c>
    </row>
    <row r="1076" spans="5:8" x14ac:dyDescent="0.25">
      <c r="E1076" s="2">
        <v>43034</v>
      </c>
      <c r="F1076">
        <v>98.5</v>
      </c>
      <c r="G1076">
        <f t="shared" si="46"/>
        <v>10</v>
      </c>
      <c r="H1076">
        <f t="shared" si="47"/>
        <v>2017</v>
      </c>
    </row>
    <row r="1077" spans="5:8" x14ac:dyDescent="0.25">
      <c r="E1077" s="2">
        <v>43035</v>
      </c>
      <c r="F1077">
        <v>100</v>
      </c>
      <c r="G1077">
        <f t="shared" si="46"/>
        <v>10</v>
      </c>
      <c r="H1077">
        <f t="shared" si="47"/>
        <v>2017</v>
      </c>
    </row>
    <row r="1078" spans="5:8" x14ac:dyDescent="0.25">
      <c r="E1078" s="2">
        <v>43038</v>
      </c>
      <c r="F1078">
        <v>100</v>
      </c>
      <c r="G1078">
        <f t="shared" si="46"/>
        <v>10</v>
      </c>
      <c r="H1078">
        <f t="shared" si="47"/>
        <v>2017</v>
      </c>
    </row>
    <row r="1079" spans="5:8" x14ac:dyDescent="0.25">
      <c r="E1079" s="2">
        <v>43039</v>
      </c>
      <c r="F1079">
        <v>100</v>
      </c>
      <c r="G1079">
        <f t="shared" si="46"/>
        <v>10</v>
      </c>
      <c r="H1079">
        <f t="shared" si="47"/>
        <v>2017</v>
      </c>
    </row>
    <row r="1080" spans="5:8" x14ac:dyDescent="0.25">
      <c r="E1080" s="2">
        <v>43040</v>
      </c>
      <c r="F1080">
        <v>97.25</v>
      </c>
      <c r="G1080">
        <f t="shared" si="46"/>
        <v>11</v>
      </c>
      <c r="H1080">
        <f t="shared" si="47"/>
        <v>2017</v>
      </c>
    </row>
    <row r="1081" spans="5:8" x14ac:dyDescent="0.25">
      <c r="E1081" s="2">
        <v>43041</v>
      </c>
      <c r="F1081">
        <v>98.25</v>
      </c>
      <c r="G1081">
        <f t="shared" si="46"/>
        <v>11</v>
      </c>
      <c r="H1081">
        <f t="shared" si="47"/>
        <v>2017</v>
      </c>
    </row>
    <row r="1082" spans="5:8" x14ac:dyDescent="0.25">
      <c r="E1082" s="2">
        <v>43042</v>
      </c>
      <c r="F1082">
        <v>98.25</v>
      </c>
      <c r="G1082">
        <f t="shared" si="46"/>
        <v>11</v>
      </c>
      <c r="H1082">
        <f t="shared" si="47"/>
        <v>2017</v>
      </c>
    </row>
    <row r="1083" spans="5:8" x14ac:dyDescent="0.25">
      <c r="E1083" s="2">
        <v>43045</v>
      </c>
      <c r="F1083">
        <v>97.5</v>
      </c>
      <c r="G1083">
        <f t="shared" si="46"/>
        <v>11</v>
      </c>
      <c r="H1083">
        <f t="shared" si="47"/>
        <v>2017</v>
      </c>
    </row>
    <row r="1084" spans="5:8" x14ac:dyDescent="0.25">
      <c r="E1084" s="2">
        <v>43046</v>
      </c>
      <c r="F1084">
        <v>98</v>
      </c>
      <c r="G1084">
        <f t="shared" si="46"/>
        <v>11</v>
      </c>
      <c r="H1084">
        <f t="shared" si="47"/>
        <v>2017</v>
      </c>
    </row>
    <row r="1085" spans="5:8" x14ac:dyDescent="0.25">
      <c r="E1085" s="2">
        <v>43047</v>
      </c>
      <c r="F1085">
        <v>98</v>
      </c>
      <c r="G1085">
        <f t="shared" si="46"/>
        <v>11</v>
      </c>
      <c r="H1085">
        <f t="shared" si="47"/>
        <v>2017</v>
      </c>
    </row>
    <row r="1086" spans="5:8" x14ac:dyDescent="0.25">
      <c r="E1086" s="2">
        <v>43048</v>
      </c>
      <c r="F1086">
        <v>98</v>
      </c>
      <c r="G1086">
        <f t="shared" si="46"/>
        <v>11</v>
      </c>
      <c r="H1086">
        <f t="shared" si="47"/>
        <v>2017</v>
      </c>
    </row>
    <row r="1087" spans="5:8" x14ac:dyDescent="0.25">
      <c r="E1087" s="2">
        <v>43049</v>
      </c>
      <c r="F1087">
        <v>100</v>
      </c>
      <c r="G1087">
        <f t="shared" si="46"/>
        <v>11</v>
      </c>
      <c r="H1087">
        <f t="shared" si="47"/>
        <v>2017</v>
      </c>
    </row>
    <row r="1088" spans="5:8" x14ac:dyDescent="0.25">
      <c r="E1088" s="2">
        <v>43052</v>
      </c>
      <c r="F1088">
        <v>100</v>
      </c>
      <c r="G1088">
        <f t="shared" si="46"/>
        <v>11</v>
      </c>
      <c r="H1088">
        <f t="shared" si="47"/>
        <v>2017</v>
      </c>
    </row>
    <row r="1089" spans="5:8" x14ac:dyDescent="0.25">
      <c r="E1089" s="2">
        <v>43053</v>
      </c>
      <c r="F1089">
        <v>101.25</v>
      </c>
      <c r="G1089">
        <f t="shared" si="46"/>
        <v>11</v>
      </c>
      <c r="H1089">
        <f t="shared" si="47"/>
        <v>2017</v>
      </c>
    </row>
    <row r="1090" spans="5:8" x14ac:dyDescent="0.25">
      <c r="E1090" s="2">
        <v>43054</v>
      </c>
      <c r="F1090">
        <v>102</v>
      </c>
      <c r="G1090">
        <f t="shared" si="46"/>
        <v>11</v>
      </c>
      <c r="H1090">
        <f t="shared" si="47"/>
        <v>2017</v>
      </c>
    </row>
    <row r="1091" spans="5:8" x14ac:dyDescent="0.25">
      <c r="E1091" s="2">
        <v>43055</v>
      </c>
      <c r="F1091">
        <v>104.75</v>
      </c>
      <c r="G1091">
        <f t="shared" si="46"/>
        <v>11</v>
      </c>
      <c r="H1091">
        <f t="shared" si="47"/>
        <v>2017</v>
      </c>
    </row>
    <row r="1092" spans="5:8" x14ac:dyDescent="0.25">
      <c r="E1092" s="2">
        <v>43056</v>
      </c>
      <c r="F1092">
        <v>104.75</v>
      </c>
      <c r="G1092">
        <f t="shared" si="46"/>
        <v>11</v>
      </c>
      <c r="H1092">
        <f t="shared" si="47"/>
        <v>2017</v>
      </c>
    </row>
    <row r="1093" spans="5:8" x14ac:dyDescent="0.25">
      <c r="E1093" s="2">
        <v>43059</v>
      </c>
      <c r="F1093">
        <v>105.25</v>
      </c>
      <c r="G1093">
        <f t="shared" ref="G1093:G1156" si="48">MONTH(E1093)</f>
        <v>11</v>
      </c>
      <c r="H1093">
        <f t="shared" ref="H1093:H1156" si="49">YEAR(E1093)</f>
        <v>2017</v>
      </c>
    </row>
    <row r="1094" spans="5:8" x14ac:dyDescent="0.25">
      <c r="E1094" s="2">
        <v>43060</v>
      </c>
      <c r="F1094">
        <v>110</v>
      </c>
      <c r="G1094">
        <f t="shared" si="48"/>
        <v>11</v>
      </c>
      <c r="H1094">
        <f t="shared" si="49"/>
        <v>2017</v>
      </c>
    </row>
    <row r="1095" spans="5:8" x14ac:dyDescent="0.25">
      <c r="E1095" s="2">
        <v>43061</v>
      </c>
      <c r="F1095">
        <v>110</v>
      </c>
      <c r="G1095">
        <f t="shared" si="48"/>
        <v>11</v>
      </c>
      <c r="H1095">
        <f t="shared" si="49"/>
        <v>2017</v>
      </c>
    </row>
    <row r="1096" spans="5:8" x14ac:dyDescent="0.25">
      <c r="E1096" s="2">
        <v>43066</v>
      </c>
      <c r="F1096">
        <v>108.5</v>
      </c>
      <c r="G1096">
        <f t="shared" si="48"/>
        <v>11</v>
      </c>
      <c r="H1096">
        <f t="shared" si="49"/>
        <v>2017</v>
      </c>
    </row>
    <row r="1097" spans="5:8" x14ac:dyDescent="0.25">
      <c r="E1097" s="2">
        <v>43067</v>
      </c>
      <c r="F1097">
        <v>105</v>
      </c>
      <c r="G1097">
        <f t="shared" si="48"/>
        <v>11</v>
      </c>
      <c r="H1097">
        <f t="shared" si="49"/>
        <v>2017</v>
      </c>
    </row>
    <row r="1098" spans="5:8" x14ac:dyDescent="0.25">
      <c r="E1098" s="2">
        <v>43068</v>
      </c>
      <c r="F1098">
        <v>111</v>
      </c>
      <c r="G1098">
        <f t="shared" si="48"/>
        <v>11</v>
      </c>
      <c r="H1098">
        <f t="shared" si="49"/>
        <v>2017</v>
      </c>
    </row>
    <row r="1099" spans="5:8" x14ac:dyDescent="0.25">
      <c r="E1099" s="2">
        <v>43069</v>
      </c>
      <c r="F1099">
        <v>110</v>
      </c>
      <c r="G1099">
        <f t="shared" si="48"/>
        <v>11</v>
      </c>
      <c r="H1099">
        <f t="shared" si="49"/>
        <v>2017</v>
      </c>
    </row>
    <row r="1100" spans="5:8" x14ac:dyDescent="0.25">
      <c r="E1100" s="2">
        <v>43070</v>
      </c>
      <c r="F1100">
        <v>108.5</v>
      </c>
      <c r="G1100">
        <f t="shared" si="48"/>
        <v>12</v>
      </c>
      <c r="H1100">
        <f t="shared" si="49"/>
        <v>2017</v>
      </c>
    </row>
    <row r="1101" spans="5:8" x14ac:dyDescent="0.25">
      <c r="E1101" s="2">
        <v>43073</v>
      </c>
      <c r="F1101">
        <v>106.75</v>
      </c>
      <c r="G1101">
        <f t="shared" si="48"/>
        <v>12</v>
      </c>
      <c r="H1101">
        <f t="shared" si="49"/>
        <v>2017</v>
      </c>
    </row>
    <row r="1102" spans="5:8" x14ac:dyDescent="0.25">
      <c r="E1102" s="2">
        <v>43074</v>
      </c>
      <c r="F1102">
        <v>107.5</v>
      </c>
      <c r="G1102">
        <f t="shared" si="48"/>
        <v>12</v>
      </c>
      <c r="H1102">
        <f t="shared" si="49"/>
        <v>2017</v>
      </c>
    </row>
    <row r="1103" spans="5:8" x14ac:dyDescent="0.25">
      <c r="E1103" s="2">
        <v>43075</v>
      </c>
      <c r="F1103">
        <v>107.5</v>
      </c>
      <c r="G1103">
        <f t="shared" si="48"/>
        <v>12</v>
      </c>
      <c r="H1103">
        <f t="shared" si="49"/>
        <v>2017</v>
      </c>
    </row>
    <row r="1104" spans="5:8" x14ac:dyDescent="0.25">
      <c r="E1104" s="2">
        <v>43076</v>
      </c>
      <c r="F1104">
        <v>108</v>
      </c>
      <c r="G1104">
        <f t="shared" si="48"/>
        <v>12</v>
      </c>
      <c r="H1104">
        <f t="shared" si="49"/>
        <v>2017</v>
      </c>
    </row>
    <row r="1105" spans="5:8" x14ac:dyDescent="0.25">
      <c r="E1105" s="2">
        <v>43077</v>
      </c>
      <c r="F1105">
        <v>108</v>
      </c>
      <c r="G1105">
        <f t="shared" si="48"/>
        <v>12</v>
      </c>
      <c r="H1105">
        <f t="shared" si="49"/>
        <v>2017</v>
      </c>
    </row>
    <row r="1106" spans="5:8" x14ac:dyDescent="0.25">
      <c r="E1106" s="2">
        <v>43080</v>
      </c>
      <c r="F1106">
        <v>108.25</v>
      </c>
      <c r="G1106">
        <f t="shared" si="48"/>
        <v>12</v>
      </c>
      <c r="H1106">
        <f t="shared" si="49"/>
        <v>2017</v>
      </c>
    </row>
    <row r="1107" spans="5:8" x14ac:dyDescent="0.25">
      <c r="E1107" s="2">
        <v>43081</v>
      </c>
      <c r="F1107">
        <v>108.5</v>
      </c>
      <c r="G1107">
        <f t="shared" si="48"/>
        <v>12</v>
      </c>
      <c r="H1107">
        <f t="shared" si="49"/>
        <v>2017</v>
      </c>
    </row>
    <row r="1108" spans="5:8" x14ac:dyDescent="0.25">
      <c r="E1108" s="2">
        <v>43082</v>
      </c>
      <c r="F1108">
        <v>108.5</v>
      </c>
      <c r="G1108">
        <f t="shared" si="48"/>
        <v>12</v>
      </c>
      <c r="H1108">
        <f t="shared" si="49"/>
        <v>2017</v>
      </c>
    </row>
    <row r="1109" spans="5:8" x14ac:dyDescent="0.25">
      <c r="E1109" s="2">
        <v>43083</v>
      </c>
      <c r="F1109">
        <v>109</v>
      </c>
      <c r="G1109">
        <f t="shared" si="48"/>
        <v>12</v>
      </c>
      <c r="H1109">
        <f t="shared" si="49"/>
        <v>2017</v>
      </c>
    </row>
    <row r="1110" spans="5:8" x14ac:dyDescent="0.25">
      <c r="E1110" s="2">
        <v>43084</v>
      </c>
      <c r="F1110">
        <v>109</v>
      </c>
      <c r="G1110">
        <f t="shared" si="48"/>
        <v>12</v>
      </c>
      <c r="H1110">
        <f t="shared" si="49"/>
        <v>2017</v>
      </c>
    </row>
    <row r="1111" spans="5:8" x14ac:dyDescent="0.25">
      <c r="E1111" s="2">
        <v>43087</v>
      </c>
      <c r="F1111">
        <v>110</v>
      </c>
      <c r="G1111">
        <f t="shared" si="48"/>
        <v>12</v>
      </c>
      <c r="H1111">
        <f t="shared" si="49"/>
        <v>2017</v>
      </c>
    </row>
    <row r="1112" spans="5:8" x14ac:dyDescent="0.25">
      <c r="E1112" s="2">
        <v>43088</v>
      </c>
      <c r="F1112">
        <v>109</v>
      </c>
      <c r="G1112">
        <f t="shared" si="48"/>
        <v>12</v>
      </c>
      <c r="H1112">
        <f t="shared" si="49"/>
        <v>2017</v>
      </c>
    </row>
    <row r="1113" spans="5:8" x14ac:dyDescent="0.25">
      <c r="E1113" s="2">
        <v>43089</v>
      </c>
      <c r="F1113">
        <v>110.5</v>
      </c>
      <c r="G1113">
        <f t="shared" si="48"/>
        <v>12</v>
      </c>
      <c r="H1113">
        <f t="shared" si="49"/>
        <v>2017</v>
      </c>
    </row>
    <row r="1114" spans="5:8" x14ac:dyDescent="0.25">
      <c r="E1114" s="2">
        <v>43090</v>
      </c>
      <c r="F1114">
        <v>110.5</v>
      </c>
      <c r="G1114">
        <f t="shared" si="48"/>
        <v>12</v>
      </c>
      <c r="H1114">
        <f t="shared" si="49"/>
        <v>2017</v>
      </c>
    </row>
    <row r="1115" spans="5:8" x14ac:dyDescent="0.25">
      <c r="E1115" s="2">
        <v>43091</v>
      </c>
      <c r="F1115">
        <v>110.5</v>
      </c>
      <c r="G1115">
        <f t="shared" si="48"/>
        <v>12</v>
      </c>
      <c r="H1115">
        <f t="shared" si="49"/>
        <v>2017</v>
      </c>
    </row>
    <row r="1116" spans="5:8" x14ac:dyDescent="0.25">
      <c r="E1116" s="2">
        <v>43095</v>
      </c>
      <c r="F1116">
        <v>110.5</v>
      </c>
      <c r="G1116">
        <f t="shared" si="48"/>
        <v>12</v>
      </c>
      <c r="H1116">
        <f t="shared" si="49"/>
        <v>2017</v>
      </c>
    </row>
    <row r="1117" spans="5:8" x14ac:dyDescent="0.25">
      <c r="E1117" s="2">
        <v>43096</v>
      </c>
      <c r="F1117">
        <v>110.5</v>
      </c>
      <c r="G1117">
        <f t="shared" si="48"/>
        <v>12</v>
      </c>
      <c r="H1117">
        <f t="shared" si="49"/>
        <v>2017</v>
      </c>
    </row>
    <row r="1118" spans="5:8" x14ac:dyDescent="0.25">
      <c r="E1118" s="2">
        <v>43097</v>
      </c>
      <c r="F1118">
        <v>113.5</v>
      </c>
      <c r="G1118">
        <f t="shared" si="48"/>
        <v>12</v>
      </c>
      <c r="H1118">
        <f t="shared" si="49"/>
        <v>2017</v>
      </c>
    </row>
    <row r="1119" spans="5:8" x14ac:dyDescent="0.25">
      <c r="E1119" s="2">
        <v>43098</v>
      </c>
      <c r="F1119">
        <v>113.5</v>
      </c>
      <c r="G1119">
        <f t="shared" si="48"/>
        <v>12</v>
      </c>
      <c r="H1119">
        <f t="shared" si="49"/>
        <v>2017</v>
      </c>
    </row>
    <row r="1120" spans="5:8" x14ac:dyDescent="0.25">
      <c r="E1120" s="2">
        <v>43102</v>
      </c>
      <c r="F1120">
        <v>113.25</v>
      </c>
      <c r="G1120">
        <f t="shared" si="48"/>
        <v>1</v>
      </c>
      <c r="H1120">
        <f t="shared" si="49"/>
        <v>2018</v>
      </c>
    </row>
    <row r="1121" spans="5:8" x14ac:dyDescent="0.25">
      <c r="E1121" s="2">
        <v>43103</v>
      </c>
      <c r="F1121">
        <v>121.5</v>
      </c>
      <c r="G1121">
        <f t="shared" si="48"/>
        <v>1</v>
      </c>
      <c r="H1121">
        <f t="shared" si="49"/>
        <v>2018</v>
      </c>
    </row>
    <row r="1122" spans="5:8" x14ac:dyDescent="0.25">
      <c r="E1122" s="2">
        <v>43104</v>
      </c>
      <c r="F1122">
        <v>124</v>
      </c>
      <c r="G1122">
        <f t="shared" si="48"/>
        <v>1</v>
      </c>
      <c r="H1122">
        <f t="shared" si="49"/>
        <v>2018</v>
      </c>
    </row>
    <row r="1123" spans="5:8" x14ac:dyDescent="0.25">
      <c r="E1123" s="2">
        <v>43105</v>
      </c>
      <c r="F1123">
        <v>124</v>
      </c>
      <c r="G1123">
        <f t="shared" si="48"/>
        <v>1</v>
      </c>
      <c r="H1123">
        <f t="shared" si="49"/>
        <v>2018</v>
      </c>
    </row>
    <row r="1124" spans="5:8" x14ac:dyDescent="0.25">
      <c r="E1124" s="2">
        <v>43108</v>
      </c>
      <c r="F1124">
        <v>142.5</v>
      </c>
      <c r="G1124">
        <f t="shared" si="48"/>
        <v>1</v>
      </c>
      <c r="H1124">
        <f t="shared" si="49"/>
        <v>2018</v>
      </c>
    </row>
    <row r="1125" spans="5:8" x14ac:dyDescent="0.25">
      <c r="E1125" s="2">
        <v>43109</v>
      </c>
      <c r="F1125">
        <v>139</v>
      </c>
      <c r="G1125">
        <f t="shared" si="48"/>
        <v>1</v>
      </c>
      <c r="H1125">
        <f t="shared" si="49"/>
        <v>2018</v>
      </c>
    </row>
    <row r="1126" spans="5:8" x14ac:dyDescent="0.25">
      <c r="E1126" s="2">
        <v>43110</v>
      </c>
      <c r="F1126">
        <v>131.5</v>
      </c>
      <c r="G1126">
        <f t="shared" si="48"/>
        <v>1</v>
      </c>
      <c r="H1126">
        <f t="shared" si="49"/>
        <v>2018</v>
      </c>
    </row>
    <row r="1127" spans="5:8" x14ac:dyDescent="0.25">
      <c r="E1127" s="2">
        <v>43111</v>
      </c>
      <c r="F1127">
        <v>130</v>
      </c>
      <c r="G1127">
        <f t="shared" si="48"/>
        <v>1</v>
      </c>
      <c r="H1127">
        <f t="shared" si="49"/>
        <v>2018</v>
      </c>
    </row>
    <row r="1128" spans="5:8" x14ac:dyDescent="0.25">
      <c r="E1128" s="2">
        <v>43112</v>
      </c>
      <c r="F1128">
        <v>135.75</v>
      </c>
      <c r="G1128">
        <f t="shared" si="48"/>
        <v>1</v>
      </c>
      <c r="H1128">
        <f t="shared" si="49"/>
        <v>2018</v>
      </c>
    </row>
    <row r="1129" spans="5:8" x14ac:dyDescent="0.25">
      <c r="E1129" s="2">
        <v>43116</v>
      </c>
      <c r="F1129">
        <v>141.5</v>
      </c>
      <c r="G1129">
        <f t="shared" si="48"/>
        <v>1</v>
      </c>
      <c r="H1129">
        <f t="shared" si="49"/>
        <v>2018</v>
      </c>
    </row>
    <row r="1130" spans="5:8" x14ac:dyDescent="0.25">
      <c r="E1130" s="2">
        <v>43117</v>
      </c>
      <c r="F1130">
        <v>139</v>
      </c>
      <c r="G1130">
        <f t="shared" si="48"/>
        <v>1</v>
      </c>
      <c r="H1130">
        <f t="shared" si="49"/>
        <v>2018</v>
      </c>
    </row>
    <row r="1131" spans="5:8" x14ac:dyDescent="0.25">
      <c r="E1131" s="2">
        <v>43118</v>
      </c>
      <c r="F1131">
        <v>137</v>
      </c>
      <c r="G1131">
        <f t="shared" si="48"/>
        <v>1</v>
      </c>
      <c r="H1131">
        <f t="shared" si="49"/>
        <v>2018</v>
      </c>
    </row>
    <row r="1132" spans="5:8" x14ac:dyDescent="0.25">
      <c r="E1132" s="2">
        <v>43119</v>
      </c>
      <c r="F1132">
        <v>134.5</v>
      </c>
      <c r="G1132">
        <f t="shared" si="48"/>
        <v>1</v>
      </c>
      <c r="H1132">
        <f t="shared" si="49"/>
        <v>2018</v>
      </c>
    </row>
    <row r="1133" spans="5:8" x14ac:dyDescent="0.25">
      <c r="E1133" s="2">
        <v>43122</v>
      </c>
      <c r="F1133">
        <v>135</v>
      </c>
      <c r="G1133">
        <f t="shared" si="48"/>
        <v>1</v>
      </c>
      <c r="H1133">
        <f t="shared" si="49"/>
        <v>2018</v>
      </c>
    </row>
    <row r="1134" spans="5:8" x14ac:dyDescent="0.25">
      <c r="E1134" s="2">
        <v>43123</v>
      </c>
      <c r="F1134">
        <v>135</v>
      </c>
      <c r="G1134">
        <f t="shared" si="48"/>
        <v>1</v>
      </c>
      <c r="H1134">
        <f t="shared" si="49"/>
        <v>2018</v>
      </c>
    </row>
    <row r="1135" spans="5:8" x14ac:dyDescent="0.25">
      <c r="E1135" s="2">
        <v>43124</v>
      </c>
      <c r="F1135">
        <v>135</v>
      </c>
      <c r="G1135">
        <f t="shared" si="48"/>
        <v>1</v>
      </c>
      <c r="H1135">
        <f t="shared" si="49"/>
        <v>2018</v>
      </c>
    </row>
    <row r="1136" spans="5:8" x14ac:dyDescent="0.25">
      <c r="E1136" s="2">
        <v>43125</v>
      </c>
      <c r="F1136">
        <v>139.5</v>
      </c>
      <c r="G1136">
        <f t="shared" si="48"/>
        <v>1</v>
      </c>
      <c r="H1136">
        <f t="shared" si="49"/>
        <v>2018</v>
      </c>
    </row>
    <row r="1137" spans="5:8" x14ac:dyDescent="0.25">
      <c r="E1137" s="2">
        <v>43126</v>
      </c>
      <c r="F1137">
        <v>140.5</v>
      </c>
      <c r="G1137">
        <f t="shared" si="48"/>
        <v>1</v>
      </c>
      <c r="H1137">
        <f t="shared" si="49"/>
        <v>2018</v>
      </c>
    </row>
    <row r="1138" spans="5:8" x14ac:dyDescent="0.25">
      <c r="E1138" s="2">
        <v>43129</v>
      </c>
      <c r="F1138">
        <v>143.25</v>
      </c>
      <c r="G1138">
        <f t="shared" si="48"/>
        <v>1</v>
      </c>
      <c r="H1138">
        <f t="shared" si="49"/>
        <v>2018</v>
      </c>
    </row>
    <row r="1139" spans="5:8" x14ac:dyDescent="0.25">
      <c r="E1139" s="2">
        <v>43130</v>
      </c>
      <c r="F1139">
        <v>143.25</v>
      </c>
      <c r="G1139">
        <f t="shared" si="48"/>
        <v>1</v>
      </c>
      <c r="H1139">
        <f t="shared" si="49"/>
        <v>2018</v>
      </c>
    </row>
    <row r="1140" spans="5:8" x14ac:dyDescent="0.25">
      <c r="E1140" s="2">
        <v>43131</v>
      </c>
      <c r="F1140">
        <v>140</v>
      </c>
      <c r="G1140">
        <f t="shared" si="48"/>
        <v>1</v>
      </c>
      <c r="H1140">
        <f t="shared" si="49"/>
        <v>2018</v>
      </c>
    </row>
    <row r="1141" spans="5:8" x14ac:dyDescent="0.25">
      <c r="E1141" s="2">
        <v>43132</v>
      </c>
      <c r="F1141">
        <v>142</v>
      </c>
      <c r="G1141">
        <f t="shared" si="48"/>
        <v>2</v>
      </c>
      <c r="H1141">
        <f t="shared" si="49"/>
        <v>2018</v>
      </c>
    </row>
    <row r="1142" spans="5:8" x14ac:dyDescent="0.25">
      <c r="E1142" s="2">
        <v>43133</v>
      </c>
      <c r="F1142">
        <v>143</v>
      </c>
      <c r="G1142">
        <f t="shared" si="48"/>
        <v>2</v>
      </c>
      <c r="H1142">
        <f t="shared" si="49"/>
        <v>2018</v>
      </c>
    </row>
    <row r="1143" spans="5:8" x14ac:dyDescent="0.25">
      <c r="E1143" s="2">
        <v>43136</v>
      </c>
      <c r="F1143">
        <v>149</v>
      </c>
      <c r="G1143">
        <f t="shared" si="48"/>
        <v>2</v>
      </c>
      <c r="H1143">
        <f t="shared" si="49"/>
        <v>2018</v>
      </c>
    </row>
    <row r="1144" spans="5:8" x14ac:dyDescent="0.25">
      <c r="E1144" s="2">
        <v>43137</v>
      </c>
      <c r="F1144">
        <v>149</v>
      </c>
      <c r="G1144">
        <f t="shared" si="48"/>
        <v>2</v>
      </c>
      <c r="H1144">
        <f t="shared" si="49"/>
        <v>2018</v>
      </c>
    </row>
    <row r="1145" spans="5:8" x14ac:dyDescent="0.25">
      <c r="E1145" s="2">
        <v>43138</v>
      </c>
      <c r="F1145">
        <v>147.75</v>
      </c>
      <c r="G1145">
        <f t="shared" si="48"/>
        <v>2</v>
      </c>
      <c r="H1145">
        <f t="shared" si="49"/>
        <v>2018</v>
      </c>
    </row>
    <row r="1146" spans="5:8" x14ac:dyDescent="0.25">
      <c r="E1146" s="2">
        <v>43139</v>
      </c>
      <c r="F1146">
        <v>149.25</v>
      </c>
      <c r="G1146">
        <f t="shared" si="48"/>
        <v>2</v>
      </c>
      <c r="H1146">
        <f t="shared" si="49"/>
        <v>2018</v>
      </c>
    </row>
    <row r="1147" spans="5:8" x14ac:dyDescent="0.25">
      <c r="E1147" s="2">
        <v>43140</v>
      </c>
      <c r="F1147">
        <v>150</v>
      </c>
      <c r="G1147">
        <f t="shared" si="48"/>
        <v>2</v>
      </c>
      <c r="H1147">
        <f t="shared" si="49"/>
        <v>2018</v>
      </c>
    </row>
    <row r="1148" spans="5:8" x14ac:dyDescent="0.25">
      <c r="E1148" s="2">
        <v>43143</v>
      </c>
      <c r="F1148">
        <v>150</v>
      </c>
      <c r="G1148">
        <f t="shared" si="48"/>
        <v>2</v>
      </c>
      <c r="H1148">
        <f t="shared" si="49"/>
        <v>2018</v>
      </c>
    </row>
    <row r="1149" spans="5:8" x14ac:dyDescent="0.25">
      <c r="E1149" s="2">
        <v>43144</v>
      </c>
      <c r="F1149">
        <v>150.5</v>
      </c>
      <c r="G1149">
        <f t="shared" si="48"/>
        <v>2</v>
      </c>
      <c r="H1149">
        <f t="shared" si="49"/>
        <v>2018</v>
      </c>
    </row>
    <row r="1150" spans="5:8" x14ac:dyDescent="0.25">
      <c r="E1150" s="2">
        <v>43145</v>
      </c>
      <c r="F1150">
        <v>150.5</v>
      </c>
      <c r="G1150">
        <f t="shared" si="48"/>
        <v>2</v>
      </c>
      <c r="H1150">
        <f t="shared" si="49"/>
        <v>2018</v>
      </c>
    </row>
    <row r="1151" spans="5:8" x14ac:dyDescent="0.25">
      <c r="E1151" s="2">
        <v>43146</v>
      </c>
      <c r="F1151">
        <v>150.5</v>
      </c>
      <c r="G1151">
        <f t="shared" si="48"/>
        <v>2</v>
      </c>
      <c r="H1151">
        <f t="shared" si="49"/>
        <v>2018</v>
      </c>
    </row>
    <row r="1152" spans="5:8" x14ac:dyDescent="0.25">
      <c r="E1152" s="2">
        <v>43147</v>
      </c>
      <c r="F1152">
        <v>150.5</v>
      </c>
      <c r="G1152">
        <f t="shared" si="48"/>
        <v>2</v>
      </c>
      <c r="H1152">
        <f t="shared" si="49"/>
        <v>2018</v>
      </c>
    </row>
    <row r="1153" spans="5:8" x14ac:dyDescent="0.25">
      <c r="E1153" s="2">
        <v>43151</v>
      </c>
      <c r="F1153">
        <v>150.5</v>
      </c>
      <c r="G1153">
        <f t="shared" si="48"/>
        <v>2</v>
      </c>
      <c r="H1153">
        <f t="shared" si="49"/>
        <v>2018</v>
      </c>
    </row>
    <row r="1154" spans="5:8" x14ac:dyDescent="0.25">
      <c r="E1154" s="2">
        <v>43152</v>
      </c>
      <c r="F1154">
        <v>117.5</v>
      </c>
      <c r="G1154">
        <f t="shared" si="48"/>
        <v>2</v>
      </c>
      <c r="H1154">
        <f t="shared" si="49"/>
        <v>2018</v>
      </c>
    </row>
    <row r="1155" spans="5:8" x14ac:dyDescent="0.25">
      <c r="E1155" s="2">
        <v>43153</v>
      </c>
      <c r="F1155">
        <v>132.5</v>
      </c>
      <c r="G1155">
        <f t="shared" si="48"/>
        <v>2</v>
      </c>
      <c r="H1155">
        <f t="shared" si="49"/>
        <v>2018</v>
      </c>
    </row>
    <row r="1156" spans="5:8" x14ac:dyDescent="0.25">
      <c r="E1156" s="2">
        <v>43154</v>
      </c>
      <c r="F1156">
        <v>121.25</v>
      </c>
      <c r="G1156">
        <f t="shared" si="48"/>
        <v>2</v>
      </c>
      <c r="H1156">
        <f t="shared" si="49"/>
        <v>2018</v>
      </c>
    </row>
    <row r="1157" spans="5:8" x14ac:dyDescent="0.25">
      <c r="E1157" s="2">
        <v>43157</v>
      </c>
      <c r="F1157">
        <v>114</v>
      </c>
      <c r="G1157">
        <f t="shared" ref="G1157:G1220" si="50">MONTH(E1157)</f>
        <v>2</v>
      </c>
      <c r="H1157">
        <f t="shared" ref="H1157:H1220" si="51">YEAR(E1157)</f>
        <v>2018</v>
      </c>
    </row>
    <row r="1158" spans="5:8" x14ac:dyDescent="0.25">
      <c r="E1158" s="2">
        <v>43158</v>
      </c>
      <c r="F1158">
        <v>113</v>
      </c>
      <c r="G1158">
        <f t="shared" si="50"/>
        <v>2</v>
      </c>
      <c r="H1158">
        <f t="shared" si="51"/>
        <v>2018</v>
      </c>
    </row>
    <row r="1159" spans="5:8" x14ac:dyDescent="0.25">
      <c r="E1159" s="2">
        <v>43159</v>
      </c>
      <c r="F1159">
        <v>122.5</v>
      </c>
      <c r="G1159">
        <f t="shared" si="50"/>
        <v>2</v>
      </c>
      <c r="H1159">
        <f t="shared" si="51"/>
        <v>2018</v>
      </c>
    </row>
    <row r="1160" spans="5:8" x14ac:dyDescent="0.25">
      <c r="E1160" s="2">
        <v>43160</v>
      </c>
      <c r="F1160">
        <v>124</v>
      </c>
      <c r="G1160">
        <f t="shared" si="50"/>
        <v>3</v>
      </c>
      <c r="H1160">
        <f t="shared" si="51"/>
        <v>2018</v>
      </c>
    </row>
    <row r="1161" spans="5:8" x14ac:dyDescent="0.25">
      <c r="E1161" s="2">
        <v>43161</v>
      </c>
      <c r="F1161">
        <v>122.5</v>
      </c>
      <c r="G1161">
        <f t="shared" si="50"/>
        <v>3</v>
      </c>
      <c r="H1161">
        <f t="shared" si="51"/>
        <v>2018</v>
      </c>
    </row>
    <row r="1162" spans="5:8" x14ac:dyDescent="0.25">
      <c r="E1162" s="2">
        <v>43164</v>
      </c>
      <c r="F1162">
        <v>127</v>
      </c>
      <c r="G1162">
        <f t="shared" si="50"/>
        <v>3</v>
      </c>
      <c r="H1162">
        <f t="shared" si="51"/>
        <v>2018</v>
      </c>
    </row>
    <row r="1163" spans="5:8" x14ac:dyDescent="0.25">
      <c r="E1163" s="2">
        <v>43165</v>
      </c>
      <c r="F1163">
        <v>127.5</v>
      </c>
      <c r="G1163">
        <f t="shared" si="50"/>
        <v>3</v>
      </c>
      <c r="H1163">
        <f t="shared" si="51"/>
        <v>2018</v>
      </c>
    </row>
    <row r="1164" spans="5:8" x14ac:dyDescent="0.25">
      <c r="E1164" s="2">
        <v>43166</v>
      </c>
      <c r="F1164">
        <v>131.5</v>
      </c>
      <c r="G1164">
        <f t="shared" si="50"/>
        <v>3</v>
      </c>
      <c r="H1164">
        <f t="shared" si="51"/>
        <v>2018</v>
      </c>
    </row>
    <row r="1165" spans="5:8" x14ac:dyDescent="0.25">
      <c r="E1165" s="2">
        <v>43167</v>
      </c>
      <c r="F1165">
        <v>128.5</v>
      </c>
      <c r="G1165">
        <f t="shared" si="50"/>
        <v>3</v>
      </c>
      <c r="H1165">
        <f t="shared" si="51"/>
        <v>2018</v>
      </c>
    </row>
    <row r="1166" spans="5:8" x14ac:dyDescent="0.25">
      <c r="E1166" s="2">
        <v>43168</v>
      </c>
      <c r="F1166">
        <v>127</v>
      </c>
      <c r="G1166">
        <f t="shared" si="50"/>
        <v>3</v>
      </c>
      <c r="H1166">
        <f t="shared" si="51"/>
        <v>2018</v>
      </c>
    </row>
    <row r="1167" spans="5:8" x14ac:dyDescent="0.25">
      <c r="E1167" s="2">
        <v>43171</v>
      </c>
      <c r="F1167">
        <v>127</v>
      </c>
      <c r="G1167">
        <f t="shared" si="50"/>
        <v>3</v>
      </c>
      <c r="H1167">
        <f t="shared" si="51"/>
        <v>2018</v>
      </c>
    </row>
    <row r="1168" spans="5:8" x14ac:dyDescent="0.25">
      <c r="E1168" s="2">
        <v>43172</v>
      </c>
      <c r="F1168">
        <v>125</v>
      </c>
      <c r="G1168">
        <f t="shared" si="50"/>
        <v>3</v>
      </c>
      <c r="H1168">
        <f t="shared" si="51"/>
        <v>2018</v>
      </c>
    </row>
    <row r="1169" spans="5:8" x14ac:dyDescent="0.25">
      <c r="E1169" s="2">
        <v>43173</v>
      </c>
      <c r="F1169">
        <v>125</v>
      </c>
      <c r="G1169">
        <f t="shared" si="50"/>
        <v>3</v>
      </c>
      <c r="H1169">
        <f t="shared" si="51"/>
        <v>2018</v>
      </c>
    </row>
    <row r="1170" spans="5:8" x14ac:dyDescent="0.25">
      <c r="E1170" s="2">
        <v>43174</v>
      </c>
      <c r="F1170">
        <v>127.5</v>
      </c>
      <c r="G1170">
        <f t="shared" si="50"/>
        <v>3</v>
      </c>
      <c r="H1170">
        <f t="shared" si="51"/>
        <v>2018</v>
      </c>
    </row>
    <row r="1171" spans="5:8" x14ac:dyDescent="0.25">
      <c r="E1171" s="2">
        <v>43175</v>
      </c>
      <c r="F1171">
        <v>127.5</v>
      </c>
      <c r="G1171">
        <f t="shared" si="50"/>
        <v>3</v>
      </c>
      <c r="H1171">
        <f t="shared" si="51"/>
        <v>2018</v>
      </c>
    </row>
    <row r="1172" spans="5:8" x14ac:dyDescent="0.25">
      <c r="E1172" s="2">
        <v>43178</v>
      </c>
      <c r="F1172">
        <v>126.5</v>
      </c>
      <c r="G1172">
        <f t="shared" si="50"/>
        <v>3</v>
      </c>
      <c r="H1172">
        <f t="shared" si="51"/>
        <v>2018</v>
      </c>
    </row>
    <row r="1173" spans="5:8" x14ac:dyDescent="0.25">
      <c r="E1173" s="2">
        <v>43179</v>
      </c>
      <c r="F1173">
        <v>126.5</v>
      </c>
      <c r="G1173">
        <f t="shared" si="50"/>
        <v>3</v>
      </c>
      <c r="H1173">
        <f t="shared" si="51"/>
        <v>2018</v>
      </c>
    </row>
    <row r="1174" spans="5:8" x14ac:dyDescent="0.25">
      <c r="E1174" s="2">
        <v>43180</v>
      </c>
      <c r="F1174">
        <v>131</v>
      </c>
      <c r="G1174">
        <f t="shared" si="50"/>
        <v>3</v>
      </c>
      <c r="H1174">
        <f t="shared" si="51"/>
        <v>2018</v>
      </c>
    </row>
    <row r="1175" spans="5:8" x14ac:dyDescent="0.25">
      <c r="E1175" s="2">
        <v>43181</v>
      </c>
      <c r="F1175">
        <v>134.5</v>
      </c>
      <c r="G1175">
        <f t="shared" si="50"/>
        <v>3</v>
      </c>
      <c r="H1175">
        <f t="shared" si="51"/>
        <v>2018</v>
      </c>
    </row>
    <row r="1176" spans="5:8" x14ac:dyDescent="0.25">
      <c r="E1176" s="2">
        <v>43182</v>
      </c>
      <c r="F1176">
        <v>137.5</v>
      </c>
      <c r="G1176">
        <f t="shared" si="50"/>
        <v>3</v>
      </c>
      <c r="H1176">
        <f t="shared" si="51"/>
        <v>2018</v>
      </c>
    </row>
    <row r="1177" spans="5:8" x14ac:dyDescent="0.25">
      <c r="E1177" s="2">
        <v>43185</v>
      </c>
      <c r="F1177">
        <v>137.5</v>
      </c>
      <c r="G1177">
        <f t="shared" si="50"/>
        <v>3</v>
      </c>
      <c r="H1177">
        <f t="shared" si="51"/>
        <v>2018</v>
      </c>
    </row>
    <row r="1178" spans="5:8" x14ac:dyDescent="0.25">
      <c r="E1178" s="2">
        <v>43186</v>
      </c>
      <c r="F1178">
        <v>137.5</v>
      </c>
      <c r="G1178">
        <f t="shared" si="50"/>
        <v>3</v>
      </c>
      <c r="H1178">
        <f t="shared" si="51"/>
        <v>2018</v>
      </c>
    </row>
    <row r="1179" spans="5:8" x14ac:dyDescent="0.25">
      <c r="E1179" s="2">
        <v>43187</v>
      </c>
      <c r="F1179">
        <v>141</v>
      </c>
      <c r="G1179">
        <f t="shared" si="50"/>
        <v>3</v>
      </c>
      <c r="H1179">
        <f t="shared" si="51"/>
        <v>2018</v>
      </c>
    </row>
    <row r="1180" spans="5:8" x14ac:dyDescent="0.25">
      <c r="E1180" s="2">
        <v>43188</v>
      </c>
      <c r="F1180">
        <v>141</v>
      </c>
      <c r="G1180">
        <f t="shared" si="50"/>
        <v>3</v>
      </c>
      <c r="H1180">
        <f t="shared" si="51"/>
        <v>2018</v>
      </c>
    </row>
    <row r="1181" spans="5:8" x14ac:dyDescent="0.25">
      <c r="E1181" s="2">
        <v>43192</v>
      </c>
      <c r="F1181">
        <v>141.5</v>
      </c>
      <c r="G1181">
        <f t="shared" si="50"/>
        <v>4</v>
      </c>
      <c r="H1181">
        <f t="shared" si="51"/>
        <v>2018</v>
      </c>
    </row>
    <row r="1182" spans="5:8" x14ac:dyDescent="0.25">
      <c r="E1182" s="2">
        <v>43193</v>
      </c>
      <c r="F1182">
        <v>143</v>
      </c>
      <c r="G1182">
        <f t="shared" si="50"/>
        <v>4</v>
      </c>
      <c r="H1182">
        <f t="shared" si="51"/>
        <v>2018</v>
      </c>
    </row>
    <row r="1183" spans="5:8" x14ac:dyDescent="0.25">
      <c r="E1183" s="2">
        <v>43194</v>
      </c>
      <c r="F1183">
        <v>144</v>
      </c>
      <c r="G1183">
        <f t="shared" si="50"/>
        <v>4</v>
      </c>
      <c r="H1183">
        <f t="shared" si="51"/>
        <v>2018</v>
      </c>
    </row>
    <row r="1184" spans="5:8" x14ac:dyDescent="0.25">
      <c r="E1184" s="2">
        <v>43195</v>
      </c>
      <c r="F1184">
        <v>146</v>
      </c>
      <c r="G1184">
        <f t="shared" si="50"/>
        <v>4</v>
      </c>
      <c r="H1184">
        <f t="shared" si="51"/>
        <v>2018</v>
      </c>
    </row>
    <row r="1185" spans="5:8" x14ac:dyDescent="0.25">
      <c r="E1185" s="2">
        <v>43196</v>
      </c>
      <c r="F1185">
        <v>146</v>
      </c>
      <c r="G1185">
        <f t="shared" si="50"/>
        <v>4</v>
      </c>
      <c r="H1185">
        <f t="shared" si="51"/>
        <v>2018</v>
      </c>
    </row>
    <row r="1186" spans="5:8" x14ac:dyDescent="0.25">
      <c r="E1186" s="2">
        <v>43199</v>
      </c>
      <c r="F1186">
        <v>146.5</v>
      </c>
      <c r="G1186">
        <f t="shared" si="50"/>
        <v>4</v>
      </c>
      <c r="H1186">
        <f t="shared" si="51"/>
        <v>2018</v>
      </c>
    </row>
    <row r="1187" spans="5:8" x14ac:dyDescent="0.25">
      <c r="E1187" s="2">
        <v>43200</v>
      </c>
      <c r="F1187">
        <v>146.5</v>
      </c>
      <c r="G1187">
        <f t="shared" si="50"/>
        <v>4</v>
      </c>
      <c r="H1187">
        <f t="shared" si="51"/>
        <v>2018</v>
      </c>
    </row>
    <row r="1188" spans="5:8" x14ac:dyDescent="0.25">
      <c r="E1188" s="2">
        <v>43201</v>
      </c>
      <c r="F1188">
        <v>148.75</v>
      </c>
      <c r="G1188">
        <f t="shared" si="50"/>
        <v>4</v>
      </c>
      <c r="H1188">
        <f t="shared" si="51"/>
        <v>2018</v>
      </c>
    </row>
    <row r="1189" spans="5:8" x14ac:dyDescent="0.25">
      <c r="E1189" s="2">
        <v>43202</v>
      </c>
      <c r="F1189">
        <v>148.75</v>
      </c>
      <c r="G1189">
        <f t="shared" si="50"/>
        <v>4</v>
      </c>
      <c r="H1189">
        <f t="shared" si="51"/>
        <v>2018</v>
      </c>
    </row>
    <row r="1190" spans="5:8" x14ac:dyDescent="0.25">
      <c r="E1190" s="2">
        <v>43203</v>
      </c>
      <c r="F1190">
        <v>148.75</v>
      </c>
      <c r="G1190">
        <f t="shared" si="50"/>
        <v>4</v>
      </c>
      <c r="H1190">
        <f t="shared" si="51"/>
        <v>2018</v>
      </c>
    </row>
    <row r="1191" spans="5:8" x14ac:dyDescent="0.25">
      <c r="E1191" s="2">
        <v>43206</v>
      </c>
      <c r="F1191">
        <v>148.5</v>
      </c>
      <c r="G1191">
        <f t="shared" si="50"/>
        <v>4</v>
      </c>
      <c r="H1191">
        <f t="shared" si="51"/>
        <v>2018</v>
      </c>
    </row>
    <row r="1192" spans="5:8" x14ac:dyDescent="0.25">
      <c r="E1192" s="2">
        <v>43207</v>
      </c>
      <c r="F1192">
        <v>148</v>
      </c>
      <c r="G1192">
        <f t="shared" si="50"/>
        <v>4</v>
      </c>
      <c r="H1192">
        <f t="shared" si="51"/>
        <v>2018</v>
      </c>
    </row>
    <row r="1193" spans="5:8" x14ac:dyDescent="0.25">
      <c r="E1193" s="2">
        <v>43208</v>
      </c>
      <c r="F1193">
        <v>148</v>
      </c>
      <c r="G1193">
        <f t="shared" si="50"/>
        <v>4</v>
      </c>
      <c r="H1193">
        <f t="shared" si="51"/>
        <v>2018</v>
      </c>
    </row>
    <row r="1194" spans="5:8" x14ac:dyDescent="0.25">
      <c r="E1194" s="2">
        <v>43209</v>
      </c>
      <c r="F1194">
        <v>148.75</v>
      </c>
      <c r="G1194">
        <f t="shared" si="50"/>
        <v>4</v>
      </c>
      <c r="H1194">
        <f t="shared" si="51"/>
        <v>2018</v>
      </c>
    </row>
    <row r="1195" spans="5:8" x14ac:dyDescent="0.25">
      <c r="E1195" s="2">
        <v>43210</v>
      </c>
      <c r="F1195">
        <v>152.5</v>
      </c>
      <c r="G1195">
        <f t="shared" si="50"/>
        <v>4</v>
      </c>
      <c r="H1195">
        <f t="shared" si="51"/>
        <v>2018</v>
      </c>
    </row>
    <row r="1196" spans="5:8" x14ac:dyDescent="0.25">
      <c r="E1196" s="2">
        <v>43213</v>
      </c>
      <c r="F1196">
        <v>156</v>
      </c>
      <c r="G1196">
        <f t="shared" si="50"/>
        <v>4</v>
      </c>
      <c r="H1196">
        <f t="shared" si="51"/>
        <v>2018</v>
      </c>
    </row>
    <row r="1197" spans="5:8" x14ac:dyDescent="0.25">
      <c r="E1197" s="2">
        <v>43214</v>
      </c>
      <c r="F1197">
        <v>154</v>
      </c>
      <c r="G1197">
        <f t="shared" si="50"/>
        <v>4</v>
      </c>
      <c r="H1197">
        <f t="shared" si="51"/>
        <v>2018</v>
      </c>
    </row>
    <row r="1198" spans="5:8" x14ac:dyDescent="0.25">
      <c r="E1198" s="2">
        <v>43215</v>
      </c>
      <c r="F1198">
        <v>155</v>
      </c>
      <c r="G1198">
        <f t="shared" si="50"/>
        <v>4</v>
      </c>
      <c r="H1198">
        <f t="shared" si="51"/>
        <v>2018</v>
      </c>
    </row>
    <row r="1199" spans="5:8" x14ac:dyDescent="0.25">
      <c r="E1199" s="2">
        <v>43216</v>
      </c>
      <c r="F1199">
        <v>155</v>
      </c>
      <c r="G1199">
        <f t="shared" si="50"/>
        <v>4</v>
      </c>
      <c r="H1199">
        <f t="shared" si="51"/>
        <v>2018</v>
      </c>
    </row>
    <row r="1200" spans="5:8" x14ac:dyDescent="0.25">
      <c r="E1200" s="2">
        <v>43217</v>
      </c>
      <c r="F1200">
        <v>153</v>
      </c>
      <c r="G1200">
        <f t="shared" si="50"/>
        <v>4</v>
      </c>
      <c r="H1200">
        <f t="shared" si="51"/>
        <v>2018</v>
      </c>
    </row>
    <row r="1201" spans="5:8" x14ac:dyDescent="0.25">
      <c r="E1201" s="2">
        <v>43220</v>
      </c>
      <c r="F1201">
        <v>153</v>
      </c>
      <c r="G1201">
        <f t="shared" si="50"/>
        <v>4</v>
      </c>
      <c r="H1201">
        <f t="shared" si="51"/>
        <v>2018</v>
      </c>
    </row>
    <row r="1202" spans="5:8" x14ac:dyDescent="0.25">
      <c r="E1202" s="2">
        <v>43221</v>
      </c>
      <c r="F1202">
        <v>153</v>
      </c>
      <c r="G1202">
        <f t="shared" si="50"/>
        <v>5</v>
      </c>
      <c r="H1202">
        <f t="shared" si="51"/>
        <v>2018</v>
      </c>
    </row>
    <row r="1203" spans="5:8" x14ac:dyDescent="0.25">
      <c r="E1203" s="2">
        <v>43222</v>
      </c>
      <c r="F1203">
        <v>154</v>
      </c>
      <c r="G1203">
        <f t="shared" si="50"/>
        <v>5</v>
      </c>
      <c r="H1203">
        <f t="shared" si="51"/>
        <v>2018</v>
      </c>
    </row>
    <row r="1204" spans="5:8" x14ac:dyDescent="0.25">
      <c r="E1204" s="2">
        <v>43223</v>
      </c>
      <c r="F1204">
        <v>155</v>
      </c>
      <c r="G1204">
        <f t="shared" si="50"/>
        <v>5</v>
      </c>
      <c r="H1204">
        <f t="shared" si="51"/>
        <v>2018</v>
      </c>
    </row>
    <row r="1205" spans="5:8" x14ac:dyDescent="0.25">
      <c r="E1205" s="2">
        <v>43224</v>
      </c>
      <c r="F1205">
        <v>155</v>
      </c>
      <c r="G1205">
        <f t="shared" si="50"/>
        <v>5</v>
      </c>
      <c r="H1205">
        <f t="shared" si="51"/>
        <v>2018</v>
      </c>
    </row>
    <row r="1206" spans="5:8" x14ac:dyDescent="0.25">
      <c r="E1206" s="2">
        <v>43227</v>
      </c>
      <c r="F1206">
        <v>155</v>
      </c>
      <c r="G1206">
        <f t="shared" si="50"/>
        <v>5</v>
      </c>
      <c r="H1206">
        <f t="shared" si="51"/>
        <v>2018</v>
      </c>
    </row>
    <row r="1207" spans="5:8" x14ac:dyDescent="0.25">
      <c r="E1207" s="2">
        <v>43228</v>
      </c>
      <c r="F1207">
        <v>153</v>
      </c>
      <c r="G1207">
        <f t="shared" si="50"/>
        <v>5</v>
      </c>
      <c r="H1207">
        <f t="shared" si="51"/>
        <v>2018</v>
      </c>
    </row>
    <row r="1208" spans="5:8" x14ac:dyDescent="0.25">
      <c r="E1208" s="2">
        <v>43229</v>
      </c>
      <c r="F1208">
        <v>150.5</v>
      </c>
      <c r="G1208">
        <f t="shared" si="50"/>
        <v>5</v>
      </c>
      <c r="H1208">
        <f t="shared" si="51"/>
        <v>2018</v>
      </c>
    </row>
    <row r="1209" spans="5:8" x14ac:dyDescent="0.25">
      <c r="E1209" s="2">
        <v>43230</v>
      </c>
      <c r="F1209">
        <v>152.5</v>
      </c>
      <c r="G1209">
        <f t="shared" si="50"/>
        <v>5</v>
      </c>
      <c r="H1209">
        <f t="shared" si="51"/>
        <v>2018</v>
      </c>
    </row>
    <row r="1210" spans="5:8" x14ac:dyDescent="0.25">
      <c r="E1210" s="2">
        <v>43231</v>
      </c>
      <c r="F1210">
        <v>155</v>
      </c>
      <c r="G1210">
        <f t="shared" si="50"/>
        <v>5</v>
      </c>
      <c r="H1210">
        <f t="shared" si="51"/>
        <v>2018</v>
      </c>
    </row>
    <row r="1211" spans="5:8" x14ac:dyDescent="0.25">
      <c r="E1211" s="2">
        <v>43234</v>
      </c>
      <c r="F1211">
        <v>155</v>
      </c>
      <c r="G1211">
        <f t="shared" si="50"/>
        <v>5</v>
      </c>
      <c r="H1211">
        <f t="shared" si="51"/>
        <v>2018</v>
      </c>
    </row>
    <row r="1212" spans="5:8" x14ac:dyDescent="0.25">
      <c r="E1212" s="2">
        <v>43235</v>
      </c>
      <c r="F1212">
        <v>156.5</v>
      </c>
      <c r="G1212">
        <f t="shared" si="50"/>
        <v>5</v>
      </c>
      <c r="H1212">
        <f t="shared" si="51"/>
        <v>2018</v>
      </c>
    </row>
    <row r="1213" spans="5:8" x14ac:dyDescent="0.25">
      <c r="E1213" s="2">
        <v>43236</v>
      </c>
      <c r="F1213">
        <v>157.5</v>
      </c>
      <c r="G1213">
        <f t="shared" si="50"/>
        <v>5</v>
      </c>
      <c r="H1213">
        <f t="shared" si="51"/>
        <v>2018</v>
      </c>
    </row>
    <row r="1214" spans="5:8" x14ac:dyDescent="0.25">
      <c r="E1214" s="2">
        <v>43237</v>
      </c>
      <c r="F1214">
        <v>157.75</v>
      </c>
      <c r="G1214">
        <f t="shared" si="50"/>
        <v>5</v>
      </c>
      <c r="H1214">
        <f t="shared" si="51"/>
        <v>2018</v>
      </c>
    </row>
    <row r="1215" spans="5:8" x14ac:dyDescent="0.25">
      <c r="E1215" s="2">
        <v>43238</v>
      </c>
      <c r="F1215">
        <v>157.5</v>
      </c>
      <c r="G1215">
        <f t="shared" si="50"/>
        <v>5</v>
      </c>
      <c r="H1215">
        <f t="shared" si="51"/>
        <v>2018</v>
      </c>
    </row>
    <row r="1216" spans="5:8" x14ac:dyDescent="0.25">
      <c r="E1216" s="2">
        <v>43241</v>
      </c>
      <c r="F1216">
        <v>157.5</v>
      </c>
      <c r="G1216">
        <f t="shared" si="50"/>
        <v>5</v>
      </c>
      <c r="H1216">
        <f t="shared" si="51"/>
        <v>2018</v>
      </c>
    </row>
    <row r="1217" spans="5:8" x14ac:dyDescent="0.25">
      <c r="E1217" s="2">
        <v>43242</v>
      </c>
      <c r="F1217">
        <v>161</v>
      </c>
      <c r="G1217">
        <f t="shared" si="50"/>
        <v>5</v>
      </c>
      <c r="H1217">
        <f t="shared" si="51"/>
        <v>2018</v>
      </c>
    </row>
    <row r="1218" spans="5:8" x14ac:dyDescent="0.25">
      <c r="E1218" s="2">
        <v>43243</v>
      </c>
      <c r="F1218">
        <v>158</v>
      </c>
      <c r="G1218">
        <f t="shared" si="50"/>
        <v>5</v>
      </c>
      <c r="H1218">
        <f t="shared" si="51"/>
        <v>2018</v>
      </c>
    </row>
    <row r="1219" spans="5:8" x14ac:dyDescent="0.25">
      <c r="E1219" s="2">
        <v>43244</v>
      </c>
      <c r="F1219">
        <v>160</v>
      </c>
      <c r="G1219">
        <f t="shared" si="50"/>
        <v>5</v>
      </c>
      <c r="H1219">
        <f t="shared" si="51"/>
        <v>2018</v>
      </c>
    </row>
    <row r="1220" spans="5:8" x14ac:dyDescent="0.25">
      <c r="E1220" s="2">
        <v>43245</v>
      </c>
      <c r="F1220">
        <v>163</v>
      </c>
      <c r="G1220">
        <f t="shared" si="50"/>
        <v>5</v>
      </c>
      <c r="H1220">
        <f t="shared" si="51"/>
        <v>2018</v>
      </c>
    </row>
    <row r="1221" spans="5:8" x14ac:dyDescent="0.25">
      <c r="E1221" s="2">
        <v>43249</v>
      </c>
      <c r="F1221">
        <v>163</v>
      </c>
      <c r="G1221">
        <f t="shared" ref="G1221:G1284" si="52">MONTH(E1221)</f>
        <v>5</v>
      </c>
      <c r="H1221">
        <f t="shared" ref="H1221:H1284" si="53">YEAR(E1221)</f>
        <v>2018</v>
      </c>
    </row>
    <row r="1222" spans="5:8" x14ac:dyDescent="0.25">
      <c r="E1222" s="2">
        <v>43250</v>
      </c>
      <c r="F1222">
        <v>163</v>
      </c>
      <c r="G1222">
        <f t="shared" si="52"/>
        <v>5</v>
      </c>
      <c r="H1222">
        <f t="shared" si="53"/>
        <v>2018</v>
      </c>
    </row>
    <row r="1223" spans="5:8" x14ac:dyDescent="0.25">
      <c r="E1223" s="2">
        <v>43251</v>
      </c>
      <c r="F1223">
        <v>164</v>
      </c>
      <c r="G1223">
        <f t="shared" si="52"/>
        <v>5</v>
      </c>
      <c r="H1223">
        <f t="shared" si="53"/>
        <v>2018</v>
      </c>
    </row>
    <row r="1224" spans="5:8" x14ac:dyDescent="0.25">
      <c r="E1224" s="2">
        <v>43252</v>
      </c>
      <c r="F1224">
        <v>169.75</v>
      </c>
      <c r="G1224">
        <f t="shared" si="52"/>
        <v>6</v>
      </c>
      <c r="H1224">
        <f t="shared" si="53"/>
        <v>2018</v>
      </c>
    </row>
    <row r="1225" spans="5:8" x14ac:dyDescent="0.25">
      <c r="E1225" s="2">
        <v>43255</v>
      </c>
      <c r="F1225">
        <v>172.5</v>
      </c>
      <c r="G1225">
        <f t="shared" si="52"/>
        <v>6</v>
      </c>
      <c r="H1225">
        <f t="shared" si="53"/>
        <v>2018</v>
      </c>
    </row>
    <row r="1226" spans="5:8" x14ac:dyDescent="0.25">
      <c r="E1226" s="2">
        <v>43256</v>
      </c>
      <c r="F1226">
        <v>171.5</v>
      </c>
      <c r="G1226">
        <f t="shared" si="52"/>
        <v>6</v>
      </c>
      <c r="H1226">
        <f t="shared" si="53"/>
        <v>2018</v>
      </c>
    </row>
    <row r="1227" spans="5:8" x14ac:dyDescent="0.25">
      <c r="E1227" s="2">
        <v>43257</v>
      </c>
      <c r="F1227">
        <v>171.5</v>
      </c>
      <c r="G1227">
        <f t="shared" si="52"/>
        <v>6</v>
      </c>
      <c r="H1227">
        <f t="shared" si="53"/>
        <v>2018</v>
      </c>
    </row>
    <row r="1228" spans="5:8" x14ac:dyDescent="0.25">
      <c r="E1228" s="2">
        <v>43258</v>
      </c>
      <c r="F1228">
        <v>175</v>
      </c>
      <c r="G1228">
        <f t="shared" si="52"/>
        <v>6</v>
      </c>
      <c r="H1228">
        <f t="shared" si="53"/>
        <v>2018</v>
      </c>
    </row>
    <row r="1229" spans="5:8" x14ac:dyDescent="0.25">
      <c r="E1229" s="2">
        <v>43259</v>
      </c>
      <c r="F1229">
        <v>173.5</v>
      </c>
      <c r="G1229">
        <f t="shared" si="52"/>
        <v>6</v>
      </c>
      <c r="H1229">
        <f t="shared" si="53"/>
        <v>2018</v>
      </c>
    </row>
    <row r="1230" spans="5:8" x14ac:dyDescent="0.25">
      <c r="E1230" s="2">
        <v>43262</v>
      </c>
      <c r="F1230">
        <v>175.25</v>
      </c>
      <c r="G1230">
        <f t="shared" si="52"/>
        <v>6</v>
      </c>
      <c r="H1230">
        <f t="shared" si="53"/>
        <v>2018</v>
      </c>
    </row>
    <row r="1231" spans="5:8" x14ac:dyDescent="0.25">
      <c r="E1231" s="2">
        <v>43263</v>
      </c>
      <c r="F1231">
        <v>177.5</v>
      </c>
      <c r="G1231">
        <f t="shared" si="52"/>
        <v>6</v>
      </c>
      <c r="H1231">
        <f t="shared" si="53"/>
        <v>2018</v>
      </c>
    </row>
    <row r="1232" spans="5:8" x14ac:dyDescent="0.25">
      <c r="E1232" s="2">
        <v>43264</v>
      </c>
      <c r="F1232">
        <v>180</v>
      </c>
      <c r="G1232">
        <f t="shared" si="52"/>
        <v>6</v>
      </c>
      <c r="H1232">
        <f t="shared" si="53"/>
        <v>2018</v>
      </c>
    </row>
    <row r="1233" spans="5:8" x14ac:dyDescent="0.25">
      <c r="E1233" s="2">
        <v>43265</v>
      </c>
      <c r="F1233">
        <v>183</v>
      </c>
      <c r="G1233">
        <f t="shared" si="52"/>
        <v>6</v>
      </c>
      <c r="H1233">
        <f t="shared" si="53"/>
        <v>2018</v>
      </c>
    </row>
    <row r="1234" spans="5:8" x14ac:dyDescent="0.25">
      <c r="E1234" s="2">
        <v>43266</v>
      </c>
      <c r="F1234">
        <v>182</v>
      </c>
      <c r="G1234">
        <f t="shared" si="52"/>
        <v>6</v>
      </c>
      <c r="H1234">
        <f t="shared" si="53"/>
        <v>2018</v>
      </c>
    </row>
    <row r="1235" spans="5:8" x14ac:dyDescent="0.25">
      <c r="E1235" s="2">
        <v>43269</v>
      </c>
      <c r="F1235">
        <v>181.5</v>
      </c>
      <c r="G1235">
        <f t="shared" si="52"/>
        <v>6</v>
      </c>
      <c r="H1235">
        <f t="shared" si="53"/>
        <v>2018</v>
      </c>
    </row>
    <row r="1236" spans="5:8" x14ac:dyDescent="0.25">
      <c r="E1236" s="2">
        <v>43270</v>
      </c>
      <c r="F1236">
        <v>182</v>
      </c>
      <c r="G1236">
        <f t="shared" si="52"/>
        <v>6</v>
      </c>
      <c r="H1236">
        <f t="shared" si="53"/>
        <v>2018</v>
      </c>
    </row>
    <row r="1237" spans="5:8" x14ac:dyDescent="0.25">
      <c r="E1237" s="2">
        <v>43271</v>
      </c>
      <c r="F1237">
        <v>184</v>
      </c>
      <c r="G1237">
        <f t="shared" si="52"/>
        <v>6</v>
      </c>
      <c r="H1237">
        <f t="shared" si="53"/>
        <v>2018</v>
      </c>
    </row>
    <row r="1238" spans="5:8" x14ac:dyDescent="0.25">
      <c r="E1238" s="2">
        <v>43272</v>
      </c>
      <c r="F1238">
        <v>183</v>
      </c>
      <c r="G1238">
        <f t="shared" si="52"/>
        <v>6</v>
      </c>
      <c r="H1238">
        <f t="shared" si="53"/>
        <v>2018</v>
      </c>
    </row>
    <row r="1239" spans="5:8" x14ac:dyDescent="0.25">
      <c r="E1239" s="2">
        <v>43273</v>
      </c>
      <c r="F1239">
        <v>182.5</v>
      </c>
      <c r="G1239">
        <f t="shared" si="52"/>
        <v>6</v>
      </c>
      <c r="H1239">
        <f t="shared" si="53"/>
        <v>2018</v>
      </c>
    </row>
    <row r="1240" spans="5:8" x14ac:dyDescent="0.25">
      <c r="E1240" s="2">
        <v>43276</v>
      </c>
      <c r="F1240">
        <v>182</v>
      </c>
      <c r="G1240">
        <f t="shared" si="52"/>
        <v>6</v>
      </c>
      <c r="H1240">
        <f t="shared" si="53"/>
        <v>2018</v>
      </c>
    </row>
    <row r="1241" spans="5:8" x14ac:dyDescent="0.25">
      <c r="E1241" s="2">
        <v>43277</v>
      </c>
      <c r="F1241">
        <v>182.5</v>
      </c>
      <c r="G1241">
        <f t="shared" si="52"/>
        <v>6</v>
      </c>
      <c r="H1241">
        <f t="shared" si="53"/>
        <v>2018</v>
      </c>
    </row>
    <row r="1242" spans="5:8" x14ac:dyDescent="0.25">
      <c r="E1242" s="2">
        <v>43278</v>
      </c>
      <c r="F1242">
        <v>184</v>
      </c>
      <c r="G1242">
        <f t="shared" si="52"/>
        <v>6</v>
      </c>
      <c r="H1242">
        <f t="shared" si="53"/>
        <v>2018</v>
      </c>
    </row>
    <row r="1243" spans="5:8" x14ac:dyDescent="0.25">
      <c r="E1243" s="2">
        <v>43279</v>
      </c>
      <c r="F1243">
        <v>182.5</v>
      </c>
      <c r="G1243">
        <f t="shared" si="52"/>
        <v>6</v>
      </c>
      <c r="H1243">
        <f t="shared" si="53"/>
        <v>2018</v>
      </c>
    </row>
    <row r="1244" spans="5:8" x14ac:dyDescent="0.25">
      <c r="E1244" s="2">
        <v>43280</v>
      </c>
      <c r="F1244">
        <v>183.5</v>
      </c>
      <c r="G1244">
        <f t="shared" si="52"/>
        <v>6</v>
      </c>
      <c r="H1244">
        <f t="shared" si="53"/>
        <v>2018</v>
      </c>
    </row>
    <row r="1245" spans="5:8" x14ac:dyDescent="0.25">
      <c r="E1245" s="2">
        <v>43283</v>
      </c>
      <c r="F1245">
        <v>184.5</v>
      </c>
      <c r="G1245">
        <f t="shared" si="52"/>
        <v>7</v>
      </c>
      <c r="H1245">
        <f t="shared" si="53"/>
        <v>2018</v>
      </c>
    </row>
    <row r="1246" spans="5:8" x14ac:dyDescent="0.25">
      <c r="E1246" s="2">
        <v>43284</v>
      </c>
      <c r="F1246">
        <v>184.5</v>
      </c>
      <c r="G1246">
        <f t="shared" si="52"/>
        <v>7</v>
      </c>
      <c r="H1246">
        <f t="shared" si="53"/>
        <v>2018</v>
      </c>
    </row>
    <row r="1247" spans="5:8" x14ac:dyDescent="0.25">
      <c r="E1247" s="2">
        <v>43286</v>
      </c>
      <c r="F1247">
        <v>185</v>
      </c>
      <c r="G1247">
        <f t="shared" si="52"/>
        <v>7</v>
      </c>
      <c r="H1247">
        <f t="shared" si="53"/>
        <v>2018</v>
      </c>
    </row>
    <row r="1248" spans="5:8" x14ac:dyDescent="0.25">
      <c r="E1248" s="2">
        <v>43287</v>
      </c>
      <c r="F1248">
        <v>186.5</v>
      </c>
      <c r="G1248">
        <f t="shared" si="52"/>
        <v>7</v>
      </c>
      <c r="H1248">
        <f t="shared" si="53"/>
        <v>2018</v>
      </c>
    </row>
    <row r="1249" spans="5:8" x14ac:dyDescent="0.25">
      <c r="E1249" s="2">
        <v>43290</v>
      </c>
      <c r="F1249">
        <v>185</v>
      </c>
      <c r="G1249">
        <f t="shared" si="52"/>
        <v>7</v>
      </c>
      <c r="H1249">
        <f t="shared" si="53"/>
        <v>2018</v>
      </c>
    </row>
    <row r="1250" spans="5:8" x14ac:dyDescent="0.25">
      <c r="E1250" s="2">
        <v>43291</v>
      </c>
      <c r="F1250">
        <v>185</v>
      </c>
      <c r="G1250">
        <f t="shared" si="52"/>
        <v>7</v>
      </c>
      <c r="H1250">
        <f t="shared" si="53"/>
        <v>2018</v>
      </c>
    </row>
    <row r="1251" spans="5:8" x14ac:dyDescent="0.25">
      <c r="E1251" s="2">
        <v>43292</v>
      </c>
      <c r="F1251">
        <v>185</v>
      </c>
      <c r="G1251">
        <f t="shared" si="52"/>
        <v>7</v>
      </c>
      <c r="H1251">
        <f t="shared" si="53"/>
        <v>2018</v>
      </c>
    </row>
    <row r="1252" spans="5:8" x14ac:dyDescent="0.25">
      <c r="E1252" s="2">
        <v>43293</v>
      </c>
      <c r="F1252">
        <v>185</v>
      </c>
      <c r="G1252">
        <f t="shared" si="52"/>
        <v>7</v>
      </c>
      <c r="H1252">
        <f t="shared" si="53"/>
        <v>2018</v>
      </c>
    </row>
    <row r="1253" spans="5:8" x14ac:dyDescent="0.25">
      <c r="E1253" s="2">
        <v>43294</v>
      </c>
      <c r="F1253">
        <v>183.5</v>
      </c>
      <c r="G1253">
        <f t="shared" si="52"/>
        <v>7</v>
      </c>
      <c r="H1253">
        <f t="shared" si="53"/>
        <v>2018</v>
      </c>
    </row>
    <row r="1254" spans="5:8" x14ac:dyDescent="0.25">
      <c r="E1254" s="2">
        <v>43297</v>
      </c>
      <c r="F1254">
        <v>184.5</v>
      </c>
      <c r="G1254">
        <f t="shared" si="52"/>
        <v>7</v>
      </c>
      <c r="H1254">
        <f t="shared" si="53"/>
        <v>2018</v>
      </c>
    </row>
    <row r="1255" spans="5:8" x14ac:dyDescent="0.25">
      <c r="E1255" s="2">
        <v>43298</v>
      </c>
      <c r="F1255">
        <v>185</v>
      </c>
      <c r="G1255">
        <f t="shared" si="52"/>
        <v>7</v>
      </c>
      <c r="H1255">
        <f t="shared" si="53"/>
        <v>2018</v>
      </c>
    </row>
    <row r="1256" spans="5:8" x14ac:dyDescent="0.25">
      <c r="E1256" s="2">
        <v>43299</v>
      </c>
      <c r="F1256">
        <v>186.75</v>
      </c>
      <c r="G1256">
        <f t="shared" si="52"/>
        <v>7</v>
      </c>
      <c r="H1256">
        <f t="shared" si="53"/>
        <v>2018</v>
      </c>
    </row>
    <row r="1257" spans="5:8" x14ac:dyDescent="0.25">
      <c r="E1257" s="2">
        <v>43300</v>
      </c>
      <c r="F1257">
        <v>186</v>
      </c>
      <c r="G1257">
        <f t="shared" si="52"/>
        <v>7</v>
      </c>
      <c r="H1257">
        <f t="shared" si="53"/>
        <v>2018</v>
      </c>
    </row>
    <row r="1258" spans="5:8" x14ac:dyDescent="0.25">
      <c r="E1258" s="2">
        <v>43301</v>
      </c>
      <c r="F1258">
        <v>187</v>
      </c>
      <c r="G1258">
        <f t="shared" si="52"/>
        <v>7</v>
      </c>
      <c r="H1258">
        <f t="shared" si="53"/>
        <v>2018</v>
      </c>
    </row>
    <row r="1259" spans="5:8" x14ac:dyDescent="0.25">
      <c r="E1259" s="2">
        <v>43304</v>
      </c>
      <c r="F1259">
        <v>186</v>
      </c>
      <c r="G1259">
        <f t="shared" si="52"/>
        <v>7</v>
      </c>
      <c r="H1259">
        <f t="shared" si="53"/>
        <v>2018</v>
      </c>
    </row>
    <row r="1260" spans="5:8" x14ac:dyDescent="0.25">
      <c r="E1260" s="2">
        <v>43305</v>
      </c>
      <c r="F1260">
        <v>185</v>
      </c>
      <c r="G1260">
        <f t="shared" si="52"/>
        <v>7</v>
      </c>
      <c r="H1260">
        <f t="shared" si="53"/>
        <v>2018</v>
      </c>
    </row>
    <row r="1261" spans="5:8" x14ac:dyDescent="0.25">
      <c r="E1261" s="2">
        <v>43306</v>
      </c>
      <c r="F1261">
        <v>186</v>
      </c>
      <c r="G1261">
        <f t="shared" si="52"/>
        <v>7</v>
      </c>
      <c r="H1261">
        <f t="shared" si="53"/>
        <v>2018</v>
      </c>
    </row>
    <row r="1262" spans="5:8" x14ac:dyDescent="0.25">
      <c r="E1262" s="2">
        <v>43307</v>
      </c>
      <c r="F1262">
        <v>188</v>
      </c>
      <c r="G1262">
        <f t="shared" si="52"/>
        <v>7</v>
      </c>
      <c r="H1262">
        <f t="shared" si="53"/>
        <v>2018</v>
      </c>
    </row>
    <row r="1263" spans="5:8" x14ac:dyDescent="0.25">
      <c r="E1263" s="2">
        <v>43308</v>
      </c>
      <c r="F1263">
        <v>188.75</v>
      </c>
      <c r="G1263">
        <f t="shared" si="52"/>
        <v>7</v>
      </c>
      <c r="H1263">
        <f t="shared" si="53"/>
        <v>2018</v>
      </c>
    </row>
    <row r="1264" spans="5:8" x14ac:dyDescent="0.25">
      <c r="E1264" s="2">
        <v>43311</v>
      </c>
      <c r="F1264">
        <v>191</v>
      </c>
      <c r="G1264">
        <f t="shared" si="52"/>
        <v>7</v>
      </c>
      <c r="H1264">
        <f t="shared" si="53"/>
        <v>2018</v>
      </c>
    </row>
    <row r="1265" spans="5:8" x14ac:dyDescent="0.25">
      <c r="E1265" s="2">
        <v>43312</v>
      </c>
      <c r="F1265">
        <v>193.5</v>
      </c>
      <c r="G1265">
        <f t="shared" si="52"/>
        <v>7</v>
      </c>
      <c r="H1265">
        <f t="shared" si="53"/>
        <v>2018</v>
      </c>
    </row>
    <row r="1266" spans="5:8" x14ac:dyDescent="0.25">
      <c r="E1266" s="2">
        <v>43313</v>
      </c>
      <c r="F1266">
        <v>191.5</v>
      </c>
      <c r="G1266">
        <f t="shared" si="52"/>
        <v>8</v>
      </c>
      <c r="H1266">
        <f t="shared" si="53"/>
        <v>2018</v>
      </c>
    </row>
    <row r="1267" spans="5:8" x14ac:dyDescent="0.25">
      <c r="E1267" s="2">
        <v>43314</v>
      </c>
      <c r="F1267">
        <v>193</v>
      </c>
      <c r="G1267">
        <f t="shared" si="52"/>
        <v>8</v>
      </c>
      <c r="H1267">
        <f t="shared" si="53"/>
        <v>2018</v>
      </c>
    </row>
    <row r="1268" spans="5:8" x14ac:dyDescent="0.25">
      <c r="E1268" s="2">
        <v>43315</v>
      </c>
      <c r="F1268">
        <v>193</v>
      </c>
      <c r="G1268">
        <f t="shared" si="52"/>
        <v>8</v>
      </c>
      <c r="H1268">
        <f t="shared" si="53"/>
        <v>2018</v>
      </c>
    </row>
    <row r="1269" spans="5:8" x14ac:dyDescent="0.25">
      <c r="E1269" s="2">
        <v>43318</v>
      </c>
      <c r="F1269">
        <v>191</v>
      </c>
      <c r="G1269">
        <f t="shared" si="52"/>
        <v>8</v>
      </c>
      <c r="H1269">
        <f t="shared" si="53"/>
        <v>2018</v>
      </c>
    </row>
    <row r="1270" spans="5:8" x14ac:dyDescent="0.25">
      <c r="E1270" s="2">
        <v>43319</v>
      </c>
      <c r="F1270">
        <v>191</v>
      </c>
      <c r="G1270">
        <f t="shared" si="52"/>
        <v>8</v>
      </c>
      <c r="H1270">
        <f t="shared" si="53"/>
        <v>2018</v>
      </c>
    </row>
    <row r="1271" spans="5:8" x14ac:dyDescent="0.25">
      <c r="E1271" s="2">
        <v>43320</v>
      </c>
      <c r="F1271">
        <v>188.5</v>
      </c>
      <c r="G1271">
        <f t="shared" si="52"/>
        <v>8</v>
      </c>
      <c r="H1271">
        <f t="shared" si="53"/>
        <v>2018</v>
      </c>
    </row>
    <row r="1272" spans="5:8" x14ac:dyDescent="0.25">
      <c r="E1272" s="2">
        <v>43321</v>
      </c>
      <c r="F1272">
        <v>183.5</v>
      </c>
      <c r="G1272">
        <f t="shared" si="52"/>
        <v>8</v>
      </c>
      <c r="H1272">
        <f t="shared" si="53"/>
        <v>2018</v>
      </c>
    </row>
    <row r="1273" spans="5:8" x14ac:dyDescent="0.25">
      <c r="E1273" s="2">
        <v>43322</v>
      </c>
      <c r="F1273">
        <v>185.5</v>
      </c>
      <c r="G1273">
        <f t="shared" si="52"/>
        <v>8</v>
      </c>
      <c r="H1273">
        <f t="shared" si="53"/>
        <v>2018</v>
      </c>
    </row>
    <row r="1274" spans="5:8" x14ac:dyDescent="0.25">
      <c r="E1274" s="2">
        <v>43325</v>
      </c>
      <c r="F1274">
        <v>184.5</v>
      </c>
      <c r="G1274">
        <f t="shared" si="52"/>
        <v>8</v>
      </c>
      <c r="H1274">
        <f t="shared" si="53"/>
        <v>2018</v>
      </c>
    </row>
    <row r="1275" spans="5:8" x14ac:dyDescent="0.25">
      <c r="E1275" s="2">
        <v>43326</v>
      </c>
      <c r="F1275">
        <v>184</v>
      </c>
      <c r="G1275">
        <f t="shared" si="52"/>
        <v>8</v>
      </c>
      <c r="H1275">
        <f t="shared" si="53"/>
        <v>2018</v>
      </c>
    </row>
    <row r="1276" spans="5:8" x14ac:dyDescent="0.25">
      <c r="E1276" s="2">
        <v>43327</v>
      </c>
      <c r="F1276">
        <v>184.5</v>
      </c>
      <c r="G1276">
        <f t="shared" si="52"/>
        <v>8</v>
      </c>
      <c r="H1276">
        <f t="shared" si="53"/>
        <v>2018</v>
      </c>
    </row>
    <row r="1277" spans="5:8" x14ac:dyDescent="0.25">
      <c r="E1277" s="2">
        <v>43328</v>
      </c>
      <c r="F1277">
        <v>183.5</v>
      </c>
      <c r="G1277">
        <f t="shared" si="52"/>
        <v>8</v>
      </c>
      <c r="H1277">
        <f t="shared" si="53"/>
        <v>2018</v>
      </c>
    </row>
    <row r="1278" spans="5:8" x14ac:dyDescent="0.25">
      <c r="E1278" s="2">
        <v>43329</v>
      </c>
      <c r="F1278">
        <v>184</v>
      </c>
      <c r="G1278">
        <f t="shared" si="52"/>
        <v>8</v>
      </c>
      <c r="H1278">
        <f t="shared" si="53"/>
        <v>2018</v>
      </c>
    </row>
    <row r="1279" spans="5:8" x14ac:dyDescent="0.25">
      <c r="E1279" s="2">
        <v>43332</v>
      </c>
      <c r="F1279">
        <v>184</v>
      </c>
      <c r="G1279">
        <f t="shared" si="52"/>
        <v>8</v>
      </c>
      <c r="H1279">
        <f t="shared" si="53"/>
        <v>2018</v>
      </c>
    </row>
    <row r="1280" spans="5:8" x14ac:dyDescent="0.25">
      <c r="E1280" s="2">
        <v>43333</v>
      </c>
      <c r="F1280">
        <v>184</v>
      </c>
      <c r="G1280">
        <f t="shared" si="52"/>
        <v>8</v>
      </c>
      <c r="H1280">
        <f t="shared" si="53"/>
        <v>2018</v>
      </c>
    </row>
    <row r="1281" spans="5:8" x14ac:dyDescent="0.25">
      <c r="E1281" s="2">
        <v>43334</v>
      </c>
      <c r="F1281">
        <v>184</v>
      </c>
      <c r="G1281">
        <f t="shared" si="52"/>
        <v>8</v>
      </c>
      <c r="H1281">
        <f t="shared" si="53"/>
        <v>2018</v>
      </c>
    </row>
    <row r="1282" spans="5:8" x14ac:dyDescent="0.25">
      <c r="E1282" s="2">
        <v>43335</v>
      </c>
      <c r="F1282">
        <v>184</v>
      </c>
      <c r="G1282">
        <f t="shared" si="52"/>
        <v>8</v>
      </c>
      <c r="H1282">
        <f t="shared" si="53"/>
        <v>2018</v>
      </c>
    </row>
    <row r="1283" spans="5:8" x14ac:dyDescent="0.25">
      <c r="E1283" s="2">
        <v>43336</v>
      </c>
      <c r="F1283">
        <v>181</v>
      </c>
      <c r="G1283">
        <f t="shared" si="52"/>
        <v>8</v>
      </c>
      <c r="H1283">
        <f t="shared" si="53"/>
        <v>2018</v>
      </c>
    </row>
    <row r="1284" spans="5:8" x14ac:dyDescent="0.25">
      <c r="E1284" s="2">
        <v>43339</v>
      </c>
      <c r="F1284">
        <v>178.5</v>
      </c>
      <c r="G1284">
        <f t="shared" si="52"/>
        <v>8</v>
      </c>
      <c r="H1284">
        <f t="shared" si="53"/>
        <v>2018</v>
      </c>
    </row>
    <row r="1285" spans="5:8" x14ac:dyDescent="0.25">
      <c r="E1285" s="2">
        <v>43340</v>
      </c>
      <c r="F1285">
        <v>178</v>
      </c>
      <c r="G1285">
        <f t="shared" ref="G1285:G1348" si="54">MONTH(E1285)</f>
        <v>8</v>
      </c>
      <c r="H1285">
        <f t="shared" ref="H1285:H1348" si="55">YEAR(E1285)</f>
        <v>2018</v>
      </c>
    </row>
    <row r="1286" spans="5:8" x14ac:dyDescent="0.25">
      <c r="E1286" s="2">
        <v>43341</v>
      </c>
      <c r="F1286">
        <v>177</v>
      </c>
      <c r="G1286">
        <f t="shared" si="54"/>
        <v>8</v>
      </c>
      <c r="H1286">
        <f t="shared" si="55"/>
        <v>2018</v>
      </c>
    </row>
    <row r="1287" spans="5:8" x14ac:dyDescent="0.25">
      <c r="E1287" s="2">
        <v>43342</v>
      </c>
      <c r="F1287">
        <v>175</v>
      </c>
      <c r="G1287">
        <f t="shared" si="54"/>
        <v>8</v>
      </c>
      <c r="H1287">
        <f t="shared" si="55"/>
        <v>2018</v>
      </c>
    </row>
    <row r="1288" spans="5:8" x14ac:dyDescent="0.25">
      <c r="E1288" s="2">
        <v>43343</v>
      </c>
      <c r="F1288">
        <v>172</v>
      </c>
      <c r="G1288">
        <f t="shared" si="54"/>
        <v>8</v>
      </c>
      <c r="H1288">
        <f t="shared" si="55"/>
        <v>2018</v>
      </c>
    </row>
    <row r="1289" spans="5:8" x14ac:dyDescent="0.25">
      <c r="E1289" s="2">
        <v>43347</v>
      </c>
      <c r="F1289">
        <v>172</v>
      </c>
      <c r="G1289">
        <f t="shared" si="54"/>
        <v>9</v>
      </c>
      <c r="H1289">
        <f t="shared" si="55"/>
        <v>2018</v>
      </c>
    </row>
    <row r="1290" spans="5:8" x14ac:dyDescent="0.25">
      <c r="E1290" s="2">
        <v>43348</v>
      </c>
      <c r="F1290">
        <v>173</v>
      </c>
      <c r="G1290">
        <f t="shared" si="54"/>
        <v>9</v>
      </c>
      <c r="H1290">
        <f t="shared" si="55"/>
        <v>2018</v>
      </c>
    </row>
    <row r="1291" spans="5:8" x14ac:dyDescent="0.25">
      <c r="E1291" s="2">
        <v>43349</v>
      </c>
      <c r="F1291">
        <v>178.5</v>
      </c>
      <c r="G1291">
        <f t="shared" si="54"/>
        <v>9</v>
      </c>
      <c r="H1291">
        <f t="shared" si="55"/>
        <v>2018</v>
      </c>
    </row>
    <row r="1292" spans="5:8" x14ac:dyDescent="0.25">
      <c r="E1292" s="2">
        <v>43350</v>
      </c>
      <c r="F1292">
        <v>179.5</v>
      </c>
      <c r="G1292">
        <f t="shared" si="54"/>
        <v>9</v>
      </c>
      <c r="H1292">
        <f t="shared" si="55"/>
        <v>2018</v>
      </c>
    </row>
    <row r="1293" spans="5:8" x14ac:dyDescent="0.25">
      <c r="E1293" s="2">
        <v>43353</v>
      </c>
      <c r="F1293">
        <v>180</v>
      </c>
      <c r="G1293">
        <f t="shared" si="54"/>
        <v>9</v>
      </c>
      <c r="H1293">
        <f t="shared" si="55"/>
        <v>2018</v>
      </c>
    </row>
    <row r="1294" spans="5:8" x14ac:dyDescent="0.25">
      <c r="E1294" s="2">
        <v>43354</v>
      </c>
      <c r="F1294">
        <v>185.5</v>
      </c>
      <c r="G1294">
        <f t="shared" si="54"/>
        <v>9</v>
      </c>
      <c r="H1294">
        <f t="shared" si="55"/>
        <v>2018</v>
      </c>
    </row>
    <row r="1295" spans="5:8" x14ac:dyDescent="0.25">
      <c r="E1295" s="2">
        <v>43355</v>
      </c>
      <c r="F1295">
        <v>185.5</v>
      </c>
      <c r="G1295">
        <f t="shared" si="54"/>
        <v>9</v>
      </c>
      <c r="H1295">
        <f t="shared" si="55"/>
        <v>2018</v>
      </c>
    </row>
    <row r="1296" spans="5:8" x14ac:dyDescent="0.25">
      <c r="E1296" s="2">
        <v>43356</v>
      </c>
      <c r="F1296">
        <v>185.5</v>
      </c>
      <c r="G1296">
        <f t="shared" si="54"/>
        <v>9</v>
      </c>
      <c r="H1296">
        <f t="shared" si="55"/>
        <v>2018</v>
      </c>
    </row>
    <row r="1297" spans="5:8" x14ac:dyDescent="0.25">
      <c r="E1297" s="2">
        <v>43357</v>
      </c>
      <c r="F1297">
        <v>186</v>
      </c>
      <c r="G1297">
        <f t="shared" si="54"/>
        <v>9</v>
      </c>
      <c r="H1297">
        <f t="shared" si="55"/>
        <v>2018</v>
      </c>
    </row>
    <row r="1298" spans="5:8" x14ac:dyDescent="0.25">
      <c r="E1298" s="2">
        <v>43360</v>
      </c>
      <c r="F1298">
        <v>186</v>
      </c>
      <c r="G1298">
        <f t="shared" si="54"/>
        <v>9</v>
      </c>
      <c r="H1298">
        <f t="shared" si="55"/>
        <v>2018</v>
      </c>
    </row>
    <row r="1299" spans="5:8" x14ac:dyDescent="0.25">
      <c r="E1299" s="2">
        <v>43361</v>
      </c>
      <c r="F1299">
        <v>185</v>
      </c>
      <c r="G1299">
        <f t="shared" si="54"/>
        <v>9</v>
      </c>
      <c r="H1299">
        <f t="shared" si="55"/>
        <v>2018</v>
      </c>
    </row>
    <row r="1300" spans="5:8" x14ac:dyDescent="0.25">
      <c r="E1300" s="2">
        <v>43362</v>
      </c>
      <c r="F1300">
        <v>185</v>
      </c>
      <c r="G1300">
        <f t="shared" si="54"/>
        <v>9</v>
      </c>
      <c r="H1300">
        <f t="shared" si="55"/>
        <v>2018</v>
      </c>
    </row>
    <row r="1301" spans="5:8" x14ac:dyDescent="0.25">
      <c r="E1301" s="2">
        <v>43363</v>
      </c>
      <c r="F1301">
        <v>185</v>
      </c>
      <c r="G1301">
        <f t="shared" si="54"/>
        <v>9</v>
      </c>
      <c r="H1301">
        <f t="shared" si="55"/>
        <v>2018</v>
      </c>
    </row>
    <row r="1302" spans="5:8" x14ac:dyDescent="0.25">
      <c r="E1302" s="2">
        <v>43364</v>
      </c>
      <c r="F1302">
        <v>186</v>
      </c>
      <c r="G1302">
        <f t="shared" si="54"/>
        <v>9</v>
      </c>
      <c r="H1302">
        <f t="shared" si="55"/>
        <v>2018</v>
      </c>
    </row>
    <row r="1303" spans="5:8" x14ac:dyDescent="0.25">
      <c r="E1303" s="2">
        <v>43367</v>
      </c>
      <c r="F1303">
        <v>186</v>
      </c>
      <c r="G1303">
        <f t="shared" si="54"/>
        <v>9</v>
      </c>
      <c r="H1303">
        <f t="shared" si="55"/>
        <v>2018</v>
      </c>
    </row>
    <row r="1304" spans="5:8" x14ac:dyDescent="0.25">
      <c r="E1304" s="2">
        <v>43368</v>
      </c>
      <c r="F1304">
        <v>186</v>
      </c>
      <c r="G1304">
        <f t="shared" si="54"/>
        <v>9</v>
      </c>
      <c r="H1304">
        <f t="shared" si="55"/>
        <v>2018</v>
      </c>
    </row>
    <row r="1305" spans="5:8" x14ac:dyDescent="0.25">
      <c r="E1305" s="2">
        <v>43369</v>
      </c>
      <c r="F1305">
        <v>185</v>
      </c>
      <c r="G1305">
        <f t="shared" si="54"/>
        <v>9</v>
      </c>
      <c r="H1305">
        <f t="shared" si="55"/>
        <v>2018</v>
      </c>
    </row>
    <row r="1306" spans="5:8" x14ac:dyDescent="0.25">
      <c r="E1306" s="2">
        <v>43370</v>
      </c>
      <c r="F1306">
        <v>185</v>
      </c>
      <c r="G1306">
        <f t="shared" si="54"/>
        <v>9</v>
      </c>
      <c r="H1306">
        <f t="shared" si="55"/>
        <v>2018</v>
      </c>
    </row>
    <row r="1307" spans="5:8" x14ac:dyDescent="0.25">
      <c r="E1307" s="2">
        <v>43371</v>
      </c>
      <c r="F1307">
        <v>188</v>
      </c>
      <c r="G1307">
        <f t="shared" si="54"/>
        <v>9</v>
      </c>
      <c r="H1307">
        <f t="shared" si="55"/>
        <v>2018</v>
      </c>
    </row>
    <row r="1308" spans="5:8" x14ac:dyDescent="0.25">
      <c r="E1308" s="2">
        <v>43374</v>
      </c>
      <c r="F1308">
        <v>189.5</v>
      </c>
      <c r="G1308">
        <f t="shared" si="54"/>
        <v>10</v>
      </c>
      <c r="H1308">
        <f t="shared" si="55"/>
        <v>2018</v>
      </c>
    </row>
    <row r="1309" spans="5:8" x14ac:dyDescent="0.25">
      <c r="E1309" s="2">
        <v>43375</v>
      </c>
      <c r="F1309">
        <v>189</v>
      </c>
      <c r="G1309">
        <f t="shared" si="54"/>
        <v>10</v>
      </c>
      <c r="H1309">
        <f t="shared" si="55"/>
        <v>2018</v>
      </c>
    </row>
    <row r="1310" spans="5:8" x14ac:dyDescent="0.25">
      <c r="E1310" s="2">
        <v>43376</v>
      </c>
      <c r="F1310">
        <v>191</v>
      </c>
      <c r="G1310">
        <f t="shared" si="54"/>
        <v>10</v>
      </c>
      <c r="H1310">
        <f t="shared" si="55"/>
        <v>2018</v>
      </c>
    </row>
    <row r="1311" spans="5:8" x14ac:dyDescent="0.25">
      <c r="E1311" s="2">
        <v>43377</v>
      </c>
      <c r="F1311">
        <v>192</v>
      </c>
      <c r="G1311">
        <f t="shared" si="54"/>
        <v>10</v>
      </c>
      <c r="H1311">
        <f t="shared" si="55"/>
        <v>2018</v>
      </c>
    </row>
    <row r="1312" spans="5:8" x14ac:dyDescent="0.25">
      <c r="E1312" s="2">
        <v>43378</v>
      </c>
      <c r="F1312">
        <v>190</v>
      </c>
      <c r="G1312">
        <f t="shared" si="54"/>
        <v>10</v>
      </c>
      <c r="H1312">
        <f t="shared" si="55"/>
        <v>2018</v>
      </c>
    </row>
    <row r="1313" spans="5:8" x14ac:dyDescent="0.25">
      <c r="E1313" s="2">
        <v>43381</v>
      </c>
      <c r="F1313">
        <v>192</v>
      </c>
      <c r="G1313">
        <f t="shared" si="54"/>
        <v>10</v>
      </c>
      <c r="H1313">
        <f t="shared" si="55"/>
        <v>2018</v>
      </c>
    </row>
    <row r="1314" spans="5:8" x14ac:dyDescent="0.25">
      <c r="E1314" s="2">
        <v>43382</v>
      </c>
      <c r="F1314">
        <v>187.5</v>
      </c>
      <c r="G1314">
        <f t="shared" si="54"/>
        <v>10</v>
      </c>
      <c r="H1314">
        <f t="shared" si="55"/>
        <v>2018</v>
      </c>
    </row>
    <row r="1315" spans="5:8" x14ac:dyDescent="0.25">
      <c r="E1315" s="2">
        <v>43383</v>
      </c>
      <c r="F1315">
        <v>186.5</v>
      </c>
      <c r="G1315">
        <f t="shared" si="54"/>
        <v>10</v>
      </c>
      <c r="H1315">
        <f t="shared" si="55"/>
        <v>2018</v>
      </c>
    </row>
    <row r="1316" spans="5:8" x14ac:dyDescent="0.25">
      <c r="E1316" s="2">
        <v>43384</v>
      </c>
      <c r="F1316">
        <v>186.5</v>
      </c>
      <c r="G1316">
        <f t="shared" si="54"/>
        <v>10</v>
      </c>
      <c r="H1316">
        <f t="shared" si="55"/>
        <v>2018</v>
      </c>
    </row>
    <row r="1317" spans="5:8" x14ac:dyDescent="0.25">
      <c r="E1317" s="2">
        <v>43385</v>
      </c>
      <c r="F1317">
        <v>188</v>
      </c>
      <c r="G1317">
        <f t="shared" si="54"/>
        <v>10</v>
      </c>
      <c r="H1317">
        <f t="shared" si="55"/>
        <v>2018</v>
      </c>
    </row>
    <row r="1318" spans="5:8" x14ac:dyDescent="0.25">
      <c r="E1318" s="2">
        <v>43388</v>
      </c>
      <c r="F1318">
        <v>187.5</v>
      </c>
      <c r="G1318">
        <f t="shared" si="54"/>
        <v>10</v>
      </c>
      <c r="H1318">
        <f t="shared" si="55"/>
        <v>2018</v>
      </c>
    </row>
    <row r="1319" spans="5:8" x14ac:dyDescent="0.25">
      <c r="E1319" s="2">
        <v>43389</v>
      </c>
      <c r="F1319">
        <v>188</v>
      </c>
      <c r="G1319">
        <f t="shared" si="54"/>
        <v>10</v>
      </c>
      <c r="H1319">
        <f t="shared" si="55"/>
        <v>2018</v>
      </c>
    </row>
    <row r="1320" spans="5:8" x14ac:dyDescent="0.25">
      <c r="E1320" s="2">
        <v>43390</v>
      </c>
      <c r="F1320">
        <v>189.25</v>
      </c>
      <c r="G1320">
        <f t="shared" si="54"/>
        <v>10</v>
      </c>
      <c r="H1320">
        <f t="shared" si="55"/>
        <v>2018</v>
      </c>
    </row>
    <row r="1321" spans="5:8" x14ac:dyDescent="0.25">
      <c r="E1321" s="2">
        <v>43391</v>
      </c>
      <c r="F1321">
        <v>189</v>
      </c>
      <c r="G1321">
        <f t="shared" si="54"/>
        <v>10</v>
      </c>
      <c r="H1321">
        <f t="shared" si="55"/>
        <v>2018</v>
      </c>
    </row>
    <row r="1322" spans="5:8" x14ac:dyDescent="0.25">
      <c r="E1322" s="2">
        <v>43392</v>
      </c>
      <c r="F1322">
        <v>189</v>
      </c>
      <c r="G1322">
        <f t="shared" si="54"/>
        <v>10</v>
      </c>
      <c r="H1322">
        <f t="shared" si="55"/>
        <v>2018</v>
      </c>
    </row>
    <row r="1323" spans="5:8" x14ac:dyDescent="0.25">
      <c r="E1323" s="2">
        <v>43395</v>
      </c>
      <c r="F1323">
        <v>187.25</v>
      </c>
      <c r="G1323">
        <f t="shared" si="54"/>
        <v>10</v>
      </c>
      <c r="H1323">
        <f t="shared" si="55"/>
        <v>2018</v>
      </c>
    </row>
    <row r="1324" spans="5:8" x14ac:dyDescent="0.25">
      <c r="E1324" s="2">
        <v>43396</v>
      </c>
      <c r="F1324">
        <v>187.25</v>
      </c>
      <c r="G1324">
        <f t="shared" si="54"/>
        <v>10</v>
      </c>
      <c r="H1324">
        <f t="shared" si="55"/>
        <v>2018</v>
      </c>
    </row>
    <row r="1325" spans="5:8" x14ac:dyDescent="0.25">
      <c r="E1325" s="2">
        <v>43397</v>
      </c>
      <c r="F1325">
        <v>187.25</v>
      </c>
      <c r="G1325">
        <f t="shared" si="54"/>
        <v>10</v>
      </c>
      <c r="H1325">
        <f t="shared" si="55"/>
        <v>2018</v>
      </c>
    </row>
    <row r="1326" spans="5:8" x14ac:dyDescent="0.25">
      <c r="E1326" s="2">
        <v>43398</v>
      </c>
      <c r="F1326">
        <v>190</v>
      </c>
      <c r="G1326">
        <f t="shared" si="54"/>
        <v>10</v>
      </c>
      <c r="H1326">
        <f t="shared" si="55"/>
        <v>2018</v>
      </c>
    </row>
    <row r="1327" spans="5:8" x14ac:dyDescent="0.25">
      <c r="E1327" s="2">
        <v>43399</v>
      </c>
      <c r="F1327">
        <v>190.75</v>
      </c>
      <c r="G1327">
        <f t="shared" si="54"/>
        <v>10</v>
      </c>
      <c r="H1327">
        <f t="shared" si="55"/>
        <v>2018</v>
      </c>
    </row>
    <row r="1328" spans="5:8" x14ac:dyDescent="0.25">
      <c r="E1328" s="2">
        <v>43402</v>
      </c>
      <c r="F1328">
        <v>191</v>
      </c>
      <c r="G1328">
        <f t="shared" si="54"/>
        <v>10</v>
      </c>
      <c r="H1328">
        <f t="shared" si="55"/>
        <v>2018</v>
      </c>
    </row>
    <row r="1329" spans="5:8" x14ac:dyDescent="0.25">
      <c r="E1329" s="2">
        <v>43403</v>
      </c>
      <c r="F1329">
        <v>191.5</v>
      </c>
      <c r="G1329">
        <f t="shared" si="54"/>
        <v>10</v>
      </c>
      <c r="H1329">
        <f t="shared" si="55"/>
        <v>2018</v>
      </c>
    </row>
    <row r="1330" spans="5:8" x14ac:dyDescent="0.25">
      <c r="E1330" s="2">
        <v>43404</v>
      </c>
      <c r="F1330">
        <v>191.5</v>
      </c>
      <c r="G1330">
        <f t="shared" si="54"/>
        <v>10</v>
      </c>
      <c r="H1330">
        <f t="shared" si="55"/>
        <v>2018</v>
      </c>
    </row>
    <row r="1331" spans="5:8" x14ac:dyDescent="0.25">
      <c r="E1331" s="2">
        <v>43405</v>
      </c>
      <c r="F1331">
        <v>190.5</v>
      </c>
      <c r="G1331">
        <f t="shared" si="54"/>
        <v>11</v>
      </c>
      <c r="H1331">
        <f t="shared" si="55"/>
        <v>2018</v>
      </c>
    </row>
    <row r="1332" spans="5:8" x14ac:dyDescent="0.25">
      <c r="E1332" s="2">
        <v>43406</v>
      </c>
      <c r="F1332">
        <v>191</v>
      </c>
      <c r="G1332">
        <f t="shared" si="54"/>
        <v>11</v>
      </c>
      <c r="H1332">
        <f t="shared" si="55"/>
        <v>2018</v>
      </c>
    </row>
    <row r="1333" spans="5:8" x14ac:dyDescent="0.25">
      <c r="E1333" s="2">
        <v>43409</v>
      </c>
      <c r="F1333">
        <v>190.5</v>
      </c>
      <c r="G1333">
        <f t="shared" si="54"/>
        <v>11</v>
      </c>
      <c r="H1333">
        <f t="shared" si="55"/>
        <v>2018</v>
      </c>
    </row>
    <row r="1334" spans="5:8" x14ac:dyDescent="0.25">
      <c r="E1334" s="2">
        <v>43410</v>
      </c>
      <c r="F1334">
        <v>191</v>
      </c>
      <c r="G1334">
        <f t="shared" si="54"/>
        <v>11</v>
      </c>
      <c r="H1334">
        <f t="shared" si="55"/>
        <v>2018</v>
      </c>
    </row>
    <row r="1335" spans="5:8" x14ac:dyDescent="0.25">
      <c r="E1335" s="2">
        <v>43411</v>
      </c>
      <c r="F1335">
        <v>191</v>
      </c>
      <c r="G1335">
        <f t="shared" si="54"/>
        <v>11</v>
      </c>
      <c r="H1335">
        <f t="shared" si="55"/>
        <v>2018</v>
      </c>
    </row>
    <row r="1336" spans="5:8" x14ac:dyDescent="0.25">
      <c r="E1336" s="2">
        <v>43412</v>
      </c>
      <c r="F1336">
        <v>187.5</v>
      </c>
      <c r="G1336">
        <f t="shared" si="54"/>
        <v>11</v>
      </c>
      <c r="H1336">
        <f t="shared" si="55"/>
        <v>2018</v>
      </c>
    </row>
    <row r="1337" spans="5:8" x14ac:dyDescent="0.25">
      <c r="E1337" s="2">
        <v>43413</v>
      </c>
      <c r="F1337">
        <v>187.5</v>
      </c>
      <c r="G1337">
        <f t="shared" si="54"/>
        <v>11</v>
      </c>
      <c r="H1337">
        <f t="shared" si="55"/>
        <v>2018</v>
      </c>
    </row>
    <row r="1338" spans="5:8" x14ac:dyDescent="0.25">
      <c r="E1338" s="2">
        <v>43416</v>
      </c>
      <c r="F1338">
        <v>187.75</v>
      </c>
      <c r="G1338">
        <f t="shared" si="54"/>
        <v>11</v>
      </c>
      <c r="H1338">
        <f t="shared" si="55"/>
        <v>2018</v>
      </c>
    </row>
    <row r="1339" spans="5:8" x14ac:dyDescent="0.25">
      <c r="E1339" s="2">
        <v>43417</v>
      </c>
      <c r="F1339">
        <v>188.5</v>
      </c>
      <c r="G1339">
        <f t="shared" si="54"/>
        <v>11</v>
      </c>
      <c r="H1339">
        <f t="shared" si="55"/>
        <v>2018</v>
      </c>
    </row>
    <row r="1340" spans="5:8" x14ac:dyDescent="0.25">
      <c r="E1340" s="2">
        <v>43418</v>
      </c>
      <c r="F1340">
        <v>187</v>
      </c>
      <c r="G1340">
        <f t="shared" si="54"/>
        <v>11</v>
      </c>
      <c r="H1340">
        <f t="shared" si="55"/>
        <v>2018</v>
      </c>
    </row>
    <row r="1341" spans="5:8" x14ac:dyDescent="0.25">
      <c r="E1341" s="2">
        <v>43419</v>
      </c>
      <c r="F1341">
        <v>186</v>
      </c>
      <c r="G1341">
        <f t="shared" si="54"/>
        <v>11</v>
      </c>
      <c r="H1341">
        <f t="shared" si="55"/>
        <v>2018</v>
      </c>
    </row>
    <row r="1342" spans="5:8" x14ac:dyDescent="0.25">
      <c r="E1342" s="2">
        <v>43420</v>
      </c>
      <c r="F1342">
        <v>186</v>
      </c>
      <c r="G1342">
        <f t="shared" si="54"/>
        <v>11</v>
      </c>
      <c r="H1342">
        <f t="shared" si="55"/>
        <v>2018</v>
      </c>
    </row>
    <row r="1343" spans="5:8" x14ac:dyDescent="0.25">
      <c r="E1343" s="2">
        <v>43423</v>
      </c>
      <c r="F1343">
        <v>186</v>
      </c>
      <c r="G1343">
        <f t="shared" si="54"/>
        <v>11</v>
      </c>
      <c r="H1343">
        <f t="shared" si="55"/>
        <v>2018</v>
      </c>
    </row>
    <row r="1344" spans="5:8" x14ac:dyDescent="0.25">
      <c r="E1344" s="2">
        <v>43424</v>
      </c>
      <c r="F1344">
        <v>186.75</v>
      </c>
      <c r="G1344">
        <f t="shared" si="54"/>
        <v>11</v>
      </c>
      <c r="H1344">
        <f t="shared" si="55"/>
        <v>2018</v>
      </c>
    </row>
    <row r="1345" spans="5:8" x14ac:dyDescent="0.25">
      <c r="E1345" s="2">
        <v>43425</v>
      </c>
      <c r="F1345">
        <v>187.5</v>
      </c>
      <c r="G1345">
        <f t="shared" si="54"/>
        <v>11</v>
      </c>
      <c r="H1345">
        <f t="shared" si="55"/>
        <v>2018</v>
      </c>
    </row>
    <row r="1346" spans="5:8" x14ac:dyDescent="0.25">
      <c r="E1346" s="2">
        <v>43430</v>
      </c>
      <c r="F1346">
        <v>188</v>
      </c>
      <c r="G1346">
        <f t="shared" si="54"/>
        <v>11</v>
      </c>
      <c r="H1346">
        <f t="shared" si="55"/>
        <v>2018</v>
      </c>
    </row>
    <row r="1347" spans="5:8" x14ac:dyDescent="0.25">
      <c r="E1347" s="2">
        <v>43431</v>
      </c>
      <c r="F1347">
        <v>188.25</v>
      </c>
      <c r="G1347">
        <f t="shared" si="54"/>
        <v>11</v>
      </c>
      <c r="H1347">
        <f t="shared" si="55"/>
        <v>2018</v>
      </c>
    </row>
    <row r="1348" spans="5:8" x14ac:dyDescent="0.25">
      <c r="E1348" s="2">
        <v>43432</v>
      </c>
      <c r="F1348">
        <v>189.5</v>
      </c>
      <c r="G1348">
        <f t="shared" si="54"/>
        <v>11</v>
      </c>
      <c r="H1348">
        <f t="shared" si="55"/>
        <v>2018</v>
      </c>
    </row>
    <row r="1349" spans="5:8" x14ac:dyDescent="0.25">
      <c r="E1349" s="2">
        <v>43433</v>
      </c>
      <c r="F1349">
        <v>187.25</v>
      </c>
      <c r="G1349">
        <f t="shared" ref="G1349:G1412" si="56">MONTH(E1349)</f>
        <v>11</v>
      </c>
      <c r="H1349">
        <f t="shared" ref="H1349:H1412" si="57">YEAR(E1349)</f>
        <v>2018</v>
      </c>
    </row>
    <row r="1350" spans="5:8" x14ac:dyDescent="0.25">
      <c r="E1350" s="2">
        <v>43434</v>
      </c>
      <c r="F1350">
        <v>189.75</v>
      </c>
      <c r="G1350">
        <f t="shared" si="56"/>
        <v>11</v>
      </c>
      <c r="H1350">
        <f t="shared" si="57"/>
        <v>2018</v>
      </c>
    </row>
    <row r="1351" spans="5:8" x14ac:dyDescent="0.25">
      <c r="E1351" s="2">
        <v>43437</v>
      </c>
      <c r="F1351">
        <v>192.5</v>
      </c>
      <c r="G1351">
        <f t="shared" si="56"/>
        <v>12</v>
      </c>
      <c r="H1351">
        <f t="shared" si="57"/>
        <v>2018</v>
      </c>
    </row>
    <row r="1352" spans="5:8" x14ac:dyDescent="0.25">
      <c r="E1352" s="2">
        <v>43438</v>
      </c>
      <c r="F1352">
        <v>192</v>
      </c>
      <c r="G1352">
        <f t="shared" si="56"/>
        <v>12</v>
      </c>
      <c r="H1352">
        <f t="shared" si="57"/>
        <v>2018</v>
      </c>
    </row>
    <row r="1353" spans="5:8" x14ac:dyDescent="0.25">
      <c r="E1353" s="2">
        <v>43439</v>
      </c>
      <c r="F1353">
        <v>192.5</v>
      </c>
      <c r="G1353">
        <f t="shared" si="56"/>
        <v>12</v>
      </c>
      <c r="H1353">
        <f t="shared" si="57"/>
        <v>2018</v>
      </c>
    </row>
    <row r="1354" spans="5:8" x14ac:dyDescent="0.25">
      <c r="E1354" s="2">
        <v>43440</v>
      </c>
      <c r="F1354">
        <v>193</v>
      </c>
      <c r="G1354">
        <f t="shared" si="56"/>
        <v>12</v>
      </c>
      <c r="H1354">
        <f t="shared" si="57"/>
        <v>2018</v>
      </c>
    </row>
    <row r="1355" spans="5:8" x14ac:dyDescent="0.25">
      <c r="E1355" s="2">
        <v>43441</v>
      </c>
      <c r="F1355">
        <v>196.25</v>
      </c>
      <c r="G1355">
        <f t="shared" si="56"/>
        <v>12</v>
      </c>
      <c r="H1355">
        <f t="shared" si="57"/>
        <v>2018</v>
      </c>
    </row>
    <row r="1356" spans="5:8" x14ac:dyDescent="0.25">
      <c r="E1356" s="2">
        <v>43444</v>
      </c>
      <c r="F1356">
        <v>199.5</v>
      </c>
      <c r="G1356">
        <f t="shared" si="56"/>
        <v>12</v>
      </c>
      <c r="H1356">
        <f t="shared" si="57"/>
        <v>2018</v>
      </c>
    </row>
    <row r="1357" spans="5:8" x14ac:dyDescent="0.25">
      <c r="E1357" s="2">
        <v>43445</v>
      </c>
      <c r="F1357">
        <v>199.5</v>
      </c>
      <c r="G1357">
        <f t="shared" si="56"/>
        <v>12</v>
      </c>
      <c r="H1357">
        <f t="shared" si="57"/>
        <v>2018</v>
      </c>
    </row>
    <row r="1358" spans="5:8" x14ac:dyDescent="0.25">
      <c r="E1358" s="2">
        <v>43446</v>
      </c>
      <c r="F1358">
        <v>197.5</v>
      </c>
      <c r="G1358">
        <f t="shared" si="56"/>
        <v>12</v>
      </c>
      <c r="H1358">
        <f t="shared" si="57"/>
        <v>2018</v>
      </c>
    </row>
    <row r="1359" spans="5:8" x14ac:dyDescent="0.25">
      <c r="E1359" s="2">
        <v>43447</v>
      </c>
      <c r="F1359">
        <v>197.5</v>
      </c>
      <c r="G1359">
        <f t="shared" si="56"/>
        <v>12</v>
      </c>
      <c r="H1359">
        <f t="shared" si="57"/>
        <v>2018</v>
      </c>
    </row>
    <row r="1360" spans="5:8" x14ac:dyDescent="0.25">
      <c r="E1360" s="2">
        <v>43448</v>
      </c>
      <c r="F1360">
        <v>198</v>
      </c>
      <c r="G1360">
        <f t="shared" si="56"/>
        <v>12</v>
      </c>
      <c r="H1360">
        <f t="shared" si="57"/>
        <v>2018</v>
      </c>
    </row>
    <row r="1361" spans="5:8" x14ac:dyDescent="0.25">
      <c r="E1361" s="2">
        <v>43451</v>
      </c>
      <c r="F1361">
        <v>199</v>
      </c>
      <c r="G1361">
        <f t="shared" si="56"/>
        <v>12</v>
      </c>
      <c r="H1361">
        <f t="shared" si="57"/>
        <v>2018</v>
      </c>
    </row>
    <row r="1362" spans="5:8" x14ac:dyDescent="0.25">
      <c r="E1362" s="2">
        <v>43452</v>
      </c>
      <c r="F1362">
        <v>199</v>
      </c>
      <c r="G1362">
        <f t="shared" si="56"/>
        <v>12</v>
      </c>
      <c r="H1362">
        <f t="shared" si="57"/>
        <v>2018</v>
      </c>
    </row>
    <row r="1363" spans="5:8" x14ac:dyDescent="0.25">
      <c r="E1363" s="2">
        <v>43453</v>
      </c>
      <c r="F1363">
        <v>196</v>
      </c>
      <c r="G1363">
        <f t="shared" si="56"/>
        <v>12</v>
      </c>
      <c r="H1363">
        <f t="shared" si="57"/>
        <v>2018</v>
      </c>
    </row>
    <row r="1364" spans="5:8" x14ac:dyDescent="0.25">
      <c r="E1364" s="2">
        <v>43454</v>
      </c>
      <c r="F1364">
        <v>197</v>
      </c>
      <c r="G1364">
        <f t="shared" si="56"/>
        <v>12</v>
      </c>
      <c r="H1364">
        <f t="shared" si="57"/>
        <v>2018</v>
      </c>
    </row>
    <row r="1365" spans="5:8" x14ac:dyDescent="0.25">
      <c r="E1365" s="2">
        <v>43455</v>
      </c>
      <c r="F1365">
        <v>196</v>
      </c>
      <c r="G1365">
        <f t="shared" si="56"/>
        <v>12</v>
      </c>
      <c r="H1365">
        <f t="shared" si="57"/>
        <v>2018</v>
      </c>
    </row>
    <row r="1366" spans="5:8" x14ac:dyDescent="0.25">
      <c r="E1366" s="2">
        <v>43458</v>
      </c>
      <c r="F1366">
        <v>196</v>
      </c>
      <c r="G1366">
        <f t="shared" si="56"/>
        <v>12</v>
      </c>
      <c r="H1366">
        <f t="shared" si="57"/>
        <v>2018</v>
      </c>
    </row>
    <row r="1367" spans="5:8" x14ac:dyDescent="0.25">
      <c r="E1367" s="2">
        <v>43459</v>
      </c>
      <c r="F1367">
        <v>196</v>
      </c>
      <c r="G1367">
        <f t="shared" si="56"/>
        <v>12</v>
      </c>
      <c r="H1367">
        <f t="shared" si="57"/>
        <v>2018</v>
      </c>
    </row>
    <row r="1368" spans="5:8" x14ac:dyDescent="0.25">
      <c r="E1368" s="2">
        <v>43460</v>
      </c>
      <c r="F1368">
        <v>197</v>
      </c>
      <c r="G1368">
        <f t="shared" si="56"/>
        <v>12</v>
      </c>
      <c r="H1368">
        <f t="shared" si="57"/>
        <v>2018</v>
      </c>
    </row>
    <row r="1369" spans="5:8" x14ac:dyDescent="0.25">
      <c r="E1369" s="2">
        <v>43461</v>
      </c>
      <c r="F1369">
        <v>197</v>
      </c>
      <c r="G1369">
        <f t="shared" si="56"/>
        <v>12</v>
      </c>
      <c r="H1369">
        <f t="shared" si="57"/>
        <v>2018</v>
      </c>
    </row>
    <row r="1370" spans="5:8" x14ac:dyDescent="0.25">
      <c r="E1370" s="2">
        <v>43462</v>
      </c>
      <c r="F1370">
        <v>199</v>
      </c>
      <c r="G1370">
        <f t="shared" si="56"/>
        <v>12</v>
      </c>
      <c r="H1370">
        <f t="shared" si="57"/>
        <v>2018</v>
      </c>
    </row>
    <row r="1371" spans="5:8" x14ac:dyDescent="0.25">
      <c r="E1371" s="2">
        <v>43465</v>
      </c>
      <c r="F1371">
        <v>199</v>
      </c>
      <c r="G1371">
        <f t="shared" si="56"/>
        <v>12</v>
      </c>
      <c r="H1371">
        <f t="shared" si="57"/>
        <v>2018</v>
      </c>
    </row>
    <row r="1372" spans="5:8" x14ac:dyDescent="0.25">
      <c r="E1372" s="2">
        <v>43467</v>
      </c>
      <c r="F1372">
        <v>195.5</v>
      </c>
      <c r="G1372">
        <f t="shared" si="56"/>
        <v>1</v>
      </c>
      <c r="H1372">
        <f t="shared" si="57"/>
        <v>2019</v>
      </c>
    </row>
    <row r="1373" spans="5:8" x14ac:dyDescent="0.25">
      <c r="E1373" s="2">
        <v>43468</v>
      </c>
      <c r="F1373">
        <v>191</v>
      </c>
      <c r="G1373">
        <f t="shared" si="56"/>
        <v>1</v>
      </c>
      <c r="H1373">
        <f t="shared" si="57"/>
        <v>2019</v>
      </c>
    </row>
    <row r="1374" spans="5:8" x14ac:dyDescent="0.25">
      <c r="E1374" s="2">
        <v>43469</v>
      </c>
      <c r="F1374">
        <v>191.25</v>
      </c>
      <c r="G1374">
        <f t="shared" si="56"/>
        <v>1</v>
      </c>
      <c r="H1374">
        <f t="shared" si="57"/>
        <v>2019</v>
      </c>
    </row>
    <row r="1375" spans="5:8" x14ac:dyDescent="0.25">
      <c r="E1375" s="2">
        <v>43472</v>
      </c>
      <c r="F1375">
        <v>189.5</v>
      </c>
      <c r="G1375">
        <f t="shared" si="56"/>
        <v>1</v>
      </c>
      <c r="H1375">
        <f t="shared" si="57"/>
        <v>2019</v>
      </c>
    </row>
    <row r="1376" spans="5:8" x14ac:dyDescent="0.25">
      <c r="E1376" s="2">
        <v>43473</v>
      </c>
      <c r="F1376">
        <v>189.5</v>
      </c>
      <c r="G1376">
        <f t="shared" si="56"/>
        <v>1</v>
      </c>
      <c r="H1376">
        <f t="shared" si="57"/>
        <v>2019</v>
      </c>
    </row>
    <row r="1377" spans="5:8" x14ac:dyDescent="0.25">
      <c r="E1377" s="2">
        <v>43474</v>
      </c>
      <c r="F1377">
        <v>190</v>
      </c>
      <c r="G1377">
        <f t="shared" si="56"/>
        <v>1</v>
      </c>
      <c r="H1377">
        <f t="shared" si="57"/>
        <v>2019</v>
      </c>
    </row>
    <row r="1378" spans="5:8" x14ac:dyDescent="0.25">
      <c r="E1378" s="2">
        <v>43475</v>
      </c>
      <c r="F1378">
        <v>190</v>
      </c>
      <c r="G1378">
        <f t="shared" si="56"/>
        <v>1</v>
      </c>
      <c r="H1378">
        <f t="shared" si="57"/>
        <v>2019</v>
      </c>
    </row>
    <row r="1379" spans="5:8" x14ac:dyDescent="0.25">
      <c r="E1379" s="2">
        <v>43476</v>
      </c>
      <c r="F1379">
        <v>190.25</v>
      </c>
      <c r="G1379">
        <f t="shared" si="56"/>
        <v>1</v>
      </c>
      <c r="H1379">
        <f t="shared" si="57"/>
        <v>2019</v>
      </c>
    </row>
    <row r="1380" spans="5:8" x14ac:dyDescent="0.25">
      <c r="E1380" s="2">
        <v>43479</v>
      </c>
      <c r="F1380">
        <v>190.25</v>
      </c>
      <c r="G1380">
        <f t="shared" si="56"/>
        <v>1</v>
      </c>
      <c r="H1380">
        <f t="shared" si="57"/>
        <v>2019</v>
      </c>
    </row>
    <row r="1381" spans="5:8" x14ac:dyDescent="0.25">
      <c r="E1381" s="2">
        <v>43480</v>
      </c>
      <c r="F1381">
        <v>189</v>
      </c>
      <c r="G1381">
        <f t="shared" si="56"/>
        <v>1</v>
      </c>
      <c r="H1381">
        <f t="shared" si="57"/>
        <v>2019</v>
      </c>
    </row>
    <row r="1382" spans="5:8" x14ac:dyDescent="0.25">
      <c r="E1382" s="2">
        <v>43481</v>
      </c>
      <c r="F1382">
        <v>191</v>
      </c>
      <c r="G1382">
        <f t="shared" si="56"/>
        <v>1</v>
      </c>
      <c r="H1382">
        <f t="shared" si="57"/>
        <v>2019</v>
      </c>
    </row>
    <row r="1383" spans="5:8" x14ac:dyDescent="0.25">
      <c r="E1383" s="2">
        <v>43482</v>
      </c>
      <c r="F1383">
        <v>190.5</v>
      </c>
      <c r="G1383">
        <f t="shared" si="56"/>
        <v>1</v>
      </c>
      <c r="H1383">
        <f t="shared" si="57"/>
        <v>2019</v>
      </c>
    </row>
    <row r="1384" spans="5:8" x14ac:dyDescent="0.25">
      <c r="E1384" s="2">
        <v>43483</v>
      </c>
      <c r="F1384">
        <v>191</v>
      </c>
      <c r="G1384">
        <f t="shared" si="56"/>
        <v>1</v>
      </c>
      <c r="H1384">
        <f t="shared" si="57"/>
        <v>2019</v>
      </c>
    </row>
    <row r="1385" spans="5:8" x14ac:dyDescent="0.25">
      <c r="E1385" s="2">
        <v>43487</v>
      </c>
      <c r="F1385">
        <v>189</v>
      </c>
      <c r="G1385">
        <f t="shared" si="56"/>
        <v>1</v>
      </c>
      <c r="H1385">
        <f t="shared" si="57"/>
        <v>2019</v>
      </c>
    </row>
    <row r="1386" spans="5:8" x14ac:dyDescent="0.25">
      <c r="E1386" s="2">
        <v>43488</v>
      </c>
      <c r="F1386">
        <v>191</v>
      </c>
      <c r="G1386">
        <f t="shared" si="56"/>
        <v>1</v>
      </c>
      <c r="H1386">
        <f t="shared" si="57"/>
        <v>2019</v>
      </c>
    </row>
    <row r="1387" spans="5:8" x14ac:dyDescent="0.25">
      <c r="E1387" s="2">
        <v>43489</v>
      </c>
      <c r="F1387">
        <v>192.5</v>
      </c>
      <c r="G1387">
        <f t="shared" si="56"/>
        <v>1</v>
      </c>
      <c r="H1387">
        <f t="shared" si="57"/>
        <v>2019</v>
      </c>
    </row>
    <row r="1388" spans="5:8" x14ac:dyDescent="0.25">
      <c r="E1388" s="2">
        <v>43490</v>
      </c>
      <c r="F1388">
        <v>193.5</v>
      </c>
      <c r="G1388">
        <f t="shared" si="56"/>
        <v>1</v>
      </c>
      <c r="H1388">
        <f t="shared" si="57"/>
        <v>2019</v>
      </c>
    </row>
    <row r="1389" spans="5:8" x14ac:dyDescent="0.25">
      <c r="E1389" s="2">
        <v>43493</v>
      </c>
      <c r="F1389">
        <v>192.63</v>
      </c>
      <c r="G1389">
        <f t="shared" si="56"/>
        <v>1</v>
      </c>
      <c r="H1389">
        <f t="shared" si="57"/>
        <v>2019</v>
      </c>
    </row>
    <row r="1390" spans="5:8" x14ac:dyDescent="0.25">
      <c r="E1390" s="2">
        <v>43494</v>
      </c>
      <c r="F1390">
        <v>192</v>
      </c>
      <c r="G1390">
        <f t="shared" si="56"/>
        <v>1</v>
      </c>
      <c r="H1390">
        <f t="shared" si="57"/>
        <v>2019</v>
      </c>
    </row>
    <row r="1391" spans="5:8" x14ac:dyDescent="0.25">
      <c r="E1391" s="2">
        <v>43495</v>
      </c>
      <c r="F1391">
        <v>192</v>
      </c>
      <c r="G1391">
        <f t="shared" si="56"/>
        <v>1</v>
      </c>
      <c r="H1391">
        <f t="shared" si="57"/>
        <v>2019</v>
      </c>
    </row>
    <row r="1392" spans="5:8" x14ac:dyDescent="0.25">
      <c r="E1392" s="2">
        <v>43496</v>
      </c>
      <c r="F1392">
        <v>193.25</v>
      </c>
      <c r="G1392">
        <f t="shared" si="56"/>
        <v>1</v>
      </c>
      <c r="H1392">
        <f t="shared" si="57"/>
        <v>2019</v>
      </c>
    </row>
    <row r="1393" spans="5:8" x14ac:dyDescent="0.25">
      <c r="E1393" s="2">
        <v>43497</v>
      </c>
      <c r="F1393">
        <v>194</v>
      </c>
      <c r="G1393">
        <f t="shared" si="56"/>
        <v>2</v>
      </c>
      <c r="H1393">
        <f t="shared" si="57"/>
        <v>2019</v>
      </c>
    </row>
    <row r="1394" spans="5:8" x14ac:dyDescent="0.25">
      <c r="E1394" s="2">
        <v>43500</v>
      </c>
      <c r="F1394">
        <v>193</v>
      </c>
      <c r="G1394">
        <f t="shared" si="56"/>
        <v>2</v>
      </c>
      <c r="H1394">
        <f t="shared" si="57"/>
        <v>2019</v>
      </c>
    </row>
    <row r="1395" spans="5:8" x14ac:dyDescent="0.25">
      <c r="E1395" s="2">
        <v>43501</v>
      </c>
      <c r="F1395">
        <v>194</v>
      </c>
      <c r="G1395">
        <f t="shared" si="56"/>
        <v>2</v>
      </c>
      <c r="H1395">
        <f t="shared" si="57"/>
        <v>2019</v>
      </c>
    </row>
    <row r="1396" spans="5:8" x14ac:dyDescent="0.25">
      <c r="E1396" s="2">
        <v>43502</v>
      </c>
      <c r="F1396">
        <v>196</v>
      </c>
      <c r="G1396">
        <f t="shared" si="56"/>
        <v>2</v>
      </c>
      <c r="H1396">
        <f t="shared" si="57"/>
        <v>2019</v>
      </c>
    </row>
    <row r="1397" spans="5:8" x14ac:dyDescent="0.25">
      <c r="E1397" s="2">
        <v>43503</v>
      </c>
      <c r="F1397">
        <v>194.5</v>
      </c>
      <c r="G1397">
        <f t="shared" si="56"/>
        <v>2</v>
      </c>
      <c r="H1397">
        <f t="shared" si="57"/>
        <v>2019</v>
      </c>
    </row>
    <row r="1398" spans="5:8" x14ac:dyDescent="0.25">
      <c r="E1398" s="2">
        <v>43504</v>
      </c>
      <c r="F1398">
        <v>194.5</v>
      </c>
      <c r="G1398">
        <f t="shared" si="56"/>
        <v>2</v>
      </c>
      <c r="H1398">
        <f t="shared" si="57"/>
        <v>2019</v>
      </c>
    </row>
    <row r="1399" spans="5:8" x14ac:dyDescent="0.25">
      <c r="E1399" s="2">
        <v>43507</v>
      </c>
      <c r="F1399">
        <v>198</v>
      </c>
      <c r="G1399">
        <f t="shared" si="56"/>
        <v>2</v>
      </c>
      <c r="H1399">
        <f t="shared" si="57"/>
        <v>2019</v>
      </c>
    </row>
    <row r="1400" spans="5:8" x14ac:dyDescent="0.25">
      <c r="E1400" s="2">
        <v>43508</v>
      </c>
      <c r="F1400">
        <v>197</v>
      </c>
      <c r="G1400">
        <f t="shared" si="56"/>
        <v>2</v>
      </c>
      <c r="H1400">
        <f t="shared" si="57"/>
        <v>2019</v>
      </c>
    </row>
    <row r="1401" spans="5:8" x14ac:dyDescent="0.25">
      <c r="E1401" s="2">
        <v>43509</v>
      </c>
      <c r="F1401">
        <v>197.5</v>
      </c>
      <c r="G1401">
        <f t="shared" si="56"/>
        <v>2</v>
      </c>
      <c r="H1401">
        <f t="shared" si="57"/>
        <v>2019</v>
      </c>
    </row>
    <row r="1402" spans="5:8" x14ac:dyDescent="0.25">
      <c r="E1402" s="2">
        <v>43510</v>
      </c>
      <c r="F1402">
        <v>196</v>
      </c>
      <c r="G1402">
        <f t="shared" si="56"/>
        <v>2</v>
      </c>
      <c r="H1402">
        <f t="shared" si="57"/>
        <v>2019</v>
      </c>
    </row>
    <row r="1403" spans="5:8" x14ac:dyDescent="0.25">
      <c r="E1403" s="2">
        <v>43511</v>
      </c>
      <c r="F1403">
        <v>193</v>
      </c>
      <c r="G1403">
        <f t="shared" si="56"/>
        <v>2</v>
      </c>
      <c r="H1403">
        <f t="shared" si="57"/>
        <v>2019</v>
      </c>
    </row>
    <row r="1404" spans="5:8" x14ac:dyDescent="0.25">
      <c r="E1404" s="2">
        <v>43515</v>
      </c>
      <c r="F1404">
        <v>196</v>
      </c>
      <c r="G1404">
        <f t="shared" si="56"/>
        <v>2</v>
      </c>
      <c r="H1404">
        <f t="shared" si="57"/>
        <v>2019</v>
      </c>
    </row>
    <row r="1405" spans="5:8" x14ac:dyDescent="0.25">
      <c r="E1405" s="2">
        <v>43516</v>
      </c>
      <c r="F1405">
        <v>196</v>
      </c>
      <c r="G1405">
        <f t="shared" si="56"/>
        <v>2</v>
      </c>
      <c r="H1405">
        <f t="shared" si="57"/>
        <v>2019</v>
      </c>
    </row>
    <row r="1406" spans="5:8" x14ac:dyDescent="0.25">
      <c r="E1406" s="2">
        <v>43517</v>
      </c>
      <c r="F1406">
        <v>195</v>
      </c>
      <c r="G1406">
        <f t="shared" si="56"/>
        <v>2</v>
      </c>
      <c r="H1406">
        <f t="shared" si="57"/>
        <v>2019</v>
      </c>
    </row>
    <row r="1407" spans="5:8" x14ac:dyDescent="0.25">
      <c r="E1407" s="2">
        <v>43518</v>
      </c>
      <c r="F1407">
        <v>196</v>
      </c>
      <c r="G1407">
        <f t="shared" si="56"/>
        <v>2</v>
      </c>
      <c r="H1407">
        <f t="shared" si="57"/>
        <v>2019</v>
      </c>
    </row>
    <row r="1408" spans="5:8" x14ac:dyDescent="0.25">
      <c r="E1408" s="2">
        <v>43521</v>
      </c>
      <c r="F1408">
        <v>196</v>
      </c>
      <c r="G1408">
        <f t="shared" si="56"/>
        <v>2</v>
      </c>
      <c r="H1408">
        <f t="shared" si="57"/>
        <v>2019</v>
      </c>
    </row>
    <row r="1409" spans="5:8" x14ac:dyDescent="0.25">
      <c r="E1409" s="2">
        <v>43522</v>
      </c>
      <c r="F1409">
        <v>196</v>
      </c>
      <c r="G1409">
        <f t="shared" si="56"/>
        <v>2</v>
      </c>
      <c r="H1409">
        <f t="shared" si="57"/>
        <v>2019</v>
      </c>
    </row>
    <row r="1410" spans="5:8" x14ac:dyDescent="0.25">
      <c r="E1410" s="2">
        <v>43523</v>
      </c>
      <c r="F1410">
        <v>196.5</v>
      </c>
      <c r="G1410">
        <f t="shared" si="56"/>
        <v>2</v>
      </c>
      <c r="H1410">
        <f t="shared" si="57"/>
        <v>2019</v>
      </c>
    </row>
    <row r="1411" spans="5:8" x14ac:dyDescent="0.25">
      <c r="E1411" s="2">
        <v>43524</v>
      </c>
      <c r="F1411">
        <v>196.5</v>
      </c>
      <c r="G1411">
        <f t="shared" si="56"/>
        <v>2</v>
      </c>
      <c r="H1411">
        <f t="shared" si="57"/>
        <v>2019</v>
      </c>
    </row>
    <row r="1412" spans="5:8" x14ac:dyDescent="0.25">
      <c r="E1412" s="2">
        <v>43525</v>
      </c>
      <c r="F1412">
        <v>196</v>
      </c>
      <c r="G1412">
        <f t="shared" si="56"/>
        <v>3</v>
      </c>
      <c r="H1412">
        <f t="shared" si="57"/>
        <v>2019</v>
      </c>
    </row>
    <row r="1413" spans="5:8" x14ac:dyDescent="0.25">
      <c r="E1413" s="2">
        <v>43528</v>
      </c>
      <c r="F1413">
        <v>196.5</v>
      </c>
      <c r="G1413">
        <f t="shared" ref="G1413:G1476" si="58">MONTH(E1413)</f>
        <v>3</v>
      </c>
      <c r="H1413">
        <f t="shared" ref="H1413:H1476" si="59">YEAR(E1413)</f>
        <v>2019</v>
      </c>
    </row>
    <row r="1414" spans="5:8" x14ac:dyDescent="0.25">
      <c r="E1414" s="2">
        <v>43529</v>
      </c>
      <c r="F1414">
        <v>193.5</v>
      </c>
      <c r="G1414">
        <f t="shared" si="58"/>
        <v>3</v>
      </c>
      <c r="H1414">
        <f t="shared" si="59"/>
        <v>2019</v>
      </c>
    </row>
    <row r="1415" spans="5:8" x14ac:dyDescent="0.25">
      <c r="E1415" s="2">
        <v>43530</v>
      </c>
      <c r="F1415">
        <v>195.5</v>
      </c>
      <c r="G1415">
        <f t="shared" si="58"/>
        <v>3</v>
      </c>
      <c r="H1415">
        <f t="shared" si="59"/>
        <v>2019</v>
      </c>
    </row>
    <row r="1416" spans="5:8" x14ac:dyDescent="0.25">
      <c r="E1416" s="2">
        <v>43531</v>
      </c>
      <c r="F1416">
        <v>195.5</v>
      </c>
      <c r="G1416">
        <f t="shared" si="58"/>
        <v>3</v>
      </c>
      <c r="H1416">
        <f t="shared" si="59"/>
        <v>2019</v>
      </c>
    </row>
    <row r="1417" spans="5:8" x14ac:dyDescent="0.25">
      <c r="E1417" s="2">
        <v>43532</v>
      </c>
      <c r="F1417">
        <v>195.75</v>
      </c>
      <c r="G1417">
        <f t="shared" si="58"/>
        <v>3</v>
      </c>
      <c r="H1417">
        <f t="shared" si="59"/>
        <v>2019</v>
      </c>
    </row>
    <row r="1418" spans="5:8" x14ac:dyDescent="0.25">
      <c r="E1418" s="2">
        <v>43535</v>
      </c>
      <c r="F1418">
        <v>196.25</v>
      </c>
      <c r="G1418">
        <f t="shared" si="58"/>
        <v>3</v>
      </c>
      <c r="H1418">
        <f t="shared" si="59"/>
        <v>2019</v>
      </c>
    </row>
    <row r="1419" spans="5:8" x14ac:dyDescent="0.25">
      <c r="E1419" s="2">
        <v>43536</v>
      </c>
      <c r="F1419">
        <v>195.75</v>
      </c>
      <c r="G1419">
        <f t="shared" si="58"/>
        <v>3</v>
      </c>
      <c r="H1419">
        <f t="shared" si="59"/>
        <v>2019</v>
      </c>
    </row>
    <row r="1420" spans="5:8" x14ac:dyDescent="0.25">
      <c r="E1420" s="2">
        <v>43537</v>
      </c>
      <c r="F1420">
        <v>195.25</v>
      </c>
      <c r="G1420">
        <f t="shared" si="58"/>
        <v>3</v>
      </c>
      <c r="H1420">
        <f t="shared" si="59"/>
        <v>2019</v>
      </c>
    </row>
    <row r="1421" spans="5:8" x14ac:dyDescent="0.25">
      <c r="E1421" s="2">
        <v>43538</v>
      </c>
      <c r="F1421">
        <v>195.25</v>
      </c>
      <c r="G1421">
        <f t="shared" si="58"/>
        <v>3</v>
      </c>
      <c r="H1421">
        <f t="shared" si="59"/>
        <v>2019</v>
      </c>
    </row>
    <row r="1422" spans="5:8" x14ac:dyDescent="0.25">
      <c r="E1422" s="2">
        <v>43539</v>
      </c>
      <c r="F1422">
        <v>195.25</v>
      </c>
      <c r="G1422">
        <f t="shared" si="58"/>
        <v>3</v>
      </c>
      <c r="H1422">
        <f t="shared" si="59"/>
        <v>2019</v>
      </c>
    </row>
    <row r="1423" spans="5:8" x14ac:dyDescent="0.25">
      <c r="E1423" s="2">
        <v>43542</v>
      </c>
      <c r="F1423">
        <v>195.75</v>
      </c>
      <c r="G1423">
        <f t="shared" si="58"/>
        <v>3</v>
      </c>
      <c r="H1423">
        <f t="shared" si="59"/>
        <v>2019</v>
      </c>
    </row>
    <row r="1424" spans="5:8" x14ac:dyDescent="0.25">
      <c r="E1424" s="2">
        <v>43543</v>
      </c>
      <c r="F1424">
        <v>195.75</v>
      </c>
      <c r="G1424">
        <f t="shared" si="58"/>
        <v>3</v>
      </c>
      <c r="H1424">
        <f t="shared" si="59"/>
        <v>2019</v>
      </c>
    </row>
    <row r="1425" spans="5:8" x14ac:dyDescent="0.25">
      <c r="E1425" s="2">
        <v>43544</v>
      </c>
      <c r="F1425">
        <v>195.75</v>
      </c>
      <c r="G1425">
        <f t="shared" si="58"/>
        <v>3</v>
      </c>
      <c r="H1425">
        <f t="shared" si="59"/>
        <v>2019</v>
      </c>
    </row>
    <row r="1426" spans="5:8" x14ac:dyDescent="0.25">
      <c r="E1426" s="2">
        <v>43545</v>
      </c>
      <c r="F1426">
        <v>195</v>
      </c>
      <c r="G1426">
        <f t="shared" si="58"/>
        <v>3</v>
      </c>
      <c r="H1426">
        <f t="shared" si="59"/>
        <v>2019</v>
      </c>
    </row>
    <row r="1427" spans="5:8" x14ac:dyDescent="0.25">
      <c r="E1427" s="2">
        <v>43546</v>
      </c>
      <c r="F1427">
        <v>195</v>
      </c>
      <c r="G1427">
        <f t="shared" si="58"/>
        <v>3</v>
      </c>
      <c r="H1427">
        <f t="shared" si="59"/>
        <v>2019</v>
      </c>
    </row>
    <row r="1428" spans="5:8" x14ac:dyDescent="0.25">
      <c r="E1428" s="2">
        <v>43549</v>
      </c>
      <c r="F1428">
        <v>194</v>
      </c>
      <c r="G1428">
        <f t="shared" si="58"/>
        <v>3</v>
      </c>
      <c r="H1428">
        <f t="shared" si="59"/>
        <v>2019</v>
      </c>
    </row>
    <row r="1429" spans="5:8" x14ac:dyDescent="0.25">
      <c r="E1429" s="2">
        <v>43550</v>
      </c>
      <c r="F1429">
        <v>193.75</v>
      </c>
      <c r="G1429">
        <f t="shared" si="58"/>
        <v>3</v>
      </c>
      <c r="H1429">
        <f t="shared" si="59"/>
        <v>2019</v>
      </c>
    </row>
    <row r="1430" spans="5:8" x14ac:dyDescent="0.25">
      <c r="E1430" s="2">
        <v>43551</v>
      </c>
      <c r="F1430">
        <v>193</v>
      </c>
      <c r="G1430">
        <f t="shared" si="58"/>
        <v>3</v>
      </c>
      <c r="H1430">
        <f t="shared" si="59"/>
        <v>2019</v>
      </c>
    </row>
    <row r="1431" spans="5:8" x14ac:dyDescent="0.25">
      <c r="E1431" s="2">
        <v>43552</v>
      </c>
      <c r="F1431">
        <v>193</v>
      </c>
      <c r="G1431">
        <f t="shared" si="58"/>
        <v>3</v>
      </c>
      <c r="H1431">
        <f t="shared" si="59"/>
        <v>2019</v>
      </c>
    </row>
    <row r="1432" spans="5:8" x14ac:dyDescent="0.25">
      <c r="E1432" s="2">
        <v>43553</v>
      </c>
      <c r="F1432">
        <v>193</v>
      </c>
      <c r="G1432">
        <f t="shared" si="58"/>
        <v>3</v>
      </c>
      <c r="H1432">
        <f t="shared" si="59"/>
        <v>2019</v>
      </c>
    </row>
    <row r="1433" spans="5:8" x14ac:dyDescent="0.25">
      <c r="E1433" s="2">
        <v>43556</v>
      </c>
      <c r="F1433">
        <v>191</v>
      </c>
      <c r="G1433">
        <f t="shared" si="58"/>
        <v>4</v>
      </c>
      <c r="H1433">
        <f t="shared" si="59"/>
        <v>2019</v>
      </c>
    </row>
    <row r="1434" spans="5:8" x14ac:dyDescent="0.25">
      <c r="E1434" s="2">
        <v>43557</v>
      </c>
      <c r="F1434">
        <v>189</v>
      </c>
      <c r="G1434">
        <f t="shared" si="58"/>
        <v>4</v>
      </c>
      <c r="H1434">
        <f t="shared" si="59"/>
        <v>2019</v>
      </c>
    </row>
    <row r="1435" spans="5:8" x14ac:dyDescent="0.25">
      <c r="E1435" s="2">
        <v>43558</v>
      </c>
      <c r="F1435">
        <v>190</v>
      </c>
      <c r="G1435">
        <f t="shared" si="58"/>
        <v>4</v>
      </c>
      <c r="H1435">
        <f t="shared" si="59"/>
        <v>2019</v>
      </c>
    </row>
    <row r="1436" spans="5:8" x14ac:dyDescent="0.25">
      <c r="E1436" s="2">
        <v>43559</v>
      </c>
      <c r="F1436">
        <v>189.25</v>
      </c>
      <c r="G1436">
        <f t="shared" si="58"/>
        <v>4</v>
      </c>
      <c r="H1436">
        <f t="shared" si="59"/>
        <v>2019</v>
      </c>
    </row>
    <row r="1437" spans="5:8" x14ac:dyDescent="0.25">
      <c r="E1437" s="2">
        <v>43560</v>
      </c>
      <c r="F1437">
        <v>188.5</v>
      </c>
      <c r="G1437">
        <f t="shared" si="58"/>
        <v>4</v>
      </c>
      <c r="H1437">
        <f t="shared" si="59"/>
        <v>2019</v>
      </c>
    </row>
    <row r="1438" spans="5:8" x14ac:dyDescent="0.25">
      <c r="E1438" s="2">
        <v>43563</v>
      </c>
      <c r="F1438">
        <v>188.5</v>
      </c>
      <c r="G1438">
        <f t="shared" si="58"/>
        <v>4</v>
      </c>
      <c r="H1438">
        <f t="shared" si="59"/>
        <v>2019</v>
      </c>
    </row>
    <row r="1439" spans="5:8" x14ac:dyDescent="0.25">
      <c r="E1439" s="2">
        <v>43564</v>
      </c>
      <c r="F1439">
        <v>186.5</v>
      </c>
      <c r="G1439">
        <f t="shared" si="58"/>
        <v>4</v>
      </c>
      <c r="H1439">
        <f t="shared" si="59"/>
        <v>2019</v>
      </c>
    </row>
    <row r="1440" spans="5:8" x14ac:dyDescent="0.25">
      <c r="E1440" s="2">
        <v>43565</v>
      </c>
      <c r="F1440">
        <v>183</v>
      </c>
      <c r="G1440">
        <f t="shared" si="58"/>
        <v>4</v>
      </c>
      <c r="H1440">
        <f t="shared" si="59"/>
        <v>2019</v>
      </c>
    </row>
    <row r="1441" spans="5:8" x14ac:dyDescent="0.25">
      <c r="E1441" s="2">
        <v>43566</v>
      </c>
      <c r="F1441">
        <v>181.5</v>
      </c>
      <c r="G1441">
        <f t="shared" si="58"/>
        <v>4</v>
      </c>
      <c r="H1441">
        <f t="shared" si="59"/>
        <v>2019</v>
      </c>
    </row>
    <row r="1442" spans="5:8" x14ac:dyDescent="0.25">
      <c r="E1442" s="2">
        <v>43567</v>
      </c>
      <c r="F1442">
        <v>183</v>
      </c>
      <c r="G1442">
        <f t="shared" si="58"/>
        <v>4</v>
      </c>
      <c r="H1442">
        <f t="shared" si="59"/>
        <v>2019</v>
      </c>
    </row>
    <row r="1443" spans="5:8" x14ac:dyDescent="0.25">
      <c r="E1443" s="2">
        <v>43570</v>
      </c>
      <c r="F1443">
        <v>180.5</v>
      </c>
      <c r="G1443">
        <f t="shared" si="58"/>
        <v>4</v>
      </c>
      <c r="H1443">
        <f t="shared" si="59"/>
        <v>2019</v>
      </c>
    </row>
    <row r="1444" spans="5:8" x14ac:dyDescent="0.25">
      <c r="E1444" s="2">
        <v>43571</v>
      </c>
      <c r="F1444">
        <v>176</v>
      </c>
      <c r="G1444">
        <f t="shared" si="58"/>
        <v>4</v>
      </c>
      <c r="H1444">
        <f t="shared" si="59"/>
        <v>2019</v>
      </c>
    </row>
    <row r="1445" spans="5:8" x14ac:dyDescent="0.25">
      <c r="E1445" s="2">
        <v>43572</v>
      </c>
      <c r="F1445">
        <v>180</v>
      </c>
      <c r="G1445">
        <f t="shared" si="58"/>
        <v>4</v>
      </c>
      <c r="H1445">
        <f t="shared" si="59"/>
        <v>2019</v>
      </c>
    </row>
    <row r="1446" spans="5:8" x14ac:dyDescent="0.25">
      <c r="E1446" s="2">
        <v>43573</v>
      </c>
      <c r="F1446">
        <v>185</v>
      </c>
      <c r="G1446">
        <f t="shared" si="58"/>
        <v>4</v>
      </c>
      <c r="H1446">
        <f t="shared" si="59"/>
        <v>2019</v>
      </c>
    </row>
    <row r="1447" spans="5:8" x14ac:dyDescent="0.25">
      <c r="E1447" s="2">
        <v>43577</v>
      </c>
      <c r="F1447">
        <v>188</v>
      </c>
      <c r="G1447">
        <f t="shared" si="58"/>
        <v>4</v>
      </c>
      <c r="H1447">
        <f t="shared" si="59"/>
        <v>2019</v>
      </c>
    </row>
    <row r="1448" spans="5:8" x14ac:dyDescent="0.25">
      <c r="E1448" s="2">
        <v>43578</v>
      </c>
      <c r="F1448">
        <v>187.5</v>
      </c>
      <c r="G1448">
        <f t="shared" si="58"/>
        <v>4</v>
      </c>
      <c r="H1448">
        <f t="shared" si="59"/>
        <v>2019</v>
      </c>
    </row>
    <row r="1449" spans="5:8" x14ac:dyDescent="0.25">
      <c r="E1449" s="2">
        <v>43579</v>
      </c>
      <c r="F1449">
        <v>185.5</v>
      </c>
      <c r="G1449">
        <f t="shared" si="58"/>
        <v>4</v>
      </c>
      <c r="H1449">
        <f t="shared" si="59"/>
        <v>2019</v>
      </c>
    </row>
    <row r="1450" spans="5:8" x14ac:dyDescent="0.25">
      <c r="E1450" s="2">
        <v>43580</v>
      </c>
      <c r="F1450">
        <v>185</v>
      </c>
      <c r="G1450">
        <f t="shared" si="58"/>
        <v>4</v>
      </c>
      <c r="H1450">
        <f t="shared" si="59"/>
        <v>2019</v>
      </c>
    </row>
    <row r="1451" spans="5:8" x14ac:dyDescent="0.25">
      <c r="E1451" s="2">
        <v>43581</v>
      </c>
      <c r="F1451">
        <v>188</v>
      </c>
      <c r="G1451">
        <f t="shared" si="58"/>
        <v>4</v>
      </c>
      <c r="H1451">
        <f t="shared" si="59"/>
        <v>2019</v>
      </c>
    </row>
    <row r="1452" spans="5:8" x14ac:dyDescent="0.25">
      <c r="E1452" s="2">
        <v>43584</v>
      </c>
      <c r="F1452">
        <v>189</v>
      </c>
      <c r="G1452">
        <f t="shared" si="58"/>
        <v>4</v>
      </c>
      <c r="H1452">
        <f t="shared" si="59"/>
        <v>2019</v>
      </c>
    </row>
    <row r="1453" spans="5:8" x14ac:dyDescent="0.25">
      <c r="E1453" s="2">
        <v>43585</v>
      </c>
      <c r="F1453">
        <v>187.5</v>
      </c>
      <c r="G1453">
        <f t="shared" si="58"/>
        <v>4</v>
      </c>
      <c r="H1453">
        <f t="shared" si="59"/>
        <v>2019</v>
      </c>
    </row>
    <row r="1454" spans="5:8" x14ac:dyDescent="0.25">
      <c r="E1454" s="2">
        <v>43586</v>
      </c>
      <c r="F1454">
        <v>184.5</v>
      </c>
      <c r="G1454">
        <f t="shared" si="58"/>
        <v>5</v>
      </c>
      <c r="H1454">
        <f t="shared" si="59"/>
        <v>2019</v>
      </c>
    </row>
    <row r="1455" spans="5:8" x14ac:dyDescent="0.25">
      <c r="E1455" s="2">
        <v>43587</v>
      </c>
      <c r="F1455">
        <v>184</v>
      </c>
      <c r="G1455">
        <f t="shared" si="58"/>
        <v>5</v>
      </c>
      <c r="H1455">
        <f t="shared" si="59"/>
        <v>2019</v>
      </c>
    </row>
    <row r="1456" spans="5:8" x14ac:dyDescent="0.25">
      <c r="E1456" s="2">
        <v>43588</v>
      </c>
      <c r="F1456">
        <v>185.5</v>
      </c>
      <c r="G1456">
        <f t="shared" si="58"/>
        <v>5</v>
      </c>
      <c r="H1456">
        <f t="shared" si="59"/>
        <v>2019</v>
      </c>
    </row>
    <row r="1457" spans="5:8" x14ac:dyDescent="0.25">
      <c r="E1457" s="2">
        <v>43591</v>
      </c>
      <c r="F1457">
        <v>184.5</v>
      </c>
      <c r="G1457">
        <f t="shared" si="58"/>
        <v>5</v>
      </c>
      <c r="H1457">
        <f t="shared" si="59"/>
        <v>2019</v>
      </c>
    </row>
    <row r="1458" spans="5:8" x14ac:dyDescent="0.25">
      <c r="E1458" s="2">
        <v>43592</v>
      </c>
      <c r="F1458">
        <v>186.5</v>
      </c>
      <c r="G1458">
        <f t="shared" si="58"/>
        <v>5</v>
      </c>
      <c r="H1458">
        <f t="shared" si="59"/>
        <v>2019</v>
      </c>
    </row>
    <row r="1459" spans="5:8" x14ac:dyDescent="0.25">
      <c r="E1459" s="2">
        <v>43593</v>
      </c>
      <c r="F1459">
        <v>187</v>
      </c>
      <c r="G1459">
        <f t="shared" si="58"/>
        <v>5</v>
      </c>
      <c r="H1459">
        <f t="shared" si="59"/>
        <v>2019</v>
      </c>
    </row>
    <row r="1460" spans="5:8" x14ac:dyDescent="0.25">
      <c r="E1460" s="2">
        <v>43594</v>
      </c>
      <c r="F1460">
        <v>188</v>
      </c>
      <c r="G1460">
        <f t="shared" si="58"/>
        <v>5</v>
      </c>
      <c r="H1460">
        <f t="shared" si="59"/>
        <v>2019</v>
      </c>
    </row>
    <row r="1461" spans="5:8" x14ac:dyDescent="0.25">
      <c r="E1461" s="2">
        <v>43595</v>
      </c>
      <c r="F1461">
        <v>186.5</v>
      </c>
      <c r="G1461">
        <f t="shared" si="58"/>
        <v>5</v>
      </c>
      <c r="H1461">
        <f t="shared" si="59"/>
        <v>2019</v>
      </c>
    </row>
    <row r="1462" spans="5:8" x14ac:dyDescent="0.25">
      <c r="E1462" s="2">
        <v>43598</v>
      </c>
      <c r="F1462">
        <v>186.5</v>
      </c>
      <c r="G1462">
        <f t="shared" si="58"/>
        <v>5</v>
      </c>
      <c r="H1462">
        <f t="shared" si="59"/>
        <v>2019</v>
      </c>
    </row>
    <row r="1463" spans="5:8" x14ac:dyDescent="0.25">
      <c r="E1463" s="2">
        <v>43599</v>
      </c>
      <c r="F1463">
        <v>187.5</v>
      </c>
      <c r="G1463">
        <f t="shared" si="58"/>
        <v>5</v>
      </c>
      <c r="H1463">
        <f t="shared" si="59"/>
        <v>2019</v>
      </c>
    </row>
    <row r="1464" spans="5:8" x14ac:dyDescent="0.25">
      <c r="E1464" s="2">
        <v>43600</v>
      </c>
      <c r="F1464">
        <v>187</v>
      </c>
      <c r="G1464">
        <f t="shared" si="58"/>
        <v>5</v>
      </c>
      <c r="H1464">
        <f t="shared" si="59"/>
        <v>2019</v>
      </c>
    </row>
    <row r="1465" spans="5:8" x14ac:dyDescent="0.25">
      <c r="E1465" s="2">
        <v>43601</v>
      </c>
      <c r="F1465">
        <v>187.5</v>
      </c>
      <c r="G1465">
        <f t="shared" si="58"/>
        <v>5</v>
      </c>
      <c r="H1465">
        <f t="shared" si="59"/>
        <v>2019</v>
      </c>
    </row>
    <row r="1466" spans="5:8" x14ac:dyDescent="0.25">
      <c r="E1466" s="2">
        <v>43602</v>
      </c>
      <c r="F1466">
        <v>187.5</v>
      </c>
      <c r="G1466">
        <f t="shared" si="58"/>
        <v>5</v>
      </c>
      <c r="H1466">
        <f t="shared" si="59"/>
        <v>2019</v>
      </c>
    </row>
    <row r="1467" spans="5:8" x14ac:dyDescent="0.25">
      <c r="E1467" s="2">
        <v>43605</v>
      </c>
      <c r="F1467">
        <v>187.75</v>
      </c>
      <c r="G1467">
        <f t="shared" si="58"/>
        <v>5</v>
      </c>
      <c r="H1467">
        <f t="shared" si="59"/>
        <v>2019</v>
      </c>
    </row>
    <row r="1468" spans="5:8" x14ac:dyDescent="0.25">
      <c r="E1468" s="2">
        <v>43606</v>
      </c>
      <c r="F1468">
        <v>188.75</v>
      </c>
      <c r="G1468">
        <f t="shared" si="58"/>
        <v>5</v>
      </c>
      <c r="H1468">
        <f t="shared" si="59"/>
        <v>2019</v>
      </c>
    </row>
    <row r="1469" spans="5:8" x14ac:dyDescent="0.25">
      <c r="E1469" s="2">
        <v>43607</v>
      </c>
      <c r="F1469">
        <v>188.75</v>
      </c>
      <c r="G1469">
        <f t="shared" si="58"/>
        <v>5</v>
      </c>
      <c r="H1469">
        <f t="shared" si="59"/>
        <v>2019</v>
      </c>
    </row>
    <row r="1470" spans="5:8" x14ac:dyDescent="0.25">
      <c r="E1470" s="2">
        <v>43608</v>
      </c>
      <c r="F1470">
        <v>188.75</v>
      </c>
      <c r="G1470">
        <f t="shared" si="58"/>
        <v>5</v>
      </c>
      <c r="H1470">
        <f t="shared" si="59"/>
        <v>2019</v>
      </c>
    </row>
    <row r="1471" spans="5:8" x14ac:dyDescent="0.25">
      <c r="E1471" s="2">
        <v>43609</v>
      </c>
      <c r="F1471">
        <v>188.5</v>
      </c>
      <c r="G1471">
        <f t="shared" si="58"/>
        <v>5</v>
      </c>
      <c r="H1471">
        <f t="shared" si="59"/>
        <v>2019</v>
      </c>
    </row>
    <row r="1472" spans="5:8" x14ac:dyDescent="0.25">
      <c r="E1472" s="2">
        <v>43613</v>
      </c>
      <c r="F1472">
        <v>189</v>
      </c>
      <c r="G1472">
        <f t="shared" si="58"/>
        <v>5</v>
      </c>
      <c r="H1472">
        <f t="shared" si="59"/>
        <v>2019</v>
      </c>
    </row>
    <row r="1473" spans="5:8" x14ac:dyDescent="0.25">
      <c r="E1473" s="2">
        <v>43614</v>
      </c>
      <c r="F1473">
        <v>189.5</v>
      </c>
      <c r="G1473">
        <f t="shared" si="58"/>
        <v>5</v>
      </c>
      <c r="H1473">
        <f t="shared" si="59"/>
        <v>2019</v>
      </c>
    </row>
    <row r="1474" spans="5:8" x14ac:dyDescent="0.25">
      <c r="E1474" s="2">
        <v>43615</v>
      </c>
      <c r="F1474">
        <v>190</v>
      </c>
      <c r="G1474">
        <f t="shared" si="58"/>
        <v>5</v>
      </c>
      <c r="H1474">
        <f t="shared" si="59"/>
        <v>2019</v>
      </c>
    </row>
    <row r="1475" spans="5:8" x14ac:dyDescent="0.25">
      <c r="E1475" s="2">
        <v>43616</v>
      </c>
      <c r="F1475">
        <v>189.5</v>
      </c>
      <c r="G1475">
        <f t="shared" si="58"/>
        <v>5</v>
      </c>
      <c r="H1475">
        <f t="shared" si="59"/>
        <v>2019</v>
      </c>
    </row>
    <row r="1476" spans="5:8" x14ac:dyDescent="0.25">
      <c r="E1476" s="2">
        <v>43619</v>
      </c>
      <c r="F1476">
        <v>190.5</v>
      </c>
      <c r="G1476">
        <f t="shared" si="58"/>
        <v>6</v>
      </c>
      <c r="H1476">
        <f t="shared" si="59"/>
        <v>2019</v>
      </c>
    </row>
    <row r="1477" spans="5:8" x14ac:dyDescent="0.25">
      <c r="E1477" s="2">
        <v>43620</v>
      </c>
      <c r="F1477">
        <v>190.5</v>
      </c>
      <c r="G1477">
        <f t="shared" ref="G1477:G1540" si="60">MONTH(E1477)</f>
        <v>6</v>
      </c>
      <c r="H1477">
        <f t="shared" ref="H1477:H1540" si="61">YEAR(E1477)</f>
        <v>2019</v>
      </c>
    </row>
    <row r="1478" spans="5:8" x14ac:dyDescent="0.25">
      <c r="E1478" s="2">
        <v>43621</v>
      </c>
      <c r="F1478">
        <v>190.5</v>
      </c>
      <c r="G1478">
        <f t="shared" si="60"/>
        <v>6</v>
      </c>
      <c r="H1478">
        <f t="shared" si="61"/>
        <v>2019</v>
      </c>
    </row>
    <row r="1479" spans="5:8" x14ac:dyDescent="0.25">
      <c r="E1479" s="2">
        <v>43622</v>
      </c>
      <c r="F1479">
        <v>190</v>
      </c>
      <c r="G1479">
        <f t="shared" si="60"/>
        <v>6</v>
      </c>
      <c r="H1479">
        <f t="shared" si="61"/>
        <v>2019</v>
      </c>
    </row>
    <row r="1480" spans="5:8" x14ac:dyDescent="0.25">
      <c r="E1480" s="2">
        <v>43623</v>
      </c>
      <c r="F1480">
        <v>190</v>
      </c>
      <c r="G1480">
        <f t="shared" si="60"/>
        <v>6</v>
      </c>
      <c r="H1480">
        <f t="shared" si="61"/>
        <v>2019</v>
      </c>
    </row>
    <row r="1481" spans="5:8" x14ac:dyDescent="0.25">
      <c r="E1481" s="2">
        <v>43626</v>
      </c>
      <c r="F1481">
        <v>191</v>
      </c>
      <c r="G1481">
        <f t="shared" si="60"/>
        <v>6</v>
      </c>
      <c r="H1481">
        <f t="shared" si="61"/>
        <v>2019</v>
      </c>
    </row>
    <row r="1482" spans="5:8" x14ac:dyDescent="0.25">
      <c r="E1482" s="2">
        <v>43627</v>
      </c>
      <c r="F1482">
        <v>191</v>
      </c>
      <c r="G1482">
        <f t="shared" si="60"/>
        <v>6</v>
      </c>
      <c r="H1482">
        <f t="shared" si="61"/>
        <v>2019</v>
      </c>
    </row>
    <row r="1483" spans="5:8" x14ac:dyDescent="0.25">
      <c r="E1483" s="2">
        <v>43628</v>
      </c>
      <c r="F1483">
        <v>192</v>
      </c>
      <c r="G1483">
        <f t="shared" si="60"/>
        <v>6</v>
      </c>
      <c r="H1483">
        <f t="shared" si="61"/>
        <v>2019</v>
      </c>
    </row>
    <row r="1484" spans="5:8" x14ac:dyDescent="0.25">
      <c r="E1484" s="2">
        <v>43629</v>
      </c>
      <c r="F1484">
        <v>191</v>
      </c>
      <c r="G1484">
        <f t="shared" si="60"/>
        <v>6</v>
      </c>
      <c r="H1484">
        <f t="shared" si="61"/>
        <v>2019</v>
      </c>
    </row>
    <row r="1485" spans="5:8" x14ac:dyDescent="0.25">
      <c r="E1485" s="2">
        <v>43630</v>
      </c>
      <c r="F1485">
        <v>191</v>
      </c>
      <c r="G1485">
        <f t="shared" si="60"/>
        <v>6</v>
      </c>
      <c r="H1485">
        <f t="shared" si="61"/>
        <v>2019</v>
      </c>
    </row>
    <row r="1486" spans="5:8" x14ac:dyDescent="0.25">
      <c r="E1486" s="2">
        <v>43633</v>
      </c>
      <c r="F1486">
        <v>191</v>
      </c>
      <c r="G1486">
        <f t="shared" si="60"/>
        <v>6</v>
      </c>
      <c r="H1486">
        <f t="shared" si="61"/>
        <v>2019</v>
      </c>
    </row>
    <row r="1487" spans="5:8" x14ac:dyDescent="0.25">
      <c r="E1487" s="2">
        <v>43634</v>
      </c>
      <c r="F1487">
        <v>191</v>
      </c>
      <c r="G1487">
        <f t="shared" si="60"/>
        <v>6</v>
      </c>
      <c r="H1487">
        <f t="shared" si="61"/>
        <v>2019</v>
      </c>
    </row>
    <row r="1488" spans="5:8" x14ac:dyDescent="0.25">
      <c r="E1488" s="2">
        <v>43635</v>
      </c>
      <c r="F1488">
        <v>190.5</v>
      </c>
      <c r="G1488">
        <f t="shared" si="60"/>
        <v>6</v>
      </c>
      <c r="H1488">
        <f t="shared" si="61"/>
        <v>2019</v>
      </c>
    </row>
    <row r="1489" spans="5:8" x14ac:dyDescent="0.25">
      <c r="E1489" s="2">
        <v>43636</v>
      </c>
      <c r="F1489">
        <v>194</v>
      </c>
      <c r="G1489">
        <f t="shared" si="60"/>
        <v>6</v>
      </c>
      <c r="H1489">
        <f t="shared" si="61"/>
        <v>2019</v>
      </c>
    </row>
    <row r="1490" spans="5:8" x14ac:dyDescent="0.25">
      <c r="E1490" s="2">
        <v>43637</v>
      </c>
      <c r="F1490">
        <v>194.5</v>
      </c>
      <c r="G1490">
        <f t="shared" si="60"/>
        <v>6</v>
      </c>
      <c r="H1490">
        <f t="shared" si="61"/>
        <v>2019</v>
      </c>
    </row>
    <row r="1491" spans="5:8" x14ac:dyDescent="0.25">
      <c r="E1491" s="2">
        <v>43640</v>
      </c>
      <c r="F1491">
        <v>194.5</v>
      </c>
      <c r="G1491">
        <f t="shared" si="60"/>
        <v>6</v>
      </c>
      <c r="H1491">
        <f t="shared" si="61"/>
        <v>2019</v>
      </c>
    </row>
    <row r="1492" spans="5:8" x14ac:dyDescent="0.25">
      <c r="E1492" s="2">
        <v>43641</v>
      </c>
      <c r="F1492">
        <v>193.5</v>
      </c>
      <c r="G1492">
        <f t="shared" si="60"/>
        <v>6</v>
      </c>
      <c r="H1492">
        <f t="shared" si="61"/>
        <v>2019</v>
      </c>
    </row>
    <row r="1493" spans="5:8" x14ac:dyDescent="0.25">
      <c r="E1493" s="2">
        <v>43642</v>
      </c>
      <c r="F1493">
        <v>194</v>
      </c>
      <c r="G1493">
        <f t="shared" si="60"/>
        <v>6</v>
      </c>
      <c r="H1493">
        <f t="shared" si="61"/>
        <v>2019</v>
      </c>
    </row>
    <row r="1494" spans="5:8" x14ac:dyDescent="0.25">
      <c r="E1494" s="2">
        <v>43643</v>
      </c>
      <c r="F1494">
        <v>189</v>
      </c>
      <c r="G1494">
        <f t="shared" si="60"/>
        <v>6</v>
      </c>
      <c r="H1494">
        <f t="shared" si="61"/>
        <v>2019</v>
      </c>
    </row>
    <row r="1495" spans="5:8" x14ac:dyDescent="0.25">
      <c r="E1495" s="2">
        <v>43644</v>
      </c>
      <c r="F1495">
        <v>194.5</v>
      </c>
      <c r="G1495">
        <f t="shared" si="60"/>
        <v>6</v>
      </c>
      <c r="H1495">
        <f t="shared" si="61"/>
        <v>2019</v>
      </c>
    </row>
    <row r="1496" spans="5:8" x14ac:dyDescent="0.25">
      <c r="E1496" s="2">
        <v>43647</v>
      </c>
      <c r="F1496">
        <v>194.5</v>
      </c>
      <c r="G1496">
        <f t="shared" si="60"/>
        <v>7</v>
      </c>
      <c r="H1496">
        <f t="shared" si="61"/>
        <v>2019</v>
      </c>
    </row>
    <row r="1497" spans="5:8" x14ac:dyDescent="0.25">
      <c r="E1497" s="2">
        <v>43648</v>
      </c>
      <c r="F1497">
        <v>195.5</v>
      </c>
      <c r="G1497">
        <f t="shared" si="60"/>
        <v>7</v>
      </c>
      <c r="H1497">
        <f t="shared" si="61"/>
        <v>2019</v>
      </c>
    </row>
    <row r="1498" spans="5:8" x14ac:dyDescent="0.25">
      <c r="E1498" s="2">
        <v>43649</v>
      </c>
      <c r="F1498">
        <v>195.5</v>
      </c>
      <c r="G1498">
        <f t="shared" si="60"/>
        <v>7</v>
      </c>
      <c r="H1498">
        <f t="shared" si="61"/>
        <v>2019</v>
      </c>
    </row>
    <row r="1499" spans="5:8" x14ac:dyDescent="0.25">
      <c r="E1499" s="2">
        <v>43651</v>
      </c>
      <c r="F1499">
        <v>194.5</v>
      </c>
      <c r="G1499">
        <f t="shared" si="60"/>
        <v>7</v>
      </c>
      <c r="H1499">
        <f t="shared" si="61"/>
        <v>2019</v>
      </c>
    </row>
    <row r="1500" spans="5:8" x14ac:dyDescent="0.25">
      <c r="E1500" s="2">
        <v>43654</v>
      </c>
      <c r="F1500">
        <v>195</v>
      </c>
      <c r="G1500">
        <f t="shared" si="60"/>
        <v>7</v>
      </c>
      <c r="H1500">
        <f t="shared" si="61"/>
        <v>2019</v>
      </c>
    </row>
    <row r="1501" spans="5:8" x14ac:dyDescent="0.25">
      <c r="E1501" s="2">
        <v>43655</v>
      </c>
      <c r="F1501">
        <v>196.5</v>
      </c>
      <c r="G1501">
        <f t="shared" si="60"/>
        <v>7</v>
      </c>
      <c r="H1501">
        <f t="shared" si="61"/>
        <v>2019</v>
      </c>
    </row>
    <row r="1502" spans="5:8" x14ac:dyDescent="0.25">
      <c r="E1502" s="2">
        <v>43656</v>
      </c>
      <c r="F1502">
        <v>196.5</v>
      </c>
      <c r="G1502">
        <f t="shared" si="60"/>
        <v>7</v>
      </c>
      <c r="H1502">
        <f t="shared" si="61"/>
        <v>2019</v>
      </c>
    </row>
    <row r="1503" spans="5:8" x14ac:dyDescent="0.25">
      <c r="E1503" s="2">
        <v>43657</v>
      </c>
      <c r="F1503">
        <v>197.5</v>
      </c>
      <c r="G1503">
        <f t="shared" si="60"/>
        <v>7</v>
      </c>
      <c r="H1503">
        <f t="shared" si="61"/>
        <v>2019</v>
      </c>
    </row>
    <row r="1504" spans="5:8" x14ac:dyDescent="0.25">
      <c r="E1504" s="2">
        <v>43658</v>
      </c>
      <c r="F1504">
        <v>199</v>
      </c>
      <c r="G1504">
        <f t="shared" si="60"/>
        <v>7</v>
      </c>
      <c r="H1504">
        <f t="shared" si="61"/>
        <v>2019</v>
      </c>
    </row>
    <row r="1505" spans="5:8" x14ac:dyDescent="0.25">
      <c r="E1505" s="2">
        <v>43661</v>
      </c>
      <c r="F1505">
        <v>199</v>
      </c>
      <c r="G1505">
        <f t="shared" si="60"/>
        <v>7</v>
      </c>
      <c r="H1505">
        <f t="shared" si="61"/>
        <v>2019</v>
      </c>
    </row>
    <row r="1506" spans="5:8" x14ac:dyDescent="0.25">
      <c r="E1506" s="2">
        <v>43662</v>
      </c>
      <c r="F1506">
        <v>198.5</v>
      </c>
      <c r="G1506">
        <f t="shared" si="60"/>
        <v>7</v>
      </c>
      <c r="H1506">
        <f t="shared" si="61"/>
        <v>2019</v>
      </c>
    </row>
    <row r="1507" spans="5:8" x14ac:dyDescent="0.25">
      <c r="E1507" s="2">
        <v>43663</v>
      </c>
      <c r="F1507">
        <v>198.5</v>
      </c>
      <c r="G1507">
        <f t="shared" si="60"/>
        <v>7</v>
      </c>
      <c r="H1507">
        <f t="shared" si="61"/>
        <v>2019</v>
      </c>
    </row>
    <row r="1508" spans="5:8" x14ac:dyDescent="0.25">
      <c r="E1508" s="2">
        <v>43664</v>
      </c>
      <c r="F1508">
        <v>198</v>
      </c>
      <c r="G1508">
        <f t="shared" si="60"/>
        <v>7</v>
      </c>
      <c r="H1508">
        <f t="shared" si="61"/>
        <v>2019</v>
      </c>
    </row>
    <row r="1509" spans="5:8" x14ac:dyDescent="0.25">
      <c r="E1509" s="2">
        <v>43665</v>
      </c>
      <c r="F1509">
        <v>197.5</v>
      </c>
      <c r="G1509">
        <f t="shared" si="60"/>
        <v>7</v>
      </c>
      <c r="H1509">
        <f t="shared" si="61"/>
        <v>2019</v>
      </c>
    </row>
    <row r="1510" spans="5:8" x14ac:dyDescent="0.25">
      <c r="E1510" s="2">
        <v>43668</v>
      </c>
      <c r="F1510">
        <v>197.5</v>
      </c>
      <c r="G1510">
        <f t="shared" si="60"/>
        <v>7</v>
      </c>
      <c r="H1510">
        <f t="shared" si="61"/>
        <v>2019</v>
      </c>
    </row>
    <row r="1511" spans="5:8" x14ac:dyDescent="0.25">
      <c r="E1511" s="2">
        <v>43669</v>
      </c>
      <c r="F1511">
        <v>196</v>
      </c>
      <c r="G1511">
        <f t="shared" si="60"/>
        <v>7</v>
      </c>
      <c r="H1511">
        <f t="shared" si="61"/>
        <v>2019</v>
      </c>
    </row>
    <row r="1512" spans="5:8" x14ac:dyDescent="0.25">
      <c r="E1512" s="2">
        <v>43670</v>
      </c>
      <c r="F1512">
        <v>196</v>
      </c>
      <c r="G1512">
        <f t="shared" si="60"/>
        <v>7</v>
      </c>
      <c r="H1512">
        <f t="shared" si="61"/>
        <v>2019</v>
      </c>
    </row>
    <row r="1513" spans="5:8" x14ac:dyDescent="0.25">
      <c r="E1513" s="2">
        <v>43671</v>
      </c>
      <c r="F1513">
        <v>196</v>
      </c>
      <c r="G1513">
        <f t="shared" si="60"/>
        <v>7</v>
      </c>
      <c r="H1513">
        <f t="shared" si="61"/>
        <v>2019</v>
      </c>
    </row>
    <row r="1514" spans="5:8" x14ac:dyDescent="0.25">
      <c r="E1514" s="2">
        <v>43672</v>
      </c>
      <c r="F1514">
        <v>196.75</v>
      </c>
      <c r="G1514">
        <f t="shared" si="60"/>
        <v>7</v>
      </c>
      <c r="H1514">
        <f t="shared" si="61"/>
        <v>2019</v>
      </c>
    </row>
    <row r="1515" spans="5:8" x14ac:dyDescent="0.25">
      <c r="E1515" s="2">
        <v>43675</v>
      </c>
      <c r="F1515">
        <v>197</v>
      </c>
      <c r="G1515">
        <f t="shared" si="60"/>
        <v>7</v>
      </c>
      <c r="H1515">
        <f t="shared" si="61"/>
        <v>2019</v>
      </c>
    </row>
    <row r="1516" spans="5:8" x14ac:dyDescent="0.25">
      <c r="E1516" s="2">
        <v>43676</v>
      </c>
      <c r="F1516">
        <v>197</v>
      </c>
      <c r="G1516">
        <f t="shared" si="60"/>
        <v>7</v>
      </c>
      <c r="H1516">
        <f t="shared" si="61"/>
        <v>2019</v>
      </c>
    </row>
    <row r="1517" spans="5:8" x14ac:dyDescent="0.25">
      <c r="E1517" s="2">
        <v>43677</v>
      </c>
      <c r="F1517">
        <v>196.25</v>
      </c>
      <c r="G1517">
        <f t="shared" si="60"/>
        <v>7</v>
      </c>
      <c r="H1517">
        <f t="shared" si="61"/>
        <v>2019</v>
      </c>
    </row>
    <row r="1518" spans="5:8" x14ac:dyDescent="0.25">
      <c r="E1518" s="2">
        <v>43678</v>
      </c>
      <c r="F1518">
        <v>195.5</v>
      </c>
      <c r="G1518">
        <f t="shared" si="60"/>
        <v>8</v>
      </c>
      <c r="H1518">
        <f t="shared" si="61"/>
        <v>2019</v>
      </c>
    </row>
    <row r="1519" spans="5:8" x14ac:dyDescent="0.25">
      <c r="E1519" s="2">
        <v>43679</v>
      </c>
      <c r="F1519">
        <v>194.75</v>
      </c>
      <c r="G1519">
        <f t="shared" si="60"/>
        <v>8</v>
      </c>
      <c r="H1519">
        <f t="shared" si="61"/>
        <v>2019</v>
      </c>
    </row>
    <row r="1520" spans="5:8" x14ac:dyDescent="0.25">
      <c r="E1520" s="2">
        <v>43682</v>
      </c>
      <c r="F1520">
        <v>197</v>
      </c>
      <c r="G1520">
        <f t="shared" si="60"/>
        <v>8</v>
      </c>
      <c r="H1520">
        <f t="shared" si="61"/>
        <v>2019</v>
      </c>
    </row>
    <row r="1521" spans="5:8" x14ac:dyDescent="0.25">
      <c r="E1521" s="2">
        <v>43683</v>
      </c>
      <c r="F1521">
        <v>195.75</v>
      </c>
      <c r="G1521">
        <f t="shared" si="60"/>
        <v>8</v>
      </c>
      <c r="H1521">
        <f t="shared" si="61"/>
        <v>2019</v>
      </c>
    </row>
    <row r="1522" spans="5:8" x14ac:dyDescent="0.25">
      <c r="E1522" s="2">
        <v>43684</v>
      </c>
      <c r="F1522">
        <v>196</v>
      </c>
      <c r="G1522">
        <f t="shared" si="60"/>
        <v>8</v>
      </c>
      <c r="H1522">
        <f t="shared" si="61"/>
        <v>2019</v>
      </c>
    </row>
    <row r="1523" spans="5:8" x14ac:dyDescent="0.25">
      <c r="E1523" s="2">
        <v>43685</v>
      </c>
      <c r="F1523">
        <v>195.75</v>
      </c>
      <c r="G1523">
        <f t="shared" si="60"/>
        <v>8</v>
      </c>
      <c r="H1523">
        <f t="shared" si="61"/>
        <v>2019</v>
      </c>
    </row>
    <row r="1524" spans="5:8" x14ac:dyDescent="0.25">
      <c r="E1524" s="2">
        <v>43686</v>
      </c>
      <c r="F1524">
        <v>195.25</v>
      </c>
      <c r="G1524">
        <f t="shared" si="60"/>
        <v>8</v>
      </c>
      <c r="H1524">
        <f t="shared" si="61"/>
        <v>2019</v>
      </c>
    </row>
    <row r="1525" spans="5:8" x14ac:dyDescent="0.25">
      <c r="E1525" s="2">
        <v>43689</v>
      </c>
      <c r="F1525">
        <v>195</v>
      </c>
      <c r="G1525">
        <f t="shared" si="60"/>
        <v>8</v>
      </c>
      <c r="H1525">
        <f t="shared" si="61"/>
        <v>2019</v>
      </c>
    </row>
    <row r="1526" spans="5:8" x14ac:dyDescent="0.25">
      <c r="E1526" s="2">
        <v>43690</v>
      </c>
      <c r="F1526">
        <v>195.5</v>
      </c>
      <c r="G1526">
        <f t="shared" si="60"/>
        <v>8</v>
      </c>
      <c r="H1526">
        <f t="shared" si="61"/>
        <v>2019</v>
      </c>
    </row>
    <row r="1527" spans="5:8" x14ac:dyDescent="0.25">
      <c r="E1527" s="2">
        <v>43691</v>
      </c>
      <c r="F1527">
        <v>196</v>
      </c>
      <c r="G1527">
        <f t="shared" si="60"/>
        <v>8</v>
      </c>
      <c r="H1527">
        <f t="shared" si="61"/>
        <v>2019</v>
      </c>
    </row>
    <row r="1528" spans="5:8" x14ac:dyDescent="0.25">
      <c r="E1528" s="2">
        <v>43692</v>
      </c>
      <c r="F1528">
        <v>195.75</v>
      </c>
      <c r="G1528">
        <f t="shared" si="60"/>
        <v>8</v>
      </c>
      <c r="H1528">
        <f t="shared" si="61"/>
        <v>2019</v>
      </c>
    </row>
    <row r="1529" spans="5:8" x14ac:dyDescent="0.25">
      <c r="E1529" s="2">
        <v>43693</v>
      </c>
      <c r="F1529">
        <v>195</v>
      </c>
      <c r="G1529">
        <f t="shared" si="60"/>
        <v>8</v>
      </c>
      <c r="H1529">
        <f t="shared" si="61"/>
        <v>2019</v>
      </c>
    </row>
    <row r="1530" spans="5:8" x14ac:dyDescent="0.25">
      <c r="E1530" s="2">
        <v>43696</v>
      </c>
      <c r="F1530">
        <v>197.25</v>
      </c>
      <c r="G1530">
        <f t="shared" si="60"/>
        <v>8</v>
      </c>
      <c r="H1530">
        <f t="shared" si="61"/>
        <v>2019</v>
      </c>
    </row>
    <row r="1531" spans="5:8" x14ac:dyDescent="0.25">
      <c r="E1531" s="2">
        <v>43697</v>
      </c>
      <c r="F1531">
        <v>197.5</v>
      </c>
      <c r="G1531">
        <f t="shared" si="60"/>
        <v>8</v>
      </c>
      <c r="H1531">
        <f t="shared" si="61"/>
        <v>2019</v>
      </c>
    </row>
    <row r="1532" spans="5:8" x14ac:dyDescent="0.25">
      <c r="E1532" s="2">
        <v>43698</v>
      </c>
      <c r="F1532">
        <v>197.5</v>
      </c>
      <c r="G1532">
        <f t="shared" si="60"/>
        <v>8</v>
      </c>
      <c r="H1532">
        <f t="shared" si="61"/>
        <v>2019</v>
      </c>
    </row>
    <row r="1533" spans="5:8" x14ac:dyDescent="0.25">
      <c r="E1533" s="2">
        <v>43699</v>
      </c>
      <c r="F1533">
        <v>197.5</v>
      </c>
      <c r="G1533">
        <f t="shared" si="60"/>
        <v>8</v>
      </c>
      <c r="H1533">
        <f t="shared" si="61"/>
        <v>2019</v>
      </c>
    </row>
    <row r="1534" spans="5:8" x14ac:dyDescent="0.25">
      <c r="E1534" s="2">
        <v>43700</v>
      </c>
      <c r="F1534">
        <v>198.25</v>
      </c>
      <c r="G1534">
        <f t="shared" si="60"/>
        <v>8</v>
      </c>
      <c r="H1534">
        <f t="shared" si="61"/>
        <v>2019</v>
      </c>
    </row>
    <row r="1535" spans="5:8" x14ac:dyDescent="0.25">
      <c r="E1535" s="2">
        <v>43703</v>
      </c>
      <c r="F1535">
        <v>199</v>
      </c>
      <c r="G1535">
        <f t="shared" si="60"/>
        <v>8</v>
      </c>
      <c r="H1535">
        <f t="shared" si="61"/>
        <v>2019</v>
      </c>
    </row>
    <row r="1536" spans="5:8" x14ac:dyDescent="0.25">
      <c r="E1536" s="2">
        <v>43704</v>
      </c>
      <c r="F1536">
        <v>199.25</v>
      </c>
      <c r="G1536">
        <f t="shared" si="60"/>
        <v>8</v>
      </c>
      <c r="H1536">
        <f t="shared" si="61"/>
        <v>2019</v>
      </c>
    </row>
    <row r="1537" spans="5:8" x14ac:dyDescent="0.25">
      <c r="E1537" s="2">
        <v>43705</v>
      </c>
      <c r="F1537">
        <v>199.75</v>
      </c>
      <c r="G1537">
        <f t="shared" si="60"/>
        <v>8</v>
      </c>
      <c r="H1537">
        <f t="shared" si="61"/>
        <v>2019</v>
      </c>
    </row>
    <row r="1538" spans="5:8" x14ac:dyDescent="0.25">
      <c r="E1538" s="2">
        <v>43706</v>
      </c>
      <c r="F1538">
        <v>199</v>
      </c>
      <c r="G1538">
        <f t="shared" si="60"/>
        <v>8</v>
      </c>
      <c r="H1538">
        <f t="shared" si="61"/>
        <v>2019</v>
      </c>
    </row>
    <row r="1539" spans="5:8" x14ac:dyDescent="0.25">
      <c r="E1539" s="2">
        <v>43707</v>
      </c>
      <c r="F1539">
        <v>199</v>
      </c>
      <c r="G1539">
        <f t="shared" si="60"/>
        <v>8</v>
      </c>
      <c r="H1539">
        <f t="shared" si="61"/>
        <v>2019</v>
      </c>
    </row>
    <row r="1540" spans="5:8" x14ac:dyDescent="0.25">
      <c r="E1540" s="2">
        <v>43711</v>
      </c>
      <c r="F1540">
        <v>199.5</v>
      </c>
      <c r="G1540">
        <f t="shared" si="60"/>
        <v>9</v>
      </c>
      <c r="H1540">
        <f t="shared" si="61"/>
        <v>2019</v>
      </c>
    </row>
    <row r="1541" spans="5:8" x14ac:dyDescent="0.25">
      <c r="E1541" s="2">
        <v>43712</v>
      </c>
      <c r="F1541">
        <v>197.5</v>
      </c>
      <c r="G1541">
        <f t="shared" ref="G1541:G1604" si="62">MONTH(E1541)</f>
        <v>9</v>
      </c>
      <c r="H1541">
        <f t="shared" ref="H1541:H1604" si="63">YEAR(E1541)</f>
        <v>2019</v>
      </c>
    </row>
    <row r="1542" spans="5:8" x14ac:dyDescent="0.25">
      <c r="E1542" s="2">
        <v>43713</v>
      </c>
      <c r="F1542">
        <v>199</v>
      </c>
      <c r="G1542">
        <f t="shared" si="62"/>
        <v>9</v>
      </c>
      <c r="H1542">
        <f t="shared" si="63"/>
        <v>2019</v>
      </c>
    </row>
    <row r="1543" spans="5:8" x14ac:dyDescent="0.25">
      <c r="E1543" s="2">
        <v>43714</v>
      </c>
      <c r="F1543">
        <v>199</v>
      </c>
      <c r="G1543">
        <f t="shared" si="62"/>
        <v>9</v>
      </c>
      <c r="H1543">
        <f t="shared" si="63"/>
        <v>2019</v>
      </c>
    </row>
    <row r="1544" spans="5:8" x14ac:dyDescent="0.25">
      <c r="E1544" s="2">
        <v>43717</v>
      </c>
      <c r="F1544">
        <v>199</v>
      </c>
      <c r="G1544">
        <f t="shared" si="62"/>
        <v>9</v>
      </c>
      <c r="H1544">
        <f t="shared" si="63"/>
        <v>2019</v>
      </c>
    </row>
    <row r="1545" spans="5:8" x14ac:dyDescent="0.25">
      <c r="E1545" s="2">
        <v>43718</v>
      </c>
      <c r="F1545">
        <v>199.5</v>
      </c>
      <c r="G1545">
        <f t="shared" si="62"/>
        <v>9</v>
      </c>
      <c r="H1545">
        <f t="shared" si="63"/>
        <v>2019</v>
      </c>
    </row>
    <row r="1546" spans="5:8" x14ac:dyDescent="0.25">
      <c r="E1546" s="2">
        <v>43719</v>
      </c>
      <c r="F1546">
        <v>200.5</v>
      </c>
      <c r="G1546">
        <f t="shared" si="62"/>
        <v>9</v>
      </c>
      <c r="H1546">
        <f t="shared" si="63"/>
        <v>2019</v>
      </c>
    </row>
    <row r="1547" spans="5:8" x14ac:dyDescent="0.25">
      <c r="E1547" s="2">
        <v>43720</v>
      </c>
      <c r="F1547">
        <v>200</v>
      </c>
      <c r="G1547">
        <f t="shared" si="62"/>
        <v>9</v>
      </c>
      <c r="H1547">
        <f t="shared" si="63"/>
        <v>2019</v>
      </c>
    </row>
    <row r="1548" spans="5:8" x14ac:dyDescent="0.25">
      <c r="E1548" s="2">
        <v>43721</v>
      </c>
      <c r="F1548">
        <v>201.25</v>
      </c>
      <c r="G1548">
        <f t="shared" si="62"/>
        <v>9</v>
      </c>
      <c r="H1548">
        <f t="shared" si="63"/>
        <v>2019</v>
      </c>
    </row>
    <row r="1549" spans="5:8" x14ac:dyDescent="0.25">
      <c r="E1549" s="2">
        <v>43724</v>
      </c>
      <c r="F1549">
        <v>201.5</v>
      </c>
      <c r="G1549">
        <f t="shared" si="62"/>
        <v>9</v>
      </c>
      <c r="H1549">
        <f t="shared" si="63"/>
        <v>2019</v>
      </c>
    </row>
    <row r="1550" spans="5:8" x14ac:dyDescent="0.25">
      <c r="E1550" s="2">
        <v>43725</v>
      </c>
      <c r="F1550">
        <v>199.75</v>
      </c>
      <c r="G1550">
        <f t="shared" si="62"/>
        <v>9</v>
      </c>
      <c r="H1550">
        <f t="shared" si="63"/>
        <v>2019</v>
      </c>
    </row>
    <row r="1551" spans="5:8" x14ac:dyDescent="0.25">
      <c r="E1551" s="2">
        <v>43726</v>
      </c>
      <c r="F1551">
        <v>200.5</v>
      </c>
      <c r="G1551">
        <f t="shared" si="62"/>
        <v>9</v>
      </c>
      <c r="H1551">
        <f t="shared" si="63"/>
        <v>2019</v>
      </c>
    </row>
    <row r="1552" spans="5:8" x14ac:dyDescent="0.25">
      <c r="E1552" s="2">
        <v>43727</v>
      </c>
      <c r="F1552">
        <v>199.25</v>
      </c>
      <c r="G1552">
        <f t="shared" si="62"/>
        <v>9</v>
      </c>
      <c r="H1552">
        <f t="shared" si="63"/>
        <v>2019</v>
      </c>
    </row>
    <row r="1553" spans="5:8" x14ac:dyDescent="0.25">
      <c r="E1553" s="2">
        <v>43728</v>
      </c>
      <c r="F1553">
        <v>199.5</v>
      </c>
      <c r="G1553">
        <f t="shared" si="62"/>
        <v>9</v>
      </c>
      <c r="H1553">
        <f t="shared" si="63"/>
        <v>2019</v>
      </c>
    </row>
    <row r="1554" spans="5:8" x14ac:dyDescent="0.25">
      <c r="E1554" s="2">
        <v>43731</v>
      </c>
      <c r="F1554">
        <v>199.5</v>
      </c>
      <c r="G1554">
        <f t="shared" si="62"/>
        <v>9</v>
      </c>
      <c r="H1554">
        <f t="shared" si="63"/>
        <v>2019</v>
      </c>
    </row>
    <row r="1555" spans="5:8" x14ac:dyDescent="0.25">
      <c r="E1555" s="2">
        <v>43732</v>
      </c>
      <c r="F1555">
        <v>200.13</v>
      </c>
      <c r="G1555">
        <f t="shared" si="62"/>
        <v>9</v>
      </c>
      <c r="H1555">
        <f t="shared" si="63"/>
        <v>2019</v>
      </c>
    </row>
    <row r="1556" spans="5:8" x14ac:dyDescent="0.25">
      <c r="E1556" s="2">
        <v>43733</v>
      </c>
      <c r="F1556">
        <v>200.13</v>
      </c>
      <c r="G1556">
        <f t="shared" si="62"/>
        <v>9</v>
      </c>
      <c r="H1556">
        <f t="shared" si="63"/>
        <v>2019</v>
      </c>
    </row>
    <row r="1557" spans="5:8" x14ac:dyDescent="0.25">
      <c r="E1557" s="2">
        <v>43734</v>
      </c>
      <c r="F1557">
        <v>200.13</v>
      </c>
      <c r="G1557">
        <f t="shared" si="62"/>
        <v>9</v>
      </c>
      <c r="H1557">
        <f t="shared" si="63"/>
        <v>2019</v>
      </c>
    </row>
    <row r="1558" spans="5:8" x14ac:dyDescent="0.25">
      <c r="E1558" s="2">
        <v>43735</v>
      </c>
      <c r="F1558">
        <v>197.5</v>
      </c>
      <c r="G1558">
        <f t="shared" si="62"/>
        <v>9</v>
      </c>
      <c r="H1558">
        <f t="shared" si="63"/>
        <v>2019</v>
      </c>
    </row>
    <row r="1559" spans="5:8" x14ac:dyDescent="0.25">
      <c r="E1559" s="2">
        <v>43738</v>
      </c>
      <c r="F1559">
        <v>199</v>
      </c>
      <c r="G1559">
        <f t="shared" si="62"/>
        <v>9</v>
      </c>
      <c r="H1559">
        <f t="shared" si="63"/>
        <v>2019</v>
      </c>
    </row>
    <row r="1560" spans="5:8" x14ac:dyDescent="0.25">
      <c r="E1560" s="2">
        <v>43739</v>
      </c>
      <c r="F1560">
        <v>199.5</v>
      </c>
      <c r="G1560">
        <f t="shared" si="62"/>
        <v>10</v>
      </c>
      <c r="H1560">
        <f t="shared" si="63"/>
        <v>2019</v>
      </c>
    </row>
    <row r="1561" spans="5:8" x14ac:dyDescent="0.25">
      <c r="E1561" s="2">
        <v>43740</v>
      </c>
      <c r="F1561">
        <v>199.5</v>
      </c>
      <c r="G1561">
        <f t="shared" si="62"/>
        <v>10</v>
      </c>
      <c r="H1561">
        <f t="shared" si="63"/>
        <v>2019</v>
      </c>
    </row>
    <row r="1562" spans="5:8" x14ac:dyDescent="0.25">
      <c r="E1562" s="2">
        <v>43741</v>
      </c>
      <c r="F1562">
        <v>199.5</v>
      </c>
      <c r="G1562">
        <f t="shared" si="62"/>
        <v>10</v>
      </c>
      <c r="H1562">
        <f t="shared" si="63"/>
        <v>2019</v>
      </c>
    </row>
    <row r="1563" spans="5:8" x14ac:dyDescent="0.25">
      <c r="E1563" s="2">
        <v>43742</v>
      </c>
      <c r="F1563">
        <v>199.5</v>
      </c>
      <c r="G1563">
        <f t="shared" si="62"/>
        <v>10</v>
      </c>
      <c r="H1563">
        <f t="shared" si="63"/>
        <v>2019</v>
      </c>
    </row>
    <row r="1564" spans="5:8" x14ac:dyDescent="0.25">
      <c r="E1564" s="2">
        <v>43745</v>
      </c>
      <c r="F1564">
        <v>199.5</v>
      </c>
      <c r="G1564">
        <f t="shared" si="62"/>
        <v>10</v>
      </c>
      <c r="H1564">
        <f t="shared" si="63"/>
        <v>2019</v>
      </c>
    </row>
    <row r="1565" spans="5:8" x14ac:dyDescent="0.25">
      <c r="E1565" s="2">
        <v>43746</v>
      </c>
      <c r="F1565">
        <v>201</v>
      </c>
      <c r="G1565">
        <f t="shared" si="62"/>
        <v>10</v>
      </c>
      <c r="H1565">
        <f t="shared" si="63"/>
        <v>2019</v>
      </c>
    </row>
    <row r="1566" spans="5:8" x14ac:dyDescent="0.25">
      <c r="E1566" s="2">
        <v>43747</v>
      </c>
      <c r="F1566">
        <v>201</v>
      </c>
      <c r="G1566">
        <f t="shared" si="62"/>
        <v>10</v>
      </c>
      <c r="H1566">
        <f t="shared" si="63"/>
        <v>2019</v>
      </c>
    </row>
    <row r="1567" spans="5:8" x14ac:dyDescent="0.25">
      <c r="E1567" s="2">
        <v>43748</v>
      </c>
      <c r="F1567">
        <v>202</v>
      </c>
      <c r="G1567">
        <f t="shared" si="62"/>
        <v>10</v>
      </c>
      <c r="H1567">
        <f t="shared" si="63"/>
        <v>2019</v>
      </c>
    </row>
    <row r="1568" spans="5:8" x14ac:dyDescent="0.25">
      <c r="E1568" s="2">
        <v>43749</v>
      </c>
      <c r="F1568">
        <v>201</v>
      </c>
      <c r="G1568">
        <f t="shared" si="62"/>
        <v>10</v>
      </c>
      <c r="H1568">
        <f t="shared" si="63"/>
        <v>2019</v>
      </c>
    </row>
    <row r="1569" spans="5:8" x14ac:dyDescent="0.25">
      <c r="E1569" s="2">
        <v>43752</v>
      </c>
      <c r="F1569">
        <v>201</v>
      </c>
      <c r="G1569">
        <f t="shared" si="62"/>
        <v>10</v>
      </c>
      <c r="H1569">
        <f t="shared" si="63"/>
        <v>2019</v>
      </c>
    </row>
    <row r="1570" spans="5:8" x14ac:dyDescent="0.25">
      <c r="E1570" s="2">
        <v>43753</v>
      </c>
      <c r="F1570">
        <v>203</v>
      </c>
      <c r="G1570">
        <f t="shared" si="62"/>
        <v>10</v>
      </c>
      <c r="H1570">
        <f t="shared" si="63"/>
        <v>2019</v>
      </c>
    </row>
    <row r="1571" spans="5:8" x14ac:dyDescent="0.25">
      <c r="E1571" s="2">
        <v>43754</v>
      </c>
      <c r="F1571">
        <v>201.25</v>
      </c>
      <c r="G1571">
        <f t="shared" si="62"/>
        <v>10</v>
      </c>
      <c r="H1571">
        <f t="shared" si="63"/>
        <v>2019</v>
      </c>
    </row>
    <row r="1572" spans="5:8" x14ac:dyDescent="0.25">
      <c r="E1572" s="2">
        <v>43755</v>
      </c>
      <c r="F1572">
        <v>205</v>
      </c>
      <c r="G1572">
        <f t="shared" si="62"/>
        <v>10</v>
      </c>
      <c r="H1572">
        <f t="shared" si="63"/>
        <v>2019</v>
      </c>
    </row>
    <row r="1573" spans="5:8" x14ac:dyDescent="0.25">
      <c r="E1573" s="2">
        <v>43756</v>
      </c>
      <c r="F1573">
        <v>203.5</v>
      </c>
      <c r="G1573">
        <f t="shared" si="62"/>
        <v>10</v>
      </c>
      <c r="H1573">
        <f t="shared" si="63"/>
        <v>2019</v>
      </c>
    </row>
    <row r="1574" spans="5:8" x14ac:dyDescent="0.25">
      <c r="E1574" s="2">
        <v>43759</v>
      </c>
      <c r="F1574">
        <v>203.5</v>
      </c>
      <c r="G1574">
        <f t="shared" si="62"/>
        <v>10</v>
      </c>
      <c r="H1574">
        <f t="shared" si="63"/>
        <v>2019</v>
      </c>
    </row>
    <row r="1575" spans="5:8" x14ac:dyDescent="0.25">
      <c r="E1575" s="2">
        <v>43760</v>
      </c>
      <c r="F1575">
        <v>204.5</v>
      </c>
      <c r="G1575">
        <f t="shared" si="62"/>
        <v>10</v>
      </c>
      <c r="H1575">
        <f t="shared" si="63"/>
        <v>2019</v>
      </c>
    </row>
    <row r="1576" spans="5:8" x14ac:dyDescent="0.25">
      <c r="E1576" s="2">
        <v>43761</v>
      </c>
      <c r="F1576">
        <v>204</v>
      </c>
      <c r="G1576">
        <f t="shared" si="62"/>
        <v>10</v>
      </c>
      <c r="H1576">
        <f t="shared" si="63"/>
        <v>2019</v>
      </c>
    </row>
    <row r="1577" spans="5:8" x14ac:dyDescent="0.25">
      <c r="E1577" s="2">
        <v>43762</v>
      </c>
      <c r="F1577">
        <v>204</v>
      </c>
      <c r="G1577">
        <f t="shared" si="62"/>
        <v>10</v>
      </c>
      <c r="H1577">
        <f t="shared" si="63"/>
        <v>2019</v>
      </c>
    </row>
    <row r="1578" spans="5:8" x14ac:dyDescent="0.25">
      <c r="E1578" s="2">
        <v>43763</v>
      </c>
      <c r="F1578">
        <v>204.5</v>
      </c>
      <c r="G1578">
        <f t="shared" si="62"/>
        <v>10</v>
      </c>
      <c r="H1578">
        <f t="shared" si="63"/>
        <v>2019</v>
      </c>
    </row>
    <row r="1579" spans="5:8" x14ac:dyDescent="0.25">
      <c r="E1579" s="2">
        <v>43766</v>
      </c>
      <c r="F1579">
        <v>208.5</v>
      </c>
      <c r="G1579">
        <f t="shared" si="62"/>
        <v>10</v>
      </c>
      <c r="H1579">
        <f t="shared" si="63"/>
        <v>2019</v>
      </c>
    </row>
    <row r="1580" spans="5:8" x14ac:dyDescent="0.25">
      <c r="E1580" s="2">
        <v>43767</v>
      </c>
      <c r="F1580">
        <v>208.5</v>
      </c>
      <c r="G1580">
        <f t="shared" si="62"/>
        <v>10</v>
      </c>
      <c r="H1580">
        <f t="shared" si="63"/>
        <v>2019</v>
      </c>
    </row>
    <row r="1581" spans="5:8" x14ac:dyDescent="0.25">
      <c r="E1581" s="2">
        <v>43768</v>
      </c>
      <c r="F1581">
        <v>208.5</v>
      </c>
      <c r="G1581">
        <f t="shared" si="62"/>
        <v>10</v>
      </c>
      <c r="H1581">
        <f t="shared" si="63"/>
        <v>2019</v>
      </c>
    </row>
    <row r="1582" spans="5:8" x14ac:dyDescent="0.25">
      <c r="E1582" s="2">
        <v>43769</v>
      </c>
      <c r="F1582">
        <v>205</v>
      </c>
      <c r="G1582">
        <f t="shared" si="62"/>
        <v>10</v>
      </c>
      <c r="H1582">
        <f t="shared" si="63"/>
        <v>2019</v>
      </c>
    </row>
    <row r="1583" spans="5:8" x14ac:dyDescent="0.25">
      <c r="E1583" s="2">
        <v>43770</v>
      </c>
      <c r="F1583">
        <v>207.5</v>
      </c>
      <c r="G1583">
        <f t="shared" si="62"/>
        <v>11</v>
      </c>
      <c r="H1583">
        <f t="shared" si="63"/>
        <v>2019</v>
      </c>
    </row>
    <row r="1584" spans="5:8" x14ac:dyDescent="0.25">
      <c r="E1584" s="2">
        <v>43773</v>
      </c>
      <c r="F1584">
        <v>206.5</v>
      </c>
      <c r="G1584">
        <f t="shared" si="62"/>
        <v>11</v>
      </c>
      <c r="H1584">
        <f t="shared" si="63"/>
        <v>2019</v>
      </c>
    </row>
    <row r="1585" spans="5:8" x14ac:dyDescent="0.25">
      <c r="E1585" s="2">
        <v>43774</v>
      </c>
      <c r="F1585">
        <v>206.5</v>
      </c>
      <c r="G1585">
        <f t="shared" si="62"/>
        <v>11</v>
      </c>
      <c r="H1585">
        <f t="shared" si="63"/>
        <v>2019</v>
      </c>
    </row>
    <row r="1586" spans="5:8" x14ac:dyDescent="0.25">
      <c r="E1586" s="2">
        <v>43775</v>
      </c>
      <c r="F1586">
        <v>207</v>
      </c>
      <c r="G1586">
        <f t="shared" si="62"/>
        <v>11</v>
      </c>
      <c r="H1586">
        <f t="shared" si="63"/>
        <v>2019</v>
      </c>
    </row>
    <row r="1587" spans="5:8" x14ac:dyDescent="0.25">
      <c r="E1587" s="2">
        <v>43776</v>
      </c>
      <c r="F1587">
        <v>208</v>
      </c>
      <c r="G1587">
        <f t="shared" si="62"/>
        <v>11</v>
      </c>
      <c r="H1587">
        <f t="shared" si="63"/>
        <v>2019</v>
      </c>
    </row>
    <row r="1588" spans="5:8" x14ac:dyDescent="0.25">
      <c r="E1588" s="2">
        <v>43777</v>
      </c>
      <c r="F1588">
        <v>209</v>
      </c>
      <c r="G1588">
        <f t="shared" si="62"/>
        <v>11</v>
      </c>
      <c r="H1588">
        <f t="shared" si="63"/>
        <v>2019</v>
      </c>
    </row>
    <row r="1589" spans="5:8" x14ac:dyDescent="0.25">
      <c r="E1589" s="2">
        <v>43780</v>
      </c>
      <c r="F1589">
        <v>209</v>
      </c>
      <c r="G1589">
        <f t="shared" si="62"/>
        <v>11</v>
      </c>
      <c r="H1589">
        <f t="shared" si="63"/>
        <v>2019</v>
      </c>
    </row>
    <row r="1590" spans="5:8" x14ac:dyDescent="0.25">
      <c r="E1590" s="2">
        <v>43781</v>
      </c>
      <c r="F1590">
        <v>208.5</v>
      </c>
      <c r="G1590">
        <f t="shared" si="62"/>
        <v>11</v>
      </c>
      <c r="H1590">
        <f t="shared" si="63"/>
        <v>2019</v>
      </c>
    </row>
    <row r="1591" spans="5:8" x14ac:dyDescent="0.25">
      <c r="E1591" s="2">
        <v>43782</v>
      </c>
      <c r="F1591">
        <v>208.75</v>
      </c>
      <c r="G1591">
        <f t="shared" si="62"/>
        <v>11</v>
      </c>
      <c r="H1591">
        <f t="shared" si="63"/>
        <v>2019</v>
      </c>
    </row>
    <row r="1592" spans="5:8" x14ac:dyDescent="0.25">
      <c r="E1592" s="2">
        <v>43783</v>
      </c>
      <c r="F1592">
        <v>209</v>
      </c>
      <c r="G1592">
        <f t="shared" si="62"/>
        <v>11</v>
      </c>
      <c r="H1592">
        <f t="shared" si="63"/>
        <v>2019</v>
      </c>
    </row>
    <row r="1593" spans="5:8" x14ac:dyDescent="0.25">
      <c r="E1593" s="2">
        <v>43784</v>
      </c>
      <c r="F1593">
        <v>209</v>
      </c>
      <c r="G1593">
        <f t="shared" si="62"/>
        <v>11</v>
      </c>
      <c r="H1593">
        <f t="shared" si="63"/>
        <v>2019</v>
      </c>
    </row>
    <row r="1594" spans="5:8" x14ac:dyDescent="0.25">
      <c r="E1594" s="2">
        <v>43787</v>
      </c>
      <c r="F1594">
        <v>208</v>
      </c>
      <c r="G1594">
        <f t="shared" si="62"/>
        <v>11</v>
      </c>
      <c r="H1594">
        <f t="shared" si="63"/>
        <v>2019</v>
      </c>
    </row>
    <row r="1595" spans="5:8" x14ac:dyDescent="0.25">
      <c r="E1595" s="2">
        <v>43788</v>
      </c>
      <c r="F1595">
        <v>208</v>
      </c>
      <c r="G1595">
        <f t="shared" si="62"/>
        <v>11</v>
      </c>
      <c r="H1595">
        <f t="shared" si="63"/>
        <v>2019</v>
      </c>
    </row>
    <row r="1596" spans="5:8" x14ac:dyDescent="0.25">
      <c r="E1596" s="2">
        <v>43789</v>
      </c>
      <c r="F1596">
        <v>208</v>
      </c>
      <c r="G1596">
        <f t="shared" si="62"/>
        <v>11</v>
      </c>
      <c r="H1596">
        <f t="shared" si="63"/>
        <v>2019</v>
      </c>
    </row>
    <row r="1597" spans="5:8" x14ac:dyDescent="0.25">
      <c r="E1597" s="2">
        <v>43790</v>
      </c>
      <c r="F1597">
        <v>208</v>
      </c>
      <c r="G1597">
        <f t="shared" si="62"/>
        <v>11</v>
      </c>
      <c r="H1597">
        <f t="shared" si="63"/>
        <v>2019</v>
      </c>
    </row>
    <row r="1598" spans="5:8" x14ac:dyDescent="0.25">
      <c r="E1598" s="2">
        <v>43791</v>
      </c>
      <c r="F1598">
        <v>208</v>
      </c>
      <c r="G1598">
        <f t="shared" si="62"/>
        <v>11</v>
      </c>
      <c r="H1598">
        <f t="shared" si="63"/>
        <v>2019</v>
      </c>
    </row>
    <row r="1599" spans="5:8" x14ac:dyDescent="0.25">
      <c r="E1599" s="2">
        <v>43794</v>
      </c>
      <c r="F1599">
        <v>207.5</v>
      </c>
      <c r="G1599">
        <f t="shared" si="62"/>
        <v>11</v>
      </c>
      <c r="H1599">
        <f t="shared" si="63"/>
        <v>2019</v>
      </c>
    </row>
    <row r="1600" spans="5:8" x14ac:dyDescent="0.25">
      <c r="E1600" s="2">
        <v>43795</v>
      </c>
      <c r="F1600">
        <v>207.5</v>
      </c>
      <c r="G1600">
        <f t="shared" si="62"/>
        <v>11</v>
      </c>
      <c r="H1600">
        <f t="shared" si="63"/>
        <v>2019</v>
      </c>
    </row>
    <row r="1601" spans="5:8" x14ac:dyDescent="0.25">
      <c r="E1601" s="2">
        <v>43796</v>
      </c>
      <c r="F1601">
        <v>206</v>
      </c>
      <c r="G1601">
        <f t="shared" si="62"/>
        <v>11</v>
      </c>
      <c r="H1601">
        <f t="shared" si="63"/>
        <v>2019</v>
      </c>
    </row>
    <row r="1602" spans="5:8" x14ac:dyDescent="0.25">
      <c r="E1602" s="2">
        <v>43801</v>
      </c>
      <c r="F1602">
        <v>206</v>
      </c>
      <c r="G1602">
        <f t="shared" si="62"/>
        <v>12</v>
      </c>
      <c r="H1602">
        <f t="shared" si="63"/>
        <v>2019</v>
      </c>
    </row>
    <row r="1603" spans="5:8" x14ac:dyDescent="0.25">
      <c r="E1603" s="2">
        <v>43802</v>
      </c>
      <c r="F1603">
        <v>207</v>
      </c>
      <c r="G1603">
        <f t="shared" si="62"/>
        <v>12</v>
      </c>
      <c r="H1603">
        <f t="shared" si="63"/>
        <v>2019</v>
      </c>
    </row>
    <row r="1604" spans="5:8" x14ac:dyDescent="0.25">
      <c r="E1604" s="2">
        <v>43803</v>
      </c>
      <c r="F1604">
        <v>207</v>
      </c>
      <c r="G1604">
        <f t="shared" si="62"/>
        <v>12</v>
      </c>
      <c r="H1604">
        <f t="shared" si="63"/>
        <v>2019</v>
      </c>
    </row>
    <row r="1605" spans="5:8" x14ac:dyDescent="0.25">
      <c r="E1605" s="2">
        <v>43804</v>
      </c>
      <c r="F1605">
        <v>207.5</v>
      </c>
      <c r="G1605">
        <f t="shared" ref="G1605:G1668" si="64">MONTH(E1605)</f>
        <v>12</v>
      </c>
      <c r="H1605">
        <f t="shared" ref="H1605:H1668" si="65">YEAR(E1605)</f>
        <v>2019</v>
      </c>
    </row>
    <row r="1606" spans="5:8" x14ac:dyDescent="0.25">
      <c r="E1606" s="2">
        <v>43805</v>
      </c>
      <c r="F1606">
        <v>207.5</v>
      </c>
      <c r="G1606">
        <f t="shared" si="64"/>
        <v>12</v>
      </c>
      <c r="H1606">
        <f t="shared" si="65"/>
        <v>2019</v>
      </c>
    </row>
    <row r="1607" spans="5:8" x14ac:dyDescent="0.25">
      <c r="E1607" s="2">
        <v>43808</v>
      </c>
      <c r="F1607">
        <v>207.75</v>
      </c>
      <c r="G1607">
        <f t="shared" si="64"/>
        <v>12</v>
      </c>
      <c r="H1607">
        <f t="shared" si="65"/>
        <v>2019</v>
      </c>
    </row>
    <row r="1608" spans="5:8" x14ac:dyDescent="0.25">
      <c r="E1608" s="2">
        <v>43809</v>
      </c>
      <c r="F1608">
        <v>207.25</v>
      </c>
      <c r="G1608">
        <f t="shared" si="64"/>
        <v>12</v>
      </c>
      <c r="H1608">
        <f t="shared" si="65"/>
        <v>2019</v>
      </c>
    </row>
    <row r="1609" spans="5:8" x14ac:dyDescent="0.25">
      <c r="E1609" s="2">
        <v>43810</v>
      </c>
      <c r="F1609">
        <v>207.25</v>
      </c>
      <c r="G1609">
        <f t="shared" si="64"/>
        <v>12</v>
      </c>
      <c r="H1609">
        <f t="shared" si="65"/>
        <v>2019</v>
      </c>
    </row>
    <row r="1610" spans="5:8" x14ac:dyDescent="0.25">
      <c r="E1610" s="2">
        <v>43811</v>
      </c>
      <c r="F1610">
        <v>207.25</v>
      </c>
      <c r="G1610">
        <f t="shared" si="64"/>
        <v>12</v>
      </c>
      <c r="H1610">
        <f t="shared" si="65"/>
        <v>2019</v>
      </c>
    </row>
    <row r="1611" spans="5:8" x14ac:dyDescent="0.25">
      <c r="E1611" s="2">
        <v>43812</v>
      </c>
      <c r="F1611">
        <v>207.25</v>
      </c>
      <c r="G1611">
        <f t="shared" si="64"/>
        <v>12</v>
      </c>
      <c r="H1611">
        <f t="shared" si="65"/>
        <v>2019</v>
      </c>
    </row>
    <row r="1612" spans="5:8" x14ac:dyDescent="0.25">
      <c r="E1612" s="2">
        <v>43815</v>
      </c>
      <c r="F1612">
        <v>206.25</v>
      </c>
      <c r="G1612">
        <f t="shared" si="64"/>
        <v>12</v>
      </c>
      <c r="H1612">
        <f t="shared" si="65"/>
        <v>2019</v>
      </c>
    </row>
    <row r="1613" spans="5:8" x14ac:dyDescent="0.25">
      <c r="E1613" s="2">
        <v>43816</v>
      </c>
      <c r="F1613">
        <v>206</v>
      </c>
      <c r="G1613">
        <f t="shared" si="64"/>
        <v>12</v>
      </c>
      <c r="H1613">
        <f t="shared" si="65"/>
        <v>2019</v>
      </c>
    </row>
    <row r="1614" spans="5:8" x14ac:dyDescent="0.25">
      <c r="E1614" s="2">
        <v>43817</v>
      </c>
      <c r="F1614">
        <v>206.25</v>
      </c>
      <c r="G1614">
        <f t="shared" si="64"/>
        <v>12</v>
      </c>
      <c r="H1614">
        <f t="shared" si="65"/>
        <v>2019</v>
      </c>
    </row>
    <row r="1615" spans="5:8" x14ac:dyDescent="0.25">
      <c r="E1615" s="2">
        <v>43818</v>
      </c>
      <c r="F1615">
        <v>206</v>
      </c>
      <c r="G1615">
        <f t="shared" si="64"/>
        <v>12</v>
      </c>
      <c r="H1615">
        <f t="shared" si="65"/>
        <v>2019</v>
      </c>
    </row>
    <row r="1616" spans="5:8" x14ac:dyDescent="0.25">
      <c r="E1616" s="2">
        <v>43819</v>
      </c>
      <c r="F1616">
        <v>203.5</v>
      </c>
      <c r="G1616">
        <f t="shared" si="64"/>
        <v>12</v>
      </c>
      <c r="H1616">
        <f t="shared" si="65"/>
        <v>2019</v>
      </c>
    </row>
    <row r="1617" spans="5:8" x14ac:dyDescent="0.25">
      <c r="E1617" s="2">
        <v>43822</v>
      </c>
      <c r="F1617">
        <v>206</v>
      </c>
      <c r="G1617">
        <f t="shared" si="64"/>
        <v>12</v>
      </c>
      <c r="H1617">
        <f t="shared" si="65"/>
        <v>2019</v>
      </c>
    </row>
    <row r="1618" spans="5:8" x14ac:dyDescent="0.25">
      <c r="E1618" s="2">
        <v>43823</v>
      </c>
      <c r="F1618">
        <v>206</v>
      </c>
      <c r="G1618">
        <f t="shared" si="64"/>
        <v>12</v>
      </c>
      <c r="H1618">
        <f t="shared" si="65"/>
        <v>2019</v>
      </c>
    </row>
    <row r="1619" spans="5:8" x14ac:dyDescent="0.25">
      <c r="E1619" s="2">
        <v>43825</v>
      </c>
      <c r="F1619">
        <v>206</v>
      </c>
      <c r="G1619">
        <f t="shared" si="64"/>
        <v>12</v>
      </c>
      <c r="H1619">
        <f t="shared" si="65"/>
        <v>2019</v>
      </c>
    </row>
    <row r="1620" spans="5:8" x14ac:dyDescent="0.25">
      <c r="E1620" s="2">
        <v>43826</v>
      </c>
      <c r="F1620">
        <v>206</v>
      </c>
      <c r="G1620">
        <f t="shared" si="64"/>
        <v>12</v>
      </c>
      <c r="H1620">
        <f t="shared" si="65"/>
        <v>2019</v>
      </c>
    </row>
    <row r="1621" spans="5:8" x14ac:dyDescent="0.25">
      <c r="E1621" s="2">
        <v>43829</v>
      </c>
      <c r="F1621">
        <v>206</v>
      </c>
      <c r="G1621">
        <f t="shared" si="64"/>
        <v>12</v>
      </c>
      <c r="H1621">
        <f t="shared" si="65"/>
        <v>2019</v>
      </c>
    </row>
    <row r="1622" spans="5:8" x14ac:dyDescent="0.25">
      <c r="E1622" s="2">
        <v>43830</v>
      </c>
      <c r="F1622">
        <v>206</v>
      </c>
      <c r="G1622">
        <f t="shared" si="64"/>
        <v>12</v>
      </c>
      <c r="H1622">
        <f t="shared" si="65"/>
        <v>2019</v>
      </c>
    </row>
    <row r="1623" spans="5:8" x14ac:dyDescent="0.25">
      <c r="E1623" s="2">
        <v>43832</v>
      </c>
      <c r="F1623">
        <v>205</v>
      </c>
      <c r="G1623">
        <f t="shared" si="64"/>
        <v>1</v>
      </c>
      <c r="H1623">
        <f t="shared" si="65"/>
        <v>2020</v>
      </c>
    </row>
    <row r="1624" spans="5:8" x14ac:dyDescent="0.25">
      <c r="E1624" s="2">
        <v>43833</v>
      </c>
      <c r="F1624">
        <v>206</v>
      </c>
      <c r="G1624">
        <f t="shared" si="64"/>
        <v>1</v>
      </c>
      <c r="H1624">
        <f t="shared" si="65"/>
        <v>2020</v>
      </c>
    </row>
    <row r="1625" spans="5:8" x14ac:dyDescent="0.25">
      <c r="E1625" s="2">
        <v>43836</v>
      </c>
      <c r="F1625">
        <v>206</v>
      </c>
      <c r="G1625">
        <f t="shared" si="64"/>
        <v>1</v>
      </c>
      <c r="H1625">
        <f t="shared" si="65"/>
        <v>2020</v>
      </c>
    </row>
    <row r="1626" spans="5:8" x14ac:dyDescent="0.25">
      <c r="E1626" s="2">
        <v>43837</v>
      </c>
      <c r="F1626">
        <v>206.5</v>
      </c>
      <c r="G1626">
        <f t="shared" si="64"/>
        <v>1</v>
      </c>
      <c r="H1626">
        <f t="shared" si="65"/>
        <v>2020</v>
      </c>
    </row>
    <row r="1627" spans="5:8" x14ac:dyDescent="0.25">
      <c r="E1627" s="2">
        <v>43838</v>
      </c>
      <c r="F1627">
        <v>206</v>
      </c>
      <c r="G1627">
        <f t="shared" si="64"/>
        <v>1</v>
      </c>
      <c r="H1627">
        <f t="shared" si="65"/>
        <v>2020</v>
      </c>
    </row>
    <row r="1628" spans="5:8" x14ac:dyDescent="0.25">
      <c r="E1628" s="2">
        <v>43839</v>
      </c>
      <c r="F1628">
        <v>206</v>
      </c>
      <c r="G1628">
        <f t="shared" si="64"/>
        <v>1</v>
      </c>
      <c r="H1628">
        <f t="shared" si="65"/>
        <v>2020</v>
      </c>
    </row>
    <row r="1629" spans="5:8" x14ac:dyDescent="0.25">
      <c r="E1629" s="2">
        <v>43840</v>
      </c>
      <c r="F1629">
        <v>206</v>
      </c>
      <c r="G1629">
        <f t="shared" si="64"/>
        <v>1</v>
      </c>
      <c r="H1629">
        <f t="shared" si="65"/>
        <v>2020</v>
      </c>
    </row>
    <row r="1630" spans="5:8" x14ac:dyDescent="0.25">
      <c r="E1630" s="2">
        <v>43843</v>
      </c>
      <c r="F1630">
        <v>206.5</v>
      </c>
      <c r="G1630">
        <f t="shared" si="64"/>
        <v>1</v>
      </c>
      <c r="H1630">
        <f t="shared" si="65"/>
        <v>2020</v>
      </c>
    </row>
    <row r="1631" spans="5:8" x14ac:dyDescent="0.25">
      <c r="E1631" s="2">
        <v>43844</v>
      </c>
      <c r="F1631">
        <v>208.5</v>
      </c>
      <c r="G1631">
        <f t="shared" si="64"/>
        <v>1</v>
      </c>
      <c r="H1631">
        <f t="shared" si="65"/>
        <v>2020</v>
      </c>
    </row>
    <row r="1632" spans="5:8" x14ac:dyDescent="0.25">
      <c r="E1632" s="2">
        <v>43845</v>
      </c>
      <c r="F1632">
        <v>208.5</v>
      </c>
      <c r="G1632">
        <f t="shared" si="64"/>
        <v>1</v>
      </c>
      <c r="H1632">
        <f t="shared" si="65"/>
        <v>2020</v>
      </c>
    </row>
    <row r="1633" spans="5:8" x14ac:dyDescent="0.25">
      <c r="E1633" s="2">
        <v>43846</v>
      </c>
      <c r="F1633">
        <v>208.5</v>
      </c>
      <c r="G1633">
        <f t="shared" si="64"/>
        <v>1</v>
      </c>
      <c r="H1633">
        <f t="shared" si="65"/>
        <v>2020</v>
      </c>
    </row>
    <row r="1634" spans="5:8" x14ac:dyDescent="0.25">
      <c r="E1634" s="2">
        <v>43847</v>
      </c>
      <c r="F1634">
        <v>210</v>
      </c>
      <c r="G1634">
        <f t="shared" si="64"/>
        <v>1</v>
      </c>
      <c r="H1634">
        <f t="shared" si="65"/>
        <v>2020</v>
      </c>
    </row>
    <row r="1635" spans="5:8" x14ac:dyDescent="0.25">
      <c r="E1635" s="2">
        <v>43850</v>
      </c>
      <c r="F1635">
        <v>210</v>
      </c>
      <c r="G1635">
        <f t="shared" si="64"/>
        <v>1</v>
      </c>
      <c r="H1635">
        <f t="shared" si="65"/>
        <v>2020</v>
      </c>
    </row>
    <row r="1636" spans="5:8" x14ac:dyDescent="0.25">
      <c r="E1636" s="2">
        <v>43851</v>
      </c>
      <c r="F1636">
        <v>209.75</v>
      </c>
      <c r="G1636">
        <f t="shared" si="64"/>
        <v>1</v>
      </c>
      <c r="H1636">
        <f t="shared" si="65"/>
        <v>2020</v>
      </c>
    </row>
    <row r="1637" spans="5:8" x14ac:dyDescent="0.25">
      <c r="E1637" s="2">
        <v>43852</v>
      </c>
      <c r="F1637">
        <v>210.5</v>
      </c>
      <c r="G1637">
        <f t="shared" si="64"/>
        <v>1</v>
      </c>
      <c r="H1637">
        <f t="shared" si="65"/>
        <v>2020</v>
      </c>
    </row>
    <row r="1638" spans="5:8" x14ac:dyDescent="0.25">
      <c r="E1638" s="2">
        <v>43853</v>
      </c>
      <c r="F1638">
        <v>210.5</v>
      </c>
      <c r="G1638">
        <f t="shared" si="64"/>
        <v>1</v>
      </c>
      <c r="H1638">
        <f t="shared" si="65"/>
        <v>2020</v>
      </c>
    </row>
    <row r="1639" spans="5:8" x14ac:dyDescent="0.25">
      <c r="E1639" s="2">
        <v>43854</v>
      </c>
      <c r="F1639">
        <v>212</v>
      </c>
      <c r="G1639">
        <f t="shared" si="64"/>
        <v>1</v>
      </c>
      <c r="H1639">
        <f t="shared" si="65"/>
        <v>2020</v>
      </c>
    </row>
    <row r="1640" spans="5:8" x14ac:dyDescent="0.25">
      <c r="E1640" s="2">
        <v>43857</v>
      </c>
      <c r="F1640">
        <v>212.79</v>
      </c>
      <c r="G1640">
        <f t="shared" si="64"/>
        <v>1</v>
      </c>
      <c r="H1640">
        <f t="shared" si="65"/>
        <v>2020</v>
      </c>
    </row>
    <row r="1641" spans="5:8" x14ac:dyDescent="0.25">
      <c r="E1641" s="2">
        <v>43858</v>
      </c>
      <c r="F1641">
        <v>212.79</v>
      </c>
      <c r="G1641">
        <f t="shared" si="64"/>
        <v>1</v>
      </c>
      <c r="H1641">
        <f t="shared" si="65"/>
        <v>2020</v>
      </c>
    </row>
    <row r="1642" spans="5:8" x14ac:dyDescent="0.25">
      <c r="E1642" s="2">
        <v>43859</v>
      </c>
      <c r="F1642">
        <v>213.04</v>
      </c>
      <c r="G1642">
        <f t="shared" si="64"/>
        <v>1</v>
      </c>
      <c r="H1642">
        <f t="shared" si="65"/>
        <v>2020</v>
      </c>
    </row>
    <row r="1643" spans="5:8" x14ac:dyDescent="0.25">
      <c r="E1643" s="2">
        <v>43860</v>
      </c>
      <c r="F1643">
        <v>213.04</v>
      </c>
      <c r="G1643">
        <f t="shared" si="64"/>
        <v>1</v>
      </c>
      <c r="H1643">
        <f t="shared" si="65"/>
        <v>2020</v>
      </c>
    </row>
    <row r="1644" spans="5:8" x14ac:dyDescent="0.25">
      <c r="E1644" s="2">
        <v>43861</v>
      </c>
      <c r="F1644">
        <v>213.04</v>
      </c>
      <c r="G1644">
        <f t="shared" si="64"/>
        <v>1</v>
      </c>
      <c r="H1644">
        <f t="shared" si="65"/>
        <v>2020</v>
      </c>
    </row>
    <row r="1645" spans="5:8" x14ac:dyDescent="0.25">
      <c r="E1645" s="2">
        <v>43864</v>
      </c>
      <c r="F1645">
        <v>216.5</v>
      </c>
      <c r="G1645">
        <f t="shared" si="64"/>
        <v>2</v>
      </c>
      <c r="H1645">
        <f t="shared" si="65"/>
        <v>2020</v>
      </c>
    </row>
    <row r="1646" spans="5:8" x14ac:dyDescent="0.25">
      <c r="E1646" s="2">
        <v>43865</v>
      </c>
      <c r="F1646">
        <v>216.75</v>
      </c>
      <c r="G1646">
        <f t="shared" si="64"/>
        <v>2</v>
      </c>
      <c r="H1646">
        <f t="shared" si="65"/>
        <v>2020</v>
      </c>
    </row>
    <row r="1647" spans="5:8" x14ac:dyDescent="0.25">
      <c r="E1647" s="2">
        <v>43866</v>
      </c>
      <c r="F1647">
        <v>216.75</v>
      </c>
      <c r="G1647">
        <f t="shared" si="64"/>
        <v>2</v>
      </c>
      <c r="H1647">
        <f t="shared" si="65"/>
        <v>2020</v>
      </c>
    </row>
    <row r="1648" spans="5:8" x14ac:dyDescent="0.25">
      <c r="E1648" s="2">
        <v>43867</v>
      </c>
      <c r="F1648">
        <v>216.5</v>
      </c>
      <c r="G1648">
        <f t="shared" si="64"/>
        <v>2</v>
      </c>
      <c r="H1648">
        <f t="shared" si="65"/>
        <v>2020</v>
      </c>
    </row>
    <row r="1649" spans="5:8" x14ac:dyDescent="0.25">
      <c r="E1649" s="2">
        <v>43868</v>
      </c>
      <c r="F1649">
        <v>214.5</v>
      </c>
      <c r="G1649">
        <f t="shared" si="64"/>
        <v>2</v>
      </c>
      <c r="H1649">
        <f t="shared" si="65"/>
        <v>2020</v>
      </c>
    </row>
    <row r="1650" spans="5:8" x14ac:dyDescent="0.25">
      <c r="E1650" s="2">
        <v>43871</v>
      </c>
      <c r="F1650">
        <v>214</v>
      </c>
      <c r="G1650">
        <f t="shared" si="64"/>
        <v>2</v>
      </c>
      <c r="H1650">
        <f t="shared" si="65"/>
        <v>2020</v>
      </c>
    </row>
    <row r="1651" spans="5:8" x14ac:dyDescent="0.25">
      <c r="E1651" s="2">
        <v>43872</v>
      </c>
      <c r="F1651">
        <v>214</v>
      </c>
      <c r="G1651">
        <f t="shared" si="64"/>
        <v>2</v>
      </c>
      <c r="H1651">
        <f t="shared" si="65"/>
        <v>2020</v>
      </c>
    </row>
    <row r="1652" spans="5:8" x14ac:dyDescent="0.25">
      <c r="E1652" s="2">
        <v>43873</v>
      </c>
      <c r="F1652">
        <v>211</v>
      </c>
      <c r="G1652">
        <f t="shared" si="64"/>
        <v>2</v>
      </c>
      <c r="H1652">
        <f t="shared" si="65"/>
        <v>2020</v>
      </c>
    </row>
    <row r="1653" spans="5:8" x14ac:dyDescent="0.25">
      <c r="E1653" s="2">
        <v>43874</v>
      </c>
      <c r="F1653">
        <v>211</v>
      </c>
      <c r="G1653">
        <f t="shared" si="64"/>
        <v>2</v>
      </c>
      <c r="H1653">
        <f t="shared" si="65"/>
        <v>2020</v>
      </c>
    </row>
    <row r="1654" spans="5:8" x14ac:dyDescent="0.25">
      <c r="E1654" s="2">
        <v>43875</v>
      </c>
      <c r="F1654">
        <v>206</v>
      </c>
      <c r="G1654">
        <f t="shared" si="64"/>
        <v>2</v>
      </c>
      <c r="H1654">
        <f t="shared" si="65"/>
        <v>2020</v>
      </c>
    </row>
    <row r="1655" spans="5:8" x14ac:dyDescent="0.25">
      <c r="E1655" s="2">
        <v>43879</v>
      </c>
      <c r="F1655">
        <v>209</v>
      </c>
      <c r="G1655">
        <f t="shared" si="64"/>
        <v>2</v>
      </c>
      <c r="H1655">
        <f t="shared" si="65"/>
        <v>2020</v>
      </c>
    </row>
    <row r="1656" spans="5:8" x14ac:dyDescent="0.25">
      <c r="E1656" s="2">
        <v>43880</v>
      </c>
      <c r="F1656">
        <v>209</v>
      </c>
      <c r="G1656">
        <f t="shared" si="64"/>
        <v>2</v>
      </c>
      <c r="H1656">
        <f t="shared" si="65"/>
        <v>2020</v>
      </c>
    </row>
    <row r="1657" spans="5:8" x14ac:dyDescent="0.25">
      <c r="E1657" s="2">
        <v>43881</v>
      </c>
      <c r="F1657">
        <v>207</v>
      </c>
      <c r="G1657">
        <f t="shared" si="64"/>
        <v>2</v>
      </c>
      <c r="H1657">
        <f t="shared" si="65"/>
        <v>2020</v>
      </c>
    </row>
    <row r="1658" spans="5:8" x14ac:dyDescent="0.25">
      <c r="E1658" s="2">
        <v>43882</v>
      </c>
      <c r="F1658">
        <v>206</v>
      </c>
      <c r="G1658">
        <f t="shared" si="64"/>
        <v>2</v>
      </c>
      <c r="H1658">
        <f t="shared" si="65"/>
        <v>2020</v>
      </c>
    </row>
    <row r="1659" spans="5:8" x14ac:dyDescent="0.25">
      <c r="E1659" s="2">
        <v>43885</v>
      </c>
      <c r="F1659">
        <v>207</v>
      </c>
      <c r="G1659">
        <f t="shared" si="64"/>
        <v>2</v>
      </c>
      <c r="H1659">
        <f t="shared" si="65"/>
        <v>2020</v>
      </c>
    </row>
    <row r="1660" spans="5:8" x14ac:dyDescent="0.25">
      <c r="E1660" s="2">
        <v>43886</v>
      </c>
      <c r="F1660">
        <v>206</v>
      </c>
      <c r="G1660">
        <f t="shared" si="64"/>
        <v>2</v>
      </c>
      <c r="H1660">
        <f t="shared" si="65"/>
        <v>2020</v>
      </c>
    </row>
    <row r="1661" spans="5:8" x14ac:dyDescent="0.25">
      <c r="E1661" s="2">
        <v>43887</v>
      </c>
      <c r="F1661">
        <v>206</v>
      </c>
      <c r="G1661">
        <f t="shared" si="64"/>
        <v>2</v>
      </c>
      <c r="H1661">
        <f t="shared" si="65"/>
        <v>2020</v>
      </c>
    </row>
    <row r="1662" spans="5:8" x14ac:dyDescent="0.25">
      <c r="E1662" s="2">
        <v>43888</v>
      </c>
      <c r="F1662">
        <v>206</v>
      </c>
      <c r="G1662">
        <f t="shared" si="64"/>
        <v>2</v>
      </c>
      <c r="H1662">
        <f t="shared" si="65"/>
        <v>2020</v>
      </c>
    </row>
    <row r="1663" spans="5:8" x14ac:dyDescent="0.25">
      <c r="E1663" s="2">
        <v>43889</v>
      </c>
      <c r="F1663">
        <v>204</v>
      </c>
      <c r="G1663">
        <f t="shared" si="64"/>
        <v>2</v>
      </c>
      <c r="H1663">
        <f t="shared" si="65"/>
        <v>2020</v>
      </c>
    </row>
    <row r="1664" spans="5:8" x14ac:dyDescent="0.25">
      <c r="E1664" s="2">
        <v>43892</v>
      </c>
      <c r="F1664">
        <v>211.25</v>
      </c>
      <c r="G1664">
        <f t="shared" si="64"/>
        <v>3</v>
      </c>
      <c r="H1664">
        <f t="shared" si="65"/>
        <v>2020</v>
      </c>
    </row>
    <row r="1665" spans="5:8" x14ac:dyDescent="0.25">
      <c r="E1665" s="2">
        <v>43893</v>
      </c>
      <c r="F1665">
        <v>211.25</v>
      </c>
      <c r="G1665">
        <f t="shared" si="64"/>
        <v>3</v>
      </c>
      <c r="H1665">
        <f t="shared" si="65"/>
        <v>2020</v>
      </c>
    </row>
    <row r="1666" spans="5:8" x14ac:dyDescent="0.25">
      <c r="E1666" s="2">
        <v>43894</v>
      </c>
      <c r="F1666">
        <v>212</v>
      </c>
      <c r="G1666">
        <f t="shared" si="64"/>
        <v>3</v>
      </c>
      <c r="H1666">
        <f t="shared" si="65"/>
        <v>2020</v>
      </c>
    </row>
    <row r="1667" spans="5:8" x14ac:dyDescent="0.25">
      <c r="E1667" s="2">
        <v>43895</v>
      </c>
      <c r="F1667">
        <v>212</v>
      </c>
      <c r="G1667">
        <f t="shared" si="64"/>
        <v>3</v>
      </c>
      <c r="H1667">
        <f t="shared" si="65"/>
        <v>2020</v>
      </c>
    </row>
    <row r="1668" spans="5:8" x14ac:dyDescent="0.25">
      <c r="E1668" s="2">
        <v>43896</v>
      </c>
      <c r="F1668">
        <v>211.5</v>
      </c>
      <c r="G1668">
        <f t="shared" si="64"/>
        <v>3</v>
      </c>
      <c r="H1668">
        <f t="shared" si="65"/>
        <v>2020</v>
      </c>
    </row>
    <row r="1669" spans="5:8" x14ac:dyDescent="0.25">
      <c r="E1669" s="2">
        <v>43899</v>
      </c>
      <c r="F1669">
        <v>208</v>
      </c>
      <c r="G1669">
        <f t="shared" ref="G1669:G1732" si="66">MONTH(E1669)</f>
        <v>3</v>
      </c>
      <c r="H1669">
        <f t="shared" ref="H1669:H1732" si="67">YEAR(E1669)</f>
        <v>2020</v>
      </c>
    </row>
    <row r="1670" spans="5:8" x14ac:dyDescent="0.25">
      <c r="E1670" s="2">
        <v>43900</v>
      </c>
      <c r="F1670">
        <v>209.5</v>
      </c>
      <c r="G1670">
        <f t="shared" si="66"/>
        <v>3</v>
      </c>
      <c r="H1670">
        <f t="shared" si="67"/>
        <v>2020</v>
      </c>
    </row>
    <row r="1671" spans="5:8" x14ac:dyDescent="0.25">
      <c r="E1671" s="2">
        <v>43901</v>
      </c>
      <c r="F1671">
        <v>208</v>
      </c>
      <c r="G1671">
        <f t="shared" si="66"/>
        <v>3</v>
      </c>
      <c r="H1671">
        <f t="shared" si="67"/>
        <v>2020</v>
      </c>
    </row>
    <row r="1672" spans="5:8" x14ac:dyDescent="0.25">
      <c r="E1672" s="2">
        <v>43902</v>
      </c>
      <c r="F1672">
        <v>207</v>
      </c>
      <c r="G1672">
        <f t="shared" si="66"/>
        <v>3</v>
      </c>
      <c r="H1672">
        <f t="shared" si="67"/>
        <v>2020</v>
      </c>
    </row>
    <row r="1673" spans="5:8" x14ac:dyDescent="0.25">
      <c r="E1673" s="2">
        <v>43903</v>
      </c>
      <c r="F1673">
        <v>207</v>
      </c>
      <c r="G1673">
        <f t="shared" si="66"/>
        <v>3</v>
      </c>
      <c r="H1673">
        <f t="shared" si="67"/>
        <v>2020</v>
      </c>
    </row>
    <row r="1674" spans="5:8" x14ac:dyDescent="0.25">
      <c r="E1674" s="2">
        <v>43906</v>
      </c>
      <c r="F1674">
        <v>202.5</v>
      </c>
      <c r="G1674">
        <f t="shared" si="66"/>
        <v>3</v>
      </c>
      <c r="H1674">
        <f t="shared" si="67"/>
        <v>2020</v>
      </c>
    </row>
    <row r="1675" spans="5:8" x14ac:dyDescent="0.25">
      <c r="E1675" s="2">
        <v>43907</v>
      </c>
      <c r="F1675">
        <v>202.5</v>
      </c>
      <c r="G1675">
        <f t="shared" si="66"/>
        <v>3</v>
      </c>
      <c r="H1675">
        <f t="shared" si="67"/>
        <v>2020</v>
      </c>
    </row>
    <row r="1676" spans="5:8" x14ac:dyDescent="0.25">
      <c r="E1676" s="2">
        <v>43908</v>
      </c>
      <c r="F1676">
        <v>202.5</v>
      </c>
      <c r="G1676">
        <f t="shared" si="66"/>
        <v>3</v>
      </c>
      <c r="H1676">
        <f t="shared" si="67"/>
        <v>2020</v>
      </c>
    </row>
    <row r="1677" spans="5:8" x14ac:dyDescent="0.25">
      <c r="E1677" s="2">
        <v>43909</v>
      </c>
      <c r="F1677">
        <v>170.5</v>
      </c>
      <c r="G1677">
        <f t="shared" si="66"/>
        <v>3</v>
      </c>
      <c r="H1677">
        <f t="shared" si="67"/>
        <v>2020</v>
      </c>
    </row>
    <row r="1678" spans="5:8" x14ac:dyDescent="0.25">
      <c r="E1678" s="2">
        <v>43910</v>
      </c>
      <c r="F1678">
        <v>170.5</v>
      </c>
      <c r="G1678">
        <f t="shared" si="66"/>
        <v>3</v>
      </c>
      <c r="H1678">
        <f t="shared" si="67"/>
        <v>2020</v>
      </c>
    </row>
    <row r="1679" spans="5:8" x14ac:dyDescent="0.25">
      <c r="E1679" s="2">
        <v>43913</v>
      </c>
      <c r="F1679">
        <v>174.5</v>
      </c>
      <c r="G1679">
        <f t="shared" si="66"/>
        <v>3</v>
      </c>
      <c r="H1679">
        <f t="shared" si="67"/>
        <v>2020</v>
      </c>
    </row>
    <row r="1680" spans="5:8" x14ac:dyDescent="0.25">
      <c r="E1680" s="2">
        <v>43914</v>
      </c>
      <c r="F1680">
        <v>174.5</v>
      </c>
      <c r="G1680">
        <f t="shared" si="66"/>
        <v>3</v>
      </c>
      <c r="H1680">
        <f t="shared" si="67"/>
        <v>2020</v>
      </c>
    </row>
    <row r="1681" spans="5:8" x14ac:dyDescent="0.25">
      <c r="E1681" s="2">
        <v>43915</v>
      </c>
      <c r="F1681">
        <v>197.5</v>
      </c>
      <c r="G1681">
        <f t="shared" si="66"/>
        <v>3</v>
      </c>
      <c r="H1681">
        <f t="shared" si="67"/>
        <v>2020</v>
      </c>
    </row>
    <row r="1682" spans="5:8" x14ac:dyDescent="0.25">
      <c r="E1682" s="2">
        <v>43916</v>
      </c>
      <c r="F1682">
        <v>198</v>
      </c>
      <c r="G1682">
        <f t="shared" si="66"/>
        <v>3</v>
      </c>
      <c r="H1682">
        <f t="shared" si="67"/>
        <v>2020</v>
      </c>
    </row>
    <row r="1683" spans="5:8" x14ac:dyDescent="0.25">
      <c r="E1683" s="2">
        <v>43917</v>
      </c>
      <c r="F1683">
        <v>198</v>
      </c>
      <c r="G1683">
        <f t="shared" si="66"/>
        <v>3</v>
      </c>
      <c r="H1683">
        <f t="shared" si="67"/>
        <v>2020</v>
      </c>
    </row>
    <row r="1684" spans="5:8" x14ac:dyDescent="0.25">
      <c r="E1684" s="2">
        <v>43920</v>
      </c>
      <c r="F1684">
        <v>200.25</v>
      </c>
      <c r="G1684">
        <f t="shared" si="66"/>
        <v>3</v>
      </c>
      <c r="H1684">
        <f t="shared" si="67"/>
        <v>2020</v>
      </c>
    </row>
    <row r="1685" spans="5:8" x14ac:dyDescent="0.25">
      <c r="E1685" s="2">
        <v>43921</v>
      </c>
      <c r="F1685">
        <v>200.25</v>
      </c>
      <c r="G1685">
        <f t="shared" si="66"/>
        <v>3</v>
      </c>
      <c r="H1685">
        <f t="shared" si="67"/>
        <v>2020</v>
      </c>
    </row>
    <row r="1686" spans="5:8" x14ac:dyDescent="0.25">
      <c r="E1686" s="2">
        <v>43922</v>
      </c>
      <c r="F1686">
        <v>200.25</v>
      </c>
      <c r="G1686">
        <f t="shared" si="66"/>
        <v>4</v>
      </c>
      <c r="H1686">
        <f t="shared" si="67"/>
        <v>2020</v>
      </c>
    </row>
    <row r="1687" spans="5:8" x14ac:dyDescent="0.25">
      <c r="E1687" s="2">
        <v>43923</v>
      </c>
      <c r="F1687">
        <v>198</v>
      </c>
      <c r="G1687">
        <f t="shared" si="66"/>
        <v>4</v>
      </c>
      <c r="H1687">
        <f t="shared" si="67"/>
        <v>2020</v>
      </c>
    </row>
    <row r="1688" spans="5:8" x14ac:dyDescent="0.25">
      <c r="E1688" s="2">
        <v>43924</v>
      </c>
      <c r="F1688">
        <v>191.5</v>
      </c>
      <c r="G1688">
        <f t="shared" si="66"/>
        <v>4</v>
      </c>
      <c r="H1688">
        <f t="shared" si="67"/>
        <v>2020</v>
      </c>
    </row>
    <row r="1689" spans="5:8" x14ac:dyDescent="0.25">
      <c r="E1689" s="2">
        <v>43927</v>
      </c>
      <c r="F1689">
        <v>190</v>
      </c>
      <c r="G1689">
        <f t="shared" si="66"/>
        <v>4</v>
      </c>
      <c r="H1689">
        <f t="shared" si="67"/>
        <v>2020</v>
      </c>
    </row>
    <row r="1690" spans="5:8" x14ac:dyDescent="0.25">
      <c r="E1690" s="2">
        <v>43928</v>
      </c>
      <c r="F1690">
        <v>188.5</v>
      </c>
      <c r="G1690">
        <f t="shared" si="66"/>
        <v>4</v>
      </c>
      <c r="H1690">
        <f t="shared" si="67"/>
        <v>2020</v>
      </c>
    </row>
    <row r="1691" spans="5:8" x14ac:dyDescent="0.25">
      <c r="E1691" s="2">
        <v>43929</v>
      </c>
      <c r="F1691">
        <v>188.5</v>
      </c>
      <c r="G1691">
        <f t="shared" si="66"/>
        <v>4</v>
      </c>
      <c r="H1691">
        <f t="shared" si="67"/>
        <v>2020</v>
      </c>
    </row>
    <row r="1692" spans="5:8" x14ac:dyDescent="0.25">
      <c r="E1692" s="2">
        <v>43930</v>
      </c>
      <c r="F1692">
        <v>188.5</v>
      </c>
      <c r="G1692">
        <f t="shared" si="66"/>
        <v>4</v>
      </c>
      <c r="H1692">
        <f t="shared" si="67"/>
        <v>2020</v>
      </c>
    </row>
    <row r="1693" spans="5:8" x14ac:dyDescent="0.25">
      <c r="E1693" s="2">
        <v>43934</v>
      </c>
      <c r="F1693">
        <v>193.25</v>
      </c>
      <c r="G1693">
        <f t="shared" si="66"/>
        <v>4</v>
      </c>
      <c r="H1693">
        <f t="shared" si="67"/>
        <v>2020</v>
      </c>
    </row>
    <row r="1694" spans="5:8" x14ac:dyDescent="0.25">
      <c r="E1694" s="2">
        <v>43935</v>
      </c>
      <c r="F1694">
        <v>194</v>
      </c>
      <c r="G1694">
        <f t="shared" si="66"/>
        <v>4</v>
      </c>
      <c r="H1694">
        <f t="shared" si="67"/>
        <v>2020</v>
      </c>
    </row>
    <row r="1695" spans="5:8" x14ac:dyDescent="0.25">
      <c r="E1695" s="2">
        <v>43936</v>
      </c>
      <c r="F1695">
        <v>193.5</v>
      </c>
      <c r="G1695">
        <f t="shared" si="66"/>
        <v>4</v>
      </c>
      <c r="H1695">
        <f t="shared" si="67"/>
        <v>2020</v>
      </c>
    </row>
    <row r="1696" spans="5:8" x14ac:dyDescent="0.25">
      <c r="E1696" s="2">
        <v>43937</v>
      </c>
      <c r="F1696">
        <v>193.5</v>
      </c>
      <c r="G1696">
        <f t="shared" si="66"/>
        <v>4</v>
      </c>
      <c r="H1696">
        <f t="shared" si="67"/>
        <v>2020</v>
      </c>
    </row>
    <row r="1697" spans="5:8" x14ac:dyDescent="0.25">
      <c r="E1697" s="2">
        <v>43938</v>
      </c>
      <c r="F1697">
        <v>194</v>
      </c>
      <c r="G1697">
        <f t="shared" si="66"/>
        <v>4</v>
      </c>
      <c r="H1697">
        <f t="shared" si="67"/>
        <v>2020</v>
      </c>
    </row>
    <row r="1698" spans="5:8" x14ac:dyDescent="0.25">
      <c r="E1698" s="2">
        <v>43941</v>
      </c>
      <c r="F1698">
        <v>194</v>
      </c>
      <c r="G1698">
        <f t="shared" si="66"/>
        <v>4</v>
      </c>
      <c r="H1698">
        <f t="shared" si="67"/>
        <v>2020</v>
      </c>
    </row>
    <row r="1699" spans="5:8" x14ac:dyDescent="0.25">
      <c r="E1699" s="2">
        <v>43942</v>
      </c>
      <c r="F1699">
        <v>193.5</v>
      </c>
      <c r="G1699">
        <f t="shared" si="66"/>
        <v>4</v>
      </c>
      <c r="H1699">
        <f t="shared" si="67"/>
        <v>2020</v>
      </c>
    </row>
    <row r="1700" spans="5:8" x14ac:dyDescent="0.25">
      <c r="E1700" s="2">
        <v>43943</v>
      </c>
      <c r="F1700">
        <v>193.5</v>
      </c>
      <c r="G1700">
        <f t="shared" si="66"/>
        <v>4</v>
      </c>
      <c r="H1700">
        <f t="shared" si="67"/>
        <v>2020</v>
      </c>
    </row>
    <row r="1701" spans="5:8" x14ac:dyDescent="0.25">
      <c r="E1701" s="2">
        <v>43944</v>
      </c>
      <c r="F1701">
        <v>193.5</v>
      </c>
      <c r="G1701">
        <f t="shared" si="66"/>
        <v>4</v>
      </c>
      <c r="H1701">
        <f t="shared" si="67"/>
        <v>2020</v>
      </c>
    </row>
    <row r="1702" spans="5:8" x14ac:dyDescent="0.25">
      <c r="E1702" s="2">
        <v>43945</v>
      </c>
      <c r="F1702">
        <v>193.5</v>
      </c>
      <c r="G1702">
        <f t="shared" si="66"/>
        <v>4</v>
      </c>
      <c r="H1702">
        <f t="shared" si="67"/>
        <v>2020</v>
      </c>
    </row>
    <row r="1703" spans="5:8" x14ac:dyDescent="0.25">
      <c r="E1703" s="2">
        <v>43948</v>
      </c>
      <c r="F1703">
        <v>194</v>
      </c>
      <c r="G1703">
        <f t="shared" si="66"/>
        <v>4</v>
      </c>
      <c r="H1703">
        <f t="shared" si="67"/>
        <v>2020</v>
      </c>
    </row>
    <row r="1704" spans="5:8" x14ac:dyDescent="0.25">
      <c r="E1704" s="2">
        <v>43949</v>
      </c>
      <c r="F1704">
        <v>194</v>
      </c>
      <c r="G1704">
        <f t="shared" si="66"/>
        <v>4</v>
      </c>
      <c r="H1704">
        <f t="shared" si="67"/>
        <v>2020</v>
      </c>
    </row>
    <row r="1705" spans="5:8" x14ac:dyDescent="0.25">
      <c r="E1705" s="2">
        <v>43950</v>
      </c>
      <c r="F1705">
        <v>194</v>
      </c>
      <c r="G1705">
        <f t="shared" si="66"/>
        <v>4</v>
      </c>
      <c r="H1705">
        <f t="shared" si="67"/>
        <v>2020</v>
      </c>
    </row>
    <row r="1706" spans="5:8" x14ac:dyDescent="0.25">
      <c r="E1706" s="2">
        <v>43951</v>
      </c>
      <c r="F1706">
        <v>194</v>
      </c>
      <c r="G1706">
        <f t="shared" si="66"/>
        <v>4</v>
      </c>
      <c r="H1706">
        <f t="shared" si="67"/>
        <v>2020</v>
      </c>
    </row>
    <row r="1707" spans="5:8" x14ac:dyDescent="0.25">
      <c r="E1707" s="2">
        <v>43952</v>
      </c>
      <c r="F1707">
        <v>189.5</v>
      </c>
      <c r="G1707">
        <f t="shared" si="66"/>
        <v>5</v>
      </c>
      <c r="H1707">
        <f t="shared" si="67"/>
        <v>2020</v>
      </c>
    </row>
    <row r="1708" spans="5:8" x14ac:dyDescent="0.25">
      <c r="E1708" s="2">
        <v>43955</v>
      </c>
      <c r="F1708">
        <v>192.5</v>
      </c>
      <c r="G1708">
        <f t="shared" si="66"/>
        <v>5</v>
      </c>
      <c r="H1708">
        <f t="shared" si="67"/>
        <v>2020</v>
      </c>
    </row>
    <row r="1709" spans="5:8" x14ac:dyDescent="0.25">
      <c r="E1709" s="2">
        <v>43956</v>
      </c>
      <c r="F1709">
        <v>192.5</v>
      </c>
      <c r="G1709">
        <f t="shared" si="66"/>
        <v>5</v>
      </c>
      <c r="H1709">
        <f t="shared" si="67"/>
        <v>2020</v>
      </c>
    </row>
    <row r="1710" spans="5:8" x14ac:dyDescent="0.25">
      <c r="E1710" s="2">
        <v>43957</v>
      </c>
      <c r="F1710">
        <v>192.5</v>
      </c>
      <c r="G1710">
        <f t="shared" si="66"/>
        <v>5</v>
      </c>
      <c r="H1710">
        <f t="shared" si="67"/>
        <v>2020</v>
      </c>
    </row>
    <row r="1711" spans="5:8" x14ac:dyDescent="0.25">
      <c r="E1711" s="2">
        <v>43958</v>
      </c>
      <c r="F1711">
        <v>196.5</v>
      </c>
      <c r="G1711">
        <f t="shared" si="66"/>
        <v>5</v>
      </c>
      <c r="H1711">
        <f t="shared" si="67"/>
        <v>2020</v>
      </c>
    </row>
    <row r="1712" spans="5:8" x14ac:dyDescent="0.25">
      <c r="E1712" s="2">
        <v>43959</v>
      </c>
      <c r="F1712">
        <v>196.5</v>
      </c>
      <c r="G1712">
        <f t="shared" si="66"/>
        <v>5</v>
      </c>
      <c r="H1712">
        <f t="shared" si="67"/>
        <v>2020</v>
      </c>
    </row>
    <row r="1713" spans="5:8" x14ac:dyDescent="0.25">
      <c r="E1713" s="2">
        <v>43962</v>
      </c>
      <c r="F1713">
        <v>202.5</v>
      </c>
      <c r="G1713">
        <f t="shared" si="66"/>
        <v>5</v>
      </c>
      <c r="H1713">
        <f t="shared" si="67"/>
        <v>2020</v>
      </c>
    </row>
    <row r="1714" spans="5:8" x14ac:dyDescent="0.25">
      <c r="E1714" s="2">
        <v>43963</v>
      </c>
      <c r="F1714">
        <v>202.5</v>
      </c>
      <c r="G1714">
        <f t="shared" si="66"/>
        <v>5</v>
      </c>
      <c r="H1714">
        <f t="shared" si="67"/>
        <v>2020</v>
      </c>
    </row>
    <row r="1715" spans="5:8" x14ac:dyDescent="0.25">
      <c r="E1715" s="2">
        <v>43964</v>
      </c>
      <c r="F1715">
        <v>204</v>
      </c>
      <c r="G1715">
        <f t="shared" si="66"/>
        <v>5</v>
      </c>
      <c r="H1715">
        <f t="shared" si="67"/>
        <v>2020</v>
      </c>
    </row>
    <row r="1716" spans="5:8" x14ac:dyDescent="0.25">
      <c r="E1716" s="2">
        <v>43965</v>
      </c>
      <c r="F1716">
        <v>202.5</v>
      </c>
      <c r="G1716">
        <f t="shared" si="66"/>
        <v>5</v>
      </c>
      <c r="H1716">
        <f t="shared" si="67"/>
        <v>2020</v>
      </c>
    </row>
    <row r="1717" spans="5:8" x14ac:dyDescent="0.25">
      <c r="E1717" s="2">
        <v>43966</v>
      </c>
      <c r="F1717">
        <v>204</v>
      </c>
      <c r="G1717">
        <f t="shared" si="66"/>
        <v>5</v>
      </c>
      <c r="H1717">
        <f t="shared" si="67"/>
        <v>2020</v>
      </c>
    </row>
    <row r="1718" spans="5:8" x14ac:dyDescent="0.25">
      <c r="E1718" s="2">
        <v>43969</v>
      </c>
      <c r="F1718">
        <v>206</v>
      </c>
      <c r="G1718">
        <f t="shared" si="66"/>
        <v>5</v>
      </c>
      <c r="H1718">
        <f t="shared" si="67"/>
        <v>2020</v>
      </c>
    </row>
    <row r="1719" spans="5:8" x14ac:dyDescent="0.25">
      <c r="E1719" s="2">
        <v>43970</v>
      </c>
      <c r="F1719">
        <v>206</v>
      </c>
      <c r="G1719">
        <f t="shared" si="66"/>
        <v>5</v>
      </c>
      <c r="H1719">
        <f t="shared" si="67"/>
        <v>2020</v>
      </c>
    </row>
    <row r="1720" spans="5:8" x14ac:dyDescent="0.25">
      <c r="E1720" s="2">
        <v>43971</v>
      </c>
      <c r="F1720">
        <v>206</v>
      </c>
      <c r="G1720">
        <f t="shared" si="66"/>
        <v>5</v>
      </c>
      <c r="H1720">
        <f t="shared" si="67"/>
        <v>2020</v>
      </c>
    </row>
    <row r="1721" spans="5:8" x14ac:dyDescent="0.25">
      <c r="E1721" s="2">
        <v>43972</v>
      </c>
      <c r="F1721">
        <v>206</v>
      </c>
      <c r="G1721">
        <f t="shared" si="66"/>
        <v>5</v>
      </c>
      <c r="H1721">
        <f t="shared" si="67"/>
        <v>2020</v>
      </c>
    </row>
    <row r="1722" spans="5:8" x14ac:dyDescent="0.25">
      <c r="E1722" s="2">
        <v>43973</v>
      </c>
      <c r="F1722">
        <v>206</v>
      </c>
      <c r="G1722">
        <f t="shared" si="66"/>
        <v>5</v>
      </c>
      <c r="H1722">
        <f t="shared" si="67"/>
        <v>2020</v>
      </c>
    </row>
    <row r="1723" spans="5:8" x14ac:dyDescent="0.25">
      <c r="E1723" s="2">
        <v>43977</v>
      </c>
      <c r="F1723">
        <v>207</v>
      </c>
      <c r="G1723">
        <f t="shared" si="66"/>
        <v>5</v>
      </c>
      <c r="H1723">
        <f t="shared" si="67"/>
        <v>2020</v>
      </c>
    </row>
    <row r="1724" spans="5:8" x14ac:dyDescent="0.25">
      <c r="E1724" s="2">
        <v>43978</v>
      </c>
      <c r="F1724">
        <v>207</v>
      </c>
      <c r="G1724">
        <f t="shared" si="66"/>
        <v>5</v>
      </c>
      <c r="H1724">
        <f t="shared" si="67"/>
        <v>2020</v>
      </c>
    </row>
    <row r="1725" spans="5:8" x14ac:dyDescent="0.25">
      <c r="E1725" s="2">
        <v>43979</v>
      </c>
      <c r="F1725">
        <v>207</v>
      </c>
      <c r="G1725">
        <f t="shared" si="66"/>
        <v>5</v>
      </c>
      <c r="H1725">
        <f t="shared" si="67"/>
        <v>2020</v>
      </c>
    </row>
    <row r="1726" spans="5:8" x14ac:dyDescent="0.25">
      <c r="E1726" s="2">
        <v>43980</v>
      </c>
      <c r="F1726">
        <v>212.5</v>
      </c>
      <c r="G1726">
        <f t="shared" si="66"/>
        <v>5</v>
      </c>
      <c r="H1726">
        <f t="shared" si="67"/>
        <v>2020</v>
      </c>
    </row>
    <row r="1727" spans="5:8" x14ac:dyDescent="0.25">
      <c r="E1727" s="2">
        <v>43983</v>
      </c>
      <c r="F1727">
        <v>212.5</v>
      </c>
      <c r="G1727">
        <f t="shared" si="66"/>
        <v>6</v>
      </c>
      <c r="H1727">
        <f t="shared" si="67"/>
        <v>2020</v>
      </c>
    </row>
    <row r="1728" spans="5:8" x14ac:dyDescent="0.25">
      <c r="E1728" s="2">
        <v>43984</v>
      </c>
      <c r="F1728">
        <v>212.5</v>
      </c>
      <c r="G1728">
        <f t="shared" si="66"/>
        <v>6</v>
      </c>
      <c r="H1728">
        <f t="shared" si="67"/>
        <v>2020</v>
      </c>
    </row>
    <row r="1729" spans="5:8" x14ac:dyDescent="0.25">
      <c r="E1729" s="2">
        <v>43985</v>
      </c>
      <c r="F1729">
        <v>212.25</v>
      </c>
      <c r="G1729">
        <f t="shared" si="66"/>
        <v>6</v>
      </c>
      <c r="H1729">
        <f t="shared" si="67"/>
        <v>2020</v>
      </c>
    </row>
    <row r="1730" spans="5:8" x14ac:dyDescent="0.25">
      <c r="E1730" s="2">
        <v>43986</v>
      </c>
      <c r="F1730">
        <v>212.5</v>
      </c>
      <c r="G1730">
        <f t="shared" si="66"/>
        <v>6</v>
      </c>
      <c r="H1730">
        <f t="shared" si="67"/>
        <v>2020</v>
      </c>
    </row>
    <row r="1731" spans="5:8" x14ac:dyDescent="0.25">
      <c r="E1731" s="2">
        <v>43987</v>
      </c>
      <c r="F1731">
        <v>212.5</v>
      </c>
      <c r="G1731">
        <f t="shared" si="66"/>
        <v>6</v>
      </c>
      <c r="H1731">
        <f t="shared" si="67"/>
        <v>2020</v>
      </c>
    </row>
    <row r="1732" spans="5:8" x14ac:dyDescent="0.25">
      <c r="E1732" s="2">
        <v>43990</v>
      </c>
      <c r="F1732">
        <v>212.5</v>
      </c>
      <c r="G1732">
        <f t="shared" si="66"/>
        <v>6</v>
      </c>
      <c r="H1732">
        <f t="shared" si="67"/>
        <v>2020</v>
      </c>
    </row>
    <row r="1733" spans="5:8" x14ac:dyDescent="0.25">
      <c r="E1733" s="2">
        <v>43991</v>
      </c>
      <c r="F1733">
        <v>212.5</v>
      </c>
      <c r="G1733">
        <f t="shared" ref="G1733:G1796" si="68">MONTH(E1733)</f>
        <v>6</v>
      </c>
      <c r="H1733">
        <f t="shared" ref="H1733:H1796" si="69">YEAR(E1733)</f>
        <v>2020</v>
      </c>
    </row>
    <row r="1734" spans="5:8" x14ac:dyDescent="0.25">
      <c r="E1734" s="2">
        <v>43992</v>
      </c>
      <c r="F1734">
        <v>209</v>
      </c>
      <c r="G1734">
        <f t="shared" si="68"/>
        <v>6</v>
      </c>
      <c r="H1734">
        <f t="shared" si="69"/>
        <v>2020</v>
      </c>
    </row>
    <row r="1735" spans="5:8" x14ac:dyDescent="0.25">
      <c r="E1735" s="2">
        <v>43993</v>
      </c>
      <c r="F1735">
        <v>209</v>
      </c>
      <c r="G1735">
        <f t="shared" si="68"/>
        <v>6</v>
      </c>
      <c r="H1735">
        <f t="shared" si="69"/>
        <v>2020</v>
      </c>
    </row>
    <row r="1736" spans="5:8" x14ac:dyDescent="0.25">
      <c r="E1736" s="2">
        <v>43994</v>
      </c>
      <c r="F1736">
        <v>208</v>
      </c>
      <c r="G1736">
        <f t="shared" si="68"/>
        <v>6</v>
      </c>
      <c r="H1736">
        <f t="shared" si="69"/>
        <v>2020</v>
      </c>
    </row>
    <row r="1737" spans="5:8" x14ac:dyDescent="0.25">
      <c r="E1737" s="2">
        <v>43997</v>
      </c>
      <c r="F1737">
        <v>207.5</v>
      </c>
      <c r="G1737">
        <f t="shared" si="68"/>
        <v>6</v>
      </c>
      <c r="H1737">
        <f t="shared" si="69"/>
        <v>2020</v>
      </c>
    </row>
    <row r="1738" spans="5:8" x14ac:dyDescent="0.25">
      <c r="E1738" s="2">
        <v>43998</v>
      </c>
      <c r="F1738">
        <v>207.5</v>
      </c>
      <c r="G1738">
        <f t="shared" si="68"/>
        <v>6</v>
      </c>
      <c r="H1738">
        <f t="shared" si="69"/>
        <v>2020</v>
      </c>
    </row>
    <row r="1739" spans="5:8" x14ac:dyDescent="0.25">
      <c r="E1739" s="2">
        <v>43999</v>
      </c>
      <c r="F1739">
        <v>207</v>
      </c>
      <c r="G1739">
        <f t="shared" si="68"/>
        <v>6</v>
      </c>
      <c r="H1739">
        <f t="shared" si="69"/>
        <v>2020</v>
      </c>
    </row>
    <row r="1740" spans="5:8" x14ac:dyDescent="0.25">
      <c r="E1740" s="2">
        <v>44000</v>
      </c>
      <c r="F1740">
        <v>207</v>
      </c>
      <c r="G1740">
        <f t="shared" si="68"/>
        <v>6</v>
      </c>
      <c r="H1740">
        <f t="shared" si="69"/>
        <v>2020</v>
      </c>
    </row>
    <row r="1741" spans="5:8" x14ac:dyDescent="0.25">
      <c r="E1741" s="2">
        <v>44001</v>
      </c>
      <c r="F1741">
        <v>207.5</v>
      </c>
      <c r="G1741">
        <f t="shared" si="68"/>
        <v>6</v>
      </c>
      <c r="H1741">
        <f t="shared" si="69"/>
        <v>2020</v>
      </c>
    </row>
    <row r="1742" spans="5:8" x14ac:dyDescent="0.25">
      <c r="E1742" s="2">
        <v>44004</v>
      </c>
      <c r="F1742">
        <v>207.5</v>
      </c>
      <c r="G1742">
        <f t="shared" si="68"/>
        <v>6</v>
      </c>
      <c r="H1742">
        <f t="shared" si="69"/>
        <v>2020</v>
      </c>
    </row>
    <row r="1743" spans="5:8" x14ac:dyDescent="0.25">
      <c r="E1743" s="2">
        <v>44005</v>
      </c>
      <c r="F1743">
        <v>207.5</v>
      </c>
      <c r="G1743">
        <f t="shared" si="68"/>
        <v>6</v>
      </c>
      <c r="H1743">
        <f t="shared" si="69"/>
        <v>2020</v>
      </c>
    </row>
    <row r="1744" spans="5:8" x14ac:dyDescent="0.25">
      <c r="E1744" s="2">
        <v>44006</v>
      </c>
      <c r="F1744">
        <v>207</v>
      </c>
      <c r="G1744">
        <f t="shared" si="68"/>
        <v>6</v>
      </c>
      <c r="H1744">
        <f t="shared" si="69"/>
        <v>2020</v>
      </c>
    </row>
    <row r="1745" spans="5:8" x14ac:dyDescent="0.25">
      <c r="E1745" s="2">
        <v>44007</v>
      </c>
      <c r="F1745">
        <v>206.75</v>
      </c>
      <c r="G1745">
        <f t="shared" si="68"/>
        <v>6</v>
      </c>
      <c r="H1745">
        <f t="shared" si="69"/>
        <v>2020</v>
      </c>
    </row>
    <row r="1746" spans="5:8" x14ac:dyDescent="0.25">
      <c r="E1746" s="2">
        <v>44008</v>
      </c>
      <c r="F1746">
        <v>206.75</v>
      </c>
      <c r="G1746">
        <f t="shared" si="68"/>
        <v>6</v>
      </c>
      <c r="H1746">
        <f t="shared" si="69"/>
        <v>2020</v>
      </c>
    </row>
    <row r="1747" spans="5:8" x14ac:dyDescent="0.25">
      <c r="E1747" s="2">
        <v>44011</v>
      </c>
      <c r="F1747">
        <v>206.75</v>
      </c>
      <c r="G1747">
        <f t="shared" si="68"/>
        <v>6</v>
      </c>
      <c r="H1747">
        <f t="shared" si="69"/>
        <v>2020</v>
      </c>
    </row>
    <row r="1748" spans="5:8" x14ac:dyDescent="0.25">
      <c r="E1748" s="2">
        <v>44012</v>
      </c>
      <c r="F1748">
        <v>201.5</v>
      </c>
      <c r="G1748">
        <f t="shared" si="68"/>
        <v>6</v>
      </c>
      <c r="H1748">
        <f t="shared" si="69"/>
        <v>2020</v>
      </c>
    </row>
    <row r="1749" spans="5:8" x14ac:dyDescent="0.25">
      <c r="E1749" s="2">
        <v>44013</v>
      </c>
      <c r="F1749">
        <v>201.5</v>
      </c>
      <c r="G1749">
        <f t="shared" si="68"/>
        <v>7</v>
      </c>
      <c r="H1749">
        <f t="shared" si="69"/>
        <v>2020</v>
      </c>
    </row>
    <row r="1750" spans="5:8" x14ac:dyDescent="0.25">
      <c r="E1750" s="2">
        <v>44014</v>
      </c>
      <c r="F1750">
        <v>201.5</v>
      </c>
      <c r="G1750">
        <f t="shared" si="68"/>
        <v>7</v>
      </c>
      <c r="H1750">
        <f t="shared" si="69"/>
        <v>2020</v>
      </c>
    </row>
    <row r="1751" spans="5:8" x14ac:dyDescent="0.25">
      <c r="E1751" s="2">
        <v>44018</v>
      </c>
      <c r="F1751">
        <v>200.5</v>
      </c>
      <c r="G1751">
        <f t="shared" si="68"/>
        <v>7</v>
      </c>
      <c r="H1751">
        <f t="shared" si="69"/>
        <v>2020</v>
      </c>
    </row>
    <row r="1752" spans="5:8" x14ac:dyDescent="0.25">
      <c r="E1752" s="2">
        <v>44019</v>
      </c>
      <c r="F1752">
        <v>199.75</v>
      </c>
      <c r="G1752">
        <f t="shared" si="68"/>
        <v>7</v>
      </c>
      <c r="H1752">
        <f t="shared" si="69"/>
        <v>2020</v>
      </c>
    </row>
    <row r="1753" spans="5:8" x14ac:dyDescent="0.25">
      <c r="E1753" s="2">
        <v>44020</v>
      </c>
      <c r="F1753">
        <v>199.75</v>
      </c>
      <c r="G1753">
        <f t="shared" si="68"/>
        <v>7</v>
      </c>
      <c r="H1753">
        <f t="shared" si="69"/>
        <v>2020</v>
      </c>
    </row>
    <row r="1754" spans="5:8" x14ac:dyDescent="0.25">
      <c r="E1754" s="2">
        <v>44021</v>
      </c>
      <c r="F1754">
        <v>199</v>
      </c>
      <c r="G1754">
        <f t="shared" si="68"/>
        <v>7</v>
      </c>
      <c r="H1754">
        <f t="shared" si="69"/>
        <v>2020</v>
      </c>
    </row>
    <row r="1755" spans="5:8" x14ac:dyDescent="0.25">
      <c r="E1755" s="2">
        <v>44022</v>
      </c>
      <c r="F1755">
        <v>198.5</v>
      </c>
      <c r="G1755">
        <f t="shared" si="68"/>
        <v>7</v>
      </c>
      <c r="H1755">
        <f t="shared" si="69"/>
        <v>2020</v>
      </c>
    </row>
    <row r="1756" spans="5:8" x14ac:dyDescent="0.25">
      <c r="E1756" s="2">
        <v>44025</v>
      </c>
      <c r="F1756">
        <v>199</v>
      </c>
      <c r="G1756">
        <f t="shared" si="68"/>
        <v>7</v>
      </c>
      <c r="H1756">
        <f t="shared" si="69"/>
        <v>2020</v>
      </c>
    </row>
    <row r="1757" spans="5:8" x14ac:dyDescent="0.25">
      <c r="E1757" s="2">
        <v>44026</v>
      </c>
      <c r="F1757">
        <v>195</v>
      </c>
      <c r="G1757">
        <f t="shared" si="68"/>
        <v>7</v>
      </c>
      <c r="H1757">
        <f t="shared" si="69"/>
        <v>2020</v>
      </c>
    </row>
    <row r="1758" spans="5:8" x14ac:dyDescent="0.25">
      <c r="E1758" s="2">
        <v>44027</v>
      </c>
      <c r="F1758">
        <v>194.5</v>
      </c>
      <c r="G1758">
        <f t="shared" si="68"/>
        <v>7</v>
      </c>
      <c r="H1758">
        <f t="shared" si="69"/>
        <v>2020</v>
      </c>
    </row>
    <row r="1759" spans="5:8" x14ac:dyDescent="0.25">
      <c r="E1759" s="2">
        <v>44028</v>
      </c>
      <c r="F1759">
        <v>193.5</v>
      </c>
      <c r="G1759">
        <f t="shared" si="68"/>
        <v>7</v>
      </c>
      <c r="H1759">
        <f t="shared" si="69"/>
        <v>2020</v>
      </c>
    </row>
    <row r="1760" spans="5:8" x14ac:dyDescent="0.25">
      <c r="E1760" s="2">
        <v>44029</v>
      </c>
      <c r="F1760">
        <v>191.5</v>
      </c>
      <c r="G1760">
        <f t="shared" si="68"/>
        <v>7</v>
      </c>
      <c r="H1760">
        <f t="shared" si="69"/>
        <v>2020</v>
      </c>
    </row>
    <row r="1761" spans="5:8" x14ac:dyDescent="0.25">
      <c r="E1761" s="2">
        <v>44032</v>
      </c>
      <c r="F1761">
        <v>191</v>
      </c>
      <c r="G1761">
        <f t="shared" si="68"/>
        <v>7</v>
      </c>
      <c r="H1761">
        <f t="shared" si="69"/>
        <v>2020</v>
      </c>
    </row>
    <row r="1762" spans="5:8" x14ac:dyDescent="0.25">
      <c r="E1762" s="2">
        <v>44033</v>
      </c>
      <c r="F1762">
        <v>192</v>
      </c>
      <c r="G1762">
        <f t="shared" si="68"/>
        <v>7</v>
      </c>
      <c r="H1762">
        <f t="shared" si="69"/>
        <v>2020</v>
      </c>
    </row>
    <row r="1763" spans="5:8" x14ac:dyDescent="0.25">
      <c r="E1763" s="2">
        <v>44034</v>
      </c>
      <c r="F1763">
        <v>195.5</v>
      </c>
      <c r="G1763">
        <f t="shared" si="68"/>
        <v>7</v>
      </c>
      <c r="H1763">
        <f t="shared" si="69"/>
        <v>2020</v>
      </c>
    </row>
    <row r="1764" spans="5:8" x14ac:dyDescent="0.25">
      <c r="E1764" s="2">
        <v>44035</v>
      </c>
      <c r="F1764">
        <v>196.5</v>
      </c>
      <c r="G1764">
        <f t="shared" si="68"/>
        <v>7</v>
      </c>
      <c r="H1764">
        <f t="shared" si="69"/>
        <v>2020</v>
      </c>
    </row>
    <row r="1765" spans="5:8" x14ac:dyDescent="0.25">
      <c r="E1765" s="2">
        <v>44036</v>
      </c>
      <c r="F1765">
        <v>198.5</v>
      </c>
      <c r="G1765">
        <f t="shared" si="68"/>
        <v>7</v>
      </c>
      <c r="H1765">
        <f t="shared" si="69"/>
        <v>2020</v>
      </c>
    </row>
    <row r="1766" spans="5:8" x14ac:dyDescent="0.25">
      <c r="E1766" s="2">
        <v>44039</v>
      </c>
      <c r="F1766">
        <v>200</v>
      </c>
      <c r="G1766">
        <f t="shared" si="68"/>
        <v>7</v>
      </c>
      <c r="H1766">
        <f t="shared" si="69"/>
        <v>2020</v>
      </c>
    </row>
    <row r="1767" spans="5:8" x14ac:dyDescent="0.25">
      <c r="E1767" s="2">
        <v>44040</v>
      </c>
      <c r="F1767">
        <v>200</v>
      </c>
      <c r="G1767">
        <f t="shared" si="68"/>
        <v>7</v>
      </c>
      <c r="H1767">
        <f t="shared" si="69"/>
        <v>2020</v>
      </c>
    </row>
    <row r="1768" spans="5:8" x14ac:dyDescent="0.25">
      <c r="E1768" s="2">
        <v>44041</v>
      </c>
      <c r="F1768">
        <v>200</v>
      </c>
      <c r="G1768">
        <f t="shared" si="68"/>
        <v>7</v>
      </c>
      <c r="H1768">
        <f t="shared" si="69"/>
        <v>2020</v>
      </c>
    </row>
    <row r="1769" spans="5:8" x14ac:dyDescent="0.25">
      <c r="E1769" s="2">
        <v>44042</v>
      </c>
      <c r="F1769">
        <v>200.5</v>
      </c>
      <c r="G1769">
        <f t="shared" si="68"/>
        <v>7</v>
      </c>
      <c r="H1769">
        <f t="shared" si="69"/>
        <v>2020</v>
      </c>
    </row>
    <row r="1770" spans="5:8" x14ac:dyDescent="0.25">
      <c r="E1770" s="2">
        <v>44043</v>
      </c>
      <c r="F1770">
        <v>200.5</v>
      </c>
      <c r="G1770">
        <f t="shared" si="68"/>
        <v>7</v>
      </c>
      <c r="H1770">
        <f t="shared" si="69"/>
        <v>2020</v>
      </c>
    </row>
    <row r="1771" spans="5:8" x14ac:dyDescent="0.25">
      <c r="E1771" s="2">
        <v>44046</v>
      </c>
      <c r="F1771">
        <v>197.5</v>
      </c>
      <c r="G1771">
        <f t="shared" si="68"/>
        <v>8</v>
      </c>
      <c r="H1771">
        <f t="shared" si="69"/>
        <v>2020</v>
      </c>
    </row>
    <row r="1772" spans="5:8" x14ac:dyDescent="0.25">
      <c r="E1772" s="2">
        <v>44047</v>
      </c>
      <c r="F1772">
        <v>197.5</v>
      </c>
      <c r="G1772">
        <f t="shared" si="68"/>
        <v>8</v>
      </c>
      <c r="H1772">
        <f t="shared" si="69"/>
        <v>2020</v>
      </c>
    </row>
    <row r="1773" spans="5:8" x14ac:dyDescent="0.25">
      <c r="E1773" s="2">
        <v>44048</v>
      </c>
      <c r="F1773">
        <v>195</v>
      </c>
      <c r="G1773">
        <f t="shared" si="68"/>
        <v>8</v>
      </c>
      <c r="H1773">
        <f t="shared" si="69"/>
        <v>2020</v>
      </c>
    </row>
    <row r="1774" spans="5:8" x14ac:dyDescent="0.25">
      <c r="E1774" s="2">
        <v>44049</v>
      </c>
      <c r="F1774">
        <v>195</v>
      </c>
      <c r="G1774">
        <f t="shared" si="68"/>
        <v>8</v>
      </c>
      <c r="H1774">
        <f t="shared" si="69"/>
        <v>2020</v>
      </c>
    </row>
    <row r="1775" spans="5:8" x14ac:dyDescent="0.25">
      <c r="E1775" s="2">
        <v>44050</v>
      </c>
      <c r="F1775">
        <v>195</v>
      </c>
      <c r="G1775">
        <f t="shared" si="68"/>
        <v>8</v>
      </c>
      <c r="H1775">
        <f t="shared" si="69"/>
        <v>2020</v>
      </c>
    </row>
    <row r="1776" spans="5:8" x14ac:dyDescent="0.25">
      <c r="E1776" s="2">
        <v>44053</v>
      </c>
      <c r="F1776">
        <v>195</v>
      </c>
      <c r="G1776">
        <f t="shared" si="68"/>
        <v>8</v>
      </c>
      <c r="H1776">
        <f t="shared" si="69"/>
        <v>2020</v>
      </c>
    </row>
    <row r="1777" spans="5:8" x14ac:dyDescent="0.25">
      <c r="E1777" s="2">
        <v>44054</v>
      </c>
      <c r="F1777">
        <v>194.5</v>
      </c>
      <c r="G1777">
        <f t="shared" si="68"/>
        <v>8</v>
      </c>
      <c r="H1777">
        <f t="shared" si="69"/>
        <v>2020</v>
      </c>
    </row>
    <row r="1778" spans="5:8" x14ac:dyDescent="0.25">
      <c r="E1778" s="2">
        <v>44055</v>
      </c>
      <c r="F1778">
        <v>192.5</v>
      </c>
      <c r="G1778">
        <f t="shared" si="68"/>
        <v>8</v>
      </c>
      <c r="H1778">
        <f t="shared" si="69"/>
        <v>2020</v>
      </c>
    </row>
    <row r="1779" spans="5:8" x14ac:dyDescent="0.25">
      <c r="E1779" s="2">
        <v>44056</v>
      </c>
      <c r="F1779">
        <v>192</v>
      </c>
      <c r="G1779">
        <f t="shared" si="68"/>
        <v>8</v>
      </c>
      <c r="H1779">
        <f t="shared" si="69"/>
        <v>2020</v>
      </c>
    </row>
    <row r="1780" spans="5:8" x14ac:dyDescent="0.25">
      <c r="E1780" s="2">
        <v>44057</v>
      </c>
      <c r="F1780">
        <v>192</v>
      </c>
      <c r="G1780">
        <f t="shared" si="68"/>
        <v>8</v>
      </c>
      <c r="H1780">
        <f t="shared" si="69"/>
        <v>2020</v>
      </c>
    </row>
    <row r="1781" spans="5:8" x14ac:dyDescent="0.25">
      <c r="E1781" s="2">
        <v>44060</v>
      </c>
      <c r="F1781">
        <v>190.5</v>
      </c>
      <c r="G1781">
        <f t="shared" si="68"/>
        <v>8</v>
      </c>
      <c r="H1781">
        <f t="shared" si="69"/>
        <v>2020</v>
      </c>
    </row>
    <row r="1782" spans="5:8" x14ac:dyDescent="0.25">
      <c r="E1782" s="2">
        <v>44061</v>
      </c>
      <c r="F1782">
        <v>191</v>
      </c>
      <c r="G1782">
        <f t="shared" si="68"/>
        <v>8</v>
      </c>
      <c r="H1782">
        <f t="shared" si="69"/>
        <v>2020</v>
      </c>
    </row>
    <row r="1783" spans="5:8" x14ac:dyDescent="0.25">
      <c r="E1783" s="2">
        <v>44062</v>
      </c>
      <c r="F1783">
        <v>191</v>
      </c>
      <c r="G1783">
        <f t="shared" si="68"/>
        <v>8</v>
      </c>
      <c r="H1783">
        <f t="shared" si="69"/>
        <v>2020</v>
      </c>
    </row>
    <row r="1784" spans="5:8" x14ac:dyDescent="0.25">
      <c r="E1784" s="2">
        <v>44063</v>
      </c>
      <c r="F1784">
        <v>190.5</v>
      </c>
      <c r="G1784">
        <f t="shared" si="68"/>
        <v>8</v>
      </c>
      <c r="H1784">
        <f t="shared" si="69"/>
        <v>2020</v>
      </c>
    </row>
    <row r="1785" spans="5:8" x14ac:dyDescent="0.25">
      <c r="E1785" s="2">
        <v>44064</v>
      </c>
      <c r="F1785">
        <v>190.5</v>
      </c>
      <c r="G1785">
        <f t="shared" si="68"/>
        <v>8</v>
      </c>
      <c r="H1785">
        <f t="shared" si="69"/>
        <v>2020</v>
      </c>
    </row>
    <row r="1786" spans="5:8" x14ac:dyDescent="0.25">
      <c r="E1786" s="2">
        <v>44067</v>
      </c>
      <c r="F1786">
        <v>190.5</v>
      </c>
      <c r="G1786">
        <f t="shared" si="68"/>
        <v>8</v>
      </c>
      <c r="H1786">
        <f t="shared" si="69"/>
        <v>2020</v>
      </c>
    </row>
    <row r="1787" spans="5:8" x14ac:dyDescent="0.25">
      <c r="E1787" s="2">
        <v>44068</v>
      </c>
      <c r="F1787">
        <v>189.5</v>
      </c>
      <c r="G1787">
        <f t="shared" si="68"/>
        <v>8</v>
      </c>
      <c r="H1787">
        <f t="shared" si="69"/>
        <v>2020</v>
      </c>
    </row>
    <row r="1788" spans="5:8" x14ac:dyDescent="0.25">
      <c r="E1788" s="2">
        <v>44069</v>
      </c>
      <c r="F1788">
        <v>189.5</v>
      </c>
      <c r="G1788">
        <f t="shared" si="68"/>
        <v>8</v>
      </c>
      <c r="H1788">
        <f t="shared" si="69"/>
        <v>2020</v>
      </c>
    </row>
    <row r="1789" spans="5:8" x14ac:dyDescent="0.25">
      <c r="E1789" s="2">
        <v>44070</v>
      </c>
      <c r="F1789">
        <v>189.5</v>
      </c>
      <c r="G1789">
        <f t="shared" si="68"/>
        <v>8</v>
      </c>
      <c r="H1789">
        <f t="shared" si="69"/>
        <v>2020</v>
      </c>
    </row>
    <row r="1790" spans="5:8" x14ac:dyDescent="0.25">
      <c r="E1790" s="2">
        <v>44071</v>
      </c>
      <c r="F1790">
        <v>190</v>
      </c>
      <c r="G1790">
        <f t="shared" si="68"/>
        <v>8</v>
      </c>
      <c r="H1790">
        <f t="shared" si="69"/>
        <v>2020</v>
      </c>
    </row>
    <row r="1791" spans="5:8" x14ac:dyDescent="0.25">
      <c r="E1791" s="2">
        <v>44074</v>
      </c>
      <c r="F1791">
        <v>192.5</v>
      </c>
      <c r="G1791">
        <f t="shared" si="68"/>
        <v>8</v>
      </c>
      <c r="H1791">
        <f t="shared" si="69"/>
        <v>2020</v>
      </c>
    </row>
    <row r="1792" spans="5:8" x14ac:dyDescent="0.25">
      <c r="E1792" s="2">
        <v>44075</v>
      </c>
      <c r="F1792">
        <v>195</v>
      </c>
      <c r="G1792">
        <f t="shared" si="68"/>
        <v>9</v>
      </c>
      <c r="H1792">
        <f t="shared" si="69"/>
        <v>2020</v>
      </c>
    </row>
    <row r="1793" spans="5:8" x14ac:dyDescent="0.25">
      <c r="E1793" s="2">
        <v>44076</v>
      </c>
      <c r="F1793">
        <v>196</v>
      </c>
      <c r="G1793">
        <f t="shared" si="68"/>
        <v>9</v>
      </c>
      <c r="H1793">
        <f t="shared" si="69"/>
        <v>2020</v>
      </c>
    </row>
    <row r="1794" spans="5:8" x14ac:dyDescent="0.25">
      <c r="E1794" s="2">
        <v>44077</v>
      </c>
      <c r="F1794">
        <v>196.5</v>
      </c>
      <c r="G1794">
        <f t="shared" si="68"/>
        <v>9</v>
      </c>
      <c r="H1794">
        <f t="shared" si="69"/>
        <v>2020</v>
      </c>
    </row>
    <row r="1795" spans="5:8" x14ac:dyDescent="0.25">
      <c r="E1795" s="2">
        <v>44078</v>
      </c>
      <c r="F1795">
        <v>196.5</v>
      </c>
      <c r="G1795">
        <f t="shared" si="68"/>
        <v>9</v>
      </c>
      <c r="H1795">
        <f t="shared" si="69"/>
        <v>2020</v>
      </c>
    </row>
    <row r="1796" spans="5:8" x14ac:dyDescent="0.25">
      <c r="E1796" s="2">
        <v>44082</v>
      </c>
      <c r="F1796">
        <v>198.5</v>
      </c>
      <c r="G1796">
        <f t="shared" si="68"/>
        <v>9</v>
      </c>
      <c r="H1796">
        <f t="shared" si="69"/>
        <v>2020</v>
      </c>
    </row>
    <row r="1797" spans="5:8" x14ac:dyDescent="0.25">
      <c r="E1797" s="2">
        <v>44083</v>
      </c>
      <c r="F1797">
        <v>198.5</v>
      </c>
      <c r="G1797">
        <f t="shared" ref="G1797:G1860" si="70">MONTH(E1797)</f>
        <v>9</v>
      </c>
      <c r="H1797">
        <f t="shared" ref="H1797:H1860" si="71">YEAR(E1797)</f>
        <v>2020</v>
      </c>
    </row>
    <row r="1798" spans="5:8" x14ac:dyDescent="0.25">
      <c r="E1798" s="2">
        <v>44084</v>
      </c>
      <c r="F1798">
        <v>199.25</v>
      </c>
      <c r="G1798">
        <f t="shared" si="70"/>
        <v>9</v>
      </c>
      <c r="H1798">
        <f t="shared" si="71"/>
        <v>2020</v>
      </c>
    </row>
    <row r="1799" spans="5:8" x14ac:dyDescent="0.25">
      <c r="E1799" s="2">
        <v>44085</v>
      </c>
      <c r="F1799">
        <v>198.5</v>
      </c>
      <c r="G1799">
        <f t="shared" si="70"/>
        <v>9</v>
      </c>
      <c r="H1799">
        <f t="shared" si="71"/>
        <v>2020</v>
      </c>
    </row>
    <row r="1800" spans="5:8" x14ac:dyDescent="0.25">
      <c r="E1800" s="2">
        <v>44088</v>
      </c>
      <c r="F1800">
        <v>196.5</v>
      </c>
      <c r="G1800">
        <f t="shared" si="70"/>
        <v>9</v>
      </c>
      <c r="H1800">
        <f t="shared" si="71"/>
        <v>2020</v>
      </c>
    </row>
    <row r="1801" spans="5:8" x14ac:dyDescent="0.25">
      <c r="E1801" s="2">
        <v>44089</v>
      </c>
      <c r="F1801">
        <v>196</v>
      </c>
      <c r="G1801">
        <f t="shared" si="70"/>
        <v>9</v>
      </c>
      <c r="H1801">
        <f t="shared" si="71"/>
        <v>2020</v>
      </c>
    </row>
    <row r="1802" spans="5:8" x14ac:dyDescent="0.25">
      <c r="E1802" s="2">
        <v>44090</v>
      </c>
      <c r="F1802">
        <v>195</v>
      </c>
      <c r="G1802">
        <f t="shared" si="70"/>
        <v>9</v>
      </c>
      <c r="H1802">
        <f t="shared" si="71"/>
        <v>2020</v>
      </c>
    </row>
    <row r="1803" spans="5:8" x14ac:dyDescent="0.25">
      <c r="E1803" s="2">
        <v>44091</v>
      </c>
      <c r="F1803">
        <v>196</v>
      </c>
      <c r="G1803">
        <f t="shared" si="70"/>
        <v>9</v>
      </c>
      <c r="H1803">
        <f t="shared" si="71"/>
        <v>2020</v>
      </c>
    </row>
    <row r="1804" spans="5:8" x14ac:dyDescent="0.25">
      <c r="E1804" s="2">
        <v>44092</v>
      </c>
      <c r="F1804">
        <v>196</v>
      </c>
      <c r="G1804">
        <f t="shared" si="70"/>
        <v>9</v>
      </c>
      <c r="H1804">
        <f t="shared" si="71"/>
        <v>2020</v>
      </c>
    </row>
    <row r="1805" spans="5:8" x14ac:dyDescent="0.25">
      <c r="E1805" s="2">
        <v>44095</v>
      </c>
      <c r="F1805">
        <v>196</v>
      </c>
      <c r="G1805">
        <f t="shared" si="70"/>
        <v>9</v>
      </c>
      <c r="H1805">
        <f t="shared" si="71"/>
        <v>2020</v>
      </c>
    </row>
    <row r="1806" spans="5:8" x14ac:dyDescent="0.25">
      <c r="E1806" s="2">
        <v>44096</v>
      </c>
      <c r="F1806">
        <v>198.5</v>
      </c>
      <c r="G1806">
        <f t="shared" si="70"/>
        <v>9</v>
      </c>
      <c r="H1806">
        <f t="shared" si="71"/>
        <v>2020</v>
      </c>
    </row>
    <row r="1807" spans="5:8" x14ac:dyDescent="0.25">
      <c r="E1807" s="2">
        <v>44097</v>
      </c>
      <c r="F1807">
        <v>198.5</v>
      </c>
      <c r="G1807">
        <f t="shared" si="70"/>
        <v>9</v>
      </c>
      <c r="H1807">
        <f t="shared" si="71"/>
        <v>2020</v>
      </c>
    </row>
    <row r="1808" spans="5:8" x14ac:dyDescent="0.25">
      <c r="E1808" s="2">
        <v>44098</v>
      </c>
      <c r="F1808">
        <v>198.5</v>
      </c>
      <c r="G1808">
        <f t="shared" si="70"/>
        <v>9</v>
      </c>
      <c r="H1808">
        <f t="shared" si="71"/>
        <v>2020</v>
      </c>
    </row>
    <row r="1809" spans="5:8" x14ac:dyDescent="0.25">
      <c r="E1809" s="2">
        <v>44099</v>
      </c>
      <c r="F1809">
        <v>198</v>
      </c>
      <c r="G1809">
        <f t="shared" si="70"/>
        <v>9</v>
      </c>
      <c r="H1809">
        <f t="shared" si="71"/>
        <v>2020</v>
      </c>
    </row>
    <row r="1810" spans="5:8" x14ac:dyDescent="0.25">
      <c r="E1810" s="2">
        <v>44102</v>
      </c>
      <c r="F1810">
        <v>197.75</v>
      </c>
      <c r="G1810">
        <f t="shared" si="70"/>
        <v>9</v>
      </c>
      <c r="H1810">
        <f t="shared" si="71"/>
        <v>2020</v>
      </c>
    </row>
    <row r="1811" spans="5:8" x14ac:dyDescent="0.25">
      <c r="E1811" s="2">
        <v>44103</v>
      </c>
      <c r="F1811">
        <v>198</v>
      </c>
      <c r="G1811">
        <f t="shared" si="70"/>
        <v>9</v>
      </c>
      <c r="H1811">
        <f t="shared" si="71"/>
        <v>2020</v>
      </c>
    </row>
    <row r="1812" spans="5:8" x14ac:dyDescent="0.25">
      <c r="E1812" s="2">
        <v>44104</v>
      </c>
      <c r="F1812">
        <v>199</v>
      </c>
      <c r="G1812">
        <f t="shared" si="70"/>
        <v>9</v>
      </c>
      <c r="H1812">
        <f t="shared" si="71"/>
        <v>2020</v>
      </c>
    </row>
    <row r="1813" spans="5:8" x14ac:dyDescent="0.25">
      <c r="E1813" s="2">
        <v>44105</v>
      </c>
      <c r="F1813">
        <v>199</v>
      </c>
      <c r="G1813">
        <f t="shared" si="70"/>
        <v>10</v>
      </c>
      <c r="H1813">
        <f t="shared" si="71"/>
        <v>2020</v>
      </c>
    </row>
    <row r="1814" spans="5:8" x14ac:dyDescent="0.25">
      <c r="E1814" s="2">
        <v>44106</v>
      </c>
      <c r="F1814">
        <v>199</v>
      </c>
      <c r="G1814">
        <f t="shared" si="70"/>
        <v>10</v>
      </c>
      <c r="H1814">
        <f t="shared" si="71"/>
        <v>2020</v>
      </c>
    </row>
    <row r="1815" spans="5:8" x14ac:dyDescent="0.25">
      <c r="E1815" s="2">
        <v>44109</v>
      </c>
      <c r="F1815">
        <v>199</v>
      </c>
      <c r="G1815">
        <f t="shared" si="70"/>
        <v>10</v>
      </c>
      <c r="H1815">
        <f t="shared" si="71"/>
        <v>2020</v>
      </c>
    </row>
    <row r="1816" spans="5:8" x14ac:dyDescent="0.25">
      <c r="E1816" s="2">
        <v>44110</v>
      </c>
      <c r="F1816">
        <v>196.5</v>
      </c>
      <c r="G1816">
        <f t="shared" si="70"/>
        <v>10</v>
      </c>
      <c r="H1816">
        <f t="shared" si="71"/>
        <v>2020</v>
      </c>
    </row>
    <row r="1817" spans="5:8" x14ac:dyDescent="0.25">
      <c r="E1817" s="2">
        <v>44111</v>
      </c>
      <c r="F1817">
        <v>196.5</v>
      </c>
      <c r="G1817">
        <f t="shared" si="70"/>
        <v>10</v>
      </c>
      <c r="H1817">
        <f t="shared" si="71"/>
        <v>2020</v>
      </c>
    </row>
    <row r="1818" spans="5:8" x14ac:dyDescent="0.25">
      <c r="E1818" s="2">
        <v>44112</v>
      </c>
      <c r="F1818">
        <v>195</v>
      </c>
      <c r="G1818">
        <f t="shared" si="70"/>
        <v>10</v>
      </c>
      <c r="H1818">
        <f t="shared" si="71"/>
        <v>2020</v>
      </c>
    </row>
    <row r="1819" spans="5:8" x14ac:dyDescent="0.25">
      <c r="E1819" s="2">
        <v>44113</v>
      </c>
      <c r="F1819">
        <v>195</v>
      </c>
      <c r="G1819">
        <f t="shared" si="70"/>
        <v>10</v>
      </c>
      <c r="H1819">
        <f t="shared" si="71"/>
        <v>2020</v>
      </c>
    </row>
    <row r="1820" spans="5:8" x14ac:dyDescent="0.25">
      <c r="E1820" s="2">
        <v>44116</v>
      </c>
      <c r="F1820">
        <v>195</v>
      </c>
      <c r="G1820">
        <f t="shared" si="70"/>
        <v>10</v>
      </c>
      <c r="H1820">
        <f t="shared" si="71"/>
        <v>2020</v>
      </c>
    </row>
    <row r="1821" spans="5:8" x14ac:dyDescent="0.25">
      <c r="E1821" s="2">
        <v>44117</v>
      </c>
      <c r="F1821">
        <v>195</v>
      </c>
      <c r="G1821">
        <f t="shared" si="70"/>
        <v>10</v>
      </c>
      <c r="H1821">
        <f t="shared" si="71"/>
        <v>2020</v>
      </c>
    </row>
    <row r="1822" spans="5:8" x14ac:dyDescent="0.25">
      <c r="E1822" s="2">
        <v>44118</v>
      </c>
      <c r="F1822">
        <v>195</v>
      </c>
      <c r="G1822">
        <f t="shared" si="70"/>
        <v>10</v>
      </c>
      <c r="H1822">
        <f t="shared" si="71"/>
        <v>2020</v>
      </c>
    </row>
    <row r="1823" spans="5:8" x14ac:dyDescent="0.25">
      <c r="E1823" s="2">
        <v>44119</v>
      </c>
      <c r="F1823">
        <v>194.5</v>
      </c>
      <c r="G1823">
        <f t="shared" si="70"/>
        <v>10</v>
      </c>
      <c r="H1823">
        <f t="shared" si="71"/>
        <v>2020</v>
      </c>
    </row>
    <row r="1824" spans="5:8" x14ac:dyDescent="0.25">
      <c r="E1824" s="2">
        <v>44120</v>
      </c>
      <c r="F1824">
        <v>194.5</v>
      </c>
      <c r="G1824">
        <f t="shared" si="70"/>
        <v>10</v>
      </c>
      <c r="H1824">
        <f t="shared" si="71"/>
        <v>2020</v>
      </c>
    </row>
    <row r="1825" spans="5:8" x14ac:dyDescent="0.25">
      <c r="E1825" s="2">
        <v>44123</v>
      </c>
      <c r="F1825">
        <v>195.25</v>
      </c>
      <c r="G1825">
        <f t="shared" si="70"/>
        <v>10</v>
      </c>
      <c r="H1825">
        <f t="shared" si="71"/>
        <v>2020</v>
      </c>
    </row>
    <row r="1826" spans="5:8" x14ac:dyDescent="0.25">
      <c r="E1826" s="2">
        <v>44124</v>
      </c>
      <c r="F1826">
        <v>195</v>
      </c>
      <c r="G1826">
        <f t="shared" si="70"/>
        <v>10</v>
      </c>
      <c r="H1826">
        <f t="shared" si="71"/>
        <v>2020</v>
      </c>
    </row>
    <row r="1827" spans="5:8" x14ac:dyDescent="0.25">
      <c r="E1827" s="2">
        <v>44125</v>
      </c>
      <c r="F1827">
        <v>195.5</v>
      </c>
      <c r="G1827">
        <f t="shared" si="70"/>
        <v>10</v>
      </c>
      <c r="H1827">
        <f t="shared" si="71"/>
        <v>2020</v>
      </c>
    </row>
    <row r="1828" spans="5:8" x14ac:dyDescent="0.25">
      <c r="E1828" s="2">
        <v>44126</v>
      </c>
      <c r="F1828">
        <v>196</v>
      </c>
      <c r="G1828">
        <f t="shared" si="70"/>
        <v>10</v>
      </c>
      <c r="H1828">
        <f t="shared" si="71"/>
        <v>2020</v>
      </c>
    </row>
    <row r="1829" spans="5:8" x14ac:dyDescent="0.25">
      <c r="E1829" s="2">
        <v>44127</v>
      </c>
      <c r="F1829">
        <v>195.5</v>
      </c>
      <c r="G1829">
        <f t="shared" si="70"/>
        <v>10</v>
      </c>
      <c r="H1829">
        <f t="shared" si="71"/>
        <v>2020</v>
      </c>
    </row>
    <row r="1830" spans="5:8" x14ac:dyDescent="0.25">
      <c r="E1830" s="2">
        <v>44130</v>
      </c>
      <c r="F1830">
        <v>195</v>
      </c>
      <c r="G1830">
        <f t="shared" si="70"/>
        <v>10</v>
      </c>
      <c r="H1830">
        <f t="shared" si="71"/>
        <v>2020</v>
      </c>
    </row>
    <row r="1831" spans="5:8" x14ac:dyDescent="0.25">
      <c r="E1831" s="2">
        <v>44131</v>
      </c>
      <c r="F1831">
        <v>195</v>
      </c>
      <c r="G1831">
        <f t="shared" si="70"/>
        <v>10</v>
      </c>
      <c r="H1831">
        <f t="shared" si="71"/>
        <v>2020</v>
      </c>
    </row>
    <row r="1832" spans="5:8" x14ac:dyDescent="0.25">
      <c r="E1832" s="2">
        <v>44132</v>
      </c>
      <c r="F1832">
        <v>195.25</v>
      </c>
      <c r="G1832">
        <f t="shared" si="70"/>
        <v>10</v>
      </c>
      <c r="H1832">
        <f t="shared" si="71"/>
        <v>2020</v>
      </c>
    </row>
    <row r="1833" spans="5:8" x14ac:dyDescent="0.25">
      <c r="E1833" s="2">
        <v>44133</v>
      </c>
      <c r="F1833">
        <v>195</v>
      </c>
      <c r="G1833">
        <f t="shared" si="70"/>
        <v>10</v>
      </c>
      <c r="H1833">
        <f t="shared" si="71"/>
        <v>2020</v>
      </c>
    </row>
    <row r="1834" spans="5:8" x14ac:dyDescent="0.25">
      <c r="E1834" s="2">
        <v>44134</v>
      </c>
      <c r="F1834">
        <v>195.5</v>
      </c>
      <c r="G1834">
        <f t="shared" si="70"/>
        <v>10</v>
      </c>
      <c r="H1834">
        <f t="shared" si="71"/>
        <v>2020</v>
      </c>
    </row>
    <row r="1835" spans="5:8" x14ac:dyDescent="0.25">
      <c r="E1835" s="2">
        <v>44137</v>
      </c>
      <c r="F1835">
        <v>196.5</v>
      </c>
      <c r="G1835">
        <f t="shared" si="70"/>
        <v>11</v>
      </c>
      <c r="H1835">
        <f t="shared" si="71"/>
        <v>2020</v>
      </c>
    </row>
    <row r="1836" spans="5:8" x14ac:dyDescent="0.25">
      <c r="E1836" s="2">
        <v>44138</v>
      </c>
      <c r="F1836">
        <v>194.5</v>
      </c>
      <c r="G1836">
        <f t="shared" si="70"/>
        <v>11</v>
      </c>
      <c r="H1836">
        <f t="shared" si="71"/>
        <v>2020</v>
      </c>
    </row>
    <row r="1837" spans="5:8" x14ac:dyDescent="0.25">
      <c r="E1837" s="2">
        <v>44139</v>
      </c>
      <c r="F1837">
        <v>192.25</v>
      </c>
      <c r="G1837">
        <f t="shared" si="70"/>
        <v>11</v>
      </c>
      <c r="H1837">
        <f t="shared" si="71"/>
        <v>2020</v>
      </c>
    </row>
    <row r="1838" spans="5:8" x14ac:dyDescent="0.25">
      <c r="E1838" s="2">
        <v>44140</v>
      </c>
      <c r="F1838">
        <v>197</v>
      </c>
      <c r="G1838">
        <f t="shared" si="70"/>
        <v>11</v>
      </c>
      <c r="H1838">
        <f t="shared" si="71"/>
        <v>2020</v>
      </c>
    </row>
    <row r="1839" spans="5:8" x14ac:dyDescent="0.25">
      <c r="E1839" s="2">
        <v>44141</v>
      </c>
      <c r="F1839">
        <v>198</v>
      </c>
      <c r="G1839">
        <f t="shared" si="70"/>
        <v>11</v>
      </c>
      <c r="H1839">
        <f t="shared" si="71"/>
        <v>2020</v>
      </c>
    </row>
    <row r="1840" spans="5:8" x14ac:dyDescent="0.25">
      <c r="E1840" s="2">
        <v>44144</v>
      </c>
      <c r="F1840">
        <v>198</v>
      </c>
      <c r="G1840">
        <f t="shared" si="70"/>
        <v>11</v>
      </c>
      <c r="H1840">
        <f t="shared" si="71"/>
        <v>2020</v>
      </c>
    </row>
    <row r="1841" spans="5:8" x14ac:dyDescent="0.25">
      <c r="E1841" s="2">
        <v>44145</v>
      </c>
      <c r="F1841">
        <v>198</v>
      </c>
      <c r="G1841">
        <f t="shared" si="70"/>
        <v>11</v>
      </c>
      <c r="H1841">
        <f t="shared" si="71"/>
        <v>2020</v>
      </c>
    </row>
    <row r="1842" spans="5:8" x14ac:dyDescent="0.25">
      <c r="E1842" s="2">
        <v>44146</v>
      </c>
      <c r="F1842">
        <v>199</v>
      </c>
      <c r="G1842">
        <f t="shared" si="70"/>
        <v>11</v>
      </c>
      <c r="H1842">
        <f t="shared" si="71"/>
        <v>2020</v>
      </c>
    </row>
    <row r="1843" spans="5:8" x14ac:dyDescent="0.25">
      <c r="E1843" s="2">
        <v>44147</v>
      </c>
      <c r="F1843">
        <v>199.5</v>
      </c>
      <c r="G1843">
        <f t="shared" si="70"/>
        <v>11</v>
      </c>
      <c r="H1843">
        <f t="shared" si="71"/>
        <v>2020</v>
      </c>
    </row>
    <row r="1844" spans="5:8" x14ac:dyDescent="0.25">
      <c r="E1844" s="2">
        <v>44148</v>
      </c>
      <c r="F1844">
        <v>200</v>
      </c>
      <c r="G1844">
        <f t="shared" si="70"/>
        <v>11</v>
      </c>
      <c r="H1844">
        <f t="shared" si="71"/>
        <v>2020</v>
      </c>
    </row>
    <row r="1845" spans="5:8" x14ac:dyDescent="0.25">
      <c r="E1845" s="2">
        <v>44151</v>
      </c>
      <c r="F1845">
        <v>201</v>
      </c>
      <c r="G1845">
        <f t="shared" si="70"/>
        <v>11</v>
      </c>
      <c r="H1845">
        <f t="shared" si="71"/>
        <v>2020</v>
      </c>
    </row>
    <row r="1846" spans="5:8" x14ac:dyDescent="0.25">
      <c r="E1846" s="2">
        <v>44152</v>
      </c>
      <c r="F1846">
        <v>200.5</v>
      </c>
      <c r="G1846">
        <f t="shared" si="70"/>
        <v>11</v>
      </c>
      <c r="H1846">
        <f t="shared" si="71"/>
        <v>2020</v>
      </c>
    </row>
    <row r="1847" spans="5:8" x14ac:dyDescent="0.25">
      <c r="E1847" s="2">
        <v>44153</v>
      </c>
      <c r="F1847">
        <v>200.5</v>
      </c>
      <c r="G1847">
        <f t="shared" si="70"/>
        <v>11</v>
      </c>
      <c r="H1847">
        <f t="shared" si="71"/>
        <v>2020</v>
      </c>
    </row>
    <row r="1848" spans="5:8" x14ac:dyDescent="0.25">
      <c r="E1848" s="2">
        <v>44154</v>
      </c>
      <c r="F1848">
        <v>200.25</v>
      </c>
      <c r="G1848">
        <f t="shared" si="70"/>
        <v>11</v>
      </c>
      <c r="H1848">
        <f t="shared" si="71"/>
        <v>2020</v>
      </c>
    </row>
    <row r="1849" spans="5:8" x14ac:dyDescent="0.25">
      <c r="E1849" s="2">
        <v>44155</v>
      </c>
      <c r="F1849">
        <v>200.5</v>
      </c>
      <c r="G1849">
        <f t="shared" si="70"/>
        <v>11</v>
      </c>
      <c r="H1849">
        <f t="shared" si="71"/>
        <v>2020</v>
      </c>
    </row>
    <row r="1850" spans="5:8" x14ac:dyDescent="0.25">
      <c r="E1850" s="2">
        <v>44158</v>
      </c>
      <c r="F1850">
        <v>200.5</v>
      </c>
      <c r="G1850">
        <f t="shared" si="70"/>
        <v>11</v>
      </c>
      <c r="H1850">
        <f t="shared" si="71"/>
        <v>2020</v>
      </c>
    </row>
    <row r="1851" spans="5:8" x14ac:dyDescent="0.25">
      <c r="E1851" s="2">
        <v>44159</v>
      </c>
      <c r="F1851">
        <v>200</v>
      </c>
      <c r="G1851">
        <f t="shared" si="70"/>
        <v>11</v>
      </c>
      <c r="H1851">
        <f t="shared" si="71"/>
        <v>2020</v>
      </c>
    </row>
    <row r="1852" spans="5:8" x14ac:dyDescent="0.25">
      <c r="E1852" s="2">
        <v>44160</v>
      </c>
      <c r="F1852">
        <v>199.75</v>
      </c>
      <c r="G1852">
        <f t="shared" si="70"/>
        <v>11</v>
      </c>
      <c r="H1852">
        <f t="shared" si="71"/>
        <v>2020</v>
      </c>
    </row>
    <row r="1853" spans="5:8" x14ac:dyDescent="0.25">
      <c r="E1853" s="2">
        <v>44165</v>
      </c>
      <c r="F1853">
        <v>200</v>
      </c>
      <c r="G1853">
        <f t="shared" si="70"/>
        <v>11</v>
      </c>
      <c r="H1853">
        <f t="shared" si="71"/>
        <v>2020</v>
      </c>
    </row>
    <row r="1854" spans="5:8" x14ac:dyDescent="0.25">
      <c r="E1854" s="2">
        <v>44166</v>
      </c>
      <c r="F1854">
        <v>200</v>
      </c>
      <c r="G1854">
        <f t="shared" si="70"/>
        <v>12</v>
      </c>
      <c r="H1854">
        <f t="shared" si="71"/>
        <v>2020</v>
      </c>
    </row>
    <row r="1855" spans="5:8" x14ac:dyDescent="0.25">
      <c r="E1855" s="2">
        <v>44167</v>
      </c>
      <c r="F1855">
        <v>200</v>
      </c>
      <c r="G1855">
        <f t="shared" si="70"/>
        <v>12</v>
      </c>
      <c r="H1855">
        <f t="shared" si="71"/>
        <v>2020</v>
      </c>
    </row>
    <row r="1856" spans="5:8" x14ac:dyDescent="0.25">
      <c r="E1856" s="2">
        <v>44168</v>
      </c>
      <c r="F1856">
        <v>200.5</v>
      </c>
      <c r="G1856">
        <f t="shared" si="70"/>
        <v>12</v>
      </c>
      <c r="H1856">
        <f t="shared" si="71"/>
        <v>2020</v>
      </c>
    </row>
    <row r="1857" spans="5:8" x14ac:dyDescent="0.25">
      <c r="E1857" s="2">
        <v>44169</v>
      </c>
      <c r="F1857">
        <v>200.5</v>
      </c>
      <c r="G1857">
        <f t="shared" si="70"/>
        <v>12</v>
      </c>
      <c r="H1857">
        <f t="shared" si="71"/>
        <v>2020</v>
      </c>
    </row>
    <row r="1858" spans="5:8" x14ac:dyDescent="0.25">
      <c r="E1858" s="2">
        <v>44172</v>
      </c>
      <c r="F1858">
        <v>199</v>
      </c>
      <c r="G1858">
        <f t="shared" si="70"/>
        <v>12</v>
      </c>
      <c r="H1858">
        <f t="shared" si="71"/>
        <v>2020</v>
      </c>
    </row>
    <row r="1859" spans="5:8" x14ac:dyDescent="0.25">
      <c r="E1859" s="2">
        <v>44173</v>
      </c>
      <c r="F1859">
        <v>199</v>
      </c>
      <c r="G1859">
        <f t="shared" si="70"/>
        <v>12</v>
      </c>
      <c r="H1859">
        <f t="shared" si="71"/>
        <v>2020</v>
      </c>
    </row>
    <row r="1860" spans="5:8" x14ac:dyDescent="0.25">
      <c r="E1860" s="2">
        <v>44174</v>
      </c>
      <c r="F1860">
        <v>198.5</v>
      </c>
      <c r="G1860">
        <f t="shared" si="70"/>
        <v>12</v>
      </c>
      <c r="H1860">
        <f t="shared" si="71"/>
        <v>2020</v>
      </c>
    </row>
    <row r="1861" spans="5:8" x14ac:dyDescent="0.25">
      <c r="E1861" s="2">
        <v>44175</v>
      </c>
      <c r="F1861">
        <v>198.5</v>
      </c>
      <c r="G1861">
        <f t="shared" ref="G1861:G1924" si="72">MONTH(E1861)</f>
        <v>12</v>
      </c>
      <c r="H1861">
        <f t="shared" ref="H1861:H1924" si="73">YEAR(E1861)</f>
        <v>2020</v>
      </c>
    </row>
    <row r="1862" spans="5:8" x14ac:dyDescent="0.25">
      <c r="E1862" s="2">
        <v>44176</v>
      </c>
      <c r="F1862">
        <v>198.75</v>
      </c>
      <c r="G1862">
        <f t="shared" si="72"/>
        <v>12</v>
      </c>
      <c r="H1862">
        <f t="shared" si="73"/>
        <v>2020</v>
      </c>
    </row>
    <row r="1863" spans="5:8" x14ac:dyDescent="0.25">
      <c r="E1863" s="2">
        <v>44179</v>
      </c>
      <c r="F1863">
        <v>198.75</v>
      </c>
      <c r="G1863">
        <f t="shared" si="72"/>
        <v>12</v>
      </c>
      <c r="H1863">
        <f t="shared" si="73"/>
        <v>2020</v>
      </c>
    </row>
    <row r="1864" spans="5:8" x14ac:dyDescent="0.25">
      <c r="E1864" s="2">
        <v>44180</v>
      </c>
      <c r="F1864">
        <v>198.5</v>
      </c>
      <c r="G1864">
        <f t="shared" si="72"/>
        <v>12</v>
      </c>
      <c r="H1864">
        <f t="shared" si="73"/>
        <v>2020</v>
      </c>
    </row>
    <row r="1865" spans="5:8" x14ac:dyDescent="0.25">
      <c r="E1865" s="2">
        <v>44181</v>
      </c>
      <c r="F1865">
        <v>198.75</v>
      </c>
      <c r="G1865">
        <f t="shared" si="72"/>
        <v>12</v>
      </c>
      <c r="H1865">
        <f t="shared" si="73"/>
        <v>2020</v>
      </c>
    </row>
    <row r="1866" spans="5:8" x14ac:dyDescent="0.25">
      <c r="E1866" s="2">
        <v>44182</v>
      </c>
      <c r="F1866">
        <v>198</v>
      </c>
      <c r="G1866">
        <f t="shared" si="72"/>
        <v>12</v>
      </c>
      <c r="H1866">
        <f t="shared" si="73"/>
        <v>2020</v>
      </c>
    </row>
    <row r="1867" spans="5:8" x14ac:dyDescent="0.25">
      <c r="E1867" s="2">
        <v>44183</v>
      </c>
      <c r="F1867">
        <v>199.25</v>
      </c>
      <c r="G1867">
        <f t="shared" si="72"/>
        <v>12</v>
      </c>
      <c r="H1867">
        <f t="shared" si="73"/>
        <v>2020</v>
      </c>
    </row>
    <row r="1868" spans="5:8" x14ac:dyDescent="0.25">
      <c r="E1868" s="2">
        <v>44186</v>
      </c>
      <c r="F1868">
        <v>199</v>
      </c>
      <c r="G1868">
        <f t="shared" si="72"/>
        <v>12</v>
      </c>
      <c r="H1868">
        <f t="shared" si="73"/>
        <v>2020</v>
      </c>
    </row>
    <row r="1869" spans="5:8" x14ac:dyDescent="0.25">
      <c r="E1869" s="2">
        <v>44187</v>
      </c>
      <c r="F1869">
        <v>199</v>
      </c>
      <c r="G1869">
        <f t="shared" si="72"/>
        <v>12</v>
      </c>
      <c r="H1869">
        <f t="shared" si="73"/>
        <v>2020</v>
      </c>
    </row>
    <row r="1870" spans="5:8" x14ac:dyDescent="0.25">
      <c r="E1870" s="2">
        <v>44188</v>
      </c>
      <c r="F1870">
        <v>199</v>
      </c>
      <c r="G1870">
        <f t="shared" si="72"/>
        <v>12</v>
      </c>
      <c r="H1870">
        <f t="shared" si="73"/>
        <v>2020</v>
      </c>
    </row>
    <row r="1871" spans="5:8" x14ac:dyDescent="0.25">
      <c r="E1871" s="2">
        <v>44189</v>
      </c>
      <c r="F1871">
        <v>199</v>
      </c>
      <c r="G1871">
        <f t="shared" si="72"/>
        <v>12</v>
      </c>
      <c r="H1871">
        <f t="shared" si="73"/>
        <v>2020</v>
      </c>
    </row>
    <row r="1872" spans="5:8" x14ac:dyDescent="0.25">
      <c r="E1872" s="2">
        <v>44193</v>
      </c>
      <c r="F1872">
        <v>199</v>
      </c>
      <c r="G1872">
        <f t="shared" si="72"/>
        <v>12</v>
      </c>
      <c r="H1872">
        <f t="shared" si="73"/>
        <v>2020</v>
      </c>
    </row>
    <row r="1873" spans="5:8" x14ac:dyDescent="0.25">
      <c r="E1873" s="2">
        <v>44194</v>
      </c>
      <c r="F1873">
        <v>198.5</v>
      </c>
      <c r="G1873">
        <f t="shared" si="72"/>
        <v>12</v>
      </c>
      <c r="H1873">
        <f t="shared" si="73"/>
        <v>2020</v>
      </c>
    </row>
    <row r="1874" spans="5:8" x14ac:dyDescent="0.25">
      <c r="E1874" s="2">
        <v>44195</v>
      </c>
      <c r="F1874">
        <v>198</v>
      </c>
      <c r="G1874">
        <f t="shared" si="72"/>
        <v>12</v>
      </c>
      <c r="H1874">
        <f t="shared" si="73"/>
        <v>2020</v>
      </c>
    </row>
    <row r="1875" spans="5:8" x14ac:dyDescent="0.25">
      <c r="E1875" s="2">
        <v>44196</v>
      </c>
      <c r="F1875">
        <v>198</v>
      </c>
      <c r="G1875">
        <f t="shared" si="72"/>
        <v>12</v>
      </c>
      <c r="H1875">
        <f t="shared" si="73"/>
        <v>2020</v>
      </c>
    </row>
    <row r="1876" spans="5:8" x14ac:dyDescent="0.25">
      <c r="E1876" s="2">
        <v>44200</v>
      </c>
      <c r="F1876">
        <v>200.25</v>
      </c>
      <c r="G1876">
        <f t="shared" si="72"/>
        <v>1</v>
      </c>
      <c r="H1876">
        <f t="shared" si="73"/>
        <v>2021</v>
      </c>
    </row>
    <row r="1877" spans="5:8" x14ac:dyDescent="0.25">
      <c r="E1877" s="2">
        <v>44201</v>
      </c>
      <c r="F1877">
        <v>198</v>
      </c>
      <c r="G1877">
        <f t="shared" si="72"/>
        <v>1</v>
      </c>
      <c r="H1877">
        <f t="shared" si="73"/>
        <v>2021</v>
      </c>
    </row>
    <row r="1878" spans="5:8" x14ac:dyDescent="0.25">
      <c r="E1878" s="2">
        <v>44202</v>
      </c>
      <c r="F1878">
        <v>199</v>
      </c>
      <c r="G1878">
        <f t="shared" si="72"/>
        <v>1</v>
      </c>
      <c r="H1878">
        <f t="shared" si="73"/>
        <v>2021</v>
      </c>
    </row>
    <row r="1879" spans="5:8" x14ac:dyDescent="0.25">
      <c r="E1879" s="2">
        <v>44203</v>
      </c>
      <c r="F1879">
        <v>198</v>
      </c>
      <c r="G1879">
        <f t="shared" si="72"/>
        <v>1</v>
      </c>
      <c r="H1879">
        <f t="shared" si="73"/>
        <v>2021</v>
      </c>
    </row>
    <row r="1880" spans="5:8" x14ac:dyDescent="0.25">
      <c r="E1880" s="2">
        <v>44204</v>
      </c>
      <c r="F1880">
        <v>201.25</v>
      </c>
      <c r="G1880">
        <f t="shared" si="72"/>
        <v>1</v>
      </c>
      <c r="H1880">
        <f t="shared" si="73"/>
        <v>2021</v>
      </c>
    </row>
    <row r="1881" spans="5:8" x14ac:dyDescent="0.25">
      <c r="E1881" s="2">
        <v>44207</v>
      </c>
      <c r="F1881">
        <v>200.5</v>
      </c>
      <c r="G1881">
        <f t="shared" si="72"/>
        <v>1</v>
      </c>
      <c r="H1881">
        <f t="shared" si="73"/>
        <v>2021</v>
      </c>
    </row>
    <row r="1882" spans="5:8" x14ac:dyDescent="0.25">
      <c r="E1882" s="2">
        <v>44208</v>
      </c>
      <c r="F1882">
        <v>201.25</v>
      </c>
      <c r="G1882">
        <f t="shared" si="72"/>
        <v>1</v>
      </c>
      <c r="H1882">
        <f t="shared" si="73"/>
        <v>2021</v>
      </c>
    </row>
    <row r="1883" spans="5:8" x14ac:dyDescent="0.25">
      <c r="E1883" s="2">
        <v>44209</v>
      </c>
      <c r="F1883">
        <v>201</v>
      </c>
      <c r="G1883">
        <f t="shared" si="72"/>
        <v>1</v>
      </c>
      <c r="H1883">
        <f t="shared" si="73"/>
        <v>2021</v>
      </c>
    </row>
    <row r="1884" spans="5:8" x14ac:dyDescent="0.25">
      <c r="E1884" s="2">
        <v>44210</v>
      </c>
      <c r="F1884">
        <v>201</v>
      </c>
      <c r="G1884">
        <f t="shared" si="72"/>
        <v>1</v>
      </c>
      <c r="H1884">
        <f t="shared" si="73"/>
        <v>2021</v>
      </c>
    </row>
    <row r="1885" spans="5:8" x14ac:dyDescent="0.25">
      <c r="E1885" s="2">
        <v>44211</v>
      </c>
      <c r="F1885">
        <v>202</v>
      </c>
      <c r="G1885">
        <f t="shared" si="72"/>
        <v>1</v>
      </c>
      <c r="H1885">
        <f t="shared" si="73"/>
        <v>2021</v>
      </c>
    </row>
    <row r="1886" spans="5:8" x14ac:dyDescent="0.25">
      <c r="E1886" s="2">
        <v>44215</v>
      </c>
      <c r="F1886">
        <v>202</v>
      </c>
      <c r="G1886">
        <f t="shared" si="72"/>
        <v>1</v>
      </c>
      <c r="H1886">
        <f t="shared" si="73"/>
        <v>2021</v>
      </c>
    </row>
    <row r="1887" spans="5:8" x14ac:dyDescent="0.25">
      <c r="E1887" s="2">
        <v>44216</v>
      </c>
      <c r="F1887">
        <v>201</v>
      </c>
      <c r="G1887">
        <f t="shared" si="72"/>
        <v>1</v>
      </c>
      <c r="H1887">
        <f t="shared" si="73"/>
        <v>2021</v>
      </c>
    </row>
    <row r="1888" spans="5:8" x14ac:dyDescent="0.25">
      <c r="E1888" s="2">
        <v>44217</v>
      </c>
      <c r="F1888">
        <v>200.75</v>
      </c>
      <c r="G1888">
        <f t="shared" si="72"/>
        <v>1</v>
      </c>
      <c r="H1888">
        <f t="shared" si="73"/>
        <v>2021</v>
      </c>
    </row>
    <row r="1889" spans="5:8" x14ac:dyDescent="0.25">
      <c r="E1889" s="2">
        <v>44218</v>
      </c>
      <c r="F1889">
        <v>200.75</v>
      </c>
      <c r="G1889">
        <f t="shared" si="72"/>
        <v>1</v>
      </c>
      <c r="H1889">
        <f t="shared" si="73"/>
        <v>2021</v>
      </c>
    </row>
    <row r="1890" spans="5:8" x14ac:dyDescent="0.25">
      <c r="E1890" s="2">
        <v>44221</v>
      </c>
      <c r="F1890">
        <v>200.13</v>
      </c>
      <c r="G1890">
        <f t="shared" si="72"/>
        <v>1</v>
      </c>
      <c r="H1890">
        <f t="shared" si="73"/>
        <v>2021</v>
      </c>
    </row>
    <row r="1891" spans="5:8" x14ac:dyDescent="0.25">
      <c r="E1891" s="2">
        <v>44222</v>
      </c>
      <c r="F1891">
        <v>199</v>
      </c>
      <c r="G1891">
        <f t="shared" si="72"/>
        <v>1</v>
      </c>
      <c r="H1891">
        <f t="shared" si="73"/>
        <v>2021</v>
      </c>
    </row>
    <row r="1892" spans="5:8" x14ac:dyDescent="0.25">
      <c r="E1892" s="2">
        <v>44223</v>
      </c>
      <c r="F1892">
        <v>199</v>
      </c>
      <c r="G1892">
        <f t="shared" si="72"/>
        <v>1</v>
      </c>
      <c r="H1892">
        <f t="shared" si="73"/>
        <v>2021</v>
      </c>
    </row>
    <row r="1893" spans="5:8" x14ac:dyDescent="0.25">
      <c r="E1893" s="2">
        <v>44224</v>
      </c>
      <c r="F1893">
        <v>196.5</v>
      </c>
      <c r="G1893">
        <f t="shared" si="72"/>
        <v>1</v>
      </c>
      <c r="H1893">
        <f t="shared" si="73"/>
        <v>2021</v>
      </c>
    </row>
    <row r="1894" spans="5:8" x14ac:dyDescent="0.25">
      <c r="E1894" s="2">
        <v>44225</v>
      </c>
      <c r="F1894">
        <v>195.5</v>
      </c>
      <c r="G1894">
        <f t="shared" si="72"/>
        <v>1</v>
      </c>
      <c r="H1894">
        <f t="shared" si="73"/>
        <v>2021</v>
      </c>
    </row>
    <row r="1895" spans="5:8" x14ac:dyDescent="0.25">
      <c r="E1895" s="2">
        <v>44228</v>
      </c>
      <c r="F1895">
        <v>193.5</v>
      </c>
      <c r="G1895">
        <f t="shared" si="72"/>
        <v>2</v>
      </c>
      <c r="H1895">
        <f t="shared" si="73"/>
        <v>2021</v>
      </c>
    </row>
    <row r="1896" spans="5:8" x14ac:dyDescent="0.25">
      <c r="E1896" s="2">
        <v>44229</v>
      </c>
      <c r="F1896">
        <v>192.5</v>
      </c>
      <c r="G1896">
        <f t="shared" si="72"/>
        <v>2</v>
      </c>
      <c r="H1896">
        <f t="shared" si="73"/>
        <v>2021</v>
      </c>
    </row>
    <row r="1897" spans="5:8" x14ac:dyDescent="0.25">
      <c r="E1897" s="2">
        <v>44230</v>
      </c>
      <c r="F1897">
        <v>191.5</v>
      </c>
      <c r="G1897">
        <f t="shared" si="72"/>
        <v>2</v>
      </c>
      <c r="H1897">
        <f t="shared" si="73"/>
        <v>2021</v>
      </c>
    </row>
    <row r="1898" spans="5:8" x14ac:dyDescent="0.25">
      <c r="E1898" s="2">
        <v>44231</v>
      </c>
      <c r="F1898">
        <v>193.75</v>
      </c>
      <c r="G1898">
        <f t="shared" si="72"/>
        <v>2</v>
      </c>
      <c r="H1898">
        <f t="shared" si="73"/>
        <v>2021</v>
      </c>
    </row>
    <row r="1899" spans="5:8" x14ac:dyDescent="0.25">
      <c r="E1899" s="2">
        <v>44232</v>
      </c>
      <c r="F1899">
        <v>193.5</v>
      </c>
      <c r="G1899">
        <f t="shared" si="72"/>
        <v>2</v>
      </c>
      <c r="H1899">
        <f t="shared" si="73"/>
        <v>2021</v>
      </c>
    </row>
    <row r="1900" spans="5:8" x14ac:dyDescent="0.25">
      <c r="E1900" s="2">
        <v>44235</v>
      </c>
      <c r="F1900">
        <v>193.5</v>
      </c>
      <c r="G1900">
        <f t="shared" si="72"/>
        <v>2</v>
      </c>
      <c r="H1900">
        <f t="shared" si="73"/>
        <v>2021</v>
      </c>
    </row>
    <row r="1901" spans="5:8" x14ac:dyDescent="0.25">
      <c r="E1901" s="2">
        <v>44236</v>
      </c>
      <c r="F1901">
        <v>193.5</v>
      </c>
      <c r="G1901">
        <f t="shared" si="72"/>
        <v>2</v>
      </c>
      <c r="H1901">
        <f t="shared" si="73"/>
        <v>2021</v>
      </c>
    </row>
    <row r="1902" spans="5:8" x14ac:dyDescent="0.25">
      <c r="E1902" s="2">
        <v>44237</v>
      </c>
      <c r="F1902">
        <v>193</v>
      </c>
      <c r="G1902">
        <f t="shared" si="72"/>
        <v>2</v>
      </c>
      <c r="H1902">
        <f t="shared" si="73"/>
        <v>2021</v>
      </c>
    </row>
    <row r="1903" spans="5:8" x14ac:dyDescent="0.25">
      <c r="E1903" s="2">
        <v>44238</v>
      </c>
      <c r="F1903">
        <v>192</v>
      </c>
      <c r="G1903">
        <f t="shared" si="72"/>
        <v>2</v>
      </c>
      <c r="H1903">
        <f t="shared" si="73"/>
        <v>2021</v>
      </c>
    </row>
    <row r="1904" spans="5:8" x14ac:dyDescent="0.25">
      <c r="E1904" s="2">
        <v>44239</v>
      </c>
      <c r="F1904">
        <v>191</v>
      </c>
      <c r="G1904">
        <f t="shared" si="72"/>
        <v>2</v>
      </c>
      <c r="H1904">
        <f t="shared" si="73"/>
        <v>2021</v>
      </c>
    </row>
    <row r="1905" spans="5:8" x14ac:dyDescent="0.25">
      <c r="E1905" s="2">
        <v>44243</v>
      </c>
      <c r="F1905">
        <v>193</v>
      </c>
      <c r="G1905">
        <f t="shared" si="72"/>
        <v>2</v>
      </c>
      <c r="H1905">
        <f t="shared" si="73"/>
        <v>2021</v>
      </c>
    </row>
    <row r="1906" spans="5:8" x14ac:dyDescent="0.25">
      <c r="E1906" s="2">
        <v>44244</v>
      </c>
      <c r="F1906">
        <v>193</v>
      </c>
      <c r="G1906">
        <f t="shared" si="72"/>
        <v>2</v>
      </c>
      <c r="H1906">
        <f t="shared" si="73"/>
        <v>2021</v>
      </c>
    </row>
    <row r="1907" spans="5:8" x14ac:dyDescent="0.25">
      <c r="E1907" s="2">
        <v>44245</v>
      </c>
      <c r="F1907">
        <v>191</v>
      </c>
      <c r="G1907">
        <f t="shared" si="72"/>
        <v>2</v>
      </c>
      <c r="H1907">
        <f t="shared" si="73"/>
        <v>2021</v>
      </c>
    </row>
    <row r="1908" spans="5:8" x14ac:dyDescent="0.25">
      <c r="E1908" s="2">
        <v>44246</v>
      </c>
      <c r="F1908">
        <v>193</v>
      </c>
      <c r="G1908">
        <f t="shared" si="72"/>
        <v>2</v>
      </c>
      <c r="H1908">
        <f t="shared" si="73"/>
        <v>2021</v>
      </c>
    </row>
    <row r="1909" spans="5:8" x14ac:dyDescent="0.25">
      <c r="E1909" s="2">
        <v>44249</v>
      </c>
      <c r="F1909">
        <v>192.5</v>
      </c>
      <c r="G1909">
        <f t="shared" si="72"/>
        <v>2</v>
      </c>
      <c r="H1909">
        <f t="shared" si="73"/>
        <v>2021</v>
      </c>
    </row>
    <row r="1910" spans="5:8" x14ac:dyDescent="0.25">
      <c r="E1910" s="2">
        <v>44250</v>
      </c>
      <c r="F1910">
        <v>193</v>
      </c>
      <c r="G1910">
        <f t="shared" si="72"/>
        <v>2</v>
      </c>
      <c r="H1910">
        <f t="shared" si="73"/>
        <v>2021</v>
      </c>
    </row>
    <row r="1911" spans="5:8" x14ac:dyDescent="0.25">
      <c r="E1911" s="2">
        <v>44251</v>
      </c>
      <c r="F1911">
        <v>193</v>
      </c>
      <c r="G1911">
        <f t="shared" si="72"/>
        <v>2</v>
      </c>
      <c r="H1911">
        <f t="shared" si="73"/>
        <v>2021</v>
      </c>
    </row>
    <row r="1912" spans="5:8" x14ac:dyDescent="0.25">
      <c r="E1912" s="2">
        <v>44252</v>
      </c>
      <c r="F1912">
        <v>195.5</v>
      </c>
      <c r="G1912">
        <f t="shared" si="72"/>
        <v>2</v>
      </c>
      <c r="H1912">
        <f t="shared" si="73"/>
        <v>2021</v>
      </c>
    </row>
    <row r="1913" spans="5:8" x14ac:dyDescent="0.25">
      <c r="E1913" s="2">
        <v>44253</v>
      </c>
      <c r="F1913">
        <v>194.5</v>
      </c>
      <c r="G1913">
        <f t="shared" si="72"/>
        <v>2</v>
      </c>
      <c r="H1913">
        <f t="shared" si="73"/>
        <v>2021</v>
      </c>
    </row>
    <row r="1914" spans="5:8" x14ac:dyDescent="0.25">
      <c r="E1914" s="2">
        <v>44256</v>
      </c>
      <c r="F1914">
        <v>194.5</v>
      </c>
      <c r="G1914">
        <f t="shared" si="72"/>
        <v>3</v>
      </c>
      <c r="H1914">
        <f t="shared" si="73"/>
        <v>2021</v>
      </c>
    </row>
    <row r="1915" spans="5:8" x14ac:dyDescent="0.25">
      <c r="E1915" s="2">
        <v>44257</v>
      </c>
      <c r="F1915">
        <v>195.5</v>
      </c>
      <c r="G1915">
        <f t="shared" si="72"/>
        <v>3</v>
      </c>
      <c r="H1915">
        <f t="shared" si="73"/>
        <v>2021</v>
      </c>
    </row>
    <row r="1916" spans="5:8" x14ac:dyDescent="0.25">
      <c r="E1916" s="2">
        <v>44258</v>
      </c>
      <c r="F1916">
        <v>195.5</v>
      </c>
      <c r="G1916">
        <f t="shared" si="72"/>
        <v>3</v>
      </c>
      <c r="H1916">
        <f t="shared" si="73"/>
        <v>2021</v>
      </c>
    </row>
    <row r="1917" spans="5:8" x14ac:dyDescent="0.25">
      <c r="E1917" s="2">
        <v>44259</v>
      </c>
      <c r="F1917">
        <v>195.5</v>
      </c>
      <c r="G1917">
        <f t="shared" si="72"/>
        <v>3</v>
      </c>
      <c r="H1917">
        <f t="shared" si="73"/>
        <v>2021</v>
      </c>
    </row>
    <row r="1918" spans="5:8" x14ac:dyDescent="0.25">
      <c r="E1918" s="2">
        <v>44260</v>
      </c>
      <c r="F1918">
        <v>195.5</v>
      </c>
      <c r="G1918">
        <f t="shared" si="72"/>
        <v>3</v>
      </c>
      <c r="H1918">
        <f t="shared" si="73"/>
        <v>2021</v>
      </c>
    </row>
    <row r="1919" spans="5:8" x14ac:dyDescent="0.25">
      <c r="E1919" s="2">
        <v>44263</v>
      </c>
      <c r="F1919">
        <v>195.5</v>
      </c>
      <c r="G1919">
        <f t="shared" si="72"/>
        <v>3</v>
      </c>
      <c r="H1919">
        <f t="shared" si="73"/>
        <v>2021</v>
      </c>
    </row>
    <row r="1920" spans="5:8" x14ac:dyDescent="0.25">
      <c r="E1920" s="2">
        <v>44264</v>
      </c>
      <c r="F1920">
        <v>195.5</v>
      </c>
      <c r="G1920">
        <f t="shared" si="72"/>
        <v>3</v>
      </c>
      <c r="H1920">
        <f t="shared" si="73"/>
        <v>2021</v>
      </c>
    </row>
    <row r="1921" spans="5:8" x14ac:dyDescent="0.25">
      <c r="E1921" s="2">
        <v>44265</v>
      </c>
      <c r="F1921">
        <v>195.75</v>
      </c>
      <c r="G1921">
        <f t="shared" si="72"/>
        <v>3</v>
      </c>
      <c r="H1921">
        <f t="shared" si="73"/>
        <v>2021</v>
      </c>
    </row>
    <row r="1922" spans="5:8" x14ac:dyDescent="0.25">
      <c r="E1922" s="2">
        <v>44266</v>
      </c>
      <c r="F1922">
        <v>196</v>
      </c>
      <c r="G1922">
        <f t="shared" si="72"/>
        <v>3</v>
      </c>
      <c r="H1922">
        <f t="shared" si="73"/>
        <v>2021</v>
      </c>
    </row>
    <row r="1923" spans="5:8" x14ac:dyDescent="0.25">
      <c r="E1923" s="2">
        <v>44267</v>
      </c>
      <c r="F1923">
        <v>196</v>
      </c>
      <c r="G1923">
        <f t="shared" si="72"/>
        <v>3</v>
      </c>
      <c r="H1923">
        <f t="shared" si="73"/>
        <v>2021</v>
      </c>
    </row>
    <row r="1924" spans="5:8" x14ac:dyDescent="0.25">
      <c r="E1924" s="2">
        <v>44270</v>
      </c>
      <c r="F1924">
        <v>195.88</v>
      </c>
      <c r="G1924">
        <f t="shared" si="72"/>
        <v>3</v>
      </c>
      <c r="H1924">
        <f t="shared" si="73"/>
        <v>2021</v>
      </c>
    </row>
    <row r="1925" spans="5:8" x14ac:dyDescent="0.25">
      <c r="E1925" s="2">
        <v>44271</v>
      </c>
      <c r="F1925">
        <v>196</v>
      </c>
      <c r="G1925">
        <f t="shared" ref="G1925:G1988" si="74">MONTH(E1925)</f>
        <v>3</v>
      </c>
      <c r="H1925">
        <f t="shared" ref="H1925:H1988" si="75">YEAR(E1925)</f>
        <v>2021</v>
      </c>
    </row>
    <row r="1926" spans="5:8" x14ac:dyDescent="0.25">
      <c r="E1926" s="2">
        <v>44272</v>
      </c>
      <c r="F1926">
        <v>196</v>
      </c>
      <c r="G1926">
        <f t="shared" si="74"/>
        <v>3</v>
      </c>
      <c r="H1926">
        <f t="shared" si="75"/>
        <v>2021</v>
      </c>
    </row>
    <row r="1927" spans="5:8" x14ac:dyDescent="0.25">
      <c r="E1927" s="2">
        <v>44273</v>
      </c>
      <c r="F1927">
        <v>196</v>
      </c>
      <c r="G1927">
        <f t="shared" si="74"/>
        <v>3</v>
      </c>
      <c r="H1927">
        <f t="shared" si="75"/>
        <v>2021</v>
      </c>
    </row>
    <row r="1928" spans="5:8" x14ac:dyDescent="0.25">
      <c r="E1928" s="2">
        <v>44274</v>
      </c>
      <c r="F1928">
        <v>194.75</v>
      </c>
      <c r="G1928">
        <f t="shared" si="74"/>
        <v>3</v>
      </c>
      <c r="H1928">
        <f t="shared" si="75"/>
        <v>2021</v>
      </c>
    </row>
    <row r="1929" spans="5:8" x14ac:dyDescent="0.25">
      <c r="E1929" s="2">
        <v>44277</v>
      </c>
      <c r="F1929">
        <v>192.5</v>
      </c>
      <c r="G1929">
        <f t="shared" si="74"/>
        <v>3</v>
      </c>
      <c r="H1929">
        <f t="shared" si="75"/>
        <v>2021</v>
      </c>
    </row>
    <row r="1930" spans="5:8" x14ac:dyDescent="0.25">
      <c r="E1930" s="2">
        <v>44278</v>
      </c>
      <c r="F1930">
        <v>192.5</v>
      </c>
      <c r="G1930">
        <f t="shared" si="74"/>
        <v>3</v>
      </c>
      <c r="H1930">
        <f t="shared" si="75"/>
        <v>2021</v>
      </c>
    </row>
    <row r="1931" spans="5:8" x14ac:dyDescent="0.25">
      <c r="E1931" s="2">
        <v>44279</v>
      </c>
      <c r="F1931">
        <v>192.5</v>
      </c>
      <c r="G1931">
        <f t="shared" si="74"/>
        <v>3</v>
      </c>
      <c r="H1931">
        <f t="shared" si="75"/>
        <v>2021</v>
      </c>
    </row>
    <row r="1932" spans="5:8" x14ac:dyDescent="0.25">
      <c r="E1932" s="2">
        <v>44280</v>
      </c>
      <c r="F1932">
        <v>185.5</v>
      </c>
      <c r="G1932">
        <f t="shared" si="74"/>
        <v>3</v>
      </c>
      <c r="H1932">
        <f t="shared" si="75"/>
        <v>2021</v>
      </c>
    </row>
    <row r="1933" spans="5:8" x14ac:dyDescent="0.25">
      <c r="E1933" s="2">
        <v>44281</v>
      </c>
      <c r="F1933">
        <v>185.5</v>
      </c>
      <c r="G1933">
        <f t="shared" si="74"/>
        <v>3</v>
      </c>
      <c r="H1933">
        <f t="shared" si="75"/>
        <v>2021</v>
      </c>
    </row>
    <row r="1934" spans="5:8" x14ac:dyDescent="0.25">
      <c r="E1934" s="2">
        <v>44284</v>
      </c>
      <c r="F1934">
        <v>185.5</v>
      </c>
      <c r="G1934">
        <f t="shared" si="74"/>
        <v>3</v>
      </c>
      <c r="H1934">
        <f t="shared" si="75"/>
        <v>2021</v>
      </c>
    </row>
    <row r="1935" spans="5:8" x14ac:dyDescent="0.25">
      <c r="E1935" s="2">
        <v>44285</v>
      </c>
      <c r="F1935">
        <v>185.5</v>
      </c>
      <c r="G1935">
        <f t="shared" si="74"/>
        <v>3</v>
      </c>
      <c r="H1935">
        <f t="shared" si="75"/>
        <v>2021</v>
      </c>
    </row>
    <row r="1936" spans="5:8" x14ac:dyDescent="0.25">
      <c r="E1936" s="2">
        <v>44286</v>
      </c>
      <c r="F1936">
        <v>185.5</v>
      </c>
      <c r="G1936">
        <f t="shared" si="74"/>
        <v>3</v>
      </c>
      <c r="H1936">
        <f t="shared" si="75"/>
        <v>2021</v>
      </c>
    </row>
    <row r="1937" spans="5:8" x14ac:dyDescent="0.25">
      <c r="E1937" s="2">
        <v>44287</v>
      </c>
      <c r="F1937">
        <v>186.5</v>
      </c>
      <c r="G1937">
        <f t="shared" si="74"/>
        <v>4</v>
      </c>
      <c r="H1937">
        <f t="shared" si="75"/>
        <v>2021</v>
      </c>
    </row>
    <row r="1938" spans="5:8" x14ac:dyDescent="0.25">
      <c r="E1938" s="2">
        <v>44291</v>
      </c>
      <c r="F1938">
        <v>183.25</v>
      </c>
      <c r="G1938">
        <f t="shared" si="74"/>
        <v>4</v>
      </c>
      <c r="H1938">
        <f t="shared" si="75"/>
        <v>2021</v>
      </c>
    </row>
    <row r="1939" spans="5:8" x14ac:dyDescent="0.25">
      <c r="E1939" s="2">
        <v>44292</v>
      </c>
      <c r="F1939">
        <v>179</v>
      </c>
      <c r="G1939">
        <f t="shared" si="74"/>
        <v>4</v>
      </c>
      <c r="H1939">
        <f t="shared" si="75"/>
        <v>2021</v>
      </c>
    </row>
    <row r="1940" spans="5:8" x14ac:dyDescent="0.25">
      <c r="E1940" s="2">
        <v>44293</v>
      </c>
      <c r="F1940">
        <v>175.5</v>
      </c>
      <c r="G1940">
        <f t="shared" si="74"/>
        <v>4</v>
      </c>
      <c r="H1940">
        <f t="shared" si="75"/>
        <v>2021</v>
      </c>
    </row>
    <row r="1941" spans="5:8" x14ac:dyDescent="0.25">
      <c r="E1941" s="2">
        <v>44294</v>
      </c>
      <c r="F1941">
        <v>177</v>
      </c>
      <c r="G1941">
        <f t="shared" si="74"/>
        <v>4</v>
      </c>
      <c r="H1941">
        <f t="shared" si="75"/>
        <v>2021</v>
      </c>
    </row>
    <row r="1942" spans="5:8" x14ac:dyDescent="0.25">
      <c r="E1942" s="2">
        <v>44295</v>
      </c>
      <c r="F1942">
        <v>177.5</v>
      </c>
      <c r="G1942">
        <f t="shared" si="74"/>
        <v>4</v>
      </c>
      <c r="H1942">
        <f t="shared" si="75"/>
        <v>2021</v>
      </c>
    </row>
    <row r="1943" spans="5:8" x14ac:dyDescent="0.25">
      <c r="E1943" s="2">
        <v>44298</v>
      </c>
      <c r="F1943">
        <v>181</v>
      </c>
      <c r="G1943">
        <f t="shared" si="74"/>
        <v>4</v>
      </c>
      <c r="H1943">
        <f t="shared" si="75"/>
        <v>2021</v>
      </c>
    </row>
    <row r="1944" spans="5:8" x14ac:dyDescent="0.25">
      <c r="E1944" s="2">
        <v>44299</v>
      </c>
      <c r="F1944">
        <v>181.75</v>
      </c>
      <c r="G1944">
        <f t="shared" si="74"/>
        <v>4</v>
      </c>
      <c r="H1944">
        <f t="shared" si="75"/>
        <v>2021</v>
      </c>
    </row>
    <row r="1945" spans="5:8" x14ac:dyDescent="0.25">
      <c r="E1945" s="2">
        <v>44300</v>
      </c>
      <c r="F1945">
        <v>181</v>
      </c>
      <c r="G1945">
        <f t="shared" si="74"/>
        <v>4</v>
      </c>
      <c r="H1945">
        <f t="shared" si="75"/>
        <v>2021</v>
      </c>
    </row>
    <row r="1946" spans="5:8" x14ac:dyDescent="0.25">
      <c r="E1946" s="2">
        <v>44301</v>
      </c>
      <c r="F1946">
        <v>180.5</v>
      </c>
      <c r="G1946">
        <f t="shared" si="74"/>
        <v>4</v>
      </c>
      <c r="H1946">
        <f t="shared" si="75"/>
        <v>2021</v>
      </c>
    </row>
    <row r="1947" spans="5:8" x14ac:dyDescent="0.25">
      <c r="E1947" s="2">
        <v>44302</v>
      </c>
      <c r="F1947">
        <v>178.5</v>
      </c>
      <c r="G1947">
        <f t="shared" si="74"/>
        <v>4</v>
      </c>
      <c r="H1947">
        <f t="shared" si="75"/>
        <v>2021</v>
      </c>
    </row>
    <row r="1948" spans="5:8" x14ac:dyDescent="0.25">
      <c r="E1948" s="2">
        <v>44305</v>
      </c>
      <c r="F1948">
        <v>179</v>
      </c>
      <c r="G1948">
        <f t="shared" si="74"/>
        <v>4</v>
      </c>
      <c r="H1948">
        <f t="shared" si="75"/>
        <v>2021</v>
      </c>
    </row>
    <row r="1949" spans="5:8" x14ac:dyDescent="0.25">
      <c r="E1949" s="2">
        <v>44306</v>
      </c>
      <c r="F1949">
        <v>178.5</v>
      </c>
      <c r="G1949">
        <f t="shared" si="74"/>
        <v>4</v>
      </c>
      <c r="H1949">
        <f t="shared" si="75"/>
        <v>2021</v>
      </c>
    </row>
    <row r="1950" spans="5:8" x14ac:dyDescent="0.25">
      <c r="E1950" s="2">
        <v>44307</v>
      </c>
      <c r="F1950">
        <v>173.5</v>
      </c>
      <c r="G1950">
        <f t="shared" si="74"/>
        <v>4</v>
      </c>
      <c r="H1950">
        <f t="shared" si="75"/>
        <v>2021</v>
      </c>
    </row>
    <row r="1951" spans="5:8" x14ac:dyDescent="0.25">
      <c r="E1951" s="2">
        <v>44308</v>
      </c>
      <c r="F1951">
        <v>173.5</v>
      </c>
      <c r="G1951">
        <f t="shared" si="74"/>
        <v>4</v>
      </c>
      <c r="H1951">
        <f t="shared" si="75"/>
        <v>2021</v>
      </c>
    </row>
    <row r="1952" spans="5:8" x14ac:dyDescent="0.25">
      <c r="E1952" s="2">
        <v>44309</v>
      </c>
      <c r="F1952">
        <v>173.5</v>
      </c>
      <c r="G1952">
        <f t="shared" si="74"/>
        <v>4</v>
      </c>
      <c r="H1952">
        <f t="shared" si="75"/>
        <v>2021</v>
      </c>
    </row>
    <row r="1953" spans="5:8" x14ac:dyDescent="0.25">
      <c r="E1953" s="2">
        <v>44312</v>
      </c>
      <c r="F1953">
        <v>172.75</v>
      </c>
      <c r="G1953">
        <f t="shared" si="74"/>
        <v>4</v>
      </c>
      <c r="H1953">
        <f t="shared" si="75"/>
        <v>2021</v>
      </c>
    </row>
    <row r="1954" spans="5:8" x14ac:dyDescent="0.25">
      <c r="E1954" s="2">
        <v>44313</v>
      </c>
      <c r="F1954">
        <v>173.5</v>
      </c>
      <c r="G1954">
        <f t="shared" si="74"/>
        <v>4</v>
      </c>
      <c r="H1954">
        <f t="shared" si="75"/>
        <v>2021</v>
      </c>
    </row>
    <row r="1955" spans="5:8" x14ac:dyDescent="0.25">
      <c r="E1955" s="2">
        <v>44314</v>
      </c>
      <c r="F1955">
        <v>175</v>
      </c>
      <c r="G1955">
        <f t="shared" si="74"/>
        <v>4</v>
      </c>
      <c r="H1955">
        <f t="shared" si="75"/>
        <v>2021</v>
      </c>
    </row>
    <row r="1956" spans="5:8" x14ac:dyDescent="0.25">
      <c r="E1956" s="2">
        <v>44315</v>
      </c>
      <c r="F1956">
        <v>177.5</v>
      </c>
      <c r="G1956">
        <f t="shared" si="74"/>
        <v>4</v>
      </c>
      <c r="H1956">
        <f t="shared" si="75"/>
        <v>2021</v>
      </c>
    </row>
    <row r="1957" spans="5:8" x14ac:dyDescent="0.25">
      <c r="E1957" s="2">
        <v>44316</v>
      </c>
      <c r="F1957">
        <v>179</v>
      </c>
      <c r="G1957">
        <f t="shared" si="74"/>
        <v>4</v>
      </c>
      <c r="H1957">
        <f t="shared" si="75"/>
        <v>2021</v>
      </c>
    </row>
    <row r="1958" spans="5:8" x14ac:dyDescent="0.25">
      <c r="E1958" s="2">
        <v>44319</v>
      </c>
      <c r="F1958">
        <v>179</v>
      </c>
      <c r="G1958">
        <f t="shared" si="74"/>
        <v>5</v>
      </c>
      <c r="H1958">
        <f t="shared" si="75"/>
        <v>2021</v>
      </c>
    </row>
    <row r="1959" spans="5:8" x14ac:dyDescent="0.25">
      <c r="E1959" s="2">
        <v>44320</v>
      </c>
      <c r="F1959">
        <v>179.5</v>
      </c>
      <c r="G1959">
        <f t="shared" si="74"/>
        <v>5</v>
      </c>
      <c r="H1959">
        <f t="shared" si="75"/>
        <v>2021</v>
      </c>
    </row>
    <row r="1960" spans="5:8" x14ac:dyDescent="0.25">
      <c r="E1960" s="2">
        <v>44321</v>
      </c>
      <c r="F1960">
        <v>182.25</v>
      </c>
      <c r="G1960">
        <f t="shared" si="74"/>
        <v>5</v>
      </c>
      <c r="H1960">
        <f t="shared" si="75"/>
        <v>2021</v>
      </c>
    </row>
    <row r="1961" spans="5:8" x14ac:dyDescent="0.25">
      <c r="E1961" s="2">
        <v>44322</v>
      </c>
      <c r="F1961">
        <v>188.5</v>
      </c>
      <c r="G1961">
        <f t="shared" si="74"/>
        <v>5</v>
      </c>
      <c r="H1961">
        <f t="shared" si="75"/>
        <v>2021</v>
      </c>
    </row>
    <row r="1962" spans="5:8" x14ac:dyDescent="0.25">
      <c r="E1962" s="2">
        <v>44323</v>
      </c>
      <c r="F1962">
        <v>191</v>
      </c>
      <c r="G1962">
        <f t="shared" si="74"/>
        <v>5</v>
      </c>
      <c r="H1962">
        <f t="shared" si="75"/>
        <v>2021</v>
      </c>
    </row>
    <row r="1963" spans="5:8" x14ac:dyDescent="0.25">
      <c r="E1963" s="2">
        <v>44326</v>
      </c>
      <c r="F1963">
        <v>188</v>
      </c>
      <c r="G1963">
        <f t="shared" si="74"/>
        <v>5</v>
      </c>
      <c r="H1963">
        <f t="shared" si="75"/>
        <v>2021</v>
      </c>
    </row>
    <row r="1964" spans="5:8" x14ac:dyDescent="0.25">
      <c r="E1964" s="2">
        <v>44327</v>
      </c>
      <c r="F1964">
        <v>186.5</v>
      </c>
      <c r="G1964">
        <f t="shared" si="74"/>
        <v>5</v>
      </c>
      <c r="H1964">
        <f t="shared" si="75"/>
        <v>2021</v>
      </c>
    </row>
    <row r="1965" spans="5:8" x14ac:dyDescent="0.25">
      <c r="E1965" s="2">
        <v>44328</v>
      </c>
      <c r="F1965">
        <v>186.5</v>
      </c>
      <c r="G1965">
        <f t="shared" si="74"/>
        <v>5</v>
      </c>
      <c r="H1965">
        <f t="shared" si="75"/>
        <v>2021</v>
      </c>
    </row>
    <row r="1966" spans="5:8" x14ac:dyDescent="0.25">
      <c r="E1966" s="2">
        <v>44329</v>
      </c>
      <c r="F1966">
        <v>187.5</v>
      </c>
      <c r="G1966">
        <f t="shared" si="74"/>
        <v>5</v>
      </c>
      <c r="H1966">
        <f t="shared" si="75"/>
        <v>2021</v>
      </c>
    </row>
    <row r="1967" spans="5:8" x14ac:dyDescent="0.25">
      <c r="E1967" s="2">
        <v>44330</v>
      </c>
      <c r="F1967">
        <v>186.5</v>
      </c>
      <c r="G1967">
        <f t="shared" si="74"/>
        <v>5</v>
      </c>
      <c r="H1967">
        <f t="shared" si="75"/>
        <v>2021</v>
      </c>
    </row>
    <row r="1968" spans="5:8" x14ac:dyDescent="0.25">
      <c r="E1968" s="2">
        <v>44333</v>
      </c>
      <c r="F1968">
        <v>189</v>
      </c>
      <c r="G1968">
        <f t="shared" si="74"/>
        <v>5</v>
      </c>
      <c r="H1968">
        <f t="shared" si="75"/>
        <v>2021</v>
      </c>
    </row>
    <row r="1969" spans="5:8" x14ac:dyDescent="0.25">
      <c r="E1969" s="2">
        <v>44334</v>
      </c>
      <c r="F1969">
        <v>187</v>
      </c>
      <c r="G1969">
        <f t="shared" si="74"/>
        <v>5</v>
      </c>
      <c r="H1969">
        <f t="shared" si="75"/>
        <v>2021</v>
      </c>
    </row>
    <row r="1970" spans="5:8" x14ac:dyDescent="0.25">
      <c r="E1970" s="2">
        <v>44335</v>
      </c>
      <c r="F1970">
        <v>187.5</v>
      </c>
      <c r="G1970">
        <f t="shared" si="74"/>
        <v>5</v>
      </c>
      <c r="H1970">
        <f t="shared" si="75"/>
        <v>2021</v>
      </c>
    </row>
    <row r="1971" spans="5:8" x14ac:dyDescent="0.25">
      <c r="E1971" s="2">
        <v>44336</v>
      </c>
      <c r="F1971">
        <v>188.5</v>
      </c>
      <c r="G1971">
        <f t="shared" si="74"/>
        <v>5</v>
      </c>
      <c r="H1971">
        <f t="shared" si="75"/>
        <v>2021</v>
      </c>
    </row>
    <row r="1972" spans="5:8" x14ac:dyDescent="0.25">
      <c r="E1972" s="2">
        <v>44337</v>
      </c>
      <c r="F1972">
        <v>189</v>
      </c>
      <c r="G1972">
        <f t="shared" si="74"/>
        <v>5</v>
      </c>
      <c r="H1972">
        <f t="shared" si="75"/>
        <v>2021</v>
      </c>
    </row>
    <row r="1973" spans="5:8" x14ac:dyDescent="0.25">
      <c r="E1973" s="2">
        <v>44340</v>
      </c>
      <c r="F1973">
        <v>189</v>
      </c>
      <c r="G1973">
        <f t="shared" si="74"/>
        <v>5</v>
      </c>
      <c r="H1973">
        <f t="shared" si="75"/>
        <v>2021</v>
      </c>
    </row>
    <row r="1974" spans="5:8" x14ac:dyDescent="0.25">
      <c r="E1974" s="2">
        <v>44341</v>
      </c>
      <c r="F1974">
        <v>191</v>
      </c>
      <c r="G1974">
        <f t="shared" si="74"/>
        <v>5</v>
      </c>
      <c r="H1974">
        <f t="shared" si="75"/>
        <v>2021</v>
      </c>
    </row>
    <row r="1975" spans="5:8" x14ac:dyDescent="0.25">
      <c r="E1975" s="2">
        <v>44342</v>
      </c>
      <c r="F1975">
        <v>193</v>
      </c>
      <c r="G1975">
        <f t="shared" si="74"/>
        <v>5</v>
      </c>
      <c r="H1975">
        <f t="shared" si="75"/>
        <v>2021</v>
      </c>
    </row>
    <row r="1976" spans="5:8" x14ac:dyDescent="0.25">
      <c r="E1976" s="2">
        <v>44343</v>
      </c>
      <c r="F1976">
        <v>193.25</v>
      </c>
      <c r="G1976">
        <f t="shared" si="74"/>
        <v>5</v>
      </c>
      <c r="H1976">
        <f t="shared" si="75"/>
        <v>2021</v>
      </c>
    </row>
    <row r="1977" spans="5:8" x14ac:dyDescent="0.25">
      <c r="E1977" s="2">
        <v>44344</v>
      </c>
      <c r="F1977">
        <v>193.25</v>
      </c>
      <c r="G1977">
        <f t="shared" si="74"/>
        <v>5</v>
      </c>
      <c r="H1977">
        <f t="shared" si="75"/>
        <v>2021</v>
      </c>
    </row>
    <row r="1978" spans="5:8" x14ac:dyDescent="0.25">
      <c r="E1978" s="2">
        <v>44348</v>
      </c>
      <c r="F1978">
        <v>193.5</v>
      </c>
      <c r="G1978">
        <f t="shared" si="74"/>
        <v>6</v>
      </c>
      <c r="H1978">
        <f t="shared" si="75"/>
        <v>2021</v>
      </c>
    </row>
    <row r="1979" spans="5:8" x14ac:dyDescent="0.25">
      <c r="E1979" s="2">
        <v>44349</v>
      </c>
      <c r="F1979">
        <v>193</v>
      </c>
      <c r="G1979">
        <f t="shared" si="74"/>
        <v>6</v>
      </c>
      <c r="H1979">
        <f t="shared" si="75"/>
        <v>2021</v>
      </c>
    </row>
    <row r="1980" spans="5:8" x14ac:dyDescent="0.25">
      <c r="E1980" s="2">
        <v>44350</v>
      </c>
      <c r="F1980">
        <v>192.5</v>
      </c>
      <c r="G1980">
        <f t="shared" si="74"/>
        <v>6</v>
      </c>
      <c r="H1980">
        <f t="shared" si="75"/>
        <v>2021</v>
      </c>
    </row>
    <row r="1981" spans="5:8" x14ac:dyDescent="0.25">
      <c r="E1981" s="2">
        <v>44351</v>
      </c>
      <c r="F1981">
        <v>191.5</v>
      </c>
      <c r="G1981">
        <f t="shared" si="74"/>
        <v>6</v>
      </c>
      <c r="H1981">
        <f t="shared" si="75"/>
        <v>2021</v>
      </c>
    </row>
    <row r="1982" spans="5:8" x14ac:dyDescent="0.25">
      <c r="E1982" s="2">
        <v>44354</v>
      </c>
      <c r="F1982">
        <v>192.5</v>
      </c>
      <c r="G1982">
        <f t="shared" si="74"/>
        <v>6</v>
      </c>
      <c r="H1982">
        <f t="shared" si="75"/>
        <v>2021</v>
      </c>
    </row>
    <row r="1983" spans="5:8" x14ac:dyDescent="0.25">
      <c r="E1983" s="2">
        <v>44355</v>
      </c>
      <c r="F1983">
        <v>192</v>
      </c>
      <c r="G1983">
        <f t="shared" si="74"/>
        <v>6</v>
      </c>
      <c r="H1983">
        <f t="shared" si="75"/>
        <v>2021</v>
      </c>
    </row>
    <row r="1984" spans="5:8" x14ac:dyDescent="0.25">
      <c r="E1984" s="2">
        <v>44356</v>
      </c>
      <c r="F1984">
        <v>190.5</v>
      </c>
      <c r="G1984">
        <f t="shared" si="74"/>
        <v>6</v>
      </c>
      <c r="H1984">
        <f t="shared" si="75"/>
        <v>2021</v>
      </c>
    </row>
    <row r="1985" spans="5:8" x14ac:dyDescent="0.25">
      <c r="E1985" s="2">
        <v>44357</v>
      </c>
      <c r="F1985">
        <v>190.5</v>
      </c>
      <c r="G1985">
        <f t="shared" si="74"/>
        <v>6</v>
      </c>
      <c r="H1985">
        <f t="shared" si="75"/>
        <v>2021</v>
      </c>
    </row>
    <row r="1986" spans="5:8" x14ac:dyDescent="0.25">
      <c r="E1986" s="2">
        <v>44358</v>
      </c>
      <c r="F1986">
        <v>190</v>
      </c>
      <c r="G1986">
        <f t="shared" si="74"/>
        <v>6</v>
      </c>
      <c r="H1986">
        <f t="shared" si="75"/>
        <v>2021</v>
      </c>
    </row>
    <row r="1987" spans="5:8" x14ac:dyDescent="0.25">
      <c r="E1987" s="2">
        <v>44361</v>
      </c>
      <c r="F1987">
        <v>189.25</v>
      </c>
      <c r="G1987">
        <f t="shared" si="74"/>
        <v>6</v>
      </c>
      <c r="H1987">
        <f t="shared" si="75"/>
        <v>2021</v>
      </c>
    </row>
    <row r="1988" spans="5:8" x14ac:dyDescent="0.25">
      <c r="E1988" s="2">
        <v>44362</v>
      </c>
      <c r="F1988">
        <v>188.5</v>
      </c>
      <c r="G1988">
        <f t="shared" si="74"/>
        <v>6</v>
      </c>
      <c r="H1988">
        <f t="shared" si="75"/>
        <v>2021</v>
      </c>
    </row>
    <row r="1989" spans="5:8" x14ac:dyDescent="0.25">
      <c r="E1989" s="2">
        <v>44363</v>
      </c>
      <c r="F1989">
        <v>188.5</v>
      </c>
      <c r="G1989">
        <f t="shared" ref="G1989:G2052" si="76">MONTH(E1989)</f>
        <v>6</v>
      </c>
      <c r="H1989">
        <f t="shared" ref="H1989:H2052" si="77">YEAR(E1989)</f>
        <v>2021</v>
      </c>
    </row>
    <row r="1990" spans="5:8" x14ac:dyDescent="0.25">
      <c r="E1990" s="2">
        <v>44364</v>
      </c>
      <c r="F1990">
        <v>188.5</v>
      </c>
      <c r="G1990">
        <f t="shared" si="76"/>
        <v>6</v>
      </c>
      <c r="H1990">
        <f t="shared" si="77"/>
        <v>2021</v>
      </c>
    </row>
    <row r="1991" spans="5:8" x14ac:dyDescent="0.25">
      <c r="E1991" s="2">
        <v>44365</v>
      </c>
      <c r="F1991">
        <v>187.5</v>
      </c>
      <c r="G1991">
        <f t="shared" si="76"/>
        <v>6</v>
      </c>
      <c r="H1991">
        <f t="shared" si="77"/>
        <v>2021</v>
      </c>
    </row>
    <row r="1992" spans="5:8" x14ac:dyDescent="0.25">
      <c r="E1992" s="2">
        <v>44368</v>
      </c>
      <c r="F1992">
        <v>187.5</v>
      </c>
      <c r="G1992">
        <f t="shared" si="76"/>
        <v>6</v>
      </c>
      <c r="H1992">
        <f t="shared" si="77"/>
        <v>2021</v>
      </c>
    </row>
    <row r="1993" spans="5:8" x14ac:dyDescent="0.25">
      <c r="E1993" s="2">
        <v>44369</v>
      </c>
      <c r="F1993">
        <v>187.5</v>
      </c>
      <c r="G1993">
        <f t="shared" si="76"/>
        <v>6</v>
      </c>
      <c r="H1993">
        <f t="shared" si="77"/>
        <v>2021</v>
      </c>
    </row>
    <row r="1994" spans="5:8" x14ac:dyDescent="0.25">
      <c r="E1994" s="2">
        <v>44370</v>
      </c>
      <c r="F1994">
        <v>186.5</v>
      </c>
      <c r="G1994">
        <f t="shared" si="76"/>
        <v>6</v>
      </c>
      <c r="H1994">
        <f t="shared" si="77"/>
        <v>2021</v>
      </c>
    </row>
    <row r="1995" spans="5:8" x14ac:dyDescent="0.25">
      <c r="E1995" s="2">
        <v>44371</v>
      </c>
      <c r="F1995">
        <v>186.5</v>
      </c>
      <c r="G1995">
        <f t="shared" si="76"/>
        <v>6</v>
      </c>
      <c r="H1995">
        <f t="shared" si="77"/>
        <v>2021</v>
      </c>
    </row>
    <row r="1996" spans="5:8" x14ac:dyDescent="0.25">
      <c r="E1996" s="2">
        <v>44372</v>
      </c>
      <c r="F1996">
        <v>186.5</v>
      </c>
      <c r="G1996">
        <f t="shared" si="76"/>
        <v>6</v>
      </c>
      <c r="H1996">
        <f t="shared" si="77"/>
        <v>2021</v>
      </c>
    </row>
    <row r="1997" spans="5:8" x14ac:dyDescent="0.25">
      <c r="E1997" s="2">
        <v>44375</v>
      </c>
      <c r="F1997">
        <v>186.5</v>
      </c>
      <c r="G1997">
        <f t="shared" si="76"/>
        <v>6</v>
      </c>
      <c r="H1997">
        <f t="shared" si="77"/>
        <v>2021</v>
      </c>
    </row>
    <row r="1998" spans="5:8" x14ac:dyDescent="0.25">
      <c r="E1998" s="2">
        <v>44376</v>
      </c>
      <c r="F1998">
        <v>185.5</v>
      </c>
      <c r="G1998">
        <f t="shared" si="76"/>
        <v>6</v>
      </c>
      <c r="H1998">
        <f t="shared" si="77"/>
        <v>2021</v>
      </c>
    </row>
    <row r="1999" spans="5:8" x14ac:dyDescent="0.25">
      <c r="E1999" s="2">
        <v>44377</v>
      </c>
      <c r="F1999">
        <v>183.5</v>
      </c>
      <c r="G1999">
        <f t="shared" si="76"/>
        <v>6</v>
      </c>
      <c r="H1999">
        <f t="shared" si="77"/>
        <v>2021</v>
      </c>
    </row>
    <row r="2000" spans="5:8" x14ac:dyDescent="0.25">
      <c r="E2000" s="2">
        <v>44378</v>
      </c>
      <c r="F2000">
        <v>180.5</v>
      </c>
      <c r="G2000">
        <f t="shared" si="76"/>
        <v>7</v>
      </c>
      <c r="H2000">
        <f t="shared" si="77"/>
        <v>2021</v>
      </c>
    </row>
    <row r="2001" spans="5:8" x14ac:dyDescent="0.25">
      <c r="E2001" s="2">
        <v>44379</v>
      </c>
      <c r="F2001">
        <v>180.5</v>
      </c>
      <c r="G2001">
        <f t="shared" si="76"/>
        <v>7</v>
      </c>
      <c r="H2001">
        <f t="shared" si="77"/>
        <v>2021</v>
      </c>
    </row>
    <row r="2002" spans="5:8" x14ac:dyDescent="0.25">
      <c r="E2002" s="2">
        <v>44383</v>
      </c>
      <c r="F2002">
        <v>180.5</v>
      </c>
      <c r="G2002">
        <f t="shared" si="76"/>
        <v>7</v>
      </c>
      <c r="H2002">
        <f t="shared" si="77"/>
        <v>2021</v>
      </c>
    </row>
    <row r="2003" spans="5:8" x14ac:dyDescent="0.25">
      <c r="E2003" s="2">
        <v>44384</v>
      </c>
      <c r="F2003">
        <v>179.5</v>
      </c>
      <c r="G2003">
        <f t="shared" si="76"/>
        <v>7</v>
      </c>
      <c r="H2003">
        <f t="shared" si="77"/>
        <v>2021</v>
      </c>
    </row>
    <row r="2004" spans="5:8" x14ac:dyDescent="0.25">
      <c r="E2004" s="2">
        <v>44385</v>
      </c>
      <c r="F2004">
        <v>179</v>
      </c>
      <c r="G2004">
        <f t="shared" si="76"/>
        <v>7</v>
      </c>
      <c r="H2004">
        <f t="shared" si="77"/>
        <v>2021</v>
      </c>
    </row>
    <row r="2005" spans="5:8" x14ac:dyDescent="0.25">
      <c r="E2005" s="2">
        <v>44386</v>
      </c>
      <c r="F2005">
        <v>179</v>
      </c>
      <c r="G2005">
        <f t="shared" si="76"/>
        <v>7</v>
      </c>
      <c r="H2005">
        <f t="shared" si="77"/>
        <v>2021</v>
      </c>
    </row>
    <row r="2006" spans="5:8" x14ac:dyDescent="0.25">
      <c r="E2006" s="2">
        <v>44389</v>
      </c>
      <c r="F2006">
        <v>179</v>
      </c>
      <c r="G2006">
        <f t="shared" si="76"/>
        <v>7</v>
      </c>
      <c r="H2006">
        <f t="shared" si="77"/>
        <v>2021</v>
      </c>
    </row>
    <row r="2007" spans="5:8" x14ac:dyDescent="0.25">
      <c r="E2007" s="2">
        <v>44390</v>
      </c>
      <c r="F2007">
        <v>176.5</v>
      </c>
      <c r="G2007">
        <f t="shared" si="76"/>
        <v>7</v>
      </c>
      <c r="H2007">
        <f t="shared" si="77"/>
        <v>2021</v>
      </c>
    </row>
    <row r="2008" spans="5:8" x14ac:dyDescent="0.25">
      <c r="E2008" s="2">
        <v>44391</v>
      </c>
      <c r="F2008">
        <v>176.5</v>
      </c>
      <c r="G2008">
        <f t="shared" si="76"/>
        <v>7</v>
      </c>
      <c r="H2008">
        <f t="shared" si="77"/>
        <v>2021</v>
      </c>
    </row>
    <row r="2009" spans="5:8" x14ac:dyDescent="0.25">
      <c r="E2009" s="2">
        <v>44392</v>
      </c>
      <c r="F2009">
        <v>176</v>
      </c>
      <c r="G2009">
        <f t="shared" si="76"/>
        <v>7</v>
      </c>
      <c r="H2009">
        <f t="shared" si="77"/>
        <v>2021</v>
      </c>
    </row>
    <row r="2010" spans="5:8" x14ac:dyDescent="0.25">
      <c r="E2010" s="2">
        <v>44393</v>
      </c>
      <c r="F2010">
        <v>175</v>
      </c>
      <c r="G2010">
        <f t="shared" si="76"/>
        <v>7</v>
      </c>
      <c r="H2010">
        <f t="shared" si="77"/>
        <v>2021</v>
      </c>
    </row>
    <row r="2011" spans="5:8" x14ac:dyDescent="0.25">
      <c r="E2011" s="2">
        <v>44396</v>
      </c>
      <c r="F2011">
        <v>177.5</v>
      </c>
      <c r="G2011">
        <f t="shared" si="76"/>
        <v>7</v>
      </c>
      <c r="H2011">
        <f t="shared" si="77"/>
        <v>2021</v>
      </c>
    </row>
    <row r="2012" spans="5:8" x14ac:dyDescent="0.25">
      <c r="E2012" s="2">
        <v>44397</v>
      </c>
      <c r="F2012">
        <v>179</v>
      </c>
      <c r="G2012">
        <f t="shared" si="76"/>
        <v>7</v>
      </c>
      <c r="H2012">
        <f t="shared" si="77"/>
        <v>2021</v>
      </c>
    </row>
    <row r="2013" spans="5:8" x14ac:dyDescent="0.25">
      <c r="E2013" s="2">
        <v>44398</v>
      </c>
      <c r="F2013">
        <v>181</v>
      </c>
      <c r="G2013">
        <f t="shared" si="76"/>
        <v>7</v>
      </c>
      <c r="H2013">
        <f t="shared" si="77"/>
        <v>2021</v>
      </c>
    </row>
    <row r="2014" spans="5:8" x14ac:dyDescent="0.25">
      <c r="E2014" s="2">
        <v>44399</v>
      </c>
      <c r="F2014">
        <v>179.5</v>
      </c>
      <c r="G2014">
        <f t="shared" si="76"/>
        <v>7</v>
      </c>
      <c r="H2014">
        <f t="shared" si="77"/>
        <v>2021</v>
      </c>
    </row>
    <row r="2015" spans="5:8" x14ac:dyDescent="0.25">
      <c r="E2015" s="2">
        <v>44400</v>
      </c>
      <c r="F2015">
        <v>181</v>
      </c>
      <c r="G2015">
        <f t="shared" si="76"/>
        <v>7</v>
      </c>
      <c r="H2015">
        <f t="shared" si="77"/>
        <v>2021</v>
      </c>
    </row>
    <row r="2016" spans="5:8" x14ac:dyDescent="0.25">
      <c r="E2016" s="2">
        <v>44403</v>
      </c>
      <c r="F2016">
        <v>180.88</v>
      </c>
      <c r="G2016">
        <f t="shared" si="76"/>
        <v>7</v>
      </c>
      <c r="H2016">
        <f t="shared" si="77"/>
        <v>2021</v>
      </c>
    </row>
    <row r="2017" spans="5:8" x14ac:dyDescent="0.25">
      <c r="E2017" s="2">
        <v>44404</v>
      </c>
      <c r="F2017">
        <v>180.88</v>
      </c>
      <c r="G2017">
        <f t="shared" si="76"/>
        <v>7</v>
      </c>
      <c r="H2017">
        <f t="shared" si="77"/>
        <v>2021</v>
      </c>
    </row>
    <row r="2018" spans="5:8" x14ac:dyDescent="0.25">
      <c r="E2018" s="2">
        <v>44405</v>
      </c>
      <c r="F2018">
        <v>181</v>
      </c>
      <c r="G2018">
        <f t="shared" si="76"/>
        <v>7</v>
      </c>
      <c r="H2018">
        <f t="shared" si="77"/>
        <v>2021</v>
      </c>
    </row>
    <row r="2019" spans="5:8" x14ac:dyDescent="0.25">
      <c r="E2019" s="2">
        <v>44406</v>
      </c>
      <c r="F2019">
        <v>180.75</v>
      </c>
      <c r="G2019">
        <f t="shared" si="76"/>
        <v>7</v>
      </c>
      <c r="H2019">
        <f t="shared" si="77"/>
        <v>2021</v>
      </c>
    </row>
    <row r="2020" spans="5:8" x14ac:dyDescent="0.25">
      <c r="E2020" s="2">
        <v>44407</v>
      </c>
      <c r="F2020">
        <v>181</v>
      </c>
      <c r="G2020">
        <f t="shared" si="76"/>
        <v>7</v>
      </c>
      <c r="H2020">
        <f t="shared" si="77"/>
        <v>2021</v>
      </c>
    </row>
    <row r="2021" spans="5:8" x14ac:dyDescent="0.25">
      <c r="E2021" s="2">
        <v>44410</v>
      </c>
      <c r="F2021">
        <v>181.5</v>
      </c>
      <c r="G2021">
        <f t="shared" si="76"/>
        <v>8</v>
      </c>
      <c r="H2021">
        <f t="shared" si="77"/>
        <v>2021</v>
      </c>
    </row>
    <row r="2022" spans="5:8" x14ac:dyDescent="0.25">
      <c r="E2022" s="2">
        <v>44411</v>
      </c>
      <c r="F2022">
        <v>181.75</v>
      </c>
      <c r="G2022">
        <f t="shared" si="76"/>
        <v>8</v>
      </c>
      <c r="H2022">
        <f t="shared" si="77"/>
        <v>2021</v>
      </c>
    </row>
    <row r="2023" spans="5:8" x14ac:dyDescent="0.25">
      <c r="E2023" s="2">
        <v>44412</v>
      </c>
      <c r="F2023">
        <v>182.75</v>
      </c>
      <c r="G2023">
        <f t="shared" si="76"/>
        <v>8</v>
      </c>
      <c r="H2023">
        <f t="shared" si="77"/>
        <v>2021</v>
      </c>
    </row>
    <row r="2024" spans="5:8" x14ac:dyDescent="0.25">
      <c r="E2024" s="2">
        <v>44413</v>
      </c>
      <c r="F2024">
        <v>183.5</v>
      </c>
      <c r="G2024">
        <f t="shared" si="76"/>
        <v>8</v>
      </c>
      <c r="H2024">
        <f t="shared" si="77"/>
        <v>2021</v>
      </c>
    </row>
    <row r="2025" spans="5:8" x14ac:dyDescent="0.25">
      <c r="E2025" s="2">
        <v>44414</v>
      </c>
      <c r="F2025">
        <v>183.5</v>
      </c>
      <c r="G2025">
        <f t="shared" si="76"/>
        <v>8</v>
      </c>
      <c r="H2025">
        <f t="shared" si="77"/>
        <v>2021</v>
      </c>
    </row>
    <row r="2026" spans="5:8" x14ac:dyDescent="0.25">
      <c r="E2026" s="2">
        <v>44417</v>
      </c>
      <c r="F2026">
        <v>181</v>
      </c>
      <c r="G2026">
        <f t="shared" si="76"/>
        <v>8</v>
      </c>
      <c r="H2026">
        <f t="shared" si="77"/>
        <v>2021</v>
      </c>
    </row>
    <row r="2027" spans="5:8" x14ac:dyDescent="0.25">
      <c r="E2027" s="2">
        <v>44418</v>
      </c>
      <c r="F2027">
        <v>183</v>
      </c>
      <c r="G2027">
        <f t="shared" si="76"/>
        <v>8</v>
      </c>
      <c r="H2027">
        <f t="shared" si="77"/>
        <v>2021</v>
      </c>
    </row>
    <row r="2028" spans="5:8" x14ac:dyDescent="0.25">
      <c r="E2028" s="2">
        <v>44419</v>
      </c>
      <c r="F2028">
        <v>183</v>
      </c>
      <c r="G2028">
        <f t="shared" si="76"/>
        <v>8</v>
      </c>
      <c r="H2028">
        <f t="shared" si="77"/>
        <v>2021</v>
      </c>
    </row>
    <row r="2029" spans="5:8" x14ac:dyDescent="0.25">
      <c r="E2029" s="2">
        <v>44420</v>
      </c>
      <c r="F2029">
        <v>180.5</v>
      </c>
      <c r="G2029">
        <f t="shared" si="76"/>
        <v>8</v>
      </c>
      <c r="H2029">
        <f t="shared" si="77"/>
        <v>2021</v>
      </c>
    </row>
    <row r="2030" spans="5:8" x14ac:dyDescent="0.25">
      <c r="E2030" s="2">
        <v>44421</v>
      </c>
      <c r="F2030">
        <v>180</v>
      </c>
      <c r="G2030">
        <f t="shared" si="76"/>
        <v>8</v>
      </c>
      <c r="H2030">
        <f t="shared" si="77"/>
        <v>2021</v>
      </c>
    </row>
    <row r="2031" spans="5:8" x14ac:dyDescent="0.25">
      <c r="E2031" s="2">
        <v>44424</v>
      </c>
      <c r="F2031">
        <v>180.5</v>
      </c>
      <c r="G2031">
        <f t="shared" si="76"/>
        <v>8</v>
      </c>
      <c r="H2031">
        <f t="shared" si="77"/>
        <v>2021</v>
      </c>
    </row>
    <row r="2032" spans="5:8" x14ac:dyDescent="0.25">
      <c r="E2032" s="2">
        <v>44425</v>
      </c>
      <c r="F2032">
        <v>180.75</v>
      </c>
      <c r="G2032">
        <f t="shared" si="76"/>
        <v>8</v>
      </c>
      <c r="H2032">
        <f t="shared" si="77"/>
        <v>2021</v>
      </c>
    </row>
    <row r="2033" spans="5:8" x14ac:dyDescent="0.25">
      <c r="E2033" s="2">
        <v>44426</v>
      </c>
      <c r="F2033">
        <v>180.5</v>
      </c>
      <c r="G2033">
        <f t="shared" si="76"/>
        <v>8</v>
      </c>
      <c r="H2033">
        <f t="shared" si="77"/>
        <v>2021</v>
      </c>
    </row>
    <row r="2034" spans="5:8" x14ac:dyDescent="0.25">
      <c r="E2034" s="2">
        <v>44427</v>
      </c>
      <c r="F2034">
        <v>179.5</v>
      </c>
      <c r="G2034">
        <f t="shared" si="76"/>
        <v>8</v>
      </c>
      <c r="H2034">
        <f t="shared" si="77"/>
        <v>2021</v>
      </c>
    </row>
    <row r="2035" spans="5:8" x14ac:dyDescent="0.25">
      <c r="E2035" s="2">
        <v>44428</v>
      </c>
      <c r="F2035">
        <v>180.5</v>
      </c>
      <c r="G2035">
        <f t="shared" si="76"/>
        <v>8</v>
      </c>
      <c r="H2035">
        <f t="shared" si="77"/>
        <v>2021</v>
      </c>
    </row>
    <row r="2036" spans="5:8" x14ac:dyDescent="0.25">
      <c r="E2036" s="2">
        <v>44431</v>
      </c>
      <c r="F2036">
        <v>180.5</v>
      </c>
      <c r="G2036">
        <f t="shared" si="76"/>
        <v>8</v>
      </c>
      <c r="H2036">
        <f t="shared" si="77"/>
        <v>2021</v>
      </c>
    </row>
    <row r="2037" spans="5:8" x14ac:dyDescent="0.25">
      <c r="E2037" s="2">
        <v>44432</v>
      </c>
      <c r="F2037">
        <v>179.5</v>
      </c>
      <c r="G2037">
        <f t="shared" si="76"/>
        <v>8</v>
      </c>
      <c r="H2037">
        <f t="shared" si="77"/>
        <v>2021</v>
      </c>
    </row>
    <row r="2038" spans="5:8" x14ac:dyDescent="0.25">
      <c r="E2038" s="2">
        <v>44433</v>
      </c>
      <c r="F2038">
        <v>179.5</v>
      </c>
      <c r="G2038">
        <f t="shared" si="76"/>
        <v>8</v>
      </c>
      <c r="H2038">
        <f t="shared" si="77"/>
        <v>2021</v>
      </c>
    </row>
    <row r="2039" spans="5:8" x14ac:dyDescent="0.25">
      <c r="E2039" s="2">
        <v>44434</v>
      </c>
      <c r="F2039">
        <v>178.5</v>
      </c>
      <c r="G2039">
        <f t="shared" si="76"/>
        <v>8</v>
      </c>
      <c r="H2039">
        <f t="shared" si="77"/>
        <v>2021</v>
      </c>
    </row>
    <row r="2040" spans="5:8" x14ac:dyDescent="0.25">
      <c r="E2040" s="2">
        <v>44435</v>
      </c>
      <c r="F2040">
        <v>175.5</v>
      </c>
      <c r="G2040">
        <f t="shared" si="76"/>
        <v>8</v>
      </c>
      <c r="H2040">
        <f t="shared" si="77"/>
        <v>2021</v>
      </c>
    </row>
    <row r="2041" spans="5:8" x14ac:dyDescent="0.25">
      <c r="E2041" s="2">
        <v>44438</v>
      </c>
      <c r="F2041">
        <v>177.5</v>
      </c>
      <c r="G2041">
        <f t="shared" si="76"/>
        <v>8</v>
      </c>
      <c r="H2041">
        <f t="shared" si="77"/>
        <v>2021</v>
      </c>
    </row>
    <row r="2042" spans="5:8" x14ac:dyDescent="0.25">
      <c r="E2042" s="2">
        <v>44439</v>
      </c>
      <c r="F2042">
        <v>178</v>
      </c>
      <c r="G2042">
        <f t="shared" si="76"/>
        <v>8</v>
      </c>
      <c r="H2042">
        <f t="shared" si="77"/>
        <v>2021</v>
      </c>
    </row>
    <row r="2043" spans="5:8" x14ac:dyDescent="0.25">
      <c r="E2043" s="2">
        <v>44440</v>
      </c>
      <c r="F2043">
        <v>175.5</v>
      </c>
      <c r="G2043">
        <f t="shared" si="76"/>
        <v>9</v>
      </c>
      <c r="H2043">
        <f t="shared" si="77"/>
        <v>2021</v>
      </c>
    </row>
    <row r="2044" spans="5:8" x14ac:dyDescent="0.25">
      <c r="E2044" s="2">
        <v>44441</v>
      </c>
      <c r="F2044">
        <v>175.5</v>
      </c>
      <c r="G2044">
        <f t="shared" si="76"/>
        <v>9</v>
      </c>
      <c r="H2044">
        <f t="shared" si="77"/>
        <v>2021</v>
      </c>
    </row>
    <row r="2045" spans="5:8" x14ac:dyDescent="0.25">
      <c r="E2045" s="2">
        <v>44442</v>
      </c>
      <c r="F2045">
        <v>175.5</v>
      </c>
      <c r="G2045">
        <f t="shared" si="76"/>
        <v>9</v>
      </c>
      <c r="H2045">
        <f t="shared" si="77"/>
        <v>2021</v>
      </c>
    </row>
    <row r="2046" spans="5:8" x14ac:dyDescent="0.25">
      <c r="E2046" s="2">
        <v>44446</v>
      </c>
      <c r="F2046">
        <v>172</v>
      </c>
      <c r="G2046">
        <f t="shared" si="76"/>
        <v>9</v>
      </c>
      <c r="H2046">
        <f t="shared" si="77"/>
        <v>2021</v>
      </c>
    </row>
    <row r="2047" spans="5:8" x14ac:dyDescent="0.25">
      <c r="E2047" s="2">
        <v>44447</v>
      </c>
      <c r="F2047">
        <v>170</v>
      </c>
      <c r="G2047">
        <f t="shared" si="76"/>
        <v>9</v>
      </c>
      <c r="H2047">
        <f t="shared" si="77"/>
        <v>2021</v>
      </c>
    </row>
    <row r="2048" spans="5:8" x14ac:dyDescent="0.25">
      <c r="E2048" s="2">
        <v>44448</v>
      </c>
      <c r="F2048">
        <v>170</v>
      </c>
      <c r="G2048">
        <f t="shared" si="76"/>
        <v>9</v>
      </c>
      <c r="H2048">
        <f t="shared" si="77"/>
        <v>2021</v>
      </c>
    </row>
    <row r="2049" spans="5:8" x14ac:dyDescent="0.25">
      <c r="E2049" s="2">
        <v>44449</v>
      </c>
      <c r="F2049">
        <v>169.25</v>
      </c>
      <c r="G2049">
        <f t="shared" si="76"/>
        <v>9</v>
      </c>
      <c r="H2049">
        <f t="shared" si="77"/>
        <v>2021</v>
      </c>
    </row>
    <row r="2050" spans="5:8" x14ac:dyDescent="0.25">
      <c r="E2050" s="2">
        <v>44452</v>
      </c>
      <c r="F2050">
        <v>169.25</v>
      </c>
      <c r="G2050">
        <f t="shared" si="76"/>
        <v>9</v>
      </c>
      <c r="H2050">
        <f t="shared" si="77"/>
        <v>2021</v>
      </c>
    </row>
    <row r="2051" spans="5:8" x14ac:dyDescent="0.25">
      <c r="E2051" s="2">
        <v>44453</v>
      </c>
      <c r="F2051">
        <v>169.25</v>
      </c>
      <c r="G2051">
        <f t="shared" si="76"/>
        <v>9</v>
      </c>
      <c r="H2051">
        <f t="shared" si="77"/>
        <v>2021</v>
      </c>
    </row>
    <row r="2052" spans="5:8" x14ac:dyDescent="0.25">
      <c r="E2052" s="2">
        <v>44454</v>
      </c>
      <c r="F2052">
        <v>168.5</v>
      </c>
      <c r="G2052">
        <f t="shared" si="76"/>
        <v>9</v>
      </c>
      <c r="H2052">
        <f t="shared" si="77"/>
        <v>2021</v>
      </c>
    </row>
    <row r="2053" spans="5:8" x14ac:dyDescent="0.25">
      <c r="E2053" s="2">
        <v>44455</v>
      </c>
      <c r="F2053">
        <v>168.5</v>
      </c>
      <c r="G2053">
        <f t="shared" ref="G2053:G2116" si="78">MONTH(E2053)</f>
        <v>9</v>
      </c>
      <c r="H2053">
        <f t="shared" ref="H2053:H2116" si="79">YEAR(E2053)</f>
        <v>2021</v>
      </c>
    </row>
    <row r="2054" spans="5:8" x14ac:dyDescent="0.25">
      <c r="E2054" s="2">
        <v>44456</v>
      </c>
      <c r="F2054">
        <v>165.75</v>
      </c>
      <c r="G2054">
        <f t="shared" si="78"/>
        <v>9</v>
      </c>
      <c r="H2054">
        <f t="shared" si="79"/>
        <v>2021</v>
      </c>
    </row>
    <row r="2055" spans="5:8" x14ac:dyDescent="0.25">
      <c r="E2055" s="2">
        <v>44459</v>
      </c>
      <c r="F2055">
        <v>165.75</v>
      </c>
      <c r="G2055">
        <f t="shared" si="78"/>
        <v>9</v>
      </c>
      <c r="H2055">
        <f t="shared" si="79"/>
        <v>2021</v>
      </c>
    </row>
    <row r="2056" spans="5:8" x14ac:dyDescent="0.25">
      <c r="E2056" s="2">
        <v>44460</v>
      </c>
      <c r="F2056">
        <v>165.75</v>
      </c>
      <c r="G2056">
        <f t="shared" si="78"/>
        <v>9</v>
      </c>
      <c r="H2056">
        <f t="shared" si="79"/>
        <v>2021</v>
      </c>
    </row>
    <row r="2057" spans="5:8" x14ac:dyDescent="0.25">
      <c r="E2057" s="2">
        <v>44461</v>
      </c>
      <c r="F2057">
        <v>164.5</v>
      </c>
      <c r="G2057">
        <f t="shared" si="78"/>
        <v>9</v>
      </c>
      <c r="H2057">
        <f t="shared" si="79"/>
        <v>2021</v>
      </c>
    </row>
    <row r="2058" spans="5:8" x14ac:dyDescent="0.25">
      <c r="E2058" s="2">
        <v>44462</v>
      </c>
      <c r="F2058">
        <v>162.25</v>
      </c>
      <c r="G2058">
        <f t="shared" si="78"/>
        <v>9</v>
      </c>
      <c r="H2058">
        <f t="shared" si="79"/>
        <v>2021</v>
      </c>
    </row>
    <row r="2059" spans="5:8" x14ac:dyDescent="0.25">
      <c r="E2059" s="2">
        <v>44463</v>
      </c>
      <c r="F2059">
        <v>162</v>
      </c>
      <c r="G2059">
        <f t="shared" si="78"/>
        <v>9</v>
      </c>
      <c r="H2059">
        <f t="shared" si="79"/>
        <v>2021</v>
      </c>
    </row>
    <row r="2060" spans="5:8" x14ac:dyDescent="0.25">
      <c r="E2060" s="2">
        <v>44466</v>
      </c>
      <c r="F2060">
        <v>160.5</v>
      </c>
      <c r="G2060">
        <f t="shared" si="78"/>
        <v>9</v>
      </c>
      <c r="H2060">
        <f t="shared" si="79"/>
        <v>2021</v>
      </c>
    </row>
    <row r="2061" spans="5:8" x14ac:dyDescent="0.25">
      <c r="E2061" s="2">
        <v>44467</v>
      </c>
      <c r="F2061">
        <v>158.5</v>
      </c>
      <c r="G2061">
        <f t="shared" si="78"/>
        <v>9</v>
      </c>
      <c r="H2061">
        <f t="shared" si="79"/>
        <v>2021</v>
      </c>
    </row>
    <row r="2062" spans="5:8" x14ac:dyDescent="0.25">
      <c r="E2062" s="2">
        <v>44468</v>
      </c>
      <c r="F2062">
        <v>157.5</v>
      </c>
      <c r="G2062">
        <f t="shared" si="78"/>
        <v>9</v>
      </c>
      <c r="H2062">
        <f t="shared" si="79"/>
        <v>2021</v>
      </c>
    </row>
    <row r="2063" spans="5:8" x14ac:dyDescent="0.25">
      <c r="E2063" s="2">
        <v>44469</v>
      </c>
      <c r="F2063">
        <v>159.5</v>
      </c>
      <c r="G2063">
        <f t="shared" si="78"/>
        <v>9</v>
      </c>
      <c r="H2063">
        <f t="shared" si="79"/>
        <v>2021</v>
      </c>
    </row>
    <row r="2064" spans="5:8" x14ac:dyDescent="0.25">
      <c r="E2064" s="2">
        <v>44470</v>
      </c>
      <c r="F2064">
        <v>159.5</v>
      </c>
      <c r="G2064">
        <f t="shared" si="78"/>
        <v>10</v>
      </c>
      <c r="H2064">
        <f t="shared" si="79"/>
        <v>2021</v>
      </c>
    </row>
    <row r="2065" spans="5:8" x14ac:dyDescent="0.25">
      <c r="E2065" s="2">
        <v>44473</v>
      </c>
      <c r="F2065">
        <v>162</v>
      </c>
      <c r="G2065">
        <f t="shared" si="78"/>
        <v>10</v>
      </c>
      <c r="H2065">
        <f t="shared" si="79"/>
        <v>2021</v>
      </c>
    </row>
    <row r="2066" spans="5:8" x14ac:dyDescent="0.25">
      <c r="E2066" s="2">
        <v>44474</v>
      </c>
      <c r="F2066">
        <v>162</v>
      </c>
      <c r="G2066">
        <f t="shared" si="78"/>
        <v>10</v>
      </c>
      <c r="H2066">
        <f t="shared" si="79"/>
        <v>2021</v>
      </c>
    </row>
    <row r="2067" spans="5:8" x14ac:dyDescent="0.25">
      <c r="E2067" s="2">
        <v>44475</v>
      </c>
      <c r="F2067">
        <v>162</v>
      </c>
      <c r="G2067">
        <f t="shared" si="78"/>
        <v>10</v>
      </c>
      <c r="H2067">
        <f t="shared" si="79"/>
        <v>2021</v>
      </c>
    </row>
    <row r="2068" spans="5:8" x14ac:dyDescent="0.25">
      <c r="E2068" s="2">
        <v>44476</v>
      </c>
      <c r="F2068">
        <v>163.5</v>
      </c>
      <c r="G2068">
        <f t="shared" si="78"/>
        <v>10</v>
      </c>
      <c r="H2068">
        <f t="shared" si="79"/>
        <v>2021</v>
      </c>
    </row>
    <row r="2069" spans="5:8" x14ac:dyDescent="0.25">
      <c r="E2069" s="2">
        <v>44477</v>
      </c>
      <c r="F2069">
        <v>162.5</v>
      </c>
      <c r="G2069">
        <f t="shared" si="78"/>
        <v>10</v>
      </c>
      <c r="H2069">
        <f t="shared" si="79"/>
        <v>2021</v>
      </c>
    </row>
    <row r="2070" spans="5:8" x14ac:dyDescent="0.25">
      <c r="E2070" s="2">
        <v>44480</v>
      </c>
      <c r="F2070">
        <v>168.5</v>
      </c>
      <c r="G2070">
        <f t="shared" si="78"/>
        <v>10</v>
      </c>
      <c r="H2070">
        <f t="shared" si="79"/>
        <v>2021</v>
      </c>
    </row>
    <row r="2071" spans="5:8" x14ac:dyDescent="0.25">
      <c r="E2071" s="2">
        <v>44481</v>
      </c>
      <c r="F2071">
        <v>172</v>
      </c>
      <c r="G2071">
        <f t="shared" si="78"/>
        <v>10</v>
      </c>
      <c r="H2071">
        <f t="shared" si="79"/>
        <v>2021</v>
      </c>
    </row>
    <row r="2072" spans="5:8" x14ac:dyDescent="0.25">
      <c r="E2072" s="2">
        <v>44482</v>
      </c>
      <c r="F2072">
        <v>174.5</v>
      </c>
      <c r="G2072">
        <f t="shared" si="78"/>
        <v>10</v>
      </c>
      <c r="H2072">
        <f t="shared" si="79"/>
        <v>2021</v>
      </c>
    </row>
    <row r="2073" spans="5:8" x14ac:dyDescent="0.25">
      <c r="E2073" s="2">
        <v>44483</v>
      </c>
      <c r="F2073">
        <v>175</v>
      </c>
      <c r="G2073">
        <f t="shared" si="78"/>
        <v>10</v>
      </c>
      <c r="H2073">
        <f t="shared" si="79"/>
        <v>2021</v>
      </c>
    </row>
    <row r="2074" spans="5:8" x14ac:dyDescent="0.25">
      <c r="E2074" s="2">
        <v>44484</v>
      </c>
      <c r="F2074">
        <v>174</v>
      </c>
      <c r="G2074">
        <f t="shared" si="78"/>
        <v>10</v>
      </c>
      <c r="H2074">
        <f t="shared" si="79"/>
        <v>2021</v>
      </c>
    </row>
    <row r="2075" spans="5:8" x14ac:dyDescent="0.25">
      <c r="E2075" s="2">
        <v>44487</v>
      </c>
      <c r="F2075">
        <v>171.5</v>
      </c>
      <c r="G2075">
        <f t="shared" si="78"/>
        <v>10</v>
      </c>
      <c r="H2075">
        <f t="shared" si="79"/>
        <v>2021</v>
      </c>
    </row>
    <row r="2076" spans="5:8" x14ac:dyDescent="0.25">
      <c r="E2076" s="2">
        <v>44488</v>
      </c>
      <c r="F2076">
        <v>171.5</v>
      </c>
      <c r="G2076">
        <f t="shared" si="78"/>
        <v>10</v>
      </c>
      <c r="H2076">
        <f t="shared" si="79"/>
        <v>2021</v>
      </c>
    </row>
    <row r="2077" spans="5:8" x14ac:dyDescent="0.25">
      <c r="E2077" s="2">
        <v>44489</v>
      </c>
      <c r="F2077">
        <v>171.5</v>
      </c>
      <c r="G2077">
        <f t="shared" si="78"/>
        <v>10</v>
      </c>
      <c r="H2077">
        <f t="shared" si="79"/>
        <v>2021</v>
      </c>
    </row>
    <row r="2078" spans="5:8" x14ac:dyDescent="0.25">
      <c r="E2078" s="2">
        <v>44490</v>
      </c>
      <c r="F2078">
        <v>169</v>
      </c>
      <c r="G2078">
        <f t="shared" si="78"/>
        <v>10</v>
      </c>
      <c r="H2078">
        <f t="shared" si="79"/>
        <v>2021</v>
      </c>
    </row>
    <row r="2079" spans="5:8" x14ac:dyDescent="0.25">
      <c r="E2079" s="2">
        <v>44491</v>
      </c>
      <c r="F2079">
        <v>168.5</v>
      </c>
      <c r="G2079">
        <f t="shared" si="78"/>
        <v>10</v>
      </c>
      <c r="H2079">
        <f t="shared" si="79"/>
        <v>2021</v>
      </c>
    </row>
    <row r="2080" spans="5:8" x14ac:dyDescent="0.25">
      <c r="E2080" s="2">
        <v>44494</v>
      </c>
      <c r="F2080">
        <v>168</v>
      </c>
      <c r="G2080">
        <f t="shared" si="78"/>
        <v>10</v>
      </c>
      <c r="H2080">
        <f t="shared" si="79"/>
        <v>2021</v>
      </c>
    </row>
    <row r="2081" spans="5:8" x14ac:dyDescent="0.25">
      <c r="E2081" s="2">
        <v>44495</v>
      </c>
      <c r="F2081">
        <v>169</v>
      </c>
      <c r="G2081">
        <f t="shared" si="78"/>
        <v>10</v>
      </c>
      <c r="H2081">
        <f t="shared" si="79"/>
        <v>2021</v>
      </c>
    </row>
    <row r="2082" spans="5:8" x14ac:dyDescent="0.25">
      <c r="E2082" s="2">
        <v>44496</v>
      </c>
      <c r="F2082">
        <v>169</v>
      </c>
      <c r="G2082">
        <f t="shared" si="78"/>
        <v>10</v>
      </c>
      <c r="H2082">
        <f t="shared" si="79"/>
        <v>2021</v>
      </c>
    </row>
    <row r="2083" spans="5:8" x14ac:dyDescent="0.25">
      <c r="E2083" s="2">
        <v>44497</v>
      </c>
      <c r="F2083">
        <v>167.25</v>
      </c>
      <c r="G2083">
        <f t="shared" si="78"/>
        <v>10</v>
      </c>
      <c r="H2083">
        <f t="shared" si="79"/>
        <v>2021</v>
      </c>
    </row>
    <row r="2084" spans="5:8" x14ac:dyDescent="0.25">
      <c r="E2084" s="2">
        <v>44498</v>
      </c>
      <c r="F2084">
        <v>160.5</v>
      </c>
      <c r="G2084">
        <f t="shared" si="78"/>
        <v>10</v>
      </c>
      <c r="H2084">
        <f t="shared" si="79"/>
        <v>2021</v>
      </c>
    </row>
    <row r="2085" spans="5:8" x14ac:dyDescent="0.25">
      <c r="E2085" s="2">
        <v>44501</v>
      </c>
      <c r="F2085">
        <v>156</v>
      </c>
      <c r="G2085">
        <f t="shared" si="78"/>
        <v>11</v>
      </c>
      <c r="H2085">
        <f t="shared" si="79"/>
        <v>2021</v>
      </c>
    </row>
    <row r="2086" spans="5:8" x14ac:dyDescent="0.25">
      <c r="E2086" s="2">
        <v>44502</v>
      </c>
      <c r="F2086">
        <v>160</v>
      </c>
      <c r="G2086">
        <f t="shared" si="78"/>
        <v>11</v>
      </c>
      <c r="H2086">
        <f t="shared" si="79"/>
        <v>2021</v>
      </c>
    </row>
    <row r="2087" spans="5:8" x14ac:dyDescent="0.25">
      <c r="E2087" s="2">
        <v>44503</v>
      </c>
      <c r="F2087">
        <v>160</v>
      </c>
      <c r="G2087">
        <f t="shared" si="78"/>
        <v>11</v>
      </c>
      <c r="H2087">
        <f t="shared" si="79"/>
        <v>2021</v>
      </c>
    </row>
    <row r="2088" spans="5:8" x14ac:dyDescent="0.25">
      <c r="E2088" s="2">
        <v>44504</v>
      </c>
      <c r="F2088">
        <v>155.5</v>
      </c>
      <c r="G2088">
        <f t="shared" si="78"/>
        <v>11</v>
      </c>
      <c r="H2088">
        <f t="shared" si="79"/>
        <v>2021</v>
      </c>
    </row>
    <row r="2089" spans="5:8" x14ac:dyDescent="0.25">
      <c r="E2089" s="2">
        <v>44505</v>
      </c>
      <c r="F2089">
        <v>154.5</v>
      </c>
      <c r="G2089">
        <f t="shared" si="78"/>
        <v>11</v>
      </c>
      <c r="H2089">
        <f t="shared" si="79"/>
        <v>2021</v>
      </c>
    </row>
    <row r="2090" spans="5:8" x14ac:dyDescent="0.25">
      <c r="E2090" s="2">
        <v>44508</v>
      </c>
      <c r="F2090">
        <v>154.5</v>
      </c>
      <c r="G2090">
        <f t="shared" si="78"/>
        <v>11</v>
      </c>
      <c r="H2090">
        <f t="shared" si="79"/>
        <v>2021</v>
      </c>
    </row>
    <row r="2091" spans="5:8" x14ac:dyDescent="0.25">
      <c r="E2091" s="2">
        <v>44509</v>
      </c>
      <c r="F2091">
        <v>152.5</v>
      </c>
      <c r="G2091">
        <f t="shared" si="78"/>
        <v>11</v>
      </c>
      <c r="H2091">
        <f t="shared" si="79"/>
        <v>2021</v>
      </c>
    </row>
    <row r="2092" spans="5:8" x14ac:dyDescent="0.25">
      <c r="E2092" s="2">
        <v>44510</v>
      </c>
      <c r="F2092">
        <v>150.5</v>
      </c>
      <c r="G2092">
        <f t="shared" si="78"/>
        <v>11</v>
      </c>
      <c r="H2092">
        <f t="shared" si="79"/>
        <v>2021</v>
      </c>
    </row>
    <row r="2093" spans="5:8" x14ac:dyDescent="0.25">
      <c r="E2093" s="2">
        <v>44511</v>
      </c>
      <c r="F2093">
        <v>150.5</v>
      </c>
      <c r="G2093">
        <f t="shared" si="78"/>
        <v>11</v>
      </c>
      <c r="H2093">
        <f t="shared" si="79"/>
        <v>2021</v>
      </c>
    </row>
    <row r="2094" spans="5:8" x14ac:dyDescent="0.25">
      <c r="E2094" s="2">
        <v>44512</v>
      </c>
      <c r="F2094">
        <v>150.5</v>
      </c>
      <c r="G2094">
        <f t="shared" si="78"/>
        <v>11</v>
      </c>
      <c r="H2094">
        <f t="shared" si="79"/>
        <v>2021</v>
      </c>
    </row>
    <row r="2095" spans="5:8" x14ac:dyDescent="0.25">
      <c r="E2095" s="2">
        <v>44515</v>
      </c>
      <c r="F2095">
        <v>147</v>
      </c>
      <c r="G2095">
        <f t="shared" si="78"/>
        <v>11</v>
      </c>
      <c r="H2095">
        <f t="shared" si="79"/>
        <v>2021</v>
      </c>
    </row>
    <row r="2096" spans="5:8" x14ac:dyDescent="0.25">
      <c r="E2096" s="2">
        <v>44516</v>
      </c>
      <c r="F2096">
        <v>146</v>
      </c>
      <c r="G2096">
        <f t="shared" si="78"/>
        <v>11</v>
      </c>
      <c r="H2096">
        <f t="shared" si="79"/>
        <v>2021</v>
      </c>
    </row>
    <row r="2097" spans="5:8" x14ac:dyDescent="0.25">
      <c r="E2097" s="2">
        <v>44517</v>
      </c>
      <c r="F2097">
        <v>146</v>
      </c>
      <c r="G2097">
        <f t="shared" si="78"/>
        <v>11</v>
      </c>
      <c r="H2097">
        <f t="shared" si="79"/>
        <v>2021</v>
      </c>
    </row>
    <row r="2098" spans="5:8" x14ac:dyDescent="0.25">
      <c r="E2098" s="2">
        <v>44518</v>
      </c>
      <c r="F2098">
        <v>146</v>
      </c>
      <c r="G2098">
        <f t="shared" si="78"/>
        <v>11</v>
      </c>
      <c r="H2098">
        <f t="shared" si="79"/>
        <v>2021</v>
      </c>
    </row>
    <row r="2099" spans="5:8" x14ac:dyDescent="0.25">
      <c r="E2099" s="2">
        <v>44519</v>
      </c>
      <c r="F2099">
        <v>146</v>
      </c>
      <c r="G2099">
        <f t="shared" si="78"/>
        <v>11</v>
      </c>
      <c r="H2099">
        <f t="shared" si="79"/>
        <v>2021</v>
      </c>
    </row>
    <row r="2100" spans="5:8" x14ac:dyDescent="0.25">
      <c r="E2100" s="2">
        <v>44522</v>
      </c>
      <c r="F2100">
        <v>142</v>
      </c>
      <c r="G2100">
        <f t="shared" si="78"/>
        <v>11</v>
      </c>
      <c r="H2100">
        <f t="shared" si="79"/>
        <v>2021</v>
      </c>
    </row>
    <row r="2101" spans="5:8" x14ac:dyDescent="0.25">
      <c r="E2101" s="2">
        <v>44523</v>
      </c>
      <c r="F2101">
        <v>142.5</v>
      </c>
      <c r="G2101">
        <f t="shared" si="78"/>
        <v>11</v>
      </c>
      <c r="H2101">
        <f t="shared" si="79"/>
        <v>2021</v>
      </c>
    </row>
    <row r="2102" spans="5:8" x14ac:dyDescent="0.25">
      <c r="E2102" s="2">
        <v>44524</v>
      </c>
      <c r="F2102">
        <v>143</v>
      </c>
      <c r="G2102">
        <f t="shared" si="78"/>
        <v>11</v>
      </c>
      <c r="H2102">
        <f t="shared" si="79"/>
        <v>2021</v>
      </c>
    </row>
    <row r="2103" spans="5:8" x14ac:dyDescent="0.25">
      <c r="E2103" s="2">
        <v>44529</v>
      </c>
      <c r="F2103">
        <v>143.5</v>
      </c>
      <c r="G2103">
        <f t="shared" si="78"/>
        <v>11</v>
      </c>
      <c r="H2103">
        <f t="shared" si="79"/>
        <v>2021</v>
      </c>
    </row>
    <row r="2104" spans="5:8" x14ac:dyDescent="0.25">
      <c r="E2104" s="2">
        <v>44530</v>
      </c>
      <c r="F2104">
        <v>144</v>
      </c>
      <c r="G2104">
        <f t="shared" si="78"/>
        <v>11</v>
      </c>
      <c r="H2104">
        <f t="shared" si="79"/>
        <v>2021</v>
      </c>
    </row>
    <row r="2105" spans="5:8" x14ac:dyDescent="0.25">
      <c r="E2105" s="2">
        <v>44531</v>
      </c>
      <c r="F2105">
        <v>144</v>
      </c>
      <c r="G2105">
        <f t="shared" si="78"/>
        <v>12</v>
      </c>
      <c r="H2105">
        <f t="shared" si="79"/>
        <v>2021</v>
      </c>
    </row>
    <row r="2106" spans="5:8" x14ac:dyDescent="0.25">
      <c r="E2106" s="2">
        <v>44532</v>
      </c>
      <c r="F2106">
        <v>144</v>
      </c>
      <c r="G2106">
        <f t="shared" si="78"/>
        <v>12</v>
      </c>
      <c r="H2106">
        <f t="shared" si="79"/>
        <v>2021</v>
      </c>
    </row>
    <row r="2107" spans="5:8" x14ac:dyDescent="0.25">
      <c r="E2107" s="2">
        <v>44533</v>
      </c>
      <c r="F2107">
        <v>144</v>
      </c>
      <c r="G2107">
        <f t="shared" si="78"/>
        <v>12</v>
      </c>
      <c r="H2107">
        <f t="shared" si="79"/>
        <v>2021</v>
      </c>
    </row>
    <row r="2108" spans="5:8" x14ac:dyDescent="0.25">
      <c r="E2108" s="2">
        <v>44536</v>
      </c>
      <c r="F2108">
        <v>148.5</v>
      </c>
      <c r="G2108">
        <f t="shared" si="78"/>
        <v>12</v>
      </c>
      <c r="H2108">
        <f t="shared" si="79"/>
        <v>2021</v>
      </c>
    </row>
    <row r="2109" spans="5:8" x14ac:dyDescent="0.25">
      <c r="E2109" s="2">
        <v>44537</v>
      </c>
      <c r="F2109">
        <v>153.5</v>
      </c>
      <c r="G2109">
        <f t="shared" si="78"/>
        <v>12</v>
      </c>
      <c r="H2109">
        <f t="shared" si="79"/>
        <v>2021</v>
      </c>
    </row>
    <row r="2110" spans="5:8" x14ac:dyDescent="0.25">
      <c r="E2110" s="2">
        <v>44538</v>
      </c>
      <c r="F2110">
        <v>153</v>
      </c>
      <c r="G2110">
        <f t="shared" si="78"/>
        <v>12</v>
      </c>
      <c r="H2110">
        <f t="shared" si="79"/>
        <v>2021</v>
      </c>
    </row>
    <row r="2111" spans="5:8" x14ac:dyDescent="0.25">
      <c r="E2111" s="2">
        <v>44539</v>
      </c>
      <c r="F2111">
        <v>154.5</v>
      </c>
      <c r="G2111">
        <f t="shared" si="78"/>
        <v>12</v>
      </c>
      <c r="H2111">
        <f t="shared" si="79"/>
        <v>2021</v>
      </c>
    </row>
    <row r="2112" spans="5:8" x14ac:dyDescent="0.25">
      <c r="E2112" s="2">
        <v>44540</v>
      </c>
      <c r="F2112">
        <v>154.5</v>
      </c>
      <c r="G2112">
        <f t="shared" si="78"/>
        <v>12</v>
      </c>
      <c r="H2112">
        <f t="shared" si="79"/>
        <v>2021</v>
      </c>
    </row>
    <row r="2113" spans="5:8" x14ac:dyDescent="0.25">
      <c r="E2113" s="2">
        <v>44543</v>
      </c>
      <c r="F2113">
        <v>151</v>
      </c>
      <c r="G2113">
        <f t="shared" si="78"/>
        <v>12</v>
      </c>
      <c r="H2113">
        <f t="shared" si="79"/>
        <v>2021</v>
      </c>
    </row>
    <row r="2114" spans="5:8" x14ac:dyDescent="0.25">
      <c r="E2114" s="2">
        <v>44544</v>
      </c>
      <c r="F2114">
        <v>149</v>
      </c>
      <c r="G2114">
        <f t="shared" si="78"/>
        <v>12</v>
      </c>
      <c r="H2114">
        <f t="shared" si="79"/>
        <v>2021</v>
      </c>
    </row>
    <row r="2115" spans="5:8" x14ac:dyDescent="0.25">
      <c r="E2115" s="2">
        <v>44545</v>
      </c>
      <c r="F2115">
        <v>149</v>
      </c>
      <c r="G2115">
        <f t="shared" si="78"/>
        <v>12</v>
      </c>
      <c r="H2115">
        <f t="shared" si="79"/>
        <v>2021</v>
      </c>
    </row>
    <row r="2116" spans="5:8" x14ac:dyDescent="0.25">
      <c r="E2116" s="2">
        <v>44546</v>
      </c>
      <c r="F2116">
        <v>147</v>
      </c>
      <c r="G2116">
        <f t="shared" si="78"/>
        <v>12</v>
      </c>
      <c r="H2116">
        <f t="shared" si="79"/>
        <v>2021</v>
      </c>
    </row>
    <row r="2117" spans="5:8" x14ac:dyDescent="0.25">
      <c r="E2117" s="2">
        <v>44547</v>
      </c>
      <c r="F2117">
        <v>146.5</v>
      </c>
      <c r="G2117">
        <f t="shared" ref="G2117:G2180" si="80">MONTH(E2117)</f>
        <v>12</v>
      </c>
      <c r="H2117">
        <f t="shared" ref="H2117:H2180" si="81">YEAR(E2117)</f>
        <v>2021</v>
      </c>
    </row>
    <row r="2118" spans="5:8" x14ac:dyDescent="0.25">
      <c r="E2118" s="2">
        <v>44550</v>
      </c>
      <c r="F2118">
        <v>146.5</v>
      </c>
      <c r="G2118">
        <f t="shared" si="80"/>
        <v>12</v>
      </c>
      <c r="H2118">
        <f t="shared" si="81"/>
        <v>2021</v>
      </c>
    </row>
    <row r="2119" spans="5:8" x14ac:dyDescent="0.25">
      <c r="E2119" s="2">
        <v>44551</v>
      </c>
      <c r="F2119">
        <v>144</v>
      </c>
      <c r="G2119">
        <f t="shared" si="80"/>
        <v>12</v>
      </c>
      <c r="H2119">
        <f t="shared" si="81"/>
        <v>2021</v>
      </c>
    </row>
    <row r="2120" spans="5:8" x14ac:dyDescent="0.25">
      <c r="E2120" s="2">
        <v>44552</v>
      </c>
      <c r="F2120">
        <v>147.25</v>
      </c>
      <c r="G2120">
        <f t="shared" si="80"/>
        <v>12</v>
      </c>
      <c r="H2120">
        <f t="shared" si="81"/>
        <v>2021</v>
      </c>
    </row>
    <row r="2121" spans="5:8" x14ac:dyDescent="0.25">
      <c r="E2121" s="2">
        <v>44553</v>
      </c>
      <c r="F2121">
        <v>147.25</v>
      </c>
      <c r="G2121">
        <f t="shared" si="80"/>
        <v>12</v>
      </c>
      <c r="H2121">
        <f t="shared" si="81"/>
        <v>2021</v>
      </c>
    </row>
    <row r="2122" spans="5:8" x14ac:dyDescent="0.25">
      <c r="E2122" s="2">
        <v>44557</v>
      </c>
      <c r="F2122">
        <v>147.75</v>
      </c>
      <c r="G2122">
        <f t="shared" si="80"/>
        <v>12</v>
      </c>
      <c r="H2122">
        <f t="shared" si="81"/>
        <v>2021</v>
      </c>
    </row>
    <row r="2123" spans="5:8" x14ac:dyDescent="0.25">
      <c r="E2123" s="2">
        <v>44558</v>
      </c>
      <c r="F2123">
        <v>147.75</v>
      </c>
      <c r="G2123">
        <f t="shared" si="80"/>
        <v>12</v>
      </c>
      <c r="H2123">
        <f t="shared" si="81"/>
        <v>2021</v>
      </c>
    </row>
    <row r="2124" spans="5:8" x14ac:dyDescent="0.25">
      <c r="E2124" s="2">
        <v>44559</v>
      </c>
      <c r="F2124">
        <v>148.5</v>
      </c>
      <c r="G2124">
        <f t="shared" si="80"/>
        <v>12</v>
      </c>
      <c r="H2124">
        <f t="shared" si="81"/>
        <v>2021</v>
      </c>
    </row>
    <row r="2125" spans="5:8" x14ac:dyDescent="0.25">
      <c r="E2125" s="2">
        <v>44560</v>
      </c>
      <c r="F2125">
        <v>149.25</v>
      </c>
      <c r="G2125">
        <f t="shared" si="80"/>
        <v>12</v>
      </c>
      <c r="H2125">
        <f t="shared" si="81"/>
        <v>2021</v>
      </c>
    </row>
    <row r="2126" spans="5:8" x14ac:dyDescent="0.25">
      <c r="E2126" s="2">
        <v>44564</v>
      </c>
      <c r="F2126">
        <v>149.25</v>
      </c>
      <c r="G2126">
        <f t="shared" si="80"/>
        <v>1</v>
      </c>
      <c r="H2126">
        <f t="shared" si="81"/>
        <v>2022</v>
      </c>
    </row>
    <row r="2127" spans="5:8" x14ac:dyDescent="0.25">
      <c r="E2127" s="2">
        <v>44565</v>
      </c>
      <c r="F2127">
        <v>149.75</v>
      </c>
      <c r="G2127">
        <f t="shared" si="80"/>
        <v>1</v>
      </c>
      <c r="H2127">
        <f t="shared" si="81"/>
        <v>2022</v>
      </c>
    </row>
    <row r="2128" spans="5:8" x14ac:dyDescent="0.25">
      <c r="E2128" s="2">
        <v>44566</v>
      </c>
      <c r="F2128">
        <v>149.75</v>
      </c>
      <c r="G2128">
        <f t="shared" si="80"/>
        <v>1</v>
      </c>
      <c r="H2128">
        <f t="shared" si="81"/>
        <v>2022</v>
      </c>
    </row>
    <row r="2129" spans="5:8" x14ac:dyDescent="0.25">
      <c r="E2129" s="2">
        <v>44567</v>
      </c>
      <c r="F2129">
        <v>153.75</v>
      </c>
      <c r="G2129">
        <f t="shared" si="80"/>
        <v>1</v>
      </c>
      <c r="H2129">
        <f t="shared" si="81"/>
        <v>2022</v>
      </c>
    </row>
    <row r="2130" spans="5:8" x14ac:dyDescent="0.25">
      <c r="E2130" s="2">
        <v>44568</v>
      </c>
      <c r="F2130">
        <v>151.5</v>
      </c>
      <c r="G2130">
        <f t="shared" si="80"/>
        <v>1</v>
      </c>
      <c r="H2130">
        <f t="shared" si="81"/>
        <v>2022</v>
      </c>
    </row>
    <row r="2131" spans="5:8" x14ac:dyDescent="0.25">
      <c r="E2131" s="2">
        <v>44571</v>
      </c>
      <c r="F2131">
        <v>152.5</v>
      </c>
      <c r="G2131">
        <f t="shared" si="80"/>
        <v>1</v>
      </c>
      <c r="H2131">
        <f t="shared" si="81"/>
        <v>2022</v>
      </c>
    </row>
    <row r="2132" spans="5:8" x14ac:dyDescent="0.25">
      <c r="E2132" s="2">
        <v>44572</v>
      </c>
      <c r="F2132">
        <v>153</v>
      </c>
      <c r="G2132">
        <f t="shared" si="80"/>
        <v>1</v>
      </c>
      <c r="H2132">
        <f t="shared" si="81"/>
        <v>2022</v>
      </c>
    </row>
    <row r="2133" spans="5:8" x14ac:dyDescent="0.25">
      <c r="E2133" s="2">
        <v>44573</v>
      </c>
      <c r="F2133">
        <v>152</v>
      </c>
      <c r="G2133">
        <f t="shared" si="80"/>
        <v>1</v>
      </c>
      <c r="H2133">
        <f t="shared" si="81"/>
        <v>2022</v>
      </c>
    </row>
    <row r="2134" spans="5:8" x14ac:dyDescent="0.25">
      <c r="E2134" s="2">
        <v>44574</v>
      </c>
      <c r="F2134">
        <v>149.5</v>
      </c>
      <c r="G2134">
        <f t="shared" si="80"/>
        <v>1</v>
      </c>
      <c r="H2134">
        <f t="shared" si="81"/>
        <v>2022</v>
      </c>
    </row>
    <row r="2135" spans="5:8" x14ac:dyDescent="0.25">
      <c r="E2135" s="2">
        <v>44575</v>
      </c>
      <c r="F2135">
        <v>148.5</v>
      </c>
      <c r="G2135">
        <f t="shared" si="80"/>
        <v>1</v>
      </c>
      <c r="H2135">
        <f t="shared" si="81"/>
        <v>2022</v>
      </c>
    </row>
    <row r="2136" spans="5:8" x14ac:dyDescent="0.25">
      <c r="E2136" s="2">
        <v>44579</v>
      </c>
      <c r="F2136">
        <v>148.5</v>
      </c>
      <c r="G2136">
        <f t="shared" si="80"/>
        <v>1</v>
      </c>
      <c r="H2136">
        <f t="shared" si="81"/>
        <v>2022</v>
      </c>
    </row>
    <row r="2137" spans="5:8" x14ac:dyDescent="0.25">
      <c r="E2137" s="2">
        <v>44580</v>
      </c>
      <c r="F2137">
        <v>148.5</v>
      </c>
      <c r="G2137">
        <f t="shared" si="80"/>
        <v>1</v>
      </c>
      <c r="H2137">
        <f t="shared" si="81"/>
        <v>2022</v>
      </c>
    </row>
    <row r="2138" spans="5:8" x14ac:dyDescent="0.25">
      <c r="E2138" s="2">
        <v>44581</v>
      </c>
      <c r="F2138">
        <v>149</v>
      </c>
      <c r="G2138">
        <f t="shared" si="80"/>
        <v>1</v>
      </c>
      <c r="H2138">
        <f t="shared" si="81"/>
        <v>2022</v>
      </c>
    </row>
    <row r="2139" spans="5:8" x14ac:dyDescent="0.25">
      <c r="E2139" s="2">
        <v>44582</v>
      </c>
      <c r="F2139">
        <v>150.5</v>
      </c>
      <c r="G2139">
        <f t="shared" si="80"/>
        <v>1</v>
      </c>
      <c r="H2139">
        <f t="shared" si="81"/>
        <v>2022</v>
      </c>
    </row>
    <row r="2140" spans="5:8" x14ac:dyDescent="0.25">
      <c r="E2140" s="2">
        <v>44585</v>
      </c>
      <c r="F2140">
        <v>150.25</v>
      </c>
      <c r="G2140">
        <f t="shared" si="80"/>
        <v>1</v>
      </c>
      <c r="H2140">
        <f t="shared" si="81"/>
        <v>2022</v>
      </c>
    </row>
    <row r="2141" spans="5:8" x14ac:dyDescent="0.25">
      <c r="E2141" s="2">
        <v>44586</v>
      </c>
      <c r="F2141">
        <v>151</v>
      </c>
      <c r="G2141">
        <f t="shared" si="80"/>
        <v>1</v>
      </c>
      <c r="H2141">
        <f t="shared" si="81"/>
        <v>2022</v>
      </c>
    </row>
    <row r="2142" spans="5:8" x14ac:dyDescent="0.25">
      <c r="E2142" s="2">
        <v>44587</v>
      </c>
      <c r="F2142">
        <v>151</v>
      </c>
      <c r="G2142">
        <f t="shared" si="80"/>
        <v>1</v>
      </c>
      <c r="H2142">
        <f t="shared" si="81"/>
        <v>2022</v>
      </c>
    </row>
    <row r="2143" spans="5:8" x14ac:dyDescent="0.25">
      <c r="E2143" s="2">
        <v>44588</v>
      </c>
      <c r="F2143">
        <v>147.5</v>
      </c>
      <c r="G2143">
        <f t="shared" si="80"/>
        <v>1</v>
      </c>
      <c r="H2143">
        <f t="shared" si="81"/>
        <v>2022</v>
      </c>
    </row>
    <row r="2144" spans="5:8" x14ac:dyDescent="0.25">
      <c r="E2144" s="2">
        <v>44589</v>
      </c>
      <c r="F2144">
        <v>147.5</v>
      </c>
      <c r="G2144">
        <f t="shared" si="80"/>
        <v>1</v>
      </c>
      <c r="H2144">
        <f t="shared" si="81"/>
        <v>2022</v>
      </c>
    </row>
    <row r="2145" spans="5:8" x14ac:dyDescent="0.25">
      <c r="E2145" s="2">
        <v>44592</v>
      </c>
      <c r="F2145">
        <v>144.5</v>
      </c>
      <c r="G2145">
        <f t="shared" si="80"/>
        <v>1</v>
      </c>
      <c r="H2145">
        <f t="shared" si="81"/>
        <v>2022</v>
      </c>
    </row>
    <row r="2146" spans="5:8" x14ac:dyDescent="0.25">
      <c r="E2146" s="2">
        <v>44593</v>
      </c>
      <c r="F2146">
        <v>141</v>
      </c>
      <c r="G2146">
        <f t="shared" si="80"/>
        <v>2</v>
      </c>
      <c r="H2146">
        <f t="shared" si="81"/>
        <v>2022</v>
      </c>
    </row>
    <row r="2147" spans="5:8" x14ac:dyDescent="0.25">
      <c r="E2147" s="2">
        <v>44594</v>
      </c>
      <c r="F2147">
        <v>141</v>
      </c>
      <c r="G2147">
        <f t="shared" si="80"/>
        <v>2</v>
      </c>
      <c r="H2147">
        <f t="shared" si="81"/>
        <v>2022</v>
      </c>
    </row>
    <row r="2148" spans="5:8" x14ac:dyDescent="0.25">
      <c r="E2148" s="2">
        <v>44595</v>
      </c>
      <c r="F2148">
        <v>145.5</v>
      </c>
      <c r="G2148">
        <f t="shared" si="80"/>
        <v>2</v>
      </c>
      <c r="H2148">
        <f t="shared" si="81"/>
        <v>2022</v>
      </c>
    </row>
    <row r="2149" spans="5:8" x14ac:dyDescent="0.25">
      <c r="E2149" s="2">
        <v>44596</v>
      </c>
      <c r="F2149">
        <v>145.5</v>
      </c>
      <c r="G2149">
        <f t="shared" si="80"/>
        <v>2</v>
      </c>
      <c r="H2149">
        <f t="shared" si="81"/>
        <v>2022</v>
      </c>
    </row>
    <row r="2150" spans="5:8" x14ac:dyDescent="0.25">
      <c r="E2150" s="2">
        <v>44599</v>
      </c>
      <c r="F2150">
        <v>142.5</v>
      </c>
      <c r="G2150">
        <f t="shared" si="80"/>
        <v>2</v>
      </c>
      <c r="H2150">
        <f t="shared" si="81"/>
        <v>2022</v>
      </c>
    </row>
    <row r="2151" spans="5:8" x14ac:dyDescent="0.25">
      <c r="E2151" s="2">
        <v>44600</v>
      </c>
      <c r="F2151">
        <v>142.5</v>
      </c>
      <c r="G2151">
        <f t="shared" si="80"/>
        <v>2</v>
      </c>
      <c r="H2151">
        <f t="shared" si="81"/>
        <v>2022</v>
      </c>
    </row>
    <row r="2152" spans="5:8" x14ac:dyDescent="0.25">
      <c r="E2152" s="2">
        <v>44601</v>
      </c>
      <c r="F2152">
        <v>140</v>
      </c>
      <c r="G2152">
        <f t="shared" si="80"/>
        <v>2</v>
      </c>
      <c r="H2152">
        <f t="shared" si="81"/>
        <v>2022</v>
      </c>
    </row>
    <row r="2153" spans="5:8" x14ac:dyDescent="0.25">
      <c r="E2153" s="2">
        <v>44602</v>
      </c>
      <c r="F2153">
        <v>141</v>
      </c>
      <c r="G2153">
        <f t="shared" si="80"/>
        <v>2</v>
      </c>
      <c r="H2153">
        <f t="shared" si="81"/>
        <v>2022</v>
      </c>
    </row>
    <row r="2154" spans="5:8" x14ac:dyDescent="0.25">
      <c r="E2154" s="2">
        <v>44603</v>
      </c>
      <c r="F2154">
        <v>141</v>
      </c>
      <c r="G2154">
        <f t="shared" si="80"/>
        <v>2</v>
      </c>
      <c r="H2154">
        <f t="shared" si="81"/>
        <v>2022</v>
      </c>
    </row>
    <row r="2155" spans="5:8" x14ac:dyDescent="0.25">
      <c r="E2155" s="2">
        <v>44606</v>
      </c>
      <c r="F2155">
        <v>140</v>
      </c>
      <c r="G2155">
        <f t="shared" si="80"/>
        <v>2</v>
      </c>
      <c r="H2155">
        <f t="shared" si="81"/>
        <v>2022</v>
      </c>
    </row>
    <row r="2156" spans="5:8" x14ac:dyDescent="0.25">
      <c r="E2156" s="2">
        <v>44607</v>
      </c>
      <c r="F2156">
        <v>140</v>
      </c>
      <c r="G2156">
        <f t="shared" si="80"/>
        <v>2</v>
      </c>
      <c r="H2156">
        <f t="shared" si="81"/>
        <v>2022</v>
      </c>
    </row>
    <row r="2157" spans="5:8" x14ac:dyDescent="0.25">
      <c r="E2157" s="2">
        <v>44608</v>
      </c>
      <c r="F2157">
        <v>140</v>
      </c>
      <c r="G2157">
        <f t="shared" si="80"/>
        <v>2</v>
      </c>
      <c r="H2157">
        <f t="shared" si="81"/>
        <v>2022</v>
      </c>
    </row>
    <row r="2158" spans="5:8" x14ac:dyDescent="0.25">
      <c r="E2158" s="2">
        <v>44609</v>
      </c>
      <c r="F2158">
        <v>140.5</v>
      </c>
      <c r="G2158">
        <f t="shared" si="80"/>
        <v>2</v>
      </c>
      <c r="H2158">
        <f t="shared" si="81"/>
        <v>2022</v>
      </c>
    </row>
    <row r="2159" spans="5:8" x14ac:dyDescent="0.25">
      <c r="E2159" s="2">
        <v>44610</v>
      </c>
      <c r="F2159">
        <v>141</v>
      </c>
      <c r="G2159">
        <f t="shared" si="80"/>
        <v>2</v>
      </c>
      <c r="H2159">
        <f t="shared" si="81"/>
        <v>2022</v>
      </c>
    </row>
    <row r="2160" spans="5:8" x14ac:dyDescent="0.25">
      <c r="E2160" s="2">
        <v>44614</v>
      </c>
      <c r="F2160">
        <v>141</v>
      </c>
      <c r="G2160">
        <f t="shared" si="80"/>
        <v>2</v>
      </c>
      <c r="H2160">
        <f t="shared" si="81"/>
        <v>2022</v>
      </c>
    </row>
    <row r="2161" spans="5:8" x14ac:dyDescent="0.25">
      <c r="E2161" s="2">
        <v>44615</v>
      </c>
      <c r="F2161">
        <v>140.5</v>
      </c>
      <c r="G2161">
        <f t="shared" si="80"/>
        <v>2</v>
      </c>
      <c r="H2161">
        <f t="shared" si="81"/>
        <v>2022</v>
      </c>
    </row>
    <row r="2162" spans="5:8" x14ac:dyDescent="0.25">
      <c r="E2162" s="2">
        <v>44616</v>
      </c>
      <c r="F2162">
        <v>140.5</v>
      </c>
      <c r="G2162">
        <f t="shared" si="80"/>
        <v>2</v>
      </c>
      <c r="H2162">
        <f t="shared" si="81"/>
        <v>2022</v>
      </c>
    </row>
    <row r="2163" spans="5:8" x14ac:dyDescent="0.25">
      <c r="E2163" s="2">
        <v>44617</v>
      </c>
      <c r="F2163">
        <v>140</v>
      </c>
      <c r="G2163">
        <f t="shared" si="80"/>
        <v>2</v>
      </c>
      <c r="H2163">
        <f t="shared" si="81"/>
        <v>2022</v>
      </c>
    </row>
    <row r="2164" spans="5:8" x14ac:dyDescent="0.25">
      <c r="E2164" s="2">
        <v>44620</v>
      </c>
      <c r="F2164">
        <v>138.75</v>
      </c>
      <c r="G2164">
        <f t="shared" si="80"/>
        <v>2</v>
      </c>
      <c r="H2164">
        <f t="shared" si="81"/>
        <v>2022</v>
      </c>
    </row>
    <row r="2165" spans="5:8" x14ac:dyDescent="0.25">
      <c r="E2165" s="2">
        <v>44621</v>
      </c>
      <c r="F2165">
        <v>138.25</v>
      </c>
      <c r="G2165">
        <f t="shared" si="80"/>
        <v>3</v>
      </c>
      <c r="H2165">
        <f t="shared" si="81"/>
        <v>2022</v>
      </c>
    </row>
    <row r="2166" spans="5:8" x14ac:dyDescent="0.25">
      <c r="E2166" s="2">
        <v>44622</v>
      </c>
      <c r="F2166">
        <v>136.5</v>
      </c>
      <c r="G2166">
        <f t="shared" si="80"/>
        <v>3</v>
      </c>
      <c r="H2166">
        <f t="shared" si="81"/>
        <v>2022</v>
      </c>
    </row>
    <row r="2167" spans="5:8" x14ac:dyDescent="0.25">
      <c r="E2167" s="2">
        <v>44623</v>
      </c>
      <c r="F2167">
        <v>136.5</v>
      </c>
      <c r="G2167">
        <f t="shared" si="80"/>
        <v>3</v>
      </c>
      <c r="H2167">
        <f t="shared" si="81"/>
        <v>2022</v>
      </c>
    </row>
    <row r="2168" spans="5:8" x14ac:dyDescent="0.25">
      <c r="E2168" s="2">
        <v>44624</v>
      </c>
      <c r="F2168">
        <v>136.5</v>
      </c>
      <c r="G2168">
        <f t="shared" si="80"/>
        <v>3</v>
      </c>
      <c r="H2168">
        <f t="shared" si="81"/>
        <v>2022</v>
      </c>
    </row>
    <row r="2169" spans="5:8" x14ac:dyDescent="0.25">
      <c r="E2169" s="2">
        <v>44627</v>
      </c>
      <c r="F2169">
        <v>133.5</v>
      </c>
      <c r="G2169">
        <f t="shared" si="80"/>
        <v>3</v>
      </c>
      <c r="H2169">
        <f t="shared" si="81"/>
        <v>2022</v>
      </c>
    </row>
    <row r="2170" spans="5:8" x14ac:dyDescent="0.25">
      <c r="E2170" s="2">
        <v>44628</v>
      </c>
      <c r="F2170">
        <v>131</v>
      </c>
      <c r="G2170">
        <f t="shared" si="80"/>
        <v>3</v>
      </c>
      <c r="H2170">
        <f t="shared" si="81"/>
        <v>2022</v>
      </c>
    </row>
    <row r="2171" spans="5:8" x14ac:dyDescent="0.25">
      <c r="E2171" s="2">
        <v>44629</v>
      </c>
      <c r="F2171">
        <v>131</v>
      </c>
      <c r="G2171">
        <f t="shared" si="80"/>
        <v>3</v>
      </c>
      <c r="H2171">
        <f t="shared" si="81"/>
        <v>2022</v>
      </c>
    </row>
    <row r="2172" spans="5:8" x14ac:dyDescent="0.25">
      <c r="E2172" s="2">
        <v>44630</v>
      </c>
      <c r="F2172">
        <v>130</v>
      </c>
      <c r="G2172">
        <f t="shared" si="80"/>
        <v>3</v>
      </c>
      <c r="H2172">
        <f t="shared" si="81"/>
        <v>2022</v>
      </c>
    </row>
    <row r="2173" spans="5:8" x14ac:dyDescent="0.25">
      <c r="E2173" s="2">
        <v>44631</v>
      </c>
      <c r="F2173">
        <v>130</v>
      </c>
      <c r="G2173">
        <f t="shared" si="80"/>
        <v>3</v>
      </c>
      <c r="H2173">
        <f t="shared" si="81"/>
        <v>2022</v>
      </c>
    </row>
    <row r="2174" spans="5:8" x14ac:dyDescent="0.25">
      <c r="E2174" s="2">
        <v>44634</v>
      </c>
      <c r="F2174">
        <v>127.5</v>
      </c>
      <c r="G2174">
        <f t="shared" si="80"/>
        <v>3</v>
      </c>
      <c r="H2174">
        <f t="shared" si="81"/>
        <v>2022</v>
      </c>
    </row>
    <row r="2175" spans="5:8" x14ac:dyDescent="0.25">
      <c r="E2175" s="2">
        <v>44635</v>
      </c>
      <c r="F2175">
        <v>127.5</v>
      </c>
      <c r="G2175">
        <f t="shared" si="80"/>
        <v>3</v>
      </c>
      <c r="H2175">
        <f t="shared" si="81"/>
        <v>2022</v>
      </c>
    </row>
    <row r="2176" spans="5:8" x14ac:dyDescent="0.25">
      <c r="E2176" s="2">
        <v>44636</v>
      </c>
      <c r="F2176">
        <v>125.5</v>
      </c>
      <c r="G2176">
        <f t="shared" si="80"/>
        <v>3</v>
      </c>
      <c r="H2176">
        <f t="shared" si="81"/>
        <v>2022</v>
      </c>
    </row>
    <row r="2177" spans="5:8" x14ac:dyDescent="0.25">
      <c r="E2177" s="2">
        <v>44637</v>
      </c>
      <c r="F2177">
        <v>123.75</v>
      </c>
      <c r="G2177">
        <f t="shared" si="80"/>
        <v>3</v>
      </c>
      <c r="H2177">
        <f t="shared" si="81"/>
        <v>2022</v>
      </c>
    </row>
    <row r="2178" spans="5:8" x14ac:dyDescent="0.25">
      <c r="E2178" s="2">
        <v>44638</v>
      </c>
      <c r="F2178">
        <v>118.5</v>
      </c>
      <c r="G2178">
        <f t="shared" si="80"/>
        <v>3</v>
      </c>
      <c r="H2178">
        <f t="shared" si="81"/>
        <v>2022</v>
      </c>
    </row>
    <row r="2179" spans="5:8" x14ac:dyDescent="0.25">
      <c r="E2179" s="2">
        <v>44641</v>
      </c>
      <c r="F2179">
        <v>118.5</v>
      </c>
      <c r="G2179">
        <f t="shared" si="80"/>
        <v>3</v>
      </c>
      <c r="H2179">
        <f t="shared" si="81"/>
        <v>2022</v>
      </c>
    </row>
    <row r="2180" spans="5:8" x14ac:dyDescent="0.25">
      <c r="E2180" s="2">
        <v>44642</v>
      </c>
      <c r="F2180">
        <v>118.5</v>
      </c>
      <c r="G2180">
        <f t="shared" si="80"/>
        <v>3</v>
      </c>
      <c r="H2180">
        <f t="shared" si="81"/>
        <v>2022</v>
      </c>
    </row>
    <row r="2181" spans="5:8" x14ac:dyDescent="0.25">
      <c r="E2181" s="2">
        <v>44643</v>
      </c>
      <c r="F2181">
        <v>113</v>
      </c>
      <c r="G2181">
        <f t="shared" ref="G2181:G2244" si="82">MONTH(E2181)</f>
        <v>3</v>
      </c>
      <c r="H2181">
        <f t="shared" ref="H2181:H2244" si="83">YEAR(E2181)</f>
        <v>2022</v>
      </c>
    </row>
    <row r="2182" spans="5:8" x14ac:dyDescent="0.25">
      <c r="E2182" s="2">
        <v>44644</v>
      </c>
      <c r="F2182">
        <v>113</v>
      </c>
      <c r="G2182">
        <f t="shared" si="82"/>
        <v>3</v>
      </c>
      <c r="H2182">
        <f t="shared" si="83"/>
        <v>2022</v>
      </c>
    </row>
    <row r="2183" spans="5:8" x14ac:dyDescent="0.25">
      <c r="E2183" s="2">
        <v>44645</v>
      </c>
      <c r="F2183">
        <v>121.5</v>
      </c>
      <c r="G2183">
        <f t="shared" si="82"/>
        <v>3</v>
      </c>
      <c r="H2183">
        <f t="shared" si="83"/>
        <v>2022</v>
      </c>
    </row>
    <row r="2184" spans="5:8" x14ac:dyDescent="0.25">
      <c r="E2184" s="2">
        <v>44648</v>
      </c>
      <c r="F2184">
        <v>121.5</v>
      </c>
      <c r="G2184">
        <f t="shared" si="82"/>
        <v>3</v>
      </c>
      <c r="H2184">
        <f t="shared" si="83"/>
        <v>2022</v>
      </c>
    </row>
    <row r="2185" spans="5:8" x14ac:dyDescent="0.25">
      <c r="E2185" s="2">
        <v>44649</v>
      </c>
      <c r="F2185">
        <v>121.5</v>
      </c>
      <c r="G2185">
        <f t="shared" si="82"/>
        <v>3</v>
      </c>
      <c r="H2185">
        <f t="shared" si="83"/>
        <v>2022</v>
      </c>
    </row>
    <row r="2186" spans="5:8" x14ac:dyDescent="0.25">
      <c r="E2186" s="2">
        <v>44650</v>
      </c>
      <c r="F2186">
        <v>121</v>
      </c>
      <c r="G2186">
        <f t="shared" si="82"/>
        <v>3</v>
      </c>
      <c r="H2186">
        <f t="shared" si="83"/>
        <v>2022</v>
      </c>
    </row>
    <row r="2187" spans="5:8" x14ac:dyDescent="0.25">
      <c r="E2187" s="2">
        <v>44651</v>
      </c>
      <c r="F2187">
        <v>121</v>
      </c>
      <c r="G2187">
        <f t="shared" si="82"/>
        <v>3</v>
      </c>
      <c r="H2187">
        <f t="shared" si="83"/>
        <v>2022</v>
      </c>
    </row>
    <row r="2188" spans="5:8" x14ac:dyDescent="0.25">
      <c r="E2188" s="2">
        <v>44652</v>
      </c>
      <c r="F2188">
        <v>121.5</v>
      </c>
      <c r="G2188">
        <f t="shared" si="82"/>
        <v>4</v>
      </c>
      <c r="H2188">
        <f t="shared" si="83"/>
        <v>2022</v>
      </c>
    </row>
    <row r="2189" spans="5:8" x14ac:dyDescent="0.25">
      <c r="E2189" s="2">
        <v>44655</v>
      </c>
      <c r="F2189">
        <v>123</v>
      </c>
      <c r="G2189">
        <f t="shared" si="82"/>
        <v>4</v>
      </c>
      <c r="H2189">
        <f t="shared" si="83"/>
        <v>2022</v>
      </c>
    </row>
    <row r="2190" spans="5:8" x14ac:dyDescent="0.25">
      <c r="E2190" s="2">
        <v>44656</v>
      </c>
      <c r="F2190">
        <v>123.5</v>
      </c>
      <c r="G2190">
        <f t="shared" si="82"/>
        <v>4</v>
      </c>
      <c r="H2190">
        <f t="shared" si="83"/>
        <v>2022</v>
      </c>
    </row>
    <row r="2191" spans="5:8" x14ac:dyDescent="0.25">
      <c r="E2191" s="2">
        <v>44657</v>
      </c>
      <c r="F2191">
        <v>123.5</v>
      </c>
      <c r="G2191">
        <f t="shared" si="82"/>
        <v>4</v>
      </c>
      <c r="H2191">
        <f t="shared" si="83"/>
        <v>2022</v>
      </c>
    </row>
    <row r="2192" spans="5:8" x14ac:dyDescent="0.25">
      <c r="E2192" s="2">
        <v>44658</v>
      </c>
      <c r="F2192">
        <v>122.5</v>
      </c>
      <c r="G2192">
        <f t="shared" si="82"/>
        <v>4</v>
      </c>
      <c r="H2192">
        <f t="shared" si="83"/>
        <v>2022</v>
      </c>
    </row>
    <row r="2193" spans="5:8" x14ac:dyDescent="0.25">
      <c r="E2193" s="2">
        <v>44659</v>
      </c>
      <c r="F2193">
        <v>122.5</v>
      </c>
      <c r="G2193">
        <f t="shared" si="82"/>
        <v>4</v>
      </c>
      <c r="H2193">
        <f t="shared" si="83"/>
        <v>2022</v>
      </c>
    </row>
    <row r="2194" spans="5:8" x14ac:dyDescent="0.25">
      <c r="E2194" s="2">
        <v>44662</v>
      </c>
      <c r="F2194">
        <v>115.5</v>
      </c>
      <c r="G2194">
        <f t="shared" si="82"/>
        <v>4</v>
      </c>
      <c r="H2194">
        <f t="shared" si="83"/>
        <v>2022</v>
      </c>
    </row>
    <row r="2195" spans="5:8" x14ac:dyDescent="0.25">
      <c r="E2195" s="2">
        <v>44663</v>
      </c>
      <c r="F2195">
        <v>115.5</v>
      </c>
      <c r="G2195">
        <f t="shared" si="82"/>
        <v>4</v>
      </c>
      <c r="H2195">
        <f t="shared" si="83"/>
        <v>2022</v>
      </c>
    </row>
    <row r="2196" spans="5:8" x14ac:dyDescent="0.25">
      <c r="E2196" s="2">
        <v>44664</v>
      </c>
      <c r="F2196">
        <v>114.5</v>
      </c>
      <c r="G2196">
        <f t="shared" si="82"/>
        <v>4</v>
      </c>
      <c r="H2196">
        <f t="shared" si="83"/>
        <v>2022</v>
      </c>
    </row>
    <row r="2197" spans="5:8" x14ac:dyDescent="0.25">
      <c r="E2197" s="2">
        <v>44665</v>
      </c>
      <c r="F2197">
        <v>114.5</v>
      </c>
      <c r="G2197">
        <f t="shared" si="82"/>
        <v>4</v>
      </c>
      <c r="H2197">
        <f t="shared" si="83"/>
        <v>2022</v>
      </c>
    </row>
    <row r="2198" spans="5:8" x14ac:dyDescent="0.25">
      <c r="E2198" s="2">
        <v>44669</v>
      </c>
      <c r="F2198">
        <v>113.5</v>
      </c>
      <c r="G2198">
        <f t="shared" si="82"/>
        <v>4</v>
      </c>
      <c r="H2198">
        <f t="shared" si="83"/>
        <v>2022</v>
      </c>
    </row>
    <row r="2199" spans="5:8" x14ac:dyDescent="0.25">
      <c r="E2199" s="2">
        <v>44670</v>
      </c>
      <c r="F2199">
        <v>116</v>
      </c>
      <c r="G2199">
        <f t="shared" si="82"/>
        <v>4</v>
      </c>
      <c r="H2199">
        <f t="shared" si="83"/>
        <v>2022</v>
      </c>
    </row>
    <row r="2200" spans="5:8" x14ac:dyDescent="0.25">
      <c r="E2200" s="2">
        <v>44671</v>
      </c>
      <c r="F2200">
        <v>115.5</v>
      </c>
      <c r="G2200">
        <f t="shared" si="82"/>
        <v>4</v>
      </c>
      <c r="H2200">
        <f t="shared" si="83"/>
        <v>2022</v>
      </c>
    </row>
    <row r="2201" spans="5:8" x14ac:dyDescent="0.25">
      <c r="E2201" s="2">
        <v>44672</v>
      </c>
      <c r="F2201">
        <v>117.5</v>
      </c>
      <c r="G2201">
        <f t="shared" si="82"/>
        <v>4</v>
      </c>
      <c r="H2201">
        <f t="shared" si="83"/>
        <v>2022</v>
      </c>
    </row>
    <row r="2202" spans="5:8" x14ac:dyDescent="0.25">
      <c r="E2202" s="2">
        <v>44673</v>
      </c>
      <c r="F2202">
        <v>117.5</v>
      </c>
      <c r="G2202">
        <f t="shared" si="82"/>
        <v>4</v>
      </c>
      <c r="H2202">
        <f t="shared" si="83"/>
        <v>2022</v>
      </c>
    </row>
    <row r="2203" spans="5:8" x14ac:dyDescent="0.25">
      <c r="E2203" s="2">
        <v>44676</v>
      </c>
      <c r="F2203">
        <v>117</v>
      </c>
      <c r="G2203">
        <f t="shared" si="82"/>
        <v>4</v>
      </c>
      <c r="H2203">
        <f t="shared" si="83"/>
        <v>2022</v>
      </c>
    </row>
    <row r="2204" spans="5:8" x14ac:dyDescent="0.25">
      <c r="E2204" s="2">
        <v>44677</v>
      </c>
      <c r="F2204">
        <v>115.5</v>
      </c>
      <c r="G2204">
        <f t="shared" si="82"/>
        <v>4</v>
      </c>
      <c r="H2204">
        <f t="shared" si="83"/>
        <v>2022</v>
      </c>
    </row>
    <row r="2205" spans="5:8" x14ac:dyDescent="0.25">
      <c r="E2205" s="2">
        <v>44678</v>
      </c>
      <c r="F2205">
        <v>115.5</v>
      </c>
      <c r="G2205">
        <f t="shared" si="82"/>
        <v>4</v>
      </c>
      <c r="H2205">
        <f t="shared" si="83"/>
        <v>2022</v>
      </c>
    </row>
    <row r="2206" spans="5:8" x14ac:dyDescent="0.25">
      <c r="E2206" s="2">
        <v>44679</v>
      </c>
      <c r="F2206">
        <v>114.5</v>
      </c>
      <c r="G2206">
        <f t="shared" si="82"/>
        <v>4</v>
      </c>
      <c r="H2206">
        <f t="shared" si="83"/>
        <v>2022</v>
      </c>
    </row>
    <row r="2207" spans="5:8" x14ac:dyDescent="0.25">
      <c r="E2207" s="2">
        <v>44680</v>
      </c>
      <c r="F2207">
        <v>114.5</v>
      </c>
      <c r="G2207">
        <f t="shared" si="82"/>
        <v>4</v>
      </c>
      <c r="H2207">
        <f t="shared" si="83"/>
        <v>2022</v>
      </c>
    </row>
    <row r="2208" spans="5:8" x14ac:dyDescent="0.25">
      <c r="E2208" s="2">
        <v>44683</v>
      </c>
      <c r="F2208">
        <v>109.75</v>
      </c>
      <c r="G2208">
        <f t="shared" si="82"/>
        <v>5</v>
      </c>
      <c r="H2208">
        <f t="shared" si="83"/>
        <v>2022</v>
      </c>
    </row>
    <row r="2209" spans="5:8" x14ac:dyDescent="0.25">
      <c r="E2209" s="2">
        <v>44684</v>
      </c>
      <c r="F2209">
        <v>111</v>
      </c>
      <c r="G2209">
        <f t="shared" si="82"/>
        <v>5</v>
      </c>
      <c r="H2209">
        <f t="shared" si="83"/>
        <v>2022</v>
      </c>
    </row>
    <row r="2210" spans="5:8" x14ac:dyDescent="0.25">
      <c r="E2210" s="2">
        <v>44685</v>
      </c>
      <c r="F2210">
        <v>114.5</v>
      </c>
      <c r="G2210">
        <f t="shared" si="82"/>
        <v>5</v>
      </c>
      <c r="H2210">
        <f t="shared" si="83"/>
        <v>2022</v>
      </c>
    </row>
    <row r="2211" spans="5:8" x14ac:dyDescent="0.25">
      <c r="E2211" s="2">
        <v>44686</v>
      </c>
      <c r="F2211">
        <v>116.5</v>
      </c>
      <c r="G2211">
        <f t="shared" si="82"/>
        <v>5</v>
      </c>
      <c r="H2211">
        <f t="shared" si="83"/>
        <v>2022</v>
      </c>
    </row>
    <row r="2212" spans="5:8" x14ac:dyDescent="0.25">
      <c r="E2212" s="2">
        <v>44687</v>
      </c>
      <c r="F2212">
        <v>118.5</v>
      </c>
      <c r="G2212">
        <f t="shared" si="82"/>
        <v>5</v>
      </c>
      <c r="H2212">
        <f t="shared" si="83"/>
        <v>2022</v>
      </c>
    </row>
    <row r="2213" spans="5:8" x14ac:dyDescent="0.25">
      <c r="E2213" s="2">
        <v>44690</v>
      </c>
      <c r="F2213">
        <v>118.5</v>
      </c>
      <c r="G2213">
        <f t="shared" si="82"/>
        <v>5</v>
      </c>
      <c r="H2213">
        <f t="shared" si="83"/>
        <v>2022</v>
      </c>
    </row>
    <row r="2214" spans="5:8" x14ac:dyDescent="0.25">
      <c r="E2214" s="2">
        <v>44691</v>
      </c>
      <c r="F2214">
        <v>118.5</v>
      </c>
      <c r="G2214">
        <f t="shared" si="82"/>
        <v>5</v>
      </c>
      <c r="H2214">
        <f t="shared" si="83"/>
        <v>2022</v>
      </c>
    </row>
    <row r="2215" spans="5:8" x14ac:dyDescent="0.25">
      <c r="E2215" s="2">
        <v>44692</v>
      </c>
      <c r="F2215">
        <v>119.5</v>
      </c>
      <c r="G2215">
        <f t="shared" si="82"/>
        <v>5</v>
      </c>
      <c r="H2215">
        <f t="shared" si="83"/>
        <v>2022</v>
      </c>
    </row>
    <row r="2216" spans="5:8" x14ac:dyDescent="0.25">
      <c r="E2216" s="2">
        <v>44693</v>
      </c>
      <c r="F2216">
        <v>114.5</v>
      </c>
      <c r="G2216">
        <f t="shared" si="82"/>
        <v>5</v>
      </c>
      <c r="H2216">
        <f t="shared" si="83"/>
        <v>2022</v>
      </c>
    </row>
    <row r="2217" spans="5:8" x14ac:dyDescent="0.25">
      <c r="E2217" s="2">
        <v>44694</v>
      </c>
      <c r="F2217">
        <v>114.5</v>
      </c>
      <c r="G2217">
        <f t="shared" si="82"/>
        <v>5</v>
      </c>
      <c r="H2217">
        <f t="shared" si="83"/>
        <v>2022</v>
      </c>
    </row>
    <row r="2218" spans="5:8" x14ac:dyDescent="0.25">
      <c r="E2218" s="2">
        <v>44697</v>
      </c>
      <c r="F2218">
        <v>110</v>
      </c>
      <c r="G2218">
        <f t="shared" si="82"/>
        <v>5</v>
      </c>
      <c r="H2218">
        <f t="shared" si="83"/>
        <v>2022</v>
      </c>
    </row>
    <row r="2219" spans="5:8" x14ac:dyDescent="0.25">
      <c r="E2219" s="2">
        <v>44698</v>
      </c>
      <c r="F2219">
        <v>110</v>
      </c>
      <c r="G2219">
        <f t="shared" si="82"/>
        <v>5</v>
      </c>
      <c r="H2219">
        <f t="shared" si="83"/>
        <v>2022</v>
      </c>
    </row>
    <row r="2220" spans="5:8" x14ac:dyDescent="0.25">
      <c r="E2220" s="2">
        <v>44699</v>
      </c>
      <c r="F2220">
        <v>107.5</v>
      </c>
      <c r="G2220">
        <f t="shared" si="82"/>
        <v>5</v>
      </c>
      <c r="H2220">
        <f t="shared" si="83"/>
        <v>2022</v>
      </c>
    </row>
    <row r="2221" spans="5:8" x14ac:dyDescent="0.25">
      <c r="E2221" s="2">
        <v>44700</v>
      </c>
      <c r="F2221">
        <v>104</v>
      </c>
      <c r="G2221">
        <f t="shared" si="82"/>
        <v>5</v>
      </c>
      <c r="H2221">
        <f t="shared" si="83"/>
        <v>2022</v>
      </c>
    </row>
    <row r="2222" spans="5:8" x14ac:dyDescent="0.25">
      <c r="E2222" s="2">
        <v>44701</v>
      </c>
      <c r="F2222">
        <v>102</v>
      </c>
      <c r="G2222">
        <f t="shared" si="82"/>
        <v>5</v>
      </c>
      <c r="H2222">
        <f t="shared" si="83"/>
        <v>2022</v>
      </c>
    </row>
    <row r="2223" spans="5:8" x14ac:dyDescent="0.25">
      <c r="E2223" s="2">
        <v>44704</v>
      </c>
      <c r="F2223">
        <v>100.5</v>
      </c>
      <c r="G2223">
        <f t="shared" si="82"/>
        <v>5</v>
      </c>
      <c r="H2223">
        <f t="shared" si="83"/>
        <v>2022</v>
      </c>
    </row>
    <row r="2224" spans="5:8" x14ac:dyDescent="0.25">
      <c r="E2224" s="2">
        <v>44705</v>
      </c>
      <c r="F2224">
        <v>100.5</v>
      </c>
      <c r="G2224">
        <f t="shared" si="82"/>
        <v>5</v>
      </c>
      <c r="H2224">
        <f t="shared" si="83"/>
        <v>2022</v>
      </c>
    </row>
    <row r="2225" spans="5:8" x14ac:dyDescent="0.25">
      <c r="E2225" s="2">
        <v>44706</v>
      </c>
      <c r="F2225">
        <v>100.5</v>
      </c>
      <c r="G2225">
        <f t="shared" si="82"/>
        <v>5</v>
      </c>
      <c r="H2225">
        <f t="shared" si="83"/>
        <v>2022</v>
      </c>
    </row>
    <row r="2226" spans="5:8" x14ac:dyDescent="0.25">
      <c r="E2226" s="2">
        <v>44707</v>
      </c>
      <c r="F2226">
        <v>99</v>
      </c>
      <c r="G2226">
        <f t="shared" si="82"/>
        <v>5</v>
      </c>
      <c r="H2226">
        <f t="shared" si="83"/>
        <v>2022</v>
      </c>
    </row>
    <row r="2227" spans="5:8" x14ac:dyDescent="0.25">
      <c r="E2227" s="2">
        <v>44708</v>
      </c>
      <c r="F2227">
        <v>95.25</v>
      </c>
      <c r="G2227">
        <f t="shared" si="82"/>
        <v>5</v>
      </c>
      <c r="H2227">
        <f t="shared" si="83"/>
        <v>2022</v>
      </c>
    </row>
    <row r="2228" spans="5:8" x14ac:dyDescent="0.25">
      <c r="E2228" s="2">
        <v>44712</v>
      </c>
      <c r="F2228">
        <v>95.25</v>
      </c>
      <c r="G2228">
        <f t="shared" si="82"/>
        <v>5</v>
      </c>
      <c r="H2228">
        <f t="shared" si="83"/>
        <v>2022</v>
      </c>
    </row>
    <row r="2229" spans="5:8" x14ac:dyDescent="0.25">
      <c r="E2229" s="2">
        <v>44713</v>
      </c>
      <c r="F2229">
        <v>94.5</v>
      </c>
      <c r="G2229">
        <f t="shared" si="82"/>
        <v>6</v>
      </c>
      <c r="H2229">
        <f t="shared" si="83"/>
        <v>2022</v>
      </c>
    </row>
    <row r="2230" spans="5:8" x14ac:dyDescent="0.25">
      <c r="E2230" s="2">
        <v>44714</v>
      </c>
      <c r="F2230">
        <v>88.5</v>
      </c>
      <c r="G2230">
        <f t="shared" si="82"/>
        <v>6</v>
      </c>
      <c r="H2230">
        <f t="shared" si="83"/>
        <v>2022</v>
      </c>
    </row>
    <row r="2231" spans="5:8" x14ac:dyDescent="0.25">
      <c r="E2231" s="2">
        <v>44715</v>
      </c>
      <c r="F2231">
        <v>85.5</v>
      </c>
      <c r="G2231">
        <f t="shared" si="82"/>
        <v>6</v>
      </c>
      <c r="H2231">
        <f t="shared" si="83"/>
        <v>2022</v>
      </c>
    </row>
    <row r="2232" spans="5:8" x14ac:dyDescent="0.25">
      <c r="E2232" s="2">
        <v>44718</v>
      </c>
      <c r="F2232">
        <v>85.5</v>
      </c>
      <c r="G2232">
        <f t="shared" si="82"/>
        <v>6</v>
      </c>
      <c r="H2232">
        <f t="shared" si="83"/>
        <v>2022</v>
      </c>
    </row>
    <row r="2233" spans="5:8" x14ac:dyDescent="0.25">
      <c r="E2233" s="2">
        <v>44719</v>
      </c>
      <c r="F2233">
        <v>80.75</v>
      </c>
      <c r="G2233">
        <f t="shared" si="82"/>
        <v>6</v>
      </c>
      <c r="H2233">
        <f t="shared" si="83"/>
        <v>2022</v>
      </c>
    </row>
    <row r="2234" spans="5:8" x14ac:dyDescent="0.25">
      <c r="E2234" s="2">
        <v>44720</v>
      </c>
      <c r="F2234">
        <v>81</v>
      </c>
      <c r="G2234">
        <f t="shared" si="82"/>
        <v>6</v>
      </c>
      <c r="H2234">
        <f t="shared" si="83"/>
        <v>2022</v>
      </c>
    </row>
    <row r="2235" spans="5:8" x14ac:dyDescent="0.25">
      <c r="E2235" s="2">
        <v>44721</v>
      </c>
      <c r="F2235">
        <v>80.5</v>
      </c>
      <c r="G2235">
        <f t="shared" si="82"/>
        <v>6</v>
      </c>
      <c r="H2235">
        <f t="shared" si="83"/>
        <v>2022</v>
      </c>
    </row>
    <row r="2236" spans="5:8" x14ac:dyDescent="0.25">
      <c r="E2236" s="2">
        <v>44722</v>
      </c>
      <c r="F2236">
        <v>80.5</v>
      </c>
      <c r="G2236">
        <f t="shared" si="82"/>
        <v>6</v>
      </c>
      <c r="H2236">
        <f t="shared" si="83"/>
        <v>2022</v>
      </c>
    </row>
    <row r="2237" spans="5:8" x14ac:dyDescent="0.25">
      <c r="E2237" s="2">
        <v>44725</v>
      </c>
      <c r="F2237">
        <v>84</v>
      </c>
      <c r="G2237">
        <f t="shared" si="82"/>
        <v>6</v>
      </c>
      <c r="H2237">
        <f t="shared" si="83"/>
        <v>2022</v>
      </c>
    </row>
    <row r="2238" spans="5:8" x14ac:dyDescent="0.25">
      <c r="E2238" s="2">
        <v>44726</v>
      </c>
      <c r="F2238">
        <v>84</v>
      </c>
      <c r="G2238">
        <f t="shared" si="82"/>
        <v>6</v>
      </c>
      <c r="H2238">
        <f t="shared" si="83"/>
        <v>2022</v>
      </c>
    </row>
    <row r="2239" spans="5:8" x14ac:dyDescent="0.25">
      <c r="E2239" s="2">
        <v>44727</v>
      </c>
      <c r="F2239">
        <v>83.25</v>
      </c>
      <c r="G2239">
        <f t="shared" si="82"/>
        <v>6</v>
      </c>
      <c r="H2239">
        <f t="shared" si="83"/>
        <v>2022</v>
      </c>
    </row>
    <row r="2240" spans="5:8" x14ac:dyDescent="0.25">
      <c r="E2240" s="2">
        <v>44728</v>
      </c>
      <c r="F2240">
        <v>85.5</v>
      </c>
      <c r="G2240">
        <f t="shared" si="82"/>
        <v>6</v>
      </c>
      <c r="H2240">
        <f t="shared" si="83"/>
        <v>2022</v>
      </c>
    </row>
    <row r="2241" spans="5:8" x14ac:dyDescent="0.25">
      <c r="E2241" s="2">
        <v>44729</v>
      </c>
      <c r="F2241">
        <v>87</v>
      </c>
      <c r="G2241">
        <f t="shared" si="82"/>
        <v>6</v>
      </c>
      <c r="H2241">
        <f t="shared" si="83"/>
        <v>2022</v>
      </c>
    </row>
    <row r="2242" spans="5:8" x14ac:dyDescent="0.25">
      <c r="E2242" s="2">
        <v>44733</v>
      </c>
      <c r="F2242">
        <v>87.5</v>
      </c>
      <c r="G2242">
        <f t="shared" si="82"/>
        <v>6</v>
      </c>
      <c r="H2242">
        <f t="shared" si="83"/>
        <v>2022</v>
      </c>
    </row>
    <row r="2243" spans="5:8" x14ac:dyDescent="0.25">
      <c r="E2243" s="2">
        <v>44734</v>
      </c>
      <c r="F2243">
        <v>93.5</v>
      </c>
      <c r="G2243">
        <f t="shared" si="82"/>
        <v>6</v>
      </c>
      <c r="H2243">
        <f t="shared" si="83"/>
        <v>2022</v>
      </c>
    </row>
    <row r="2244" spans="5:8" x14ac:dyDescent="0.25">
      <c r="E2244" s="2">
        <v>44735</v>
      </c>
      <c r="F2244">
        <v>90</v>
      </c>
      <c r="G2244">
        <f t="shared" si="82"/>
        <v>6</v>
      </c>
      <c r="H2244">
        <f t="shared" si="83"/>
        <v>2022</v>
      </c>
    </row>
    <row r="2245" spans="5:8" x14ac:dyDescent="0.25">
      <c r="E2245" s="2">
        <v>44736</v>
      </c>
      <c r="F2245">
        <v>97.5</v>
      </c>
      <c r="G2245">
        <f t="shared" ref="G2245:G2308" si="84">MONTH(E2245)</f>
        <v>6</v>
      </c>
      <c r="H2245">
        <f t="shared" ref="H2245:H2308" si="85">YEAR(E2245)</f>
        <v>2022</v>
      </c>
    </row>
    <row r="2246" spans="5:8" x14ac:dyDescent="0.25">
      <c r="E2246" s="2">
        <v>44739</v>
      </c>
      <c r="F2246">
        <v>103.5</v>
      </c>
      <c r="G2246">
        <f t="shared" si="84"/>
        <v>6</v>
      </c>
      <c r="H2246">
        <f t="shared" si="85"/>
        <v>2022</v>
      </c>
    </row>
    <row r="2247" spans="5:8" x14ac:dyDescent="0.25">
      <c r="E2247" s="2">
        <v>44740</v>
      </c>
      <c r="F2247">
        <v>99.5</v>
      </c>
      <c r="G2247">
        <f t="shared" si="84"/>
        <v>6</v>
      </c>
      <c r="H2247">
        <f t="shared" si="85"/>
        <v>2022</v>
      </c>
    </row>
    <row r="2248" spans="5:8" x14ac:dyDescent="0.25">
      <c r="E2248" s="2">
        <v>44741</v>
      </c>
      <c r="F2248">
        <v>93.5</v>
      </c>
      <c r="G2248">
        <f t="shared" si="84"/>
        <v>6</v>
      </c>
      <c r="H2248">
        <f t="shared" si="85"/>
        <v>2022</v>
      </c>
    </row>
    <row r="2249" spans="5:8" x14ac:dyDescent="0.25">
      <c r="E2249" s="2">
        <v>44742</v>
      </c>
      <c r="F2249">
        <v>93.5</v>
      </c>
      <c r="G2249">
        <f t="shared" si="84"/>
        <v>6</v>
      </c>
      <c r="H2249">
        <f t="shared" si="85"/>
        <v>2022</v>
      </c>
    </row>
    <row r="2250" spans="5:8" x14ac:dyDescent="0.25">
      <c r="E2250" s="2">
        <v>44743</v>
      </c>
      <c r="F2250">
        <v>93.5</v>
      </c>
      <c r="G2250">
        <f t="shared" si="84"/>
        <v>7</v>
      </c>
      <c r="H2250">
        <f t="shared" si="85"/>
        <v>2022</v>
      </c>
    </row>
    <row r="2251" spans="5:8" x14ac:dyDescent="0.25">
      <c r="E2251" s="2">
        <v>44747</v>
      </c>
      <c r="F2251">
        <v>91.5</v>
      </c>
      <c r="G2251">
        <f t="shared" si="84"/>
        <v>7</v>
      </c>
      <c r="H2251">
        <f t="shared" si="85"/>
        <v>2022</v>
      </c>
    </row>
    <row r="2252" spans="5:8" x14ac:dyDescent="0.25">
      <c r="E2252" s="2">
        <v>44748</v>
      </c>
      <c r="F2252">
        <v>92</v>
      </c>
      <c r="G2252">
        <f t="shared" si="84"/>
        <v>7</v>
      </c>
      <c r="H2252">
        <f t="shared" si="85"/>
        <v>2022</v>
      </c>
    </row>
    <row r="2253" spans="5:8" x14ac:dyDescent="0.25">
      <c r="E2253" s="2">
        <v>44749</v>
      </c>
      <c r="F2253">
        <v>92</v>
      </c>
      <c r="G2253">
        <f t="shared" si="84"/>
        <v>7</v>
      </c>
      <c r="H2253">
        <f t="shared" si="85"/>
        <v>2022</v>
      </c>
    </row>
    <row r="2254" spans="5:8" x14ac:dyDescent="0.25">
      <c r="E2254" s="2">
        <v>44750</v>
      </c>
      <c r="F2254">
        <v>93.5</v>
      </c>
      <c r="G2254">
        <f t="shared" si="84"/>
        <v>7</v>
      </c>
      <c r="H2254">
        <f t="shared" si="85"/>
        <v>2022</v>
      </c>
    </row>
    <row r="2255" spans="5:8" x14ac:dyDescent="0.25">
      <c r="E2255" s="2">
        <v>44753</v>
      </c>
      <c r="F2255">
        <v>94</v>
      </c>
      <c r="G2255">
        <f t="shared" si="84"/>
        <v>7</v>
      </c>
      <c r="H2255">
        <f t="shared" si="85"/>
        <v>2022</v>
      </c>
    </row>
    <row r="2256" spans="5:8" x14ac:dyDescent="0.25">
      <c r="E2256" s="2">
        <v>44754</v>
      </c>
      <c r="F2256">
        <v>95</v>
      </c>
      <c r="G2256">
        <f t="shared" si="84"/>
        <v>7</v>
      </c>
      <c r="H2256">
        <f t="shared" si="85"/>
        <v>2022</v>
      </c>
    </row>
    <row r="2257" spans="5:8" x14ac:dyDescent="0.25">
      <c r="E2257" s="2">
        <v>44755</v>
      </c>
      <c r="F2257">
        <v>94.75</v>
      </c>
      <c r="G2257">
        <f t="shared" si="84"/>
        <v>7</v>
      </c>
      <c r="H2257">
        <f t="shared" si="85"/>
        <v>2022</v>
      </c>
    </row>
    <row r="2258" spans="5:8" x14ac:dyDescent="0.25">
      <c r="E2258" s="2">
        <v>44756</v>
      </c>
      <c r="F2258">
        <v>94.75</v>
      </c>
      <c r="G2258">
        <f t="shared" si="84"/>
        <v>7</v>
      </c>
      <c r="H2258">
        <f t="shared" si="85"/>
        <v>2022</v>
      </c>
    </row>
    <row r="2259" spans="5:8" x14ac:dyDescent="0.25">
      <c r="E2259" s="2">
        <v>44757</v>
      </c>
      <c r="F2259">
        <v>93.25</v>
      </c>
      <c r="G2259">
        <f t="shared" si="84"/>
        <v>7</v>
      </c>
      <c r="H2259">
        <f t="shared" si="85"/>
        <v>2022</v>
      </c>
    </row>
    <row r="2260" spans="5:8" x14ac:dyDescent="0.25">
      <c r="E2260" s="2">
        <v>44760</v>
      </c>
      <c r="F2260">
        <v>94.5</v>
      </c>
      <c r="G2260">
        <f t="shared" si="84"/>
        <v>7</v>
      </c>
      <c r="H2260">
        <f t="shared" si="85"/>
        <v>2022</v>
      </c>
    </row>
    <row r="2261" spans="5:8" x14ac:dyDescent="0.25">
      <c r="E2261" s="2">
        <v>44761</v>
      </c>
      <c r="F2261">
        <v>94</v>
      </c>
      <c r="G2261">
        <f t="shared" si="84"/>
        <v>7</v>
      </c>
      <c r="H2261">
        <f t="shared" si="85"/>
        <v>2022</v>
      </c>
    </row>
    <row r="2262" spans="5:8" x14ac:dyDescent="0.25">
      <c r="E2262" s="2">
        <v>44762</v>
      </c>
      <c r="F2262">
        <v>94.25</v>
      </c>
      <c r="G2262">
        <f t="shared" si="84"/>
        <v>7</v>
      </c>
      <c r="H2262">
        <f t="shared" si="85"/>
        <v>2022</v>
      </c>
    </row>
    <row r="2263" spans="5:8" x14ac:dyDescent="0.25">
      <c r="E2263" s="2">
        <v>44763</v>
      </c>
      <c r="F2263">
        <v>94.25</v>
      </c>
      <c r="G2263">
        <f t="shared" si="84"/>
        <v>7</v>
      </c>
      <c r="H2263">
        <f t="shared" si="85"/>
        <v>2022</v>
      </c>
    </row>
    <row r="2264" spans="5:8" x14ac:dyDescent="0.25">
      <c r="E2264" s="2">
        <v>44764</v>
      </c>
      <c r="F2264">
        <v>92.75</v>
      </c>
      <c r="G2264">
        <f t="shared" si="84"/>
        <v>7</v>
      </c>
      <c r="H2264">
        <f t="shared" si="85"/>
        <v>2022</v>
      </c>
    </row>
    <row r="2265" spans="5:8" x14ac:dyDescent="0.25">
      <c r="E2265" s="2">
        <v>44767</v>
      </c>
      <c r="F2265">
        <v>91.75</v>
      </c>
      <c r="G2265">
        <f t="shared" si="84"/>
        <v>7</v>
      </c>
      <c r="H2265">
        <f t="shared" si="85"/>
        <v>2022</v>
      </c>
    </row>
    <row r="2266" spans="5:8" x14ac:dyDescent="0.25">
      <c r="E2266" s="2">
        <v>44768</v>
      </c>
      <c r="F2266">
        <v>92</v>
      </c>
      <c r="G2266">
        <f t="shared" si="84"/>
        <v>7</v>
      </c>
      <c r="H2266">
        <f t="shared" si="85"/>
        <v>2022</v>
      </c>
    </row>
    <row r="2267" spans="5:8" x14ac:dyDescent="0.25">
      <c r="E2267" s="2">
        <v>44769</v>
      </c>
      <c r="F2267">
        <v>92</v>
      </c>
      <c r="G2267">
        <f t="shared" si="84"/>
        <v>7</v>
      </c>
      <c r="H2267">
        <f t="shared" si="85"/>
        <v>2022</v>
      </c>
    </row>
    <row r="2268" spans="5:8" x14ac:dyDescent="0.25">
      <c r="E2268" s="2">
        <v>44770</v>
      </c>
      <c r="F2268">
        <v>90.5</v>
      </c>
      <c r="G2268">
        <f t="shared" si="84"/>
        <v>7</v>
      </c>
      <c r="H2268">
        <f t="shared" si="85"/>
        <v>2022</v>
      </c>
    </row>
    <row r="2269" spans="5:8" x14ac:dyDescent="0.25">
      <c r="E2269" s="2">
        <v>44771</v>
      </c>
      <c r="F2269">
        <v>89.5</v>
      </c>
      <c r="G2269">
        <f t="shared" si="84"/>
        <v>7</v>
      </c>
      <c r="H2269">
        <f t="shared" si="85"/>
        <v>2022</v>
      </c>
    </row>
    <row r="2270" spans="5:8" x14ac:dyDescent="0.25">
      <c r="E2270" s="2">
        <v>44774</v>
      </c>
      <c r="F2270">
        <v>86.5</v>
      </c>
      <c r="G2270">
        <f t="shared" si="84"/>
        <v>8</v>
      </c>
      <c r="H2270">
        <f t="shared" si="85"/>
        <v>2022</v>
      </c>
    </row>
    <row r="2271" spans="5:8" x14ac:dyDescent="0.25">
      <c r="E2271" s="2">
        <v>44775</v>
      </c>
      <c r="F2271">
        <v>83.5</v>
      </c>
      <c r="G2271">
        <f t="shared" si="84"/>
        <v>8</v>
      </c>
      <c r="H2271">
        <f t="shared" si="85"/>
        <v>2022</v>
      </c>
    </row>
    <row r="2272" spans="5:8" x14ac:dyDescent="0.25">
      <c r="E2272" s="2">
        <v>44776</v>
      </c>
      <c r="F2272">
        <v>83</v>
      </c>
      <c r="G2272">
        <f t="shared" si="84"/>
        <v>8</v>
      </c>
      <c r="H2272">
        <f t="shared" si="85"/>
        <v>2022</v>
      </c>
    </row>
    <row r="2273" spans="5:8" x14ac:dyDescent="0.25">
      <c r="E2273" s="2">
        <v>44777</v>
      </c>
      <c r="F2273">
        <v>84</v>
      </c>
      <c r="G2273">
        <f t="shared" si="84"/>
        <v>8</v>
      </c>
      <c r="H2273">
        <f t="shared" si="85"/>
        <v>2022</v>
      </c>
    </row>
    <row r="2274" spans="5:8" x14ac:dyDescent="0.25">
      <c r="E2274" s="2">
        <v>44778</v>
      </c>
      <c r="F2274">
        <v>84</v>
      </c>
      <c r="G2274">
        <f t="shared" si="84"/>
        <v>8</v>
      </c>
      <c r="H2274">
        <f t="shared" si="85"/>
        <v>2022</v>
      </c>
    </row>
    <row r="2275" spans="5:8" x14ac:dyDescent="0.25">
      <c r="E2275" s="2">
        <v>44781</v>
      </c>
      <c r="F2275">
        <v>88.25</v>
      </c>
      <c r="G2275">
        <f t="shared" si="84"/>
        <v>8</v>
      </c>
      <c r="H2275">
        <f t="shared" si="85"/>
        <v>2022</v>
      </c>
    </row>
    <row r="2276" spans="5:8" x14ac:dyDescent="0.25">
      <c r="E2276" s="2">
        <v>44782</v>
      </c>
      <c r="F2276">
        <v>87</v>
      </c>
      <c r="G2276">
        <f t="shared" si="84"/>
        <v>8</v>
      </c>
      <c r="H2276">
        <f t="shared" si="85"/>
        <v>2022</v>
      </c>
    </row>
    <row r="2277" spans="5:8" x14ac:dyDescent="0.25">
      <c r="E2277" s="2">
        <v>44783</v>
      </c>
      <c r="F2277">
        <v>91.5</v>
      </c>
      <c r="G2277">
        <f t="shared" si="84"/>
        <v>8</v>
      </c>
      <c r="H2277">
        <f t="shared" si="85"/>
        <v>2022</v>
      </c>
    </row>
    <row r="2278" spans="5:8" x14ac:dyDescent="0.25">
      <c r="E2278" s="2">
        <v>44784</v>
      </c>
      <c r="F2278">
        <v>95.5</v>
      </c>
      <c r="G2278">
        <f t="shared" si="84"/>
        <v>8</v>
      </c>
      <c r="H2278">
        <f t="shared" si="85"/>
        <v>2022</v>
      </c>
    </row>
    <row r="2279" spans="5:8" x14ac:dyDescent="0.25">
      <c r="E2279" s="2">
        <v>44785</v>
      </c>
      <c r="F2279">
        <v>93.5</v>
      </c>
      <c r="G2279">
        <f t="shared" si="84"/>
        <v>8</v>
      </c>
      <c r="H2279">
        <f t="shared" si="85"/>
        <v>2022</v>
      </c>
    </row>
    <row r="2280" spans="5:8" x14ac:dyDescent="0.25">
      <c r="E2280" s="2">
        <v>44788</v>
      </c>
      <c r="F2280">
        <v>90.5</v>
      </c>
      <c r="G2280">
        <f t="shared" si="84"/>
        <v>8</v>
      </c>
      <c r="H2280">
        <f t="shared" si="85"/>
        <v>2022</v>
      </c>
    </row>
    <row r="2281" spans="5:8" x14ac:dyDescent="0.25">
      <c r="E2281" s="2">
        <v>44789</v>
      </c>
      <c r="F2281">
        <v>89.5</v>
      </c>
      <c r="G2281">
        <f t="shared" si="84"/>
        <v>8</v>
      </c>
      <c r="H2281">
        <f t="shared" si="85"/>
        <v>2022</v>
      </c>
    </row>
    <row r="2282" spans="5:8" x14ac:dyDescent="0.25">
      <c r="E2282" s="2">
        <v>44790</v>
      </c>
      <c r="F2282">
        <v>89.5</v>
      </c>
      <c r="G2282">
        <f t="shared" si="84"/>
        <v>8</v>
      </c>
      <c r="H2282">
        <f t="shared" si="85"/>
        <v>2022</v>
      </c>
    </row>
    <row r="2283" spans="5:8" x14ac:dyDescent="0.25">
      <c r="E2283" s="2">
        <v>44791</v>
      </c>
      <c r="F2283">
        <v>89</v>
      </c>
      <c r="G2283">
        <f t="shared" si="84"/>
        <v>8</v>
      </c>
      <c r="H2283">
        <f t="shared" si="85"/>
        <v>2022</v>
      </c>
    </row>
    <row r="2284" spans="5:8" x14ac:dyDescent="0.25">
      <c r="E2284" s="2">
        <v>44792</v>
      </c>
      <c r="F2284">
        <v>88</v>
      </c>
      <c r="G2284">
        <f t="shared" si="84"/>
        <v>8</v>
      </c>
      <c r="H2284">
        <f t="shared" si="85"/>
        <v>2022</v>
      </c>
    </row>
    <row r="2285" spans="5:8" x14ac:dyDescent="0.25">
      <c r="E2285" s="2">
        <v>44795</v>
      </c>
      <c r="F2285">
        <v>88.25</v>
      </c>
      <c r="G2285">
        <f t="shared" si="84"/>
        <v>8</v>
      </c>
      <c r="H2285">
        <f t="shared" si="85"/>
        <v>2022</v>
      </c>
    </row>
    <row r="2286" spans="5:8" x14ac:dyDescent="0.25">
      <c r="E2286" s="2">
        <v>44796</v>
      </c>
      <c r="F2286">
        <v>88.5</v>
      </c>
      <c r="G2286">
        <f t="shared" si="84"/>
        <v>8</v>
      </c>
      <c r="H2286">
        <f t="shared" si="85"/>
        <v>2022</v>
      </c>
    </row>
    <row r="2287" spans="5:8" x14ac:dyDescent="0.25">
      <c r="E2287" s="2">
        <v>44797</v>
      </c>
      <c r="F2287">
        <v>88.25</v>
      </c>
      <c r="G2287">
        <f t="shared" si="84"/>
        <v>8</v>
      </c>
      <c r="H2287">
        <f t="shared" si="85"/>
        <v>2022</v>
      </c>
    </row>
    <row r="2288" spans="5:8" x14ac:dyDescent="0.25">
      <c r="E2288" s="2">
        <v>44798</v>
      </c>
      <c r="F2288">
        <v>87.5</v>
      </c>
      <c r="G2288">
        <f t="shared" si="84"/>
        <v>8</v>
      </c>
      <c r="H2288">
        <f t="shared" si="85"/>
        <v>2022</v>
      </c>
    </row>
    <row r="2289" spans="5:8" x14ac:dyDescent="0.25">
      <c r="E2289" s="2">
        <v>44799</v>
      </c>
      <c r="F2289">
        <v>87.25</v>
      </c>
      <c r="G2289">
        <f t="shared" si="84"/>
        <v>8</v>
      </c>
      <c r="H2289">
        <f t="shared" si="85"/>
        <v>2022</v>
      </c>
    </row>
    <row r="2290" spans="5:8" x14ac:dyDescent="0.25">
      <c r="E2290" s="2">
        <v>44802</v>
      </c>
      <c r="F2290">
        <v>87.25</v>
      </c>
      <c r="G2290">
        <f t="shared" si="84"/>
        <v>8</v>
      </c>
      <c r="H2290">
        <f t="shared" si="85"/>
        <v>2022</v>
      </c>
    </row>
    <row r="2291" spans="5:8" x14ac:dyDescent="0.25">
      <c r="E2291" s="2">
        <v>44803</v>
      </c>
      <c r="F2291">
        <v>86.75</v>
      </c>
      <c r="G2291">
        <f t="shared" si="84"/>
        <v>8</v>
      </c>
      <c r="H2291">
        <f t="shared" si="85"/>
        <v>2022</v>
      </c>
    </row>
    <row r="2292" spans="5:8" x14ac:dyDescent="0.25">
      <c r="E2292" s="2">
        <v>44804</v>
      </c>
      <c r="F2292">
        <v>86</v>
      </c>
      <c r="G2292">
        <f t="shared" si="84"/>
        <v>8</v>
      </c>
      <c r="H2292">
        <f t="shared" si="85"/>
        <v>2022</v>
      </c>
    </row>
    <row r="2293" spans="5:8" x14ac:dyDescent="0.25">
      <c r="E2293" s="2">
        <v>44805</v>
      </c>
      <c r="F2293">
        <v>84.5</v>
      </c>
      <c r="G2293">
        <f t="shared" si="84"/>
        <v>9</v>
      </c>
      <c r="H2293">
        <f t="shared" si="85"/>
        <v>2022</v>
      </c>
    </row>
    <row r="2294" spans="5:8" x14ac:dyDescent="0.25">
      <c r="E2294" s="2">
        <v>44806</v>
      </c>
      <c r="F2294">
        <v>84.75</v>
      </c>
      <c r="G2294">
        <f t="shared" si="84"/>
        <v>9</v>
      </c>
      <c r="H2294">
        <f t="shared" si="85"/>
        <v>2022</v>
      </c>
    </row>
    <row r="2295" spans="5:8" x14ac:dyDescent="0.25">
      <c r="E2295" s="2">
        <v>44810</v>
      </c>
      <c r="F2295">
        <v>84.25</v>
      </c>
      <c r="G2295">
        <f t="shared" si="84"/>
        <v>9</v>
      </c>
      <c r="H2295">
        <f t="shared" si="85"/>
        <v>2022</v>
      </c>
    </row>
    <row r="2296" spans="5:8" x14ac:dyDescent="0.25">
      <c r="E2296" s="2">
        <v>44811</v>
      </c>
      <c r="F2296">
        <v>81.25</v>
      </c>
      <c r="G2296">
        <f t="shared" si="84"/>
        <v>9</v>
      </c>
      <c r="H2296">
        <f t="shared" si="85"/>
        <v>2022</v>
      </c>
    </row>
    <row r="2297" spans="5:8" x14ac:dyDescent="0.25">
      <c r="E2297" s="2">
        <v>44812</v>
      </c>
      <c r="F2297">
        <v>83</v>
      </c>
      <c r="G2297">
        <f t="shared" si="84"/>
        <v>9</v>
      </c>
      <c r="H2297">
        <f t="shared" si="85"/>
        <v>2022</v>
      </c>
    </row>
    <row r="2298" spans="5:8" x14ac:dyDescent="0.25">
      <c r="E2298" s="2">
        <v>44813</v>
      </c>
      <c r="F2298">
        <v>83</v>
      </c>
      <c r="G2298">
        <f t="shared" si="84"/>
        <v>9</v>
      </c>
      <c r="H2298">
        <f t="shared" si="85"/>
        <v>2022</v>
      </c>
    </row>
    <row r="2299" spans="5:8" x14ac:dyDescent="0.25">
      <c r="E2299" s="2">
        <v>44816</v>
      </c>
      <c r="F2299">
        <v>80.75</v>
      </c>
      <c r="G2299">
        <f t="shared" si="84"/>
        <v>9</v>
      </c>
      <c r="H2299">
        <f t="shared" si="85"/>
        <v>2022</v>
      </c>
    </row>
    <row r="2300" spans="5:8" x14ac:dyDescent="0.25">
      <c r="E2300" s="2">
        <v>44817</v>
      </c>
      <c r="F2300">
        <v>81.5</v>
      </c>
      <c r="G2300">
        <f t="shared" si="84"/>
        <v>9</v>
      </c>
      <c r="H2300">
        <f t="shared" si="85"/>
        <v>2022</v>
      </c>
    </row>
    <row r="2301" spans="5:8" x14ac:dyDescent="0.25">
      <c r="E2301" s="2">
        <v>44818</v>
      </c>
      <c r="F2301">
        <v>82.25</v>
      </c>
      <c r="G2301">
        <f t="shared" si="84"/>
        <v>9</v>
      </c>
      <c r="H2301">
        <f t="shared" si="85"/>
        <v>2022</v>
      </c>
    </row>
    <row r="2302" spans="5:8" x14ac:dyDescent="0.25">
      <c r="E2302" s="2">
        <v>44819</v>
      </c>
      <c r="F2302">
        <v>80.75</v>
      </c>
      <c r="G2302">
        <f t="shared" si="84"/>
        <v>9</v>
      </c>
      <c r="H2302">
        <f t="shared" si="85"/>
        <v>2022</v>
      </c>
    </row>
    <row r="2303" spans="5:8" x14ac:dyDescent="0.25">
      <c r="E2303" s="2">
        <v>44820</v>
      </c>
      <c r="F2303">
        <v>80.5</v>
      </c>
      <c r="G2303">
        <f t="shared" si="84"/>
        <v>9</v>
      </c>
      <c r="H2303">
        <f t="shared" si="85"/>
        <v>2022</v>
      </c>
    </row>
    <row r="2304" spans="5:8" x14ac:dyDescent="0.25">
      <c r="E2304" s="2">
        <v>44823</v>
      </c>
      <c r="F2304">
        <v>77</v>
      </c>
      <c r="G2304">
        <f t="shared" si="84"/>
        <v>9</v>
      </c>
      <c r="H2304">
        <f t="shared" si="85"/>
        <v>2022</v>
      </c>
    </row>
    <row r="2305" spans="5:8" x14ac:dyDescent="0.25">
      <c r="E2305" s="2">
        <v>44824</v>
      </c>
      <c r="F2305">
        <v>77</v>
      </c>
      <c r="G2305">
        <f t="shared" si="84"/>
        <v>9</v>
      </c>
      <c r="H2305">
        <f t="shared" si="85"/>
        <v>2022</v>
      </c>
    </row>
    <row r="2306" spans="5:8" x14ac:dyDescent="0.25">
      <c r="E2306" s="2">
        <v>44825</v>
      </c>
      <c r="F2306">
        <v>77</v>
      </c>
      <c r="G2306">
        <f t="shared" si="84"/>
        <v>9</v>
      </c>
      <c r="H2306">
        <f t="shared" si="85"/>
        <v>2022</v>
      </c>
    </row>
    <row r="2307" spans="5:8" x14ac:dyDescent="0.25">
      <c r="E2307" s="2">
        <v>44826</v>
      </c>
      <c r="F2307">
        <v>75.25</v>
      </c>
      <c r="G2307">
        <f t="shared" si="84"/>
        <v>9</v>
      </c>
      <c r="H2307">
        <f t="shared" si="85"/>
        <v>2022</v>
      </c>
    </row>
    <row r="2308" spans="5:8" x14ac:dyDescent="0.25">
      <c r="E2308" s="2">
        <v>44827</v>
      </c>
      <c r="F2308">
        <v>74.25</v>
      </c>
      <c r="G2308">
        <f t="shared" si="84"/>
        <v>9</v>
      </c>
      <c r="H2308">
        <f t="shared" si="85"/>
        <v>2022</v>
      </c>
    </row>
    <row r="2309" spans="5:8" x14ac:dyDescent="0.25">
      <c r="E2309" s="2">
        <v>44830</v>
      </c>
      <c r="F2309">
        <v>73</v>
      </c>
      <c r="G2309">
        <f t="shared" ref="G2309:G2372" si="86">MONTH(E2309)</f>
        <v>9</v>
      </c>
      <c r="H2309">
        <f t="shared" ref="H2309:H2372" si="87">YEAR(E2309)</f>
        <v>2022</v>
      </c>
    </row>
    <row r="2310" spans="5:8" x14ac:dyDescent="0.25">
      <c r="E2310" s="2">
        <v>44831</v>
      </c>
      <c r="F2310">
        <v>70</v>
      </c>
      <c r="G2310">
        <f t="shared" si="86"/>
        <v>9</v>
      </c>
      <c r="H2310">
        <f t="shared" si="87"/>
        <v>2022</v>
      </c>
    </row>
    <row r="2311" spans="5:8" x14ac:dyDescent="0.25">
      <c r="E2311" s="2">
        <v>44832</v>
      </c>
      <c r="F2311">
        <v>67</v>
      </c>
      <c r="G2311">
        <f t="shared" si="86"/>
        <v>9</v>
      </c>
      <c r="H2311">
        <f t="shared" si="87"/>
        <v>2022</v>
      </c>
    </row>
    <row r="2312" spans="5:8" x14ac:dyDescent="0.25">
      <c r="E2312" s="2">
        <v>44833</v>
      </c>
      <c r="F2312">
        <v>65</v>
      </c>
      <c r="G2312">
        <f t="shared" si="86"/>
        <v>9</v>
      </c>
      <c r="H2312">
        <f t="shared" si="87"/>
        <v>2022</v>
      </c>
    </row>
    <row r="2313" spans="5:8" x14ac:dyDescent="0.25">
      <c r="E2313" s="2">
        <v>44834</v>
      </c>
      <c r="F2313">
        <v>61.5</v>
      </c>
      <c r="G2313">
        <f t="shared" si="86"/>
        <v>9</v>
      </c>
      <c r="H2313">
        <f t="shared" si="87"/>
        <v>2022</v>
      </c>
    </row>
    <row r="2314" spans="5:8" x14ac:dyDescent="0.25">
      <c r="E2314" s="2">
        <v>44837</v>
      </c>
      <c r="F2314">
        <v>62</v>
      </c>
      <c r="G2314">
        <f t="shared" si="86"/>
        <v>10</v>
      </c>
      <c r="H2314">
        <f t="shared" si="87"/>
        <v>2022</v>
      </c>
    </row>
    <row r="2315" spans="5:8" x14ac:dyDescent="0.25">
      <c r="E2315" s="2">
        <v>44838</v>
      </c>
      <c r="F2315">
        <v>63</v>
      </c>
      <c r="G2315">
        <f t="shared" si="86"/>
        <v>10</v>
      </c>
      <c r="H2315">
        <f t="shared" si="87"/>
        <v>2022</v>
      </c>
    </row>
    <row r="2316" spans="5:8" x14ac:dyDescent="0.25">
      <c r="E2316" s="2">
        <v>44839</v>
      </c>
      <c r="F2316">
        <v>64.5</v>
      </c>
      <c r="G2316">
        <f t="shared" si="86"/>
        <v>10</v>
      </c>
      <c r="H2316">
        <f t="shared" si="87"/>
        <v>2022</v>
      </c>
    </row>
    <row r="2317" spans="5:8" x14ac:dyDescent="0.25">
      <c r="E2317" s="2">
        <v>44840</v>
      </c>
      <c r="F2317">
        <v>64</v>
      </c>
      <c r="G2317">
        <f t="shared" si="86"/>
        <v>10</v>
      </c>
      <c r="H2317">
        <f t="shared" si="87"/>
        <v>2022</v>
      </c>
    </row>
    <row r="2318" spans="5:8" x14ac:dyDescent="0.25">
      <c r="E2318" s="2">
        <v>44841</v>
      </c>
      <c r="F2318">
        <v>64.5</v>
      </c>
      <c r="G2318">
        <f t="shared" si="86"/>
        <v>10</v>
      </c>
      <c r="H2318">
        <f t="shared" si="87"/>
        <v>2022</v>
      </c>
    </row>
    <row r="2319" spans="5:8" x14ac:dyDescent="0.25">
      <c r="E2319" s="2">
        <v>44844</v>
      </c>
      <c r="F2319">
        <v>64.5</v>
      </c>
      <c r="G2319">
        <f t="shared" si="86"/>
        <v>10</v>
      </c>
      <c r="H2319">
        <f t="shared" si="87"/>
        <v>2022</v>
      </c>
    </row>
    <row r="2320" spans="5:8" x14ac:dyDescent="0.25">
      <c r="E2320" s="2">
        <v>44845</v>
      </c>
      <c r="F2320">
        <v>67</v>
      </c>
      <c r="G2320">
        <f t="shared" si="86"/>
        <v>10</v>
      </c>
      <c r="H2320">
        <f t="shared" si="87"/>
        <v>2022</v>
      </c>
    </row>
    <row r="2321" spans="5:8" x14ac:dyDescent="0.25">
      <c r="E2321" s="2">
        <v>44846</v>
      </c>
      <c r="F2321">
        <v>67.5</v>
      </c>
      <c r="G2321">
        <f t="shared" si="86"/>
        <v>10</v>
      </c>
      <c r="H2321">
        <f t="shared" si="87"/>
        <v>2022</v>
      </c>
    </row>
    <row r="2322" spans="5:8" x14ac:dyDescent="0.25">
      <c r="E2322" s="2">
        <v>44847</v>
      </c>
      <c r="F2322">
        <v>67.5</v>
      </c>
      <c r="G2322">
        <f t="shared" si="86"/>
        <v>10</v>
      </c>
      <c r="H2322">
        <f t="shared" si="87"/>
        <v>2022</v>
      </c>
    </row>
    <row r="2323" spans="5:8" x14ac:dyDescent="0.25">
      <c r="E2323" s="2">
        <v>44848</v>
      </c>
      <c r="F2323">
        <v>69</v>
      </c>
      <c r="G2323">
        <f t="shared" si="86"/>
        <v>10</v>
      </c>
      <c r="H2323">
        <f t="shared" si="87"/>
        <v>2022</v>
      </c>
    </row>
    <row r="2324" spans="5:8" x14ac:dyDescent="0.25">
      <c r="E2324" s="2">
        <v>44851</v>
      </c>
      <c r="F2324">
        <v>69.5</v>
      </c>
      <c r="G2324">
        <f t="shared" si="86"/>
        <v>10</v>
      </c>
      <c r="H2324">
        <f t="shared" si="87"/>
        <v>2022</v>
      </c>
    </row>
    <row r="2325" spans="5:8" x14ac:dyDescent="0.25">
      <c r="E2325" s="2">
        <v>44852</v>
      </c>
      <c r="F2325">
        <v>69.5</v>
      </c>
      <c r="G2325">
        <f t="shared" si="86"/>
        <v>10</v>
      </c>
      <c r="H2325">
        <f t="shared" si="87"/>
        <v>2022</v>
      </c>
    </row>
    <row r="2326" spans="5:8" x14ac:dyDescent="0.25">
      <c r="E2326" s="2">
        <v>44853</v>
      </c>
      <c r="F2326">
        <v>69.5</v>
      </c>
      <c r="G2326">
        <f t="shared" si="86"/>
        <v>10</v>
      </c>
      <c r="H2326">
        <f t="shared" si="87"/>
        <v>2022</v>
      </c>
    </row>
    <row r="2327" spans="5:8" x14ac:dyDescent="0.25">
      <c r="E2327" s="2">
        <v>44854</v>
      </c>
      <c r="F2327">
        <v>69.5</v>
      </c>
      <c r="G2327">
        <f t="shared" si="86"/>
        <v>10</v>
      </c>
      <c r="H2327">
        <f t="shared" si="87"/>
        <v>2022</v>
      </c>
    </row>
    <row r="2328" spans="5:8" x14ac:dyDescent="0.25">
      <c r="E2328" s="2">
        <v>44855</v>
      </c>
      <c r="F2328">
        <v>69.5</v>
      </c>
      <c r="G2328">
        <f t="shared" si="86"/>
        <v>10</v>
      </c>
      <c r="H2328">
        <f t="shared" si="87"/>
        <v>2022</v>
      </c>
    </row>
    <row r="2329" spans="5:8" x14ac:dyDescent="0.25">
      <c r="E2329" s="2">
        <v>44858</v>
      </c>
      <c r="F2329">
        <v>66.75</v>
      </c>
      <c r="G2329">
        <f t="shared" si="86"/>
        <v>10</v>
      </c>
      <c r="H2329">
        <f t="shared" si="87"/>
        <v>2022</v>
      </c>
    </row>
    <row r="2330" spans="5:8" x14ac:dyDescent="0.25">
      <c r="E2330" s="2">
        <v>44859</v>
      </c>
      <c r="F2330">
        <v>65</v>
      </c>
      <c r="G2330">
        <f t="shared" si="86"/>
        <v>10</v>
      </c>
      <c r="H2330">
        <f t="shared" si="87"/>
        <v>2022</v>
      </c>
    </row>
    <row r="2331" spans="5:8" x14ac:dyDescent="0.25">
      <c r="E2331" s="2">
        <v>44860</v>
      </c>
      <c r="F2331">
        <v>64</v>
      </c>
      <c r="G2331">
        <f t="shared" si="86"/>
        <v>10</v>
      </c>
      <c r="H2331">
        <f t="shared" si="87"/>
        <v>2022</v>
      </c>
    </row>
    <row r="2332" spans="5:8" x14ac:dyDescent="0.25">
      <c r="E2332" s="2">
        <v>44861</v>
      </c>
      <c r="F2332">
        <v>63.5</v>
      </c>
      <c r="G2332">
        <f t="shared" si="86"/>
        <v>10</v>
      </c>
      <c r="H2332">
        <f t="shared" si="87"/>
        <v>2022</v>
      </c>
    </row>
    <row r="2333" spans="5:8" x14ac:dyDescent="0.25">
      <c r="E2333" s="2">
        <v>44862</v>
      </c>
      <c r="F2333">
        <v>64.25</v>
      </c>
      <c r="G2333">
        <f t="shared" si="86"/>
        <v>10</v>
      </c>
      <c r="H2333">
        <f t="shared" si="87"/>
        <v>2022</v>
      </c>
    </row>
    <row r="2334" spans="5:8" x14ac:dyDescent="0.25">
      <c r="E2334" s="2">
        <v>44865</v>
      </c>
      <c r="F2334">
        <v>64.5</v>
      </c>
      <c r="G2334">
        <f t="shared" si="86"/>
        <v>10</v>
      </c>
      <c r="H2334">
        <f t="shared" si="87"/>
        <v>2022</v>
      </c>
    </row>
    <row r="2335" spans="5:8" x14ac:dyDescent="0.25">
      <c r="E2335" s="2">
        <v>44866</v>
      </c>
      <c r="F2335">
        <v>63.25</v>
      </c>
      <c r="G2335">
        <f t="shared" si="86"/>
        <v>11</v>
      </c>
      <c r="H2335">
        <f t="shared" si="87"/>
        <v>2022</v>
      </c>
    </row>
    <row r="2336" spans="5:8" x14ac:dyDescent="0.25">
      <c r="E2336" s="2">
        <v>44867</v>
      </c>
      <c r="F2336">
        <v>63.5</v>
      </c>
      <c r="G2336">
        <f t="shared" si="86"/>
        <v>11</v>
      </c>
      <c r="H2336">
        <f t="shared" si="87"/>
        <v>2022</v>
      </c>
    </row>
    <row r="2337" spans="5:8" x14ac:dyDescent="0.25">
      <c r="E2337" s="2">
        <v>44868</v>
      </c>
      <c r="F2337">
        <v>63.5</v>
      </c>
      <c r="G2337">
        <f t="shared" si="86"/>
        <v>11</v>
      </c>
      <c r="H2337">
        <f t="shared" si="87"/>
        <v>2022</v>
      </c>
    </row>
    <row r="2338" spans="5:8" x14ac:dyDescent="0.25">
      <c r="E2338" s="2">
        <v>44869</v>
      </c>
      <c r="F2338">
        <v>63.5</v>
      </c>
      <c r="G2338">
        <f t="shared" si="86"/>
        <v>11</v>
      </c>
      <c r="H2338">
        <f t="shared" si="87"/>
        <v>2022</v>
      </c>
    </row>
    <row r="2339" spans="5:8" x14ac:dyDescent="0.25">
      <c r="E2339" s="2">
        <v>44872</v>
      </c>
      <c r="F2339">
        <v>64</v>
      </c>
      <c r="G2339">
        <f t="shared" si="86"/>
        <v>11</v>
      </c>
      <c r="H2339">
        <f t="shared" si="87"/>
        <v>2022</v>
      </c>
    </row>
    <row r="2340" spans="5:8" x14ac:dyDescent="0.25">
      <c r="E2340" s="2">
        <v>44873</v>
      </c>
      <c r="F2340">
        <v>64</v>
      </c>
      <c r="G2340">
        <f t="shared" si="86"/>
        <v>11</v>
      </c>
      <c r="H2340">
        <f t="shared" si="87"/>
        <v>2022</v>
      </c>
    </row>
    <row r="2341" spans="5:8" x14ac:dyDescent="0.25">
      <c r="E2341" s="2">
        <v>44874</v>
      </c>
      <c r="F2341">
        <v>64</v>
      </c>
      <c r="G2341">
        <f t="shared" si="86"/>
        <v>11</v>
      </c>
      <c r="H2341">
        <f t="shared" si="87"/>
        <v>2022</v>
      </c>
    </row>
    <row r="2342" spans="5:8" x14ac:dyDescent="0.25">
      <c r="E2342" s="2">
        <v>44875</v>
      </c>
      <c r="F2342">
        <v>67</v>
      </c>
      <c r="G2342">
        <f t="shared" si="86"/>
        <v>11</v>
      </c>
      <c r="H2342">
        <f t="shared" si="87"/>
        <v>2022</v>
      </c>
    </row>
    <row r="2343" spans="5:8" x14ac:dyDescent="0.25">
      <c r="E2343" s="2">
        <v>44876</v>
      </c>
      <c r="F2343">
        <v>65.5</v>
      </c>
      <c r="G2343">
        <f t="shared" si="86"/>
        <v>11</v>
      </c>
      <c r="H2343">
        <f t="shared" si="87"/>
        <v>2022</v>
      </c>
    </row>
    <row r="2344" spans="5:8" x14ac:dyDescent="0.25">
      <c r="E2344" s="2">
        <v>44879</v>
      </c>
      <c r="F2344">
        <v>63.5</v>
      </c>
      <c r="G2344">
        <f t="shared" si="86"/>
        <v>11</v>
      </c>
      <c r="H2344">
        <f t="shared" si="87"/>
        <v>2022</v>
      </c>
    </row>
    <row r="2345" spans="5:8" x14ac:dyDescent="0.25">
      <c r="E2345" s="2">
        <v>44880</v>
      </c>
      <c r="F2345">
        <v>60</v>
      </c>
      <c r="G2345">
        <f t="shared" si="86"/>
        <v>11</v>
      </c>
      <c r="H2345">
        <f t="shared" si="87"/>
        <v>2022</v>
      </c>
    </row>
    <row r="2346" spans="5:8" x14ac:dyDescent="0.25">
      <c r="E2346" s="2">
        <v>44881</v>
      </c>
      <c r="F2346">
        <v>59.5</v>
      </c>
      <c r="G2346">
        <f t="shared" si="86"/>
        <v>11</v>
      </c>
      <c r="H2346">
        <f t="shared" si="87"/>
        <v>2022</v>
      </c>
    </row>
    <row r="2347" spans="5:8" x14ac:dyDescent="0.25">
      <c r="E2347" s="2">
        <v>44882</v>
      </c>
      <c r="F2347">
        <v>60.5</v>
      </c>
      <c r="G2347">
        <f t="shared" si="86"/>
        <v>11</v>
      </c>
      <c r="H2347">
        <f t="shared" si="87"/>
        <v>2022</v>
      </c>
    </row>
    <row r="2348" spans="5:8" x14ac:dyDescent="0.25">
      <c r="E2348" s="2">
        <v>44883</v>
      </c>
      <c r="F2348">
        <v>63</v>
      </c>
      <c r="G2348">
        <f t="shared" si="86"/>
        <v>11</v>
      </c>
      <c r="H2348">
        <f t="shared" si="87"/>
        <v>2022</v>
      </c>
    </row>
    <row r="2349" spans="5:8" x14ac:dyDescent="0.25">
      <c r="E2349" s="2">
        <v>44886</v>
      </c>
      <c r="F2349">
        <v>62.5</v>
      </c>
      <c r="G2349">
        <f t="shared" si="86"/>
        <v>11</v>
      </c>
      <c r="H2349">
        <f t="shared" si="87"/>
        <v>2022</v>
      </c>
    </row>
    <row r="2350" spans="5:8" x14ac:dyDescent="0.25">
      <c r="E2350" s="2">
        <v>44887</v>
      </c>
      <c r="F2350">
        <v>62.5</v>
      </c>
      <c r="G2350">
        <f t="shared" si="86"/>
        <v>11</v>
      </c>
      <c r="H2350">
        <f t="shared" si="87"/>
        <v>2022</v>
      </c>
    </row>
    <row r="2351" spans="5:8" x14ac:dyDescent="0.25">
      <c r="E2351" s="2">
        <v>44888</v>
      </c>
      <c r="F2351">
        <v>62.5</v>
      </c>
      <c r="G2351">
        <f t="shared" si="86"/>
        <v>11</v>
      </c>
      <c r="H2351">
        <f t="shared" si="87"/>
        <v>2022</v>
      </c>
    </row>
    <row r="2352" spans="5:8" x14ac:dyDescent="0.25">
      <c r="E2352" s="2">
        <v>44893</v>
      </c>
      <c r="F2352">
        <v>65</v>
      </c>
      <c r="G2352">
        <f t="shared" si="86"/>
        <v>11</v>
      </c>
      <c r="H2352">
        <f t="shared" si="87"/>
        <v>2022</v>
      </c>
    </row>
    <row r="2353" spans="5:8" x14ac:dyDescent="0.25">
      <c r="E2353" s="2">
        <v>44894</v>
      </c>
      <c r="F2353">
        <v>65</v>
      </c>
      <c r="G2353">
        <f t="shared" si="86"/>
        <v>11</v>
      </c>
      <c r="H2353">
        <f t="shared" si="87"/>
        <v>2022</v>
      </c>
    </row>
    <row r="2354" spans="5:8" x14ac:dyDescent="0.25">
      <c r="E2354" s="2">
        <v>44895</v>
      </c>
      <c r="F2354">
        <v>63.5</v>
      </c>
      <c r="G2354">
        <f t="shared" si="86"/>
        <v>11</v>
      </c>
      <c r="H2354">
        <f t="shared" si="87"/>
        <v>2022</v>
      </c>
    </row>
    <row r="2355" spans="5:8" x14ac:dyDescent="0.25">
      <c r="E2355" s="2">
        <v>44896</v>
      </c>
      <c r="F2355">
        <v>63</v>
      </c>
      <c r="G2355">
        <f t="shared" si="86"/>
        <v>12</v>
      </c>
      <c r="H2355">
        <f t="shared" si="87"/>
        <v>2022</v>
      </c>
    </row>
    <row r="2356" spans="5:8" x14ac:dyDescent="0.25">
      <c r="E2356" s="2">
        <v>44897</v>
      </c>
      <c r="F2356">
        <v>64.5</v>
      </c>
      <c r="G2356">
        <f t="shared" si="86"/>
        <v>12</v>
      </c>
      <c r="H2356">
        <f t="shared" si="87"/>
        <v>2022</v>
      </c>
    </row>
    <row r="2357" spans="5:8" x14ac:dyDescent="0.25">
      <c r="E2357" s="2">
        <v>44900</v>
      </c>
      <c r="F2357">
        <v>65.5</v>
      </c>
      <c r="G2357">
        <f t="shared" si="86"/>
        <v>12</v>
      </c>
      <c r="H2357">
        <f t="shared" si="87"/>
        <v>2022</v>
      </c>
    </row>
    <row r="2358" spans="5:8" x14ac:dyDescent="0.25">
      <c r="E2358" s="2">
        <v>44901</v>
      </c>
      <c r="F2358">
        <v>65.5</v>
      </c>
      <c r="G2358">
        <f t="shared" si="86"/>
        <v>12</v>
      </c>
      <c r="H2358">
        <f t="shared" si="87"/>
        <v>2022</v>
      </c>
    </row>
    <row r="2359" spans="5:8" x14ac:dyDescent="0.25">
      <c r="E2359" s="2">
        <v>44902</v>
      </c>
      <c r="F2359">
        <v>65.5</v>
      </c>
      <c r="G2359">
        <f t="shared" si="86"/>
        <v>12</v>
      </c>
      <c r="H2359">
        <f t="shared" si="87"/>
        <v>2022</v>
      </c>
    </row>
    <row r="2360" spans="5:8" x14ac:dyDescent="0.25">
      <c r="E2360" s="2">
        <v>44903</v>
      </c>
      <c r="F2360">
        <v>64.5</v>
      </c>
      <c r="G2360">
        <f t="shared" si="86"/>
        <v>12</v>
      </c>
      <c r="H2360">
        <f t="shared" si="87"/>
        <v>2022</v>
      </c>
    </row>
    <row r="2361" spans="5:8" x14ac:dyDescent="0.25">
      <c r="E2361" s="2">
        <v>44904</v>
      </c>
      <c r="F2361">
        <v>65</v>
      </c>
      <c r="G2361">
        <f t="shared" si="86"/>
        <v>12</v>
      </c>
      <c r="H2361">
        <f t="shared" si="87"/>
        <v>2022</v>
      </c>
    </row>
    <row r="2362" spans="5:8" x14ac:dyDescent="0.25">
      <c r="E2362" s="2">
        <v>44907</v>
      </c>
      <c r="F2362">
        <v>64.5</v>
      </c>
      <c r="G2362">
        <f t="shared" si="86"/>
        <v>12</v>
      </c>
      <c r="H2362">
        <f t="shared" si="87"/>
        <v>2022</v>
      </c>
    </row>
    <row r="2363" spans="5:8" x14ac:dyDescent="0.25">
      <c r="E2363" s="2">
        <v>44908</v>
      </c>
      <c r="F2363">
        <v>65.75</v>
      </c>
      <c r="G2363">
        <f t="shared" si="86"/>
        <v>12</v>
      </c>
      <c r="H2363">
        <f t="shared" si="87"/>
        <v>2022</v>
      </c>
    </row>
    <row r="2364" spans="5:8" x14ac:dyDescent="0.25">
      <c r="E2364" s="2">
        <v>44909</v>
      </c>
      <c r="F2364">
        <v>66.25</v>
      </c>
      <c r="G2364">
        <f t="shared" si="86"/>
        <v>12</v>
      </c>
      <c r="H2364">
        <f t="shared" si="87"/>
        <v>2022</v>
      </c>
    </row>
    <row r="2365" spans="5:8" x14ac:dyDescent="0.25">
      <c r="E2365" s="2">
        <v>44910</v>
      </c>
      <c r="F2365">
        <v>67.5</v>
      </c>
      <c r="G2365">
        <f t="shared" si="86"/>
        <v>12</v>
      </c>
      <c r="H2365">
        <f t="shared" si="87"/>
        <v>2022</v>
      </c>
    </row>
    <row r="2366" spans="5:8" x14ac:dyDescent="0.25">
      <c r="E2366" s="2">
        <v>44911</v>
      </c>
      <c r="F2366">
        <v>67.5</v>
      </c>
      <c r="G2366">
        <f t="shared" si="86"/>
        <v>12</v>
      </c>
      <c r="H2366">
        <f t="shared" si="87"/>
        <v>2022</v>
      </c>
    </row>
    <row r="2367" spans="5:8" x14ac:dyDescent="0.25">
      <c r="E2367" s="2">
        <v>44914</v>
      </c>
      <c r="F2367">
        <v>68.5</v>
      </c>
      <c r="G2367">
        <f t="shared" si="86"/>
        <v>12</v>
      </c>
      <c r="H2367">
        <f t="shared" si="87"/>
        <v>2022</v>
      </c>
    </row>
    <row r="2368" spans="5:8" x14ac:dyDescent="0.25">
      <c r="E2368" s="2">
        <v>44915</v>
      </c>
      <c r="F2368">
        <v>68.5</v>
      </c>
      <c r="G2368">
        <f t="shared" si="86"/>
        <v>12</v>
      </c>
      <c r="H2368">
        <f t="shared" si="87"/>
        <v>2022</v>
      </c>
    </row>
    <row r="2369" spans="5:8" x14ac:dyDescent="0.25">
      <c r="E2369" s="2">
        <v>44916</v>
      </c>
      <c r="F2369">
        <v>69</v>
      </c>
      <c r="G2369">
        <f t="shared" si="86"/>
        <v>12</v>
      </c>
      <c r="H2369">
        <f t="shared" si="87"/>
        <v>2022</v>
      </c>
    </row>
    <row r="2370" spans="5:8" x14ac:dyDescent="0.25">
      <c r="E2370" s="2">
        <v>44917</v>
      </c>
      <c r="F2370">
        <v>69</v>
      </c>
      <c r="G2370">
        <f t="shared" si="86"/>
        <v>12</v>
      </c>
      <c r="H2370">
        <f t="shared" si="87"/>
        <v>2022</v>
      </c>
    </row>
    <row r="2371" spans="5:8" x14ac:dyDescent="0.25">
      <c r="E2371" s="2">
        <v>44918</v>
      </c>
      <c r="F2371">
        <v>69</v>
      </c>
      <c r="G2371">
        <f t="shared" si="86"/>
        <v>12</v>
      </c>
      <c r="H2371">
        <f t="shared" si="87"/>
        <v>2022</v>
      </c>
    </row>
    <row r="2372" spans="5:8" x14ac:dyDescent="0.25">
      <c r="E2372" s="2">
        <v>44922</v>
      </c>
      <c r="F2372">
        <v>69</v>
      </c>
      <c r="G2372">
        <f t="shared" si="86"/>
        <v>12</v>
      </c>
      <c r="H2372">
        <f t="shared" si="87"/>
        <v>2022</v>
      </c>
    </row>
    <row r="2373" spans="5:8" x14ac:dyDescent="0.25">
      <c r="E2373" s="2">
        <v>44923</v>
      </c>
      <c r="F2373">
        <v>68.5</v>
      </c>
      <c r="G2373">
        <f t="shared" ref="G2373:G2436" si="88">MONTH(E2373)</f>
        <v>12</v>
      </c>
      <c r="H2373">
        <f t="shared" ref="H2373:H2436" si="89">YEAR(E2373)</f>
        <v>2022</v>
      </c>
    </row>
    <row r="2374" spans="5:8" x14ac:dyDescent="0.25">
      <c r="E2374" s="2">
        <v>44924</v>
      </c>
      <c r="F2374">
        <v>69</v>
      </c>
      <c r="G2374">
        <f t="shared" si="88"/>
        <v>12</v>
      </c>
      <c r="H2374">
        <f t="shared" si="89"/>
        <v>2022</v>
      </c>
    </row>
    <row r="2375" spans="5:8" x14ac:dyDescent="0.25">
      <c r="E2375" s="2">
        <v>44925</v>
      </c>
      <c r="F2375">
        <v>69</v>
      </c>
      <c r="G2375">
        <f t="shared" si="88"/>
        <v>12</v>
      </c>
      <c r="H2375">
        <f t="shared" si="89"/>
        <v>2022</v>
      </c>
    </row>
    <row r="2376" spans="5:8" x14ac:dyDescent="0.25">
      <c r="E2376" s="2">
        <v>44929</v>
      </c>
      <c r="F2376">
        <v>69</v>
      </c>
      <c r="G2376">
        <f t="shared" si="88"/>
        <v>1</v>
      </c>
      <c r="H2376">
        <f t="shared" si="89"/>
        <v>2023</v>
      </c>
    </row>
    <row r="2377" spans="5:8" x14ac:dyDescent="0.25">
      <c r="E2377" s="2">
        <v>44930</v>
      </c>
      <c r="F2377">
        <v>68.25</v>
      </c>
      <c r="G2377">
        <f t="shared" si="88"/>
        <v>1</v>
      </c>
      <c r="H2377">
        <f t="shared" si="89"/>
        <v>2023</v>
      </c>
    </row>
    <row r="2378" spans="5:8" x14ac:dyDescent="0.25">
      <c r="E2378" s="2">
        <v>44931</v>
      </c>
      <c r="F2378">
        <v>67.5</v>
      </c>
      <c r="G2378">
        <f t="shared" si="88"/>
        <v>1</v>
      </c>
      <c r="H2378">
        <f t="shared" si="89"/>
        <v>2023</v>
      </c>
    </row>
    <row r="2379" spans="5:8" x14ac:dyDescent="0.25">
      <c r="E2379" s="2">
        <v>44932</v>
      </c>
      <c r="F2379">
        <v>67.5</v>
      </c>
      <c r="G2379">
        <f t="shared" si="88"/>
        <v>1</v>
      </c>
      <c r="H2379">
        <f t="shared" si="89"/>
        <v>2023</v>
      </c>
    </row>
    <row r="2380" spans="5:8" x14ac:dyDescent="0.25">
      <c r="E2380" s="2">
        <v>44935</v>
      </c>
      <c r="F2380">
        <v>67.5</v>
      </c>
      <c r="G2380">
        <f t="shared" si="88"/>
        <v>1</v>
      </c>
      <c r="H2380">
        <f t="shared" si="89"/>
        <v>2023</v>
      </c>
    </row>
    <row r="2381" spans="5:8" x14ac:dyDescent="0.25">
      <c r="E2381" s="2">
        <v>44936</v>
      </c>
      <c r="F2381">
        <v>67</v>
      </c>
      <c r="G2381">
        <f t="shared" si="88"/>
        <v>1</v>
      </c>
      <c r="H2381">
        <f t="shared" si="89"/>
        <v>2023</v>
      </c>
    </row>
    <row r="2382" spans="5:8" x14ac:dyDescent="0.25">
      <c r="E2382" s="2">
        <v>44937</v>
      </c>
      <c r="F2382">
        <v>67</v>
      </c>
      <c r="G2382">
        <f t="shared" si="88"/>
        <v>1</v>
      </c>
      <c r="H2382">
        <f t="shared" si="89"/>
        <v>2023</v>
      </c>
    </row>
    <row r="2383" spans="5:8" x14ac:dyDescent="0.25">
      <c r="E2383" s="2">
        <v>44938</v>
      </c>
      <c r="F2383">
        <v>63.25</v>
      </c>
      <c r="G2383">
        <f t="shared" si="88"/>
        <v>1</v>
      </c>
      <c r="H2383">
        <f t="shared" si="89"/>
        <v>2023</v>
      </c>
    </row>
    <row r="2384" spans="5:8" x14ac:dyDescent="0.25">
      <c r="E2384" s="2">
        <v>44939</v>
      </c>
      <c r="F2384">
        <v>63.5</v>
      </c>
      <c r="G2384">
        <f t="shared" si="88"/>
        <v>1</v>
      </c>
      <c r="H2384">
        <f t="shared" si="89"/>
        <v>2023</v>
      </c>
    </row>
    <row r="2385" spans="5:8" x14ac:dyDescent="0.25">
      <c r="E2385" s="2">
        <v>44943</v>
      </c>
      <c r="F2385">
        <v>63.75</v>
      </c>
      <c r="G2385">
        <f t="shared" si="88"/>
        <v>1</v>
      </c>
      <c r="H2385">
        <f t="shared" si="89"/>
        <v>2023</v>
      </c>
    </row>
    <row r="2386" spans="5:8" x14ac:dyDescent="0.25">
      <c r="E2386" s="2">
        <v>44944</v>
      </c>
      <c r="F2386">
        <v>62.5</v>
      </c>
      <c r="G2386">
        <f t="shared" si="88"/>
        <v>1</v>
      </c>
      <c r="H2386">
        <f t="shared" si="89"/>
        <v>2023</v>
      </c>
    </row>
    <row r="2387" spans="5:8" x14ac:dyDescent="0.25">
      <c r="E2387" s="2">
        <v>44945</v>
      </c>
      <c r="F2387">
        <v>62.75</v>
      </c>
      <c r="G2387">
        <f t="shared" si="88"/>
        <v>1</v>
      </c>
      <c r="H2387">
        <f t="shared" si="89"/>
        <v>2023</v>
      </c>
    </row>
    <row r="2388" spans="5:8" x14ac:dyDescent="0.25">
      <c r="E2388" s="2">
        <v>44946</v>
      </c>
      <c r="F2388">
        <v>62.75</v>
      </c>
      <c r="G2388">
        <f t="shared" si="88"/>
        <v>1</v>
      </c>
      <c r="H2388">
        <f t="shared" si="89"/>
        <v>2023</v>
      </c>
    </row>
    <row r="2389" spans="5:8" x14ac:dyDescent="0.25">
      <c r="E2389" s="2">
        <v>44949</v>
      </c>
      <c r="F2389">
        <v>63</v>
      </c>
      <c r="G2389">
        <f t="shared" si="88"/>
        <v>1</v>
      </c>
      <c r="H2389">
        <f t="shared" si="89"/>
        <v>2023</v>
      </c>
    </row>
    <row r="2390" spans="5:8" x14ac:dyDescent="0.25">
      <c r="E2390" s="2">
        <v>44950</v>
      </c>
      <c r="F2390">
        <v>62.5</v>
      </c>
      <c r="G2390">
        <f t="shared" si="88"/>
        <v>1</v>
      </c>
      <c r="H2390">
        <f t="shared" si="89"/>
        <v>2023</v>
      </c>
    </row>
    <row r="2391" spans="5:8" x14ac:dyDescent="0.25">
      <c r="E2391" s="2">
        <v>44951</v>
      </c>
      <c r="F2391">
        <v>62.5</v>
      </c>
      <c r="G2391">
        <f t="shared" si="88"/>
        <v>1</v>
      </c>
      <c r="H2391">
        <f t="shared" si="89"/>
        <v>2023</v>
      </c>
    </row>
    <row r="2392" spans="5:8" x14ac:dyDescent="0.25">
      <c r="E2392" s="2">
        <v>44952</v>
      </c>
      <c r="F2392">
        <v>63.5</v>
      </c>
      <c r="G2392">
        <f t="shared" si="88"/>
        <v>1</v>
      </c>
      <c r="H2392">
        <f t="shared" si="89"/>
        <v>2023</v>
      </c>
    </row>
    <row r="2393" spans="5:8" x14ac:dyDescent="0.25">
      <c r="E2393" s="2">
        <v>44953</v>
      </c>
      <c r="F2393">
        <v>63.5</v>
      </c>
      <c r="G2393">
        <f t="shared" si="88"/>
        <v>1</v>
      </c>
      <c r="H2393">
        <f t="shared" si="89"/>
        <v>2023</v>
      </c>
    </row>
    <row r="2394" spans="5:8" x14ac:dyDescent="0.25">
      <c r="E2394" s="2">
        <v>44956</v>
      </c>
      <c r="F2394">
        <v>62.75</v>
      </c>
      <c r="G2394">
        <f t="shared" si="88"/>
        <v>1</v>
      </c>
      <c r="H2394">
        <f t="shared" si="89"/>
        <v>2023</v>
      </c>
    </row>
    <row r="2395" spans="5:8" x14ac:dyDescent="0.25">
      <c r="E2395" s="2">
        <v>44957</v>
      </c>
      <c r="F2395">
        <v>61.25</v>
      </c>
      <c r="G2395">
        <f t="shared" si="88"/>
        <v>1</v>
      </c>
      <c r="H2395">
        <f t="shared" si="89"/>
        <v>2023</v>
      </c>
    </row>
    <row r="2396" spans="5:8" x14ac:dyDescent="0.25">
      <c r="E2396" s="2">
        <v>44958</v>
      </c>
      <c r="F2396">
        <v>60.75</v>
      </c>
      <c r="G2396">
        <f t="shared" si="88"/>
        <v>2</v>
      </c>
      <c r="H2396">
        <f t="shared" si="89"/>
        <v>2023</v>
      </c>
    </row>
    <row r="2397" spans="5:8" x14ac:dyDescent="0.25">
      <c r="E2397" s="2">
        <v>44959</v>
      </c>
      <c r="F2397">
        <v>61.25</v>
      </c>
      <c r="G2397">
        <f t="shared" si="88"/>
        <v>2</v>
      </c>
      <c r="H2397">
        <f t="shared" si="89"/>
        <v>2023</v>
      </c>
    </row>
    <row r="2398" spans="5:8" x14ac:dyDescent="0.25">
      <c r="E2398" s="2">
        <v>44960</v>
      </c>
      <c r="F2398">
        <v>61.25</v>
      </c>
      <c r="G2398">
        <f t="shared" si="88"/>
        <v>2</v>
      </c>
      <c r="H2398">
        <f t="shared" si="89"/>
        <v>2023</v>
      </c>
    </row>
    <row r="2399" spans="5:8" x14ac:dyDescent="0.25">
      <c r="E2399" s="2">
        <v>44963</v>
      </c>
      <c r="F2399">
        <v>60.25</v>
      </c>
      <c r="G2399">
        <f t="shared" si="88"/>
        <v>2</v>
      </c>
      <c r="H2399">
        <f t="shared" si="89"/>
        <v>2023</v>
      </c>
    </row>
    <row r="2400" spans="5:8" x14ac:dyDescent="0.25">
      <c r="E2400" s="2">
        <v>44964</v>
      </c>
      <c r="F2400">
        <v>60</v>
      </c>
      <c r="G2400">
        <f t="shared" si="88"/>
        <v>2</v>
      </c>
      <c r="H2400">
        <f t="shared" si="89"/>
        <v>2023</v>
      </c>
    </row>
    <row r="2401" spans="5:8" x14ac:dyDescent="0.25">
      <c r="E2401" s="2">
        <v>44965</v>
      </c>
      <c r="F2401">
        <v>60.25</v>
      </c>
      <c r="G2401">
        <f t="shared" si="88"/>
        <v>2</v>
      </c>
      <c r="H2401">
        <f t="shared" si="89"/>
        <v>2023</v>
      </c>
    </row>
    <row r="2402" spans="5:8" x14ac:dyDescent="0.25">
      <c r="E2402" s="2">
        <v>44966</v>
      </c>
      <c r="F2402">
        <v>61</v>
      </c>
      <c r="G2402">
        <f t="shared" si="88"/>
        <v>2</v>
      </c>
      <c r="H2402">
        <f t="shared" si="89"/>
        <v>2023</v>
      </c>
    </row>
    <row r="2403" spans="5:8" x14ac:dyDescent="0.25">
      <c r="E2403" s="2">
        <v>44967</v>
      </c>
      <c r="F2403">
        <v>61</v>
      </c>
      <c r="G2403">
        <f t="shared" si="88"/>
        <v>2</v>
      </c>
      <c r="H2403">
        <f t="shared" si="89"/>
        <v>2023</v>
      </c>
    </row>
    <row r="2404" spans="5:8" x14ac:dyDescent="0.25">
      <c r="E2404" s="2">
        <v>44970</v>
      </c>
      <c r="F2404">
        <v>61.75</v>
      </c>
      <c r="G2404">
        <f t="shared" si="88"/>
        <v>2</v>
      </c>
      <c r="H2404">
        <f t="shared" si="89"/>
        <v>2023</v>
      </c>
    </row>
    <row r="2405" spans="5:8" x14ac:dyDescent="0.25">
      <c r="E2405" s="2">
        <v>44971</v>
      </c>
      <c r="F2405">
        <v>63.25</v>
      </c>
      <c r="G2405">
        <f t="shared" si="88"/>
        <v>2</v>
      </c>
      <c r="H2405">
        <f t="shared" si="89"/>
        <v>2023</v>
      </c>
    </row>
    <row r="2406" spans="5:8" x14ac:dyDescent="0.25">
      <c r="E2406" s="2">
        <v>44972</v>
      </c>
      <c r="F2406">
        <v>64.25</v>
      </c>
      <c r="G2406">
        <f t="shared" si="88"/>
        <v>2</v>
      </c>
      <c r="H2406">
        <f t="shared" si="89"/>
        <v>2023</v>
      </c>
    </row>
    <row r="2407" spans="5:8" x14ac:dyDescent="0.25">
      <c r="E2407" s="2">
        <v>44973</v>
      </c>
      <c r="F2407">
        <v>64.75</v>
      </c>
      <c r="G2407">
        <f t="shared" si="88"/>
        <v>2</v>
      </c>
      <c r="H2407">
        <f t="shared" si="89"/>
        <v>2023</v>
      </c>
    </row>
    <row r="2408" spans="5:8" x14ac:dyDescent="0.25">
      <c r="E2408" s="2">
        <v>44974</v>
      </c>
      <c r="F2408">
        <v>64.25</v>
      </c>
      <c r="G2408">
        <f t="shared" si="88"/>
        <v>2</v>
      </c>
      <c r="H2408">
        <f t="shared" si="89"/>
        <v>2023</v>
      </c>
    </row>
    <row r="2409" spans="5:8" x14ac:dyDescent="0.25">
      <c r="E2409" s="2">
        <v>44978</v>
      </c>
      <c r="F2409">
        <v>66</v>
      </c>
      <c r="G2409">
        <f t="shared" si="88"/>
        <v>2</v>
      </c>
      <c r="H2409">
        <f t="shared" si="89"/>
        <v>2023</v>
      </c>
    </row>
    <row r="2410" spans="5:8" x14ac:dyDescent="0.25">
      <c r="E2410" s="2">
        <v>44979</v>
      </c>
      <c r="F2410">
        <v>73.5</v>
      </c>
      <c r="G2410">
        <f t="shared" si="88"/>
        <v>2</v>
      </c>
      <c r="H2410">
        <f t="shared" si="89"/>
        <v>2023</v>
      </c>
    </row>
    <row r="2411" spans="5:8" x14ac:dyDescent="0.25">
      <c r="E2411" s="2">
        <v>44980</v>
      </c>
      <c r="F2411">
        <v>69</v>
      </c>
      <c r="G2411">
        <f t="shared" si="88"/>
        <v>2</v>
      </c>
      <c r="H2411">
        <f t="shared" si="89"/>
        <v>2023</v>
      </c>
    </row>
    <row r="2412" spans="5:8" x14ac:dyDescent="0.25">
      <c r="E2412" s="2">
        <v>44981</v>
      </c>
      <c r="F2412">
        <v>69</v>
      </c>
      <c r="G2412">
        <f t="shared" si="88"/>
        <v>2</v>
      </c>
      <c r="H2412">
        <f t="shared" si="89"/>
        <v>2023</v>
      </c>
    </row>
    <row r="2413" spans="5:8" x14ac:dyDescent="0.25">
      <c r="E2413" s="2">
        <v>44984</v>
      </c>
      <c r="F2413">
        <v>67.5</v>
      </c>
      <c r="G2413">
        <f t="shared" si="88"/>
        <v>2</v>
      </c>
      <c r="H2413">
        <f t="shared" si="89"/>
        <v>2023</v>
      </c>
    </row>
    <row r="2414" spans="5:8" x14ac:dyDescent="0.25">
      <c r="E2414" s="2">
        <v>44985</v>
      </c>
      <c r="F2414">
        <v>66</v>
      </c>
      <c r="G2414">
        <f t="shared" si="88"/>
        <v>2</v>
      </c>
      <c r="H2414">
        <f t="shared" si="89"/>
        <v>2023</v>
      </c>
    </row>
    <row r="2415" spans="5:8" x14ac:dyDescent="0.25">
      <c r="E2415" s="2">
        <v>44986</v>
      </c>
      <c r="F2415">
        <v>65.25</v>
      </c>
      <c r="G2415">
        <f t="shared" si="88"/>
        <v>3</v>
      </c>
      <c r="H2415">
        <f t="shared" si="89"/>
        <v>2023</v>
      </c>
    </row>
    <row r="2416" spans="5:8" x14ac:dyDescent="0.25">
      <c r="E2416" s="2">
        <v>44987</v>
      </c>
      <c r="F2416">
        <v>65</v>
      </c>
      <c r="G2416">
        <f t="shared" si="88"/>
        <v>3</v>
      </c>
      <c r="H2416">
        <f t="shared" si="89"/>
        <v>2023</v>
      </c>
    </row>
    <row r="2417" spans="5:8" x14ac:dyDescent="0.25">
      <c r="E2417" s="2">
        <v>44988</v>
      </c>
      <c r="F2417">
        <v>66</v>
      </c>
      <c r="G2417">
        <f t="shared" si="88"/>
        <v>3</v>
      </c>
      <c r="H2417">
        <f t="shared" si="89"/>
        <v>2023</v>
      </c>
    </row>
    <row r="2418" spans="5:8" x14ac:dyDescent="0.25">
      <c r="E2418" s="2">
        <v>44991</v>
      </c>
      <c r="F2418">
        <v>65</v>
      </c>
      <c r="G2418">
        <f t="shared" si="88"/>
        <v>3</v>
      </c>
      <c r="H2418">
        <f t="shared" si="89"/>
        <v>2023</v>
      </c>
    </row>
    <row r="2419" spans="5:8" x14ac:dyDescent="0.25">
      <c r="E2419" s="2">
        <v>44992</v>
      </c>
      <c r="F2419">
        <v>65</v>
      </c>
      <c r="G2419">
        <f t="shared" si="88"/>
        <v>3</v>
      </c>
      <c r="H2419">
        <f t="shared" si="89"/>
        <v>2023</v>
      </c>
    </row>
    <row r="2420" spans="5:8" x14ac:dyDescent="0.25">
      <c r="E2420" s="2">
        <v>44993</v>
      </c>
      <c r="F2420">
        <v>65</v>
      </c>
      <c r="G2420">
        <f t="shared" si="88"/>
        <v>3</v>
      </c>
      <c r="H2420">
        <f t="shared" si="89"/>
        <v>2023</v>
      </c>
    </row>
    <row r="2421" spans="5:8" x14ac:dyDescent="0.25">
      <c r="E2421" s="2">
        <v>44994</v>
      </c>
      <c r="F2421">
        <v>67</v>
      </c>
      <c r="G2421">
        <f t="shared" si="88"/>
        <v>3</v>
      </c>
      <c r="H2421">
        <f t="shared" si="89"/>
        <v>2023</v>
      </c>
    </row>
    <row r="2422" spans="5:8" x14ac:dyDescent="0.25">
      <c r="E2422" s="2">
        <v>44995</v>
      </c>
      <c r="F2422">
        <v>68.75</v>
      </c>
      <c r="G2422">
        <f t="shared" si="88"/>
        <v>3</v>
      </c>
      <c r="H2422">
        <f t="shared" si="89"/>
        <v>2023</v>
      </c>
    </row>
    <row r="2423" spans="5:8" x14ac:dyDescent="0.25">
      <c r="E2423" s="2">
        <v>44998</v>
      </c>
      <c r="F2423">
        <v>70.25</v>
      </c>
      <c r="G2423">
        <f t="shared" si="88"/>
        <v>3</v>
      </c>
      <c r="H2423">
        <f t="shared" si="89"/>
        <v>2023</v>
      </c>
    </row>
    <row r="2424" spans="5:8" x14ac:dyDescent="0.25">
      <c r="E2424" s="2">
        <v>44999</v>
      </c>
      <c r="F2424">
        <v>70.5</v>
      </c>
      <c r="G2424">
        <f t="shared" si="88"/>
        <v>3</v>
      </c>
      <c r="H2424">
        <f t="shared" si="89"/>
        <v>2023</v>
      </c>
    </row>
    <row r="2425" spans="5:8" x14ac:dyDescent="0.25">
      <c r="E2425" s="2">
        <v>45000</v>
      </c>
      <c r="F2425">
        <v>70.5</v>
      </c>
      <c r="G2425">
        <f t="shared" si="88"/>
        <v>3</v>
      </c>
      <c r="H2425">
        <f t="shared" si="89"/>
        <v>2023</v>
      </c>
    </row>
    <row r="2426" spans="5:8" x14ac:dyDescent="0.25">
      <c r="E2426" s="2">
        <v>45001</v>
      </c>
      <c r="F2426">
        <v>70.5</v>
      </c>
      <c r="G2426">
        <f t="shared" si="88"/>
        <v>3</v>
      </c>
      <c r="H2426">
        <f t="shared" si="89"/>
        <v>2023</v>
      </c>
    </row>
    <row r="2427" spans="5:8" x14ac:dyDescent="0.25">
      <c r="E2427" s="2">
        <v>45002</v>
      </c>
      <c r="F2427">
        <v>70.5</v>
      </c>
      <c r="G2427">
        <f t="shared" si="88"/>
        <v>3</v>
      </c>
      <c r="H2427">
        <f t="shared" si="89"/>
        <v>2023</v>
      </c>
    </row>
    <row r="2428" spans="5:8" x14ac:dyDescent="0.25">
      <c r="E2428" s="2">
        <v>45005</v>
      </c>
      <c r="F2428">
        <v>69</v>
      </c>
      <c r="G2428">
        <f t="shared" si="88"/>
        <v>3</v>
      </c>
      <c r="H2428">
        <f t="shared" si="89"/>
        <v>2023</v>
      </c>
    </row>
    <row r="2429" spans="5:8" x14ac:dyDescent="0.25">
      <c r="E2429" s="2">
        <v>45006</v>
      </c>
      <c r="F2429">
        <v>69.5</v>
      </c>
      <c r="G2429">
        <f t="shared" si="88"/>
        <v>3</v>
      </c>
      <c r="H2429">
        <f t="shared" si="89"/>
        <v>2023</v>
      </c>
    </row>
    <row r="2430" spans="5:8" x14ac:dyDescent="0.25">
      <c r="E2430" s="2">
        <v>45007</v>
      </c>
      <c r="F2430">
        <v>69.5</v>
      </c>
      <c r="G2430">
        <f t="shared" si="88"/>
        <v>3</v>
      </c>
      <c r="H2430">
        <f t="shared" si="89"/>
        <v>2023</v>
      </c>
    </row>
    <row r="2431" spans="5:8" x14ac:dyDescent="0.25">
      <c r="E2431" s="2">
        <v>45008</v>
      </c>
      <c r="F2431">
        <v>69.5</v>
      </c>
      <c r="G2431">
        <f t="shared" si="88"/>
        <v>3</v>
      </c>
      <c r="H2431">
        <f t="shared" si="89"/>
        <v>2023</v>
      </c>
    </row>
    <row r="2432" spans="5:8" x14ac:dyDescent="0.25">
      <c r="E2432" s="2">
        <v>45009</v>
      </c>
      <c r="F2432">
        <v>69.5</v>
      </c>
      <c r="G2432">
        <f t="shared" si="88"/>
        <v>3</v>
      </c>
      <c r="H2432">
        <f t="shared" si="89"/>
        <v>2023</v>
      </c>
    </row>
    <row r="2433" spans="5:8" x14ac:dyDescent="0.25">
      <c r="E2433" s="2">
        <v>45012</v>
      </c>
      <c r="F2433">
        <v>69</v>
      </c>
      <c r="G2433">
        <f t="shared" si="88"/>
        <v>3</v>
      </c>
      <c r="H2433">
        <f t="shared" si="89"/>
        <v>2023</v>
      </c>
    </row>
    <row r="2434" spans="5:8" x14ac:dyDescent="0.25">
      <c r="E2434" s="2">
        <v>45013</v>
      </c>
      <c r="F2434">
        <v>69</v>
      </c>
      <c r="G2434">
        <f t="shared" si="88"/>
        <v>3</v>
      </c>
      <c r="H2434">
        <f t="shared" si="89"/>
        <v>2023</v>
      </c>
    </row>
    <row r="2435" spans="5:8" x14ac:dyDescent="0.25">
      <c r="E2435" s="2">
        <v>45014</v>
      </c>
      <c r="F2435">
        <v>69</v>
      </c>
      <c r="G2435">
        <f t="shared" si="88"/>
        <v>3</v>
      </c>
      <c r="H2435">
        <f t="shared" si="89"/>
        <v>2023</v>
      </c>
    </row>
    <row r="2436" spans="5:8" x14ac:dyDescent="0.25">
      <c r="E2436" s="2">
        <v>45015</v>
      </c>
      <c r="F2436">
        <v>69</v>
      </c>
      <c r="G2436">
        <f t="shared" si="88"/>
        <v>3</v>
      </c>
      <c r="H2436">
        <f t="shared" si="89"/>
        <v>2023</v>
      </c>
    </row>
    <row r="2437" spans="5:8" x14ac:dyDescent="0.25">
      <c r="E2437" s="2">
        <v>45016</v>
      </c>
      <c r="F2437">
        <v>69</v>
      </c>
      <c r="G2437">
        <f t="shared" ref="G2437:G2500" si="90">MONTH(E2437)</f>
        <v>3</v>
      </c>
      <c r="H2437">
        <f t="shared" ref="H2437:H2500" si="91">YEAR(E2437)</f>
        <v>2023</v>
      </c>
    </row>
    <row r="2438" spans="5:8" x14ac:dyDescent="0.25">
      <c r="E2438" s="2">
        <v>45019</v>
      </c>
      <c r="F2438">
        <v>72</v>
      </c>
      <c r="G2438">
        <f t="shared" si="90"/>
        <v>4</v>
      </c>
      <c r="H2438">
        <f t="shared" si="91"/>
        <v>2023</v>
      </c>
    </row>
    <row r="2439" spans="5:8" x14ac:dyDescent="0.25">
      <c r="E2439" s="2">
        <v>45020</v>
      </c>
      <c r="F2439">
        <v>72.5</v>
      </c>
      <c r="G2439">
        <f t="shared" si="90"/>
        <v>4</v>
      </c>
      <c r="H2439">
        <f t="shared" si="91"/>
        <v>2023</v>
      </c>
    </row>
    <row r="2440" spans="5:8" x14ac:dyDescent="0.25">
      <c r="E2440" s="2">
        <v>45021</v>
      </c>
      <c r="F2440">
        <v>72.5</v>
      </c>
      <c r="G2440">
        <f t="shared" si="90"/>
        <v>4</v>
      </c>
      <c r="H2440">
        <f t="shared" si="91"/>
        <v>2023</v>
      </c>
    </row>
    <row r="2441" spans="5:8" x14ac:dyDescent="0.25">
      <c r="E2441" s="2">
        <v>45022</v>
      </c>
      <c r="F2441">
        <v>72</v>
      </c>
      <c r="G2441">
        <f t="shared" si="90"/>
        <v>4</v>
      </c>
      <c r="H2441">
        <f t="shared" si="91"/>
        <v>2023</v>
      </c>
    </row>
    <row r="2442" spans="5:8" x14ac:dyDescent="0.25">
      <c r="E2442" s="2">
        <v>45026</v>
      </c>
      <c r="F2442">
        <v>72.25</v>
      </c>
      <c r="G2442">
        <f t="shared" si="90"/>
        <v>4</v>
      </c>
      <c r="H2442">
        <f t="shared" si="91"/>
        <v>2023</v>
      </c>
    </row>
    <row r="2443" spans="5:8" x14ac:dyDescent="0.25">
      <c r="E2443" s="2">
        <v>45027</v>
      </c>
      <c r="F2443">
        <v>75</v>
      </c>
      <c r="G2443">
        <f t="shared" si="90"/>
        <v>4</v>
      </c>
      <c r="H2443">
        <f t="shared" si="91"/>
        <v>2023</v>
      </c>
    </row>
    <row r="2444" spans="5:8" x14ac:dyDescent="0.25">
      <c r="E2444" s="2">
        <v>45028</v>
      </c>
      <c r="F2444">
        <v>75.75</v>
      </c>
      <c r="G2444">
        <f t="shared" si="90"/>
        <v>4</v>
      </c>
      <c r="H2444">
        <f t="shared" si="91"/>
        <v>2023</v>
      </c>
    </row>
    <row r="2445" spans="5:8" x14ac:dyDescent="0.25">
      <c r="E2445" s="2">
        <v>45029</v>
      </c>
      <c r="F2445">
        <v>78.5</v>
      </c>
      <c r="G2445">
        <f t="shared" si="90"/>
        <v>4</v>
      </c>
      <c r="H2445">
        <f t="shared" si="91"/>
        <v>2023</v>
      </c>
    </row>
    <row r="2446" spans="5:8" x14ac:dyDescent="0.25">
      <c r="E2446" s="2">
        <v>45030</v>
      </c>
      <c r="F2446">
        <v>80</v>
      </c>
      <c r="G2446">
        <f t="shared" si="90"/>
        <v>4</v>
      </c>
      <c r="H2446">
        <f t="shared" si="91"/>
        <v>2023</v>
      </c>
    </row>
    <row r="2447" spans="5:8" x14ac:dyDescent="0.25">
      <c r="E2447" s="2">
        <v>45033</v>
      </c>
      <c r="F2447">
        <v>80</v>
      </c>
      <c r="G2447">
        <f t="shared" si="90"/>
        <v>4</v>
      </c>
      <c r="H2447">
        <f t="shared" si="91"/>
        <v>2023</v>
      </c>
    </row>
    <row r="2448" spans="5:8" x14ac:dyDescent="0.25">
      <c r="E2448" s="2">
        <v>45034</v>
      </c>
      <c r="F2448">
        <v>82.5</v>
      </c>
      <c r="G2448">
        <f t="shared" si="90"/>
        <v>4</v>
      </c>
      <c r="H2448">
        <f t="shared" si="91"/>
        <v>2023</v>
      </c>
    </row>
    <row r="2449" spans="5:8" x14ac:dyDescent="0.25">
      <c r="E2449" s="2">
        <v>45035</v>
      </c>
      <c r="F2449">
        <v>83</v>
      </c>
      <c r="G2449">
        <f t="shared" si="90"/>
        <v>4</v>
      </c>
      <c r="H2449">
        <f t="shared" si="91"/>
        <v>2023</v>
      </c>
    </row>
    <row r="2450" spans="5:8" x14ac:dyDescent="0.25">
      <c r="E2450" s="2">
        <v>45036</v>
      </c>
      <c r="F2450">
        <v>85.5</v>
      </c>
      <c r="G2450">
        <f t="shared" si="90"/>
        <v>4</v>
      </c>
      <c r="H2450">
        <f t="shared" si="91"/>
        <v>2023</v>
      </c>
    </row>
    <row r="2451" spans="5:8" x14ac:dyDescent="0.25">
      <c r="E2451" s="2">
        <v>45037</v>
      </c>
      <c r="F2451">
        <v>84.5</v>
      </c>
      <c r="G2451">
        <f t="shared" si="90"/>
        <v>4</v>
      </c>
      <c r="H2451">
        <f t="shared" si="91"/>
        <v>2023</v>
      </c>
    </row>
    <row r="2452" spans="5:8" x14ac:dyDescent="0.25">
      <c r="E2452" s="2">
        <v>45040</v>
      </c>
      <c r="F2452">
        <v>81.5</v>
      </c>
      <c r="G2452">
        <f t="shared" si="90"/>
        <v>4</v>
      </c>
      <c r="H2452">
        <f t="shared" si="91"/>
        <v>2023</v>
      </c>
    </row>
    <row r="2453" spans="5:8" x14ac:dyDescent="0.25">
      <c r="E2453" s="2">
        <v>45041</v>
      </c>
      <c r="F2453">
        <v>79.25</v>
      </c>
      <c r="G2453">
        <f t="shared" si="90"/>
        <v>4</v>
      </c>
      <c r="H2453">
        <f t="shared" si="91"/>
        <v>2023</v>
      </c>
    </row>
    <row r="2454" spans="5:8" x14ac:dyDescent="0.25">
      <c r="E2454" s="2">
        <v>45042</v>
      </c>
      <c r="F2454">
        <v>78.5</v>
      </c>
      <c r="G2454">
        <f t="shared" si="90"/>
        <v>4</v>
      </c>
      <c r="H2454">
        <f t="shared" si="91"/>
        <v>2023</v>
      </c>
    </row>
    <row r="2455" spans="5:8" x14ac:dyDescent="0.25">
      <c r="E2455" s="2">
        <v>45043</v>
      </c>
      <c r="F2455">
        <v>78.5</v>
      </c>
      <c r="G2455">
        <f t="shared" si="90"/>
        <v>4</v>
      </c>
      <c r="H2455">
        <f t="shared" si="91"/>
        <v>2023</v>
      </c>
    </row>
    <row r="2456" spans="5:8" x14ac:dyDescent="0.25">
      <c r="E2456" s="2">
        <v>45044</v>
      </c>
      <c r="F2456">
        <v>78.5</v>
      </c>
      <c r="G2456">
        <f t="shared" si="90"/>
        <v>4</v>
      </c>
      <c r="H2456">
        <f t="shared" si="91"/>
        <v>2023</v>
      </c>
    </row>
    <row r="2457" spans="5:8" x14ac:dyDescent="0.25">
      <c r="E2457" s="2">
        <v>45047</v>
      </c>
      <c r="F2457">
        <v>81.5</v>
      </c>
      <c r="G2457">
        <f t="shared" si="90"/>
        <v>5</v>
      </c>
      <c r="H2457">
        <f t="shared" si="91"/>
        <v>2023</v>
      </c>
    </row>
    <row r="2458" spans="5:8" x14ac:dyDescent="0.25">
      <c r="E2458" s="2">
        <v>45048</v>
      </c>
      <c r="F2458">
        <v>83.5</v>
      </c>
      <c r="G2458">
        <f t="shared" si="90"/>
        <v>5</v>
      </c>
      <c r="H2458">
        <f t="shared" si="91"/>
        <v>2023</v>
      </c>
    </row>
    <row r="2459" spans="5:8" x14ac:dyDescent="0.25">
      <c r="E2459" s="2">
        <v>45049</v>
      </c>
      <c r="F2459">
        <v>85.5</v>
      </c>
      <c r="G2459">
        <f t="shared" si="90"/>
        <v>5</v>
      </c>
      <c r="H2459">
        <f t="shared" si="91"/>
        <v>2023</v>
      </c>
    </row>
    <row r="2460" spans="5:8" x14ac:dyDescent="0.25">
      <c r="E2460" s="2">
        <v>45050</v>
      </c>
      <c r="F2460">
        <v>85.5</v>
      </c>
      <c r="G2460">
        <f t="shared" si="90"/>
        <v>5</v>
      </c>
      <c r="H2460">
        <f t="shared" si="91"/>
        <v>2023</v>
      </c>
    </row>
    <row r="2461" spans="5:8" x14ac:dyDescent="0.25">
      <c r="E2461" s="2">
        <v>45051</v>
      </c>
      <c r="F2461">
        <v>85.5</v>
      </c>
      <c r="G2461">
        <f t="shared" si="90"/>
        <v>5</v>
      </c>
      <c r="H2461">
        <f t="shared" si="91"/>
        <v>2023</v>
      </c>
    </row>
    <row r="2462" spans="5:8" x14ac:dyDescent="0.25">
      <c r="E2462" s="2">
        <v>45054</v>
      </c>
      <c r="F2462">
        <v>85</v>
      </c>
      <c r="G2462">
        <f t="shared" si="90"/>
        <v>5</v>
      </c>
      <c r="H2462">
        <f t="shared" si="91"/>
        <v>2023</v>
      </c>
    </row>
    <row r="2463" spans="5:8" x14ac:dyDescent="0.25">
      <c r="E2463" s="2">
        <v>45055</v>
      </c>
      <c r="F2463">
        <v>85.75</v>
      </c>
      <c r="G2463">
        <f t="shared" si="90"/>
        <v>5</v>
      </c>
      <c r="H2463">
        <f t="shared" si="91"/>
        <v>2023</v>
      </c>
    </row>
    <row r="2464" spans="5:8" x14ac:dyDescent="0.25">
      <c r="E2464" s="2">
        <v>45056</v>
      </c>
      <c r="F2464">
        <v>84.5</v>
      </c>
      <c r="G2464">
        <f t="shared" si="90"/>
        <v>5</v>
      </c>
      <c r="H2464">
        <f t="shared" si="91"/>
        <v>2023</v>
      </c>
    </row>
    <row r="2465" spans="5:8" x14ac:dyDescent="0.25">
      <c r="E2465" s="2">
        <v>45057</v>
      </c>
      <c r="F2465">
        <v>84</v>
      </c>
      <c r="G2465">
        <f t="shared" si="90"/>
        <v>5</v>
      </c>
      <c r="H2465">
        <f t="shared" si="91"/>
        <v>2023</v>
      </c>
    </row>
    <row r="2466" spans="5:8" x14ac:dyDescent="0.25">
      <c r="E2466" s="2">
        <v>45058</v>
      </c>
      <c r="F2466">
        <v>84</v>
      </c>
      <c r="G2466">
        <f t="shared" si="90"/>
        <v>5</v>
      </c>
      <c r="H2466">
        <f t="shared" si="91"/>
        <v>2023</v>
      </c>
    </row>
    <row r="2467" spans="5:8" x14ac:dyDescent="0.25">
      <c r="E2467" s="2">
        <v>45061</v>
      </c>
      <c r="F2467">
        <v>83.25</v>
      </c>
      <c r="G2467">
        <f t="shared" si="90"/>
        <v>5</v>
      </c>
      <c r="H2467">
        <f t="shared" si="91"/>
        <v>2023</v>
      </c>
    </row>
    <row r="2468" spans="5:8" x14ac:dyDescent="0.25">
      <c r="E2468" s="2">
        <v>45062</v>
      </c>
      <c r="F2468">
        <v>83.25</v>
      </c>
      <c r="G2468">
        <f t="shared" si="90"/>
        <v>5</v>
      </c>
      <c r="H2468">
        <f t="shared" si="91"/>
        <v>2023</v>
      </c>
    </row>
    <row r="2469" spans="5:8" x14ac:dyDescent="0.25">
      <c r="E2469" s="2">
        <v>45063</v>
      </c>
      <c r="F2469">
        <v>83.25</v>
      </c>
      <c r="G2469">
        <f t="shared" si="90"/>
        <v>5</v>
      </c>
      <c r="H2469">
        <f t="shared" si="91"/>
        <v>2023</v>
      </c>
    </row>
    <row r="2470" spans="5:8" x14ac:dyDescent="0.25">
      <c r="E2470" s="2">
        <v>45064</v>
      </c>
      <c r="F2470">
        <v>82.25</v>
      </c>
      <c r="G2470">
        <f t="shared" si="90"/>
        <v>5</v>
      </c>
      <c r="H2470">
        <f t="shared" si="91"/>
        <v>2023</v>
      </c>
    </row>
    <row r="2471" spans="5:8" x14ac:dyDescent="0.25">
      <c r="E2471" s="2">
        <v>45065</v>
      </c>
      <c r="F2471">
        <v>83</v>
      </c>
      <c r="G2471">
        <f t="shared" si="90"/>
        <v>5</v>
      </c>
      <c r="H2471">
        <f t="shared" si="91"/>
        <v>2023</v>
      </c>
    </row>
    <row r="2472" spans="5:8" x14ac:dyDescent="0.25">
      <c r="E2472" s="2">
        <v>45068</v>
      </c>
      <c r="F2472">
        <v>85.5</v>
      </c>
      <c r="G2472">
        <f t="shared" si="90"/>
        <v>5</v>
      </c>
      <c r="H2472">
        <f t="shared" si="91"/>
        <v>2023</v>
      </c>
    </row>
    <row r="2473" spans="5:8" x14ac:dyDescent="0.25">
      <c r="E2473" s="2">
        <v>45069</v>
      </c>
      <c r="F2473">
        <v>85.5</v>
      </c>
      <c r="G2473">
        <f t="shared" si="90"/>
        <v>5</v>
      </c>
      <c r="H2473">
        <f t="shared" si="91"/>
        <v>2023</v>
      </c>
    </row>
    <row r="2474" spans="5:8" x14ac:dyDescent="0.25">
      <c r="E2474" s="2">
        <v>45070</v>
      </c>
      <c r="F2474">
        <v>85.5</v>
      </c>
      <c r="G2474">
        <f t="shared" si="90"/>
        <v>5</v>
      </c>
      <c r="H2474">
        <f t="shared" si="91"/>
        <v>2023</v>
      </c>
    </row>
    <row r="2475" spans="5:8" x14ac:dyDescent="0.25">
      <c r="E2475" s="2">
        <v>45071</v>
      </c>
      <c r="F2475">
        <v>85.5</v>
      </c>
      <c r="G2475">
        <f t="shared" si="90"/>
        <v>5</v>
      </c>
      <c r="H2475">
        <f t="shared" si="91"/>
        <v>2023</v>
      </c>
    </row>
    <row r="2476" spans="5:8" x14ac:dyDescent="0.25">
      <c r="E2476" s="2">
        <v>45072</v>
      </c>
      <c r="F2476">
        <v>85.5</v>
      </c>
      <c r="G2476">
        <f t="shared" si="90"/>
        <v>5</v>
      </c>
      <c r="H2476">
        <f t="shared" si="91"/>
        <v>2023</v>
      </c>
    </row>
    <row r="2477" spans="5:8" x14ac:dyDescent="0.25">
      <c r="E2477" s="2">
        <v>45076</v>
      </c>
      <c r="F2477">
        <v>85.5</v>
      </c>
      <c r="G2477">
        <f t="shared" si="90"/>
        <v>5</v>
      </c>
      <c r="H2477">
        <f t="shared" si="91"/>
        <v>2023</v>
      </c>
    </row>
    <row r="2478" spans="5:8" x14ac:dyDescent="0.25">
      <c r="E2478" s="2">
        <v>45077</v>
      </c>
      <c r="F2478">
        <v>85.5</v>
      </c>
      <c r="G2478">
        <f t="shared" si="90"/>
        <v>5</v>
      </c>
      <c r="H2478">
        <f t="shared" si="91"/>
        <v>2023</v>
      </c>
    </row>
    <row r="2479" spans="5:8" x14ac:dyDescent="0.25">
      <c r="E2479" s="2">
        <v>45078</v>
      </c>
      <c r="F2479">
        <v>84.5</v>
      </c>
      <c r="G2479">
        <f t="shared" si="90"/>
        <v>6</v>
      </c>
      <c r="H2479">
        <f t="shared" si="91"/>
        <v>2023</v>
      </c>
    </row>
    <row r="2480" spans="5:8" x14ac:dyDescent="0.25">
      <c r="E2480" s="2">
        <v>45079</v>
      </c>
      <c r="F2480">
        <v>84.5</v>
      </c>
      <c r="G2480">
        <f t="shared" si="90"/>
        <v>6</v>
      </c>
      <c r="H2480">
        <f t="shared" si="91"/>
        <v>2023</v>
      </c>
    </row>
    <row r="2481" spans="5:8" x14ac:dyDescent="0.25">
      <c r="E2481" s="2">
        <v>45082</v>
      </c>
      <c r="F2481">
        <v>81</v>
      </c>
      <c r="G2481">
        <f t="shared" si="90"/>
        <v>6</v>
      </c>
      <c r="H2481">
        <f t="shared" si="91"/>
        <v>2023</v>
      </c>
    </row>
    <row r="2482" spans="5:8" x14ac:dyDescent="0.25">
      <c r="E2482" s="2">
        <v>45083</v>
      </c>
      <c r="F2482">
        <v>81.5</v>
      </c>
      <c r="G2482">
        <f t="shared" si="90"/>
        <v>6</v>
      </c>
      <c r="H2482">
        <f t="shared" si="91"/>
        <v>2023</v>
      </c>
    </row>
    <row r="2483" spans="5:8" x14ac:dyDescent="0.25">
      <c r="E2483" s="2">
        <v>45084</v>
      </c>
      <c r="F2483">
        <v>82</v>
      </c>
      <c r="G2483">
        <f t="shared" si="90"/>
        <v>6</v>
      </c>
      <c r="H2483">
        <f t="shared" si="91"/>
        <v>2023</v>
      </c>
    </row>
    <row r="2484" spans="5:8" x14ac:dyDescent="0.25">
      <c r="E2484" s="2">
        <v>45085</v>
      </c>
      <c r="F2484">
        <v>82.75</v>
      </c>
      <c r="G2484">
        <f t="shared" si="90"/>
        <v>6</v>
      </c>
      <c r="H2484">
        <f t="shared" si="91"/>
        <v>2023</v>
      </c>
    </row>
    <row r="2485" spans="5:8" x14ac:dyDescent="0.25">
      <c r="E2485" s="2">
        <v>45086</v>
      </c>
      <c r="F2485">
        <v>83.5</v>
      </c>
      <c r="G2485">
        <f t="shared" si="90"/>
        <v>6</v>
      </c>
      <c r="H2485">
        <f t="shared" si="91"/>
        <v>2023</v>
      </c>
    </row>
    <row r="2486" spans="5:8" x14ac:dyDescent="0.25">
      <c r="E2486" s="2">
        <v>45089</v>
      </c>
      <c r="F2486">
        <v>84</v>
      </c>
      <c r="G2486">
        <f t="shared" si="90"/>
        <v>6</v>
      </c>
      <c r="H2486">
        <f t="shared" si="91"/>
        <v>2023</v>
      </c>
    </row>
    <row r="2487" spans="5:8" x14ac:dyDescent="0.25">
      <c r="E2487" s="2">
        <v>45090</v>
      </c>
      <c r="F2487">
        <v>84</v>
      </c>
      <c r="G2487">
        <f t="shared" si="90"/>
        <v>6</v>
      </c>
      <c r="H2487">
        <f t="shared" si="91"/>
        <v>2023</v>
      </c>
    </row>
    <row r="2488" spans="5:8" x14ac:dyDescent="0.25">
      <c r="E2488" s="2">
        <v>45091</v>
      </c>
      <c r="F2488">
        <v>84</v>
      </c>
      <c r="G2488">
        <f t="shared" si="90"/>
        <v>6</v>
      </c>
      <c r="H2488">
        <f t="shared" si="91"/>
        <v>2023</v>
      </c>
    </row>
    <row r="2489" spans="5:8" x14ac:dyDescent="0.25">
      <c r="E2489" s="2">
        <v>45092</v>
      </c>
      <c r="F2489">
        <v>84</v>
      </c>
      <c r="G2489">
        <f t="shared" si="90"/>
        <v>6</v>
      </c>
      <c r="H2489">
        <f t="shared" si="91"/>
        <v>2023</v>
      </c>
    </row>
    <row r="2490" spans="5:8" x14ac:dyDescent="0.25">
      <c r="E2490" s="2">
        <v>45093</v>
      </c>
      <c r="F2490">
        <v>79</v>
      </c>
      <c r="G2490">
        <f t="shared" si="90"/>
        <v>6</v>
      </c>
      <c r="H2490">
        <f t="shared" si="91"/>
        <v>2023</v>
      </c>
    </row>
    <row r="2491" spans="5:8" x14ac:dyDescent="0.25">
      <c r="E2491" s="2">
        <v>45097</v>
      </c>
      <c r="F2491">
        <v>78.25</v>
      </c>
      <c r="G2491">
        <f t="shared" si="90"/>
        <v>6</v>
      </c>
      <c r="H2491">
        <f t="shared" si="91"/>
        <v>2023</v>
      </c>
    </row>
    <row r="2492" spans="5:8" x14ac:dyDescent="0.25">
      <c r="E2492" s="2">
        <v>45098</v>
      </c>
      <c r="F2492">
        <v>77</v>
      </c>
      <c r="G2492">
        <f t="shared" si="90"/>
        <v>6</v>
      </c>
      <c r="H2492">
        <f t="shared" si="91"/>
        <v>2023</v>
      </c>
    </row>
    <row r="2493" spans="5:8" x14ac:dyDescent="0.25">
      <c r="E2493" s="2">
        <v>45099</v>
      </c>
      <c r="F2493">
        <v>77</v>
      </c>
      <c r="G2493">
        <f t="shared" si="90"/>
        <v>6</v>
      </c>
      <c r="H2493">
        <f t="shared" si="91"/>
        <v>2023</v>
      </c>
    </row>
    <row r="2494" spans="5:8" x14ac:dyDescent="0.25">
      <c r="E2494" s="2">
        <v>45100</v>
      </c>
      <c r="F2494">
        <v>77</v>
      </c>
      <c r="G2494">
        <f t="shared" si="90"/>
        <v>6</v>
      </c>
      <c r="H2494">
        <f t="shared" si="91"/>
        <v>2023</v>
      </c>
    </row>
    <row r="2495" spans="5:8" x14ac:dyDescent="0.25">
      <c r="E2495" s="2">
        <v>45103</v>
      </c>
      <c r="F2495">
        <v>77</v>
      </c>
      <c r="G2495">
        <f t="shared" si="90"/>
        <v>6</v>
      </c>
      <c r="H2495">
        <f t="shared" si="91"/>
        <v>2023</v>
      </c>
    </row>
    <row r="2496" spans="5:8" x14ac:dyDescent="0.25">
      <c r="E2496" s="2">
        <v>45104</v>
      </c>
      <c r="F2496">
        <v>77</v>
      </c>
      <c r="G2496">
        <f t="shared" si="90"/>
        <v>6</v>
      </c>
      <c r="H2496">
        <f t="shared" si="91"/>
        <v>2023</v>
      </c>
    </row>
    <row r="2497" spans="5:8" x14ac:dyDescent="0.25">
      <c r="E2497" s="2">
        <v>45105</v>
      </c>
      <c r="F2497">
        <v>77</v>
      </c>
      <c r="G2497">
        <f t="shared" si="90"/>
        <v>6</v>
      </c>
      <c r="H2497">
        <f t="shared" si="91"/>
        <v>2023</v>
      </c>
    </row>
    <row r="2498" spans="5:8" x14ac:dyDescent="0.25">
      <c r="E2498" s="2">
        <v>45106</v>
      </c>
      <c r="F2498">
        <v>77</v>
      </c>
      <c r="G2498">
        <f t="shared" si="90"/>
        <v>6</v>
      </c>
      <c r="H2498">
        <f t="shared" si="91"/>
        <v>2023</v>
      </c>
    </row>
    <row r="2499" spans="5:8" x14ac:dyDescent="0.25">
      <c r="E2499" s="2">
        <v>45107</v>
      </c>
      <c r="F2499">
        <v>77</v>
      </c>
      <c r="G2499">
        <f t="shared" si="90"/>
        <v>6</v>
      </c>
      <c r="H2499">
        <f t="shared" si="91"/>
        <v>2023</v>
      </c>
    </row>
    <row r="2500" spans="5:8" x14ac:dyDescent="0.25">
      <c r="E2500" s="2">
        <v>45110</v>
      </c>
      <c r="F2500">
        <v>75</v>
      </c>
      <c r="G2500">
        <f t="shared" si="90"/>
        <v>7</v>
      </c>
      <c r="H2500">
        <f t="shared" si="91"/>
        <v>2023</v>
      </c>
    </row>
    <row r="2501" spans="5:8" x14ac:dyDescent="0.25">
      <c r="E2501" s="2">
        <v>45112</v>
      </c>
      <c r="F2501">
        <v>74.5</v>
      </c>
      <c r="G2501">
        <f t="shared" ref="G2501:G2564" si="92">MONTH(E2501)</f>
        <v>7</v>
      </c>
      <c r="H2501">
        <f t="shared" ref="H2501:H2564" si="93">YEAR(E2501)</f>
        <v>2023</v>
      </c>
    </row>
    <row r="2502" spans="5:8" x14ac:dyDescent="0.25">
      <c r="E2502" s="2">
        <v>45113</v>
      </c>
      <c r="F2502">
        <v>74.5</v>
      </c>
      <c r="G2502">
        <f t="shared" si="92"/>
        <v>7</v>
      </c>
      <c r="H2502">
        <f t="shared" si="93"/>
        <v>2023</v>
      </c>
    </row>
    <row r="2503" spans="5:8" x14ac:dyDescent="0.25">
      <c r="E2503" s="2">
        <v>45114</v>
      </c>
      <c r="F2503">
        <v>74</v>
      </c>
      <c r="G2503">
        <f t="shared" si="92"/>
        <v>7</v>
      </c>
      <c r="H2503">
        <f t="shared" si="93"/>
        <v>2023</v>
      </c>
    </row>
    <row r="2504" spans="5:8" x14ac:dyDescent="0.25">
      <c r="E2504" s="2">
        <v>45117</v>
      </c>
      <c r="F2504">
        <v>73.5</v>
      </c>
      <c r="G2504">
        <f t="shared" si="92"/>
        <v>7</v>
      </c>
      <c r="H2504">
        <f t="shared" si="93"/>
        <v>2023</v>
      </c>
    </row>
    <row r="2505" spans="5:8" x14ac:dyDescent="0.25">
      <c r="E2505" s="2">
        <v>45118</v>
      </c>
      <c r="F2505">
        <v>73.25</v>
      </c>
      <c r="G2505">
        <f t="shared" si="92"/>
        <v>7</v>
      </c>
      <c r="H2505">
        <f t="shared" si="93"/>
        <v>2023</v>
      </c>
    </row>
    <row r="2506" spans="5:8" x14ac:dyDescent="0.25">
      <c r="E2506" s="2">
        <v>45119</v>
      </c>
      <c r="F2506">
        <v>71</v>
      </c>
      <c r="G2506">
        <f t="shared" si="92"/>
        <v>7</v>
      </c>
      <c r="H2506">
        <f t="shared" si="93"/>
        <v>2023</v>
      </c>
    </row>
    <row r="2507" spans="5:8" x14ac:dyDescent="0.25">
      <c r="E2507" s="2">
        <v>45120</v>
      </c>
      <c r="F2507">
        <v>71.5</v>
      </c>
      <c r="G2507">
        <f t="shared" si="92"/>
        <v>7</v>
      </c>
      <c r="H2507">
        <f t="shared" si="93"/>
        <v>2023</v>
      </c>
    </row>
    <row r="2508" spans="5:8" x14ac:dyDescent="0.25">
      <c r="E2508" s="2">
        <v>45121</v>
      </c>
      <c r="F2508">
        <v>71.5</v>
      </c>
      <c r="G2508">
        <f t="shared" si="92"/>
        <v>7</v>
      </c>
      <c r="H2508">
        <f t="shared" si="93"/>
        <v>2023</v>
      </c>
    </row>
    <row r="2509" spans="5:8" x14ac:dyDescent="0.25">
      <c r="E2509" s="2">
        <v>45124</v>
      </c>
      <c r="F2509">
        <v>72.5</v>
      </c>
      <c r="G2509">
        <f t="shared" si="92"/>
        <v>7</v>
      </c>
      <c r="H2509">
        <f t="shared" si="93"/>
        <v>2023</v>
      </c>
    </row>
    <row r="2510" spans="5:8" x14ac:dyDescent="0.25">
      <c r="E2510" s="2">
        <v>45125</v>
      </c>
      <c r="F2510">
        <v>72.5</v>
      </c>
      <c r="G2510">
        <f t="shared" si="92"/>
        <v>7</v>
      </c>
      <c r="H2510">
        <f t="shared" si="93"/>
        <v>2023</v>
      </c>
    </row>
    <row r="2511" spans="5:8" x14ac:dyDescent="0.25">
      <c r="E2511" s="2">
        <v>45126</v>
      </c>
      <c r="F2511">
        <v>72.5</v>
      </c>
      <c r="G2511">
        <f t="shared" si="92"/>
        <v>7</v>
      </c>
      <c r="H2511">
        <f t="shared" si="93"/>
        <v>2023</v>
      </c>
    </row>
    <row r="2512" spans="5:8" x14ac:dyDescent="0.25">
      <c r="E2512" s="2">
        <v>45127</v>
      </c>
      <c r="F2512">
        <v>73.5</v>
      </c>
      <c r="G2512">
        <f t="shared" si="92"/>
        <v>7</v>
      </c>
      <c r="H2512">
        <f t="shared" si="93"/>
        <v>2023</v>
      </c>
    </row>
    <row r="2513" spans="5:8" x14ac:dyDescent="0.25">
      <c r="E2513" s="2">
        <v>45128</v>
      </c>
      <c r="F2513">
        <v>73.5</v>
      </c>
      <c r="G2513">
        <f t="shared" si="92"/>
        <v>7</v>
      </c>
      <c r="H2513">
        <f t="shared" si="93"/>
        <v>2023</v>
      </c>
    </row>
    <row r="2514" spans="5:8" x14ac:dyDescent="0.25">
      <c r="E2514" s="2">
        <v>45131</v>
      </c>
      <c r="F2514">
        <v>73.5</v>
      </c>
      <c r="G2514">
        <f t="shared" si="92"/>
        <v>7</v>
      </c>
      <c r="H2514">
        <f t="shared" si="93"/>
        <v>2023</v>
      </c>
    </row>
    <row r="2515" spans="5:8" x14ac:dyDescent="0.25">
      <c r="E2515" s="2">
        <v>45132</v>
      </c>
      <c r="F2515">
        <v>73.5</v>
      </c>
      <c r="G2515">
        <f t="shared" si="92"/>
        <v>7</v>
      </c>
      <c r="H2515">
        <f t="shared" si="93"/>
        <v>2023</v>
      </c>
    </row>
    <row r="2516" spans="5:8" x14ac:dyDescent="0.25">
      <c r="E2516" s="2">
        <v>45133</v>
      </c>
      <c r="F2516">
        <v>73.5</v>
      </c>
      <c r="G2516">
        <f t="shared" si="92"/>
        <v>7</v>
      </c>
      <c r="H2516">
        <f t="shared" si="93"/>
        <v>2023</v>
      </c>
    </row>
    <row r="2517" spans="5:8" x14ac:dyDescent="0.25">
      <c r="E2517" s="2">
        <v>45134</v>
      </c>
      <c r="F2517">
        <v>73.5</v>
      </c>
      <c r="G2517">
        <f t="shared" si="92"/>
        <v>7</v>
      </c>
      <c r="H2517">
        <f t="shared" si="93"/>
        <v>2023</v>
      </c>
    </row>
    <row r="2518" spans="5:8" x14ac:dyDescent="0.25">
      <c r="E2518" s="2">
        <v>45135</v>
      </c>
      <c r="F2518">
        <v>73.5</v>
      </c>
      <c r="G2518">
        <f t="shared" si="92"/>
        <v>7</v>
      </c>
      <c r="H2518">
        <f t="shared" si="93"/>
        <v>2023</v>
      </c>
    </row>
    <row r="2519" spans="5:8" x14ac:dyDescent="0.25">
      <c r="E2519" s="2">
        <v>45138</v>
      </c>
      <c r="F2519">
        <v>74.5</v>
      </c>
      <c r="G2519">
        <f t="shared" si="92"/>
        <v>7</v>
      </c>
      <c r="H2519">
        <f t="shared" si="93"/>
        <v>2023</v>
      </c>
    </row>
    <row r="2520" spans="5:8" x14ac:dyDescent="0.25">
      <c r="E2520" s="2">
        <v>45139</v>
      </c>
      <c r="F2520">
        <v>75</v>
      </c>
      <c r="G2520">
        <f t="shared" si="92"/>
        <v>8</v>
      </c>
      <c r="H2520">
        <f t="shared" si="93"/>
        <v>2023</v>
      </c>
    </row>
    <row r="2521" spans="5:8" x14ac:dyDescent="0.25">
      <c r="E2521" s="2">
        <v>45140</v>
      </c>
      <c r="F2521">
        <v>76</v>
      </c>
      <c r="G2521">
        <f t="shared" si="92"/>
        <v>8</v>
      </c>
      <c r="H2521">
        <f t="shared" si="93"/>
        <v>2023</v>
      </c>
    </row>
    <row r="2522" spans="5:8" x14ac:dyDescent="0.25">
      <c r="E2522" s="2">
        <v>45141</v>
      </c>
      <c r="F2522">
        <v>75</v>
      </c>
      <c r="G2522">
        <f t="shared" si="92"/>
        <v>8</v>
      </c>
      <c r="H2522">
        <f t="shared" si="93"/>
        <v>2023</v>
      </c>
    </row>
    <row r="2523" spans="5:8" x14ac:dyDescent="0.25">
      <c r="E2523" s="2">
        <v>45142</v>
      </c>
      <c r="F2523">
        <v>76.5</v>
      </c>
      <c r="G2523">
        <f t="shared" si="92"/>
        <v>8</v>
      </c>
      <c r="H2523">
        <f t="shared" si="93"/>
        <v>2023</v>
      </c>
    </row>
    <row r="2524" spans="5:8" x14ac:dyDescent="0.25">
      <c r="E2524" s="2">
        <v>45145</v>
      </c>
      <c r="F2524">
        <v>76.5</v>
      </c>
      <c r="G2524">
        <f t="shared" si="92"/>
        <v>8</v>
      </c>
      <c r="H2524">
        <f t="shared" si="93"/>
        <v>2023</v>
      </c>
    </row>
    <row r="2525" spans="5:8" x14ac:dyDescent="0.25">
      <c r="E2525" s="2">
        <v>45146</v>
      </c>
      <c r="F2525">
        <v>82</v>
      </c>
      <c r="G2525">
        <f t="shared" si="92"/>
        <v>8</v>
      </c>
      <c r="H2525">
        <f t="shared" si="93"/>
        <v>2023</v>
      </c>
    </row>
    <row r="2526" spans="5:8" x14ac:dyDescent="0.25">
      <c r="E2526" s="2">
        <v>45147</v>
      </c>
      <c r="F2526">
        <v>80</v>
      </c>
      <c r="G2526">
        <f t="shared" si="92"/>
        <v>8</v>
      </c>
      <c r="H2526">
        <f t="shared" si="93"/>
        <v>2023</v>
      </c>
    </row>
    <row r="2527" spans="5:8" x14ac:dyDescent="0.25">
      <c r="E2527" s="2">
        <v>45148</v>
      </c>
      <c r="F2527">
        <v>78</v>
      </c>
      <c r="G2527">
        <f t="shared" si="92"/>
        <v>8</v>
      </c>
      <c r="H2527">
        <f t="shared" si="93"/>
        <v>2023</v>
      </c>
    </row>
    <row r="2528" spans="5:8" x14ac:dyDescent="0.25">
      <c r="E2528" s="2">
        <v>45149</v>
      </c>
      <c r="F2528">
        <v>78.5</v>
      </c>
      <c r="G2528">
        <f t="shared" si="92"/>
        <v>8</v>
      </c>
      <c r="H2528">
        <f t="shared" si="93"/>
        <v>2023</v>
      </c>
    </row>
    <row r="2529" spans="5:8" x14ac:dyDescent="0.25">
      <c r="E2529" s="2">
        <v>45152</v>
      </c>
      <c r="F2529">
        <v>78.5</v>
      </c>
      <c r="G2529">
        <f t="shared" si="92"/>
        <v>8</v>
      </c>
      <c r="H2529">
        <f t="shared" si="93"/>
        <v>2023</v>
      </c>
    </row>
    <row r="2530" spans="5:8" x14ac:dyDescent="0.25">
      <c r="E2530" s="2">
        <v>45153</v>
      </c>
      <c r="F2530">
        <v>79</v>
      </c>
      <c r="G2530">
        <f t="shared" si="92"/>
        <v>8</v>
      </c>
      <c r="H2530">
        <f t="shared" si="93"/>
        <v>2023</v>
      </c>
    </row>
    <row r="2531" spans="5:8" x14ac:dyDescent="0.25">
      <c r="E2531" s="2">
        <v>45154</v>
      </c>
      <c r="F2531">
        <v>80</v>
      </c>
      <c r="G2531">
        <f t="shared" si="92"/>
        <v>8</v>
      </c>
      <c r="H2531">
        <f t="shared" si="93"/>
        <v>2023</v>
      </c>
    </row>
    <row r="2532" spans="5:8" x14ac:dyDescent="0.25">
      <c r="E2532" s="2">
        <v>45155</v>
      </c>
      <c r="F2532">
        <v>80</v>
      </c>
      <c r="G2532">
        <f t="shared" si="92"/>
        <v>8</v>
      </c>
      <c r="H2532">
        <f t="shared" si="93"/>
        <v>2023</v>
      </c>
    </row>
    <row r="2533" spans="5:8" x14ac:dyDescent="0.25">
      <c r="E2533" s="2">
        <v>45156</v>
      </c>
      <c r="F2533">
        <v>80.25</v>
      </c>
      <c r="G2533">
        <f t="shared" si="92"/>
        <v>8</v>
      </c>
      <c r="H2533">
        <f t="shared" si="93"/>
        <v>2023</v>
      </c>
    </row>
    <row r="2534" spans="5:8" x14ac:dyDescent="0.25">
      <c r="E2534" s="2">
        <v>45159</v>
      </c>
      <c r="F2534">
        <v>77</v>
      </c>
      <c r="G2534">
        <f t="shared" si="92"/>
        <v>8</v>
      </c>
      <c r="H2534">
        <f t="shared" si="93"/>
        <v>2023</v>
      </c>
    </row>
    <row r="2535" spans="5:8" x14ac:dyDescent="0.25">
      <c r="E2535" s="2">
        <v>45160</v>
      </c>
      <c r="F2535">
        <v>76.5</v>
      </c>
      <c r="G2535">
        <f t="shared" si="92"/>
        <v>8</v>
      </c>
      <c r="H2535">
        <f t="shared" si="93"/>
        <v>2023</v>
      </c>
    </row>
    <row r="2536" spans="5:8" x14ac:dyDescent="0.25">
      <c r="E2536" s="2">
        <v>45161</v>
      </c>
      <c r="F2536">
        <v>76.5</v>
      </c>
      <c r="G2536">
        <f t="shared" si="92"/>
        <v>8</v>
      </c>
      <c r="H2536">
        <f t="shared" si="93"/>
        <v>2023</v>
      </c>
    </row>
    <row r="2537" spans="5:8" x14ac:dyDescent="0.25">
      <c r="E2537" s="2">
        <v>45162</v>
      </c>
      <c r="F2537">
        <v>80</v>
      </c>
      <c r="G2537">
        <f t="shared" si="92"/>
        <v>8</v>
      </c>
      <c r="H2537">
        <f t="shared" si="93"/>
        <v>2023</v>
      </c>
    </row>
    <row r="2538" spans="5:8" x14ac:dyDescent="0.25">
      <c r="E2538" s="2">
        <v>45163</v>
      </c>
      <c r="F2538">
        <v>80</v>
      </c>
      <c r="G2538">
        <f t="shared" si="92"/>
        <v>8</v>
      </c>
      <c r="H2538">
        <f t="shared" si="93"/>
        <v>2023</v>
      </c>
    </row>
    <row r="2539" spans="5:8" x14ac:dyDescent="0.25">
      <c r="E2539" s="2">
        <v>45166</v>
      </c>
      <c r="F2539">
        <v>80</v>
      </c>
      <c r="G2539">
        <f t="shared" si="92"/>
        <v>8</v>
      </c>
      <c r="H2539">
        <f t="shared" si="93"/>
        <v>2023</v>
      </c>
    </row>
    <row r="2540" spans="5:8" x14ac:dyDescent="0.25">
      <c r="E2540" s="2">
        <v>45167</v>
      </c>
      <c r="F2540">
        <v>80</v>
      </c>
      <c r="G2540">
        <f t="shared" si="92"/>
        <v>8</v>
      </c>
      <c r="H2540">
        <f t="shared" si="93"/>
        <v>2023</v>
      </c>
    </row>
    <row r="2541" spans="5:8" x14ac:dyDescent="0.25">
      <c r="E2541" s="2">
        <v>45168</v>
      </c>
      <c r="F2541">
        <v>77</v>
      </c>
      <c r="G2541">
        <f t="shared" si="92"/>
        <v>8</v>
      </c>
      <c r="H2541">
        <f t="shared" si="93"/>
        <v>2023</v>
      </c>
    </row>
    <row r="2542" spans="5:8" x14ac:dyDescent="0.25">
      <c r="E2542" s="2">
        <v>45169</v>
      </c>
      <c r="F2542">
        <v>76</v>
      </c>
      <c r="G2542">
        <f t="shared" si="92"/>
        <v>8</v>
      </c>
      <c r="H2542">
        <f t="shared" si="93"/>
        <v>2023</v>
      </c>
    </row>
    <row r="2543" spans="5:8" x14ac:dyDescent="0.25">
      <c r="E2543" s="2">
        <v>45170</v>
      </c>
      <c r="F2543">
        <v>76</v>
      </c>
      <c r="G2543">
        <f t="shared" si="92"/>
        <v>9</v>
      </c>
      <c r="H2543">
        <f t="shared" si="93"/>
        <v>2023</v>
      </c>
    </row>
    <row r="2544" spans="5:8" x14ac:dyDescent="0.25">
      <c r="E2544" s="2">
        <v>45174</v>
      </c>
      <c r="F2544">
        <v>78</v>
      </c>
      <c r="G2544">
        <f t="shared" si="92"/>
        <v>9</v>
      </c>
      <c r="H2544">
        <f t="shared" si="93"/>
        <v>2023</v>
      </c>
    </row>
    <row r="2545" spans="5:8" x14ac:dyDescent="0.25">
      <c r="E2545" s="2">
        <v>45175</v>
      </c>
      <c r="F2545">
        <v>78</v>
      </c>
      <c r="G2545">
        <f t="shared" si="92"/>
        <v>9</v>
      </c>
      <c r="H2545">
        <f t="shared" si="93"/>
        <v>2023</v>
      </c>
    </row>
    <row r="2546" spans="5:8" x14ac:dyDescent="0.25">
      <c r="E2546" s="2">
        <v>45176</v>
      </c>
      <c r="F2546">
        <v>76</v>
      </c>
      <c r="G2546">
        <f t="shared" si="92"/>
        <v>9</v>
      </c>
      <c r="H2546">
        <f t="shared" si="93"/>
        <v>2023</v>
      </c>
    </row>
    <row r="2547" spans="5:8" x14ac:dyDescent="0.25">
      <c r="E2547" s="2">
        <v>45177</v>
      </c>
      <c r="F2547">
        <v>74.5</v>
      </c>
      <c r="G2547">
        <f t="shared" si="92"/>
        <v>9</v>
      </c>
      <c r="H2547">
        <f t="shared" si="93"/>
        <v>2023</v>
      </c>
    </row>
    <row r="2548" spans="5:8" x14ac:dyDescent="0.25">
      <c r="E2548" s="2">
        <v>45180</v>
      </c>
      <c r="F2548">
        <v>79</v>
      </c>
      <c r="G2548">
        <f t="shared" si="92"/>
        <v>9</v>
      </c>
      <c r="H2548">
        <f t="shared" si="93"/>
        <v>2023</v>
      </c>
    </row>
    <row r="2549" spans="5:8" x14ac:dyDescent="0.25">
      <c r="E2549" s="2">
        <v>45181</v>
      </c>
      <c r="F2549">
        <v>77</v>
      </c>
      <c r="G2549">
        <f t="shared" si="92"/>
        <v>9</v>
      </c>
      <c r="H2549">
        <f t="shared" si="93"/>
        <v>2023</v>
      </c>
    </row>
    <row r="2550" spans="5:8" x14ac:dyDescent="0.25">
      <c r="E2550" s="2">
        <v>45182</v>
      </c>
      <c r="F2550">
        <v>77</v>
      </c>
      <c r="G2550">
        <f t="shared" si="92"/>
        <v>9</v>
      </c>
      <c r="H2550">
        <f t="shared" si="93"/>
        <v>2023</v>
      </c>
    </row>
    <row r="2551" spans="5:8" x14ac:dyDescent="0.25">
      <c r="E2551" s="2">
        <v>45183</v>
      </c>
      <c r="F2551">
        <v>77</v>
      </c>
      <c r="G2551">
        <f t="shared" si="92"/>
        <v>9</v>
      </c>
      <c r="H2551">
        <f t="shared" si="93"/>
        <v>2023</v>
      </c>
    </row>
    <row r="2552" spans="5:8" x14ac:dyDescent="0.25">
      <c r="E2552" s="2">
        <v>45184</v>
      </c>
      <c r="F2552">
        <v>71</v>
      </c>
      <c r="G2552">
        <f t="shared" si="92"/>
        <v>9</v>
      </c>
      <c r="H2552">
        <f t="shared" si="93"/>
        <v>2023</v>
      </c>
    </row>
    <row r="2553" spans="5:8" x14ac:dyDescent="0.25">
      <c r="E2553" s="2">
        <v>45187</v>
      </c>
      <c r="F2553">
        <v>69</v>
      </c>
      <c r="G2553">
        <f t="shared" si="92"/>
        <v>9</v>
      </c>
      <c r="H2553">
        <f t="shared" si="93"/>
        <v>2023</v>
      </c>
    </row>
    <row r="2554" spans="5:8" x14ac:dyDescent="0.25">
      <c r="E2554" s="2">
        <v>45188</v>
      </c>
      <c r="F2554">
        <v>63</v>
      </c>
      <c r="G2554">
        <f t="shared" si="92"/>
        <v>9</v>
      </c>
      <c r="H2554">
        <f t="shared" si="93"/>
        <v>2023</v>
      </c>
    </row>
    <row r="2555" spans="5:8" x14ac:dyDescent="0.25">
      <c r="E2555" s="2">
        <v>45189</v>
      </c>
      <c r="F2555">
        <v>62</v>
      </c>
      <c r="G2555">
        <f t="shared" si="92"/>
        <v>9</v>
      </c>
      <c r="H2555">
        <f t="shared" si="93"/>
        <v>2023</v>
      </c>
    </row>
    <row r="2556" spans="5:8" x14ac:dyDescent="0.25">
      <c r="E2556" s="2">
        <v>45190</v>
      </c>
      <c r="F2556">
        <v>65</v>
      </c>
      <c r="G2556">
        <f t="shared" si="92"/>
        <v>9</v>
      </c>
      <c r="H2556">
        <f t="shared" si="93"/>
        <v>2023</v>
      </c>
    </row>
    <row r="2557" spans="5:8" x14ac:dyDescent="0.25">
      <c r="E2557" s="2">
        <v>45191</v>
      </c>
      <c r="F2557">
        <v>69</v>
      </c>
      <c r="G2557">
        <f t="shared" si="92"/>
        <v>9</v>
      </c>
      <c r="H2557">
        <f t="shared" si="93"/>
        <v>2023</v>
      </c>
    </row>
    <row r="2558" spans="5:8" x14ac:dyDescent="0.25">
      <c r="E2558" s="2">
        <v>45194</v>
      </c>
      <c r="F2558">
        <v>69.5</v>
      </c>
      <c r="G2558">
        <f t="shared" si="92"/>
        <v>9</v>
      </c>
      <c r="H2558">
        <f t="shared" si="93"/>
        <v>2023</v>
      </c>
    </row>
    <row r="2559" spans="5:8" x14ac:dyDescent="0.25">
      <c r="E2559" s="2">
        <v>45195</v>
      </c>
      <c r="F2559">
        <v>70</v>
      </c>
      <c r="G2559">
        <f t="shared" si="92"/>
        <v>9</v>
      </c>
      <c r="H2559">
        <f t="shared" si="93"/>
        <v>2023</v>
      </c>
    </row>
    <row r="2560" spans="5:8" x14ac:dyDescent="0.25">
      <c r="E2560" s="2">
        <v>45196</v>
      </c>
      <c r="F2560">
        <v>70</v>
      </c>
      <c r="G2560">
        <f t="shared" si="92"/>
        <v>9</v>
      </c>
      <c r="H2560">
        <f t="shared" si="93"/>
        <v>2023</v>
      </c>
    </row>
    <row r="2561" spans="5:8" x14ac:dyDescent="0.25">
      <c r="E2561" s="2">
        <v>45197</v>
      </c>
      <c r="F2561">
        <v>70</v>
      </c>
      <c r="G2561">
        <f t="shared" si="92"/>
        <v>9</v>
      </c>
      <c r="H2561">
        <f t="shared" si="93"/>
        <v>2023</v>
      </c>
    </row>
    <row r="2562" spans="5:8" x14ac:dyDescent="0.25">
      <c r="E2562" s="2">
        <v>45198</v>
      </c>
      <c r="F2562">
        <v>70</v>
      </c>
      <c r="G2562">
        <f t="shared" si="92"/>
        <v>9</v>
      </c>
      <c r="H2562">
        <f t="shared" si="93"/>
        <v>2023</v>
      </c>
    </row>
    <row r="2563" spans="5:8" x14ac:dyDescent="0.25">
      <c r="E2563" s="2">
        <v>45201</v>
      </c>
      <c r="F2563">
        <v>75.5</v>
      </c>
      <c r="G2563">
        <f t="shared" si="92"/>
        <v>10</v>
      </c>
      <c r="H2563">
        <f t="shared" si="93"/>
        <v>2023</v>
      </c>
    </row>
    <row r="2564" spans="5:8" x14ac:dyDescent="0.25">
      <c r="E2564" s="2">
        <v>45202</v>
      </c>
      <c r="F2564">
        <v>76.5</v>
      </c>
      <c r="G2564">
        <f t="shared" si="92"/>
        <v>10</v>
      </c>
      <c r="H2564">
        <f t="shared" si="93"/>
        <v>2023</v>
      </c>
    </row>
    <row r="2565" spans="5:8" x14ac:dyDescent="0.25">
      <c r="E2565" s="2">
        <v>45203</v>
      </c>
      <c r="F2565">
        <v>74</v>
      </c>
      <c r="G2565">
        <f t="shared" ref="G2565:G2628" si="94">MONTH(E2565)</f>
        <v>10</v>
      </c>
      <c r="H2565">
        <f t="shared" ref="H2565:H2628" si="95">YEAR(E2565)</f>
        <v>2023</v>
      </c>
    </row>
    <row r="2566" spans="5:8" x14ac:dyDescent="0.25">
      <c r="E2566" s="2">
        <v>45204</v>
      </c>
      <c r="F2566">
        <v>73</v>
      </c>
      <c r="G2566">
        <f t="shared" si="94"/>
        <v>10</v>
      </c>
      <c r="H2566">
        <f t="shared" si="95"/>
        <v>2023</v>
      </c>
    </row>
    <row r="2567" spans="5:8" x14ac:dyDescent="0.25">
      <c r="E2567" s="2">
        <v>45205</v>
      </c>
      <c r="F2567">
        <v>73.5</v>
      </c>
      <c r="G2567">
        <f t="shared" si="94"/>
        <v>10</v>
      </c>
      <c r="H2567">
        <f t="shared" si="95"/>
        <v>2023</v>
      </c>
    </row>
    <row r="2568" spans="5:8" x14ac:dyDescent="0.25">
      <c r="E2568" s="2">
        <v>45208</v>
      </c>
      <c r="F2568">
        <v>70.5</v>
      </c>
      <c r="G2568">
        <f t="shared" si="94"/>
        <v>10</v>
      </c>
      <c r="H2568">
        <f t="shared" si="95"/>
        <v>2023</v>
      </c>
    </row>
    <row r="2569" spans="5:8" x14ac:dyDescent="0.25">
      <c r="E2569" s="2">
        <v>45209</v>
      </c>
      <c r="F2569">
        <v>69.5</v>
      </c>
      <c r="G2569">
        <f t="shared" si="94"/>
        <v>10</v>
      </c>
      <c r="H2569">
        <f t="shared" si="95"/>
        <v>2023</v>
      </c>
    </row>
    <row r="2570" spans="5:8" x14ac:dyDescent="0.25">
      <c r="E2570" s="2">
        <v>45210</v>
      </c>
      <c r="F2570">
        <v>70.5</v>
      </c>
      <c r="G2570">
        <f t="shared" si="94"/>
        <v>10</v>
      </c>
      <c r="H2570">
        <f t="shared" si="95"/>
        <v>2023</v>
      </c>
    </row>
    <row r="2571" spans="5:8" x14ac:dyDescent="0.25">
      <c r="E2571" s="2">
        <v>45211</v>
      </c>
      <c r="F2571">
        <v>71.5</v>
      </c>
      <c r="G2571">
        <f t="shared" si="94"/>
        <v>10</v>
      </c>
      <c r="H2571">
        <f t="shared" si="95"/>
        <v>2023</v>
      </c>
    </row>
    <row r="2572" spans="5:8" x14ac:dyDescent="0.25">
      <c r="E2572" s="2">
        <v>45212</v>
      </c>
      <c r="F2572">
        <v>71.5</v>
      </c>
      <c r="G2572">
        <f t="shared" si="94"/>
        <v>10</v>
      </c>
      <c r="H2572">
        <f t="shared" si="95"/>
        <v>2023</v>
      </c>
    </row>
    <row r="2573" spans="5:8" x14ac:dyDescent="0.25">
      <c r="E2573" s="2">
        <v>45215</v>
      </c>
      <c r="F2573">
        <v>67.5</v>
      </c>
      <c r="G2573">
        <f t="shared" si="94"/>
        <v>10</v>
      </c>
      <c r="H2573">
        <f t="shared" si="95"/>
        <v>2023</v>
      </c>
    </row>
    <row r="2574" spans="5:8" x14ac:dyDescent="0.25">
      <c r="E2574" s="2">
        <v>45216</v>
      </c>
      <c r="F2574">
        <v>68</v>
      </c>
      <c r="G2574">
        <f t="shared" si="94"/>
        <v>10</v>
      </c>
      <c r="H2574">
        <f t="shared" si="95"/>
        <v>2023</v>
      </c>
    </row>
    <row r="2575" spans="5:8" x14ac:dyDescent="0.25">
      <c r="E2575" s="2">
        <v>45217</v>
      </c>
      <c r="F2575">
        <v>68</v>
      </c>
      <c r="G2575">
        <f t="shared" si="94"/>
        <v>10</v>
      </c>
      <c r="H2575">
        <f t="shared" si="95"/>
        <v>2023</v>
      </c>
    </row>
    <row r="2576" spans="5:8" x14ac:dyDescent="0.25">
      <c r="E2576" s="2">
        <v>45218</v>
      </c>
      <c r="F2576">
        <v>67.5</v>
      </c>
      <c r="G2576">
        <f t="shared" si="94"/>
        <v>10</v>
      </c>
      <c r="H2576">
        <f t="shared" si="95"/>
        <v>2023</v>
      </c>
    </row>
    <row r="2577" spans="5:8" x14ac:dyDescent="0.25">
      <c r="E2577" s="2">
        <v>45219</v>
      </c>
      <c r="F2577">
        <v>67</v>
      </c>
      <c r="G2577">
        <f t="shared" si="94"/>
        <v>10</v>
      </c>
      <c r="H2577">
        <f t="shared" si="95"/>
        <v>2023</v>
      </c>
    </row>
    <row r="2578" spans="5:8" x14ac:dyDescent="0.25">
      <c r="E2578" s="2">
        <v>45222</v>
      </c>
      <c r="F2578">
        <v>67</v>
      </c>
      <c r="G2578">
        <f t="shared" si="94"/>
        <v>10</v>
      </c>
      <c r="H2578">
        <f t="shared" si="95"/>
        <v>2023</v>
      </c>
    </row>
    <row r="2579" spans="5:8" x14ac:dyDescent="0.25">
      <c r="E2579" s="2">
        <v>45223</v>
      </c>
      <c r="F2579">
        <v>69</v>
      </c>
      <c r="G2579">
        <f t="shared" si="94"/>
        <v>10</v>
      </c>
      <c r="H2579">
        <f t="shared" si="95"/>
        <v>2023</v>
      </c>
    </row>
    <row r="2580" spans="5:8" x14ac:dyDescent="0.25">
      <c r="E2580" s="2">
        <v>45224</v>
      </c>
      <c r="F2580">
        <v>69</v>
      </c>
      <c r="G2580">
        <f t="shared" si="94"/>
        <v>10</v>
      </c>
      <c r="H2580">
        <f t="shared" si="95"/>
        <v>2023</v>
      </c>
    </row>
    <row r="2581" spans="5:8" x14ac:dyDescent="0.25">
      <c r="E2581" s="2">
        <v>45225</v>
      </c>
      <c r="F2581">
        <v>68.5</v>
      </c>
      <c r="G2581">
        <f t="shared" si="94"/>
        <v>10</v>
      </c>
      <c r="H2581">
        <f t="shared" si="95"/>
        <v>2023</v>
      </c>
    </row>
    <row r="2582" spans="5:8" x14ac:dyDescent="0.25">
      <c r="E2582" s="2">
        <v>45226</v>
      </c>
      <c r="F2582">
        <v>68.5</v>
      </c>
      <c r="G2582">
        <f t="shared" si="94"/>
        <v>10</v>
      </c>
      <c r="H2582">
        <f t="shared" si="95"/>
        <v>2023</v>
      </c>
    </row>
    <row r="2583" spans="5:8" x14ac:dyDescent="0.25">
      <c r="E2583" s="2">
        <v>45229</v>
      </c>
      <c r="F2583">
        <v>69.5</v>
      </c>
      <c r="G2583">
        <f t="shared" si="94"/>
        <v>10</v>
      </c>
      <c r="H2583">
        <f t="shared" si="95"/>
        <v>2023</v>
      </c>
    </row>
    <row r="2584" spans="5:8" x14ac:dyDescent="0.25">
      <c r="E2584" s="2">
        <v>45230</v>
      </c>
      <c r="F2584">
        <v>69.5</v>
      </c>
      <c r="G2584">
        <f t="shared" si="94"/>
        <v>10</v>
      </c>
      <c r="H2584">
        <f t="shared" si="95"/>
        <v>2023</v>
      </c>
    </row>
    <row r="2585" spans="5:8" x14ac:dyDescent="0.25">
      <c r="E2585" s="2">
        <v>45231</v>
      </c>
      <c r="F2585">
        <v>68</v>
      </c>
      <c r="G2585">
        <f t="shared" si="94"/>
        <v>11</v>
      </c>
      <c r="H2585">
        <f t="shared" si="95"/>
        <v>2023</v>
      </c>
    </row>
    <row r="2586" spans="5:8" x14ac:dyDescent="0.25">
      <c r="E2586" s="2">
        <v>45232</v>
      </c>
      <c r="F2586">
        <v>69.5</v>
      </c>
      <c r="G2586">
        <f t="shared" si="94"/>
        <v>11</v>
      </c>
      <c r="H2586">
        <f t="shared" si="95"/>
        <v>2023</v>
      </c>
    </row>
    <row r="2587" spans="5:8" x14ac:dyDescent="0.25">
      <c r="E2587" s="2">
        <v>45233</v>
      </c>
      <c r="F2587">
        <v>69.5</v>
      </c>
      <c r="G2587">
        <f t="shared" si="94"/>
        <v>11</v>
      </c>
      <c r="H2587">
        <f t="shared" si="95"/>
        <v>2023</v>
      </c>
    </row>
    <row r="2588" spans="5:8" x14ac:dyDescent="0.25">
      <c r="E2588" s="2">
        <v>45236</v>
      </c>
      <c r="F2588">
        <v>67</v>
      </c>
      <c r="G2588">
        <f t="shared" si="94"/>
        <v>11</v>
      </c>
      <c r="H2588">
        <f t="shared" si="95"/>
        <v>2023</v>
      </c>
    </row>
    <row r="2589" spans="5:8" x14ac:dyDescent="0.25">
      <c r="E2589" s="2">
        <v>45237</v>
      </c>
      <c r="F2589">
        <v>67</v>
      </c>
      <c r="G2589">
        <f t="shared" si="94"/>
        <v>11</v>
      </c>
      <c r="H2589">
        <f t="shared" si="95"/>
        <v>2023</v>
      </c>
    </row>
    <row r="2590" spans="5:8" x14ac:dyDescent="0.25">
      <c r="E2590" s="2">
        <v>45238</v>
      </c>
      <c r="F2590">
        <v>66</v>
      </c>
      <c r="G2590">
        <f t="shared" si="94"/>
        <v>11</v>
      </c>
      <c r="H2590">
        <f t="shared" si="95"/>
        <v>2023</v>
      </c>
    </row>
    <row r="2591" spans="5:8" x14ac:dyDescent="0.25">
      <c r="E2591" s="2">
        <v>45239</v>
      </c>
      <c r="F2591">
        <v>66</v>
      </c>
      <c r="G2591">
        <f t="shared" si="94"/>
        <v>11</v>
      </c>
      <c r="H2591">
        <f t="shared" si="95"/>
        <v>2023</v>
      </c>
    </row>
    <row r="2592" spans="5:8" x14ac:dyDescent="0.25">
      <c r="E2592" s="2">
        <v>45240</v>
      </c>
      <c r="F2592">
        <v>67.5</v>
      </c>
      <c r="G2592">
        <f t="shared" si="94"/>
        <v>11</v>
      </c>
      <c r="H2592">
        <f t="shared" si="95"/>
        <v>2023</v>
      </c>
    </row>
    <row r="2593" spans="5:8" x14ac:dyDescent="0.25">
      <c r="E2593" s="2">
        <v>45243</v>
      </c>
      <c r="F2593">
        <v>67.25</v>
      </c>
      <c r="G2593">
        <f t="shared" si="94"/>
        <v>11</v>
      </c>
      <c r="H2593">
        <f t="shared" si="95"/>
        <v>2023</v>
      </c>
    </row>
    <row r="2594" spans="5:8" x14ac:dyDescent="0.25">
      <c r="E2594" s="2">
        <v>45244</v>
      </c>
      <c r="F2594">
        <v>67.25</v>
      </c>
      <c r="G2594">
        <f t="shared" si="94"/>
        <v>11</v>
      </c>
      <c r="H2594">
        <f t="shared" si="95"/>
        <v>2023</v>
      </c>
    </row>
    <row r="2595" spans="5:8" x14ac:dyDescent="0.25">
      <c r="E2595" s="2">
        <v>45245</v>
      </c>
      <c r="F2595">
        <v>66.5</v>
      </c>
      <c r="G2595">
        <f t="shared" si="94"/>
        <v>11</v>
      </c>
      <c r="H2595">
        <f t="shared" si="95"/>
        <v>2023</v>
      </c>
    </row>
    <row r="2596" spans="5:8" x14ac:dyDescent="0.25">
      <c r="E2596" s="2">
        <v>45246</v>
      </c>
      <c r="F2596">
        <v>66.5</v>
      </c>
      <c r="G2596">
        <f t="shared" si="94"/>
        <v>11</v>
      </c>
      <c r="H2596">
        <f t="shared" si="95"/>
        <v>2023</v>
      </c>
    </row>
    <row r="2597" spans="5:8" x14ac:dyDescent="0.25">
      <c r="E2597" s="2">
        <v>45247</v>
      </c>
      <c r="F2597">
        <v>66.75</v>
      </c>
      <c r="G2597">
        <f t="shared" si="94"/>
        <v>11</v>
      </c>
      <c r="H2597">
        <f t="shared" si="95"/>
        <v>2023</v>
      </c>
    </row>
    <row r="2598" spans="5:8" x14ac:dyDescent="0.25">
      <c r="E2598" s="2">
        <v>45250</v>
      </c>
      <c r="F2598">
        <v>66.75</v>
      </c>
      <c r="G2598">
        <f t="shared" si="94"/>
        <v>11</v>
      </c>
      <c r="H2598">
        <f t="shared" si="95"/>
        <v>2023</v>
      </c>
    </row>
    <row r="2599" spans="5:8" x14ac:dyDescent="0.25">
      <c r="E2599" s="2">
        <v>45251</v>
      </c>
      <c r="F2599">
        <v>66.75</v>
      </c>
      <c r="G2599">
        <f t="shared" si="94"/>
        <v>11</v>
      </c>
      <c r="H2599">
        <f t="shared" si="95"/>
        <v>2023</v>
      </c>
    </row>
    <row r="2600" spans="5:8" x14ac:dyDescent="0.25">
      <c r="E2600" s="2">
        <v>45252</v>
      </c>
      <c r="F2600">
        <v>66.75</v>
      </c>
      <c r="G2600">
        <f t="shared" si="94"/>
        <v>11</v>
      </c>
      <c r="H2600">
        <f t="shared" si="95"/>
        <v>2023</v>
      </c>
    </row>
    <row r="2601" spans="5:8" x14ac:dyDescent="0.25">
      <c r="E2601" s="2">
        <v>45257</v>
      </c>
      <c r="F2601">
        <v>67.75</v>
      </c>
      <c r="G2601">
        <f t="shared" si="94"/>
        <v>11</v>
      </c>
      <c r="H2601">
        <f t="shared" si="95"/>
        <v>2023</v>
      </c>
    </row>
    <row r="2602" spans="5:8" x14ac:dyDescent="0.25">
      <c r="E2602" s="2">
        <v>45258</v>
      </c>
      <c r="F2602">
        <v>69.5</v>
      </c>
      <c r="G2602">
        <f t="shared" si="94"/>
        <v>11</v>
      </c>
      <c r="H2602">
        <f t="shared" si="95"/>
        <v>2023</v>
      </c>
    </row>
    <row r="2603" spans="5:8" x14ac:dyDescent="0.25">
      <c r="E2603" s="2">
        <v>45259</v>
      </c>
      <c r="F2603">
        <v>70</v>
      </c>
      <c r="G2603">
        <f t="shared" si="94"/>
        <v>11</v>
      </c>
      <c r="H2603">
        <f t="shared" si="95"/>
        <v>2023</v>
      </c>
    </row>
    <row r="2604" spans="5:8" x14ac:dyDescent="0.25">
      <c r="E2604" s="2">
        <v>45260</v>
      </c>
      <c r="F2604">
        <v>70</v>
      </c>
      <c r="G2604">
        <f t="shared" si="94"/>
        <v>11</v>
      </c>
      <c r="H2604">
        <f t="shared" si="95"/>
        <v>2023</v>
      </c>
    </row>
    <row r="2605" spans="5:8" x14ac:dyDescent="0.25">
      <c r="E2605" s="2">
        <v>45261</v>
      </c>
      <c r="F2605">
        <v>70.5</v>
      </c>
      <c r="G2605">
        <f t="shared" si="94"/>
        <v>12</v>
      </c>
      <c r="H2605">
        <f t="shared" si="95"/>
        <v>2023</v>
      </c>
    </row>
    <row r="2606" spans="5:8" x14ac:dyDescent="0.25">
      <c r="E2606" s="2">
        <v>45264</v>
      </c>
      <c r="F2606">
        <v>70.5</v>
      </c>
      <c r="G2606">
        <f t="shared" si="94"/>
        <v>12</v>
      </c>
      <c r="H2606">
        <f t="shared" si="95"/>
        <v>2023</v>
      </c>
    </row>
    <row r="2607" spans="5:8" x14ac:dyDescent="0.25">
      <c r="E2607" s="2">
        <v>45265</v>
      </c>
      <c r="F2607">
        <v>72.5</v>
      </c>
      <c r="G2607">
        <f t="shared" si="94"/>
        <v>12</v>
      </c>
      <c r="H2607">
        <f t="shared" si="95"/>
        <v>2023</v>
      </c>
    </row>
    <row r="2608" spans="5:8" x14ac:dyDescent="0.25">
      <c r="E2608" s="2">
        <v>45266</v>
      </c>
      <c r="F2608">
        <v>71.5</v>
      </c>
      <c r="G2608">
        <f t="shared" si="94"/>
        <v>12</v>
      </c>
      <c r="H2608">
        <f t="shared" si="95"/>
        <v>2023</v>
      </c>
    </row>
    <row r="2609" spans="5:8" x14ac:dyDescent="0.25">
      <c r="E2609" s="2">
        <v>45267</v>
      </c>
      <c r="F2609">
        <v>72.5</v>
      </c>
      <c r="G2609">
        <f t="shared" si="94"/>
        <v>12</v>
      </c>
      <c r="H2609">
        <f t="shared" si="95"/>
        <v>2023</v>
      </c>
    </row>
    <row r="2610" spans="5:8" x14ac:dyDescent="0.25">
      <c r="E2610" s="2">
        <v>45268</v>
      </c>
      <c r="F2610">
        <v>72.5</v>
      </c>
      <c r="G2610">
        <f t="shared" si="94"/>
        <v>12</v>
      </c>
      <c r="H2610">
        <f t="shared" si="95"/>
        <v>2023</v>
      </c>
    </row>
    <row r="2611" spans="5:8" x14ac:dyDescent="0.25">
      <c r="E2611" s="2">
        <v>45271</v>
      </c>
      <c r="F2611">
        <v>72.5</v>
      </c>
      <c r="G2611">
        <f t="shared" si="94"/>
        <v>12</v>
      </c>
      <c r="H2611">
        <f t="shared" si="95"/>
        <v>2023</v>
      </c>
    </row>
    <row r="2612" spans="5:8" x14ac:dyDescent="0.25">
      <c r="E2612" s="2">
        <v>45272</v>
      </c>
      <c r="F2612">
        <v>72</v>
      </c>
      <c r="G2612">
        <f t="shared" si="94"/>
        <v>12</v>
      </c>
      <c r="H2612">
        <f t="shared" si="95"/>
        <v>2023</v>
      </c>
    </row>
    <row r="2613" spans="5:8" x14ac:dyDescent="0.25">
      <c r="E2613" s="2">
        <v>45273</v>
      </c>
      <c r="F2613">
        <v>72.5</v>
      </c>
      <c r="G2613">
        <f t="shared" si="94"/>
        <v>12</v>
      </c>
      <c r="H2613">
        <f t="shared" si="95"/>
        <v>2023</v>
      </c>
    </row>
    <row r="2614" spans="5:8" x14ac:dyDescent="0.25">
      <c r="E2614" s="2">
        <v>45274</v>
      </c>
      <c r="F2614">
        <v>73.5</v>
      </c>
      <c r="G2614">
        <f t="shared" si="94"/>
        <v>12</v>
      </c>
      <c r="H2614">
        <f t="shared" si="95"/>
        <v>2023</v>
      </c>
    </row>
    <row r="2615" spans="5:8" x14ac:dyDescent="0.25">
      <c r="E2615" s="2">
        <v>45275</v>
      </c>
      <c r="F2615">
        <v>71.5</v>
      </c>
      <c r="G2615">
        <f t="shared" si="94"/>
        <v>12</v>
      </c>
      <c r="H2615">
        <f t="shared" si="95"/>
        <v>2023</v>
      </c>
    </row>
    <row r="2616" spans="5:8" x14ac:dyDescent="0.25">
      <c r="E2616" s="2">
        <v>45278</v>
      </c>
      <c r="F2616">
        <v>72.5</v>
      </c>
      <c r="G2616">
        <f t="shared" si="94"/>
        <v>12</v>
      </c>
      <c r="H2616">
        <f t="shared" si="95"/>
        <v>2023</v>
      </c>
    </row>
    <row r="2617" spans="5:8" x14ac:dyDescent="0.25">
      <c r="E2617" s="2">
        <v>45279</v>
      </c>
      <c r="F2617">
        <v>72.5</v>
      </c>
      <c r="G2617">
        <f t="shared" si="94"/>
        <v>12</v>
      </c>
      <c r="H2617">
        <f t="shared" si="95"/>
        <v>2023</v>
      </c>
    </row>
    <row r="2618" spans="5:8" x14ac:dyDescent="0.25">
      <c r="E2618" s="2">
        <v>45280</v>
      </c>
      <c r="F2618">
        <v>70.5</v>
      </c>
      <c r="G2618">
        <f t="shared" si="94"/>
        <v>12</v>
      </c>
      <c r="H2618">
        <f t="shared" si="95"/>
        <v>2023</v>
      </c>
    </row>
    <row r="2619" spans="5:8" x14ac:dyDescent="0.25">
      <c r="E2619" s="2">
        <v>45281</v>
      </c>
      <c r="F2619">
        <v>70.5</v>
      </c>
      <c r="G2619">
        <f t="shared" si="94"/>
        <v>12</v>
      </c>
      <c r="H2619">
        <f t="shared" si="95"/>
        <v>2023</v>
      </c>
    </row>
    <row r="2620" spans="5:8" x14ac:dyDescent="0.25">
      <c r="E2620" s="2">
        <v>45282</v>
      </c>
      <c r="F2620">
        <v>69</v>
      </c>
      <c r="G2620">
        <f t="shared" si="94"/>
        <v>12</v>
      </c>
      <c r="H2620">
        <f t="shared" si="95"/>
        <v>2023</v>
      </c>
    </row>
    <row r="2621" spans="5:8" x14ac:dyDescent="0.25">
      <c r="E2621" s="2">
        <v>45286</v>
      </c>
      <c r="F2621">
        <v>69</v>
      </c>
      <c r="G2621">
        <f t="shared" si="94"/>
        <v>12</v>
      </c>
      <c r="H2621">
        <f t="shared" si="95"/>
        <v>2023</v>
      </c>
    </row>
    <row r="2622" spans="5:8" x14ac:dyDescent="0.25">
      <c r="E2622" s="2">
        <v>45287</v>
      </c>
      <c r="F2622">
        <v>69</v>
      </c>
      <c r="G2622">
        <f t="shared" si="94"/>
        <v>12</v>
      </c>
      <c r="H2622">
        <f t="shared" si="95"/>
        <v>2023</v>
      </c>
    </row>
    <row r="2623" spans="5:8" x14ac:dyDescent="0.25">
      <c r="E2623" s="2">
        <v>45288</v>
      </c>
      <c r="F2623">
        <v>67.5</v>
      </c>
      <c r="G2623">
        <f t="shared" si="94"/>
        <v>12</v>
      </c>
      <c r="H2623">
        <f t="shared" si="95"/>
        <v>2023</v>
      </c>
    </row>
    <row r="2624" spans="5:8" x14ac:dyDescent="0.25">
      <c r="E2624" s="2">
        <v>45289</v>
      </c>
      <c r="F2624">
        <v>66</v>
      </c>
      <c r="G2624">
        <f t="shared" si="94"/>
        <v>12</v>
      </c>
      <c r="H2624">
        <f t="shared" si="95"/>
        <v>2023</v>
      </c>
    </row>
    <row r="2625" spans="5:8" x14ac:dyDescent="0.25">
      <c r="E2625" s="2">
        <v>45293</v>
      </c>
      <c r="F2625">
        <v>65.5</v>
      </c>
      <c r="G2625">
        <f t="shared" si="94"/>
        <v>1</v>
      </c>
      <c r="H2625">
        <f t="shared" si="95"/>
        <v>2024</v>
      </c>
    </row>
    <row r="2626" spans="5:8" x14ac:dyDescent="0.25">
      <c r="E2626" s="2">
        <v>45294</v>
      </c>
      <c r="F2626">
        <v>66</v>
      </c>
      <c r="G2626">
        <f t="shared" si="94"/>
        <v>1</v>
      </c>
      <c r="H2626">
        <f t="shared" si="95"/>
        <v>2024</v>
      </c>
    </row>
    <row r="2627" spans="5:8" x14ac:dyDescent="0.25">
      <c r="E2627" s="2">
        <v>45295</v>
      </c>
      <c r="F2627">
        <v>67.5</v>
      </c>
      <c r="G2627">
        <f t="shared" si="94"/>
        <v>1</v>
      </c>
      <c r="H2627">
        <f t="shared" si="95"/>
        <v>2024</v>
      </c>
    </row>
    <row r="2628" spans="5:8" x14ac:dyDescent="0.25">
      <c r="E2628" s="2">
        <v>45296</v>
      </c>
      <c r="F2628">
        <v>68.5</v>
      </c>
      <c r="G2628">
        <f t="shared" si="94"/>
        <v>1</v>
      </c>
      <c r="H2628">
        <f t="shared" si="95"/>
        <v>2024</v>
      </c>
    </row>
    <row r="2629" spans="5:8" x14ac:dyDescent="0.25">
      <c r="E2629" s="2">
        <v>45299</v>
      </c>
      <c r="F2629">
        <v>68.5</v>
      </c>
      <c r="G2629">
        <f t="shared" ref="G2629:G2692" si="96">MONTH(E2629)</f>
        <v>1</v>
      </c>
      <c r="H2629">
        <f t="shared" ref="H2629:H2692" si="97">YEAR(E2629)</f>
        <v>2024</v>
      </c>
    </row>
    <row r="2630" spans="5:8" x14ac:dyDescent="0.25">
      <c r="E2630" s="2">
        <v>45300</v>
      </c>
      <c r="F2630">
        <v>68.5</v>
      </c>
      <c r="G2630">
        <f t="shared" si="96"/>
        <v>1</v>
      </c>
      <c r="H2630">
        <f t="shared" si="97"/>
        <v>2024</v>
      </c>
    </row>
    <row r="2631" spans="5:8" x14ac:dyDescent="0.25">
      <c r="E2631" s="2">
        <v>45301</v>
      </c>
      <c r="F2631">
        <v>68.5</v>
      </c>
      <c r="G2631">
        <f t="shared" si="96"/>
        <v>1</v>
      </c>
      <c r="H2631">
        <f t="shared" si="97"/>
        <v>2024</v>
      </c>
    </row>
    <row r="2632" spans="5:8" x14ac:dyDescent="0.25">
      <c r="E2632" s="2">
        <v>45302</v>
      </c>
      <c r="F2632">
        <v>67.5</v>
      </c>
      <c r="G2632">
        <f t="shared" si="96"/>
        <v>1</v>
      </c>
      <c r="H2632">
        <f t="shared" si="97"/>
        <v>2024</v>
      </c>
    </row>
    <row r="2633" spans="5:8" x14ac:dyDescent="0.25">
      <c r="E2633" s="2">
        <v>45303</v>
      </c>
      <c r="F2633">
        <v>66.5</v>
      </c>
      <c r="G2633">
        <f t="shared" si="96"/>
        <v>1</v>
      </c>
      <c r="H2633">
        <f t="shared" si="97"/>
        <v>2024</v>
      </c>
    </row>
    <row r="2634" spans="5:8" x14ac:dyDescent="0.25">
      <c r="E2634" s="2">
        <v>45307</v>
      </c>
      <c r="F2634">
        <v>65</v>
      </c>
      <c r="G2634">
        <f t="shared" si="96"/>
        <v>1</v>
      </c>
      <c r="H2634">
        <f t="shared" si="97"/>
        <v>2024</v>
      </c>
    </row>
    <row r="2635" spans="5:8" x14ac:dyDescent="0.25">
      <c r="E2635" s="2">
        <v>45308</v>
      </c>
      <c r="F2635">
        <v>65</v>
      </c>
      <c r="G2635">
        <f t="shared" si="96"/>
        <v>1</v>
      </c>
      <c r="H2635">
        <f t="shared" si="97"/>
        <v>2024</v>
      </c>
    </row>
    <row r="2636" spans="5:8" x14ac:dyDescent="0.25">
      <c r="E2636" s="2">
        <v>45309</v>
      </c>
      <c r="F2636">
        <v>58.38</v>
      </c>
      <c r="G2636">
        <f t="shared" si="96"/>
        <v>1</v>
      </c>
      <c r="H2636">
        <f t="shared" si="97"/>
        <v>2024</v>
      </c>
    </row>
    <row r="2637" spans="5:8" x14ac:dyDescent="0.25">
      <c r="E2637" s="2">
        <v>45310</v>
      </c>
      <c r="F2637">
        <v>58.25</v>
      </c>
      <c r="G2637">
        <f t="shared" si="96"/>
        <v>1</v>
      </c>
      <c r="H2637">
        <f t="shared" si="97"/>
        <v>2024</v>
      </c>
    </row>
    <row r="2638" spans="5:8" x14ac:dyDescent="0.25">
      <c r="E2638" s="2">
        <v>45313</v>
      </c>
      <c r="F2638">
        <v>61</v>
      </c>
      <c r="G2638">
        <f t="shared" si="96"/>
        <v>1</v>
      </c>
      <c r="H2638">
        <f t="shared" si="97"/>
        <v>2024</v>
      </c>
    </row>
    <row r="2639" spans="5:8" x14ac:dyDescent="0.25">
      <c r="E2639" s="2">
        <v>45314</v>
      </c>
      <c r="F2639">
        <v>59</v>
      </c>
      <c r="G2639">
        <f t="shared" si="96"/>
        <v>1</v>
      </c>
      <c r="H2639">
        <f t="shared" si="97"/>
        <v>2024</v>
      </c>
    </row>
    <row r="2640" spans="5:8" x14ac:dyDescent="0.25">
      <c r="E2640" s="2">
        <v>45315</v>
      </c>
      <c r="F2640">
        <v>55.75</v>
      </c>
      <c r="G2640">
        <f t="shared" si="96"/>
        <v>1</v>
      </c>
      <c r="H2640">
        <f t="shared" si="97"/>
        <v>2024</v>
      </c>
    </row>
    <row r="2641" spans="5:8" x14ac:dyDescent="0.25">
      <c r="E2641" s="2">
        <v>45316</v>
      </c>
      <c r="F2641">
        <v>56</v>
      </c>
      <c r="G2641">
        <f t="shared" si="96"/>
        <v>1</v>
      </c>
      <c r="H2641">
        <f t="shared" si="97"/>
        <v>2024</v>
      </c>
    </row>
    <row r="2642" spans="5:8" x14ac:dyDescent="0.25">
      <c r="E2642" s="2">
        <v>45317</v>
      </c>
      <c r="F2642">
        <v>57.25</v>
      </c>
      <c r="G2642">
        <f t="shared" si="96"/>
        <v>1</v>
      </c>
      <c r="H2642">
        <f t="shared" si="97"/>
        <v>2024</v>
      </c>
    </row>
    <row r="2643" spans="5:8" x14ac:dyDescent="0.25">
      <c r="E2643" s="2">
        <v>45320</v>
      </c>
      <c r="F2643">
        <v>59</v>
      </c>
      <c r="G2643">
        <f t="shared" si="96"/>
        <v>1</v>
      </c>
      <c r="H2643">
        <f t="shared" si="97"/>
        <v>2024</v>
      </c>
    </row>
    <row r="2644" spans="5:8" x14ac:dyDescent="0.25">
      <c r="E2644" s="2">
        <v>45321</v>
      </c>
      <c r="F2644">
        <v>60.5</v>
      </c>
      <c r="G2644">
        <f t="shared" si="96"/>
        <v>1</v>
      </c>
      <c r="H2644">
        <f t="shared" si="97"/>
        <v>2024</v>
      </c>
    </row>
    <row r="2645" spans="5:8" x14ac:dyDescent="0.25">
      <c r="E2645" s="2">
        <v>45322</v>
      </c>
      <c r="F2645">
        <v>57</v>
      </c>
      <c r="G2645">
        <f t="shared" si="96"/>
        <v>1</v>
      </c>
      <c r="H2645">
        <f t="shared" si="97"/>
        <v>2024</v>
      </c>
    </row>
    <row r="2646" spans="5:8" x14ac:dyDescent="0.25">
      <c r="E2646" s="2">
        <v>45323</v>
      </c>
      <c r="F2646">
        <v>57</v>
      </c>
      <c r="G2646">
        <f t="shared" si="96"/>
        <v>2</v>
      </c>
      <c r="H2646">
        <f t="shared" si="97"/>
        <v>2024</v>
      </c>
    </row>
    <row r="2647" spans="5:8" x14ac:dyDescent="0.25">
      <c r="E2647" s="2">
        <v>45324</v>
      </c>
      <c r="F2647">
        <v>57</v>
      </c>
      <c r="G2647">
        <f t="shared" si="96"/>
        <v>2</v>
      </c>
      <c r="H2647">
        <f t="shared" si="97"/>
        <v>2024</v>
      </c>
    </row>
    <row r="2648" spans="5:8" x14ac:dyDescent="0.25">
      <c r="E2648" s="2">
        <v>45327</v>
      </c>
      <c r="F2648">
        <v>57.5</v>
      </c>
      <c r="G2648">
        <f t="shared" si="96"/>
        <v>2</v>
      </c>
      <c r="H2648">
        <f t="shared" si="97"/>
        <v>2024</v>
      </c>
    </row>
    <row r="2649" spans="5:8" x14ac:dyDescent="0.25">
      <c r="E2649" s="2">
        <v>45328</v>
      </c>
      <c r="F2649">
        <v>58</v>
      </c>
      <c r="G2649">
        <f t="shared" si="96"/>
        <v>2</v>
      </c>
      <c r="H2649">
        <f t="shared" si="97"/>
        <v>2024</v>
      </c>
    </row>
    <row r="2650" spans="5:8" x14ac:dyDescent="0.25">
      <c r="E2650" s="2">
        <v>45329</v>
      </c>
      <c r="F2650">
        <v>63</v>
      </c>
      <c r="G2650">
        <f t="shared" si="96"/>
        <v>2</v>
      </c>
      <c r="H2650">
        <f t="shared" si="97"/>
        <v>2024</v>
      </c>
    </row>
    <row r="2651" spans="5:8" x14ac:dyDescent="0.25">
      <c r="E2651" s="2">
        <v>45330</v>
      </c>
      <c r="F2651">
        <v>61</v>
      </c>
      <c r="G2651">
        <f t="shared" si="96"/>
        <v>2</v>
      </c>
      <c r="H2651">
        <f t="shared" si="97"/>
        <v>2024</v>
      </c>
    </row>
    <row r="2652" spans="5:8" x14ac:dyDescent="0.25">
      <c r="E2652" s="2">
        <v>45331</v>
      </c>
      <c r="F2652">
        <v>61</v>
      </c>
      <c r="G2652">
        <f t="shared" si="96"/>
        <v>2</v>
      </c>
      <c r="H2652">
        <f t="shared" si="97"/>
        <v>2024</v>
      </c>
    </row>
    <row r="2653" spans="5:8" x14ac:dyDescent="0.25">
      <c r="E2653" s="2">
        <v>45334</v>
      </c>
      <c r="F2653">
        <v>60.5</v>
      </c>
      <c r="G2653">
        <f t="shared" si="96"/>
        <v>2</v>
      </c>
      <c r="H2653">
        <f t="shared" si="97"/>
        <v>2024</v>
      </c>
    </row>
    <row r="2654" spans="5:8" x14ac:dyDescent="0.25">
      <c r="E2654" s="2">
        <v>45335</v>
      </c>
      <c r="F2654">
        <v>60</v>
      </c>
      <c r="G2654">
        <f t="shared" si="96"/>
        <v>2</v>
      </c>
      <c r="H2654">
        <f t="shared" si="97"/>
        <v>2024</v>
      </c>
    </row>
    <row r="2655" spans="5:8" x14ac:dyDescent="0.25">
      <c r="E2655" s="2">
        <v>45336</v>
      </c>
      <c r="F2655">
        <v>61</v>
      </c>
      <c r="G2655">
        <f t="shared" si="96"/>
        <v>2</v>
      </c>
      <c r="H2655">
        <f t="shared" si="97"/>
        <v>2024</v>
      </c>
    </row>
    <row r="2656" spans="5:8" x14ac:dyDescent="0.25">
      <c r="E2656" s="2">
        <v>45337</v>
      </c>
      <c r="F2656">
        <v>69.5</v>
      </c>
      <c r="G2656">
        <f t="shared" si="96"/>
        <v>2</v>
      </c>
      <c r="H2656">
        <f t="shared" si="97"/>
        <v>2024</v>
      </c>
    </row>
    <row r="2657" spans="5:8" x14ac:dyDescent="0.25">
      <c r="E2657" s="2">
        <v>45338</v>
      </c>
      <c r="F2657">
        <v>69.5</v>
      </c>
      <c r="G2657">
        <f t="shared" si="96"/>
        <v>2</v>
      </c>
      <c r="H2657">
        <f t="shared" si="97"/>
        <v>2024</v>
      </c>
    </row>
    <row r="2658" spans="5:8" x14ac:dyDescent="0.25">
      <c r="E2658" s="2">
        <v>45342</v>
      </c>
      <c r="F2658">
        <v>63.5</v>
      </c>
      <c r="G2658">
        <f t="shared" si="96"/>
        <v>2</v>
      </c>
      <c r="H2658">
        <f t="shared" si="97"/>
        <v>2024</v>
      </c>
    </row>
    <row r="2659" spans="5:8" x14ac:dyDescent="0.25">
      <c r="E2659" s="2">
        <v>45343</v>
      </c>
      <c r="F2659">
        <v>63</v>
      </c>
      <c r="G2659">
        <f t="shared" si="96"/>
        <v>2</v>
      </c>
      <c r="H2659">
        <f t="shared" si="97"/>
        <v>2024</v>
      </c>
    </row>
    <row r="2660" spans="5:8" x14ac:dyDescent="0.25">
      <c r="E2660" s="2">
        <v>45344</v>
      </c>
      <c r="F2660">
        <v>63</v>
      </c>
      <c r="G2660">
        <f t="shared" si="96"/>
        <v>2</v>
      </c>
      <c r="H2660">
        <f t="shared" si="97"/>
        <v>2024</v>
      </c>
    </row>
    <row r="2661" spans="5:8" x14ac:dyDescent="0.25">
      <c r="E2661" s="2">
        <v>45345</v>
      </c>
      <c r="F2661">
        <v>64</v>
      </c>
      <c r="G2661">
        <f t="shared" si="96"/>
        <v>2</v>
      </c>
      <c r="H2661">
        <f t="shared" si="97"/>
        <v>2024</v>
      </c>
    </row>
    <row r="2662" spans="5:8" x14ac:dyDescent="0.25">
      <c r="E2662" s="2">
        <v>45348</v>
      </c>
      <c r="F2662">
        <v>65</v>
      </c>
      <c r="G2662">
        <f t="shared" si="96"/>
        <v>2</v>
      </c>
      <c r="H2662">
        <f t="shared" si="97"/>
        <v>2024</v>
      </c>
    </row>
    <row r="2663" spans="5:8" x14ac:dyDescent="0.25">
      <c r="E2663" s="2">
        <v>45349</v>
      </c>
      <c r="F2663">
        <v>66</v>
      </c>
      <c r="G2663">
        <f t="shared" si="96"/>
        <v>2</v>
      </c>
      <c r="H2663">
        <f t="shared" si="97"/>
        <v>2024</v>
      </c>
    </row>
    <row r="2664" spans="5:8" x14ac:dyDescent="0.25">
      <c r="E2664" s="2">
        <v>45350</v>
      </c>
      <c r="F2664">
        <v>66.5</v>
      </c>
      <c r="G2664">
        <f t="shared" si="96"/>
        <v>2</v>
      </c>
      <c r="H2664">
        <f t="shared" si="97"/>
        <v>2024</v>
      </c>
    </row>
    <row r="2665" spans="5:8" x14ac:dyDescent="0.25">
      <c r="E2665" s="2">
        <v>45351</v>
      </c>
      <c r="F2665">
        <v>66.25</v>
      </c>
      <c r="G2665">
        <f t="shared" si="96"/>
        <v>2</v>
      </c>
      <c r="H2665">
        <f t="shared" si="97"/>
        <v>2024</v>
      </c>
    </row>
    <row r="2666" spans="5:8" x14ac:dyDescent="0.25">
      <c r="E2666" s="2">
        <v>45352</v>
      </c>
      <c r="F2666">
        <v>66.75</v>
      </c>
      <c r="G2666">
        <f t="shared" si="96"/>
        <v>3</v>
      </c>
      <c r="H2666">
        <f t="shared" si="97"/>
        <v>2024</v>
      </c>
    </row>
    <row r="2667" spans="5:8" x14ac:dyDescent="0.25">
      <c r="E2667" s="2">
        <v>45355</v>
      </c>
      <c r="F2667">
        <v>66.25</v>
      </c>
      <c r="G2667">
        <f t="shared" si="96"/>
        <v>3</v>
      </c>
      <c r="H2667">
        <f t="shared" si="97"/>
        <v>2024</v>
      </c>
    </row>
    <row r="2668" spans="5:8" x14ac:dyDescent="0.25">
      <c r="E2668" s="2">
        <v>45356</v>
      </c>
      <c r="F2668">
        <v>67.5</v>
      </c>
      <c r="G2668">
        <f t="shared" si="96"/>
        <v>3</v>
      </c>
      <c r="H2668">
        <f t="shared" si="97"/>
        <v>2024</v>
      </c>
    </row>
    <row r="2669" spans="5:8" x14ac:dyDescent="0.25">
      <c r="E2669" s="2">
        <v>45357</v>
      </c>
      <c r="F2669">
        <v>68</v>
      </c>
      <c r="G2669">
        <f t="shared" si="96"/>
        <v>3</v>
      </c>
      <c r="H2669">
        <f t="shared" si="97"/>
        <v>2024</v>
      </c>
    </row>
    <row r="2670" spans="5:8" x14ac:dyDescent="0.25">
      <c r="E2670" s="2">
        <v>45358</v>
      </c>
      <c r="F2670">
        <v>67.5</v>
      </c>
      <c r="G2670">
        <f t="shared" si="96"/>
        <v>3</v>
      </c>
      <c r="H2670">
        <f t="shared" si="97"/>
        <v>2024</v>
      </c>
    </row>
    <row r="2671" spans="5:8" x14ac:dyDescent="0.25">
      <c r="E2671" s="2">
        <v>45359</v>
      </c>
      <c r="F2671">
        <v>69</v>
      </c>
      <c r="G2671">
        <f t="shared" si="96"/>
        <v>3</v>
      </c>
      <c r="H2671">
        <f t="shared" si="97"/>
        <v>2024</v>
      </c>
    </row>
    <row r="2672" spans="5:8" x14ac:dyDescent="0.25">
      <c r="E2672" s="2">
        <v>45362</v>
      </c>
      <c r="F2672">
        <v>69</v>
      </c>
      <c r="G2672">
        <f t="shared" si="96"/>
        <v>3</v>
      </c>
      <c r="H2672">
        <f t="shared" si="97"/>
        <v>2024</v>
      </c>
    </row>
    <row r="2673" spans="5:8" x14ac:dyDescent="0.25">
      <c r="E2673" s="2">
        <v>45363</v>
      </c>
      <c r="F2673">
        <v>69</v>
      </c>
      <c r="G2673">
        <f t="shared" si="96"/>
        <v>3</v>
      </c>
      <c r="H2673">
        <f t="shared" si="97"/>
        <v>2024</v>
      </c>
    </row>
    <row r="2674" spans="5:8" x14ac:dyDescent="0.25">
      <c r="E2674" s="2">
        <v>45364</v>
      </c>
      <c r="F2674">
        <v>68.5</v>
      </c>
      <c r="G2674">
        <f t="shared" si="96"/>
        <v>3</v>
      </c>
      <c r="H2674">
        <f t="shared" si="97"/>
        <v>2024</v>
      </c>
    </row>
    <row r="2675" spans="5:8" x14ac:dyDescent="0.25">
      <c r="E2675" s="2">
        <v>45365</v>
      </c>
      <c r="F2675">
        <v>68.5</v>
      </c>
      <c r="G2675">
        <f t="shared" si="96"/>
        <v>3</v>
      </c>
      <c r="H2675">
        <f t="shared" si="97"/>
        <v>2024</v>
      </c>
    </row>
    <row r="2676" spans="5:8" x14ac:dyDescent="0.25">
      <c r="E2676" s="2">
        <v>45366</v>
      </c>
      <c r="F2676">
        <v>68.5</v>
      </c>
      <c r="G2676">
        <f t="shared" si="96"/>
        <v>3</v>
      </c>
      <c r="H2676">
        <f t="shared" si="97"/>
        <v>2024</v>
      </c>
    </row>
    <row r="2677" spans="5:8" x14ac:dyDescent="0.25">
      <c r="E2677" s="2">
        <v>45369</v>
      </c>
      <c r="F2677">
        <v>65</v>
      </c>
      <c r="G2677">
        <f t="shared" si="96"/>
        <v>3</v>
      </c>
      <c r="H2677">
        <f t="shared" si="97"/>
        <v>2024</v>
      </c>
    </row>
    <row r="2678" spans="5:8" x14ac:dyDescent="0.25">
      <c r="E2678" s="2">
        <v>45370</v>
      </c>
      <c r="F2678">
        <v>65</v>
      </c>
      <c r="G2678">
        <f t="shared" si="96"/>
        <v>3</v>
      </c>
      <c r="H2678">
        <f t="shared" si="97"/>
        <v>2024</v>
      </c>
    </row>
    <row r="2679" spans="5:8" x14ac:dyDescent="0.25">
      <c r="E2679" s="2">
        <v>45371</v>
      </c>
      <c r="F2679">
        <v>66.5</v>
      </c>
      <c r="G2679">
        <f t="shared" si="96"/>
        <v>3</v>
      </c>
      <c r="H2679">
        <f t="shared" si="97"/>
        <v>2024</v>
      </c>
    </row>
    <row r="2680" spans="5:8" x14ac:dyDescent="0.25">
      <c r="E2680" s="2">
        <v>45372</v>
      </c>
      <c r="F2680">
        <v>66.5</v>
      </c>
      <c r="G2680">
        <f t="shared" si="96"/>
        <v>3</v>
      </c>
      <c r="H2680">
        <f t="shared" si="97"/>
        <v>2024</v>
      </c>
    </row>
    <row r="2681" spans="5:8" x14ac:dyDescent="0.25">
      <c r="E2681" s="2">
        <v>45373</v>
      </c>
      <c r="F2681">
        <v>65</v>
      </c>
      <c r="G2681">
        <f t="shared" si="96"/>
        <v>3</v>
      </c>
      <c r="H2681">
        <f t="shared" si="97"/>
        <v>2024</v>
      </c>
    </row>
    <row r="2682" spans="5:8" x14ac:dyDescent="0.25">
      <c r="E2682" s="2">
        <v>45376</v>
      </c>
      <c r="F2682">
        <v>65.5</v>
      </c>
      <c r="G2682">
        <f t="shared" si="96"/>
        <v>3</v>
      </c>
      <c r="H2682">
        <f t="shared" si="97"/>
        <v>2024</v>
      </c>
    </row>
    <row r="2683" spans="5:8" x14ac:dyDescent="0.25">
      <c r="E2683" s="2">
        <v>45377</v>
      </c>
      <c r="F2683">
        <v>65.5</v>
      </c>
      <c r="G2683">
        <f t="shared" si="96"/>
        <v>3</v>
      </c>
      <c r="H2683">
        <f t="shared" si="97"/>
        <v>2024</v>
      </c>
    </row>
    <row r="2684" spans="5:8" x14ac:dyDescent="0.25">
      <c r="E2684" s="2">
        <v>45378</v>
      </c>
      <c r="F2684">
        <v>66.25</v>
      </c>
      <c r="G2684">
        <f t="shared" si="96"/>
        <v>3</v>
      </c>
      <c r="H2684">
        <f t="shared" si="97"/>
        <v>2024</v>
      </c>
    </row>
    <row r="2685" spans="5:8" x14ac:dyDescent="0.25">
      <c r="E2685" s="2">
        <v>45379</v>
      </c>
      <c r="F2685">
        <v>66.75</v>
      </c>
      <c r="G2685">
        <f t="shared" si="96"/>
        <v>3</v>
      </c>
      <c r="H2685">
        <f t="shared" si="97"/>
        <v>2024</v>
      </c>
    </row>
    <row r="2686" spans="5:8" x14ac:dyDescent="0.25">
      <c r="E2686" s="2">
        <v>45383</v>
      </c>
      <c r="F2686">
        <v>67</v>
      </c>
      <c r="G2686">
        <f t="shared" si="96"/>
        <v>4</v>
      </c>
      <c r="H2686">
        <f t="shared" si="97"/>
        <v>2024</v>
      </c>
    </row>
    <row r="2687" spans="5:8" x14ac:dyDescent="0.25">
      <c r="E2687" s="2">
        <v>45384</v>
      </c>
      <c r="F2687">
        <v>65</v>
      </c>
      <c r="G2687">
        <f t="shared" si="96"/>
        <v>4</v>
      </c>
      <c r="H2687">
        <f t="shared" si="97"/>
        <v>2024</v>
      </c>
    </row>
    <row r="2688" spans="5:8" x14ac:dyDescent="0.25">
      <c r="E2688" s="2">
        <v>45385</v>
      </c>
      <c r="F2688">
        <v>65</v>
      </c>
      <c r="G2688">
        <f t="shared" si="96"/>
        <v>4</v>
      </c>
      <c r="H2688">
        <f t="shared" si="97"/>
        <v>2024</v>
      </c>
    </row>
    <row r="2689" spans="5:8" x14ac:dyDescent="0.25">
      <c r="E2689" s="2">
        <v>45386</v>
      </c>
      <c r="F2689">
        <v>65.5</v>
      </c>
      <c r="G2689">
        <f t="shared" si="96"/>
        <v>4</v>
      </c>
      <c r="H2689">
        <f t="shared" si="97"/>
        <v>2024</v>
      </c>
    </row>
    <row r="2690" spans="5:8" x14ac:dyDescent="0.25">
      <c r="E2690" s="2">
        <v>45387</v>
      </c>
      <c r="F2690">
        <v>65</v>
      </c>
      <c r="G2690">
        <f t="shared" si="96"/>
        <v>4</v>
      </c>
      <c r="H2690">
        <f t="shared" si="97"/>
        <v>2024</v>
      </c>
    </row>
    <row r="2691" spans="5:8" x14ac:dyDescent="0.25">
      <c r="E2691" s="2">
        <v>45390</v>
      </c>
      <c r="F2691">
        <v>66</v>
      </c>
      <c r="G2691">
        <f t="shared" si="96"/>
        <v>4</v>
      </c>
      <c r="H2691">
        <f t="shared" si="97"/>
        <v>2024</v>
      </c>
    </row>
    <row r="2692" spans="5:8" x14ac:dyDescent="0.25">
      <c r="E2692" s="2">
        <v>45391</v>
      </c>
      <c r="F2692">
        <v>65.5</v>
      </c>
      <c r="G2692">
        <f t="shared" si="96"/>
        <v>4</v>
      </c>
      <c r="H2692">
        <f t="shared" si="97"/>
        <v>2024</v>
      </c>
    </row>
    <row r="2693" spans="5:8" x14ac:dyDescent="0.25">
      <c r="E2693" s="2">
        <v>45392</v>
      </c>
      <c r="F2693">
        <v>62.5</v>
      </c>
      <c r="G2693">
        <f t="shared" ref="G2693:G2756" si="98">MONTH(E2693)</f>
        <v>4</v>
      </c>
      <c r="H2693">
        <f t="shared" ref="H2693:H2756" si="99">YEAR(E2693)</f>
        <v>2024</v>
      </c>
    </row>
    <row r="2694" spans="5:8" x14ac:dyDescent="0.25">
      <c r="E2694" s="2">
        <v>45393</v>
      </c>
      <c r="F2694">
        <v>61.5</v>
      </c>
      <c r="G2694">
        <f t="shared" si="98"/>
        <v>4</v>
      </c>
      <c r="H2694">
        <f t="shared" si="99"/>
        <v>2024</v>
      </c>
    </row>
    <row r="2695" spans="5:8" x14ac:dyDescent="0.25">
      <c r="E2695" s="2">
        <v>45394</v>
      </c>
      <c r="F2695">
        <v>62</v>
      </c>
      <c r="G2695">
        <f t="shared" si="98"/>
        <v>4</v>
      </c>
      <c r="H2695">
        <f t="shared" si="99"/>
        <v>2024</v>
      </c>
    </row>
    <row r="2696" spans="5:8" x14ac:dyDescent="0.25">
      <c r="E2696" s="2">
        <v>45397</v>
      </c>
      <c r="F2696">
        <v>62</v>
      </c>
      <c r="G2696">
        <f t="shared" si="98"/>
        <v>4</v>
      </c>
      <c r="H2696">
        <f t="shared" si="99"/>
        <v>2024</v>
      </c>
    </row>
    <row r="2697" spans="5:8" x14ac:dyDescent="0.25">
      <c r="E2697" s="2">
        <v>45398</v>
      </c>
      <c r="F2697">
        <v>62</v>
      </c>
      <c r="G2697">
        <f t="shared" si="98"/>
        <v>4</v>
      </c>
      <c r="H2697">
        <f t="shared" si="99"/>
        <v>2024</v>
      </c>
    </row>
    <row r="2698" spans="5:8" x14ac:dyDescent="0.25">
      <c r="E2698" s="2">
        <v>45399</v>
      </c>
      <c r="F2698">
        <v>59</v>
      </c>
      <c r="G2698">
        <f t="shared" si="98"/>
        <v>4</v>
      </c>
      <c r="H2698">
        <f t="shared" si="99"/>
        <v>2024</v>
      </c>
    </row>
    <row r="2699" spans="5:8" x14ac:dyDescent="0.25">
      <c r="E2699" s="2">
        <v>45400</v>
      </c>
      <c r="F2699">
        <v>59</v>
      </c>
      <c r="G2699">
        <f t="shared" si="98"/>
        <v>4</v>
      </c>
      <c r="H2699">
        <f t="shared" si="99"/>
        <v>2024</v>
      </c>
    </row>
    <row r="2700" spans="5:8" x14ac:dyDescent="0.25">
      <c r="E2700" s="2">
        <v>45401</v>
      </c>
      <c r="F2700">
        <v>58.5</v>
      </c>
      <c r="G2700">
        <f t="shared" si="98"/>
        <v>4</v>
      </c>
      <c r="H2700">
        <f t="shared" si="99"/>
        <v>2024</v>
      </c>
    </row>
    <row r="2701" spans="5:8" x14ac:dyDescent="0.25">
      <c r="E2701" s="2">
        <v>45404</v>
      </c>
      <c r="F2701">
        <v>60</v>
      </c>
      <c r="G2701">
        <f t="shared" si="98"/>
        <v>4</v>
      </c>
      <c r="H2701">
        <f t="shared" si="99"/>
        <v>2024</v>
      </c>
    </row>
    <row r="2702" spans="5:8" x14ac:dyDescent="0.25">
      <c r="E2702" s="2">
        <v>45405</v>
      </c>
      <c r="F2702">
        <v>59</v>
      </c>
      <c r="G2702">
        <f t="shared" si="98"/>
        <v>4</v>
      </c>
      <c r="H2702">
        <f t="shared" si="99"/>
        <v>2024</v>
      </c>
    </row>
    <row r="2703" spans="5:8" x14ac:dyDescent="0.25">
      <c r="E2703" s="2">
        <v>45406</v>
      </c>
      <c r="F2703">
        <v>59</v>
      </c>
      <c r="G2703">
        <f t="shared" si="98"/>
        <v>4</v>
      </c>
      <c r="H2703">
        <f t="shared" si="99"/>
        <v>2024</v>
      </c>
    </row>
    <row r="2704" spans="5:8" x14ac:dyDescent="0.25">
      <c r="E2704" s="2">
        <v>45407</v>
      </c>
      <c r="F2704">
        <v>61</v>
      </c>
      <c r="G2704">
        <f t="shared" si="98"/>
        <v>4</v>
      </c>
      <c r="H2704">
        <f t="shared" si="99"/>
        <v>2024</v>
      </c>
    </row>
    <row r="2705" spans="5:8" x14ac:dyDescent="0.25">
      <c r="E2705" s="2">
        <v>45408</v>
      </c>
      <c r="F2705">
        <v>60</v>
      </c>
      <c r="G2705">
        <f t="shared" si="98"/>
        <v>4</v>
      </c>
      <c r="H2705">
        <f t="shared" si="99"/>
        <v>2024</v>
      </c>
    </row>
    <row r="2706" spans="5:8" x14ac:dyDescent="0.25">
      <c r="E2706" s="2">
        <v>45411</v>
      </c>
      <c r="F2706">
        <v>60</v>
      </c>
      <c r="G2706">
        <f t="shared" si="98"/>
        <v>4</v>
      </c>
      <c r="H2706">
        <f t="shared" si="99"/>
        <v>2024</v>
      </c>
    </row>
    <row r="2707" spans="5:8" x14ac:dyDescent="0.25">
      <c r="E2707" s="2">
        <v>45412</v>
      </c>
      <c r="F2707">
        <v>57.5</v>
      </c>
      <c r="G2707">
        <f t="shared" si="98"/>
        <v>4</v>
      </c>
      <c r="H2707">
        <f t="shared" si="99"/>
        <v>2024</v>
      </c>
    </row>
    <row r="2708" spans="5:8" x14ac:dyDescent="0.25">
      <c r="E2708" s="2">
        <v>45413</v>
      </c>
      <c r="F2708">
        <v>57.5</v>
      </c>
      <c r="G2708">
        <f t="shared" si="98"/>
        <v>5</v>
      </c>
      <c r="H2708">
        <f t="shared" si="99"/>
        <v>2024</v>
      </c>
    </row>
    <row r="2709" spans="5:8" x14ac:dyDescent="0.25">
      <c r="E2709" s="2">
        <v>45414</v>
      </c>
      <c r="F2709">
        <v>57</v>
      </c>
      <c r="G2709">
        <f t="shared" si="98"/>
        <v>5</v>
      </c>
      <c r="H2709">
        <f t="shared" si="99"/>
        <v>2024</v>
      </c>
    </row>
    <row r="2710" spans="5:8" x14ac:dyDescent="0.25">
      <c r="E2710" s="2">
        <v>45415</v>
      </c>
      <c r="F2710">
        <v>57</v>
      </c>
      <c r="G2710">
        <f t="shared" si="98"/>
        <v>5</v>
      </c>
      <c r="H2710">
        <f t="shared" si="99"/>
        <v>2024</v>
      </c>
    </row>
    <row r="2711" spans="5:8" x14ac:dyDescent="0.25">
      <c r="E2711" s="2">
        <v>45418</v>
      </c>
      <c r="F2711">
        <v>57</v>
      </c>
      <c r="G2711">
        <f t="shared" si="98"/>
        <v>5</v>
      </c>
      <c r="H2711">
        <f t="shared" si="99"/>
        <v>2024</v>
      </c>
    </row>
    <row r="2712" spans="5:8" x14ac:dyDescent="0.25">
      <c r="E2712" s="2">
        <v>45419</v>
      </c>
      <c r="F2712">
        <v>51</v>
      </c>
      <c r="G2712">
        <f t="shared" si="98"/>
        <v>5</v>
      </c>
      <c r="H2712">
        <f t="shared" si="99"/>
        <v>2024</v>
      </c>
    </row>
    <row r="2713" spans="5:8" x14ac:dyDescent="0.25">
      <c r="E2713" s="2">
        <v>45420</v>
      </c>
      <c r="F2713">
        <v>52</v>
      </c>
      <c r="G2713">
        <f t="shared" si="98"/>
        <v>5</v>
      </c>
      <c r="H2713">
        <f t="shared" si="99"/>
        <v>2024</v>
      </c>
    </row>
    <row r="2714" spans="5:8" x14ac:dyDescent="0.25">
      <c r="E2714" s="2">
        <v>45421</v>
      </c>
      <c r="F2714">
        <v>49</v>
      </c>
      <c r="G2714">
        <f t="shared" si="98"/>
        <v>5</v>
      </c>
      <c r="H2714">
        <f t="shared" si="99"/>
        <v>2024</v>
      </c>
    </row>
    <row r="2715" spans="5:8" x14ac:dyDescent="0.25">
      <c r="E2715" s="2">
        <v>45422</v>
      </c>
      <c r="F2715">
        <v>49</v>
      </c>
      <c r="G2715">
        <f t="shared" si="98"/>
        <v>5</v>
      </c>
      <c r="H2715">
        <f t="shared" si="99"/>
        <v>2024</v>
      </c>
    </row>
    <row r="2716" spans="5:8" x14ac:dyDescent="0.25">
      <c r="E2716" s="2">
        <v>45425</v>
      </c>
      <c r="F2716">
        <v>49</v>
      </c>
      <c r="G2716">
        <f t="shared" si="98"/>
        <v>5</v>
      </c>
      <c r="H2716">
        <f t="shared" si="99"/>
        <v>2024</v>
      </c>
    </row>
    <row r="2717" spans="5:8" x14ac:dyDescent="0.25">
      <c r="E2717" s="2">
        <v>45426</v>
      </c>
      <c r="F2717">
        <v>44.5</v>
      </c>
      <c r="G2717">
        <f t="shared" si="98"/>
        <v>5</v>
      </c>
      <c r="H2717">
        <f t="shared" si="99"/>
        <v>2024</v>
      </c>
    </row>
    <row r="2718" spans="5:8" x14ac:dyDescent="0.25">
      <c r="E2718" s="2">
        <v>45427</v>
      </c>
      <c r="F2718">
        <v>43</v>
      </c>
      <c r="G2718">
        <f t="shared" si="98"/>
        <v>5</v>
      </c>
      <c r="H2718">
        <f t="shared" si="99"/>
        <v>2024</v>
      </c>
    </row>
    <row r="2719" spans="5:8" x14ac:dyDescent="0.25">
      <c r="E2719" s="2">
        <v>45428</v>
      </c>
      <c r="F2719">
        <v>42</v>
      </c>
      <c r="G2719">
        <f t="shared" si="98"/>
        <v>5</v>
      </c>
      <c r="H2719">
        <f t="shared" si="99"/>
        <v>2024</v>
      </c>
    </row>
    <row r="2720" spans="5:8" x14ac:dyDescent="0.25">
      <c r="E2720" s="2">
        <v>45429</v>
      </c>
      <c r="F2720">
        <v>40</v>
      </c>
      <c r="G2720">
        <f t="shared" si="98"/>
        <v>5</v>
      </c>
      <c r="H2720">
        <f t="shared" si="99"/>
        <v>2024</v>
      </c>
    </row>
    <row r="2721" spans="5:8" x14ac:dyDescent="0.25">
      <c r="E2721" s="2">
        <v>45432</v>
      </c>
      <c r="F2721">
        <v>44</v>
      </c>
      <c r="G2721">
        <f t="shared" si="98"/>
        <v>5</v>
      </c>
      <c r="H2721">
        <f t="shared" si="99"/>
        <v>2024</v>
      </c>
    </row>
    <row r="2722" spans="5:8" x14ac:dyDescent="0.25">
      <c r="E2722" s="2">
        <v>45433</v>
      </c>
      <c r="F2722">
        <v>50</v>
      </c>
      <c r="G2722">
        <f t="shared" si="98"/>
        <v>5</v>
      </c>
      <c r="H2722">
        <f t="shared" si="99"/>
        <v>2024</v>
      </c>
    </row>
    <row r="2723" spans="5:8" x14ac:dyDescent="0.25">
      <c r="E2723" s="2">
        <v>45434</v>
      </c>
      <c r="F2723">
        <v>47</v>
      </c>
      <c r="G2723">
        <f t="shared" si="98"/>
        <v>5</v>
      </c>
      <c r="H2723">
        <f t="shared" si="99"/>
        <v>2024</v>
      </c>
    </row>
    <row r="2724" spans="5:8" x14ac:dyDescent="0.25">
      <c r="E2724" s="2">
        <v>45435</v>
      </c>
      <c r="F2724">
        <v>47</v>
      </c>
      <c r="G2724">
        <f t="shared" si="98"/>
        <v>5</v>
      </c>
      <c r="H2724">
        <f t="shared" si="99"/>
        <v>2024</v>
      </c>
    </row>
    <row r="2725" spans="5:8" x14ac:dyDescent="0.25">
      <c r="E2725" s="2">
        <v>45436</v>
      </c>
      <c r="F2725">
        <v>44</v>
      </c>
      <c r="G2725">
        <f t="shared" si="98"/>
        <v>5</v>
      </c>
      <c r="H2725">
        <f t="shared" si="99"/>
        <v>2024</v>
      </c>
    </row>
    <row r="2726" spans="5:8" x14ac:dyDescent="0.25">
      <c r="E2726" s="2">
        <v>45440</v>
      </c>
      <c r="F2726">
        <v>44</v>
      </c>
      <c r="G2726">
        <f t="shared" si="98"/>
        <v>5</v>
      </c>
      <c r="H2726">
        <f t="shared" si="99"/>
        <v>2024</v>
      </c>
    </row>
    <row r="2727" spans="5:8" x14ac:dyDescent="0.25">
      <c r="E2727" s="2">
        <v>45441</v>
      </c>
      <c r="F2727">
        <v>47.5</v>
      </c>
      <c r="G2727">
        <f t="shared" si="98"/>
        <v>5</v>
      </c>
      <c r="H2727">
        <f t="shared" si="99"/>
        <v>2024</v>
      </c>
    </row>
    <row r="2728" spans="5:8" x14ac:dyDescent="0.25">
      <c r="E2728" s="2">
        <v>45442</v>
      </c>
      <c r="F2728">
        <v>48</v>
      </c>
      <c r="G2728">
        <f t="shared" si="98"/>
        <v>5</v>
      </c>
      <c r="H2728">
        <f t="shared" si="99"/>
        <v>2024</v>
      </c>
    </row>
    <row r="2729" spans="5:8" x14ac:dyDescent="0.25">
      <c r="E2729" s="2">
        <v>45443</v>
      </c>
      <c r="F2729">
        <v>47</v>
      </c>
      <c r="G2729">
        <f t="shared" si="98"/>
        <v>5</v>
      </c>
      <c r="H2729">
        <f t="shared" si="99"/>
        <v>2024</v>
      </c>
    </row>
    <row r="2730" spans="5:8" x14ac:dyDescent="0.25">
      <c r="E2730" s="2">
        <v>45446</v>
      </c>
      <c r="F2730">
        <v>46.5</v>
      </c>
      <c r="G2730">
        <f t="shared" si="98"/>
        <v>6</v>
      </c>
      <c r="H2730">
        <f t="shared" si="99"/>
        <v>2024</v>
      </c>
    </row>
    <row r="2731" spans="5:8" x14ac:dyDescent="0.25">
      <c r="E2731" s="2">
        <v>45447</v>
      </c>
      <c r="F2731">
        <v>44</v>
      </c>
      <c r="G2731">
        <f t="shared" si="98"/>
        <v>6</v>
      </c>
      <c r="H2731">
        <f t="shared" si="99"/>
        <v>2024</v>
      </c>
    </row>
    <row r="2732" spans="5:8" x14ac:dyDescent="0.25">
      <c r="E2732" s="2">
        <v>45448</v>
      </c>
      <c r="F2732">
        <v>43.5</v>
      </c>
      <c r="G2732">
        <f t="shared" si="98"/>
        <v>6</v>
      </c>
      <c r="H2732">
        <f t="shared" si="99"/>
        <v>2024</v>
      </c>
    </row>
    <row r="2733" spans="5:8" x14ac:dyDescent="0.25">
      <c r="E2733" s="2">
        <v>45449</v>
      </c>
      <c r="F2733">
        <v>45.5</v>
      </c>
      <c r="G2733">
        <f t="shared" si="98"/>
        <v>6</v>
      </c>
      <c r="H2733">
        <f t="shared" si="99"/>
        <v>2024</v>
      </c>
    </row>
    <row r="2734" spans="5:8" x14ac:dyDescent="0.25">
      <c r="E2734" s="2">
        <v>45450</v>
      </c>
      <c r="F2734">
        <v>45.5</v>
      </c>
      <c r="G2734">
        <f t="shared" si="98"/>
        <v>6</v>
      </c>
      <c r="H2734">
        <f t="shared" si="99"/>
        <v>2024</v>
      </c>
    </row>
    <row r="2735" spans="5:8" x14ac:dyDescent="0.25">
      <c r="E2735" s="2">
        <v>45453</v>
      </c>
      <c r="F2735">
        <v>44.5</v>
      </c>
      <c r="G2735">
        <f t="shared" si="98"/>
        <v>6</v>
      </c>
      <c r="H2735">
        <f t="shared" si="99"/>
        <v>2024</v>
      </c>
    </row>
    <row r="2736" spans="5:8" x14ac:dyDescent="0.25">
      <c r="E2736" s="2">
        <v>45454</v>
      </c>
      <c r="F2736">
        <v>44</v>
      </c>
      <c r="G2736">
        <f t="shared" si="98"/>
        <v>6</v>
      </c>
      <c r="H2736">
        <f t="shared" si="99"/>
        <v>2024</v>
      </c>
    </row>
    <row r="2737" spans="5:8" x14ac:dyDescent="0.25">
      <c r="E2737" s="2">
        <v>45455</v>
      </c>
      <c r="F2737">
        <v>44.5</v>
      </c>
      <c r="G2737">
        <f t="shared" si="98"/>
        <v>6</v>
      </c>
      <c r="H2737">
        <f t="shared" si="99"/>
        <v>2024</v>
      </c>
    </row>
    <row r="2738" spans="5:8" x14ac:dyDescent="0.25">
      <c r="E2738" s="2">
        <v>45456</v>
      </c>
      <c r="F2738">
        <v>45</v>
      </c>
      <c r="G2738">
        <f t="shared" si="98"/>
        <v>6</v>
      </c>
      <c r="H2738">
        <f t="shared" si="99"/>
        <v>2024</v>
      </c>
    </row>
    <row r="2739" spans="5:8" x14ac:dyDescent="0.25">
      <c r="E2739" s="2">
        <v>45457</v>
      </c>
      <c r="F2739">
        <v>44.25</v>
      </c>
      <c r="G2739">
        <f t="shared" si="98"/>
        <v>6</v>
      </c>
      <c r="H2739">
        <f t="shared" si="99"/>
        <v>2024</v>
      </c>
    </row>
    <row r="2740" spans="5:8" x14ac:dyDescent="0.25">
      <c r="E2740" s="2">
        <v>45460</v>
      </c>
      <c r="F2740">
        <v>44.25</v>
      </c>
      <c r="G2740">
        <f t="shared" si="98"/>
        <v>6</v>
      </c>
      <c r="H2740">
        <f t="shared" si="99"/>
        <v>2024</v>
      </c>
    </row>
    <row r="2741" spans="5:8" x14ac:dyDescent="0.25">
      <c r="E2741" s="2">
        <v>45461</v>
      </c>
      <c r="F2741">
        <v>44.38</v>
      </c>
      <c r="G2741">
        <f t="shared" si="98"/>
        <v>6</v>
      </c>
      <c r="H2741">
        <f t="shared" si="99"/>
        <v>2024</v>
      </c>
    </row>
    <row r="2742" spans="5:8" x14ac:dyDescent="0.25">
      <c r="E2742" s="2">
        <v>45463</v>
      </c>
      <c r="F2742">
        <v>44.5</v>
      </c>
      <c r="G2742">
        <f t="shared" si="98"/>
        <v>6</v>
      </c>
      <c r="H2742">
        <f t="shared" si="99"/>
        <v>2024</v>
      </c>
    </row>
    <row r="2743" spans="5:8" x14ac:dyDescent="0.25">
      <c r="E2743" s="2">
        <v>45464</v>
      </c>
      <c r="F2743">
        <v>43.75</v>
      </c>
      <c r="G2743">
        <f t="shared" si="98"/>
        <v>6</v>
      </c>
      <c r="H2743">
        <f t="shared" si="99"/>
        <v>2024</v>
      </c>
    </row>
    <row r="2744" spans="5:8" x14ac:dyDescent="0.25">
      <c r="E2744" s="2">
        <v>45467</v>
      </c>
      <c r="F2744">
        <v>43.75</v>
      </c>
      <c r="G2744">
        <f t="shared" si="98"/>
        <v>6</v>
      </c>
      <c r="H2744">
        <f t="shared" si="99"/>
        <v>2024</v>
      </c>
    </row>
    <row r="2745" spans="5:8" x14ac:dyDescent="0.25">
      <c r="E2745" s="2">
        <v>45468</v>
      </c>
      <c r="F2745">
        <v>44.5</v>
      </c>
      <c r="G2745">
        <f t="shared" si="98"/>
        <v>6</v>
      </c>
      <c r="H2745">
        <f t="shared" si="99"/>
        <v>2024</v>
      </c>
    </row>
    <row r="2746" spans="5:8" x14ac:dyDescent="0.25">
      <c r="E2746" s="2">
        <v>45469</v>
      </c>
      <c r="F2746">
        <v>45</v>
      </c>
      <c r="G2746">
        <f t="shared" si="98"/>
        <v>6</v>
      </c>
      <c r="H2746">
        <f t="shared" si="99"/>
        <v>2024</v>
      </c>
    </row>
    <row r="2747" spans="5:8" x14ac:dyDescent="0.25">
      <c r="E2747" s="2">
        <v>45470</v>
      </c>
      <c r="F2747">
        <v>46</v>
      </c>
      <c r="G2747">
        <f t="shared" si="98"/>
        <v>6</v>
      </c>
      <c r="H2747">
        <f t="shared" si="99"/>
        <v>2024</v>
      </c>
    </row>
    <row r="2748" spans="5:8" x14ac:dyDescent="0.25">
      <c r="E2748" s="2">
        <v>45471</v>
      </c>
      <c r="F2748">
        <v>46</v>
      </c>
      <c r="G2748">
        <f t="shared" si="98"/>
        <v>6</v>
      </c>
      <c r="H2748">
        <f t="shared" si="99"/>
        <v>2024</v>
      </c>
    </row>
    <row r="2749" spans="5:8" x14ac:dyDescent="0.25">
      <c r="E2749" s="2">
        <v>45474</v>
      </c>
      <c r="F2749">
        <v>46</v>
      </c>
      <c r="G2749">
        <f t="shared" si="98"/>
        <v>7</v>
      </c>
      <c r="H2749">
        <f t="shared" si="99"/>
        <v>2024</v>
      </c>
    </row>
    <row r="2750" spans="5:8" x14ac:dyDescent="0.25">
      <c r="E2750" s="2">
        <v>45475</v>
      </c>
      <c r="F2750">
        <v>44</v>
      </c>
      <c r="G2750">
        <f t="shared" si="98"/>
        <v>7</v>
      </c>
      <c r="H2750">
        <f t="shared" si="99"/>
        <v>2024</v>
      </c>
    </row>
    <row r="2751" spans="5:8" x14ac:dyDescent="0.25">
      <c r="E2751" s="2">
        <v>45476</v>
      </c>
      <c r="F2751">
        <v>43.5</v>
      </c>
      <c r="G2751">
        <f t="shared" si="98"/>
        <v>7</v>
      </c>
      <c r="H2751">
        <f t="shared" si="99"/>
        <v>2024</v>
      </c>
    </row>
    <row r="2752" spans="5:8" x14ac:dyDescent="0.25">
      <c r="E2752" s="2">
        <v>45478</v>
      </c>
      <c r="F2752">
        <v>43.5</v>
      </c>
      <c r="G2752">
        <f t="shared" si="98"/>
        <v>7</v>
      </c>
      <c r="H2752">
        <f t="shared" si="99"/>
        <v>2024</v>
      </c>
    </row>
    <row r="2753" spans="5:8" x14ac:dyDescent="0.25">
      <c r="E2753" s="2">
        <v>45481</v>
      </c>
      <c r="F2753">
        <v>43</v>
      </c>
      <c r="G2753">
        <f t="shared" si="98"/>
        <v>7</v>
      </c>
      <c r="H2753">
        <f t="shared" si="99"/>
        <v>2024</v>
      </c>
    </row>
    <row r="2754" spans="5:8" x14ac:dyDescent="0.25">
      <c r="E2754" s="2">
        <v>45482</v>
      </c>
      <c r="F2754">
        <v>44</v>
      </c>
      <c r="G2754">
        <f t="shared" si="98"/>
        <v>7</v>
      </c>
      <c r="H2754">
        <f t="shared" si="99"/>
        <v>2024</v>
      </c>
    </row>
    <row r="2755" spans="5:8" x14ac:dyDescent="0.25">
      <c r="E2755" s="2">
        <v>45483</v>
      </c>
      <c r="F2755">
        <v>45.5</v>
      </c>
      <c r="G2755">
        <f t="shared" si="98"/>
        <v>7</v>
      </c>
      <c r="H2755">
        <f t="shared" si="99"/>
        <v>2024</v>
      </c>
    </row>
    <row r="2756" spans="5:8" x14ac:dyDescent="0.25">
      <c r="E2756" s="2">
        <v>45484</v>
      </c>
      <c r="F2756">
        <v>45</v>
      </c>
      <c r="G2756">
        <f t="shared" si="98"/>
        <v>7</v>
      </c>
      <c r="H2756">
        <f t="shared" si="99"/>
        <v>2024</v>
      </c>
    </row>
    <row r="2757" spans="5:8" x14ac:dyDescent="0.25">
      <c r="E2757" s="2">
        <v>45485</v>
      </c>
      <c r="F2757">
        <v>45.5</v>
      </c>
      <c r="G2757">
        <f t="shared" ref="G2757:G2820" si="100">MONTH(E2757)</f>
        <v>7</v>
      </c>
      <c r="H2757">
        <f t="shared" ref="H2757:H2820" si="101">YEAR(E2757)</f>
        <v>2024</v>
      </c>
    </row>
    <row r="2758" spans="5:8" x14ac:dyDescent="0.25">
      <c r="E2758" s="2">
        <v>45488</v>
      </c>
      <c r="F2758">
        <v>46.5</v>
      </c>
      <c r="G2758">
        <f t="shared" si="100"/>
        <v>7</v>
      </c>
      <c r="H2758">
        <f t="shared" si="101"/>
        <v>2024</v>
      </c>
    </row>
    <row r="2759" spans="5:8" x14ac:dyDescent="0.25">
      <c r="E2759" s="2">
        <v>45489</v>
      </c>
      <c r="F2759">
        <v>47</v>
      </c>
      <c r="G2759">
        <f t="shared" si="100"/>
        <v>7</v>
      </c>
      <c r="H2759">
        <f t="shared" si="101"/>
        <v>2024</v>
      </c>
    </row>
    <row r="2760" spans="5:8" x14ac:dyDescent="0.25">
      <c r="E2760" s="2">
        <v>45490</v>
      </c>
      <c r="F2760">
        <v>47</v>
      </c>
      <c r="G2760">
        <f t="shared" si="100"/>
        <v>7</v>
      </c>
      <c r="H2760">
        <f t="shared" si="101"/>
        <v>2024</v>
      </c>
    </row>
    <row r="2761" spans="5:8" x14ac:dyDescent="0.25">
      <c r="E2761" s="2">
        <v>45491</v>
      </c>
      <c r="F2761">
        <v>49</v>
      </c>
      <c r="G2761">
        <f t="shared" si="100"/>
        <v>7</v>
      </c>
      <c r="H2761">
        <f t="shared" si="101"/>
        <v>2024</v>
      </c>
    </row>
    <row r="2762" spans="5:8" x14ac:dyDescent="0.25">
      <c r="E2762" s="2">
        <v>45492</v>
      </c>
      <c r="F2762">
        <v>48.5</v>
      </c>
      <c r="G2762">
        <f t="shared" si="100"/>
        <v>7</v>
      </c>
      <c r="H2762">
        <f t="shared" si="101"/>
        <v>2024</v>
      </c>
    </row>
    <row r="2763" spans="5:8" x14ac:dyDescent="0.25">
      <c r="E2763" s="2">
        <v>45495</v>
      </c>
      <c r="F2763">
        <v>49.5</v>
      </c>
      <c r="G2763">
        <f t="shared" si="100"/>
        <v>7</v>
      </c>
      <c r="H2763">
        <f t="shared" si="101"/>
        <v>2024</v>
      </c>
    </row>
    <row r="2764" spans="5:8" x14ac:dyDescent="0.25">
      <c r="E2764" s="2">
        <v>45496</v>
      </c>
      <c r="F2764">
        <v>49.5</v>
      </c>
      <c r="G2764">
        <f t="shared" si="100"/>
        <v>7</v>
      </c>
      <c r="H2764">
        <f t="shared" si="101"/>
        <v>2024</v>
      </c>
    </row>
    <row r="2765" spans="5:8" x14ac:dyDescent="0.25">
      <c r="E2765" s="2">
        <v>45497</v>
      </c>
      <c r="F2765">
        <v>50</v>
      </c>
      <c r="G2765">
        <f t="shared" si="100"/>
        <v>7</v>
      </c>
      <c r="H2765">
        <f t="shared" si="101"/>
        <v>2024</v>
      </c>
    </row>
    <row r="2766" spans="5:8" x14ac:dyDescent="0.25">
      <c r="E2766" s="2">
        <v>45498</v>
      </c>
      <c r="F2766">
        <v>50</v>
      </c>
      <c r="G2766">
        <f t="shared" si="100"/>
        <v>7</v>
      </c>
      <c r="H2766">
        <f t="shared" si="101"/>
        <v>2024</v>
      </c>
    </row>
    <row r="2767" spans="5:8" x14ac:dyDescent="0.25">
      <c r="E2767" s="2">
        <v>45499</v>
      </c>
      <c r="F2767">
        <v>50</v>
      </c>
      <c r="G2767">
        <f t="shared" si="100"/>
        <v>7</v>
      </c>
      <c r="H2767">
        <f t="shared" si="101"/>
        <v>2024</v>
      </c>
    </row>
    <row r="2768" spans="5:8" x14ac:dyDescent="0.25">
      <c r="E2768" s="2">
        <v>45502</v>
      </c>
      <c r="F2768">
        <v>50</v>
      </c>
      <c r="G2768">
        <f t="shared" si="100"/>
        <v>7</v>
      </c>
      <c r="H2768">
        <f t="shared" si="101"/>
        <v>2024</v>
      </c>
    </row>
    <row r="2769" spans="5:8" x14ac:dyDescent="0.25">
      <c r="E2769" s="2">
        <v>45503</v>
      </c>
      <c r="F2769">
        <v>50.5</v>
      </c>
      <c r="G2769">
        <f t="shared" si="100"/>
        <v>7</v>
      </c>
      <c r="H2769">
        <f t="shared" si="101"/>
        <v>2024</v>
      </c>
    </row>
    <row r="2770" spans="5:8" x14ac:dyDescent="0.25">
      <c r="E2770" s="2">
        <v>45504</v>
      </c>
      <c r="F2770">
        <v>50.5</v>
      </c>
      <c r="G2770">
        <f t="shared" si="100"/>
        <v>7</v>
      </c>
      <c r="H2770">
        <f t="shared" si="101"/>
        <v>2024</v>
      </c>
    </row>
    <row r="2771" spans="5:8" x14ac:dyDescent="0.25">
      <c r="E2771" s="2">
        <v>45505</v>
      </c>
      <c r="F2771">
        <v>50.5</v>
      </c>
      <c r="G2771">
        <f t="shared" si="100"/>
        <v>8</v>
      </c>
      <c r="H2771">
        <f t="shared" si="101"/>
        <v>2024</v>
      </c>
    </row>
    <row r="2772" spans="5:8" x14ac:dyDescent="0.25">
      <c r="E2772" s="2">
        <v>45506</v>
      </c>
      <c r="F2772">
        <v>49</v>
      </c>
      <c r="G2772">
        <f t="shared" si="100"/>
        <v>8</v>
      </c>
      <c r="H2772">
        <f t="shared" si="101"/>
        <v>2024</v>
      </c>
    </row>
    <row r="2773" spans="5:8" x14ac:dyDescent="0.25">
      <c r="E2773" s="2">
        <v>45509</v>
      </c>
      <c r="F2773">
        <v>49.5</v>
      </c>
      <c r="G2773">
        <f t="shared" si="100"/>
        <v>8</v>
      </c>
      <c r="H2773">
        <f t="shared" si="101"/>
        <v>2024</v>
      </c>
    </row>
    <row r="2774" spans="5:8" x14ac:dyDescent="0.25">
      <c r="E2774" s="2">
        <v>45510</v>
      </c>
      <c r="F2774">
        <v>49</v>
      </c>
      <c r="G2774">
        <f t="shared" si="100"/>
        <v>8</v>
      </c>
      <c r="H2774">
        <f t="shared" si="101"/>
        <v>2024</v>
      </c>
    </row>
    <row r="2775" spans="5:8" x14ac:dyDescent="0.25">
      <c r="E2775" s="2">
        <v>45511</v>
      </c>
      <c r="F2775">
        <v>48.25</v>
      </c>
      <c r="G2775">
        <f t="shared" si="100"/>
        <v>8</v>
      </c>
      <c r="H2775">
        <f t="shared" si="101"/>
        <v>2024</v>
      </c>
    </row>
    <row r="2776" spans="5:8" x14ac:dyDescent="0.25">
      <c r="E2776" s="2">
        <v>45512</v>
      </c>
      <c r="F2776">
        <v>49.25</v>
      </c>
      <c r="G2776">
        <f t="shared" si="100"/>
        <v>8</v>
      </c>
      <c r="H2776">
        <f t="shared" si="101"/>
        <v>2024</v>
      </c>
    </row>
    <row r="2777" spans="5:8" x14ac:dyDescent="0.25">
      <c r="E2777" s="2">
        <v>45513</v>
      </c>
      <c r="F2777">
        <v>49</v>
      </c>
      <c r="G2777">
        <f t="shared" si="100"/>
        <v>8</v>
      </c>
      <c r="H2777">
        <f t="shared" si="101"/>
        <v>2024</v>
      </c>
    </row>
    <row r="2778" spans="5:8" x14ac:dyDescent="0.25">
      <c r="E2778" s="2">
        <v>45516</v>
      </c>
      <c r="F2778">
        <v>48.75</v>
      </c>
      <c r="G2778">
        <f t="shared" si="100"/>
        <v>8</v>
      </c>
      <c r="H2778">
        <f t="shared" si="101"/>
        <v>2024</v>
      </c>
    </row>
    <row r="2779" spans="5:8" x14ac:dyDescent="0.25">
      <c r="E2779" s="2">
        <v>45517</v>
      </c>
      <c r="F2779">
        <v>57.5</v>
      </c>
      <c r="G2779">
        <f t="shared" si="100"/>
        <v>8</v>
      </c>
      <c r="H2779">
        <f t="shared" si="101"/>
        <v>2024</v>
      </c>
    </row>
    <row r="2780" spans="5:8" x14ac:dyDescent="0.25">
      <c r="E2780" s="2">
        <v>45518</v>
      </c>
      <c r="F2780">
        <v>57</v>
      </c>
      <c r="G2780">
        <f t="shared" si="100"/>
        <v>8</v>
      </c>
      <c r="H2780">
        <f t="shared" si="101"/>
        <v>2024</v>
      </c>
    </row>
    <row r="2781" spans="5:8" x14ac:dyDescent="0.25">
      <c r="E2781" s="2">
        <v>45519</v>
      </c>
      <c r="F2781">
        <v>56</v>
      </c>
      <c r="G2781">
        <f t="shared" si="100"/>
        <v>8</v>
      </c>
      <c r="H2781">
        <f t="shared" si="101"/>
        <v>2024</v>
      </c>
    </row>
    <row r="2782" spans="5:8" x14ac:dyDescent="0.25">
      <c r="E2782" s="2">
        <v>45520</v>
      </c>
      <c r="F2782">
        <v>54</v>
      </c>
      <c r="G2782">
        <f t="shared" si="100"/>
        <v>8</v>
      </c>
      <c r="H2782">
        <f t="shared" si="101"/>
        <v>2024</v>
      </c>
    </row>
    <row r="2783" spans="5:8" x14ac:dyDescent="0.25">
      <c r="E2783" s="2">
        <v>45523</v>
      </c>
      <c r="F2783">
        <v>53.25</v>
      </c>
      <c r="G2783">
        <f t="shared" si="100"/>
        <v>8</v>
      </c>
      <c r="H2783">
        <f t="shared" si="101"/>
        <v>2024</v>
      </c>
    </row>
    <row r="2784" spans="5:8" x14ac:dyDescent="0.25">
      <c r="E2784" s="2">
        <v>45524</v>
      </c>
      <c r="F2784">
        <v>51.5</v>
      </c>
      <c r="G2784">
        <f t="shared" si="100"/>
        <v>8</v>
      </c>
      <c r="H2784">
        <f t="shared" si="101"/>
        <v>2024</v>
      </c>
    </row>
    <row r="2785" spans="5:8" x14ac:dyDescent="0.25">
      <c r="E2785" s="2">
        <v>45525</v>
      </c>
      <c r="F2785">
        <v>52.75</v>
      </c>
      <c r="G2785">
        <f t="shared" si="100"/>
        <v>8</v>
      </c>
      <c r="H2785">
        <f t="shared" si="101"/>
        <v>2024</v>
      </c>
    </row>
    <row r="2786" spans="5:8" x14ac:dyDescent="0.25">
      <c r="E2786" s="2">
        <v>45526</v>
      </c>
      <c r="F2786">
        <v>54</v>
      </c>
      <c r="G2786">
        <f t="shared" si="100"/>
        <v>8</v>
      </c>
      <c r="H2786">
        <f t="shared" si="101"/>
        <v>2024</v>
      </c>
    </row>
    <row r="2787" spans="5:8" x14ac:dyDescent="0.25">
      <c r="E2787" s="2">
        <v>45527</v>
      </c>
      <c r="F2787">
        <v>53</v>
      </c>
      <c r="G2787">
        <f t="shared" si="100"/>
        <v>8</v>
      </c>
      <c r="H2787">
        <f t="shared" si="101"/>
        <v>2024</v>
      </c>
    </row>
    <row r="2788" spans="5:8" x14ac:dyDescent="0.25">
      <c r="E2788" s="2">
        <v>45530</v>
      </c>
      <c r="F2788">
        <v>54</v>
      </c>
      <c r="G2788">
        <f t="shared" si="100"/>
        <v>8</v>
      </c>
      <c r="H2788">
        <f t="shared" si="101"/>
        <v>2024</v>
      </c>
    </row>
    <row r="2789" spans="5:8" x14ac:dyDescent="0.25">
      <c r="E2789" s="2">
        <v>45531</v>
      </c>
      <c r="F2789">
        <v>54.25</v>
      </c>
      <c r="G2789">
        <f t="shared" si="100"/>
        <v>8</v>
      </c>
      <c r="H2789">
        <f t="shared" si="101"/>
        <v>2024</v>
      </c>
    </row>
    <row r="2790" spans="5:8" x14ac:dyDescent="0.25">
      <c r="E2790" s="2">
        <v>45532</v>
      </c>
      <c r="F2790">
        <v>55</v>
      </c>
      <c r="G2790">
        <f t="shared" si="100"/>
        <v>8</v>
      </c>
      <c r="H2790">
        <f t="shared" si="101"/>
        <v>2024</v>
      </c>
    </row>
    <row r="2791" spans="5:8" x14ac:dyDescent="0.25">
      <c r="E2791" s="2">
        <v>45533</v>
      </c>
      <c r="F2791">
        <v>56</v>
      </c>
      <c r="G2791">
        <f t="shared" si="100"/>
        <v>8</v>
      </c>
      <c r="H2791">
        <f t="shared" si="101"/>
        <v>2024</v>
      </c>
    </row>
    <row r="2792" spans="5:8" x14ac:dyDescent="0.25">
      <c r="E2792" s="2">
        <v>45534</v>
      </c>
      <c r="F2792">
        <v>57</v>
      </c>
      <c r="G2792">
        <f t="shared" si="100"/>
        <v>8</v>
      </c>
      <c r="H2792">
        <f t="shared" si="101"/>
        <v>2024</v>
      </c>
    </row>
    <row r="2793" spans="5:8" x14ac:dyDescent="0.25">
      <c r="E2793" s="2">
        <v>45538</v>
      </c>
      <c r="F2793">
        <v>56.5</v>
      </c>
      <c r="G2793">
        <f t="shared" si="100"/>
        <v>9</v>
      </c>
      <c r="H2793">
        <f t="shared" si="101"/>
        <v>2024</v>
      </c>
    </row>
    <row r="2794" spans="5:8" x14ac:dyDescent="0.25">
      <c r="E2794" s="2">
        <v>45539</v>
      </c>
      <c r="F2794">
        <v>56.5</v>
      </c>
      <c r="G2794">
        <f t="shared" si="100"/>
        <v>9</v>
      </c>
      <c r="H2794">
        <f t="shared" si="101"/>
        <v>2024</v>
      </c>
    </row>
    <row r="2795" spans="5:8" x14ac:dyDescent="0.25">
      <c r="E2795" s="2">
        <v>45540</v>
      </c>
      <c r="F2795">
        <v>57</v>
      </c>
      <c r="G2795">
        <f t="shared" si="100"/>
        <v>9</v>
      </c>
      <c r="H2795">
        <f t="shared" si="101"/>
        <v>2024</v>
      </c>
    </row>
    <row r="2796" spans="5:8" x14ac:dyDescent="0.25">
      <c r="E2796" s="2">
        <v>45541</v>
      </c>
      <c r="F2796">
        <v>57.5</v>
      </c>
      <c r="G2796">
        <f t="shared" si="100"/>
        <v>9</v>
      </c>
      <c r="H2796">
        <f t="shared" si="101"/>
        <v>2024</v>
      </c>
    </row>
    <row r="2797" spans="5:8" x14ac:dyDescent="0.25">
      <c r="E2797" s="2">
        <v>45544</v>
      </c>
      <c r="F2797">
        <v>57.75</v>
      </c>
      <c r="G2797">
        <f t="shared" si="100"/>
        <v>9</v>
      </c>
      <c r="H2797">
        <f t="shared" si="101"/>
        <v>2024</v>
      </c>
    </row>
    <row r="2798" spans="5:8" x14ac:dyDescent="0.25">
      <c r="E2798" s="2">
        <v>45545</v>
      </c>
      <c r="F2798">
        <v>57.25</v>
      </c>
      <c r="G2798">
        <f t="shared" si="100"/>
        <v>9</v>
      </c>
      <c r="H2798">
        <f t="shared" si="101"/>
        <v>2024</v>
      </c>
    </row>
    <row r="2799" spans="5:8" x14ac:dyDescent="0.25">
      <c r="E2799" s="2">
        <v>45546</v>
      </c>
      <c r="F2799">
        <v>57</v>
      </c>
      <c r="G2799">
        <f t="shared" si="100"/>
        <v>9</v>
      </c>
      <c r="H2799">
        <f t="shared" si="101"/>
        <v>2024</v>
      </c>
    </row>
    <row r="2800" spans="5:8" x14ac:dyDescent="0.25">
      <c r="E2800" s="2">
        <v>45547</v>
      </c>
      <c r="F2800">
        <v>56.88</v>
      </c>
      <c r="G2800">
        <f t="shared" si="100"/>
        <v>9</v>
      </c>
      <c r="H2800">
        <f t="shared" si="101"/>
        <v>2024</v>
      </c>
    </row>
    <row r="2801" spans="5:8" x14ac:dyDescent="0.25">
      <c r="E2801" s="2">
        <v>45548</v>
      </c>
      <c r="F2801">
        <v>57.5</v>
      </c>
      <c r="G2801">
        <f t="shared" si="100"/>
        <v>9</v>
      </c>
      <c r="H2801">
        <f t="shared" si="101"/>
        <v>2024</v>
      </c>
    </row>
    <row r="2802" spans="5:8" x14ac:dyDescent="0.25">
      <c r="E2802" s="2">
        <v>45551</v>
      </c>
      <c r="F2802">
        <v>58.5</v>
      </c>
      <c r="G2802">
        <f t="shared" si="100"/>
        <v>9</v>
      </c>
      <c r="H2802">
        <f t="shared" si="101"/>
        <v>2024</v>
      </c>
    </row>
    <row r="2803" spans="5:8" x14ac:dyDescent="0.25">
      <c r="E2803" s="2">
        <v>45552</v>
      </c>
      <c r="F2803">
        <v>58.5</v>
      </c>
      <c r="G2803">
        <f t="shared" si="100"/>
        <v>9</v>
      </c>
      <c r="H2803">
        <f t="shared" si="101"/>
        <v>2024</v>
      </c>
    </row>
    <row r="2804" spans="5:8" x14ac:dyDescent="0.25">
      <c r="E2804" s="2">
        <v>45553</v>
      </c>
      <c r="F2804">
        <v>59.75</v>
      </c>
      <c r="G2804">
        <f t="shared" si="100"/>
        <v>9</v>
      </c>
      <c r="H2804">
        <f t="shared" si="101"/>
        <v>2024</v>
      </c>
    </row>
    <row r="2805" spans="5:8" x14ac:dyDescent="0.25">
      <c r="E2805" s="2">
        <v>45554</v>
      </c>
      <c r="F2805">
        <v>63.75</v>
      </c>
      <c r="G2805">
        <f t="shared" si="100"/>
        <v>9</v>
      </c>
      <c r="H2805">
        <f t="shared" si="101"/>
        <v>2024</v>
      </c>
    </row>
    <row r="2806" spans="5:8" x14ac:dyDescent="0.25">
      <c r="E2806" s="2">
        <v>45555</v>
      </c>
      <c r="F2806">
        <v>63.75</v>
      </c>
      <c r="G2806">
        <f t="shared" si="100"/>
        <v>9</v>
      </c>
      <c r="H2806">
        <f t="shared" si="101"/>
        <v>2024</v>
      </c>
    </row>
    <row r="2807" spans="5:8" x14ac:dyDescent="0.25">
      <c r="E2807" s="2">
        <v>45558</v>
      </c>
      <c r="F2807">
        <v>64.75</v>
      </c>
      <c r="G2807">
        <f t="shared" si="100"/>
        <v>9</v>
      </c>
      <c r="H2807">
        <f t="shared" si="101"/>
        <v>2024</v>
      </c>
    </row>
    <row r="2808" spans="5:8" x14ac:dyDescent="0.25">
      <c r="E2808" s="2">
        <v>45559</v>
      </c>
      <c r="F2808">
        <v>65.25</v>
      </c>
      <c r="G2808">
        <f t="shared" si="100"/>
        <v>9</v>
      </c>
      <c r="H2808">
        <f t="shared" si="101"/>
        <v>2024</v>
      </c>
    </row>
    <row r="2809" spans="5:8" x14ac:dyDescent="0.25">
      <c r="E2809" s="2">
        <v>45560</v>
      </c>
      <c r="F2809">
        <v>65.25</v>
      </c>
      <c r="G2809">
        <f t="shared" si="100"/>
        <v>9</v>
      </c>
      <c r="H2809">
        <f t="shared" si="101"/>
        <v>2024</v>
      </c>
    </row>
    <row r="2810" spans="5:8" x14ac:dyDescent="0.25">
      <c r="E2810" s="2">
        <v>45561</v>
      </c>
      <c r="F2810">
        <v>66.5</v>
      </c>
      <c r="G2810">
        <f t="shared" si="100"/>
        <v>9</v>
      </c>
      <c r="H2810">
        <f t="shared" si="101"/>
        <v>2024</v>
      </c>
    </row>
    <row r="2811" spans="5:8" x14ac:dyDescent="0.25">
      <c r="E2811" s="2">
        <v>45562</v>
      </c>
      <c r="F2811">
        <v>67.5</v>
      </c>
      <c r="G2811">
        <f t="shared" si="100"/>
        <v>9</v>
      </c>
      <c r="H2811">
        <f t="shared" si="101"/>
        <v>2024</v>
      </c>
    </row>
    <row r="2812" spans="5:8" x14ac:dyDescent="0.25">
      <c r="E2812" s="2">
        <v>45565</v>
      </c>
      <c r="F2812">
        <v>66.5</v>
      </c>
      <c r="G2812">
        <f t="shared" si="100"/>
        <v>9</v>
      </c>
      <c r="H2812">
        <f t="shared" si="101"/>
        <v>2024</v>
      </c>
    </row>
    <row r="2813" spans="5:8" x14ac:dyDescent="0.25">
      <c r="E2813" s="2">
        <v>45566</v>
      </c>
      <c r="F2813">
        <v>65.25</v>
      </c>
      <c r="G2813">
        <f t="shared" si="100"/>
        <v>10</v>
      </c>
      <c r="H2813">
        <f t="shared" si="101"/>
        <v>2024</v>
      </c>
    </row>
    <row r="2814" spans="5:8" x14ac:dyDescent="0.25">
      <c r="E2814" s="2">
        <v>45567</v>
      </c>
      <c r="F2814">
        <v>67.5</v>
      </c>
      <c r="G2814">
        <f t="shared" si="100"/>
        <v>10</v>
      </c>
      <c r="H2814">
        <f t="shared" si="101"/>
        <v>2024</v>
      </c>
    </row>
    <row r="2815" spans="5:8" x14ac:dyDescent="0.25">
      <c r="E2815" s="2">
        <v>45568</v>
      </c>
      <c r="F2815">
        <v>67.5</v>
      </c>
      <c r="G2815">
        <f t="shared" si="100"/>
        <v>10</v>
      </c>
      <c r="H2815">
        <f t="shared" si="101"/>
        <v>2024</v>
      </c>
    </row>
    <row r="2816" spans="5:8" x14ac:dyDescent="0.25">
      <c r="E2816" s="2">
        <v>45569</v>
      </c>
      <c r="F2816">
        <v>67.5</v>
      </c>
      <c r="G2816">
        <f t="shared" si="100"/>
        <v>10</v>
      </c>
      <c r="H2816">
        <f t="shared" si="101"/>
        <v>2024</v>
      </c>
    </row>
    <row r="2817" spans="5:8" x14ac:dyDescent="0.25">
      <c r="E2817" s="2">
        <v>45572</v>
      </c>
      <c r="F2817">
        <v>68</v>
      </c>
      <c r="G2817">
        <f t="shared" si="100"/>
        <v>10</v>
      </c>
      <c r="H2817">
        <f t="shared" si="101"/>
        <v>2024</v>
      </c>
    </row>
    <row r="2818" spans="5:8" x14ac:dyDescent="0.25">
      <c r="E2818" s="2">
        <v>45573</v>
      </c>
      <c r="F2818">
        <v>67.5</v>
      </c>
      <c r="G2818">
        <f t="shared" si="100"/>
        <v>10</v>
      </c>
      <c r="H2818">
        <f t="shared" si="101"/>
        <v>2024</v>
      </c>
    </row>
    <row r="2819" spans="5:8" x14ac:dyDescent="0.25">
      <c r="E2819" s="2">
        <v>45574</v>
      </c>
      <c r="F2819">
        <v>69</v>
      </c>
      <c r="G2819">
        <f t="shared" si="100"/>
        <v>10</v>
      </c>
      <c r="H2819">
        <f t="shared" si="101"/>
        <v>2024</v>
      </c>
    </row>
    <row r="2820" spans="5:8" x14ac:dyDescent="0.25">
      <c r="E2820" s="2">
        <v>45575</v>
      </c>
      <c r="F2820">
        <v>69</v>
      </c>
      <c r="G2820">
        <f t="shared" si="100"/>
        <v>10</v>
      </c>
      <c r="H2820">
        <f t="shared" si="101"/>
        <v>2024</v>
      </c>
    </row>
    <row r="2821" spans="5:8" x14ac:dyDescent="0.25">
      <c r="E2821" s="2">
        <v>45576</v>
      </c>
      <c r="F2821">
        <v>69</v>
      </c>
      <c r="G2821">
        <f t="shared" ref="G2821:G2884" si="102">MONTH(E2821)</f>
        <v>10</v>
      </c>
      <c r="H2821">
        <f t="shared" ref="H2821:H2884" si="103">YEAR(E2821)</f>
        <v>2024</v>
      </c>
    </row>
    <row r="2822" spans="5:8" x14ac:dyDescent="0.25">
      <c r="E2822" s="2">
        <v>45579</v>
      </c>
      <c r="F2822">
        <v>70</v>
      </c>
      <c r="G2822">
        <f t="shared" si="102"/>
        <v>10</v>
      </c>
      <c r="H2822">
        <f t="shared" si="103"/>
        <v>2024</v>
      </c>
    </row>
    <row r="2823" spans="5:8" x14ac:dyDescent="0.25">
      <c r="E2823" s="2">
        <v>45580</v>
      </c>
      <c r="F2823">
        <v>69.25</v>
      </c>
      <c r="G2823">
        <f t="shared" si="102"/>
        <v>10</v>
      </c>
      <c r="H2823">
        <f t="shared" si="103"/>
        <v>2024</v>
      </c>
    </row>
    <row r="2824" spans="5:8" x14ac:dyDescent="0.25">
      <c r="E2824" s="2">
        <v>45581</v>
      </c>
      <c r="F2824">
        <v>69</v>
      </c>
      <c r="G2824">
        <f t="shared" si="102"/>
        <v>10</v>
      </c>
      <c r="H2824">
        <f t="shared" si="103"/>
        <v>2024</v>
      </c>
    </row>
    <row r="2825" spans="5:8" x14ac:dyDescent="0.25">
      <c r="E2825" s="2">
        <v>45582</v>
      </c>
      <c r="F2825">
        <v>69</v>
      </c>
      <c r="G2825">
        <f t="shared" si="102"/>
        <v>10</v>
      </c>
      <c r="H2825">
        <f t="shared" si="103"/>
        <v>2024</v>
      </c>
    </row>
    <row r="2826" spans="5:8" x14ac:dyDescent="0.25">
      <c r="E2826" s="2">
        <v>45583</v>
      </c>
      <c r="F2826">
        <v>69</v>
      </c>
      <c r="G2826">
        <f t="shared" si="102"/>
        <v>10</v>
      </c>
      <c r="H2826">
        <f t="shared" si="103"/>
        <v>2024</v>
      </c>
    </row>
    <row r="2827" spans="5:8" x14ac:dyDescent="0.25">
      <c r="E2827" s="2">
        <v>45586</v>
      </c>
      <c r="F2827">
        <v>69.5</v>
      </c>
      <c r="G2827">
        <f t="shared" si="102"/>
        <v>10</v>
      </c>
      <c r="H2827">
        <f t="shared" si="103"/>
        <v>2024</v>
      </c>
    </row>
    <row r="2828" spans="5:8" x14ac:dyDescent="0.25">
      <c r="E2828" s="2">
        <v>45587</v>
      </c>
      <c r="F2828">
        <v>65</v>
      </c>
      <c r="G2828">
        <f t="shared" si="102"/>
        <v>10</v>
      </c>
      <c r="H2828">
        <f t="shared" si="103"/>
        <v>2024</v>
      </c>
    </row>
    <row r="2829" spans="5:8" x14ac:dyDescent="0.25">
      <c r="E2829" s="2">
        <v>45588</v>
      </c>
      <c r="F2829">
        <v>61</v>
      </c>
      <c r="G2829">
        <f t="shared" si="102"/>
        <v>10</v>
      </c>
      <c r="H2829">
        <f t="shared" si="103"/>
        <v>2024</v>
      </c>
    </row>
    <row r="2830" spans="5:8" x14ac:dyDescent="0.25">
      <c r="E2830" s="2">
        <v>45589</v>
      </c>
      <c r="F2830">
        <v>63</v>
      </c>
      <c r="G2830">
        <f t="shared" si="102"/>
        <v>10</v>
      </c>
      <c r="H2830">
        <f t="shared" si="103"/>
        <v>2024</v>
      </c>
    </row>
    <row r="2831" spans="5:8" x14ac:dyDescent="0.25">
      <c r="E2831" s="2">
        <v>45590</v>
      </c>
      <c r="F2831">
        <v>64.5</v>
      </c>
      <c r="G2831">
        <f t="shared" si="102"/>
        <v>10</v>
      </c>
      <c r="H2831">
        <f t="shared" si="103"/>
        <v>2024</v>
      </c>
    </row>
    <row r="2832" spans="5:8" x14ac:dyDescent="0.25">
      <c r="E2832" s="2">
        <v>45593</v>
      </c>
      <c r="F2832">
        <v>63</v>
      </c>
      <c r="G2832">
        <f t="shared" si="102"/>
        <v>10</v>
      </c>
      <c r="H2832">
        <f t="shared" si="103"/>
        <v>2024</v>
      </c>
    </row>
    <row r="2833" spans="5:8" x14ac:dyDescent="0.25">
      <c r="E2833" s="2">
        <v>45594</v>
      </c>
      <c r="F2833">
        <v>62.25</v>
      </c>
      <c r="G2833">
        <f t="shared" si="102"/>
        <v>10</v>
      </c>
      <c r="H2833">
        <f t="shared" si="103"/>
        <v>2024</v>
      </c>
    </row>
    <row r="2834" spans="5:8" x14ac:dyDescent="0.25">
      <c r="E2834" s="2">
        <v>45595</v>
      </c>
      <c r="F2834">
        <v>62.5</v>
      </c>
      <c r="G2834">
        <f t="shared" si="102"/>
        <v>10</v>
      </c>
      <c r="H2834">
        <f t="shared" si="103"/>
        <v>2024</v>
      </c>
    </row>
    <row r="2835" spans="5:8" x14ac:dyDescent="0.25">
      <c r="E2835" s="2">
        <v>45596</v>
      </c>
      <c r="F2835">
        <v>63.75</v>
      </c>
      <c r="G2835">
        <f t="shared" si="102"/>
        <v>10</v>
      </c>
      <c r="H2835">
        <f t="shared" si="103"/>
        <v>2024</v>
      </c>
    </row>
    <row r="2836" spans="5:8" x14ac:dyDescent="0.25">
      <c r="E2836" s="2">
        <v>45597</v>
      </c>
      <c r="F2836">
        <v>63</v>
      </c>
      <c r="G2836">
        <f t="shared" si="102"/>
        <v>11</v>
      </c>
      <c r="H2836">
        <f t="shared" si="103"/>
        <v>2024</v>
      </c>
    </row>
    <row r="2837" spans="5:8" x14ac:dyDescent="0.25">
      <c r="E2837" s="2">
        <v>45600</v>
      </c>
      <c r="F2837">
        <v>63</v>
      </c>
      <c r="G2837">
        <f t="shared" si="102"/>
        <v>11</v>
      </c>
      <c r="H2837">
        <f t="shared" si="103"/>
        <v>2024</v>
      </c>
    </row>
    <row r="2838" spans="5:8" x14ac:dyDescent="0.25">
      <c r="E2838" s="2">
        <v>45601</v>
      </c>
      <c r="F2838">
        <v>69.38</v>
      </c>
      <c r="G2838">
        <f t="shared" si="102"/>
        <v>11</v>
      </c>
      <c r="H2838">
        <f t="shared" si="103"/>
        <v>2024</v>
      </c>
    </row>
    <row r="2839" spans="5:8" x14ac:dyDescent="0.25">
      <c r="E2839" s="2">
        <v>45602</v>
      </c>
      <c r="F2839">
        <v>70</v>
      </c>
      <c r="G2839">
        <f t="shared" si="102"/>
        <v>11</v>
      </c>
      <c r="H2839">
        <f t="shared" si="103"/>
        <v>2024</v>
      </c>
    </row>
    <row r="2840" spans="5:8" x14ac:dyDescent="0.25">
      <c r="E2840" s="2">
        <v>45603</v>
      </c>
      <c r="F2840">
        <v>72.63</v>
      </c>
      <c r="G2840">
        <f t="shared" si="102"/>
        <v>11</v>
      </c>
      <c r="H2840">
        <f t="shared" si="103"/>
        <v>2024</v>
      </c>
    </row>
    <row r="2841" spans="5:8" x14ac:dyDescent="0.25">
      <c r="E2841" s="2">
        <v>45604</v>
      </c>
      <c r="F2841">
        <v>73.5</v>
      </c>
      <c r="G2841">
        <f t="shared" si="102"/>
        <v>11</v>
      </c>
      <c r="H2841">
        <f t="shared" si="103"/>
        <v>2024</v>
      </c>
    </row>
    <row r="2842" spans="5:8" x14ac:dyDescent="0.25">
      <c r="E2842" s="2">
        <v>45607</v>
      </c>
      <c r="F2842">
        <v>73.5</v>
      </c>
      <c r="G2842">
        <f t="shared" si="102"/>
        <v>11</v>
      </c>
      <c r="H2842">
        <f t="shared" si="103"/>
        <v>2024</v>
      </c>
    </row>
    <row r="2843" spans="5:8" x14ac:dyDescent="0.25">
      <c r="E2843" s="2">
        <v>45608</v>
      </c>
      <c r="F2843">
        <v>77</v>
      </c>
      <c r="G2843">
        <f t="shared" si="102"/>
        <v>11</v>
      </c>
      <c r="H2843">
        <f t="shared" si="103"/>
        <v>2024</v>
      </c>
    </row>
    <row r="2844" spans="5:8" x14ac:dyDescent="0.25">
      <c r="E2844" s="2">
        <v>45609</v>
      </c>
      <c r="F2844">
        <v>75</v>
      </c>
      <c r="G2844">
        <f t="shared" si="102"/>
        <v>11</v>
      </c>
      <c r="H2844">
        <f t="shared" si="103"/>
        <v>2024</v>
      </c>
    </row>
    <row r="2845" spans="5:8" x14ac:dyDescent="0.25">
      <c r="E2845" s="2">
        <v>45610</v>
      </c>
      <c r="F2845">
        <v>76</v>
      </c>
      <c r="G2845">
        <f t="shared" si="102"/>
        <v>11</v>
      </c>
      <c r="H2845">
        <f t="shared" si="103"/>
        <v>2024</v>
      </c>
    </row>
    <row r="2846" spans="5:8" x14ac:dyDescent="0.25">
      <c r="E2846" s="2">
        <v>45611</v>
      </c>
      <c r="F2846">
        <v>79</v>
      </c>
      <c r="G2846">
        <f t="shared" si="102"/>
        <v>11</v>
      </c>
      <c r="H2846">
        <f t="shared" si="103"/>
        <v>2024</v>
      </c>
    </row>
    <row r="2847" spans="5:8" x14ac:dyDescent="0.25">
      <c r="E2847" s="2">
        <v>45614</v>
      </c>
      <c r="F2847">
        <v>77</v>
      </c>
      <c r="G2847">
        <f t="shared" si="102"/>
        <v>11</v>
      </c>
      <c r="H2847">
        <f t="shared" si="103"/>
        <v>2024</v>
      </c>
    </row>
    <row r="2848" spans="5:8" x14ac:dyDescent="0.25">
      <c r="E2848" s="2">
        <v>45615</v>
      </c>
      <c r="F2848">
        <v>77</v>
      </c>
      <c r="G2848">
        <f t="shared" si="102"/>
        <v>11</v>
      </c>
      <c r="H2848">
        <f t="shared" si="103"/>
        <v>2024</v>
      </c>
    </row>
    <row r="2849" spans="5:8" x14ac:dyDescent="0.25">
      <c r="E2849" s="2">
        <v>45616</v>
      </c>
      <c r="F2849">
        <v>75</v>
      </c>
      <c r="G2849">
        <f t="shared" si="102"/>
        <v>11</v>
      </c>
      <c r="H2849">
        <f t="shared" si="103"/>
        <v>2024</v>
      </c>
    </row>
    <row r="2850" spans="5:8" x14ac:dyDescent="0.25">
      <c r="E2850" s="2">
        <v>45617</v>
      </c>
      <c r="F2850">
        <v>75.5</v>
      </c>
      <c r="G2850">
        <f t="shared" si="102"/>
        <v>11</v>
      </c>
      <c r="H2850">
        <f t="shared" si="103"/>
        <v>2024</v>
      </c>
    </row>
    <row r="2851" spans="5:8" x14ac:dyDescent="0.25">
      <c r="E2851" s="2">
        <v>45618</v>
      </c>
      <c r="F2851">
        <v>76</v>
      </c>
      <c r="G2851">
        <f t="shared" si="102"/>
        <v>11</v>
      </c>
      <c r="H2851">
        <f t="shared" si="103"/>
        <v>2024</v>
      </c>
    </row>
    <row r="2852" spans="5:8" x14ac:dyDescent="0.25">
      <c r="E2852" s="2">
        <v>45621</v>
      </c>
      <c r="F2852">
        <v>76</v>
      </c>
      <c r="G2852">
        <f t="shared" si="102"/>
        <v>11</v>
      </c>
      <c r="H2852">
        <f t="shared" si="103"/>
        <v>2024</v>
      </c>
    </row>
    <row r="2853" spans="5:8" x14ac:dyDescent="0.25">
      <c r="E2853" s="2">
        <v>45622</v>
      </c>
      <c r="F2853">
        <v>76.5</v>
      </c>
      <c r="G2853">
        <f t="shared" si="102"/>
        <v>11</v>
      </c>
      <c r="H2853">
        <f t="shared" si="103"/>
        <v>2024</v>
      </c>
    </row>
    <row r="2854" spans="5:8" x14ac:dyDescent="0.25">
      <c r="E2854" s="2">
        <v>45623</v>
      </c>
      <c r="F2854">
        <v>76.5</v>
      </c>
      <c r="G2854">
        <f t="shared" si="102"/>
        <v>11</v>
      </c>
      <c r="H2854">
        <f t="shared" si="103"/>
        <v>2024</v>
      </c>
    </row>
    <row r="2855" spans="5:8" x14ac:dyDescent="0.25">
      <c r="E2855" s="2">
        <v>45625</v>
      </c>
      <c r="F2855">
        <v>76.5</v>
      </c>
      <c r="G2855">
        <f t="shared" si="102"/>
        <v>11</v>
      </c>
      <c r="H2855">
        <f t="shared" si="103"/>
        <v>2024</v>
      </c>
    </row>
    <row r="2856" spans="5:8" x14ac:dyDescent="0.25">
      <c r="E2856" s="2">
        <v>45628</v>
      </c>
      <c r="F2856">
        <v>78.5</v>
      </c>
      <c r="G2856">
        <f t="shared" si="102"/>
        <v>12</v>
      </c>
      <c r="H2856">
        <f t="shared" si="103"/>
        <v>2024</v>
      </c>
    </row>
    <row r="2857" spans="5:8" x14ac:dyDescent="0.25">
      <c r="E2857" s="2">
        <v>45629</v>
      </c>
      <c r="F2857">
        <v>77.5</v>
      </c>
      <c r="G2857">
        <f t="shared" si="102"/>
        <v>12</v>
      </c>
      <c r="H2857">
        <f t="shared" si="103"/>
        <v>2024</v>
      </c>
    </row>
    <row r="2858" spans="5:8" x14ac:dyDescent="0.25">
      <c r="E2858" s="2">
        <v>45630</v>
      </c>
      <c r="F2858">
        <v>78.25</v>
      </c>
      <c r="G2858">
        <f t="shared" si="102"/>
        <v>12</v>
      </c>
      <c r="H2858">
        <f t="shared" si="103"/>
        <v>2024</v>
      </c>
    </row>
    <row r="2859" spans="5:8" x14ac:dyDescent="0.25">
      <c r="E2859" s="2">
        <v>45631</v>
      </c>
      <c r="F2859">
        <v>78.25</v>
      </c>
      <c r="G2859">
        <f t="shared" si="102"/>
        <v>12</v>
      </c>
      <c r="H2859">
        <f t="shared" si="103"/>
        <v>2024</v>
      </c>
    </row>
    <row r="2860" spans="5:8" x14ac:dyDescent="0.25">
      <c r="E2860" s="2">
        <v>45632</v>
      </c>
      <c r="F2860">
        <v>76.25</v>
      </c>
      <c r="G2860">
        <f t="shared" si="102"/>
        <v>12</v>
      </c>
      <c r="H2860">
        <f t="shared" si="103"/>
        <v>2024</v>
      </c>
    </row>
    <row r="2861" spans="5:8" x14ac:dyDescent="0.25">
      <c r="E2861" s="2">
        <v>45635</v>
      </c>
      <c r="F2861">
        <v>76.5</v>
      </c>
      <c r="G2861">
        <f t="shared" si="102"/>
        <v>12</v>
      </c>
      <c r="H2861">
        <f t="shared" si="103"/>
        <v>2024</v>
      </c>
    </row>
    <row r="2862" spans="5:8" x14ac:dyDescent="0.25">
      <c r="E2862" s="2">
        <v>45636</v>
      </c>
      <c r="F2862">
        <v>76.5</v>
      </c>
      <c r="G2862">
        <f t="shared" si="102"/>
        <v>12</v>
      </c>
      <c r="H2862">
        <f t="shared" si="103"/>
        <v>2024</v>
      </c>
    </row>
    <row r="2863" spans="5:8" x14ac:dyDescent="0.25">
      <c r="E2863" s="2">
        <v>45637</v>
      </c>
      <c r="F2863">
        <v>76</v>
      </c>
      <c r="G2863">
        <f t="shared" si="102"/>
        <v>12</v>
      </c>
      <c r="H2863">
        <f t="shared" si="103"/>
        <v>2024</v>
      </c>
    </row>
    <row r="2864" spans="5:8" x14ac:dyDescent="0.25">
      <c r="E2864" s="2">
        <v>45638</v>
      </c>
      <c r="F2864">
        <v>76</v>
      </c>
      <c r="G2864">
        <f t="shared" si="102"/>
        <v>12</v>
      </c>
      <c r="H2864">
        <f t="shared" si="103"/>
        <v>2024</v>
      </c>
    </row>
    <row r="2865" spans="5:8" x14ac:dyDescent="0.25">
      <c r="E2865" s="2">
        <v>45639</v>
      </c>
      <c r="F2865">
        <v>77</v>
      </c>
      <c r="G2865">
        <f t="shared" si="102"/>
        <v>12</v>
      </c>
      <c r="H2865">
        <f t="shared" si="103"/>
        <v>2024</v>
      </c>
    </row>
    <row r="2866" spans="5:8" x14ac:dyDescent="0.25">
      <c r="E2866" s="2">
        <v>45642</v>
      </c>
      <c r="F2866">
        <v>77</v>
      </c>
      <c r="G2866">
        <f t="shared" si="102"/>
        <v>12</v>
      </c>
      <c r="H2866">
        <f t="shared" si="103"/>
        <v>2024</v>
      </c>
    </row>
    <row r="2867" spans="5:8" x14ac:dyDescent="0.25">
      <c r="E2867" s="2">
        <v>45643</v>
      </c>
      <c r="F2867">
        <v>76</v>
      </c>
      <c r="G2867">
        <f t="shared" si="102"/>
        <v>12</v>
      </c>
      <c r="H2867">
        <f t="shared" si="103"/>
        <v>2024</v>
      </c>
    </row>
    <row r="2868" spans="5:8" x14ac:dyDescent="0.25">
      <c r="E2868" s="2">
        <v>45644</v>
      </c>
      <c r="F2868">
        <v>76</v>
      </c>
      <c r="G2868">
        <f t="shared" si="102"/>
        <v>12</v>
      </c>
      <c r="H2868">
        <f t="shared" si="103"/>
        <v>2024</v>
      </c>
    </row>
    <row r="2869" spans="5:8" x14ac:dyDescent="0.25">
      <c r="E2869" s="2">
        <v>45645</v>
      </c>
      <c r="F2869">
        <v>75.5</v>
      </c>
      <c r="G2869">
        <f t="shared" si="102"/>
        <v>12</v>
      </c>
      <c r="H2869">
        <f t="shared" si="103"/>
        <v>2024</v>
      </c>
    </row>
    <row r="2870" spans="5:8" x14ac:dyDescent="0.25">
      <c r="E2870" s="2">
        <v>45646</v>
      </c>
      <c r="F2870">
        <v>75.5</v>
      </c>
      <c r="G2870">
        <f t="shared" si="102"/>
        <v>12</v>
      </c>
      <c r="H2870">
        <f t="shared" si="103"/>
        <v>2024</v>
      </c>
    </row>
    <row r="2871" spans="5:8" x14ac:dyDescent="0.25">
      <c r="E2871" s="2">
        <v>45649</v>
      </c>
      <c r="F2871">
        <v>76</v>
      </c>
      <c r="G2871">
        <f t="shared" si="102"/>
        <v>12</v>
      </c>
      <c r="H2871">
        <f t="shared" si="103"/>
        <v>2024</v>
      </c>
    </row>
    <row r="2872" spans="5:8" x14ac:dyDescent="0.25">
      <c r="E2872" s="2">
        <v>45650</v>
      </c>
      <c r="F2872">
        <v>76</v>
      </c>
      <c r="G2872">
        <f t="shared" si="102"/>
        <v>12</v>
      </c>
      <c r="H2872">
        <f t="shared" si="103"/>
        <v>2024</v>
      </c>
    </row>
    <row r="2873" spans="5:8" x14ac:dyDescent="0.25">
      <c r="E2873" s="2">
        <v>45652</v>
      </c>
      <c r="F2873">
        <v>76</v>
      </c>
      <c r="G2873">
        <f t="shared" si="102"/>
        <v>12</v>
      </c>
      <c r="H2873">
        <f t="shared" si="103"/>
        <v>2024</v>
      </c>
    </row>
    <row r="2874" spans="5:8" x14ac:dyDescent="0.25">
      <c r="E2874" s="2">
        <v>45653</v>
      </c>
      <c r="F2874">
        <v>76</v>
      </c>
      <c r="G2874">
        <f t="shared" si="102"/>
        <v>12</v>
      </c>
      <c r="H2874">
        <f t="shared" si="103"/>
        <v>2024</v>
      </c>
    </row>
    <row r="2875" spans="5:8" x14ac:dyDescent="0.25">
      <c r="E2875" s="2">
        <v>45656</v>
      </c>
      <c r="F2875">
        <v>76</v>
      </c>
      <c r="G2875">
        <f t="shared" si="102"/>
        <v>12</v>
      </c>
      <c r="H2875">
        <f t="shared" si="103"/>
        <v>2024</v>
      </c>
    </row>
    <row r="2876" spans="5:8" x14ac:dyDescent="0.25">
      <c r="E2876" s="2">
        <v>45657</v>
      </c>
      <c r="F2876">
        <v>76</v>
      </c>
      <c r="G2876">
        <f t="shared" si="102"/>
        <v>12</v>
      </c>
      <c r="H2876">
        <f t="shared" si="103"/>
        <v>2024</v>
      </c>
    </row>
    <row r="2877" spans="5:8" x14ac:dyDescent="0.25">
      <c r="E2877" s="2">
        <v>45659</v>
      </c>
      <c r="F2877">
        <v>79</v>
      </c>
      <c r="G2877">
        <f t="shared" si="102"/>
        <v>1</v>
      </c>
      <c r="H2877">
        <f t="shared" si="103"/>
        <v>2025</v>
      </c>
    </row>
    <row r="2878" spans="5:8" x14ac:dyDescent="0.25">
      <c r="E2878" s="2">
        <v>45660</v>
      </c>
      <c r="F2878">
        <v>75</v>
      </c>
      <c r="G2878">
        <f t="shared" si="102"/>
        <v>1</v>
      </c>
      <c r="H2878">
        <f t="shared" si="103"/>
        <v>2025</v>
      </c>
    </row>
    <row r="2879" spans="5:8" x14ac:dyDescent="0.25">
      <c r="E2879" s="2">
        <v>45663</v>
      </c>
      <c r="F2879">
        <v>75</v>
      </c>
      <c r="G2879">
        <f t="shared" si="102"/>
        <v>1</v>
      </c>
      <c r="H2879">
        <f t="shared" si="103"/>
        <v>2025</v>
      </c>
    </row>
    <row r="2880" spans="5:8" x14ac:dyDescent="0.25">
      <c r="E2880" s="2">
        <v>45664</v>
      </c>
      <c r="F2880">
        <v>75.5</v>
      </c>
      <c r="G2880">
        <f t="shared" si="102"/>
        <v>1</v>
      </c>
      <c r="H2880">
        <f t="shared" si="103"/>
        <v>2025</v>
      </c>
    </row>
    <row r="2881" spans="5:8" x14ac:dyDescent="0.25">
      <c r="E2881" s="2">
        <v>45665</v>
      </c>
      <c r="F2881">
        <v>74.25</v>
      </c>
      <c r="G2881">
        <f t="shared" si="102"/>
        <v>1</v>
      </c>
      <c r="H2881">
        <f t="shared" si="103"/>
        <v>2025</v>
      </c>
    </row>
    <row r="2882" spans="5:8" x14ac:dyDescent="0.25">
      <c r="E2882" s="2">
        <v>45666</v>
      </c>
      <c r="F2882">
        <v>73</v>
      </c>
      <c r="G2882">
        <f t="shared" si="102"/>
        <v>1</v>
      </c>
      <c r="H2882">
        <f t="shared" si="103"/>
        <v>2025</v>
      </c>
    </row>
    <row r="2883" spans="5:8" x14ac:dyDescent="0.25">
      <c r="E2883" s="2">
        <v>45667</v>
      </c>
      <c r="F2883">
        <v>74</v>
      </c>
      <c r="G2883">
        <f t="shared" si="102"/>
        <v>1</v>
      </c>
      <c r="H2883">
        <f t="shared" si="103"/>
        <v>2025</v>
      </c>
    </row>
    <row r="2884" spans="5:8" x14ac:dyDescent="0.25">
      <c r="E2884" s="2">
        <v>45670</v>
      </c>
      <c r="F2884">
        <v>75</v>
      </c>
      <c r="G2884">
        <f t="shared" si="102"/>
        <v>1</v>
      </c>
      <c r="H2884">
        <f t="shared" si="103"/>
        <v>2025</v>
      </c>
    </row>
    <row r="2885" spans="5:8" x14ac:dyDescent="0.25">
      <c r="E2885" s="2">
        <v>45671</v>
      </c>
      <c r="F2885">
        <v>74.5</v>
      </c>
      <c r="G2885">
        <f t="shared" ref="G2885:G2948" si="104">MONTH(E2885)</f>
        <v>1</v>
      </c>
      <c r="H2885">
        <f t="shared" ref="H2885:H2948" si="105">YEAR(E2885)</f>
        <v>2025</v>
      </c>
    </row>
    <row r="2886" spans="5:8" x14ac:dyDescent="0.25">
      <c r="E2886" s="2">
        <v>45672</v>
      </c>
      <c r="F2886">
        <v>74</v>
      </c>
      <c r="G2886">
        <f t="shared" si="104"/>
        <v>1</v>
      </c>
      <c r="H2886">
        <f t="shared" si="105"/>
        <v>2025</v>
      </c>
    </row>
    <row r="2887" spans="5:8" x14ac:dyDescent="0.25">
      <c r="E2887" s="2">
        <v>45673</v>
      </c>
      <c r="F2887">
        <v>74.75</v>
      </c>
      <c r="G2887">
        <f t="shared" si="104"/>
        <v>1</v>
      </c>
      <c r="H2887">
        <f t="shared" si="105"/>
        <v>2025</v>
      </c>
    </row>
    <row r="2888" spans="5:8" x14ac:dyDescent="0.25">
      <c r="E2888" s="2">
        <v>45674</v>
      </c>
      <c r="F2888">
        <v>72.5</v>
      </c>
      <c r="G2888">
        <f t="shared" si="104"/>
        <v>1</v>
      </c>
      <c r="H2888">
        <f t="shared" si="105"/>
        <v>2025</v>
      </c>
    </row>
    <row r="2889" spans="5:8" x14ac:dyDescent="0.25">
      <c r="E2889" s="2">
        <v>45678</v>
      </c>
      <c r="F2889">
        <v>72.5</v>
      </c>
      <c r="G2889">
        <f t="shared" si="104"/>
        <v>1</v>
      </c>
      <c r="H2889">
        <f t="shared" si="105"/>
        <v>2025</v>
      </c>
    </row>
    <row r="2890" spans="5:8" x14ac:dyDescent="0.25">
      <c r="E2890" s="2">
        <v>45679</v>
      </c>
      <c r="F2890">
        <v>70</v>
      </c>
      <c r="G2890">
        <f t="shared" si="104"/>
        <v>1</v>
      </c>
      <c r="H2890">
        <f t="shared" si="105"/>
        <v>2025</v>
      </c>
    </row>
    <row r="2891" spans="5:8" x14ac:dyDescent="0.25">
      <c r="E2891" s="2">
        <v>45680</v>
      </c>
      <c r="F2891">
        <v>67.75</v>
      </c>
      <c r="G2891">
        <f t="shared" si="104"/>
        <v>1</v>
      </c>
      <c r="H2891">
        <f t="shared" si="105"/>
        <v>2025</v>
      </c>
    </row>
    <row r="2892" spans="5:8" x14ac:dyDescent="0.25">
      <c r="E2892" s="2">
        <v>45681</v>
      </c>
      <c r="F2892">
        <v>69</v>
      </c>
      <c r="G2892">
        <f t="shared" si="104"/>
        <v>1</v>
      </c>
      <c r="H2892">
        <f t="shared" si="105"/>
        <v>2025</v>
      </c>
    </row>
    <row r="2893" spans="5:8" x14ac:dyDescent="0.25">
      <c r="E2893" s="2">
        <v>45684</v>
      </c>
      <c r="F2893">
        <v>69</v>
      </c>
      <c r="G2893">
        <f t="shared" si="104"/>
        <v>1</v>
      </c>
      <c r="H2893">
        <f t="shared" si="105"/>
        <v>2025</v>
      </c>
    </row>
    <row r="2894" spans="5:8" x14ac:dyDescent="0.25">
      <c r="E2894" s="2">
        <v>45685</v>
      </c>
      <c r="F2894">
        <v>70.5</v>
      </c>
      <c r="G2894">
        <f t="shared" si="104"/>
        <v>1</v>
      </c>
      <c r="H2894">
        <f t="shared" si="105"/>
        <v>2025</v>
      </c>
    </row>
    <row r="2895" spans="5:8" x14ac:dyDescent="0.25">
      <c r="E2895" s="2">
        <v>45686</v>
      </c>
      <c r="F2895">
        <v>72</v>
      </c>
      <c r="G2895">
        <f t="shared" si="104"/>
        <v>1</v>
      </c>
      <c r="H2895">
        <f t="shared" si="105"/>
        <v>2025</v>
      </c>
    </row>
    <row r="2896" spans="5:8" x14ac:dyDescent="0.25">
      <c r="E2896" s="2">
        <v>45687</v>
      </c>
      <c r="F2896">
        <v>73</v>
      </c>
      <c r="G2896">
        <f t="shared" si="104"/>
        <v>1</v>
      </c>
      <c r="H2896">
        <f t="shared" si="105"/>
        <v>2025</v>
      </c>
    </row>
    <row r="2897" spans="5:8" x14ac:dyDescent="0.25">
      <c r="E2897" s="2">
        <v>45688</v>
      </c>
      <c r="F2897">
        <v>73</v>
      </c>
      <c r="G2897">
        <f t="shared" si="104"/>
        <v>1</v>
      </c>
      <c r="H2897">
        <f t="shared" si="105"/>
        <v>2025</v>
      </c>
    </row>
    <row r="2898" spans="5:8" x14ac:dyDescent="0.25">
      <c r="E2898" s="2">
        <v>45691</v>
      </c>
      <c r="F2898">
        <v>73.5</v>
      </c>
      <c r="G2898">
        <f t="shared" si="104"/>
        <v>2</v>
      </c>
      <c r="H2898">
        <f t="shared" si="105"/>
        <v>2025</v>
      </c>
    </row>
    <row r="2899" spans="5:8" x14ac:dyDescent="0.25">
      <c r="E2899" s="2">
        <v>45692</v>
      </c>
      <c r="F2899">
        <v>73.5</v>
      </c>
      <c r="G2899">
        <f t="shared" si="104"/>
        <v>2</v>
      </c>
      <c r="H2899">
        <f t="shared" si="105"/>
        <v>2025</v>
      </c>
    </row>
    <row r="2900" spans="5:8" x14ac:dyDescent="0.25">
      <c r="E2900" s="2">
        <v>45693</v>
      </c>
      <c r="F2900">
        <v>73.5</v>
      </c>
      <c r="G2900">
        <f t="shared" si="104"/>
        <v>2</v>
      </c>
      <c r="H2900">
        <f t="shared" si="105"/>
        <v>2025</v>
      </c>
    </row>
    <row r="2901" spans="5:8" x14ac:dyDescent="0.25">
      <c r="E2901" s="2">
        <v>45694</v>
      </c>
      <c r="F2901">
        <v>73.5</v>
      </c>
      <c r="G2901">
        <f t="shared" si="104"/>
        <v>2</v>
      </c>
      <c r="H2901">
        <f t="shared" si="105"/>
        <v>2025</v>
      </c>
    </row>
    <row r="2902" spans="5:8" x14ac:dyDescent="0.25">
      <c r="E2902" s="2">
        <v>45695</v>
      </c>
      <c r="F2902">
        <v>73.5</v>
      </c>
      <c r="G2902">
        <f t="shared" si="104"/>
        <v>2</v>
      </c>
      <c r="H2902">
        <f t="shared" si="105"/>
        <v>2025</v>
      </c>
    </row>
    <row r="2903" spans="5:8" x14ac:dyDescent="0.25">
      <c r="E2903" s="2">
        <v>45698</v>
      </c>
      <c r="F2903">
        <v>73.5</v>
      </c>
      <c r="G2903">
        <f t="shared" si="104"/>
        <v>2</v>
      </c>
      <c r="H2903">
        <f t="shared" si="105"/>
        <v>2025</v>
      </c>
    </row>
    <row r="2904" spans="5:8" x14ac:dyDescent="0.25">
      <c r="E2904" s="2">
        <v>45699</v>
      </c>
      <c r="F2904">
        <v>73.25</v>
      </c>
      <c r="G2904">
        <f t="shared" si="104"/>
        <v>2</v>
      </c>
      <c r="H2904">
        <f t="shared" si="105"/>
        <v>2025</v>
      </c>
    </row>
    <row r="2905" spans="5:8" x14ac:dyDescent="0.25">
      <c r="E2905" s="2">
        <v>45700</v>
      </c>
      <c r="F2905">
        <v>72.5</v>
      </c>
      <c r="G2905">
        <f t="shared" si="104"/>
        <v>2</v>
      </c>
      <c r="H2905">
        <f t="shared" si="105"/>
        <v>2025</v>
      </c>
    </row>
    <row r="2906" spans="5:8" x14ac:dyDescent="0.25">
      <c r="E2906" s="2">
        <v>45701</v>
      </c>
      <c r="F2906">
        <v>72.5</v>
      </c>
      <c r="G2906">
        <f t="shared" si="104"/>
        <v>2</v>
      </c>
      <c r="H2906">
        <f t="shared" si="105"/>
        <v>2025</v>
      </c>
    </row>
    <row r="2907" spans="5:8" x14ac:dyDescent="0.25">
      <c r="E2907" s="2">
        <v>45702</v>
      </c>
      <c r="F2907">
        <v>72.5</v>
      </c>
      <c r="G2907">
        <f t="shared" si="104"/>
        <v>2</v>
      </c>
      <c r="H2907">
        <f t="shared" si="105"/>
        <v>2025</v>
      </c>
    </row>
    <row r="2908" spans="5:8" x14ac:dyDescent="0.25">
      <c r="E2908" s="2">
        <v>45706</v>
      </c>
      <c r="F2908">
        <v>72.5</v>
      </c>
      <c r="G2908">
        <f t="shared" si="104"/>
        <v>2</v>
      </c>
      <c r="H2908">
        <f t="shared" si="105"/>
        <v>2025</v>
      </c>
    </row>
    <row r="2909" spans="5:8" x14ac:dyDescent="0.25">
      <c r="E2909" s="2">
        <v>45707</v>
      </c>
      <c r="F2909">
        <v>72.5</v>
      </c>
      <c r="G2909">
        <f t="shared" si="104"/>
        <v>2</v>
      </c>
      <c r="H2909">
        <f t="shared" si="105"/>
        <v>2025</v>
      </c>
    </row>
    <row r="2910" spans="5:8" x14ac:dyDescent="0.25">
      <c r="E2910" s="2">
        <v>45708</v>
      </c>
      <c r="F2910">
        <v>60.5</v>
      </c>
      <c r="G2910">
        <f t="shared" si="104"/>
        <v>2</v>
      </c>
      <c r="H2910">
        <f t="shared" si="105"/>
        <v>2025</v>
      </c>
    </row>
    <row r="2911" spans="5:8" x14ac:dyDescent="0.25">
      <c r="E2911" s="2">
        <v>45709</v>
      </c>
      <c r="F2911">
        <v>67.5</v>
      </c>
      <c r="G2911">
        <f t="shared" si="104"/>
        <v>2</v>
      </c>
      <c r="H2911">
        <f t="shared" si="105"/>
        <v>2025</v>
      </c>
    </row>
    <row r="2912" spans="5:8" x14ac:dyDescent="0.25">
      <c r="E2912" s="2">
        <v>45712</v>
      </c>
      <c r="F2912">
        <v>62</v>
      </c>
      <c r="G2912">
        <f t="shared" si="104"/>
        <v>2</v>
      </c>
      <c r="H2912">
        <f t="shared" si="105"/>
        <v>2025</v>
      </c>
    </row>
    <row r="2913" spans="5:8" x14ac:dyDescent="0.25">
      <c r="E2913" s="2">
        <v>45713</v>
      </c>
      <c r="F2913">
        <v>60.5</v>
      </c>
      <c r="G2913">
        <f t="shared" si="104"/>
        <v>2</v>
      </c>
      <c r="H2913">
        <f t="shared" si="105"/>
        <v>2025</v>
      </c>
    </row>
    <row r="2914" spans="5:8" x14ac:dyDescent="0.25">
      <c r="E2914" s="2">
        <v>45714</v>
      </c>
      <c r="F2914">
        <v>59.5</v>
      </c>
      <c r="G2914">
        <f t="shared" si="104"/>
        <v>2</v>
      </c>
      <c r="H2914">
        <f t="shared" si="105"/>
        <v>2025</v>
      </c>
    </row>
    <row r="2915" spans="5:8" x14ac:dyDescent="0.25">
      <c r="E2915" s="2">
        <v>45715</v>
      </c>
      <c r="F2915">
        <v>60</v>
      </c>
      <c r="G2915">
        <f t="shared" si="104"/>
        <v>2</v>
      </c>
      <c r="H2915">
        <f t="shared" si="105"/>
        <v>2025</v>
      </c>
    </row>
    <row r="2916" spans="5:8" x14ac:dyDescent="0.25">
      <c r="E2916" s="2">
        <v>45716</v>
      </c>
      <c r="F2916">
        <v>64</v>
      </c>
      <c r="G2916">
        <f t="shared" si="104"/>
        <v>2</v>
      </c>
      <c r="H2916">
        <f t="shared" si="105"/>
        <v>2025</v>
      </c>
    </row>
    <row r="2917" spans="5:8" x14ac:dyDescent="0.25">
      <c r="E2917" s="2">
        <v>45719</v>
      </c>
      <c r="F2917">
        <v>55</v>
      </c>
      <c r="G2917">
        <f t="shared" si="104"/>
        <v>3</v>
      </c>
      <c r="H2917">
        <f t="shared" si="105"/>
        <v>2025</v>
      </c>
    </row>
    <row r="2918" spans="5:8" x14ac:dyDescent="0.25">
      <c r="E2918" s="2">
        <v>45720</v>
      </c>
      <c r="F2918">
        <v>54.5</v>
      </c>
      <c r="G2918">
        <f t="shared" si="104"/>
        <v>3</v>
      </c>
      <c r="H2918">
        <f t="shared" si="105"/>
        <v>2025</v>
      </c>
    </row>
    <row r="2919" spans="5:8" x14ac:dyDescent="0.25">
      <c r="E2919" s="2">
        <v>45721</v>
      </c>
      <c r="F2919">
        <v>55</v>
      </c>
      <c r="G2919">
        <f t="shared" si="104"/>
        <v>3</v>
      </c>
      <c r="H2919">
        <f t="shared" si="105"/>
        <v>2025</v>
      </c>
    </row>
    <row r="2920" spans="5:8" x14ac:dyDescent="0.25">
      <c r="E2920" s="2">
        <v>45722</v>
      </c>
      <c r="F2920">
        <v>58</v>
      </c>
      <c r="G2920">
        <f t="shared" si="104"/>
        <v>3</v>
      </c>
      <c r="H2920">
        <f t="shared" si="105"/>
        <v>2025</v>
      </c>
    </row>
    <row r="2921" spans="5:8" x14ac:dyDescent="0.25">
      <c r="E2921" s="2">
        <v>45723</v>
      </c>
      <c r="F2921">
        <v>58</v>
      </c>
      <c r="G2921">
        <f t="shared" si="104"/>
        <v>3</v>
      </c>
      <c r="H2921">
        <f t="shared" si="105"/>
        <v>2025</v>
      </c>
    </row>
    <row r="2922" spans="5:8" x14ac:dyDescent="0.25">
      <c r="E2922" s="2">
        <v>45726</v>
      </c>
      <c r="F2922">
        <v>50</v>
      </c>
      <c r="G2922">
        <f t="shared" si="104"/>
        <v>3</v>
      </c>
      <c r="H2922">
        <f t="shared" si="105"/>
        <v>2025</v>
      </c>
    </row>
    <row r="2923" spans="5:8" x14ac:dyDescent="0.25">
      <c r="E2923" s="2">
        <v>45727</v>
      </c>
      <c r="F2923">
        <v>58</v>
      </c>
      <c r="G2923">
        <f t="shared" si="104"/>
        <v>3</v>
      </c>
      <c r="H2923">
        <f t="shared" si="105"/>
        <v>2025</v>
      </c>
    </row>
    <row r="2924" spans="5:8" x14ac:dyDescent="0.25">
      <c r="E2924" s="2">
        <v>45728</v>
      </c>
      <c r="F2924">
        <v>58</v>
      </c>
      <c r="G2924">
        <f t="shared" si="104"/>
        <v>3</v>
      </c>
      <c r="H2924">
        <f t="shared" si="105"/>
        <v>2025</v>
      </c>
    </row>
    <row r="2925" spans="5:8" x14ac:dyDescent="0.25">
      <c r="E2925" s="2">
        <v>45729</v>
      </c>
      <c r="F2925">
        <v>58</v>
      </c>
      <c r="G2925">
        <f t="shared" si="104"/>
        <v>3</v>
      </c>
      <c r="H2925">
        <f t="shared" si="105"/>
        <v>2025</v>
      </c>
    </row>
    <row r="2926" spans="5:8" x14ac:dyDescent="0.25">
      <c r="E2926" s="2">
        <v>45730</v>
      </c>
      <c r="F2926">
        <v>58.5</v>
      </c>
      <c r="G2926">
        <f t="shared" si="104"/>
        <v>3</v>
      </c>
      <c r="H2926">
        <f t="shared" si="105"/>
        <v>2025</v>
      </c>
    </row>
    <row r="2927" spans="5:8" x14ac:dyDescent="0.25">
      <c r="E2927" s="2">
        <v>45733</v>
      </c>
      <c r="F2927">
        <v>60</v>
      </c>
      <c r="G2927">
        <f t="shared" si="104"/>
        <v>3</v>
      </c>
      <c r="H2927">
        <f t="shared" si="105"/>
        <v>2025</v>
      </c>
    </row>
    <row r="2928" spans="5:8" x14ac:dyDescent="0.25">
      <c r="E2928" s="2">
        <v>45734</v>
      </c>
      <c r="F2928">
        <v>61</v>
      </c>
      <c r="G2928">
        <f t="shared" si="104"/>
        <v>3</v>
      </c>
      <c r="H2928">
        <f t="shared" si="105"/>
        <v>2025</v>
      </c>
    </row>
    <row r="2929" spans="5:8" x14ac:dyDescent="0.25">
      <c r="E2929" s="2">
        <v>45735</v>
      </c>
      <c r="F2929">
        <v>58.5</v>
      </c>
      <c r="G2929">
        <f t="shared" si="104"/>
        <v>3</v>
      </c>
      <c r="H2929">
        <f t="shared" si="105"/>
        <v>2025</v>
      </c>
    </row>
    <row r="2930" spans="5:8" x14ac:dyDescent="0.25">
      <c r="E2930" s="2">
        <v>45736</v>
      </c>
      <c r="F2930">
        <v>59.5</v>
      </c>
      <c r="G2930">
        <f t="shared" si="104"/>
        <v>3</v>
      </c>
      <c r="H2930">
        <f t="shared" si="105"/>
        <v>2025</v>
      </c>
    </row>
    <row r="2931" spans="5:8" x14ac:dyDescent="0.25">
      <c r="E2931" s="2">
        <v>45737</v>
      </c>
      <c r="F2931">
        <v>59.5</v>
      </c>
      <c r="G2931">
        <f t="shared" si="104"/>
        <v>3</v>
      </c>
      <c r="H2931">
        <f t="shared" si="105"/>
        <v>2025</v>
      </c>
    </row>
    <row r="2932" spans="5:8" x14ac:dyDescent="0.25">
      <c r="E2932" s="2">
        <v>45740</v>
      </c>
      <c r="F2932">
        <v>59.5</v>
      </c>
      <c r="G2932">
        <f t="shared" si="104"/>
        <v>3</v>
      </c>
      <c r="H2932">
        <f t="shared" si="105"/>
        <v>2025</v>
      </c>
    </row>
    <row r="2933" spans="5:8" x14ac:dyDescent="0.25">
      <c r="E2933" s="2">
        <v>45741</v>
      </c>
      <c r="F2933">
        <v>59.5</v>
      </c>
      <c r="G2933">
        <f t="shared" si="104"/>
        <v>3</v>
      </c>
      <c r="H2933">
        <f t="shared" si="105"/>
        <v>2025</v>
      </c>
    </row>
    <row r="2934" spans="5:8" x14ac:dyDescent="0.25">
      <c r="E2934" s="2">
        <v>45742</v>
      </c>
      <c r="F2934">
        <v>59.5</v>
      </c>
      <c r="G2934">
        <f t="shared" si="104"/>
        <v>3</v>
      </c>
      <c r="H2934">
        <f t="shared" si="105"/>
        <v>2025</v>
      </c>
    </row>
    <row r="2935" spans="5:8" x14ac:dyDescent="0.25">
      <c r="E2935" s="2">
        <v>45743</v>
      </c>
      <c r="F2935">
        <v>59</v>
      </c>
      <c r="G2935">
        <f t="shared" si="104"/>
        <v>3</v>
      </c>
      <c r="H2935">
        <f t="shared" si="105"/>
        <v>2025</v>
      </c>
    </row>
    <row r="2936" spans="5:8" x14ac:dyDescent="0.25">
      <c r="E2936" s="2">
        <v>45744</v>
      </c>
      <c r="F2936">
        <v>59</v>
      </c>
      <c r="G2936">
        <f t="shared" si="104"/>
        <v>3</v>
      </c>
      <c r="H2936">
        <f t="shared" si="105"/>
        <v>2025</v>
      </c>
    </row>
    <row r="2937" spans="5:8" x14ac:dyDescent="0.25">
      <c r="E2937" s="2">
        <v>45747</v>
      </c>
      <c r="F2937">
        <v>57</v>
      </c>
      <c r="G2937">
        <f t="shared" si="104"/>
        <v>3</v>
      </c>
      <c r="H2937">
        <f t="shared" si="105"/>
        <v>2025</v>
      </c>
    </row>
    <row r="2938" spans="5:8" x14ac:dyDescent="0.25">
      <c r="E2938" s="2">
        <v>45748</v>
      </c>
      <c r="F2938">
        <v>57</v>
      </c>
      <c r="G2938">
        <f t="shared" si="104"/>
        <v>4</v>
      </c>
      <c r="H2938">
        <f t="shared" si="105"/>
        <v>2025</v>
      </c>
    </row>
    <row r="2939" spans="5:8" x14ac:dyDescent="0.25">
      <c r="E2939" s="2">
        <v>45749</v>
      </c>
      <c r="F2939">
        <v>56.5</v>
      </c>
      <c r="G2939">
        <f t="shared" si="104"/>
        <v>4</v>
      </c>
      <c r="H2939">
        <f t="shared" si="105"/>
        <v>2025</v>
      </c>
    </row>
    <row r="2940" spans="5:8" x14ac:dyDescent="0.25">
      <c r="E2940" s="2">
        <v>45750</v>
      </c>
      <c r="F2940">
        <v>57</v>
      </c>
      <c r="G2940">
        <f t="shared" si="104"/>
        <v>4</v>
      </c>
      <c r="H2940">
        <f t="shared" si="105"/>
        <v>2025</v>
      </c>
    </row>
    <row r="2941" spans="5:8" x14ac:dyDescent="0.25">
      <c r="E2941" s="2">
        <v>45751</v>
      </c>
      <c r="F2941">
        <v>55.75</v>
      </c>
      <c r="G2941">
        <f t="shared" si="104"/>
        <v>4</v>
      </c>
      <c r="H2941">
        <f t="shared" si="105"/>
        <v>2025</v>
      </c>
    </row>
    <row r="2942" spans="5:8" x14ac:dyDescent="0.25">
      <c r="E2942" s="2">
        <v>45754</v>
      </c>
      <c r="F2942">
        <v>61</v>
      </c>
      <c r="G2942">
        <f t="shared" si="104"/>
        <v>4</v>
      </c>
      <c r="H2942">
        <f t="shared" si="105"/>
        <v>2025</v>
      </c>
    </row>
    <row r="2943" spans="5:8" x14ac:dyDescent="0.25">
      <c r="E2943" s="2">
        <v>45755</v>
      </c>
      <c r="F2943">
        <v>60.5</v>
      </c>
      <c r="G2943">
        <f t="shared" si="104"/>
        <v>4</v>
      </c>
      <c r="H2943">
        <f t="shared" si="105"/>
        <v>2025</v>
      </c>
    </row>
    <row r="2944" spans="5:8" x14ac:dyDescent="0.25">
      <c r="E2944" s="2">
        <v>45756</v>
      </c>
      <c r="F2944">
        <v>60.5</v>
      </c>
      <c r="G2944">
        <f t="shared" si="104"/>
        <v>4</v>
      </c>
      <c r="H2944">
        <f t="shared" si="105"/>
        <v>2025</v>
      </c>
    </row>
    <row r="2945" spans="5:8" x14ac:dyDescent="0.25">
      <c r="E2945" s="2">
        <v>45757</v>
      </c>
      <c r="F2945">
        <v>57</v>
      </c>
      <c r="G2945">
        <f t="shared" si="104"/>
        <v>4</v>
      </c>
      <c r="H2945">
        <f t="shared" si="105"/>
        <v>2025</v>
      </c>
    </row>
    <row r="2946" spans="5:8" x14ac:dyDescent="0.25">
      <c r="E2946" s="2">
        <v>45758</v>
      </c>
      <c r="F2946">
        <v>56.75</v>
      </c>
      <c r="G2946">
        <f t="shared" si="104"/>
        <v>4</v>
      </c>
      <c r="H2946">
        <f t="shared" si="105"/>
        <v>2025</v>
      </c>
    </row>
    <row r="2947" spans="5:8" x14ac:dyDescent="0.25">
      <c r="E2947" s="2">
        <v>45761</v>
      </c>
      <c r="F2947">
        <v>57.5</v>
      </c>
      <c r="G2947">
        <f t="shared" si="104"/>
        <v>4</v>
      </c>
      <c r="H2947">
        <f t="shared" si="105"/>
        <v>2025</v>
      </c>
    </row>
    <row r="2948" spans="5:8" x14ac:dyDescent="0.25">
      <c r="E2948" s="2">
        <v>45762</v>
      </c>
      <c r="F2948">
        <v>58</v>
      </c>
      <c r="G2948">
        <f t="shared" si="104"/>
        <v>4</v>
      </c>
      <c r="H2948">
        <f t="shared" si="105"/>
        <v>2025</v>
      </c>
    </row>
    <row r="2949" spans="5:8" x14ac:dyDescent="0.25">
      <c r="E2949" s="2">
        <v>45763</v>
      </c>
      <c r="F2949">
        <v>58</v>
      </c>
      <c r="G2949">
        <f t="shared" ref="G2949:G2952" si="106">MONTH(E2949)</f>
        <v>4</v>
      </c>
      <c r="H2949">
        <f t="shared" ref="H2949:H2952" si="107">YEAR(E2949)</f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A811-DB12-45C0-88A8-E4FB708446A4}">
  <dimension ref="A1:L2793"/>
  <sheetViews>
    <sheetView topLeftCell="A64" workbookViewId="0">
      <selection activeCell="G2945" sqref="G2945:H2949"/>
    </sheetView>
  </sheetViews>
  <sheetFormatPr defaultRowHeight="15" x14ac:dyDescent="0.25"/>
  <cols>
    <col min="1" max="1" width="10.42578125" bestFit="1" customWidth="1"/>
    <col min="3" max="3" width="15.140625" bestFit="1" customWidth="1"/>
    <col min="4" max="4" width="15.5703125" customWidth="1"/>
    <col min="5" max="5" width="15.140625" bestFit="1" customWidth="1"/>
    <col min="6" max="6" width="16.85546875" customWidth="1"/>
    <col min="7" max="7" width="15.140625" bestFit="1" customWidth="1"/>
    <col min="8" max="8" width="14.5703125" customWidth="1"/>
    <col min="9" max="9" width="15.140625" bestFit="1" customWidth="1"/>
    <col min="10" max="10" width="15.7109375" customWidth="1"/>
    <col min="11" max="11" width="12" style="5" bestFit="1" customWidth="1"/>
    <col min="12" max="12" width="12" style="6" bestFit="1" customWidth="1"/>
  </cols>
  <sheetData>
    <row r="1" spans="1:12" x14ac:dyDescent="0.25">
      <c r="A1" s="2">
        <v>45764</v>
      </c>
      <c r="C1" t="s">
        <v>0</v>
      </c>
      <c r="D1" t="s">
        <v>7</v>
      </c>
      <c r="E1" t="s">
        <v>0</v>
      </c>
      <c r="F1" t="s">
        <v>8</v>
      </c>
      <c r="G1" t="s">
        <v>0</v>
      </c>
      <c r="H1" t="s">
        <v>9</v>
      </c>
      <c r="I1" t="s">
        <v>0</v>
      </c>
      <c r="J1" t="s">
        <v>10</v>
      </c>
      <c r="K1" s="3" t="s">
        <v>11</v>
      </c>
      <c r="L1" s="4" t="s">
        <v>11</v>
      </c>
    </row>
    <row r="2" spans="1:12" x14ac:dyDescent="0.25">
      <c r="C2" t="s">
        <v>3</v>
      </c>
      <c r="D2" s="1" t="e" cm="1">
        <f t="array" aca="1" ref="D2" ca="1">_xll.GetLatestPrice(D1,,"Description",,)</f>
        <v>#NAME?</v>
      </c>
      <c r="E2" t="s">
        <v>3</v>
      </c>
      <c r="F2" s="1" t="e" cm="1">
        <f t="array" aca="1" ref="F2" ca="1">_xll.GetLatestPrice(F1,,"Description",,)</f>
        <v>#NAME?</v>
      </c>
      <c r="G2" t="s">
        <v>3</v>
      </c>
      <c r="H2" s="1" t="e" cm="1">
        <f t="array" aca="1" ref="H2" ca="1">_xll.GetLatestPrice(H1,,"Description",,)</f>
        <v>#NAME?</v>
      </c>
      <c r="I2" t="s">
        <v>3</v>
      </c>
      <c r="J2" s="1" t="e" cm="1">
        <f t="array" aca="1" ref="J2" ca="1">_xll.GetLatestPrice(J1,,"Description",,)</f>
        <v>#NAME?</v>
      </c>
      <c r="K2" s="3" t="s">
        <v>12</v>
      </c>
      <c r="L2" s="4" t="s">
        <v>13</v>
      </c>
    </row>
    <row r="3" spans="1:12" x14ac:dyDescent="0.25">
      <c r="A3" t="s">
        <v>5</v>
      </c>
      <c r="B3" t="s">
        <v>6</v>
      </c>
      <c r="C3" t="e" cm="1">
        <f t="array" aca="1" ref="C3" ca="1">_xll.GetPriceHistoryNonPreliminary(D1,,DATE(2025,1,1),DATE(YEAR(A1),MONTH(A1),DAY(A1)),"ValueOnly",,"A",,,"Date","Mid")</f>
        <v>#NAME?</v>
      </c>
      <c r="D3" t="s">
        <v>4</v>
      </c>
      <c r="E3" t="e" cm="1">
        <f t="array" aca="1" ref="E3" ca="1">_xll.GetPriceHistoryNonPreliminary(F1,,DATE(2025,1,1),DATE(YEAR(A1),MONTH(A1),DAY(A1)),"ValueOnly",,"A",,,"Date","Mid")</f>
        <v>#NAME?</v>
      </c>
      <c r="F3" t="s">
        <v>4</v>
      </c>
      <c r="G3" t="e" cm="1">
        <f t="array" aca="1" ref="G3" ca="1">_xll.GetPriceHistoryNonPreliminary(H1,,DATE(2025,1,1),DATE(YEAR(A1),MONTH(A1),DAY(A1)),"ValueOnly",,"A",,,"Date","Mid")</f>
        <v>#NAME?</v>
      </c>
      <c r="H3" t="s">
        <v>4</v>
      </c>
      <c r="I3" t="e" cm="1">
        <f t="array" aca="1" ref="I3" ca="1">_xll.GetPriceHistoryNonPreliminary(J1,,DATE(2025,1,1),DATE(YEAR(A1),MONTH(A1),DAY(A1)),"ValueOnly",,"A",,,"Date","Mid")</f>
        <v>#NAME?</v>
      </c>
      <c r="J3" t="s">
        <v>4</v>
      </c>
    </row>
    <row r="4" spans="1:12" x14ac:dyDescent="0.25">
      <c r="A4">
        <f>MONTH(E4)</f>
        <v>1</v>
      </c>
      <c r="B4">
        <f>YEAR(E4)</f>
        <v>2025</v>
      </c>
      <c r="C4" s="2">
        <v>45659</v>
      </c>
      <c r="D4">
        <v>240</v>
      </c>
      <c r="E4" s="2">
        <v>45659</v>
      </c>
      <c r="F4">
        <v>63.25</v>
      </c>
      <c r="G4" s="2">
        <v>45659</v>
      </c>
      <c r="H4">
        <v>62.5</v>
      </c>
      <c r="I4" s="2">
        <v>45659</v>
      </c>
      <c r="J4">
        <v>61.75</v>
      </c>
      <c r="K4" s="5">
        <f>F4-J4</f>
        <v>1.5</v>
      </c>
      <c r="L4" s="6">
        <f>F4-H4</f>
        <v>0.75</v>
      </c>
    </row>
    <row r="5" spans="1:12" x14ac:dyDescent="0.25">
      <c r="A5">
        <f t="shared" ref="A5:A68" si="0">MONTH(E5)</f>
        <v>1</v>
      </c>
      <c r="B5">
        <f t="shared" ref="B5:B68" si="1">YEAR(E5)</f>
        <v>2025</v>
      </c>
      <c r="C5" s="2">
        <v>45660</v>
      </c>
      <c r="D5">
        <v>240</v>
      </c>
      <c r="E5" s="2">
        <v>45660</v>
      </c>
      <c r="F5">
        <v>62.25</v>
      </c>
      <c r="G5" s="2">
        <v>45660</v>
      </c>
      <c r="H5">
        <v>61.5</v>
      </c>
      <c r="I5" s="2">
        <v>45660</v>
      </c>
      <c r="J5">
        <v>61.25</v>
      </c>
      <c r="K5" s="5">
        <f t="shared" ref="K5:K68" si="2">F5-J5</f>
        <v>1</v>
      </c>
      <c r="L5" s="6">
        <f t="shared" ref="L5:L68" si="3">F5-H5</f>
        <v>0.75</v>
      </c>
    </row>
    <row r="6" spans="1:12" x14ac:dyDescent="0.25">
      <c r="A6">
        <f t="shared" si="0"/>
        <v>1</v>
      </c>
      <c r="B6">
        <f t="shared" si="1"/>
        <v>2025</v>
      </c>
      <c r="C6" s="2">
        <v>45663</v>
      </c>
      <c r="D6">
        <v>240</v>
      </c>
      <c r="E6" s="2">
        <v>45663</v>
      </c>
      <c r="F6">
        <v>64</v>
      </c>
      <c r="G6" s="2">
        <v>45663</v>
      </c>
      <c r="H6">
        <v>63.25</v>
      </c>
      <c r="I6" s="2">
        <v>45663</v>
      </c>
      <c r="J6">
        <v>62.75</v>
      </c>
      <c r="K6" s="5">
        <f t="shared" si="2"/>
        <v>1.25</v>
      </c>
      <c r="L6" s="6">
        <f t="shared" si="3"/>
        <v>0.75</v>
      </c>
    </row>
    <row r="7" spans="1:12" x14ac:dyDescent="0.25">
      <c r="A7">
        <f t="shared" si="0"/>
        <v>1</v>
      </c>
      <c r="B7">
        <f t="shared" si="1"/>
        <v>2025</v>
      </c>
      <c r="C7" s="2">
        <v>45664</v>
      </c>
      <c r="D7">
        <v>240</v>
      </c>
      <c r="E7" s="2">
        <v>45664</v>
      </c>
      <c r="F7">
        <v>64.5</v>
      </c>
      <c r="G7" s="2">
        <v>45664</v>
      </c>
      <c r="H7">
        <v>63.75</v>
      </c>
      <c r="I7" s="2">
        <v>45664</v>
      </c>
      <c r="J7">
        <v>63.25</v>
      </c>
      <c r="K7" s="5">
        <f t="shared" si="2"/>
        <v>1.25</v>
      </c>
      <c r="L7" s="6">
        <f t="shared" si="3"/>
        <v>0.75</v>
      </c>
    </row>
    <row r="8" spans="1:12" x14ac:dyDescent="0.25">
      <c r="A8">
        <f t="shared" si="0"/>
        <v>1</v>
      </c>
      <c r="B8">
        <f t="shared" si="1"/>
        <v>2025</v>
      </c>
      <c r="C8" s="2">
        <v>45665</v>
      </c>
      <c r="D8">
        <v>240</v>
      </c>
      <c r="E8" s="2">
        <v>45665</v>
      </c>
      <c r="F8">
        <v>64.5</v>
      </c>
      <c r="G8" s="2">
        <v>45665</v>
      </c>
      <c r="H8">
        <v>63.75</v>
      </c>
      <c r="I8" s="2">
        <v>45665</v>
      </c>
      <c r="J8">
        <v>62.75</v>
      </c>
      <c r="K8" s="5">
        <f t="shared" si="2"/>
        <v>1.75</v>
      </c>
      <c r="L8" s="6">
        <f t="shared" si="3"/>
        <v>0.75</v>
      </c>
    </row>
    <row r="9" spans="1:12" x14ac:dyDescent="0.25">
      <c r="A9">
        <f t="shared" si="0"/>
        <v>1</v>
      </c>
      <c r="B9">
        <f t="shared" si="1"/>
        <v>2025</v>
      </c>
      <c r="C9" s="2">
        <v>45666</v>
      </c>
      <c r="D9">
        <v>240</v>
      </c>
      <c r="E9" s="2">
        <v>45666</v>
      </c>
      <c r="F9">
        <v>65.75</v>
      </c>
      <c r="G9" s="2">
        <v>45666</v>
      </c>
      <c r="H9">
        <v>65.25</v>
      </c>
      <c r="I9" s="2">
        <v>45666</v>
      </c>
      <c r="J9">
        <v>62.75</v>
      </c>
      <c r="K9" s="5">
        <f t="shared" si="2"/>
        <v>3</v>
      </c>
      <c r="L9" s="6">
        <f t="shared" si="3"/>
        <v>0.5</v>
      </c>
    </row>
    <row r="10" spans="1:12" x14ac:dyDescent="0.25">
      <c r="A10">
        <f t="shared" si="0"/>
        <v>1</v>
      </c>
      <c r="B10">
        <f t="shared" si="1"/>
        <v>2025</v>
      </c>
      <c r="C10" s="2">
        <v>45667</v>
      </c>
      <c r="D10">
        <v>235</v>
      </c>
      <c r="E10" s="2">
        <v>45667</v>
      </c>
      <c r="F10">
        <v>71</v>
      </c>
      <c r="G10" s="2">
        <v>45667</v>
      </c>
      <c r="H10">
        <v>70.75</v>
      </c>
      <c r="I10" s="2">
        <v>45667</v>
      </c>
      <c r="J10">
        <v>69</v>
      </c>
      <c r="K10" s="5">
        <f t="shared" si="2"/>
        <v>2</v>
      </c>
      <c r="L10" s="6">
        <f t="shared" si="3"/>
        <v>0.25</v>
      </c>
    </row>
    <row r="11" spans="1:12" x14ac:dyDescent="0.25">
      <c r="A11">
        <f t="shared" si="0"/>
        <v>1</v>
      </c>
      <c r="B11">
        <f t="shared" si="1"/>
        <v>2025</v>
      </c>
      <c r="C11" s="2">
        <v>45670</v>
      </c>
      <c r="D11">
        <v>235</v>
      </c>
      <c r="E11" s="2">
        <v>45670</v>
      </c>
      <c r="F11">
        <v>71</v>
      </c>
      <c r="G11" s="2">
        <v>45670</v>
      </c>
      <c r="H11">
        <v>70.75</v>
      </c>
      <c r="I11" s="2">
        <v>45670</v>
      </c>
      <c r="J11">
        <v>69</v>
      </c>
      <c r="K11" s="5">
        <f t="shared" si="2"/>
        <v>2</v>
      </c>
      <c r="L11" s="6">
        <f t="shared" si="3"/>
        <v>0.25</v>
      </c>
    </row>
    <row r="12" spans="1:12" x14ac:dyDescent="0.25">
      <c r="A12">
        <f t="shared" si="0"/>
        <v>1</v>
      </c>
      <c r="B12">
        <f t="shared" si="1"/>
        <v>2025</v>
      </c>
      <c r="C12" s="2">
        <v>45671</v>
      </c>
      <c r="D12">
        <v>233</v>
      </c>
      <c r="E12" s="2">
        <v>45671</v>
      </c>
      <c r="F12">
        <v>75</v>
      </c>
      <c r="G12" s="2">
        <v>45671</v>
      </c>
      <c r="H12">
        <v>74.5</v>
      </c>
      <c r="I12" s="2">
        <v>45671</v>
      </c>
      <c r="J12">
        <v>71.5</v>
      </c>
      <c r="K12" s="5">
        <f t="shared" si="2"/>
        <v>3.5</v>
      </c>
      <c r="L12" s="6">
        <f t="shared" si="3"/>
        <v>0.5</v>
      </c>
    </row>
    <row r="13" spans="1:12" x14ac:dyDescent="0.25">
      <c r="A13">
        <f t="shared" si="0"/>
        <v>1</v>
      </c>
      <c r="B13">
        <f t="shared" si="1"/>
        <v>2025</v>
      </c>
      <c r="C13" s="2">
        <v>45672</v>
      </c>
      <c r="D13">
        <v>234</v>
      </c>
      <c r="E13" s="2">
        <v>45672</v>
      </c>
      <c r="F13">
        <v>76</v>
      </c>
      <c r="G13" s="2">
        <v>45672</v>
      </c>
      <c r="H13">
        <v>75.5</v>
      </c>
      <c r="I13" s="2">
        <v>45672</v>
      </c>
      <c r="J13">
        <v>72</v>
      </c>
      <c r="K13" s="5">
        <f t="shared" si="2"/>
        <v>4</v>
      </c>
      <c r="L13" s="6">
        <f t="shared" si="3"/>
        <v>0.5</v>
      </c>
    </row>
    <row r="14" spans="1:12" x14ac:dyDescent="0.25">
      <c r="A14">
        <f t="shared" si="0"/>
        <v>1</v>
      </c>
      <c r="B14">
        <f t="shared" si="1"/>
        <v>2025</v>
      </c>
      <c r="C14" s="2">
        <v>45673</v>
      </c>
      <c r="D14">
        <v>237</v>
      </c>
      <c r="E14" s="2">
        <v>45673</v>
      </c>
      <c r="F14">
        <v>72.75</v>
      </c>
      <c r="G14" s="2">
        <v>45673</v>
      </c>
      <c r="H14">
        <v>72.25</v>
      </c>
      <c r="I14" s="2">
        <v>45673</v>
      </c>
      <c r="J14">
        <v>69.75</v>
      </c>
      <c r="K14" s="5">
        <f t="shared" si="2"/>
        <v>3</v>
      </c>
      <c r="L14" s="6">
        <f t="shared" si="3"/>
        <v>0.5</v>
      </c>
    </row>
    <row r="15" spans="1:12" x14ac:dyDescent="0.25">
      <c r="A15">
        <f t="shared" si="0"/>
        <v>1</v>
      </c>
      <c r="B15">
        <f t="shared" si="1"/>
        <v>2025</v>
      </c>
      <c r="C15" s="2">
        <v>45674</v>
      </c>
      <c r="D15">
        <v>239</v>
      </c>
      <c r="E15" s="2">
        <v>45674</v>
      </c>
      <c r="F15">
        <v>72.25</v>
      </c>
      <c r="G15" s="2">
        <v>45674</v>
      </c>
      <c r="H15">
        <v>71.75</v>
      </c>
      <c r="I15" s="2">
        <v>45674</v>
      </c>
      <c r="J15">
        <v>69.25</v>
      </c>
      <c r="K15" s="5">
        <f t="shared" si="2"/>
        <v>3</v>
      </c>
      <c r="L15" s="6">
        <f t="shared" si="3"/>
        <v>0.5</v>
      </c>
    </row>
    <row r="16" spans="1:12" x14ac:dyDescent="0.25">
      <c r="A16">
        <f t="shared" si="0"/>
        <v>1</v>
      </c>
      <c r="B16">
        <f t="shared" si="1"/>
        <v>2025</v>
      </c>
      <c r="C16" s="2">
        <v>45678</v>
      </c>
      <c r="D16">
        <v>238</v>
      </c>
      <c r="E16" s="2">
        <v>45678</v>
      </c>
      <c r="F16">
        <v>74.75</v>
      </c>
      <c r="G16" s="2">
        <v>45678</v>
      </c>
      <c r="H16">
        <v>74.25</v>
      </c>
      <c r="I16" s="2">
        <v>45678</v>
      </c>
      <c r="J16">
        <v>71</v>
      </c>
      <c r="K16" s="5">
        <f t="shared" si="2"/>
        <v>3.75</v>
      </c>
      <c r="L16" s="6">
        <f t="shared" si="3"/>
        <v>0.5</v>
      </c>
    </row>
    <row r="17" spans="1:12" x14ac:dyDescent="0.25">
      <c r="A17">
        <f t="shared" si="0"/>
        <v>1</v>
      </c>
      <c r="B17">
        <f t="shared" si="1"/>
        <v>2025</v>
      </c>
      <c r="C17" s="2">
        <v>45679</v>
      </c>
      <c r="D17">
        <v>236</v>
      </c>
      <c r="E17" s="2">
        <v>45679</v>
      </c>
      <c r="F17">
        <v>73.75</v>
      </c>
      <c r="G17" s="2">
        <v>45679</v>
      </c>
      <c r="H17">
        <v>72.75</v>
      </c>
      <c r="I17" s="2">
        <v>45679</v>
      </c>
      <c r="J17">
        <v>70.75</v>
      </c>
      <c r="K17" s="5">
        <f t="shared" si="2"/>
        <v>3</v>
      </c>
      <c r="L17" s="6">
        <f t="shared" si="3"/>
        <v>1</v>
      </c>
    </row>
    <row r="18" spans="1:12" x14ac:dyDescent="0.25">
      <c r="A18">
        <f t="shared" si="0"/>
        <v>1</v>
      </c>
      <c r="B18">
        <f t="shared" si="1"/>
        <v>2025</v>
      </c>
      <c r="C18" s="2">
        <v>45680</v>
      </c>
      <c r="D18">
        <v>236</v>
      </c>
      <c r="E18" s="2">
        <v>45680</v>
      </c>
      <c r="F18">
        <v>76</v>
      </c>
      <c r="G18" s="2">
        <v>45680</v>
      </c>
      <c r="H18">
        <v>75</v>
      </c>
      <c r="I18" s="2">
        <v>45680</v>
      </c>
      <c r="J18">
        <v>73</v>
      </c>
      <c r="K18" s="5">
        <f t="shared" si="2"/>
        <v>3</v>
      </c>
      <c r="L18" s="6">
        <f t="shared" si="3"/>
        <v>1</v>
      </c>
    </row>
    <row r="19" spans="1:12" x14ac:dyDescent="0.25">
      <c r="A19">
        <f t="shared" si="0"/>
        <v>1</v>
      </c>
      <c r="B19">
        <f t="shared" si="1"/>
        <v>2025</v>
      </c>
      <c r="C19" s="2">
        <v>45681</v>
      </c>
      <c r="D19">
        <v>237</v>
      </c>
      <c r="E19" s="2">
        <v>45681</v>
      </c>
      <c r="F19">
        <v>76.5</v>
      </c>
      <c r="G19" s="2">
        <v>45681</v>
      </c>
      <c r="H19">
        <v>75.5</v>
      </c>
      <c r="I19" s="2">
        <v>45681</v>
      </c>
      <c r="J19">
        <v>73</v>
      </c>
      <c r="K19" s="5">
        <f t="shared" si="2"/>
        <v>3.5</v>
      </c>
      <c r="L19" s="6">
        <f t="shared" si="3"/>
        <v>1</v>
      </c>
    </row>
    <row r="20" spans="1:12" x14ac:dyDescent="0.25">
      <c r="A20">
        <f t="shared" si="0"/>
        <v>1</v>
      </c>
      <c r="B20">
        <f t="shared" si="1"/>
        <v>2025</v>
      </c>
      <c r="C20" s="2">
        <v>45684</v>
      </c>
      <c r="D20">
        <v>237</v>
      </c>
      <c r="E20" s="2">
        <v>45684</v>
      </c>
      <c r="F20">
        <v>75.75</v>
      </c>
      <c r="G20" s="2">
        <v>45684</v>
      </c>
      <c r="H20">
        <v>74.75</v>
      </c>
      <c r="I20" s="2">
        <v>45684</v>
      </c>
      <c r="J20">
        <v>72.25</v>
      </c>
      <c r="K20" s="5">
        <f t="shared" si="2"/>
        <v>3.5</v>
      </c>
      <c r="L20" s="6">
        <f t="shared" si="3"/>
        <v>1</v>
      </c>
    </row>
    <row r="21" spans="1:12" x14ac:dyDescent="0.25">
      <c r="A21">
        <f t="shared" si="0"/>
        <v>1</v>
      </c>
      <c r="B21">
        <f t="shared" si="1"/>
        <v>2025</v>
      </c>
      <c r="C21" s="2">
        <v>45685</v>
      </c>
      <c r="D21">
        <v>240</v>
      </c>
      <c r="E21" s="2">
        <v>45685</v>
      </c>
      <c r="F21">
        <v>76.25</v>
      </c>
      <c r="G21" s="2">
        <v>45685</v>
      </c>
      <c r="H21">
        <v>75.25</v>
      </c>
      <c r="I21" s="2">
        <v>45685</v>
      </c>
      <c r="J21">
        <v>73</v>
      </c>
      <c r="K21" s="5">
        <f t="shared" si="2"/>
        <v>3.25</v>
      </c>
      <c r="L21" s="6">
        <f t="shared" si="3"/>
        <v>1</v>
      </c>
    </row>
    <row r="22" spans="1:12" x14ac:dyDescent="0.25">
      <c r="A22">
        <f t="shared" si="0"/>
        <v>1</v>
      </c>
      <c r="B22">
        <f t="shared" si="1"/>
        <v>2025</v>
      </c>
      <c r="C22" s="2">
        <v>45686</v>
      </c>
      <c r="D22">
        <v>240</v>
      </c>
      <c r="E22" s="2">
        <v>45686</v>
      </c>
      <c r="F22">
        <v>76.5</v>
      </c>
      <c r="G22" s="2">
        <v>45686</v>
      </c>
      <c r="H22">
        <v>75.5</v>
      </c>
      <c r="I22" s="2">
        <v>45686</v>
      </c>
      <c r="J22">
        <v>73</v>
      </c>
      <c r="K22" s="5">
        <f t="shared" si="2"/>
        <v>3.5</v>
      </c>
      <c r="L22" s="6">
        <f t="shared" si="3"/>
        <v>1</v>
      </c>
    </row>
    <row r="23" spans="1:12" x14ac:dyDescent="0.25">
      <c r="A23">
        <f t="shared" si="0"/>
        <v>1</v>
      </c>
      <c r="B23">
        <f t="shared" si="1"/>
        <v>2025</v>
      </c>
      <c r="C23" s="2">
        <v>45687</v>
      </c>
      <c r="D23">
        <v>238</v>
      </c>
      <c r="E23" s="2">
        <v>45687</v>
      </c>
      <c r="F23">
        <v>77</v>
      </c>
      <c r="G23" s="2">
        <v>45687</v>
      </c>
      <c r="H23">
        <v>76</v>
      </c>
      <c r="I23" s="2">
        <v>45687</v>
      </c>
      <c r="J23">
        <v>73.75</v>
      </c>
      <c r="K23" s="5">
        <f t="shared" si="2"/>
        <v>3.25</v>
      </c>
      <c r="L23" s="6">
        <f t="shared" si="3"/>
        <v>1</v>
      </c>
    </row>
    <row r="24" spans="1:12" x14ac:dyDescent="0.25">
      <c r="A24">
        <f t="shared" si="0"/>
        <v>1</v>
      </c>
      <c r="B24">
        <f t="shared" si="1"/>
        <v>2025</v>
      </c>
      <c r="C24" s="2">
        <v>45688</v>
      </c>
      <c r="D24">
        <v>238</v>
      </c>
      <c r="E24" s="2">
        <v>45688</v>
      </c>
      <c r="F24">
        <v>80.5</v>
      </c>
      <c r="G24" s="2">
        <v>45688</v>
      </c>
      <c r="H24">
        <v>79.5</v>
      </c>
      <c r="I24" s="2">
        <v>45688</v>
      </c>
      <c r="J24">
        <v>77.25</v>
      </c>
      <c r="K24" s="5">
        <f t="shared" si="2"/>
        <v>3.25</v>
      </c>
      <c r="L24" s="6">
        <f t="shared" si="3"/>
        <v>1</v>
      </c>
    </row>
    <row r="25" spans="1:12" x14ac:dyDescent="0.25">
      <c r="A25">
        <f t="shared" si="0"/>
        <v>2</v>
      </c>
      <c r="B25">
        <f t="shared" si="1"/>
        <v>2025</v>
      </c>
      <c r="C25" s="2">
        <v>45691</v>
      </c>
      <c r="D25">
        <v>242</v>
      </c>
      <c r="E25" s="2">
        <v>45691</v>
      </c>
      <c r="F25">
        <v>81</v>
      </c>
      <c r="G25" s="2">
        <v>45691</v>
      </c>
      <c r="H25">
        <v>80</v>
      </c>
      <c r="I25" s="2">
        <v>45691</v>
      </c>
      <c r="J25">
        <v>78.25</v>
      </c>
      <c r="K25" s="5">
        <f t="shared" si="2"/>
        <v>2.75</v>
      </c>
      <c r="L25" s="6">
        <f t="shared" si="3"/>
        <v>1</v>
      </c>
    </row>
    <row r="26" spans="1:12" x14ac:dyDescent="0.25">
      <c r="A26">
        <f t="shared" si="0"/>
        <v>2</v>
      </c>
      <c r="B26">
        <f t="shared" si="1"/>
        <v>2025</v>
      </c>
      <c r="C26" s="2">
        <v>45692</v>
      </c>
      <c r="D26">
        <v>243</v>
      </c>
      <c r="E26" s="2">
        <v>45692</v>
      </c>
      <c r="F26">
        <v>82</v>
      </c>
      <c r="G26" s="2">
        <v>45692</v>
      </c>
      <c r="H26">
        <v>81</v>
      </c>
      <c r="I26" s="2">
        <v>45692</v>
      </c>
      <c r="J26">
        <v>78.25</v>
      </c>
      <c r="K26" s="5">
        <f t="shared" si="2"/>
        <v>3.75</v>
      </c>
      <c r="L26" s="6">
        <f t="shared" si="3"/>
        <v>1</v>
      </c>
    </row>
    <row r="27" spans="1:12" x14ac:dyDescent="0.25">
      <c r="A27">
        <f t="shared" si="0"/>
        <v>2</v>
      </c>
      <c r="B27">
        <f t="shared" si="1"/>
        <v>2025</v>
      </c>
      <c r="C27" s="2">
        <v>45693</v>
      </c>
      <c r="D27">
        <v>243</v>
      </c>
      <c r="E27" s="2">
        <v>45693</v>
      </c>
      <c r="F27">
        <v>82</v>
      </c>
      <c r="G27" s="2">
        <v>45693</v>
      </c>
      <c r="H27">
        <v>81</v>
      </c>
      <c r="I27" s="2">
        <v>45693</v>
      </c>
      <c r="J27">
        <v>77.5</v>
      </c>
      <c r="K27" s="5">
        <f t="shared" si="2"/>
        <v>4.5</v>
      </c>
      <c r="L27" s="6">
        <f t="shared" si="3"/>
        <v>1</v>
      </c>
    </row>
    <row r="28" spans="1:12" x14ac:dyDescent="0.25">
      <c r="A28">
        <f t="shared" si="0"/>
        <v>2</v>
      </c>
      <c r="B28">
        <f t="shared" si="1"/>
        <v>2025</v>
      </c>
      <c r="C28" s="2">
        <v>45694</v>
      </c>
      <c r="D28">
        <v>246</v>
      </c>
      <c r="E28" s="2">
        <v>45694</v>
      </c>
      <c r="F28">
        <v>82.5</v>
      </c>
      <c r="G28" s="2">
        <v>45694</v>
      </c>
      <c r="H28">
        <v>81.5</v>
      </c>
      <c r="I28" s="2">
        <v>45694</v>
      </c>
      <c r="J28">
        <v>78.5</v>
      </c>
      <c r="K28" s="5">
        <f t="shared" si="2"/>
        <v>4</v>
      </c>
      <c r="L28" s="6">
        <f t="shared" si="3"/>
        <v>1</v>
      </c>
    </row>
    <row r="29" spans="1:12" x14ac:dyDescent="0.25">
      <c r="A29">
        <f t="shared" si="0"/>
        <v>2</v>
      </c>
      <c r="B29">
        <f t="shared" si="1"/>
        <v>2025</v>
      </c>
      <c r="C29" s="2">
        <v>45695</v>
      </c>
      <c r="D29">
        <v>248</v>
      </c>
      <c r="E29" s="2">
        <v>45695</v>
      </c>
      <c r="F29">
        <v>84</v>
      </c>
      <c r="G29" s="2">
        <v>45695</v>
      </c>
      <c r="H29">
        <v>83</v>
      </c>
      <c r="I29" s="2">
        <v>45695</v>
      </c>
      <c r="J29">
        <v>80</v>
      </c>
      <c r="K29" s="5">
        <f t="shared" si="2"/>
        <v>4</v>
      </c>
      <c r="L29" s="6">
        <f t="shared" si="3"/>
        <v>1</v>
      </c>
    </row>
    <row r="30" spans="1:12" x14ac:dyDescent="0.25">
      <c r="A30">
        <f t="shared" si="0"/>
        <v>2</v>
      </c>
      <c r="B30">
        <f t="shared" si="1"/>
        <v>2025</v>
      </c>
      <c r="C30" s="2">
        <v>45698</v>
      </c>
      <c r="D30">
        <v>246</v>
      </c>
      <c r="E30" s="2">
        <v>45698</v>
      </c>
      <c r="F30">
        <v>83.75</v>
      </c>
      <c r="G30" s="2">
        <v>45698</v>
      </c>
      <c r="H30">
        <v>82.5</v>
      </c>
      <c r="I30" s="2">
        <v>45698</v>
      </c>
      <c r="J30">
        <v>79.5</v>
      </c>
      <c r="K30" s="5">
        <f t="shared" si="2"/>
        <v>4.25</v>
      </c>
      <c r="L30" s="6">
        <f t="shared" si="3"/>
        <v>1.25</v>
      </c>
    </row>
    <row r="31" spans="1:12" x14ac:dyDescent="0.25">
      <c r="A31">
        <f t="shared" si="0"/>
        <v>2</v>
      </c>
      <c r="B31">
        <f t="shared" si="1"/>
        <v>2025</v>
      </c>
      <c r="C31" s="2">
        <v>45699</v>
      </c>
      <c r="D31">
        <v>247</v>
      </c>
      <c r="E31" s="2">
        <v>45699</v>
      </c>
      <c r="F31">
        <v>85.5</v>
      </c>
      <c r="G31" s="2">
        <v>45699</v>
      </c>
      <c r="H31">
        <v>84</v>
      </c>
      <c r="I31" s="2">
        <v>45699</v>
      </c>
      <c r="J31">
        <v>81</v>
      </c>
      <c r="K31" s="5">
        <f t="shared" si="2"/>
        <v>4.5</v>
      </c>
      <c r="L31" s="6">
        <f t="shared" si="3"/>
        <v>1.5</v>
      </c>
    </row>
    <row r="32" spans="1:12" x14ac:dyDescent="0.25">
      <c r="A32">
        <f t="shared" si="0"/>
        <v>2</v>
      </c>
      <c r="B32">
        <f t="shared" si="1"/>
        <v>2025</v>
      </c>
      <c r="C32" s="2">
        <v>45700</v>
      </c>
      <c r="D32">
        <v>247.5</v>
      </c>
      <c r="E32" s="2">
        <v>45700</v>
      </c>
      <c r="F32">
        <v>85.5</v>
      </c>
      <c r="G32" s="2">
        <v>45700</v>
      </c>
      <c r="H32">
        <v>84</v>
      </c>
      <c r="I32" s="2">
        <v>45700</v>
      </c>
      <c r="J32">
        <v>81</v>
      </c>
      <c r="K32" s="5">
        <f t="shared" si="2"/>
        <v>4.5</v>
      </c>
      <c r="L32" s="6">
        <f t="shared" si="3"/>
        <v>1.5</v>
      </c>
    </row>
    <row r="33" spans="1:12" x14ac:dyDescent="0.25">
      <c r="A33">
        <f t="shared" si="0"/>
        <v>2</v>
      </c>
      <c r="B33">
        <f t="shared" si="1"/>
        <v>2025</v>
      </c>
      <c r="C33" s="2">
        <v>45701</v>
      </c>
      <c r="D33">
        <v>249</v>
      </c>
      <c r="E33" s="2">
        <v>45701</v>
      </c>
      <c r="F33">
        <v>87.5</v>
      </c>
      <c r="G33" s="2">
        <v>45701</v>
      </c>
      <c r="H33">
        <v>86.5</v>
      </c>
      <c r="I33" s="2">
        <v>45701</v>
      </c>
      <c r="J33">
        <v>83.25</v>
      </c>
      <c r="K33" s="5">
        <f t="shared" si="2"/>
        <v>4.25</v>
      </c>
      <c r="L33" s="6">
        <f t="shared" si="3"/>
        <v>1</v>
      </c>
    </row>
    <row r="34" spans="1:12" x14ac:dyDescent="0.25">
      <c r="A34">
        <f t="shared" si="0"/>
        <v>2</v>
      </c>
      <c r="B34">
        <f t="shared" si="1"/>
        <v>2025</v>
      </c>
      <c r="C34" s="2">
        <v>45702</v>
      </c>
      <c r="D34">
        <v>249</v>
      </c>
      <c r="E34" s="2">
        <v>45702</v>
      </c>
      <c r="F34">
        <v>88.25</v>
      </c>
      <c r="G34" s="2">
        <v>45702</v>
      </c>
      <c r="H34">
        <v>87.5</v>
      </c>
      <c r="I34" s="2">
        <v>45702</v>
      </c>
      <c r="J34">
        <v>83.75</v>
      </c>
      <c r="K34" s="5">
        <f t="shared" si="2"/>
        <v>4.5</v>
      </c>
      <c r="L34" s="6">
        <f t="shared" si="3"/>
        <v>0.75</v>
      </c>
    </row>
    <row r="35" spans="1:12" x14ac:dyDescent="0.25">
      <c r="A35">
        <f t="shared" si="0"/>
        <v>2</v>
      </c>
      <c r="B35">
        <f t="shared" si="1"/>
        <v>2025</v>
      </c>
      <c r="C35" s="2">
        <v>45706</v>
      </c>
      <c r="D35">
        <v>249</v>
      </c>
      <c r="E35" s="2">
        <v>45706</v>
      </c>
      <c r="F35">
        <v>89</v>
      </c>
      <c r="G35" s="2">
        <v>45706</v>
      </c>
      <c r="H35">
        <v>88.25</v>
      </c>
      <c r="I35" s="2">
        <v>45706</v>
      </c>
      <c r="J35">
        <v>84.5</v>
      </c>
      <c r="K35" s="5">
        <f t="shared" si="2"/>
        <v>4.5</v>
      </c>
      <c r="L35" s="6">
        <f t="shared" si="3"/>
        <v>0.75</v>
      </c>
    </row>
    <row r="36" spans="1:12" x14ac:dyDescent="0.25">
      <c r="A36">
        <f t="shared" si="0"/>
        <v>2</v>
      </c>
      <c r="B36">
        <f t="shared" si="1"/>
        <v>2025</v>
      </c>
      <c r="C36" s="2">
        <v>45707</v>
      </c>
      <c r="D36">
        <v>249</v>
      </c>
      <c r="E36" s="2">
        <v>45707</v>
      </c>
      <c r="F36">
        <v>89</v>
      </c>
      <c r="G36" s="2">
        <v>45707</v>
      </c>
      <c r="H36">
        <v>88.25</v>
      </c>
      <c r="I36" s="2">
        <v>45707</v>
      </c>
      <c r="J36">
        <v>84.5</v>
      </c>
      <c r="K36" s="5">
        <f t="shared" si="2"/>
        <v>4.5</v>
      </c>
      <c r="L36" s="6">
        <f t="shared" si="3"/>
        <v>0.75</v>
      </c>
    </row>
    <row r="37" spans="1:12" x14ac:dyDescent="0.25">
      <c r="A37">
        <f t="shared" si="0"/>
        <v>2</v>
      </c>
      <c r="B37">
        <f t="shared" si="1"/>
        <v>2025</v>
      </c>
      <c r="C37" s="2">
        <v>45708</v>
      </c>
      <c r="D37">
        <v>248.75</v>
      </c>
      <c r="E37" s="2">
        <v>45708</v>
      </c>
      <c r="F37">
        <v>92</v>
      </c>
      <c r="G37" s="2">
        <v>45708</v>
      </c>
      <c r="H37">
        <v>88.25</v>
      </c>
      <c r="I37" s="2">
        <v>45708</v>
      </c>
      <c r="J37">
        <v>84.5</v>
      </c>
      <c r="K37" s="5">
        <f t="shared" si="2"/>
        <v>7.5</v>
      </c>
      <c r="L37" s="6">
        <f t="shared" si="3"/>
        <v>3.75</v>
      </c>
    </row>
    <row r="38" spans="1:12" x14ac:dyDescent="0.25">
      <c r="A38">
        <f t="shared" si="0"/>
        <v>2</v>
      </c>
      <c r="B38">
        <f t="shared" si="1"/>
        <v>2025</v>
      </c>
      <c r="C38" s="2">
        <v>45709</v>
      </c>
      <c r="D38">
        <v>247</v>
      </c>
      <c r="E38" s="2">
        <v>45709</v>
      </c>
      <c r="F38">
        <v>92</v>
      </c>
      <c r="G38" s="2">
        <v>45709</v>
      </c>
      <c r="H38">
        <v>88.25</v>
      </c>
      <c r="I38" s="2">
        <v>45709</v>
      </c>
      <c r="J38">
        <v>88</v>
      </c>
      <c r="K38" s="5">
        <f t="shared" si="2"/>
        <v>4</v>
      </c>
      <c r="L38" s="6">
        <f t="shared" si="3"/>
        <v>3.75</v>
      </c>
    </row>
    <row r="39" spans="1:12" x14ac:dyDescent="0.25">
      <c r="A39">
        <f t="shared" si="0"/>
        <v>2</v>
      </c>
      <c r="B39">
        <f t="shared" si="1"/>
        <v>2025</v>
      </c>
      <c r="C39" s="2">
        <v>45712</v>
      </c>
      <c r="D39">
        <v>247</v>
      </c>
      <c r="E39" s="2">
        <v>45712</v>
      </c>
      <c r="F39">
        <v>86</v>
      </c>
      <c r="G39" s="2">
        <v>45712</v>
      </c>
      <c r="H39">
        <v>88.25</v>
      </c>
      <c r="I39" s="2">
        <v>45712</v>
      </c>
      <c r="J39">
        <v>81.5</v>
      </c>
      <c r="K39" s="5">
        <f t="shared" si="2"/>
        <v>4.5</v>
      </c>
      <c r="L39" s="6">
        <f t="shared" si="3"/>
        <v>-2.25</v>
      </c>
    </row>
    <row r="40" spans="1:12" x14ac:dyDescent="0.25">
      <c r="A40">
        <f t="shared" si="0"/>
        <v>2</v>
      </c>
      <c r="B40">
        <f t="shared" si="1"/>
        <v>2025</v>
      </c>
      <c r="C40" s="2">
        <v>45713</v>
      </c>
      <c r="D40">
        <v>251</v>
      </c>
      <c r="E40" s="2">
        <v>45713</v>
      </c>
      <c r="F40">
        <v>85.5</v>
      </c>
      <c r="G40" s="2">
        <v>45713</v>
      </c>
      <c r="H40">
        <v>85</v>
      </c>
      <c r="I40" s="2">
        <v>45713</v>
      </c>
      <c r="J40">
        <v>81.25</v>
      </c>
      <c r="K40" s="5">
        <f t="shared" si="2"/>
        <v>4.25</v>
      </c>
      <c r="L40" s="6">
        <f t="shared" si="3"/>
        <v>0.5</v>
      </c>
    </row>
    <row r="41" spans="1:12" x14ac:dyDescent="0.25">
      <c r="A41">
        <f t="shared" si="0"/>
        <v>2</v>
      </c>
      <c r="B41">
        <f t="shared" si="1"/>
        <v>2025</v>
      </c>
      <c r="C41" s="2">
        <v>45714</v>
      </c>
      <c r="D41">
        <v>248</v>
      </c>
      <c r="E41" s="2">
        <v>45714</v>
      </c>
      <c r="F41">
        <v>80</v>
      </c>
      <c r="G41" s="2">
        <v>45714</v>
      </c>
      <c r="H41">
        <v>77.5</v>
      </c>
      <c r="I41" s="2">
        <v>45714</v>
      </c>
      <c r="J41">
        <v>75.75</v>
      </c>
      <c r="K41" s="5">
        <f t="shared" si="2"/>
        <v>4.25</v>
      </c>
      <c r="L41" s="6">
        <f t="shared" si="3"/>
        <v>2.5</v>
      </c>
    </row>
    <row r="42" spans="1:12" x14ac:dyDescent="0.25">
      <c r="A42">
        <f t="shared" si="0"/>
        <v>2</v>
      </c>
      <c r="B42">
        <f t="shared" si="1"/>
        <v>2025</v>
      </c>
      <c r="C42" s="2">
        <v>45715</v>
      </c>
      <c r="D42">
        <v>248</v>
      </c>
      <c r="E42" s="2">
        <v>45715</v>
      </c>
      <c r="F42">
        <v>81</v>
      </c>
      <c r="G42" s="2">
        <v>45715</v>
      </c>
      <c r="H42">
        <v>78.5</v>
      </c>
      <c r="I42" s="2">
        <v>45715</v>
      </c>
      <c r="J42">
        <v>76.25</v>
      </c>
      <c r="K42" s="5">
        <f t="shared" si="2"/>
        <v>4.75</v>
      </c>
      <c r="L42" s="6">
        <f t="shared" si="3"/>
        <v>2.5</v>
      </c>
    </row>
    <row r="43" spans="1:12" x14ac:dyDescent="0.25">
      <c r="A43">
        <f t="shared" si="0"/>
        <v>2</v>
      </c>
      <c r="B43">
        <f t="shared" si="1"/>
        <v>2025</v>
      </c>
      <c r="C43" s="2">
        <v>45716</v>
      </c>
      <c r="D43">
        <v>246</v>
      </c>
      <c r="E43" s="2">
        <v>45716</v>
      </c>
      <c r="F43">
        <v>77.5</v>
      </c>
      <c r="G43" s="2">
        <v>45716</v>
      </c>
      <c r="H43">
        <v>75.5</v>
      </c>
      <c r="I43" s="2">
        <v>45716</v>
      </c>
      <c r="J43">
        <v>73.25</v>
      </c>
      <c r="K43" s="5">
        <f t="shared" si="2"/>
        <v>4.25</v>
      </c>
      <c r="L43" s="6">
        <f t="shared" si="3"/>
        <v>2</v>
      </c>
    </row>
    <row r="44" spans="1:12" x14ac:dyDescent="0.25">
      <c r="A44">
        <f t="shared" si="0"/>
        <v>3</v>
      </c>
      <c r="B44">
        <f t="shared" si="1"/>
        <v>2025</v>
      </c>
      <c r="C44" s="2">
        <v>45719</v>
      </c>
      <c r="D44">
        <v>244</v>
      </c>
      <c r="E44" s="2">
        <v>45719</v>
      </c>
      <c r="F44">
        <v>75</v>
      </c>
      <c r="G44" s="2">
        <v>45719</v>
      </c>
      <c r="H44">
        <v>72.5</v>
      </c>
      <c r="I44" s="2">
        <v>45719</v>
      </c>
      <c r="J44">
        <v>70</v>
      </c>
      <c r="K44" s="5">
        <f t="shared" si="2"/>
        <v>5</v>
      </c>
      <c r="L44" s="6">
        <f t="shared" si="3"/>
        <v>2.5</v>
      </c>
    </row>
    <row r="45" spans="1:12" x14ac:dyDescent="0.25">
      <c r="A45">
        <f t="shared" si="0"/>
        <v>3</v>
      </c>
      <c r="B45">
        <f t="shared" si="1"/>
        <v>2025</v>
      </c>
      <c r="C45" s="2">
        <v>45720</v>
      </c>
      <c r="D45">
        <v>246</v>
      </c>
      <c r="E45" s="2">
        <v>45720</v>
      </c>
      <c r="F45">
        <v>74.5</v>
      </c>
      <c r="G45" s="2">
        <v>45720</v>
      </c>
      <c r="H45">
        <v>71</v>
      </c>
      <c r="I45" s="2">
        <v>45720</v>
      </c>
      <c r="J45">
        <v>69.5</v>
      </c>
      <c r="K45" s="5">
        <f t="shared" si="2"/>
        <v>5</v>
      </c>
      <c r="L45" s="6">
        <f t="shared" si="3"/>
        <v>3.5</v>
      </c>
    </row>
    <row r="46" spans="1:12" x14ac:dyDescent="0.25">
      <c r="A46">
        <f t="shared" si="0"/>
        <v>3</v>
      </c>
      <c r="B46">
        <f t="shared" si="1"/>
        <v>2025</v>
      </c>
      <c r="C46" s="2">
        <v>45721</v>
      </c>
      <c r="D46">
        <v>246</v>
      </c>
      <c r="E46" s="2">
        <v>45721</v>
      </c>
      <c r="F46">
        <v>80</v>
      </c>
      <c r="G46" s="2">
        <v>45721</v>
      </c>
      <c r="H46">
        <v>76.5</v>
      </c>
      <c r="I46" s="2">
        <v>45721</v>
      </c>
      <c r="J46">
        <v>75</v>
      </c>
      <c r="K46" s="5">
        <f t="shared" si="2"/>
        <v>5</v>
      </c>
      <c r="L46" s="6">
        <f t="shared" si="3"/>
        <v>3.5</v>
      </c>
    </row>
    <row r="47" spans="1:12" x14ac:dyDescent="0.25">
      <c r="A47">
        <f t="shared" si="0"/>
        <v>3</v>
      </c>
      <c r="B47">
        <f t="shared" si="1"/>
        <v>2025</v>
      </c>
      <c r="C47" s="2">
        <v>45722</v>
      </c>
      <c r="D47">
        <v>245</v>
      </c>
      <c r="E47" s="2">
        <v>45722</v>
      </c>
      <c r="F47">
        <v>82</v>
      </c>
      <c r="G47" s="2">
        <v>45722</v>
      </c>
      <c r="H47">
        <v>76.5</v>
      </c>
      <c r="I47" s="2">
        <v>45722</v>
      </c>
      <c r="J47">
        <v>75</v>
      </c>
      <c r="K47" s="5">
        <f t="shared" si="2"/>
        <v>7</v>
      </c>
      <c r="L47" s="6">
        <f t="shared" si="3"/>
        <v>5.5</v>
      </c>
    </row>
    <row r="48" spans="1:12" x14ac:dyDescent="0.25">
      <c r="A48">
        <f t="shared" si="0"/>
        <v>3</v>
      </c>
      <c r="B48">
        <f t="shared" si="1"/>
        <v>2025</v>
      </c>
      <c r="C48" s="2">
        <v>45723</v>
      </c>
      <c r="D48">
        <v>245.5</v>
      </c>
      <c r="E48" s="2">
        <v>45723</v>
      </c>
      <c r="F48">
        <v>79</v>
      </c>
      <c r="G48" s="2">
        <v>45723</v>
      </c>
      <c r="H48">
        <v>78.5</v>
      </c>
      <c r="I48" s="2">
        <v>45723</v>
      </c>
      <c r="J48">
        <v>73.5</v>
      </c>
      <c r="K48" s="5">
        <f t="shared" si="2"/>
        <v>5.5</v>
      </c>
      <c r="L48" s="6">
        <f t="shared" si="3"/>
        <v>0.5</v>
      </c>
    </row>
    <row r="49" spans="1:12" x14ac:dyDescent="0.25">
      <c r="A49">
        <f t="shared" si="0"/>
        <v>3</v>
      </c>
      <c r="B49">
        <f t="shared" si="1"/>
        <v>2025</v>
      </c>
      <c r="C49" s="2">
        <v>45726</v>
      </c>
      <c r="D49">
        <v>245</v>
      </c>
      <c r="E49" s="2">
        <v>45726</v>
      </c>
      <c r="F49">
        <v>76</v>
      </c>
      <c r="G49" s="2">
        <v>45726</v>
      </c>
      <c r="H49">
        <v>75.5</v>
      </c>
      <c r="I49" s="2">
        <v>45726</v>
      </c>
      <c r="J49">
        <v>71.5</v>
      </c>
      <c r="K49" s="5">
        <f t="shared" si="2"/>
        <v>4.5</v>
      </c>
      <c r="L49" s="6">
        <f t="shared" si="3"/>
        <v>0.5</v>
      </c>
    </row>
    <row r="50" spans="1:12" x14ac:dyDescent="0.25">
      <c r="A50">
        <f t="shared" si="0"/>
        <v>3</v>
      </c>
      <c r="B50">
        <f t="shared" si="1"/>
        <v>2025</v>
      </c>
      <c r="C50" s="2">
        <v>45727</v>
      </c>
      <c r="D50">
        <v>245</v>
      </c>
      <c r="E50" s="2">
        <v>45727</v>
      </c>
      <c r="F50">
        <v>77</v>
      </c>
      <c r="G50" s="2">
        <v>45727</v>
      </c>
      <c r="H50">
        <v>76.5</v>
      </c>
      <c r="I50" s="2">
        <v>45727</v>
      </c>
      <c r="J50">
        <v>72</v>
      </c>
      <c r="K50" s="5">
        <f t="shared" si="2"/>
        <v>5</v>
      </c>
      <c r="L50" s="6">
        <f t="shared" si="3"/>
        <v>0.5</v>
      </c>
    </row>
    <row r="51" spans="1:12" x14ac:dyDescent="0.25">
      <c r="A51">
        <f t="shared" si="0"/>
        <v>3</v>
      </c>
      <c r="B51">
        <f t="shared" si="1"/>
        <v>2025</v>
      </c>
      <c r="C51" s="2">
        <v>45728</v>
      </c>
      <c r="D51">
        <v>243.5</v>
      </c>
      <c r="E51" s="2">
        <v>45728</v>
      </c>
      <c r="F51">
        <v>74</v>
      </c>
      <c r="G51" s="2">
        <v>45728</v>
      </c>
      <c r="H51">
        <v>73.5</v>
      </c>
      <c r="I51" s="2">
        <v>45728</v>
      </c>
      <c r="J51">
        <v>69.25</v>
      </c>
      <c r="K51" s="5">
        <f t="shared" si="2"/>
        <v>4.75</v>
      </c>
      <c r="L51" s="6">
        <f t="shared" si="3"/>
        <v>0.5</v>
      </c>
    </row>
    <row r="52" spans="1:12" x14ac:dyDescent="0.25">
      <c r="A52">
        <f t="shared" si="0"/>
        <v>3</v>
      </c>
      <c r="B52">
        <f t="shared" si="1"/>
        <v>2025</v>
      </c>
      <c r="C52" s="2">
        <v>45729</v>
      </c>
      <c r="D52">
        <v>244</v>
      </c>
      <c r="E52" s="2">
        <v>45729</v>
      </c>
      <c r="F52">
        <v>74.5</v>
      </c>
      <c r="G52" s="2">
        <v>45729</v>
      </c>
      <c r="H52">
        <v>73.75</v>
      </c>
      <c r="I52" s="2">
        <v>45729</v>
      </c>
      <c r="J52">
        <v>69.75</v>
      </c>
      <c r="K52" s="5">
        <f t="shared" si="2"/>
        <v>4.75</v>
      </c>
      <c r="L52" s="6">
        <f t="shared" si="3"/>
        <v>0.75</v>
      </c>
    </row>
    <row r="53" spans="1:12" x14ac:dyDescent="0.25">
      <c r="A53">
        <f t="shared" si="0"/>
        <v>3</v>
      </c>
      <c r="B53">
        <f t="shared" si="1"/>
        <v>2025</v>
      </c>
      <c r="C53" s="2">
        <v>45730</v>
      </c>
      <c r="D53">
        <v>244</v>
      </c>
      <c r="E53" s="2">
        <v>45730</v>
      </c>
      <c r="F53">
        <v>75</v>
      </c>
      <c r="G53" s="2">
        <v>45730</v>
      </c>
      <c r="H53">
        <v>74</v>
      </c>
      <c r="I53" s="2">
        <v>45730</v>
      </c>
      <c r="J53">
        <v>71</v>
      </c>
      <c r="K53" s="5">
        <f t="shared" si="2"/>
        <v>4</v>
      </c>
      <c r="L53" s="6">
        <f t="shared" si="3"/>
        <v>1</v>
      </c>
    </row>
    <row r="54" spans="1:12" x14ac:dyDescent="0.25">
      <c r="A54">
        <f t="shared" si="0"/>
        <v>3</v>
      </c>
      <c r="B54">
        <f t="shared" si="1"/>
        <v>2025</v>
      </c>
      <c r="C54" s="2">
        <v>45733</v>
      </c>
      <c r="D54">
        <v>244</v>
      </c>
      <c r="E54" s="2">
        <v>45733</v>
      </c>
      <c r="F54">
        <v>76.5</v>
      </c>
      <c r="G54" s="2">
        <v>45733</v>
      </c>
      <c r="H54">
        <v>75.75</v>
      </c>
      <c r="I54" s="2">
        <v>45733</v>
      </c>
      <c r="J54">
        <v>71.5</v>
      </c>
      <c r="K54" s="5">
        <f t="shared" si="2"/>
        <v>5</v>
      </c>
      <c r="L54" s="6">
        <f t="shared" si="3"/>
        <v>0.75</v>
      </c>
    </row>
    <row r="55" spans="1:12" x14ac:dyDescent="0.25">
      <c r="A55">
        <f t="shared" si="0"/>
        <v>3</v>
      </c>
      <c r="B55">
        <f t="shared" si="1"/>
        <v>2025</v>
      </c>
      <c r="C55" s="2">
        <v>45734</v>
      </c>
      <c r="D55">
        <v>244</v>
      </c>
      <c r="E55" s="2">
        <v>45734</v>
      </c>
      <c r="F55">
        <v>77.75</v>
      </c>
      <c r="G55" s="2">
        <v>45734</v>
      </c>
      <c r="H55">
        <v>77</v>
      </c>
      <c r="I55" s="2">
        <v>45734</v>
      </c>
      <c r="J55">
        <v>73</v>
      </c>
      <c r="K55" s="5">
        <f t="shared" si="2"/>
        <v>4.75</v>
      </c>
      <c r="L55" s="6">
        <f t="shared" si="3"/>
        <v>0.75</v>
      </c>
    </row>
    <row r="56" spans="1:12" x14ac:dyDescent="0.25">
      <c r="A56">
        <f t="shared" si="0"/>
        <v>3</v>
      </c>
      <c r="B56">
        <f t="shared" si="1"/>
        <v>2025</v>
      </c>
      <c r="C56" s="2">
        <v>45735</v>
      </c>
      <c r="D56">
        <v>243</v>
      </c>
      <c r="E56" s="2">
        <v>45735</v>
      </c>
      <c r="F56">
        <v>78</v>
      </c>
      <c r="G56" s="2">
        <v>45735</v>
      </c>
      <c r="H56">
        <v>77.25</v>
      </c>
      <c r="I56" s="2">
        <v>45735</v>
      </c>
      <c r="J56">
        <v>73</v>
      </c>
      <c r="K56" s="5">
        <f t="shared" si="2"/>
        <v>5</v>
      </c>
      <c r="L56" s="6">
        <f t="shared" si="3"/>
        <v>0.75</v>
      </c>
    </row>
    <row r="57" spans="1:12" x14ac:dyDescent="0.25">
      <c r="A57">
        <f t="shared" si="0"/>
        <v>3</v>
      </c>
      <c r="B57">
        <f t="shared" si="1"/>
        <v>2025</v>
      </c>
      <c r="C57" s="2">
        <v>45736</v>
      </c>
      <c r="D57">
        <v>241</v>
      </c>
      <c r="E57" s="2">
        <v>45736</v>
      </c>
      <c r="F57">
        <v>80</v>
      </c>
      <c r="G57" s="2">
        <v>45736</v>
      </c>
      <c r="H57">
        <v>79.25</v>
      </c>
      <c r="I57" s="2">
        <v>45736</v>
      </c>
      <c r="J57">
        <v>75</v>
      </c>
      <c r="K57" s="5">
        <f t="shared" si="2"/>
        <v>5</v>
      </c>
      <c r="L57" s="6">
        <f t="shared" si="3"/>
        <v>0.75</v>
      </c>
    </row>
    <row r="58" spans="1:12" x14ac:dyDescent="0.25">
      <c r="A58">
        <f t="shared" si="0"/>
        <v>3</v>
      </c>
      <c r="B58">
        <f t="shared" si="1"/>
        <v>2025</v>
      </c>
      <c r="C58" s="2">
        <v>45737</v>
      </c>
      <c r="D58">
        <v>240</v>
      </c>
      <c r="E58" s="2">
        <v>45737</v>
      </c>
      <c r="F58">
        <v>80.25</v>
      </c>
      <c r="G58" s="2">
        <v>45737</v>
      </c>
      <c r="H58">
        <v>79.5</v>
      </c>
      <c r="I58" s="2">
        <v>45737</v>
      </c>
      <c r="J58">
        <v>75.25</v>
      </c>
      <c r="K58" s="5">
        <f t="shared" si="2"/>
        <v>5</v>
      </c>
      <c r="L58" s="6">
        <f t="shared" si="3"/>
        <v>0.75</v>
      </c>
    </row>
    <row r="59" spans="1:12" x14ac:dyDescent="0.25">
      <c r="A59">
        <f t="shared" si="0"/>
        <v>3</v>
      </c>
      <c r="B59">
        <f t="shared" si="1"/>
        <v>2025</v>
      </c>
      <c r="C59" s="2">
        <v>45740</v>
      </c>
      <c r="D59">
        <v>242</v>
      </c>
      <c r="E59" s="2">
        <v>45740</v>
      </c>
      <c r="F59">
        <v>79</v>
      </c>
      <c r="G59" s="2">
        <v>45740</v>
      </c>
      <c r="H59">
        <v>79.5</v>
      </c>
      <c r="I59" s="2">
        <v>45740</v>
      </c>
      <c r="J59">
        <v>75.25</v>
      </c>
      <c r="K59" s="5">
        <f t="shared" si="2"/>
        <v>3.75</v>
      </c>
      <c r="L59" s="6">
        <f t="shared" si="3"/>
        <v>-0.5</v>
      </c>
    </row>
    <row r="60" spans="1:12" x14ac:dyDescent="0.25">
      <c r="A60">
        <f t="shared" si="0"/>
        <v>3</v>
      </c>
      <c r="B60">
        <f t="shared" si="1"/>
        <v>2025</v>
      </c>
      <c r="C60" s="2">
        <v>45741</v>
      </c>
      <c r="D60">
        <v>244</v>
      </c>
      <c r="E60" s="2">
        <v>45741</v>
      </c>
      <c r="F60">
        <v>81</v>
      </c>
      <c r="G60" s="2">
        <v>45741</v>
      </c>
      <c r="H60">
        <v>79.5</v>
      </c>
      <c r="I60" s="2">
        <v>45741</v>
      </c>
      <c r="J60">
        <v>75</v>
      </c>
      <c r="K60" s="5">
        <f t="shared" si="2"/>
        <v>6</v>
      </c>
      <c r="L60" s="6">
        <f t="shared" si="3"/>
        <v>1.5</v>
      </c>
    </row>
    <row r="61" spans="1:12" x14ac:dyDescent="0.25">
      <c r="A61">
        <f t="shared" si="0"/>
        <v>3</v>
      </c>
      <c r="B61">
        <f t="shared" si="1"/>
        <v>2025</v>
      </c>
      <c r="C61" s="2">
        <v>45742</v>
      </c>
      <c r="D61">
        <v>244</v>
      </c>
      <c r="E61" s="2">
        <v>45742</v>
      </c>
      <c r="F61">
        <v>82</v>
      </c>
      <c r="G61" s="2">
        <v>45742</v>
      </c>
      <c r="H61">
        <v>80.5</v>
      </c>
      <c r="I61" s="2">
        <v>45742</v>
      </c>
      <c r="J61">
        <v>76</v>
      </c>
      <c r="K61" s="5">
        <f t="shared" si="2"/>
        <v>6</v>
      </c>
      <c r="L61" s="6">
        <f t="shared" si="3"/>
        <v>1.5</v>
      </c>
    </row>
    <row r="62" spans="1:12" x14ac:dyDescent="0.25">
      <c r="A62">
        <f t="shared" si="0"/>
        <v>3</v>
      </c>
      <c r="B62">
        <f t="shared" si="1"/>
        <v>2025</v>
      </c>
      <c r="C62" s="2">
        <v>45743</v>
      </c>
      <c r="D62">
        <v>247</v>
      </c>
      <c r="E62" s="2">
        <v>45743</v>
      </c>
      <c r="F62">
        <v>87</v>
      </c>
      <c r="G62" s="2">
        <v>45743</v>
      </c>
      <c r="H62">
        <v>86.5</v>
      </c>
      <c r="I62" s="2">
        <v>45743</v>
      </c>
      <c r="J62">
        <v>81.25</v>
      </c>
      <c r="K62" s="5">
        <f t="shared" si="2"/>
        <v>5.75</v>
      </c>
      <c r="L62" s="6">
        <f t="shared" si="3"/>
        <v>0.5</v>
      </c>
    </row>
    <row r="63" spans="1:12" x14ac:dyDescent="0.25">
      <c r="A63">
        <f t="shared" si="0"/>
        <v>3</v>
      </c>
      <c r="B63">
        <f t="shared" si="1"/>
        <v>2025</v>
      </c>
      <c r="C63" s="2">
        <v>45744</v>
      </c>
      <c r="D63">
        <v>246</v>
      </c>
      <c r="E63" s="2">
        <v>45744</v>
      </c>
      <c r="F63">
        <v>91.75</v>
      </c>
      <c r="G63" s="2">
        <v>45744</v>
      </c>
      <c r="H63">
        <v>91.25</v>
      </c>
      <c r="I63" s="2">
        <v>45744</v>
      </c>
      <c r="J63">
        <v>83.5</v>
      </c>
      <c r="K63" s="5">
        <f t="shared" si="2"/>
        <v>8.25</v>
      </c>
      <c r="L63" s="6">
        <f t="shared" si="3"/>
        <v>0.5</v>
      </c>
    </row>
    <row r="64" spans="1:12" x14ac:dyDescent="0.25">
      <c r="A64">
        <f t="shared" si="0"/>
        <v>3</v>
      </c>
      <c r="B64">
        <f t="shared" si="1"/>
        <v>2025</v>
      </c>
      <c r="C64" s="2">
        <v>45747</v>
      </c>
      <c r="D64">
        <v>245.25</v>
      </c>
      <c r="E64" s="2">
        <v>45747</v>
      </c>
      <c r="F64">
        <v>90.75</v>
      </c>
      <c r="G64" s="2">
        <v>45747</v>
      </c>
      <c r="H64">
        <v>90</v>
      </c>
      <c r="I64" s="2">
        <v>45747</v>
      </c>
      <c r="J64">
        <v>83.5</v>
      </c>
      <c r="K64" s="5">
        <f t="shared" si="2"/>
        <v>7.25</v>
      </c>
      <c r="L64" s="6">
        <f t="shared" si="3"/>
        <v>0.75</v>
      </c>
    </row>
    <row r="65" spans="1:12" x14ac:dyDescent="0.25">
      <c r="A65">
        <f t="shared" si="0"/>
        <v>4</v>
      </c>
      <c r="B65">
        <f t="shared" si="1"/>
        <v>2025</v>
      </c>
      <c r="C65" s="2">
        <v>45748</v>
      </c>
      <c r="D65">
        <v>246</v>
      </c>
      <c r="E65" s="2">
        <v>45748</v>
      </c>
      <c r="F65">
        <v>99</v>
      </c>
      <c r="G65" s="2">
        <v>45748</v>
      </c>
      <c r="H65">
        <v>95.5</v>
      </c>
      <c r="I65" s="2">
        <v>45748</v>
      </c>
      <c r="J65">
        <v>91.25</v>
      </c>
      <c r="K65" s="5">
        <f t="shared" si="2"/>
        <v>7.75</v>
      </c>
      <c r="L65" s="6">
        <f t="shared" si="3"/>
        <v>3.5</v>
      </c>
    </row>
    <row r="66" spans="1:12" x14ac:dyDescent="0.25">
      <c r="A66">
        <f t="shared" si="0"/>
        <v>4</v>
      </c>
      <c r="B66">
        <f t="shared" si="1"/>
        <v>2025</v>
      </c>
      <c r="C66" s="2">
        <v>45749</v>
      </c>
      <c r="D66">
        <v>246</v>
      </c>
      <c r="E66" s="2">
        <v>45749</v>
      </c>
      <c r="F66">
        <v>103.25</v>
      </c>
      <c r="G66" s="2">
        <v>45749</v>
      </c>
      <c r="H66">
        <v>99.75</v>
      </c>
      <c r="I66" s="2">
        <v>45749</v>
      </c>
      <c r="J66">
        <v>94.5</v>
      </c>
      <c r="K66" s="5">
        <f t="shared" si="2"/>
        <v>8.75</v>
      </c>
      <c r="L66" s="6">
        <f t="shared" si="3"/>
        <v>3.5</v>
      </c>
    </row>
    <row r="67" spans="1:12" x14ac:dyDescent="0.25">
      <c r="A67">
        <f t="shared" si="0"/>
        <v>4</v>
      </c>
      <c r="B67">
        <f t="shared" si="1"/>
        <v>2025</v>
      </c>
      <c r="C67" s="2">
        <v>45750</v>
      </c>
      <c r="D67">
        <v>250</v>
      </c>
      <c r="E67" s="2">
        <v>45750</v>
      </c>
      <c r="F67">
        <v>103.5</v>
      </c>
      <c r="G67" s="2">
        <v>45750</v>
      </c>
      <c r="H67">
        <v>100</v>
      </c>
      <c r="I67" s="2">
        <v>45750</v>
      </c>
      <c r="J67">
        <v>95.5</v>
      </c>
      <c r="K67" s="5">
        <f t="shared" si="2"/>
        <v>8</v>
      </c>
      <c r="L67" s="6">
        <f t="shared" si="3"/>
        <v>3.5</v>
      </c>
    </row>
    <row r="68" spans="1:12" x14ac:dyDescent="0.25">
      <c r="A68">
        <f t="shared" si="0"/>
        <v>4</v>
      </c>
      <c r="B68">
        <f t="shared" si="1"/>
        <v>2025</v>
      </c>
      <c r="C68" s="2">
        <v>45751</v>
      </c>
      <c r="D68">
        <v>248</v>
      </c>
      <c r="E68" s="2">
        <v>45751</v>
      </c>
      <c r="F68">
        <v>104</v>
      </c>
      <c r="G68" s="2">
        <v>45751</v>
      </c>
      <c r="H68">
        <v>100.5</v>
      </c>
      <c r="I68" s="2">
        <v>45751</v>
      </c>
      <c r="J68">
        <v>96</v>
      </c>
      <c r="K68" s="5">
        <f t="shared" si="2"/>
        <v>8</v>
      </c>
      <c r="L68" s="6">
        <f t="shared" si="3"/>
        <v>3.5</v>
      </c>
    </row>
    <row r="69" spans="1:12" x14ac:dyDescent="0.25">
      <c r="A69">
        <f t="shared" ref="A69:A76" si="4">MONTH(E69)</f>
        <v>4</v>
      </c>
      <c r="B69">
        <f t="shared" ref="B69:B76" si="5">YEAR(E69)</f>
        <v>2025</v>
      </c>
      <c r="C69" s="2">
        <v>45754</v>
      </c>
      <c r="D69">
        <v>248</v>
      </c>
      <c r="E69" s="2">
        <v>45754</v>
      </c>
      <c r="F69">
        <v>101.5</v>
      </c>
      <c r="G69" s="2">
        <v>45754</v>
      </c>
      <c r="H69">
        <v>100.5</v>
      </c>
      <c r="I69" s="2">
        <v>45754</v>
      </c>
      <c r="J69">
        <v>96</v>
      </c>
      <c r="K69" s="5">
        <f t="shared" ref="K69:K77" si="6">F69-J69</f>
        <v>5.5</v>
      </c>
      <c r="L69" s="6">
        <f t="shared" ref="L69:L77" si="7">F69-H69</f>
        <v>1</v>
      </c>
    </row>
    <row r="70" spans="1:12" x14ac:dyDescent="0.25">
      <c r="A70">
        <f t="shared" si="4"/>
        <v>4</v>
      </c>
      <c r="B70">
        <f t="shared" si="5"/>
        <v>2025</v>
      </c>
      <c r="C70" s="2">
        <v>45755</v>
      </c>
      <c r="D70">
        <v>248</v>
      </c>
      <c r="E70" s="2">
        <v>45755</v>
      </c>
      <c r="F70">
        <v>102.25</v>
      </c>
      <c r="G70" s="2">
        <v>45755</v>
      </c>
      <c r="H70">
        <v>101</v>
      </c>
      <c r="I70" s="2">
        <v>45755</v>
      </c>
      <c r="J70">
        <v>95</v>
      </c>
      <c r="K70" s="5">
        <f t="shared" si="6"/>
        <v>7.25</v>
      </c>
      <c r="L70" s="6">
        <f t="shared" si="7"/>
        <v>1.25</v>
      </c>
    </row>
    <row r="71" spans="1:12" x14ac:dyDescent="0.25">
      <c r="A71">
        <f t="shared" si="4"/>
        <v>4</v>
      </c>
      <c r="B71">
        <f t="shared" si="5"/>
        <v>2025</v>
      </c>
      <c r="C71" s="2">
        <v>45756</v>
      </c>
      <c r="D71">
        <v>249</v>
      </c>
      <c r="E71" s="2">
        <v>45756</v>
      </c>
      <c r="F71">
        <v>103</v>
      </c>
      <c r="G71" s="2">
        <v>45756</v>
      </c>
      <c r="H71">
        <v>102</v>
      </c>
      <c r="I71" s="2">
        <v>45756</v>
      </c>
      <c r="J71">
        <v>95</v>
      </c>
      <c r="K71" s="5">
        <f t="shared" si="6"/>
        <v>8</v>
      </c>
      <c r="L71" s="6">
        <f t="shared" si="7"/>
        <v>1</v>
      </c>
    </row>
    <row r="72" spans="1:12" x14ac:dyDescent="0.25">
      <c r="A72">
        <f t="shared" si="4"/>
        <v>4</v>
      </c>
      <c r="B72">
        <f t="shared" si="5"/>
        <v>2025</v>
      </c>
      <c r="C72" s="2">
        <v>45757</v>
      </c>
      <c r="D72">
        <v>252</v>
      </c>
      <c r="E72" s="2">
        <v>45757</v>
      </c>
      <c r="F72">
        <v>104.25</v>
      </c>
      <c r="G72" s="2">
        <v>45757</v>
      </c>
      <c r="H72">
        <v>103.25</v>
      </c>
      <c r="I72" s="2">
        <v>45757</v>
      </c>
      <c r="J72">
        <v>96.75</v>
      </c>
      <c r="K72" s="5">
        <f t="shared" si="6"/>
        <v>7.5</v>
      </c>
      <c r="L72" s="6">
        <f t="shared" si="7"/>
        <v>1</v>
      </c>
    </row>
    <row r="73" spans="1:12" x14ac:dyDescent="0.25">
      <c r="A73">
        <f t="shared" si="4"/>
        <v>4</v>
      </c>
      <c r="B73">
        <f t="shared" si="5"/>
        <v>2025</v>
      </c>
      <c r="C73" s="2">
        <v>45758</v>
      </c>
      <c r="D73">
        <v>250</v>
      </c>
      <c r="E73" s="2">
        <v>45758</v>
      </c>
      <c r="F73">
        <v>106.25</v>
      </c>
      <c r="G73" s="2">
        <v>45758</v>
      </c>
      <c r="H73">
        <v>103.5</v>
      </c>
      <c r="I73" s="2">
        <v>45758</v>
      </c>
      <c r="J73">
        <v>97.25</v>
      </c>
      <c r="K73" s="5">
        <f t="shared" si="6"/>
        <v>9</v>
      </c>
      <c r="L73" s="6">
        <f t="shared" si="7"/>
        <v>2.75</v>
      </c>
    </row>
    <row r="74" spans="1:12" x14ac:dyDescent="0.25">
      <c r="A74">
        <f t="shared" si="4"/>
        <v>4</v>
      </c>
      <c r="B74">
        <f t="shared" si="5"/>
        <v>2025</v>
      </c>
      <c r="C74" s="2">
        <v>45761</v>
      </c>
      <c r="D74">
        <v>250.5</v>
      </c>
      <c r="E74" s="2">
        <v>45761</v>
      </c>
      <c r="F74">
        <v>104.5</v>
      </c>
      <c r="G74" s="2">
        <v>45761</v>
      </c>
      <c r="H74">
        <v>103.75</v>
      </c>
      <c r="I74" s="2">
        <v>45761</v>
      </c>
      <c r="J74">
        <v>95.5</v>
      </c>
      <c r="K74" s="5">
        <f t="shared" si="6"/>
        <v>9</v>
      </c>
      <c r="L74" s="6">
        <f t="shared" si="7"/>
        <v>0.75</v>
      </c>
    </row>
    <row r="75" spans="1:12" x14ac:dyDescent="0.25">
      <c r="A75">
        <f t="shared" si="4"/>
        <v>4</v>
      </c>
      <c r="B75">
        <f t="shared" si="5"/>
        <v>2025</v>
      </c>
      <c r="C75" s="2">
        <v>45762</v>
      </c>
      <c r="D75">
        <v>249.5</v>
      </c>
      <c r="E75" s="2">
        <v>45762</v>
      </c>
      <c r="F75">
        <v>106.25</v>
      </c>
      <c r="G75" s="2">
        <v>45762</v>
      </c>
      <c r="H75">
        <v>105.5</v>
      </c>
      <c r="I75" s="2">
        <v>45762</v>
      </c>
      <c r="J75">
        <v>97.75</v>
      </c>
      <c r="K75" s="5">
        <f t="shared" si="6"/>
        <v>8.5</v>
      </c>
      <c r="L75" s="6">
        <f t="shared" si="7"/>
        <v>0.75</v>
      </c>
    </row>
    <row r="76" spans="1:12" x14ac:dyDescent="0.25">
      <c r="A76">
        <f t="shared" si="4"/>
        <v>4</v>
      </c>
      <c r="B76">
        <f t="shared" si="5"/>
        <v>2025</v>
      </c>
      <c r="C76" s="2">
        <v>45763</v>
      </c>
      <c r="D76">
        <v>247</v>
      </c>
      <c r="E76" s="2">
        <v>45763</v>
      </c>
      <c r="F76">
        <v>107</v>
      </c>
      <c r="G76" s="2">
        <v>45763</v>
      </c>
      <c r="H76">
        <v>105.75</v>
      </c>
      <c r="I76" s="2">
        <v>45763</v>
      </c>
      <c r="J76">
        <v>97.75</v>
      </c>
      <c r="K76" s="5">
        <f t="shared" si="6"/>
        <v>9.25</v>
      </c>
      <c r="L76" s="6">
        <f t="shared" si="7"/>
        <v>1.25</v>
      </c>
    </row>
    <row r="77" spans="1:12" x14ac:dyDescent="0.25">
      <c r="C77" s="2"/>
      <c r="E77" s="2"/>
      <c r="G77" s="2"/>
      <c r="I77" s="2"/>
    </row>
    <row r="78" spans="1:12" x14ac:dyDescent="0.25">
      <c r="C78" s="2"/>
      <c r="E78" s="2"/>
      <c r="G78" s="2"/>
      <c r="I78" s="2"/>
    </row>
    <row r="79" spans="1:12" x14ac:dyDescent="0.25">
      <c r="C79" s="2"/>
      <c r="E79" s="2"/>
      <c r="G79" s="2"/>
      <c r="I79" s="2"/>
    </row>
    <row r="80" spans="1:12" x14ac:dyDescent="0.25">
      <c r="C80" s="2"/>
      <c r="E80" s="2"/>
      <c r="G80" s="2"/>
      <c r="I80" s="2"/>
    </row>
    <row r="81" spans="3:9" x14ac:dyDescent="0.25">
      <c r="C81" s="2"/>
      <c r="E81" s="2"/>
      <c r="G81" s="2"/>
      <c r="I81" s="2"/>
    </row>
    <row r="82" spans="3:9" x14ac:dyDescent="0.25">
      <c r="C82" s="2"/>
      <c r="E82" s="2"/>
      <c r="G82" s="2"/>
      <c r="I82" s="2"/>
    </row>
    <row r="83" spans="3:9" x14ac:dyDescent="0.25">
      <c r="C83" s="2"/>
      <c r="E83" s="2"/>
      <c r="G83" s="2"/>
      <c r="I83" s="2"/>
    </row>
    <row r="84" spans="3:9" x14ac:dyDescent="0.25">
      <c r="C84" s="2"/>
      <c r="E84" s="2"/>
      <c r="G84" s="2"/>
      <c r="I84" s="2"/>
    </row>
    <row r="85" spans="3:9" x14ac:dyDescent="0.25">
      <c r="C85" s="2"/>
      <c r="E85" s="2"/>
      <c r="G85" s="2"/>
      <c r="I85" s="2"/>
    </row>
    <row r="86" spans="3:9" x14ac:dyDescent="0.25">
      <c r="C86" s="2"/>
      <c r="E86" s="2"/>
      <c r="G86" s="2"/>
      <c r="I86" s="2"/>
    </row>
    <row r="87" spans="3:9" x14ac:dyDescent="0.25">
      <c r="C87" s="2"/>
      <c r="E87" s="2"/>
      <c r="G87" s="2"/>
      <c r="I87" s="2"/>
    </row>
    <row r="88" spans="3:9" x14ac:dyDescent="0.25">
      <c r="C88" s="2"/>
      <c r="E88" s="2"/>
      <c r="G88" s="2"/>
      <c r="I88" s="2"/>
    </row>
    <row r="89" spans="3:9" x14ac:dyDescent="0.25">
      <c r="C89" s="2"/>
      <c r="E89" s="2"/>
      <c r="G89" s="2"/>
      <c r="I89" s="2"/>
    </row>
    <row r="90" spans="3:9" x14ac:dyDescent="0.25">
      <c r="C90" s="2"/>
      <c r="E90" s="2"/>
      <c r="G90" s="2"/>
      <c r="I90" s="2"/>
    </row>
    <row r="91" spans="3:9" x14ac:dyDescent="0.25">
      <c r="C91" s="2"/>
      <c r="E91" s="2"/>
      <c r="G91" s="2"/>
      <c r="I91" s="2"/>
    </row>
    <row r="92" spans="3:9" x14ac:dyDescent="0.25">
      <c r="C92" s="2"/>
      <c r="E92" s="2"/>
      <c r="G92" s="2"/>
      <c r="I92" s="2"/>
    </row>
    <row r="93" spans="3:9" x14ac:dyDescent="0.25">
      <c r="C93" s="2"/>
      <c r="E93" s="2"/>
      <c r="G93" s="2"/>
      <c r="I93" s="2"/>
    </row>
    <row r="94" spans="3:9" x14ac:dyDescent="0.25">
      <c r="C94" s="2"/>
      <c r="E94" s="2"/>
      <c r="G94" s="2"/>
      <c r="I94" s="2"/>
    </row>
    <row r="95" spans="3:9" x14ac:dyDescent="0.25">
      <c r="C95" s="2"/>
      <c r="E95" s="2"/>
      <c r="G95" s="2"/>
      <c r="I95" s="2"/>
    </row>
    <row r="96" spans="3:9" x14ac:dyDescent="0.25">
      <c r="C96" s="2"/>
      <c r="E96" s="2"/>
      <c r="G96" s="2"/>
      <c r="I96" s="2"/>
    </row>
    <row r="97" spans="3:9" x14ac:dyDescent="0.25">
      <c r="C97" s="2"/>
      <c r="E97" s="2"/>
      <c r="G97" s="2"/>
      <c r="I97" s="2"/>
    </row>
    <row r="98" spans="3:9" x14ac:dyDescent="0.25">
      <c r="C98" s="2"/>
      <c r="E98" s="2"/>
      <c r="G98" s="2"/>
      <c r="I98" s="2"/>
    </row>
    <row r="99" spans="3:9" x14ac:dyDescent="0.25">
      <c r="C99" s="2"/>
      <c r="E99" s="2"/>
      <c r="G99" s="2"/>
      <c r="I99" s="2"/>
    </row>
    <row r="100" spans="3:9" x14ac:dyDescent="0.25">
      <c r="C100" s="2"/>
      <c r="E100" s="2"/>
      <c r="G100" s="2"/>
      <c r="I100" s="2"/>
    </row>
    <row r="101" spans="3:9" x14ac:dyDescent="0.25">
      <c r="C101" s="2"/>
      <c r="E101" s="2"/>
      <c r="G101" s="2"/>
      <c r="I101" s="2"/>
    </row>
    <row r="102" spans="3:9" x14ac:dyDescent="0.25">
      <c r="C102" s="2"/>
      <c r="E102" s="2"/>
      <c r="G102" s="2"/>
      <c r="I102" s="2"/>
    </row>
    <row r="103" spans="3:9" x14ac:dyDescent="0.25">
      <c r="C103" s="2"/>
      <c r="E103" s="2"/>
      <c r="G103" s="2"/>
      <c r="I103" s="2"/>
    </row>
    <row r="104" spans="3:9" x14ac:dyDescent="0.25">
      <c r="C104" s="2"/>
      <c r="E104" s="2"/>
      <c r="G104" s="2"/>
      <c r="I104" s="2"/>
    </row>
    <row r="105" spans="3:9" x14ac:dyDescent="0.25">
      <c r="C105" s="2"/>
      <c r="E105" s="2"/>
      <c r="G105" s="2"/>
      <c r="I105" s="2"/>
    </row>
    <row r="106" spans="3:9" x14ac:dyDescent="0.25">
      <c r="C106" s="2"/>
      <c r="E106" s="2"/>
      <c r="G106" s="2"/>
      <c r="I106" s="2"/>
    </row>
    <row r="107" spans="3:9" x14ac:dyDescent="0.25">
      <c r="C107" s="2"/>
      <c r="E107" s="2"/>
      <c r="G107" s="2"/>
      <c r="I107" s="2"/>
    </row>
    <row r="108" spans="3:9" x14ac:dyDescent="0.25">
      <c r="C108" s="2"/>
      <c r="E108" s="2"/>
      <c r="G108" s="2"/>
      <c r="I108" s="2"/>
    </row>
    <row r="109" spans="3:9" x14ac:dyDescent="0.25">
      <c r="C109" s="2"/>
      <c r="E109" s="2"/>
      <c r="G109" s="2"/>
      <c r="I109" s="2"/>
    </row>
    <row r="110" spans="3:9" x14ac:dyDescent="0.25">
      <c r="C110" s="2"/>
      <c r="E110" s="2"/>
      <c r="G110" s="2"/>
      <c r="I110" s="2"/>
    </row>
    <row r="111" spans="3:9" x14ac:dyDescent="0.25">
      <c r="C111" s="2"/>
      <c r="E111" s="2"/>
      <c r="G111" s="2"/>
      <c r="I111" s="2"/>
    </row>
    <row r="112" spans="3:9" x14ac:dyDescent="0.25">
      <c r="C112" s="2"/>
      <c r="E112" s="2"/>
      <c r="G112" s="2"/>
      <c r="I112" s="2"/>
    </row>
    <row r="113" spans="3:9" x14ac:dyDescent="0.25">
      <c r="C113" s="2"/>
      <c r="E113" s="2"/>
      <c r="G113" s="2"/>
      <c r="I113" s="2"/>
    </row>
    <row r="114" spans="3:9" x14ac:dyDescent="0.25">
      <c r="C114" s="2"/>
      <c r="E114" s="2"/>
      <c r="G114" s="2"/>
      <c r="I114" s="2"/>
    </row>
    <row r="115" spans="3:9" x14ac:dyDescent="0.25">
      <c r="C115" s="2"/>
      <c r="E115" s="2"/>
      <c r="G115" s="2"/>
      <c r="I115" s="2"/>
    </row>
    <row r="116" spans="3:9" x14ac:dyDescent="0.25">
      <c r="C116" s="2"/>
      <c r="E116" s="2"/>
      <c r="G116" s="2"/>
      <c r="I116" s="2"/>
    </row>
    <row r="117" spans="3:9" x14ac:dyDescent="0.25">
      <c r="C117" s="2"/>
      <c r="E117" s="2"/>
      <c r="G117" s="2"/>
      <c r="I117" s="2"/>
    </row>
    <row r="118" spans="3:9" x14ac:dyDescent="0.25">
      <c r="C118" s="2"/>
      <c r="E118" s="2"/>
      <c r="G118" s="2"/>
      <c r="I118" s="2"/>
    </row>
    <row r="119" spans="3:9" x14ac:dyDescent="0.25">
      <c r="C119" s="2"/>
      <c r="E119" s="2"/>
      <c r="G119" s="2"/>
      <c r="I119" s="2"/>
    </row>
    <row r="120" spans="3:9" x14ac:dyDescent="0.25">
      <c r="C120" s="2"/>
      <c r="E120" s="2"/>
      <c r="G120" s="2"/>
      <c r="I120" s="2"/>
    </row>
    <row r="121" spans="3:9" x14ac:dyDescent="0.25">
      <c r="C121" s="2"/>
      <c r="E121" s="2"/>
      <c r="G121" s="2"/>
      <c r="I121" s="2"/>
    </row>
    <row r="122" spans="3:9" x14ac:dyDescent="0.25">
      <c r="C122" s="2"/>
      <c r="E122" s="2"/>
      <c r="G122" s="2"/>
      <c r="I122" s="2"/>
    </row>
    <row r="123" spans="3:9" x14ac:dyDescent="0.25">
      <c r="C123" s="2"/>
      <c r="E123" s="2"/>
      <c r="G123" s="2"/>
      <c r="I123" s="2"/>
    </row>
    <row r="124" spans="3:9" x14ac:dyDescent="0.25">
      <c r="C124" s="2"/>
      <c r="E124" s="2"/>
      <c r="G124" s="2"/>
      <c r="I124" s="2"/>
    </row>
    <row r="125" spans="3:9" x14ac:dyDescent="0.25">
      <c r="C125" s="2"/>
      <c r="E125" s="2"/>
      <c r="G125" s="2"/>
      <c r="I125" s="2"/>
    </row>
    <row r="126" spans="3:9" x14ac:dyDescent="0.25">
      <c r="C126" s="2"/>
      <c r="E126" s="2"/>
      <c r="G126" s="2"/>
      <c r="I126" s="2"/>
    </row>
    <row r="127" spans="3:9" x14ac:dyDescent="0.25">
      <c r="C127" s="2"/>
      <c r="E127" s="2"/>
      <c r="G127" s="2"/>
      <c r="I127" s="2"/>
    </row>
    <row r="128" spans="3:9" x14ac:dyDescent="0.25">
      <c r="C128" s="2"/>
      <c r="E128" s="2"/>
      <c r="G128" s="2"/>
      <c r="I128" s="2"/>
    </row>
    <row r="129" spans="3:9" x14ac:dyDescent="0.25">
      <c r="C129" s="2"/>
      <c r="E129" s="2"/>
      <c r="G129" s="2"/>
      <c r="I129" s="2"/>
    </row>
    <row r="130" spans="3:9" x14ac:dyDescent="0.25">
      <c r="C130" s="2"/>
      <c r="E130" s="2"/>
      <c r="G130" s="2"/>
      <c r="I130" s="2"/>
    </row>
    <row r="131" spans="3:9" x14ac:dyDescent="0.25">
      <c r="C131" s="2"/>
      <c r="E131" s="2"/>
      <c r="G131" s="2"/>
      <c r="I131" s="2"/>
    </row>
    <row r="132" spans="3:9" x14ac:dyDescent="0.25">
      <c r="C132" s="2"/>
      <c r="E132" s="2"/>
      <c r="G132" s="2"/>
      <c r="I132" s="2"/>
    </row>
    <row r="133" spans="3:9" x14ac:dyDescent="0.25">
      <c r="C133" s="2"/>
      <c r="E133" s="2"/>
      <c r="G133" s="2"/>
      <c r="I133" s="2"/>
    </row>
    <row r="134" spans="3:9" x14ac:dyDescent="0.25">
      <c r="C134" s="2"/>
      <c r="E134" s="2"/>
      <c r="G134" s="2"/>
      <c r="I134" s="2"/>
    </row>
    <row r="135" spans="3:9" x14ac:dyDescent="0.25">
      <c r="C135" s="2"/>
      <c r="E135" s="2"/>
      <c r="G135" s="2"/>
      <c r="I135" s="2"/>
    </row>
    <row r="136" spans="3:9" x14ac:dyDescent="0.25">
      <c r="C136" s="2"/>
      <c r="E136" s="2"/>
      <c r="G136" s="2"/>
      <c r="I136" s="2"/>
    </row>
    <row r="137" spans="3:9" x14ac:dyDescent="0.25">
      <c r="C137" s="2"/>
      <c r="E137" s="2"/>
      <c r="G137" s="2"/>
      <c r="I137" s="2"/>
    </row>
    <row r="138" spans="3:9" x14ac:dyDescent="0.25">
      <c r="C138" s="2"/>
      <c r="E138" s="2"/>
      <c r="G138" s="2"/>
      <c r="I138" s="2"/>
    </row>
    <row r="139" spans="3:9" x14ac:dyDescent="0.25">
      <c r="C139" s="2"/>
      <c r="E139" s="2"/>
      <c r="G139" s="2"/>
      <c r="I139" s="2"/>
    </row>
    <row r="140" spans="3:9" x14ac:dyDescent="0.25">
      <c r="C140" s="2"/>
      <c r="E140" s="2"/>
      <c r="G140" s="2"/>
      <c r="I140" s="2"/>
    </row>
    <row r="141" spans="3:9" x14ac:dyDescent="0.25">
      <c r="C141" s="2"/>
      <c r="E141" s="2"/>
      <c r="G141" s="2"/>
      <c r="I141" s="2"/>
    </row>
    <row r="142" spans="3:9" x14ac:dyDescent="0.25">
      <c r="C142" s="2"/>
      <c r="E142" s="2"/>
      <c r="G142" s="2"/>
      <c r="I142" s="2"/>
    </row>
    <row r="143" spans="3:9" x14ac:dyDescent="0.25">
      <c r="C143" s="2"/>
      <c r="E143" s="2"/>
      <c r="G143" s="2"/>
      <c r="I143" s="2"/>
    </row>
    <row r="144" spans="3:9" x14ac:dyDescent="0.25">
      <c r="C144" s="2"/>
      <c r="E144" s="2"/>
      <c r="G144" s="2"/>
      <c r="I144" s="2"/>
    </row>
    <row r="145" spans="3:9" x14ac:dyDescent="0.25">
      <c r="C145" s="2"/>
      <c r="E145" s="2"/>
      <c r="G145" s="2"/>
      <c r="I145" s="2"/>
    </row>
    <row r="146" spans="3:9" x14ac:dyDescent="0.25">
      <c r="C146" s="2"/>
      <c r="E146" s="2"/>
      <c r="G146" s="2"/>
      <c r="I146" s="2"/>
    </row>
    <row r="147" spans="3:9" x14ac:dyDescent="0.25">
      <c r="C147" s="2"/>
      <c r="E147" s="2"/>
      <c r="G147" s="2"/>
      <c r="I147" s="2"/>
    </row>
    <row r="148" spans="3:9" x14ac:dyDescent="0.25">
      <c r="C148" s="2"/>
      <c r="E148" s="2"/>
      <c r="G148" s="2"/>
      <c r="I148" s="2"/>
    </row>
    <row r="149" spans="3:9" x14ac:dyDescent="0.25">
      <c r="C149" s="2"/>
      <c r="E149" s="2"/>
      <c r="G149" s="2"/>
      <c r="I149" s="2"/>
    </row>
    <row r="150" spans="3:9" x14ac:dyDescent="0.25">
      <c r="C150" s="2"/>
      <c r="E150" s="2"/>
      <c r="G150" s="2"/>
      <c r="I150" s="2"/>
    </row>
    <row r="151" spans="3:9" x14ac:dyDescent="0.25">
      <c r="C151" s="2"/>
      <c r="E151" s="2"/>
      <c r="G151" s="2"/>
      <c r="I151" s="2"/>
    </row>
    <row r="152" spans="3:9" x14ac:dyDescent="0.25">
      <c r="C152" s="2"/>
      <c r="E152" s="2"/>
      <c r="G152" s="2"/>
      <c r="I152" s="2"/>
    </row>
    <row r="153" spans="3:9" x14ac:dyDescent="0.25">
      <c r="C153" s="2"/>
      <c r="E153" s="2"/>
      <c r="G153" s="2"/>
      <c r="I153" s="2"/>
    </row>
    <row r="154" spans="3:9" x14ac:dyDescent="0.25">
      <c r="C154" s="2"/>
      <c r="E154" s="2"/>
      <c r="G154" s="2"/>
      <c r="I154" s="2"/>
    </row>
    <row r="155" spans="3:9" x14ac:dyDescent="0.25">
      <c r="C155" s="2"/>
      <c r="E155" s="2"/>
      <c r="G155" s="2"/>
      <c r="I155" s="2"/>
    </row>
    <row r="156" spans="3:9" x14ac:dyDescent="0.25">
      <c r="C156" s="2"/>
      <c r="E156" s="2"/>
      <c r="G156" s="2"/>
      <c r="I156" s="2"/>
    </row>
    <row r="157" spans="3:9" x14ac:dyDescent="0.25">
      <c r="C157" s="2"/>
      <c r="E157" s="2"/>
      <c r="G157" s="2"/>
      <c r="I157" s="2"/>
    </row>
    <row r="158" spans="3:9" x14ac:dyDescent="0.25">
      <c r="C158" s="2"/>
      <c r="E158" s="2"/>
      <c r="G158" s="2"/>
      <c r="I158" s="2"/>
    </row>
    <row r="159" spans="3:9" x14ac:dyDescent="0.25">
      <c r="C159" s="2"/>
      <c r="E159" s="2"/>
      <c r="G159" s="2"/>
      <c r="I159" s="2"/>
    </row>
    <row r="160" spans="3:9" x14ac:dyDescent="0.25">
      <c r="C160" s="2"/>
      <c r="E160" s="2"/>
      <c r="G160" s="2"/>
      <c r="I160" s="2"/>
    </row>
    <row r="161" spans="3:9" x14ac:dyDescent="0.25">
      <c r="C161" s="2"/>
      <c r="E161" s="2"/>
      <c r="G161" s="2"/>
      <c r="I161" s="2"/>
    </row>
    <row r="162" spans="3:9" x14ac:dyDescent="0.25">
      <c r="C162" s="2"/>
      <c r="E162" s="2"/>
      <c r="G162" s="2"/>
      <c r="I162" s="2"/>
    </row>
    <row r="163" spans="3:9" x14ac:dyDescent="0.25">
      <c r="C163" s="2"/>
      <c r="E163" s="2"/>
      <c r="G163" s="2"/>
      <c r="I163" s="2"/>
    </row>
    <row r="164" spans="3:9" x14ac:dyDescent="0.25">
      <c r="C164" s="2"/>
      <c r="E164" s="2"/>
      <c r="G164" s="2"/>
      <c r="I164" s="2"/>
    </row>
    <row r="165" spans="3:9" x14ac:dyDescent="0.25">
      <c r="C165" s="2"/>
      <c r="E165" s="2"/>
      <c r="G165" s="2"/>
      <c r="I165" s="2"/>
    </row>
    <row r="166" spans="3:9" x14ac:dyDescent="0.25">
      <c r="C166" s="2"/>
      <c r="E166" s="2"/>
      <c r="G166" s="2"/>
      <c r="I166" s="2"/>
    </row>
    <row r="167" spans="3:9" x14ac:dyDescent="0.25">
      <c r="C167" s="2"/>
      <c r="E167" s="2"/>
      <c r="G167" s="2"/>
      <c r="I167" s="2"/>
    </row>
    <row r="168" spans="3:9" x14ac:dyDescent="0.25">
      <c r="C168" s="2"/>
      <c r="E168" s="2"/>
      <c r="G168" s="2"/>
      <c r="I168" s="2"/>
    </row>
    <row r="169" spans="3:9" x14ac:dyDescent="0.25">
      <c r="C169" s="2"/>
      <c r="E169" s="2"/>
      <c r="G169" s="2"/>
      <c r="I169" s="2"/>
    </row>
    <row r="170" spans="3:9" x14ac:dyDescent="0.25">
      <c r="C170" s="2"/>
      <c r="E170" s="2"/>
      <c r="G170" s="2"/>
      <c r="I170" s="2"/>
    </row>
    <row r="171" spans="3:9" x14ac:dyDescent="0.25">
      <c r="C171" s="2"/>
      <c r="E171" s="2"/>
      <c r="G171" s="2"/>
      <c r="I171" s="2"/>
    </row>
    <row r="172" spans="3:9" x14ac:dyDescent="0.25">
      <c r="C172" s="2"/>
      <c r="E172" s="2"/>
      <c r="G172" s="2"/>
      <c r="I172" s="2"/>
    </row>
    <row r="173" spans="3:9" x14ac:dyDescent="0.25">
      <c r="C173" s="2"/>
      <c r="E173" s="2"/>
      <c r="G173" s="2"/>
      <c r="I173" s="2"/>
    </row>
    <row r="174" spans="3:9" x14ac:dyDescent="0.25">
      <c r="C174" s="2"/>
      <c r="E174" s="2"/>
      <c r="G174" s="2"/>
      <c r="I174" s="2"/>
    </row>
    <row r="175" spans="3:9" x14ac:dyDescent="0.25">
      <c r="C175" s="2"/>
      <c r="E175" s="2"/>
      <c r="G175" s="2"/>
      <c r="I175" s="2"/>
    </row>
    <row r="176" spans="3:9" x14ac:dyDescent="0.25">
      <c r="C176" s="2"/>
      <c r="E176" s="2"/>
      <c r="G176" s="2"/>
      <c r="I176" s="2"/>
    </row>
    <row r="177" spans="3:9" x14ac:dyDescent="0.25">
      <c r="C177" s="2"/>
      <c r="E177" s="2"/>
      <c r="G177" s="2"/>
      <c r="I177" s="2"/>
    </row>
    <row r="178" spans="3:9" x14ac:dyDescent="0.25">
      <c r="C178" s="2"/>
      <c r="E178" s="2"/>
      <c r="G178" s="2"/>
      <c r="I178" s="2"/>
    </row>
    <row r="179" spans="3:9" x14ac:dyDescent="0.25">
      <c r="C179" s="2"/>
      <c r="E179" s="2"/>
      <c r="G179" s="2"/>
      <c r="I179" s="2"/>
    </row>
    <row r="180" spans="3:9" x14ac:dyDescent="0.25">
      <c r="C180" s="2"/>
      <c r="E180" s="2"/>
      <c r="G180" s="2"/>
      <c r="I180" s="2"/>
    </row>
    <row r="181" spans="3:9" x14ac:dyDescent="0.25">
      <c r="C181" s="2"/>
      <c r="E181" s="2"/>
      <c r="G181" s="2"/>
      <c r="I181" s="2"/>
    </row>
    <row r="182" spans="3:9" x14ac:dyDescent="0.25">
      <c r="C182" s="2"/>
      <c r="E182" s="2"/>
      <c r="G182" s="2"/>
      <c r="I182" s="2"/>
    </row>
    <row r="183" spans="3:9" x14ac:dyDescent="0.25">
      <c r="C183" s="2"/>
      <c r="E183" s="2"/>
      <c r="G183" s="2"/>
      <c r="I183" s="2"/>
    </row>
    <row r="184" spans="3:9" x14ac:dyDescent="0.25">
      <c r="C184" s="2"/>
      <c r="E184" s="2"/>
      <c r="G184" s="2"/>
      <c r="I184" s="2"/>
    </row>
    <row r="185" spans="3:9" x14ac:dyDescent="0.25">
      <c r="C185" s="2"/>
      <c r="E185" s="2"/>
      <c r="G185" s="2"/>
      <c r="I185" s="2"/>
    </row>
    <row r="186" spans="3:9" x14ac:dyDescent="0.25">
      <c r="C186" s="2"/>
      <c r="E186" s="2"/>
      <c r="G186" s="2"/>
      <c r="I186" s="2"/>
    </row>
    <row r="187" spans="3:9" x14ac:dyDescent="0.25">
      <c r="C187" s="2"/>
      <c r="E187" s="2"/>
      <c r="G187" s="2"/>
      <c r="I187" s="2"/>
    </row>
    <row r="188" spans="3:9" x14ac:dyDescent="0.25">
      <c r="C188" s="2"/>
      <c r="E188" s="2"/>
      <c r="G188" s="2"/>
      <c r="I188" s="2"/>
    </row>
    <row r="189" spans="3:9" x14ac:dyDescent="0.25">
      <c r="C189" s="2"/>
      <c r="E189" s="2"/>
      <c r="G189" s="2"/>
      <c r="I189" s="2"/>
    </row>
    <row r="190" spans="3:9" x14ac:dyDescent="0.25">
      <c r="C190" s="2"/>
      <c r="E190" s="2"/>
      <c r="G190" s="2"/>
      <c r="I190" s="2"/>
    </row>
    <row r="191" spans="3:9" x14ac:dyDescent="0.25">
      <c r="C191" s="2"/>
      <c r="E191" s="2"/>
      <c r="G191" s="2"/>
      <c r="I191" s="2"/>
    </row>
    <row r="192" spans="3:9" x14ac:dyDescent="0.25">
      <c r="C192" s="2"/>
      <c r="E192" s="2"/>
      <c r="G192" s="2"/>
      <c r="I192" s="2"/>
    </row>
    <row r="193" spans="3:9" x14ac:dyDescent="0.25">
      <c r="C193" s="2"/>
      <c r="E193" s="2"/>
      <c r="G193" s="2"/>
      <c r="I193" s="2"/>
    </row>
    <row r="194" spans="3:9" x14ac:dyDescent="0.25">
      <c r="C194" s="2"/>
      <c r="E194" s="2"/>
      <c r="G194" s="2"/>
      <c r="I194" s="2"/>
    </row>
    <row r="195" spans="3:9" x14ac:dyDescent="0.25">
      <c r="C195" s="2"/>
      <c r="E195" s="2"/>
      <c r="G195" s="2"/>
      <c r="I195" s="2"/>
    </row>
    <row r="196" spans="3:9" x14ac:dyDescent="0.25">
      <c r="C196" s="2"/>
      <c r="E196" s="2"/>
      <c r="G196" s="2"/>
      <c r="I196" s="2"/>
    </row>
    <row r="197" spans="3:9" x14ac:dyDescent="0.25">
      <c r="C197" s="2"/>
      <c r="E197" s="2"/>
      <c r="G197" s="2"/>
      <c r="I197" s="2"/>
    </row>
    <row r="198" spans="3:9" x14ac:dyDescent="0.25">
      <c r="C198" s="2"/>
      <c r="E198" s="2"/>
      <c r="G198" s="2"/>
      <c r="I198" s="2"/>
    </row>
    <row r="199" spans="3:9" x14ac:dyDescent="0.25">
      <c r="C199" s="2"/>
      <c r="E199" s="2"/>
      <c r="G199" s="2"/>
      <c r="I199" s="2"/>
    </row>
    <row r="200" spans="3:9" x14ac:dyDescent="0.25">
      <c r="C200" s="2"/>
      <c r="E200" s="2"/>
      <c r="G200" s="2"/>
      <c r="I200" s="2"/>
    </row>
    <row r="201" spans="3:9" x14ac:dyDescent="0.25">
      <c r="C201" s="2"/>
      <c r="E201" s="2"/>
      <c r="G201" s="2"/>
      <c r="I201" s="2"/>
    </row>
    <row r="202" spans="3:9" x14ac:dyDescent="0.25">
      <c r="C202" s="2"/>
      <c r="E202" s="2"/>
      <c r="G202" s="2"/>
      <c r="I202" s="2"/>
    </row>
    <row r="203" spans="3:9" x14ac:dyDescent="0.25">
      <c r="C203" s="2"/>
      <c r="E203" s="2"/>
      <c r="G203" s="2"/>
      <c r="I203" s="2"/>
    </row>
    <row r="204" spans="3:9" x14ac:dyDescent="0.25">
      <c r="C204" s="2"/>
      <c r="E204" s="2"/>
      <c r="G204" s="2"/>
      <c r="I204" s="2"/>
    </row>
    <row r="205" spans="3:9" x14ac:dyDescent="0.25">
      <c r="C205" s="2"/>
      <c r="E205" s="2"/>
      <c r="G205" s="2"/>
      <c r="I205" s="2"/>
    </row>
    <row r="206" spans="3:9" x14ac:dyDescent="0.25">
      <c r="C206" s="2"/>
      <c r="E206" s="2"/>
      <c r="G206" s="2"/>
      <c r="I206" s="2"/>
    </row>
    <row r="207" spans="3:9" x14ac:dyDescent="0.25">
      <c r="C207" s="2"/>
      <c r="E207" s="2"/>
      <c r="G207" s="2"/>
      <c r="I207" s="2"/>
    </row>
    <row r="208" spans="3:9" x14ac:dyDescent="0.25">
      <c r="C208" s="2"/>
      <c r="E208" s="2"/>
      <c r="G208" s="2"/>
      <c r="I208" s="2"/>
    </row>
    <row r="209" spans="3:9" x14ac:dyDescent="0.25">
      <c r="C209" s="2"/>
      <c r="E209" s="2"/>
      <c r="G209" s="2"/>
      <c r="I209" s="2"/>
    </row>
    <row r="210" spans="3:9" x14ac:dyDescent="0.25">
      <c r="C210" s="2"/>
      <c r="E210" s="2"/>
      <c r="G210" s="2"/>
      <c r="I210" s="2"/>
    </row>
    <row r="211" spans="3:9" x14ac:dyDescent="0.25">
      <c r="C211" s="2"/>
      <c r="E211" s="2"/>
      <c r="G211" s="2"/>
      <c r="I211" s="2"/>
    </row>
    <row r="212" spans="3:9" x14ac:dyDescent="0.25">
      <c r="C212" s="2"/>
      <c r="E212" s="2"/>
      <c r="G212" s="2"/>
      <c r="I212" s="2"/>
    </row>
    <row r="213" spans="3:9" x14ac:dyDescent="0.25">
      <c r="C213" s="2"/>
      <c r="E213" s="2"/>
      <c r="G213" s="2"/>
      <c r="I213" s="2"/>
    </row>
    <row r="214" spans="3:9" x14ac:dyDescent="0.25">
      <c r="C214" s="2"/>
      <c r="E214" s="2"/>
      <c r="G214" s="2"/>
      <c r="I214" s="2"/>
    </row>
    <row r="215" spans="3:9" x14ac:dyDescent="0.25">
      <c r="C215" s="2"/>
      <c r="E215" s="2"/>
      <c r="G215" s="2"/>
      <c r="I215" s="2"/>
    </row>
    <row r="216" spans="3:9" x14ac:dyDescent="0.25">
      <c r="C216" s="2"/>
      <c r="E216" s="2"/>
      <c r="G216" s="2"/>
      <c r="I216" s="2"/>
    </row>
    <row r="217" spans="3:9" x14ac:dyDescent="0.25">
      <c r="C217" s="2"/>
      <c r="E217" s="2"/>
      <c r="G217" s="2"/>
      <c r="I217" s="2"/>
    </row>
    <row r="218" spans="3:9" x14ac:dyDescent="0.25">
      <c r="C218" s="2"/>
      <c r="E218" s="2"/>
      <c r="G218" s="2"/>
      <c r="I218" s="2"/>
    </row>
    <row r="219" spans="3:9" x14ac:dyDescent="0.25">
      <c r="C219" s="2"/>
      <c r="E219" s="2"/>
      <c r="G219" s="2"/>
      <c r="I219" s="2"/>
    </row>
    <row r="220" spans="3:9" x14ac:dyDescent="0.25">
      <c r="C220" s="2"/>
      <c r="E220" s="2"/>
      <c r="G220" s="2"/>
      <c r="I220" s="2"/>
    </row>
    <row r="221" spans="3:9" x14ac:dyDescent="0.25">
      <c r="C221" s="2"/>
      <c r="E221" s="2"/>
      <c r="G221" s="2"/>
      <c r="I221" s="2"/>
    </row>
    <row r="222" spans="3:9" x14ac:dyDescent="0.25">
      <c r="C222" s="2"/>
      <c r="E222" s="2"/>
      <c r="G222" s="2"/>
      <c r="I222" s="2"/>
    </row>
    <row r="223" spans="3:9" x14ac:dyDescent="0.25">
      <c r="C223" s="2"/>
      <c r="E223" s="2"/>
      <c r="G223" s="2"/>
      <c r="I223" s="2"/>
    </row>
    <row r="224" spans="3:9" x14ac:dyDescent="0.25">
      <c r="C224" s="2"/>
      <c r="E224" s="2"/>
      <c r="G224" s="2"/>
      <c r="I224" s="2"/>
    </row>
    <row r="225" spans="3:9" x14ac:dyDescent="0.25">
      <c r="C225" s="2"/>
      <c r="E225" s="2"/>
      <c r="G225" s="2"/>
      <c r="I225" s="2"/>
    </row>
    <row r="226" spans="3:9" x14ac:dyDescent="0.25">
      <c r="C226" s="2"/>
      <c r="E226" s="2"/>
      <c r="G226" s="2"/>
      <c r="I226" s="2"/>
    </row>
    <row r="227" spans="3:9" x14ac:dyDescent="0.25">
      <c r="C227" s="2"/>
      <c r="E227" s="2"/>
      <c r="G227" s="2"/>
      <c r="I227" s="2"/>
    </row>
    <row r="228" spans="3:9" x14ac:dyDescent="0.25">
      <c r="C228" s="2"/>
      <c r="E228" s="2"/>
      <c r="G228" s="2"/>
      <c r="I228" s="2"/>
    </row>
    <row r="229" spans="3:9" x14ac:dyDescent="0.25">
      <c r="C229" s="2"/>
      <c r="E229" s="2"/>
      <c r="G229" s="2"/>
      <c r="I229" s="2"/>
    </row>
    <row r="230" spans="3:9" x14ac:dyDescent="0.25">
      <c r="C230" s="2"/>
      <c r="E230" s="2"/>
      <c r="G230" s="2"/>
      <c r="I230" s="2"/>
    </row>
    <row r="231" spans="3:9" x14ac:dyDescent="0.25">
      <c r="C231" s="2"/>
      <c r="E231" s="2"/>
      <c r="G231" s="2"/>
      <c r="I231" s="2"/>
    </row>
    <row r="232" spans="3:9" x14ac:dyDescent="0.25">
      <c r="C232" s="2"/>
      <c r="E232" s="2"/>
      <c r="G232" s="2"/>
      <c r="I232" s="2"/>
    </row>
    <row r="233" spans="3:9" x14ac:dyDescent="0.25">
      <c r="C233" s="2"/>
      <c r="E233" s="2"/>
      <c r="G233" s="2"/>
      <c r="I233" s="2"/>
    </row>
    <row r="234" spans="3:9" x14ac:dyDescent="0.25">
      <c r="C234" s="2"/>
      <c r="E234" s="2"/>
      <c r="G234" s="2"/>
      <c r="I234" s="2"/>
    </row>
    <row r="235" spans="3:9" x14ac:dyDescent="0.25">
      <c r="C235" s="2"/>
      <c r="E235" s="2"/>
      <c r="G235" s="2"/>
      <c r="I235" s="2"/>
    </row>
    <row r="236" spans="3:9" x14ac:dyDescent="0.25">
      <c r="C236" s="2"/>
      <c r="E236" s="2"/>
      <c r="G236" s="2"/>
      <c r="I236" s="2"/>
    </row>
    <row r="237" spans="3:9" x14ac:dyDescent="0.25">
      <c r="C237" s="2"/>
      <c r="E237" s="2"/>
      <c r="G237" s="2"/>
      <c r="I237" s="2"/>
    </row>
    <row r="238" spans="3:9" x14ac:dyDescent="0.25">
      <c r="C238" s="2"/>
      <c r="E238" s="2"/>
      <c r="G238" s="2"/>
      <c r="I238" s="2"/>
    </row>
    <row r="239" spans="3:9" x14ac:dyDescent="0.25">
      <c r="C239" s="2"/>
      <c r="E239" s="2"/>
      <c r="G239" s="2"/>
      <c r="I239" s="2"/>
    </row>
    <row r="240" spans="3:9" x14ac:dyDescent="0.25">
      <c r="C240" s="2"/>
      <c r="E240" s="2"/>
      <c r="G240" s="2"/>
      <c r="I240" s="2"/>
    </row>
    <row r="241" spans="3:9" x14ac:dyDescent="0.25">
      <c r="C241" s="2"/>
      <c r="E241" s="2"/>
      <c r="G241" s="2"/>
      <c r="I241" s="2"/>
    </row>
    <row r="242" spans="3:9" x14ac:dyDescent="0.25">
      <c r="C242" s="2"/>
      <c r="E242" s="2"/>
      <c r="G242" s="2"/>
      <c r="I242" s="2"/>
    </row>
    <row r="243" spans="3:9" x14ac:dyDescent="0.25">
      <c r="C243" s="2"/>
      <c r="E243" s="2"/>
      <c r="G243" s="2"/>
      <c r="I243" s="2"/>
    </row>
    <row r="244" spans="3:9" x14ac:dyDescent="0.25">
      <c r="C244" s="2"/>
      <c r="E244" s="2"/>
      <c r="G244" s="2"/>
      <c r="I244" s="2"/>
    </row>
    <row r="245" spans="3:9" x14ac:dyDescent="0.25">
      <c r="C245" s="2"/>
      <c r="E245" s="2"/>
      <c r="G245" s="2"/>
      <c r="I245" s="2"/>
    </row>
    <row r="246" spans="3:9" x14ac:dyDescent="0.25">
      <c r="C246" s="2"/>
      <c r="E246" s="2"/>
      <c r="G246" s="2"/>
      <c r="I246" s="2"/>
    </row>
    <row r="247" spans="3:9" x14ac:dyDescent="0.25">
      <c r="C247" s="2"/>
      <c r="E247" s="2"/>
      <c r="G247" s="2"/>
      <c r="I247" s="2"/>
    </row>
    <row r="248" spans="3:9" x14ac:dyDescent="0.25">
      <c r="C248" s="2"/>
      <c r="E248" s="2"/>
      <c r="G248" s="2"/>
      <c r="I248" s="2"/>
    </row>
    <row r="249" spans="3:9" x14ac:dyDescent="0.25">
      <c r="C249" s="2"/>
      <c r="E249" s="2"/>
      <c r="G249" s="2"/>
      <c r="I249" s="2"/>
    </row>
    <row r="250" spans="3:9" x14ac:dyDescent="0.25">
      <c r="C250" s="2"/>
      <c r="E250" s="2"/>
      <c r="G250" s="2"/>
      <c r="I250" s="2"/>
    </row>
    <row r="251" spans="3:9" x14ac:dyDescent="0.25">
      <c r="C251" s="2"/>
      <c r="E251" s="2"/>
      <c r="G251" s="2"/>
      <c r="I251" s="2"/>
    </row>
    <row r="252" spans="3:9" x14ac:dyDescent="0.25">
      <c r="C252" s="2"/>
      <c r="E252" s="2"/>
      <c r="G252" s="2"/>
      <c r="I252" s="2"/>
    </row>
    <row r="253" spans="3:9" x14ac:dyDescent="0.25">
      <c r="C253" s="2"/>
      <c r="E253" s="2"/>
      <c r="G253" s="2"/>
      <c r="I253" s="2"/>
    </row>
    <row r="254" spans="3:9" x14ac:dyDescent="0.25">
      <c r="C254" s="2"/>
      <c r="E254" s="2"/>
      <c r="G254" s="2"/>
      <c r="I254" s="2"/>
    </row>
    <row r="255" spans="3:9" x14ac:dyDescent="0.25">
      <c r="C255" s="2"/>
      <c r="E255" s="2"/>
      <c r="G255" s="2"/>
      <c r="I255" s="2"/>
    </row>
    <row r="256" spans="3:9" x14ac:dyDescent="0.25">
      <c r="C256" s="2"/>
      <c r="E256" s="2"/>
      <c r="G256" s="2"/>
      <c r="I256" s="2"/>
    </row>
    <row r="257" spans="1:12" x14ac:dyDescent="0.25">
      <c r="C257" s="2"/>
      <c r="E257" s="2"/>
      <c r="G257" s="2"/>
      <c r="I257" s="2"/>
    </row>
    <row r="258" spans="1:12" x14ac:dyDescent="0.25">
      <c r="C258" s="2"/>
      <c r="E258" s="2"/>
      <c r="G258" s="2"/>
      <c r="I258" s="2"/>
    </row>
    <row r="259" spans="1:12" x14ac:dyDescent="0.25">
      <c r="C259" s="2"/>
      <c r="E259" s="2"/>
      <c r="G259" s="2"/>
      <c r="I259" s="2"/>
    </row>
    <row r="260" spans="1:12" x14ac:dyDescent="0.25">
      <c r="C260" s="2"/>
      <c r="E260" s="2"/>
      <c r="G260" s="2"/>
      <c r="I260" s="2"/>
    </row>
    <row r="261" spans="1:12" x14ac:dyDescent="0.25">
      <c r="C261" s="2"/>
      <c r="E261" s="2"/>
      <c r="G261" s="2"/>
      <c r="I261" s="2"/>
    </row>
    <row r="262" spans="1:12" x14ac:dyDescent="0.25">
      <c r="C262" s="2"/>
      <c r="E262" s="2"/>
      <c r="G262" s="2"/>
      <c r="I262" s="2"/>
    </row>
    <row r="263" spans="1:12" x14ac:dyDescent="0.25">
      <c r="C263" s="2"/>
      <c r="E263" s="2"/>
      <c r="G263" s="2"/>
      <c r="I263" s="2"/>
    </row>
    <row r="264" spans="1:12" x14ac:dyDescent="0.25">
      <c r="C264" s="2"/>
      <c r="E264" s="2"/>
      <c r="G264" s="2"/>
      <c r="I264" s="2"/>
    </row>
    <row r="265" spans="1:12" x14ac:dyDescent="0.25">
      <c r="C265" s="2"/>
      <c r="E265" s="2"/>
      <c r="G265" s="2"/>
      <c r="I265" s="2"/>
    </row>
    <row r="266" spans="1:12" x14ac:dyDescent="0.25">
      <c r="C266" s="2"/>
      <c r="E266" s="2"/>
      <c r="G266" s="2"/>
      <c r="I266" s="2"/>
    </row>
    <row r="267" spans="1:12" x14ac:dyDescent="0.25">
      <c r="C267" s="2"/>
      <c r="E267" s="2"/>
      <c r="G267" s="2"/>
      <c r="I267" s="2"/>
    </row>
    <row r="268" spans="1:12" x14ac:dyDescent="0.25">
      <c r="C268" s="2"/>
      <c r="E268" s="2"/>
      <c r="G268" s="2"/>
      <c r="I268" s="2"/>
    </row>
    <row r="269" spans="1:12" x14ac:dyDescent="0.25">
      <c r="C269" s="2"/>
      <c r="E269" s="2"/>
      <c r="G269" s="2"/>
      <c r="I269" s="2"/>
    </row>
    <row r="270" spans="1:12" x14ac:dyDescent="0.25">
      <c r="A270">
        <f t="shared" ref="A270:A333" si="8">MONTH(E270)</f>
        <v>1</v>
      </c>
      <c r="B270">
        <f>YEAR(E270)</f>
        <v>2020</v>
      </c>
      <c r="C270" s="7"/>
      <c r="D270" s="8"/>
      <c r="E270" s="7">
        <v>43832</v>
      </c>
      <c r="F270" s="9">
        <v>40</v>
      </c>
      <c r="G270" s="7">
        <v>43832</v>
      </c>
      <c r="H270" s="9">
        <v>39.5</v>
      </c>
      <c r="I270" s="7">
        <v>43832</v>
      </c>
      <c r="J270" s="9">
        <v>16</v>
      </c>
      <c r="K270" s="5">
        <f t="shared" ref="K270:K333" si="9">F270-J270</f>
        <v>24</v>
      </c>
      <c r="L270" s="6">
        <f t="shared" ref="L270:L333" si="10">F270-H270</f>
        <v>0.5</v>
      </c>
    </row>
    <row r="271" spans="1:12" x14ac:dyDescent="0.25">
      <c r="A271">
        <f t="shared" si="8"/>
        <v>1</v>
      </c>
      <c r="B271">
        <f t="shared" ref="B271:B334" si="11">YEAR(E271)</f>
        <v>2020</v>
      </c>
      <c r="C271" s="7"/>
      <c r="D271" s="8"/>
      <c r="E271" s="7">
        <v>43833</v>
      </c>
      <c r="F271" s="9">
        <v>36.5</v>
      </c>
      <c r="G271" s="7">
        <v>43833</v>
      </c>
      <c r="H271" s="9">
        <v>36</v>
      </c>
      <c r="I271" s="7">
        <v>43833</v>
      </c>
      <c r="J271" s="9">
        <v>14.5</v>
      </c>
      <c r="K271" s="5">
        <f t="shared" si="9"/>
        <v>22</v>
      </c>
      <c r="L271" s="6">
        <f t="shared" si="10"/>
        <v>0.5</v>
      </c>
    </row>
    <row r="272" spans="1:12" x14ac:dyDescent="0.25">
      <c r="A272">
        <f t="shared" si="8"/>
        <v>1</v>
      </c>
      <c r="B272">
        <f t="shared" si="11"/>
        <v>2020</v>
      </c>
      <c r="C272" s="7"/>
      <c r="D272" s="8"/>
      <c r="E272" s="7">
        <v>43836</v>
      </c>
      <c r="F272" s="9">
        <v>38.5</v>
      </c>
      <c r="G272" s="7">
        <v>43836</v>
      </c>
      <c r="H272" s="9">
        <v>38</v>
      </c>
      <c r="I272" s="7">
        <v>43836</v>
      </c>
      <c r="J272" s="9">
        <v>13.5</v>
      </c>
      <c r="K272" s="5">
        <f t="shared" si="9"/>
        <v>25</v>
      </c>
      <c r="L272" s="6">
        <f t="shared" si="10"/>
        <v>0.5</v>
      </c>
    </row>
    <row r="273" spans="1:12" x14ac:dyDescent="0.25">
      <c r="A273">
        <f t="shared" si="8"/>
        <v>1</v>
      </c>
      <c r="B273">
        <f t="shared" si="11"/>
        <v>2020</v>
      </c>
      <c r="C273" s="7"/>
      <c r="D273" s="8"/>
      <c r="E273" s="7">
        <v>43837</v>
      </c>
      <c r="F273" s="9">
        <v>37.5</v>
      </c>
      <c r="G273" s="7">
        <v>43837</v>
      </c>
      <c r="H273" s="9">
        <v>37</v>
      </c>
      <c r="I273" s="7">
        <v>43837</v>
      </c>
      <c r="J273" s="9">
        <v>14.5</v>
      </c>
      <c r="K273" s="5">
        <f t="shared" si="9"/>
        <v>23</v>
      </c>
      <c r="L273" s="6">
        <f t="shared" si="10"/>
        <v>0.5</v>
      </c>
    </row>
    <row r="274" spans="1:12" x14ac:dyDescent="0.25">
      <c r="A274">
        <f t="shared" si="8"/>
        <v>1</v>
      </c>
      <c r="B274">
        <f t="shared" si="11"/>
        <v>2020</v>
      </c>
      <c r="C274" s="7"/>
      <c r="D274" s="8"/>
      <c r="E274" s="7">
        <v>43838</v>
      </c>
      <c r="F274" s="9">
        <v>39.5</v>
      </c>
      <c r="G274" s="7">
        <v>43838</v>
      </c>
      <c r="H274" s="9">
        <v>39</v>
      </c>
      <c r="I274" s="7">
        <v>43838</v>
      </c>
      <c r="J274" s="9">
        <v>13.5</v>
      </c>
      <c r="K274" s="5">
        <f t="shared" si="9"/>
        <v>26</v>
      </c>
      <c r="L274" s="6">
        <f t="shared" si="10"/>
        <v>0.5</v>
      </c>
    </row>
    <row r="275" spans="1:12" x14ac:dyDescent="0.25">
      <c r="A275">
        <f t="shared" si="8"/>
        <v>1</v>
      </c>
      <c r="B275">
        <f t="shared" si="11"/>
        <v>2020</v>
      </c>
      <c r="C275" s="7"/>
      <c r="D275" s="8"/>
      <c r="E275" s="7">
        <v>43839</v>
      </c>
      <c r="F275" s="9">
        <v>40.5</v>
      </c>
      <c r="G275" s="7">
        <v>43839</v>
      </c>
      <c r="H275" s="9">
        <v>40</v>
      </c>
      <c r="I275" s="7">
        <v>43839</v>
      </c>
      <c r="J275" s="9">
        <v>16.25</v>
      </c>
      <c r="K275" s="5">
        <f t="shared" si="9"/>
        <v>24.25</v>
      </c>
      <c r="L275" s="6">
        <f t="shared" si="10"/>
        <v>0.5</v>
      </c>
    </row>
    <row r="276" spans="1:12" x14ac:dyDescent="0.25">
      <c r="A276">
        <f t="shared" si="8"/>
        <v>1</v>
      </c>
      <c r="B276">
        <f t="shared" si="11"/>
        <v>2020</v>
      </c>
      <c r="C276" s="7"/>
      <c r="D276" s="8"/>
      <c r="E276" s="7">
        <v>43840</v>
      </c>
      <c r="F276" s="9">
        <v>41.25</v>
      </c>
      <c r="G276" s="7">
        <v>43840</v>
      </c>
      <c r="H276" s="9">
        <v>40.75</v>
      </c>
      <c r="I276" s="7">
        <v>43840</v>
      </c>
      <c r="J276" s="9">
        <v>16.25</v>
      </c>
      <c r="K276" s="5">
        <f t="shared" si="9"/>
        <v>25</v>
      </c>
      <c r="L276" s="6">
        <f t="shared" si="10"/>
        <v>0.5</v>
      </c>
    </row>
    <row r="277" spans="1:12" x14ac:dyDescent="0.25">
      <c r="A277">
        <f t="shared" si="8"/>
        <v>1</v>
      </c>
      <c r="B277">
        <f t="shared" si="11"/>
        <v>2020</v>
      </c>
      <c r="C277" s="7"/>
      <c r="D277" s="8"/>
      <c r="E277" s="7">
        <v>43843</v>
      </c>
      <c r="F277" s="9">
        <v>38</v>
      </c>
      <c r="G277" s="7">
        <v>43843</v>
      </c>
      <c r="H277" s="9">
        <v>37.5</v>
      </c>
      <c r="I277" s="7">
        <v>43843</v>
      </c>
      <c r="J277" s="9">
        <v>16</v>
      </c>
      <c r="K277" s="5">
        <f t="shared" si="9"/>
        <v>22</v>
      </c>
      <c r="L277" s="6">
        <f t="shared" si="10"/>
        <v>0.5</v>
      </c>
    </row>
    <row r="278" spans="1:12" x14ac:dyDescent="0.25">
      <c r="A278">
        <f t="shared" si="8"/>
        <v>1</v>
      </c>
      <c r="B278">
        <f t="shared" si="11"/>
        <v>2020</v>
      </c>
      <c r="C278" s="7"/>
      <c r="D278" s="8"/>
      <c r="E278" s="7">
        <v>43844</v>
      </c>
      <c r="F278" s="9">
        <v>38.5</v>
      </c>
      <c r="G278" s="7">
        <v>43844</v>
      </c>
      <c r="H278" s="9">
        <v>38</v>
      </c>
      <c r="I278" s="7">
        <v>43844</v>
      </c>
      <c r="J278" s="9">
        <v>16</v>
      </c>
      <c r="K278" s="5">
        <f t="shared" si="9"/>
        <v>22.5</v>
      </c>
      <c r="L278" s="6">
        <f t="shared" si="10"/>
        <v>0.5</v>
      </c>
    </row>
    <row r="279" spans="1:12" x14ac:dyDescent="0.25">
      <c r="A279">
        <f t="shared" si="8"/>
        <v>1</v>
      </c>
      <c r="B279">
        <f t="shared" si="11"/>
        <v>2020</v>
      </c>
      <c r="C279" s="7"/>
      <c r="D279" s="8"/>
      <c r="E279" s="7">
        <v>43845</v>
      </c>
      <c r="F279" s="9">
        <v>38.5</v>
      </c>
      <c r="G279" s="7">
        <v>43845</v>
      </c>
      <c r="H279" s="9">
        <v>38</v>
      </c>
      <c r="I279" s="7">
        <v>43845</v>
      </c>
      <c r="J279" s="9">
        <v>16.25</v>
      </c>
      <c r="K279" s="5">
        <f t="shared" si="9"/>
        <v>22.25</v>
      </c>
      <c r="L279" s="6">
        <f t="shared" si="10"/>
        <v>0.5</v>
      </c>
    </row>
    <row r="280" spans="1:12" x14ac:dyDescent="0.25">
      <c r="A280">
        <f t="shared" si="8"/>
        <v>1</v>
      </c>
      <c r="B280">
        <f t="shared" si="11"/>
        <v>2020</v>
      </c>
      <c r="C280" s="7"/>
      <c r="D280" s="8"/>
      <c r="E280" s="7">
        <v>43846</v>
      </c>
      <c r="F280" s="9">
        <v>37.5</v>
      </c>
      <c r="G280" s="7">
        <v>43846</v>
      </c>
      <c r="H280" s="9">
        <v>37</v>
      </c>
      <c r="I280" s="7">
        <v>43846</v>
      </c>
      <c r="J280" s="9">
        <v>15.5</v>
      </c>
      <c r="K280" s="5">
        <f t="shared" si="9"/>
        <v>22</v>
      </c>
      <c r="L280" s="10">
        <f>F280-H280</f>
        <v>0.5</v>
      </c>
    </row>
    <row r="281" spans="1:12" x14ac:dyDescent="0.25">
      <c r="A281">
        <f t="shared" si="8"/>
        <v>1</v>
      </c>
      <c r="B281">
        <f t="shared" si="11"/>
        <v>2020</v>
      </c>
      <c r="C281" s="7"/>
      <c r="D281" s="8"/>
      <c r="E281" s="7">
        <v>43847</v>
      </c>
      <c r="F281" s="9">
        <v>39.25</v>
      </c>
      <c r="G281" s="7">
        <v>43847</v>
      </c>
      <c r="H281" s="9">
        <v>38.75</v>
      </c>
      <c r="I281" s="7">
        <v>43847</v>
      </c>
      <c r="J281" s="9">
        <v>15</v>
      </c>
      <c r="K281" s="5">
        <f t="shared" si="9"/>
        <v>24.25</v>
      </c>
      <c r="L281" s="6">
        <f t="shared" si="10"/>
        <v>0.5</v>
      </c>
    </row>
    <row r="282" spans="1:12" x14ac:dyDescent="0.25">
      <c r="A282">
        <f t="shared" si="8"/>
        <v>1</v>
      </c>
      <c r="B282">
        <f t="shared" si="11"/>
        <v>2020</v>
      </c>
      <c r="C282" s="7"/>
      <c r="D282" s="8"/>
      <c r="E282" s="7">
        <v>43850</v>
      </c>
      <c r="F282" s="9">
        <v>39.25</v>
      </c>
      <c r="G282" s="7">
        <v>43850</v>
      </c>
      <c r="H282" s="9">
        <v>38.75</v>
      </c>
      <c r="I282" s="7">
        <v>43850</v>
      </c>
      <c r="J282" s="9">
        <v>15</v>
      </c>
      <c r="K282" s="5">
        <f t="shared" si="9"/>
        <v>24.25</v>
      </c>
      <c r="L282" s="6">
        <f t="shared" si="10"/>
        <v>0.5</v>
      </c>
    </row>
    <row r="283" spans="1:12" x14ac:dyDescent="0.25">
      <c r="A283">
        <f t="shared" si="8"/>
        <v>1</v>
      </c>
      <c r="B283">
        <f t="shared" si="11"/>
        <v>2020</v>
      </c>
      <c r="C283" s="7"/>
      <c r="D283" s="8"/>
      <c r="E283" s="7">
        <v>43851</v>
      </c>
      <c r="F283" s="9">
        <v>39.5</v>
      </c>
      <c r="G283" s="7">
        <v>43851</v>
      </c>
      <c r="H283" s="9">
        <v>39</v>
      </c>
      <c r="I283" s="7">
        <v>43851</v>
      </c>
      <c r="J283" s="9">
        <v>15.25</v>
      </c>
      <c r="K283" s="5">
        <f t="shared" si="9"/>
        <v>24.25</v>
      </c>
      <c r="L283" s="6">
        <f t="shared" si="10"/>
        <v>0.5</v>
      </c>
    </row>
    <row r="284" spans="1:12" x14ac:dyDescent="0.25">
      <c r="A284">
        <f t="shared" si="8"/>
        <v>1</v>
      </c>
      <c r="B284">
        <f t="shared" si="11"/>
        <v>2020</v>
      </c>
      <c r="C284" s="7"/>
      <c r="D284" s="8"/>
      <c r="E284" s="7">
        <v>43852</v>
      </c>
      <c r="F284" s="9">
        <v>39.5</v>
      </c>
      <c r="G284" s="7">
        <v>43852</v>
      </c>
      <c r="H284" s="9">
        <v>39</v>
      </c>
      <c r="I284" s="7">
        <v>43852</v>
      </c>
      <c r="J284" s="9">
        <v>15.5</v>
      </c>
      <c r="K284" s="5">
        <f t="shared" si="9"/>
        <v>24</v>
      </c>
      <c r="L284" s="6">
        <f t="shared" si="10"/>
        <v>0.5</v>
      </c>
    </row>
    <row r="285" spans="1:12" x14ac:dyDescent="0.25">
      <c r="A285">
        <f t="shared" si="8"/>
        <v>1</v>
      </c>
      <c r="B285">
        <f t="shared" si="11"/>
        <v>2020</v>
      </c>
      <c r="C285" s="7"/>
      <c r="D285" s="8"/>
      <c r="E285" s="7">
        <v>43853</v>
      </c>
      <c r="F285" s="9">
        <v>42.25</v>
      </c>
      <c r="G285" s="7">
        <v>43853</v>
      </c>
      <c r="H285" s="9">
        <v>41.5</v>
      </c>
      <c r="I285" s="7">
        <v>43853</v>
      </c>
      <c r="J285" s="9">
        <v>15.75</v>
      </c>
      <c r="K285" s="5">
        <f t="shared" si="9"/>
        <v>26.5</v>
      </c>
      <c r="L285" s="6">
        <f t="shared" si="10"/>
        <v>0.75</v>
      </c>
    </row>
    <row r="286" spans="1:12" x14ac:dyDescent="0.25">
      <c r="A286">
        <f t="shared" si="8"/>
        <v>1</v>
      </c>
      <c r="B286">
        <f t="shared" si="11"/>
        <v>2020</v>
      </c>
      <c r="C286" s="7"/>
      <c r="D286" s="8"/>
      <c r="E286" s="7">
        <v>43854</v>
      </c>
      <c r="F286" s="9">
        <v>41.5</v>
      </c>
      <c r="G286" s="7">
        <v>43854</v>
      </c>
      <c r="H286" s="9">
        <v>41</v>
      </c>
      <c r="I286" s="7">
        <v>43854</v>
      </c>
      <c r="J286" s="9">
        <v>16</v>
      </c>
      <c r="K286" s="5">
        <f t="shared" si="9"/>
        <v>25.5</v>
      </c>
      <c r="L286" s="6">
        <f t="shared" si="10"/>
        <v>0.5</v>
      </c>
    </row>
    <row r="287" spans="1:12" x14ac:dyDescent="0.25">
      <c r="A287">
        <f t="shared" si="8"/>
        <v>1</v>
      </c>
      <c r="B287">
        <f t="shared" si="11"/>
        <v>2020</v>
      </c>
      <c r="C287" s="7"/>
      <c r="D287" s="8"/>
      <c r="E287" s="7">
        <v>43857</v>
      </c>
      <c r="F287" s="9">
        <v>45.5</v>
      </c>
      <c r="G287" s="7">
        <v>43857</v>
      </c>
      <c r="H287" s="9">
        <v>45</v>
      </c>
      <c r="I287" s="7">
        <v>43857</v>
      </c>
      <c r="J287" s="9">
        <v>17.25</v>
      </c>
      <c r="K287" s="5">
        <f t="shared" si="9"/>
        <v>28.25</v>
      </c>
      <c r="L287" s="6">
        <f t="shared" si="10"/>
        <v>0.5</v>
      </c>
    </row>
    <row r="288" spans="1:12" x14ac:dyDescent="0.25">
      <c r="A288">
        <f t="shared" si="8"/>
        <v>1</v>
      </c>
      <c r="B288">
        <f t="shared" si="11"/>
        <v>2020</v>
      </c>
      <c r="C288" s="7"/>
      <c r="D288" s="8"/>
      <c r="E288" s="7">
        <v>43858</v>
      </c>
      <c r="F288" s="9">
        <v>43.5</v>
      </c>
      <c r="G288" s="7">
        <v>43858</v>
      </c>
      <c r="H288" s="9">
        <v>43</v>
      </c>
      <c r="I288" s="7">
        <v>43858</v>
      </c>
      <c r="J288" s="9">
        <v>17</v>
      </c>
      <c r="K288" s="5">
        <f t="shared" si="9"/>
        <v>26.5</v>
      </c>
      <c r="L288" s="6">
        <f t="shared" si="10"/>
        <v>0.5</v>
      </c>
    </row>
    <row r="289" spans="1:12" x14ac:dyDescent="0.25">
      <c r="A289">
        <f t="shared" si="8"/>
        <v>1</v>
      </c>
      <c r="B289">
        <f t="shared" si="11"/>
        <v>2020</v>
      </c>
      <c r="C289" s="7"/>
      <c r="D289" s="8"/>
      <c r="E289" s="7">
        <v>43859</v>
      </c>
      <c r="F289" s="9">
        <v>43.5</v>
      </c>
      <c r="G289" s="7">
        <v>43859</v>
      </c>
      <c r="H289" s="9">
        <v>43</v>
      </c>
      <c r="I289" s="7">
        <v>43859</v>
      </c>
      <c r="J289" s="9">
        <v>18</v>
      </c>
      <c r="K289" s="5">
        <f t="shared" si="9"/>
        <v>25.5</v>
      </c>
      <c r="L289" s="6">
        <f t="shared" si="10"/>
        <v>0.5</v>
      </c>
    </row>
    <row r="290" spans="1:12" x14ac:dyDescent="0.25">
      <c r="A290">
        <f t="shared" si="8"/>
        <v>1</v>
      </c>
      <c r="B290">
        <f t="shared" si="11"/>
        <v>2020</v>
      </c>
      <c r="C290" s="7"/>
      <c r="D290" s="8"/>
      <c r="E290" s="7">
        <v>43860</v>
      </c>
      <c r="F290" s="9">
        <v>44.5</v>
      </c>
      <c r="G290" s="7">
        <v>43860</v>
      </c>
      <c r="H290" s="9">
        <v>44</v>
      </c>
      <c r="I290" s="7">
        <v>43860</v>
      </c>
      <c r="J290" s="9">
        <v>18.25</v>
      </c>
      <c r="K290" s="5">
        <f t="shared" si="9"/>
        <v>26.25</v>
      </c>
      <c r="L290" s="6">
        <f t="shared" si="10"/>
        <v>0.5</v>
      </c>
    </row>
    <row r="291" spans="1:12" x14ac:dyDescent="0.25">
      <c r="A291">
        <f t="shared" si="8"/>
        <v>1</v>
      </c>
      <c r="B291">
        <f t="shared" si="11"/>
        <v>2020</v>
      </c>
      <c r="C291" s="7"/>
      <c r="D291" s="8"/>
      <c r="E291" s="7">
        <v>43861</v>
      </c>
      <c r="F291" s="9">
        <v>43.25</v>
      </c>
      <c r="G291" s="7">
        <v>43861</v>
      </c>
      <c r="H291" s="9">
        <v>42.75</v>
      </c>
      <c r="I291" s="7">
        <v>43861</v>
      </c>
      <c r="J291" s="9">
        <v>18.75</v>
      </c>
      <c r="K291" s="5">
        <f t="shared" si="9"/>
        <v>24.5</v>
      </c>
      <c r="L291" s="6">
        <f t="shared" si="10"/>
        <v>0.5</v>
      </c>
    </row>
    <row r="292" spans="1:12" x14ac:dyDescent="0.25">
      <c r="A292">
        <f t="shared" si="8"/>
        <v>2</v>
      </c>
      <c r="B292">
        <f t="shared" si="11"/>
        <v>2020</v>
      </c>
      <c r="C292" s="7"/>
      <c r="D292" s="8"/>
      <c r="E292" s="7">
        <v>43864</v>
      </c>
      <c r="F292" s="9">
        <v>45</v>
      </c>
      <c r="G292" s="7">
        <v>43864</v>
      </c>
      <c r="H292" s="9">
        <v>44.5</v>
      </c>
      <c r="I292" s="7">
        <v>43864</v>
      </c>
      <c r="J292" s="9">
        <v>20.5</v>
      </c>
      <c r="K292" s="5">
        <f t="shared" si="9"/>
        <v>24.5</v>
      </c>
      <c r="L292" s="6">
        <f t="shared" si="10"/>
        <v>0.5</v>
      </c>
    </row>
    <row r="293" spans="1:12" x14ac:dyDescent="0.25">
      <c r="A293">
        <f t="shared" si="8"/>
        <v>2</v>
      </c>
      <c r="B293">
        <f t="shared" si="11"/>
        <v>2020</v>
      </c>
      <c r="C293" s="7"/>
      <c r="D293" s="8"/>
      <c r="E293" s="7">
        <v>43865</v>
      </c>
      <c r="F293" s="9">
        <v>48.5</v>
      </c>
      <c r="G293" s="7">
        <v>43865</v>
      </c>
      <c r="H293" s="9">
        <v>48</v>
      </c>
      <c r="I293" s="7">
        <v>43865</v>
      </c>
      <c r="J293" s="9">
        <v>22.5</v>
      </c>
      <c r="K293" s="5">
        <f t="shared" si="9"/>
        <v>26</v>
      </c>
      <c r="L293" s="6">
        <f t="shared" si="10"/>
        <v>0.5</v>
      </c>
    </row>
    <row r="294" spans="1:12" x14ac:dyDescent="0.25">
      <c r="A294">
        <f t="shared" si="8"/>
        <v>2</v>
      </c>
      <c r="B294">
        <f t="shared" si="11"/>
        <v>2020</v>
      </c>
      <c r="C294" s="7"/>
      <c r="D294" s="8"/>
      <c r="E294" s="7">
        <v>43866</v>
      </c>
      <c r="F294" s="9">
        <v>48.25</v>
      </c>
      <c r="G294" s="7">
        <v>43866</v>
      </c>
      <c r="H294" s="9">
        <v>47.75</v>
      </c>
      <c r="I294" s="7">
        <v>43866</v>
      </c>
      <c r="J294" s="9">
        <v>24.75</v>
      </c>
      <c r="K294" s="5">
        <f t="shared" si="9"/>
        <v>23.5</v>
      </c>
      <c r="L294" s="6">
        <f t="shared" si="10"/>
        <v>0.5</v>
      </c>
    </row>
    <row r="295" spans="1:12" x14ac:dyDescent="0.25">
      <c r="A295">
        <f t="shared" si="8"/>
        <v>2</v>
      </c>
      <c r="B295">
        <f t="shared" si="11"/>
        <v>2020</v>
      </c>
      <c r="C295" s="7"/>
      <c r="D295" s="8"/>
      <c r="E295" s="7">
        <v>43867</v>
      </c>
      <c r="F295" s="9">
        <v>49.5</v>
      </c>
      <c r="G295" s="7">
        <v>43867</v>
      </c>
      <c r="H295" s="9">
        <v>49</v>
      </c>
      <c r="I295" s="7">
        <v>43867</v>
      </c>
      <c r="J295" s="9">
        <v>26.75</v>
      </c>
      <c r="K295" s="5">
        <f t="shared" si="9"/>
        <v>22.75</v>
      </c>
      <c r="L295" s="6">
        <f t="shared" si="10"/>
        <v>0.5</v>
      </c>
    </row>
    <row r="296" spans="1:12" x14ac:dyDescent="0.25">
      <c r="A296">
        <f t="shared" si="8"/>
        <v>2</v>
      </c>
      <c r="B296">
        <f t="shared" si="11"/>
        <v>2020</v>
      </c>
      <c r="C296" s="7"/>
      <c r="D296" s="8"/>
      <c r="E296" s="7">
        <v>43868</v>
      </c>
      <c r="F296" s="9">
        <v>47.5</v>
      </c>
      <c r="G296" s="7">
        <v>43868</v>
      </c>
      <c r="H296" s="9">
        <v>47</v>
      </c>
      <c r="I296" s="7">
        <v>43868</v>
      </c>
      <c r="J296" s="9">
        <v>24.625</v>
      </c>
      <c r="K296" s="5">
        <f t="shared" si="9"/>
        <v>22.875</v>
      </c>
      <c r="L296" s="6">
        <f t="shared" si="10"/>
        <v>0.5</v>
      </c>
    </row>
    <row r="297" spans="1:12" x14ac:dyDescent="0.25">
      <c r="A297">
        <f t="shared" si="8"/>
        <v>2</v>
      </c>
      <c r="B297">
        <f t="shared" si="11"/>
        <v>2020</v>
      </c>
      <c r="C297" s="7"/>
      <c r="D297" s="8"/>
      <c r="E297" s="7">
        <v>43871</v>
      </c>
      <c r="F297" s="9">
        <v>49.5</v>
      </c>
      <c r="G297" s="7">
        <v>43871</v>
      </c>
      <c r="H297" s="9">
        <v>49</v>
      </c>
      <c r="I297" s="7">
        <v>43871</v>
      </c>
      <c r="J297" s="9">
        <v>24.625</v>
      </c>
      <c r="K297" s="5">
        <f t="shared" si="9"/>
        <v>24.875</v>
      </c>
      <c r="L297" s="6">
        <f t="shared" si="10"/>
        <v>0.5</v>
      </c>
    </row>
    <row r="298" spans="1:12" x14ac:dyDescent="0.25">
      <c r="A298">
        <f t="shared" si="8"/>
        <v>2</v>
      </c>
      <c r="B298">
        <f t="shared" si="11"/>
        <v>2020</v>
      </c>
      <c r="C298" s="7"/>
      <c r="D298" s="8"/>
      <c r="E298" s="7">
        <v>43872</v>
      </c>
      <c r="F298" s="9">
        <v>49.25</v>
      </c>
      <c r="G298" s="7">
        <v>43872</v>
      </c>
      <c r="H298" s="9">
        <v>48.75</v>
      </c>
      <c r="I298" s="7">
        <v>43872</v>
      </c>
      <c r="J298" s="9">
        <v>28</v>
      </c>
      <c r="K298" s="5">
        <f t="shared" si="9"/>
        <v>21.25</v>
      </c>
      <c r="L298" s="6">
        <f t="shared" si="10"/>
        <v>0.5</v>
      </c>
    </row>
    <row r="299" spans="1:12" x14ac:dyDescent="0.25">
      <c r="A299">
        <f t="shared" si="8"/>
        <v>2</v>
      </c>
      <c r="B299">
        <f t="shared" si="11"/>
        <v>2020</v>
      </c>
      <c r="C299" s="7"/>
      <c r="D299" s="8"/>
      <c r="E299" s="7">
        <v>43873</v>
      </c>
      <c r="F299" s="9">
        <v>47.5</v>
      </c>
      <c r="G299" s="7">
        <v>43873</v>
      </c>
      <c r="H299" s="9">
        <v>47</v>
      </c>
      <c r="I299" s="7">
        <v>43873</v>
      </c>
      <c r="J299" s="9">
        <v>29.5</v>
      </c>
      <c r="K299" s="5">
        <f t="shared" si="9"/>
        <v>18</v>
      </c>
      <c r="L299" s="6">
        <f t="shared" si="10"/>
        <v>0.5</v>
      </c>
    </row>
    <row r="300" spans="1:12" x14ac:dyDescent="0.25">
      <c r="A300">
        <f t="shared" si="8"/>
        <v>2</v>
      </c>
      <c r="B300">
        <f t="shared" si="11"/>
        <v>2020</v>
      </c>
      <c r="C300" s="7"/>
      <c r="D300" s="8"/>
      <c r="E300" s="7">
        <v>43874</v>
      </c>
      <c r="F300" s="9">
        <v>47.5</v>
      </c>
      <c r="G300" s="7">
        <v>43874</v>
      </c>
      <c r="H300" s="9">
        <v>47</v>
      </c>
      <c r="I300" s="7">
        <v>43874</v>
      </c>
      <c r="J300" s="9">
        <v>33.25</v>
      </c>
      <c r="K300" s="5">
        <f t="shared" si="9"/>
        <v>14.25</v>
      </c>
      <c r="L300" s="6">
        <f t="shared" si="10"/>
        <v>0.5</v>
      </c>
    </row>
    <row r="301" spans="1:12" x14ac:dyDescent="0.25">
      <c r="A301">
        <f t="shared" si="8"/>
        <v>2</v>
      </c>
      <c r="B301">
        <f t="shared" si="11"/>
        <v>2020</v>
      </c>
      <c r="C301" s="7"/>
      <c r="D301" s="8"/>
      <c r="E301" s="7">
        <v>43875</v>
      </c>
      <c r="F301" s="9">
        <v>48.5</v>
      </c>
      <c r="G301" s="7">
        <v>43875</v>
      </c>
      <c r="H301" s="9">
        <v>48</v>
      </c>
      <c r="I301" s="7">
        <v>43875</v>
      </c>
      <c r="J301" s="9">
        <v>31.25</v>
      </c>
      <c r="K301" s="5">
        <f t="shared" si="9"/>
        <v>17.25</v>
      </c>
      <c r="L301" s="6">
        <f t="shared" si="10"/>
        <v>0.5</v>
      </c>
    </row>
    <row r="302" spans="1:12" x14ac:dyDescent="0.25">
      <c r="A302">
        <f t="shared" si="8"/>
        <v>2</v>
      </c>
      <c r="B302">
        <f t="shared" si="11"/>
        <v>2020</v>
      </c>
      <c r="C302" s="7"/>
      <c r="D302" s="8"/>
      <c r="E302" s="7">
        <v>43879</v>
      </c>
      <c r="F302" s="9">
        <v>48.5</v>
      </c>
      <c r="G302" s="7">
        <v>43879</v>
      </c>
      <c r="H302" s="9">
        <v>48</v>
      </c>
      <c r="I302" s="7">
        <v>43879</v>
      </c>
      <c r="J302" s="9">
        <v>34.25</v>
      </c>
      <c r="K302" s="5">
        <f t="shared" si="9"/>
        <v>14.25</v>
      </c>
      <c r="L302" s="6">
        <f t="shared" si="10"/>
        <v>0.5</v>
      </c>
    </row>
    <row r="303" spans="1:12" x14ac:dyDescent="0.25">
      <c r="A303">
        <f t="shared" si="8"/>
        <v>2</v>
      </c>
      <c r="B303">
        <f t="shared" si="11"/>
        <v>2020</v>
      </c>
      <c r="C303" s="7"/>
      <c r="D303" s="8"/>
      <c r="E303" s="7">
        <v>43880</v>
      </c>
      <c r="F303" s="9">
        <v>46.5</v>
      </c>
      <c r="G303" s="7">
        <v>43880</v>
      </c>
      <c r="H303" s="9">
        <v>46</v>
      </c>
      <c r="I303" s="7">
        <v>43880</v>
      </c>
      <c r="J303" s="9">
        <v>32.75</v>
      </c>
      <c r="K303" s="5">
        <f t="shared" si="9"/>
        <v>13.75</v>
      </c>
      <c r="L303" s="6">
        <f t="shared" si="10"/>
        <v>0.5</v>
      </c>
    </row>
    <row r="304" spans="1:12" x14ac:dyDescent="0.25">
      <c r="A304">
        <f t="shared" si="8"/>
        <v>2</v>
      </c>
      <c r="B304">
        <f t="shared" si="11"/>
        <v>2020</v>
      </c>
      <c r="C304" s="7"/>
      <c r="D304" s="8"/>
      <c r="E304" s="7">
        <v>43881</v>
      </c>
      <c r="F304" s="9">
        <v>47.5</v>
      </c>
      <c r="G304" s="7">
        <v>43881</v>
      </c>
      <c r="H304" s="9">
        <v>47</v>
      </c>
      <c r="I304" s="7">
        <v>43881</v>
      </c>
      <c r="J304" s="9">
        <v>32.5</v>
      </c>
      <c r="K304" s="5">
        <f t="shared" si="9"/>
        <v>15</v>
      </c>
      <c r="L304" s="6">
        <f t="shared" si="10"/>
        <v>0.5</v>
      </c>
    </row>
    <row r="305" spans="1:12" x14ac:dyDescent="0.25">
      <c r="A305">
        <f t="shared" si="8"/>
        <v>2</v>
      </c>
      <c r="B305">
        <f t="shared" si="11"/>
        <v>2020</v>
      </c>
      <c r="C305" s="7"/>
      <c r="D305" s="8"/>
      <c r="E305" s="7">
        <v>43882</v>
      </c>
      <c r="F305" s="9">
        <v>47.25</v>
      </c>
      <c r="G305" s="7">
        <v>43882</v>
      </c>
      <c r="H305" s="9">
        <v>47</v>
      </c>
      <c r="I305" s="7">
        <v>43882</v>
      </c>
      <c r="J305" s="9">
        <v>34.25</v>
      </c>
      <c r="K305" s="5">
        <f t="shared" si="9"/>
        <v>13</v>
      </c>
      <c r="L305" s="6">
        <f t="shared" si="10"/>
        <v>0.25</v>
      </c>
    </row>
    <row r="306" spans="1:12" x14ac:dyDescent="0.25">
      <c r="A306">
        <f t="shared" si="8"/>
        <v>2</v>
      </c>
      <c r="B306">
        <f t="shared" si="11"/>
        <v>2020</v>
      </c>
      <c r="C306" s="7"/>
      <c r="D306" s="8"/>
      <c r="E306" s="7">
        <v>43885</v>
      </c>
      <c r="F306" s="9">
        <v>47.75</v>
      </c>
      <c r="G306" s="7">
        <v>43885</v>
      </c>
      <c r="H306" s="9">
        <v>47.25</v>
      </c>
      <c r="I306" s="7">
        <v>43885</v>
      </c>
      <c r="J306" s="9">
        <v>33.75</v>
      </c>
      <c r="K306" s="5">
        <f t="shared" si="9"/>
        <v>14</v>
      </c>
      <c r="L306" s="6">
        <f t="shared" si="10"/>
        <v>0.5</v>
      </c>
    </row>
    <row r="307" spans="1:12" x14ac:dyDescent="0.25">
      <c r="A307">
        <f t="shared" si="8"/>
        <v>2</v>
      </c>
      <c r="B307">
        <f t="shared" si="11"/>
        <v>2020</v>
      </c>
      <c r="C307" s="7"/>
      <c r="D307" s="8"/>
      <c r="E307" s="7">
        <v>43886</v>
      </c>
      <c r="F307" s="9">
        <v>47.75</v>
      </c>
      <c r="G307" s="7">
        <v>43886</v>
      </c>
      <c r="H307" s="9">
        <v>47.25</v>
      </c>
      <c r="I307" s="7">
        <v>43886</v>
      </c>
      <c r="J307" s="9">
        <v>34.25</v>
      </c>
      <c r="K307" s="5">
        <f t="shared" si="9"/>
        <v>13.5</v>
      </c>
      <c r="L307" s="6">
        <f t="shared" si="10"/>
        <v>0.5</v>
      </c>
    </row>
    <row r="308" spans="1:12" x14ac:dyDescent="0.25">
      <c r="A308">
        <f t="shared" si="8"/>
        <v>2</v>
      </c>
      <c r="B308">
        <f t="shared" si="11"/>
        <v>2020</v>
      </c>
      <c r="C308" s="7"/>
      <c r="D308" s="8"/>
      <c r="E308" s="7">
        <v>43887</v>
      </c>
      <c r="F308" s="9">
        <v>53.5</v>
      </c>
      <c r="G308" s="7">
        <v>43887</v>
      </c>
      <c r="H308" s="9">
        <v>53</v>
      </c>
      <c r="I308" s="7">
        <v>43887</v>
      </c>
      <c r="J308" s="9">
        <v>40.5</v>
      </c>
      <c r="K308" s="5">
        <f t="shared" si="9"/>
        <v>13</v>
      </c>
      <c r="L308" s="6">
        <f t="shared" si="10"/>
        <v>0.5</v>
      </c>
    </row>
    <row r="309" spans="1:12" x14ac:dyDescent="0.25">
      <c r="A309">
        <f t="shared" si="8"/>
        <v>2</v>
      </c>
      <c r="B309">
        <f t="shared" si="11"/>
        <v>2020</v>
      </c>
      <c r="C309" s="7"/>
      <c r="D309" s="8"/>
      <c r="E309" s="7">
        <v>43888</v>
      </c>
      <c r="F309" s="9">
        <v>51.5</v>
      </c>
      <c r="G309" s="7">
        <v>43888</v>
      </c>
      <c r="H309" s="9">
        <v>51</v>
      </c>
      <c r="I309" s="7">
        <v>43888</v>
      </c>
      <c r="J309" s="9">
        <v>39.25</v>
      </c>
      <c r="K309" s="5">
        <f t="shared" si="9"/>
        <v>12.25</v>
      </c>
      <c r="L309" s="6">
        <f t="shared" si="10"/>
        <v>0.5</v>
      </c>
    </row>
    <row r="310" spans="1:12" x14ac:dyDescent="0.25">
      <c r="A310">
        <f t="shared" si="8"/>
        <v>2</v>
      </c>
      <c r="B310">
        <f t="shared" si="11"/>
        <v>2020</v>
      </c>
      <c r="C310" s="7"/>
      <c r="D310" s="8"/>
      <c r="E310" s="7">
        <v>43889</v>
      </c>
      <c r="F310" s="9">
        <v>51</v>
      </c>
      <c r="G310" s="7">
        <v>43889</v>
      </c>
      <c r="H310" s="9">
        <v>50.5</v>
      </c>
      <c r="I310" s="7">
        <v>43889</v>
      </c>
      <c r="J310" s="9">
        <v>38.25</v>
      </c>
      <c r="K310" s="5">
        <f t="shared" si="9"/>
        <v>12.75</v>
      </c>
      <c r="L310" s="6">
        <f t="shared" si="10"/>
        <v>0.5</v>
      </c>
    </row>
    <row r="311" spans="1:12" x14ac:dyDescent="0.25">
      <c r="A311">
        <f t="shared" si="8"/>
        <v>3</v>
      </c>
      <c r="B311">
        <f t="shared" si="11"/>
        <v>2020</v>
      </c>
      <c r="C311" s="7"/>
      <c r="D311" s="8"/>
      <c r="E311" s="7">
        <v>43892</v>
      </c>
      <c r="F311" s="9">
        <v>48.75</v>
      </c>
      <c r="G311" s="7">
        <v>43892</v>
      </c>
      <c r="H311" s="9">
        <v>48.25</v>
      </c>
      <c r="I311" s="7">
        <v>43892</v>
      </c>
      <c r="J311" s="9">
        <v>37.25</v>
      </c>
      <c r="K311" s="5">
        <f t="shared" si="9"/>
        <v>11.5</v>
      </c>
      <c r="L311" s="6">
        <f t="shared" si="10"/>
        <v>0.5</v>
      </c>
    </row>
    <row r="312" spans="1:12" x14ac:dyDescent="0.25">
      <c r="A312">
        <f t="shared" si="8"/>
        <v>3</v>
      </c>
      <c r="B312">
        <f t="shared" si="11"/>
        <v>2020</v>
      </c>
      <c r="C312" s="7"/>
      <c r="D312" s="8"/>
      <c r="E312" s="7">
        <v>43893</v>
      </c>
      <c r="F312" s="9">
        <v>49.5</v>
      </c>
      <c r="G312" s="7">
        <v>43893</v>
      </c>
      <c r="H312" s="9">
        <v>49</v>
      </c>
      <c r="I312" s="7">
        <v>43893</v>
      </c>
      <c r="J312" s="9">
        <v>36.75</v>
      </c>
      <c r="K312" s="5">
        <f t="shared" si="9"/>
        <v>12.75</v>
      </c>
      <c r="L312" s="6">
        <f t="shared" si="10"/>
        <v>0.5</v>
      </c>
    </row>
    <row r="313" spans="1:12" x14ac:dyDescent="0.25">
      <c r="A313">
        <f t="shared" si="8"/>
        <v>3</v>
      </c>
      <c r="B313">
        <f t="shared" si="11"/>
        <v>2020</v>
      </c>
      <c r="C313" s="7"/>
      <c r="D313" s="8"/>
      <c r="E313" s="7">
        <v>43894</v>
      </c>
      <c r="F313" s="9">
        <v>49.5</v>
      </c>
      <c r="G313" s="7">
        <v>43894</v>
      </c>
      <c r="H313" s="9">
        <v>49</v>
      </c>
      <c r="I313" s="7">
        <v>43894</v>
      </c>
      <c r="J313" s="9">
        <v>35.25</v>
      </c>
      <c r="K313" s="5">
        <f t="shared" si="9"/>
        <v>14.25</v>
      </c>
      <c r="L313" s="6">
        <f t="shared" si="10"/>
        <v>0.5</v>
      </c>
    </row>
    <row r="314" spans="1:12" x14ac:dyDescent="0.25">
      <c r="A314">
        <f t="shared" si="8"/>
        <v>3</v>
      </c>
      <c r="B314">
        <f t="shared" si="11"/>
        <v>2020</v>
      </c>
      <c r="C314" s="7"/>
      <c r="D314" s="8"/>
      <c r="E314" s="7">
        <v>43895</v>
      </c>
      <c r="F314" s="9">
        <v>50.5</v>
      </c>
      <c r="G314" s="7">
        <v>43895</v>
      </c>
      <c r="H314" s="9">
        <v>49</v>
      </c>
      <c r="I314" s="7">
        <v>43895</v>
      </c>
      <c r="J314" s="9">
        <v>39.5</v>
      </c>
      <c r="K314" s="5">
        <f t="shared" si="9"/>
        <v>11</v>
      </c>
      <c r="L314" s="6">
        <f t="shared" si="10"/>
        <v>1.5</v>
      </c>
    </row>
    <row r="315" spans="1:12" x14ac:dyDescent="0.25">
      <c r="A315">
        <f t="shared" si="8"/>
        <v>3</v>
      </c>
      <c r="B315">
        <f t="shared" si="11"/>
        <v>2020</v>
      </c>
      <c r="C315" s="7"/>
      <c r="D315" s="8"/>
      <c r="E315" s="7">
        <v>43896</v>
      </c>
      <c r="F315" s="9">
        <v>50.5</v>
      </c>
      <c r="G315" s="7">
        <v>43896</v>
      </c>
      <c r="H315" s="9">
        <v>49</v>
      </c>
      <c r="I315" s="7">
        <v>43896</v>
      </c>
      <c r="J315" s="9">
        <v>35.5</v>
      </c>
      <c r="K315" s="5">
        <f t="shared" si="9"/>
        <v>15</v>
      </c>
      <c r="L315" s="6">
        <f t="shared" si="10"/>
        <v>1.5</v>
      </c>
    </row>
    <row r="316" spans="1:12" x14ac:dyDescent="0.25">
      <c r="A316">
        <f t="shared" si="8"/>
        <v>3</v>
      </c>
      <c r="B316">
        <f t="shared" si="11"/>
        <v>2020</v>
      </c>
      <c r="C316" s="7"/>
      <c r="D316" s="8"/>
      <c r="E316" s="7">
        <v>43899</v>
      </c>
      <c r="F316" s="9">
        <v>54</v>
      </c>
      <c r="G316" s="7">
        <v>43899</v>
      </c>
      <c r="H316" s="9">
        <v>53.5</v>
      </c>
      <c r="I316" s="7">
        <v>43899</v>
      </c>
      <c r="J316" s="9">
        <v>35.5</v>
      </c>
      <c r="K316" s="5">
        <f t="shared" si="9"/>
        <v>18.5</v>
      </c>
      <c r="L316" s="6">
        <f t="shared" si="10"/>
        <v>0.5</v>
      </c>
    </row>
    <row r="317" spans="1:12" x14ac:dyDescent="0.25">
      <c r="A317">
        <f t="shared" si="8"/>
        <v>3</v>
      </c>
      <c r="B317">
        <f t="shared" si="11"/>
        <v>2020</v>
      </c>
      <c r="C317" s="7"/>
      <c r="D317" s="8"/>
      <c r="E317" s="7">
        <v>43900</v>
      </c>
      <c r="F317" s="9">
        <v>52</v>
      </c>
      <c r="G317" s="7">
        <v>43900</v>
      </c>
      <c r="H317" s="9">
        <v>51.5</v>
      </c>
      <c r="I317" s="7">
        <v>43900</v>
      </c>
      <c r="J317" s="9">
        <v>34.75</v>
      </c>
      <c r="K317" s="5">
        <f t="shared" si="9"/>
        <v>17.25</v>
      </c>
      <c r="L317" s="6">
        <f t="shared" si="10"/>
        <v>0.5</v>
      </c>
    </row>
    <row r="318" spans="1:12" x14ac:dyDescent="0.25">
      <c r="A318">
        <f t="shared" si="8"/>
        <v>3</v>
      </c>
      <c r="B318">
        <f t="shared" si="11"/>
        <v>2020</v>
      </c>
      <c r="C318" s="7"/>
      <c r="D318" s="8"/>
      <c r="E318" s="7">
        <v>43901</v>
      </c>
      <c r="F318" s="9">
        <v>50</v>
      </c>
      <c r="G318" s="7">
        <v>43901</v>
      </c>
      <c r="H318" s="9">
        <v>49.5</v>
      </c>
      <c r="I318" s="7">
        <v>43901</v>
      </c>
      <c r="J318" s="9">
        <v>33.25</v>
      </c>
      <c r="K318" s="5">
        <f t="shared" si="9"/>
        <v>16.75</v>
      </c>
      <c r="L318" s="6">
        <f t="shared" si="10"/>
        <v>0.5</v>
      </c>
    </row>
    <row r="319" spans="1:12" x14ac:dyDescent="0.25">
      <c r="A319">
        <f t="shared" si="8"/>
        <v>3</v>
      </c>
      <c r="B319">
        <f t="shared" si="11"/>
        <v>2020</v>
      </c>
      <c r="C319" s="7"/>
      <c r="D319" s="8"/>
      <c r="E319" s="7">
        <v>43902</v>
      </c>
      <c r="F319" s="9">
        <v>49.25</v>
      </c>
      <c r="G319" s="7">
        <v>43902</v>
      </c>
      <c r="H319" s="9">
        <v>48.75</v>
      </c>
      <c r="I319" s="7">
        <v>43902</v>
      </c>
      <c r="J319" s="9">
        <v>25.75</v>
      </c>
      <c r="K319" s="5">
        <f t="shared" si="9"/>
        <v>23.5</v>
      </c>
      <c r="L319" s="6">
        <f t="shared" si="10"/>
        <v>0.5</v>
      </c>
    </row>
    <row r="320" spans="1:12" x14ac:dyDescent="0.25">
      <c r="A320">
        <f t="shared" si="8"/>
        <v>3</v>
      </c>
      <c r="B320">
        <f t="shared" si="11"/>
        <v>2020</v>
      </c>
      <c r="C320" s="7"/>
      <c r="D320" s="8"/>
      <c r="E320" s="7">
        <v>43903</v>
      </c>
      <c r="F320" s="9">
        <v>46</v>
      </c>
      <c r="G320" s="7">
        <v>43903</v>
      </c>
      <c r="H320" s="9">
        <v>45.5</v>
      </c>
      <c r="I320" s="7">
        <v>43903</v>
      </c>
      <c r="J320" s="9">
        <v>24.75</v>
      </c>
      <c r="K320" s="5">
        <f t="shared" si="9"/>
        <v>21.25</v>
      </c>
      <c r="L320" s="6">
        <f t="shared" si="10"/>
        <v>0.5</v>
      </c>
    </row>
    <row r="321" spans="1:12" x14ac:dyDescent="0.25">
      <c r="A321">
        <f t="shared" si="8"/>
        <v>3</v>
      </c>
      <c r="B321">
        <f t="shared" si="11"/>
        <v>2020</v>
      </c>
      <c r="C321" s="7"/>
      <c r="D321" s="8"/>
      <c r="E321" s="7">
        <v>43906</v>
      </c>
      <c r="F321" s="9">
        <v>45</v>
      </c>
      <c r="G321" s="7">
        <v>43906</v>
      </c>
      <c r="H321" s="9">
        <v>48.25</v>
      </c>
      <c r="I321" s="7">
        <v>43906</v>
      </c>
      <c r="J321" s="9">
        <v>22.25</v>
      </c>
      <c r="K321" s="5">
        <f t="shared" si="9"/>
        <v>22.75</v>
      </c>
      <c r="L321" s="6">
        <f t="shared" si="10"/>
        <v>-3.25</v>
      </c>
    </row>
    <row r="322" spans="1:12" x14ac:dyDescent="0.25">
      <c r="A322">
        <f t="shared" si="8"/>
        <v>3</v>
      </c>
      <c r="B322">
        <f t="shared" si="11"/>
        <v>2020</v>
      </c>
      <c r="C322" s="7"/>
      <c r="D322" s="8"/>
      <c r="E322" s="7">
        <v>43907</v>
      </c>
      <c r="F322" s="9">
        <v>43.25</v>
      </c>
      <c r="G322" s="7">
        <v>43907</v>
      </c>
      <c r="H322" s="9">
        <v>42.75</v>
      </c>
      <c r="I322" s="7">
        <v>43907</v>
      </c>
      <c r="J322" s="9">
        <v>19.5</v>
      </c>
      <c r="K322" s="5">
        <f t="shared" si="9"/>
        <v>23.75</v>
      </c>
      <c r="L322" s="6">
        <f t="shared" si="10"/>
        <v>0.5</v>
      </c>
    </row>
    <row r="323" spans="1:12" x14ac:dyDescent="0.25">
      <c r="A323">
        <f t="shared" si="8"/>
        <v>3</v>
      </c>
      <c r="B323">
        <f t="shared" si="11"/>
        <v>2020</v>
      </c>
      <c r="C323" s="7"/>
      <c r="D323" s="8"/>
      <c r="E323" s="7">
        <v>43908</v>
      </c>
      <c r="F323" s="9">
        <v>41.75</v>
      </c>
      <c r="G323" s="7">
        <v>43908</v>
      </c>
      <c r="H323" s="9">
        <v>41.25</v>
      </c>
      <c r="I323" s="7">
        <v>43908</v>
      </c>
      <c r="J323" s="9">
        <v>17.25</v>
      </c>
      <c r="K323" s="5">
        <f t="shared" si="9"/>
        <v>24.5</v>
      </c>
      <c r="L323" s="6">
        <f t="shared" si="10"/>
        <v>0.5</v>
      </c>
    </row>
    <row r="324" spans="1:12" x14ac:dyDescent="0.25">
      <c r="A324">
        <f t="shared" si="8"/>
        <v>3</v>
      </c>
      <c r="B324">
        <f t="shared" si="11"/>
        <v>2020</v>
      </c>
      <c r="C324" s="7"/>
      <c r="D324" s="8"/>
      <c r="E324" s="7">
        <v>43909</v>
      </c>
      <c r="F324" s="9">
        <v>43.5</v>
      </c>
      <c r="G324" s="7">
        <v>43909</v>
      </c>
      <c r="H324" s="9">
        <v>42.75</v>
      </c>
      <c r="I324" s="7">
        <v>43909</v>
      </c>
      <c r="J324" s="9">
        <v>18.75</v>
      </c>
      <c r="K324" s="5">
        <f t="shared" si="9"/>
        <v>24.75</v>
      </c>
      <c r="L324" s="6">
        <f t="shared" si="10"/>
        <v>0.75</v>
      </c>
    </row>
    <row r="325" spans="1:12" x14ac:dyDescent="0.25">
      <c r="A325">
        <f t="shared" si="8"/>
        <v>3</v>
      </c>
      <c r="B325">
        <f t="shared" si="11"/>
        <v>2020</v>
      </c>
      <c r="C325" s="7"/>
      <c r="D325" s="8"/>
      <c r="E325" s="7">
        <v>43910</v>
      </c>
      <c r="F325" s="9">
        <v>45.25</v>
      </c>
      <c r="G325" s="7">
        <v>43910</v>
      </c>
      <c r="H325" s="9">
        <v>44.75</v>
      </c>
      <c r="I325" s="7">
        <v>43910</v>
      </c>
      <c r="J325" s="9">
        <v>22.25</v>
      </c>
      <c r="K325" s="5">
        <f t="shared" si="9"/>
        <v>23</v>
      </c>
      <c r="L325" s="6">
        <f t="shared" si="10"/>
        <v>0.5</v>
      </c>
    </row>
    <row r="326" spans="1:12" x14ac:dyDescent="0.25">
      <c r="A326">
        <f t="shared" si="8"/>
        <v>3</v>
      </c>
      <c r="B326">
        <f t="shared" si="11"/>
        <v>2020</v>
      </c>
      <c r="C326" s="7"/>
      <c r="D326" s="8"/>
      <c r="E326" s="7">
        <v>43913</v>
      </c>
      <c r="F326" s="9">
        <v>49.25</v>
      </c>
      <c r="G326" s="7">
        <v>43913</v>
      </c>
      <c r="H326" s="9">
        <v>48.75</v>
      </c>
      <c r="I326" s="7">
        <v>43913</v>
      </c>
      <c r="J326" s="9">
        <v>27.5</v>
      </c>
      <c r="K326" s="5">
        <f t="shared" si="9"/>
        <v>21.75</v>
      </c>
      <c r="L326" s="6">
        <f t="shared" si="10"/>
        <v>0.5</v>
      </c>
    </row>
    <row r="327" spans="1:12" x14ac:dyDescent="0.25">
      <c r="A327">
        <f t="shared" si="8"/>
        <v>3</v>
      </c>
      <c r="B327">
        <f t="shared" si="11"/>
        <v>2020</v>
      </c>
      <c r="C327" s="7"/>
      <c r="D327" s="8"/>
      <c r="E327" s="7">
        <v>43914</v>
      </c>
      <c r="F327" s="9">
        <v>48.5</v>
      </c>
      <c r="G327" s="7">
        <v>43914</v>
      </c>
      <c r="H327" s="9">
        <v>48</v>
      </c>
      <c r="I327" s="7">
        <v>43914</v>
      </c>
      <c r="J327" s="9">
        <v>26.5</v>
      </c>
      <c r="K327" s="5">
        <f t="shared" si="9"/>
        <v>22</v>
      </c>
      <c r="L327" s="6">
        <f t="shared" si="10"/>
        <v>0.5</v>
      </c>
    </row>
    <row r="328" spans="1:12" x14ac:dyDescent="0.25">
      <c r="A328">
        <f t="shared" si="8"/>
        <v>3</v>
      </c>
      <c r="B328">
        <f t="shared" si="11"/>
        <v>2020</v>
      </c>
      <c r="C328" s="7"/>
      <c r="D328" s="8"/>
      <c r="E328" s="7">
        <v>43915</v>
      </c>
      <c r="F328" s="9">
        <v>50</v>
      </c>
      <c r="G328" s="7">
        <v>43915</v>
      </c>
      <c r="H328" s="9">
        <v>49.5</v>
      </c>
      <c r="I328" s="7">
        <v>43915</v>
      </c>
      <c r="J328" s="9">
        <v>30.5</v>
      </c>
      <c r="K328" s="5">
        <f t="shared" si="9"/>
        <v>19.5</v>
      </c>
      <c r="L328" s="6">
        <f t="shared" si="10"/>
        <v>0.5</v>
      </c>
    </row>
    <row r="329" spans="1:12" x14ac:dyDescent="0.25">
      <c r="A329">
        <f t="shared" si="8"/>
        <v>3</v>
      </c>
      <c r="B329">
        <f t="shared" si="11"/>
        <v>2020</v>
      </c>
      <c r="C329" s="7"/>
      <c r="D329" s="8"/>
      <c r="E329" s="7">
        <v>43916</v>
      </c>
      <c r="F329" s="9">
        <v>49.75</v>
      </c>
      <c r="G329" s="7">
        <v>43916</v>
      </c>
      <c r="H329" s="9">
        <v>49.25</v>
      </c>
      <c r="I329" s="7">
        <v>43916</v>
      </c>
      <c r="J329" s="9">
        <v>30</v>
      </c>
      <c r="K329" s="5">
        <f t="shared" si="9"/>
        <v>19.75</v>
      </c>
      <c r="L329" s="6">
        <f t="shared" si="10"/>
        <v>0.5</v>
      </c>
    </row>
    <row r="330" spans="1:12" x14ac:dyDescent="0.25">
      <c r="A330">
        <f t="shared" si="8"/>
        <v>3</v>
      </c>
      <c r="B330">
        <f t="shared" si="11"/>
        <v>2020</v>
      </c>
      <c r="C330" s="7"/>
      <c r="D330" s="8"/>
      <c r="E330" s="7">
        <v>43917</v>
      </c>
      <c r="F330" s="9">
        <v>48.5</v>
      </c>
      <c r="G330" s="7">
        <v>43917</v>
      </c>
      <c r="H330" s="9">
        <v>48</v>
      </c>
      <c r="I330" s="7">
        <v>43917</v>
      </c>
      <c r="J330" s="9">
        <v>27.25</v>
      </c>
      <c r="K330" s="5">
        <f t="shared" si="9"/>
        <v>21.25</v>
      </c>
      <c r="L330" s="6">
        <f t="shared" si="10"/>
        <v>0.5</v>
      </c>
    </row>
    <row r="331" spans="1:12" x14ac:dyDescent="0.25">
      <c r="A331">
        <f t="shared" si="8"/>
        <v>3</v>
      </c>
      <c r="B331">
        <f t="shared" si="11"/>
        <v>2020</v>
      </c>
      <c r="C331" s="7"/>
      <c r="D331" s="8"/>
      <c r="E331" s="7">
        <v>43920</v>
      </c>
      <c r="F331" s="9">
        <v>50.5</v>
      </c>
      <c r="G331" s="7">
        <v>43920</v>
      </c>
      <c r="H331" s="9">
        <v>50</v>
      </c>
      <c r="I331" s="7">
        <v>43920</v>
      </c>
      <c r="J331" s="9">
        <v>26.75</v>
      </c>
      <c r="K331" s="5">
        <f t="shared" si="9"/>
        <v>23.75</v>
      </c>
      <c r="L331" s="6">
        <f t="shared" si="10"/>
        <v>0.5</v>
      </c>
    </row>
    <row r="332" spans="1:12" x14ac:dyDescent="0.25">
      <c r="A332">
        <f t="shared" si="8"/>
        <v>3</v>
      </c>
      <c r="B332">
        <f t="shared" si="11"/>
        <v>2020</v>
      </c>
      <c r="C332" s="7"/>
      <c r="D332" s="8"/>
      <c r="E332" s="7">
        <v>43921</v>
      </c>
      <c r="F332" s="9">
        <v>53.25</v>
      </c>
      <c r="G332" s="7">
        <v>43921</v>
      </c>
      <c r="H332" s="9">
        <v>52.75</v>
      </c>
      <c r="I332" s="7">
        <v>43921</v>
      </c>
      <c r="J332" s="9">
        <v>27.5</v>
      </c>
      <c r="K332" s="5">
        <f t="shared" si="9"/>
        <v>25.75</v>
      </c>
      <c r="L332" s="6">
        <f t="shared" si="10"/>
        <v>0.5</v>
      </c>
    </row>
    <row r="333" spans="1:12" x14ac:dyDescent="0.25">
      <c r="A333">
        <f t="shared" si="8"/>
        <v>4</v>
      </c>
      <c r="B333">
        <f t="shared" si="11"/>
        <v>2020</v>
      </c>
      <c r="C333" s="7"/>
      <c r="D333" s="8"/>
      <c r="E333" s="7">
        <v>43922</v>
      </c>
      <c r="F333" s="9">
        <v>52.5</v>
      </c>
      <c r="G333" s="7">
        <v>43922</v>
      </c>
      <c r="H333" s="9">
        <v>52</v>
      </c>
      <c r="I333" s="7">
        <v>43922</v>
      </c>
      <c r="J333" s="9">
        <v>27.75</v>
      </c>
      <c r="K333" s="5">
        <f t="shared" si="9"/>
        <v>24.75</v>
      </c>
      <c r="L333" s="6">
        <f t="shared" si="10"/>
        <v>0.5</v>
      </c>
    </row>
    <row r="334" spans="1:12" x14ac:dyDescent="0.25">
      <c r="A334">
        <f t="shared" ref="A334:A397" si="12">MONTH(E334)</f>
        <v>4</v>
      </c>
      <c r="B334">
        <f t="shared" si="11"/>
        <v>2020</v>
      </c>
      <c r="C334" s="7"/>
      <c r="D334" s="8"/>
      <c r="E334" s="7">
        <v>43923</v>
      </c>
      <c r="F334" s="9">
        <v>51</v>
      </c>
      <c r="G334" s="7">
        <v>43923</v>
      </c>
      <c r="H334" s="9">
        <v>50.5</v>
      </c>
      <c r="I334" s="7">
        <v>43923</v>
      </c>
      <c r="J334" s="9">
        <v>29</v>
      </c>
      <c r="K334" s="5">
        <f t="shared" ref="K334:K397" si="13">F334-J334</f>
        <v>22</v>
      </c>
      <c r="L334" s="6">
        <f t="shared" ref="L334:L397" si="14">F334-H334</f>
        <v>0.5</v>
      </c>
    </row>
    <row r="335" spans="1:12" x14ac:dyDescent="0.25">
      <c r="A335">
        <f t="shared" si="12"/>
        <v>4</v>
      </c>
      <c r="B335">
        <f t="shared" ref="B335:B398" si="15">YEAR(E335)</f>
        <v>2020</v>
      </c>
      <c r="C335" s="7"/>
      <c r="D335" s="8"/>
      <c r="E335" s="7">
        <v>43924</v>
      </c>
      <c r="F335" s="9">
        <v>49.75</v>
      </c>
      <c r="G335" s="7">
        <v>43924</v>
      </c>
      <c r="H335" s="9">
        <v>49.25</v>
      </c>
      <c r="I335" s="7">
        <v>43924</v>
      </c>
      <c r="J335" s="9">
        <v>29.5</v>
      </c>
      <c r="K335" s="5">
        <f t="shared" si="13"/>
        <v>20.25</v>
      </c>
      <c r="L335" s="6">
        <f t="shared" si="14"/>
        <v>0.5</v>
      </c>
    </row>
    <row r="336" spans="1:12" x14ac:dyDescent="0.25">
      <c r="A336">
        <f t="shared" si="12"/>
        <v>4</v>
      </c>
      <c r="B336">
        <f t="shared" si="15"/>
        <v>2020</v>
      </c>
      <c r="C336" s="7"/>
      <c r="D336" s="8"/>
      <c r="E336" s="7">
        <v>43927</v>
      </c>
      <c r="F336" s="9">
        <v>53</v>
      </c>
      <c r="G336" s="7">
        <v>43927</v>
      </c>
      <c r="H336" s="9">
        <v>52.5</v>
      </c>
      <c r="I336" s="7">
        <v>43927</v>
      </c>
      <c r="J336" s="9">
        <v>35.5</v>
      </c>
      <c r="K336" s="5">
        <f t="shared" si="13"/>
        <v>17.5</v>
      </c>
      <c r="L336" s="6">
        <f t="shared" si="14"/>
        <v>0.5</v>
      </c>
    </row>
    <row r="337" spans="1:12" x14ac:dyDescent="0.25">
      <c r="A337">
        <f t="shared" si="12"/>
        <v>4</v>
      </c>
      <c r="B337">
        <f t="shared" si="15"/>
        <v>2020</v>
      </c>
      <c r="C337" s="7"/>
      <c r="D337" s="8"/>
      <c r="E337" s="7">
        <v>43928</v>
      </c>
      <c r="F337" s="9">
        <v>52.5</v>
      </c>
      <c r="G337" s="7">
        <v>43928</v>
      </c>
      <c r="H337" s="9">
        <v>52</v>
      </c>
      <c r="I337" s="7">
        <v>43928</v>
      </c>
      <c r="J337" s="9">
        <v>35.5</v>
      </c>
      <c r="K337" s="5">
        <f t="shared" si="13"/>
        <v>17</v>
      </c>
      <c r="L337" s="6">
        <f t="shared" si="14"/>
        <v>0.5</v>
      </c>
    </row>
    <row r="338" spans="1:12" x14ac:dyDescent="0.25">
      <c r="A338">
        <f t="shared" si="12"/>
        <v>4</v>
      </c>
      <c r="B338">
        <f t="shared" si="15"/>
        <v>2020</v>
      </c>
      <c r="C338" s="7"/>
      <c r="D338" s="8"/>
      <c r="E338" s="7">
        <v>43929</v>
      </c>
      <c r="F338" s="9">
        <v>53.5</v>
      </c>
      <c r="G338" s="7">
        <v>43929</v>
      </c>
      <c r="H338" s="9">
        <v>52</v>
      </c>
      <c r="I338" s="7">
        <v>43929</v>
      </c>
      <c r="J338" s="9">
        <v>35.25</v>
      </c>
      <c r="K338" s="5">
        <f t="shared" si="13"/>
        <v>18.25</v>
      </c>
      <c r="L338" s="6">
        <f t="shared" si="14"/>
        <v>1.5</v>
      </c>
    </row>
    <row r="339" spans="1:12" x14ac:dyDescent="0.25">
      <c r="A339">
        <f t="shared" si="12"/>
        <v>4</v>
      </c>
      <c r="B339">
        <f t="shared" si="15"/>
        <v>2020</v>
      </c>
      <c r="C339" s="7"/>
      <c r="D339" s="8"/>
      <c r="E339" s="7">
        <v>43930</v>
      </c>
      <c r="F339" s="9">
        <v>53</v>
      </c>
      <c r="G339" s="7">
        <v>43930</v>
      </c>
      <c r="H339" s="9">
        <v>52.5</v>
      </c>
      <c r="I339" s="7">
        <v>43930</v>
      </c>
      <c r="J339" s="9">
        <v>37</v>
      </c>
      <c r="K339" s="5">
        <f t="shared" si="13"/>
        <v>16</v>
      </c>
      <c r="L339" s="6">
        <f t="shared" si="14"/>
        <v>0.5</v>
      </c>
    </row>
    <row r="340" spans="1:12" x14ac:dyDescent="0.25">
      <c r="A340">
        <f t="shared" si="12"/>
        <v>4</v>
      </c>
      <c r="B340">
        <f t="shared" si="15"/>
        <v>2020</v>
      </c>
      <c r="C340" s="7"/>
      <c r="D340" s="8"/>
      <c r="E340" s="7">
        <v>43934</v>
      </c>
      <c r="F340" s="9">
        <v>53.75</v>
      </c>
      <c r="G340" s="7">
        <v>43934</v>
      </c>
      <c r="H340" s="9">
        <v>53.25</v>
      </c>
      <c r="I340" s="7">
        <v>43934</v>
      </c>
      <c r="J340" s="9">
        <v>38.25</v>
      </c>
      <c r="K340" s="5">
        <f t="shared" si="13"/>
        <v>15.5</v>
      </c>
      <c r="L340" s="6">
        <f t="shared" si="14"/>
        <v>0.5</v>
      </c>
    </row>
    <row r="341" spans="1:12" x14ac:dyDescent="0.25">
      <c r="A341">
        <f t="shared" si="12"/>
        <v>4</v>
      </c>
      <c r="B341">
        <f t="shared" si="15"/>
        <v>2020</v>
      </c>
      <c r="C341" s="7"/>
      <c r="D341" s="8"/>
      <c r="E341" s="7">
        <v>43935</v>
      </c>
      <c r="F341" s="9">
        <v>54</v>
      </c>
      <c r="G341" s="7">
        <v>43935</v>
      </c>
      <c r="H341" s="9">
        <v>53.5</v>
      </c>
      <c r="I341" s="7">
        <v>43935</v>
      </c>
      <c r="J341" s="9">
        <v>39.75</v>
      </c>
      <c r="K341" s="5">
        <f t="shared" si="13"/>
        <v>14.25</v>
      </c>
      <c r="L341" s="6">
        <f t="shared" si="14"/>
        <v>0.5</v>
      </c>
    </row>
    <row r="342" spans="1:12" x14ac:dyDescent="0.25">
      <c r="A342">
        <f t="shared" si="12"/>
        <v>4</v>
      </c>
      <c r="B342">
        <f t="shared" si="15"/>
        <v>2020</v>
      </c>
      <c r="C342" s="7"/>
      <c r="D342" s="8"/>
      <c r="E342" s="7">
        <v>43936</v>
      </c>
      <c r="F342" s="9">
        <v>52</v>
      </c>
      <c r="G342" s="7">
        <v>43936</v>
      </c>
      <c r="H342" s="9">
        <v>51.5</v>
      </c>
      <c r="I342" s="7">
        <v>43936</v>
      </c>
      <c r="J342" s="9">
        <v>37.75</v>
      </c>
      <c r="K342" s="5">
        <f t="shared" si="13"/>
        <v>14.25</v>
      </c>
      <c r="L342" s="6">
        <f t="shared" si="14"/>
        <v>0.5</v>
      </c>
    </row>
    <row r="343" spans="1:12" x14ac:dyDescent="0.25">
      <c r="A343">
        <f t="shared" si="12"/>
        <v>4</v>
      </c>
      <c r="B343">
        <f t="shared" si="15"/>
        <v>2020</v>
      </c>
      <c r="C343" s="7"/>
      <c r="D343" s="8"/>
      <c r="E343" s="7">
        <v>43937</v>
      </c>
      <c r="F343" s="9">
        <v>51</v>
      </c>
      <c r="G343" s="7">
        <v>43937</v>
      </c>
      <c r="H343" s="9">
        <v>50.5</v>
      </c>
      <c r="I343" s="7">
        <v>43937</v>
      </c>
      <c r="J343" s="9">
        <v>37.25</v>
      </c>
      <c r="K343" s="5">
        <f t="shared" si="13"/>
        <v>13.75</v>
      </c>
      <c r="L343" s="6">
        <f t="shared" si="14"/>
        <v>0.5</v>
      </c>
    </row>
    <row r="344" spans="1:12" x14ac:dyDescent="0.25">
      <c r="A344">
        <f t="shared" si="12"/>
        <v>4</v>
      </c>
      <c r="B344">
        <f t="shared" si="15"/>
        <v>2020</v>
      </c>
      <c r="C344" s="7"/>
      <c r="D344" s="8"/>
      <c r="E344" s="7">
        <v>43938</v>
      </c>
      <c r="F344" s="9">
        <v>51.25</v>
      </c>
      <c r="G344" s="7">
        <v>43938</v>
      </c>
      <c r="H344" s="9">
        <v>50.75</v>
      </c>
      <c r="I344" s="7">
        <v>43938</v>
      </c>
      <c r="J344" s="9">
        <v>36.25</v>
      </c>
      <c r="K344" s="5">
        <f t="shared" si="13"/>
        <v>15</v>
      </c>
      <c r="L344" s="6">
        <f t="shared" si="14"/>
        <v>0.5</v>
      </c>
    </row>
    <row r="345" spans="1:12" x14ac:dyDescent="0.25">
      <c r="A345">
        <f t="shared" si="12"/>
        <v>4</v>
      </c>
      <c r="B345">
        <f t="shared" si="15"/>
        <v>2020</v>
      </c>
      <c r="C345" s="7"/>
      <c r="D345" s="8"/>
      <c r="E345" s="7">
        <v>43941</v>
      </c>
      <c r="F345" s="9">
        <v>51.25</v>
      </c>
      <c r="G345" s="7">
        <v>43941</v>
      </c>
      <c r="H345" s="9">
        <v>50.75</v>
      </c>
      <c r="I345" s="7">
        <v>43941</v>
      </c>
      <c r="J345" s="9">
        <v>34.75</v>
      </c>
      <c r="K345" s="5">
        <f t="shared" si="13"/>
        <v>16.5</v>
      </c>
      <c r="L345" s="6">
        <f t="shared" si="14"/>
        <v>0.5</v>
      </c>
    </row>
    <row r="346" spans="1:12" x14ac:dyDescent="0.25">
      <c r="A346">
        <f t="shared" si="12"/>
        <v>4</v>
      </c>
      <c r="B346">
        <f t="shared" si="15"/>
        <v>2020</v>
      </c>
      <c r="C346" s="7"/>
      <c r="D346" s="8"/>
      <c r="E346" s="7">
        <v>43942</v>
      </c>
      <c r="F346" s="9">
        <v>51.25</v>
      </c>
      <c r="G346" s="7">
        <v>43942</v>
      </c>
      <c r="H346" s="9">
        <v>50.75</v>
      </c>
      <c r="I346" s="7">
        <v>43942</v>
      </c>
      <c r="J346" s="9">
        <v>32</v>
      </c>
      <c r="K346" s="5">
        <f t="shared" si="13"/>
        <v>19.25</v>
      </c>
      <c r="L346" s="6">
        <f t="shared" si="14"/>
        <v>0.5</v>
      </c>
    </row>
    <row r="347" spans="1:12" x14ac:dyDescent="0.25">
      <c r="A347">
        <f t="shared" si="12"/>
        <v>4</v>
      </c>
      <c r="B347">
        <f t="shared" si="15"/>
        <v>2020</v>
      </c>
      <c r="C347" s="7"/>
      <c r="D347" s="8"/>
      <c r="E347" s="7">
        <v>43943</v>
      </c>
      <c r="F347" s="9">
        <v>52.5</v>
      </c>
      <c r="G347" s="7">
        <v>43943</v>
      </c>
      <c r="H347" s="9">
        <v>52</v>
      </c>
      <c r="I347" s="7">
        <v>43943</v>
      </c>
      <c r="J347" s="9">
        <v>34.5</v>
      </c>
      <c r="K347" s="5">
        <f t="shared" si="13"/>
        <v>18</v>
      </c>
      <c r="L347" s="6">
        <f t="shared" si="14"/>
        <v>0.5</v>
      </c>
    </row>
    <row r="348" spans="1:12" x14ac:dyDescent="0.25">
      <c r="A348">
        <f t="shared" si="12"/>
        <v>4</v>
      </c>
      <c r="B348">
        <f t="shared" si="15"/>
        <v>2020</v>
      </c>
      <c r="C348" s="7"/>
      <c r="D348" s="8"/>
      <c r="E348" s="7">
        <v>43944</v>
      </c>
      <c r="F348" s="9">
        <v>52.5</v>
      </c>
      <c r="G348" s="7">
        <v>43944</v>
      </c>
      <c r="H348" s="9">
        <v>52</v>
      </c>
      <c r="I348" s="7">
        <v>43944</v>
      </c>
      <c r="J348" s="9">
        <v>34.5</v>
      </c>
      <c r="K348" s="5">
        <f t="shared" si="13"/>
        <v>18</v>
      </c>
      <c r="L348" s="6">
        <f t="shared" si="14"/>
        <v>0.5</v>
      </c>
    </row>
    <row r="349" spans="1:12" x14ac:dyDescent="0.25">
      <c r="A349">
        <f t="shared" si="12"/>
        <v>4</v>
      </c>
      <c r="B349">
        <f t="shared" si="15"/>
        <v>2020</v>
      </c>
      <c r="C349" s="7"/>
      <c r="D349" s="8"/>
      <c r="E349" s="7">
        <v>43945</v>
      </c>
      <c r="F349" s="9">
        <v>50.75</v>
      </c>
      <c r="G349" s="7">
        <v>43945</v>
      </c>
      <c r="H349" s="9">
        <v>50.25</v>
      </c>
      <c r="I349" s="7">
        <v>43945</v>
      </c>
      <c r="J349" s="9">
        <v>36</v>
      </c>
      <c r="K349" s="5">
        <f t="shared" si="13"/>
        <v>14.75</v>
      </c>
      <c r="L349" s="6">
        <f t="shared" si="14"/>
        <v>0.5</v>
      </c>
    </row>
    <row r="350" spans="1:12" x14ac:dyDescent="0.25">
      <c r="A350">
        <f t="shared" si="12"/>
        <v>4</v>
      </c>
      <c r="B350">
        <f t="shared" si="15"/>
        <v>2020</v>
      </c>
      <c r="C350" s="7"/>
      <c r="D350" s="8"/>
      <c r="E350" s="7">
        <v>43948</v>
      </c>
      <c r="F350" s="9">
        <v>51.75</v>
      </c>
      <c r="G350" s="7">
        <v>43948</v>
      </c>
      <c r="H350" s="9">
        <v>51.25</v>
      </c>
      <c r="I350" s="7">
        <v>43948</v>
      </c>
      <c r="J350" s="9">
        <v>35.75</v>
      </c>
      <c r="K350" s="5">
        <f t="shared" si="13"/>
        <v>16</v>
      </c>
      <c r="L350" s="6">
        <f t="shared" si="14"/>
        <v>0.5</v>
      </c>
    </row>
    <row r="351" spans="1:12" x14ac:dyDescent="0.25">
      <c r="A351">
        <f t="shared" si="12"/>
        <v>4</v>
      </c>
      <c r="B351">
        <f t="shared" si="15"/>
        <v>2020</v>
      </c>
      <c r="C351" s="7"/>
      <c r="D351" s="8"/>
      <c r="E351" s="7">
        <v>43949</v>
      </c>
      <c r="F351" s="9">
        <v>52.5</v>
      </c>
      <c r="G351" s="7">
        <v>43949</v>
      </c>
      <c r="H351" s="9">
        <v>52</v>
      </c>
      <c r="I351" s="7">
        <v>43949</v>
      </c>
      <c r="J351" s="9">
        <v>36</v>
      </c>
      <c r="K351" s="5">
        <f t="shared" si="13"/>
        <v>16.5</v>
      </c>
      <c r="L351" s="6">
        <f t="shared" si="14"/>
        <v>0.5</v>
      </c>
    </row>
    <row r="352" spans="1:12" x14ac:dyDescent="0.25">
      <c r="A352">
        <f t="shared" si="12"/>
        <v>4</v>
      </c>
      <c r="B352">
        <f t="shared" si="15"/>
        <v>2020</v>
      </c>
      <c r="C352" s="7"/>
      <c r="D352" s="8"/>
      <c r="E352" s="7">
        <v>43950</v>
      </c>
      <c r="F352" s="9">
        <v>52</v>
      </c>
      <c r="G352" s="7">
        <v>43950</v>
      </c>
      <c r="H352" s="9">
        <v>51.5</v>
      </c>
      <c r="I352" s="7">
        <v>43950</v>
      </c>
      <c r="J352" s="9">
        <v>36.75</v>
      </c>
      <c r="K352" s="5">
        <f t="shared" si="13"/>
        <v>15.25</v>
      </c>
      <c r="L352" s="6">
        <f t="shared" si="14"/>
        <v>0.5</v>
      </c>
    </row>
    <row r="353" spans="1:12" x14ac:dyDescent="0.25">
      <c r="A353">
        <f t="shared" si="12"/>
        <v>4</v>
      </c>
      <c r="B353">
        <f t="shared" si="15"/>
        <v>2020</v>
      </c>
      <c r="C353" s="7"/>
      <c r="D353" s="8"/>
      <c r="E353" s="7">
        <v>43951</v>
      </c>
      <c r="F353" s="9">
        <v>52.5</v>
      </c>
      <c r="G353" s="7">
        <v>43951</v>
      </c>
      <c r="H353" s="9">
        <v>52</v>
      </c>
      <c r="I353" s="7">
        <v>43951</v>
      </c>
      <c r="J353" s="9">
        <v>37.25</v>
      </c>
      <c r="K353" s="5">
        <f t="shared" si="13"/>
        <v>15.25</v>
      </c>
      <c r="L353" s="6">
        <f t="shared" si="14"/>
        <v>0.5</v>
      </c>
    </row>
    <row r="354" spans="1:12" x14ac:dyDescent="0.25">
      <c r="A354">
        <f t="shared" si="12"/>
        <v>5</v>
      </c>
      <c r="B354">
        <f t="shared" si="15"/>
        <v>2020</v>
      </c>
      <c r="C354" s="7"/>
      <c r="D354" s="8"/>
      <c r="E354" s="7">
        <v>43952</v>
      </c>
      <c r="F354" s="9">
        <v>52</v>
      </c>
      <c r="G354" s="7">
        <v>43952</v>
      </c>
      <c r="H354" s="9">
        <v>51.5</v>
      </c>
      <c r="I354" s="7">
        <v>43952</v>
      </c>
      <c r="J354" s="9">
        <v>36.75</v>
      </c>
      <c r="K354" s="5">
        <f t="shared" si="13"/>
        <v>15.25</v>
      </c>
      <c r="L354" s="6">
        <f t="shared" si="14"/>
        <v>0.5</v>
      </c>
    </row>
    <row r="355" spans="1:12" x14ac:dyDescent="0.25">
      <c r="A355">
        <f t="shared" si="12"/>
        <v>5</v>
      </c>
      <c r="B355">
        <f t="shared" si="15"/>
        <v>2020</v>
      </c>
      <c r="C355" s="7"/>
      <c r="D355" s="8"/>
      <c r="E355" s="7">
        <v>43955</v>
      </c>
      <c r="F355" s="9">
        <v>52</v>
      </c>
      <c r="G355" s="7">
        <v>43955</v>
      </c>
      <c r="H355" s="9">
        <v>51.5</v>
      </c>
      <c r="I355" s="7">
        <v>43955</v>
      </c>
      <c r="J355" s="9">
        <v>36.5</v>
      </c>
      <c r="K355" s="5">
        <f t="shared" si="13"/>
        <v>15.5</v>
      </c>
      <c r="L355" s="6">
        <f t="shared" si="14"/>
        <v>0.5</v>
      </c>
    </row>
    <row r="356" spans="1:12" x14ac:dyDescent="0.25">
      <c r="A356">
        <f t="shared" si="12"/>
        <v>5</v>
      </c>
      <c r="B356">
        <f t="shared" si="15"/>
        <v>2020</v>
      </c>
      <c r="C356" s="7"/>
      <c r="D356" s="8"/>
      <c r="E356" s="7">
        <v>43956</v>
      </c>
      <c r="F356" s="9">
        <v>52.25</v>
      </c>
      <c r="G356" s="7">
        <v>43956</v>
      </c>
      <c r="H356" s="9">
        <v>51.75</v>
      </c>
      <c r="I356" s="7">
        <v>43956</v>
      </c>
      <c r="J356" s="9">
        <v>36.75</v>
      </c>
      <c r="K356" s="5">
        <f t="shared" si="13"/>
        <v>15.5</v>
      </c>
      <c r="L356" s="6">
        <f t="shared" si="14"/>
        <v>0.5</v>
      </c>
    </row>
    <row r="357" spans="1:12" x14ac:dyDescent="0.25">
      <c r="A357">
        <f t="shared" si="12"/>
        <v>5</v>
      </c>
      <c r="B357">
        <f t="shared" si="15"/>
        <v>2020</v>
      </c>
      <c r="C357" s="7"/>
      <c r="D357" s="8"/>
      <c r="E357" s="7">
        <v>43957</v>
      </c>
      <c r="F357" s="9">
        <v>52</v>
      </c>
      <c r="G357" s="7">
        <v>43957</v>
      </c>
      <c r="H357" s="9">
        <v>51.5</v>
      </c>
      <c r="I357" s="7">
        <v>43957</v>
      </c>
      <c r="J357" s="9">
        <v>36.75</v>
      </c>
      <c r="K357" s="5">
        <f t="shared" si="13"/>
        <v>15.25</v>
      </c>
      <c r="L357" s="6">
        <f t="shared" si="14"/>
        <v>0.5</v>
      </c>
    </row>
    <row r="358" spans="1:12" x14ac:dyDescent="0.25">
      <c r="A358">
        <f t="shared" si="12"/>
        <v>5</v>
      </c>
      <c r="B358">
        <f t="shared" si="15"/>
        <v>2020</v>
      </c>
      <c r="C358" s="7">
        <v>43958</v>
      </c>
      <c r="D358" s="8"/>
      <c r="E358" s="7">
        <v>43958</v>
      </c>
      <c r="F358" s="9">
        <v>51.25</v>
      </c>
      <c r="G358" s="7">
        <v>43958</v>
      </c>
      <c r="H358" s="9">
        <v>50.75</v>
      </c>
      <c r="I358" s="7">
        <v>43958</v>
      </c>
      <c r="J358" s="9">
        <v>37</v>
      </c>
      <c r="K358" s="5">
        <f t="shared" si="13"/>
        <v>14.25</v>
      </c>
      <c r="L358" s="6">
        <f t="shared" si="14"/>
        <v>0.5</v>
      </c>
    </row>
    <row r="359" spans="1:12" x14ac:dyDescent="0.25">
      <c r="A359">
        <f t="shared" si="12"/>
        <v>5</v>
      </c>
      <c r="B359">
        <f t="shared" si="15"/>
        <v>2020</v>
      </c>
      <c r="C359" s="7">
        <v>43959</v>
      </c>
      <c r="D359" s="8"/>
      <c r="E359" s="7">
        <v>43959</v>
      </c>
      <c r="F359" s="9">
        <v>52</v>
      </c>
      <c r="G359" s="7">
        <v>43959</v>
      </c>
      <c r="H359" s="9">
        <v>51.5</v>
      </c>
      <c r="I359" s="7">
        <v>43959</v>
      </c>
      <c r="J359" s="9">
        <v>36.75</v>
      </c>
      <c r="K359" s="5">
        <f t="shared" si="13"/>
        <v>15.25</v>
      </c>
      <c r="L359" s="6">
        <f t="shared" si="14"/>
        <v>0.5</v>
      </c>
    </row>
    <row r="360" spans="1:12" x14ac:dyDescent="0.25">
      <c r="A360">
        <f t="shared" si="12"/>
        <v>5</v>
      </c>
      <c r="B360">
        <f t="shared" si="15"/>
        <v>2020</v>
      </c>
      <c r="C360" s="7">
        <v>43962</v>
      </c>
      <c r="D360" s="8"/>
      <c r="E360" s="7">
        <v>43962</v>
      </c>
      <c r="F360" s="9">
        <v>52.75</v>
      </c>
      <c r="G360" s="7">
        <v>43962</v>
      </c>
      <c r="H360" s="9">
        <v>52.25</v>
      </c>
      <c r="I360" s="7">
        <v>43962</v>
      </c>
      <c r="J360" s="9">
        <v>36.75</v>
      </c>
      <c r="K360" s="5">
        <f t="shared" si="13"/>
        <v>16</v>
      </c>
      <c r="L360" s="6">
        <f t="shared" si="14"/>
        <v>0.5</v>
      </c>
    </row>
    <row r="361" spans="1:12" x14ac:dyDescent="0.25">
      <c r="A361">
        <f t="shared" si="12"/>
        <v>5</v>
      </c>
      <c r="B361">
        <f t="shared" si="15"/>
        <v>2020</v>
      </c>
      <c r="C361" s="7">
        <v>43963</v>
      </c>
      <c r="D361" s="8"/>
      <c r="E361" s="7">
        <v>43963</v>
      </c>
      <c r="F361" s="9">
        <v>53.25</v>
      </c>
      <c r="G361" s="7">
        <v>43963</v>
      </c>
      <c r="H361" s="9">
        <v>52.75</v>
      </c>
      <c r="I361" s="7">
        <v>43963</v>
      </c>
      <c r="J361" s="9">
        <v>36.25</v>
      </c>
      <c r="K361" s="5">
        <f t="shared" si="13"/>
        <v>17</v>
      </c>
      <c r="L361" s="6">
        <f t="shared" si="14"/>
        <v>0.5</v>
      </c>
    </row>
    <row r="362" spans="1:12" x14ac:dyDescent="0.25">
      <c r="A362">
        <f t="shared" si="12"/>
        <v>5</v>
      </c>
      <c r="B362">
        <f t="shared" si="15"/>
        <v>2020</v>
      </c>
      <c r="C362" s="7">
        <v>43964</v>
      </c>
      <c r="D362" s="8"/>
      <c r="E362" s="7">
        <v>43964</v>
      </c>
      <c r="F362" s="9">
        <v>53.5</v>
      </c>
      <c r="G362" s="7">
        <v>43964</v>
      </c>
      <c r="H362" s="9">
        <v>53</v>
      </c>
      <c r="I362" s="7">
        <v>43964</v>
      </c>
      <c r="J362" s="9">
        <v>36.25</v>
      </c>
      <c r="K362" s="5">
        <f t="shared" si="13"/>
        <v>17.25</v>
      </c>
      <c r="L362" s="6">
        <f t="shared" si="14"/>
        <v>0.5</v>
      </c>
    </row>
    <row r="363" spans="1:12" x14ac:dyDescent="0.25">
      <c r="A363">
        <f t="shared" si="12"/>
        <v>5</v>
      </c>
      <c r="B363">
        <f t="shared" si="15"/>
        <v>2020</v>
      </c>
      <c r="C363" s="7">
        <v>43965</v>
      </c>
      <c r="D363" s="8"/>
      <c r="E363" s="7">
        <v>43965</v>
      </c>
      <c r="F363" s="9">
        <v>52.75</v>
      </c>
      <c r="G363" s="7">
        <v>43965</v>
      </c>
      <c r="H363" s="9">
        <v>52.25</v>
      </c>
      <c r="I363" s="7">
        <v>43965</v>
      </c>
      <c r="J363" s="9">
        <v>36.75</v>
      </c>
      <c r="K363" s="5">
        <f t="shared" si="13"/>
        <v>16</v>
      </c>
      <c r="L363" s="6">
        <f t="shared" si="14"/>
        <v>0.5</v>
      </c>
    </row>
    <row r="364" spans="1:12" x14ac:dyDescent="0.25">
      <c r="A364">
        <f t="shared" si="12"/>
        <v>5</v>
      </c>
      <c r="B364">
        <f t="shared" si="15"/>
        <v>2020</v>
      </c>
      <c r="C364" s="7">
        <v>43966</v>
      </c>
      <c r="D364" s="8"/>
      <c r="E364" s="7">
        <v>43966</v>
      </c>
      <c r="F364" s="9">
        <v>53.25</v>
      </c>
      <c r="G364" s="7">
        <v>43966</v>
      </c>
      <c r="H364" s="9">
        <v>52.75</v>
      </c>
      <c r="I364" s="7">
        <v>43966</v>
      </c>
      <c r="J364" s="9">
        <v>36.5</v>
      </c>
      <c r="K364" s="5">
        <f t="shared" si="13"/>
        <v>16.75</v>
      </c>
      <c r="L364" s="6">
        <f t="shared" si="14"/>
        <v>0.5</v>
      </c>
    </row>
    <row r="365" spans="1:12" x14ac:dyDescent="0.25">
      <c r="A365">
        <f t="shared" si="12"/>
        <v>5</v>
      </c>
      <c r="B365">
        <f t="shared" si="15"/>
        <v>2020</v>
      </c>
      <c r="C365" s="7">
        <v>43969</v>
      </c>
      <c r="D365" s="8"/>
      <c r="E365" s="7">
        <v>43969</v>
      </c>
      <c r="F365" s="9">
        <v>53.75</v>
      </c>
      <c r="G365" s="7">
        <v>43969</v>
      </c>
      <c r="H365" s="9">
        <v>53.25</v>
      </c>
      <c r="I365" s="7">
        <v>43969</v>
      </c>
      <c r="J365" s="9">
        <v>37</v>
      </c>
      <c r="K365" s="5">
        <f t="shared" si="13"/>
        <v>16.75</v>
      </c>
      <c r="L365" s="6">
        <f t="shared" si="14"/>
        <v>0.5</v>
      </c>
    </row>
    <row r="366" spans="1:12" x14ac:dyDescent="0.25">
      <c r="A366">
        <f t="shared" si="12"/>
        <v>5</v>
      </c>
      <c r="B366">
        <f t="shared" si="15"/>
        <v>2020</v>
      </c>
      <c r="C366" s="7">
        <v>43970</v>
      </c>
      <c r="D366" s="8"/>
      <c r="E366" s="7">
        <v>43970</v>
      </c>
      <c r="F366" s="9">
        <v>54.25</v>
      </c>
      <c r="G366" s="7">
        <v>43970</v>
      </c>
      <c r="H366" s="9">
        <v>53.75</v>
      </c>
      <c r="I366" s="7">
        <v>43970</v>
      </c>
      <c r="J366" s="9">
        <v>37.5</v>
      </c>
      <c r="K366" s="5">
        <f t="shared" si="13"/>
        <v>16.75</v>
      </c>
      <c r="L366" s="6">
        <f t="shared" si="14"/>
        <v>0.5</v>
      </c>
    </row>
    <row r="367" spans="1:12" x14ac:dyDescent="0.25">
      <c r="A367">
        <f t="shared" si="12"/>
        <v>5</v>
      </c>
      <c r="B367">
        <f t="shared" si="15"/>
        <v>2020</v>
      </c>
      <c r="C367" s="7">
        <v>43971</v>
      </c>
      <c r="D367" s="8"/>
      <c r="E367" s="7">
        <v>43971</v>
      </c>
      <c r="F367" s="9">
        <v>53.5</v>
      </c>
      <c r="G367" s="7">
        <v>43971</v>
      </c>
      <c r="H367" s="9">
        <v>53</v>
      </c>
      <c r="I367" s="7">
        <v>43971</v>
      </c>
      <c r="J367" s="9">
        <v>38.5</v>
      </c>
      <c r="K367" s="5">
        <f t="shared" si="13"/>
        <v>15</v>
      </c>
      <c r="L367" s="6">
        <f t="shared" si="14"/>
        <v>0.5</v>
      </c>
    </row>
    <row r="368" spans="1:12" x14ac:dyDescent="0.25">
      <c r="A368">
        <f t="shared" si="12"/>
        <v>5</v>
      </c>
      <c r="B368">
        <f t="shared" si="15"/>
        <v>2020</v>
      </c>
      <c r="C368" s="7">
        <v>43972</v>
      </c>
      <c r="D368" s="8"/>
      <c r="E368" s="7">
        <v>43972</v>
      </c>
      <c r="F368" s="9">
        <v>54.75</v>
      </c>
      <c r="G368" s="7">
        <v>43972</v>
      </c>
      <c r="H368" s="9">
        <v>54.25</v>
      </c>
      <c r="I368" s="7">
        <v>43972</v>
      </c>
      <c r="J368" s="9">
        <v>39.25</v>
      </c>
      <c r="K368" s="5">
        <f t="shared" si="13"/>
        <v>15.5</v>
      </c>
      <c r="L368" s="6">
        <f t="shared" si="14"/>
        <v>0.5</v>
      </c>
    </row>
    <row r="369" spans="1:12" x14ac:dyDescent="0.25">
      <c r="A369">
        <f t="shared" si="12"/>
        <v>5</v>
      </c>
      <c r="B369">
        <f t="shared" si="15"/>
        <v>2020</v>
      </c>
      <c r="C369" s="7">
        <v>43973</v>
      </c>
      <c r="D369" s="8"/>
      <c r="E369" s="7">
        <v>43973</v>
      </c>
      <c r="F369" s="9">
        <v>54.25</v>
      </c>
      <c r="G369" s="7">
        <v>43973</v>
      </c>
      <c r="H369" s="9">
        <v>53.75</v>
      </c>
      <c r="I369" s="7">
        <v>43973</v>
      </c>
      <c r="J369" s="9">
        <v>39.5</v>
      </c>
      <c r="K369" s="5">
        <f t="shared" si="13"/>
        <v>14.75</v>
      </c>
      <c r="L369" s="6">
        <f t="shared" si="14"/>
        <v>0.5</v>
      </c>
    </row>
    <row r="370" spans="1:12" x14ac:dyDescent="0.25">
      <c r="A370">
        <f t="shared" si="12"/>
        <v>5</v>
      </c>
      <c r="B370">
        <f t="shared" si="15"/>
        <v>2020</v>
      </c>
      <c r="C370" s="7">
        <v>43977</v>
      </c>
      <c r="D370" s="8"/>
      <c r="E370" s="7">
        <v>43977</v>
      </c>
      <c r="F370" s="9">
        <v>54.5</v>
      </c>
      <c r="G370" s="7">
        <v>43977</v>
      </c>
      <c r="H370" s="9">
        <v>54</v>
      </c>
      <c r="I370" s="7">
        <v>43977</v>
      </c>
      <c r="J370" s="9">
        <v>39.5</v>
      </c>
      <c r="K370" s="5">
        <f t="shared" si="13"/>
        <v>15</v>
      </c>
      <c r="L370" s="6">
        <f t="shared" si="14"/>
        <v>0.5</v>
      </c>
    </row>
    <row r="371" spans="1:12" x14ac:dyDescent="0.25">
      <c r="A371">
        <f t="shared" si="12"/>
        <v>5</v>
      </c>
      <c r="B371">
        <f t="shared" si="15"/>
        <v>2020</v>
      </c>
      <c r="C371" s="7">
        <v>43978</v>
      </c>
      <c r="D371" s="8"/>
      <c r="E371" s="7">
        <v>43978</v>
      </c>
      <c r="F371" s="9">
        <v>55.75</v>
      </c>
      <c r="G371" s="7">
        <v>43978</v>
      </c>
      <c r="H371" s="9">
        <v>55.25</v>
      </c>
      <c r="I371" s="7">
        <v>43978</v>
      </c>
      <c r="J371" s="9">
        <v>42.75</v>
      </c>
      <c r="K371" s="5">
        <f t="shared" si="13"/>
        <v>13</v>
      </c>
      <c r="L371" s="6">
        <f t="shared" si="14"/>
        <v>0.5</v>
      </c>
    </row>
    <row r="372" spans="1:12" x14ac:dyDescent="0.25">
      <c r="A372">
        <f t="shared" si="12"/>
        <v>5</v>
      </c>
      <c r="B372">
        <f t="shared" si="15"/>
        <v>2020</v>
      </c>
      <c r="C372" s="7">
        <v>43979</v>
      </c>
      <c r="D372" s="8"/>
      <c r="E372" s="7">
        <v>43979</v>
      </c>
      <c r="F372" s="9">
        <v>57.25</v>
      </c>
      <c r="G372" s="7">
        <v>43979</v>
      </c>
      <c r="H372" s="9">
        <v>56.75</v>
      </c>
      <c r="I372" s="7">
        <v>43979</v>
      </c>
      <c r="J372" s="9">
        <v>44.75</v>
      </c>
      <c r="K372" s="5">
        <f t="shared" si="13"/>
        <v>12.5</v>
      </c>
      <c r="L372" s="6">
        <f t="shared" si="14"/>
        <v>0.5</v>
      </c>
    </row>
    <row r="373" spans="1:12" x14ac:dyDescent="0.25">
      <c r="A373">
        <f t="shared" si="12"/>
        <v>5</v>
      </c>
      <c r="B373">
        <f t="shared" si="15"/>
        <v>2020</v>
      </c>
      <c r="C373" s="7">
        <v>43980</v>
      </c>
      <c r="D373" s="8"/>
      <c r="E373" s="7">
        <v>43980</v>
      </c>
      <c r="F373" s="9">
        <v>57.5</v>
      </c>
      <c r="G373" s="7">
        <v>43980</v>
      </c>
      <c r="H373" s="9">
        <v>57</v>
      </c>
      <c r="I373" s="7">
        <v>43980</v>
      </c>
      <c r="J373" s="9">
        <v>46.25</v>
      </c>
      <c r="K373" s="5">
        <f t="shared" si="13"/>
        <v>11.25</v>
      </c>
      <c r="L373" s="6">
        <f t="shared" si="14"/>
        <v>0.5</v>
      </c>
    </row>
    <row r="374" spans="1:12" x14ac:dyDescent="0.25">
      <c r="A374">
        <f t="shared" si="12"/>
        <v>6</v>
      </c>
      <c r="B374">
        <f t="shared" si="15"/>
        <v>2020</v>
      </c>
      <c r="C374" s="7">
        <v>43983</v>
      </c>
      <c r="D374" s="8"/>
      <c r="E374" s="7">
        <v>43983</v>
      </c>
      <c r="F374" s="9">
        <v>61</v>
      </c>
      <c r="G374" s="7">
        <v>43983</v>
      </c>
      <c r="H374" s="9">
        <v>60.5</v>
      </c>
      <c r="I374" s="7">
        <v>43983</v>
      </c>
      <c r="J374" s="9">
        <v>50.5</v>
      </c>
      <c r="K374" s="5">
        <f t="shared" si="13"/>
        <v>10.5</v>
      </c>
      <c r="L374" s="6">
        <f t="shared" si="14"/>
        <v>0.5</v>
      </c>
    </row>
    <row r="375" spans="1:12" x14ac:dyDescent="0.25">
      <c r="A375">
        <f t="shared" si="12"/>
        <v>6</v>
      </c>
      <c r="B375">
        <f t="shared" si="15"/>
        <v>2020</v>
      </c>
      <c r="C375" s="7">
        <v>43984</v>
      </c>
      <c r="D375" s="8"/>
      <c r="E375" s="7">
        <v>43984</v>
      </c>
      <c r="F375" s="9">
        <v>61</v>
      </c>
      <c r="G375" s="7">
        <v>43984</v>
      </c>
      <c r="H375" s="9">
        <v>60.5</v>
      </c>
      <c r="I375" s="7">
        <v>43984</v>
      </c>
      <c r="J375" s="9">
        <v>51.25</v>
      </c>
      <c r="K375" s="5">
        <f t="shared" si="13"/>
        <v>9.75</v>
      </c>
      <c r="L375" s="6">
        <f t="shared" si="14"/>
        <v>0.5</v>
      </c>
    </row>
    <row r="376" spans="1:12" x14ac:dyDescent="0.25">
      <c r="A376">
        <f t="shared" si="12"/>
        <v>6</v>
      </c>
      <c r="B376">
        <f t="shared" si="15"/>
        <v>2020</v>
      </c>
      <c r="C376" s="7">
        <v>43985</v>
      </c>
      <c r="D376" s="8"/>
      <c r="E376" s="7">
        <v>43985</v>
      </c>
      <c r="F376" s="9">
        <v>58.75</v>
      </c>
      <c r="G376" s="7">
        <v>43985</v>
      </c>
      <c r="H376" s="9">
        <v>58.25</v>
      </c>
      <c r="I376" s="7">
        <v>43985</v>
      </c>
      <c r="J376" s="9">
        <v>49.5</v>
      </c>
      <c r="K376" s="5">
        <f t="shared" si="13"/>
        <v>9.25</v>
      </c>
      <c r="L376" s="6">
        <f t="shared" si="14"/>
        <v>0.5</v>
      </c>
    </row>
    <row r="377" spans="1:12" x14ac:dyDescent="0.25">
      <c r="A377">
        <f t="shared" si="12"/>
        <v>6</v>
      </c>
      <c r="B377">
        <f t="shared" si="15"/>
        <v>2020</v>
      </c>
      <c r="C377" s="7">
        <v>43986</v>
      </c>
      <c r="D377" s="8"/>
      <c r="E377" s="7">
        <v>43986</v>
      </c>
      <c r="F377" s="9">
        <v>56.75</v>
      </c>
      <c r="G377" s="7">
        <v>43986</v>
      </c>
      <c r="H377" s="9">
        <v>56.25</v>
      </c>
      <c r="I377" s="7">
        <v>43986</v>
      </c>
      <c r="J377" s="9">
        <v>47</v>
      </c>
      <c r="K377" s="5">
        <f t="shared" si="13"/>
        <v>9.75</v>
      </c>
      <c r="L377" s="6">
        <f t="shared" si="14"/>
        <v>0.5</v>
      </c>
    </row>
    <row r="378" spans="1:12" x14ac:dyDescent="0.25">
      <c r="A378">
        <f t="shared" si="12"/>
        <v>6</v>
      </c>
      <c r="B378">
        <f t="shared" si="15"/>
        <v>2020</v>
      </c>
      <c r="C378" s="7">
        <v>43987</v>
      </c>
      <c r="D378" s="8"/>
      <c r="E378" s="7">
        <v>43987</v>
      </c>
      <c r="F378" s="9">
        <v>54.25</v>
      </c>
      <c r="G378" s="7">
        <v>43987</v>
      </c>
      <c r="H378" s="9">
        <v>53.75</v>
      </c>
      <c r="I378" s="7">
        <v>43987</v>
      </c>
      <c r="J378" s="9">
        <v>44.75</v>
      </c>
      <c r="K378" s="5">
        <f t="shared" si="13"/>
        <v>9.5</v>
      </c>
      <c r="L378" s="6">
        <f t="shared" si="14"/>
        <v>0.5</v>
      </c>
    </row>
    <row r="379" spans="1:12" x14ac:dyDescent="0.25">
      <c r="A379">
        <f t="shared" si="12"/>
        <v>6</v>
      </c>
      <c r="B379">
        <f t="shared" si="15"/>
        <v>2020</v>
      </c>
      <c r="C379" s="7">
        <v>43990</v>
      </c>
      <c r="D379" s="8"/>
      <c r="E379" s="7">
        <v>43990</v>
      </c>
      <c r="F379" s="9">
        <v>54.5</v>
      </c>
      <c r="G379" s="7">
        <v>43990</v>
      </c>
      <c r="H379" s="9">
        <v>54</v>
      </c>
      <c r="I379" s="7">
        <v>43990</v>
      </c>
      <c r="J379" s="9">
        <v>45.75</v>
      </c>
      <c r="K379" s="5">
        <f t="shared" si="13"/>
        <v>8.75</v>
      </c>
      <c r="L379" s="6">
        <f t="shared" si="14"/>
        <v>0.5</v>
      </c>
    </row>
    <row r="380" spans="1:12" x14ac:dyDescent="0.25">
      <c r="A380">
        <f t="shared" si="12"/>
        <v>6</v>
      </c>
      <c r="B380">
        <f t="shared" si="15"/>
        <v>2020</v>
      </c>
      <c r="C380" s="7">
        <v>43991</v>
      </c>
      <c r="D380" s="8"/>
      <c r="E380" s="7">
        <v>43991</v>
      </c>
      <c r="F380" s="9">
        <v>55</v>
      </c>
      <c r="G380" s="7">
        <v>43991</v>
      </c>
      <c r="H380" s="9">
        <v>56.25</v>
      </c>
      <c r="I380" s="7">
        <v>43991</v>
      </c>
      <c r="J380" s="9">
        <v>46.75</v>
      </c>
      <c r="K380" s="5">
        <f t="shared" si="13"/>
        <v>8.25</v>
      </c>
      <c r="L380" s="6">
        <f t="shared" si="14"/>
        <v>-1.25</v>
      </c>
    </row>
    <row r="381" spans="1:12" x14ac:dyDescent="0.25">
      <c r="A381">
        <f t="shared" si="12"/>
        <v>6</v>
      </c>
      <c r="B381">
        <f t="shared" si="15"/>
        <v>2020</v>
      </c>
      <c r="C381" s="7">
        <v>43992</v>
      </c>
      <c r="D381" s="8"/>
      <c r="E381" s="7">
        <v>43992</v>
      </c>
      <c r="F381" s="9">
        <v>56</v>
      </c>
      <c r="G381" s="7">
        <v>43992</v>
      </c>
      <c r="H381" s="9">
        <v>55.5</v>
      </c>
      <c r="I381" s="7">
        <v>43992</v>
      </c>
      <c r="J381" s="9">
        <v>46.75</v>
      </c>
      <c r="K381" s="5">
        <f t="shared" si="13"/>
        <v>9.25</v>
      </c>
      <c r="L381" s="6">
        <f t="shared" si="14"/>
        <v>0.5</v>
      </c>
    </row>
    <row r="382" spans="1:12" x14ac:dyDescent="0.25">
      <c r="A382">
        <f t="shared" si="12"/>
        <v>6</v>
      </c>
      <c r="B382">
        <f t="shared" si="15"/>
        <v>2020</v>
      </c>
      <c r="C382" s="7">
        <v>43993</v>
      </c>
      <c r="D382" s="8"/>
      <c r="E382" s="7">
        <v>43993</v>
      </c>
      <c r="F382" s="9">
        <v>57.5</v>
      </c>
      <c r="G382" s="7">
        <v>43993</v>
      </c>
      <c r="H382" s="9">
        <v>57</v>
      </c>
      <c r="I382" s="7">
        <v>43993</v>
      </c>
      <c r="J382" s="9">
        <v>47.25</v>
      </c>
      <c r="K382" s="5">
        <f t="shared" si="13"/>
        <v>10.25</v>
      </c>
      <c r="L382" s="6">
        <f t="shared" si="14"/>
        <v>0.5</v>
      </c>
    </row>
    <row r="383" spans="1:12" x14ac:dyDescent="0.25">
      <c r="A383">
        <f t="shared" si="12"/>
        <v>6</v>
      </c>
      <c r="B383">
        <f t="shared" si="15"/>
        <v>2020</v>
      </c>
      <c r="C383" s="7">
        <v>43994</v>
      </c>
      <c r="D383" s="8"/>
      <c r="E383" s="7">
        <v>43994</v>
      </c>
      <c r="F383" s="9">
        <v>57.25</v>
      </c>
      <c r="G383" s="7">
        <v>43994</v>
      </c>
      <c r="H383" s="9">
        <v>56.75</v>
      </c>
      <c r="I383" s="7">
        <v>43994</v>
      </c>
      <c r="J383" s="9">
        <v>48</v>
      </c>
      <c r="K383" s="5">
        <f t="shared" si="13"/>
        <v>9.25</v>
      </c>
      <c r="L383" s="6">
        <f t="shared" si="14"/>
        <v>0.5</v>
      </c>
    </row>
    <row r="384" spans="1:12" x14ac:dyDescent="0.25">
      <c r="A384">
        <f t="shared" si="12"/>
        <v>6</v>
      </c>
      <c r="B384">
        <f t="shared" si="15"/>
        <v>2020</v>
      </c>
      <c r="C384" s="7">
        <v>43997</v>
      </c>
      <c r="D384" s="8"/>
      <c r="E384" s="7">
        <v>43997</v>
      </c>
      <c r="F384" s="9">
        <v>58</v>
      </c>
      <c r="G384" s="7">
        <v>43997</v>
      </c>
      <c r="H384" s="9">
        <v>57.5</v>
      </c>
      <c r="I384" s="7">
        <v>43997</v>
      </c>
      <c r="J384" s="9">
        <v>48</v>
      </c>
      <c r="K384" s="5">
        <f t="shared" si="13"/>
        <v>10</v>
      </c>
      <c r="L384" s="6">
        <f t="shared" si="14"/>
        <v>0.5</v>
      </c>
    </row>
    <row r="385" spans="1:12" x14ac:dyDescent="0.25">
      <c r="A385">
        <f t="shared" si="12"/>
        <v>6</v>
      </c>
      <c r="B385">
        <f t="shared" si="15"/>
        <v>2020</v>
      </c>
      <c r="C385" s="7">
        <v>43998</v>
      </c>
      <c r="D385" s="8"/>
      <c r="E385" s="7">
        <v>43998</v>
      </c>
      <c r="F385" s="9">
        <v>58.75</v>
      </c>
      <c r="G385" s="7">
        <v>43998</v>
      </c>
      <c r="H385" s="9">
        <v>58.25</v>
      </c>
      <c r="I385" s="7">
        <v>43998</v>
      </c>
      <c r="J385" s="9">
        <v>49.5</v>
      </c>
      <c r="K385" s="5">
        <f t="shared" si="13"/>
        <v>9.25</v>
      </c>
      <c r="L385" s="6">
        <f t="shared" si="14"/>
        <v>0.5</v>
      </c>
    </row>
    <row r="386" spans="1:12" x14ac:dyDescent="0.25">
      <c r="A386">
        <f t="shared" si="12"/>
        <v>6</v>
      </c>
      <c r="B386">
        <f t="shared" si="15"/>
        <v>2020</v>
      </c>
      <c r="C386" s="7">
        <v>43999</v>
      </c>
      <c r="D386" s="8"/>
      <c r="E386" s="7">
        <v>43999</v>
      </c>
      <c r="F386" s="9">
        <v>56.5</v>
      </c>
      <c r="G386" s="7">
        <v>43999</v>
      </c>
      <c r="H386" s="9">
        <v>56</v>
      </c>
      <c r="I386" s="7">
        <v>43999</v>
      </c>
      <c r="J386" s="9">
        <v>48.75</v>
      </c>
      <c r="K386" s="5">
        <f t="shared" si="13"/>
        <v>7.75</v>
      </c>
      <c r="L386" s="6">
        <f t="shared" si="14"/>
        <v>0.5</v>
      </c>
    </row>
    <row r="387" spans="1:12" x14ac:dyDescent="0.25">
      <c r="A387">
        <f t="shared" si="12"/>
        <v>6</v>
      </c>
      <c r="B387">
        <f t="shared" si="15"/>
        <v>2020</v>
      </c>
      <c r="C387" s="7">
        <v>44000</v>
      </c>
      <c r="D387" s="8"/>
      <c r="E387" s="7">
        <v>44000</v>
      </c>
      <c r="F387" s="9">
        <v>54.75</v>
      </c>
      <c r="G387" s="7">
        <v>44000</v>
      </c>
      <c r="H387" s="9">
        <v>54.25</v>
      </c>
      <c r="I387" s="7">
        <v>44000</v>
      </c>
      <c r="J387" s="9">
        <v>44.25</v>
      </c>
      <c r="K387" s="5">
        <f t="shared" si="13"/>
        <v>10.5</v>
      </c>
      <c r="L387" s="6">
        <f t="shared" si="14"/>
        <v>0.5</v>
      </c>
    </row>
    <row r="388" spans="1:12" x14ac:dyDescent="0.25">
      <c r="A388">
        <f t="shared" si="12"/>
        <v>6</v>
      </c>
      <c r="B388">
        <f t="shared" si="15"/>
        <v>2020</v>
      </c>
      <c r="C388" s="7">
        <v>44001</v>
      </c>
      <c r="D388" s="8"/>
      <c r="E388" s="7">
        <v>44001</v>
      </c>
      <c r="F388" s="9">
        <v>56</v>
      </c>
      <c r="G388" s="7">
        <v>44001</v>
      </c>
      <c r="H388" s="9">
        <v>55.5</v>
      </c>
      <c r="I388" s="7">
        <v>44001</v>
      </c>
      <c r="J388" s="9">
        <v>46</v>
      </c>
      <c r="K388" s="5">
        <f t="shared" si="13"/>
        <v>10</v>
      </c>
      <c r="L388" s="6">
        <f t="shared" si="14"/>
        <v>0.5</v>
      </c>
    </row>
    <row r="389" spans="1:12" x14ac:dyDescent="0.25">
      <c r="A389">
        <f t="shared" si="12"/>
        <v>6</v>
      </c>
      <c r="B389">
        <f t="shared" si="15"/>
        <v>2020</v>
      </c>
      <c r="C389" s="7">
        <v>44004</v>
      </c>
      <c r="D389" s="8"/>
      <c r="E389" s="7">
        <v>44004</v>
      </c>
      <c r="F389" s="9">
        <v>55.5</v>
      </c>
      <c r="G389" s="7">
        <v>44004</v>
      </c>
      <c r="H389" s="9">
        <v>55</v>
      </c>
      <c r="I389" s="7">
        <v>44004</v>
      </c>
      <c r="J389" s="9">
        <v>45</v>
      </c>
      <c r="K389" s="5">
        <f t="shared" si="13"/>
        <v>10.5</v>
      </c>
      <c r="L389" s="6">
        <f t="shared" si="14"/>
        <v>0.5</v>
      </c>
    </row>
    <row r="390" spans="1:12" x14ac:dyDescent="0.25">
      <c r="A390">
        <f t="shared" si="12"/>
        <v>6</v>
      </c>
      <c r="B390">
        <f t="shared" si="15"/>
        <v>2020</v>
      </c>
      <c r="C390" s="7">
        <v>44005</v>
      </c>
      <c r="D390" s="8"/>
      <c r="E390" s="7">
        <v>44005</v>
      </c>
      <c r="F390" s="9">
        <v>53.25</v>
      </c>
      <c r="G390" s="7">
        <v>44005</v>
      </c>
      <c r="H390" s="9">
        <v>52.75</v>
      </c>
      <c r="I390" s="7">
        <v>44005</v>
      </c>
      <c r="J390" s="9">
        <v>42.75</v>
      </c>
      <c r="K390" s="5">
        <f t="shared" si="13"/>
        <v>10.5</v>
      </c>
      <c r="L390" s="6">
        <f t="shared" si="14"/>
        <v>0.5</v>
      </c>
    </row>
    <row r="391" spans="1:12" x14ac:dyDescent="0.25">
      <c r="A391">
        <f t="shared" si="12"/>
        <v>6</v>
      </c>
      <c r="B391">
        <f t="shared" si="15"/>
        <v>2020</v>
      </c>
      <c r="C391" s="7">
        <v>44006</v>
      </c>
      <c r="D391" s="8"/>
      <c r="E391" s="7">
        <v>44006</v>
      </c>
      <c r="F391" s="9">
        <v>54.5</v>
      </c>
      <c r="G391" s="7">
        <v>44006</v>
      </c>
      <c r="H391" s="9">
        <v>54</v>
      </c>
      <c r="I391" s="7">
        <v>44006</v>
      </c>
      <c r="J391" s="9">
        <v>43.5</v>
      </c>
      <c r="K391" s="5">
        <f t="shared" si="13"/>
        <v>11</v>
      </c>
      <c r="L391" s="6">
        <f t="shared" si="14"/>
        <v>0.5</v>
      </c>
    </row>
    <row r="392" spans="1:12" x14ac:dyDescent="0.25">
      <c r="A392">
        <f t="shared" si="12"/>
        <v>6</v>
      </c>
      <c r="B392">
        <f t="shared" si="15"/>
        <v>2020</v>
      </c>
      <c r="C392" s="7">
        <v>44007</v>
      </c>
      <c r="D392" s="8"/>
      <c r="E392" s="7">
        <v>44007</v>
      </c>
      <c r="F392" s="9">
        <v>54.75</v>
      </c>
      <c r="G392" s="7">
        <v>44007</v>
      </c>
      <c r="H392" s="9">
        <v>54.25</v>
      </c>
      <c r="I392" s="7">
        <v>44007</v>
      </c>
      <c r="J392" s="9">
        <v>43.5</v>
      </c>
      <c r="K392" s="5">
        <f t="shared" si="13"/>
        <v>11.25</v>
      </c>
      <c r="L392" s="6">
        <f t="shared" si="14"/>
        <v>0.5</v>
      </c>
    </row>
    <row r="393" spans="1:12" x14ac:dyDescent="0.25">
      <c r="A393">
        <f t="shared" si="12"/>
        <v>6</v>
      </c>
      <c r="B393">
        <f t="shared" si="15"/>
        <v>2020</v>
      </c>
      <c r="C393" s="7">
        <v>44008</v>
      </c>
      <c r="D393" s="8"/>
      <c r="E393" s="7">
        <v>44008</v>
      </c>
      <c r="F393" s="9">
        <v>55.75</v>
      </c>
      <c r="G393" s="7">
        <v>44008</v>
      </c>
      <c r="H393" s="9">
        <v>55.25</v>
      </c>
      <c r="I393" s="7">
        <v>44008</v>
      </c>
      <c r="J393" s="9">
        <v>43.75</v>
      </c>
      <c r="K393" s="5">
        <f t="shared" si="13"/>
        <v>12</v>
      </c>
      <c r="L393" s="6">
        <f t="shared" si="14"/>
        <v>0.5</v>
      </c>
    </row>
    <row r="394" spans="1:12" x14ac:dyDescent="0.25">
      <c r="A394">
        <f t="shared" si="12"/>
        <v>6</v>
      </c>
      <c r="B394">
        <f t="shared" si="15"/>
        <v>2020</v>
      </c>
      <c r="C394" s="7">
        <v>44011</v>
      </c>
      <c r="D394" s="8"/>
      <c r="E394" s="7">
        <v>44011</v>
      </c>
      <c r="F394" s="9">
        <v>56.5</v>
      </c>
      <c r="G394" s="7">
        <v>44011</v>
      </c>
      <c r="H394" s="9">
        <v>56</v>
      </c>
      <c r="I394" s="7">
        <v>44011</v>
      </c>
      <c r="J394" s="9">
        <v>44</v>
      </c>
      <c r="K394" s="5">
        <f t="shared" si="13"/>
        <v>12.5</v>
      </c>
      <c r="L394" s="6">
        <f t="shared" si="14"/>
        <v>0.5</v>
      </c>
    </row>
    <row r="395" spans="1:12" x14ac:dyDescent="0.25">
      <c r="A395">
        <f t="shared" si="12"/>
        <v>6</v>
      </c>
      <c r="B395">
        <f t="shared" si="15"/>
        <v>2020</v>
      </c>
      <c r="C395" s="7">
        <v>44012</v>
      </c>
      <c r="D395" s="8"/>
      <c r="E395" s="7">
        <v>44012</v>
      </c>
      <c r="F395" s="9">
        <v>57</v>
      </c>
      <c r="G395" s="7">
        <v>44012</v>
      </c>
      <c r="H395" s="9">
        <v>56.5</v>
      </c>
      <c r="I395" s="7">
        <v>44012</v>
      </c>
      <c r="J395" s="9">
        <v>46</v>
      </c>
      <c r="K395" s="5">
        <f t="shared" si="13"/>
        <v>11</v>
      </c>
      <c r="L395" s="6">
        <f t="shared" si="14"/>
        <v>0.5</v>
      </c>
    </row>
    <row r="396" spans="1:12" x14ac:dyDescent="0.25">
      <c r="A396">
        <f t="shared" si="12"/>
        <v>7</v>
      </c>
      <c r="B396">
        <f t="shared" si="15"/>
        <v>2020</v>
      </c>
      <c r="C396" s="7">
        <v>44013</v>
      </c>
      <c r="D396" s="8"/>
      <c r="E396" s="7">
        <v>44013</v>
      </c>
      <c r="F396" s="9">
        <v>58</v>
      </c>
      <c r="G396" s="7">
        <v>44013</v>
      </c>
      <c r="H396" s="9">
        <v>57.5</v>
      </c>
      <c r="I396" s="7">
        <v>44013</v>
      </c>
      <c r="J396" s="9">
        <v>46.75</v>
      </c>
      <c r="K396" s="5">
        <f t="shared" si="13"/>
        <v>11.25</v>
      </c>
      <c r="L396" s="6">
        <f t="shared" si="14"/>
        <v>0.5</v>
      </c>
    </row>
    <row r="397" spans="1:12" x14ac:dyDescent="0.25">
      <c r="A397">
        <f t="shared" si="12"/>
        <v>7</v>
      </c>
      <c r="B397">
        <f t="shared" si="15"/>
        <v>2020</v>
      </c>
      <c r="C397" s="7">
        <v>44014</v>
      </c>
      <c r="D397" s="8"/>
      <c r="E397" s="7">
        <v>44014</v>
      </c>
      <c r="F397" s="9">
        <v>56</v>
      </c>
      <c r="G397" s="7">
        <v>44014</v>
      </c>
      <c r="H397" s="9">
        <v>55.5</v>
      </c>
      <c r="I397" s="7">
        <v>44014</v>
      </c>
      <c r="J397" s="9">
        <v>45</v>
      </c>
      <c r="K397" s="5">
        <f t="shared" si="13"/>
        <v>11</v>
      </c>
      <c r="L397" s="6">
        <f t="shared" si="14"/>
        <v>0.5</v>
      </c>
    </row>
    <row r="398" spans="1:12" x14ac:dyDescent="0.25">
      <c r="A398">
        <f t="shared" ref="A398:A461" si="16">MONTH(E398)</f>
        <v>7</v>
      </c>
      <c r="B398">
        <f t="shared" si="15"/>
        <v>2020</v>
      </c>
      <c r="C398" s="7">
        <v>44018</v>
      </c>
      <c r="D398" s="8"/>
      <c r="E398" s="7">
        <v>44018</v>
      </c>
      <c r="F398" s="9">
        <v>57.75</v>
      </c>
      <c r="G398" s="7">
        <v>44018</v>
      </c>
      <c r="H398" s="9">
        <v>57.25</v>
      </c>
      <c r="I398" s="7">
        <v>44018</v>
      </c>
      <c r="J398" s="9">
        <v>45.5</v>
      </c>
      <c r="K398" s="5">
        <f t="shared" ref="K398:K461" si="17">F398-J398</f>
        <v>12.25</v>
      </c>
      <c r="L398" s="6">
        <f t="shared" ref="L398:L461" si="18">F398-H398</f>
        <v>0.5</v>
      </c>
    </row>
    <row r="399" spans="1:12" x14ac:dyDescent="0.25">
      <c r="A399">
        <f t="shared" si="16"/>
        <v>7</v>
      </c>
      <c r="B399">
        <f t="shared" ref="B399:B462" si="19">YEAR(E399)</f>
        <v>2020</v>
      </c>
      <c r="C399" s="7">
        <v>44019</v>
      </c>
      <c r="D399" s="8"/>
      <c r="E399" s="7">
        <v>44019</v>
      </c>
      <c r="F399" s="9">
        <v>59.25</v>
      </c>
      <c r="G399" s="7">
        <v>44019</v>
      </c>
      <c r="H399" s="9">
        <v>58.75</v>
      </c>
      <c r="I399" s="7">
        <v>44019</v>
      </c>
      <c r="J399" s="9">
        <v>47.5</v>
      </c>
      <c r="K399" s="5">
        <f t="shared" si="17"/>
        <v>11.75</v>
      </c>
      <c r="L399" s="6">
        <f t="shared" si="18"/>
        <v>0.5</v>
      </c>
    </row>
    <row r="400" spans="1:12" x14ac:dyDescent="0.25">
      <c r="A400">
        <f t="shared" si="16"/>
        <v>7</v>
      </c>
      <c r="B400">
        <f t="shared" si="19"/>
        <v>2020</v>
      </c>
      <c r="C400" s="7">
        <v>44020</v>
      </c>
      <c r="D400" s="8"/>
      <c r="E400" s="7">
        <v>44020</v>
      </c>
      <c r="F400" s="9">
        <v>59.25</v>
      </c>
      <c r="G400" s="7">
        <v>44020</v>
      </c>
      <c r="H400" s="9">
        <v>58.75</v>
      </c>
      <c r="I400" s="7">
        <v>44020</v>
      </c>
      <c r="J400" s="9">
        <v>47.5</v>
      </c>
      <c r="K400" s="5">
        <f t="shared" si="17"/>
        <v>11.75</v>
      </c>
      <c r="L400" s="6">
        <f t="shared" si="18"/>
        <v>0.5</v>
      </c>
    </row>
    <row r="401" spans="1:12" x14ac:dyDescent="0.25">
      <c r="A401">
        <f t="shared" si="16"/>
        <v>7</v>
      </c>
      <c r="B401">
        <f t="shared" si="19"/>
        <v>2020</v>
      </c>
      <c r="C401" s="7">
        <v>44021</v>
      </c>
      <c r="D401" s="8"/>
      <c r="E401" s="7">
        <v>44021</v>
      </c>
      <c r="F401" s="9">
        <v>59.5</v>
      </c>
      <c r="G401" s="7">
        <v>44021</v>
      </c>
      <c r="H401" s="9">
        <v>59</v>
      </c>
      <c r="I401" s="7">
        <v>44021</v>
      </c>
      <c r="J401" s="9">
        <v>47.5</v>
      </c>
      <c r="K401" s="5">
        <f t="shared" si="17"/>
        <v>12</v>
      </c>
      <c r="L401" s="6">
        <f t="shared" si="18"/>
        <v>0.5</v>
      </c>
    </row>
    <row r="402" spans="1:12" x14ac:dyDescent="0.25">
      <c r="A402">
        <f t="shared" si="16"/>
        <v>7</v>
      </c>
      <c r="B402">
        <f t="shared" si="19"/>
        <v>2020</v>
      </c>
      <c r="C402" s="7">
        <v>44022</v>
      </c>
      <c r="D402" s="8"/>
      <c r="E402" s="7">
        <v>44022</v>
      </c>
      <c r="F402" s="9">
        <v>58.75</v>
      </c>
      <c r="G402" s="7">
        <v>44022</v>
      </c>
      <c r="H402" s="9">
        <v>58</v>
      </c>
      <c r="I402" s="7">
        <v>44022</v>
      </c>
      <c r="J402" s="9">
        <v>46.75</v>
      </c>
      <c r="K402" s="5">
        <f t="shared" si="17"/>
        <v>12</v>
      </c>
      <c r="L402" s="6">
        <f t="shared" si="18"/>
        <v>0.75</v>
      </c>
    </row>
    <row r="403" spans="1:12" x14ac:dyDescent="0.25">
      <c r="A403">
        <f t="shared" si="16"/>
        <v>7</v>
      </c>
      <c r="B403">
        <f t="shared" si="19"/>
        <v>2020</v>
      </c>
      <c r="C403" s="7">
        <v>44025</v>
      </c>
      <c r="D403" s="8"/>
      <c r="E403" s="7">
        <v>44025</v>
      </c>
      <c r="F403" s="9">
        <v>57.75</v>
      </c>
      <c r="G403" s="7">
        <v>44025</v>
      </c>
      <c r="H403" s="9">
        <v>57.25</v>
      </c>
      <c r="I403" s="7">
        <v>44025</v>
      </c>
      <c r="J403" s="9">
        <v>46.25</v>
      </c>
      <c r="K403" s="5">
        <f t="shared" si="17"/>
        <v>11.5</v>
      </c>
      <c r="L403" s="6">
        <f t="shared" si="18"/>
        <v>0.5</v>
      </c>
    </row>
    <row r="404" spans="1:12" x14ac:dyDescent="0.25">
      <c r="A404">
        <f t="shared" si="16"/>
        <v>7</v>
      </c>
      <c r="B404">
        <f t="shared" si="19"/>
        <v>2020</v>
      </c>
      <c r="C404" s="7">
        <v>44026</v>
      </c>
      <c r="D404" s="8"/>
      <c r="E404" s="7">
        <v>44026</v>
      </c>
      <c r="F404" s="9">
        <v>58.5</v>
      </c>
      <c r="G404" s="7">
        <v>44026</v>
      </c>
      <c r="H404" s="9">
        <v>58</v>
      </c>
      <c r="I404" s="7">
        <v>44026</v>
      </c>
      <c r="J404" s="9">
        <v>46.75</v>
      </c>
      <c r="K404" s="5">
        <f t="shared" si="17"/>
        <v>11.75</v>
      </c>
      <c r="L404" s="6">
        <f t="shared" si="18"/>
        <v>0.5</v>
      </c>
    </row>
    <row r="405" spans="1:12" x14ac:dyDescent="0.25">
      <c r="A405">
        <f t="shared" si="16"/>
        <v>7</v>
      </c>
      <c r="B405">
        <f t="shared" si="19"/>
        <v>2020</v>
      </c>
      <c r="C405" s="7">
        <v>44027</v>
      </c>
      <c r="D405" s="8"/>
      <c r="E405" s="7">
        <v>44027</v>
      </c>
      <c r="F405" s="9">
        <v>59.25</v>
      </c>
      <c r="G405" s="7">
        <v>44027</v>
      </c>
      <c r="H405" s="9">
        <v>58.75</v>
      </c>
      <c r="I405" s="7">
        <v>44027</v>
      </c>
      <c r="J405" s="9">
        <v>47</v>
      </c>
      <c r="K405" s="5">
        <f t="shared" si="17"/>
        <v>12.25</v>
      </c>
      <c r="L405" s="6">
        <f t="shared" si="18"/>
        <v>0.5</v>
      </c>
    </row>
    <row r="406" spans="1:12" x14ac:dyDescent="0.25">
      <c r="A406">
        <f t="shared" si="16"/>
        <v>7</v>
      </c>
      <c r="B406">
        <f t="shared" si="19"/>
        <v>2020</v>
      </c>
      <c r="C406" s="7">
        <v>44028</v>
      </c>
      <c r="D406" s="8"/>
      <c r="E406" s="7">
        <v>44028</v>
      </c>
      <c r="F406" s="9">
        <v>59.5</v>
      </c>
      <c r="G406" s="7">
        <v>44028</v>
      </c>
      <c r="H406" s="9">
        <v>59</v>
      </c>
      <c r="I406" s="7">
        <v>44028</v>
      </c>
      <c r="J406" s="9">
        <v>47.25</v>
      </c>
      <c r="K406" s="5">
        <f t="shared" si="17"/>
        <v>12.25</v>
      </c>
      <c r="L406" s="6">
        <f t="shared" si="18"/>
        <v>0.5</v>
      </c>
    </row>
    <row r="407" spans="1:12" x14ac:dyDescent="0.25">
      <c r="A407">
        <f t="shared" si="16"/>
        <v>7</v>
      </c>
      <c r="B407">
        <f t="shared" si="19"/>
        <v>2020</v>
      </c>
      <c r="C407" s="7">
        <v>44029</v>
      </c>
      <c r="D407" s="8"/>
      <c r="E407" s="7">
        <v>44029</v>
      </c>
      <c r="F407" s="9">
        <v>59.5</v>
      </c>
      <c r="G407" s="7">
        <v>44029</v>
      </c>
      <c r="H407" s="9">
        <v>59</v>
      </c>
      <c r="I407" s="7">
        <v>44029</v>
      </c>
      <c r="J407" s="9">
        <v>47</v>
      </c>
      <c r="K407" s="5">
        <f t="shared" si="17"/>
        <v>12.5</v>
      </c>
      <c r="L407" s="6">
        <f t="shared" si="18"/>
        <v>0.5</v>
      </c>
    </row>
    <row r="408" spans="1:12" x14ac:dyDescent="0.25">
      <c r="A408">
        <f t="shared" si="16"/>
        <v>7</v>
      </c>
      <c r="B408">
        <f t="shared" si="19"/>
        <v>2020</v>
      </c>
      <c r="C408" s="7">
        <v>44032</v>
      </c>
      <c r="D408" s="8"/>
      <c r="E408" s="7">
        <v>44032</v>
      </c>
      <c r="F408" s="9">
        <v>59.5</v>
      </c>
      <c r="G408" s="7">
        <v>44032</v>
      </c>
      <c r="H408" s="9">
        <v>59</v>
      </c>
      <c r="I408" s="7">
        <v>44032</v>
      </c>
      <c r="J408" s="9">
        <v>47.25</v>
      </c>
      <c r="K408" s="5">
        <f t="shared" si="17"/>
        <v>12.25</v>
      </c>
      <c r="L408" s="6">
        <f t="shared" si="18"/>
        <v>0.5</v>
      </c>
    </row>
    <row r="409" spans="1:12" x14ac:dyDescent="0.25">
      <c r="A409">
        <f t="shared" si="16"/>
        <v>7</v>
      </c>
      <c r="B409">
        <f t="shared" si="19"/>
        <v>2020</v>
      </c>
      <c r="C409" s="7">
        <v>44033</v>
      </c>
      <c r="D409" s="8"/>
      <c r="E409" s="7">
        <v>44033</v>
      </c>
      <c r="F409" s="9">
        <v>59.75</v>
      </c>
      <c r="G409" s="7">
        <v>44033</v>
      </c>
      <c r="H409" s="9">
        <v>59.25</v>
      </c>
      <c r="I409" s="7">
        <v>44033</v>
      </c>
      <c r="J409" s="9">
        <v>47.25</v>
      </c>
      <c r="K409" s="5">
        <f t="shared" si="17"/>
        <v>12.5</v>
      </c>
      <c r="L409" s="6">
        <f t="shared" si="18"/>
        <v>0.5</v>
      </c>
    </row>
    <row r="410" spans="1:12" x14ac:dyDescent="0.25">
      <c r="A410">
        <f t="shared" si="16"/>
        <v>7</v>
      </c>
      <c r="B410">
        <f t="shared" si="19"/>
        <v>2020</v>
      </c>
      <c r="C410" s="7">
        <v>44034</v>
      </c>
      <c r="D410" s="8"/>
      <c r="E410" s="7">
        <v>44034</v>
      </c>
      <c r="F410" s="9">
        <v>60.25</v>
      </c>
      <c r="G410" s="7">
        <v>44034</v>
      </c>
      <c r="H410" s="9">
        <v>59.75</v>
      </c>
      <c r="I410" s="7">
        <v>44034</v>
      </c>
      <c r="J410" s="9">
        <v>47.25</v>
      </c>
      <c r="K410" s="5">
        <f t="shared" si="17"/>
        <v>13</v>
      </c>
      <c r="L410" s="6">
        <f t="shared" si="18"/>
        <v>0.5</v>
      </c>
    </row>
    <row r="411" spans="1:12" x14ac:dyDescent="0.25">
      <c r="A411">
        <f t="shared" si="16"/>
        <v>7</v>
      </c>
      <c r="B411">
        <f t="shared" si="19"/>
        <v>2020</v>
      </c>
      <c r="C411" s="7">
        <v>44035</v>
      </c>
      <c r="D411" s="8"/>
      <c r="E411" s="7">
        <v>44035</v>
      </c>
      <c r="F411" s="9">
        <v>60.5</v>
      </c>
      <c r="G411" s="7">
        <v>44035</v>
      </c>
      <c r="H411" s="9">
        <v>60</v>
      </c>
      <c r="I411" s="7">
        <v>44035</v>
      </c>
      <c r="J411" s="9">
        <v>48.25</v>
      </c>
      <c r="K411" s="5">
        <f t="shared" si="17"/>
        <v>12.25</v>
      </c>
      <c r="L411" s="6">
        <f t="shared" si="18"/>
        <v>0.5</v>
      </c>
    </row>
    <row r="412" spans="1:12" x14ac:dyDescent="0.25">
      <c r="A412">
        <f t="shared" si="16"/>
        <v>7</v>
      </c>
      <c r="B412">
        <f t="shared" si="19"/>
        <v>2020</v>
      </c>
      <c r="C412" s="7">
        <v>44036</v>
      </c>
      <c r="D412" s="8"/>
      <c r="E412" s="7">
        <v>44036</v>
      </c>
      <c r="F412" s="9">
        <v>62</v>
      </c>
      <c r="G412" s="7">
        <v>44036</v>
      </c>
      <c r="H412" s="9">
        <v>61.5</v>
      </c>
      <c r="I412" s="7">
        <v>44036</v>
      </c>
      <c r="J412" s="9">
        <v>47.75</v>
      </c>
      <c r="K412" s="5">
        <f t="shared" si="17"/>
        <v>14.25</v>
      </c>
      <c r="L412" s="6">
        <f t="shared" si="18"/>
        <v>0.5</v>
      </c>
    </row>
    <row r="413" spans="1:12" x14ac:dyDescent="0.25">
      <c r="A413">
        <f t="shared" si="16"/>
        <v>7</v>
      </c>
      <c r="B413">
        <f t="shared" si="19"/>
        <v>2020</v>
      </c>
      <c r="C413" s="7">
        <v>44039</v>
      </c>
      <c r="D413" s="8"/>
      <c r="E413" s="7">
        <v>44039</v>
      </c>
      <c r="F413" s="9">
        <v>60.5</v>
      </c>
      <c r="G413" s="7">
        <v>44039</v>
      </c>
      <c r="H413" s="9">
        <v>61</v>
      </c>
      <c r="I413" s="7">
        <v>44039</v>
      </c>
      <c r="J413" s="9">
        <v>47.75</v>
      </c>
      <c r="K413" s="5">
        <f t="shared" si="17"/>
        <v>12.75</v>
      </c>
      <c r="L413" s="6">
        <f t="shared" si="18"/>
        <v>-0.5</v>
      </c>
    </row>
    <row r="414" spans="1:12" x14ac:dyDescent="0.25">
      <c r="A414">
        <f t="shared" si="16"/>
        <v>7</v>
      </c>
      <c r="B414">
        <f t="shared" si="19"/>
        <v>2020</v>
      </c>
      <c r="C414" s="7">
        <v>44040</v>
      </c>
      <c r="D414" s="8"/>
      <c r="E414" s="7">
        <v>44040</v>
      </c>
      <c r="F414" s="9">
        <v>61.5</v>
      </c>
      <c r="G414" s="7">
        <v>44040</v>
      </c>
      <c r="H414" s="9">
        <v>61</v>
      </c>
      <c r="I414" s="7">
        <v>44040</v>
      </c>
      <c r="J414" s="9">
        <v>47.25</v>
      </c>
      <c r="K414" s="5">
        <f t="shared" si="17"/>
        <v>14.25</v>
      </c>
      <c r="L414" s="6">
        <f t="shared" si="18"/>
        <v>0.5</v>
      </c>
    </row>
    <row r="415" spans="1:12" x14ac:dyDescent="0.25">
      <c r="A415">
        <f t="shared" si="16"/>
        <v>7</v>
      </c>
      <c r="B415">
        <f t="shared" si="19"/>
        <v>2020</v>
      </c>
      <c r="C415" s="7">
        <v>44041</v>
      </c>
      <c r="D415" s="8"/>
      <c r="E415" s="7">
        <v>44041</v>
      </c>
      <c r="F415" s="9">
        <v>62.25</v>
      </c>
      <c r="G415" s="7">
        <v>44041</v>
      </c>
      <c r="H415" s="9">
        <v>61.75</v>
      </c>
      <c r="I415" s="7">
        <v>44041</v>
      </c>
      <c r="J415" s="9">
        <v>47.25</v>
      </c>
      <c r="K415" s="5">
        <f t="shared" si="17"/>
        <v>15</v>
      </c>
      <c r="L415" s="6">
        <f t="shared" si="18"/>
        <v>0.5</v>
      </c>
    </row>
    <row r="416" spans="1:12" x14ac:dyDescent="0.25">
      <c r="A416">
        <f t="shared" si="16"/>
        <v>7</v>
      </c>
      <c r="B416">
        <f t="shared" si="19"/>
        <v>2020</v>
      </c>
      <c r="C416" s="7">
        <v>44042</v>
      </c>
      <c r="D416" s="8"/>
      <c r="E416" s="7">
        <v>44042</v>
      </c>
      <c r="F416" s="9">
        <v>63.75</v>
      </c>
      <c r="G416" s="7">
        <v>44042</v>
      </c>
      <c r="H416" s="9">
        <v>63.25</v>
      </c>
      <c r="I416" s="7">
        <v>44042</v>
      </c>
      <c r="J416" s="9">
        <v>47.75</v>
      </c>
      <c r="K416" s="5">
        <f t="shared" si="17"/>
        <v>16</v>
      </c>
      <c r="L416" s="6">
        <f t="shared" si="18"/>
        <v>0.5</v>
      </c>
    </row>
    <row r="417" spans="1:12" x14ac:dyDescent="0.25">
      <c r="A417">
        <f t="shared" si="16"/>
        <v>7</v>
      </c>
      <c r="B417">
        <f t="shared" si="19"/>
        <v>2020</v>
      </c>
      <c r="C417" s="7">
        <v>44043</v>
      </c>
      <c r="D417" s="8"/>
      <c r="E417" s="7">
        <v>44043</v>
      </c>
      <c r="F417" s="9">
        <v>63.5</v>
      </c>
      <c r="G417" s="7">
        <v>44043</v>
      </c>
      <c r="H417" s="9">
        <v>63</v>
      </c>
      <c r="I417" s="7">
        <v>44043</v>
      </c>
      <c r="J417" s="9">
        <v>47.625</v>
      </c>
      <c r="K417" s="5">
        <f t="shared" si="17"/>
        <v>15.875</v>
      </c>
      <c r="L417" s="6">
        <f t="shared" si="18"/>
        <v>0.5</v>
      </c>
    </row>
    <row r="418" spans="1:12" x14ac:dyDescent="0.25">
      <c r="A418">
        <f t="shared" si="16"/>
        <v>8</v>
      </c>
      <c r="B418">
        <f t="shared" si="19"/>
        <v>2020</v>
      </c>
      <c r="C418" s="7">
        <v>44046</v>
      </c>
      <c r="D418" s="8"/>
      <c r="E418" s="7">
        <v>44046</v>
      </c>
      <c r="F418" s="9">
        <v>64.25</v>
      </c>
      <c r="G418" s="7">
        <v>44046</v>
      </c>
      <c r="H418" s="9">
        <v>63.75</v>
      </c>
      <c r="I418" s="7">
        <v>44046</v>
      </c>
      <c r="J418" s="9">
        <v>47.75</v>
      </c>
      <c r="K418" s="5">
        <f t="shared" si="17"/>
        <v>16.5</v>
      </c>
      <c r="L418" s="6">
        <f t="shared" si="18"/>
        <v>0.5</v>
      </c>
    </row>
    <row r="419" spans="1:12" x14ac:dyDescent="0.25">
      <c r="A419">
        <f t="shared" si="16"/>
        <v>8</v>
      </c>
      <c r="B419">
        <f t="shared" si="19"/>
        <v>2020</v>
      </c>
      <c r="C419" s="7">
        <v>44047</v>
      </c>
      <c r="D419" s="8"/>
      <c r="E419" s="7">
        <v>44047</v>
      </c>
      <c r="F419" s="9">
        <v>63.75</v>
      </c>
      <c r="G419" s="7">
        <v>44047</v>
      </c>
      <c r="H419" s="9">
        <v>63.25</v>
      </c>
      <c r="I419" s="7">
        <v>44047</v>
      </c>
      <c r="J419" s="9">
        <v>46.5</v>
      </c>
      <c r="K419" s="5">
        <f t="shared" si="17"/>
        <v>17.25</v>
      </c>
      <c r="L419" s="6">
        <f t="shared" si="18"/>
        <v>0.5</v>
      </c>
    </row>
    <row r="420" spans="1:12" x14ac:dyDescent="0.25">
      <c r="A420">
        <f t="shared" si="16"/>
        <v>8</v>
      </c>
      <c r="B420">
        <f t="shared" si="19"/>
        <v>2020</v>
      </c>
      <c r="C420" s="7">
        <v>44048</v>
      </c>
      <c r="D420" s="8"/>
      <c r="E420" s="7">
        <v>44048</v>
      </c>
      <c r="F420" s="9">
        <v>61.5</v>
      </c>
      <c r="G420" s="7">
        <v>44048</v>
      </c>
      <c r="H420" s="9">
        <v>61</v>
      </c>
      <c r="I420" s="7">
        <v>44048</v>
      </c>
      <c r="J420" s="9">
        <v>46.5</v>
      </c>
      <c r="K420" s="5">
        <f t="shared" si="17"/>
        <v>15</v>
      </c>
      <c r="L420" s="6">
        <f t="shared" si="18"/>
        <v>0.5</v>
      </c>
    </row>
    <row r="421" spans="1:12" x14ac:dyDescent="0.25">
      <c r="A421">
        <f t="shared" si="16"/>
        <v>8</v>
      </c>
      <c r="B421">
        <f t="shared" si="19"/>
        <v>2020</v>
      </c>
      <c r="C421" s="7">
        <v>44049</v>
      </c>
      <c r="D421" s="8"/>
      <c r="E421" s="7">
        <v>44049</v>
      </c>
      <c r="F421" s="9">
        <v>63.5</v>
      </c>
      <c r="G421" s="7">
        <v>44049</v>
      </c>
      <c r="H421" s="9">
        <v>63</v>
      </c>
      <c r="I421" s="7">
        <v>44049</v>
      </c>
      <c r="J421" s="9">
        <v>43.75</v>
      </c>
      <c r="K421" s="5">
        <f t="shared" si="17"/>
        <v>19.75</v>
      </c>
      <c r="L421" s="6">
        <f t="shared" si="18"/>
        <v>0.5</v>
      </c>
    </row>
    <row r="422" spans="1:12" x14ac:dyDescent="0.25">
      <c r="A422">
        <f t="shared" si="16"/>
        <v>8</v>
      </c>
      <c r="B422">
        <f t="shared" si="19"/>
        <v>2020</v>
      </c>
      <c r="C422" s="7">
        <v>44050</v>
      </c>
      <c r="D422" s="8"/>
      <c r="E422" s="7">
        <v>44050</v>
      </c>
      <c r="F422" s="9">
        <v>62.5</v>
      </c>
      <c r="G422" s="7">
        <v>44050</v>
      </c>
      <c r="H422" s="9">
        <v>62</v>
      </c>
      <c r="I422" s="7">
        <v>44050</v>
      </c>
      <c r="J422" s="9">
        <v>43.5</v>
      </c>
      <c r="K422" s="5">
        <f t="shared" si="17"/>
        <v>19</v>
      </c>
      <c r="L422" s="6">
        <f t="shared" si="18"/>
        <v>0.5</v>
      </c>
    </row>
    <row r="423" spans="1:12" x14ac:dyDescent="0.25">
      <c r="A423">
        <f t="shared" si="16"/>
        <v>8</v>
      </c>
      <c r="B423">
        <f t="shared" si="19"/>
        <v>2020</v>
      </c>
      <c r="C423" s="7">
        <v>44053</v>
      </c>
      <c r="D423" s="8"/>
      <c r="E423" s="7">
        <v>44053</v>
      </c>
      <c r="F423" s="9">
        <v>61.75</v>
      </c>
      <c r="G423" s="7">
        <v>44053</v>
      </c>
      <c r="H423" s="9">
        <v>61.25</v>
      </c>
      <c r="I423" s="7">
        <v>44053</v>
      </c>
      <c r="J423" s="9">
        <v>41.25</v>
      </c>
      <c r="K423" s="5">
        <f t="shared" si="17"/>
        <v>20.5</v>
      </c>
      <c r="L423" s="6">
        <f t="shared" si="18"/>
        <v>0.5</v>
      </c>
    </row>
    <row r="424" spans="1:12" x14ac:dyDescent="0.25">
      <c r="A424">
        <f t="shared" si="16"/>
        <v>8</v>
      </c>
      <c r="B424">
        <f t="shared" si="19"/>
        <v>2020</v>
      </c>
      <c r="C424" s="7">
        <v>44054</v>
      </c>
      <c r="D424" s="8"/>
      <c r="E424" s="7">
        <v>44054</v>
      </c>
      <c r="F424" s="9">
        <v>60</v>
      </c>
      <c r="G424" s="7">
        <v>44054</v>
      </c>
      <c r="H424" s="9">
        <v>59.5</v>
      </c>
      <c r="I424" s="7">
        <v>44054</v>
      </c>
      <c r="J424" s="9">
        <v>38.75</v>
      </c>
      <c r="K424" s="5">
        <f t="shared" si="17"/>
        <v>21.25</v>
      </c>
      <c r="L424" s="6">
        <f t="shared" si="18"/>
        <v>0.5</v>
      </c>
    </row>
    <row r="425" spans="1:12" x14ac:dyDescent="0.25">
      <c r="A425">
        <f t="shared" si="16"/>
        <v>8</v>
      </c>
      <c r="B425">
        <f t="shared" si="19"/>
        <v>2020</v>
      </c>
      <c r="C425" s="7">
        <v>44055</v>
      </c>
      <c r="D425" s="8"/>
      <c r="E425" s="7">
        <v>44055</v>
      </c>
      <c r="F425" s="9">
        <v>60.5</v>
      </c>
      <c r="G425" s="7">
        <v>44055</v>
      </c>
      <c r="H425" s="9">
        <v>59.5</v>
      </c>
      <c r="I425" s="7">
        <v>44055</v>
      </c>
      <c r="J425" s="9">
        <v>38.75</v>
      </c>
      <c r="K425" s="5">
        <f t="shared" si="17"/>
        <v>21.75</v>
      </c>
      <c r="L425" s="6">
        <f t="shared" si="18"/>
        <v>1</v>
      </c>
    </row>
    <row r="426" spans="1:12" x14ac:dyDescent="0.25">
      <c r="A426">
        <f t="shared" si="16"/>
        <v>8</v>
      </c>
      <c r="B426">
        <f t="shared" si="19"/>
        <v>2020</v>
      </c>
      <c r="C426" s="7">
        <v>44056</v>
      </c>
      <c r="D426" s="8"/>
      <c r="E426" s="7">
        <v>44056</v>
      </c>
      <c r="F426" s="9">
        <v>62.5</v>
      </c>
      <c r="G426" s="7">
        <v>44056</v>
      </c>
      <c r="H426" s="9">
        <v>59.5</v>
      </c>
      <c r="I426" s="7">
        <v>44056</v>
      </c>
      <c r="J426" s="9">
        <v>41.5</v>
      </c>
      <c r="K426" s="5">
        <f t="shared" si="17"/>
        <v>21</v>
      </c>
      <c r="L426" s="6">
        <f t="shared" si="18"/>
        <v>3</v>
      </c>
    </row>
    <row r="427" spans="1:12" x14ac:dyDescent="0.25">
      <c r="A427">
        <f t="shared" si="16"/>
        <v>8</v>
      </c>
      <c r="B427">
        <f t="shared" si="19"/>
        <v>2020</v>
      </c>
      <c r="C427" s="7">
        <v>44057</v>
      </c>
      <c r="D427" s="8"/>
      <c r="E427" s="7">
        <v>44057</v>
      </c>
      <c r="F427" s="9">
        <v>63.25</v>
      </c>
      <c r="G427" s="7">
        <v>44057</v>
      </c>
      <c r="H427" s="9">
        <v>59.5</v>
      </c>
      <c r="I427" s="7">
        <v>44057</v>
      </c>
      <c r="J427" s="9">
        <v>41.75</v>
      </c>
      <c r="K427" s="5">
        <f t="shared" si="17"/>
        <v>21.5</v>
      </c>
      <c r="L427" s="6">
        <f t="shared" si="18"/>
        <v>3.75</v>
      </c>
    </row>
    <row r="428" spans="1:12" x14ac:dyDescent="0.25">
      <c r="A428">
        <f t="shared" si="16"/>
        <v>8</v>
      </c>
      <c r="B428">
        <f t="shared" si="19"/>
        <v>2020</v>
      </c>
      <c r="C428" s="7">
        <v>44060</v>
      </c>
      <c r="D428" s="8"/>
      <c r="E428" s="7">
        <v>44060</v>
      </c>
      <c r="F428" s="9">
        <v>64.25</v>
      </c>
      <c r="G428" s="7">
        <v>44060</v>
      </c>
      <c r="H428" s="9">
        <v>59.5</v>
      </c>
      <c r="I428" s="7">
        <v>44060</v>
      </c>
      <c r="J428" s="9">
        <v>42.75</v>
      </c>
      <c r="K428" s="5">
        <f t="shared" si="17"/>
        <v>21.5</v>
      </c>
      <c r="L428" s="6">
        <f t="shared" si="18"/>
        <v>4.75</v>
      </c>
    </row>
    <row r="429" spans="1:12" x14ac:dyDescent="0.25">
      <c r="A429">
        <f t="shared" si="16"/>
        <v>8</v>
      </c>
      <c r="B429">
        <f t="shared" si="19"/>
        <v>2020</v>
      </c>
      <c r="C429" s="7">
        <v>44061</v>
      </c>
      <c r="D429" s="8"/>
      <c r="E429" s="7">
        <v>44061</v>
      </c>
      <c r="F429" s="9">
        <v>66</v>
      </c>
      <c r="G429" s="7">
        <v>44061</v>
      </c>
      <c r="H429" s="9">
        <v>65.5</v>
      </c>
      <c r="I429" s="7">
        <v>44061</v>
      </c>
      <c r="J429" s="9">
        <v>47.5</v>
      </c>
      <c r="K429" s="5">
        <f t="shared" si="17"/>
        <v>18.5</v>
      </c>
      <c r="L429" s="6">
        <f t="shared" si="18"/>
        <v>0.5</v>
      </c>
    </row>
    <row r="430" spans="1:12" x14ac:dyDescent="0.25">
      <c r="A430">
        <f t="shared" si="16"/>
        <v>8</v>
      </c>
      <c r="B430">
        <f t="shared" si="19"/>
        <v>2020</v>
      </c>
      <c r="C430" s="7">
        <v>44062</v>
      </c>
      <c r="D430" s="8"/>
      <c r="E430" s="7">
        <v>44062</v>
      </c>
      <c r="F430" s="9">
        <v>66</v>
      </c>
      <c r="G430" s="7">
        <v>44062</v>
      </c>
      <c r="H430" s="9">
        <v>65.5</v>
      </c>
      <c r="I430" s="7">
        <v>44062</v>
      </c>
      <c r="J430" s="9">
        <v>44.5</v>
      </c>
      <c r="K430" s="5">
        <f t="shared" si="17"/>
        <v>21.5</v>
      </c>
      <c r="L430" s="6">
        <f t="shared" si="18"/>
        <v>0.5</v>
      </c>
    </row>
    <row r="431" spans="1:12" x14ac:dyDescent="0.25">
      <c r="A431">
        <f t="shared" si="16"/>
        <v>8</v>
      </c>
      <c r="B431">
        <f t="shared" si="19"/>
        <v>2020</v>
      </c>
      <c r="C431" s="7">
        <v>44063</v>
      </c>
      <c r="D431" s="8"/>
      <c r="E431" s="7">
        <v>44063</v>
      </c>
      <c r="F431" s="9">
        <v>65.75</v>
      </c>
      <c r="G431" s="7">
        <v>44063</v>
      </c>
      <c r="H431" s="9">
        <v>65.25</v>
      </c>
      <c r="I431" s="7">
        <v>44063</v>
      </c>
      <c r="J431" s="9">
        <v>45</v>
      </c>
      <c r="K431" s="5">
        <f t="shared" si="17"/>
        <v>20.75</v>
      </c>
      <c r="L431" s="6">
        <f t="shared" si="18"/>
        <v>0.5</v>
      </c>
    </row>
    <row r="432" spans="1:12" x14ac:dyDescent="0.25">
      <c r="A432">
        <f t="shared" si="16"/>
        <v>8</v>
      </c>
      <c r="B432">
        <f t="shared" si="19"/>
        <v>2020</v>
      </c>
      <c r="C432" s="7">
        <v>44064</v>
      </c>
      <c r="D432" s="8"/>
      <c r="E432" s="7">
        <v>44064</v>
      </c>
      <c r="F432" s="9">
        <v>66.25</v>
      </c>
      <c r="G432" s="7">
        <v>44064</v>
      </c>
      <c r="H432" s="9">
        <v>65.75</v>
      </c>
      <c r="I432" s="7">
        <v>44064</v>
      </c>
      <c r="J432" s="9">
        <v>45.25</v>
      </c>
      <c r="K432" s="5">
        <f t="shared" si="17"/>
        <v>21</v>
      </c>
      <c r="L432" s="6">
        <f t="shared" si="18"/>
        <v>0.5</v>
      </c>
    </row>
    <row r="433" spans="1:12" x14ac:dyDescent="0.25">
      <c r="A433">
        <f t="shared" si="16"/>
        <v>8</v>
      </c>
      <c r="B433">
        <f t="shared" si="19"/>
        <v>2020</v>
      </c>
      <c r="C433" s="7">
        <v>44067</v>
      </c>
      <c r="D433" s="8"/>
      <c r="E433" s="7">
        <v>44067</v>
      </c>
      <c r="F433" s="9">
        <v>66.25</v>
      </c>
      <c r="G433" s="7">
        <v>44067</v>
      </c>
      <c r="H433" s="9">
        <v>65.75</v>
      </c>
      <c r="I433" s="7">
        <v>44067</v>
      </c>
      <c r="J433" s="9">
        <v>46.25</v>
      </c>
      <c r="K433" s="5">
        <f t="shared" si="17"/>
        <v>20</v>
      </c>
      <c r="L433" s="6">
        <f t="shared" si="18"/>
        <v>0.5</v>
      </c>
    </row>
    <row r="434" spans="1:12" x14ac:dyDescent="0.25">
      <c r="A434">
        <f t="shared" si="16"/>
        <v>8</v>
      </c>
      <c r="B434">
        <f t="shared" si="19"/>
        <v>2020</v>
      </c>
      <c r="C434" s="7">
        <v>44068</v>
      </c>
      <c r="D434" s="8"/>
      <c r="E434" s="7">
        <v>44068</v>
      </c>
      <c r="F434" s="9">
        <v>67.5</v>
      </c>
      <c r="G434" s="7">
        <v>44068</v>
      </c>
      <c r="H434" s="9">
        <v>67</v>
      </c>
      <c r="I434" s="7">
        <v>44068</v>
      </c>
      <c r="J434" s="9">
        <v>46.05</v>
      </c>
      <c r="K434" s="5">
        <f t="shared" si="17"/>
        <v>21.450000000000003</v>
      </c>
      <c r="L434" s="6">
        <f t="shared" si="18"/>
        <v>0.5</v>
      </c>
    </row>
    <row r="435" spans="1:12" x14ac:dyDescent="0.25">
      <c r="A435">
        <f t="shared" si="16"/>
        <v>8</v>
      </c>
      <c r="B435">
        <f t="shared" si="19"/>
        <v>2020</v>
      </c>
      <c r="C435" s="7">
        <v>44069</v>
      </c>
      <c r="D435" s="8"/>
      <c r="E435" s="7">
        <v>44069</v>
      </c>
      <c r="F435" s="9">
        <v>68.75</v>
      </c>
      <c r="G435" s="7">
        <v>44069</v>
      </c>
      <c r="H435" s="9">
        <v>68.25</v>
      </c>
      <c r="I435" s="7">
        <v>44069</v>
      </c>
      <c r="J435" s="9">
        <v>46.5</v>
      </c>
      <c r="K435" s="5">
        <f t="shared" si="17"/>
        <v>22.25</v>
      </c>
      <c r="L435" s="6">
        <f t="shared" si="18"/>
        <v>0.5</v>
      </c>
    </row>
    <row r="436" spans="1:12" x14ac:dyDescent="0.25">
      <c r="A436">
        <f t="shared" si="16"/>
        <v>8</v>
      </c>
      <c r="B436">
        <f t="shared" si="19"/>
        <v>2020</v>
      </c>
      <c r="C436" s="7">
        <v>44070</v>
      </c>
      <c r="D436" s="8"/>
      <c r="E436" s="7">
        <v>44070</v>
      </c>
      <c r="F436" s="9">
        <v>68.5</v>
      </c>
      <c r="G436" s="7">
        <v>44070</v>
      </c>
      <c r="H436" s="9">
        <v>68</v>
      </c>
      <c r="I436" s="7">
        <v>44070</v>
      </c>
      <c r="J436" s="9">
        <v>46.5</v>
      </c>
      <c r="K436" s="5">
        <f t="shared" si="17"/>
        <v>22</v>
      </c>
      <c r="L436" s="6">
        <f t="shared" si="18"/>
        <v>0.5</v>
      </c>
    </row>
    <row r="437" spans="1:12" x14ac:dyDescent="0.25">
      <c r="A437">
        <f t="shared" si="16"/>
        <v>8</v>
      </c>
      <c r="B437">
        <f t="shared" si="19"/>
        <v>2020</v>
      </c>
      <c r="C437" s="7">
        <v>44071</v>
      </c>
      <c r="D437" s="8"/>
      <c r="E437" s="7">
        <v>44071</v>
      </c>
      <c r="F437" s="9">
        <v>70.5</v>
      </c>
      <c r="G437" s="7">
        <v>44071</v>
      </c>
      <c r="H437" s="9">
        <v>70</v>
      </c>
      <c r="I437" s="7">
        <v>44071</v>
      </c>
      <c r="J437" s="9">
        <v>47.5</v>
      </c>
      <c r="K437" s="5">
        <f t="shared" si="17"/>
        <v>23</v>
      </c>
      <c r="L437" s="6">
        <f t="shared" si="18"/>
        <v>0.5</v>
      </c>
    </row>
    <row r="438" spans="1:12" x14ac:dyDescent="0.25">
      <c r="A438">
        <f t="shared" si="16"/>
        <v>8</v>
      </c>
      <c r="B438">
        <f t="shared" si="19"/>
        <v>2020</v>
      </c>
      <c r="C438" s="7">
        <v>44074</v>
      </c>
      <c r="D438" s="8"/>
      <c r="E438" s="7">
        <v>44074</v>
      </c>
      <c r="F438" s="9">
        <v>71</v>
      </c>
      <c r="G438" s="7">
        <v>44074</v>
      </c>
      <c r="H438" s="9">
        <v>70.5</v>
      </c>
      <c r="I438" s="7">
        <v>44074</v>
      </c>
      <c r="J438" s="9">
        <v>47.25</v>
      </c>
      <c r="K438" s="5">
        <f t="shared" si="17"/>
        <v>23.75</v>
      </c>
      <c r="L438" s="6">
        <f t="shared" si="18"/>
        <v>0.5</v>
      </c>
    </row>
    <row r="439" spans="1:12" x14ac:dyDescent="0.25">
      <c r="A439">
        <f t="shared" si="16"/>
        <v>9</v>
      </c>
      <c r="B439">
        <f t="shared" si="19"/>
        <v>2020</v>
      </c>
      <c r="C439" s="7">
        <v>44075</v>
      </c>
      <c r="D439" s="8"/>
      <c r="E439" s="7">
        <v>44075</v>
      </c>
      <c r="F439" s="9">
        <v>70</v>
      </c>
      <c r="G439" s="7">
        <v>44075</v>
      </c>
      <c r="H439" s="9">
        <v>69.5</v>
      </c>
      <c r="I439" s="7">
        <v>44075</v>
      </c>
      <c r="J439" s="9">
        <v>46.5</v>
      </c>
      <c r="K439" s="5">
        <f t="shared" si="17"/>
        <v>23.5</v>
      </c>
      <c r="L439" s="6">
        <f t="shared" si="18"/>
        <v>0.5</v>
      </c>
    </row>
    <row r="440" spans="1:12" x14ac:dyDescent="0.25">
      <c r="A440">
        <f t="shared" si="16"/>
        <v>9</v>
      </c>
      <c r="B440">
        <f t="shared" si="19"/>
        <v>2020</v>
      </c>
      <c r="C440" s="7">
        <v>44076</v>
      </c>
      <c r="D440" s="8"/>
      <c r="E440" s="7">
        <v>44076</v>
      </c>
      <c r="F440" s="9">
        <v>73.25</v>
      </c>
      <c r="G440" s="7">
        <v>44076</v>
      </c>
      <c r="H440" s="9">
        <v>72.75</v>
      </c>
      <c r="I440" s="7">
        <v>44076</v>
      </c>
      <c r="J440" s="9">
        <v>46.75</v>
      </c>
      <c r="K440" s="5">
        <f t="shared" si="17"/>
        <v>26.5</v>
      </c>
      <c r="L440" s="6">
        <f t="shared" si="18"/>
        <v>0.5</v>
      </c>
    </row>
    <row r="441" spans="1:12" x14ac:dyDescent="0.25">
      <c r="A441">
        <f t="shared" si="16"/>
        <v>9</v>
      </c>
      <c r="B441">
        <f t="shared" si="19"/>
        <v>2020</v>
      </c>
      <c r="C441" s="7">
        <v>44077</v>
      </c>
      <c r="D441" s="8"/>
      <c r="E441" s="7">
        <v>44077</v>
      </c>
      <c r="F441" s="9">
        <v>73.5</v>
      </c>
      <c r="G441" s="7">
        <v>44077</v>
      </c>
      <c r="H441" s="9">
        <v>73</v>
      </c>
      <c r="I441" s="7">
        <v>44077</v>
      </c>
      <c r="J441" s="9">
        <v>46.75</v>
      </c>
      <c r="K441" s="5">
        <f t="shared" si="17"/>
        <v>26.75</v>
      </c>
      <c r="L441" s="6">
        <f t="shared" si="18"/>
        <v>0.5</v>
      </c>
    </row>
    <row r="442" spans="1:12" x14ac:dyDescent="0.25">
      <c r="A442">
        <f t="shared" si="16"/>
        <v>9</v>
      </c>
      <c r="B442">
        <f t="shared" si="19"/>
        <v>2020</v>
      </c>
      <c r="C442" s="7">
        <v>44078</v>
      </c>
      <c r="D442" s="8"/>
      <c r="E442" s="7">
        <v>44078</v>
      </c>
      <c r="F442" s="9">
        <v>73.5</v>
      </c>
      <c r="G442" s="7">
        <v>44078</v>
      </c>
      <c r="H442" s="9">
        <v>73</v>
      </c>
      <c r="I442" s="7">
        <v>44078</v>
      </c>
      <c r="J442" s="9">
        <v>47</v>
      </c>
      <c r="K442" s="5">
        <f t="shared" si="17"/>
        <v>26.5</v>
      </c>
      <c r="L442" s="6">
        <f t="shared" si="18"/>
        <v>0.5</v>
      </c>
    </row>
    <row r="443" spans="1:12" x14ac:dyDescent="0.25">
      <c r="A443">
        <f t="shared" si="16"/>
        <v>9</v>
      </c>
      <c r="B443">
        <f t="shared" si="19"/>
        <v>2020</v>
      </c>
      <c r="C443" s="7">
        <v>44082</v>
      </c>
      <c r="D443" s="8"/>
      <c r="E443" s="7">
        <v>44082</v>
      </c>
      <c r="F443" s="9">
        <v>76.75</v>
      </c>
      <c r="G443" s="7">
        <v>44082</v>
      </c>
      <c r="H443" s="9">
        <v>76.25</v>
      </c>
      <c r="I443" s="7">
        <v>44082</v>
      </c>
      <c r="J443" s="9">
        <v>46.75</v>
      </c>
      <c r="K443" s="5">
        <f t="shared" si="17"/>
        <v>30</v>
      </c>
      <c r="L443" s="6">
        <f t="shared" si="18"/>
        <v>0.5</v>
      </c>
    </row>
    <row r="444" spans="1:12" x14ac:dyDescent="0.25">
      <c r="A444">
        <f t="shared" si="16"/>
        <v>9</v>
      </c>
      <c r="B444">
        <f t="shared" si="19"/>
        <v>2020</v>
      </c>
      <c r="C444" s="7">
        <v>44083</v>
      </c>
      <c r="D444" s="8"/>
      <c r="E444" s="7">
        <v>44083</v>
      </c>
      <c r="F444" s="9">
        <v>75.5</v>
      </c>
      <c r="G444" s="7">
        <v>44083</v>
      </c>
      <c r="H444" s="9">
        <v>75</v>
      </c>
      <c r="I444" s="7">
        <v>44083</v>
      </c>
      <c r="J444" s="9">
        <v>49.375</v>
      </c>
      <c r="K444" s="5">
        <f t="shared" si="17"/>
        <v>26.125</v>
      </c>
      <c r="L444" s="6">
        <f t="shared" si="18"/>
        <v>0.5</v>
      </c>
    </row>
    <row r="445" spans="1:12" x14ac:dyDescent="0.25">
      <c r="A445">
        <f t="shared" si="16"/>
        <v>9</v>
      </c>
      <c r="B445">
        <f t="shared" si="19"/>
        <v>2020</v>
      </c>
      <c r="C445" s="7">
        <v>44084</v>
      </c>
      <c r="D445" s="8"/>
      <c r="E445" s="7">
        <v>44084</v>
      </c>
      <c r="F445" s="9">
        <v>74.5</v>
      </c>
      <c r="G445" s="7">
        <v>44084</v>
      </c>
      <c r="H445" s="9">
        <v>74</v>
      </c>
      <c r="I445" s="7">
        <v>44084</v>
      </c>
      <c r="J445" s="9">
        <v>48.5</v>
      </c>
      <c r="K445" s="5">
        <f t="shared" si="17"/>
        <v>26</v>
      </c>
      <c r="L445" s="6">
        <f t="shared" si="18"/>
        <v>0.5</v>
      </c>
    </row>
    <row r="446" spans="1:12" x14ac:dyDescent="0.25">
      <c r="A446">
        <f t="shared" si="16"/>
        <v>9</v>
      </c>
      <c r="B446">
        <f t="shared" si="19"/>
        <v>2020</v>
      </c>
      <c r="C446" s="7">
        <v>44085</v>
      </c>
      <c r="D446" s="8"/>
      <c r="E446" s="7">
        <v>44085</v>
      </c>
      <c r="F446" s="9">
        <v>76</v>
      </c>
      <c r="G446" s="7">
        <v>44085</v>
      </c>
      <c r="H446" s="9">
        <v>75.5</v>
      </c>
      <c r="I446" s="7">
        <v>44085</v>
      </c>
      <c r="J446" s="9">
        <v>48.25</v>
      </c>
      <c r="K446" s="5">
        <f t="shared" si="17"/>
        <v>27.75</v>
      </c>
      <c r="L446" s="6">
        <f t="shared" si="18"/>
        <v>0.5</v>
      </c>
    </row>
    <row r="447" spans="1:12" x14ac:dyDescent="0.25">
      <c r="A447">
        <f t="shared" si="16"/>
        <v>9</v>
      </c>
      <c r="B447">
        <f t="shared" si="19"/>
        <v>2020</v>
      </c>
      <c r="C447" s="7">
        <v>44088</v>
      </c>
      <c r="D447" s="8"/>
      <c r="E447" s="7">
        <v>44088</v>
      </c>
      <c r="F447" s="9">
        <v>78.5</v>
      </c>
      <c r="G447" s="7">
        <v>44088</v>
      </c>
      <c r="H447" s="9">
        <v>78</v>
      </c>
      <c r="I447" s="7">
        <v>44088</v>
      </c>
      <c r="J447" s="9">
        <v>50.75</v>
      </c>
      <c r="K447" s="5">
        <f t="shared" si="17"/>
        <v>27.75</v>
      </c>
      <c r="L447" s="6">
        <f t="shared" si="18"/>
        <v>0.5</v>
      </c>
    </row>
    <row r="448" spans="1:12" x14ac:dyDescent="0.25">
      <c r="A448">
        <f t="shared" si="16"/>
        <v>9</v>
      </c>
      <c r="B448">
        <f t="shared" si="19"/>
        <v>2020</v>
      </c>
      <c r="C448" s="7">
        <v>44089</v>
      </c>
      <c r="D448" s="8"/>
      <c r="E448" s="7">
        <v>44089</v>
      </c>
      <c r="F448" s="9">
        <v>79.5</v>
      </c>
      <c r="G448" s="7">
        <v>44089</v>
      </c>
      <c r="H448" s="9">
        <v>79</v>
      </c>
      <c r="I448" s="7">
        <v>44089</v>
      </c>
      <c r="J448" s="9">
        <v>50.5</v>
      </c>
      <c r="K448" s="5">
        <f t="shared" si="17"/>
        <v>29</v>
      </c>
      <c r="L448" s="6">
        <f t="shared" si="18"/>
        <v>0.5</v>
      </c>
    </row>
    <row r="449" spans="1:12" x14ac:dyDescent="0.25">
      <c r="A449">
        <f t="shared" si="16"/>
        <v>9</v>
      </c>
      <c r="B449">
        <f t="shared" si="19"/>
        <v>2020</v>
      </c>
      <c r="C449" s="7">
        <v>44090</v>
      </c>
      <c r="D449" s="8"/>
      <c r="E449" s="7">
        <v>44090</v>
      </c>
      <c r="F449" s="9">
        <v>81.5</v>
      </c>
      <c r="G449" s="7">
        <v>44090</v>
      </c>
      <c r="H449" s="9">
        <v>81</v>
      </c>
      <c r="I449" s="7">
        <v>44090</v>
      </c>
      <c r="J449" s="9">
        <v>50.5</v>
      </c>
      <c r="K449" s="5">
        <f t="shared" si="17"/>
        <v>31</v>
      </c>
      <c r="L449" s="6">
        <f t="shared" si="18"/>
        <v>0.5</v>
      </c>
    </row>
    <row r="450" spans="1:12" x14ac:dyDescent="0.25">
      <c r="A450">
        <f t="shared" si="16"/>
        <v>9</v>
      </c>
      <c r="B450">
        <f t="shared" si="19"/>
        <v>2020</v>
      </c>
      <c r="C450" s="7">
        <v>44091</v>
      </c>
      <c r="D450" s="8"/>
      <c r="E450" s="7">
        <v>44091</v>
      </c>
      <c r="F450" s="9">
        <v>80.5</v>
      </c>
      <c r="G450" s="7">
        <v>44091</v>
      </c>
      <c r="H450" s="9">
        <v>80</v>
      </c>
      <c r="I450" s="7">
        <v>44091</v>
      </c>
      <c r="J450" s="9">
        <v>50.5</v>
      </c>
      <c r="K450" s="5">
        <f t="shared" si="17"/>
        <v>30</v>
      </c>
      <c r="L450" s="6">
        <f t="shared" si="18"/>
        <v>0.5</v>
      </c>
    </row>
    <row r="451" spans="1:12" x14ac:dyDescent="0.25">
      <c r="A451">
        <f t="shared" si="16"/>
        <v>9</v>
      </c>
      <c r="B451">
        <f t="shared" si="19"/>
        <v>2020</v>
      </c>
      <c r="C451" s="7">
        <v>44092</v>
      </c>
      <c r="D451" s="8"/>
      <c r="E451" s="7">
        <v>44092</v>
      </c>
      <c r="F451" s="9">
        <v>81</v>
      </c>
      <c r="G451" s="7">
        <v>44092</v>
      </c>
      <c r="H451" s="9">
        <v>65.5</v>
      </c>
      <c r="I451" s="7">
        <v>44092</v>
      </c>
      <c r="J451" s="9">
        <v>50.25</v>
      </c>
      <c r="K451" s="5">
        <f t="shared" si="17"/>
        <v>30.75</v>
      </c>
      <c r="L451" s="6">
        <f t="shared" si="18"/>
        <v>15.5</v>
      </c>
    </row>
    <row r="452" spans="1:12" x14ac:dyDescent="0.25">
      <c r="A452">
        <f t="shared" si="16"/>
        <v>9</v>
      </c>
      <c r="B452">
        <f t="shared" si="19"/>
        <v>2020</v>
      </c>
      <c r="C452" s="7">
        <v>44095</v>
      </c>
      <c r="D452" s="8"/>
      <c r="E452" s="7">
        <v>44095</v>
      </c>
      <c r="F452" s="9">
        <v>81</v>
      </c>
      <c r="G452" s="7">
        <v>44095</v>
      </c>
      <c r="H452" s="9">
        <v>80.5</v>
      </c>
      <c r="I452" s="7">
        <v>44095</v>
      </c>
      <c r="J452" s="9">
        <v>50.5</v>
      </c>
      <c r="K452" s="5">
        <f t="shared" si="17"/>
        <v>30.5</v>
      </c>
      <c r="L452" s="6">
        <f t="shared" si="18"/>
        <v>0.5</v>
      </c>
    </row>
    <row r="453" spans="1:12" x14ac:dyDescent="0.25">
      <c r="A453">
        <f t="shared" si="16"/>
        <v>9</v>
      </c>
      <c r="B453">
        <f t="shared" si="19"/>
        <v>2020</v>
      </c>
      <c r="C453" s="7">
        <v>44096</v>
      </c>
      <c r="D453" s="8"/>
      <c r="E453" s="7">
        <v>44096</v>
      </c>
      <c r="F453" s="9">
        <v>79</v>
      </c>
      <c r="G453" s="7">
        <v>44096</v>
      </c>
      <c r="H453" s="9">
        <v>78.5</v>
      </c>
      <c r="I453" s="7">
        <v>44096</v>
      </c>
      <c r="J453" s="9">
        <v>48.5</v>
      </c>
      <c r="K453" s="5">
        <f t="shared" si="17"/>
        <v>30.5</v>
      </c>
      <c r="L453" s="6">
        <f t="shared" si="18"/>
        <v>0.5</v>
      </c>
    </row>
    <row r="454" spans="1:12" x14ac:dyDescent="0.25">
      <c r="A454">
        <f t="shared" si="16"/>
        <v>9</v>
      </c>
      <c r="B454">
        <f t="shared" si="19"/>
        <v>2020</v>
      </c>
      <c r="C454" s="7">
        <v>44097</v>
      </c>
      <c r="D454" s="8"/>
      <c r="E454" s="7">
        <v>44097</v>
      </c>
      <c r="F454" s="9">
        <v>78.5</v>
      </c>
      <c r="G454" s="7">
        <v>44097</v>
      </c>
      <c r="H454" s="9">
        <v>78</v>
      </c>
      <c r="I454" s="7">
        <v>44097</v>
      </c>
      <c r="J454" s="9">
        <v>47.75</v>
      </c>
      <c r="K454" s="5">
        <f t="shared" si="17"/>
        <v>30.75</v>
      </c>
      <c r="L454" s="6">
        <f t="shared" si="18"/>
        <v>0.5</v>
      </c>
    </row>
    <row r="455" spans="1:12" x14ac:dyDescent="0.25">
      <c r="A455">
        <f t="shared" si="16"/>
        <v>9</v>
      </c>
      <c r="B455">
        <f t="shared" si="19"/>
        <v>2020</v>
      </c>
      <c r="C455" s="7">
        <v>44098</v>
      </c>
      <c r="D455" s="8"/>
      <c r="E455" s="7">
        <v>44098</v>
      </c>
      <c r="F455" s="9">
        <v>75</v>
      </c>
      <c r="G455" s="7">
        <v>44098</v>
      </c>
      <c r="H455" s="9">
        <v>74.5</v>
      </c>
      <c r="I455" s="7">
        <v>44098</v>
      </c>
      <c r="J455" s="9">
        <v>47.25</v>
      </c>
      <c r="K455" s="5">
        <f t="shared" si="17"/>
        <v>27.75</v>
      </c>
      <c r="L455" s="6">
        <f t="shared" si="18"/>
        <v>0.5</v>
      </c>
    </row>
    <row r="456" spans="1:12" x14ac:dyDescent="0.25">
      <c r="A456">
        <f t="shared" si="16"/>
        <v>9</v>
      </c>
      <c r="B456">
        <f t="shared" si="19"/>
        <v>2020</v>
      </c>
      <c r="C456" s="7">
        <v>44099</v>
      </c>
      <c r="D456" s="8"/>
      <c r="E456" s="7">
        <v>44099</v>
      </c>
      <c r="F456" s="9">
        <v>74</v>
      </c>
      <c r="G456" s="7">
        <v>44099</v>
      </c>
      <c r="H456" s="9">
        <v>73.5</v>
      </c>
      <c r="I456" s="7">
        <v>44099</v>
      </c>
      <c r="J456" s="9">
        <v>47.25</v>
      </c>
      <c r="K456" s="5">
        <f t="shared" si="17"/>
        <v>26.75</v>
      </c>
      <c r="L456" s="6">
        <f t="shared" si="18"/>
        <v>0.5</v>
      </c>
    </row>
    <row r="457" spans="1:12" x14ac:dyDescent="0.25">
      <c r="A457">
        <f t="shared" si="16"/>
        <v>9</v>
      </c>
      <c r="B457">
        <f t="shared" si="19"/>
        <v>2020</v>
      </c>
      <c r="C457" s="7">
        <v>44102</v>
      </c>
      <c r="D457" s="8"/>
      <c r="E457" s="7">
        <v>44102</v>
      </c>
      <c r="F457" s="9">
        <v>74.75</v>
      </c>
      <c r="G457" s="7">
        <v>44102</v>
      </c>
      <c r="H457" s="9">
        <v>74.25</v>
      </c>
      <c r="I457" s="7">
        <v>44102</v>
      </c>
      <c r="J457" s="9">
        <v>47</v>
      </c>
      <c r="K457" s="5">
        <f t="shared" si="17"/>
        <v>27.75</v>
      </c>
      <c r="L457" s="6">
        <f t="shared" si="18"/>
        <v>0.5</v>
      </c>
    </row>
    <row r="458" spans="1:12" x14ac:dyDescent="0.25">
      <c r="A458">
        <f t="shared" si="16"/>
        <v>9</v>
      </c>
      <c r="B458">
        <f t="shared" si="19"/>
        <v>2020</v>
      </c>
      <c r="C458" s="7">
        <v>44103</v>
      </c>
      <c r="D458" s="8"/>
      <c r="E458" s="7">
        <v>44103</v>
      </c>
      <c r="F458" s="9">
        <v>74.25</v>
      </c>
      <c r="G458" s="7">
        <v>44103</v>
      </c>
      <c r="H458" s="9">
        <v>73.75</v>
      </c>
      <c r="I458" s="7">
        <v>44103</v>
      </c>
      <c r="J458" s="9">
        <v>47.75</v>
      </c>
      <c r="K458" s="5">
        <f t="shared" si="17"/>
        <v>26.5</v>
      </c>
      <c r="L458" s="6">
        <f t="shared" si="18"/>
        <v>0.5</v>
      </c>
    </row>
    <row r="459" spans="1:12" x14ac:dyDescent="0.25">
      <c r="A459">
        <f t="shared" si="16"/>
        <v>9</v>
      </c>
      <c r="B459">
        <f t="shared" si="19"/>
        <v>2020</v>
      </c>
      <c r="C459" s="7">
        <v>44104</v>
      </c>
      <c r="D459" s="8"/>
      <c r="E459" s="7">
        <v>44104</v>
      </c>
      <c r="F459" s="9">
        <v>73.5</v>
      </c>
      <c r="G459" s="7">
        <v>44104</v>
      </c>
      <c r="H459" s="9">
        <v>73</v>
      </c>
      <c r="I459" s="7">
        <v>44104</v>
      </c>
      <c r="J459" s="9">
        <v>47.75</v>
      </c>
      <c r="K459" s="5">
        <f t="shared" si="17"/>
        <v>25.75</v>
      </c>
      <c r="L459" s="6">
        <f t="shared" si="18"/>
        <v>0.5</v>
      </c>
    </row>
    <row r="460" spans="1:12" x14ac:dyDescent="0.25">
      <c r="A460">
        <f t="shared" si="16"/>
        <v>10</v>
      </c>
      <c r="B460">
        <f t="shared" si="19"/>
        <v>2020</v>
      </c>
      <c r="C460" s="7">
        <v>44105</v>
      </c>
      <c r="D460" s="8"/>
      <c r="E460" s="7">
        <v>44105</v>
      </c>
      <c r="F460" s="9">
        <v>76.5</v>
      </c>
      <c r="G460" s="7">
        <v>44105</v>
      </c>
      <c r="H460" s="9">
        <v>76</v>
      </c>
      <c r="I460" s="7">
        <v>44105</v>
      </c>
      <c r="J460" s="9">
        <v>48.25</v>
      </c>
      <c r="K460" s="5">
        <f t="shared" si="17"/>
        <v>28.25</v>
      </c>
      <c r="L460" s="6">
        <f t="shared" si="18"/>
        <v>0.5</v>
      </c>
    </row>
    <row r="461" spans="1:12" x14ac:dyDescent="0.25">
      <c r="A461">
        <f t="shared" si="16"/>
        <v>10</v>
      </c>
      <c r="B461">
        <f t="shared" si="19"/>
        <v>2020</v>
      </c>
      <c r="C461" s="7">
        <v>44106</v>
      </c>
      <c r="D461" s="8"/>
      <c r="E461" s="7">
        <v>44106</v>
      </c>
      <c r="F461" s="9">
        <v>75.5</v>
      </c>
      <c r="G461" s="7">
        <v>44106</v>
      </c>
      <c r="H461" s="9">
        <v>75</v>
      </c>
      <c r="I461" s="7">
        <v>44106</v>
      </c>
      <c r="J461" s="9">
        <v>47.75</v>
      </c>
      <c r="K461" s="5">
        <f t="shared" si="17"/>
        <v>27.75</v>
      </c>
      <c r="L461" s="6">
        <f t="shared" si="18"/>
        <v>0.5</v>
      </c>
    </row>
    <row r="462" spans="1:12" x14ac:dyDescent="0.25">
      <c r="A462">
        <f t="shared" ref="A462:A525" si="20">MONTH(E462)</f>
        <v>10</v>
      </c>
      <c r="B462">
        <f t="shared" si="19"/>
        <v>2020</v>
      </c>
      <c r="C462" s="7">
        <v>44109</v>
      </c>
      <c r="D462" s="8"/>
      <c r="E462" s="7">
        <v>44109</v>
      </c>
      <c r="F462" s="9">
        <v>76</v>
      </c>
      <c r="G462" s="7">
        <v>44109</v>
      </c>
      <c r="H462" s="9">
        <v>75.5</v>
      </c>
      <c r="I462" s="7">
        <v>44109</v>
      </c>
      <c r="J462" s="9">
        <v>48.75</v>
      </c>
      <c r="K462" s="5">
        <f t="shared" ref="K462:K525" si="21">F462-J462</f>
        <v>27.25</v>
      </c>
      <c r="L462" s="6">
        <f t="shared" ref="L462:L525" si="22">F462-H462</f>
        <v>0.5</v>
      </c>
    </row>
    <row r="463" spans="1:12" x14ac:dyDescent="0.25">
      <c r="A463">
        <f t="shared" si="20"/>
        <v>10</v>
      </c>
      <c r="B463">
        <f t="shared" ref="B463:B526" si="23">YEAR(E463)</f>
        <v>2020</v>
      </c>
      <c r="C463" s="7">
        <v>44110</v>
      </c>
      <c r="D463" s="8"/>
      <c r="E463" s="7">
        <v>44110</v>
      </c>
      <c r="F463" s="9">
        <v>76.75</v>
      </c>
      <c r="G463" s="7">
        <v>44110</v>
      </c>
      <c r="H463" s="9">
        <v>76.25</v>
      </c>
      <c r="I463" s="7">
        <v>44110</v>
      </c>
      <c r="J463" s="9">
        <v>49.25</v>
      </c>
      <c r="K463" s="5">
        <f t="shared" si="21"/>
        <v>27.5</v>
      </c>
      <c r="L463" s="6">
        <f t="shared" si="22"/>
        <v>0.5</v>
      </c>
    </row>
    <row r="464" spans="1:12" x14ac:dyDescent="0.25">
      <c r="A464">
        <f t="shared" si="20"/>
        <v>10</v>
      </c>
      <c r="B464">
        <f t="shared" si="23"/>
        <v>2020</v>
      </c>
      <c r="C464" s="7">
        <v>44111</v>
      </c>
      <c r="D464" s="8"/>
      <c r="E464" s="7">
        <v>44111</v>
      </c>
      <c r="F464" s="9">
        <v>77.25</v>
      </c>
      <c r="G464" s="7">
        <v>44111</v>
      </c>
      <c r="H464" s="9">
        <v>76.75</v>
      </c>
      <c r="I464" s="7">
        <v>44111</v>
      </c>
      <c r="J464" s="9">
        <v>49.5</v>
      </c>
      <c r="K464" s="5">
        <f t="shared" si="21"/>
        <v>27.75</v>
      </c>
      <c r="L464" s="6">
        <f t="shared" si="22"/>
        <v>0.5</v>
      </c>
    </row>
    <row r="465" spans="1:12" x14ac:dyDescent="0.25">
      <c r="A465">
        <f t="shared" si="20"/>
        <v>10</v>
      </c>
      <c r="B465">
        <f t="shared" si="23"/>
        <v>2020</v>
      </c>
      <c r="C465" s="7">
        <v>44112</v>
      </c>
      <c r="D465" s="8"/>
      <c r="E465" s="7">
        <v>44112</v>
      </c>
      <c r="F465" s="9">
        <v>77</v>
      </c>
      <c r="G465" s="7">
        <v>44112</v>
      </c>
      <c r="H465" s="9">
        <v>76.5</v>
      </c>
      <c r="I465" s="7">
        <v>44112</v>
      </c>
      <c r="J465" s="9">
        <v>49.75</v>
      </c>
      <c r="K465" s="5">
        <f t="shared" si="21"/>
        <v>27.25</v>
      </c>
      <c r="L465" s="6">
        <f t="shared" si="22"/>
        <v>0.5</v>
      </c>
    </row>
    <row r="466" spans="1:12" x14ac:dyDescent="0.25">
      <c r="A466">
        <f t="shared" si="20"/>
        <v>10</v>
      </c>
      <c r="B466">
        <f t="shared" si="23"/>
        <v>2020</v>
      </c>
      <c r="C466" s="7">
        <v>44113</v>
      </c>
      <c r="D466" s="8"/>
      <c r="E466" s="7">
        <v>44113</v>
      </c>
      <c r="F466" s="9">
        <v>79.25</v>
      </c>
      <c r="G466" s="7">
        <v>44113</v>
      </c>
      <c r="H466" s="9">
        <v>78.75</v>
      </c>
      <c r="I466" s="7">
        <v>44113</v>
      </c>
      <c r="J466" s="9">
        <v>49.75</v>
      </c>
      <c r="K466" s="5">
        <f t="shared" si="21"/>
        <v>29.5</v>
      </c>
      <c r="L466" s="6">
        <f t="shared" si="22"/>
        <v>0.5</v>
      </c>
    </row>
    <row r="467" spans="1:12" x14ac:dyDescent="0.25">
      <c r="A467">
        <f t="shared" si="20"/>
        <v>10</v>
      </c>
      <c r="B467">
        <f t="shared" si="23"/>
        <v>2020</v>
      </c>
      <c r="C467" s="7">
        <v>44116</v>
      </c>
      <c r="D467" s="8"/>
      <c r="E467" s="7">
        <v>44116</v>
      </c>
      <c r="F467" s="9">
        <v>79.25</v>
      </c>
      <c r="G467" s="7">
        <v>44116</v>
      </c>
      <c r="H467" s="9">
        <v>79.25</v>
      </c>
      <c r="I467" s="7">
        <v>44116</v>
      </c>
      <c r="J467" s="9">
        <v>49.75</v>
      </c>
      <c r="K467" s="5">
        <f t="shared" si="21"/>
        <v>29.5</v>
      </c>
      <c r="L467" s="6">
        <f t="shared" si="22"/>
        <v>0</v>
      </c>
    </row>
    <row r="468" spans="1:12" x14ac:dyDescent="0.25">
      <c r="A468">
        <f t="shared" si="20"/>
        <v>10</v>
      </c>
      <c r="B468">
        <f t="shared" si="23"/>
        <v>2020</v>
      </c>
      <c r="C468" s="7">
        <v>44117</v>
      </c>
      <c r="D468" s="8"/>
      <c r="E468" s="7">
        <v>44117</v>
      </c>
      <c r="F468" s="9">
        <v>79.25</v>
      </c>
      <c r="G468" s="7">
        <v>44117</v>
      </c>
      <c r="H468" s="9">
        <v>79.25</v>
      </c>
      <c r="I468" s="7">
        <v>44117</v>
      </c>
      <c r="J468" s="9">
        <v>49.75</v>
      </c>
      <c r="K468" s="5">
        <f t="shared" si="21"/>
        <v>29.5</v>
      </c>
      <c r="L468" s="6">
        <f t="shared" si="22"/>
        <v>0</v>
      </c>
    </row>
    <row r="469" spans="1:12" x14ac:dyDescent="0.25">
      <c r="A469">
        <f t="shared" si="20"/>
        <v>10</v>
      </c>
      <c r="B469">
        <f t="shared" si="23"/>
        <v>2020</v>
      </c>
      <c r="C469" s="7">
        <v>44118</v>
      </c>
      <c r="D469" s="8"/>
      <c r="E469" s="7">
        <v>44118</v>
      </c>
      <c r="F469" s="9">
        <v>79</v>
      </c>
      <c r="G469" s="7">
        <v>44118</v>
      </c>
      <c r="H469" s="9">
        <v>78.5</v>
      </c>
      <c r="I469" s="7">
        <v>44118</v>
      </c>
      <c r="J469" s="9">
        <v>49.75</v>
      </c>
      <c r="K469" s="5">
        <f t="shared" si="21"/>
        <v>29.25</v>
      </c>
      <c r="L469" s="6">
        <f t="shared" si="22"/>
        <v>0.5</v>
      </c>
    </row>
    <row r="470" spans="1:12" x14ac:dyDescent="0.25">
      <c r="A470">
        <f t="shared" si="20"/>
        <v>10</v>
      </c>
      <c r="B470">
        <f t="shared" si="23"/>
        <v>2020</v>
      </c>
      <c r="C470" s="7">
        <v>44119</v>
      </c>
      <c r="D470" s="8"/>
      <c r="E470" s="7">
        <v>44119</v>
      </c>
      <c r="F470" s="9">
        <v>79.25</v>
      </c>
      <c r="G470" s="7">
        <v>44119</v>
      </c>
      <c r="H470" s="9">
        <v>78.75</v>
      </c>
      <c r="I470" s="7">
        <v>44119</v>
      </c>
      <c r="J470" s="9">
        <v>50.5</v>
      </c>
      <c r="K470" s="5">
        <f t="shared" si="21"/>
        <v>28.75</v>
      </c>
      <c r="L470" s="6">
        <f t="shared" si="22"/>
        <v>0.5</v>
      </c>
    </row>
    <row r="471" spans="1:12" x14ac:dyDescent="0.25">
      <c r="A471">
        <f t="shared" si="20"/>
        <v>10</v>
      </c>
      <c r="B471">
        <f t="shared" si="23"/>
        <v>2020</v>
      </c>
      <c r="C471" s="7">
        <v>44120</v>
      </c>
      <c r="D471" s="8"/>
      <c r="E471" s="7">
        <v>44120</v>
      </c>
      <c r="F471" s="9">
        <v>80.5</v>
      </c>
      <c r="G471" s="7">
        <v>44120</v>
      </c>
      <c r="H471" s="9">
        <v>80</v>
      </c>
      <c r="I471" s="7">
        <v>44120</v>
      </c>
      <c r="J471" s="9">
        <v>52.5</v>
      </c>
      <c r="K471" s="5">
        <f t="shared" si="21"/>
        <v>28</v>
      </c>
      <c r="L471" s="6">
        <f t="shared" si="22"/>
        <v>0.5</v>
      </c>
    </row>
    <row r="472" spans="1:12" x14ac:dyDescent="0.25">
      <c r="A472">
        <f t="shared" si="20"/>
        <v>10</v>
      </c>
      <c r="B472">
        <f t="shared" si="23"/>
        <v>2020</v>
      </c>
      <c r="C472" s="7">
        <v>44123</v>
      </c>
      <c r="D472" s="8"/>
      <c r="E472" s="7">
        <v>44123</v>
      </c>
      <c r="F472" s="9">
        <v>79</v>
      </c>
      <c r="G472" s="7">
        <v>44123</v>
      </c>
      <c r="H472" s="9">
        <v>78.5</v>
      </c>
      <c r="I472" s="7">
        <v>44123</v>
      </c>
      <c r="J472" s="9">
        <v>53.25</v>
      </c>
      <c r="K472" s="5">
        <f t="shared" si="21"/>
        <v>25.75</v>
      </c>
      <c r="L472" s="6">
        <f t="shared" si="22"/>
        <v>0.5</v>
      </c>
    </row>
    <row r="473" spans="1:12" x14ac:dyDescent="0.25">
      <c r="A473">
        <f t="shared" si="20"/>
        <v>10</v>
      </c>
      <c r="B473">
        <f t="shared" si="23"/>
        <v>2020</v>
      </c>
      <c r="C473" s="7">
        <v>44124</v>
      </c>
      <c r="D473" s="8"/>
      <c r="E473" s="7">
        <v>44124</v>
      </c>
      <c r="F473" s="9">
        <v>80</v>
      </c>
      <c r="G473" s="7">
        <v>44124</v>
      </c>
      <c r="H473" s="9">
        <v>79.5</v>
      </c>
      <c r="I473" s="7">
        <v>44124</v>
      </c>
      <c r="J473" s="9">
        <v>54.75</v>
      </c>
      <c r="K473" s="5">
        <f t="shared" si="21"/>
        <v>25.25</v>
      </c>
      <c r="L473" s="6">
        <f t="shared" si="22"/>
        <v>0.5</v>
      </c>
    </row>
    <row r="474" spans="1:12" x14ac:dyDescent="0.25">
      <c r="A474">
        <f t="shared" si="20"/>
        <v>10</v>
      </c>
      <c r="B474">
        <f t="shared" si="23"/>
        <v>2020</v>
      </c>
      <c r="C474" s="7">
        <v>44125</v>
      </c>
      <c r="D474" s="8"/>
      <c r="E474" s="7">
        <v>44125</v>
      </c>
      <c r="F474" s="9">
        <v>81.5</v>
      </c>
      <c r="G474" s="7">
        <v>44125</v>
      </c>
      <c r="H474" s="9">
        <v>81</v>
      </c>
      <c r="I474" s="7">
        <v>44125</v>
      </c>
      <c r="J474" s="9">
        <v>57</v>
      </c>
      <c r="K474" s="5">
        <f t="shared" si="21"/>
        <v>24.5</v>
      </c>
      <c r="L474" s="6">
        <f t="shared" si="22"/>
        <v>0.5</v>
      </c>
    </row>
    <row r="475" spans="1:12" x14ac:dyDescent="0.25">
      <c r="A475">
        <f t="shared" si="20"/>
        <v>10</v>
      </c>
      <c r="B475">
        <f t="shared" si="23"/>
        <v>2020</v>
      </c>
      <c r="C475" s="7">
        <v>44126</v>
      </c>
      <c r="D475" s="8"/>
      <c r="E475" s="7">
        <v>44126</v>
      </c>
      <c r="F475" s="9">
        <v>82</v>
      </c>
      <c r="G475" s="7">
        <v>44126</v>
      </c>
      <c r="H475" s="9">
        <v>81.5</v>
      </c>
      <c r="I475" s="7">
        <v>44126</v>
      </c>
      <c r="J475" s="9">
        <v>57.5</v>
      </c>
      <c r="K475" s="5">
        <f t="shared" si="21"/>
        <v>24.5</v>
      </c>
      <c r="L475" s="6">
        <f t="shared" si="22"/>
        <v>0.5</v>
      </c>
    </row>
    <row r="476" spans="1:12" x14ac:dyDescent="0.25">
      <c r="A476">
        <f t="shared" si="20"/>
        <v>10</v>
      </c>
      <c r="B476">
        <f t="shared" si="23"/>
        <v>2020</v>
      </c>
      <c r="C476" s="7">
        <v>44127</v>
      </c>
      <c r="D476" s="8"/>
      <c r="E476" s="7">
        <v>44127</v>
      </c>
      <c r="F476" s="9">
        <v>82.5</v>
      </c>
      <c r="G476" s="7">
        <v>44127</v>
      </c>
      <c r="H476" s="9">
        <v>82</v>
      </c>
      <c r="I476" s="7">
        <v>44127</v>
      </c>
      <c r="J476" s="9">
        <v>59.5</v>
      </c>
      <c r="K476" s="5">
        <f t="shared" si="21"/>
        <v>23</v>
      </c>
      <c r="L476" s="6">
        <f t="shared" si="22"/>
        <v>0.5</v>
      </c>
    </row>
    <row r="477" spans="1:12" x14ac:dyDescent="0.25">
      <c r="A477">
        <f t="shared" si="20"/>
        <v>10</v>
      </c>
      <c r="B477">
        <f t="shared" si="23"/>
        <v>2020</v>
      </c>
      <c r="C477" s="7">
        <v>44130</v>
      </c>
      <c r="D477" s="8"/>
      <c r="E477" s="7">
        <v>44130</v>
      </c>
      <c r="F477" s="9">
        <v>83.75</v>
      </c>
      <c r="G477" s="7">
        <v>44130</v>
      </c>
      <c r="H477" s="9">
        <v>83.25</v>
      </c>
      <c r="I477" s="7">
        <v>44130</v>
      </c>
      <c r="J477" s="9">
        <v>60.25</v>
      </c>
      <c r="K477" s="5">
        <f t="shared" si="21"/>
        <v>23.5</v>
      </c>
      <c r="L477" s="6">
        <f t="shared" si="22"/>
        <v>0.5</v>
      </c>
    </row>
    <row r="478" spans="1:12" x14ac:dyDescent="0.25">
      <c r="A478">
        <f t="shared" si="20"/>
        <v>10</v>
      </c>
      <c r="B478">
        <f t="shared" si="23"/>
        <v>2020</v>
      </c>
      <c r="C478" s="7">
        <v>44131</v>
      </c>
      <c r="D478" s="8"/>
      <c r="E478" s="7">
        <v>44131</v>
      </c>
      <c r="F478" s="9">
        <v>82.75</v>
      </c>
      <c r="G478" s="7">
        <v>44131</v>
      </c>
      <c r="H478" s="9">
        <v>82.25</v>
      </c>
      <c r="I478" s="7">
        <v>44131</v>
      </c>
      <c r="J478" s="9">
        <v>60.25</v>
      </c>
      <c r="K478" s="5">
        <f t="shared" si="21"/>
        <v>22.5</v>
      </c>
      <c r="L478" s="6">
        <f t="shared" si="22"/>
        <v>0.5</v>
      </c>
    </row>
    <row r="479" spans="1:12" x14ac:dyDescent="0.25">
      <c r="A479">
        <f t="shared" si="20"/>
        <v>10</v>
      </c>
      <c r="B479">
        <f t="shared" si="23"/>
        <v>2020</v>
      </c>
      <c r="C479" s="7">
        <v>44132</v>
      </c>
      <c r="D479" s="8"/>
      <c r="E479" s="7">
        <v>44132</v>
      </c>
      <c r="F479" s="9">
        <v>82.75</v>
      </c>
      <c r="G479" s="7">
        <v>44132</v>
      </c>
      <c r="H479" s="9">
        <v>82.25</v>
      </c>
      <c r="I479" s="7">
        <v>44132</v>
      </c>
      <c r="J479" s="9">
        <v>58.5</v>
      </c>
      <c r="K479" s="5">
        <f t="shared" si="21"/>
        <v>24.25</v>
      </c>
      <c r="L479" s="6">
        <f t="shared" si="22"/>
        <v>0.5</v>
      </c>
    </row>
    <row r="480" spans="1:12" x14ac:dyDescent="0.25">
      <c r="A480">
        <f t="shared" si="20"/>
        <v>10</v>
      </c>
      <c r="B480">
        <f t="shared" si="23"/>
        <v>2020</v>
      </c>
      <c r="C480" s="7">
        <v>44133</v>
      </c>
      <c r="D480" s="8"/>
      <c r="E480" s="7">
        <v>44133</v>
      </c>
      <c r="F480" s="9">
        <v>82.5</v>
      </c>
      <c r="G480" s="7">
        <v>44133</v>
      </c>
      <c r="H480" s="9">
        <v>82</v>
      </c>
      <c r="I480" s="7">
        <v>44133</v>
      </c>
      <c r="J480" s="9">
        <v>59.5</v>
      </c>
      <c r="K480" s="5">
        <f t="shared" si="21"/>
        <v>23</v>
      </c>
      <c r="L480" s="6">
        <f t="shared" si="22"/>
        <v>0.5</v>
      </c>
    </row>
    <row r="481" spans="1:12" x14ac:dyDescent="0.25">
      <c r="A481">
        <f t="shared" si="20"/>
        <v>10</v>
      </c>
      <c r="B481">
        <f t="shared" si="23"/>
        <v>2020</v>
      </c>
      <c r="C481" s="7">
        <v>44134</v>
      </c>
      <c r="D481" s="8"/>
      <c r="E481" s="7">
        <v>44134</v>
      </c>
      <c r="F481" s="9">
        <v>81</v>
      </c>
      <c r="G481" s="7">
        <v>44134</v>
      </c>
      <c r="H481" s="9">
        <v>80.5</v>
      </c>
      <c r="I481" s="7">
        <v>44134</v>
      </c>
      <c r="J481" s="9">
        <v>58.75</v>
      </c>
      <c r="K481" s="5">
        <f t="shared" si="21"/>
        <v>22.25</v>
      </c>
      <c r="L481" s="6">
        <f t="shared" si="22"/>
        <v>0.5</v>
      </c>
    </row>
    <row r="482" spans="1:12" x14ac:dyDescent="0.25">
      <c r="A482">
        <f t="shared" si="20"/>
        <v>11</v>
      </c>
      <c r="B482">
        <f t="shared" si="23"/>
        <v>2020</v>
      </c>
      <c r="C482" s="7">
        <v>44137</v>
      </c>
      <c r="D482" s="8"/>
      <c r="E482" s="7">
        <v>44137</v>
      </c>
      <c r="F482" s="9">
        <v>80.25</v>
      </c>
      <c r="G482" s="7">
        <v>44137</v>
      </c>
      <c r="H482" s="9">
        <v>79.75</v>
      </c>
      <c r="I482" s="7">
        <v>44137</v>
      </c>
      <c r="J482" s="9">
        <v>56.5</v>
      </c>
      <c r="K482" s="5">
        <f t="shared" si="21"/>
        <v>23.75</v>
      </c>
      <c r="L482" s="6">
        <f t="shared" si="22"/>
        <v>0.5</v>
      </c>
    </row>
    <row r="483" spans="1:12" x14ac:dyDescent="0.25">
      <c r="A483">
        <f t="shared" si="20"/>
        <v>11</v>
      </c>
      <c r="B483">
        <f t="shared" si="23"/>
        <v>2020</v>
      </c>
      <c r="C483" s="7">
        <v>44138</v>
      </c>
      <c r="D483" s="8"/>
      <c r="E483" s="7">
        <v>44138</v>
      </c>
      <c r="F483" s="9">
        <v>81.5</v>
      </c>
      <c r="G483" s="7">
        <v>44138</v>
      </c>
      <c r="H483" s="9">
        <v>81</v>
      </c>
      <c r="I483" s="7">
        <v>44138</v>
      </c>
      <c r="J483" s="9">
        <v>59.25</v>
      </c>
      <c r="K483" s="5">
        <f t="shared" si="21"/>
        <v>22.25</v>
      </c>
      <c r="L483" s="6">
        <f t="shared" si="22"/>
        <v>0.5</v>
      </c>
    </row>
    <row r="484" spans="1:12" x14ac:dyDescent="0.25">
      <c r="A484">
        <f t="shared" si="20"/>
        <v>11</v>
      </c>
      <c r="B484">
        <f t="shared" si="23"/>
        <v>2020</v>
      </c>
      <c r="C484" s="7">
        <v>44139</v>
      </c>
      <c r="D484" s="8"/>
      <c r="E484" s="7">
        <v>44139</v>
      </c>
      <c r="F484" s="9">
        <v>82.5</v>
      </c>
      <c r="G484" s="7">
        <v>44139</v>
      </c>
      <c r="H484" s="9">
        <v>82</v>
      </c>
      <c r="I484" s="7">
        <v>44139</v>
      </c>
      <c r="J484" s="9">
        <v>60.5</v>
      </c>
      <c r="K484" s="5">
        <f t="shared" si="21"/>
        <v>22</v>
      </c>
      <c r="L484" s="6">
        <f t="shared" si="22"/>
        <v>0.5</v>
      </c>
    </row>
    <row r="485" spans="1:12" x14ac:dyDescent="0.25">
      <c r="A485">
        <f t="shared" si="20"/>
        <v>11</v>
      </c>
      <c r="B485">
        <f t="shared" si="23"/>
        <v>2020</v>
      </c>
      <c r="C485" s="7">
        <v>44140</v>
      </c>
      <c r="D485" s="8"/>
      <c r="E485" s="7">
        <v>44140</v>
      </c>
      <c r="F485" s="9">
        <v>85.5</v>
      </c>
      <c r="G485" s="7">
        <v>44140</v>
      </c>
      <c r="H485" s="9">
        <v>85</v>
      </c>
      <c r="I485" s="7">
        <v>44140</v>
      </c>
      <c r="J485" s="9">
        <v>62.75</v>
      </c>
      <c r="K485" s="5">
        <f t="shared" si="21"/>
        <v>22.75</v>
      </c>
      <c r="L485" s="6">
        <f t="shared" si="22"/>
        <v>0.5</v>
      </c>
    </row>
    <row r="486" spans="1:12" x14ac:dyDescent="0.25">
      <c r="A486">
        <f t="shared" si="20"/>
        <v>11</v>
      </c>
      <c r="B486">
        <f t="shared" si="23"/>
        <v>2020</v>
      </c>
      <c r="C486" s="7">
        <v>44141</v>
      </c>
      <c r="D486" s="8"/>
      <c r="E486" s="7">
        <v>44141</v>
      </c>
      <c r="F486" s="9">
        <v>87.5</v>
      </c>
      <c r="G486" s="7">
        <v>44141</v>
      </c>
      <c r="H486" s="9">
        <v>87</v>
      </c>
      <c r="I486" s="7">
        <v>44141</v>
      </c>
      <c r="J486" s="9">
        <v>67.75</v>
      </c>
      <c r="K486" s="5">
        <f t="shared" si="21"/>
        <v>19.75</v>
      </c>
      <c r="L486" s="6">
        <f t="shared" si="22"/>
        <v>0.5</v>
      </c>
    </row>
    <row r="487" spans="1:12" x14ac:dyDescent="0.25">
      <c r="A487">
        <f t="shared" si="20"/>
        <v>11</v>
      </c>
      <c r="B487">
        <f t="shared" si="23"/>
        <v>2020</v>
      </c>
      <c r="C487" s="7">
        <v>44144</v>
      </c>
      <c r="D487" s="8"/>
      <c r="E487" s="7">
        <v>44144</v>
      </c>
      <c r="F487" s="9">
        <v>88</v>
      </c>
      <c r="G487" s="7">
        <v>44144</v>
      </c>
      <c r="H487" s="9">
        <v>87.5</v>
      </c>
      <c r="I487" s="7">
        <v>44144</v>
      </c>
      <c r="J487" s="9">
        <v>70</v>
      </c>
      <c r="K487" s="5">
        <f t="shared" si="21"/>
        <v>18</v>
      </c>
      <c r="L487" s="6">
        <f t="shared" si="22"/>
        <v>0.5</v>
      </c>
    </row>
    <row r="488" spans="1:12" x14ac:dyDescent="0.25">
      <c r="A488">
        <f t="shared" si="20"/>
        <v>11</v>
      </c>
      <c r="B488">
        <f t="shared" si="23"/>
        <v>2020</v>
      </c>
      <c r="C488" s="7">
        <v>44145</v>
      </c>
      <c r="D488" s="8"/>
      <c r="E488" s="7">
        <v>44145</v>
      </c>
      <c r="F488" s="9">
        <v>86.5</v>
      </c>
      <c r="G488" s="7">
        <v>44145</v>
      </c>
      <c r="H488" s="9">
        <v>86</v>
      </c>
      <c r="I488" s="7">
        <v>44145</v>
      </c>
      <c r="J488" s="9">
        <v>69.5</v>
      </c>
      <c r="K488" s="5">
        <f t="shared" si="21"/>
        <v>17</v>
      </c>
      <c r="L488" s="6">
        <f t="shared" si="22"/>
        <v>0.5</v>
      </c>
    </row>
    <row r="489" spans="1:12" x14ac:dyDescent="0.25">
      <c r="A489">
        <f t="shared" si="20"/>
        <v>11</v>
      </c>
      <c r="B489">
        <f t="shared" si="23"/>
        <v>2020</v>
      </c>
      <c r="C489" s="7">
        <v>44146</v>
      </c>
      <c r="D489" s="8"/>
      <c r="E489" s="7">
        <v>44146</v>
      </c>
      <c r="F489" s="9">
        <v>87</v>
      </c>
      <c r="G489" s="7">
        <v>44146</v>
      </c>
      <c r="H489" s="9">
        <v>86.5</v>
      </c>
      <c r="I489" s="7">
        <v>44146</v>
      </c>
      <c r="J489" s="9">
        <v>69</v>
      </c>
      <c r="K489" s="5">
        <f t="shared" si="21"/>
        <v>18</v>
      </c>
      <c r="L489" s="6">
        <f t="shared" si="22"/>
        <v>0.5</v>
      </c>
    </row>
    <row r="490" spans="1:12" x14ac:dyDescent="0.25">
      <c r="A490">
        <f t="shared" si="20"/>
        <v>11</v>
      </c>
      <c r="B490">
        <f t="shared" si="23"/>
        <v>2020</v>
      </c>
      <c r="C490" s="7">
        <v>44147</v>
      </c>
      <c r="D490" s="8"/>
      <c r="E490" s="7">
        <v>44147</v>
      </c>
      <c r="F490" s="9">
        <v>87</v>
      </c>
      <c r="G490" s="7">
        <v>44147</v>
      </c>
      <c r="H490" s="9">
        <v>86.5</v>
      </c>
      <c r="I490" s="7">
        <v>44147</v>
      </c>
      <c r="J490" s="9">
        <v>65.5</v>
      </c>
      <c r="K490" s="5">
        <f t="shared" si="21"/>
        <v>21.5</v>
      </c>
      <c r="L490" s="6">
        <f t="shared" si="22"/>
        <v>0.5</v>
      </c>
    </row>
    <row r="491" spans="1:12" x14ac:dyDescent="0.25">
      <c r="A491">
        <f t="shared" si="20"/>
        <v>11</v>
      </c>
      <c r="B491">
        <f t="shared" si="23"/>
        <v>2020</v>
      </c>
      <c r="C491" s="7">
        <v>44148</v>
      </c>
      <c r="D491" s="8"/>
      <c r="E491" s="7">
        <v>44148</v>
      </c>
      <c r="F491" s="9">
        <v>86.5</v>
      </c>
      <c r="G491" s="7">
        <v>44148</v>
      </c>
      <c r="H491" s="9">
        <v>86</v>
      </c>
      <c r="I491" s="7">
        <v>44148</v>
      </c>
      <c r="J491" s="9">
        <v>61.5</v>
      </c>
      <c r="K491" s="5">
        <f t="shared" si="21"/>
        <v>25</v>
      </c>
      <c r="L491" s="6">
        <f t="shared" si="22"/>
        <v>0.5</v>
      </c>
    </row>
    <row r="492" spans="1:12" x14ac:dyDescent="0.25">
      <c r="A492">
        <f t="shared" si="20"/>
        <v>11</v>
      </c>
      <c r="B492">
        <f t="shared" si="23"/>
        <v>2020</v>
      </c>
      <c r="C492" s="7">
        <v>44151</v>
      </c>
      <c r="D492" s="8"/>
      <c r="E492" s="7">
        <v>44151</v>
      </c>
      <c r="F492" s="9">
        <v>88.25</v>
      </c>
      <c r="G492" s="7">
        <v>44151</v>
      </c>
      <c r="H492" s="9">
        <v>87.75</v>
      </c>
      <c r="I492" s="7">
        <v>44151</v>
      </c>
      <c r="J492" s="9">
        <v>63.25</v>
      </c>
      <c r="K492" s="5">
        <f t="shared" si="21"/>
        <v>25</v>
      </c>
      <c r="L492" s="6">
        <f t="shared" si="22"/>
        <v>0.5</v>
      </c>
    </row>
    <row r="493" spans="1:12" x14ac:dyDescent="0.25">
      <c r="A493">
        <f t="shared" si="20"/>
        <v>11</v>
      </c>
      <c r="B493">
        <f t="shared" si="23"/>
        <v>2020</v>
      </c>
      <c r="C493" s="7">
        <v>44152</v>
      </c>
      <c r="D493" s="8"/>
      <c r="E493" s="7">
        <v>44152</v>
      </c>
      <c r="F493" s="9">
        <v>88.25</v>
      </c>
      <c r="G493" s="7">
        <v>44152</v>
      </c>
      <c r="H493" s="9">
        <v>87.75</v>
      </c>
      <c r="I493" s="7">
        <v>44152</v>
      </c>
      <c r="J493" s="9">
        <v>61.5</v>
      </c>
      <c r="K493" s="5">
        <f t="shared" si="21"/>
        <v>26.75</v>
      </c>
      <c r="L493" s="6">
        <f t="shared" si="22"/>
        <v>0.5</v>
      </c>
    </row>
    <row r="494" spans="1:12" x14ac:dyDescent="0.25">
      <c r="A494">
        <f t="shared" si="20"/>
        <v>11</v>
      </c>
      <c r="B494">
        <f t="shared" si="23"/>
        <v>2020</v>
      </c>
      <c r="C494" s="7">
        <v>44153</v>
      </c>
      <c r="D494" s="8"/>
      <c r="E494" s="7">
        <v>44153</v>
      </c>
      <c r="F494" s="9">
        <v>89.75</v>
      </c>
      <c r="G494" s="7">
        <v>44153</v>
      </c>
      <c r="H494" s="9">
        <v>89.25</v>
      </c>
      <c r="I494" s="7">
        <v>44153</v>
      </c>
      <c r="J494" s="9">
        <v>62</v>
      </c>
      <c r="K494" s="5">
        <f t="shared" si="21"/>
        <v>27.75</v>
      </c>
      <c r="L494" s="6">
        <f t="shared" si="22"/>
        <v>0.5</v>
      </c>
    </row>
    <row r="495" spans="1:12" x14ac:dyDescent="0.25">
      <c r="A495">
        <f t="shared" si="20"/>
        <v>11</v>
      </c>
      <c r="B495">
        <f t="shared" si="23"/>
        <v>2020</v>
      </c>
      <c r="C495" s="7">
        <v>44154</v>
      </c>
      <c r="D495" s="8"/>
      <c r="E495" s="7">
        <v>44154</v>
      </c>
      <c r="F495" s="9">
        <v>91</v>
      </c>
      <c r="G495" s="7">
        <v>44154</v>
      </c>
      <c r="H495" s="9">
        <v>90.5</v>
      </c>
      <c r="I495" s="7">
        <v>44154</v>
      </c>
      <c r="J495" s="9">
        <v>62.75</v>
      </c>
      <c r="K495" s="5">
        <f t="shared" si="21"/>
        <v>28.25</v>
      </c>
      <c r="L495" s="6">
        <f t="shared" si="22"/>
        <v>0.5</v>
      </c>
    </row>
    <row r="496" spans="1:12" x14ac:dyDescent="0.25">
      <c r="A496">
        <f t="shared" si="20"/>
        <v>11</v>
      </c>
      <c r="B496">
        <f t="shared" si="23"/>
        <v>2020</v>
      </c>
      <c r="C496" s="7">
        <v>44155</v>
      </c>
      <c r="D496" s="8"/>
      <c r="E496" s="7">
        <v>44155</v>
      </c>
      <c r="F496" s="9">
        <v>90.5</v>
      </c>
      <c r="G496" s="7">
        <v>44155</v>
      </c>
      <c r="H496" s="9">
        <v>90</v>
      </c>
      <c r="I496" s="7">
        <v>44155</v>
      </c>
      <c r="J496" s="9">
        <v>63.5</v>
      </c>
      <c r="K496" s="5">
        <f t="shared" si="21"/>
        <v>27</v>
      </c>
      <c r="L496" s="6">
        <f t="shared" si="22"/>
        <v>0.5</v>
      </c>
    </row>
    <row r="497" spans="1:12" x14ac:dyDescent="0.25">
      <c r="A497">
        <f t="shared" si="20"/>
        <v>11</v>
      </c>
      <c r="B497">
        <f t="shared" si="23"/>
        <v>2020</v>
      </c>
      <c r="C497" s="7">
        <v>44158</v>
      </c>
      <c r="D497" s="8"/>
      <c r="E497" s="7">
        <v>44158</v>
      </c>
      <c r="F497" s="9">
        <v>90</v>
      </c>
      <c r="G497" s="7">
        <v>44158</v>
      </c>
      <c r="H497" s="9">
        <v>89.5</v>
      </c>
      <c r="I497" s="7">
        <v>44158</v>
      </c>
      <c r="J497" s="9">
        <v>61.25</v>
      </c>
      <c r="K497" s="5">
        <f t="shared" si="21"/>
        <v>28.75</v>
      </c>
      <c r="L497" s="6">
        <f t="shared" si="22"/>
        <v>0.5</v>
      </c>
    </row>
    <row r="498" spans="1:12" x14ac:dyDescent="0.25">
      <c r="A498">
        <f t="shared" si="20"/>
        <v>11</v>
      </c>
      <c r="B498">
        <f t="shared" si="23"/>
        <v>2020</v>
      </c>
      <c r="C498" s="7">
        <v>44159</v>
      </c>
      <c r="D498" s="8"/>
      <c r="E498" s="7">
        <v>44159</v>
      </c>
      <c r="F498" s="9">
        <v>90</v>
      </c>
      <c r="G498" s="7">
        <v>44159</v>
      </c>
      <c r="H498" s="9">
        <v>89.5</v>
      </c>
      <c r="I498" s="7">
        <v>44159</v>
      </c>
      <c r="J498" s="9">
        <v>60.25</v>
      </c>
      <c r="K498" s="5">
        <f t="shared" si="21"/>
        <v>29.75</v>
      </c>
      <c r="L498" s="6">
        <f t="shared" si="22"/>
        <v>0.5</v>
      </c>
    </row>
    <row r="499" spans="1:12" x14ac:dyDescent="0.25">
      <c r="A499">
        <f t="shared" si="20"/>
        <v>11</v>
      </c>
      <c r="B499">
        <f t="shared" si="23"/>
        <v>2020</v>
      </c>
      <c r="C499" s="7">
        <v>44160</v>
      </c>
      <c r="D499" s="8"/>
      <c r="E499" s="7">
        <v>44160</v>
      </c>
      <c r="F499" s="9">
        <v>87.25</v>
      </c>
      <c r="G499" s="7">
        <v>44160</v>
      </c>
      <c r="H499" s="9">
        <v>86.75</v>
      </c>
      <c r="I499" s="7">
        <v>44160</v>
      </c>
      <c r="J499" s="9">
        <v>62.5</v>
      </c>
      <c r="K499" s="5">
        <f t="shared" si="21"/>
        <v>24.75</v>
      </c>
      <c r="L499" s="6">
        <f t="shared" si="22"/>
        <v>0.5</v>
      </c>
    </row>
    <row r="500" spans="1:12" x14ac:dyDescent="0.25">
      <c r="A500">
        <f t="shared" si="20"/>
        <v>11</v>
      </c>
      <c r="B500">
        <f t="shared" si="23"/>
        <v>2020</v>
      </c>
      <c r="C500" s="7">
        <v>44165</v>
      </c>
      <c r="D500" s="8"/>
      <c r="E500" s="7">
        <v>44165</v>
      </c>
      <c r="F500" s="9">
        <v>91.75</v>
      </c>
      <c r="G500" s="7">
        <v>44165</v>
      </c>
      <c r="H500" s="9">
        <v>91.25</v>
      </c>
      <c r="I500" s="7">
        <v>44165</v>
      </c>
      <c r="J500" s="9">
        <v>65.5</v>
      </c>
      <c r="K500" s="5">
        <f t="shared" si="21"/>
        <v>26.25</v>
      </c>
      <c r="L500" s="6">
        <f t="shared" si="22"/>
        <v>0.5</v>
      </c>
    </row>
    <row r="501" spans="1:12" x14ac:dyDescent="0.25">
      <c r="A501">
        <f t="shared" si="20"/>
        <v>12</v>
      </c>
      <c r="B501">
        <f t="shared" si="23"/>
        <v>2020</v>
      </c>
      <c r="C501" s="7">
        <v>44166</v>
      </c>
      <c r="D501" s="8"/>
      <c r="E501" s="7">
        <v>44166</v>
      </c>
      <c r="F501" s="9">
        <v>91.75</v>
      </c>
      <c r="G501" s="7">
        <v>44166</v>
      </c>
      <c r="H501" s="9">
        <v>91.25</v>
      </c>
      <c r="I501" s="7">
        <v>44166</v>
      </c>
      <c r="J501" s="9">
        <v>66.5</v>
      </c>
      <c r="K501" s="5">
        <f t="shared" si="21"/>
        <v>25.25</v>
      </c>
      <c r="L501" s="6">
        <f t="shared" si="22"/>
        <v>0.5</v>
      </c>
    </row>
    <row r="502" spans="1:12" x14ac:dyDescent="0.25">
      <c r="A502">
        <f t="shared" si="20"/>
        <v>12</v>
      </c>
      <c r="B502">
        <f t="shared" si="23"/>
        <v>2020</v>
      </c>
      <c r="C502" s="7">
        <v>44167</v>
      </c>
      <c r="D502" s="8"/>
      <c r="E502" s="7">
        <v>44167</v>
      </c>
      <c r="F502" s="9">
        <v>91.75</v>
      </c>
      <c r="G502" s="7">
        <v>44167</v>
      </c>
      <c r="H502" s="9">
        <v>91.25</v>
      </c>
      <c r="I502" s="7">
        <v>44167</v>
      </c>
      <c r="J502" s="9">
        <v>66.5</v>
      </c>
      <c r="K502" s="5">
        <f t="shared" si="21"/>
        <v>25.25</v>
      </c>
      <c r="L502" s="6">
        <f t="shared" si="22"/>
        <v>0.5</v>
      </c>
    </row>
    <row r="503" spans="1:12" x14ac:dyDescent="0.25">
      <c r="A503">
        <f t="shared" si="20"/>
        <v>12</v>
      </c>
      <c r="B503">
        <f t="shared" si="23"/>
        <v>2020</v>
      </c>
      <c r="C503" s="7">
        <v>44168</v>
      </c>
      <c r="D503" s="8"/>
      <c r="E503" s="7">
        <v>44168</v>
      </c>
      <c r="F503" s="9">
        <v>91.75</v>
      </c>
      <c r="G503" s="7">
        <v>44168</v>
      </c>
      <c r="H503" s="9">
        <v>91.25</v>
      </c>
      <c r="I503" s="7">
        <v>44168</v>
      </c>
      <c r="J503" s="9">
        <v>67.5</v>
      </c>
      <c r="K503" s="5">
        <f t="shared" si="21"/>
        <v>24.25</v>
      </c>
      <c r="L503" s="6">
        <f t="shared" si="22"/>
        <v>0.5</v>
      </c>
    </row>
    <row r="504" spans="1:12" x14ac:dyDescent="0.25">
      <c r="A504">
        <f t="shared" si="20"/>
        <v>12</v>
      </c>
      <c r="B504">
        <f t="shared" si="23"/>
        <v>2020</v>
      </c>
      <c r="C504" s="7">
        <v>44169</v>
      </c>
      <c r="D504" s="8"/>
      <c r="E504" s="7">
        <v>44169</v>
      </c>
      <c r="F504" s="9">
        <v>94.75</v>
      </c>
      <c r="G504" s="7">
        <v>44169</v>
      </c>
      <c r="H504" s="9">
        <v>94.25</v>
      </c>
      <c r="I504" s="7">
        <v>44169</v>
      </c>
      <c r="J504" s="9">
        <v>69</v>
      </c>
      <c r="K504" s="5">
        <f t="shared" si="21"/>
        <v>25.75</v>
      </c>
      <c r="L504" s="6">
        <f t="shared" si="22"/>
        <v>0.5</v>
      </c>
    </row>
    <row r="505" spans="1:12" x14ac:dyDescent="0.25">
      <c r="A505">
        <f t="shared" si="20"/>
        <v>12</v>
      </c>
      <c r="B505">
        <f t="shared" si="23"/>
        <v>2020</v>
      </c>
      <c r="C505" s="7">
        <v>44172</v>
      </c>
      <c r="D505" s="8"/>
      <c r="E505" s="7">
        <v>44172</v>
      </c>
      <c r="F505" s="9">
        <v>102.5</v>
      </c>
      <c r="G505" s="7">
        <v>44172</v>
      </c>
      <c r="H505" s="9">
        <v>102</v>
      </c>
      <c r="I505" s="7">
        <v>44172</v>
      </c>
      <c r="J505" s="9">
        <v>70.5</v>
      </c>
      <c r="K505" s="5">
        <f t="shared" si="21"/>
        <v>32</v>
      </c>
      <c r="L505" s="6">
        <f t="shared" si="22"/>
        <v>0.5</v>
      </c>
    </row>
    <row r="506" spans="1:12" x14ac:dyDescent="0.25">
      <c r="A506">
        <f t="shared" si="20"/>
        <v>12</v>
      </c>
      <c r="B506">
        <f t="shared" si="23"/>
        <v>2020</v>
      </c>
      <c r="C506" s="7">
        <v>44173</v>
      </c>
      <c r="D506" s="8"/>
      <c r="E506" s="7">
        <v>44173</v>
      </c>
      <c r="F506" s="9">
        <v>103.5</v>
      </c>
      <c r="G506" s="7">
        <v>44173</v>
      </c>
      <c r="H506" s="9">
        <v>103</v>
      </c>
      <c r="I506" s="7">
        <v>44173</v>
      </c>
      <c r="J506" s="9">
        <v>69</v>
      </c>
      <c r="K506" s="5">
        <f t="shared" si="21"/>
        <v>34.5</v>
      </c>
      <c r="L506" s="6">
        <f t="shared" si="22"/>
        <v>0.5</v>
      </c>
    </row>
    <row r="507" spans="1:12" x14ac:dyDescent="0.25">
      <c r="A507">
        <f t="shared" si="20"/>
        <v>12</v>
      </c>
      <c r="B507">
        <f t="shared" si="23"/>
        <v>2020</v>
      </c>
      <c r="C507" s="7">
        <v>44174</v>
      </c>
      <c r="D507" s="8"/>
      <c r="E507" s="7">
        <v>44174</v>
      </c>
      <c r="F507" s="9">
        <v>101</v>
      </c>
      <c r="G507" s="7">
        <v>44174</v>
      </c>
      <c r="H507" s="9">
        <v>100.5</v>
      </c>
      <c r="I507" s="7">
        <v>44174</v>
      </c>
      <c r="J507" s="9">
        <v>68.25</v>
      </c>
      <c r="K507" s="5">
        <f t="shared" si="21"/>
        <v>32.75</v>
      </c>
      <c r="L507" s="6">
        <f t="shared" si="22"/>
        <v>0.5</v>
      </c>
    </row>
    <row r="508" spans="1:12" x14ac:dyDescent="0.25">
      <c r="A508">
        <f t="shared" si="20"/>
        <v>12</v>
      </c>
      <c r="B508">
        <f t="shared" si="23"/>
        <v>2020</v>
      </c>
      <c r="C508" s="7">
        <v>44175</v>
      </c>
      <c r="D508" s="8"/>
      <c r="E508" s="7">
        <v>44175</v>
      </c>
      <c r="F508" s="9">
        <v>99.5</v>
      </c>
      <c r="G508" s="7">
        <v>44175</v>
      </c>
      <c r="H508" s="9">
        <v>99</v>
      </c>
      <c r="I508" s="7">
        <v>44175</v>
      </c>
      <c r="J508" s="9">
        <v>68.25</v>
      </c>
      <c r="K508" s="5">
        <f t="shared" si="21"/>
        <v>31.25</v>
      </c>
      <c r="L508" s="6">
        <f t="shared" si="22"/>
        <v>0.5</v>
      </c>
    </row>
    <row r="509" spans="1:12" x14ac:dyDescent="0.25">
      <c r="A509">
        <f t="shared" si="20"/>
        <v>12</v>
      </c>
      <c r="B509">
        <f t="shared" si="23"/>
        <v>2020</v>
      </c>
      <c r="C509" s="7">
        <v>44176</v>
      </c>
      <c r="D509" s="8"/>
      <c r="E509" s="7">
        <v>44176</v>
      </c>
      <c r="F509" s="9">
        <v>97.5</v>
      </c>
      <c r="G509" s="7">
        <v>44176</v>
      </c>
      <c r="H509" s="9">
        <v>97</v>
      </c>
      <c r="I509" s="7">
        <v>44176</v>
      </c>
      <c r="J509" s="9">
        <v>69.25</v>
      </c>
      <c r="K509" s="5">
        <f t="shared" si="21"/>
        <v>28.25</v>
      </c>
      <c r="L509" s="6">
        <f t="shared" si="22"/>
        <v>0.5</v>
      </c>
    </row>
    <row r="510" spans="1:12" x14ac:dyDescent="0.25">
      <c r="A510">
        <f t="shared" si="20"/>
        <v>12</v>
      </c>
      <c r="B510">
        <f t="shared" si="23"/>
        <v>2020</v>
      </c>
      <c r="C510" s="7">
        <v>44179</v>
      </c>
      <c r="D510" s="8"/>
      <c r="E510" s="7">
        <v>44179</v>
      </c>
      <c r="F510" s="9">
        <v>95</v>
      </c>
      <c r="G510" s="7">
        <v>44179</v>
      </c>
      <c r="H510" s="9">
        <v>94.5</v>
      </c>
      <c r="I510" s="7">
        <v>44179</v>
      </c>
      <c r="J510" s="9">
        <v>69.5</v>
      </c>
      <c r="K510" s="5">
        <f t="shared" si="21"/>
        <v>25.5</v>
      </c>
      <c r="L510" s="6">
        <f t="shared" si="22"/>
        <v>0.5</v>
      </c>
    </row>
    <row r="511" spans="1:12" x14ac:dyDescent="0.25">
      <c r="A511">
        <f t="shared" si="20"/>
        <v>12</v>
      </c>
      <c r="B511">
        <f t="shared" si="23"/>
        <v>2020</v>
      </c>
      <c r="C511" s="7">
        <v>44180</v>
      </c>
      <c r="D511" s="8"/>
      <c r="E511" s="7">
        <v>44180</v>
      </c>
      <c r="F511" s="9">
        <v>96</v>
      </c>
      <c r="G511" s="7">
        <v>44180</v>
      </c>
      <c r="H511" s="9">
        <v>95.5</v>
      </c>
      <c r="I511" s="7">
        <v>44180</v>
      </c>
      <c r="J511" s="9">
        <v>70.75</v>
      </c>
      <c r="K511" s="5">
        <f t="shared" si="21"/>
        <v>25.25</v>
      </c>
      <c r="L511" s="6">
        <f t="shared" si="22"/>
        <v>0.5</v>
      </c>
    </row>
    <row r="512" spans="1:12" x14ac:dyDescent="0.25">
      <c r="A512">
        <f t="shared" si="20"/>
        <v>12</v>
      </c>
      <c r="B512">
        <f t="shared" si="23"/>
        <v>2020</v>
      </c>
      <c r="C512" s="7">
        <v>44181</v>
      </c>
      <c r="D512" s="8"/>
      <c r="E512" s="7">
        <v>44181</v>
      </c>
      <c r="F512" s="9">
        <v>97.5</v>
      </c>
      <c r="G512" s="7">
        <v>44181</v>
      </c>
      <c r="H512" s="9">
        <v>97</v>
      </c>
      <c r="I512" s="7">
        <v>44181</v>
      </c>
      <c r="J512" s="9">
        <v>70.25</v>
      </c>
      <c r="K512" s="5">
        <f t="shared" si="21"/>
        <v>27.25</v>
      </c>
      <c r="L512" s="6">
        <f t="shared" si="22"/>
        <v>0.5</v>
      </c>
    </row>
    <row r="513" spans="1:12" x14ac:dyDescent="0.25">
      <c r="A513">
        <f t="shared" si="20"/>
        <v>12</v>
      </c>
      <c r="B513">
        <f t="shared" si="23"/>
        <v>2020</v>
      </c>
      <c r="C513" s="7">
        <v>44182</v>
      </c>
      <c r="D513" s="8"/>
      <c r="E513" s="7">
        <v>44182</v>
      </c>
      <c r="F513" s="9">
        <v>97.5</v>
      </c>
      <c r="G513" s="7">
        <v>44182</v>
      </c>
      <c r="H513" s="9">
        <v>97</v>
      </c>
      <c r="I513" s="7">
        <v>44182</v>
      </c>
      <c r="J513" s="9">
        <v>72.5</v>
      </c>
      <c r="K513" s="5">
        <f t="shared" si="21"/>
        <v>25</v>
      </c>
      <c r="L513" s="6">
        <f t="shared" si="22"/>
        <v>0.5</v>
      </c>
    </row>
    <row r="514" spans="1:12" x14ac:dyDescent="0.25">
      <c r="A514">
        <f t="shared" si="20"/>
        <v>12</v>
      </c>
      <c r="B514">
        <f t="shared" si="23"/>
        <v>2020</v>
      </c>
      <c r="C514" s="7">
        <v>44183</v>
      </c>
      <c r="D514" s="8"/>
      <c r="E514" s="7">
        <v>44183</v>
      </c>
      <c r="F514" s="9">
        <v>95.5</v>
      </c>
      <c r="G514" s="7">
        <v>44183</v>
      </c>
      <c r="H514" s="9">
        <v>95</v>
      </c>
      <c r="I514" s="7">
        <v>44183</v>
      </c>
      <c r="J514" s="9">
        <v>72.5</v>
      </c>
      <c r="K514" s="5">
        <f t="shared" si="21"/>
        <v>23</v>
      </c>
      <c r="L514" s="6">
        <f t="shared" si="22"/>
        <v>0.5</v>
      </c>
    </row>
    <row r="515" spans="1:12" x14ac:dyDescent="0.25">
      <c r="A515">
        <f t="shared" si="20"/>
        <v>12</v>
      </c>
      <c r="B515">
        <f t="shared" si="23"/>
        <v>2020</v>
      </c>
      <c r="C515" s="7">
        <v>44186</v>
      </c>
      <c r="D515" s="8"/>
      <c r="E515" s="7">
        <v>44186</v>
      </c>
      <c r="F515" s="9">
        <v>96.5</v>
      </c>
      <c r="G515" s="7">
        <v>44186</v>
      </c>
      <c r="H515" s="9">
        <v>96</v>
      </c>
      <c r="I515" s="7">
        <v>44186</v>
      </c>
      <c r="J515" s="9">
        <v>73.75</v>
      </c>
      <c r="K515" s="5">
        <f t="shared" si="21"/>
        <v>22.75</v>
      </c>
      <c r="L515" s="6">
        <f t="shared" si="22"/>
        <v>0.5</v>
      </c>
    </row>
    <row r="516" spans="1:12" x14ac:dyDescent="0.25">
      <c r="A516">
        <f t="shared" si="20"/>
        <v>12</v>
      </c>
      <c r="B516">
        <f t="shared" si="23"/>
        <v>2020</v>
      </c>
      <c r="C516" s="7">
        <v>44187</v>
      </c>
      <c r="D516" s="8"/>
      <c r="E516" s="7">
        <v>44187</v>
      </c>
      <c r="F516" s="9">
        <v>97</v>
      </c>
      <c r="G516" s="7">
        <v>44187</v>
      </c>
      <c r="H516" s="9">
        <v>96.5</v>
      </c>
      <c r="I516" s="7">
        <v>44187</v>
      </c>
      <c r="J516" s="9">
        <v>74</v>
      </c>
      <c r="K516" s="5">
        <f t="shared" si="21"/>
        <v>23</v>
      </c>
      <c r="L516" s="6">
        <f t="shared" si="22"/>
        <v>0.5</v>
      </c>
    </row>
    <row r="517" spans="1:12" x14ac:dyDescent="0.25">
      <c r="A517">
        <f t="shared" si="20"/>
        <v>12</v>
      </c>
      <c r="B517">
        <f t="shared" si="23"/>
        <v>2020</v>
      </c>
      <c r="C517" s="7">
        <v>44188</v>
      </c>
      <c r="D517" s="8"/>
      <c r="E517" s="7">
        <v>44188</v>
      </c>
      <c r="F517" s="9">
        <v>97</v>
      </c>
      <c r="G517" s="7">
        <v>44188</v>
      </c>
      <c r="H517" s="9">
        <v>96.5</v>
      </c>
      <c r="I517" s="7">
        <v>44188</v>
      </c>
      <c r="J517" s="9">
        <v>74</v>
      </c>
      <c r="K517" s="5">
        <f t="shared" si="21"/>
        <v>23</v>
      </c>
      <c r="L517" s="6">
        <f t="shared" si="22"/>
        <v>0.5</v>
      </c>
    </row>
    <row r="518" spans="1:12" x14ac:dyDescent="0.25">
      <c r="A518">
        <f t="shared" si="20"/>
        <v>12</v>
      </c>
      <c r="B518">
        <f t="shared" si="23"/>
        <v>2020</v>
      </c>
      <c r="C518" s="7">
        <v>44189</v>
      </c>
      <c r="D518" s="8"/>
      <c r="E518" s="7">
        <v>44189</v>
      </c>
      <c r="F518" s="9">
        <v>98</v>
      </c>
      <c r="G518" s="7">
        <v>44189</v>
      </c>
      <c r="H518" s="9">
        <v>97.5</v>
      </c>
      <c r="I518" s="7">
        <v>44189</v>
      </c>
      <c r="J518" s="9">
        <v>76</v>
      </c>
      <c r="K518" s="5">
        <f t="shared" si="21"/>
        <v>22</v>
      </c>
      <c r="L518" s="6">
        <f t="shared" si="22"/>
        <v>0.5</v>
      </c>
    </row>
    <row r="519" spans="1:12" x14ac:dyDescent="0.25">
      <c r="A519">
        <f t="shared" si="20"/>
        <v>12</v>
      </c>
      <c r="B519">
        <f t="shared" si="23"/>
        <v>2020</v>
      </c>
      <c r="C519" s="7">
        <v>44193</v>
      </c>
      <c r="D519" s="8"/>
      <c r="E519" s="7">
        <v>44193</v>
      </c>
      <c r="F519" s="9">
        <v>98</v>
      </c>
      <c r="G519" s="7">
        <v>44193</v>
      </c>
      <c r="H519" s="9">
        <v>97.5</v>
      </c>
      <c r="I519" s="7">
        <v>44193</v>
      </c>
      <c r="J519" s="9">
        <v>76</v>
      </c>
      <c r="K519" s="5">
        <f t="shared" si="21"/>
        <v>22</v>
      </c>
      <c r="L519" s="6">
        <f t="shared" si="22"/>
        <v>0.5</v>
      </c>
    </row>
    <row r="520" spans="1:12" x14ac:dyDescent="0.25">
      <c r="A520">
        <f t="shared" si="20"/>
        <v>12</v>
      </c>
      <c r="B520">
        <f t="shared" si="23"/>
        <v>2020</v>
      </c>
      <c r="C520" s="7">
        <v>44194</v>
      </c>
      <c r="D520" s="8"/>
      <c r="E520" s="7">
        <v>44194</v>
      </c>
      <c r="F520" s="9">
        <v>98</v>
      </c>
      <c r="G520" s="7">
        <v>44194</v>
      </c>
      <c r="H520" s="9">
        <v>97.5</v>
      </c>
      <c r="I520" s="7">
        <v>44194</v>
      </c>
      <c r="J520" s="9">
        <v>76</v>
      </c>
      <c r="K520" s="5">
        <f t="shared" si="21"/>
        <v>22</v>
      </c>
      <c r="L520" s="6">
        <f t="shared" si="22"/>
        <v>0.5</v>
      </c>
    </row>
    <row r="521" spans="1:12" x14ac:dyDescent="0.25">
      <c r="A521">
        <f t="shared" si="20"/>
        <v>12</v>
      </c>
      <c r="B521">
        <f t="shared" si="23"/>
        <v>2020</v>
      </c>
      <c r="C521" s="7">
        <v>44195</v>
      </c>
      <c r="D521" s="8"/>
      <c r="E521" s="7">
        <v>44195</v>
      </c>
      <c r="F521" s="9">
        <v>99</v>
      </c>
      <c r="G521" s="7">
        <v>44195</v>
      </c>
      <c r="H521" s="9">
        <v>97.5</v>
      </c>
      <c r="I521" s="7">
        <v>44195</v>
      </c>
      <c r="J521" s="9">
        <v>77.25</v>
      </c>
      <c r="K521" s="5">
        <f t="shared" si="21"/>
        <v>21.75</v>
      </c>
      <c r="L521" s="6">
        <f t="shared" si="22"/>
        <v>1.5</v>
      </c>
    </row>
    <row r="522" spans="1:12" x14ac:dyDescent="0.25">
      <c r="A522">
        <f t="shared" si="20"/>
        <v>12</v>
      </c>
      <c r="B522">
        <f t="shared" si="23"/>
        <v>2020</v>
      </c>
      <c r="C522" s="7">
        <v>44196</v>
      </c>
      <c r="D522" s="8"/>
      <c r="E522" s="7">
        <v>44196</v>
      </c>
      <c r="F522" s="9">
        <v>99</v>
      </c>
      <c r="G522" s="7">
        <v>44196</v>
      </c>
      <c r="H522" s="9">
        <v>97.5</v>
      </c>
      <c r="I522" s="7">
        <v>44196</v>
      </c>
      <c r="J522" s="9">
        <v>77.25</v>
      </c>
      <c r="K522" s="5">
        <f t="shared" si="21"/>
        <v>21.75</v>
      </c>
      <c r="L522" s="6">
        <f t="shared" si="22"/>
        <v>1.5</v>
      </c>
    </row>
    <row r="523" spans="1:12" x14ac:dyDescent="0.25">
      <c r="A523">
        <f t="shared" si="20"/>
        <v>1</v>
      </c>
      <c r="B523">
        <f t="shared" si="23"/>
        <v>2021</v>
      </c>
      <c r="C523" s="7">
        <v>44200</v>
      </c>
      <c r="D523" s="8"/>
      <c r="E523" s="7">
        <v>44200</v>
      </c>
      <c r="F523" s="9">
        <v>98.25</v>
      </c>
      <c r="G523" s="7">
        <v>44200</v>
      </c>
      <c r="H523" s="9">
        <v>97.75</v>
      </c>
      <c r="I523" s="7">
        <v>44200</v>
      </c>
      <c r="J523" s="9">
        <v>81.5</v>
      </c>
      <c r="K523" s="5">
        <f t="shared" si="21"/>
        <v>16.75</v>
      </c>
      <c r="L523" s="6">
        <f t="shared" si="22"/>
        <v>0.5</v>
      </c>
    </row>
    <row r="524" spans="1:12" x14ac:dyDescent="0.25">
      <c r="A524">
        <f t="shared" si="20"/>
        <v>1</v>
      </c>
      <c r="B524">
        <f t="shared" si="23"/>
        <v>2021</v>
      </c>
      <c r="C524" s="7">
        <v>44201</v>
      </c>
      <c r="D524" s="8"/>
      <c r="E524" s="7">
        <v>44201</v>
      </c>
      <c r="F524" s="9">
        <v>103.5</v>
      </c>
      <c r="G524" s="7">
        <v>44201</v>
      </c>
      <c r="H524" s="9">
        <v>103</v>
      </c>
      <c r="I524" s="7">
        <v>44201</v>
      </c>
      <c r="J524" s="9">
        <v>90</v>
      </c>
      <c r="K524" s="5">
        <f t="shared" si="21"/>
        <v>13.5</v>
      </c>
      <c r="L524" s="6">
        <f t="shared" si="22"/>
        <v>0.5</v>
      </c>
    </row>
    <row r="525" spans="1:12" x14ac:dyDescent="0.25">
      <c r="A525">
        <f t="shared" si="20"/>
        <v>1</v>
      </c>
      <c r="B525">
        <f t="shared" si="23"/>
        <v>2021</v>
      </c>
      <c r="C525" s="7">
        <v>44202</v>
      </c>
      <c r="D525" s="8"/>
      <c r="E525" s="7">
        <v>44202</v>
      </c>
      <c r="F525" s="9">
        <v>104.5</v>
      </c>
      <c r="G525" s="7">
        <v>44202</v>
      </c>
      <c r="H525" s="9">
        <v>104</v>
      </c>
      <c r="I525" s="7">
        <v>44202</v>
      </c>
      <c r="J525" s="9">
        <v>93</v>
      </c>
      <c r="K525" s="5">
        <f t="shared" si="21"/>
        <v>11.5</v>
      </c>
      <c r="L525" s="6">
        <f t="shared" si="22"/>
        <v>0.5</v>
      </c>
    </row>
    <row r="526" spans="1:12" x14ac:dyDescent="0.25">
      <c r="A526">
        <f t="shared" ref="A526:A589" si="24">MONTH(E526)</f>
        <v>1</v>
      </c>
      <c r="B526">
        <f t="shared" si="23"/>
        <v>2021</v>
      </c>
      <c r="C526" s="7">
        <v>44203</v>
      </c>
      <c r="D526" s="8"/>
      <c r="E526" s="7">
        <v>44203</v>
      </c>
      <c r="F526" s="9">
        <v>104.25</v>
      </c>
      <c r="G526" s="7">
        <v>44203</v>
      </c>
      <c r="H526" s="9">
        <v>103.75</v>
      </c>
      <c r="I526" s="7">
        <v>44203</v>
      </c>
      <c r="J526" s="9">
        <v>93</v>
      </c>
      <c r="K526" s="5">
        <f t="shared" ref="K526:K589" si="25">F526-J526</f>
        <v>11.25</v>
      </c>
      <c r="L526" s="6">
        <f t="shared" ref="L526:L589" si="26">F526-H526</f>
        <v>0.5</v>
      </c>
    </row>
    <row r="527" spans="1:12" x14ac:dyDescent="0.25">
      <c r="A527">
        <f t="shared" si="24"/>
        <v>1</v>
      </c>
      <c r="B527">
        <f t="shared" ref="B527:B590" si="27">YEAR(E527)</f>
        <v>2021</v>
      </c>
      <c r="C527" s="7">
        <v>44204</v>
      </c>
      <c r="D527" s="8"/>
      <c r="E527" s="7">
        <v>44204</v>
      </c>
      <c r="F527" s="9">
        <v>102.5</v>
      </c>
      <c r="G527" s="7">
        <v>44204</v>
      </c>
      <c r="H527" s="9">
        <v>103.75</v>
      </c>
      <c r="I527" s="7">
        <v>44204</v>
      </c>
      <c r="J527" s="9">
        <v>90</v>
      </c>
      <c r="K527" s="5">
        <f t="shared" si="25"/>
        <v>12.5</v>
      </c>
      <c r="L527" s="6">
        <f t="shared" si="26"/>
        <v>-1.25</v>
      </c>
    </row>
    <row r="528" spans="1:12" x14ac:dyDescent="0.25">
      <c r="A528">
        <f t="shared" si="24"/>
        <v>1</v>
      </c>
      <c r="B528">
        <f t="shared" si="27"/>
        <v>2021</v>
      </c>
      <c r="C528" s="7">
        <v>44207</v>
      </c>
      <c r="D528" s="8"/>
      <c r="E528" s="7">
        <v>44207</v>
      </c>
      <c r="F528" s="9">
        <v>95.5</v>
      </c>
      <c r="G528" s="7">
        <v>44207</v>
      </c>
      <c r="H528" s="9">
        <v>95</v>
      </c>
      <c r="I528" s="7">
        <v>44207</v>
      </c>
      <c r="J528" s="9">
        <v>73.5</v>
      </c>
      <c r="K528" s="5">
        <f t="shared" si="25"/>
        <v>22</v>
      </c>
      <c r="L528" s="6">
        <f t="shared" si="26"/>
        <v>0.5</v>
      </c>
    </row>
    <row r="529" spans="1:12" x14ac:dyDescent="0.25">
      <c r="A529">
        <f t="shared" si="24"/>
        <v>1</v>
      </c>
      <c r="B529">
        <f t="shared" si="27"/>
        <v>2021</v>
      </c>
      <c r="C529" s="7">
        <v>44208</v>
      </c>
      <c r="D529" s="8"/>
      <c r="E529" s="7">
        <v>44208</v>
      </c>
      <c r="F529" s="9">
        <v>91.5</v>
      </c>
      <c r="G529" s="7">
        <v>44208</v>
      </c>
      <c r="H529" s="9">
        <v>91</v>
      </c>
      <c r="I529" s="7">
        <v>44208</v>
      </c>
      <c r="J529" s="9">
        <v>75</v>
      </c>
      <c r="K529" s="5">
        <f t="shared" si="25"/>
        <v>16.5</v>
      </c>
      <c r="L529" s="6">
        <f t="shared" si="26"/>
        <v>0.5</v>
      </c>
    </row>
    <row r="530" spans="1:12" x14ac:dyDescent="0.25">
      <c r="A530">
        <f t="shared" si="24"/>
        <v>1</v>
      </c>
      <c r="B530">
        <f t="shared" si="27"/>
        <v>2021</v>
      </c>
      <c r="C530" s="7">
        <v>44209</v>
      </c>
      <c r="D530" s="8"/>
      <c r="E530" s="7">
        <v>44209</v>
      </c>
      <c r="F530" s="9">
        <v>93</v>
      </c>
      <c r="G530" s="7">
        <v>44209</v>
      </c>
      <c r="H530" s="9">
        <v>92.5</v>
      </c>
      <c r="I530" s="7">
        <v>44209</v>
      </c>
      <c r="J530" s="9">
        <v>78</v>
      </c>
      <c r="K530" s="5">
        <f t="shared" si="25"/>
        <v>15</v>
      </c>
      <c r="L530" s="6">
        <f t="shared" si="26"/>
        <v>0.5</v>
      </c>
    </row>
    <row r="531" spans="1:12" x14ac:dyDescent="0.25">
      <c r="A531">
        <f t="shared" si="24"/>
        <v>1</v>
      </c>
      <c r="B531">
        <f t="shared" si="27"/>
        <v>2021</v>
      </c>
      <c r="C531" s="7">
        <v>44210</v>
      </c>
      <c r="D531" s="8"/>
      <c r="E531" s="7">
        <v>44210</v>
      </c>
      <c r="F531" s="9">
        <v>98.5</v>
      </c>
      <c r="G531" s="7">
        <v>44210</v>
      </c>
      <c r="H531" s="9">
        <v>98</v>
      </c>
      <c r="I531" s="7">
        <v>44210</v>
      </c>
      <c r="J531" s="9">
        <v>85</v>
      </c>
      <c r="K531" s="5">
        <f t="shared" si="25"/>
        <v>13.5</v>
      </c>
      <c r="L531" s="6">
        <f t="shared" si="26"/>
        <v>0.5</v>
      </c>
    </row>
    <row r="532" spans="1:12" x14ac:dyDescent="0.25">
      <c r="A532">
        <f t="shared" si="24"/>
        <v>1</v>
      </c>
      <c r="B532">
        <f t="shared" si="27"/>
        <v>2021</v>
      </c>
      <c r="C532" s="7">
        <v>44211</v>
      </c>
      <c r="D532" s="8"/>
      <c r="E532" s="7">
        <v>44211</v>
      </c>
      <c r="F532" s="9">
        <v>98</v>
      </c>
      <c r="G532" s="7">
        <v>44211</v>
      </c>
      <c r="H532" s="9">
        <v>97.5</v>
      </c>
      <c r="I532" s="7">
        <v>44211</v>
      </c>
      <c r="J532" s="9">
        <v>84.25</v>
      </c>
      <c r="K532" s="5">
        <f t="shared" si="25"/>
        <v>13.75</v>
      </c>
      <c r="L532" s="6">
        <f t="shared" si="26"/>
        <v>0.5</v>
      </c>
    </row>
    <row r="533" spans="1:12" x14ac:dyDescent="0.25">
      <c r="A533">
        <f t="shared" si="24"/>
        <v>1</v>
      </c>
      <c r="B533">
        <f t="shared" si="27"/>
        <v>2021</v>
      </c>
      <c r="C533" s="7">
        <v>44215</v>
      </c>
      <c r="D533" s="8"/>
      <c r="E533" s="7">
        <v>44215</v>
      </c>
      <c r="F533" s="9">
        <v>97.5</v>
      </c>
      <c r="G533" s="7">
        <v>44215</v>
      </c>
      <c r="H533" s="9">
        <v>97</v>
      </c>
      <c r="I533" s="7">
        <v>44215</v>
      </c>
      <c r="J533" s="9">
        <v>87.75</v>
      </c>
      <c r="K533" s="5">
        <f t="shared" si="25"/>
        <v>9.75</v>
      </c>
      <c r="L533" s="6">
        <f t="shared" si="26"/>
        <v>0.5</v>
      </c>
    </row>
    <row r="534" spans="1:12" x14ac:dyDescent="0.25">
      <c r="A534">
        <f t="shared" si="24"/>
        <v>1</v>
      </c>
      <c r="B534">
        <f t="shared" si="27"/>
        <v>2021</v>
      </c>
      <c r="C534" s="7">
        <v>44216</v>
      </c>
      <c r="D534" s="8"/>
      <c r="E534" s="7">
        <v>44216</v>
      </c>
      <c r="F534" s="9">
        <v>102.5</v>
      </c>
      <c r="G534" s="7">
        <v>44216</v>
      </c>
      <c r="H534" s="9">
        <v>102</v>
      </c>
      <c r="I534" s="7">
        <v>44216</v>
      </c>
      <c r="J534" s="9">
        <v>91.25</v>
      </c>
      <c r="K534" s="5">
        <f t="shared" si="25"/>
        <v>11.25</v>
      </c>
      <c r="L534" s="6">
        <f t="shared" si="26"/>
        <v>0.5</v>
      </c>
    </row>
    <row r="535" spans="1:12" x14ac:dyDescent="0.25">
      <c r="A535">
        <f t="shared" si="24"/>
        <v>1</v>
      </c>
      <c r="B535">
        <f t="shared" si="27"/>
        <v>2021</v>
      </c>
      <c r="C535" s="7">
        <v>44217</v>
      </c>
      <c r="D535" s="8"/>
      <c r="E535" s="7">
        <v>44217</v>
      </c>
      <c r="F535" s="9">
        <v>102.5</v>
      </c>
      <c r="G535" s="7">
        <v>44217</v>
      </c>
      <c r="H535" s="9">
        <v>102</v>
      </c>
      <c r="I535" s="7">
        <v>44217</v>
      </c>
      <c r="J535" s="9">
        <v>93.75</v>
      </c>
      <c r="K535" s="5">
        <f t="shared" si="25"/>
        <v>8.75</v>
      </c>
      <c r="L535" s="6">
        <f t="shared" si="26"/>
        <v>0.5</v>
      </c>
    </row>
    <row r="536" spans="1:12" x14ac:dyDescent="0.25">
      <c r="A536">
        <f t="shared" si="24"/>
        <v>1</v>
      </c>
      <c r="B536">
        <f t="shared" si="27"/>
        <v>2021</v>
      </c>
      <c r="C536" s="7">
        <v>44218</v>
      </c>
      <c r="D536" s="8"/>
      <c r="E536" s="7">
        <v>44218</v>
      </c>
      <c r="F536" s="9">
        <v>102</v>
      </c>
      <c r="G536" s="7">
        <v>44218</v>
      </c>
      <c r="H536" s="9">
        <v>101.5</v>
      </c>
      <c r="I536" s="7">
        <v>44218</v>
      </c>
      <c r="J536" s="9">
        <v>92.5</v>
      </c>
      <c r="K536" s="5">
        <f t="shared" si="25"/>
        <v>9.5</v>
      </c>
      <c r="L536" s="6">
        <f t="shared" si="26"/>
        <v>0.5</v>
      </c>
    </row>
    <row r="537" spans="1:12" x14ac:dyDescent="0.25">
      <c r="A537">
        <f t="shared" si="24"/>
        <v>1</v>
      </c>
      <c r="B537">
        <f t="shared" si="27"/>
        <v>2021</v>
      </c>
      <c r="C537" s="7">
        <v>44221</v>
      </c>
      <c r="D537" s="8"/>
      <c r="E537" s="7">
        <v>44221</v>
      </c>
      <c r="F537" s="9">
        <v>104.5</v>
      </c>
      <c r="G537" s="7">
        <v>44221</v>
      </c>
      <c r="H537" s="9">
        <v>104</v>
      </c>
      <c r="I537" s="7">
        <v>44221</v>
      </c>
      <c r="J537" s="9">
        <v>94.75</v>
      </c>
      <c r="K537" s="5">
        <f t="shared" si="25"/>
        <v>9.75</v>
      </c>
      <c r="L537" s="6">
        <f t="shared" si="26"/>
        <v>0.5</v>
      </c>
    </row>
    <row r="538" spans="1:12" x14ac:dyDescent="0.25">
      <c r="A538">
        <f t="shared" si="24"/>
        <v>1</v>
      </c>
      <c r="B538">
        <f t="shared" si="27"/>
        <v>2021</v>
      </c>
      <c r="C538" s="7">
        <v>44222</v>
      </c>
      <c r="D538" s="8"/>
      <c r="E538" s="7">
        <v>44222</v>
      </c>
      <c r="F538" s="9">
        <v>107.75</v>
      </c>
      <c r="G538" s="7">
        <v>44222</v>
      </c>
      <c r="H538" s="9">
        <v>107.25</v>
      </c>
      <c r="I538" s="7">
        <v>44222</v>
      </c>
      <c r="J538" s="9">
        <v>98</v>
      </c>
      <c r="K538" s="5">
        <f t="shared" si="25"/>
        <v>9.75</v>
      </c>
      <c r="L538" s="6">
        <f t="shared" si="26"/>
        <v>0.5</v>
      </c>
    </row>
    <row r="539" spans="1:12" x14ac:dyDescent="0.25">
      <c r="A539">
        <f t="shared" si="24"/>
        <v>1</v>
      </c>
      <c r="B539">
        <f t="shared" si="27"/>
        <v>2021</v>
      </c>
      <c r="C539" s="7">
        <v>44223</v>
      </c>
      <c r="D539" s="8"/>
      <c r="E539" s="7">
        <v>44223</v>
      </c>
      <c r="F539" s="9">
        <v>112.5</v>
      </c>
      <c r="G539" s="7">
        <v>44223</v>
      </c>
      <c r="H539" s="9">
        <v>107.25</v>
      </c>
      <c r="I539" s="7">
        <v>44223</v>
      </c>
      <c r="J539" s="9">
        <v>100.5</v>
      </c>
      <c r="K539" s="5">
        <f t="shared" si="25"/>
        <v>12</v>
      </c>
      <c r="L539" s="6">
        <f t="shared" si="26"/>
        <v>5.25</v>
      </c>
    </row>
    <row r="540" spans="1:12" x14ac:dyDescent="0.25">
      <c r="A540">
        <f t="shared" si="24"/>
        <v>1</v>
      </c>
      <c r="B540">
        <f t="shared" si="27"/>
        <v>2021</v>
      </c>
      <c r="C540" s="7">
        <v>44224</v>
      </c>
      <c r="D540" s="8"/>
      <c r="E540" s="7">
        <v>44224</v>
      </c>
      <c r="F540" s="9">
        <v>114</v>
      </c>
      <c r="G540" s="7">
        <v>44224</v>
      </c>
      <c r="H540" s="9">
        <v>107.25</v>
      </c>
      <c r="I540" s="7">
        <v>44224</v>
      </c>
      <c r="J540" s="9">
        <v>107.5</v>
      </c>
      <c r="K540" s="5">
        <f t="shared" si="25"/>
        <v>6.5</v>
      </c>
      <c r="L540" s="6">
        <f t="shared" si="26"/>
        <v>6.75</v>
      </c>
    </row>
    <row r="541" spans="1:12" x14ac:dyDescent="0.25">
      <c r="A541">
        <f t="shared" si="24"/>
        <v>1</v>
      </c>
      <c r="B541">
        <f t="shared" si="27"/>
        <v>2021</v>
      </c>
      <c r="C541" s="7">
        <v>44225</v>
      </c>
      <c r="D541" s="8"/>
      <c r="E541" s="7">
        <v>44225</v>
      </c>
      <c r="F541" s="9">
        <v>117</v>
      </c>
      <c r="G541" s="7">
        <v>44225</v>
      </c>
      <c r="H541" s="9">
        <v>107.25</v>
      </c>
      <c r="I541" s="7">
        <v>44225</v>
      </c>
      <c r="J541" s="9">
        <v>113.25</v>
      </c>
      <c r="K541" s="5">
        <f t="shared" si="25"/>
        <v>3.75</v>
      </c>
      <c r="L541" s="6">
        <f t="shared" si="26"/>
        <v>9.75</v>
      </c>
    </row>
    <row r="542" spans="1:12" x14ac:dyDescent="0.25">
      <c r="A542">
        <f t="shared" si="24"/>
        <v>2</v>
      </c>
      <c r="B542">
        <f t="shared" si="27"/>
        <v>2021</v>
      </c>
      <c r="C542" s="7">
        <v>44228</v>
      </c>
      <c r="D542" s="8"/>
      <c r="E542" s="7">
        <v>44228</v>
      </c>
      <c r="F542" s="9">
        <v>115.75</v>
      </c>
      <c r="G542" s="7">
        <v>44228</v>
      </c>
      <c r="H542" s="9">
        <v>115.25</v>
      </c>
      <c r="I542" s="7">
        <v>44228</v>
      </c>
      <c r="J542" s="9">
        <v>110.5</v>
      </c>
      <c r="K542" s="5">
        <f t="shared" si="25"/>
        <v>5.25</v>
      </c>
      <c r="L542" s="6">
        <f t="shared" si="26"/>
        <v>0.5</v>
      </c>
    </row>
    <row r="543" spans="1:12" x14ac:dyDescent="0.25">
      <c r="A543">
        <f t="shared" si="24"/>
        <v>2</v>
      </c>
      <c r="B543">
        <f t="shared" si="27"/>
        <v>2021</v>
      </c>
      <c r="C543" s="7">
        <v>44229</v>
      </c>
      <c r="D543" s="8"/>
      <c r="E543" s="7">
        <v>44229</v>
      </c>
      <c r="F543" s="9">
        <v>112</v>
      </c>
      <c r="G543" s="7">
        <v>44229</v>
      </c>
      <c r="H543" s="9">
        <v>111.5</v>
      </c>
      <c r="I543" s="7">
        <v>44229</v>
      </c>
      <c r="J543" s="9">
        <v>106.5</v>
      </c>
      <c r="K543" s="5">
        <f t="shared" si="25"/>
        <v>5.5</v>
      </c>
      <c r="L543" s="6">
        <f t="shared" si="26"/>
        <v>0.5</v>
      </c>
    </row>
    <row r="544" spans="1:12" x14ac:dyDescent="0.25">
      <c r="A544">
        <f t="shared" si="24"/>
        <v>2</v>
      </c>
      <c r="B544">
        <f t="shared" si="27"/>
        <v>2021</v>
      </c>
      <c r="C544" s="7">
        <v>44230</v>
      </c>
      <c r="D544" s="8"/>
      <c r="E544" s="7">
        <v>44230</v>
      </c>
      <c r="F544" s="9">
        <v>111</v>
      </c>
      <c r="G544" s="7">
        <v>44230</v>
      </c>
      <c r="H544" s="9">
        <v>110.5</v>
      </c>
      <c r="I544" s="7">
        <v>44230</v>
      </c>
      <c r="J544" s="9">
        <v>103</v>
      </c>
      <c r="K544" s="5">
        <f t="shared" si="25"/>
        <v>8</v>
      </c>
      <c r="L544" s="6">
        <f t="shared" si="26"/>
        <v>0.5</v>
      </c>
    </row>
    <row r="545" spans="1:12" x14ac:dyDescent="0.25">
      <c r="A545">
        <f t="shared" si="24"/>
        <v>2</v>
      </c>
      <c r="B545">
        <f t="shared" si="27"/>
        <v>2021</v>
      </c>
      <c r="C545" s="7">
        <v>44231</v>
      </c>
      <c r="D545" s="8"/>
      <c r="E545" s="7">
        <v>44231</v>
      </c>
      <c r="F545" s="9">
        <v>111</v>
      </c>
      <c r="G545" s="7">
        <v>44231</v>
      </c>
      <c r="H545" s="9">
        <v>110.5</v>
      </c>
      <c r="I545" s="7">
        <v>44231</v>
      </c>
      <c r="J545" s="9">
        <v>102.5</v>
      </c>
      <c r="K545" s="5">
        <f t="shared" si="25"/>
        <v>8.5</v>
      </c>
      <c r="L545" s="6">
        <f t="shared" si="26"/>
        <v>0.5</v>
      </c>
    </row>
    <row r="546" spans="1:12" x14ac:dyDescent="0.25">
      <c r="A546">
        <f t="shared" si="24"/>
        <v>2</v>
      </c>
      <c r="B546">
        <f t="shared" si="27"/>
        <v>2021</v>
      </c>
      <c r="C546" s="7">
        <v>44232</v>
      </c>
      <c r="D546" s="8"/>
      <c r="E546" s="7">
        <v>44232</v>
      </c>
      <c r="F546" s="9">
        <v>109.5</v>
      </c>
      <c r="G546" s="7">
        <v>44232</v>
      </c>
      <c r="H546" s="9">
        <v>109</v>
      </c>
      <c r="I546" s="7">
        <v>44232</v>
      </c>
      <c r="J546" s="9">
        <v>99.75</v>
      </c>
      <c r="K546" s="5">
        <f t="shared" si="25"/>
        <v>9.75</v>
      </c>
      <c r="L546" s="6">
        <f t="shared" si="26"/>
        <v>0.5</v>
      </c>
    </row>
    <row r="547" spans="1:12" x14ac:dyDescent="0.25">
      <c r="A547">
        <f t="shared" si="24"/>
        <v>2</v>
      </c>
      <c r="B547">
        <f t="shared" si="27"/>
        <v>2021</v>
      </c>
      <c r="C547" s="7">
        <v>44235</v>
      </c>
      <c r="D547" s="8"/>
      <c r="E547" s="7">
        <v>44235</v>
      </c>
      <c r="F547" s="9">
        <v>108.5</v>
      </c>
      <c r="G547" s="7">
        <v>44235</v>
      </c>
      <c r="H547" s="9">
        <v>108</v>
      </c>
      <c r="I547" s="7">
        <v>44235</v>
      </c>
      <c r="J547" s="9">
        <v>99.5</v>
      </c>
      <c r="K547" s="5">
        <f t="shared" si="25"/>
        <v>9</v>
      </c>
      <c r="L547" s="6">
        <f t="shared" si="26"/>
        <v>0.5</v>
      </c>
    </row>
    <row r="548" spans="1:12" x14ac:dyDescent="0.25">
      <c r="A548">
        <f t="shared" si="24"/>
        <v>2</v>
      </c>
      <c r="B548">
        <f t="shared" si="27"/>
        <v>2021</v>
      </c>
      <c r="C548" s="7">
        <v>44236</v>
      </c>
      <c r="D548" s="8"/>
      <c r="E548" s="7">
        <v>44236</v>
      </c>
      <c r="F548" s="9">
        <v>109.5</v>
      </c>
      <c r="G548" s="7">
        <v>44236</v>
      </c>
      <c r="H548" s="9">
        <v>109</v>
      </c>
      <c r="I548" s="7">
        <v>44236</v>
      </c>
      <c r="J548" s="9">
        <v>99.5</v>
      </c>
      <c r="K548" s="5">
        <f t="shared" si="25"/>
        <v>10</v>
      </c>
      <c r="L548" s="6">
        <f t="shared" si="26"/>
        <v>0.5</v>
      </c>
    </row>
    <row r="549" spans="1:12" x14ac:dyDescent="0.25">
      <c r="A549">
        <f t="shared" si="24"/>
        <v>2</v>
      </c>
      <c r="B549">
        <f t="shared" si="27"/>
        <v>2021</v>
      </c>
      <c r="C549" s="7">
        <v>44237</v>
      </c>
      <c r="D549" s="8"/>
      <c r="E549" s="7">
        <v>44237</v>
      </c>
      <c r="F549" s="9">
        <v>105</v>
      </c>
      <c r="G549" s="7">
        <v>44237</v>
      </c>
      <c r="H549" s="9">
        <v>104.5</v>
      </c>
      <c r="I549" s="7">
        <v>44237</v>
      </c>
      <c r="J549" s="9">
        <v>95</v>
      </c>
      <c r="K549" s="5">
        <f t="shared" si="25"/>
        <v>10</v>
      </c>
      <c r="L549" s="6">
        <f t="shared" si="26"/>
        <v>0.5</v>
      </c>
    </row>
    <row r="550" spans="1:12" x14ac:dyDescent="0.25">
      <c r="A550">
        <f t="shared" si="24"/>
        <v>2</v>
      </c>
      <c r="B550">
        <f t="shared" si="27"/>
        <v>2021</v>
      </c>
      <c r="C550" s="7">
        <v>44238</v>
      </c>
      <c r="D550" s="8"/>
      <c r="E550" s="7">
        <v>44238</v>
      </c>
      <c r="F550" s="9">
        <v>105.75</v>
      </c>
      <c r="G550" s="7">
        <v>44238</v>
      </c>
      <c r="H550" s="9">
        <v>105.25</v>
      </c>
      <c r="I550" s="7">
        <v>44238</v>
      </c>
      <c r="J550" s="9">
        <v>94.5</v>
      </c>
      <c r="K550" s="5">
        <f t="shared" si="25"/>
        <v>11.25</v>
      </c>
      <c r="L550" s="6">
        <f t="shared" si="26"/>
        <v>0.5</v>
      </c>
    </row>
    <row r="551" spans="1:12" x14ac:dyDescent="0.25">
      <c r="A551">
        <f t="shared" si="24"/>
        <v>2</v>
      </c>
      <c r="B551">
        <f t="shared" si="27"/>
        <v>2021</v>
      </c>
      <c r="C551" s="7">
        <v>44239</v>
      </c>
      <c r="D551" s="8"/>
      <c r="E551" s="7">
        <v>44239</v>
      </c>
      <c r="F551" s="9">
        <v>103.75</v>
      </c>
      <c r="G551" s="7">
        <v>44239</v>
      </c>
      <c r="H551" s="9">
        <v>103.25</v>
      </c>
      <c r="I551" s="7">
        <v>44239</v>
      </c>
      <c r="J551" s="9">
        <v>92.5</v>
      </c>
      <c r="K551" s="5">
        <f t="shared" si="25"/>
        <v>11.25</v>
      </c>
      <c r="L551" s="6">
        <f t="shared" si="26"/>
        <v>0.5</v>
      </c>
    </row>
    <row r="552" spans="1:12" x14ac:dyDescent="0.25">
      <c r="A552">
        <f t="shared" si="24"/>
        <v>2</v>
      </c>
      <c r="B552">
        <f t="shared" si="27"/>
        <v>2021</v>
      </c>
      <c r="C552" s="7">
        <v>44243</v>
      </c>
      <c r="D552" s="8"/>
      <c r="E552" s="7">
        <v>44243</v>
      </c>
      <c r="F552" s="9">
        <v>106.5</v>
      </c>
      <c r="G552" s="7">
        <v>44243</v>
      </c>
      <c r="H552" s="9">
        <v>106</v>
      </c>
      <c r="I552" s="7">
        <v>44243</v>
      </c>
      <c r="J552" s="9">
        <v>96.25</v>
      </c>
      <c r="K552" s="5">
        <f t="shared" si="25"/>
        <v>10.25</v>
      </c>
      <c r="L552" s="6">
        <f t="shared" si="26"/>
        <v>0.5</v>
      </c>
    </row>
    <row r="553" spans="1:12" x14ac:dyDescent="0.25">
      <c r="A553">
        <f t="shared" si="24"/>
        <v>2</v>
      </c>
      <c r="B553">
        <f t="shared" si="27"/>
        <v>2021</v>
      </c>
      <c r="C553" s="7">
        <v>44244</v>
      </c>
      <c r="D553" s="8"/>
      <c r="E553" s="7">
        <v>44244</v>
      </c>
      <c r="F553" s="9">
        <v>104.5</v>
      </c>
      <c r="G553" s="7">
        <v>44244</v>
      </c>
      <c r="H553" s="9">
        <v>104</v>
      </c>
      <c r="I553" s="7">
        <v>44244</v>
      </c>
      <c r="J553" s="9">
        <v>95.5</v>
      </c>
      <c r="K553" s="5">
        <f t="shared" si="25"/>
        <v>9</v>
      </c>
      <c r="L553" s="6">
        <f t="shared" si="26"/>
        <v>0.5</v>
      </c>
    </row>
    <row r="554" spans="1:12" x14ac:dyDescent="0.25">
      <c r="A554">
        <f t="shared" si="24"/>
        <v>2</v>
      </c>
      <c r="B554">
        <f t="shared" si="27"/>
        <v>2021</v>
      </c>
      <c r="C554" s="7">
        <v>44245</v>
      </c>
      <c r="D554" s="8"/>
      <c r="E554" s="7">
        <v>44245</v>
      </c>
      <c r="F554" s="9">
        <v>103</v>
      </c>
      <c r="G554" s="7">
        <v>44245</v>
      </c>
      <c r="H554" s="9">
        <v>102.5</v>
      </c>
      <c r="I554" s="7">
        <v>44245</v>
      </c>
      <c r="J554" s="9">
        <v>95.5</v>
      </c>
      <c r="K554" s="5">
        <f t="shared" si="25"/>
        <v>7.5</v>
      </c>
      <c r="L554" s="6">
        <f t="shared" si="26"/>
        <v>0.5</v>
      </c>
    </row>
    <row r="555" spans="1:12" x14ac:dyDescent="0.25">
      <c r="A555">
        <f t="shared" si="24"/>
        <v>2</v>
      </c>
      <c r="B555">
        <f t="shared" si="27"/>
        <v>2021</v>
      </c>
      <c r="C555" s="7">
        <v>44246</v>
      </c>
      <c r="D555" s="8"/>
      <c r="E555" s="7">
        <v>44246</v>
      </c>
      <c r="F555" s="9">
        <v>105.5</v>
      </c>
      <c r="G555" s="7">
        <v>44246</v>
      </c>
      <c r="H555" s="9">
        <v>105</v>
      </c>
      <c r="I555" s="7">
        <v>44246</v>
      </c>
      <c r="J555" s="9">
        <v>102.5</v>
      </c>
      <c r="K555" s="5">
        <f t="shared" si="25"/>
        <v>3</v>
      </c>
      <c r="L555" s="6">
        <f t="shared" si="26"/>
        <v>0.5</v>
      </c>
    </row>
    <row r="556" spans="1:12" x14ac:dyDescent="0.25">
      <c r="A556">
        <f t="shared" si="24"/>
        <v>2</v>
      </c>
      <c r="B556">
        <f t="shared" si="27"/>
        <v>2021</v>
      </c>
      <c r="C556" s="7">
        <v>44249</v>
      </c>
      <c r="D556" s="8"/>
      <c r="E556" s="7">
        <v>44249</v>
      </c>
      <c r="F556" s="9">
        <v>110.5</v>
      </c>
      <c r="G556" s="7">
        <v>44249</v>
      </c>
      <c r="H556" s="9">
        <v>110</v>
      </c>
      <c r="I556" s="7">
        <v>44249</v>
      </c>
      <c r="J556" s="9">
        <v>101</v>
      </c>
      <c r="K556" s="5">
        <f t="shared" si="25"/>
        <v>9.5</v>
      </c>
      <c r="L556" s="6">
        <f t="shared" si="26"/>
        <v>0.5</v>
      </c>
    </row>
    <row r="557" spans="1:12" x14ac:dyDescent="0.25">
      <c r="A557">
        <f t="shared" si="24"/>
        <v>2</v>
      </c>
      <c r="B557">
        <f t="shared" si="27"/>
        <v>2021</v>
      </c>
      <c r="C557" s="7">
        <v>44250</v>
      </c>
      <c r="D557" s="8"/>
      <c r="E557" s="7">
        <v>44250</v>
      </c>
      <c r="F557" s="9">
        <v>114</v>
      </c>
      <c r="G557" s="7">
        <v>44250</v>
      </c>
      <c r="H557" s="9">
        <v>113.5</v>
      </c>
      <c r="I557" s="7">
        <v>44250</v>
      </c>
      <c r="J557" s="9">
        <v>103.75</v>
      </c>
      <c r="K557" s="5">
        <f t="shared" si="25"/>
        <v>10.25</v>
      </c>
      <c r="L557" s="6">
        <f t="shared" si="26"/>
        <v>0.5</v>
      </c>
    </row>
    <row r="558" spans="1:12" x14ac:dyDescent="0.25">
      <c r="A558">
        <f t="shared" si="24"/>
        <v>2</v>
      </c>
      <c r="B558">
        <f t="shared" si="27"/>
        <v>2021</v>
      </c>
      <c r="C558" s="7">
        <v>44251</v>
      </c>
      <c r="D558" s="8"/>
      <c r="E558" s="7">
        <v>44251</v>
      </c>
      <c r="F558" s="9">
        <v>117</v>
      </c>
      <c r="G558" s="7">
        <v>44251</v>
      </c>
      <c r="H558" s="9">
        <v>116.5</v>
      </c>
      <c r="I558" s="7">
        <v>44251</v>
      </c>
      <c r="J558" s="9">
        <v>105.75</v>
      </c>
      <c r="K558" s="5">
        <f t="shared" si="25"/>
        <v>11.25</v>
      </c>
      <c r="L558" s="6">
        <f t="shared" si="26"/>
        <v>0.5</v>
      </c>
    </row>
    <row r="559" spans="1:12" x14ac:dyDescent="0.25">
      <c r="A559">
        <f t="shared" si="24"/>
        <v>2</v>
      </c>
      <c r="B559">
        <f t="shared" si="27"/>
        <v>2021</v>
      </c>
      <c r="C559" s="7">
        <v>44252</v>
      </c>
      <c r="D559" s="8"/>
      <c r="E559" s="7">
        <v>44252</v>
      </c>
      <c r="F559" s="9">
        <v>116.75</v>
      </c>
      <c r="G559" s="7">
        <v>44252</v>
      </c>
      <c r="H559" s="9">
        <v>116.25</v>
      </c>
      <c r="I559" s="7">
        <v>44252</v>
      </c>
      <c r="J559" s="9">
        <v>106</v>
      </c>
      <c r="K559" s="5">
        <f t="shared" si="25"/>
        <v>10.75</v>
      </c>
      <c r="L559" s="6">
        <f t="shared" si="26"/>
        <v>0.5</v>
      </c>
    </row>
    <row r="560" spans="1:12" x14ac:dyDescent="0.25">
      <c r="A560">
        <f t="shared" si="24"/>
        <v>2</v>
      </c>
      <c r="B560">
        <f t="shared" si="27"/>
        <v>2021</v>
      </c>
      <c r="C560" s="7">
        <v>44253</v>
      </c>
      <c r="D560" s="8"/>
      <c r="E560" s="7">
        <v>44253</v>
      </c>
      <c r="F560" s="9">
        <v>118.5</v>
      </c>
      <c r="G560" s="7">
        <v>44253</v>
      </c>
      <c r="H560" s="9">
        <v>118</v>
      </c>
      <c r="I560" s="7">
        <v>44253</v>
      </c>
      <c r="J560" s="9">
        <v>106.75</v>
      </c>
      <c r="K560" s="5">
        <f t="shared" si="25"/>
        <v>11.75</v>
      </c>
      <c r="L560" s="6">
        <f t="shared" si="26"/>
        <v>0.5</v>
      </c>
    </row>
    <row r="561" spans="1:12" x14ac:dyDescent="0.25">
      <c r="A561">
        <f t="shared" si="24"/>
        <v>3</v>
      </c>
      <c r="B561">
        <f t="shared" si="27"/>
        <v>2021</v>
      </c>
      <c r="C561" s="7">
        <v>44256</v>
      </c>
      <c r="D561" s="8"/>
      <c r="E561" s="7">
        <v>44256</v>
      </c>
      <c r="F561" s="9">
        <v>121</v>
      </c>
      <c r="G561" s="7">
        <v>44256</v>
      </c>
      <c r="H561" s="9">
        <v>120.5</v>
      </c>
      <c r="I561" s="7">
        <v>44256</v>
      </c>
      <c r="J561" s="9">
        <v>108.5</v>
      </c>
      <c r="K561" s="5">
        <f t="shared" si="25"/>
        <v>12.5</v>
      </c>
      <c r="L561" s="6">
        <f t="shared" si="26"/>
        <v>0.5</v>
      </c>
    </row>
    <row r="562" spans="1:12" x14ac:dyDescent="0.25">
      <c r="A562">
        <f t="shared" si="24"/>
        <v>3</v>
      </c>
      <c r="B562">
        <f t="shared" si="27"/>
        <v>2021</v>
      </c>
      <c r="C562" s="7">
        <v>44257</v>
      </c>
      <c r="D562" s="8"/>
      <c r="E562" s="7">
        <v>44257</v>
      </c>
      <c r="F562" s="9">
        <v>125</v>
      </c>
      <c r="G562" s="7">
        <v>44257</v>
      </c>
      <c r="H562" s="9">
        <v>124.5</v>
      </c>
      <c r="I562" s="7">
        <v>44257</v>
      </c>
      <c r="J562" s="9">
        <v>108.5</v>
      </c>
      <c r="K562" s="5">
        <f t="shared" si="25"/>
        <v>16.5</v>
      </c>
      <c r="L562" s="6">
        <f t="shared" si="26"/>
        <v>0.5</v>
      </c>
    </row>
    <row r="563" spans="1:12" x14ac:dyDescent="0.25">
      <c r="A563">
        <f t="shared" si="24"/>
        <v>3</v>
      </c>
      <c r="B563">
        <f t="shared" si="27"/>
        <v>2021</v>
      </c>
      <c r="C563" s="7">
        <v>44258</v>
      </c>
      <c r="D563" s="8"/>
      <c r="E563" s="7">
        <v>44258</v>
      </c>
      <c r="F563" s="9">
        <v>125.5</v>
      </c>
      <c r="G563" s="7">
        <v>44258</v>
      </c>
      <c r="H563" s="9">
        <v>125</v>
      </c>
      <c r="I563" s="7">
        <v>44258</v>
      </c>
      <c r="J563" s="9">
        <v>117.25</v>
      </c>
      <c r="K563" s="5">
        <f t="shared" si="25"/>
        <v>8.25</v>
      </c>
      <c r="L563" s="6">
        <f t="shared" si="26"/>
        <v>0.5</v>
      </c>
    </row>
    <row r="564" spans="1:12" x14ac:dyDescent="0.25">
      <c r="A564">
        <f t="shared" si="24"/>
        <v>3</v>
      </c>
      <c r="B564">
        <f t="shared" si="27"/>
        <v>2021</v>
      </c>
      <c r="C564" s="7">
        <v>44259</v>
      </c>
      <c r="D564" s="8"/>
      <c r="E564" s="7">
        <v>44259</v>
      </c>
      <c r="F564" s="9">
        <v>128.5</v>
      </c>
      <c r="G564" s="7">
        <v>44259</v>
      </c>
      <c r="H564" s="9">
        <v>128</v>
      </c>
      <c r="I564" s="7">
        <v>44259</v>
      </c>
      <c r="J564" s="9">
        <v>120.5</v>
      </c>
      <c r="K564" s="5">
        <f t="shared" si="25"/>
        <v>8</v>
      </c>
      <c r="L564" s="6">
        <f t="shared" si="26"/>
        <v>0.5</v>
      </c>
    </row>
    <row r="565" spans="1:12" x14ac:dyDescent="0.25">
      <c r="A565">
        <f t="shared" si="24"/>
        <v>3</v>
      </c>
      <c r="B565">
        <f t="shared" si="27"/>
        <v>2021</v>
      </c>
      <c r="C565" s="7">
        <v>44260</v>
      </c>
      <c r="D565" s="8"/>
      <c r="E565" s="7">
        <v>44260</v>
      </c>
      <c r="F565" s="9">
        <v>129.5</v>
      </c>
      <c r="G565" s="7">
        <v>44260</v>
      </c>
      <c r="H565" s="9">
        <v>129</v>
      </c>
      <c r="I565" s="7">
        <v>44260</v>
      </c>
      <c r="J565" s="9">
        <v>119.75</v>
      </c>
      <c r="K565" s="5">
        <f t="shared" si="25"/>
        <v>9.75</v>
      </c>
      <c r="L565" s="6">
        <f t="shared" si="26"/>
        <v>0.5</v>
      </c>
    </row>
    <row r="566" spans="1:12" x14ac:dyDescent="0.25">
      <c r="A566">
        <f t="shared" si="24"/>
        <v>3</v>
      </c>
      <c r="B566">
        <f t="shared" si="27"/>
        <v>2021</v>
      </c>
      <c r="C566" s="7">
        <v>44263</v>
      </c>
      <c r="D566" s="8"/>
      <c r="E566" s="7">
        <v>44263</v>
      </c>
      <c r="F566" s="9">
        <v>130.5</v>
      </c>
      <c r="G566" s="7">
        <v>44263</v>
      </c>
      <c r="H566" s="9">
        <v>130</v>
      </c>
      <c r="I566" s="7">
        <v>44263</v>
      </c>
      <c r="J566" s="9">
        <v>123.5</v>
      </c>
      <c r="K566" s="5">
        <f t="shared" si="25"/>
        <v>7</v>
      </c>
      <c r="L566" s="6">
        <f t="shared" si="26"/>
        <v>0.5</v>
      </c>
    </row>
    <row r="567" spans="1:12" x14ac:dyDescent="0.25">
      <c r="A567">
        <f t="shared" si="24"/>
        <v>3</v>
      </c>
      <c r="B567">
        <f t="shared" si="27"/>
        <v>2021</v>
      </c>
      <c r="C567" s="7">
        <v>44264</v>
      </c>
      <c r="D567" s="8"/>
      <c r="E567" s="7">
        <v>44264</v>
      </c>
      <c r="F567" s="9">
        <v>134.75</v>
      </c>
      <c r="G567" s="7">
        <v>44264</v>
      </c>
      <c r="H567" s="9">
        <v>134.25</v>
      </c>
      <c r="I567" s="7">
        <v>44264</v>
      </c>
      <c r="J567" s="9">
        <v>129.25</v>
      </c>
      <c r="K567" s="5">
        <f t="shared" si="25"/>
        <v>5.5</v>
      </c>
      <c r="L567" s="6">
        <f t="shared" si="26"/>
        <v>0.5</v>
      </c>
    </row>
    <row r="568" spans="1:12" x14ac:dyDescent="0.25">
      <c r="A568">
        <f t="shared" si="24"/>
        <v>3</v>
      </c>
      <c r="B568">
        <f t="shared" si="27"/>
        <v>2021</v>
      </c>
      <c r="C568" s="7">
        <v>44265</v>
      </c>
      <c r="D568" s="8"/>
      <c r="E568" s="7">
        <v>44265</v>
      </c>
      <c r="F568" s="9">
        <v>139.5</v>
      </c>
      <c r="G568" s="7">
        <v>44265</v>
      </c>
      <c r="H568" s="9">
        <v>139</v>
      </c>
      <c r="I568" s="7">
        <v>44265</v>
      </c>
      <c r="J568" s="9">
        <v>133.75</v>
      </c>
      <c r="K568" s="5">
        <f t="shared" si="25"/>
        <v>5.75</v>
      </c>
      <c r="L568" s="6">
        <f t="shared" si="26"/>
        <v>0.5</v>
      </c>
    </row>
    <row r="569" spans="1:12" x14ac:dyDescent="0.25">
      <c r="A569">
        <f t="shared" si="24"/>
        <v>3</v>
      </c>
      <c r="B569">
        <f t="shared" si="27"/>
        <v>2021</v>
      </c>
      <c r="C569" s="7">
        <v>44266</v>
      </c>
      <c r="D569" s="8"/>
      <c r="E569" s="7">
        <v>44266</v>
      </c>
      <c r="F569" s="9">
        <v>144.5</v>
      </c>
      <c r="G569" s="7">
        <v>44266</v>
      </c>
      <c r="H569" s="9">
        <v>143.75</v>
      </c>
      <c r="I569" s="7">
        <v>44266</v>
      </c>
      <c r="J569" s="9">
        <v>139.25</v>
      </c>
      <c r="K569" s="5">
        <f t="shared" si="25"/>
        <v>5.25</v>
      </c>
      <c r="L569" s="6">
        <f t="shared" si="26"/>
        <v>0.75</v>
      </c>
    </row>
    <row r="570" spans="1:12" x14ac:dyDescent="0.25">
      <c r="A570">
        <f t="shared" si="24"/>
        <v>3</v>
      </c>
      <c r="B570">
        <f t="shared" si="27"/>
        <v>2021</v>
      </c>
      <c r="C570" s="7">
        <v>44267</v>
      </c>
      <c r="D570" s="8"/>
      <c r="E570" s="7">
        <v>44267</v>
      </c>
      <c r="F570" s="9">
        <v>148.5</v>
      </c>
      <c r="G570" s="7">
        <v>44267</v>
      </c>
      <c r="H570" s="9">
        <v>147.75</v>
      </c>
      <c r="I570" s="7">
        <v>44267</v>
      </c>
      <c r="J570" s="9">
        <v>143.25</v>
      </c>
      <c r="K570" s="5">
        <f t="shared" si="25"/>
        <v>5.25</v>
      </c>
      <c r="L570" s="6">
        <f t="shared" si="26"/>
        <v>0.75</v>
      </c>
    </row>
    <row r="571" spans="1:12" x14ac:dyDescent="0.25">
      <c r="A571">
        <f t="shared" si="24"/>
        <v>3</v>
      </c>
      <c r="B571">
        <f t="shared" si="27"/>
        <v>2021</v>
      </c>
      <c r="C571" s="7">
        <v>44270</v>
      </c>
      <c r="D571" s="8"/>
      <c r="E571" s="7">
        <v>44270</v>
      </c>
      <c r="F571" s="9">
        <v>149.5</v>
      </c>
      <c r="G571" s="7">
        <v>44270</v>
      </c>
      <c r="H571" s="9">
        <v>148.75</v>
      </c>
      <c r="I571" s="7">
        <v>44270</v>
      </c>
      <c r="J571" s="9">
        <v>142.25</v>
      </c>
      <c r="K571" s="5">
        <f t="shared" si="25"/>
        <v>7.25</v>
      </c>
      <c r="L571" s="6">
        <f t="shared" si="26"/>
        <v>0.75</v>
      </c>
    </row>
    <row r="572" spans="1:12" x14ac:dyDescent="0.25">
      <c r="A572">
        <f t="shared" si="24"/>
        <v>3</v>
      </c>
      <c r="B572">
        <f t="shared" si="27"/>
        <v>2021</v>
      </c>
      <c r="C572" s="7">
        <v>44271</v>
      </c>
      <c r="D572" s="8"/>
      <c r="E572" s="7">
        <v>44271</v>
      </c>
      <c r="F572" s="9">
        <v>151</v>
      </c>
      <c r="G572" s="7">
        <v>44271</v>
      </c>
      <c r="H572" s="9">
        <v>150.25</v>
      </c>
      <c r="I572" s="7">
        <v>44271</v>
      </c>
      <c r="J572" s="9">
        <v>142.125</v>
      </c>
      <c r="K572" s="5">
        <f t="shared" si="25"/>
        <v>8.875</v>
      </c>
      <c r="L572" s="6">
        <f t="shared" si="26"/>
        <v>0.75</v>
      </c>
    </row>
    <row r="573" spans="1:12" x14ac:dyDescent="0.25">
      <c r="A573">
        <f t="shared" si="24"/>
        <v>3</v>
      </c>
      <c r="B573">
        <f t="shared" si="27"/>
        <v>2021</v>
      </c>
      <c r="C573" s="7">
        <v>44272</v>
      </c>
      <c r="D573" s="8"/>
      <c r="E573" s="7">
        <v>44272</v>
      </c>
      <c r="F573" s="9">
        <v>145</v>
      </c>
      <c r="G573" s="7">
        <v>44272</v>
      </c>
      <c r="H573" s="9">
        <v>144.25</v>
      </c>
      <c r="I573" s="7">
        <v>44272</v>
      </c>
      <c r="J573" s="9">
        <v>134.5</v>
      </c>
      <c r="K573" s="5">
        <f t="shared" si="25"/>
        <v>10.5</v>
      </c>
      <c r="L573" s="6">
        <f t="shared" si="26"/>
        <v>0.75</v>
      </c>
    </row>
    <row r="574" spans="1:12" x14ac:dyDescent="0.25">
      <c r="A574">
        <f t="shared" si="24"/>
        <v>3</v>
      </c>
      <c r="B574">
        <f t="shared" si="27"/>
        <v>2021</v>
      </c>
      <c r="C574" s="7">
        <v>44273</v>
      </c>
      <c r="D574" s="8"/>
      <c r="E574" s="7">
        <v>44273</v>
      </c>
      <c r="F574" s="9">
        <v>137.5</v>
      </c>
      <c r="G574" s="7">
        <v>44273</v>
      </c>
      <c r="H574" s="9">
        <v>136.75</v>
      </c>
      <c r="I574" s="7">
        <v>44273</v>
      </c>
      <c r="J574" s="9">
        <v>127</v>
      </c>
      <c r="K574" s="5">
        <f t="shared" si="25"/>
        <v>10.5</v>
      </c>
      <c r="L574" s="6">
        <f t="shared" si="26"/>
        <v>0.75</v>
      </c>
    </row>
    <row r="575" spans="1:12" x14ac:dyDescent="0.25">
      <c r="A575">
        <f t="shared" si="24"/>
        <v>3</v>
      </c>
      <c r="B575">
        <f t="shared" si="27"/>
        <v>2021</v>
      </c>
      <c r="C575" s="7">
        <v>44274</v>
      </c>
      <c r="D575" s="8"/>
      <c r="E575" s="7">
        <v>44274</v>
      </c>
      <c r="F575" s="9">
        <v>135.5</v>
      </c>
      <c r="G575" s="7">
        <v>44274</v>
      </c>
      <c r="H575" s="9">
        <v>134.75</v>
      </c>
      <c r="I575" s="7">
        <v>44274</v>
      </c>
      <c r="J575" s="9">
        <v>123.5</v>
      </c>
      <c r="K575" s="5">
        <f t="shared" si="25"/>
        <v>12</v>
      </c>
      <c r="L575" s="6">
        <f t="shared" si="26"/>
        <v>0.75</v>
      </c>
    </row>
    <row r="576" spans="1:12" x14ac:dyDescent="0.25">
      <c r="A576">
        <f t="shared" si="24"/>
        <v>3</v>
      </c>
      <c r="B576">
        <f t="shared" si="27"/>
        <v>2021</v>
      </c>
      <c r="C576" s="7">
        <v>44277</v>
      </c>
      <c r="D576" s="8"/>
      <c r="E576" s="7">
        <v>44277</v>
      </c>
      <c r="F576" s="9">
        <v>145</v>
      </c>
      <c r="G576" s="7">
        <v>44277</v>
      </c>
      <c r="H576" s="9">
        <v>144.5</v>
      </c>
      <c r="I576" s="7">
        <v>44277</v>
      </c>
      <c r="J576" s="9">
        <v>134.5</v>
      </c>
      <c r="K576" s="5">
        <f t="shared" si="25"/>
        <v>10.5</v>
      </c>
      <c r="L576" s="6">
        <f t="shared" si="26"/>
        <v>0.5</v>
      </c>
    </row>
    <row r="577" spans="1:12" x14ac:dyDescent="0.25">
      <c r="A577">
        <f t="shared" si="24"/>
        <v>3</v>
      </c>
      <c r="B577">
        <f t="shared" si="27"/>
        <v>2021</v>
      </c>
      <c r="C577" s="7">
        <v>44278</v>
      </c>
      <c r="D577" s="8"/>
      <c r="E577" s="7">
        <v>44278</v>
      </c>
      <c r="F577" s="9">
        <v>147.5</v>
      </c>
      <c r="G577" s="7">
        <v>44278</v>
      </c>
      <c r="H577" s="9">
        <v>144.5</v>
      </c>
      <c r="I577" s="7">
        <v>44278</v>
      </c>
      <c r="J577" s="9">
        <v>137.5</v>
      </c>
      <c r="K577" s="5">
        <f t="shared" si="25"/>
        <v>10</v>
      </c>
      <c r="L577" s="6">
        <f t="shared" si="26"/>
        <v>3</v>
      </c>
    </row>
    <row r="578" spans="1:12" x14ac:dyDescent="0.25">
      <c r="A578">
        <f t="shared" si="24"/>
        <v>3</v>
      </c>
      <c r="B578">
        <f t="shared" si="27"/>
        <v>2021</v>
      </c>
      <c r="C578" s="7">
        <v>44279</v>
      </c>
      <c r="D578" s="8"/>
      <c r="E578" s="7">
        <v>44279</v>
      </c>
      <c r="F578" s="9">
        <v>147.5</v>
      </c>
      <c r="G578" s="7">
        <v>44279</v>
      </c>
      <c r="H578" s="9">
        <v>144.5</v>
      </c>
      <c r="I578" s="7">
        <v>44279</v>
      </c>
      <c r="J578" s="9">
        <v>137.5</v>
      </c>
      <c r="K578" s="5">
        <f t="shared" si="25"/>
        <v>10</v>
      </c>
      <c r="L578" s="6">
        <f t="shared" si="26"/>
        <v>3</v>
      </c>
    </row>
    <row r="579" spans="1:12" x14ac:dyDescent="0.25">
      <c r="A579">
        <f t="shared" si="24"/>
        <v>3</v>
      </c>
      <c r="B579">
        <f t="shared" si="27"/>
        <v>2021</v>
      </c>
      <c r="C579" s="7">
        <v>44280</v>
      </c>
      <c r="D579" s="8"/>
      <c r="E579" s="7">
        <v>44280</v>
      </c>
      <c r="F579" s="9">
        <v>144.5</v>
      </c>
      <c r="G579" s="7">
        <v>44280</v>
      </c>
      <c r="H579" s="9">
        <v>144.5</v>
      </c>
      <c r="I579" s="7">
        <v>44280</v>
      </c>
      <c r="J579" s="9">
        <v>132.5</v>
      </c>
      <c r="K579" s="5">
        <f t="shared" si="25"/>
        <v>12</v>
      </c>
      <c r="L579" s="6">
        <f t="shared" si="26"/>
        <v>0</v>
      </c>
    </row>
    <row r="580" spans="1:12" x14ac:dyDescent="0.25">
      <c r="A580">
        <f t="shared" si="24"/>
        <v>3</v>
      </c>
      <c r="B580">
        <f t="shared" si="27"/>
        <v>2021</v>
      </c>
      <c r="C580" s="7">
        <v>44281</v>
      </c>
      <c r="D580" s="8"/>
      <c r="E580" s="7">
        <v>44281</v>
      </c>
      <c r="F580" s="9">
        <v>139.5</v>
      </c>
      <c r="G580" s="7">
        <v>44281</v>
      </c>
      <c r="H580" s="9">
        <v>144.5</v>
      </c>
      <c r="I580" s="7">
        <v>44281</v>
      </c>
      <c r="J580" s="9">
        <v>129.5</v>
      </c>
      <c r="K580" s="5">
        <f t="shared" si="25"/>
        <v>10</v>
      </c>
      <c r="L580" s="6">
        <f t="shared" si="26"/>
        <v>-5</v>
      </c>
    </row>
    <row r="581" spans="1:12" x14ac:dyDescent="0.25">
      <c r="A581">
        <f t="shared" si="24"/>
        <v>3</v>
      </c>
      <c r="B581">
        <f t="shared" si="27"/>
        <v>2021</v>
      </c>
      <c r="C581" s="7">
        <v>44284</v>
      </c>
      <c r="D581" s="8"/>
      <c r="E581" s="7">
        <v>44284</v>
      </c>
      <c r="F581" s="9">
        <v>138.5</v>
      </c>
      <c r="G581" s="7">
        <v>44284</v>
      </c>
      <c r="H581" s="9">
        <v>137.75</v>
      </c>
      <c r="I581" s="7">
        <v>44284</v>
      </c>
      <c r="J581" s="9">
        <v>129.5</v>
      </c>
      <c r="K581" s="5">
        <f t="shared" si="25"/>
        <v>9</v>
      </c>
      <c r="L581" s="6">
        <f t="shared" si="26"/>
        <v>0.75</v>
      </c>
    </row>
    <row r="582" spans="1:12" x14ac:dyDescent="0.25">
      <c r="A582">
        <f t="shared" si="24"/>
        <v>3</v>
      </c>
      <c r="B582">
        <f t="shared" si="27"/>
        <v>2021</v>
      </c>
      <c r="C582" s="7">
        <v>44285</v>
      </c>
      <c r="D582" s="8"/>
      <c r="E582" s="7">
        <v>44285</v>
      </c>
      <c r="F582" s="9">
        <v>134</v>
      </c>
      <c r="G582" s="7">
        <v>44285</v>
      </c>
      <c r="H582" s="9">
        <v>133.25</v>
      </c>
      <c r="I582" s="7">
        <v>44285</v>
      </c>
      <c r="J582" s="9">
        <v>124.5</v>
      </c>
      <c r="K582" s="5">
        <f t="shared" si="25"/>
        <v>9.5</v>
      </c>
      <c r="L582" s="6">
        <f t="shared" si="26"/>
        <v>0.75</v>
      </c>
    </row>
    <row r="583" spans="1:12" x14ac:dyDescent="0.25">
      <c r="A583">
        <f t="shared" si="24"/>
        <v>3</v>
      </c>
      <c r="B583">
        <f t="shared" si="27"/>
        <v>2021</v>
      </c>
      <c r="C583" s="7">
        <v>44286</v>
      </c>
      <c r="D583" s="8"/>
      <c r="E583" s="7">
        <v>44286</v>
      </c>
      <c r="F583" s="9">
        <v>141</v>
      </c>
      <c r="G583" s="7">
        <v>44286</v>
      </c>
      <c r="H583" s="9">
        <v>140.25</v>
      </c>
      <c r="I583" s="7">
        <v>44286</v>
      </c>
      <c r="J583" s="9">
        <v>131.75</v>
      </c>
      <c r="K583" s="5">
        <f t="shared" si="25"/>
        <v>9.25</v>
      </c>
      <c r="L583" s="6">
        <f t="shared" si="26"/>
        <v>0.75</v>
      </c>
    </row>
    <row r="584" spans="1:12" x14ac:dyDescent="0.25">
      <c r="A584">
        <f t="shared" si="24"/>
        <v>4</v>
      </c>
      <c r="B584">
        <f t="shared" si="27"/>
        <v>2021</v>
      </c>
      <c r="C584" s="7">
        <v>44287</v>
      </c>
      <c r="D584" s="8"/>
      <c r="E584" s="7">
        <v>44287</v>
      </c>
      <c r="F584" s="9">
        <v>139.5</v>
      </c>
      <c r="G584" s="7">
        <v>44287</v>
      </c>
      <c r="H584" s="9">
        <v>138.75</v>
      </c>
      <c r="I584" s="7">
        <v>44287</v>
      </c>
      <c r="J584" s="9">
        <v>132.5</v>
      </c>
      <c r="K584" s="5">
        <f t="shared" si="25"/>
        <v>7</v>
      </c>
      <c r="L584" s="6">
        <f t="shared" si="26"/>
        <v>0.75</v>
      </c>
    </row>
    <row r="585" spans="1:12" x14ac:dyDescent="0.25">
      <c r="A585">
        <f t="shared" si="24"/>
        <v>4</v>
      </c>
      <c r="B585">
        <f t="shared" si="27"/>
        <v>2021</v>
      </c>
      <c r="C585" s="7">
        <v>44291</v>
      </c>
      <c r="D585" s="8"/>
      <c r="E585" s="7">
        <v>44291</v>
      </c>
      <c r="F585" s="9">
        <v>142.75</v>
      </c>
      <c r="G585" s="7">
        <v>44291</v>
      </c>
      <c r="H585" s="9">
        <v>142</v>
      </c>
      <c r="I585" s="7">
        <v>44291</v>
      </c>
      <c r="J585" s="9">
        <v>133.75</v>
      </c>
      <c r="K585" s="5">
        <f t="shared" si="25"/>
        <v>9</v>
      </c>
      <c r="L585" s="6">
        <f t="shared" si="26"/>
        <v>0.75</v>
      </c>
    </row>
    <row r="586" spans="1:12" x14ac:dyDescent="0.25">
      <c r="A586">
        <f t="shared" si="24"/>
        <v>4</v>
      </c>
      <c r="B586">
        <f t="shared" si="27"/>
        <v>2021</v>
      </c>
      <c r="C586" s="7">
        <v>44292</v>
      </c>
      <c r="D586" s="8"/>
      <c r="E586" s="7">
        <v>44292</v>
      </c>
      <c r="F586" s="9">
        <v>143.75</v>
      </c>
      <c r="G586" s="7">
        <v>44292</v>
      </c>
      <c r="H586" s="9">
        <v>143</v>
      </c>
      <c r="I586" s="7">
        <v>44292</v>
      </c>
      <c r="J586" s="9">
        <v>134.25</v>
      </c>
      <c r="K586" s="5">
        <f t="shared" si="25"/>
        <v>9.5</v>
      </c>
      <c r="L586" s="6">
        <f t="shared" si="26"/>
        <v>0.75</v>
      </c>
    </row>
    <row r="587" spans="1:12" x14ac:dyDescent="0.25">
      <c r="A587">
        <f t="shared" si="24"/>
        <v>4</v>
      </c>
      <c r="B587">
        <f t="shared" si="27"/>
        <v>2021</v>
      </c>
      <c r="C587" s="7">
        <v>44293</v>
      </c>
      <c r="D587" s="8"/>
      <c r="E587" s="7">
        <v>44293</v>
      </c>
      <c r="F587" s="9">
        <v>140.5</v>
      </c>
      <c r="G587" s="7">
        <v>44293</v>
      </c>
      <c r="H587" s="9">
        <v>139.75</v>
      </c>
      <c r="I587" s="7">
        <v>44293</v>
      </c>
      <c r="J587" s="9">
        <v>132.75</v>
      </c>
      <c r="K587" s="5">
        <f t="shared" si="25"/>
        <v>7.75</v>
      </c>
      <c r="L587" s="6">
        <f t="shared" si="26"/>
        <v>0.75</v>
      </c>
    </row>
    <row r="588" spans="1:12" x14ac:dyDescent="0.25">
      <c r="A588">
        <f t="shared" si="24"/>
        <v>4</v>
      </c>
      <c r="B588">
        <f t="shared" si="27"/>
        <v>2021</v>
      </c>
      <c r="C588" s="7">
        <v>44294</v>
      </c>
      <c r="D588" s="8"/>
      <c r="E588" s="7">
        <v>44294</v>
      </c>
      <c r="F588" s="9">
        <v>141.5</v>
      </c>
      <c r="G588" s="7">
        <v>44294</v>
      </c>
      <c r="H588" s="9">
        <v>140.75</v>
      </c>
      <c r="I588" s="7">
        <v>44294</v>
      </c>
      <c r="J588" s="9">
        <v>133.75</v>
      </c>
      <c r="K588" s="5">
        <f t="shared" si="25"/>
        <v>7.75</v>
      </c>
      <c r="L588" s="6">
        <f t="shared" si="26"/>
        <v>0.75</v>
      </c>
    </row>
    <row r="589" spans="1:12" x14ac:dyDescent="0.25">
      <c r="A589">
        <f t="shared" si="24"/>
        <v>4</v>
      </c>
      <c r="B589">
        <f t="shared" si="27"/>
        <v>2021</v>
      </c>
      <c r="C589" s="7">
        <v>44295</v>
      </c>
      <c r="D589" s="8"/>
      <c r="E589" s="7">
        <v>44295</v>
      </c>
      <c r="F589" s="9">
        <v>142.5</v>
      </c>
      <c r="G589" s="7">
        <v>44295</v>
      </c>
      <c r="H589" s="9">
        <v>141.75</v>
      </c>
      <c r="I589" s="7">
        <v>44295</v>
      </c>
      <c r="J589" s="9">
        <v>134</v>
      </c>
      <c r="K589" s="5">
        <f t="shared" si="25"/>
        <v>8.5</v>
      </c>
      <c r="L589" s="6">
        <f t="shared" si="26"/>
        <v>0.75</v>
      </c>
    </row>
    <row r="590" spans="1:12" x14ac:dyDescent="0.25">
      <c r="A590">
        <f t="shared" ref="A590:A653" si="28">MONTH(E590)</f>
        <v>4</v>
      </c>
      <c r="B590">
        <f t="shared" si="27"/>
        <v>2021</v>
      </c>
      <c r="C590" s="7">
        <v>44298</v>
      </c>
      <c r="D590" s="8"/>
      <c r="E590" s="7">
        <v>44298</v>
      </c>
      <c r="F590" s="9">
        <v>138.5</v>
      </c>
      <c r="G590" s="7">
        <v>44298</v>
      </c>
      <c r="H590" s="9">
        <v>137.75</v>
      </c>
      <c r="I590" s="7">
        <v>44298</v>
      </c>
      <c r="J590" s="9">
        <v>131.875</v>
      </c>
      <c r="K590" s="5">
        <f t="shared" ref="K590:K653" si="29">F590-J590</f>
        <v>6.625</v>
      </c>
      <c r="L590" s="6">
        <f t="shared" ref="L590:L653" si="30">F590-H590</f>
        <v>0.75</v>
      </c>
    </row>
    <row r="591" spans="1:12" x14ac:dyDescent="0.25">
      <c r="A591">
        <f t="shared" si="28"/>
        <v>4</v>
      </c>
      <c r="B591">
        <f t="shared" ref="B591:B654" si="31">YEAR(E591)</f>
        <v>2021</v>
      </c>
      <c r="C591" s="7">
        <v>44299</v>
      </c>
      <c r="D591" s="8"/>
      <c r="E591" s="7">
        <v>44299</v>
      </c>
      <c r="F591" s="9">
        <v>139</v>
      </c>
      <c r="G591" s="7">
        <v>44299</v>
      </c>
      <c r="H591" s="9">
        <v>138.25</v>
      </c>
      <c r="I591" s="7">
        <v>44299</v>
      </c>
      <c r="J591" s="9">
        <v>132.5</v>
      </c>
      <c r="K591" s="5">
        <f t="shared" si="29"/>
        <v>6.5</v>
      </c>
      <c r="L591" s="6">
        <f t="shared" si="30"/>
        <v>0.75</v>
      </c>
    </row>
    <row r="592" spans="1:12" x14ac:dyDescent="0.25">
      <c r="A592">
        <f t="shared" si="28"/>
        <v>4</v>
      </c>
      <c r="B592">
        <f t="shared" si="31"/>
        <v>2021</v>
      </c>
      <c r="C592" s="7">
        <v>44300</v>
      </c>
      <c r="D592" s="8"/>
      <c r="E592" s="7">
        <v>44300</v>
      </c>
      <c r="F592" s="9">
        <v>138.5</v>
      </c>
      <c r="G592" s="7">
        <v>44300</v>
      </c>
      <c r="H592" s="9">
        <v>137.75</v>
      </c>
      <c r="I592" s="7">
        <v>44300</v>
      </c>
      <c r="J592" s="9">
        <v>132.5</v>
      </c>
      <c r="K592" s="5">
        <f t="shared" si="29"/>
        <v>6</v>
      </c>
      <c r="L592" s="6">
        <f t="shared" si="30"/>
        <v>0.75</v>
      </c>
    </row>
    <row r="593" spans="1:12" x14ac:dyDescent="0.25">
      <c r="A593">
        <f t="shared" si="28"/>
        <v>4</v>
      </c>
      <c r="B593">
        <f t="shared" si="31"/>
        <v>2021</v>
      </c>
      <c r="C593" s="7">
        <v>44301</v>
      </c>
      <c r="D593" s="8"/>
      <c r="E593" s="7">
        <v>44301</v>
      </c>
      <c r="F593" s="9">
        <v>139.25</v>
      </c>
      <c r="G593" s="7">
        <v>44301</v>
      </c>
      <c r="H593" s="9">
        <v>138.5</v>
      </c>
      <c r="I593" s="7">
        <v>44301</v>
      </c>
      <c r="J593" s="9">
        <v>133.125</v>
      </c>
      <c r="K593" s="5">
        <f t="shared" si="29"/>
        <v>6.125</v>
      </c>
      <c r="L593" s="6">
        <f t="shared" si="30"/>
        <v>0.75</v>
      </c>
    </row>
    <row r="594" spans="1:12" x14ac:dyDescent="0.25">
      <c r="A594">
        <f t="shared" si="28"/>
        <v>4</v>
      </c>
      <c r="B594">
        <f t="shared" si="31"/>
        <v>2021</v>
      </c>
      <c r="C594" s="7">
        <v>44302</v>
      </c>
      <c r="D594" s="8"/>
      <c r="E594" s="7">
        <v>44302</v>
      </c>
      <c r="F594" s="9">
        <v>140.5</v>
      </c>
      <c r="G594" s="7">
        <v>44302</v>
      </c>
      <c r="H594" s="9">
        <v>139.75</v>
      </c>
      <c r="I594" s="7">
        <v>44302</v>
      </c>
      <c r="J594" s="9">
        <v>134.75</v>
      </c>
      <c r="K594" s="5">
        <f t="shared" si="29"/>
        <v>5.75</v>
      </c>
      <c r="L594" s="6">
        <f t="shared" si="30"/>
        <v>0.75</v>
      </c>
    </row>
    <row r="595" spans="1:12" x14ac:dyDescent="0.25">
      <c r="A595">
        <f t="shared" si="28"/>
        <v>4</v>
      </c>
      <c r="B595">
        <f t="shared" si="31"/>
        <v>2021</v>
      </c>
      <c r="C595" s="7">
        <v>44305</v>
      </c>
      <c r="D595" s="8"/>
      <c r="E595" s="7">
        <v>44305</v>
      </c>
      <c r="F595" s="9">
        <v>141.25</v>
      </c>
      <c r="G595" s="7">
        <v>44305</v>
      </c>
      <c r="H595" s="9">
        <v>140.5</v>
      </c>
      <c r="I595" s="7">
        <v>44305</v>
      </c>
      <c r="J595" s="9">
        <v>135.5</v>
      </c>
      <c r="K595" s="5">
        <f t="shared" si="29"/>
        <v>5.75</v>
      </c>
      <c r="L595" s="6">
        <f t="shared" si="30"/>
        <v>0.75</v>
      </c>
    </row>
    <row r="596" spans="1:12" x14ac:dyDescent="0.25">
      <c r="A596">
        <f t="shared" si="28"/>
        <v>4</v>
      </c>
      <c r="B596">
        <f t="shared" si="31"/>
        <v>2021</v>
      </c>
      <c r="C596" s="7">
        <v>44306</v>
      </c>
      <c r="D596" s="8"/>
      <c r="E596" s="7">
        <v>44306</v>
      </c>
      <c r="F596" s="9">
        <v>143.25</v>
      </c>
      <c r="G596" s="7">
        <v>44306</v>
      </c>
      <c r="H596" s="9">
        <v>142.5</v>
      </c>
      <c r="I596" s="7">
        <v>44306</v>
      </c>
      <c r="J596" s="9">
        <v>135.75</v>
      </c>
      <c r="K596" s="5">
        <f t="shared" si="29"/>
        <v>7.5</v>
      </c>
      <c r="L596" s="6">
        <f t="shared" si="30"/>
        <v>0.75</v>
      </c>
    </row>
    <row r="597" spans="1:12" x14ac:dyDescent="0.25">
      <c r="A597">
        <f t="shared" si="28"/>
        <v>4</v>
      </c>
      <c r="B597">
        <f t="shared" si="31"/>
        <v>2021</v>
      </c>
      <c r="C597" s="7">
        <v>44307</v>
      </c>
      <c r="D597" s="8"/>
      <c r="E597" s="7">
        <v>44307</v>
      </c>
      <c r="F597" s="9">
        <v>145.5</v>
      </c>
      <c r="G597" s="7">
        <v>44307</v>
      </c>
      <c r="H597" s="9">
        <v>144.75</v>
      </c>
      <c r="I597" s="7">
        <v>44307</v>
      </c>
      <c r="J597" s="9">
        <v>137.5</v>
      </c>
      <c r="K597" s="5">
        <f t="shared" si="29"/>
        <v>8</v>
      </c>
      <c r="L597" s="6">
        <f t="shared" si="30"/>
        <v>0.75</v>
      </c>
    </row>
    <row r="598" spans="1:12" x14ac:dyDescent="0.25">
      <c r="A598">
        <f t="shared" si="28"/>
        <v>4</v>
      </c>
      <c r="B598">
        <f t="shared" si="31"/>
        <v>2021</v>
      </c>
      <c r="C598" s="7">
        <v>44308</v>
      </c>
      <c r="D598" s="8"/>
      <c r="E598" s="7">
        <v>44308</v>
      </c>
      <c r="F598" s="9">
        <v>147</v>
      </c>
      <c r="G598" s="7">
        <v>44308</v>
      </c>
      <c r="H598" s="9">
        <v>146.25</v>
      </c>
      <c r="I598" s="7">
        <v>44308</v>
      </c>
      <c r="J598" s="9">
        <v>138.5</v>
      </c>
      <c r="K598" s="5">
        <f t="shared" si="29"/>
        <v>8.5</v>
      </c>
      <c r="L598" s="6">
        <f t="shared" si="30"/>
        <v>0.75</v>
      </c>
    </row>
    <row r="599" spans="1:12" x14ac:dyDescent="0.25">
      <c r="A599">
        <f t="shared" si="28"/>
        <v>4</v>
      </c>
      <c r="B599">
        <f t="shared" si="31"/>
        <v>2021</v>
      </c>
      <c r="C599" s="7">
        <v>44309</v>
      </c>
      <c r="D599" s="8"/>
      <c r="E599" s="7">
        <v>44309</v>
      </c>
      <c r="F599" s="9">
        <v>148.75</v>
      </c>
      <c r="G599" s="7">
        <v>44309</v>
      </c>
      <c r="H599" s="9">
        <v>148</v>
      </c>
      <c r="I599" s="7">
        <v>44309</v>
      </c>
      <c r="J599" s="9">
        <v>139.75</v>
      </c>
      <c r="K599" s="5">
        <f t="shared" si="29"/>
        <v>9</v>
      </c>
      <c r="L599" s="6">
        <f t="shared" si="30"/>
        <v>0.75</v>
      </c>
    </row>
    <row r="600" spans="1:12" x14ac:dyDescent="0.25">
      <c r="A600">
        <f t="shared" si="28"/>
        <v>4</v>
      </c>
      <c r="B600">
        <f t="shared" si="31"/>
        <v>2021</v>
      </c>
      <c r="C600" s="7">
        <v>44312</v>
      </c>
      <c r="D600" s="8"/>
      <c r="E600" s="7">
        <v>44312</v>
      </c>
      <c r="F600" s="9">
        <v>153.5</v>
      </c>
      <c r="G600" s="7">
        <v>44312</v>
      </c>
      <c r="H600" s="9">
        <v>152.75</v>
      </c>
      <c r="I600" s="7">
        <v>44312</v>
      </c>
      <c r="J600" s="9">
        <v>143.5</v>
      </c>
      <c r="K600" s="5">
        <f t="shared" si="29"/>
        <v>10</v>
      </c>
      <c r="L600" s="6">
        <f t="shared" si="30"/>
        <v>0.75</v>
      </c>
    </row>
    <row r="601" spans="1:12" x14ac:dyDescent="0.25">
      <c r="A601">
        <f t="shared" si="28"/>
        <v>4</v>
      </c>
      <c r="B601">
        <f t="shared" si="31"/>
        <v>2021</v>
      </c>
      <c r="C601" s="7">
        <v>44313</v>
      </c>
      <c r="D601" s="8"/>
      <c r="E601" s="7">
        <v>44313</v>
      </c>
      <c r="F601" s="9">
        <v>156.75</v>
      </c>
      <c r="G601" s="7">
        <v>44313</v>
      </c>
      <c r="H601" s="9">
        <v>156</v>
      </c>
      <c r="I601" s="7">
        <v>44313</v>
      </c>
      <c r="J601" s="9">
        <v>148.75</v>
      </c>
      <c r="K601" s="5">
        <f t="shared" si="29"/>
        <v>8</v>
      </c>
      <c r="L601" s="6">
        <f t="shared" si="30"/>
        <v>0.75</v>
      </c>
    </row>
    <row r="602" spans="1:12" x14ac:dyDescent="0.25">
      <c r="A602">
        <f t="shared" si="28"/>
        <v>4</v>
      </c>
      <c r="B602">
        <f t="shared" si="31"/>
        <v>2021</v>
      </c>
      <c r="C602" s="7">
        <v>44314</v>
      </c>
      <c r="D602" s="8"/>
      <c r="E602" s="7">
        <v>44314</v>
      </c>
      <c r="F602" s="9">
        <v>160.5</v>
      </c>
      <c r="G602" s="7">
        <v>44314</v>
      </c>
      <c r="H602" s="9">
        <v>159.75</v>
      </c>
      <c r="I602" s="7">
        <v>44314</v>
      </c>
      <c r="J602" s="9">
        <v>151.75</v>
      </c>
      <c r="K602" s="5">
        <f t="shared" si="29"/>
        <v>8.75</v>
      </c>
      <c r="L602" s="6">
        <f t="shared" si="30"/>
        <v>0.75</v>
      </c>
    </row>
    <row r="603" spans="1:12" x14ac:dyDescent="0.25">
      <c r="A603">
        <f t="shared" si="28"/>
        <v>4</v>
      </c>
      <c r="B603">
        <f t="shared" si="31"/>
        <v>2021</v>
      </c>
      <c r="C603" s="7">
        <v>44315</v>
      </c>
      <c r="D603" s="8"/>
      <c r="E603" s="7">
        <v>44315</v>
      </c>
      <c r="F603" s="9">
        <v>160.5</v>
      </c>
      <c r="G603" s="7">
        <v>44315</v>
      </c>
      <c r="H603" s="9">
        <v>159.75</v>
      </c>
      <c r="I603" s="7">
        <v>44315</v>
      </c>
      <c r="J603" s="9">
        <v>152.5</v>
      </c>
      <c r="K603" s="5">
        <f t="shared" si="29"/>
        <v>8</v>
      </c>
      <c r="L603" s="6">
        <f t="shared" si="30"/>
        <v>0.75</v>
      </c>
    </row>
    <row r="604" spans="1:12" x14ac:dyDescent="0.25">
      <c r="A604">
        <f t="shared" si="28"/>
        <v>4</v>
      </c>
      <c r="B604">
        <f t="shared" si="31"/>
        <v>2021</v>
      </c>
      <c r="C604" s="7">
        <v>44316</v>
      </c>
      <c r="D604" s="8"/>
      <c r="E604" s="7">
        <v>44316</v>
      </c>
      <c r="F604" s="9">
        <v>159</v>
      </c>
      <c r="G604" s="7">
        <v>44316</v>
      </c>
      <c r="H604" s="9">
        <v>158.25</v>
      </c>
      <c r="I604" s="7">
        <v>44316</v>
      </c>
      <c r="J604" s="9">
        <v>150.5</v>
      </c>
      <c r="K604" s="5">
        <f t="shared" si="29"/>
        <v>8.5</v>
      </c>
      <c r="L604" s="6">
        <f t="shared" si="30"/>
        <v>0.75</v>
      </c>
    </row>
    <row r="605" spans="1:12" x14ac:dyDescent="0.25">
      <c r="A605">
        <f t="shared" si="28"/>
        <v>5</v>
      </c>
      <c r="B605">
        <f t="shared" si="31"/>
        <v>2021</v>
      </c>
      <c r="C605" s="7">
        <v>44319</v>
      </c>
      <c r="D605" s="8"/>
      <c r="E605" s="7">
        <v>44319</v>
      </c>
      <c r="F605" s="9">
        <v>164</v>
      </c>
      <c r="G605" s="7">
        <v>44319</v>
      </c>
      <c r="H605" s="9">
        <v>163.25</v>
      </c>
      <c r="I605" s="7">
        <v>44319</v>
      </c>
      <c r="J605" s="9">
        <v>156</v>
      </c>
      <c r="K605" s="5">
        <f t="shared" si="29"/>
        <v>8</v>
      </c>
      <c r="L605" s="6">
        <f t="shared" si="30"/>
        <v>0.75</v>
      </c>
    </row>
    <row r="606" spans="1:12" x14ac:dyDescent="0.25">
      <c r="A606">
        <f t="shared" si="28"/>
        <v>5</v>
      </c>
      <c r="B606">
        <f t="shared" si="31"/>
        <v>2021</v>
      </c>
      <c r="C606" s="7">
        <v>44320</v>
      </c>
      <c r="D606" s="8"/>
      <c r="E606" s="7">
        <v>44320</v>
      </c>
      <c r="F606" s="9">
        <v>169.5</v>
      </c>
      <c r="G606" s="7">
        <v>44320</v>
      </c>
      <c r="H606" s="9">
        <v>168.75</v>
      </c>
      <c r="I606" s="7">
        <v>44320</v>
      </c>
      <c r="J606" s="9">
        <v>160.5</v>
      </c>
      <c r="K606" s="5">
        <f t="shared" si="29"/>
        <v>9</v>
      </c>
      <c r="L606" s="6">
        <f t="shared" si="30"/>
        <v>0.75</v>
      </c>
    </row>
    <row r="607" spans="1:12" x14ac:dyDescent="0.25">
      <c r="A607">
        <f t="shared" si="28"/>
        <v>5</v>
      </c>
      <c r="B607">
        <f t="shared" si="31"/>
        <v>2021</v>
      </c>
      <c r="C607" s="7">
        <v>44321</v>
      </c>
      <c r="D607" s="8"/>
      <c r="E607" s="7">
        <v>44321</v>
      </c>
      <c r="F607" s="9">
        <v>173.75</v>
      </c>
      <c r="G607" s="7">
        <v>44321</v>
      </c>
      <c r="H607" s="9">
        <v>173</v>
      </c>
      <c r="I607" s="7">
        <v>44321</v>
      </c>
      <c r="J607" s="9">
        <v>164.5</v>
      </c>
      <c r="K607" s="5">
        <f t="shared" si="29"/>
        <v>9.25</v>
      </c>
      <c r="L607" s="6">
        <f t="shared" si="30"/>
        <v>0.75</v>
      </c>
    </row>
    <row r="608" spans="1:12" x14ac:dyDescent="0.25">
      <c r="A608">
        <f t="shared" si="28"/>
        <v>5</v>
      </c>
      <c r="B608">
        <f t="shared" si="31"/>
        <v>2021</v>
      </c>
      <c r="C608" s="7">
        <v>44322</v>
      </c>
      <c r="D608" s="8"/>
      <c r="E608" s="7">
        <v>44322</v>
      </c>
      <c r="F608" s="9">
        <v>178.5</v>
      </c>
      <c r="G608" s="7">
        <v>44322</v>
      </c>
      <c r="H608" s="9">
        <v>177.75</v>
      </c>
      <c r="I608" s="7">
        <v>44322</v>
      </c>
      <c r="J608" s="9">
        <v>171.25</v>
      </c>
      <c r="K608" s="5">
        <f t="shared" si="29"/>
        <v>7.25</v>
      </c>
      <c r="L608" s="6">
        <f t="shared" si="30"/>
        <v>0.75</v>
      </c>
    </row>
    <row r="609" spans="1:12" x14ac:dyDescent="0.25">
      <c r="A609">
        <f t="shared" si="28"/>
        <v>5</v>
      </c>
      <c r="B609">
        <f t="shared" si="31"/>
        <v>2021</v>
      </c>
      <c r="C609" s="7">
        <v>44323</v>
      </c>
      <c r="D609" s="8"/>
      <c r="E609" s="7">
        <v>44323</v>
      </c>
      <c r="F609" s="9">
        <v>184</v>
      </c>
      <c r="G609" s="7">
        <v>44323</v>
      </c>
      <c r="H609" s="9">
        <v>183.25</v>
      </c>
      <c r="I609" s="7">
        <v>44323</v>
      </c>
      <c r="J609" s="9">
        <v>175.25</v>
      </c>
      <c r="K609" s="5">
        <f t="shared" si="29"/>
        <v>8.75</v>
      </c>
      <c r="L609" s="6">
        <f t="shared" si="30"/>
        <v>0.75</v>
      </c>
    </row>
    <row r="610" spans="1:12" x14ac:dyDescent="0.25">
      <c r="A610">
        <f t="shared" si="28"/>
        <v>5</v>
      </c>
      <c r="B610">
        <f t="shared" si="31"/>
        <v>2021</v>
      </c>
      <c r="C610" s="7">
        <v>44326</v>
      </c>
      <c r="D610" s="8"/>
      <c r="E610" s="7">
        <v>44326</v>
      </c>
      <c r="F610" s="9">
        <v>184</v>
      </c>
      <c r="G610" s="7">
        <v>44326</v>
      </c>
      <c r="H610" s="9">
        <v>183.25</v>
      </c>
      <c r="I610" s="7">
        <v>44326</v>
      </c>
      <c r="J610" s="9">
        <v>176.5</v>
      </c>
      <c r="K610" s="5">
        <f t="shared" si="29"/>
        <v>7.5</v>
      </c>
      <c r="L610" s="6">
        <f t="shared" si="30"/>
        <v>0.75</v>
      </c>
    </row>
    <row r="611" spans="1:12" x14ac:dyDescent="0.25">
      <c r="A611">
        <f t="shared" si="28"/>
        <v>5</v>
      </c>
      <c r="B611">
        <f t="shared" si="31"/>
        <v>2021</v>
      </c>
      <c r="C611" s="7">
        <v>44327</v>
      </c>
      <c r="D611" s="8"/>
      <c r="E611" s="7">
        <v>44327</v>
      </c>
      <c r="F611" s="9">
        <v>187</v>
      </c>
      <c r="G611" s="7">
        <v>44327</v>
      </c>
      <c r="H611" s="9">
        <v>186.25</v>
      </c>
      <c r="I611" s="7">
        <v>44327</v>
      </c>
      <c r="J611" s="9">
        <v>181</v>
      </c>
      <c r="K611" s="5">
        <f t="shared" si="29"/>
        <v>6</v>
      </c>
      <c r="L611" s="6">
        <f t="shared" si="30"/>
        <v>0.75</v>
      </c>
    </row>
    <row r="612" spans="1:12" x14ac:dyDescent="0.25">
      <c r="A612">
        <f t="shared" si="28"/>
        <v>5</v>
      </c>
      <c r="B612">
        <f t="shared" si="31"/>
        <v>2021</v>
      </c>
      <c r="C612" s="7">
        <v>44328</v>
      </c>
      <c r="D612" s="8"/>
      <c r="E612" s="7">
        <v>44328</v>
      </c>
      <c r="F612" s="9">
        <v>196.5</v>
      </c>
      <c r="G612" s="7">
        <v>44328</v>
      </c>
      <c r="H612" s="9">
        <v>195.75</v>
      </c>
      <c r="I612" s="7">
        <v>44328</v>
      </c>
      <c r="J612" s="9">
        <v>189.5</v>
      </c>
      <c r="K612" s="5">
        <f t="shared" si="29"/>
        <v>7</v>
      </c>
      <c r="L612" s="6">
        <f t="shared" si="30"/>
        <v>0.75</v>
      </c>
    </row>
    <row r="613" spans="1:12" x14ac:dyDescent="0.25">
      <c r="A613">
        <f t="shared" si="28"/>
        <v>5</v>
      </c>
      <c r="B613">
        <f t="shared" si="31"/>
        <v>2021</v>
      </c>
      <c r="C613" s="7">
        <v>44329</v>
      </c>
      <c r="D613" s="8"/>
      <c r="E613" s="7">
        <v>44329</v>
      </c>
      <c r="F613" s="9">
        <v>191</v>
      </c>
      <c r="G613" s="7">
        <v>44329</v>
      </c>
      <c r="H613" s="9">
        <v>190.25</v>
      </c>
      <c r="I613" s="7">
        <v>44329</v>
      </c>
      <c r="J613" s="9">
        <v>185.75</v>
      </c>
      <c r="K613" s="5">
        <f t="shared" si="29"/>
        <v>5.25</v>
      </c>
      <c r="L613" s="6">
        <f t="shared" si="30"/>
        <v>0.75</v>
      </c>
    </row>
    <row r="614" spans="1:12" x14ac:dyDescent="0.25">
      <c r="A614">
        <f t="shared" si="28"/>
        <v>5</v>
      </c>
      <c r="B614">
        <f t="shared" si="31"/>
        <v>2021</v>
      </c>
      <c r="C614" s="7">
        <v>44330</v>
      </c>
      <c r="D614" s="8"/>
      <c r="E614" s="7">
        <v>44330</v>
      </c>
      <c r="F614" s="9">
        <v>193.75</v>
      </c>
      <c r="G614" s="7">
        <v>44330</v>
      </c>
      <c r="H614" s="9">
        <v>193</v>
      </c>
      <c r="I614" s="7">
        <v>44330</v>
      </c>
      <c r="J614" s="9">
        <v>184.75</v>
      </c>
      <c r="K614" s="5">
        <f t="shared" si="29"/>
        <v>9</v>
      </c>
      <c r="L614" s="6">
        <f t="shared" si="30"/>
        <v>0.75</v>
      </c>
    </row>
    <row r="615" spans="1:12" x14ac:dyDescent="0.25">
      <c r="A615">
        <f t="shared" si="28"/>
        <v>5</v>
      </c>
      <c r="B615">
        <f t="shared" si="31"/>
        <v>2021</v>
      </c>
      <c r="C615" s="7">
        <v>44333</v>
      </c>
      <c r="D615" s="8"/>
      <c r="E615" s="7">
        <v>44333</v>
      </c>
      <c r="F615" s="9">
        <v>196.5</v>
      </c>
      <c r="G615" s="7">
        <v>44333</v>
      </c>
      <c r="H615" s="9">
        <v>195.75</v>
      </c>
      <c r="I615" s="7">
        <v>44333</v>
      </c>
      <c r="J615" s="9">
        <v>187.25</v>
      </c>
      <c r="K615" s="5">
        <f t="shared" si="29"/>
        <v>9.25</v>
      </c>
      <c r="L615" s="6">
        <f t="shared" si="30"/>
        <v>0.75</v>
      </c>
    </row>
    <row r="616" spans="1:12" x14ac:dyDescent="0.25">
      <c r="A616">
        <f t="shared" si="28"/>
        <v>5</v>
      </c>
      <c r="B616">
        <f t="shared" si="31"/>
        <v>2021</v>
      </c>
      <c r="C616" s="7">
        <v>44334</v>
      </c>
      <c r="D616" s="8"/>
      <c r="E616" s="7">
        <v>44334</v>
      </c>
      <c r="F616" s="9">
        <v>199.5</v>
      </c>
      <c r="G616" s="7">
        <v>44334</v>
      </c>
      <c r="H616" s="9">
        <v>198.75</v>
      </c>
      <c r="I616" s="7">
        <v>44334</v>
      </c>
      <c r="J616" s="9">
        <v>190.5</v>
      </c>
      <c r="K616" s="5">
        <f t="shared" si="29"/>
        <v>9</v>
      </c>
      <c r="L616" s="6">
        <f t="shared" si="30"/>
        <v>0.75</v>
      </c>
    </row>
    <row r="617" spans="1:12" x14ac:dyDescent="0.25">
      <c r="A617">
        <f t="shared" si="28"/>
        <v>5</v>
      </c>
      <c r="B617">
        <f t="shared" si="31"/>
        <v>2021</v>
      </c>
      <c r="C617" s="7">
        <v>44335</v>
      </c>
      <c r="D617" s="8"/>
      <c r="E617" s="7">
        <v>44335</v>
      </c>
      <c r="F617" s="9">
        <v>196.5</v>
      </c>
      <c r="G617" s="7">
        <v>44335</v>
      </c>
      <c r="H617" s="9">
        <v>195.75</v>
      </c>
      <c r="I617" s="7">
        <v>44335</v>
      </c>
      <c r="J617" s="9">
        <v>187.25</v>
      </c>
      <c r="K617" s="5">
        <f t="shared" si="29"/>
        <v>9.25</v>
      </c>
      <c r="L617" s="6">
        <f t="shared" si="30"/>
        <v>0.75</v>
      </c>
    </row>
    <row r="618" spans="1:12" x14ac:dyDescent="0.25">
      <c r="A618">
        <f t="shared" si="28"/>
        <v>5</v>
      </c>
      <c r="B618">
        <f t="shared" si="31"/>
        <v>2021</v>
      </c>
      <c r="C618" s="7">
        <v>44336</v>
      </c>
      <c r="D618" s="8"/>
      <c r="E618" s="7">
        <v>44336</v>
      </c>
      <c r="F618" s="9">
        <v>193.5</v>
      </c>
      <c r="G618" s="7">
        <v>44336</v>
      </c>
      <c r="H618" s="9">
        <v>192.75</v>
      </c>
      <c r="I618" s="7">
        <v>44336</v>
      </c>
      <c r="J618" s="9">
        <v>186</v>
      </c>
      <c r="K618" s="5">
        <f t="shared" si="29"/>
        <v>7.5</v>
      </c>
      <c r="L618" s="6">
        <f t="shared" si="30"/>
        <v>0.75</v>
      </c>
    </row>
    <row r="619" spans="1:12" x14ac:dyDescent="0.25">
      <c r="A619">
        <f t="shared" si="28"/>
        <v>5</v>
      </c>
      <c r="B619">
        <f t="shared" si="31"/>
        <v>2021</v>
      </c>
      <c r="C619" s="7">
        <v>44337</v>
      </c>
      <c r="D619" s="8"/>
      <c r="E619" s="7">
        <v>44337</v>
      </c>
      <c r="F619" s="9">
        <v>192</v>
      </c>
      <c r="G619" s="7">
        <v>44337</v>
      </c>
      <c r="H619" s="9">
        <v>191.25</v>
      </c>
      <c r="I619" s="7">
        <v>44337</v>
      </c>
      <c r="J619" s="9">
        <v>183.5</v>
      </c>
      <c r="K619" s="5">
        <f t="shared" si="29"/>
        <v>8.5</v>
      </c>
      <c r="L619" s="6">
        <f t="shared" si="30"/>
        <v>0.75</v>
      </c>
    </row>
    <row r="620" spans="1:12" x14ac:dyDescent="0.25">
      <c r="A620">
        <f t="shared" si="28"/>
        <v>5</v>
      </c>
      <c r="B620">
        <f t="shared" si="31"/>
        <v>2021</v>
      </c>
      <c r="C620" s="7">
        <v>44340</v>
      </c>
      <c r="D620" s="8"/>
      <c r="E620" s="7">
        <v>44340</v>
      </c>
      <c r="F620" s="9">
        <v>192</v>
      </c>
      <c r="G620" s="7">
        <v>44340</v>
      </c>
      <c r="H620" s="9">
        <v>191.25</v>
      </c>
      <c r="I620" s="7">
        <v>44340</v>
      </c>
      <c r="J620" s="9">
        <v>183.75</v>
      </c>
      <c r="K620" s="5">
        <f t="shared" si="29"/>
        <v>8.25</v>
      </c>
      <c r="L620" s="6">
        <f t="shared" si="30"/>
        <v>0.75</v>
      </c>
    </row>
    <row r="621" spans="1:12" x14ac:dyDescent="0.25">
      <c r="A621">
        <f t="shared" si="28"/>
        <v>5</v>
      </c>
      <c r="B621">
        <f t="shared" si="31"/>
        <v>2021</v>
      </c>
      <c r="C621" s="7">
        <v>44341</v>
      </c>
      <c r="D621" s="8"/>
      <c r="E621" s="7">
        <v>44341</v>
      </c>
      <c r="F621" s="9">
        <v>191.5</v>
      </c>
      <c r="G621" s="7">
        <v>44341</v>
      </c>
      <c r="H621" s="9">
        <v>190.75</v>
      </c>
      <c r="I621" s="7">
        <v>44341</v>
      </c>
      <c r="J621" s="9">
        <v>181.75</v>
      </c>
      <c r="K621" s="5">
        <f t="shared" si="29"/>
        <v>9.75</v>
      </c>
      <c r="L621" s="6">
        <f t="shared" si="30"/>
        <v>0.75</v>
      </c>
    </row>
    <row r="622" spans="1:12" x14ac:dyDescent="0.25">
      <c r="A622">
        <f t="shared" si="28"/>
        <v>5</v>
      </c>
      <c r="B622">
        <f t="shared" si="31"/>
        <v>2021</v>
      </c>
      <c r="C622" s="7">
        <v>44342</v>
      </c>
      <c r="D622" s="8"/>
      <c r="E622" s="7">
        <v>44342</v>
      </c>
      <c r="F622" s="9">
        <v>193.25</v>
      </c>
      <c r="G622" s="7">
        <v>44342</v>
      </c>
      <c r="H622" s="9">
        <v>192.5</v>
      </c>
      <c r="I622" s="7">
        <v>44342</v>
      </c>
      <c r="J622" s="9">
        <v>184</v>
      </c>
      <c r="K622" s="5">
        <f t="shared" si="29"/>
        <v>9.25</v>
      </c>
      <c r="L622" s="6">
        <f t="shared" si="30"/>
        <v>0.75</v>
      </c>
    </row>
    <row r="623" spans="1:12" x14ac:dyDescent="0.25">
      <c r="A623">
        <f t="shared" si="28"/>
        <v>5</v>
      </c>
      <c r="B623">
        <f t="shared" si="31"/>
        <v>2021</v>
      </c>
      <c r="C623" s="7">
        <v>44343</v>
      </c>
      <c r="D623" s="8"/>
      <c r="E623" s="7">
        <v>44343</v>
      </c>
      <c r="F623" s="9">
        <v>196.5</v>
      </c>
      <c r="G623" s="7">
        <v>44343</v>
      </c>
      <c r="H623" s="9">
        <v>195.75</v>
      </c>
      <c r="I623" s="7">
        <v>44343</v>
      </c>
      <c r="J623" s="9">
        <v>187.25</v>
      </c>
      <c r="K623" s="5">
        <f t="shared" si="29"/>
        <v>9.25</v>
      </c>
      <c r="L623" s="6">
        <f t="shared" si="30"/>
        <v>0.75</v>
      </c>
    </row>
    <row r="624" spans="1:12" x14ac:dyDescent="0.25">
      <c r="A624">
        <f t="shared" si="28"/>
        <v>5</v>
      </c>
      <c r="B624">
        <f t="shared" si="31"/>
        <v>2021</v>
      </c>
      <c r="C624" s="7">
        <v>44344</v>
      </c>
      <c r="D624" s="8"/>
      <c r="E624" s="7">
        <v>44344</v>
      </c>
      <c r="F624" s="9">
        <v>193</v>
      </c>
      <c r="G624" s="7">
        <v>44344</v>
      </c>
      <c r="H624" s="9">
        <v>192.25</v>
      </c>
      <c r="I624" s="7">
        <v>44344</v>
      </c>
      <c r="J624" s="9">
        <v>183.5</v>
      </c>
      <c r="K624" s="5">
        <f t="shared" si="29"/>
        <v>9.5</v>
      </c>
      <c r="L624" s="6">
        <f t="shared" si="30"/>
        <v>0.75</v>
      </c>
    </row>
    <row r="625" spans="1:12" x14ac:dyDescent="0.25">
      <c r="A625">
        <f t="shared" si="28"/>
        <v>6</v>
      </c>
      <c r="B625">
        <f t="shared" si="31"/>
        <v>2021</v>
      </c>
      <c r="C625" s="7">
        <v>44348</v>
      </c>
      <c r="D625" s="8"/>
      <c r="E625" s="7">
        <v>44348</v>
      </c>
      <c r="F625" s="9">
        <v>197</v>
      </c>
      <c r="G625" s="7">
        <v>44348</v>
      </c>
      <c r="H625" s="9">
        <v>196.25</v>
      </c>
      <c r="I625" s="7">
        <v>44348</v>
      </c>
      <c r="J625" s="9">
        <v>186</v>
      </c>
      <c r="K625" s="5">
        <f t="shared" si="29"/>
        <v>11</v>
      </c>
      <c r="L625" s="6">
        <f t="shared" si="30"/>
        <v>0.75</v>
      </c>
    </row>
    <row r="626" spans="1:12" x14ac:dyDescent="0.25">
      <c r="A626">
        <f t="shared" si="28"/>
        <v>6</v>
      </c>
      <c r="B626">
        <f t="shared" si="31"/>
        <v>2021</v>
      </c>
      <c r="C626" s="7">
        <v>44349</v>
      </c>
      <c r="D626" s="8"/>
      <c r="E626" s="7">
        <v>44349</v>
      </c>
      <c r="F626" s="9">
        <v>197</v>
      </c>
      <c r="G626" s="7">
        <v>44349</v>
      </c>
      <c r="H626" s="9">
        <v>196.25</v>
      </c>
      <c r="I626" s="7">
        <v>44349</v>
      </c>
      <c r="J626" s="9">
        <v>187.75</v>
      </c>
      <c r="K626" s="5">
        <f t="shared" si="29"/>
        <v>9.25</v>
      </c>
      <c r="L626" s="6">
        <f t="shared" si="30"/>
        <v>0.75</v>
      </c>
    </row>
    <row r="627" spans="1:12" x14ac:dyDescent="0.25">
      <c r="A627">
        <f t="shared" si="28"/>
        <v>6</v>
      </c>
      <c r="B627">
        <f t="shared" si="31"/>
        <v>2021</v>
      </c>
      <c r="C627" s="7">
        <v>44350</v>
      </c>
      <c r="D627" s="8"/>
      <c r="E627" s="7">
        <v>44350</v>
      </c>
      <c r="F627" s="9">
        <v>192.5</v>
      </c>
      <c r="G627" s="7">
        <v>44350</v>
      </c>
      <c r="H627" s="9">
        <v>191.75</v>
      </c>
      <c r="I627" s="7">
        <v>44350</v>
      </c>
      <c r="J627" s="9">
        <v>185.75</v>
      </c>
      <c r="K627" s="5">
        <f t="shared" si="29"/>
        <v>6.75</v>
      </c>
      <c r="L627" s="6">
        <f t="shared" si="30"/>
        <v>0.75</v>
      </c>
    </row>
    <row r="628" spans="1:12" x14ac:dyDescent="0.25">
      <c r="A628">
        <f t="shared" si="28"/>
        <v>6</v>
      </c>
      <c r="B628">
        <f t="shared" si="31"/>
        <v>2021</v>
      </c>
      <c r="C628" s="7">
        <v>44351</v>
      </c>
      <c r="D628" s="8"/>
      <c r="E628" s="7">
        <v>44351</v>
      </c>
      <c r="F628" s="9">
        <v>196.5</v>
      </c>
      <c r="G628" s="7">
        <v>44351</v>
      </c>
      <c r="H628" s="9">
        <v>195.75</v>
      </c>
      <c r="I628" s="7">
        <v>44351</v>
      </c>
      <c r="J628" s="9">
        <v>189.5</v>
      </c>
      <c r="K628" s="5">
        <f t="shared" si="29"/>
        <v>7</v>
      </c>
      <c r="L628" s="6">
        <f t="shared" si="30"/>
        <v>0.75</v>
      </c>
    </row>
    <row r="629" spans="1:12" x14ac:dyDescent="0.25">
      <c r="A629">
        <f t="shared" si="28"/>
        <v>6</v>
      </c>
      <c r="B629">
        <f t="shared" si="31"/>
        <v>2021</v>
      </c>
      <c r="C629" s="7">
        <v>44354</v>
      </c>
      <c r="D629" s="8"/>
      <c r="E629" s="7">
        <v>44354</v>
      </c>
      <c r="F629" s="9">
        <v>199.5</v>
      </c>
      <c r="G629" s="7">
        <v>44354</v>
      </c>
      <c r="H629" s="9">
        <v>198.75</v>
      </c>
      <c r="I629" s="7">
        <v>44354</v>
      </c>
      <c r="J629" s="9">
        <v>194.25</v>
      </c>
      <c r="K629" s="5">
        <f t="shared" si="29"/>
        <v>5.25</v>
      </c>
      <c r="L629" s="6">
        <f t="shared" si="30"/>
        <v>0.75</v>
      </c>
    </row>
    <row r="630" spans="1:12" x14ac:dyDescent="0.25">
      <c r="A630">
        <f t="shared" si="28"/>
        <v>6</v>
      </c>
      <c r="B630">
        <f t="shared" si="31"/>
        <v>2021</v>
      </c>
      <c r="C630" s="7">
        <v>44355</v>
      </c>
      <c r="D630" s="8"/>
      <c r="E630" s="7">
        <v>44355</v>
      </c>
      <c r="F630" s="9">
        <v>202.75</v>
      </c>
      <c r="G630" s="7">
        <v>44355</v>
      </c>
      <c r="H630" s="9">
        <v>202</v>
      </c>
      <c r="I630" s="7">
        <v>44355</v>
      </c>
      <c r="J630" s="9">
        <v>196.5</v>
      </c>
      <c r="K630" s="5">
        <f t="shared" si="29"/>
        <v>6.25</v>
      </c>
      <c r="L630" s="6">
        <f t="shared" si="30"/>
        <v>0.75</v>
      </c>
    </row>
    <row r="631" spans="1:12" x14ac:dyDescent="0.25">
      <c r="A631">
        <f t="shared" si="28"/>
        <v>6</v>
      </c>
      <c r="B631">
        <f t="shared" si="31"/>
        <v>2021</v>
      </c>
      <c r="C631" s="7">
        <v>44356</v>
      </c>
      <c r="D631" s="8"/>
      <c r="E631" s="7">
        <v>44356</v>
      </c>
      <c r="F631" s="9">
        <v>202.5</v>
      </c>
      <c r="G631" s="7">
        <v>44356</v>
      </c>
      <c r="H631" s="9">
        <v>201.75</v>
      </c>
      <c r="I631" s="7">
        <v>44356</v>
      </c>
      <c r="J631" s="9">
        <v>195.5</v>
      </c>
      <c r="K631" s="5">
        <f t="shared" si="29"/>
        <v>7</v>
      </c>
      <c r="L631" s="6">
        <f t="shared" si="30"/>
        <v>0.75</v>
      </c>
    </row>
    <row r="632" spans="1:12" x14ac:dyDescent="0.25">
      <c r="A632">
        <f t="shared" si="28"/>
        <v>6</v>
      </c>
      <c r="B632">
        <f t="shared" si="31"/>
        <v>2021</v>
      </c>
      <c r="C632" s="7">
        <v>44357</v>
      </c>
      <c r="D632" s="8"/>
      <c r="E632" s="7">
        <v>44357</v>
      </c>
      <c r="F632" s="9">
        <v>203.5</v>
      </c>
      <c r="G632" s="7">
        <v>44357</v>
      </c>
      <c r="H632" s="9">
        <v>202.75</v>
      </c>
      <c r="I632" s="7">
        <v>44357</v>
      </c>
      <c r="J632" s="9">
        <v>197</v>
      </c>
      <c r="K632" s="5">
        <f t="shared" si="29"/>
        <v>6.5</v>
      </c>
      <c r="L632" s="6">
        <f t="shared" si="30"/>
        <v>0.75</v>
      </c>
    </row>
    <row r="633" spans="1:12" x14ac:dyDescent="0.25">
      <c r="A633">
        <f t="shared" si="28"/>
        <v>6</v>
      </c>
      <c r="B633">
        <f t="shared" si="31"/>
        <v>2021</v>
      </c>
      <c r="C633" s="7">
        <v>44358</v>
      </c>
      <c r="D633" s="8"/>
      <c r="E633" s="7">
        <v>44358</v>
      </c>
      <c r="F633" s="9">
        <v>185.5</v>
      </c>
      <c r="G633" s="7">
        <v>44358</v>
      </c>
      <c r="H633" s="9">
        <v>184.75</v>
      </c>
      <c r="I633" s="7">
        <v>44358</v>
      </c>
      <c r="J633" s="9">
        <v>176</v>
      </c>
      <c r="K633" s="5">
        <f t="shared" si="29"/>
        <v>9.5</v>
      </c>
      <c r="L633" s="6">
        <f t="shared" si="30"/>
        <v>0.75</v>
      </c>
    </row>
    <row r="634" spans="1:12" x14ac:dyDescent="0.25">
      <c r="A634">
        <f t="shared" si="28"/>
        <v>6</v>
      </c>
      <c r="B634">
        <f t="shared" si="31"/>
        <v>2021</v>
      </c>
      <c r="C634" s="7">
        <v>44361</v>
      </c>
      <c r="D634" s="8"/>
      <c r="E634" s="7">
        <v>44361</v>
      </c>
      <c r="F634" s="9">
        <v>176.5</v>
      </c>
      <c r="G634" s="7">
        <v>44361</v>
      </c>
      <c r="H634" s="9">
        <v>175.75</v>
      </c>
      <c r="I634" s="7">
        <v>44361</v>
      </c>
      <c r="J634" s="9">
        <v>166.75</v>
      </c>
      <c r="K634" s="5">
        <f t="shared" si="29"/>
        <v>9.75</v>
      </c>
      <c r="L634" s="6">
        <f t="shared" si="30"/>
        <v>0.75</v>
      </c>
    </row>
    <row r="635" spans="1:12" x14ac:dyDescent="0.25">
      <c r="A635">
        <f t="shared" si="28"/>
        <v>6</v>
      </c>
      <c r="B635">
        <f t="shared" si="31"/>
        <v>2021</v>
      </c>
      <c r="C635" s="7">
        <v>44362</v>
      </c>
      <c r="D635" s="8"/>
      <c r="E635" s="7">
        <v>44362</v>
      </c>
      <c r="F635" s="9">
        <v>161</v>
      </c>
      <c r="G635" s="7">
        <v>44362</v>
      </c>
      <c r="H635" s="9">
        <v>160.25</v>
      </c>
      <c r="I635" s="7">
        <v>44362</v>
      </c>
      <c r="J635" s="9">
        <v>148</v>
      </c>
      <c r="K635" s="5">
        <f t="shared" si="29"/>
        <v>13</v>
      </c>
      <c r="L635" s="6">
        <f t="shared" si="30"/>
        <v>0.75</v>
      </c>
    </row>
    <row r="636" spans="1:12" x14ac:dyDescent="0.25">
      <c r="A636">
        <f t="shared" si="28"/>
        <v>6</v>
      </c>
      <c r="B636">
        <f t="shared" si="31"/>
        <v>2021</v>
      </c>
      <c r="C636" s="7">
        <v>44363</v>
      </c>
      <c r="D636" s="8"/>
      <c r="E636" s="7">
        <v>44363</v>
      </c>
      <c r="F636" s="9">
        <v>145</v>
      </c>
      <c r="G636" s="7">
        <v>44363</v>
      </c>
      <c r="H636" s="9">
        <v>144.25</v>
      </c>
      <c r="I636" s="7">
        <v>44363</v>
      </c>
      <c r="J636" s="9">
        <v>128</v>
      </c>
      <c r="K636" s="5">
        <f t="shared" si="29"/>
        <v>17</v>
      </c>
      <c r="L636" s="6">
        <f t="shared" si="30"/>
        <v>0.75</v>
      </c>
    </row>
    <row r="637" spans="1:12" x14ac:dyDescent="0.25">
      <c r="A637">
        <f t="shared" si="28"/>
        <v>6</v>
      </c>
      <c r="B637">
        <f t="shared" si="31"/>
        <v>2021</v>
      </c>
      <c r="C637" s="7">
        <v>44364</v>
      </c>
      <c r="D637" s="8"/>
      <c r="E637" s="7">
        <v>44364</v>
      </c>
      <c r="F637" s="9">
        <v>137</v>
      </c>
      <c r="G637" s="7">
        <v>44364</v>
      </c>
      <c r="H637" s="9">
        <v>136.25</v>
      </c>
      <c r="I637" s="7">
        <v>44364</v>
      </c>
      <c r="J637" s="9">
        <v>129</v>
      </c>
      <c r="K637" s="5">
        <f t="shared" si="29"/>
        <v>8</v>
      </c>
      <c r="L637" s="6">
        <f t="shared" si="30"/>
        <v>0.75</v>
      </c>
    </row>
    <row r="638" spans="1:12" x14ac:dyDescent="0.25">
      <c r="A638">
        <f t="shared" si="28"/>
        <v>6</v>
      </c>
      <c r="B638">
        <f t="shared" si="31"/>
        <v>2021</v>
      </c>
      <c r="C638" s="7">
        <v>44365</v>
      </c>
      <c r="D638" s="8"/>
      <c r="E638" s="7">
        <v>44365</v>
      </c>
      <c r="F638" s="9">
        <v>151.5</v>
      </c>
      <c r="G638" s="7">
        <v>44365</v>
      </c>
      <c r="H638" s="9">
        <v>150.75</v>
      </c>
      <c r="I638" s="7">
        <v>44365</v>
      </c>
      <c r="J638" s="9">
        <v>142.75</v>
      </c>
      <c r="K638" s="5">
        <f t="shared" si="29"/>
        <v>8.75</v>
      </c>
      <c r="L638" s="6">
        <f t="shared" si="30"/>
        <v>0.75</v>
      </c>
    </row>
    <row r="639" spans="1:12" x14ac:dyDescent="0.25">
      <c r="A639">
        <f t="shared" si="28"/>
        <v>6</v>
      </c>
      <c r="B639">
        <f t="shared" si="31"/>
        <v>2021</v>
      </c>
      <c r="C639" s="7">
        <v>44368</v>
      </c>
      <c r="D639" s="8"/>
      <c r="E639" s="7">
        <v>44368</v>
      </c>
      <c r="F639" s="9">
        <v>159</v>
      </c>
      <c r="G639" s="7">
        <v>44368</v>
      </c>
      <c r="H639" s="9">
        <v>158.25</v>
      </c>
      <c r="I639" s="7">
        <v>44368</v>
      </c>
      <c r="J639" s="9">
        <v>147.5</v>
      </c>
      <c r="K639" s="5">
        <f t="shared" si="29"/>
        <v>11.5</v>
      </c>
      <c r="L639" s="6">
        <f t="shared" si="30"/>
        <v>0.75</v>
      </c>
    </row>
    <row r="640" spans="1:12" x14ac:dyDescent="0.25">
      <c r="A640">
        <f t="shared" si="28"/>
        <v>6</v>
      </c>
      <c r="B640">
        <f t="shared" si="31"/>
        <v>2021</v>
      </c>
      <c r="C640" s="7">
        <v>44369</v>
      </c>
      <c r="D640" s="8"/>
      <c r="E640" s="7">
        <v>44369</v>
      </c>
      <c r="F640" s="9">
        <v>170.5</v>
      </c>
      <c r="G640" s="7">
        <v>44369</v>
      </c>
      <c r="H640" s="9">
        <v>169.75</v>
      </c>
      <c r="I640" s="7">
        <v>44369</v>
      </c>
      <c r="J640" s="9">
        <v>164.5</v>
      </c>
      <c r="K640" s="5">
        <f t="shared" si="29"/>
        <v>6</v>
      </c>
      <c r="L640" s="6">
        <f t="shared" si="30"/>
        <v>0.75</v>
      </c>
    </row>
    <row r="641" spans="1:12" x14ac:dyDescent="0.25">
      <c r="A641">
        <f t="shared" si="28"/>
        <v>6</v>
      </c>
      <c r="B641">
        <f t="shared" si="31"/>
        <v>2021</v>
      </c>
      <c r="C641" s="7">
        <v>44370</v>
      </c>
      <c r="D641" s="8"/>
      <c r="E641" s="7">
        <v>44370</v>
      </c>
      <c r="F641" s="9">
        <v>176</v>
      </c>
      <c r="G641" s="7">
        <v>44370</v>
      </c>
      <c r="H641" s="9">
        <v>175.25</v>
      </c>
      <c r="I641" s="7">
        <v>44370</v>
      </c>
      <c r="J641" s="9">
        <v>169.25</v>
      </c>
      <c r="K641" s="5">
        <f t="shared" si="29"/>
        <v>6.75</v>
      </c>
      <c r="L641" s="6">
        <f t="shared" si="30"/>
        <v>0.75</v>
      </c>
    </row>
    <row r="642" spans="1:12" x14ac:dyDescent="0.25">
      <c r="A642">
        <f t="shared" si="28"/>
        <v>6</v>
      </c>
      <c r="B642">
        <f t="shared" si="31"/>
        <v>2021</v>
      </c>
      <c r="C642" s="7">
        <v>44371</v>
      </c>
      <c r="D642" s="8"/>
      <c r="E642" s="7">
        <v>44371</v>
      </c>
      <c r="F642" s="9">
        <v>173</v>
      </c>
      <c r="G642" s="7">
        <v>44371</v>
      </c>
      <c r="H642" s="9">
        <v>172.25</v>
      </c>
      <c r="I642" s="7">
        <v>44371</v>
      </c>
      <c r="J642" s="9">
        <v>165.5</v>
      </c>
      <c r="K642" s="5">
        <f t="shared" si="29"/>
        <v>7.5</v>
      </c>
      <c r="L642" s="6">
        <f t="shared" si="30"/>
        <v>0.75</v>
      </c>
    </row>
    <row r="643" spans="1:12" x14ac:dyDescent="0.25">
      <c r="A643">
        <f t="shared" si="28"/>
        <v>6</v>
      </c>
      <c r="B643">
        <f t="shared" si="31"/>
        <v>2021</v>
      </c>
      <c r="C643" s="7">
        <v>44372</v>
      </c>
      <c r="D643" s="8"/>
      <c r="E643" s="7">
        <v>44372</v>
      </c>
      <c r="F643" s="9">
        <v>159.5</v>
      </c>
      <c r="G643" s="7">
        <v>44372</v>
      </c>
      <c r="H643" s="9">
        <v>158.75</v>
      </c>
      <c r="I643" s="7">
        <v>44372</v>
      </c>
      <c r="J643" s="9">
        <v>146.75</v>
      </c>
      <c r="K643" s="5">
        <f t="shared" si="29"/>
        <v>12.75</v>
      </c>
      <c r="L643" s="6">
        <f t="shared" si="30"/>
        <v>0.75</v>
      </c>
    </row>
    <row r="644" spans="1:12" x14ac:dyDescent="0.25">
      <c r="A644">
        <f t="shared" si="28"/>
        <v>6</v>
      </c>
      <c r="B644">
        <f t="shared" si="31"/>
        <v>2021</v>
      </c>
      <c r="C644" s="7">
        <v>44375</v>
      </c>
      <c r="D644" s="8"/>
      <c r="E644" s="7">
        <v>44375</v>
      </c>
      <c r="F644" s="9">
        <v>163.75</v>
      </c>
      <c r="G644" s="7">
        <v>44375</v>
      </c>
      <c r="H644" s="9">
        <v>163</v>
      </c>
      <c r="I644" s="7">
        <v>44375</v>
      </c>
      <c r="J644" s="9">
        <v>154.25</v>
      </c>
      <c r="K644" s="5">
        <f t="shared" si="29"/>
        <v>9.5</v>
      </c>
      <c r="L644" s="6">
        <f t="shared" si="30"/>
        <v>0.75</v>
      </c>
    </row>
    <row r="645" spans="1:12" x14ac:dyDescent="0.25">
      <c r="A645">
        <f t="shared" si="28"/>
        <v>6</v>
      </c>
      <c r="B645">
        <f t="shared" si="31"/>
        <v>2021</v>
      </c>
      <c r="C645" s="7">
        <v>44376</v>
      </c>
      <c r="D645" s="8"/>
      <c r="E645" s="7">
        <v>44376</v>
      </c>
      <c r="F645" s="9">
        <v>166.5</v>
      </c>
      <c r="G645" s="7">
        <v>44376</v>
      </c>
      <c r="H645" s="9">
        <v>165.75</v>
      </c>
      <c r="I645" s="7">
        <v>44376</v>
      </c>
      <c r="J645" s="9">
        <v>155.25</v>
      </c>
      <c r="K645" s="5">
        <f t="shared" si="29"/>
        <v>11.25</v>
      </c>
      <c r="L645" s="6">
        <f t="shared" si="30"/>
        <v>0.75</v>
      </c>
    </row>
    <row r="646" spans="1:12" x14ac:dyDescent="0.25">
      <c r="A646">
        <f t="shared" si="28"/>
        <v>6</v>
      </c>
      <c r="B646">
        <f t="shared" si="31"/>
        <v>2021</v>
      </c>
      <c r="C646" s="7">
        <v>44377</v>
      </c>
      <c r="D646" s="8"/>
      <c r="E646" s="7">
        <v>44377</v>
      </c>
      <c r="F646" s="9">
        <v>167</v>
      </c>
      <c r="G646" s="7">
        <v>44377</v>
      </c>
      <c r="H646" s="9">
        <v>166.25</v>
      </c>
      <c r="I646" s="7">
        <v>44377</v>
      </c>
      <c r="J646" s="9">
        <v>153.5</v>
      </c>
      <c r="K646" s="5">
        <f t="shared" si="29"/>
        <v>13.5</v>
      </c>
      <c r="L646" s="6">
        <f t="shared" si="30"/>
        <v>0.75</v>
      </c>
    </row>
    <row r="647" spans="1:12" x14ac:dyDescent="0.25">
      <c r="A647">
        <f t="shared" si="28"/>
        <v>7</v>
      </c>
      <c r="B647">
        <f t="shared" si="31"/>
        <v>2021</v>
      </c>
      <c r="C647" s="7">
        <v>44378</v>
      </c>
      <c r="D647" s="8"/>
      <c r="E647" s="7">
        <v>44378</v>
      </c>
      <c r="F647" s="9">
        <v>168</v>
      </c>
      <c r="G647" s="7">
        <v>44378</v>
      </c>
      <c r="H647" s="9">
        <v>167.25</v>
      </c>
      <c r="I647" s="7">
        <v>44378</v>
      </c>
      <c r="J647" s="9">
        <v>155.5</v>
      </c>
      <c r="K647" s="5">
        <f t="shared" si="29"/>
        <v>12.5</v>
      </c>
      <c r="L647" s="6">
        <f t="shared" si="30"/>
        <v>0.75</v>
      </c>
    </row>
    <row r="648" spans="1:12" x14ac:dyDescent="0.25">
      <c r="A648">
        <f t="shared" si="28"/>
        <v>7</v>
      </c>
      <c r="B648">
        <f t="shared" si="31"/>
        <v>2021</v>
      </c>
      <c r="C648" s="7">
        <v>44379</v>
      </c>
      <c r="D648" s="8"/>
      <c r="E648" s="7">
        <v>44379</v>
      </c>
      <c r="F648" s="9">
        <v>168.5</v>
      </c>
      <c r="G648" s="7">
        <v>44379</v>
      </c>
      <c r="H648" s="9">
        <v>167.75</v>
      </c>
      <c r="I648" s="7">
        <v>44379</v>
      </c>
      <c r="J648" s="9">
        <v>154.5</v>
      </c>
      <c r="K648" s="5">
        <f t="shared" si="29"/>
        <v>14</v>
      </c>
      <c r="L648" s="6">
        <f t="shared" si="30"/>
        <v>0.75</v>
      </c>
    </row>
    <row r="649" spans="1:12" x14ac:dyDescent="0.25">
      <c r="A649">
        <f t="shared" si="28"/>
        <v>7</v>
      </c>
      <c r="B649">
        <f t="shared" si="31"/>
        <v>2021</v>
      </c>
      <c r="C649" s="7">
        <v>44383</v>
      </c>
      <c r="D649" s="8"/>
      <c r="E649" s="7">
        <v>44383</v>
      </c>
      <c r="F649" s="9">
        <v>160.75</v>
      </c>
      <c r="G649" s="7">
        <v>44383</v>
      </c>
      <c r="H649" s="9">
        <v>160</v>
      </c>
      <c r="I649" s="7">
        <v>44383</v>
      </c>
      <c r="J649" s="9">
        <v>148.25</v>
      </c>
      <c r="K649" s="5">
        <f t="shared" si="29"/>
        <v>12.5</v>
      </c>
      <c r="L649" s="6">
        <f t="shared" si="30"/>
        <v>0.75</v>
      </c>
    </row>
    <row r="650" spans="1:12" x14ac:dyDescent="0.25">
      <c r="A650">
        <f t="shared" si="28"/>
        <v>7</v>
      </c>
      <c r="B650">
        <f t="shared" si="31"/>
        <v>2021</v>
      </c>
      <c r="C650" s="7">
        <v>44384</v>
      </c>
      <c r="D650" s="8"/>
      <c r="E650" s="7">
        <v>44384</v>
      </c>
      <c r="F650" s="9">
        <v>155.5</v>
      </c>
      <c r="G650" s="7">
        <v>44384</v>
      </c>
      <c r="H650" s="9">
        <v>154.75</v>
      </c>
      <c r="I650" s="7">
        <v>44384</v>
      </c>
      <c r="J650" s="9">
        <v>142.5</v>
      </c>
      <c r="K650" s="5">
        <f t="shared" si="29"/>
        <v>13</v>
      </c>
      <c r="L650" s="6">
        <f t="shared" si="30"/>
        <v>0.75</v>
      </c>
    </row>
    <row r="651" spans="1:12" x14ac:dyDescent="0.25">
      <c r="A651">
        <f t="shared" si="28"/>
        <v>7</v>
      </c>
      <c r="B651">
        <f t="shared" si="31"/>
        <v>2021</v>
      </c>
      <c r="C651" s="7">
        <v>44385</v>
      </c>
      <c r="D651" s="8"/>
      <c r="E651" s="7">
        <v>44385</v>
      </c>
      <c r="F651" s="9">
        <v>158.5</v>
      </c>
      <c r="G651" s="7">
        <v>44385</v>
      </c>
      <c r="H651" s="9">
        <v>157.75</v>
      </c>
      <c r="I651" s="7">
        <v>44385</v>
      </c>
      <c r="J651" s="9">
        <v>144.5</v>
      </c>
      <c r="K651" s="5">
        <f t="shared" si="29"/>
        <v>14</v>
      </c>
      <c r="L651" s="6">
        <f t="shared" si="30"/>
        <v>0.75</v>
      </c>
    </row>
    <row r="652" spans="1:12" x14ac:dyDescent="0.25">
      <c r="A652">
        <f t="shared" si="28"/>
        <v>7</v>
      </c>
      <c r="B652">
        <f t="shared" si="31"/>
        <v>2021</v>
      </c>
      <c r="C652" s="7">
        <v>44386</v>
      </c>
      <c r="D652" s="8"/>
      <c r="E652" s="7">
        <v>44386</v>
      </c>
      <c r="F652" s="9">
        <v>160.5</v>
      </c>
      <c r="G652" s="7">
        <v>44386</v>
      </c>
      <c r="H652" s="9">
        <v>159.75</v>
      </c>
      <c r="I652" s="7">
        <v>44386</v>
      </c>
      <c r="J652" s="9">
        <v>147</v>
      </c>
      <c r="K652" s="5">
        <f t="shared" si="29"/>
        <v>13.5</v>
      </c>
      <c r="L652" s="6">
        <f t="shared" si="30"/>
        <v>0.75</v>
      </c>
    </row>
    <row r="653" spans="1:12" x14ac:dyDescent="0.25">
      <c r="A653">
        <f t="shared" si="28"/>
        <v>7</v>
      </c>
      <c r="B653">
        <f t="shared" si="31"/>
        <v>2021</v>
      </c>
      <c r="C653" s="7">
        <v>44389</v>
      </c>
      <c r="D653" s="8"/>
      <c r="E653" s="7">
        <v>44389</v>
      </c>
      <c r="F653" s="9">
        <v>163</v>
      </c>
      <c r="G653" s="7">
        <v>44389</v>
      </c>
      <c r="H653" s="9">
        <v>162.25</v>
      </c>
      <c r="I653" s="7">
        <v>44389</v>
      </c>
      <c r="J653" s="9">
        <v>148.25</v>
      </c>
      <c r="K653" s="5">
        <f t="shared" si="29"/>
        <v>14.75</v>
      </c>
      <c r="L653" s="6">
        <f t="shared" si="30"/>
        <v>0.75</v>
      </c>
    </row>
    <row r="654" spans="1:12" x14ac:dyDescent="0.25">
      <c r="A654">
        <f t="shared" ref="A654:A717" si="32">MONTH(E654)</f>
        <v>7</v>
      </c>
      <c r="B654">
        <f t="shared" si="31"/>
        <v>2021</v>
      </c>
      <c r="C654" s="7">
        <v>44390</v>
      </c>
      <c r="D654" s="8"/>
      <c r="E654" s="7">
        <v>44390</v>
      </c>
      <c r="F654" s="9">
        <v>163.5</v>
      </c>
      <c r="G654" s="7">
        <v>44390</v>
      </c>
      <c r="H654" s="9">
        <v>147.75</v>
      </c>
      <c r="I654" s="7">
        <v>44390</v>
      </c>
      <c r="J654" s="9">
        <v>147.75</v>
      </c>
      <c r="K654" s="5">
        <f t="shared" ref="K654:K717" si="33">F654-J654</f>
        <v>15.75</v>
      </c>
      <c r="L654" s="6">
        <f t="shared" ref="L654:L717" si="34">F654-H654</f>
        <v>15.75</v>
      </c>
    </row>
    <row r="655" spans="1:12" x14ac:dyDescent="0.25">
      <c r="A655">
        <f t="shared" si="32"/>
        <v>7</v>
      </c>
      <c r="B655">
        <f t="shared" ref="B655:B718" si="35">YEAR(E655)</f>
        <v>2021</v>
      </c>
      <c r="C655" s="7">
        <v>44391</v>
      </c>
      <c r="D655" s="8"/>
      <c r="E655" s="7">
        <v>44391</v>
      </c>
      <c r="F655" s="9">
        <v>162.5</v>
      </c>
      <c r="G655" s="7">
        <v>44391</v>
      </c>
      <c r="H655" s="9">
        <v>161.75</v>
      </c>
      <c r="I655" s="7">
        <v>44391</v>
      </c>
      <c r="J655" s="9">
        <v>149.125</v>
      </c>
      <c r="K655" s="5">
        <f t="shared" si="33"/>
        <v>13.375</v>
      </c>
      <c r="L655" s="6">
        <f t="shared" si="34"/>
        <v>0.75</v>
      </c>
    </row>
    <row r="656" spans="1:12" x14ac:dyDescent="0.25">
      <c r="A656">
        <f t="shared" si="32"/>
        <v>7</v>
      </c>
      <c r="B656">
        <f t="shared" si="35"/>
        <v>2021</v>
      </c>
      <c r="C656" s="7">
        <v>44392</v>
      </c>
      <c r="D656" s="8"/>
      <c r="E656" s="7">
        <v>44392</v>
      </c>
      <c r="F656" s="9">
        <v>162.5</v>
      </c>
      <c r="G656" s="7">
        <v>44392</v>
      </c>
      <c r="H656" s="9">
        <v>161.75</v>
      </c>
      <c r="I656" s="7">
        <v>44392</v>
      </c>
      <c r="J656" s="9">
        <v>148.25</v>
      </c>
      <c r="K656" s="5">
        <f t="shared" si="33"/>
        <v>14.25</v>
      </c>
      <c r="L656" s="6">
        <f t="shared" si="34"/>
        <v>0.75</v>
      </c>
    </row>
    <row r="657" spans="1:12" x14ac:dyDescent="0.25">
      <c r="A657">
        <f t="shared" si="32"/>
        <v>7</v>
      </c>
      <c r="B657">
        <f t="shared" si="35"/>
        <v>2021</v>
      </c>
      <c r="C657" s="7">
        <v>44393</v>
      </c>
      <c r="D657" s="8"/>
      <c r="E657" s="7">
        <v>44393</v>
      </c>
      <c r="F657" s="9">
        <v>162</v>
      </c>
      <c r="G657" s="7">
        <v>44393</v>
      </c>
      <c r="H657" s="9">
        <v>161.25</v>
      </c>
      <c r="I657" s="7">
        <v>44393</v>
      </c>
      <c r="J657" s="9">
        <v>148</v>
      </c>
      <c r="K657" s="5">
        <f t="shared" si="33"/>
        <v>14</v>
      </c>
      <c r="L657" s="6">
        <f t="shared" si="34"/>
        <v>0.75</v>
      </c>
    </row>
    <row r="658" spans="1:12" x14ac:dyDescent="0.25">
      <c r="A658">
        <f t="shared" si="32"/>
        <v>7</v>
      </c>
      <c r="B658">
        <f t="shared" si="35"/>
        <v>2021</v>
      </c>
      <c r="C658" s="7">
        <v>44396</v>
      </c>
      <c r="D658" s="8"/>
      <c r="E658" s="7">
        <v>44396</v>
      </c>
      <c r="F658" s="9">
        <v>160</v>
      </c>
      <c r="G658" s="7">
        <v>44396</v>
      </c>
      <c r="H658" s="9">
        <v>159.25</v>
      </c>
      <c r="I658" s="7">
        <v>44396</v>
      </c>
      <c r="J658" s="9">
        <v>144.25</v>
      </c>
      <c r="K658" s="5">
        <f t="shared" si="33"/>
        <v>15.75</v>
      </c>
      <c r="L658" s="6">
        <f t="shared" si="34"/>
        <v>0.75</v>
      </c>
    </row>
    <row r="659" spans="1:12" x14ac:dyDescent="0.25">
      <c r="A659">
        <f t="shared" si="32"/>
        <v>7</v>
      </c>
      <c r="B659">
        <f t="shared" si="35"/>
        <v>2021</v>
      </c>
      <c r="C659" s="7">
        <v>44397</v>
      </c>
      <c r="D659" s="8"/>
      <c r="E659" s="7">
        <v>44397</v>
      </c>
      <c r="F659" s="9">
        <v>162</v>
      </c>
      <c r="G659" s="7">
        <v>44397</v>
      </c>
      <c r="H659" s="9">
        <v>159.25</v>
      </c>
      <c r="I659" s="7">
        <v>44397</v>
      </c>
      <c r="J659" s="9">
        <v>145.75</v>
      </c>
      <c r="K659" s="5">
        <f t="shared" si="33"/>
        <v>16.25</v>
      </c>
      <c r="L659" s="6">
        <f t="shared" si="34"/>
        <v>2.75</v>
      </c>
    </row>
    <row r="660" spans="1:12" x14ac:dyDescent="0.25">
      <c r="A660">
        <f t="shared" si="32"/>
        <v>7</v>
      </c>
      <c r="B660">
        <f t="shared" si="35"/>
        <v>2021</v>
      </c>
      <c r="C660" s="7">
        <v>44398</v>
      </c>
      <c r="D660" s="8"/>
      <c r="E660" s="7">
        <v>44398</v>
      </c>
      <c r="F660" s="9">
        <v>164</v>
      </c>
      <c r="G660" s="7">
        <v>44398</v>
      </c>
      <c r="H660" s="9">
        <v>159.25</v>
      </c>
      <c r="I660" s="7">
        <v>44398</v>
      </c>
      <c r="J660" s="9">
        <v>147.5</v>
      </c>
      <c r="K660" s="5">
        <f t="shared" si="33"/>
        <v>16.5</v>
      </c>
      <c r="L660" s="6">
        <f t="shared" si="34"/>
        <v>4.75</v>
      </c>
    </row>
    <row r="661" spans="1:12" x14ac:dyDescent="0.25">
      <c r="A661">
        <f t="shared" si="32"/>
        <v>7</v>
      </c>
      <c r="B661">
        <f t="shared" si="35"/>
        <v>2021</v>
      </c>
      <c r="C661" s="7">
        <v>44399</v>
      </c>
      <c r="D661" s="8"/>
      <c r="E661" s="7">
        <v>44399</v>
      </c>
      <c r="F661" s="9">
        <v>166</v>
      </c>
      <c r="G661" s="7">
        <v>44399</v>
      </c>
      <c r="H661" s="9">
        <v>159.25</v>
      </c>
      <c r="I661" s="7">
        <v>44399</v>
      </c>
      <c r="J661" s="9">
        <v>150.5</v>
      </c>
      <c r="K661" s="5">
        <f t="shared" si="33"/>
        <v>15.5</v>
      </c>
      <c r="L661" s="6">
        <f t="shared" si="34"/>
        <v>6.75</v>
      </c>
    </row>
    <row r="662" spans="1:12" x14ac:dyDescent="0.25">
      <c r="A662">
        <f t="shared" si="32"/>
        <v>7</v>
      </c>
      <c r="B662">
        <f t="shared" si="35"/>
        <v>2021</v>
      </c>
      <c r="C662" s="7">
        <v>44400</v>
      </c>
      <c r="D662" s="8"/>
      <c r="E662" s="7">
        <v>44400</v>
      </c>
      <c r="F662" s="9">
        <v>165.5</v>
      </c>
      <c r="G662" s="7">
        <v>44400</v>
      </c>
      <c r="H662" s="9">
        <v>159.25</v>
      </c>
      <c r="I662" s="7">
        <v>44400</v>
      </c>
      <c r="J662" s="9">
        <v>149.5</v>
      </c>
      <c r="K662" s="5">
        <f t="shared" si="33"/>
        <v>16</v>
      </c>
      <c r="L662" s="6">
        <f t="shared" si="34"/>
        <v>6.25</v>
      </c>
    </row>
    <row r="663" spans="1:12" x14ac:dyDescent="0.25">
      <c r="A663">
        <f t="shared" si="32"/>
        <v>7</v>
      </c>
      <c r="B663">
        <f t="shared" si="35"/>
        <v>2021</v>
      </c>
      <c r="C663" s="7">
        <v>44403</v>
      </c>
      <c r="D663" s="8"/>
      <c r="E663" s="7">
        <v>44403</v>
      </c>
      <c r="F663" s="9">
        <v>170</v>
      </c>
      <c r="G663" s="7">
        <v>44403</v>
      </c>
      <c r="H663" s="9">
        <v>169.25</v>
      </c>
      <c r="I663" s="7">
        <v>44403</v>
      </c>
      <c r="J663" s="9">
        <v>154.5</v>
      </c>
      <c r="K663" s="5">
        <f t="shared" si="33"/>
        <v>15.5</v>
      </c>
      <c r="L663" s="6">
        <f t="shared" si="34"/>
        <v>0.75</v>
      </c>
    </row>
    <row r="664" spans="1:12" x14ac:dyDescent="0.25">
      <c r="A664">
        <f t="shared" si="32"/>
        <v>7</v>
      </c>
      <c r="B664">
        <f t="shared" si="35"/>
        <v>2021</v>
      </c>
      <c r="C664" s="7">
        <v>44404</v>
      </c>
      <c r="D664" s="8"/>
      <c r="E664" s="7">
        <v>44404</v>
      </c>
      <c r="F664" s="9">
        <v>173.5</v>
      </c>
      <c r="G664" s="7">
        <v>44404</v>
      </c>
      <c r="H664" s="9">
        <v>172.75</v>
      </c>
      <c r="I664" s="7">
        <v>44404</v>
      </c>
      <c r="J664" s="9">
        <v>158.25</v>
      </c>
      <c r="K664" s="5">
        <f t="shared" si="33"/>
        <v>15.25</v>
      </c>
      <c r="L664" s="6">
        <f t="shared" si="34"/>
        <v>0.75</v>
      </c>
    </row>
    <row r="665" spans="1:12" x14ac:dyDescent="0.25">
      <c r="A665">
        <f t="shared" si="32"/>
        <v>7</v>
      </c>
      <c r="B665">
        <f t="shared" si="35"/>
        <v>2021</v>
      </c>
      <c r="C665" s="7">
        <v>44405</v>
      </c>
      <c r="D665" s="8"/>
      <c r="E665" s="7">
        <v>44405</v>
      </c>
      <c r="F665" s="9">
        <v>175.5</v>
      </c>
      <c r="G665" s="7">
        <v>44405</v>
      </c>
      <c r="H665" s="9">
        <v>174.75</v>
      </c>
      <c r="I665" s="7">
        <v>44405</v>
      </c>
      <c r="J665" s="9">
        <v>159.75</v>
      </c>
      <c r="K665" s="5">
        <f t="shared" si="33"/>
        <v>15.75</v>
      </c>
      <c r="L665" s="6">
        <f t="shared" si="34"/>
        <v>0.75</v>
      </c>
    </row>
    <row r="666" spans="1:12" x14ac:dyDescent="0.25">
      <c r="A666">
        <f t="shared" si="32"/>
        <v>7</v>
      </c>
      <c r="B666">
        <f t="shared" si="35"/>
        <v>2021</v>
      </c>
      <c r="C666" s="7">
        <v>44406</v>
      </c>
      <c r="D666" s="8"/>
      <c r="E666" s="7">
        <v>44406</v>
      </c>
      <c r="F666" s="9">
        <v>178</v>
      </c>
      <c r="G666" s="7">
        <v>44406</v>
      </c>
      <c r="H666" s="9">
        <v>177.25</v>
      </c>
      <c r="I666" s="7">
        <v>44406</v>
      </c>
      <c r="J666" s="9">
        <v>163</v>
      </c>
      <c r="K666" s="5">
        <f t="shared" si="33"/>
        <v>15</v>
      </c>
      <c r="L666" s="6">
        <f t="shared" si="34"/>
        <v>0.75</v>
      </c>
    </row>
    <row r="667" spans="1:12" x14ac:dyDescent="0.25">
      <c r="A667">
        <f t="shared" si="32"/>
        <v>7</v>
      </c>
      <c r="B667">
        <f t="shared" si="35"/>
        <v>2021</v>
      </c>
      <c r="C667" s="7">
        <v>44407</v>
      </c>
      <c r="D667" s="8"/>
      <c r="E667" s="7">
        <v>44407</v>
      </c>
      <c r="F667" s="9">
        <v>178</v>
      </c>
      <c r="G667" s="7">
        <v>44407</v>
      </c>
      <c r="H667" s="9">
        <v>177.25</v>
      </c>
      <c r="I667" s="7">
        <v>44407</v>
      </c>
      <c r="J667" s="9">
        <v>163.75</v>
      </c>
      <c r="K667" s="5">
        <f t="shared" si="33"/>
        <v>14.25</v>
      </c>
      <c r="L667" s="6">
        <f t="shared" si="34"/>
        <v>0.75</v>
      </c>
    </row>
    <row r="668" spans="1:12" x14ac:dyDescent="0.25">
      <c r="A668">
        <f t="shared" si="32"/>
        <v>8</v>
      </c>
      <c r="B668">
        <f t="shared" si="35"/>
        <v>2021</v>
      </c>
      <c r="C668" s="7">
        <v>44410</v>
      </c>
      <c r="D668" s="8"/>
      <c r="E668" s="7">
        <v>44410</v>
      </c>
      <c r="F668" s="9">
        <v>181.25</v>
      </c>
      <c r="G668" s="7">
        <v>44410</v>
      </c>
      <c r="H668" s="9">
        <v>180.5</v>
      </c>
      <c r="I668" s="7">
        <v>44410</v>
      </c>
      <c r="J668" s="9">
        <v>164.5</v>
      </c>
      <c r="K668" s="5">
        <f t="shared" si="33"/>
        <v>16.75</v>
      </c>
      <c r="L668" s="6">
        <f t="shared" si="34"/>
        <v>0.75</v>
      </c>
    </row>
    <row r="669" spans="1:12" x14ac:dyDescent="0.25">
      <c r="A669">
        <f t="shared" si="32"/>
        <v>8</v>
      </c>
      <c r="B669">
        <f t="shared" si="35"/>
        <v>2021</v>
      </c>
      <c r="C669" s="7">
        <v>44411</v>
      </c>
      <c r="D669" s="8"/>
      <c r="E669" s="7">
        <v>44411</v>
      </c>
      <c r="F669" s="9">
        <v>178.5</v>
      </c>
      <c r="G669" s="7">
        <v>44411</v>
      </c>
      <c r="H669" s="9">
        <v>177.75</v>
      </c>
      <c r="I669" s="7">
        <v>44411</v>
      </c>
      <c r="J669" s="9">
        <v>164.75</v>
      </c>
      <c r="K669" s="5">
        <f t="shared" si="33"/>
        <v>13.75</v>
      </c>
      <c r="L669" s="6">
        <f t="shared" si="34"/>
        <v>0.75</v>
      </c>
    </row>
    <row r="670" spans="1:12" x14ac:dyDescent="0.25">
      <c r="A670">
        <f t="shared" si="32"/>
        <v>8</v>
      </c>
      <c r="B670">
        <f t="shared" si="35"/>
        <v>2021</v>
      </c>
      <c r="C670" s="7">
        <v>44412</v>
      </c>
      <c r="D670" s="8"/>
      <c r="E670" s="7">
        <v>44412</v>
      </c>
      <c r="F670" s="9">
        <v>178.5</v>
      </c>
      <c r="G670" s="7">
        <v>44412</v>
      </c>
      <c r="H670" s="9">
        <v>177.75</v>
      </c>
      <c r="I670" s="7">
        <v>44412</v>
      </c>
      <c r="J670" s="9">
        <v>164.875</v>
      </c>
      <c r="K670" s="5">
        <f t="shared" si="33"/>
        <v>13.625</v>
      </c>
      <c r="L670" s="6">
        <f t="shared" si="34"/>
        <v>0.75</v>
      </c>
    </row>
    <row r="671" spans="1:12" x14ac:dyDescent="0.25">
      <c r="A671">
        <f t="shared" si="32"/>
        <v>8</v>
      </c>
      <c r="B671">
        <f t="shared" si="35"/>
        <v>2021</v>
      </c>
      <c r="C671" s="7">
        <v>44413</v>
      </c>
      <c r="D671" s="8"/>
      <c r="E671" s="7">
        <v>44413</v>
      </c>
      <c r="F671" s="9">
        <v>181</v>
      </c>
      <c r="G671" s="7">
        <v>44413</v>
      </c>
      <c r="H671" s="9">
        <v>180.25</v>
      </c>
      <c r="I671" s="7">
        <v>44413</v>
      </c>
      <c r="J671" s="9">
        <v>168.5</v>
      </c>
      <c r="K671" s="5">
        <f t="shared" si="33"/>
        <v>12.5</v>
      </c>
      <c r="L671" s="6">
        <f t="shared" si="34"/>
        <v>0.75</v>
      </c>
    </row>
    <row r="672" spans="1:12" x14ac:dyDescent="0.25">
      <c r="A672">
        <f t="shared" si="32"/>
        <v>8</v>
      </c>
      <c r="B672">
        <f t="shared" si="35"/>
        <v>2021</v>
      </c>
      <c r="C672" s="7">
        <v>44414</v>
      </c>
      <c r="D672" s="8"/>
      <c r="E672" s="7">
        <v>44414</v>
      </c>
      <c r="F672" s="9">
        <v>181</v>
      </c>
      <c r="G672" s="7">
        <v>44414</v>
      </c>
      <c r="H672" s="9">
        <v>180.25</v>
      </c>
      <c r="I672" s="7">
        <v>44414</v>
      </c>
      <c r="J672" s="9">
        <v>168.75</v>
      </c>
      <c r="K672" s="5">
        <f t="shared" si="33"/>
        <v>12.25</v>
      </c>
      <c r="L672" s="6">
        <f t="shared" si="34"/>
        <v>0.75</v>
      </c>
    </row>
    <row r="673" spans="1:12" x14ac:dyDescent="0.25">
      <c r="A673">
        <f t="shared" si="32"/>
        <v>8</v>
      </c>
      <c r="B673">
        <f t="shared" si="35"/>
        <v>2021</v>
      </c>
      <c r="C673" s="7">
        <v>44417</v>
      </c>
      <c r="D673" s="8"/>
      <c r="E673" s="7">
        <v>44417</v>
      </c>
      <c r="F673" s="9">
        <v>179.75</v>
      </c>
      <c r="G673" s="7">
        <v>44417</v>
      </c>
      <c r="H673" s="9">
        <v>179</v>
      </c>
      <c r="I673" s="7">
        <v>44417</v>
      </c>
      <c r="J673" s="9">
        <v>167.75</v>
      </c>
      <c r="K673" s="5">
        <f t="shared" si="33"/>
        <v>12</v>
      </c>
      <c r="L673" s="6">
        <f t="shared" si="34"/>
        <v>0.75</v>
      </c>
    </row>
    <row r="674" spans="1:12" x14ac:dyDescent="0.25">
      <c r="A674">
        <f t="shared" si="32"/>
        <v>8</v>
      </c>
      <c r="B674">
        <f t="shared" si="35"/>
        <v>2021</v>
      </c>
      <c r="C674" s="7">
        <v>44418</v>
      </c>
      <c r="D674" s="8"/>
      <c r="E674" s="7">
        <v>44418</v>
      </c>
      <c r="F674" s="9">
        <v>180.5</v>
      </c>
      <c r="G674" s="7">
        <v>44418</v>
      </c>
      <c r="H674" s="9">
        <v>179.75</v>
      </c>
      <c r="I674" s="7">
        <v>44418</v>
      </c>
      <c r="J674" s="9">
        <v>168.25</v>
      </c>
      <c r="K674" s="5">
        <f t="shared" si="33"/>
        <v>12.25</v>
      </c>
      <c r="L674" s="6">
        <f t="shared" si="34"/>
        <v>0.75</v>
      </c>
    </row>
    <row r="675" spans="1:12" x14ac:dyDescent="0.25">
      <c r="A675">
        <f t="shared" si="32"/>
        <v>8</v>
      </c>
      <c r="B675">
        <f t="shared" si="35"/>
        <v>2021</v>
      </c>
      <c r="C675" s="7">
        <v>44419</v>
      </c>
      <c r="D675" s="8"/>
      <c r="E675" s="7">
        <v>44419</v>
      </c>
      <c r="F675" s="9">
        <v>181</v>
      </c>
      <c r="G675" s="7">
        <v>44419</v>
      </c>
      <c r="H675" s="9">
        <v>180.25</v>
      </c>
      <c r="I675" s="7">
        <v>44419</v>
      </c>
      <c r="J675" s="9">
        <v>167.25</v>
      </c>
      <c r="K675" s="5">
        <f t="shared" si="33"/>
        <v>13.75</v>
      </c>
      <c r="L675" s="6">
        <f t="shared" si="34"/>
        <v>0.75</v>
      </c>
    </row>
    <row r="676" spans="1:12" x14ac:dyDescent="0.25">
      <c r="A676">
        <f t="shared" si="32"/>
        <v>8</v>
      </c>
      <c r="B676">
        <f t="shared" si="35"/>
        <v>2021</v>
      </c>
      <c r="C676" s="7">
        <v>44420</v>
      </c>
      <c r="D676" s="8"/>
      <c r="E676" s="7">
        <v>44420</v>
      </c>
      <c r="F676" s="9">
        <v>179.5</v>
      </c>
      <c r="G676" s="7">
        <v>44420</v>
      </c>
      <c r="H676" s="9">
        <v>178.75</v>
      </c>
      <c r="I676" s="7">
        <v>44420</v>
      </c>
      <c r="J676" s="9">
        <v>167.5</v>
      </c>
      <c r="K676" s="5">
        <f t="shared" si="33"/>
        <v>12</v>
      </c>
      <c r="L676" s="6">
        <f t="shared" si="34"/>
        <v>0.75</v>
      </c>
    </row>
    <row r="677" spans="1:12" x14ac:dyDescent="0.25">
      <c r="A677">
        <f t="shared" si="32"/>
        <v>8</v>
      </c>
      <c r="B677">
        <f t="shared" si="35"/>
        <v>2021</v>
      </c>
      <c r="C677" s="7">
        <v>44421</v>
      </c>
      <c r="D677" s="8"/>
      <c r="E677" s="7">
        <v>44421</v>
      </c>
      <c r="F677" s="9">
        <v>180.5</v>
      </c>
      <c r="G677" s="7">
        <v>44421</v>
      </c>
      <c r="H677" s="9">
        <v>179.75</v>
      </c>
      <c r="I677" s="7">
        <v>44421</v>
      </c>
      <c r="J677" s="9">
        <v>165.5</v>
      </c>
      <c r="K677" s="5">
        <f t="shared" si="33"/>
        <v>15</v>
      </c>
      <c r="L677" s="6">
        <f t="shared" si="34"/>
        <v>0.75</v>
      </c>
    </row>
    <row r="678" spans="1:12" x14ac:dyDescent="0.25">
      <c r="A678">
        <f t="shared" si="32"/>
        <v>8</v>
      </c>
      <c r="B678">
        <f t="shared" si="35"/>
        <v>2021</v>
      </c>
      <c r="C678" s="7">
        <v>44424</v>
      </c>
      <c r="D678" s="8"/>
      <c r="E678" s="7">
        <v>44424</v>
      </c>
      <c r="F678" s="9">
        <v>179.5</v>
      </c>
      <c r="G678" s="7">
        <v>44424</v>
      </c>
      <c r="H678" s="9">
        <v>178.75</v>
      </c>
      <c r="I678" s="7">
        <v>44424</v>
      </c>
      <c r="J678" s="9">
        <v>165.5</v>
      </c>
      <c r="K678" s="5">
        <f t="shared" si="33"/>
        <v>14</v>
      </c>
      <c r="L678" s="6">
        <f t="shared" si="34"/>
        <v>0.75</v>
      </c>
    </row>
    <row r="679" spans="1:12" x14ac:dyDescent="0.25">
      <c r="A679">
        <f t="shared" si="32"/>
        <v>8</v>
      </c>
      <c r="B679">
        <f t="shared" si="35"/>
        <v>2021</v>
      </c>
      <c r="C679" s="7">
        <v>44425</v>
      </c>
      <c r="D679" s="8"/>
      <c r="E679" s="7">
        <v>44425</v>
      </c>
      <c r="F679" s="9">
        <v>179.5</v>
      </c>
      <c r="G679" s="7">
        <v>44425</v>
      </c>
      <c r="H679" s="9">
        <v>178.75</v>
      </c>
      <c r="I679" s="7">
        <v>44425</v>
      </c>
      <c r="J679" s="9">
        <v>165.75</v>
      </c>
      <c r="K679" s="5">
        <f t="shared" si="33"/>
        <v>13.75</v>
      </c>
      <c r="L679" s="6">
        <f t="shared" si="34"/>
        <v>0.75</v>
      </c>
    </row>
    <row r="680" spans="1:12" x14ac:dyDescent="0.25">
      <c r="A680">
        <f t="shared" si="32"/>
        <v>8</v>
      </c>
      <c r="B680">
        <f t="shared" si="35"/>
        <v>2021</v>
      </c>
      <c r="C680" s="7">
        <v>44426</v>
      </c>
      <c r="D680" s="8"/>
      <c r="E680" s="7">
        <v>44426</v>
      </c>
      <c r="F680" s="9">
        <v>179.5</v>
      </c>
      <c r="G680" s="7">
        <v>44426</v>
      </c>
      <c r="H680" s="9">
        <v>178.75</v>
      </c>
      <c r="I680" s="7">
        <v>44426</v>
      </c>
      <c r="J680" s="9">
        <v>163.25</v>
      </c>
      <c r="K680" s="5">
        <f t="shared" si="33"/>
        <v>16.25</v>
      </c>
      <c r="L680" s="6">
        <f t="shared" si="34"/>
        <v>0.75</v>
      </c>
    </row>
    <row r="681" spans="1:12" x14ac:dyDescent="0.25">
      <c r="A681">
        <f t="shared" si="32"/>
        <v>8</v>
      </c>
      <c r="B681">
        <f t="shared" si="35"/>
        <v>2021</v>
      </c>
      <c r="C681" s="7">
        <v>44427</v>
      </c>
      <c r="D681" s="8"/>
      <c r="E681" s="7">
        <v>44427</v>
      </c>
      <c r="F681" s="9">
        <v>175</v>
      </c>
      <c r="G681" s="7">
        <v>44427</v>
      </c>
      <c r="H681" s="9">
        <v>174.25</v>
      </c>
      <c r="I681" s="7">
        <v>44427</v>
      </c>
      <c r="J681" s="9">
        <v>156</v>
      </c>
      <c r="K681" s="5">
        <f t="shared" si="33"/>
        <v>19</v>
      </c>
      <c r="L681" s="6">
        <f t="shared" si="34"/>
        <v>0.75</v>
      </c>
    </row>
    <row r="682" spans="1:12" x14ac:dyDescent="0.25">
      <c r="A682">
        <f t="shared" si="32"/>
        <v>8</v>
      </c>
      <c r="B682">
        <f t="shared" si="35"/>
        <v>2021</v>
      </c>
      <c r="C682" s="7">
        <v>44428</v>
      </c>
      <c r="D682" s="8"/>
      <c r="E682" s="7">
        <v>44428</v>
      </c>
      <c r="F682" s="9">
        <v>152</v>
      </c>
      <c r="G682" s="7">
        <v>44428</v>
      </c>
      <c r="H682" s="9">
        <v>151.25</v>
      </c>
      <c r="I682" s="7">
        <v>44428</v>
      </c>
      <c r="J682" s="9">
        <v>130.5</v>
      </c>
      <c r="K682" s="5">
        <f t="shared" si="33"/>
        <v>21.5</v>
      </c>
      <c r="L682" s="6">
        <f t="shared" si="34"/>
        <v>0.75</v>
      </c>
    </row>
    <row r="683" spans="1:12" x14ac:dyDescent="0.25">
      <c r="A683">
        <f t="shared" si="32"/>
        <v>8</v>
      </c>
      <c r="B683">
        <f t="shared" si="35"/>
        <v>2021</v>
      </c>
      <c r="C683" s="7">
        <v>44431</v>
      </c>
      <c r="D683" s="8"/>
      <c r="E683" s="7">
        <v>44431</v>
      </c>
      <c r="F683" s="9">
        <v>150.5</v>
      </c>
      <c r="G683" s="7">
        <v>44431</v>
      </c>
      <c r="H683" s="9">
        <v>149.75</v>
      </c>
      <c r="I683" s="7">
        <v>44431</v>
      </c>
      <c r="J683" s="9">
        <v>129.5</v>
      </c>
      <c r="K683" s="5">
        <f t="shared" si="33"/>
        <v>21</v>
      </c>
      <c r="L683" s="6">
        <f t="shared" si="34"/>
        <v>0.75</v>
      </c>
    </row>
    <row r="684" spans="1:12" x14ac:dyDescent="0.25">
      <c r="A684">
        <f t="shared" si="32"/>
        <v>8</v>
      </c>
      <c r="B684">
        <f t="shared" si="35"/>
        <v>2021</v>
      </c>
      <c r="C684" s="7">
        <v>44432</v>
      </c>
      <c r="D684" s="8"/>
      <c r="E684" s="7">
        <v>44432</v>
      </c>
      <c r="F684" s="9">
        <v>158.5</v>
      </c>
      <c r="G684" s="7">
        <v>44432</v>
      </c>
      <c r="H684" s="9">
        <v>153.75</v>
      </c>
      <c r="I684" s="7">
        <v>44432</v>
      </c>
      <c r="J684" s="9">
        <v>137.5</v>
      </c>
      <c r="K684" s="5">
        <f t="shared" si="33"/>
        <v>21</v>
      </c>
      <c r="L684" s="6">
        <f t="shared" si="34"/>
        <v>4.75</v>
      </c>
    </row>
    <row r="685" spans="1:12" x14ac:dyDescent="0.25">
      <c r="A685">
        <f t="shared" si="32"/>
        <v>8</v>
      </c>
      <c r="B685">
        <f t="shared" si="35"/>
        <v>2021</v>
      </c>
      <c r="C685" s="7">
        <v>44433</v>
      </c>
      <c r="D685" s="8"/>
      <c r="E685" s="7">
        <v>44433</v>
      </c>
      <c r="F685" s="9">
        <v>169.5</v>
      </c>
      <c r="G685" s="7">
        <v>44433</v>
      </c>
      <c r="H685" s="9">
        <v>168.75</v>
      </c>
      <c r="I685" s="7">
        <v>44433</v>
      </c>
      <c r="J685" s="9">
        <v>149</v>
      </c>
      <c r="K685" s="5">
        <f t="shared" si="33"/>
        <v>20.5</v>
      </c>
      <c r="L685" s="6">
        <f t="shared" si="34"/>
        <v>0.75</v>
      </c>
    </row>
    <row r="686" spans="1:12" x14ac:dyDescent="0.25">
      <c r="A686">
        <f t="shared" si="32"/>
        <v>8</v>
      </c>
      <c r="B686">
        <f t="shared" si="35"/>
        <v>2021</v>
      </c>
      <c r="C686" s="7">
        <v>44434</v>
      </c>
      <c r="D686" s="8"/>
      <c r="E686" s="7">
        <v>44434</v>
      </c>
      <c r="F686" s="9">
        <v>166.5</v>
      </c>
      <c r="G686" s="7">
        <v>44434</v>
      </c>
      <c r="H686" s="9">
        <v>165.75</v>
      </c>
      <c r="I686" s="7">
        <v>44434</v>
      </c>
      <c r="J686" s="9">
        <v>143</v>
      </c>
      <c r="K686" s="5">
        <f t="shared" si="33"/>
        <v>23.5</v>
      </c>
      <c r="L686" s="6">
        <f t="shared" si="34"/>
        <v>0.75</v>
      </c>
    </row>
    <row r="687" spans="1:12" x14ac:dyDescent="0.25">
      <c r="A687">
        <f t="shared" si="32"/>
        <v>8</v>
      </c>
      <c r="B687">
        <f t="shared" si="35"/>
        <v>2021</v>
      </c>
      <c r="C687" s="7">
        <v>44435</v>
      </c>
      <c r="D687" s="8"/>
      <c r="E687" s="7">
        <v>44435</v>
      </c>
      <c r="F687" s="9">
        <v>154.5</v>
      </c>
      <c r="G687" s="7">
        <v>44435</v>
      </c>
      <c r="H687" s="9">
        <v>153.75</v>
      </c>
      <c r="I687" s="7">
        <v>44435</v>
      </c>
      <c r="J687" s="9">
        <v>130.5</v>
      </c>
      <c r="K687" s="5">
        <f t="shared" si="33"/>
        <v>24</v>
      </c>
      <c r="L687" s="6">
        <f t="shared" si="34"/>
        <v>0.75</v>
      </c>
    </row>
    <row r="688" spans="1:12" x14ac:dyDescent="0.25">
      <c r="A688">
        <f t="shared" si="32"/>
        <v>8</v>
      </c>
      <c r="B688">
        <f t="shared" si="35"/>
        <v>2021</v>
      </c>
      <c r="C688" s="7">
        <v>44438</v>
      </c>
      <c r="D688" s="8"/>
      <c r="E688" s="7">
        <v>44438</v>
      </c>
      <c r="F688" s="9">
        <v>157</v>
      </c>
      <c r="G688" s="7">
        <v>44438</v>
      </c>
      <c r="H688" s="9">
        <v>156.25</v>
      </c>
      <c r="I688" s="7">
        <v>44438</v>
      </c>
      <c r="J688" s="9">
        <v>133.375</v>
      </c>
      <c r="K688" s="5">
        <f t="shared" si="33"/>
        <v>23.625</v>
      </c>
      <c r="L688" s="6">
        <f t="shared" si="34"/>
        <v>0.75</v>
      </c>
    </row>
    <row r="689" spans="1:12" x14ac:dyDescent="0.25">
      <c r="A689">
        <f t="shared" si="32"/>
        <v>8</v>
      </c>
      <c r="B689">
        <f t="shared" si="35"/>
        <v>2021</v>
      </c>
      <c r="C689" s="7">
        <v>44439</v>
      </c>
      <c r="D689" s="8"/>
      <c r="E689" s="7">
        <v>44439</v>
      </c>
      <c r="F689" s="9">
        <v>157</v>
      </c>
      <c r="G689" s="7">
        <v>44439</v>
      </c>
      <c r="H689" s="9">
        <v>156.25</v>
      </c>
      <c r="I689" s="7">
        <v>44439</v>
      </c>
      <c r="J689" s="9">
        <v>138</v>
      </c>
      <c r="K689" s="5">
        <f t="shared" si="33"/>
        <v>19</v>
      </c>
      <c r="L689" s="6">
        <f t="shared" si="34"/>
        <v>0.75</v>
      </c>
    </row>
    <row r="690" spans="1:12" x14ac:dyDescent="0.25">
      <c r="A690">
        <f t="shared" si="32"/>
        <v>9</v>
      </c>
      <c r="B690">
        <f t="shared" si="35"/>
        <v>2021</v>
      </c>
      <c r="C690" s="7">
        <v>44440</v>
      </c>
      <c r="D690" s="8"/>
      <c r="E690" s="7">
        <v>44440</v>
      </c>
      <c r="F690" s="9">
        <v>156.75</v>
      </c>
      <c r="G690" s="7">
        <v>44440</v>
      </c>
      <c r="H690" s="9">
        <v>156</v>
      </c>
      <c r="I690" s="7">
        <v>44440</v>
      </c>
      <c r="J690" s="9">
        <v>137.25</v>
      </c>
      <c r="K690" s="5">
        <f t="shared" si="33"/>
        <v>19.5</v>
      </c>
      <c r="L690" s="6">
        <f t="shared" si="34"/>
        <v>0.75</v>
      </c>
    </row>
    <row r="691" spans="1:12" x14ac:dyDescent="0.25">
      <c r="A691">
        <f t="shared" si="32"/>
        <v>9</v>
      </c>
      <c r="B691">
        <f t="shared" si="35"/>
        <v>2021</v>
      </c>
      <c r="C691" s="7">
        <v>44441</v>
      </c>
      <c r="D691" s="8"/>
      <c r="E691" s="7">
        <v>44441</v>
      </c>
      <c r="F691" s="9">
        <v>161.5</v>
      </c>
      <c r="G691" s="7">
        <v>44441</v>
      </c>
      <c r="H691" s="9">
        <v>160.75</v>
      </c>
      <c r="I691" s="7">
        <v>44441</v>
      </c>
      <c r="J691" s="9">
        <v>138.25</v>
      </c>
      <c r="K691" s="5">
        <f t="shared" si="33"/>
        <v>23.25</v>
      </c>
      <c r="L691" s="6">
        <f t="shared" si="34"/>
        <v>0.75</v>
      </c>
    </row>
    <row r="692" spans="1:12" x14ac:dyDescent="0.25">
      <c r="A692">
        <f t="shared" si="32"/>
        <v>9</v>
      </c>
      <c r="B692">
        <f t="shared" si="35"/>
        <v>2021</v>
      </c>
      <c r="C692" s="7">
        <v>44442</v>
      </c>
      <c r="D692" s="8"/>
      <c r="E692" s="7">
        <v>44442</v>
      </c>
      <c r="F692" s="9">
        <v>158.75</v>
      </c>
      <c r="G692" s="7">
        <v>44442</v>
      </c>
      <c r="H692" s="9">
        <v>158</v>
      </c>
      <c r="I692" s="7">
        <v>44442</v>
      </c>
      <c r="J692" s="9">
        <v>136.25</v>
      </c>
      <c r="K692" s="5">
        <f t="shared" si="33"/>
        <v>22.5</v>
      </c>
      <c r="L692" s="6">
        <f t="shared" si="34"/>
        <v>0.75</v>
      </c>
    </row>
    <row r="693" spans="1:12" x14ac:dyDescent="0.25">
      <c r="A693">
        <f t="shared" si="32"/>
        <v>9</v>
      </c>
      <c r="B693">
        <f t="shared" si="35"/>
        <v>2021</v>
      </c>
      <c r="C693" s="7">
        <v>44446</v>
      </c>
      <c r="D693" s="8"/>
      <c r="E693" s="7">
        <v>44446</v>
      </c>
      <c r="F693" s="9">
        <v>158</v>
      </c>
      <c r="G693" s="7">
        <v>44446</v>
      </c>
      <c r="H693" s="9">
        <v>157.25</v>
      </c>
      <c r="I693" s="7">
        <v>44446</v>
      </c>
      <c r="J693" s="9">
        <v>137.5</v>
      </c>
      <c r="K693" s="5">
        <f t="shared" si="33"/>
        <v>20.5</v>
      </c>
      <c r="L693" s="6">
        <f t="shared" si="34"/>
        <v>0.75</v>
      </c>
    </row>
    <row r="694" spans="1:12" x14ac:dyDescent="0.25">
      <c r="A694">
        <f t="shared" si="32"/>
        <v>9</v>
      </c>
      <c r="B694">
        <f t="shared" si="35"/>
        <v>2021</v>
      </c>
      <c r="C694" s="7">
        <v>44447</v>
      </c>
      <c r="D694" s="8"/>
      <c r="E694" s="7">
        <v>44447</v>
      </c>
      <c r="F694" s="9">
        <v>158.25</v>
      </c>
      <c r="G694" s="7">
        <v>44447</v>
      </c>
      <c r="H694" s="9">
        <v>157.5</v>
      </c>
      <c r="I694" s="7">
        <v>44447</v>
      </c>
      <c r="J694" s="9">
        <v>137.5</v>
      </c>
      <c r="K694" s="5">
        <f t="shared" si="33"/>
        <v>20.75</v>
      </c>
      <c r="L694" s="6">
        <f t="shared" si="34"/>
        <v>0.75</v>
      </c>
    </row>
    <row r="695" spans="1:12" x14ac:dyDescent="0.25">
      <c r="A695">
        <f t="shared" si="32"/>
        <v>9</v>
      </c>
      <c r="B695">
        <f t="shared" si="35"/>
        <v>2021</v>
      </c>
      <c r="C695" s="7">
        <v>44448</v>
      </c>
      <c r="D695" s="8"/>
      <c r="E695" s="7">
        <v>44448</v>
      </c>
      <c r="F695" s="9">
        <v>153.5</v>
      </c>
      <c r="G695" s="7">
        <v>44448</v>
      </c>
      <c r="H695" s="9">
        <v>152.75</v>
      </c>
      <c r="I695" s="7">
        <v>44448</v>
      </c>
      <c r="J695" s="9">
        <v>133.5</v>
      </c>
      <c r="K695" s="5">
        <f t="shared" si="33"/>
        <v>20</v>
      </c>
      <c r="L695" s="6">
        <f t="shared" si="34"/>
        <v>0.75</v>
      </c>
    </row>
    <row r="696" spans="1:12" x14ac:dyDescent="0.25">
      <c r="A696">
        <f t="shared" si="32"/>
        <v>9</v>
      </c>
      <c r="B696">
        <f t="shared" si="35"/>
        <v>2021</v>
      </c>
      <c r="C696" s="7">
        <v>44449</v>
      </c>
      <c r="D696" s="8"/>
      <c r="E696" s="7">
        <v>44449</v>
      </c>
      <c r="F696" s="9">
        <v>149.5</v>
      </c>
      <c r="G696" s="7">
        <v>44449</v>
      </c>
      <c r="H696" s="9">
        <v>152.75</v>
      </c>
      <c r="I696" s="7">
        <v>44449</v>
      </c>
      <c r="J696" s="9">
        <v>129.5</v>
      </c>
      <c r="K696" s="5">
        <f t="shared" si="33"/>
        <v>20</v>
      </c>
      <c r="L696" s="6">
        <f t="shared" si="34"/>
        <v>-3.25</v>
      </c>
    </row>
    <row r="697" spans="1:12" x14ac:dyDescent="0.25">
      <c r="A697">
        <f t="shared" si="32"/>
        <v>9</v>
      </c>
      <c r="B697">
        <f t="shared" si="35"/>
        <v>2021</v>
      </c>
      <c r="C697" s="7">
        <v>44452</v>
      </c>
      <c r="D697" s="8"/>
      <c r="E697" s="7">
        <v>44452</v>
      </c>
      <c r="F697" s="9">
        <v>145.5</v>
      </c>
      <c r="G697" s="7">
        <v>44452</v>
      </c>
      <c r="H697" s="9">
        <v>144.75</v>
      </c>
      <c r="I697" s="7">
        <v>44452</v>
      </c>
      <c r="J697" s="9">
        <v>124.5</v>
      </c>
      <c r="K697" s="5">
        <f t="shared" si="33"/>
        <v>21</v>
      </c>
      <c r="L697" s="6">
        <f t="shared" si="34"/>
        <v>0.75</v>
      </c>
    </row>
    <row r="698" spans="1:12" x14ac:dyDescent="0.25">
      <c r="A698">
        <f t="shared" si="32"/>
        <v>9</v>
      </c>
      <c r="B698">
        <f t="shared" si="35"/>
        <v>2021</v>
      </c>
      <c r="C698" s="7">
        <v>44453</v>
      </c>
      <c r="D698" s="8"/>
      <c r="E698" s="7">
        <v>44453</v>
      </c>
      <c r="F698" s="9">
        <v>147.5</v>
      </c>
      <c r="G698" s="7">
        <v>44453</v>
      </c>
      <c r="H698" s="9">
        <v>146.75</v>
      </c>
      <c r="I698" s="7">
        <v>44453</v>
      </c>
      <c r="J698" s="9">
        <v>126</v>
      </c>
      <c r="K698" s="5">
        <f t="shared" si="33"/>
        <v>21.5</v>
      </c>
      <c r="L698" s="6">
        <f t="shared" si="34"/>
        <v>0.75</v>
      </c>
    </row>
    <row r="699" spans="1:12" x14ac:dyDescent="0.25">
      <c r="A699">
        <f t="shared" si="32"/>
        <v>9</v>
      </c>
      <c r="B699">
        <f t="shared" si="35"/>
        <v>2021</v>
      </c>
      <c r="C699" s="7">
        <v>44454</v>
      </c>
      <c r="D699" s="8"/>
      <c r="E699" s="7">
        <v>44454</v>
      </c>
      <c r="F699" s="9">
        <v>146.75</v>
      </c>
      <c r="G699" s="7">
        <v>44454</v>
      </c>
      <c r="H699" s="9">
        <v>146</v>
      </c>
      <c r="I699" s="7">
        <v>44454</v>
      </c>
      <c r="J699" s="9">
        <v>124.25</v>
      </c>
      <c r="K699" s="5">
        <f t="shared" si="33"/>
        <v>22.5</v>
      </c>
      <c r="L699" s="6">
        <f t="shared" si="34"/>
        <v>0.75</v>
      </c>
    </row>
    <row r="700" spans="1:12" x14ac:dyDescent="0.25">
      <c r="A700">
        <f t="shared" si="32"/>
        <v>9</v>
      </c>
      <c r="B700">
        <f t="shared" si="35"/>
        <v>2021</v>
      </c>
      <c r="C700" s="7">
        <v>44455</v>
      </c>
      <c r="D700" s="8"/>
      <c r="E700" s="7">
        <v>44455</v>
      </c>
      <c r="F700" s="9">
        <v>140.5</v>
      </c>
      <c r="G700" s="7">
        <v>44455</v>
      </c>
      <c r="H700" s="9">
        <v>139.75</v>
      </c>
      <c r="I700" s="7">
        <v>44455</v>
      </c>
      <c r="J700" s="9">
        <v>116</v>
      </c>
      <c r="K700" s="5">
        <f t="shared" si="33"/>
        <v>24.5</v>
      </c>
      <c r="L700" s="6">
        <f t="shared" si="34"/>
        <v>0.75</v>
      </c>
    </row>
    <row r="701" spans="1:12" x14ac:dyDescent="0.25">
      <c r="A701">
        <f t="shared" si="32"/>
        <v>9</v>
      </c>
      <c r="B701">
        <f t="shared" si="35"/>
        <v>2021</v>
      </c>
      <c r="C701" s="7">
        <v>44456</v>
      </c>
      <c r="D701" s="8"/>
      <c r="E701" s="7">
        <v>44456</v>
      </c>
      <c r="F701" s="9">
        <v>142</v>
      </c>
      <c r="G701" s="7">
        <v>44456</v>
      </c>
      <c r="H701" s="9">
        <v>141.25</v>
      </c>
      <c r="I701" s="7">
        <v>44456</v>
      </c>
      <c r="J701" s="9">
        <v>116</v>
      </c>
      <c r="K701" s="5">
        <f t="shared" si="33"/>
        <v>26</v>
      </c>
      <c r="L701" s="6">
        <f t="shared" si="34"/>
        <v>0.75</v>
      </c>
    </row>
    <row r="702" spans="1:12" x14ac:dyDescent="0.25">
      <c r="A702">
        <f t="shared" si="32"/>
        <v>9</v>
      </c>
      <c r="B702">
        <f t="shared" si="35"/>
        <v>2021</v>
      </c>
      <c r="C702" s="7">
        <v>44459</v>
      </c>
      <c r="D702" s="8"/>
      <c r="E702" s="7">
        <v>44459</v>
      </c>
      <c r="F702" s="9">
        <v>138.25</v>
      </c>
      <c r="G702" s="7">
        <v>44459</v>
      </c>
      <c r="H702" s="9">
        <v>137.5</v>
      </c>
      <c r="I702" s="7">
        <v>44459</v>
      </c>
      <c r="J702" s="9">
        <v>108.75</v>
      </c>
      <c r="K702" s="5">
        <f t="shared" si="33"/>
        <v>29.5</v>
      </c>
      <c r="L702" s="6">
        <f t="shared" si="34"/>
        <v>0.75</v>
      </c>
    </row>
    <row r="703" spans="1:12" x14ac:dyDescent="0.25">
      <c r="A703">
        <f t="shared" si="32"/>
        <v>9</v>
      </c>
      <c r="B703">
        <f t="shared" si="35"/>
        <v>2021</v>
      </c>
      <c r="C703" s="7">
        <v>44460</v>
      </c>
      <c r="D703" s="8"/>
      <c r="E703" s="7">
        <v>44460</v>
      </c>
      <c r="F703" s="9">
        <v>137.5</v>
      </c>
      <c r="G703" s="7">
        <v>44460</v>
      </c>
      <c r="H703" s="9">
        <v>136.75</v>
      </c>
      <c r="I703" s="7">
        <v>44460</v>
      </c>
      <c r="J703" s="9">
        <v>106.5</v>
      </c>
      <c r="K703" s="5">
        <f t="shared" si="33"/>
        <v>31</v>
      </c>
      <c r="L703" s="6">
        <f t="shared" si="34"/>
        <v>0.75</v>
      </c>
    </row>
    <row r="704" spans="1:12" x14ac:dyDescent="0.25">
      <c r="A704">
        <f t="shared" si="32"/>
        <v>9</v>
      </c>
      <c r="B704">
        <f t="shared" si="35"/>
        <v>2021</v>
      </c>
      <c r="C704" s="7">
        <v>44461</v>
      </c>
      <c r="D704" s="8"/>
      <c r="E704" s="7">
        <v>44461</v>
      </c>
      <c r="F704" s="9">
        <v>130</v>
      </c>
      <c r="G704" s="7">
        <v>44461</v>
      </c>
      <c r="H704" s="9">
        <v>129.25</v>
      </c>
      <c r="I704" s="7">
        <v>44461</v>
      </c>
      <c r="J704" s="9">
        <v>95.5</v>
      </c>
      <c r="K704" s="5">
        <f t="shared" si="33"/>
        <v>34.5</v>
      </c>
      <c r="L704" s="6">
        <f t="shared" si="34"/>
        <v>0.75</v>
      </c>
    </row>
    <row r="705" spans="1:12" x14ac:dyDescent="0.25">
      <c r="A705">
        <f t="shared" si="32"/>
        <v>9</v>
      </c>
      <c r="B705">
        <f t="shared" si="35"/>
        <v>2021</v>
      </c>
      <c r="C705" s="7">
        <v>44462</v>
      </c>
      <c r="D705" s="8"/>
      <c r="E705" s="7">
        <v>44462</v>
      </c>
      <c r="F705" s="9">
        <v>129</v>
      </c>
      <c r="G705" s="7">
        <v>44462</v>
      </c>
      <c r="H705" s="9">
        <v>128.25</v>
      </c>
      <c r="I705" s="7">
        <v>44462</v>
      </c>
      <c r="J705" s="9">
        <v>93.75</v>
      </c>
      <c r="K705" s="5">
        <f t="shared" si="33"/>
        <v>35.25</v>
      </c>
      <c r="L705" s="6">
        <f t="shared" si="34"/>
        <v>0.75</v>
      </c>
    </row>
    <row r="706" spans="1:12" x14ac:dyDescent="0.25">
      <c r="A706">
        <f t="shared" si="32"/>
        <v>9</v>
      </c>
      <c r="B706">
        <f t="shared" si="35"/>
        <v>2021</v>
      </c>
      <c r="C706" s="7">
        <v>44463</v>
      </c>
      <c r="D706" s="8"/>
      <c r="E706" s="7">
        <v>44463</v>
      </c>
      <c r="F706" s="9">
        <v>129.25</v>
      </c>
      <c r="G706" s="7">
        <v>44463</v>
      </c>
      <c r="H706" s="9">
        <v>128.5</v>
      </c>
      <c r="I706" s="7">
        <v>44463</v>
      </c>
      <c r="J706" s="9">
        <v>94.75</v>
      </c>
      <c r="K706" s="5">
        <f t="shared" si="33"/>
        <v>34.5</v>
      </c>
      <c r="L706" s="6">
        <f t="shared" si="34"/>
        <v>0.75</v>
      </c>
    </row>
    <row r="707" spans="1:12" x14ac:dyDescent="0.25">
      <c r="A707">
        <f t="shared" si="32"/>
        <v>9</v>
      </c>
      <c r="B707">
        <f t="shared" si="35"/>
        <v>2021</v>
      </c>
      <c r="C707" s="7">
        <v>44466</v>
      </c>
      <c r="D707" s="8"/>
      <c r="E707" s="7">
        <v>44466</v>
      </c>
      <c r="F707" s="9">
        <v>126.5</v>
      </c>
      <c r="G707" s="7">
        <v>44466</v>
      </c>
      <c r="H707" s="9">
        <v>125.75</v>
      </c>
      <c r="I707" s="7">
        <v>44466</v>
      </c>
      <c r="J707" s="9">
        <v>92.75</v>
      </c>
      <c r="K707" s="5">
        <f t="shared" si="33"/>
        <v>33.75</v>
      </c>
      <c r="L707" s="6">
        <f t="shared" si="34"/>
        <v>0.75</v>
      </c>
    </row>
    <row r="708" spans="1:12" x14ac:dyDescent="0.25">
      <c r="A708">
        <f t="shared" si="32"/>
        <v>9</v>
      </c>
      <c r="B708">
        <f t="shared" si="35"/>
        <v>2021</v>
      </c>
      <c r="C708" s="7">
        <v>44467</v>
      </c>
      <c r="D708" s="8"/>
      <c r="E708" s="7">
        <v>44467</v>
      </c>
      <c r="F708" s="9">
        <v>131.5</v>
      </c>
      <c r="G708" s="7">
        <v>44467</v>
      </c>
      <c r="H708" s="9">
        <v>130.75</v>
      </c>
      <c r="I708" s="7">
        <v>44467</v>
      </c>
      <c r="J708" s="9">
        <v>96.5</v>
      </c>
      <c r="K708" s="5">
        <f t="shared" si="33"/>
        <v>35</v>
      </c>
      <c r="L708" s="6">
        <f t="shared" si="34"/>
        <v>0.75</v>
      </c>
    </row>
    <row r="709" spans="1:12" x14ac:dyDescent="0.25">
      <c r="A709">
        <f t="shared" si="32"/>
        <v>9</v>
      </c>
      <c r="B709">
        <f t="shared" si="35"/>
        <v>2021</v>
      </c>
      <c r="C709" s="7">
        <v>44468</v>
      </c>
      <c r="D709" s="8"/>
      <c r="E709" s="7">
        <v>44468</v>
      </c>
      <c r="F709" s="9">
        <v>133.5</v>
      </c>
      <c r="G709" s="7">
        <v>44468</v>
      </c>
      <c r="H709" s="9">
        <v>132.75</v>
      </c>
      <c r="I709" s="7">
        <v>44468</v>
      </c>
      <c r="J709" s="9">
        <v>105.5</v>
      </c>
      <c r="K709" s="5">
        <f t="shared" si="33"/>
        <v>28</v>
      </c>
      <c r="L709" s="6">
        <f t="shared" si="34"/>
        <v>0.75</v>
      </c>
    </row>
    <row r="710" spans="1:12" x14ac:dyDescent="0.25">
      <c r="A710">
        <f t="shared" si="32"/>
        <v>9</v>
      </c>
      <c r="B710">
        <f t="shared" si="35"/>
        <v>2021</v>
      </c>
      <c r="C710" s="7">
        <v>44469</v>
      </c>
      <c r="D710" s="8"/>
      <c r="E710" s="7">
        <v>44469</v>
      </c>
      <c r="F710" s="9">
        <v>143</v>
      </c>
      <c r="G710" s="7">
        <v>44469</v>
      </c>
      <c r="H710" s="9">
        <v>142.25</v>
      </c>
      <c r="I710" s="7">
        <v>44469</v>
      </c>
      <c r="J710" s="9">
        <v>114.75</v>
      </c>
      <c r="K710" s="5">
        <f t="shared" si="33"/>
        <v>28.25</v>
      </c>
      <c r="L710" s="6">
        <f t="shared" si="34"/>
        <v>0.75</v>
      </c>
    </row>
    <row r="711" spans="1:12" x14ac:dyDescent="0.25">
      <c r="A711">
        <f t="shared" si="32"/>
        <v>10</v>
      </c>
      <c r="B711">
        <f t="shared" si="35"/>
        <v>2021</v>
      </c>
      <c r="C711" s="7">
        <v>44470</v>
      </c>
      <c r="D711" s="8"/>
      <c r="E711" s="7">
        <v>44470</v>
      </c>
      <c r="F711" s="9">
        <v>148</v>
      </c>
      <c r="G711" s="7">
        <v>44470</v>
      </c>
      <c r="H711" s="9">
        <v>147.25</v>
      </c>
      <c r="I711" s="7">
        <v>44470</v>
      </c>
      <c r="J711" s="9">
        <v>123.5</v>
      </c>
      <c r="K711" s="5">
        <f t="shared" si="33"/>
        <v>24.5</v>
      </c>
      <c r="L711" s="6">
        <f t="shared" si="34"/>
        <v>0.75</v>
      </c>
    </row>
    <row r="712" spans="1:12" x14ac:dyDescent="0.25">
      <c r="A712">
        <f t="shared" si="32"/>
        <v>10</v>
      </c>
      <c r="B712">
        <f t="shared" si="35"/>
        <v>2021</v>
      </c>
      <c r="C712" s="7">
        <v>44473</v>
      </c>
      <c r="D712" s="8"/>
      <c r="E712" s="7">
        <v>44473</v>
      </c>
      <c r="F712" s="9">
        <v>152.5</v>
      </c>
      <c r="G712" s="7">
        <v>44473</v>
      </c>
      <c r="H712" s="9">
        <v>151.75</v>
      </c>
      <c r="I712" s="7">
        <v>44473</v>
      </c>
      <c r="J712" s="9">
        <v>129.5</v>
      </c>
      <c r="K712" s="5">
        <f t="shared" si="33"/>
        <v>23</v>
      </c>
      <c r="L712" s="6">
        <f t="shared" si="34"/>
        <v>0.75</v>
      </c>
    </row>
    <row r="713" spans="1:12" x14ac:dyDescent="0.25">
      <c r="A713">
        <f t="shared" si="32"/>
        <v>10</v>
      </c>
      <c r="B713">
        <f t="shared" si="35"/>
        <v>2021</v>
      </c>
      <c r="C713" s="7">
        <v>44474</v>
      </c>
      <c r="D713" s="8"/>
      <c r="E713" s="7">
        <v>44474</v>
      </c>
      <c r="F713" s="9">
        <v>152.5</v>
      </c>
      <c r="G713" s="7">
        <v>44474</v>
      </c>
      <c r="H713" s="9">
        <v>151.75</v>
      </c>
      <c r="I713" s="7">
        <v>44474</v>
      </c>
      <c r="J713" s="9">
        <v>129.75</v>
      </c>
      <c r="K713" s="5">
        <f t="shared" si="33"/>
        <v>22.75</v>
      </c>
      <c r="L713" s="6">
        <f t="shared" si="34"/>
        <v>0.75</v>
      </c>
    </row>
    <row r="714" spans="1:12" x14ac:dyDescent="0.25">
      <c r="A714">
        <f t="shared" si="32"/>
        <v>10</v>
      </c>
      <c r="B714">
        <f t="shared" si="35"/>
        <v>2021</v>
      </c>
      <c r="C714" s="7">
        <v>44475</v>
      </c>
      <c r="D714" s="8"/>
      <c r="E714" s="7">
        <v>44475</v>
      </c>
      <c r="F714" s="9">
        <v>149</v>
      </c>
      <c r="G714" s="7">
        <v>44475</v>
      </c>
      <c r="H714" s="9">
        <v>148.25</v>
      </c>
      <c r="I714" s="7">
        <v>44475</v>
      </c>
      <c r="J714" s="9">
        <v>127.5</v>
      </c>
      <c r="K714" s="5">
        <f t="shared" si="33"/>
        <v>21.5</v>
      </c>
      <c r="L714" s="6">
        <f t="shared" si="34"/>
        <v>0.75</v>
      </c>
    </row>
    <row r="715" spans="1:12" x14ac:dyDescent="0.25">
      <c r="A715">
        <f t="shared" si="32"/>
        <v>10</v>
      </c>
      <c r="B715">
        <f t="shared" si="35"/>
        <v>2021</v>
      </c>
      <c r="C715" s="7">
        <v>44476</v>
      </c>
      <c r="D715" s="8"/>
      <c r="E715" s="7">
        <v>44476</v>
      </c>
      <c r="F715" s="9">
        <v>147.5</v>
      </c>
      <c r="G715" s="7">
        <v>44476</v>
      </c>
      <c r="H715" s="9">
        <v>146.75</v>
      </c>
      <c r="I715" s="7">
        <v>44476</v>
      </c>
      <c r="J715" s="9">
        <v>124</v>
      </c>
      <c r="K715" s="5">
        <f t="shared" si="33"/>
        <v>23.5</v>
      </c>
      <c r="L715" s="6">
        <f t="shared" si="34"/>
        <v>0.75</v>
      </c>
    </row>
    <row r="716" spans="1:12" x14ac:dyDescent="0.25">
      <c r="A716">
        <f t="shared" si="32"/>
        <v>10</v>
      </c>
      <c r="B716">
        <f t="shared" si="35"/>
        <v>2021</v>
      </c>
      <c r="C716" s="7">
        <v>44477</v>
      </c>
      <c r="D716" s="8"/>
      <c r="E716" s="7">
        <v>44477</v>
      </c>
      <c r="F716" s="9">
        <v>148</v>
      </c>
      <c r="G716" s="7">
        <v>44477</v>
      </c>
      <c r="H716" s="9">
        <v>147.25</v>
      </c>
      <c r="I716" s="7">
        <v>44477</v>
      </c>
      <c r="J716" s="9">
        <v>124.5</v>
      </c>
      <c r="K716" s="5">
        <f t="shared" si="33"/>
        <v>23.5</v>
      </c>
      <c r="L716" s="6">
        <f t="shared" si="34"/>
        <v>0.75</v>
      </c>
    </row>
    <row r="717" spans="1:12" x14ac:dyDescent="0.25">
      <c r="A717">
        <f t="shared" si="32"/>
        <v>10</v>
      </c>
      <c r="B717">
        <f t="shared" si="35"/>
        <v>2021</v>
      </c>
      <c r="C717" s="7">
        <v>44480</v>
      </c>
      <c r="D717" s="8"/>
      <c r="E717" s="7">
        <v>44480</v>
      </c>
      <c r="F717" s="9">
        <v>148</v>
      </c>
      <c r="G717" s="7">
        <v>44480</v>
      </c>
      <c r="H717" s="9">
        <v>146.75</v>
      </c>
      <c r="I717" s="7">
        <v>44480</v>
      </c>
      <c r="J717" s="9">
        <v>124.5</v>
      </c>
      <c r="K717" s="5">
        <f t="shared" si="33"/>
        <v>23.5</v>
      </c>
      <c r="L717" s="6">
        <f t="shared" si="34"/>
        <v>1.25</v>
      </c>
    </row>
    <row r="718" spans="1:12" x14ac:dyDescent="0.25">
      <c r="A718">
        <f t="shared" ref="A718:A781" si="36">MONTH(E718)</f>
        <v>10</v>
      </c>
      <c r="B718">
        <f t="shared" si="35"/>
        <v>2021</v>
      </c>
      <c r="C718" s="7">
        <v>44481</v>
      </c>
      <c r="D718" s="8"/>
      <c r="E718" s="7">
        <v>44481</v>
      </c>
      <c r="F718" s="9">
        <v>147</v>
      </c>
      <c r="G718" s="7">
        <v>44481</v>
      </c>
      <c r="H718" s="9">
        <v>146.25</v>
      </c>
      <c r="I718" s="7">
        <v>44481</v>
      </c>
      <c r="J718" s="9">
        <v>124.75</v>
      </c>
      <c r="K718" s="5">
        <f t="shared" ref="K718:K781" si="37">F718-J718</f>
        <v>22.25</v>
      </c>
      <c r="L718" s="6">
        <f t="shared" ref="L718:L781" si="38">F718-H718</f>
        <v>0.75</v>
      </c>
    </row>
    <row r="719" spans="1:12" x14ac:dyDescent="0.25">
      <c r="A719">
        <f t="shared" si="36"/>
        <v>10</v>
      </c>
      <c r="B719">
        <f t="shared" ref="B719:B782" si="39">YEAR(E719)</f>
        <v>2021</v>
      </c>
      <c r="C719" s="7">
        <v>44482</v>
      </c>
      <c r="D719" s="8"/>
      <c r="E719" s="7">
        <v>44482</v>
      </c>
      <c r="F719" s="9">
        <v>147</v>
      </c>
      <c r="G719" s="7">
        <v>44482</v>
      </c>
      <c r="H719" s="9">
        <v>146.25</v>
      </c>
      <c r="I719" s="7">
        <v>44482</v>
      </c>
      <c r="J719" s="9">
        <v>124.75</v>
      </c>
      <c r="K719" s="5">
        <f t="shared" si="37"/>
        <v>22.25</v>
      </c>
      <c r="L719" s="6">
        <f t="shared" si="38"/>
        <v>0.75</v>
      </c>
    </row>
    <row r="720" spans="1:12" x14ac:dyDescent="0.25">
      <c r="A720">
        <f t="shared" si="36"/>
        <v>10</v>
      </c>
      <c r="B720">
        <f t="shared" si="39"/>
        <v>2021</v>
      </c>
      <c r="C720" s="7">
        <v>44483</v>
      </c>
      <c r="D720" s="8"/>
      <c r="E720" s="7">
        <v>44483</v>
      </c>
      <c r="F720" s="9">
        <v>153</v>
      </c>
      <c r="G720" s="7">
        <v>44483</v>
      </c>
      <c r="H720" s="9">
        <v>152.25</v>
      </c>
      <c r="I720" s="7">
        <v>44483</v>
      </c>
      <c r="J720" s="9">
        <v>129.5</v>
      </c>
      <c r="K720" s="5">
        <f t="shared" si="37"/>
        <v>23.5</v>
      </c>
      <c r="L720" s="6">
        <f t="shared" si="38"/>
        <v>0.75</v>
      </c>
    </row>
    <row r="721" spans="1:12" x14ac:dyDescent="0.25">
      <c r="A721">
        <f t="shared" si="36"/>
        <v>10</v>
      </c>
      <c r="B721">
        <f t="shared" si="39"/>
        <v>2021</v>
      </c>
      <c r="C721" s="7">
        <v>44484</v>
      </c>
      <c r="D721" s="8"/>
      <c r="E721" s="7">
        <v>44484</v>
      </c>
      <c r="F721" s="9">
        <v>153</v>
      </c>
      <c r="G721" s="7">
        <v>44484</v>
      </c>
      <c r="H721" s="9">
        <v>152.25</v>
      </c>
      <c r="I721" s="7">
        <v>44484</v>
      </c>
      <c r="J721" s="9">
        <v>130.25</v>
      </c>
      <c r="K721" s="5">
        <f t="shared" si="37"/>
        <v>22.75</v>
      </c>
      <c r="L721" s="6">
        <f t="shared" si="38"/>
        <v>0.75</v>
      </c>
    </row>
    <row r="722" spans="1:12" x14ac:dyDescent="0.25">
      <c r="A722">
        <f t="shared" si="36"/>
        <v>10</v>
      </c>
      <c r="B722">
        <f t="shared" si="39"/>
        <v>2021</v>
      </c>
      <c r="C722" s="7">
        <v>44487</v>
      </c>
      <c r="D722" s="8"/>
      <c r="E722" s="7">
        <v>44487</v>
      </c>
      <c r="F722" s="9">
        <v>158.5</v>
      </c>
      <c r="G722" s="7">
        <v>44487</v>
      </c>
      <c r="H722" s="9">
        <v>157.75</v>
      </c>
      <c r="I722" s="7">
        <v>44487</v>
      </c>
      <c r="J722" s="9">
        <v>133.25</v>
      </c>
      <c r="K722" s="5">
        <f t="shared" si="37"/>
        <v>25.25</v>
      </c>
      <c r="L722" s="6">
        <f t="shared" si="38"/>
        <v>0.75</v>
      </c>
    </row>
    <row r="723" spans="1:12" x14ac:dyDescent="0.25">
      <c r="A723">
        <f t="shared" si="36"/>
        <v>10</v>
      </c>
      <c r="B723">
        <f t="shared" si="39"/>
        <v>2021</v>
      </c>
      <c r="C723" s="7">
        <v>44488</v>
      </c>
      <c r="D723" s="8"/>
      <c r="E723" s="7">
        <v>44488</v>
      </c>
      <c r="F723" s="9">
        <v>160.75</v>
      </c>
      <c r="G723" s="7">
        <v>44488</v>
      </c>
      <c r="H723" s="9">
        <v>160</v>
      </c>
      <c r="I723" s="7">
        <v>44488</v>
      </c>
      <c r="J723" s="9">
        <v>137.25</v>
      </c>
      <c r="K723" s="5">
        <f t="shared" si="37"/>
        <v>23.5</v>
      </c>
      <c r="L723" s="6">
        <f t="shared" si="38"/>
        <v>0.75</v>
      </c>
    </row>
    <row r="724" spans="1:12" x14ac:dyDescent="0.25">
      <c r="A724">
        <f t="shared" si="36"/>
        <v>10</v>
      </c>
      <c r="B724">
        <f t="shared" si="39"/>
        <v>2021</v>
      </c>
      <c r="C724" s="7">
        <v>44489</v>
      </c>
      <c r="D724" s="8"/>
      <c r="E724" s="7">
        <v>44489</v>
      </c>
      <c r="F724" s="9">
        <v>165.75</v>
      </c>
      <c r="G724" s="7">
        <v>44489</v>
      </c>
      <c r="H724" s="9">
        <v>165</v>
      </c>
      <c r="I724" s="7">
        <v>44489</v>
      </c>
      <c r="J724" s="9">
        <v>143.25</v>
      </c>
      <c r="K724" s="5">
        <f t="shared" si="37"/>
        <v>22.5</v>
      </c>
      <c r="L724" s="6">
        <f t="shared" si="38"/>
        <v>0.75</v>
      </c>
    </row>
    <row r="725" spans="1:12" x14ac:dyDescent="0.25">
      <c r="A725">
        <f t="shared" si="36"/>
        <v>10</v>
      </c>
      <c r="B725">
        <f t="shared" si="39"/>
        <v>2021</v>
      </c>
      <c r="C725" s="7">
        <v>44490</v>
      </c>
      <c r="D725" s="8"/>
      <c r="E725" s="7">
        <v>44490</v>
      </c>
      <c r="F725" s="9">
        <v>165.5</v>
      </c>
      <c r="G725" s="7">
        <v>44490</v>
      </c>
      <c r="H725" s="9">
        <v>164.75</v>
      </c>
      <c r="I725" s="7">
        <v>44490</v>
      </c>
      <c r="J725" s="9">
        <v>137.5</v>
      </c>
      <c r="K725" s="5">
        <f t="shared" si="37"/>
        <v>28</v>
      </c>
      <c r="L725" s="6">
        <f t="shared" si="38"/>
        <v>0.75</v>
      </c>
    </row>
    <row r="726" spans="1:12" x14ac:dyDescent="0.25">
      <c r="A726">
        <f t="shared" si="36"/>
        <v>10</v>
      </c>
      <c r="B726">
        <f t="shared" si="39"/>
        <v>2021</v>
      </c>
      <c r="C726" s="7">
        <v>44491</v>
      </c>
      <c r="D726" s="8"/>
      <c r="E726" s="7">
        <v>44491</v>
      </c>
      <c r="F726" s="9">
        <v>164.25</v>
      </c>
      <c r="G726" s="7">
        <v>44491</v>
      </c>
      <c r="H726" s="9">
        <v>164.75</v>
      </c>
      <c r="I726" s="7">
        <v>44491</v>
      </c>
      <c r="J726" s="9">
        <v>136</v>
      </c>
      <c r="K726" s="5">
        <f t="shared" si="37"/>
        <v>28.25</v>
      </c>
      <c r="L726" s="6">
        <f t="shared" si="38"/>
        <v>-0.5</v>
      </c>
    </row>
    <row r="727" spans="1:12" x14ac:dyDescent="0.25">
      <c r="A727">
        <f t="shared" si="36"/>
        <v>10</v>
      </c>
      <c r="B727">
        <f t="shared" si="39"/>
        <v>2021</v>
      </c>
      <c r="C727" s="7">
        <v>44494</v>
      </c>
      <c r="D727" s="8"/>
      <c r="E727" s="7">
        <v>44494</v>
      </c>
      <c r="F727" s="9">
        <v>158.5</v>
      </c>
      <c r="G727" s="7">
        <v>44494</v>
      </c>
      <c r="H727" s="9">
        <v>157.75</v>
      </c>
      <c r="I727" s="7">
        <v>44494</v>
      </c>
      <c r="J727" s="9">
        <v>128.5</v>
      </c>
      <c r="K727" s="5">
        <f t="shared" si="37"/>
        <v>30</v>
      </c>
      <c r="L727" s="6">
        <f t="shared" si="38"/>
        <v>0.75</v>
      </c>
    </row>
    <row r="728" spans="1:12" x14ac:dyDescent="0.25">
      <c r="A728">
        <f t="shared" si="36"/>
        <v>10</v>
      </c>
      <c r="B728">
        <f t="shared" si="39"/>
        <v>2021</v>
      </c>
      <c r="C728" s="7">
        <v>44495</v>
      </c>
      <c r="D728" s="8"/>
      <c r="E728" s="7">
        <v>44495</v>
      </c>
      <c r="F728" s="9">
        <v>158.5</v>
      </c>
      <c r="G728" s="7">
        <v>44495</v>
      </c>
      <c r="H728" s="9">
        <v>157.75</v>
      </c>
      <c r="I728" s="7">
        <v>44495</v>
      </c>
      <c r="J728" s="9">
        <v>126.5</v>
      </c>
      <c r="K728" s="5">
        <f t="shared" si="37"/>
        <v>32</v>
      </c>
      <c r="L728" s="6">
        <f t="shared" si="38"/>
        <v>0.75</v>
      </c>
    </row>
    <row r="729" spans="1:12" x14ac:dyDescent="0.25">
      <c r="A729">
        <f t="shared" si="36"/>
        <v>10</v>
      </c>
      <c r="B729">
        <f t="shared" si="39"/>
        <v>2021</v>
      </c>
      <c r="C729" s="7">
        <v>44496</v>
      </c>
      <c r="D729" s="8"/>
      <c r="E729" s="7">
        <v>44496</v>
      </c>
      <c r="F729" s="9">
        <v>154.5</v>
      </c>
      <c r="G729" s="7">
        <v>44496</v>
      </c>
      <c r="H729" s="9">
        <v>157.75</v>
      </c>
      <c r="I729" s="7">
        <v>44496</v>
      </c>
      <c r="J729" s="9">
        <v>123</v>
      </c>
      <c r="K729" s="5">
        <f t="shared" si="37"/>
        <v>31.5</v>
      </c>
      <c r="L729" s="6">
        <f t="shared" si="38"/>
        <v>-3.25</v>
      </c>
    </row>
    <row r="730" spans="1:12" x14ac:dyDescent="0.25">
      <c r="A730">
        <f t="shared" si="36"/>
        <v>10</v>
      </c>
      <c r="B730">
        <f t="shared" si="39"/>
        <v>2021</v>
      </c>
      <c r="C730" s="7">
        <v>44497</v>
      </c>
      <c r="D730" s="8"/>
      <c r="E730" s="7">
        <v>44497</v>
      </c>
      <c r="F730" s="9">
        <v>147</v>
      </c>
      <c r="G730" s="7">
        <v>44497</v>
      </c>
      <c r="H730" s="9">
        <v>146.25</v>
      </c>
      <c r="I730" s="7">
        <v>44497</v>
      </c>
      <c r="J730" s="9">
        <v>116.5</v>
      </c>
      <c r="K730" s="5">
        <f t="shared" si="37"/>
        <v>30.5</v>
      </c>
      <c r="L730" s="6">
        <f t="shared" si="38"/>
        <v>0.75</v>
      </c>
    </row>
    <row r="731" spans="1:12" x14ac:dyDescent="0.25">
      <c r="A731">
        <f t="shared" si="36"/>
        <v>10</v>
      </c>
      <c r="B731">
        <f t="shared" si="39"/>
        <v>2021</v>
      </c>
      <c r="C731" s="7">
        <v>44498</v>
      </c>
      <c r="D731" s="8"/>
      <c r="E731" s="7">
        <v>44498</v>
      </c>
      <c r="F731" s="9">
        <v>145.25</v>
      </c>
      <c r="G731" s="7">
        <v>44498</v>
      </c>
      <c r="H731" s="9">
        <v>144.5</v>
      </c>
      <c r="I731" s="7">
        <v>44498</v>
      </c>
      <c r="J731" s="9">
        <v>112.5</v>
      </c>
      <c r="K731" s="5">
        <f t="shared" si="37"/>
        <v>32.75</v>
      </c>
      <c r="L731" s="6">
        <f t="shared" si="38"/>
        <v>0.75</v>
      </c>
    </row>
    <row r="732" spans="1:12" x14ac:dyDescent="0.25">
      <c r="A732">
        <f t="shared" si="36"/>
        <v>11</v>
      </c>
      <c r="B732">
        <f t="shared" si="39"/>
        <v>2021</v>
      </c>
      <c r="C732" s="7">
        <v>44501</v>
      </c>
      <c r="D732" s="8"/>
      <c r="E732" s="7">
        <v>44501</v>
      </c>
      <c r="F732" s="9">
        <v>149</v>
      </c>
      <c r="G732" s="7">
        <v>44501</v>
      </c>
      <c r="H732" s="9">
        <v>148.25</v>
      </c>
      <c r="I732" s="7">
        <v>44501</v>
      </c>
      <c r="J732" s="9">
        <v>115.5</v>
      </c>
      <c r="K732" s="5">
        <f t="shared" si="37"/>
        <v>33.5</v>
      </c>
      <c r="L732" s="6">
        <f t="shared" si="38"/>
        <v>0.75</v>
      </c>
    </row>
    <row r="733" spans="1:12" x14ac:dyDescent="0.25">
      <c r="A733">
        <f t="shared" si="36"/>
        <v>11</v>
      </c>
      <c r="B733">
        <f t="shared" si="39"/>
        <v>2021</v>
      </c>
      <c r="C733" s="7">
        <v>44502</v>
      </c>
      <c r="D733" s="8"/>
      <c r="E733" s="7">
        <v>44502</v>
      </c>
      <c r="F733" s="9">
        <v>152</v>
      </c>
      <c r="G733" s="7">
        <v>44502</v>
      </c>
      <c r="H733" s="9">
        <v>151.25</v>
      </c>
      <c r="I733" s="7">
        <v>44502</v>
      </c>
      <c r="J733" s="9">
        <v>119.5</v>
      </c>
      <c r="K733" s="5">
        <f t="shared" si="37"/>
        <v>32.5</v>
      </c>
      <c r="L733" s="6">
        <f t="shared" si="38"/>
        <v>0.75</v>
      </c>
    </row>
    <row r="734" spans="1:12" x14ac:dyDescent="0.25">
      <c r="A734">
        <f t="shared" si="36"/>
        <v>11</v>
      </c>
      <c r="B734">
        <f t="shared" si="39"/>
        <v>2021</v>
      </c>
      <c r="C734" s="7">
        <v>44503</v>
      </c>
      <c r="D734" s="8"/>
      <c r="E734" s="7">
        <v>44503</v>
      </c>
      <c r="F734" s="9">
        <v>149.5</v>
      </c>
      <c r="G734" s="7">
        <v>44503</v>
      </c>
      <c r="H734" s="9">
        <v>148.75</v>
      </c>
      <c r="I734" s="7">
        <v>44503</v>
      </c>
      <c r="J734" s="9">
        <v>115.5</v>
      </c>
      <c r="K734" s="5">
        <f t="shared" si="37"/>
        <v>34</v>
      </c>
      <c r="L734" s="6">
        <f t="shared" si="38"/>
        <v>0.75</v>
      </c>
    </row>
    <row r="735" spans="1:12" x14ac:dyDescent="0.25">
      <c r="A735">
        <f t="shared" si="36"/>
        <v>11</v>
      </c>
      <c r="B735">
        <f t="shared" si="39"/>
        <v>2021</v>
      </c>
      <c r="C735" s="7">
        <v>44504</v>
      </c>
      <c r="D735" s="8"/>
      <c r="E735" s="7">
        <v>44504</v>
      </c>
      <c r="F735" s="9">
        <v>143.5</v>
      </c>
      <c r="G735" s="7">
        <v>44504</v>
      </c>
      <c r="H735" s="9">
        <v>148.75</v>
      </c>
      <c r="I735" s="7">
        <v>44504</v>
      </c>
      <c r="J735" s="9">
        <v>109.5</v>
      </c>
      <c r="K735" s="5">
        <f t="shared" si="37"/>
        <v>34</v>
      </c>
      <c r="L735" s="6">
        <f t="shared" si="38"/>
        <v>-5.25</v>
      </c>
    </row>
    <row r="736" spans="1:12" x14ac:dyDescent="0.25">
      <c r="A736">
        <f t="shared" si="36"/>
        <v>11</v>
      </c>
      <c r="B736">
        <f t="shared" si="39"/>
        <v>2021</v>
      </c>
      <c r="C736" s="7">
        <v>44505</v>
      </c>
      <c r="D736" s="8"/>
      <c r="E736" s="7">
        <v>44505</v>
      </c>
      <c r="F736" s="9">
        <v>147.5</v>
      </c>
      <c r="G736" s="7">
        <v>44505</v>
      </c>
      <c r="H736" s="9">
        <v>148.75</v>
      </c>
      <c r="I736" s="7">
        <v>44505</v>
      </c>
      <c r="J736" s="9">
        <v>110.5</v>
      </c>
      <c r="K736" s="5">
        <f t="shared" si="37"/>
        <v>37</v>
      </c>
      <c r="L736" s="6">
        <f t="shared" si="38"/>
        <v>-1.25</v>
      </c>
    </row>
    <row r="737" spans="1:12" x14ac:dyDescent="0.25">
      <c r="A737">
        <f t="shared" si="36"/>
        <v>11</v>
      </c>
      <c r="B737">
        <f t="shared" si="39"/>
        <v>2021</v>
      </c>
      <c r="C737" s="7">
        <v>44508</v>
      </c>
      <c r="D737" s="8"/>
      <c r="E737" s="7">
        <v>44508</v>
      </c>
      <c r="F737" s="9">
        <v>136.5</v>
      </c>
      <c r="G737" s="7">
        <v>44508</v>
      </c>
      <c r="H737" s="9">
        <v>135.75</v>
      </c>
      <c r="I737" s="7">
        <v>44508</v>
      </c>
      <c r="J737" s="9">
        <v>104</v>
      </c>
      <c r="K737" s="5">
        <f t="shared" si="37"/>
        <v>32.5</v>
      </c>
      <c r="L737" s="6">
        <f t="shared" si="38"/>
        <v>0.75</v>
      </c>
    </row>
    <row r="738" spans="1:12" x14ac:dyDescent="0.25">
      <c r="A738">
        <f t="shared" si="36"/>
        <v>11</v>
      </c>
      <c r="B738">
        <f t="shared" si="39"/>
        <v>2021</v>
      </c>
      <c r="C738" s="7">
        <v>44509</v>
      </c>
      <c r="D738" s="8"/>
      <c r="E738" s="7">
        <v>44509</v>
      </c>
      <c r="F738" s="9">
        <v>137</v>
      </c>
      <c r="G738" s="7">
        <v>44509</v>
      </c>
      <c r="H738" s="9">
        <v>136.25</v>
      </c>
      <c r="I738" s="7">
        <v>44509</v>
      </c>
      <c r="J738" s="9">
        <v>104.5</v>
      </c>
      <c r="K738" s="5">
        <f t="shared" si="37"/>
        <v>32.5</v>
      </c>
      <c r="L738" s="6">
        <f t="shared" si="38"/>
        <v>0.75</v>
      </c>
    </row>
    <row r="739" spans="1:12" x14ac:dyDescent="0.25">
      <c r="A739">
        <f t="shared" si="36"/>
        <v>11</v>
      </c>
      <c r="B739">
        <f t="shared" si="39"/>
        <v>2021</v>
      </c>
      <c r="C739" s="7">
        <v>44510</v>
      </c>
      <c r="D739" s="8"/>
      <c r="E739" s="7">
        <v>44510</v>
      </c>
      <c r="F739" s="9">
        <v>141</v>
      </c>
      <c r="G739" s="7">
        <v>44510</v>
      </c>
      <c r="H739" s="9">
        <v>140.25</v>
      </c>
      <c r="I739" s="7">
        <v>44510</v>
      </c>
      <c r="J739" s="9">
        <v>108.5</v>
      </c>
      <c r="K739" s="5">
        <f t="shared" si="37"/>
        <v>32.5</v>
      </c>
      <c r="L739" s="6">
        <f t="shared" si="38"/>
        <v>0.75</v>
      </c>
    </row>
    <row r="740" spans="1:12" x14ac:dyDescent="0.25">
      <c r="A740">
        <f t="shared" si="36"/>
        <v>11</v>
      </c>
      <c r="B740">
        <f t="shared" si="39"/>
        <v>2021</v>
      </c>
      <c r="C740" s="7">
        <v>44511</v>
      </c>
      <c r="D740" s="8"/>
      <c r="E740" s="7">
        <v>44511</v>
      </c>
      <c r="F740" s="9">
        <v>140.5</v>
      </c>
      <c r="G740" s="7">
        <v>44511</v>
      </c>
      <c r="H740" s="9">
        <v>140.25</v>
      </c>
      <c r="I740" s="7">
        <v>44511</v>
      </c>
      <c r="J740" s="9">
        <v>109.5</v>
      </c>
      <c r="K740" s="5">
        <f t="shared" si="37"/>
        <v>31</v>
      </c>
      <c r="L740" s="6">
        <f t="shared" si="38"/>
        <v>0.25</v>
      </c>
    </row>
    <row r="741" spans="1:12" x14ac:dyDescent="0.25">
      <c r="A741">
        <f t="shared" si="36"/>
        <v>11</v>
      </c>
      <c r="B741">
        <f t="shared" si="39"/>
        <v>2021</v>
      </c>
      <c r="C741" s="7">
        <v>44512</v>
      </c>
      <c r="D741" s="8"/>
      <c r="E741" s="7">
        <v>44512</v>
      </c>
      <c r="F741" s="9">
        <v>139</v>
      </c>
      <c r="G741" s="7">
        <v>44512</v>
      </c>
      <c r="H741" s="9">
        <v>138.25</v>
      </c>
      <c r="I741" s="7">
        <v>44512</v>
      </c>
      <c r="J741" s="9">
        <v>107.75</v>
      </c>
      <c r="K741" s="5">
        <f t="shared" si="37"/>
        <v>31.25</v>
      </c>
      <c r="L741" s="6">
        <f t="shared" si="38"/>
        <v>0.75</v>
      </c>
    </row>
    <row r="742" spans="1:12" x14ac:dyDescent="0.25">
      <c r="A742">
        <f t="shared" si="36"/>
        <v>11</v>
      </c>
      <c r="B742">
        <f t="shared" si="39"/>
        <v>2021</v>
      </c>
      <c r="C742" s="7">
        <v>44515</v>
      </c>
      <c r="D742" s="8"/>
      <c r="E742" s="7">
        <v>44515</v>
      </c>
      <c r="F742" s="9">
        <v>142.5</v>
      </c>
      <c r="G742" s="7">
        <v>44515</v>
      </c>
      <c r="H742" s="9">
        <v>141.75</v>
      </c>
      <c r="I742" s="7">
        <v>44515</v>
      </c>
      <c r="J742" s="9">
        <v>108</v>
      </c>
      <c r="K742" s="5">
        <f t="shared" si="37"/>
        <v>34.5</v>
      </c>
      <c r="L742" s="6">
        <f t="shared" si="38"/>
        <v>0.75</v>
      </c>
    </row>
    <row r="743" spans="1:12" x14ac:dyDescent="0.25">
      <c r="A743">
        <f t="shared" si="36"/>
        <v>11</v>
      </c>
      <c r="B743">
        <f t="shared" si="39"/>
        <v>2021</v>
      </c>
      <c r="C743" s="7">
        <v>44516</v>
      </c>
      <c r="D743" s="8"/>
      <c r="E743" s="7">
        <v>44516</v>
      </c>
      <c r="F743" s="9">
        <v>142</v>
      </c>
      <c r="G743" s="7">
        <v>44516</v>
      </c>
      <c r="H743" s="9">
        <v>141.25</v>
      </c>
      <c r="I743" s="7">
        <v>44516</v>
      </c>
      <c r="J743" s="9">
        <v>110.5</v>
      </c>
      <c r="K743" s="5">
        <f t="shared" si="37"/>
        <v>31.5</v>
      </c>
      <c r="L743" s="6">
        <f t="shared" si="38"/>
        <v>0.75</v>
      </c>
    </row>
    <row r="744" spans="1:12" x14ac:dyDescent="0.25">
      <c r="A744">
        <f t="shared" si="36"/>
        <v>11</v>
      </c>
      <c r="B744">
        <f t="shared" si="39"/>
        <v>2021</v>
      </c>
      <c r="C744" s="7">
        <v>44517</v>
      </c>
      <c r="D744" s="8"/>
      <c r="E744" s="7">
        <v>44517</v>
      </c>
      <c r="F744" s="9">
        <v>142</v>
      </c>
      <c r="G744" s="7">
        <v>44517</v>
      </c>
      <c r="H744" s="9">
        <v>141.25</v>
      </c>
      <c r="I744" s="7">
        <v>44517</v>
      </c>
      <c r="J744" s="9">
        <v>109.5</v>
      </c>
      <c r="K744" s="5">
        <f t="shared" si="37"/>
        <v>32.5</v>
      </c>
      <c r="L744" s="6">
        <f t="shared" si="38"/>
        <v>0.75</v>
      </c>
    </row>
    <row r="745" spans="1:12" x14ac:dyDescent="0.25">
      <c r="A745">
        <f t="shared" si="36"/>
        <v>11</v>
      </c>
      <c r="B745">
        <f t="shared" si="39"/>
        <v>2021</v>
      </c>
      <c r="C745" s="7">
        <v>44518</v>
      </c>
      <c r="D745" s="8"/>
      <c r="E745" s="7">
        <v>44518</v>
      </c>
      <c r="F745" s="9">
        <v>141</v>
      </c>
      <c r="G745" s="7">
        <v>44518</v>
      </c>
      <c r="H745" s="9">
        <v>140.25</v>
      </c>
      <c r="I745" s="7">
        <v>44518</v>
      </c>
      <c r="J745" s="9">
        <v>106</v>
      </c>
      <c r="K745" s="5">
        <f t="shared" si="37"/>
        <v>35</v>
      </c>
      <c r="L745" s="6">
        <f t="shared" si="38"/>
        <v>0.75</v>
      </c>
    </row>
    <row r="746" spans="1:12" x14ac:dyDescent="0.25">
      <c r="A746">
        <f t="shared" si="36"/>
        <v>11</v>
      </c>
      <c r="B746">
        <f t="shared" si="39"/>
        <v>2021</v>
      </c>
      <c r="C746" s="7">
        <v>44519</v>
      </c>
      <c r="D746" s="8"/>
      <c r="E746" s="7">
        <v>44519</v>
      </c>
      <c r="F746" s="9">
        <v>140.5</v>
      </c>
      <c r="G746" s="7">
        <v>44519</v>
      </c>
      <c r="H746" s="9">
        <v>140.25</v>
      </c>
      <c r="I746" s="7">
        <v>44519</v>
      </c>
      <c r="J746" s="9">
        <v>106.5</v>
      </c>
      <c r="K746" s="5">
        <f t="shared" si="37"/>
        <v>34</v>
      </c>
      <c r="L746" s="6">
        <f t="shared" si="38"/>
        <v>0.25</v>
      </c>
    </row>
    <row r="747" spans="1:12" x14ac:dyDescent="0.25">
      <c r="A747">
        <f t="shared" si="36"/>
        <v>11</v>
      </c>
      <c r="B747">
        <f t="shared" si="39"/>
        <v>2021</v>
      </c>
      <c r="C747" s="7">
        <v>44522</v>
      </c>
      <c r="D747" s="8"/>
      <c r="E747" s="7">
        <v>44522</v>
      </c>
      <c r="F747" s="9">
        <v>143</v>
      </c>
      <c r="G747" s="7">
        <v>44522</v>
      </c>
      <c r="H747" s="9">
        <v>142.25</v>
      </c>
      <c r="I747" s="7">
        <v>44522</v>
      </c>
      <c r="J747" s="9">
        <v>108.25</v>
      </c>
      <c r="K747" s="5">
        <f t="shared" si="37"/>
        <v>34.75</v>
      </c>
      <c r="L747" s="6">
        <f t="shared" si="38"/>
        <v>0.75</v>
      </c>
    </row>
    <row r="748" spans="1:12" x14ac:dyDescent="0.25">
      <c r="A748">
        <f t="shared" si="36"/>
        <v>11</v>
      </c>
      <c r="B748">
        <f t="shared" si="39"/>
        <v>2021</v>
      </c>
      <c r="C748" s="7">
        <v>44523</v>
      </c>
      <c r="D748" s="8"/>
      <c r="E748" s="7">
        <v>44523</v>
      </c>
      <c r="F748" s="9">
        <v>143.75</v>
      </c>
      <c r="G748" s="7">
        <v>44523</v>
      </c>
      <c r="H748" s="9">
        <v>143</v>
      </c>
      <c r="I748" s="7">
        <v>44523</v>
      </c>
      <c r="J748" s="9">
        <v>110</v>
      </c>
      <c r="K748" s="5">
        <f t="shared" si="37"/>
        <v>33.75</v>
      </c>
      <c r="L748" s="6">
        <f t="shared" si="38"/>
        <v>0.75</v>
      </c>
    </row>
    <row r="749" spans="1:12" x14ac:dyDescent="0.25">
      <c r="A749">
        <f t="shared" si="36"/>
        <v>11</v>
      </c>
      <c r="B749">
        <f t="shared" si="39"/>
        <v>2021</v>
      </c>
      <c r="C749" s="7">
        <v>44524</v>
      </c>
      <c r="D749" s="8"/>
      <c r="E749" s="7">
        <v>44524</v>
      </c>
      <c r="F749" s="9">
        <v>142.75</v>
      </c>
      <c r="G749" s="7">
        <v>44524</v>
      </c>
      <c r="H749" s="9">
        <v>142</v>
      </c>
      <c r="I749" s="7">
        <v>44524</v>
      </c>
      <c r="J749" s="9">
        <v>109.5</v>
      </c>
      <c r="K749" s="5">
        <f t="shared" si="37"/>
        <v>33.25</v>
      </c>
      <c r="L749" s="6">
        <f t="shared" si="38"/>
        <v>0.75</v>
      </c>
    </row>
    <row r="750" spans="1:12" x14ac:dyDescent="0.25">
      <c r="A750">
        <f t="shared" si="36"/>
        <v>11</v>
      </c>
      <c r="B750">
        <f t="shared" si="39"/>
        <v>2021</v>
      </c>
      <c r="C750" s="7">
        <v>44529</v>
      </c>
      <c r="D750" s="8"/>
      <c r="E750" s="7">
        <v>44529</v>
      </c>
      <c r="F750" s="9">
        <v>143.5</v>
      </c>
      <c r="G750" s="7">
        <v>44529</v>
      </c>
      <c r="H750" s="9">
        <v>142.75</v>
      </c>
      <c r="I750" s="7">
        <v>44529</v>
      </c>
      <c r="J750" s="9">
        <v>108.25</v>
      </c>
      <c r="K750" s="5">
        <f t="shared" si="37"/>
        <v>35.25</v>
      </c>
      <c r="L750" s="6">
        <f t="shared" si="38"/>
        <v>0.75</v>
      </c>
    </row>
    <row r="751" spans="1:12" x14ac:dyDescent="0.25">
      <c r="A751">
        <f t="shared" si="36"/>
        <v>11</v>
      </c>
      <c r="B751">
        <f t="shared" si="39"/>
        <v>2021</v>
      </c>
      <c r="C751" s="7">
        <v>44530</v>
      </c>
      <c r="D751" s="8"/>
      <c r="E751" s="7">
        <v>44530</v>
      </c>
      <c r="F751" s="9">
        <v>142.5</v>
      </c>
      <c r="G751" s="7">
        <v>44530</v>
      </c>
      <c r="H751" s="9">
        <v>141.75</v>
      </c>
      <c r="I751" s="7">
        <v>44530</v>
      </c>
      <c r="J751" s="9">
        <v>107.5</v>
      </c>
      <c r="K751" s="5">
        <f t="shared" si="37"/>
        <v>35</v>
      </c>
      <c r="L751" s="6">
        <f t="shared" si="38"/>
        <v>0.75</v>
      </c>
    </row>
    <row r="752" spans="1:12" x14ac:dyDescent="0.25">
      <c r="A752">
        <f t="shared" si="36"/>
        <v>12</v>
      </c>
      <c r="B752">
        <f t="shared" si="39"/>
        <v>2021</v>
      </c>
      <c r="C752" s="7">
        <v>44531</v>
      </c>
      <c r="D752" s="8"/>
      <c r="E752" s="7">
        <v>44531</v>
      </c>
      <c r="F752" s="9">
        <v>143.5</v>
      </c>
      <c r="G752" s="7">
        <v>44531</v>
      </c>
      <c r="H752" s="9">
        <v>142.75</v>
      </c>
      <c r="I752" s="7">
        <v>44531</v>
      </c>
      <c r="J752" s="9">
        <v>107.5</v>
      </c>
      <c r="K752" s="5">
        <f t="shared" si="37"/>
        <v>36</v>
      </c>
      <c r="L752" s="6">
        <f t="shared" si="38"/>
        <v>0.75</v>
      </c>
    </row>
    <row r="753" spans="1:12" x14ac:dyDescent="0.25">
      <c r="A753">
        <f t="shared" si="36"/>
        <v>12</v>
      </c>
      <c r="B753">
        <f t="shared" si="39"/>
        <v>2021</v>
      </c>
      <c r="C753" s="7">
        <v>44532</v>
      </c>
      <c r="D753" s="8"/>
      <c r="E753" s="7">
        <v>44532</v>
      </c>
      <c r="F753" s="9">
        <v>139.5</v>
      </c>
      <c r="G753" s="7">
        <v>44532</v>
      </c>
      <c r="H753" s="9">
        <v>142.75</v>
      </c>
      <c r="I753" s="7">
        <v>44532</v>
      </c>
      <c r="J753" s="9">
        <v>97</v>
      </c>
      <c r="K753" s="5">
        <f t="shared" si="37"/>
        <v>42.5</v>
      </c>
      <c r="L753" s="6">
        <f t="shared" si="38"/>
        <v>-3.25</v>
      </c>
    </row>
    <row r="754" spans="1:12" x14ac:dyDescent="0.25">
      <c r="A754">
        <f t="shared" si="36"/>
        <v>12</v>
      </c>
      <c r="B754">
        <f t="shared" si="39"/>
        <v>2021</v>
      </c>
      <c r="C754" s="7">
        <v>44533</v>
      </c>
      <c r="D754" s="8"/>
      <c r="E754" s="7">
        <v>44533</v>
      </c>
      <c r="F754" s="9">
        <v>139</v>
      </c>
      <c r="G754" s="7">
        <v>44533</v>
      </c>
      <c r="H754" s="9">
        <v>142.75</v>
      </c>
      <c r="I754" s="7">
        <v>44533</v>
      </c>
      <c r="J754" s="9">
        <v>90.5</v>
      </c>
      <c r="K754" s="5">
        <f t="shared" si="37"/>
        <v>48.5</v>
      </c>
      <c r="L754" s="6">
        <f t="shared" si="38"/>
        <v>-3.75</v>
      </c>
    </row>
    <row r="755" spans="1:12" x14ac:dyDescent="0.25">
      <c r="A755">
        <f t="shared" si="36"/>
        <v>12</v>
      </c>
      <c r="B755">
        <f t="shared" si="39"/>
        <v>2021</v>
      </c>
      <c r="C755" s="7">
        <v>44536</v>
      </c>
      <c r="D755" s="8"/>
      <c r="E755" s="7">
        <v>44536</v>
      </c>
      <c r="F755" s="9">
        <v>139</v>
      </c>
      <c r="G755" s="7">
        <v>44536</v>
      </c>
      <c r="H755" s="9">
        <v>138</v>
      </c>
      <c r="I755" s="7">
        <v>44536</v>
      </c>
      <c r="J755" s="9">
        <v>88.5</v>
      </c>
      <c r="K755" s="5">
        <f t="shared" si="37"/>
        <v>50.5</v>
      </c>
      <c r="L755" s="6">
        <f t="shared" si="38"/>
        <v>1</v>
      </c>
    </row>
    <row r="756" spans="1:12" x14ac:dyDescent="0.25">
      <c r="A756">
        <f t="shared" si="36"/>
        <v>12</v>
      </c>
      <c r="B756">
        <f t="shared" si="39"/>
        <v>2021</v>
      </c>
      <c r="C756" s="7">
        <v>44537</v>
      </c>
      <c r="D756" s="8"/>
      <c r="E756" s="7">
        <v>44537</v>
      </c>
      <c r="F756" s="9">
        <v>143</v>
      </c>
      <c r="G756" s="7">
        <v>44537</v>
      </c>
      <c r="H756" s="9">
        <v>142</v>
      </c>
      <c r="I756" s="7">
        <v>44537</v>
      </c>
      <c r="J756" s="9">
        <v>93</v>
      </c>
      <c r="K756" s="5">
        <f t="shared" si="37"/>
        <v>50</v>
      </c>
      <c r="L756" s="6">
        <f t="shared" si="38"/>
        <v>1</v>
      </c>
    </row>
    <row r="757" spans="1:12" x14ac:dyDescent="0.25">
      <c r="A757">
        <f t="shared" si="36"/>
        <v>12</v>
      </c>
      <c r="B757">
        <f t="shared" si="39"/>
        <v>2021</v>
      </c>
      <c r="C757" s="7">
        <v>44538</v>
      </c>
      <c r="D757" s="8"/>
      <c r="E757" s="7">
        <v>44538</v>
      </c>
      <c r="F757" s="9">
        <v>143.75</v>
      </c>
      <c r="G757" s="7">
        <v>44538</v>
      </c>
      <c r="H757" s="9">
        <v>142.75</v>
      </c>
      <c r="I757" s="7">
        <v>44538</v>
      </c>
      <c r="J757" s="9">
        <v>102.5</v>
      </c>
      <c r="K757" s="5">
        <f t="shared" si="37"/>
        <v>41.25</v>
      </c>
      <c r="L757" s="6">
        <f t="shared" si="38"/>
        <v>1</v>
      </c>
    </row>
    <row r="758" spans="1:12" x14ac:dyDescent="0.25">
      <c r="A758">
        <f t="shared" si="36"/>
        <v>12</v>
      </c>
      <c r="B758">
        <f t="shared" si="39"/>
        <v>2021</v>
      </c>
      <c r="C758" s="7">
        <v>44539</v>
      </c>
      <c r="D758" s="8"/>
      <c r="E758" s="7">
        <v>44539</v>
      </c>
      <c r="F758" s="9">
        <v>149</v>
      </c>
      <c r="G758" s="7">
        <v>44539</v>
      </c>
      <c r="H758" s="9">
        <v>148</v>
      </c>
      <c r="I758" s="7">
        <v>44539</v>
      </c>
      <c r="J758" s="9">
        <v>106.5</v>
      </c>
      <c r="K758" s="5">
        <f t="shared" si="37"/>
        <v>42.5</v>
      </c>
      <c r="L758" s="6">
        <f t="shared" si="38"/>
        <v>1</v>
      </c>
    </row>
    <row r="759" spans="1:12" x14ac:dyDescent="0.25">
      <c r="A759">
        <f t="shared" si="36"/>
        <v>12</v>
      </c>
      <c r="B759">
        <f t="shared" si="39"/>
        <v>2021</v>
      </c>
      <c r="C759" s="7">
        <v>44540</v>
      </c>
      <c r="D759" s="8"/>
      <c r="E759" s="7">
        <v>44540</v>
      </c>
      <c r="F759" s="9">
        <v>146</v>
      </c>
      <c r="G759" s="7">
        <v>44540</v>
      </c>
      <c r="H759" s="9">
        <v>145</v>
      </c>
      <c r="I759" s="7">
        <v>44540</v>
      </c>
      <c r="J759" s="9">
        <v>99.25</v>
      </c>
      <c r="K759" s="5">
        <f t="shared" si="37"/>
        <v>46.75</v>
      </c>
      <c r="L759" s="6">
        <f t="shared" si="38"/>
        <v>1</v>
      </c>
    </row>
    <row r="760" spans="1:12" x14ac:dyDescent="0.25">
      <c r="A760">
        <f t="shared" si="36"/>
        <v>12</v>
      </c>
      <c r="B760">
        <f t="shared" si="39"/>
        <v>2021</v>
      </c>
      <c r="C760" s="7">
        <v>44543</v>
      </c>
      <c r="D760" s="8"/>
      <c r="E760" s="7">
        <v>44543</v>
      </c>
      <c r="F760" s="9">
        <v>146</v>
      </c>
      <c r="G760" s="7">
        <v>44543</v>
      </c>
      <c r="H760" s="9">
        <v>145</v>
      </c>
      <c r="I760" s="7">
        <v>44543</v>
      </c>
      <c r="J760" s="9">
        <v>91</v>
      </c>
      <c r="K760" s="5">
        <f t="shared" si="37"/>
        <v>55</v>
      </c>
      <c r="L760" s="6">
        <f t="shared" si="38"/>
        <v>1</v>
      </c>
    </row>
    <row r="761" spans="1:12" x14ac:dyDescent="0.25">
      <c r="A761">
        <f t="shared" si="36"/>
        <v>12</v>
      </c>
      <c r="B761">
        <f t="shared" si="39"/>
        <v>2021</v>
      </c>
      <c r="C761" s="7">
        <v>44544</v>
      </c>
      <c r="D761" s="8"/>
      <c r="E761" s="7">
        <v>44544</v>
      </c>
      <c r="F761" s="9">
        <v>146.5</v>
      </c>
      <c r="G761" s="7">
        <v>44544</v>
      </c>
      <c r="H761" s="9">
        <v>145.5</v>
      </c>
      <c r="I761" s="7">
        <v>44544</v>
      </c>
      <c r="J761" s="9">
        <v>88</v>
      </c>
      <c r="K761" s="5">
        <f t="shared" si="37"/>
        <v>58.5</v>
      </c>
      <c r="L761" s="6">
        <f t="shared" si="38"/>
        <v>1</v>
      </c>
    </row>
    <row r="762" spans="1:12" x14ac:dyDescent="0.25">
      <c r="A762">
        <f t="shared" si="36"/>
        <v>12</v>
      </c>
      <c r="B762">
        <f t="shared" si="39"/>
        <v>2021</v>
      </c>
      <c r="C762" s="7">
        <v>44545</v>
      </c>
      <c r="D762" s="8"/>
      <c r="E762" s="7">
        <v>44545</v>
      </c>
      <c r="F762" s="9">
        <v>150.5</v>
      </c>
      <c r="G762" s="7">
        <v>44545</v>
      </c>
      <c r="H762" s="9">
        <v>149.5</v>
      </c>
      <c r="I762" s="7">
        <v>44545</v>
      </c>
      <c r="J762" s="9">
        <v>93.5</v>
      </c>
      <c r="K762" s="5">
        <f t="shared" si="37"/>
        <v>57</v>
      </c>
      <c r="L762" s="6">
        <f t="shared" si="38"/>
        <v>1</v>
      </c>
    </row>
    <row r="763" spans="1:12" x14ac:dyDescent="0.25">
      <c r="A763">
        <f t="shared" si="36"/>
        <v>12</v>
      </c>
      <c r="B763">
        <f t="shared" si="39"/>
        <v>2021</v>
      </c>
      <c r="C763" s="7">
        <v>44546</v>
      </c>
      <c r="D763" s="8"/>
      <c r="E763" s="7">
        <v>44546</v>
      </c>
      <c r="F763" s="9">
        <v>160</v>
      </c>
      <c r="G763" s="7">
        <v>44546</v>
      </c>
      <c r="H763" s="9">
        <v>149.5</v>
      </c>
      <c r="I763" s="7">
        <v>44546</v>
      </c>
      <c r="J763" s="9">
        <v>97.5</v>
      </c>
      <c r="K763" s="5">
        <f t="shared" si="37"/>
        <v>62.5</v>
      </c>
      <c r="L763" s="6">
        <f t="shared" si="38"/>
        <v>10.5</v>
      </c>
    </row>
    <row r="764" spans="1:12" x14ac:dyDescent="0.25">
      <c r="A764">
        <f t="shared" si="36"/>
        <v>12</v>
      </c>
      <c r="B764">
        <f t="shared" si="39"/>
        <v>2021</v>
      </c>
      <c r="C764" s="7">
        <v>44547</v>
      </c>
      <c r="D764" s="8"/>
      <c r="E764" s="7">
        <v>44547</v>
      </c>
      <c r="F764" s="9">
        <v>163</v>
      </c>
      <c r="G764" s="7">
        <v>44547</v>
      </c>
      <c r="H764" s="9">
        <v>149.5</v>
      </c>
      <c r="I764" s="7">
        <v>44547</v>
      </c>
      <c r="J764" s="9">
        <v>98</v>
      </c>
      <c r="K764" s="5">
        <f t="shared" si="37"/>
        <v>65</v>
      </c>
      <c r="L764" s="6">
        <f t="shared" si="38"/>
        <v>13.5</v>
      </c>
    </row>
    <row r="765" spans="1:12" x14ac:dyDescent="0.25">
      <c r="A765">
        <f t="shared" si="36"/>
        <v>12</v>
      </c>
      <c r="B765">
        <f t="shared" si="39"/>
        <v>2021</v>
      </c>
      <c r="C765" s="7">
        <v>44550</v>
      </c>
      <c r="D765" s="8"/>
      <c r="E765" s="7">
        <v>44550</v>
      </c>
      <c r="F765" s="9">
        <v>163.5</v>
      </c>
      <c r="G765" s="7">
        <v>44550</v>
      </c>
      <c r="H765" s="9">
        <v>149.5</v>
      </c>
      <c r="I765" s="7">
        <v>44550</v>
      </c>
      <c r="J765" s="9">
        <v>98.25</v>
      </c>
      <c r="K765" s="5">
        <f t="shared" si="37"/>
        <v>65.25</v>
      </c>
      <c r="L765" s="6">
        <f t="shared" si="38"/>
        <v>14</v>
      </c>
    </row>
    <row r="766" spans="1:12" x14ac:dyDescent="0.25">
      <c r="A766">
        <f t="shared" si="36"/>
        <v>12</v>
      </c>
      <c r="B766">
        <f t="shared" si="39"/>
        <v>2021</v>
      </c>
      <c r="C766" s="7">
        <v>44551</v>
      </c>
      <c r="D766" s="8"/>
      <c r="E766" s="7">
        <v>44551</v>
      </c>
      <c r="F766" s="9">
        <v>165.5</v>
      </c>
      <c r="G766" s="7">
        <v>44551</v>
      </c>
      <c r="H766" s="9">
        <v>149.5</v>
      </c>
      <c r="I766" s="7">
        <v>44551</v>
      </c>
      <c r="J766" s="9">
        <v>103</v>
      </c>
      <c r="K766" s="5">
        <f t="shared" si="37"/>
        <v>62.5</v>
      </c>
      <c r="L766" s="6">
        <f t="shared" si="38"/>
        <v>16</v>
      </c>
    </row>
    <row r="767" spans="1:12" x14ac:dyDescent="0.25">
      <c r="A767">
        <f t="shared" si="36"/>
        <v>12</v>
      </c>
      <c r="B767">
        <f t="shared" si="39"/>
        <v>2021</v>
      </c>
      <c r="C767" s="7">
        <v>44552</v>
      </c>
      <c r="D767" s="8"/>
      <c r="E767" s="7">
        <v>44552</v>
      </c>
      <c r="F767" s="9">
        <v>166</v>
      </c>
      <c r="G767" s="7">
        <v>44552</v>
      </c>
      <c r="H767" s="9">
        <v>149.5</v>
      </c>
      <c r="I767" s="7">
        <v>44552</v>
      </c>
      <c r="J767" s="9">
        <v>109</v>
      </c>
      <c r="K767" s="5">
        <f t="shared" si="37"/>
        <v>57</v>
      </c>
      <c r="L767" s="6">
        <f t="shared" si="38"/>
        <v>16.5</v>
      </c>
    </row>
    <row r="768" spans="1:12" x14ac:dyDescent="0.25">
      <c r="A768">
        <f t="shared" si="36"/>
        <v>12</v>
      </c>
      <c r="B768">
        <f t="shared" si="39"/>
        <v>2021</v>
      </c>
      <c r="C768" s="7">
        <v>44553</v>
      </c>
      <c r="D768" s="8"/>
      <c r="E768" s="7">
        <v>44553</v>
      </c>
      <c r="F768" s="9">
        <v>166</v>
      </c>
      <c r="G768" s="7">
        <v>44553</v>
      </c>
      <c r="H768" s="9">
        <v>165</v>
      </c>
      <c r="I768" s="7">
        <v>44553</v>
      </c>
      <c r="J768" s="9">
        <v>111</v>
      </c>
      <c r="K768" s="5">
        <f t="shared" si="37"/>
        <v>55</v>
      </c>
      <c r="L768" s="6">
        <f t="shared" si="38"/>
        <v>1</v>
      </c>
    </row>
    <row r="769" spans="1:12" x14ac:dyDescent="0.25">
      <c r="A769">
        <f t="shared" si="36"/>
        <v>12</v>
      </c>
      <c r="B769">
        <f t="shared" si="39"/>
        <v>2021</v>
      </c>
      <c r="C769" s="7">
        <v>44557</v>
      </c>
      <c r="D769" s="8"/>
      <c r="E769" s="7">
        <v>44557</v>
      </c>
      <c r="F769" s="9">
        <v>152</v>
      </c>
      <c r="G769" s="7">
        <v>44557</v>
      </c>
      <c r="H769" s="9">
        <v>151</v>
      </c>
      <c r="I769" s="7">
        <v>44557</v>
      </c>
      <c r="J769" s="9">
        <v>110.75</v>
      </c>
      <c r="K769" s="5">
        <f t="shared" si="37"/>
        <v>41.25</v>
      </c>
      <c r="L769" s="6">
        <f t="shared" si="38"/>
        <v>1</v>
      </c>
    </row>
    <row r="770" spans="1:12" x14ac:dyDescent="0.25">
      <c r="A770">
        <f t="shared" si="36"/>
        <v>12</v>
      </c>
      <c r="B770">
        <f t="shared" si="39"/>
        <v>2021</v>
      </c>
      <c r="C770" s="7">
        <v>44558</v>
      </c>
      <c r="D770" s="8"/>
      <c r="E770" s="7">
        <v>44558</v>
      </c>
      <c r="F770" s="9">
        <v>152</v>
      </c>
      <c r="G770" s="7">
        <v>44558</v>
      </c>
      <c r="H770" s="9">
        <v>151</v>
      </c>
      <c r="I770" s="7">
        <v>44558</v>
      </c>
      <c r="J770" s="9">
        <v>110.75</v>
      </c>
      <c r="K770" s="5">
        <f t="shared" si="37"/>
        <v>41.25</v>
      </c>
      <c r="L770" s="6">
        <f t="shared" si="38"/>
        <v>1</v>
      </c>
    </row>
    <row r="771" spans="1:12" x14ac:dyDescent="0.25">
      <c r="A771">
        <f t="shared" si="36"/>
        <v>12</v>
      </c>
      <c r="B771">
        <f t="shared" si="39"/>
        <v>2021</v>
      </c>
      <c r="C771" s="7">
        <v>44559</v>
      </c>
      <c r="D771" s="8"/>
      <c r="E771" s="7">
        <v>44559</v>
      </c>
      <c r="F771" s="9">
        <v>148</v>
      </c>
      <c r="G771" s="7">
        <v>44559</v>
      </c>
      <c r="H771" s="9">
        <v>147</v>
      </c>
      <c r="I771" s="7">
        <v>44559</v>
      </c>
      <c r="J771" s="9">
        <v>109</v>
      </c>
      <c r="K771" s="5">
        <f t="shared" si="37"/>
        <v>39</v>
      </c>
      <c r="L771" s="6">
        <f t="shared" si="38"/>
        <v>1</v>
      </c>
    </row>
    <row r="772" spans="1:12" x14ac:dyDescent="0.25">
      <c r="A772">
        <f t="shared" si="36"/>
        <v>12</v>
      </c>
      <c r="B772">
        <f t="shared" si="39"/>
        <v>2021</v>
      </c>
      <c r="C772" s="7">
        <v>44560</v>
      </c>
      <c r="D772" s="8"/>
      <c r="E772" s="7">
        <v>44560</v>
      </c>
      <c r="F772" s="9">
        <v>150.5</v>
      </c>
      <c r="G772" s="7">
        <v>44560</v>
      </c>
      <c r="H772" s="9">
        <v>149.5</v>
      </c>
      <c r="I772" s="7">
        <v>44560</v>
      </c>
      <c r="J772" s="9">
        <v>112.5</v>
      </c>
      <c r="K772" s="5">
        <f t="shared" si="37"/>
        <v>38</v>
      </c>
      <c r="L772" s="6">
        <f t="shared" si="38"/>
        <v>1</v>
      </c>
    </row>
    <row r="773" spans="1:12" x14ac:dyDescent="0.25">
      <c r="A773">
        <f t="shared" si="36"/>
        <v>1</v>
      </c>
      <c r="B773">
        <f t="shared" si="39"/>
        <v>2022</v>
      </c>
      <c r="C773" s="7">
        <v>44564</v>
      </c>
      <c r="D773" s="8"/>
      <c r="E773" s="7">
        <v>44564</v>
      </c>
      <c r="F773" s="9">
        <v>128</v>
      </c>
      <c r="G773" s="7">
        <v>44564</v>
      </c>
      <c r="H773" s="9">
        <v>127</v>
      </c>
      <c r="I773" s="7">
        <v>44564</v>
      </c>
      <c r="J773" s="9"/>
      <c r="K773" s="5">
        <f t="shared" si="37"/>
        <v>128</v>
      </c>
      <c r="L773" s="6">
        <f t="shared" si="38"/>
        <v>1</v>
      </c>
    </row>
    <row r="774" spans="1:12" x14ac:dyDescent="0.25">
      <c r="A774">
        <f t="shared" si="36"/>
        <v>1</v>
      </c>
      <c r="B774">
        <f t="shared" si="39"/>
        <v>2022</v>
      </c>
      <c r="C774" s="7">
        <v>44565</v>
      </c>
      <c r="D774" s="8"/>
      <c r="E774" s="7">
        <v>44565</v>
      </c>
      <c r="F774" s="9">
        <v>132.5</v>
      </c>
      <c r="G774" s="7">
        <v>44565</v>
      </c>
      <c r="H774" s="9">
        <v>131.5</v>
      </c>
      <c r="I774" s="7">
        <v>44565</v>
      </c>
      <c r="J774" s="9">
        <v>114.5</v>
      </c>
      <c r="K774" s="5">
        <f t="shared" si="37"/>
        <v>18</v>
      </c>
      <c r="L774" s="6">
        <f t="shared" si="38"/>
        <v>1</v>
      </c>
    </row>
    <row r="775" spans="1:12" x14ac:dyDescent="0.25">
      <c r="A775">
        <f t="shared" si="36"/>
        <v>1</v>
      </c>
      <c r="B775">
        <f t="shared" si="39"/>
        <v>2022</v>
      </c>
      <c r="C775" s="7">
        <v>44566</v>
      </c>
      <c r="D775" s="8"/>
      <c r="E775" s="7">
        <v>44566</v>
      </c>
      <c r="F775" s="9">
        <v>136.5</v>
      </c>
      <c r="G775" s="7">
        <v>44566</v>
      </c>
      <c r="H775" s="9">
        <v>135.5</v>
      </c>
      <c r="I775" s="7">
        <v>44566</v>
      </c>
      <c r="J775" s="9">
        <v>120.5</v>
      </c>
      <c r="K775" s="5">
        <f t="shared" si="37"/>
        <v>16</v>
      </c>
      <c r="L775" s="6">
        <f t="shared" si="38"/>
        <v>1</v>
      </c>
    </row>
    <row r="776" spans="1:12" x14ac:dyDescent="0.25">
      <c r="A776">
        <f t="shared" si="36"/>
        <v>1</v>
      </c>
      <c r="B776">
        <f t="shared" si="39"/>
        <v>2022</v>
      </c>
      <c r="C776" s="7">
        <v>44567</v>
      </c>
      <c r="D776" s="8"/>
      <c r="E776" s="7">
        <v>44567</v>
      </c>
      <c r="F776" s="9">
        <v>138.75</v>
      </c>
      <c r="G776" s="7">
        <v>44567</v>
      </c>
      <c r="H776" s="9">
        <v>137.75</v>
      </c>
      <c r="I776" s="7">
        <v>44567</v>
      </c>
      <c r="J776" s="9">
        <v>125.5</v>
      </c>
      <c r="K776" s="5">
        <f t="shared" si="37"/>
        <v>13.25</v>
      </c>
      <c r="L776" s="6">
        <f t="shared" si="38"/>
        <v>1</v>
      </c>
    </row>
    <row r="777" spans="1:12" x14ac:dyDescent="0.25">
      <c r="A777">
        <f t="shared" si="36"/>
        <v>1</v>
      </c>
      <c r="B777">
        <f t="shared" si="39"/>
        <v>2022</v>
      </c>
      <c r="C777" s="7">
        <v>44568</v>
      </c>
      <c r="D777" s="8"/>
      <c r="E777" s="7">
        <v>44568</v>
      </c>
      <c r="F777" s="9">
        <v>138.5</v>
      </c>
      <c r="G777" s="7">
        <v>44568</v>
      </c>
      <c r="H777" s="9">
        <v>137.75</v>
      </c>
      <c r="I777" s="7">
        <v>44568</v>
      </c>
      <c r="J777" s="9">
        <v>125.5</v>
      </c>
      <c r="K777" s="5">
        <f t="shared" si="37"/>
        <v>13</v>
      </c>
      <c r="L777" s="6">
        <f t="shared" si="38"/>
        <v>0.75</v>
      </c>
    </row>
    <row r="778" spans="1:12" x14ac:dyDescent="0.25">
      <c r="A778">
        <f t="shared" si="36"/>
        <v>1</v>
      </c>
      <c r="B778">
        <f t="shared" si="39"/>
        <v>2022</v>
      </c>
      <c r="C778" s="7">
        <v>44571</v>
      </c>
      <c r="D778" s="8"/>
      <c r="E778" s="7">
        <v>44571</v>
      </c>
      <c r="F778" s="9">
        <v>140.5</v>
      </c>
      <c r="G778" s="7">
        <v>44571</v>
      </c>
      <c r="H778" s="9">
        <v>139.5</v>
      </c>
      <c r="I778" s="7">
        <v>44571</v>
      </c>
      <c r="J778" s="9">
        <v>128.75</v>
      </c>
      <c r="K778" s="5">
        <f t="shared" si="37"/>
        <v>11.75</v>
      </c>
      <c r="L778" s="6">
        <f t="shared" si="38"/>
        <v>1</v>
      </c>
    </row>
    <row r="779" spans="1:12" x14ac:dyDescent="0.25">
      <c r="A779">
        <f t="shared" si="36"/>
        <v>1</v>
      </c>
      <c r="B779">
        <f t="shared" si="39"/>
        <v>2022</v>
      </c>
      <c r="C779" s="7">
        <v>44572</v>
      </c>
      <c r="D779" s="8"/>
      <c r="E779" s="7">
        <v>44572</v>
      </c>
      <c r="F779" s="9">
        <v>138.75</v>
      </c>
      <c r="G779" s="7">
        <v>44572</v>
      </c>
      <c r="H779" s="9">
        <v>137.75</v>
      </c>
      <c r="I779" s="7">
        <v>44572</v>
      </c>
      <c r="J779" s="9">
        <v>126.75</v>
      </c>
      <c r="K779" s="5">
        <f t="shared" si="37"/>
        <v>12</v>
      </c>
      <c r="L779" s="6">
        <f t="shared" si="38"/>
        <v>1</v>
      </c>
    </row>
    <row r="780" spans="1:12" x14ac:dyDescent="0.25">
      <c r="A780">
        <f t="shared" si="36"/>
        <v>1</v>
      </c>
      <c r="B780">
        <f t="shared" si="39"/>
        <v>2022</v>
      </c>
      <c r="C780" s="7">
        <v>44573</v>
      </c>
      <c r="D780" s="8"/>
      <c r="E780" s="7">
        <v>44573</v>
      </c>
      <c r="F780" s="9">
        <v>135.75</v>
      </c>
      <c r="G780" s="7">
        <v>44573</v>
      </c>
      <c r="H780" s="9">
        <v>134.75</v>
      </c>
      <c r="I780" s="7">
        <v>44573</v>
      </c>
      <c r="J780" s="9">
        <v>120</v>
      </c>
      <c r="K780" s="5">
        <f t="shared" si="37"/>
        <v>15.75</v>
      </c>
      <c r="L780" s="6">
        <f t="shared" si="38"/>
        <v>1</v>
      </c>
    </row>
    <row r="781" spans="1:12" x14ac:dyDescent="0.25">
      <c r="A781">
        <f t="shared" si="36"/>
        <v>1</v>
      </c>
      <c r="B781">
        <f t="shared" si="39"/>
        <v>2022</v>
      </c>
      <c r="C781" s="7">
        <v>44574</v>
      </c>
      <c r="D781" s="8"/>
      <c r="E781" s="7">
        <v>44574</v>
      </c>
      <c r="F781" s="9">
        <v>136.5</v>
      </c>
      <c r="G781" s="7">
        <v>44574</v>
      </c>
      <c r="H781" s="9">
        <v>135.5</v>
      </c>
      <c r="I781" s="7">
        <v>44574</v>
      </c>
      <c r="J781" s="9">
        <v>118.5</v>
      </c>
      <c r="K781" s="5">
        <f t="shared" si="37"/>
        <v>18</v>
      </c>
      <c r="L781" s="6">
        <f t="shared" si="38"/>
        <v>1</v>
      </c>
    </row>
    <row r="782" spans="1:12" x14ac:dyDescent="0.25">
      <c r="A782">
        <f t="shared" ref="A782:A845" si="40">MONTH(E782)</f>
        <v>1</v>
      </c>
      <c r="B782">
        <f t="shared" si="39"/>
        <v>2022</v>
      </c>
      <c r="C782" s="7">
        <v>44575</v>
      </c>
      <c r="D782" s="8"/>
      <c r="E782" s="7">
        <v>44575</v>
      </c>
      <c r="F782" s="9">
        <v>129.5</v>
      </c>
      <c r="G782" s="7">
        <v>44575</v>
      </c>
      <c r="H782" s="9">
        <v>128.5</v>
      </c>
      <c r="I782" s="7">
        <v>44575</v>
      </c>
      <c r="J782" s="9">
        <v>110.75</v>
      </c>
      <c r="K782" s="5">
        <f t="shared" ref="K782:K845" si="41">F782-J782</f>
        <v>18.75</v>
      </c>
      <c r="L782" s="6">
        <f t="shared" ref="L782:L845" si="42">F782-H782</f>
        <v>1</v>
      </c>
    </row>
    <row r="783" spans="1:12" x14ac:dyDescent="0.25">
      <c r="A783">
        <f t="shared" si="40"/>
        <v>1</v>
      </c>
      <c r="B783">
        <f t="shared" ref="B783:B846" si="43">YEAR(E783)</f>
        <v>2022</v>
      </c>
      <c r="C783" s="7">
        <v>44579</v>
      </c>
      <c r="D783" s="8"/>
      <c r="E783" s="7">
        <v>44579</v>
      </c>
      <c r="F783" s="9">
        <v>127.25</v>
      </c>
      <c r="G783" s="7">
        <v>44579</v>
      </c>
      <c r="H783" s="9">
        <v>126.25</v>
      </c>
      <c r="I783" s="7">
        <v>44579</v>
      </c>
      <c r="J783" s="9">
        <v>107.75</v>
      </c>
      <c r="K783" s="5">
        <f t="shared" si="41"/>
        <v>19.5</v>
      </c>
      <c r="L783" s="6">
        <f t="shared" si="42"/>
        <v>1</v>
      </c>
    </row>
    <row r="784" spans="1:12" x14ac:dyDescent="0.25">
      <c r="A784">
        <f t="shared" si="40"/>
        <v>1</v>
      </c>
      <c r="B784">
        <f t="shared" si="43"/>
        <v>2022</v>
      </c>
      <c r="C784" s="7">
        <v>44580</v>
      </c>
      <c r="D784" s="8"/>
      <c r="E784" s="7">
        <v>44580</v>
      </c>
      <c r="F784" s="9">
        <v>126</v>
      </c>
      <c r="G784" s="7">
        <v>44580</v>
      </c>
      <c r="H784" s="9">
        <v>125</v>
      </c>
      <c r="I784" s="7">
        <v>44580</v>
      </c>
      <c r="J784" s="9">
        <v>101.25</v>
      </c>
      <c r="K784" s="5">
        <f t="shared" si="41"/>
        <v>24.75</v>
      </c>
      <c r="L784" s="6">
        <f t="shared" si="42"/>
        <v>1</v>
      </c>
    </row>
    <row r="785" spans="1:12" x14ac:dyDescent="0.25">
      <c r="A785">
        <f t="shared" si="40"/>
        <v>1</v>
      </c>
      <c r="B785">
        <f t="shared" si="43"/>
        <v>2022</v>
      </c>
      <c r="C785" s="7">
        <v>44581</v>
      </c>
      <c r="D785" s="8"/>
      <c r="E785" s="7">
        <v>44581</v>
      </c>
      <c r="F785" s="9">
        <v>128.5</v>
      </c>
      <c r="G785" s="7">
        <v>44581</v>
      </c>
      <c r="H785" s="9">
        <v>127.5</v>
      </c>
      <c r="I785" s="7">
        <v>44581</v>
      </c>
      <c r="J785" s="9">
        <v>97</v>
      </c>
      <c r="K785" s="5">
        <f t="shared" si="41"/>
        <v>31.5</v>
      </c>
      <c r="L785" s="6">
        <f t="shared" si="42"/>
        <v>1</v>
      </c>
    </row>
    <row r="786" spans="1:12" x14ac:dyDescent="0.25">
      <c r="A786">
        <f t="shared" si="40"/>
        <v>1</v>
      </c>
      <c r="B786">
        <f t="shared" si="43"/>
        <v>2022</v>
      </c>
      <c r="C786" s="7">
        <v>44582</v>
      </c>
      <c r="D786" s="8"/>
      <c r="E786" s="7">
        <v>44582</v>
      </c>
      <c r="F786" s="9">
        <v>134.5</v>
      </c>
      <c r="G786" s="7">
        <v>44582</v>
      </c>
      <c r="H786" s="9">
        <v>133.5</v>
      </c>
      <c r="I786" s="7">
        <v>44582</v>
      </c>
      <c r="J786" s="9">
        <v>97.25</v>
      </c>
      <c r="K786" s="5">
        <f t="shared" si="41"/>
        <v>37.25</v>
      </c>
      <c r="L786" s="6">
        <f t="shared" si="42"/>
        <v>1</v>
      </c>
    </row>
    <row r="787" spans="1:12" x14ac:dyDescent="0.25">
      <c r="A787">
        <f t="shared" si="40"/>
        <v>1</v>
      </c>
      <c r="B787">
        <f t="shared" si="43"/>
        <v>2022</v>
      </c>
      <c r="C787" s="7">
        <v>44585</v>
      </c>
      <c r="D787" s="8"/>
      <c r="E787" s="7">
        <v>44585</v>
      </c>
      <c r="F787" s="9">
        <v>135.5</v>
      </c>
      <c r="G787" s="7">
        <v>44585</v>
      </c>
      <c r="H787" s="9">
        <v>134.5</v>
      </c>
      <c r="I787" s="7">
        <v>44585</v>
      </c>
      <c r="J787" s="9">
        <v>96.25</v>
      </c>
      <c r="K787" s="5">
        <f t="shared" si="41"/>
        <v>39.25</v>
      </c>
      <c r="L787" s="6">
        <f t="shared" si="42"/>
        <v>1</v>
      </c>
    </row>
    <row r="788" spans="1:12" x14ac:dyDescent="0.25">
      <c r="A788">
        <f t="shared" si="40"/>
        <v>1</v>
      </c>
      <c r="B788">
        <f t="shared" si="43"/>
        <v>2022</v>
      </c>
      <c r="C788" s="7">
        <v>44586</v>
      </c>
      <c r="D788" s="8"/>
      <c r="E788" s="7">
        <v>44586</v>
      </c>
      <c r="F788" s="9">
        <v>139.5</v>
      </c>
      <c r="G788" s="7">
        <v>44586</v>
      </c>
      <c r="H788" s="9">
        <v>138.5</v>
      </c>
      <c r="I788" s="7">
        <v>44586</v>
      </c>
      <c r="J788" s="9">
        <v>105.75</v>
      </c>
      <c r="K788" s="5">
        <f t="shared" si="41"/>
        <v>33.75</v>
      </c>
      <c r="L788" s="6">
        <f t="shared" si="42"/>
        <v>1</v>
      </c>
    </row>
    <row r="789" spans="1:12" x14ac:dyDescent="0.25">
      <c r="A789">
        <f t="shared" si="40"/>
        <v>1</v>
      </c>
      <c r="B789">
        <f t="shared" si="43"/>
        <v>2022</v>
      </c>
      <c r="C789" s="7">
        <v>44587</v>
      </c>
      <c r="D789" s="8"/>
      <c r="E789" s="7">
        <v>44587</v>
      </c>
      <c r="F789" s="9">
        <v>141</v>
      </c>
      <c r="G789" s="7">
        <v>44587</v>
      </c>
      <c r="H789" s="9">
        <v>140</v>
      </c>
      <c r="I789" s="7">
        <v>44587</v>
      </c>
      <c r="J789" s="9">
        <v>108</v>
      </c>
      <c r="K789" s="5">
        <f t="shared" si="41"/>
        <v>33</v>
      </c>
      <c r="L789" s="6">
        <f t="shared" si="42"/>
        <v>1</v>
      </c>
    </row>
    <row r="790" spans="1:12" x14ac:dyDescent="0.25">
      <c r="A790">
        <f t="shared" si="40"/>
        <v>1</v>
      </c>
      <c r="B790">
        <f t="shared" si="43"/>
        <v>2022</v>
      </c>
      <c r="C790" s="7">
        <v>44588</v>
      </c>
      <c r="D790" s="8"/>
      <c r="E790" s="7">
        <v>44588</v>
      </c>
      <c r="F790" s="9">
        <v>142.25</v>
      </c>
      <c r="G790" s="7">
        <v>44588</v>
      </c>
      <c r="H790" s="9">
        <v>141.25</v>
      </c>
      <c r="I790" s="7">
        <v>44588</v>
      </c>
      <c r="J790" s="9">
        <v>115.5</v>
      </c>
      <c r="K790" s="5">
        <f t="shared" si="41"/>
        <v>26.75</v>
      </c>
      <c r="L790" s="6">
        <f t="shared" si="42"/>
        <v>1</v>
      </c>
    </row>
    <row r="791" spans="1:12" x14ac:dyDescent="0.25">
      <c r="A791">
        <f t="shared" si="40"/>
        <v>1</v>
      </c>
      <c r="B791">
        <f t="shared" si="43"/>
        <v>2022</v>
      </c>
      <c r="C791" s="7">
        <v>44589</v>
      </c>
      <c r="D791" s="8"/>
      <c r="E791" s="7">
        <v>44589</v>
      </c>
      <c r="F791" s="9">
        <v>143.5</v>
      </c>
      <c r="G791" s="7">
        <v>44589</v>
      </c>
      <c r="H791" s="9">
        <v>142.5</v>
      </c>
      <c r="I791" s="7">
        <v>44589</v>
      </c>
      <c r="J791" s="9">
        <v>115.5</v>
      </c>
      <c r="K791" s="5">
        <f t="shared" si="41"/>
        <v>28</v>
      </c>
      <c r="L791" s="6">
        <f t="shared" si="42"/>
        <v>1</v>
      </c>
    </row>
    <row r="792" spans="1:12" x14ac:dyDescent="0.25">
      <c r="A792">
        <f t="shared" si="40"/>
        <v>1</v>
      </c>
      <c r="B792">
        <f t="shared" si="43"/>
        <v>2022</v>
      </c>
      <c r="C792" s="7">
        <v>44592</v>
      </c>
      <c r="D792" s="8"/>
      <c r="E792" s="7">
        <v>44592</v>
      </c>
      <c r="F792" s="9">
        <v>141</v>
      </c>
      <c r="G792" s="7">
        <v>44592</v>
      </c>
      <c r="H792" s="9">
        <v>140</v>
      </c>
      <c r="I792" s="7">
        <v>44592</v>
      </c>
      <c r="J792" s="9">
        <v>112.5</v>
      </c>
      <c r="K792" s="5">
        <f t="shared" si="41"/>
        <v>28.5</v>
      </c>
      <c r="L792" s="6">
        <f t="shared" si="42"/>
        <v>1</v>
      </c>
    </row>
    <row r="793" spans="1:12" x14ac:dyDescent="0.25">
      <c r="A793">
        <f t="shared" si="40"/>
        <v>2</v>
      </c>
      <c r="B793">
        <f t="shared" si="43"/>
        <v>2022</v>
      </c>
      <c r="C793" s="7">
        <v>44593</v>
      </c>
      <c r="D793" s="8"/>
      <c r="E793" s="7">
        <v>44593</v>
      </c>
      <c r="F793" s="9">
        <v>144</v>
      </c>
      <c r="G793" s="7">
        <v>44593</v>
      </c>
      <c r="H793" s="9">
        <v>143</v>
      </c>
      <c r="I793" s="7">
        <v>44593</v>
      </c>
      <c r="J793" s="9">
        <v>115.5</v>
      </c>
      <c r="K793" s="5">
        <f t="shared" si="41"/>
        <v>28.5</v>
      </c>
      <c r="L793" s="6">
        <f t="shared" si="42"/>
        <v>1</v>
      </c>
    </row>
    <row r="794" spans="1:12" x14ac:dyDescent="0.25">
      <c r="A794">
        <f t="shared" si="40"/>
        <v>2</v>
      </c>
      <c r="B794">
        <f t="shared" si="43"/>
        <v>2022</v>
      </c>
      <c r="C794" s="7">
        <v>44594</v>
      </c>
      <c r="D794" s="8"/>
      <c r="E794" s="7">
        <v>44594</v>
      </c>
      <c r="F794" s="9">
        <v>145.5</v>
      </c>
      <c r="G794" s="7">
        <v>44594</v>
      </c>
      <c r="H794" s="9">
        <v>144.5</v>
      </c>
      <c r="I794" s="7">
        <v>44594</v>
      </c>
      <c r="J794" s="9">
        <v>117.75</v>
      </c>
      <c r="K794" s="5">
        <f t="shared" si="41"/>
        <v>27.75</v>
      </c>
      <c r="L794" s="6">
        <f t="shared" si="42"/>
        <v>1</v>
      </c>
    </row>
    <row r="795" spans="1:12" x14ac:dyDescent="0.25">
      <c r="A795">
        <f t="shared" si="40"/>
        <v>2</v>
      </c>
      <c r="B795">
        <f t="shared" si="43"/>
        <v>2022</v>
      </c>
      <c r="C795" s="7">
        <v>44595</v>
      </c>
      <c r="D795" s="8"/>
      <c r="E795" s="7">
        <v>44595</v>
      </c>
      <c r="F795" s="9">
        <v>142.5</v>
      </c>
      <c r="G795" s="7">
        <v>44595</v>
      </c>
      <c r="H795" s="9">
        <v>141.5</v>
      </c>
      <c r="I795" s="7">
        <v>44595</v>
      </c>
      <c r="J795" s="9">
        <v>116.5</v>
      </c>
      <c r="K795" s="5">
        <f t="shared" si="41"/>
        <v>26</v>
      </c>
      <c r="L795" s="6">
        <f t="shared" si="42"/>
        <v>1</v>
      </c>
    </row>
    <row r="796" spans="1:12" x14ac:dyDescent="0.25">
      <c r="A796">
        <f t="shared" si="40"/>
        <v>2</v>
      </c>
      <c r="B796">
        <f t="shared" si="43"/>
        <v>2022</v>
      </c>
      <c r="C796" s="7">
        <v>44596</v>
      </c>
      <c r="D796" s="8"/>
      <c r="E796" s="7">
        <v>44596</v>
      </c>
      <c r="F796" s="9">
        <v>140.5</v>
      </c>
      <c r="G796" s="7">
        <v>44596</v>
      </c>
      <c r="H796" s="9">
        <v>139.5</v>
      </c>
      <c r="I796" s="7">
        <v>44596</v>
      </c>
      <c r="J796" s="9">
        <v>112.5</v>
      </c>
      <c r="K796" s="5">
        <f t="shared" si="41"/>
        <v>28</v>
      </c>
      <c r="L796" s="6">
        <f t="shared" si="42"/>
        <v>1</v>
      </c>
    </row>
    <row r="797" spans="1:12" x14ac:dyDescent="0.25">
      <c r="A797">
        <f t="shared" si="40"/>
        <v>2</v>
      </c>
      <c r="B797">
        <f t="shared" si="43"/>
        <v>2022</v>
      </c>
      <c r="C797" s="7">
        <v>44599</v>
      </c>
      <c r="D797" s="8"/>
      <c r="E797" s="7">
        <v>44599</v>
      </c>
      <c r="F797" s="9">
        <v>139.5</v>
      </c>
      <c r="G797" s="7">
        <v>44599</v>
      </c>
      <c r="H797" s="9">
        <v>138.5</v>
      </c>
      <c r="I797" s="7">
        <v>44599</v>
      </c>
      <c r="J797" s="9">
        <v>109</v>
      </c>
      <c r="K797" s="5">
        <f t="shared" si="41"/>
        <v>30.5</v>
      </c>
      <c r="L797" s="6">
        <f t="shared" si="42"/>
        <v>1</v>
      </c>
    </row>
    <row r="798" spans="1:12" x14ac:dyDescent="0.25">
      <c r="A798">
        <f t="shared" si="40"/>
        <v>2</v>
      </c>
      <c r="B798">
        <f t="shared" si="43"/>
        <v>2022</v>
      </c>
      <c r="C798" s="7">
        <v>44600</v>
      </c>
      <c r="D798" s="8"/>
      <c r="E798" s="7">
        <v>44600</v>
      </c>
      <c r="F798" s="9">
        <v>137.5</v>
      </c>
      <c r="G798" s="7">
        <v>44600</v>
      </c>
      <c r="H798" s="9">
        <v>136.5</v>
      </c>
      <c r="I798" s="7">
        <v>44600</v>
      </c>
      <c r="J798" s="9">
        <v>107.5</v>
      </c>
      <c r="K798" s="5">
        <f t="shared" si="41"/>
        <v>30</v>
      </c>
      <c r="L798" s="6">
        <f t="shared" si="42"/>
        <v>1</v>
      </c>
    </row>
    <row r="799" spans="1:12" x14ac:dyDescent="0.25">
      <c r="A799">
        <f t="shared" si="40"/>
        <v>2</v>
      </c>
      <c r="B799">
        <f t="shared" si="43"/>
        <v>2022</v>
      </c>
      <c r="C799" s="7">
        <v>44601</v>
      </c>
      <c r="D799" s="8"/>
      <c r="E799" s="7">
        <v>44601</v>
      </c>
      <c r="F799" s="9">
        <v>137.5</v>
      </c>
      <c r="G799" s="7">
        <v>44601</v>
      </c>
      <c r="H799" s="9">
        <v>136.5</v>
      </c>
      <c r="I799" s="7">
        <v>44601</v>
      </c>
      <c r="J799" s="9">
        <v>109.25</v>
      </c>
      <c r="K799" s="5">
        <f t="shared" si="41"/>
        <v>28.25</v>
      </c>
      <c r="L799" s="6">
        <f t="shared" si="42"/>
        <v>1</v>
      </c>
    </row>
    <row r="800" spans="1:12" x14ac:dyDescent="0.25">
      <c r="A800">
        <f t="shared" si="40"/>
        <v>2</v>
      </c>
      <c r="B800">
        <f t="shared" si="43"/>
        <v>2022</v>
      </c>
      <c r="C800" s="7">
        <v>44602</v>
      </c>
      <c r="D800" s="8"/>
      <c r="E800" s="7">
        <v>44602</v>
      </c>
      <c r="F800" s="9">
        <v>141</v>
      </c>
      <c r="G800" s="7">
        <v>44602</v>
      </c>
      <c r="H800" s="9">
        <v>140</v>
      </c>
      <c r="I800" s="7">
        <v>44602</v>
      </c>
      <c r="J800" s="9">
        <v>110.5</v>
      </c>
      <c r="K800" s="5">
        <f t="shared" si="41"/>
        <v>30.5</v>
      </c>
      <c r="L800" s="6">
        <f t="shared" si="42"/>
        <v>1</v>
      </c>
    </row>
    <row r="801" spans="1:12" x14ac:dyDescent="0.25">
      <c r="A801">
        <f t="shared" si="40"/>
        <v>2</v>
      </c>
      <c r="B801">
        <f t="shared" si="43"/>
        <v>2022</v>
      </c>
      <c r="C801" s="7">
        <v>44603</v>
      </c>
      <c r="D801" s="8"/>
      <c r="E801" s="7">
        <v>44603</v>
      </c>
      <c r="F801" s="9">
        <v>140.5</v>
      </c>
      <c r="G801" s="7">
        <v>44603</v>
      </c>
      <c r="H801" s="9">
        <v>139.5</v>
      </c>
      <c r="I801" s="7">
        <v>44603</v>
      </c>
      <c r="J801" s="9">
        <v>110.5</v>
      </c>
      <c r="K801" s="5">
        <f t="shared" si="41"/>
        <v>30</v>
      </c>
      <c r="L801" s="6">
        <f t="shared" si="42"/>
        <v>1</v>
      </c>
    </row>
    <row r="802" spans="1:12" x14ac:dyDescent="0.25">
      <c r="A802">
        <f t="shared" si="40"/>
        <v>2</v>
      </c>
      <c r="B802">
        <f t="shared" si="43"/>
        <v>2022</v>
      </c>
      <c r="C802" s="7">
        <v>44606</v>
      </c>
      <c r="D802" s="8"/>
      <c r="E802" s="7">
        <v>44606</v>
      </c>
      <c r="F802" s="9">
        <v>140.5</v>
      </c>
      <c r="G802" s="7">
        <v>44606</v>
      </c>
      <c r="H802" s="9">
        <v>139.5</v>
      </c>
      <c r="I802" s="7">
        <v>44606</v>
      </c>
      <c r="J802" s="9">
        <v>110.5</v>
      </c>
      <c r="K802" s="5">
        <f t="shared" si="41"/>
        <v>30</v>
      </c>
      <c r="L802" s="6">
        <f t="shared" si="42"/>
        <v>1</v>
      </c>
    </row>
    <row r="803" spans="1:12" x14ac:dyDescent="0.25">
      <c r="A803">
        <f t="shared" si="40"/>
        <v>2</v>
      </c>
      <c r="B803">
        <f t="shared" si="43"/>
        <v>2022</v>
      </c>
      <c r="C803" s="7">
        <v>44607</v>
      </c>
      <c r="D803" s="8"/>
      <c r="E803" s="7">
        <v>44607</v>
      </c>
      <c r="F803" s="9">
        <v>143.5</v>
      </c>
      <c r="G803" s="7">
        <v>44607</v>
      </c>
      <c r="H803" s="9">
        <v>142.5</v>
      </c>
      <c r="I803" s="7">
        <v>44607</v>
      </c>
      <c r="J803" s="9">
        <v>112.75</v>
      </c>
      <c r="K803" s="5">
        <f t="shared" si="41"/>
        <v>30.75</v>
      </c>
      <c r="L803" s="6">
        <f t="shared" si="42"/>
        <v>1</v>
      </c>
    </row>
    <row r="804" spans="1:12" x14ac:dyDescent="0.25">
      <c r="A804">
        <f t="shared" si="40"/>
        <v>2</v>
      </c>
      <c r="B804">
        <f t="shared" si="43"/>
        <v>2022</v>
      </c>
      <c r="C804" s="7">
        <v>44608</v>
      </c>
      <c r="D804" s="8"/>
      <c r="E804" s="7">
        <v>44608</v>
      </c>
      <c r="F804" s="9">
        <v>146.75</v>
      </c>
      <c r="G804" s="7">
        <v>44608</v>
      </c>
      <c r="H804" s="9">
        <v>145.75</v>
      </c>
      <c r="I804" s="7">
        <v>44608</v>
      </c>
      <c r="J804" s="9">
        <v>116.5</v>
      </c>
      <c r="K804" s="5">
        <f t="shared" si="41"/>
        <v>30.25</v>
      </c>
      <c r="L804" s="6">
        <f t="shared" si="42"/>
        <v>1</v>
      </c>
    </row>
    <row r="805" spans="1:12" x14ac:dyDescent="0.25">
      <c r="A805">
        <f t="shared" si="40"/>
        <v>2</v>
      </c>
      <c r="B805">
        <f t="shared" si="43"/>
        <v>2022</v>
      </c>
      <c r="C805" s="7">
        <v>44609</v>
      </c>
      <c r="D805" s="8"/>
      <c r="E805" s="7">
        <v>44609</v>
      </c>
      <c r="F805" s="9">
        <v>148.5</v>
      </c>
      <c r="G805" s="7">
        <v>44609</v>
      </c>
      <c r="H805" s="9">
        <v>147.5</v>
      </c>
      <c r="I805" s="7">
        <v>44609</v>
      </c>
      <c r="J805" s="9">
        <v>117.125</v>
      </c>
      <c r="K805" s="5">
        <f t="shared" si="41"/>
        <v>31.375</v>
      </c>
      <c r="L805" s="6">
        <f t="shared" si="42"/>
        <v>1</v>
      </c>
    </row>
    <row r="806" spans="1:12" x14ac:dyDescent="0.25">
      <c r="A806">
        <f t="shared" si="40"/>
        <v>2</v>
      </c>
      <c r="B806">
        <f t="shared" si="43"/>
        <v>2022</v>
      </c>
      <c r="C806" s="7">
        <v>44610</v>
      </c>
      <c r="D806" s="8"/>
      <c r="E806" s="7">
        <v>44610</v>
      </c>
      <c r="F806" s="9">
        <v>151</v>
      </c>
      <c r="G806" s="7">
        <v>44610</v>
      </c>
      <c r="H806" s="9">
        <v>150</v>
      </c>
      <c r="I806" s="7">
        <v>44610</v>
      </c>
      <c r="J806" s="9">
        <v>115.5</v>
      </c>
      <c r="K806" s="5">
        <f t="shared" si="41"/>
        <v>35.5</v>
      </c>
      <c r="L806" s="6">
        <f t="shared" si="42"/>
        <v>1</v>
      </c>
    </row>
    <row r="807" spans="1:12" x14ac:dyDescent="0.25">
      <c r="A807">
        <f t="shared" si="40"/>
        <v>2</v>
      </c>
      <c r="B807">
        <f t="shared" si="43"/>
        <v>2022</v>
      </c>
      <c r="C807" s="7">
        <v>44614</v>
      </c>
      <c r="D807" s="8"/>
      <c r="E807" s="7">
        <v>44614</v>
      </c>
      <c r="F807" s="9">
        <v>155.5</v>
      </c>
      <c r="G807" s="7">
        <v>44614</v>
      </c>
      <c r="H807" s="9">
        <v>154.5</v>
      </c>
      <c r="I807" s="7">
        <v>44614</v>
      </c>
      <c r="J807" s="9">
        <v>120.5</v>
      </c>
      <c r="K807" s="5">
        <f t="shared" si="41"/>
        <v>35</v>
      </c>
      <c r="L807" s="6">
        <f t="shared" si="42"/>
        <v>1</v>
      </c>
    </row>
    <row r="808" spans="1:12" x14ac:dyDescent="0.25">
      <c r="A808">
        <f t="shared" si="40"/>
        <v>2</v>
      </c>
      <c r="B808">
        <f t="shared" si="43"/>
        <v>2022</v>
      </c>
      <c r="C808" s="7">
        <v>44615</v>
      </c>
      <c r="D808" s="8"/>
      <c r="E808" s="7">
        <v>44615</v>
      </c>
      <c r="F808" s="9">
        <v>159</v>
      </c>
      <c r="G808" s="7">
        <v>44615</v>
      </c>
      <c r="H808" s="9">
        <v>158</v>
      </c>
      <c r="I808" s="7">
        <v>44615</v>
      </c>
      <c r="J808" s="9">
        <v>124.25</v>
      </c>
      <c r="K808" s="5">
        <f t="shared" si="41"/>
        <v>34.75</v>
      </c>
      <c r="L808" s="6">
        <f t="shared" si="42"/>
        <v>1</v>
      </c>
    </row>
    <row r="809" spans="1:12" x14ac:dyDescent="0.25">
      <c r="A809">
        <f t="shared" si="40"/>
        <v>2</v>
      </c>
      <c r="B809">
        <f t="shared" si="43"/>
        <v>2022</v>
      </c>
      <c r="C809" s="7">
        <v>44616</v>
      </c>
      <c r="D809" s="8"/>
      <c r="E809" s="7">
        <v>44616</v>
      </c>
      <c r="F809" s="9">
        <v>159</v>
      </c>
      <c r="G809" s="7">
        <v>44616</v>
      </c>
      <c r="H809" s="9">
        <v>158</v>
      </c>
      <c r="I809" s="7">
        <v>44616</v>
      </c>
      <c r="J809" s="9">
        <v>125.5</v>
      </c>
      <c r="K809" s="5">
        <f t="shared" si="41"/>
        <v>33.5</v>
      </c>
      <c r="L809" s="6">
        <f t="shared" si="42"/>
        <v>1</v>
      </c>
    </row>
    <row r="810" spans="1:12" x14ac:dyDescent="0.25">
      <c r="A810">
        <f t="shared" si="40"/>
        <v>2</v>
      </c>
      <c r="B810">
        <f t="shared" si="43"/>
        <v>2022</v>
      </c>
      <c r="C810" s="7">
        <v>44617</v>
      </c>
      <c r="D810" s="8"/>
      <c r="E810" s="7">
        <v>44617</v>
      </c>
      <c r="F810" s="9">
        <v>154</v>
      </c>
      <c r="G810" s="7">
        <v>44617</v>
      </c>
      <c r="H810" s="9">
        <v>153</v>
      </c>
      <c r="I810" s="7">
        <v>44617</v>
      </c>
      <c r="J810" s="9">
        <v>122.5</v>
      </c>
      <c r="K810" s="5">
        <f t="shared" si="41"/>
        <v>31.5</v>
      </c>
      <c r="L810" s="6">
        <f t="shared" si="42"/>
        <v>1</v>
      </c>
    </row>
    <row r="811" spans="1:12" x14ac:dyDescent="0.25">
      <c r="A811">
        <f t="shared" si="40"/>
        <v>2</v>
      </c>
      <c r="B811">
        <f t="shared" si="43"/>
        <v>2022</v>
      </c>
      <c r="C811" s="7">
        <v>44620</v>
      </c>
      <c r="D811" s="8"/>
      <c r="E811" s="7">
        <v>44620</v>
      </c>
      <c r="F811" s="9">
        <v>156.5</v>
      </c>
      <c r="G811" s="7">
        <v>44620</v>
      </c>
      <c r="H811" s="9">
        <v>155.5</v>
      </c>
      <c r="I811" s="7">
        <v>44620</v>
      </c>
      <c r="J811" s="9">
        <v>122.5</v>
      </c>
      <c r="K811" s="5">
        <f t="shared" si="41"/>
        <v>34</v>
      </c>
      <c r="L811" s="6">
        <f t="shared" si="42"/>
        <v>1</v>
      </c>
    </row>
    <row r="812" spans="1:12" x14ac:dyDescent="0.25">
      <c r="A812">
        <f t="shared" si="40"/>
        <v>3</v>
      </c>
      <c r="B812">
        <f t="shared" si="43"/>
        <v>2022</v>
      </c>
      <c r="C812" s="7">
        <v>44621</v>
      </c>
      <c r="D812" s="8"/>
      <c r="E812" s="7">
        <v>44621</v>
      </c>
      <c r="F812" s="9">
        <v>162.5</v>
      </c>
      <c r="G812" s="7">
        <v>44621</v>
      </c>
      <c r="H812" s="9">
        <v>161.5</v>
      </c>
      <c r="I812" s="7">
        <v>44621</v>
      </c>
      <c r="J812" s="9">
        <v>126.5</v>
      </c>
      <c r="K812" s="5">
        <f t="shared" si="41"/>
        <v>36</v>
      </c>
      <c r="L812" s="6">
        <f t="shared" si="42"/>
        <v>1</v>
      </c>
    </row>
    <row r="813" spans="1:12" x14ac:dyDescent="0.25">
      <c r="A813">
        <f t="shared" si="40"/>
        <v>3</v>
      </c>
      <c r="B813">
        <f t="shared" si="43"/>
        <v>2022</v>
      </c>
      <c r="C813" s="7">
        <v>44622</v>
      </c>
      <c r="D813" s="8"/>
      <c r="E813" s="7">
        <v>44622</v>
      </c>
      <c r="F813" s="9">
        <v>154.25</v>
      </c>
      <c r="G813" s="7">
        <v>44622</v>
      </c>
      <c r="H813" s="9">
        <v>153.25</v>
      </c>
      <c r="I813" s="7">
        <v>44622</v>
      </c>
      <c r="J813" s="9">
        <v>121.5</v>
      </c>
      <c r="K813" s="5">
        <f t="shared" si="41"/>
        <v>32.75</v>
      </c>
      <c r="L813" s="6">
        <f t="shared" si="42"/>
        <v>1</v>
      </c>
    </row>
    <row r="814" spans="1:12" x14ac:dyDescent="0.25">
      <c r="A814">
        <f t="shared" si="40"/>
        <v>3</v>
      </c>
      <c r="B814">
        <f t="shared" si="43"/>
        <v>2022</v>
      </c>
      <c r="C814" s="7">
        <v>44623</v>
      </c>
      <c r="D814" s="8"/>
      <c r="E814" s="7">
        <v>44623</v>
      </c>
      <c r="F814" s="9">
        <v>153.5</v>
      </c>
      <c r="G814" s="7">
        <v>44623</v>
      </c>
      <c r="H814" s="9">
        <v>152.5</v>
      </c>
      <c r="I814" s="7">
        <v>44623</v>
      </c>
      <c r="J814" s="9">
        <v>120.5</v>
      </c>
      <c r="K814" s="5">
        <f t="shared" si="41"/>
        <v>33</v>
      </c>
      <c r="L814" s="6">
        <f t="shared" si="42"/>
        <v>1</v>
      </c>
    </row>
    <row r="815" spans="1:12" x14ac:dyDescent="0.25">
      <c r="A815">
        <f t="shared" si="40"/>
        <v>3</v>
      </c>
      <c r="B815">
        <f t="shared" si="43"/>
        <v>2022</v>
      </c>
      <c r="C815" s="7">
        <v>44624</v>
      </c>
      <c r="D815" s="8"/>
      <c r="E815" s="7">
        <v>44624</v>
      </c>
      <c r="F815" s="9">
        <v>138</v>
      </c>
      <c r="G815" s="7">
        <v>44624</v>
      </c>
      <c r="H815" s="9">
        <v>137</v>
      </c>
      <c r="I815" s="7">
        <v>44624</v>
      </c>
      <c r="J815" s="9">
        <v>114.5</v>
      </c>
      <c r="K815" s="5">
        <f t="shared" si="41"/>
        <v>23.5</v>
      </c>
      <c r="L815" s="6">
        <f t="shared" si="42"/>
        <v>1</v>
      </c>
    </row>
    <row r="816" spans="1:12" x14ac:dyDescent="0.25">
      <c r="A816">
        <f t="shared" si="40"/>
        <v>3</v>
      </c>
      <c r="B816">
        <f t="shared" si="43"/>
        <v>2022</v>
      </c>
      <c r="C816" s="7">
        <v>44627</v>
      </c>
      <c r="D816" s="8"/>
      <c r="E816" s="7">
        <v>44627</v>
      </c>
      <c r="F816" s="9">
        <v>135.5</v>
      </c>
      <c r="G816" s="7">
        <v>44627</v>
      </c>
      <c r="H816" s="9">
        <v>134.5</v>
      </c>
      <c r="I816" s="7">
        <v>44627</v>
      </c>
      <c r="J816" s="9">
        <v>106.5</v>
      </c>
      <c r="K816" s="5">
        <f t="shared" si="41"/>
        <v>29</v>
      </c>
      <c r="L816" s="6">
        <f t="shared" si="42"/>
        <v>1</v>
      </c>
    </row>
    <row r="817" spans="1:12" x14ac:dyDescent="0.25">
      <c r="A817">
        <f t="shared" si="40"/>
        <v>3</v>
      </c>
      <c r="B817">
        <f t="shared" si="43"/>
        <v>2022</v>
      </c>
      <c r="C817" s="7">
        <v>44628</v>
      </c>
      <c r="D817" s="8"/>
      <c r="E817" s="7">
        <v>44628</v>
      </c>
      <c r="F817" s="9">
        <v>127</v>
      </c>
      <c r="G817" s="7">
        <v>44628</v>
      </c>
      <c r="H817" s="9">
        <v>126</v>
      </c>
      <c r="I817" s="7">
        <v>44628</v>
      </c>
      <c r="J817" s="9">
        <v>99.5</v>
      </c>
      <c r="K817" s="5">
        <f t="shared" si="41"/>
        <v>27.5</v>
      </c>
      <c r="L817" s="6">
        <f t="shared" si="42"/>
        <v>1</v>
      </c>
    </row>
    <row r="818" spans="1:12" x14ac:dyDescent="0.25">
      <c r="A818">
        <f t="shared" si="40"/>
        <v>3</v>
      </c>
      <c r="B818">
        <f t="shared" si="43"/>
        <v>2022</v>
      </c>
      <c r="C818" s="7">
        <v>44629</v>
      </c>
      <c r="D818" s="8"/>
      <c r="E818" s="7">
        <v>44629</v>
      </c>
      <c r="F818" s="9">
        <v>139.25</v>
      </c>
      <c r="G818" s="7">
        <v>44629</v>
      </c>
      <c r="H818" s="9">
        <v>138.25</v>
      </c>
      <c r="I818" s="7">
        <v>44629</v>
      </c>
      <c r="J818" s="9">
        <v>112.75</v>
      </c>
      <c r="K818" s="5">
        <f t="shared" si="41"/>
        <v>26.5</v>
      </c>
      <c r="L818" s="6">
        <f t="shared" si="42"/>
        <v>1</v>
      </c>
    </row>
    <row r="819" spans="1:12" x14ac:dyDescent="0.25">
      <c r="A819">
        <f t="shared" si="40"/>
        <v>3</v>
      </c>
      <c r="B819">
        <f t="shared" si="43"/>
        <v>2022</v>
      </c>
      <c r="C819" s="7">
        <v>44630</v>
      </c>
      <c r="D819" s="8"/>
      <c r="E819" s="7">
        <v>44630</v>
      </c>
      <c r="F819" s="9">
        <v>146.5</v>
      </c>
      <c r="G819" s="7">
        <v>44630</v>
      </c>
      <c r="H819" s="9">
        <v>145.5</v>
      </c>
      <c r="I819" s="7">
        <v>44630</v>
      </c>
      <c r="J819" s="9">
        <v>115.5</v>
      </c>
      <c r="K819" s="5">
        <f t="shared" si="41"/>
        <v>31</v>
      </c>
      <c r="L819" s="6">
        <f t="shared" si="42"/>
        <v>1</v>
      </c>
    </row>
    <row r="820" spans="1:12" x14ac:dyDescent="0.25">
      <c r="A820">
        <f t="shared" si="40"/>
        <v>3</v>
      </c>
      <c r="B820">
        <f t="shared" si="43"/>
        <v>2022</v>
      </c>
      <c r="C820" s="7">
        <v>44631</v>
      </c>
      <c r="D820" s="8"/>
      <c r="E820" s="7">
        <v>44631</v>
      </c>
      <c r="F820" s="9">
        <v>147.5</v>
      </c>
      <c r="G820" s="7">
        <v>44631</v>
      </c>
      <c r="H820" s="9">
        <v>146.5</v>
      </c>
      <c r="I820" s="7">
        <v>44631</v>
      </c>
      <c r="J820" s="9">
        <v>112.5</v>
      </c>
      <c r="K820" s="5">
        <f t="shared" si="41"/>
        <v>35</v>
      </c>
      <c r="L820" s="6">
        <f t="shared" si="42"/>
        <v>1</v>
      </c>
    </row>
    <row r="821" spans="1:12" x14ac:dyDescent="0.25">
      <c r="A821">
        <f t="shared" si="40"/>
        <v>3</v>
      </c>
      <c r="B821">
        <f t="shared" si="43"/>
        <v>2022</v>
      </c>
      <c r="C821" s="7">
        <v>44634</v>
      </c>
      <c r="D821" s="8"/>
      <c r="E821" s="7">
        <v>44634</v>
      </c>
      <c r="F821" s="9">
        <v>146</v>
      </c>
      <c r="G821" s="7">
        <v>44634</v>
      </c>
      <c r="H821" s="9">
        <v>145</v>
      </c>
      <c r="I821" s="7">
        <v>44634</v>
      </c>
      <c r="J821" s="9">
        <v>111.5</v>
      </c>
      <c r="K821" s="5">
        <f t="shared" si="41"/>
        <v>34.5</v>
      </c>
      <c r="L821" s="6">
        <f t="shared" si="42"/>
        <v>1</v>
      </c>
    </row>
    <row r="822" spans="1:12" x14ac:dyDescent="0.25">
      <c r="A822">
        <f t="shared" si="40"/>
        <v>3</v>
      </c>
      <c r="B822">
        <f t="shared" si="43"/>
        <v>2022</v>
      </c>
      <c r="C822" s="7">
        <v>44635</v>
      </c>
      <c r="D822" s="8"/>
      <c r="E822" s="7">
        <v>44635</v>
      </c>
      <c r="F822" s="9">
        <v>163.5</v>
      </c>
      <c r="G822" s="7">
        <v>44635</v>
      </c>
      <c r="H822" s="9">
        <v>162.5</v>
      </c>
      <c r="I822" s="7">
        <v>44635</v>
      </c>
      <c r="J822" s="9">
        <v>115</v>
      </c>
      <c r="K822" s="5">
        <f t="shared" si="41"/>
        <v>48.5</v>
      </c>
      <c r="L822" s="6">
        <f t="shared" si="42"/>
        <v>1</v>
      </c>
    </row>
    <row r="823" spans="1:12" x14ac:dyDescent="0.25">
      <c r="A823">
        <f t="shared" si="40"/>
        <v>3</v>
      </c>
      <c r="B823">
        <f t="shared" si="43"/>
        <v>2022</v>
      </c>
      <c r="C823" s="7">
        <v>44636</v>
      </c>
      <c r="D823" s="8"/>
      <c r="E823" s="7">
        <v>44636</v>
      </c>
      <c r="F823" s="9">
        <v>154.5</v>
      </c>
      <c r="G823" s="7">
        <v>44636</v>
      </c>
      <c r="H823" s="9">
        <v>153.5</v>
      </c>
      <c r="I823" s="7">
        <v>44636</v>
      </c>
      <c r="J823" s="9">
        <v>114.25</v>
      </c>
      <c r="K823" s="5">
        <f t="shared" si="41"/>
        <v>40.25</v>
      </c>
      <c r="L823" s="6">
        <f t="shared" si="42"/>
        <v>1</v>
      </c>
    </row>
    <row r="824" spans="1:12" x14ac:dyDescent="0.25">
      <c r="A824">
        <f t="shared" si="40"/>
        <v>3</v>
      </c>
      <c r="B824">
        <f t="shared" si="43"/>
        <v>2022</v>
      </c>
      <c r="C824" s="7">
        <v>44637</v>
      </c>
      <c r="D824" s="8"/>
      <c r="E824" s="7">
        <v>44637</v>
      </c>
      <c r="F824" s="9">
        <v>150.5</v>
      </c>
      <c r="G824" s="7">
        <v>44637</v>
      </c>
      <c r="H824" s="9">
        <v>149.5</v>
      </c>
      <c r="I824" s="7">
        <v>44637</v>
      </c>
      <c r="J824" s="9">
        <v>112.25</v>
      </c>
      <c r="K824" s="5">
        <f t="shared" si="41"/>
        <v>38.25</v>
      </c>
      <c r="L824" s="6">
        <f t="shared" si="42"/>
        <v>1</v>
      </c>
    </row>
    <row r="825" spans="1:12" x14ac:dyDescent="0.25">
      <c r="A825">
        <f t="shared" si="40"/>
        <v>3</v>
      </c>
      <c r="B825">
        <f t="shared" si="43"/>
        <v>2022</v>
      </c>
      <c r="C825" s="7">
        <v>44638</v>
      </c>
      <c r="D825" s="8"/>
      <c r="E825" s="7">
        <v>44638</v>
      </c>
      <c r="F825" s="9">
        <v>148.5</v>
      </c>
      <c r="G825" s="7">
        <v>44638</v>
      </c>
      <c r="H825" s="9">
        <v>147.5</v>
      </c>
      <c r="I825" s="7">
        <v>44638</v>
      </c>
      <c r="J825" s="9">
        <v>112.5</v>
      </c>
      <c r="K825" s="5">
        <f t="shared" si="41"/>
        <v>36</v>
      </c>
      <c r="L825" s="6">
        <f t="shared" si="42"/>
        <v>1</v>
      </c>
    </row>
    <row r="826" spans="1:12" x14ac:dyDescent="0.25">
      <c r="A826">
        <f t="shared" si="40"/>
        <v>3</v>
      </c>
      <c r="B826">
        <f t="shared" si="43"/>
        <v>2022</v>
      </c>
      <c r="C826" s="7">
        <v>44641</v>
      </c>
      <c r="D826" s="8"/>
      <c r="E826" s="7">
        <v>44641</v>
      </c>
      <c r="F826" s="9">
        <v>150</v>
      </c>
      <c r="G826" s="7">
        <v>44641</v>
      </c>
      <c r="H826" s="9">
        <v>149</v>
      </c>
      <c r="I826" s="7">
        <v>44641</v>
      </c>
      <c r="J826" s="9">
        <v>113.75</v>
      </c>
      <c r="K826" s="5">
        <f t="shared" si="41"/>
        <v>36.25</v>
      </c>
      <c r="L826" s="6">
        <f t="shared" si="42"/>
        <v>1</v>
      </c>
    </row>
    <row r="827" spans="1:12" x14ac:dyDescent="0.25">
      <c r="A827">
        <f t="shared" si="40"/>
        <v>3</v>
      </c>
      <c r="B827">
        <f t="shared" si="43"/>
        <v>2022</v>
      </c>
      <c r="C827" s="7">
        <v>44642</v>
      </c>
      <c r="D827" s="8"/>
      <c r="E827" s="7">
        <v>44642</v>
      </c>
      <c r="F827" s="9">
        <v>150</v>
      </c>
      <c r="G827" s="7">
        <v>44642</v>
      </c>
      <c r="H827" s="9">
        <v>149</v>
      </c>
      <c r="I827" s="7">
        <v>44642</v>
      </c>
      <c r="J827" s="9">
        <v>113.75</v>
      </c>
      <c r="K827" s="5">
        <f t="shared" si="41"/>
        <v>36.25</v>
      </c>
      <c r="L827" s="6">
        <f t="shared" si="42"/>
        <v>1</v>
      </c>
    </row>
    <row r="828" spans="1:12" x14ac:dyDescent="0.25">
      <c r="A828">
        <f t="shared" si="40"/>
        <v>3</v>
      </c>
      <c r="B828">
        <f t="shared" si="43"/>
        <v>2022</v>
      </c>
      <c r="C828" s="7">
        <v>44643</v>
      </c>
      <c r="D828" s="8"/>
      <c r="E828" s="7">
        <v>44643</v>
      </c>
      <c r="F828" s="9">
        <v>150.25</v>
      </c>
      <c r="G828" s="7">
        <v>44643</v>
      </c>
      <c r="H828" s="9">
        <v>149.25</v>
      </c>
      <c r="I828" s="7">
        <v>44643</v>
      </c>
      <c r="J828" s="9">
        <v>115.75</v>
      </c>
      <c r="K828" s="5">
        <f t="shared" si="41"/>
        <v>34.5</v>
      </c>
      <c r="L828" s="6">
        <f t="shared" si="42"/>
        <v>1</v>
      </c>
    </row>
    <row r="829" spans="1:12" x14ac:dyDescent="0.25">
      <c r="A829">
        <f t="shared" si="40"/>
        <v>3</v>
      </c>
      <c r="B829">
        <f t="shared" si="43"/>
        <v>2022</v>
      </c>
      <c r="C829" s="7">
        <v>44644</v>
      </c>
      <c r="D829" s="8"/>
      <c r="E829" s="7">
        <v>44644</v>
      </c>
      <c r="F829" s="9">
        <v>148.25</v>
      </c>
      <c r="G829" s="7">
        <v>44644</v>
      </c>
      <c r="H829" s="9">
        <v>147.25</v>
      </c>
      <c r="I829" s="7">
        <v>44644</v>
      </c>
      <c r="J829" s="9">
        <v>115.75</v>
      </c>
      <c r="K829" s="5">
        <f t="shared" si="41"/>
        <v>32.5</v>
      </c>
      <c r="L829" s="6">
        <f t="shared" si="42"/>
        <v>1</v>
      </c>
    </row>
    <row r="830" spans="1:12" x14ac:dyDescent="0.25">
      <c r="A830">
        <f t="shared" si="40"/>
        <v>3</v>
      </c>
      <c r="B830">
        <f t="shared" si="43"/>
        <v>2022</v>
      </c>
      <c r="C830" s="7">
        <v>44645</v>
      </c>
      <c r="D830" s="8"/>
      <c r="E830" s="7">
        <v>44645</v>
      </c>
      <c r="F830" s="9">
        <v>148.75</v>
      </c>
      <c r="G830" s="7">
        <v>44645</v>
      </c>
      <c r="H830" s="9">
        <v>147.75</v>
      </c>
      <c r="I830" s="7">
        <v>44645</v>
      </c>
      <c r="J830" s="9">
        <v>116.25</v>
      </c>
      <c r="K830" s="5">
        <f t="shared" si="41"/>
        <v>32.5</v>
      </c>
      <c r="L830" s="6">
        <f t="shared" si="42"/>
        <v>1</v>
      </c>
    </row>
    <row r="831" spans="1:12" x14ac:dyDescent="0.25">
      <c r="A831">
        <f t="shared" si="40"/>
        <v>3</v>
      </c>
      <c r="B831">
        <f t="shared" si="43"/>
        <v>2022</v>
      </c>
      <c r="C831" s="7">
        <v>44648</v>
      </c>
      <c r="D831" s="8"/>
      <c r="E831" s="7">
        <v>44648</v>
      </c>
      <c r="F831" s="9">
        <v>149.5</v>
      </c>
      <c r="G831" s="7">
        <v>44648</v>
      </c>
      <c r="H831" s="9">
        <v>148.5</v>
      </c>
      <c r="I831" s="7">
        <v>44648</v>
      </c>
      <c r="J831" s="9">
        <v>116.5</v>
      </c>
      <c r="K831" s="5">
        <f t="shared" si="41"/>
        <v>33</v>
      </c>
      <c r="L831" s="6">
        <f t="shared" si="42"/>
        <v>1</v>
      </c>
    </row>
    <row r="832" spans="1:12" x14ac:dyDescent="0.25">
      <c r="A832">
        <f t="shared" si="40"/>
        <v>3</v>
      </c>
      <c r="B832">
        <f t="shared" si="43"/>
        <v>2022</v>
      </c>
      <c r="C832" s="7">
        <v>44649</v>
      </c>
      <c r="D832" s="8"/>
      <c r="E832" s="7">
        <v>44649</v>
      </c>
      <c r="F832" s="9">
        <v>150.75</v>
      </c>
      <c r="G832" s="7">
        <v>44649</v>
      </c>
      <c r="H832" s="9">
        <v>149.75</v>
      </c>
      <c r="I832" s="7">
        <v>44649</v>
      </c>
      <c r="J832" s="9">
        <v>116.5</v>
      </c>
      <c r="K832" s="5">
        <f t="shared" si="41"/>
        <v>34.25</v>
      </c>
      <c r="L832" s="6">
        <f t="shared" si="42"/>
        <v>1</v>
      </c>
    </row>
    <row r="833" spans="1:12" x14ac:dyDescent="0.25">
      <c r="A833">
        <f t="shared" si="40"/>
        <v>3</v>
      </c>
      <c r="B833">
        <f t="shared" si="43"/>
        <v>2022</v>
      </c>
      <c r="C833" s="7">
        <v>44650</v>
      </c>
      <c r="D833" s="8"/>
      <c r="E833" s="7">
        <v>44650</v>
      </c>
      <c r="F833" s="9">
        <v>149</v>
      </c>
      <c r="G833" s="7">
        <v>44650</v>
      </c>
      <c r="H833" s="9">
        <v>148</v>
      </c>
      <c r="I833" s="7">
        <v>44650</v>
      </c>
      <c r="J833" s="9">
        <v>116</v>
      </c>
      <c r="K833" s="5">
        <f t="shared" si="41"/>
        <v>33</v>
      </c>
      <c r="L833" s="6">
        <f t="shared" si="42"/>
        <v>1</v>
      </c>
    </row>
    <row r="834" spans="1:12" x14ac:dyDescent="0.25">
      <c r="A834">
        <f t="shared" si="40"/>
        <v>3</v>
      </c>
      <c r="B834">
        <f t="shared" si="43"/>
        <v>2022</v>
      </c>
      <c r="C834" s="7">
        <v>44651</v>
      </c>
      <c r="D834" s="8"/>
      <c r="E834" s="7">
        <v>44651</v>
      </c>
      <c r="F834" s="9">
        <v>149</v>
      </c>
      <c r="G834" s="7">
        <v>44651</v>
      </c>
      <c r="H834" s="9">
        <v>148</v>
      </c>
      <c r="I834" s="7">
        <v>44651</v>
      </c>
      <c r="J834" s="9">
        <v>116</v>
      </c>
      <c r="K834" s="5">
        <f t="shared" si="41"/>
        <v>33</v>
      </c>
      <c r="L834" s="6">
        <f t="shared" si="42"/>
        <v>1</v>
      </c>
    </row>
    <row r="835" spans="1:12" x14ac:dyDescent="0.25">
      <c r="A835">
        <f t="shared" si="40"/>
        <v>4</v>
      </c>
      <c r="B835">
        <f t="shared" si="43"/>
        <v>2022</v>
      </c>
      <c r="C835" s="7">
        <v>44652</v>
      </c>
      <c r="D835" s="8"/>
      <c r="E835" s="7">
        <v>44652</v>
      </c>
      <c r="F835" s="9">
        <v>152</v>
      </c>
      <c r="G835" s="7">
        <v>44652</v>
      </c>
      <c r="H835" s="9">
        <v>148.5</v>
      </c>
      <c r="I835" s="7">
        <v>44652</v>
      </c>
      <c r="J835" s="9">
        <v>113.75</v>
      </c>
      <c r="K835" s="5">
        <f t="shared" si="41"/>
        <v>38.25</v>
      </c>
      <c r="L835" s="6">
        <f t="shared" si="42"/>
        <v>3.5</v>
      </c>
    </row>
    <row r="836" spans="1:12" x14ac:dyDescent="0.25">
      <c r="A836">
        <f t="shared" si="40"/>
        <v>4</v>
      </c>
      <c r="B836">
        <f t="shared" si="43"/>
        <v>2022</v>
      </c>
      <c r="C836" s="7">
        <v>44655</v>
      </c>
      <c r="D836" s="8"/>
      <c r="E836" s="7">
        <v>44655</v>
      </c>
      <c r="F836" s="9">
        <v>151.75</v>
      </c>
      <c r="G836" s="7">
        <v>44655</v>
      </c>
      <c r="H836" s="9">
        <v>148.25</v>
      </c>
      <c r="I836" s="7">
        <v>44655</v>
      </c>
      <c r="J836" s="9">
        <v>112.75</v>
      </c>
      <c r="K836" s="5">
        <f t="shared" si="41"/>
        <v>39</v>
      </c>
      <c r="L836" s="6">
        <f t="shared" si="42"/>
        <v>3.5</v>
      </c>
    </row>
    <row r="837" spans="1:12" x14ac:dyDescent="0.25">
      <c r="A837">
        <f t="shared" si="40"/>
        <v>4</v>
      </c>
      <c r="B837">
        <f t="shared" si="43"/>
        <v>2022</v>
      </c>
      <c r="C837" s="7">
        <v>44656</v>
      </c>
      <c r="D837" s="8"/>
      <c r="E837" s="7">
        <v>44656</v>
      </c>
      <c r="F837" s="9">
        <v>152.5</v>
      </c>
      <c r="G837" s="7">
        <v>44656</v>
      </c>
      <c r="H837" s="9">
        <v>151.5</v>
      </c>
      <c r="I837" s="7">
        <v>44656</v>
      </c>
      <c r="J837" s="9">
        <v>114.125</v>
      </c>
      <c r="K837" s="5">
        <f t="shared" si="41"/>
        <v>38.375</v>
      </c>
      <c r="L837" s="6">
        <f t="shared" si="42"/>
        <v>1</v>
      </c>
    </row>
    <row r="838" spans="1:12" x14ac:dyDescent="0.25">
      <c r="A838">
        <f t="shared" si="40"/>
        <v>4</v>
      </c>
      <c r="B838">
        <f t="shared" si="43"/>
        <v>2022</v>
      </c>
      <c r="C838" s="7">
        <v>44657</v>
      </c>
      <c r="D838" s="8"/>
      <c r="E838" s="7">
        <v>44657</v>
      </c>
      <c r="F838" s="9">
        <v>154</v>
      </c>
      <c r="G838" s="7">
        <v>44657</v>
      </c>
      <c r="H838" s="9">
        <v>153</v>
      </c>
      <c r="I838" s="7">
        <v>44657</v>
      </c>
      <c r="J838" s="9">
        <v>115.5</v>
      </c>
      <c r="K838" s="5">
        <f t="shared" si="41"/>
        <v>38.5</v>
      </c>
      <c r="L838" s="6">
        <f t="shared" si="42"/>
        <v>1</v>
      </c>
    </row>
    <row r="839" spans="1:12" x14ac:dyDescent="0.25">
      <c r="A839">
        <f t="shared" si="40"/>
        <v>4</v>
      </c>
      <c r="B839">
        <f t="shared" si="43"/>
        <v>2022</v>
      </c>
      <c r="C839" s="7">
        <v>44658</v>
      </c>
      <c r="D839" s="8"/>
      <c r="E839" s="7">
        <v>44658</v>
      </c>
      <c r="F839" s="9">
        <v>155.5</v>
      </c>
      <c r="G839" s="7">
        <v>44658</v>
      </c>
      <c r="H839" s="9">
        <v>154.5</v>
      </c>
      <c r="I839" s="7">
        <v>44658</v>
      </c>
      <c r="J839" s="9">
        <v>115.5</v>
      </c>
      <c r="K839" s="5">
        <f t="shared" si="41"/>
        <v>40</v>
      </c>
      <c r="L839" s="6">
        <f t="shared" si="42"/>
        <v>1</v>
      </c>
    </row>
    <row r="840" spans="1:12" x14ac:dyDescent="0.25">
      <c r="A840">
        <f t="shared" si="40"/>
        <v>4</v>
      </c>
      <c r="B840">
        <f t="shared" si="43"/>
        <v>2022</v>
      </c>
      <c r="C840" s="7">
        <v>44659</v>
      </c>
      <c r="D840" s="8"/>
      <c r="E840" s="7">
        <v>44659</v>
      </c>
      <c r="F840" s="9">
        <v>160.375</v>
      </c>
      <c r="G840" s="7">
        <v>44659</v>
      </c>
      <c r="H840" s="9">
        <v>159.375</v>
      </c>
      <c r="I840" s="7">
        <v>44659</v>
      </c>
      <c r="J840" s="9">
        <v>118.5</v>
      </c>
      <c r="K840" s="5">
        <f t="shared" si="41"/>
        <v>41.875</v>
      </c>
      <c r="L840" s="6">
        <f t="shared" si="42"/>
        <v>1</v>
      </c>
    </row>
    <row r="841" spans="1:12" x14ac:dyDescent="0.25">
      <c r="A841">
        <f t="shared" si="40"/>
        <v>4</v>
      </c>
      <c r="B841">
        <f t="shared" si="43"/>
        <v>2022</v>
      </c>
      <c r="C841" s="7">
        <v>44662</v>
      </c>
      <c r="D841" s="8"/>
      <c r="E841" s="7">
        <v>44662</v>
      </c>
      <c r="F841" s="9">
        <v>160.5</v>
      </c>
      <c r="G841" s="7">
        <v>44662</v>
      </c>
      <c r="H841" s="9">
        <v>159.5</v>
      </c>
      <c r="I841" s="7">
        <v>44662</v>
      </c>
      <c r="J841" s="9">
        <v>116.5</v>
      </c>
      <c r="K841" s="5">
        <f t="shared" si="41"/>
        <v>44</v>
      </c>
      <c r="L841" s="6">
        <f t="shared" si="42"/>
        <v>1</v>
      </c>
    </row>
    <row r="842" spans="1:12" x14ac:dyDescent="0.25">
      <c r="A842">
        <f t="shared" si="40"/>
        <v>4</v>
      </c>
      <c r="B842">
        <f t="shared" si="43"/>
        <v>2022</v>
      </c>
      <c r="C842" s="7">
        <v>44663</v>
      </c>
      <c r="D842" s="8"/>
      <c r="E842" s="7">
        <v>44663</v>
      </c>
      <c r="F842" s="9">
        <v>159.5</v>
      </c>
      <c r="G842" s="7">
        <v>44663</v>
      </c>
      <c r="H842" s="9">
        <v>158.5</v>
      </c>
      <c r="I842" s="7">
        <v>44663</v>
      </c>
      <c r="J842" s="9">
        <v>116.75</v>
      </c>
      <c r="K842" s="5">
        <f t="shared" si="41"/>
        <v>42.75</v>
      </c>
      <c r="L842" s="6">
        <f t="shared" si="42"/>
        <v>1</v>
      </c>
    </row>
    <row r="843" spans="1:12" x14ac:dyDescent="0.25">
      <c r="A843">
        <f t="shared" si="40"/>
        <v>4</v>
      </c>
      <c r="B843">
        <f t="shared" si="43"/>
        <v>2022</v>
      </c>
      <c r="C843" s="7">
        <v>44664</v>
      </c>
      <c r="D843" s="8"/>
      <c r="E843" s="7">
        <v>44664</v>
      </c>
      <c r="F843" s="9">
        <v>162.5</v>
      </c>
      <c r="G843" s="7">
        <v>44664</v>
      </c>
      <c r="H843" s="9">
        <v>161.5</v>
      </c>
      <c r="I843" s="7">
        <v>44664</v>
      </c>
      <c r="J843" s="9">
        <v>119.75</v>
      </c>
      <c r="K843" s="5">
        <f t="shared" si="41"/>
        <v>42.75</v>
      </c>
      <c r="L843" s="6">
        <f t="shared" si="42"/>
        <v>1</v>
      </c>
    </row>
    <row r="844" spans="1:12" x14ac:dyDescent="0.25">
      <c r="A844">
        <f t="shared" si="40"/>
        <v>4</v>
      </c>
      <c r="B844">
        <f t="shared" si="43"/>
        <v>2022</v>
      </c>
      <c r="C844" s="7">
        <v>44665</v>
      </c>
      <c r="D844" s="8"/>
      <c r="E844" s="7">
        <v>44665</v>
      </c>
      <c r="F844" s="9">
        <v>160.5</v>
      </c>
      <c r="G844" s="7">
        <v>44665</v>
      </c>
      <c r="H844" s="9">
        <v>159.5</v>
      </c>
      <c r="I844" s="7">
        <v>44665</v>
      </c>
      <c r="J844" s="9">
        <v>120.5</v>
      </c>
      <c r="K844" s="5">
        <f t="shared" si="41"/>
        <v>40</v>
      </c>
      <c r="L844" s="6">
        <f t="shared" si="42"/>
        <v>1</v>
      </c>
    </row>
    <row r="845" spans="1:12" x14ac:dyDescent="0.25">
      <c r="A845">
        <f t="shared" si="40"/>
        <v>4</v>
      </c>
      <c r="B845">
        <f t="shared" si="43"/>
        <v>2022</v>
      </c>
      <c r="C845" s="7">
        <v>44669</v>
      </c>
      <c r="D845" s="8"/>
      <c r="E845" s="7">
        <v>44669</v>
      </c>
      <c r="F845" s="9">
        <v>163.25</v>
      </c>
      <c r="G845" s="7">
        <v>44669</v>
      </c>
      <c r="H845" s="9">
        <v>162.25</v>
      </c>
      <c r="I845" s="7">
        <v>44669</v>
      </c>
      <c r="J845" s="9">
        <v>122.75</v>
      </c>
      <c r="K845" s="5">
        <f t="shared" si="41"/>
        <v>40.5</v>
      </c>
      <c r="L845" s="6">
        <f t="shared" si="42"/>
        <v>1</v>
      </c>
    </row>
    <row r="846" spans="1:12" x14ac:dyDescent="0.25">
      <c r="A846">
        <f t="shared" ref="A846:A909" si="44">MONTH(E846)</f>
        <v>4</v>
      </c>
      <c r="B846">
        <f t="shared" si="43"/>
        <v>2022</v>
      </c>
      <c r="C846" s="7">
        <v>44670</v>
      </c>
      <c r="D846" s="8"/>
      <c r="E846" s="7">
        <v>44670</v>
      </c>
      <c r="F846" s="9">
        <v>166.75</v>
      </c>
      <c r="G846" s="7">
        <v>44670</v>
      </c>
      <c r="H846" s="9">
        <v>165.75</v>
      </c>
      <c r="I846" s="7">
        <v>44670</v>
      </c>
      <c r="J846" s="9">
        <v>127.25</v>
      </c>
      <c r="K846" s="5">
        <f t="shared" ref="K846:K909" si="45">F846-J846</f>
        <v>39.5</v>
      </c>
      <c r="L846" s="6">
        <f t="shared" ref="L846:L909" si="46">F846-H846</f>
        <v>1</v>
      </c>
    </row>
    <row r="847" spans="1:12" x14ac:dyDescent="0.25">
      <c r="A847">
        <f t="shared" si="44"/>
        <v>4</v>
      </c>
      <c r="B847">
        <f t="shared" ref="B847:B910" si="47">YEAR(E847)</f>
        <v>2022</v>
      </c>
      <c r="C847" s="7">
        <v>44671</v>
      </c>
      <c r="D847" s="8"/>
      <c r="E847" s="7">
        <v>44671</v>
      </c>
      <c r="F847" s="9">
        <v>166.75</v>
      </c>
      <c r="G847" s="7">
        <v>44671</v>
      </c>
      <c r="H847" s="9">
        <v>165.75</v>
      </c>
      <c r="I847" s="7">
        <v>44671</v>
      </c>
      <c r="J847" s="9">
        <v>127.25</v>
      </c>
      <c r="K847" s="5">
        <f t="shared" si="45"/>
        <v>39.5</v>
      </c>
      <c r="L847" s="6">
        <f t="shared" si="46"/>
        <v>1</v>
      </c>
    </row>
    <row r="848" spans="1:12" x14ac:dyDescent="0.25">
      <c r="A848">
        <f t="shared" si="44"/>
        <v>4</v>
      </c>
      <c r="B848">
        <f t="shared" si="47"/>
        <v>2022</v>
      </c>
      <c r="C848" s="7">
        <v>44672</v>
      </c>
      <c r="D848" s="8"/>
      <c r="E848" s="7">
        <v>44672</v>
      </c>
      <c r="F848" s="9">
        <v>166.75</v>
      </c>
      <c r="G848" s="7">
        <v>44672</v>
      </c>
      <c r="H848" s="9">
        <v>165.75</v>
      </c>
      <c r="I848" s="7">
        <v>44672</v>
      </c>
      <c r="J848" s="9">
        <v>127.25</v>
      </c>
      <c r="K848" s="5">
        <f t="shared" si="45"/>
        <v>39.5</v>
      </c>
      <c r="L848" s="6">
        <f t="shared" si="46"/>
        <v>1</v>
      </c>
    </row>
    <row r="849" spans="1:12" x14ac:dyDescent="0.25">
      <c r="A849">
        <f t="shared" si="44"/>
        <v>4</v>
      </c>
      <c r="B849">
        <f t="shared" si="47"/>
        <v>2022</v>
      </c>
      <c r="C849" s="7">
        <v>44673</v>
      </c>
      <c r="D849" s="8"/>
      <c r="E849" s="7">
        <v>44673</v>
      </c>
      <c r="F849" s="9">
        <v>176.5</v>
      </c>
      <c r="G849" s="7">
        <v>44673</v>
      </c>
      <c r="H849" s="9">
        <v>175.5</v>
      </c>
      <c r="I849" s="7">
        <v>44673</v>
      </c>
      <c r="J849" s="9">
        <v>138</v>
      </c>
      <c r="K849" s="5">
        <f t="shared" si="45"/>
        <v>38.5</v>
      </c>
      <c r="L849" s="6">
        <f t="shared" si="46"/>
        <v>1</v>
      </c>
    </row>
    <row r="850" spans="1:12" x14ac:dyDescent="0.25">
      <c r="A850">
        <f t="shared" si="44"/>
        <v>4</v>
      </c>
      <c r="B850">
        <f t="shared" si="47"/>
        <v>2022</v>
      </c>
      <c r="C850" s="7">
        <v>44676</v>
      </c>
      <c r="D850" s="8"/>
      <c r="E850" s="7">
        <v>44676</v>
      </c>
      <c r="F850" s="9">
        <v>178.5</v>
      </c>
      <c r="G850" s="7">
        <v>44676</v>
      </c>
      <c r="H850" s="9">
        <v>177.5</v>
      </c>
      <c r="I850" s="7">
        <v>44676</v>
      </c>
      <c r="J850" s="9">
        <v>143.5</v>
      </c>
      <c r="K850" s="5">
        <f t="shared" si="45"/>
        <v>35</v>
      </c>
      <c r="L850" s="6">
        <f t="shared" si="46"/>
        <v>1</v>
      </c>
    </row>
    <row r="851" spans="1:12" x14ac:dyDescent="0.25">
      <c r="A851">
        <f t="shared" si="44"/>
        <v>4</v>
      </c>
      <c r="B851">
        <f t="shared" si="47"/>
        <v>2022</v>
      </c>
      <c r="C851" s="7">
        <v>44677</v>
      </c>
      <c r="D851" s="8"/>
      <c r="E851" s="7">
        <v>44677</v>
      </c>
      <c r="F851" s="9">
        <v>183.25</v>
      </c>
      <c r="G851" s="7">
        <v>44677</v>
      </c>
      <c r="H851" s="9">
        <v>182.25</v>
      </c>
      <c r="I851" s="7">
        <v>44677</v>
      </c>
      <c r="J851" s="9">
        <v>151</v>
      </c>
      <c r="K851" s="5">
        <f t="shared" si="45"/>
        <v>32.25</v>
      </c>
      <c r="L851" s="6">
        <f t="shared" si="46"/>
        <v>1</v>
      </c>
    </row>
    <row r="852" spans="1:12" x14ac:dyDescent="0.25">
      <c r="A852">
        <f t="shared" si="44"/>
        <v>4</v>
      </c>
      <c r="B852">
        <f t="shared" si="47"/>
        <v>2022</v>
      </c>
      <c r="C852" s="7">
        <v>44678</v>
      </c>
      <c r="D852" s="8"/>
      <c r="E852" s="7">
        <v>44678</v>
      </c>
      <c r="F852" s="9">
        <v>188</v>
      </c>
      <c r="G852" s="7">
        <v>44678</v>
      </c>
      <c r="H852" s="9">
        <v>187</v>
      </c>
      <c r="I852" s="7">
        <v>44678</v>
      </c>
      <c r="J852" s="9">
        <v>155.5</v>
      </c>
      <c r="K852" s="5">
        <f t="shared" si="45"/>
        <v>32.5</v>
      </c>
      <c r="L852" s="6">
        <f t="shared" si="46"/>
        <v>1</v>
      </c>
    </row>
    <row r="853" spans="1:12" x14ac:dyDescent="0.25">
      <c r="A853">
        <f t="shared" si="44"/>
        <v>4</v>
      </c>
      <c r="B853">
        <f t="shared" si="47"/>
        <v>2022</v>
      </c>
      <c r="C853" s="7">
        <v>44679</v>
      </c>
      <c r="D853" s="8"/>
      <c r="E853" s="7">
        <v>44679</v>
      </c>
      <c r="F853" s="9">
        <v>190.5</v>
      </c>
      <c r="G853" s="7">
        <v>44679</v>
      </c>
      <c r="H853" s="9">
        <v>189.5</v>
      </c>
      <c r="I853" s="7">
        <v>44679</v>
      </c>
      <c r="J853" s="9">
        <v>161</v>
      </c>
      <c r="K853" s="5">
        <f t="shared" si="45"/>
        <v>29.5</v>
      </c>
      <c r="L853" s="6">
        <f t="shared" si="46"/>
        <v>1</v>
      </c>
    </row>
    <row r="854" spans="1:12" x14ac:dyDescent="0.25">
      <c r="A854">
        <f t="shared" si="44"/>
        <v>4</v>
      </c>
      <c r="B854">
        <f t="shared" si="47"/>
        <v>2022</v>
      </c>
      <c r="C854" s="7">
        <v>44680</v>
      </c>
      <c r="D854" s="8"/>
      <c r="E854" s="7">
        <v>44680</v>
      </c>
      <c r="F854" s="9">
        <v>184</v>
      </c>
      <c r="G854" s="7">
        <v>44680</v>
      </c>
      <c r="H854" s="9">
        <v>183</v>
      </c>
      <c r="I854" s="7">
        <v>44680</v>
      </c>
      <c r="J854" s="9">
        <v>157</v>
      </c>
      <c r="K854" s="5">
        <f t="shared" si="45"/>
        <v>27</v>
      </c>
      <c r="L854" s="6">
        <f t="shared" si="46"/>
        <v>1</v>
      </c>
    </row>
    <row r="855" spans="1:12" x14ac:dyDescent="0.25">
      <c r="A855">
        <f t="shared" si="44"/>
        <v>5</v>
      </c>
      <c r="B855">
        <f t="shared" si="47"/>
        <v>2022</v>
      </c>
      <c r="C855" s="7">
        <v>44683</v>
      </c>
      <c r="D855" s="8"/>
      <c r="E855" s="7">
        <v>44683</v>
      </c>
      <c r="F855" s="9">
        <v>174</v>
      </c>
      <c r="G855" s="7">
        <v>44683</v>
      </c>
      <c r="H855" s="9">
        <v>173</v>
      </c>
      <c r="I855" s="7">
        <v>44683</v>
      </c>
      <c r="J855" s="9">
        <v>148.5</v>
      </c>
      <c r="K855" s="5">
        <f t="shared" si="45"/>
        <v>25.5</v>
      </c>
      <c r="L855" s="6">
        <f t="shared" si="46"/>
        <v>1</v>
      </c>
    </row>
    <row r="856" spans="1:12" x14ac:dyDescent="0.25">
      <c r="A856">
        <f t="shared" si="44"/>
        <v>5</v>
      </c>
      <c r="B856">
        <f t="shared" si="47"/>
        <v>2022</v>
      </c>
      <c r="C856" s="7">
        <v>44684</v>
      </c>
      <c r="D856" s="8"/>
      <c r="E856" s="7">
        <v>44684</v>
      </c>
      <c r="F856" s="9">
        <v>176.25</v>
      </c>
      <c r="G856" s="7">
        <v>44684</v>
      </c>
      <c r="H856" s="9">
        <v>175.25</v>
      </c>
      <c r="I856" s="7">
        <v>44684</v>
      </c>
      <c r="J856" s="9">
        <v>152.25</v>
      </c>
      <c r="K856" s="5">
        <f t="shared" si="45"/>
        <v>24</v>
      </c>
      <c r="L856" s="6">
        <f t="shared" si="46"/>
        <v>1</v>
      </c>
    </row>
    <row r="857" spans="1:12" x14ac:dyDescent="0.25">
      <c r="A857">
        <f t="shared" si="44"/>
        <v>5</v>
      </c>
      <c r="B857">
        <f t="shared" si="47"/>
        <v>2022</v>
      </c>
      <c r="C857" s="7">
        <v>44685</v>
      </c>
      <c r="D857" s="8"/>
      <c r="E857" s="7">
        <v>44685</v>
      </c>
      <c r="F857" s="9">
        <v>178.5</v>
      </c>
      <c r="G857" s="7">
        <v>44685</v>
      </c>
      <c r="H857" s="9">
        <v>177.5</v>
      </c>
      <c r="I857" s="7">
        <v>44685</v>
      </c>
      <c r="J857" s="9">
        <v>154.75</v>
      </c>
      <c r="K857" s="5">
        <f t="shared" si="45"/>
        <v>23.75</v>
      </c>
      <c r="L857" s="6">
        <f t="shared" si="46"/>
        <v>1</v>
      </c>
    </row>
    <row r="858" spans="1:12" x14ac:dyDescent="0.25">
      <c r="A858">
        <f t="shared" si="44"/>
        <v>5</v>
      </c>
      <c r="B858">
        <f t="shared" si="47"/>
        <v>2022</v>
      </c>
      <c r="C858" s="7">
        <v>44686</v>
      </c>
      <c r="D858" s="8"/>
      <c r="E858" s="7">
        <v>44686</v>
      </c>
      <c r="F858" s="9">
        <v>177.75</v>
      </c>
      <c r="G858" s="7">
        <v>44686</v>
      </c>
      <c r="H858" s="9">
        <v>176.75</v>
      </c>
      <c r="I858" s="7">
        <v>44686</v>
      </c>
      <c r="J858" s="9">
        <v>153.75</v>
      </c>
      <c r="K858" s="5">
        <f t="shared" si="45"/>
        <v>24</v>
      </c>
      <c r="L858" s="6">
        <f t="shared" si="46"/>
        <v>1</v>
      </c>
    </row>
    <row r="859" spans="1:12" x14ac:dyDescent="0.25">
      <c r="A859">
        <f t="shared" si="44"/>
        <v>5</v>
      </c>
      <c r="B859">
        <f t="shared" si="47"/>
        <v>2022</v>
      </c>
      <c r="C859" s="7">
        <v>44687</v>
      </c>
      <c r="D859" s="8"/>
      <c r="E859" s="7">
        <v>44687</v>
      </c>
      <c r="F859" s="9">
        <v>178</v>
      </c>
      <c r="G859" s="7">
        <v>44687</v>
      </c>
      <c r="H859" s="9">
        <v>177</v>
      </c>
      <c r="I859" s="7">
        <v>44687</v>
      </c>
      <c r="J859" s="9">
        <v>155.75</v>
      </c>
      <c r="K859" s="5">
        <f t="shared" si="45"/>
        <v>22.25</v>
      </c>
      <c r="L859" s="6">
        <f t="shared" si="46"/>
        <v>1</v>
      </c>
    </row>
    <row r="860" spans="1:12" x14ac:dyDescent="0.25">
      <c r="A860">
        <f t="shared" si="44"/>
        <v>5</v>
      </c>
      <c r="B860">
        <f t="shared" si="47"/>
        <v>2022</v>
      </c>
      <c r="C860" s="7">
        <v>44690</v>
      </c>
      <c r="D860" s="8"/>
      <c r="E860" s="7">
        <v>44690</v>
      </c>
      <c r="F860" s="9">
        <v>182</v>
      </c>
      <c r="G860" s="7">
        <v>44690</v>
      </c>
      <c r="H860" s="9">
        <v>181</v>
      </c>
      <c r="I860" s="7">
        <v>44690</v>
      </c>
      <c r="J860" s="9">
        <v>161.5</v>
      </c>
      <c r="K860" s="5">
        <f t="shared" si="45"/>
        <v>20.5</v>
      </c>
      <c r="L860" s="6">
        <f t="shared" si="46"/>
        <v>1</v>
      </c>
    </row>
    <row r="861" spans="1:12" x14ac:dyDescent="0.25">
      <c r="A861">
        <f t="shared" si="44"/>
        <v>5</v>
      </c>
      <c r="B861">
        <f t="shared" si="47"/>
        <v>2022</v>
      </c>
      <c r="C861" s="7">
        <v>44691</v>
      </c>
      <c r="D861" s="8"/>
      <c r="E861" s="7">
        <v>44691</v>
      </c>
      <c r="F861" s="9">
        <v>185</v>
      </c>
      <c r="G861" s="7">
        <v>44691</v>
      </c>
      <c r="H861" s="9">
        <v>184</v>
      </c>
      <c r="I861" s="7">
        <v>44691</v>
      </c>
      <c r="J861" s="9">
        <v>165.5</v>
      </c>
      <c r="K861" s="5">
        <f t="shared" si="45"/>
        <v>19.5</v>
      </c>
      <c r="L861" s="6">
        <f t="shared" si="46"/>
        <v>1</v>
      </c>
    </row>
    <row r="862" spans="1:12" x14ac:dyDescent="0.25">
      <c r="A862">
        <f t="shared" si="44"/>
        <v>5</v>
      </c>
      <c r="B862">
        <f t="shared" si="47"/>
        <v>2022</v>
      </c>
      <c r="C862" s="7">
        <v>44692</v>
      </c>
      <c r="D862" s="8"/>
      <c r="E862" s="7">
        <v>44692</v>
      </c>
      <c r="F862" s="9">
        <v>183.5</v>
      </c>
      <c r="G862" s="7">
        <v>44692</v>
      </c>
      <c r="H862" s="9">
        <v>182.5</v>
      </c>
      <c r="I862" s="7">
        <v>44692</v>
      </c>
      <c r="J862" s="9">
        <v>162.5</v>
      </c>
      <c r="K862" s="5">
        <f t="shared" si="45"/>
        <v>21</v>
      </c>
      <c r="L862" s="6">
        <f t="shared" si="46"/>
        <v>1</v>
      </c>
    </row>
    <row r="863" spans="1:12" x14ac:dyDescent="0.25">
      <c r="A863">
        <f t="shared" si="44"/>
        <v>5</v>
      </c>
      <c r="B863">
        <f t="shared" si="47"/>
        <v>2022</v>
      </c>
      <c r="C863" s="7">
        <v>44693</v>
      </c>
      <c r="D863" s="8"/>
      <c r="E863" s="7">
        <v>44693</v>
      </c>
      <c r="F863" s="9">
        <v>186.75</v>
      </c>
      <c r="G863" s="7">
        <v>44693</v>
      </c>
      <c r="H863" s="9">
        <v>185.75</v>
      </c>
      <c r="I863" s="7">
        <v>44693</v>
      </c>
      <c r="J863" s="9">
        <v>167.5</v>
      </c>
      <c r="K863" s="5">
        <f t="shared" si="45"/>
        <v>19.25</v>
      </c>
      <c r="L863" s="6">
        <f t="shared" si="46"/>
        <v>1</v>
      </c>
    </row>
    <row r="864" spans="1:12" x14ac:dyDescent="0.25">
      <c r="A864">
        <f t="shared" si="44"/>
        <v>5</v>
      </c>
      <c r="B864">
        <f t="shared" si="47"/>
        <v>2022</v>
      </c>
      <c r="C864" s="7">
        <v>44694</v>
      </c>
      <c r="D864" s="8"/>
      <c r="E864" s="7">
        <v>44694</v>
      </c>
      <c r="F864" s="9">
        <v>186.75</v>
      </c>
      <c r="G864" s="7">
        <v>44694</v>
      </c>
      <c r="H864" s="9">
        <v>185.75</v>
      </c>
      <c r="I864" s="7">
        <v>44694</v>
      </c>
      <c r="J864" s="9">
        <v>165.25</v>
      </c>
      <c r="K864" s="5">
        <f t="shared" si="45"/>
        <v>21.5</v>
      </c>
      <c r="L864" s="6">
        <f t="shared" si="46"/>
        <v>1</v>
      </c>
    </row>
    <row r="865" spans="1:12" x14ac:dyDescent="0.25">
      <c r="A865">
        <f t="shared" si="44"/>
        <v>5</v>
      </c>
      <c r="B865">
        <f t="shared" si="47"/>
        <v>2022</v>
      </c>
      <c r="C865" s="7">
        <v>44697</v>
      </c>
      <c r="D865" s="8"/>
      <c r="E865" s="7">
        <v>44697</v>
      </c>
      <c r="F865" s="9">
        <v>187.5</v>
      </c>
      <c r="G865" s="7">
        <v>44697</v>
      </c>
      <c r="H865" s="9">
        <v>186.5</v>
      </c>
      <c r="I865" s="7">
        <v>44697</v>
      </c>
      <c r="J865" s="9">
        <v>164.5</v>
      </c>
      <c r="K865" s="5">
        <f t="shared" si="45"/>
        <v>23</v>
      </c>
      <c r="L865" s="6">
        <f t="shared" si="46"/>
        <v>1</v>
      </c>
    </row>
    <row r="866" spans="1:12" x14ac:dyDescent="0.25">
      <c r="A866">
        <f t="shared" si="44"/>
        <v>5</v>
      </c>
      <c r="B866">
        <f t="shared" si="47"/>
        <v>2022</v>
      </c>
      <c r="C866" s="7">
        <v>44698</v>
      </c>
      <c r="D866" s="8"/>
      <c r="E866" s="7">
        <v>44698</v>
      </c>
      <c r="F866" s="9">
        <v>184.5</v>
      </c>
      <c r="G866" s="7">
        <v>44698</v>
      </c>
      <c r="H866" s="9">
        <v>183.5</v>
      </c>
      <c r="I866" s="7">
        <v>44698</v>
      </c>
      <c r="J866" s="9">
        <v>161</v>
      </c>
      <c r="K866" s="5">
        <f t="shared" si="45"/>
        <v>23.5</v>
      </c>
      <c r="L866" s="6">
        <f t="shared" si="46"/>
        <v>1</v>
      </c>
    </row>
    <row r="867" spans="1:12" x14ac:dyDescent="0.25">
      <c r="A867">
        <f t="shared" si="44"/>
        <v>5</v>
      </c>
      <c r="B867">
        <f t="shared" si="47"/>
        <v>2022</v>
      </c>
      <c r="C867" s="7">
        <v>44699</v>
      </c>
      <c r="D867" s="8"/>
      <c r="E867" s="7">
        <v>44699</v>
      </c>
      <c r="F867" s="9">
        <v>177.5</v>
      </c>
      <c r="G867" s="7">
        <v>44699</v>
      </c>
      <c r="H867" s="9">
        <v>176.5</v>
      </c>
      <c r="I867" s="7">
        <v>44699</v>
      </c>
      <c r="J867" s="9">
        <v>149.5</v>
      </c>
      <c r="K867" s="5">
        <f t="shared" si="45"/>
        <v>28</v>
      </c>
      <c r="L867" s="6">
        <f t="shared" si="46"/>
        <v>1</v>
      </c>
    </row>
    <row r="868" spans="1:12" x14ac:dyDescent="0.25">
      <c r="A868">
        <f t="shared" si="44"/>
        <v>5</v>
      </c>
      <c r="B868">
        <f t="shared" si="47"/>
        <v>2022</v>
      </c>
      <c r="C868" s="7">
        <v>44700</v>
      </c>
      <c r="D868" s="8"/>
      <c r="E868" s="7">
        <v>44700</v>
      </c>
      <c r="F868" s="9">
        <v>177.5</v>
      </c>
      <c r="G868" s="7">
        <v>44700</v>
      </c>
      <c r="H868" s="9">
        <v>176.5</v>
      </c>
      <c r="I868" s="7">
        <v>44700</v>
      </c>
      <c r="J868" s="9">
        <v>147.5</v>
      </c>
      <c r="K868" s="5">
        <f t="shared" si="45"/>
        <v>30</v>
      </c>
      <c r="L868" s="6">
        <f t="shared" si="46"/>
        <v>1</v>
      </c>
    </row>
    <row r="869" spans="1:12" x14ac:dyDescent="0.25">
      <c r="A869">
        <f t="shared" si="44"/>
        <v>5</v>
      </c>
      <c r="B869">
        <f t="shared" si="47"/>
        <v>2022</v>
      </c>
      <c r="C869" s="7">
        <v>44701</v>
      </c>
      <c r="D869" s="8"/>
      <c r="E869" s="7">
        <v>44701</v>
      </c>
      <c r="F869" s="9">
        <v>182.5</v>
      </c>
      <c r="G869" s="7">
        <v>44701</v>
      </c>
      <c r="H869" s="9">
        <v>181.5</v>
      </c>
      <c r="I869" s="7">
        <v>44701</v>
      </c>
      <c r="J869" s="9">
        <v>151.25</v>
      </c>
      <c r="K869" s="5">
        <f t="shared" si="45"/>
        <v>31.25</v>
      </c>
      <c r="L869" s="6">
        <f t="shared" si="46"/>
        <v>1</v>
      </c>
    </row>
    <row r="870" spans="1:12" x14ac:dyDescent="0.25">
      <c r="A870">
        <f t="shared" si="44"/>
        <v>5</v>
      </c>
      <c r="B870">
        <f t="shared" si="47"/>
        <v>2022</v>
      </c>
      <c r="C870" s="7">
        <v>44704</v>
      </c>
      <c r="D870" s="8"/>
      <c r="E870" s="7">
        <v>44704</v>
      </c>
      <c r="F870" s="9">
        <v>181</v>
      </c>
      <c r="G870" s="7">
        <v>44704</v>
      </c>
      <c r="H870" s="9">
        <v>180</v>
      </c>
      <c r="I870" s="7">
        <v>44704</v>
      </c>
      <c r="J870" s="9">
        <v>152.75</v>
      </c>
      <c r="K870" s="5">
        <f t="shared" si="45"/>
        <v>28.25</v>
      </c>
      <c r="L870" s="6">
        <f t="shared" si="46"/>
        <v>1</v>
      </c>
    </row>
    <row r="871" spans="1:12" x14ac:dyDescent="0.25">
      <c r="A871">
        <f t="shared" si="44"/>
        <v>5</v>
      </c>
      <c r="B871">
        <f t="shared" si="47"/>
        <v>2022</v>
      </c>
      <c r="C871" s="7">
        <v>44705</v>
      </c>
      <c r="D871" s="8"/>
      <c r="E871" s="7">
        <v>44705</v>
      </c>
      <c r="F871" s="9">
        <v>178.5</v>
      </c>
      <c r="G871" s="7">
        <v>44705</v>
      </c>
      <c r="H871" s="9">
        <v>177.5</v>
      </c>
      <c r="I871" s="7">
        <v>44705</v>
      </c>
      <c r="J871" s="9">
        <v>147.25</v>
      </c>
      <c r="K871" s="5">
        <f t="shared" si="45"/>
        <v>31.25</v>
      </c>
      <c r="L871" s="6">
        <f t="shared" si="46"/>
        <v>1</v>
      </c>
    </row>
    <row r="872" spans="1:12" x14ac:dyDescent="0.25">
      <c r="A872">
        <f t="shared" si="44"/>
        <v>5</v>
      </c>
      <c r="B872">
        <f t="shared" si="47"/>
        <v>2022</v>
      </c>
      <c r="C872" s="7">
        <v>44706</v>
      </c>
      <c r="D872" s="8"/>
      <c r="E872" s="7">
        <v>44706</v>
      </c>
      <c r="F872" s="9">
        <v>172</v>
      </c>
      <c r="G872" s="7">
        <v>44706</v>
      </c>
      <c r="H872" s="9">
        <v>171</v>
      </c>
      <c r="I872" s="7">
        <v>44706</v>
      </c>
      <c r="J872" s="9">
        <v>141.5</v>
      </c>
      <c r="K872" s="5">
        <f t="shared" si="45"/>
        <v>30.5</v>
      </c>
      <c r="L872" s="6">
        <f t="shared" si="46"/>
        <v>1</v>
      </c>
    </row>
    <row r="873" spans="1:12" x14ac:dyDescent="0.25">
      <c r="A873">
        <f t="shared" si="44"/>
        <v>5</v>
      </c>
      <c r="B873">
        <f t="shared" si="47"/>
        <v>2022</v>
      </c>
      <c r="C873" s="7">
        <v>44707</v>
      </c>
      <c r="D873" s="8"/>
      <c r="E873" s="7">
        <v>44707</v>
      </c>
      <c r="F873" s="9">
        <v>169.5</v>
      </c>
      <c r="G873" s="7">
        <v>44707</v>
      </c>
      <c r="H873" s="9">
        <v>168.5</v>
      </c>
      <c r="I873" s="7">
        <v>44707</v>
      </c>
      <c r="J873" s="9">
        <v>139.5</v>
      </c>
      <c r="K873" s="5">
        <f t="shared" si="45"/>
        <v>30</v>
      </c>
      <c r="L873" s="6">
        <f t="shared" si="46"/>
        <v>1</v>
      </c>
    </row>
    <row r="874" spans="1:12" x14ac:dyDescent="0.25">
      <c r="A874">
        <f t="shared" si="44"/>
        <v>5</v>
      </c>
      <c r="B874">
        <f t="shared" si="47"/>
        <v>2022</v>
      </c>
      <c r="C874" s="7">
        <v>44708</v>
      </c>
      <c r="D874" s="8"/>
      <c r="E874" s="7">
        <v>44708</v>
      </c>
      <c r="F874" s="9">
        <v>166.5</v>
      </c>
      <c r="G874" s="7">
        <v>44708</v>
      </c>
      <c r="H874" s="9">
        <v>165.5</v>
      </c>
      <c r="I874" s="7">
        <v>44708</v>
      </c>
      <c r="J874" s="9">
        <v>139.75</v>
      </c>
      <c r="K874" s="5">
        <f t="shared" si="45"/>
        <v>26.75</v>
      </c>
      <c r="L874" s="6">
        <f t="shared" si="46"/>
        <v>1</v>
      </c>
    </row>
    <row r="875" spans="1:12" x14ac:dyDescent="0.25">
      <c r="A875">
        <f t="shared" si="44"/>
        <v>5</v>
      </c>
      <c r="B875">
        <f t="shared" si="47"/>
        <v>2022</v>
      </c>
      <c r="C875" s="7">
        <v>44712</v>
      </c>
      <c r="D875" s="8"/>
      <c r="E875" s="7">
        <v>44712</v>
      </c>
      <c r="F875" s="9">
        <v>160.5</v>
      </c>
      <c r="G875" s="7">
        <v>44712</v>
      </c>
      <c r="H875" s="9">
        <v>157</v>
      </c>
      <c r="I875" s="7">
        <v>44712</v>
      </c>
      <c r="J875" s="9">
        <v>135.5</v>
      </c>
      <c r="K875" s="5">
        <f t="shared" si="45"/>
        <v>25</v>
      </c>
      <c r="L875" s="6">
        <f t="shared" si="46"/>
        <v>3.5</v>
      </c>
    </row>
    <row r="876" spans="1:12" x14ac:dyDescent="0.25">
      <c r="A876">
        <f t="shared" si="44"/>
        <v>6</v>
      </c>
      <c r="B876">
        <f t="shared" si="47"/>
        <v>2022</v>
      </c>
      <c r="C876" s="7">
        <v>44713</v>
      </c>
      <c r="D876" s="8"/>
      <c r="E876" s="7">
        <v>44713</v>
      </c>
      <c r="F876" s="9">
        <v>164</v>
      </c>
      <c r="G876" s="7">
        <v>44713</v>
      </c>
      <c r="H876" s="9">
        <v>163</v>
      </c>
      <c r="I876" s="7">
        <v>44713</v>
      </c>
      <c r="J876" s="9">
        <v>145.25</v>
      </c>
      <c r="K876" s="5">
        <f t="shared" si="45"/>
        <v>18.75</v>
      </c>
      <c r="L876" s="6">
        <f t="shared" si="46"/>
        <v>1</v>
      </c>
    </row>
    <row r="877" spans="1:12" x14ac:dyDescent="0.25">
      <c r="A877">
        <f t="shared" si="44"/>
        <v>6</v>
      </c>
      <c r="B877">
        <f t="shared" si="47"/>
        <v>2022</v>
      </c>
      <c r="C877" s="7">
        <v>44714</v>
      </c>
      <c r="D877" s="8"/>
      <c r="E877" s="7">
        <v>44714</v>
      </c>
      <c r="F877" s="9">
        <v>174</v>
      </c>
      <c r="G877" s="7">
        <v>44714</v>
      </c>
      <c r="H877" s="9">
        <v>173</v>
      </c>
      <c r="I877" s="7">
        <v>44714</v>
      </c>
      <c r="J877" s="9">
        <v>163</v>
      </c>
      <c r="K877" s="5">
        <f t="shared" si="45"/>
        <v>11</v>
      </c>
      <c r="L877" s="6">
        <f t="shared" si="46"/>
        <v>1</v>
      </c>
    </row>
    <row r="878" spans="1:12" x14ac:dyDescent="0.25">
      <c r="A878">
        <f t="shared" si="44"/>
        <v>6</v>
      </c>
      <c r="B878">
        <f t="shared" si="47"/>
        <v>2022</v>
      </c>
      <c r="C878" s="7">
        <v>44715</v>
      </c>
      <c r="D878" s="8"/>
      <c r="E878" s="7">
        <v>44715</v>
      </c>
      <c r="F878" s="9">
        <v>176</v>
      </c>
      <c r="G878" s="7">
        <v>44715</v>
      </c>
      <c r="H878" s="9">
        <v>175</v>
      </c>
      <c r="I878" s="7">
        <v>44715</v>
      </c>
      <c r="J878" s="9">
        <v>162.5</v>
      </c>
      <c r="K878" s="5">
        <f t="shared" si="45"/>
        <v>13.5</v>
      </c>
      <c r="L878" s="6">
        <f t="shared" si="46"/>
        <v>1</v>
      </c>
    </row>
    <row r="879" spans="1:12" x14ac:dyDescent="0.25">
      <c r="A879">
        <f t="shared" si="44"/>
        <v>6</v>
      </c>
      <c r="B879">
        <f t="shared" si="47"/>
        <v>2022</v>
      </c>
      <c r="C879" s="7">
        <v>44718</v>
      </c>
      <c r="D879" s="8"/>
      <c r="E879" s="7">
        <v>44718</v>
      </c>
      <c r="F879" s="9">
        <v>177.5</v>
      </c>
      <c r="G879" s="7">
        <v>44718</v>
      </c>
      <c r="H879" s="9">
        <v>176.5</v>
      </c>
      <c r="I879" s="7">
        <v>44718</v>
      </c>
      <c r="J879" s="9">
        <v>166</v>
      </c>
      <c r="K879" s="5">
        <f t="shared" si="45"/>
        <v>11.5</v>
      </c>
      <c r="L879" s="6">
        <f t="shared" si="46"/>
        <v>1</v>
      </c>
    </row>
    <row r="880" spans="1:12" x14ac:dyDescent="0.25">
      <c r="A880">
        <f t="shared" si="44"/>
        <v>6</v>
      </c>
      <c r="B880">
        <f t="shared" si="47"/>
        <v>2022</v>
      </c>
      <c r="C880" s="7">
        <v>44719</v>
      </c>
      <c r="D880" s="8"/>
      <c r="E880" s="7">
        <v>44719</v>
      </c>
      <c r="F880" s="9">
        <v>176.5</v>
      </c>
      <c r="G880" s="7">
        <v>44719</v>
      </c>
      <c r="H880" s="9">
        <v>175.5</v>
      </c>
      <c r="I880" s="7">
        <v>44719</v>
      </c>
      <c r="J880" s="9">
        <v>166</v>
      </c>
      <c r="K880" s="5">
        <f t="shared" si="45"/>
        <v>10.5</v>
      </c>
      <c r="L880" s="6">
        <f t="shared" si="46"/>
        <v>1</v>
      </c>
    </row>
    <row r="881" spans="1:12" x14ac:dyDescent="0.25">
      <c r="A881">
        <f t="shared" si="44"/>
        <v>6</v>
      </c>
      <c r="B881">
        <f t="shared" si="47"/>
        <v>2022</v>
      </c>
      <c r="C881" s="7">
        <v>44720</v>
      </c>
      <c r="D881" s="8"/>
      <c r="E881" s="7">
        <v>44720</v>
      </c>
      <c r="F881" s="9">
        <v>176.5</v>
      </c>
      <c r="G881" s="7">
        <v>44720</v>
      </c>
      <c r="H881" s="9">
        <v>175.5</v>
      </c>
      <c r="I881" s="7">
        <v>44720</v>
      </c>
      <c r="J881" s="9">
        <v>165.25</v>
      </c>
      <c r="K881" s="5">
        <f t="shared" si="45"/>
        <v>11.25</v>
      </c>
      <c r="L881" s="6">
        <f t="shared" si="46"/>
        <v>1</v>
      </c>
    </row>
    <row r="882" spans="1:12" x14ac:dyDescent="0.25">
      <c r="A882">
        <f t="shared" si="44"/>
        <v>6</v>
      </c>
      <c r="B882">
        <f t="shared" si="47"/>
        <v>2022</v>
      </c>
      <c r="C882" s="7">
        <v>44721</v>
      </c>
      <c r="D882" s="8"/>
      <c r="E882" s="7">
        <v>44721</v>
      </c>
      <c r="F882" s="9">
        <v>170.75</v>
      </c>
      <c r="G882" s="7">
        <v>44721</v>
      </c>
      <c r="H882" s="9">
        <v>169.75</v>
      </c>
      <c r="I882" s="7">
        <v>44721</v>
      </c>
      <c r="J882" s="9">
        <v>158</v>
      </c>
      <c r="K882" s="5">
        <f t="shared" si="45"/>
        <v>12.75</v>
      </c>
      <c r="L882" s="6">
        <f t="shared" si="46"/>
        <v>1</v>
      </c>
    </row>
    <row r="883" spans="1:12" x14ac:dyDescent="0.25">
      <c r="A883">
        <f t="shared" si="44"/>
        <v>6</v>
      </c>
      <c r="B883">
        <f t="shared" si="47"/>
        <v>2022</v>
      </c>
      <c r="C883" s="7">
        <v>44722</v>
      </c>
      <c r="D883" s="8"/>
      <c r="E883" s="7">
        <v>44722</v>
      </c>
      <c r="F883" s="9">
        <v>166</v>
      </c>
      <c r="G883" s="7">
        <v>44722</v>
      </c>
      <c r="H883" s="9">
        <v>165</v>
      </c>
      <c r="I883" s="7">
        <v>44722</v>
      </c>
      <c r="J883" s="9">
        <v>153.5</v>
      </c>
      <c r="K883" s="5">
        <f t="shared" si="45"/>
        <v>12.5</v>
      </c>
      <c r="L883" s="6">
        <f t="shared" si="46"/>
        <v>1</v>
      </c>
    </row>
    <row r="884" spans="1:12" x14ac:dyDescent="0.25">
      <c r="A884">
        <f t="shared" si="44"/>
        <v>6</v>
      </c>
      <c r="B884">
        <f t="shared" si="47"/>
        <v>2022</v>
      </c>
      <c r="C884" s="7">
        <v>44725</v>
      </c>
      <c r="D884" s="8"/>
      <c r="E884" s="7">
        <v>44725</v>
      </c>
      <c r="F884" s="9">
        <v>165.5</v>
      </c>
      <c r="G884" s="7">
        <v>44725</v>
      </c>
      <c r="H884" s="9">
        <v>164.5</v>
      </c>
      <c r="I884" s="7">
        <v>44725</v>
      </c>
      <c r="J884" s="9">
        <v>153.5</v>
      </c>
      <c r="K884" s="5">
        <f t="shared" si="45"/>
        <v>12</v>
      </c>
      <c r="L884" s="6">
        <f t="shared" si="46"/>
        <v>1</v>
      </c>
    </row>
    <row r="885" spans="1:12" x14ac:dyDescent="0.25">
      <c r="A885">
        <f t="shared" si="44"/>
        <v>6</v>
      </c>
      <c r="B885">
        <f t="shared" si="47"/>
        <v>2022</v>
      </c>
      <c r="C885" s="7">
        <v>44726</v>
      </c>
      <c r="D885" s="8"/>
      <c r="E885" s="7">
        <v>44726</v>
      </c>
      <c r="F885" s="9">
        <v>165.5</v>
      </c>
      <c r="G885" s="7">
        <v>44726</v>
      </c>
      <c r="H885" s="9">
        <v>164.5</v>
      </c>
      <c r="I885" s="7">
        <v>44726</v>
      </c>
      <c r="J885" s="9">
        <v>153.5</v>
      </c>
      <c r="K885" s="5">
        <f t="shared" si="45"/>
        <v>12</v>
      </c>
      <c r="L885" s="6">
        <f t="shared" si="46"/>
        <v>1</v>
      </c>
    </row>
    <row r="886" spans="1:12" x14ac:dyDescent="0.25">
      <c r="A886">
        <f t="shared" si="44"/>
        <v>6</v>
      </c>
      <c r="B886">
        <f t="shared" si="47"/>
        <v>2022</v>
      </c>
      <c r="C886" s="7">
        <v>44727</v>
      </c>
      <c r="D886" s="8"/>
      <c r="E886" s="7">
        <v>44727</v>
      </c>
      <c r="F886" s="9">
        <v>163.5</v>
      </c>
      <c r="G886" s="7">
        <v>44727</v>
      </c>
      <c r="H886" s="9">
        <v>162.5</v>
      </c>
      <c r="I886" s="7">
        <v>44727</v>
      </c>
      <c r="J886" s="9">
        <v>153.25</v>
      </c>
      <c r="K886" s="5">
        <f t="shared" si="45"/>
        <v>10.25</v>
      </c>
      <c r="L886" s="6">
        <f t="shared" si="46"/>
        <v>1</v>
      </c>
    </row>
    <row r="887" spans="1:12" x14ac:dyDescent="0.25">
      <c r="A887">
        <f t="shared" si="44"/>
        <v>6</v>
      </c>
      <c r="B887">
        <f t="shared" si="47"/>
        <v>2022</v>
      </c>
      <c r="C887" s="7">
        <v>44728</v>
      </c>
      <c r="D887" s="8"/>
      <c r="E887" s="7">
        <v>44728</v>
      </c>
      <c r="F887" s="9">
        <v>158.75</v>
      </c>
      <c r="G887" s="7">
        <v>44728</v>
      </c>
      <c r="H887" s="9">
        <v>157.75</v>
      </c>
      <c r="I887" s="7">
        <v>44728</v>
      </c>
      <c r="J887" s="9">
        <v>150.5</v>
      </c>
      <c r="K887" s="5">
        <f t="shared" si="45"/>
        <v>8.25</v>
      </c>
      <c r="L887" s="6">
        <f t="shared" si="46"/>
        <v>1</v>
      </c>
    </row>
    <row r="888" spans="1:12" x14ac:dyDescent="0.25">
      <c r="A888">
        <f t="shared" si="44"/>
        <v>6</v>
      </c>
      <c r="B888">
        <f t="shared" si="47"/>
        <v>2022</v>
      </c>
      <c r="C888" s="7">
        <v>44729</v>
      </c>
      <c r="D888" s="8"/>
      <c r="E888" s="7">
        <v>44729</v>
      </c>
      <c r="F888" s="9">
        <v>157.5</v>
      </c>
      <c r="G888" s="7">
        <v>44729</v>
      </c>
      <c r="H888" s="9">
        <v>156.75</v>
      </c>
      <c r="I888" s="7">
        <v>44729</v>
      </c>
      <c r="J888" s="9">
        <v>148.5</v>
      </c>
      <c r="K888" s="5">
        <f t="shared" si="45"/>
        <v>9</v>
      </c>
      <c r="L888" s="6">
        <f t="shared" si="46"/>
        <v>0.75</v>
      </c>
    </row>
    <row r="889" spans="1:12" x14ac:dyDescent="0.25">
      <c r="A889">
        <f t="shared" si="44"/>
        <v>6</v>
      </c>
      <c r="B889">
        <f t="shared" si="47"/>
        <v>2022</v>
      </c>
      <c r="C889" s="7">
        <v>44733</v>
      </c>
      <c r="D889" s="8"/>
      <c r="E889" s="7">
        <v>44733</v>
      </c>
      <c r="F889" s="9">
        <v>154.5</v>
      </c>
      <c r="G889" s="7">
        <v>44733</v>
      </c>
      <c r="H889" s="9">
        <v>153.5</v>
      </c>
      <c r="I889" s="7">
        <v>44733</v>
      </c>
      <c r="J889" s="9">
        <v>145.25</v>
      </c>
      <c r="K889" s="5">
        <f t="shared" si="45"/>
        <v>9.25</v>
      </c>
      <c r="L889" s="6">
        <f t="shared" si="46"/>
        <v>1</v>
      </c>
    </row>
    <row r="890" spans="1:12" x14ac:dyDescent="0.25">
      <c r="A890">
        <f t="shared" si="44"/>
        <v>6</v>
      </c>
      <c r="B890">
        <f t="shared" si="47"/>
        <v>2022</v>
      </c>
      <c r="C890" s="7">
        <v>44734</v>
      </c>
      <c r="D890" s="8"/>
      <c r="E890" s="7">
        <v>44734</v>
      </c>
      <c r="F890" s="9">
        <v>150.5</v>
      </c>
      <c r="G890" s="7">
        <v>44734</v>
      </c>
      <c r="H890" s="9">
        <v>149.5</v>
      </c>
      <c r="I890" s="7">
        <v>44734</v>
      </c>
      <c r="J890" s="9">
        <v>142.5</v>
      </c>
      <c r="K890" s="5">
        <f t="shared" si="45"/>
        <v>8</v>
      </c>
      <c r="L890" s="6">
        <f t="shared" si="46"/>
        <v>1</v>
      </c>
    </row>
    <row r="891" spans="1:12" x14ac:dyDescent="0.25">
      <c r="A891">
        <f t="shared" si="44"/>
        <v>6</v>
      </c>
      <c r="B891">
        <f t="shared" si="47"/>
        <v>2022</v>
      </c>
      <c r="C891" s="7">
        <v>44735</v>
      </c>
      <c r="D891" s="8"/>
      <c r="E891" s="7">
        <v>44735</v>
      </c>
      <c r="F891" s="9">
        <v>149.5</v>
      </c>
      <c r="G891" s="7">
        <v>44735</v>
      </c>
      <c r="H891" s="9">
        <v>148.5</v>
      </c>
      <c r="I891" s="7">
        <v>44735</v>
      </c>
      <c r="J891" s="9">
        <v>140.75</v>
      </c>
      <c r="K891" s="5">
        <f t="shared" si="45"/>
        <v>8.75</v>
      </c>
      <c r="L891" s="6">
        <f t="shared" si="46"/>
        <v>1</v>
      </c>
    </row>
    <row r="892" spans="1:12" x14ac:dyDescent="0.25">
      <c r="A892">
        <f t="shared" si="44"/>
        <v>6</v>
      </c>
      <c r="B892">
        <f t="shared" si="47"/>
        <v>2022</v>
      </c>
      <c r="C892" s="7">
        <v>44736</v>
      </c>
      <c r="D892" s="8"/>
      <c r="E892" s="7">
        <v>44736</v>
      </c>
      <c r="F892" s="9">
        <v>149.5</v>
      </c>
      <c r="G892" s="7">
        <v>44736</v>
      </c>
      <c r="H892" s="9">
        <v>148.5</v>
      </c>
      <c r="I892" s="7">
        <v>44736</v>
      </c>
      <c r="J892" s="9">
        <v>141</v>
      </c>
      <c r="K892" s="5">
        <f t="shared" si="45"/>
        <v>8.5</v>
      </c>
      <c r="L892" s="6">
        <f t="shared" si="46"/>
        <v>1</v>
      </c>
    </row>
    <row r="893" spans="1:12" x14ac:dyDescent="0.25">
      <c r="A893">
        <f t="shared" si="44"/>
        <v>6</v>
      </c>
      <c r="B893">
        <f t="shared" si="47"/>
        <v>2022</v>
      </c>
      <c r="C893" s="7">
        <v>44739</v>
      </c>
      <c r="D893" s="8"/>
      <c r="E893" s="7">
        <v>44739</v>
      </c>
      <c r="F893" s="9">
        <v>151.75</v>
      </c>
      <c r="G893" s="7">
        <v>44739</v>
      </c>
      <c r="H893" s="9">
        <v>150.75</v>
      </c>
      <c r="I893" s="7">
        <v>44739</v>
      </c>
      <c r="J893" s="9">
        <v>142.25</v>
      </c>
      <c r="K893" s="5">
        <f t="shared" si="45"/>
        <v>9.5</v>
      </c>
      <c r="L893" s="6">
        <f t="shared" si="46"/>
        <v>1</v>
      </c>
    </row>
    <row r="894" spans="1:12" x14ac:dyDescent="0.25">
      <c r="A894">
        <f t="shared" si="44"/>
        <v>6</v>
      </c>
      <c r="B894">
        <f t="shared" si="47"/>
        <v>2022</v>
      </c>
      <c r="C894" s="7">
        <v>44740</v>
      </c>
      <c r="D894" s="8"/>
      <c r="E894" s="7">
        <v>44740</v>
      </c>
      <c r="F894" s="9">
        <v>158.5</v>
      </c>
      <c r="G894" s="7">
        <v>44740</v>
      </c>
      <c r="H894" s="9">
        <v>157.5</v>
      </c>
      <c r="I894" s="7">
        <v>44740</v>
      </c>
      <c r="J894" s="9">
        <v>147</v>
      </c>
      <c r="K894" s="5">
        <f t="shared" si="45"/>
        <v>11.5</v>
      </c>
      <c r="L894" s="6">
        <f t="shared" si="46"/>
        <v>1</v>
      </c>
    </row>
    <row r="895" spans="1:12" x14ac:dyDescent="0.25">
      <c r="A895">
        <f t="shared" si="44"/>
        <v>6</v>
      </c>
      <c r="B895">
        <f t="shared" si="47"/>
        <v>2022</v>
      </c>
      <c r="C895" s="7">
        <v>44741</v>
      </c>
      <c r="D895" s="8"/>
      <c r="E895" s="7">
        <v>44741</v>
      </c>
      <c r="F895" s="9">
        <v>161</v>
      </c>
      <c r="G895" s="7">
        <v>44741</v>
      </c>
      <c r="H895" s="9">
        <v>160</v>
      </c>
      <c r="I895" s="7">
        <v>44741</v>
      </c>
      <c r="J895" s="9">
        <v>149</v>
      </c>
      <c r="K895" s="5">
        <f t="shared" si="45"/>
        <v>12</v>
      </c>
      <c r="L895" s="6">
        <f t="shared" si="46"/>
        <v>1</v>
      </c>
    </row>
    <row r="896" spans="1:12" x14ac:dyDescent="0.25">
      <c r="A896">
        <f t="shared" si="44"/>
        <v>6</v>
      </c>
      <c r="B896">
        <f t="shared" si="47"/>
        <v>2022</v>
      </c>
      <c r="C896" s="7">
        <v>44742</v>
      </c>
      <c r="D896" s="8"/>
      <c r="E896" s="7">
        <v>44742</v>
      </c>
      <c r="F896" s="9">
        <v>161</v>
      </c>
      <c r="G896" s="7">
        <v>44742</v>
      </c>
      <c r="H896" s="9">
        <v>160</v>
      </c>
      <c r="I896" s="7">
        <v>44742</v>
      </c>
      <c r="J896" s="9">
        <v>149.5</v>
      </c>
      <c r="K896" s="5">
        <f t="shared" si="45"/>
        <v>11.5</v>
      </c>
      <c r="L896" s="6">
        <f t="shared" si="46"/>
        <v>1</v>
      </c>
    </row>
    <row r="897" spans="1:12" x14ac:dyDescent="0.25">
      <c r="A897">
        <f t="shared" si="44"/>
        <v>7</v>
      </c>
      <c r="B897">
        <f t="shared" si="47"/>
        <v>2022</v>
      </c>
      <c r="C897" s="7">
        <v>44743</v>
      </c>
      <c r="D897" s="8"/>
      <c r="E897" s="7">
        <v>44743</v>
      </c>
      <c r="F897" s="9">
        <v>161</v>
      </c>
      <c r="G897" s="7">
        <v>44743</v>
      </c>
      <c r="H897" s="9">
        <v>160</v>
      </c>
      <c r="I897" s="7">
        <v>44743</v>
      </c>
      <c r="J897" s="9">
        <v>149.5</v>
      </c>
      <c r="K897" s="5">
        <f t="shared" si="45"/>
        <v>11.5</v>
      </c>
      <c r="L897" s="6">
        <f t="shared" si="46"/>
        <v>1</v>
      </c>
    </row>
    <row r="898" spans="1:12" x14ac:dyDescent="0.25">
      <c r="A898">
        <f t="shared" si="44"/>
        <v>7</v>
      </c>
      <c r="B898">
        <f t="shared" si="47"/>
        <v>2022</v>
      </c>
      <c r="C898" s="7">
        <v>44747</v>
      </c>
      <c r="D898" s="8"/>
      <c r="E898" s="7">
        <v>44747</v>
      </c>
      <c r="F898" s="9">
        <v>153.5</v>
      </c>
      <c r="G898" s="7">
        <v>44747</v>
      </c>
      <c r="H898" s="9">
        <v>152.5</v>
      </c>
      <c r="I898" s="7">
        <v>44747</v>
      </c>
      <c r="J898" s="9">
        <v>142.75</v>
      </c>
      <c r="K898" s="5">
        <f t="shared" si="45"/>
        <v>10.75</v>
      </c>
      <c r="L898" s="6">
        <f t="shared" si="46"/>
        <v>1</v>
      </c>
    </row>
    <row r="899" spans="1:12" x14ac:dyDescent="0.25">
      <c r="A899">
        <f t="shared" si="44"/>
        <v>7</v>
      </c>
      <c r="B899">
        <f t="shared" si="47"/>
        <v>2022</v>
      </c>
      <c r="C899" s="7">
        <v>44748</v>
      </c>
      <c r="D899" s="8"/>
      <c r="E899" s="7">
        <v>44748</v>
      </c>
      <c r="F899" s="9">
        <v>156.5</v>
      </c>
      <c r="G899" s="7">
        <v>44748</v>
      </c>
      <c r="H899" s="9">
        <v>155.5</v>
      </c>
      <c r="I899" s="7">
        <v>44748</v>
      </c>
      <c r="J899" s="9">
        <v>143.5</v>
      </c>
      <c r="K899" s="5">
        <f t="shared" si="45"/>
        <v>13</v>
      </c>
      <c r="L899" s="6">
        <f t="shared" si="46"/>
        <v>1</v>
      </c>
    </row>
    <row r="900" spans="1:12" x14ac:dyDescent="0.25">
      <c r="A900">
        <f t="shared" si="44"/>
        <v>7</v>
      </c>
      <c r="B900">
        <f t="shared" si="47"/>
        <v>2022</v>
      </c>
      <c r="C900" s="7">
        <v>44749</v>
      </c>
      <c r="D900" s="8"/>
      <c r="E900" s="7">
        <v>44749</v>
      </c>
      <c r="F900" s="9">
        <v>156.5</v>
      </c>
      <c r="G900" s="7">
        <v>44749</v>
      </c>
      <c r="H900" s="9">
        <v>155.5</v>
      </c>
      <c r="I900" s="7">
        <v>44749</v>
      </c>
      <c r="J900" s="9">
        <v>145.5</v>
      </c>
      <c r="K900" s="5">
        <f t="shared" si="45"/>
        <v>11</v>
      </c>
      <c r="L900" s="6">
        <f t="shared" si="46"/>
        <v>1</v>
      </c>
    </row>
    <row r="901" spans="1:12" x14ac:dyDescent="0.25">
      <c r="A901">
        <f t="shared" si="44"/>
        <v>7</v>
      </c>
      <c r="B901">
        <f t="shared" si="47"/>
        <v>2022</v>
      </c>
      <c r="C901" s="7">
        <v>44750</v>
      </c>
      <c r="D901" s="8"/>
      <c r="E901" s="7">
        <v>44750</v>
      </c>
      <c r="F901" s="9">
        <v>160</v>
      </c>
      <c r="G901" s="7">
        <v>44750</v>
      </c>
      <c r="H901" s="9">
        <v>159</v>
      </c>
      <c r="I901" s="7">
        <v>44750</v>
      </c>
      <c r="J901" s="9">
        <v>147.25</v>
      </c>
      <c r="K901" s="5">
        <f t="shared" si="45"/>
        <v>12.75</v>
      </c>
      <c r="L901" s="6">
        <f t="shared" si="46"/>
        <v>1</v>
      </c>
    </row>
    <row r="902" spans="1:12" x14ac:dyDescent="0.25">
      <c r="A902">
        <f t="shared" si="44"/>
        <v>7</v>
      </c>
      <c r="B902">
        <f t="shared" si="47"/>
        <v>2022</v>
      </c>
      <c r="C902" s="7">
        <v>44753</v>
      </c>
      <c r="D902" s="8"/>
      <c r="E902" s="7">
        <v>44753</v>
      </c>
      <c r="F902" s="9">
        <v>162.5</v>
      </c>
      <c r="G902" s="7">
        <v>44753</v>
      </c>
      <c r="H902" s="9">
        <v>161.5</v>
      </c>
      <c r="I902" s="7">
        <v>44753</v>
      </c>
      <c r="J902" s="9">
        <v>149.5</v>
      </c>
      <c r="K902" s="5">
        <f t="shared" si="45"/>
        <v>13</v>
      </c>
      <c r="L902" s="6">
        <f t="shared" si="46"/>
        <v>1</v>
      </c>
    </row>
    <row r="903" spans="1:12" x14ac:dyDescent="0.25">
      <c r="A903">
        <f t="shared" si="44"/>
        <v>7</v>
      </c>
      <c r="B903">
        <f t="shared" si="47"/>
        <v>2022</v>
      </c>
      <c r="C903" s="7">
        <v>44754</v>
      </c>
      <c r="D903" s="8"/>
      <c r="E903" s="7">
        <v>44754</v>
      </c>
      <c r="F903" s="9">
        <v>159.5</v>
      </c>
      <c r="G903" s="7">
        <v>44754</v>
      </c>
      <c r="H903" s="9">
        <v>158.5</v>
      </c>
      <c r="I903" s="7">
        <v>44754</v>
      </c>
      <c r="J903" s="9">
        <v>148.25</v>
      </c>
      <c r="K903" s="5">
        <f t="shared" si="45"/>
        <v>11.25</v>
      </c>
      <c r="L903" s="6">
        <f t="shared" si="46"/>
        <v>1</v>
      </c>
    </row>
    <row r="904" spans="1:12" x14ac:dyDescent="0.25">
      <c r="A904">
        <f t="shared" si="44"/>
        <v>7</v>
      </c>
      <c r="B904">
        <f t="shared" si="47"/>
        <v>2022</v>
      </c>
      <c r="C904" s="7">
        <v>44755</v>
      </c>
      <c r="D904" s="8"/>
      <c r="E904" s="7">
        <v>44755</v>
      </c>
      <c r="F904" s="9">
        <v>158.5</v>
      </c>
      <c r="G904" s="7">
        <v>44755</v>
      </c>
      <c r="H904" s="9">
        <v>157.5</v>
      </c>
      <c r="I904" s="7">
        <v>44755</v>
      </c>
      <c r="J904" s="9">
        <v>147.5</v>
      </c>
      <c r="K904" s="5">
        <f t="shared" si="45"/>
        <v>11</v>
      </c>
      <c r="L904" s="6">
        <f t="shared" si="46"/>
        <v>1</v>
      </c>
    </row>
    <row r="905" spans="1:12" x14ac:dyDescent="0.25">
      <c r="A905">
        <f t="shared" si="44"/>
        <v>7</v>
      </c>
      <c r="B905">
        <f t="shared" si="47"/>
        <v>2022</v>
      </c>
      <c r="C905" s="7">
        <v>44756</v>
      </c>
      <c r="D905" s="8"/>
      <c r="E905" s="7">
        <v>44756</v>
      </c>
      <c r="F905" s="9">
        <v>161</v>
      </c>
      <c r="G905" s="7">
        <v>44756</v>
      </c>
      <c r="H905" s="9">
        <v>160</v>
      </c>
      <c r="I905" s="7">
        <v>44756</v>
      </c>
      <c r="J905" s="9">
        <v>150.5</v>
      </c>
      <c r="K905" s="5">
        <f t="shared" si="45"/>
        <v>10.5</v>
      </c>
      <c r="L905" s="6">
        <f t="shared" si="46"/>
        <v>1</v>
      </c>
    </row>
    <row r="906" spans="1:12" x14ac:dyDescent="0.25">
      <c r="A906">
        <f t="shared" si="44"/>
        <v>7</v>
      </c>
      <c r="B906">
        <f t="shared" si="47"/>
        <v>2022</v>
      </c>
      <c r="C906" s="7">
        <v>44757</v>
      </c>
      <c r="D906" s="8"/>
      <c r="E906" s="7">
        <v>44757</v>
      </c>
      <c r="F906" s="9">
        <v>161.5</v>
      </c>
      <c r="G906" s="7">
        <v>44757</v>
      </c>
      <c r="H906" s="9">
        <v>160.5</v>
      </c>
      <c r="I906" s="7">
        <v>44757</v>
      </c>
      <c r="J906" s="9">
        <v>150.5</v>
      </c>
      <c r="K906" s="5">
        <f t="shared" si="45"/>
        <v>11</v>
      </c>
      <c r="L906" s="6">
        <f t="shared" si="46"/>
        <v>1</v>
      </c>
    </row>
    <row r="907" spans="1:12" x14ac:dyDescent="0.25">
      <c r="A907">
        <f t="shared" si="44"/>
        <v>7</v>
      </c>
      <c r="B907">
        <f t="shared" si="47"/>
        <v>2022</v>
      </c>
      <c r="C907" s="7">
        <v>44760</v>
      </c>
      <c r="D907" s="8"/>
      <c r="E907" s="7">
        <v>44760</v>
      </c>
      <c r="F907" s="9">
        <v>165</v>
      </c>
      <c r="G907" s="7">
        <v>44760</v>
      </c>
      <c r="H907" s="9">
        <v>164</v>
      </c>
      <c r="I907" s="7">
        <v>44760</v>
      </c>
      <c r="J907" s="9">
        <v>153.75</v>
      </c>
      <c r="K907" s="5">
        <f t="shared" si="45"/>
        <v>11.25</v>
      </c>
      <c r="L907" s="6">
        <f t="shared" si="46"/>
        <v>1</v>
      </c>
    </row>
    <row r="908" spans="1:12" x14ac:dyDescent="0.25">
      <c r="A908">
        <f t="shared" si="44"/>
        <v>7</v>
      </c>
      <c r="B908">
        <f t="shared" si="47"/>
        <v>2022</v>
      </c>
      <c r="C908" s="7">
        <v>44761</v>
      </c>
      <c r="D908" s="8"/>
      <c r="E908" s="7">
        <v>44761</v>
      </c>
      <c r="F908" s="9">
        <v>164.75</v>
      </c>
      <c r="G908" s="7">
        <v>44761</v>
      </c>
      <c r="H908" s="9">
        <v>163.75</v>
      </c>
      <c r="I908" s="7">
        <v>44761</v>
      </c>
      <c r="J908" s="9">
        <v>153.25</v>
      </c>
      <c r="K908" s="5">
        <f t="shared" si="45"/>
        <v>11.5</v>
      </c>
      <c r="L908" s="6">
        <f t="shared" si="46"/>
        <v>1</v>
      </c>
    </row>
    <row r="909" spans="1:12" x14ac:dyDescent="0.25">
      <c r="A909">
        <f t="shared" si="44"/>
        <v>7</v>
      </c>
      <c r="B909">
        <f t="shared" si="47"/>
        <v>2022</v>
      </c>
      <c r="C909" s="7">
        <v>44762</v>
      </c>
      <c r="D909" s="8"/>
      <c r="E909" s="7">
        <v>44762</v>
      </c>
      <c r="F909" s="9">
        <v>164.25</v>
      </c>
      <c r="G909" s="7">
        <v>44762</v>
      </c>
      <c r="H909" s="9">
        <v>163.25</v>
      </c>
      <c r="I909" s="7">
        <v>44762</v>
      </c>
      <c r="J909" s="9">
        <v>152.5</v>
      </c>
      <c r="K909" s="5">
        <f t="shared" si="45"/>
        <v>11.75</v>
      </c>
      <c r="L909" s="6">
        <f t="shared" si="46"/>
        <v>1</v>
      </c>
    </row>
    <row r="910" spans="1:12" x14ac:dyDescent="0.25">
      <c r="A910">
        <f t="shared" ref="A910:A973" si="48">MONTH(E910)</f>
        <v>7</v>
      </c>
      <c r="B910">
        <f t="shared" si="47"/>
        <v>2022</v>
      </c>
      <c r="C910" s="7">
        <v>44763</v>
      </c>
      <c r="D910" s="8"/>
      <c r="E910" s="7">
        <v>44763</v>
      </c>
      <c r="F910" s="9">
        <v>160.5</v>
      </c>
      <c r="G910" s="7">
        <v>44763</v>
      </c>
      <c r="H910" s="9">
        <v>159.5</v>
      </c>
      <c r="I910" s="7">
        <v>44763</v>
      </c>
      <c r="J910" s="9">
        <v>148.75</v>
      </c>
      <c r="K910" s="5">
        <f t="shared" ref="K910:K973" si="49">F910-J910</f>
        <v>11.75</v>
      </c>
      <c r="L910" s="6">
        <f t="shared" ref="L910:L973" si="50">F910-H910</f>
        <v>1</v>
      </c>
    </row>
    <row r="911" spans="1:12" x14ac:dyDescent="0.25">
      <c r="A911">
        <f t="shared" si="48"/>
        <v>7</v>
      </c>
      <c r="B911">
        <f t="shared" ref="B911:B974" si="51">YEAR(E911)</f>
        <v>2022</v>
      </c>
      <c r="C911" s="7">
        <v>44764</v>
      </c>
      <c r="D911" s="8"/>
      <c r="E911" s="7">
        <v>44764</v>
      </c>
      <c r="F911" s="9">
        <v>161.5</v>
      </c>
      <c r="G911" s="7">
        <v>44764</v>
      </c>
      <c r="H911" s="9">
        <v>160.5</v>
      </c>
      <c r="I911" s="7">
        <v>44764</v>
      </c>
      <c r="J911" s="9">
        <v>150.25</v>
      </c>
      <c r="K911" s="5">
        <f t="shared" si="49"/>
        <v>11.25</v>
      </c>
      <c r="L911" s="6">
        <f t="shared" si="50"/>
        <v>1</v>
      </c>
    </row>
    <row r="912" spans="1:12" x14ac:dyDescent="0.25">
      <c r="A912">
        <f t="shared" si="48"/>
        <v>7</v>
      </c>
      <c r="B912">
        <f t="shared" si="51"/>
        <v>2022</v>
      </c>
      <c r="C912" s="7">
        <v>44767</v>
      </c>
      <c r="D912" s="8"/>
      <c r="E912" s="7">
        <v>44767</v>
      </c>
      <c r="F912" s="9">
        <v>161.5</v>
      </c>
      <c r="G912" s="7">
        <v>44767</v>
      </c>
      <c r="H912" s="9">
        <v>160.5</v>
      </c>
      <c r="I912" s="7">
        <v>44767</v>
      </c>
      <c r="J912" s="9">
        <v>150.25</v>
      </c>
      <c r="K912" s="5">
        <f t="shared" si="49"/>
        <v>11.25</v>
      </c>
      <c r="L912" s="6">
        <f t="shared" si="50"/>
        <v>1</v>
      </c>
    </row>
    <row r="913" spans="1:12" x14ac:dyDescent="0.25">
      <c r="A913">
        <f t="shared" si="48"/>
        <v>7</v>
      </c>
      <c r="B913">
        <f t="shared" si="51"/>
        <v>2022</v>
      </c>
      <c r="C913" s="7">
        <v>44768</v>
      </c>
      <c r="D913" s="8"/>
      <c r="E913" s="7">
        <v>44768</v>
      </c>
      <c r="F913" s="9">
        <v>162.25</v>
      </c>
      <c r="G913" s="7">
        <v>44768</v>
      </c>
      <c r="H913" s="9">
        <v>161.25</v>
      </c>
      <c r="I913" s="7">
        <v>44768</v>
      </c>
      <c r="J913" s="9">
        <v>151.25</v>
      </c>
      <c r="K913" s="5">
        <f t="shared" si="49"/>
        <v>11</v>
      </c>
      <c r="L913" s="6">
        <f t="shared" si="50"/>
        <v>1</v>
      </c>
    </row>
    <row r="914" spans="1:12" x14ac:dyDescent="0.25">
      <c r="A914">
        <f t="shared" si="48"/>
        <v>7</v>
      </c>
      <c r="B914">
        <f t="shared" si="51"/>
        <v>2022</v>
      </c>
      <c r="C914" s="7">
        <v>44769</v>
      </c>
      <c r="D914" s="8"/>
      <c r="E914" s="7">
        <v>44769</v>
      </c>
      <c r="F914" s="9">
        <v>163.75</v>
      </c>
      <c r="G914" s="7">
        <v>44769</v>
      </c>
      <c r="H914" s="9">
        <v>162.75</v>
      </c>
      <c r="I914" s="7">
        <v>44769</v>
      </c>
      <c r="J914" s="9">
        <v>152.5</v>
      </c>
      <c r="K914" s="5">
        <f t="shared" si="49"/>
        <v>11.25</v>
      </c>
      <c r="L914" s="6">
        <f t="shared" si="50"/>
        <v>1</v>
      </c>
    </row>
    <row r="915" spans="1:12" x14ac:dyDescent="0.25">
      <c r="A915">
        <f t="shared" si="48"/>
        <v>7</v>
      </c>
      <c r="B915">
        <f t="shared" si="51"/>
        <v>2022</v>
      </c>
      <c r="C915" s="7">
        <v>44770</v>
      </c>
      <c r="D915" s="8"/>
      <c r="E915" s="7">
        <v>44770</v>
      </c>
      <c r="F915" s="9">
        <v>165.75</v>
      </c>
      <c r="G915" s="7">
        <v>44770</v>
      </c>
      <c r="H915" s="9">
        <v>164.75</v>
      </c>
      <c r="I915" s="7">
        <v>44770</v>
      </c>
      <c r="J915" s="9">
        <v>153.25</v>
      </c>
      <c r="K915" s="5">
        <f t="shared" si="49"/>
        <v>12.5</v>
      </c>
      <c r="L915" s="6">
        <f t="shared" si="50"/>
        <v>1</v>
      </c>
    </row>
    <row r="916" spans="1:12" x14ac:dyDescent="0.25">
      <c r="A916">
        <f t="shared" si="48"/>
        <v>7</v>
      </c>
      <c r="B916">
        <f t="shared" si="51"/>
        <v>2022</v>
      </c>
      <c r="C916" s="7">
        <v>44771</v>
      </c>
      <c r="D916" s="8"/>
      <c r="E916" s="7">
        <v>44771</v>
      </c>
      <c r="F916" s="9">
        <v>168.75</v>
      </c>
      <c r="G916" s="7">
        <v>44771</v>
      </c>
      <c r="H916" s="9">
        <v>167.75</v>
      </c>
      <c r="I916" s="7">
        <v>44771</v>
      </c>
      <c r="J916" s="9">
        <v>155.75</v>
      </c>
      <c r="K916" s="5">
        <f t="shared" si="49"/>
        <v>13</v>
      </c>
      <c r="L916" s="6">
        <f t="shared" si="50"/>
        <v>1</v>
      </c>
    </row>
    <row r="917" spans="1:12" x14ac:dyDescent="0.25">
      <c r="A917">
        <f t="shared" si="48"/>
        <v>8</v>
      </c>
      <c r="B917">
        <f t="shared" si="51"/>
        <v>2022</v>
      </c>
      <c r="C917" s="7">
        <v>44774</v>
      </c>
      <c r="D917" s="8"/>
      <c r="E917" s="7">
        <v>44774</v>
      </c>
      <c r="F917" s="9">
        <v>168.75</v>
      </c>
      <c r="G917" s="7">
        <v>44774</v>
      </c>
      <c r="H917" s="9">
        <v>167.75</v>
      </c>
      <c r="I917" s="7">
        <v>44774</v>
      </c>
      <c r="J917" s="9">
        <v>155.75</v>
      </c>
      <c r="K917" s="5">
        <f t="shared" si="49"/>
        <v>13</v>
      </c>
      <c r="L917" s="6">
        <f t="shared" si="50"/>
        <v>1</v>
      </c>
    </row>
    <row r="918" spans="1:12" x14ac:dyDescent="0.25">
      <c r="A918">
        <f t="shared" si="48"/>
        <v>8</v>
      </c>
      <c r="B918">
        <f t="shared" si="51"/>
        <v>2022</v>
      </c>
      <c r="C918" s="7">
        <v>44775</v>
      </c>
      <c r="D918" s="8"/>
      <c r="E918" s="7">
        <v>44775</v>
      </c>
      <c r="F918" s="9">
        <v>170.5</v>
      </c>
      <c r="G918" s="7">
        <v>44775</v>
      </c>
      <c r="H918" s="9">
        <v>169.5</v>
      </c>
      <c r="I918" s="7">
        <v>44775</v>
      </c>
      <c r="J918" s="9">
        <v>156.75</v>
      </c>
      <c r="K918" s="5">
        <f t="shared" si="49"/>
        <v>13.75</v>
      </c>
      <c r="L918" s="6">
        <f t="shared" si="50"/>
        <v>1</v>
      </c>
    </row>
    <row r="919" spans="1:12" x14ac:dyDescent="0.25">
      <c r="A919">
        <f t="shared" si="48"/>
        <v>8</v>
      </c>
      <c r="B919">
        <f t="shared" si="51"/>
        <v>2022</v>
      </c>
      <c r="C919" s="7">
        <v>44776</v>
      </c>
      <c r="D919" s="8"/>
      <c r="E919" s="7">
        <v>44776</v>
      </c>
      <c r="F919" s="9">
        <v>171.5</v>
      </c>
      <c r="G919" s="7">
        <v>44776</v>
      </c>
      <c r="H919" s="9">
        <v>170.5</v>
      </c>
      <c r="I919" s="7">
        <v>44776</v>
      </c>
      <c r="J919" s="9">
        <v>157.25</v>
      </c>
      <c r="K919" s="5">
        <f t="shared" si="49"/>
        <v>14.25</v>
      </c>
      <c r="L919" s="6">
        <f t="shared" si="50"/>
        <v>1</v>
      </c>
    </row>
    <row r="920" spans="1:12" x14ac:dyDescent="0.25">
      <c r="A920">
        <f t="shared" si="48"/>
        <v>8</v>
      </c>
      <c r="B920">
        <f t="shared" si="51"/>
        <v>2022</v>
      </c>
      <c r="C920" s="7">
        <v>44777</v>
      </c>
      <c r="D920" s="8"/>
      <c r="E920" s="7">
        <v>44777</v>
      </c>
      <c r="F920" s="9">
        <v>173.25</v>
      </c>
      <c r="G920" s="7">
        <v>44777</v>
      </c>
      <c r="H920" s="9">
        <v>172.25</v>
      </c>
      <c r="I920" s="7">
        <v>44777</v>
      </c>
      <c r="J920" s="9">
        <v>159</v>
      </c>
      <c r="K920" s="5">
        <f t="shared" si="49"/>
        <v>14.25</v>
      </c>
      <c r="L920" s="6">
        <f t="shared" si="50"/>
        <v>1</v>
      </c>
    </row>
    <row r="921" spans="1:12" x14ac:dyDescent="0.25">
      <c r="A921">
        <f t="shared" si="48"/>
        <v>8</v>
      </c>
      <c r="B921">
        <f t="shared" si="51"/>
        <v>2022</v>
      </c>
      <c r="C921" s="7">
        <v>44778</v>
      </c>
      <c r="D921" s="8"/>
      <c r="E921" s="7">
        <v>44778</v>
      </c>
      <c r="F921" s="9">
        <v>176.5</v>
      </c>
      <c r="G921" s="7">
        <v>44778</v>
      </c>
      <c r="H921" s="9">
        <v>175.5</v>
      </c>
      <c r="I921" s="7">
        <v>44778</v>
      </c>
      <c r="J921" s="9">
        <v>161.5</v>
      </c>
      <c r="K921" s="5">
        <f t="shared" si="49"/>
        <v>15</v>
      </c>
      <c r="L921" s="6">
        <f t="shared" si="50"/>
        <v>1</v>
      </c>
    </row>
    <row r="922" spans="1:12" x14ac:dyDescent="0.25">
      <c r="A922">
        <f t="shared" si="48"/>
        <v>8</v>
      </c>
      <c r="B922">
        <f t="shared" si="51"/>
        <v>2022</v>
      </c>
      <c r="C922" s="7">
        <v>44781</v>
      </c>
      <c r="D922" s="8"/>
      <c r="E922" s="7">
        <v>44781</v>
      </c>
      <c r="F922" s="9">
        <v>177.75</v>
      </c>
      <c r="G922" s="7">
        <v>44781</v>
      </c>
      <c r="H922" s="9">
        <v>176.75</v>
      </c>
      <c r="I922" s="7">
        <v>44781</v>
      </c>
      <c r="J922" s="9">
        <v>163.25</v>
      </c>
      <c r="K922" s="5">
        <f t="shared" si="49"/>
        <v>14.5</v>
      </c>
      <c r="L922" s="6">
        <f t="shared" si="50"/>
        <v>1</v>
      </c>
    </row>
    <row r="923" spans="1:12" x14ac:dyDescent="0.25">
      <c r="A923">
        <f t="shared" si="48"/>
        <v>8</v>
      </c>
      <c r="B923">
        <f t="shared" si="51"/>
        <v>2022</v>
      </c>
      <c r="C923" s="7">
        <v>44782</v>
      </c>
      <c r="D923" s="8"/>
      <c r="E923" s="7">
        <v>44782</v>
      </c>
      <c r="F923" s="9">
        <v>177</v>
      </c>
      <c r="G923" s="7">
        <v>44782</v>
      </c>
      <c r="H923" s="9">
        <v>176</v>
      </c>
      <c r="I923" s="7">
        <v>44782</v>
      </c>
      <c r="J923" s="9">
        <v>162.25</v>
      </c>
      <c r="K923" s="5">
        <f t="shared" si="49"/>
        <v>14.75</v>
      </c>
      <c r="L923" s="6">
        <f t="shared" si="50"/>
        <v>1</v>
      </c>
    </row>
    <row r="924" spans="1:12" x14ac:dyDescent="0.25">
      <c r="A924">
        <f t="shared" si="48"/>
        <v>8</v>
      </c>
      <c r="B924">
        <f t="shared" si="51"/>
        <v>2022</v>
      </c>
      <c r="C924" s="7">
        <v>44783</v>
      </c>
      <c r="D924" s="8"/>
      <c r="E924" s="7">
        <v>44783</v>
      </c>
      <c r="F924" s="9">
        <v>177.5</v>
      </c>
      <c r="G924" s="7">
        <v>44783</v>
      </c>
      <c r="H924" s="9">
        <v>176.5</v>
      </c>
      <c r="I924" s="7">
        <v>44783</v>
      </c>
      <c r="J924" s="9">
        <v>163.5</v>
      </c>
      <c r="K924" s="5">
        <f t="shared" si="49"/>
        <v>14</v>
      </c>
      <c r="L924" s="6">
        <f t="shared" si="50"/>
        <v>1</v>
      </c>
    </row>
    <row r="925" spans="1:12" x14ac:dyDescent="0.25">
      <c r="A925">
        <f t="shared" si="48"/>
        <v>8</v>
      </c>
      <c r="B925">
        <f t="shared" si="51"/>
        <v>2022</v>
      </c>
      <c r="C925" s="7">
        <v>44784</v>
      </c>
      <c r="D925" s="8"/>
      <c r="E925" s="7">
        <v>44784</v>
      </c>
      <c r="F925" s="9">
        <v>180.5</v>
      </c>
      <c r="G925" s="7">
        <v>44784</v>
      </c>
      <c r="H925" s="9">
        <v>179.5</v>
      </c>
      <c r="I925" s="7">
        <v>44784</v>
      </c>
      <c r="J925" s="9">
        <v>165.75</v>
      </c>
      <c r="K925" s="5">
        <f t="shared" si="49"/>
        <v>14.75</v>
      </c>
      <c r="L925" s="6">
        <f t="shared" si="50"/>
        <v>1</v>
      </c>
    </row>
    <row r="926" spans="1:12" x14ac:dyDescent="0.25">
      <c r="A926">
        <f t="shared" si="48"/>
        <v>8</v>
      </c>
      <c r="B926">
        <f t="shared" si="51"/>
        <v>2022</v>
      </c>
      <c r="C926" s="7">
        <v>44785</v>
      </c>
      <c r="D926" s="8"/>
      <c r="E926" s="7">
        <v>44785</v>
      </c>
      <c r="F926" s="9">
        <v>181.75</v>
      </c>
      <c r="G926" s="7">
        <v>44785</v>
      </c>
      <c r="H926" s="9">
        <v>180.75</v>
      </c>
      <c r="I926" s="7">
        <v>44785</v>
      </c>
      <c r="J926" s="9">
        <v>167.75</v>
      </c>
      <c r="K926" s="5">
        <f t="shared" si="49"/>
        <v>14</v>
      </c>
      <c r="L926" s="6">
        <f t="shared" si="50"/>
        <v>1</v>
      </c>
    </row>
    <row r="927" spans="1:12" x14ac:dyDescent="0.25">
      <c r="A927">
        <f t="shared" si="48"/>
        <v>8</v>
      </c>
      <c r="B927">
        <f t="shared" si="51"/>
        <v>2022</v>
      </c>
      <c r="C927" s="7">
        <v>44788</v>
      </c>
      <c r="D927" s="8"/>
      <c r="E927" s="7">
        <v>44788</v>
      </c>
      <c r="F927" s="9">
        <v>182.5</v>
      </c>
      <c r="G927" s="7">
        <v>44788</v>
      </c>
      <c r="H927" s="9">
        <v>181.5</v>
      </c>
      <c r="I927" s="7">
        <v>44788</v>
      </c>
      <c r="J927" s="9">
        <v>168</v>
      </c>
      <c r="K927" s="5">
        <f t="shared" si="49"/>
        <v>14.5</v>
      </c>
      <c r="L927" s="6">
        <f t="shared" si="50"/>
        <v>1</v>
      </c>
    </row>
    <row r="928" spans="1:12" x14ac:dyDescent="0.25">
      <c r="A928">
        <f t="shared" si="48"/>
        <v>8</v>
      </c>
      <c r="B928">
        <f t="shared" si="51"/>
        <v>2022</v>
      </c>
      <c r="C928" s="7">
        <v>44789</v>
      </c>
      <c r="D928" s="8"/>
      <c r="E928" s="7">
        <v>44789</v>
      </c>
      <c r="F928" s="9">
        <v>181</v>
      </c>
      <c r="G928" s="7">
        <v>44789</v>
      </c>
      <c r="H928" s="9">
        <v>180</v>
      </c>
      <c r="I928" s="7">
        <v>44789</v>
      </c>
      <c r="J928" s="9">
        <v>166.25</v>
      </c>
      <c r="K928" s="5">
        <f t="shared" si="49"/>
        <v>14.75</v>
      </c>
      <c r="L928" s="6">
        <f t="shared" si="50"/>
        <v>1</v>
      </c>
    </row>
    <row r="929" spans="1:12" x14ac:dyDescent="0.25">
      <c r="A929">
        <f t="shared" si="48"/>
        <v>8</v>
      </c>
      <c r="B929">
        <f t="shared" si="51"/>
        <v>2022</v>
      </c>
      <c r="C929" s="7">
        <v>44790</v>
      </c>
      <c r="D929" s="8"/>
      <c r="E929" s="7">
        <v>44790</v>
      </c>
      <c r="F929" s="9">
        <v>178.5</v>
      </c>
      <c r="G929" s="7">
        <v>44790</v>
      </c>
      <c r="H929" s="9">
        <v>177.5</v>
      </c>
      <c r="I929" s="7">
        <v>44790</v>
      </c>
      <c r="J929" s="9">
        <v>164.75</v>
      </c>
      <c r="K929" s="5">
        <f t="shared" si="49"/>
        <v>13.75</v>
      </c>
      <c r="L929" s="6">
        <f t="shared" si="50"/>
        <v>1</v>
      </c>
    </row>
    <row r="930" spans="1:12" x14ac:dyDescent="0.25">
      <c r="A930">
        <f t="shared" si="48"/>
        <v>8</v>
      </c>
      <c r="B930">
        <f t="shared" si="51"/>
        <v>2022</v>
      </c>
      <c r="C930" s="7">
        <v>44791</v>
      </c>
      <c r="D930" s="8"/>
      <c r="E930" s="7">
        <v>44791</v>
      </c>
      <c r="F930" s="9">
        <v>177</v>
      </c>
      <c r="G930" s="7">
        <v>44791</v>
      </c>
      <c r="H930" s="9">
        <v>176</v>
      </c>
      <c r="I930" s="7">
        <v>44791</v>
      </c>
      <c r="J930" s="9">
        <v>161</v>
      </c>
      <c r="K930" s="5">
        <f t="shared" si="49"/>
        <v>16</v>
      </c>
      <c r="L930" s="6">
        <f t="shared" si="50"/>
        <v>1</v>
      </c>
    </row>
    <row r="931" spans="1:12" x14ac:dyDescent="0.25">
      <c r="A931">
        <f t="shared" si="48"/>
        <v>8</v>
      </c>
      <c r="B931">
        <f t="shared" si="51"/>
        <v>2022</v>
      </c>
      <c r="C931" s="7">
        <v>44792</v>
      </c>
      <c r="D931" s="8"/>
      <c r="E931" s="7">
        <v>44792</v>
      </c>
      <c r="F931" s="9">
        <v>174.5</v>
      </c>
      <c r="G931" s="7">
        <v>44792</v>
      </c>
      <c r="H931" s="9">
        <v>173.5</v>
      </c>
      <c r="I931" s="7">
        <v>44792</v>
      </c>
      <c r="J931" s="9">
        <v>161.5</v>
      </c>
      <c r="K931" s="5">
        <f t="shared" si="49"/>
        <v>13</v>
      </c>
      <c r="L931" s="6">
        <f t="shared" si="50"/>
        <v>1</v>
      </c>
    </row>
    <row r="932" spans="1:12" x14ac:dyDescent="0.25">
      <c r="A932">
        <f t="shared" si="48"/>
        <v>8</v>
      </c>
      <c r="B932">
        <f t="shared" si="51"/>
        <v>2022</v>
      </c>
      <c r="C932" s="7">
        <v>44795</v>
      </c>
      <c r="D932" s="8"/>
      <c r="E932" s="7">
        <v>44795</v>
      </c>
      <c r="F932" s="9">
        <v>176.5</v>
      </c>
      <c r="G932" s="7">
        <v>44795</v>
      </c>
      <c r="H932" s="9">
        <v>175.5</v>
      </c>
      <c r="I932" s="7">
        <v>44795</v>
      </c>
      <c r="J932" s="9">
        <v>162.25</v>
      </c>
      <c r="K932" s="5">
        <f t="shared" si="49"/>
        <v>14.25</v>
      </c>
      <c r="L932" s="6">
        <f t="shared" si="50"/>
        <v>1</v>
      </c>
    </row>
    <row r="933" spans="1:12" x14ac:dyDescent="0.25">
      <c r="A933">
        <f t="shared" si="48"/>
        <v>8</v>
      </c>
      <c r="B933">
        <f t="shared" si="51"/>
        <v>2022</v>
      </c>
      <c r="C933" s="7">
        <v>44796</v>
      </c>
      <c r="D933" s="8"/>
      <c r="E933" s="7">
        <v>44796</v>
      </c>
      <c r="F933" s="9">
        <v>178.5</v>
      </c>
      <c r="G933" s="7">
        <v>44796</v>
      </c>
      <c r="H933" s="9">
        <v>177.5</v>
      </c>
      <c r="I933" s="7">
        <v>44796</v>
      </c>
      <c r="J933" s="9">
        <v>163.75</v>
      </c>
      <c r="K933" s="5">
        <f t="shared" si="49"/>
        <v>14.75</v>
      </c>
      <c r="L933" s="6">
        <f t="shared" si="50"/>
        <v>1</v>
      </c>
    </row>
    <row r="934" spans="1:12" x14ac:dyDescent="0.25">
      <c r="A934">
        <f t="shared" si="48"/>
        <v>8</v>
      </c>
      <c r="B934">
        <f t="shared" si="51"/>
        <v>2022</v>
      </c>
      <c r="C934" s="7">
        <v>44797</v>
      </c>
      <c r="D934" s="8"/>
      <c r="E934" s="7">
        <v>44797</v>
      </c>
      <c r="F934" s="9">
        <v>177.5</v>
      </c>
      <c r="G934" s="7">
        <v>44797</v>
      </c>
      <c r="H934" s="9">
        <v>176.5</v>
      </c>
      <c r="I934" s="7">
        <v>44797</v>
      </c>
      <c r="J934" s="9">
        <v>162</v>
      </c>
      <c r="K934" s="5">
        <f t="shared" si="49"/>
        <v>15.5</v>
      </c>
      <c r="L934" s="6">
        <f t="shared" si="50"/>
        <v>1</v>
      </c>
    </row>
    <row r="935" spans="1:12" x14ac:dyDescent="0.25">
      <c r="A935">
        <f t="shared" si="48"/>
        <v>8</v>
      </c>
      <c r="B935">
        <f t="shared" si="51"/>
        <v>2022</v>
      </c>
      <c r="C935" s="7">
        <v>44798</v>
      </c>
      <c r="D935" s="8"/>
      <c r="E935" s="7">
        <v>44798</v>
      </c>
      <c r="F935" s="9">
        <v>176</v>
      </c>
      <c r="G935" s="7">
        <v>44798</v>
      </c>
      <c r="H935" s="9">
        <v>175</v>
      </c>
      <c r="I935" s="7">
        <v>44798</v>
      </c>
      <c r="J935" s="9">
        <v>162</v>
      </c>
      <c r="K935" s="5">
        <f t="shared" si="49"/>
        <v>14</v>
      </c>
      <c r="L935" s="6">
        <f t="shared" si="50"/>
        <v>1</v>
      </c>
    </row>
    <row r="936" spans="1:12" x14ac:dyDescent="0.25">
      <c r="A936">
        <f t="shared" si="48"/>
        <v>8</v>
      </c>
      <c r="B936">
        <f t="shared" si="51"/>
        <v>2022</v>
      </c>
      <c r="C936" s="7">
        <v>44799</v>
      </c>
      <c r="D936" s="8"/>
      <c r="E936" s="7">
        <v>44799</v>
      </c>
      <c r="F936" s="9">
        <v>176.75</v>
      </c>
      <c r="G936" s="7">
        <v>44799</v>
      </c>
      <c r="H936" s="9">
        <v>175.75</v>
      </c>
      <c r="I936" s="7">
        <v>44799</v>
      </c>
      <c r="J936" s="9">
        <v>162.5</v>
      </c>
      <c r="K936" s="5">
        <f t="shared" si="49"/>
        <v>14.25</v>
      </c>
      <c r="L936" s="6">
        <f t="shared" si="50"/>
        <v>1</v>
      </c>
    </row>
    <row r="937" spans="1:12" x14ac:dyDescent="0.25">
      <c r="A937">
        <f t="shared" si="48"/>
        <v>8</v>
      </c>
      <c r="B937">
        <f t="shared" si="51"/>
        <v>2022</v>
      </c>
      <c r="C937" s="7">
        <v>44802</v>
      </c>
      <c r="D937" s="8"/>
      <c r="E937" s="7">
        <v>44802</v>
      </c>
      <c r="F937" s="9">
        <v>176.5</v>
      </c>
      <c r="G937" s="7">
        <v>44802</v>
      </c>
      <c r="H937" s="9">
        <v>175.5</v>
      </c>
      <c r="I937" s="7">
        <v>44802</v>
      </c>
      <c r="J937" s="9">
        <v>162.5</v>
      </c>
      <c r="K937" s="5">
        <f t="shared" si="49"/>
        <v>14</v>
      </c>
      <c r="L937" s="6">
        <f t="shared" si="50"/>
        <v>1</v>
      </c>
    </row>
    <row r="938" spans="1:12" x14ac:dyDescent="0.25">
      <c r="A938">
        <f t="shared" si="48"/>
        <v>8</v>
      </c>
      <c r="B938">
        <f t="shared" si="51"/>
        <v>2022</v>
      </c>
      <c r="C938" s="7">
        <v>44803</v>
      </c>
      <c r="D938" s="8"/>
      <c r="E938" s="7">
        <v>44803</v>
      </c>
      <c r="F938" s="9">
        <v>175</v>
      </c>
      <c r="G938" s="7">
        <v>44803</v>
      </c>
      <c r="H938" s="9">
        <v>174</v>
      </c>
      <c r="I938" s="7">
        <v>44803</v>
      </c>
      <c r="J938" s="9">
        <v>160.25</v>
      </c>
      <c r="K938" s="5">
        <f t="shared" si="49"/>
        <v>14.75</v>
      </c>
      <c r="L938" s="6">
        <f t="shared" si="50"/>
        <v>1</v>
      </c>
    </row>
    <row r="939" spans="1:12" x14ac:dyDescent="0.25">
      <c r="A939">
        <f t="shared" si="48"/>
        <v>8</v>
      </c>
      <c r="B939">
        <f t="shared" si="51"/>
        <v>2022</v>
      </c>
      <c r="C939" s="7">
        <v>44804</v>
      </c>
      <c r="D939" s="8"/>
      <c r="E939" s="7">
        <v>44804</v>
      </c>
      <c r="F939" s="9">
        <v>176.25</v>
      </c>
      <c r="G939" s="7">
        <v>44804</v>
      </c>
      <c r="H939" s="9">
        <v>175.25</v>
      </c>
      <c r="I939" s="7">
        <v>44804</v>
      </c>
      <c r="J939" s="9">
        <v>162.25</v>
      </c>
      <c r="K939" s="5">
        <f t="shared" si="49"/>
        <v>14</v>
      </c>
      <c r="L939" s="6">
        <f t="shared" si="50"/>
        <v>1</v>
      </c>
    </row>
    <row r="940" spans="1:12" x14ac:dyDescent="0.25">
      <c r="A940">
        <f t="shared" si="48"/>
        <v>9</v>
      </c>
      <c r="B940">
        <f t="shared" si="51"/>
        <v>2022</v>
      </c>
      <c r="C940" s="7">
        <v>44805</v>
      </c>
      <c r="D940" s="8"/>
      <c r="E940" s="7">
        <v>44805</v>
      </c>
      <c r="F940" s="9">
        <v>175.25</v>
      </c>
      <c r="G940" s="7">
        <v>44805</v>
      </c>
      <c r="H940" s="9">
        <v>174.25</v>
      </c>
      <c r="I940" s="7">
        <v>44805</v>
      </c>
      <c r="J940" s="9">
        <v>161.75</v>
      </c>
      <c r="K940" s="5">
        <f t="shared" si="49"/>
        <v>13.5</v>
      </c>
      <c r="L940" s="6">
        <f t="shared" si="50"/>
        <v>1</v>
      </c>
    </row>
    <row r="941" spans="1:12" x14ac:dyDescent="0.25">
      <c r="A941">
        <f t="shared" si="48"/>
        <v>9</v>
      </c>
      <c r="B941">
        <f t="shared" si="51"/>
        <v>2022</v>
      </c>
      <c r="C941" s="7">
        <v>44806</v>
      </c>
      <c r="D941" s="8"/>
      <c r="E941" s="7">
        <v>44806</v>
      </c>
      <c r="F941" s="9">
        <v>175.5</v>
      </c>
      <c r="G941" s="7">
        <v>44806</v>
      </c>
      <c r="H941" s="9">
        <v>174.5</v>
      </c>
      <c r="I941" s="7">
        <v>44806</v>
      </c>
      <c r="J941" s="9">
        <v>163.5</v>
      </c>
      <c r="K941" s="5">
        <f t="shared" si="49"/>
        <v>12</v>
      </c>
      <c r="L941" s="6">
        <f t="shared" si="50"/>
        <v>1</v>
      </c>
    </row>
    <row r="942" spans="1:12" x14ac:dyDescent="0.25">
      <c r="A942">
        <f t="shared" si="48"/>
        <v>9</v>
      </c>
      <c r="B942">
        <f t="shared" si="51"/>
        <v>2022</v>
      </c>
      <c r="C942" s="7">
        <v>44810</v>
      </c>
      <c r="D942" s="8"/>
      <c r="E942" s="7">
        <v>44810</v>
      </c>
      <c r="F942" s="9">
        <v>174.5</v>
      </c>
      <c r="G942" s="7">
        <v>44810</v>
      </c>
      <c r="H942" s="9">
        <v>173.5</v>
      </c>
      <c r="I942" s="7">
        <v>44810</v>
      </c>
      <c r="J942" s="9">
        <v>162.25</v>
      </c>
      <c r="K942" s="5">
        <f t="shared" si="49"/>
        <v>12.25</v>
      </c>
      <c r="L942" s="6">
        <f t="shared" si="50"/>
        <v>1</v>
      </c>
    </row>
    <row r="943" spans="1:12" x14ac:dyDescent="0.25">
      <c r="A943">
        <f t="shared" si="48"/>
        <v>9</v>
      </c>
      <c r="B943">
        <f t="shared" si="51"/>
        <v>2022</v>
      </c>
      <c r="C943" s="7">
        <v>44811</v>
      </c>
      <c r="D943" s="8"/>
      <c r="E943" s="7">
        <v>44811</v>
      </c>
      <c r="F943" s="9">
        <v>174.5</v>
      </c>
      <c r="G943" s="7">
        <v>44811</v>
      </c>
      <c r="H943" s="9">
        <v>173.5</v>
      </c>
      <c r="I943" s="7">
        <v>44811</v>
      </c>
      <c r="J943" s="9">
        <v>162.25</v>
      </c>
      <c r="K943" s="5">
        <f t="shared" si="49"/>
        <v>12.25</v>
      </c>
      <c r="L943" s="6">
        <f t="shared" si="50"/>
        <v>1</v>
      </c>
    </row>
    <row r="944" spans="1:12" x14ac:dyDescent="0.25">
      <c r="A944">
        <f t="shared" si="48"/>
        <v>9</v>
      </c>
      <c r="B944">
        <f t="shared" si="51"/>
        <v>2022</v>
      </c>
      <c r="C944" s="7">
        <v>44812</v>
      </c>
      <c r="D944" s="8"/>
      <c r="E944" s="7">
        <v>44812</v>
      </c>
      <c r="F944" s="9">
        <v>174.5</v>
      </c>
      <c r="G944" s="7">
        <v>44812</v>
      </c>
      <c r="H944" s="9">
        <v>173.5</v>
      </c>
      <c r="I944" s="7">
        <v>44812</v>
      </c>
      <c r="J944" s="9">
        <v>163.5</v>
      </c>
      <c r="K944" s="5">
        <f t="shared" si="49"/>
        <v>11</v>
      </c>
      <c r="L944" s="6">
        <f t="shared" si="50"/>
        <v>1</v>
      </c>
    </row>
    <row r="945" spans="1:12" x14ac:dyDescent="0.25">
      <c r="A945">
        <f t="shared" si="48"/>
        <v>9</v>
      </c>
      <c r="B945">
        <f t="shared" si="51"/>
        <v>2022</v>
      </c>
      <c r="C945" s="7">
        <v>44813</v>
      </c>
      <c r="D945" s="8"/>
      <c r="E945" s="7">
        <v>44813</v>
      </c>
      <c r="F945" s="9">
        <v>174.5</v>
      </c>
      <c r="G945" s="7">
        <v>44813</v>
      </c>
      <c r="H945" s="9">
        <v>173.5</v>
      </c>
      <c r="I945" s="7">
        <v>44813</v>
      </c>
      <c r="J945" s="9">
        <v>162.5</v>
      </c>
      <c r="K945" s="5">
        <f t="shared" si="49"/>
        <v>12</v>
      </c>
      <c r="L945" s="6">
        <f t="shared" si="50"/>
        <v>1</v>
      </c>
    </row>
    <row r="946" spans="1:12" x14ac:dyDescent="0.25">
      <c r="A946">
        <f t="shared" si="48"/>
        <v>9</v>
      </c>
      <c r="B946">
        <f t="shared" si="51"/>
        <v>2022</v>
      </c>
      <c r="C946" s="7">
        <v>44816</v>
      </c>
      <c r="D946" s="8"/>
      <c r="E946" s="7">
        <v>44816</v>
      </c>
      <c r="F946" s="9">
        <v>176.25</v>
      </c>
      <c r="G946" s="7">
        <v>44816</v>
      </c>
      <c r="H946" s="9">
        <v>175.25</v>
      </c>
      <c r="I946" s="7">
        <v>44816</v>
      </c>
      <c r="J946" s="9">
        <v>163.125</v>
      </c>
      <c r="K946" s="5">
        <f t="shared" si="49"/>
        <v>13.125</v>
      </c>
      <c r="L946" s="6">
        <f t="shared" si="50"/>
        <v>1</v>
      </c>
    </row>
    <row r="947" spans="1:12" x14ac:dyDescent="0.25">
      <c r="A947">
        <f t="shared" si="48"/>
        <v>9</v>
      </c>
      <c r="B947">
        <f t="shared" si="51"/>
        <v>2022</v>
      </c>
      <c r="C947" s="7">
        <v>44817</v>
      </c>
      <c r="D947" s="8"/>
      <c r="E947" s="7">
        <v>44817</v>
      </c>
      <c r="F947" s="9">
        <v>176.375</v>
      </c>
      <c r="G947" s="7">
        <v>44817</v>
      </c>
      <c r="H947" s="9">
        <v>175.375</v>
      </c>
      <c r="I947" s="7">
        <v>44817</v>
      </c>
      <c r="J947" s="9">
        <v>164.5</v>
      </c>
      <c r="K947" s="5">
        <f t="shared" si="49"/>
        <v>11.875</v>
      </c>
      <c r="L947" s="6">
        <f t="shared" si="50"/>
        <v>1</v>
      </c>
    </row>
    <row r="948" spans="1:12" x14ac:dyDescent="0.25">
      <c r="A948">
        <f t="shared" si="48"/>
        <v>9</v>
      </c>
      <c r="B948">
        <f t="shared" si="51"/>
        <v>2022</v>
      </c>
      <c r="C948" s="7">
        <v>44818</v>
      </c>
      <c r="D948" s="8"/>
      <c r="E948" s="7">
        <v>44818</v>
      </c>
      <c r="F948" s="9">
        <v>176.5</v>
      </c>
      <c r="G948" s="7">
        <v>44818</v>
      </c>
      <c r="H948" s="9">
        <v>175.5</v>
      </c>
      <c r="I948" s="7">
        <v>44818</v>
      </c>
      <c r="J948" s="9">
        <v>165.25</v>
      </c>
      <c r="K948" s="5">
        <f t="shared" si="49"/>
        <v>11.25</v>
      </c>
      <c r="L948" s="6">
        <f t="shared" si="50"/>
        <v>1</v>
      </c>
    </row>
    <row r="949" spans="1:12" x14ac:dyDescent="0.25">
      <c r="A949">
        <f t="shared" si="48"/>
        <v>9</v>
      </c>
      <c r="B949">
        <f t="shared" si="51"/>
        <v>2022</v>
      </c>
      <c r="C949" s="7">
        <v>44819</v>
      </c>
      <c r="D949" s="8"/>
      <c r="E949" s="7">
        <v>44819</v>
      </c>
      <c r="F949" s="9">
        <v>177.25</v>
      </c>
      <c r="G949" s="7">
        <v>44819</v>
      </c>
      <c r="H949" s="9">
        <v>176.25</v>
      </c>
      <c r="I949" s="7">
        <v>44819</v>
      </c>
      <c r="J949" s="9">
        <v>165.75</v>
      </c>
      <c r="K949" s="5">
        <f t="shared" si="49"/>
        <v>11.5</v>
      </c>
      <c r="L949" s="6">
        <f t="shared" si="50"/>
        <v>1</v>
      </c>
    </row>
    <row r="950" spans="1:12" x14ac:dyDescent="0.25">
      <c r="A950">
        <f t="shared" si="48"/>
        <v>9</v>
      </c>
      <c r="B950">
        <f t="shared" si="51"/>
        <v>2022</v>
      </c>
      <c r="C950" s="7">
        <v>44820</v>
      </c>
      <c r="D950" s="8"/>
      <c r="E950" s="7">
        <v>44820</v>
      </c>
      <c r="F950" s="9">
        <v>176.5</v>
      </c>
      <c r="G950" s="7">
        <v>44820</v>
      </c>
      <c r="H950" s="9">
        <v>175.5</v>
      </c>
      <c r="I950" s="7">
        <v>44820</v>
      </c>
      <c r="J950" s="9">
        <v>164.75</v>
      </c>
      <c r="K950" s="5">
        <f t="shared" si="49"/>
        <v>11.75</v>
      </c>
      <c r="L950" s="6">
        <f t="shared" si="50"/>
        <v>1</v>
      </c>
    </row>
    <row r="951" spans="1:12" x14ac:dyDescent="0.25">
      <c r="A951">
        <f t="shared" si="48"/>
        <v>9</v>
      </c>
      <c r="B951">
        <f t="shared" si="51"/>
        <v>2022</v>
      </c>
      <c r="C951" s="7">
        <v>44823</v>
      </c>
      <c r="D951" s="8"/>
      <c r="E951" s="7">
        <v>44823</v>
      </c>
      <c r="F951" s="9">
        <v>175.75</v>
      </c>
      <c r="G951" s="7">
        <v>44823</v>
      </c>
      <c r="H951" s="9">
        <v>174.75</v>
      </c>
      <c r="I951" s="7">
        <v>44823</v>
      </c>
      <c r="J951" s="9">
        <v>163.75</v>
      </c>
      <c r="K951" s="5">
        <f t="shared" si="49"/>
        <v>12</v>
      </c>
      <c r="L951" s="6">
        <f t="shared" si="50"/>
        <v>1</v>
      </c>
    </row>
    <row r="952" spans="1:12" x14ac:dyDescent="0.25">
      <c r="A952">
        <f t="shared" si="48"/>
        <v>9</v>
      </c>
      <c r="B952">
        <f t="shared" si="51"/>
        <v>2022</v>
      </c>
      <c r="C952" s="7">
        <v>44824</v>
      </c>
      <c r="D952" s="8"/>
      <c r="E952" s="7">
        <v>44824</v>
      </c>
      <c r="F952" s="9">
        <v>175.75</v>
      </c>
      <c r="G952" s="7">
        <v>44824</v>
      </c>
      <c r="H952" s="9">
        <v>174.75</v>
      </c>
      <c r="I952" s="7">
        <v>44824</v>
      </c>
      <c r="J952" s="9">
        <v>163.75</v>
      </c>
      <c r="K952" s="5">
        <f t="shared" si="49"/>
        <v>12</v>
      </c>
      <c r="L952" s="6">
        <f t="shared" si="50"/>
        <v>1</v>
      </c>
    </row>
    <row r="953" spans="1:12" x14ac:dyDescent="0.25">
      <c r="A953">
        <f t="shared" si="48"/>
        <v>9</v>
      </c>
      <c r="B953">
        <f t="shared" si="51"/>
        <v>2022</v>
      </c>
      <c r="C953" s="7">
        <v>44825</v>
      </c>
      <c r="D953" s="8"/>
      <c r="E953" s="7">
        <v>44825</v>
      </c>
      <c r="F953" s="9">
        <v>175</v>
      </c>
      <c r="G953" s="7">
        <v>44825</v>
      </c>
      <c r="H953" s="9">
        <v>174</v>
      </c>
      <c r="I953" s="7">
        <v>44825</v>
      </c>
      <c r="J953" s="9">
        <v>161.75</v>
      </c>
      <c r="K953" s="5">
        <f t="shared" si="49"/>
        <v>13.25</v>
      </c>
      <c r="L953" s="6">
        <f t="shared" si="50"/>
        <v>1</v>
      </c>
    </row>
    <row r="954" spans="1:12" x14ac:dyDescent="0.25">
      <c r="A954">
        <f t="shared" si="48"/>
        <v>9</v>
      </c>
      <c r="B954">
        <f t="shared" si="51"/>
        <v>2022</v>
      </c>
      <c r="C954" s="7">
        <v>44826</v>
      </c>
      <c r="D954" s="8"/>
      <c r="E954" s="7">
        <v>44826</v>
      </c>
      <c r="F954" s="9">
        <v>175</v>
      </c>
      <c r="G954" s="7">
        <v>44826</v>
      </c>
      <c r="H954" s="9">
        <v>174</v>
      </c>
      <c r="I954" s="7">
        <v>44826</v>
      </c>
      <c r="J954" s="9">
        <v>162.25</v>
      </c>
      <c r="K954" s="5">
        <f t="shared" si="49"/>
        <v>12.75</v>
      </c>
      <c r="L954" s="6">
        <f t="shared" si="50"/>
        <v>1</v>
      </c>
    </row>
    <row r="955" spans="1:12" x14ac:dyDescent="0.25">
      <c r="A955">
        <f t="shared" si="48"/>
        <v>9</v>
      </c>
      <c r="B955">
        <f t="shared" si="51"/>
        <v>2022</v>
      </c>
      <c r="C955" s="7">
        <v>44827</v>
      </c>
      <c r="D955" s="8"/>
      <c r="E955" s="7">
        <v>44827</v>
      </c>
      <c r="F955" s="9">
        <v>172.75</v>
      </c>
      <c r="G955" s="7">
        <v>44827</v>
      </c>
      <c r="H955" s="9">
        <v>171.75</v>
      </c>
      <c r="I955" s="7">
        <v>44827</v>
      </c>
      <c r="J955" s="9">
        <v>159.75</v>
      </c>
      <c r="K955" s="5">
        <f t="shared" si="49"/>
        <v>13</v>
      </c>
      <c r="L955" s="6">
        <f t="shared" si="50"/>
        <v>1</v>
      </c>
    </row>
    <row r="956" spans="1:12" x14ac:dyDescent="0.25">
      <c r="A956">
        <f t="shared" si="48"/>
        <v>9</v>
      </c>
      <c r="B956">
        <f t="shared" si="51"/>
        <v>2022</v>
      </c>
      <c r="C956" s="7">
        <v>44830</v>
      </c>
      <c r="D956" s="8"/>
      <c r="E956" s="7">
        <v>44830</v>
      </c>
      <c r="F956" s="9">
        <v>172.5</v>
      </c>
      <c r="G956" s="7">
        <v>44830</v>
      </c>
      <c r="H956" s="9">
        <v>171.5</v>
      </c>
      <c r="I956" s="7">
        <v>44830</v>
      </c>
      <c r="J956" s="9">
        <v>157.5</v>
      </c>
      <c r="K956" s="5">
        <f t="shared" si="49"/>
        <v>15</v>
      </c>
      <c r="L956" s="6">
        <f t="shared" si="50"/>
        <v>1</v>
      </c>
    </row>
    <row r="957" spans="1:12" x14ac:dyDescent="0.25">
      <c r="A957">
        <f t="shared" si="48"/>
        <v>9</v>
      </c>
      <c r="B957">
        <f t="shared" si="51"/>
        <v>2022</v>
      </c>
      <c r="C957" s="7">
        <v>44831</v>
      </c>
      <c r="D957" s="8"/>
      <c r="E957" s="7">
        <v>44831</v>
      </c>
      <c r="F957" s="9">
        <v>173</v>
      </c>
      <c r="G957" s="7">
        <v>44831</v>
      </c>
      <c r="H957" s="9">
        <v>172</v>
      </c>
      <c r="I957" s="7">
        <v>44831</v>
      </c>
      <c r="J957" s="9">
        <v>157.75</v>
      </c>
      <c r="K957" s="5">
        <f t="shared" si="49"/>
        <v>15.25</v>
      </c>
      <c r="L957" s="6">
        <f t="shared" si="50"/>
        <v>1</v>
      </c>
    </row>
    <row r="958" spans="1:12" x14ac:dyDescent="0.25">
      <c r="A958">
        <f t="shared" si="48"/>
        <v>9</v>
      </c>
      <c r="B958">
        <f t="shared" si="51"/>
        <v>2022</v>
      </c>
      <c r="C958" s="7">
        <v>44832</v>
      </c>
      <c r="D958" s="8"/>
      <c r="E958" s="7">
        <v>44832</v>
      </c>
      <c r="F958" s="9">
        <v>173</v>
      </c>
      <c r="G958" s="7">
        <v>44832</v>
      </c>
      <c r="H958" s="9">
        <v>172</v>
      </c>
      <c r="I958" s="7">
        <v>44832</v>
      </c>
      <c r="J958" s="9">
        <v>157</v>
      </c>
      <c r="K958" s="5">
        <f t="shared" si="49"/>
        <v>16</v>
      </c>
      <c r="L958" s="6">
        <f t="shared" si="50"/>
        <v>1</v>
      </c>
    </row>
    <row r="959" spans="1:12" x14ac:dyDescent="0.25">
      <c r="A959">
        <f t="shared" si="48"/>
        <v>9</v>
      </c>
      <c r="B959">
        <f t="shared" si="51"/>
        <v>2022</v>
      </c>
      <c r="C959" s="7">
        <v>44833</v>
      </c>
      <c r="D959" s="8"/>
      <c r="E959" s="7">
        <v>44833</v>
      </c>
      <c r="F959" s="9">
        <v>174.5</v>
      </c>
      <c r="G959" s="7">
        <v>44833</v>
      </c>
      <c r="H959" s="9">
        <v>173.5</v>
      </c>
      <c r="I959" s="7">
        <v>44833</v>
      </c>
      <c r="J959" s="9">
        <v>159.5</v>
      </c>
      <c r="K959" s="5">
        <f t="shared" si="49"/>
        <v>15</v>
      </c>
      <c r="L959" s="6">
        <f t="shared" si="50"/>
        <v>1</v>
      </c>
    </row>
    <row r="960" spans="1:12" x14ac:dyDescent="0.25">
      <c r="A960">
        <f t="shared" si="48"/>
        <v>9</v>
      </c>
      <c r="B960">
        <f t="shared" si="51"/>
        <v>2022</v>
      </c>
      <c r="C960" s="7">
        <v>44834</v>
      </c>
      <c r="D960" s="8"/>
      <c r="E960" s="7">
        <v>44834</v>
      </c>
      <c r="F960" s="9">
        <v>172.25</v>
      </c>
      <c r="G960" s="7">
        <v>44834</v>
      </c>
      <c r="H960" s="9">
        <v>171.25</v>
      </c>
      <c r="I960" s="7">
        <v>44834</v>
      </c>
      <c r="J960" s="9">
        <v>156</v>
      </c>
      <c r="K960" s="5">
        <f t="shared" si="49"/>
        <v>16.25</v>
      </c>
      <c r="L960" s="6">
        <f t="shared" si="50"/>
        <v>1</v>
      </c>
    </row>
    <row r="961" spans="1:12" x14ac:dyDescent="0.25">
      <c r="A961">
        <f t="shared" si="48"/>
        <v>10</v>
      </c>
      <c r="B961">
        <f t="shared" si="51"/>
        <v>2022</v>
      </c>
      <c r="C961" s="7">
        <v>44837</v>
      </c>
      <c r="D961" s="8"/>
      <c r="E961" s="7">
        <v>44837</v>
      </c>
      <c r="F961" s="9">
        <v>174.5</v>
      </c>
      <c r="G961" s="7">
        <v>44837</v>
      </c>
      <c r="H961" s="9">
        <v>173.5</v>
      </c>
      <c r="I961" s="7">
        <v>44837</v>
      </c>
      <c r="J961" s="9">
        <v>156.75</v>
      </c>
      <c r="K961" s="5">
        <f t="shared" si="49"/>
        <v>17.75</v>
      </c>
      <c r="L961" s="6">
        <f t="shared" si="50"/>
        <v>1</v>
      </c>
    </row>
    <row r="962" spans="1:12" x14ac:dyDescent="0.25">
      <c r="A962">
        <f t="shared" si="48"/>
        <v>10</v>
      </c>
      <c r="B962">
        <f t="shared" si="51"/>
        <v>2022</v>
      </c>
      <c r="C962" s="7">
        <v>44838</v>
      </c>
      <c r="D962" s="8"/>
      <c r="E962" s="7">
        <v>44838</v>
      </c>
      <c r="F962" s="9">
        <v>178</v>
      </c>
      <c r="G962" s="7">
        <v>44838</v>
      </c>
      <c r="H962" s="9">
        <v>177</v>
      </c>
      <c r="I962" s="7">
        <v>44838</v>
      </c>
      <c r="J962" s="9">
        <v>160</v>
      </c>
      <c r="K962" s="5">
        <f t="shared" si="49"/>
        <v>18</v>
      </c>
      <c r="L962" s="6">
        <f t="shared" si="50"/>
        <v>1</v>
      </c>
    </row>
    <row r="963" spans="1:12" x14ac:dyDescent="0.25">
      <c r="A963">
        <f t="shared" si="48"/>
        <v>10</v>
      </c>
      <c r="B963">
        <f t="shared" si="51"/>
        <v>2022</v>
      </c>
      <c r="C963" s="7">
        <v>44839</v>
      </c>
      <c r="D963" s="8"/>
      <c r="E963" s="7">
        <v>44839</v>
      </c>
      <c r="F963" s="9">
        <v>176.75</v>
      </c>
      <c r="G963" s="7">
        <v>44839</v>
      </c>
      <c r="H963" s="9">
        <v>175.75</v>
      </c>
      <c r="I963" s="7">
        <v>44839</v>
      </c>
      <c r="J963" s="9">
        <v>158.25</v>
      </c>
      <c r="K963" s="5">
        <f t="shared" si="49"/>
        <v>18.5</v>
      </c>
      <c r="L963" s="6">
        <f t="shared" si="50"/>
        <v>1</v>
      </c>
    </row>
    <row r="964" spans="1:12" x14ac:dyDescent="0.25">
      <c r="A964">
        <f t="shared" si="48"/>
        <v>10</v>
      </c>
      <c r="B964">
        <f t="shared" si="51"/>
        <v>2022</v>
      </c>
      <c r="C964" s="7">
        <v>44840</v>
      </c>
      <c r="D964" s="8"/>
      <c r="E964" s="7">
        <v>44840</v>
      </c>
      <c r="F964" s="9">
        <v>178.5</v>
      </c>
      <c r="G964" s="7">
        <v>44840</v>
      </c>
      <c r="H964" s="9">
        <v>177.5</v>
      </c>
      <c r="I964" s="7">
        <v>44840</v>
      </c>
      <c r="J964" s="9">
        <v>158.75</v>
      </c>
      <c r="K964" s="5">
        <f t="shared" si="49"/>
        <v>19.75</v>
      </c>
      <c r="L964" s="6">
        <f t="shared" si="50"/>
        <v>1</v>
      </c>
    </row>
    <row r="965" spans="1:12" x14ac:dyDescent="0.25">
      <c r="A965">
        <f t="shared" si="48"/>
        <v>10</v>
      </c>
      <c r="B965">
        <f t="shared" si="51"/>
        <v>2022</v>
      </c>
      <c r="C965" s="7">
        <v>44841</v>
      </c>
      <c r="D965" s="8"/>
      <c r="E965" s="7">
        <v>44841</v>
      </c>
      <c r="F965" s="9">
        <v>177</v>
      </c>
      <c r="G965" s="7">
        <v>44841</v>
      </c>
      <c r="H965" s="9">
        <v>176</v>
      </c>
      <c r="I965" s="7">
        <v>44841</v>
      </c>
      <c r="J965" s="9">
        <v>157.5</v>
      </c>
      <c r="K965" s="5">
        <f t="shared" si="49"/>
        <v>19.5</v>
      </c>
      <c r="L965" s="6">
        <f t="shared" si="50"/>
        <v>1</v>
      </c>
    </row>
    <row r="966" spans="1:12" x14ac:dyDescent="0.25">
      <c r="A966">
        <f t="shared" si="48"/>
        <v>10</v>
      </c>
      <c r="B966">
        <f t="shared" si="51"/>
        <v>2022</v>
      </c>
      <c r="C966" s="7">
        <v>44844</v>
      </c>
      <c r="D966" s="8"/>
      <c r="E966" s="7">
        <v>44844</v>
      </c>
      <c r="F966" s="9">
        <v>177</v>
      </c>
      <c r="G966" s="7">
        <v>44844</v>
      </c>
      <c r="H966" s="9">
        <v>176</v>
      </c>
      <c r="I966" s="7">
        <v>44844</v>
      </c>
      <c r="J966" s="9">
        <v>157.5</v>
      </c>
      <c r="K966" s="5">
        <f t="shared" si="49"/>
        <v>19.5</v>
      </c>
      <c r="L966" s="6">
        <f t="shared" si="50"/>
        <v>1</v>
      </c>
    </row>
    <row r="967" spans="1:12" x14ac:dyDescent="0.25">
      <c r="A967">
        <f t="shared" si="48"/>
        <v>10</v>
      </c>
      <c r="B967">
        <f t="shared" si="51"/>
        <v>2022</v>
      </c>
      <c r="C967" s="7">
        <v>44845</v>
      </c>
      <c r="D967" s="8"/>
      <c r="E967" s="7">
        <v>44845</v>
      </c>
      <c r="F967" s="9">
        <v>180</v>
      </c>
      <c r="G967" s="7">
        <v>44845</v>
      </c>
      <c r="H967" s="9">
        <v>179</v>
      </c>
      <c r="I967" s="7">
        <v>44845</v>
      </c>
      <c r="J967" s="9">
        <v>159.5</v>
      </c>
      <c r="K967" s="5">
        <f t="shared" si="49"/>
        <v>20.5</v>
      </c>
      <c r="L967" s="6">
        <f t="shared" si="50"/>
        <v>1</v>
      </c>
    </row>
    <row r="968" spans="1:12" x14ac:dyDescent="0.25">
      <c r="A968">
        <f t="shared" si="48"/>
        <v>10</v>
      </c>
      <c r="B968">
        <f t="shared" si="51"/>
        <v>2022</v>
      </c>
      <c r="C968" s="7">
        <v>44846</v>
      </c>
      <c r="D968" s="8"/>
      <c r="E968" s="7">
        <v>44846</v>
      </c>
      <c r="F968" s="9">
        <v>179</v>
      </c>
      <c r="G968" s="7">
        <v>44846</v>
      </c>
      <c r="H968" s="9">
        <v>178</v>
      </c>
      <c r="I968" s="7">
        <v>44846</v>
      </c>
      <c r="J968" s="9">
        <v>159</v>
      </c>
      <c r="K968" s="5">
        <f t="shared" si="49"/>
        <v>20</v>
      </c>
      <c r="L968" s="6">
        <f t="shared" si="50"/>
        <v>1</v>
      </c>
    </row>
    <row r="969" spans="1:12" x14ac:dyDescent="0.25">
      <c r="A969">
        <f t="shared" si="48"/>
        <v>10</v>
      </c>
      <c r="B969">
        <f t="shared" si="51"/>
        <v>2022</v>
      </c>
      <c r="C969" s="7">
        <v>44847</v>
      </c>
      <c r="D969" s="8"/>
      <c r="E969" s="7">
        <v>44847</v>
      </c>
      <c r="F969" s="9">
        <v>179.5</v>
      </c>
      <c r="G969" s="7">
        <v>44847</v>
      </c>
      <c r="H969" s="9">
        <v>178.5</v>
      </c>
      <c r="I969" s="7">
        <v>44847</v>
      </c>
      <c r="J969" s="9">
        <v>160</v>
      </c>
      <c r="K969" s="5">
        <f t="shared" si="49"/>
        <v>19.5</v>
      </c>
      <c r="L969" s="6">
        <f t="shared" si="50"/>
        <v>1</v>
      </c>
    </row>
    <row r="970" spans="1:12" x14ac:dyDescent="0.25">
      <c r="A970">
        <f t="shared" si="48"/>
        <v>10</v>
      </c>
      <c r="B970">
        <f t="shared" si="51"/>
        <v>2022</v>
      </c>
      <c r="C970" s="7">
        <v>44848</v>
      </c>
      <c r="D970" s="8"/>
      <c r="E970" s="7">
        <v>44848</v>
      </c>
      <c r="F970" s="9">
        <v>181.5</v>
      </c>
      <c r="G970" s="7">
        <v>44848</v>
      </c>
      <c r="H970" s="9">
        <v>180.5</v>
      </c>
      <c r="I970" s="7">
        <v>44848</v>
      </c>
      <c r="J970" s="9">
        <v>161.5</v>
      </c>
      <c r="K970" s="5">
        <f t="shared" si="49"/>
        <v>20</v>
      </c>
      <c r="L970" s="6">
        <f t="shared" si="50"/>
        <v>1</v>
      </c>
    </row>
    <row r="971" spans="1:12" x14ac:dyDescent="0.25">
      <c r="A971">
        <f t="shared" si="48"/>
        <v>10</v>
      </c>
      <c r="B971">
        <f t="shared" si="51"/>
        <v>2022</v>
      </c>
      <c r="C971" s="7">
        <v>44851</v>
      </c>
      <c r="D971" s="8"/>
      <c r="E971" s="7">
        <v>44851</v>
      </c>
      <c r="F971" s="9">
        <v>183.25</v>
      </c>
      <c r="G971" s="7">
        <v>44851</v>
      </c>
      <c r="H971" s="9">
        <v>182.25</v>
      </c>
      <c r="I971" s="7">
        <v>44851</v>
      </c>
      <c r="J971" s="9">
        <v>162.5</v>
      </c>
      <c r="K971" s="5">
        <f t="shared" si="49"/>
        <v>20.75</v>
      </c>
      <c r="L971" s="6">
        <f t="shared" si="50"/>
        <v>1</v>
      </c>
    </row>
    <row r="972" spans="1:12" x14ac:dyDescent="0.25">
      <c r="A972">
        <f t="shared" si="48"/>
        <v>10</v>
      </c>
      <c r="B972">
        <f t="shared" si="51"/>
        <v>2022</v>
      </c>
      <c r="C972" s="7">
        <v>44852</v>
      </c>
      <c r="D972" s="8"/>
      <c r="E972" s="7">
        <v>44852</v>
      </c>
      <c r="F972" s="9">
        <v>184.75</v>
      </c>
      <c r="G972" s="7">
        <v>44852</v>
      </c>
      <c r="H972" s="9">
        <v>183.75</v>
      </c>
      <c r="I972" s="7">
        <v>44852</v>
      </c>
      <c r="J972" s="9">
        <v>163.75</v>
      </c>
      <c r="K972" s="5">
        <f t="shared" si="49"/>
        <v>21</v>
      </c>
      <c r="L972" s="6">
        <f t="shared" si="50"/>
        <v>1</v>
      </c>
    </row>
    <row r="973" spans="1:12" x14ac:dyDescent="0.25">
      <c r="A973">
        <f t="shared" si="48"/>
        <v>10</v>
      </c>
      <c r="B973">
        <f t="shared" si="51"/>
        <v>2022</v>
      </c>
      <c r="C973" s="7">
        <v>44853</v>
      </c>
      <c r="D973" s="8"/>
      <c r="E973" s="7">
        <v>44853</v>
      </c>
      <c r="F973" s="9">
        <v>183.5</v>
      </c>
      <c r="G973" s="7">
        <v>44853</v>
      </c>
      <c r="H973" s="9">
        <v>182.5</v>
      </c>
      <c r="I973" s="7">
        <v>44853</v>
      </c>
      <c r="J973" s="9">
        <v>163.25</v>
      </c>
      <c r="K973" s="5">
        <f t="shared" si="49"/>
        <v>20.25</v>
      </c>
      <c r="L973" s="6">
        <f t="shared" si="50"/>
        <v>1</v>
      </c>
    </row>
    <row r="974" spans="1:12" x14ac:dyDescent="0.25">
      <c r="A974">
        <f t="shared" ref="A974:A1037" si="52">MONTH(E974)</f>
        <v>10</v>
      </c>
      <c r="B974">
        <f t="shared" si="51"/>
        <v>2022</v>
      </c>
      <c r="C974" s="7">
        <v>44854</v>
      </c>
      <c r="D974" s="8"/>
      <c r="E974" s="7">
        <v>44854</v>
      </c>
      <c r="F974" s="9">
        <v>181.25</v>
      </c>
      <c r="G974" s="7">
        <v>44854</v>
      </c>
      <c r="H974" s="9">
        <v>180.25</v>
      </c>
      <c r="I974" s="7">
        <v>44854</v>
      </c>
      <c r="J974" s="9">
        <v>162.75</v>
      </c>
      <c r="K974" s="5">
        <f t="shared" ref="K974:K1037" si="53">F974-J974</f>
        <v>18.5</v>
      </c>
      <c r="L974" s="6">
        <f t="shared" ref="L974:L1037" si="54">F974-H974</f>
        <v>1</v>
      </c>
    </row>
    <row r="975" spans="1:12" x14ac:dyDescent="0.25">
      <c r="A975">
        <f t="shared" si="52"/>
        <v>10</v>
      </c>
      <c r="B975">
        <f t="shared" ref="B975:B1038" si="55">YEAR(E975)</f>
        <v>2022</v>
      </c>
      <c r="C975" s="7">
        <v>44855</v>
      </c>
      <c r="D975" s="8"/>
      <c r="E975" s="7">
        <v>44855</v>
      </c>
      <c r="F975" s="9">
        <v>184.5</v>
      </c>
      <c r="G975" s="7">
        <v>44855</v>
      </c>
      <c r="H975" s="9">
        <v>183.5</v>
      </c>
      <c r="I975" s="7">
        <v>44855</v>
      </c>
      <c r="J975" s="9">
        <v>163.5</v>
      </c>
      <c r="K975" s="5">
        <f t="shared" si="53"/>
        <v>21</v>
      </c>
      <c r="L975" s="6">
        <f t="shared" si="54"/>
        <v>1</v>
      </c>
    </row>
    <row r="976" spans="1:12" x14ac:dyDescent="0.25">
      <c r="A976">
        <f t="shared" si="52"/>
        <v>10</v>
      </c>
      <c r="B976">
        <f t="shared" si="55"/>
        <v>2022</v>
      </c>
      <c r="C976" s="7">
        <v>44858</v>
      </c>
      <c r="D976" s="8"/>
      <c r="E976" s="7">
        <v>44858</v>
      </c>
      <c r="F976" s="9">
        <v>181.5</v>
      </c>
      <c r="G976" s="7">
        <v>44858</v>
      </c>
      <c r="H976" s="9">
        <v>180.5</v>
      </c>
      <c r="I976" s="7">
        <v>44858</v>
      </c>
      <c r="J976" s="9">
        <v>164.625</v>
      </c>
      <c r="K976" s="5">
        <f t="shared" si="53"/>
        <v>16.875</v>
      </c>
      <c r="L976" s="6">
        <f t="shared" si="54"/>
        <v>1</v>
      </c>
    </row>
    <row r="977" spans="1:12" x14ac:dyDescent="0.25">
      <c r="A977">
        <f t="shared" si="52"/>
        <v>10</v>
      </c>
      <c r="B977">
        <f t="shared" si="55"/>
        <v>2022</v>
      </c>
      <c r="C977" s="7">
        <v>44859</v>
      </c>
      <c r="D977" s="8"/>
      <c r="E977" s="7">
        <v>44859</v>
      </c>
      <c r="F977" s="9">
        <v>183</v>
      </c>
      <c r="G977" s="7">
        <v>44859</v>
      </c>
      <c r="H977" s="9">
        <v>182</v>
      </c>
      <c r="I977" s="7">
        <v>44859</v>
      </c>
      <c r="J977" s="9">
        <v>165.75</v>
      </c>
      <c r="K977" s="5">
        <f t="shared" si="53"/>
        <v>17.25</v>
      </c>
      <c r="L977" s="6">
        <f t="shared" si="54"/>
        <v>1</v>
      </c>
    </row>
    <row r="978" spans="1:12" x14ac:dyDescent="0.25">
      <c r="A978">
        <f t="shared" si="52"/>
        <v>10</v>
      </c>
      <c r="B978">
        <f t="shared" si="55"/>
        <v>2022</v>
      </c>
      <c r="C978" s="7">
        <v>44860</v>
      </c>
      <c r="D978" s="8"/>
      <c r="E978" s="7">
        <v>44860</v>
      </c>
      <c r="F978" s="9">
        <v>185.5</v>
      </c>
      <c r="G978" s="7">
        <v>44860</v>
      </c>
      <c r="H978" s="9">
        <v>184.5</v>
      </c>
      <c r="I978" s="7">
        <v>44860</v>
      </c>
      <c r="J978" s="9">
        <v>167.5</v>
      </c>
      <c r="K978" s="5">
        <f t="shared" si="53"/>
        <v>18</v>
      </c>
      <c r="L978" s="6">
        <f t="shared" si="54"/>
        <v>1</v>
      </c>
    </row>
    <row r="979" spans="1:12" x14ac:dyDescent="0.25">
      <c r="A979">
        <f t="shared" si="52"/>
        <v>10</v>
      </c>
      <c r="B979">
        <f t="shared" si="55"/>
        <v>2022</v>
      </c>
      <c r="C979" s="7">
        <v>44861</v>
      </c>
      <c r="D979" s="8"/>
      <c r="E979" s="7">
        <v>44861</v>
      </c>
      <c r="F979" s="9">
        <v>186.5</v>
      </c>
      <c r="G979" s="7">
        <v>44861</v>
      </c>
      <c r="H979" s="9">
        <v>185.5</v>
      </c>
      <c r="I979" s="7">
        <v>44861</v>
      </c>
      <c r="J979" s="9">
        <v>169.25</v>
      </c>
      <c r="K979" s="5">
        <f t="shared" si="53"/>
        <v>17.25</v>
      </c>
      <c r="L979" s="6">
        <f t="shared" si="54"/>
        <v>1</v>
      </c>
    </row>
    <row r="980" spans="1:12" x14ac:dyDescent="0.25">
      <c r="A980">
        <f t="shared" si="52"/>
        <v>10</v>
      </c>
      <c r="B980">
        <f t="shared" si="55"/>
        <v>2022</v>
      </c>
      <c r="C980" s="7">
        <v>44862</v>
      </c>
      <c r="D980" s="8"/>
      <c r="E980" s="7">
        <v>44862</v>
      </c>
      <c r="F980" s="9">
        <v>185.5</v>
      </c>
      <c r="G980" s="7">
        <v>44862</v>
      </c>
      <c r="H980" s="9">
        <v>184.5</v>
      </c>
      <c r="I980" s="7">
        <v>44862</v>
      </c>
      <c r="J980" s="9">
        <v>168.25</v>
      </c>
      <c r="K980" s="5">
        <f t="shared" si="53"/>
        <v>17.25</v>
      </c>
      <c r="L980" s="6">
        <f t="shared" si="54"/>
        <v>1</v>
      </c>
    </row>
    <row r="981" spans="1:12" x14ac:dyDescent="0.25">
      <c r="A981">
        <f t="shared" si="52"/>
        <v>10</v>
      </c>
      <c r="B981">
        <f t="shared" si="55"/>
        <v>2022</v>
      </c>
      <c r="C981" s="7">
        <v>44865</v>
      </c>
      <c r="D981" s="8"/>
      <c r="E981" s="7">
        <v>44865</v>
      </c>
      <c r="F981" s="9">
        <v>186.5</v>
      </c>
      <c r="G981" s="7">
        <v>44865</v>
      </c>
      <c r="H981" s="9">
        <v>185.5</v>
      </c>
      <c r="I981" s="7">
        <v>44865</v>
      </c>
      <c r="J981" s="9">
        <v>171.25</v>
      </c>
      <c r="K981" s="5">
        <f t="shared" si="53"/>
        <v>15.25</v>
      </c>
      <c r="L981" s="6">
        <f t="shared" si="54"/>
        <v>1</v>
      </c>
    </row>
    <row r="982" spans="1:12" x14ac:dyDescent="0.25">
      <c r="A982">
        <f t="shared" si="52"/>
        <v>11</v>
      </c>
      <c r="B982">
        <f t="shared" si="55"/>
        <v>2022</v>
      </c>
      <c r="C982" s="7">
        <v>44866</v>
      </c>
      <c r="D982" s="8"/>
      <c r="E982" s="7">
        <v>44866</v>
      </c>
      <c r="F982" s="9">
        <v>190.5</v>
      </c>
      <c r="G982" s="7">
        <v>44866</v>
      </c>
      <c r="H982" s="9">
        <v>189.5</v>
      </c>
      <c r="I982" s="7">
        <v>44866</v>
      </c>
      <c r="J982" s="9">
        <v>173.25</v>
      </c>
      <c r="K982" s="5">
        <f t="shared" si="53"/>
        <v>17.25</v>
      </c>
      <c r="L982" s="6">
        <f t="shared" si="54"/>
        <v>1</v>
      </c>
    </row>
    <row r="983" spans="1:12" x14ac:dyDescent="0.25">
      <c r="A983">
        <f t="shared" si="52"/>
        <v>11</v>
      </c>
      <c r="B983">
        <f t="shared" si="55"/>
        <v>2022</v>
      </c>
      <c r="C983" s="7">
        <v>44867</v>
      </c>
      <c r="D983" s="8"/>
      <c r="E983" s="7">
        <v>44867</v>
      </c>
      <c r="F983" s="9">
        <v>190.75</v>
      </c>
      <c r="G983" s="7">
        <v>44867</v>
      </c>
      <c r="H983" s="9">
        <v>189.75</v>
      </c>
      <c r="I983" s="7">
        <v>44867</v>
      </c>
      <c r="J983" s="9">
        <v>174.75</v>
      </c>
      <c r="K983" s="5">
        <f t="shared" si="53"/>
        <v>16</v>
      </c>
      <c r="L983" s="6">
        <f t="shared" si="54"/>
        <v>1</v>
      </c>
    </row>
    <row r="984" spans="1:12" x14ac:dyDescent="0.25">
      <c r="A984">
        <f t="shared" si="52"/>
        <v>11</v>
      </c>
      <c r="B984">
        <f t="shared" si="55"/>
        <v>2022</v>
      </c>
      <c r="C984" s="7">
        <v>44868</v>
      </c>
      <c r="D984" s="8"/>
      <c r="E984" s="7">
        <v>44868</v>
      </c>
      <c r="F984" s="9">
        <v>188.5</v>
      </c>
      <c r="G984" s="7">
        <v>44868</v>
      </c>
      <c r="H984" s="9">
        <v>187.5</v>
      </c>
      <c r="I984" s="7">
        <v>44868</v>
      </c>
      <c r="J984" s="9">
        <v>171.75</v>
      </c>
      <c r="K984" s="5">
        <f t="shared" si="53"/>
        <v>16.75</v>
      </c>
      <c r="L984" s="6">
        <f t="shared" si="54"/>
        <v>1</v>
      </c>
    </row>
    <row r="985" spans="1:12" x14ac:dyDescent="0.25">
      <c r="A985">
        <f t="shared" si="52"/>
        <v>11</v>
      </c>
      <c r="B985">
        <f t="shared" si="55"/>
        <v>2022</v>
      </c>
      <c r="C985" s="7">
        <v>44869</v>
      </c>
      <c r="D985" s="8"/>
      <c r="E985" s="7">
        <v>44869</v>
      </c>
      <c r="F985" s="9">
        <v>188.75</v>
      </c>
      <c r="G985" s="7">
        <v>44869</v>
      </c>
      <c r="H985" s="9">
        <v>187.75</v>
      </c>
      <c r="I985" s="7">
        <v>44869</v>
      </c>
      <c r="J985" s="9">
        <v>172.75</v>
      </c>
      <c r="K985" s="5">
        <f t="shared" si="53"/>
        <v>16</v>
      </c>
      <c r="L985" s="6">
        <f t="shared" si="54"/>
        <v>1</v>
      </c>
    </row>
    <row r="986" spans="1:12" x14ac:dyDescent="0.25">
      <c r="A986">
        <f t="shared" si="52"/>
        <v>11</v>
      </c>
      <c r="B986">
        <f t="shared" si="55"/>
        <v>2022</v>
      </c>
      <c r="C986" s="7">
        <v>44872</v>
      </c>
      <c r="D986" s="8"/>
      <c r="E986" s="7">
        <v>44872</v>
      </c>
      <c r="F986" s="9">
        <v>188.25</v>
      </c>
      <c r="G986" s="7">
        <v>44872</v>
      </c>
      <c r="H986" s="9">
        <v>187.25</v>
      </c>
      <c r="I986" s="7">
        <v>44872</v>
      </c>
      <c r="J986" s="9">
        <v>173.75</v>
      </c>
      <c r="K986" s="5">
        <f t="shared" si="53"/>
        <v>14.5</v>
      </c>
      <c r="L986" s="6">
        <f t="shared" si="54"/>
        <v>1</v>
      </c>
    </row>
    <row r="987" spans="1:12" x14ac:dyDescent="0.25">
      <c r="A987">
        <f t="shared" si="52"/>
        <v>11</v>
      </c>
      <c r="B987">
        <f t="shared" si="55"/>
        <v>2022</v>
      </c>
      <c r="C987" s="7">
        <v>44873</v>
      </c>
      <c r="D987" s="8"/>
      <c r="E987" s="7">
        <v>44873</v>
      </c>
      <c r="F987" s="9">
        <v>189</v>
      </c>
      <c r="G987" s="7">
        <v>44873</v>
      </c>
      <c r="H987" s="9">
        <v>188</v>
      </c>
      <c r="I987" s="7">
        <v>44873</v>
      </c>
      <c r="J987" s="9">
        <v>175.25</v>
      </c>
      <c r="K987" s="5">
        <f t="shared" si="53"/>
        <v>13.75</v>
      </c>
      <c r="L987" s="6">
        <f t="shared" si="54"/>
        <v>1</v>
      </c>
    </row>
    <row r="988" spans="1:12" x14ac:dyDescent="0.25">
      <c r="A988">
        <f t="shared" si="52"/>
        <v>11</v>
      </c>
      <c r="B988">
        <f t="shared" si="55"/>
        <v>2022</v>
      </c>
      <c r="C988" s="7">
        <v>44874</v>
      </c>
      <c r="D988" s="8"/>
      <c r="E988" s="7">
        <v>44874</v>
      </c>
      <c r="F988" s="9">
        <v>191.25</v>
      </c>
      <c r="G988" s="7">
        <v>44874</v>
      </c>
      <c r="H988" s="9">
        <v>190.25</v>
      </c>
      <c r="I988" s="7">
        <v>44874</v>
      </c>
      <c r="J988" s="9">
        <v>176.75</v>
      </c>
      <c r="K988" s="5">
        <f t="shared" si="53"/>
        <v>14.5</v>
      </c>
      <c r="L988" s="6">
        <f t="shared" si="54"/>
        <v>1</v>
      </c>
    </row>
    <row r="989" spans="1:12" x14ac:dyDescent="0.25">
      <c r="A989">
        <f t="shared" si="52"/>
        <v>11</v>
      </c>
      <c r="B989">
        <f t="shared" si="55"/>
        <v>2022</v>
      </c>
      <c r="C989" s="7">
        <v>44875</v>
      </c>
      <c r="D989" s="8"/>
      <c r="E989" s="7">
        <v>44875</v>
      </c>
      <c r="F989" s="9">
        <v>193.25</v>
      </c>
      <c r="G989" s="7">
        <v>44875</v>
      </c>
      <c r="H989" s="9">
        <v>192.25</v>
      </c>
      <c r="I989" s="7">
        <v>44875</v>
      </c>
      <c r="J989" s="9">
        <v>179.25</v>
      </c>
      <c r="K989" s="5">
        <f t="shared" si="53"/>
        <v>14</v>
      </c>
      <c r="L989" s="6">
        <f t="shared" si="54"/>
        <v>1</v>
      </c>
    </row>
    <row r="990" spans="1:12" x14ac:dyDescent="0.25">
      <c r="A990">
        <f t="shared" si="52"/>
        <v>11</v>
      </c>
      <c r="B990">
        <f t="shared" si="55"/>
        <v>2022</v>
      </c>
      <c r="C990" s="7">
        <v>44876</v>
      </c>
      <c r="D990" s="8"/>
      <c r="E990" s="7">
        <v>44876</v>
      </c>
      <c r="F990" s="9">
        <v>192.5</v>
      </c>
      <c r="G990" s="7">
        <v>44876</v>
      </c>
      <c r="H990" s="9">
        <v>191.5</v>
      </c>
      <c r="I990" s="7">
        <v>44876</v>
      </c>
      <c r="J990" s="9">
        <v>177.5</v>
      </c>
      <c r="K990" s="5">
        <f t="shared" si="53"/>
        <v>15</v>
      </c>
      <c r="L990" s="6">
        <f t="shared" si="54"/>
        <v>1</v>
      </c>
    </row>
    <row r="991" spans="1:12" x14ac:dyDescent="0.25">
      <c r="A991">
        <f t="shared" si="52"/>
        <v>11</v>
      </c>
      <c r="B991">
        <f t="shared" si="55"/>
        <v>2022</v>
      </c>
      <c r="C991" s="7">
        <v>44879</v>
      </c>
      <c r="D991" s="8"/>
      <c r="E991" s="7">
        <v>44879</v>
      </c>
      <c r="F991" s="9">
        <v>188.5</v>
      </c>
      <c r="G991" s="7">
        <v>44879</v>
      </c>
      <c r="H991" s="9">
        <v>187.5</v>
      </c>
      <c r="I991" s="7">
        <v>44879</v>
      </c>
      <c r="J991" s="9">
        <v>175.75</v>
      </c>
      <c r="K991" s="5">
        <f t="shared" si="53"/>
        <v>12.75</v>
      </c>
      <c r="L991" s="6">
        <f t="shared" si="54"/>
        <v>1</v>
      </c>
    </row>
    <row r="992" spans="1:12" x14ac:dyDescent="0.25">
      <c r="A992">
        <f t="shared" si="52"/>
        <v>11</v>
      </c>
      <c r="B992">
        <f t="shared" si="55"/>
        <v>2022</v>
      </c>
      <c r="C992" s="7">
        <v>44880</v>
      </c>
      <c r="D992" s="8"/>
      <c r="E992" s="7">
        <v>44880</v>
      </c>
      <c r="F992" s="9">
        <v>190.5</v>
      </c>
      <c r="G992" s="7">
        <v>44880</v>
      </c>
      <c r="H992" s="9">
        <v>189.5</v>
      </c>
      <c r="I992" s="7">
        <v>44880</v>
      </c>
      <c r="J992" s="9">
        <v>177.5</v>
      </c>
      <c r="K992" s="5">
        <f t="shared" si="53"/>
        <v>13</v>
      </c>
      <c r="L992" s="6">
        <f t="shared" si="54"/>
        <v>1</v>
      </c>
    </row>
    <row r="993" spans="1:12" x14ac:dyDescent="0.25">
      <c r="A993">
        <f t="shared" si="52"/>
        <v>11</v>
      </c>
      <c r="B993">
        <f t="shared" si="55"/>
        <v>2022</v>
      </c>
      <c r="C993" s="7">
        <v>44881</v>
      </c>
      <c r="D993" s="8"/>
      <c r="E993" s="7">
        <v>44881</v>
      </c>
      <c r="F993" s="9">
        <v>191</v>
      </c>
      <c r="G993" s="7">
        <v>44881</v>
      </c>
      <c r="H993" s="9">
        <v>190</v>
      </c>
      <c r="I993" s="7">
        <v>44881</v>
      </c>
      <c r="J993" s="9">
        <v>177.25</v>
      </c>
      <c r="K993" s="5">
        <f t="shared" si="53"/>
        <v>13.75</v>
      </c>
      <c r="L993" s="6">
        <f t="shared" si="54"/>
        <v>1</v>
      </c>
    </row>
    <row r="994" spans="1:12" x14ac:dyDescent="0.25">
      <c r="A994">
        <f t="shared" si="52"/>
        <v>11</v>
      </c>
      <c r="B994">
        <f t="shared" si="55"/>
        <v>2022</v>
      </c>
      <c r="C994" s="7">
        <v>44882</v>
      </c>
      <c r="D994" s="8"/>
      <c r="E994" s="7">
        <v>44882</v>
      </c>
      <c r="F994" s="9">
        <v>191.5</v>
      </c>
      <c r="G994" s="7">
        <v>44882</v>
      </c>
      <c r="H994" s="9">
        <v>190.5</v>
      </c>
      <c r="I994" s="7">
        <v>44882</v>
      </c>
      <c r="J994" s="9">
        <v>179.5</v>
      </c>
      <c r="K994" s="5">
        <f t="shared" si="53"/>
        <v>12</v>
      </c>
      <c r="L994" s="6">
        <f t="shared" si="54"/>
        <v>1</v>
      </c>
    </row>
    <row r="995" spans="1:12" x14ac:dyDescent="0.25">
      <c r="A995">
        <f t="shared" si="52"/>
        <v>11</v>
      </c>
      <c r="B995">
        <f t="shared" si="55"/>
        <v>2022</v>
      </c>
      <c r="C995" s="7">
        <v>44883</v>
      </c>
      <c r="D995" s="8"/>
      <c r="E995" s="7">
        <v>44883</v>
      </c>
      <c r="F995" s="9">
        <v>193</v>
      </c>
      <c r="G995" s="7">
        <v>44883</v>
      </c>
      <c r="H995" s="9">
        <v>192</v>
      </c>
      <c r="I995" s="7">
        <v>44883</v>
      </c>
      <c r="J995" s="9">
        <v>180.5</v>
      </c>
      <c r="K995" s="5">
        <f t="shared" si="53"/>
        <v>12.5</v>
      </c>
      <c r="L995" s="6">
        <f t="shared" si="54"/>
        <v>1</v>
      </c>
    </row>
    <row r="996" spans="1:12" x14ac:dyDescent="0.25">
      <c r="A996">
        <f t="shared" si="52"/>
        <v>11</v>
      </c>
      <c r="B996">
        <f t="shared" si="55"/>
        <v>2022</v>
      </c>
      <c r="C996" s="7">
        <v>44886</v>
      </c>
      <c r="D996" s="8"/>
      <c r="E996" s="7">
        <v>44886</v>
      </c>
      <c r="F996" s="9">
        <v>192.5</v>
      </c>
      <c r="G996" s="7">
        <v>44886</v>
      </c>
      <c r="H996" s="9">
        <v>191.5</v>
      </c>
      <c r="I996" s="7">
        <v>44886</v>
      </c>
      <c r="J996" s="9">
        <v>180.75</v>
      </c>
      <c r="K996" s="5">
        <f t="shared" si="53"/>
        <v>11.75</v>
      </c>
      <c r="L996" s="6">
        <f t="shared" si="54"/>
        <v>1</v>
      </c>
    </row>
    <row r="997" spans="1:12" x14ac:dyDescent="0.25">
      <c r="A997">
        <f t="shared" si="52"/>
        <v>11</v>
      </c>
      <c r="B997">
        <f t="shared" si="55"/>
        <v>2022</v>
      </c>
      <c r="C997" s="7">
        <v>44887</v>
      </c>
      <c r="D997" s="8"/>
      <c r="E997" s="7">
        <v>44887</v>
      </c>
      <c r="F997" s="9">
        <v>193.25</v>
      </c>
      <c r="G997" s="7">
        <v>44887</v>
      </c>
      <c r="H997" s="9">
        <v>192.25</v>
      </c>
      <c r="I997" s="7">
        <v>44887</v>
      </c>
      <c r="J997" s="9">
        <v>182.25</v>
      </c>
      <c r="K997" s="5">
        <f t="shared" si="53"/>
        <v>11</v>
      </c>
      <c r="L997" s="6">
        <f t="shared" si="54"/>
        <v>1</v>
      </c>
    </row>
    <row r="998" spans="1:12" x14ac:dyDescent="0.25">
      <c r="A998">
        <f t="shared" si="52"/>
        <v>11</v>
      </c>
      <c r="B998">
        <f t="shared" si="55"/>
        <v>2022</v>
      </c>
      <c r="C998" s="7">
        <v>44888</v>
      </c>
      <c r="D998" s="8"/>
      <c r="E998" s="7">
        <v>44888</v>
      </c>
      <c r="F998" s="9">
        <v>193.25</v>
      </c>
      <c r="G998" s="7">
        <v>44888</v>
      </c>
      <c r="H998" s="9">
        <v>192.25</v>
      </c>
      <c r="I998" s="7">
        <v>44888</v>
      </c>
      <c r="J998" s="9">
        <v>182.25</v>
      </c>
      <c r="K998" s="5">
        <f t="shared" si="53"/>
        <v>11</v>
      </c>
      <c r="L998" s="6">
        <f t="shared" si="54"/>
        <v>1</v>
      </c>
    </row>
    <row r="999" spans="1:12" x14ac:dyDescent="0.25">
      <c r="A999">
        <f t="shared" si="52"/>
        <v>11</v>
      </c>
      <c r="B999">
        <f t="shared" si="55"/>
        <v>2022</v>
      </c>
      <c r="C999" s="7">
        <v>44893</v>
      </c>
      <c r="D999" s="8"/>
      <c r="E999" s="7">
        <v>44893</v>
      </c>
      <c r="F999" s="9">
        <v>195.25</v>
      </c>
      <c r="G999" s="7">
        <v>44893</v>
      </c>
      <c r="H999" s="9">
        <v>194.25</v>
      </c>
      <c r="I999" s="7">
        <v>44893</v>
      </c>
      <c r="J999" s="9">
        <v>185.5</v>
      </c>
      <c r="K999" s="5">
        <f t="shared" si="53"/>
        <v>9.75</v>
      </c>
      <c r="L999" s="6">
        <f t="shared" si="54"/>
        <v>1</v>
      </c>
    </row>
    <row r="1000" spans="1:12" x14ac:dyDescent="0.25">
      <c r="A1000">
        <f t="shared" si="52"/>
        <v>11</v>
      </c>
      <c r="B1000">
        <f t="shared" si="55"/>
        <v>2022</v>
      </c>
      <c r="C1000" s="7">
        <v>44894</v>
      </c>
      <c r="D1000" s="8"/>
      <c r="E1000" s="7">
        <v>44894</v>
      </c>
      <c r="F1000" s="9">
        <v>193.5</v>
      </c>
      <c r="G1000" s="7">
        <v>44894</v>
      </c>
      <c r="H1000" s="9">
        <v>192.5</v>
      </c>
      <c r="I1000" s="7">
        <v>44894</v>
      </c>
      <c r="J1000" s="9">
        <v>183.25</v>
      </c>
      <c r="K1000" s="5">
        <f t="shared" si="53"/>
        <v>10.25</v>
      </c>
      <c r="L1000" s="6">
        <f t="shared" si="54"/>
        <v>1</v>
      </c>
    </row>
    <row r="1001" spans="1:12" x14ac:dyDescent="0.25">
      <c r="A1001">
        <f t="shared" si="52"/>
        <v>11</v>
      </c>
      <c r="B1001">
        <f t="shared" si="55"/>
        <v>2022</v>
      </c>
      <c r="C1001" s="7">
        <v>44895</v>
      </c>
      <c r="D1001" s="8"/>
      <c r="E1001" s="7">
        <v>44895</v>
      </c>
      <c r="F1001" s="9">
        <v>194.5</v>
      </c>
      <c r="G1001" s="7">
        <v>44895</v>
      </c>
      <c r="H1001" s="9">
        <v>193.5</v>
      </c>
      <c r="I1001" s="7">
        <v>44895</v>
      </c>
      <c r="J1001" s="9">
        <v>180.25</v>
      </c>
      <c r="K1001" s="5">
        <f t="shared" si="53"/>
        <v>14.25</v>
      </c>
      <c r="L1001" s="6">
        <f t="shared" si="54"/>
        <v>1</v>
      </c>
    </row>
    <row r="1002" spans="1:12" x14ac:dyDescent="0.25">
      <c r="A1002">
        <f t="shared" si="52"/>
        <v>12</v>
      </c>
      <c r="B1002">
        <f t="shared" si="55"/>
        <v>2022</v>
      </c>
      <c r="C1002" s="7">
        <v>44896</v>
      </c>
      <c r="D1002" s="8"/>
      <c r="E1002" s="7">
        <v>44896</v>
      </c>
      <c r="F1002" s="9">
        <v>177</v>
      </c>
      <c r="G1002" s="7">
        <v>44896</v>
      </c>
      <c r="H1002" s="9">
        <v>176</v>
      </c>
      <c r="I1002" s="7">
        <v>44896</v>
      </c>
      <c r="J1002" s="9">
        <v>169</v>
      </c>
      <c r="K1002" s="5">
        <f t="shared" si="53"/>
        <v>8</v>
      </c>
      <c r="L1002" s="6">
        <f t="shared" si="54"/>
        <v>1</v>
      </c>
    </row>
    <row r="1003" spans="1:12" x14ac:dyDescent="0.25">
      <c r="A1003">
        <f t="shared" si="52"/>
        <v>12</v>
      </c>
      <c r="B1003">
        <f t="shared" si="55"/>
        <v>2022</v>
      </c>
      <c r="C1003" s="7">
        <v>44897</v>
      </c>
      <c r="D1003" s="8"/>
      <c r="E1003" s="7">
        <v>44897</v>
      </c>
      <c r="F1003" s="9">
        <v>174.5</v>
      </c>
      <c r="G1003" s="7">
        <v>44897</v>
      </c>
      <c r="H1003" s="9">
        <v>173.5</v>
      </c>
      <c r="I1003" s="7">
        <v>44897</v>
      </c>
      <c r="J1003" s="9">
        <v>163.5</v>
      </c>
      <c r="K1003" s="5">
        <f t="shared" si="53"/>
        <v>11</v>
      </c>
      <c r="L1003" s="6">
        <f t="shared" si="54"/>
        <v>1</v>
      </c>
    </row>
    <row r="1004" spans="1:12" x14ac:dyDescent="0.25">
      <c r="A1004">
        <f t="shared" si="52"/>
        <v>12</v>
      </c>
      <c r="B1004">
        <f t="shared" si="55"/>
        <v>2022</v>
      </c>
      <c r="C1004" s="7">
        <v>44900</v>
      </c>
      <c r="D1004" s="8"/>
      <c r="E1004" s="7">
        <v>44900</v>
      </c>
      <c r="F1004" s="9">
        <v>163.5</v>
      </c>
      <c r="G1004" s="7">
        <v>44900</v>
      </c>
      <c r="H1004" s="9">
        <v>162.5</v>
      </c>
      <c r="I1004" s="7">
        <v>44900</v>
      </c>
      <c r="J1004" s="9">
        <v>153.5</v>
      </c>
      <c r="K1004" s="5">
        <f t="shared" si="53"/>
        <v>10</v>
      </c>
      <c r="L1004" s="6">
        <f t="shared" si="54"/>
        <v>1</v>
      </c>
    </row>
    <row r="1005" spans="1:12" x14ac:dyDescent="0.25">
      <c r="A1005">
        <f t="shared" si="52"/>
        <v>12</v>
      </c>
      <c r="B1005">
        <f t="shared" si="55"/>
        <v>2022</v>
      </c>
      <c r="C1005" s="7">
        <v>44901</v>
      </c>
      <c r="D1005" s="8"/>
      <c r="E1005" s="7">
        <v>44901</v>
      </c>
      <c r="F1005" s="9">
        <v>167</v>
      </c>
      <c r="G1005" s="7">
        <v>44901</v>
      </c>
      <c r="H1005" s="9">
        <v>166</v>
      </c>
      <c r="I1005" s="7">
        <v>44901</v>
      </c>
      <c r="J1005" s="9">
        <v>156.5</v>
      </c>
      <c r="K1005" s="5">
        <f t="shared" si="53"/>
        <v>10.5</v>
      </c>
      <c r="L1005" s="6">
        <f t="shared" si="54"/>
        <v>1</v>
      </c>
    </row>
    <row r="1006" spans="1:12" x14ac:dyDescent="0.25">
      <c r="A1006">
        <f t="shared" si="52"/>
        <v>12</v>
      </c>
      <c r="B1006">
        <f t="shared" si="55"/>
        <v>2022</v>
      </c>
      <c r="C1006" s="7">
        <v>44902</v>
      </c>
      <c r="D1006" s="8"/>
      <c r="E1006" s="7">
        <v>44902</v>
      </c>
      <c r="F1006" s="9">
        <v>168.5</v>
      </c>
      <c r="G1006" s="7">
        <v>44902</v>
      </c>
      <c r="H1006" s="9">
        <v>167.5</v>
      </c>
      <c r="I1006" s="7">
        <v>44902</v>
      </c>
      <c r="J1006" s="9">
        <v>156.5</v>
      </c>
      <c r="K1006" s="5">
        <f t="shared" si="53"/>
        <v>12</v>
      </c>
      <c r="L1006" s="6">
        <f t="shared" si="54"/>
        <v>1</v>
      </c>
    </row>
    <row r="1007" spans="1:12" x14ac:dyDescent="0.25">
      <c r="A1007">
        <f t="shared" si="52"/>
        <v>12</v>
      </c>
      <c r="B1007">
        <f t="shared" si="55"/>
        <v>2022</v>
      </c>
      <c r="C1007" s="7">
        <v>44903</v>
      </c>
      <c r="D1007" s="8"/>
      <c r="E1007" s="7">
        <v>44903</v>
      </c>
      <c r="F1007" s="9">
        <v>172</v>
      </c>
      <c r="G1007" s="7">
        <v>44903</v>
      </c>
      <c r="H1007" s="9">
        <v>171</v>
      </c>
      <c r="I1007" s="7">
        <v>44903</v>
      </c>
      <c r="J1007" s="9">
        <v>153.5</v>
      </c>
      <c r="K1007" s="5">
        <f t="shared" si="53"/>
        <v>18.5</v>
      </c>
      <c r="L1007" s="6">
        <f t="shared" si="54"/>
        <v>1</v>
      </c>
    </row>
    <row r="1008" spans="1:12" x14ac:dyDescent="0.25">
      <c r="A1008">
        <f t="shared" si="52"/>
        <v>12</v>
      </c>
      <c r="B1008">
        <f t="shared" si="55"/>
        <v>2022</v>
      </c>
      <c r="C1008" s="7">
        <v>44904</v>
      </c>
      <c r="D1008" s="8"/>
      <c r="E1008" s="7">
        <v>44904</v>
      </c>
      <c r="F1008" s="9">
        <v>172</v>
      </c>
      <c r="G1008" s="7">
        <v>44904</v>
      </c>
      <c r="H1008" s="9">
        <v>171</v>
      </c>
      <c r="I1008" s="7">
        <v>44904</v>
      </c>
      <c r="J1008" s="9">
        <v>153.5</v>
      </c>
      <c r="K1008" s="5">
        <f t="shared" si="53"/>
        <v>18.5</v>
      </c>
      <c r="L1008" s="6">
        <f t="shared" si="54"/>
        <v>1</v>
      </c>
    </row>
    <row r="1009" spans="1:12" x14ac:dyDescent="0.25">
      <c r="A1009">
        <f t="shared" si="52"/>
        <v>12</v>
      </c>
      <c r="B1009">
        <f t="shared" si="55"/>
        <v>2022</v>
      </c>
      <c r="C1009" s="7">
        <v>44907</v>
      </c>
      <c r="D1009" s="8"/>
      <c r="E1009" s="7">
        <v>44907</v>
      </c>
      <c r="F1009" s="9">
        <v>172</v>
      </c>
      <c r="G1009" s="7">
        <v>44907</v>
      </c>
      <c r="H1009" s="9">
        <v>171</v>
      </c>
      <c r="I1009" s="7">
        <v>44907</v>
      </c>
      <c r="J1009" s="9">
        <v>155</v>
      </c>
      <c r="K1009" s="5">
        <f t="shared" si="53"/>
        <v>17</v>
      </c>
      <c r="L1009" s="6">
        <f t="shared" si="54"/>
        <v>1</v>
      </c>
    </row>
    <row r="1010" spans="1:12" x14ac:dyDescent="0.25">
      <c r="A1010">
        <f t="shared" si="52"/>
        <v>12</v>
      </c>
      <c r="B1010">
        <f t="shared" si="55"/>
        <v>2022</v>
      </c>
      <c r="C1010" s="7">
        <v>44908</v>
      </c>
      <c r="D1010" s="8"/>
      <c r="E1010" s="7">
        <v>44908</v>
      </c>
      <c r="F1010" s="9">
        <v>174</v>
      </c>
      <c r="G1010" s="7">
        <v>44908</v>
      </c>
      <c r="H1010" s="9">
        <v>173</v>
      </c>
      <c r="I1010" s="7">
        <v>44908</v>
      </c>
      <c r="J1010" s="9">
        <v>157.75</v>
      </c>
      <c r="K1010" s="5">
        <f t="shared" si="53"/>
        <v>16.25</v>
      </c>
      <c r="L1010" s="6">
        <f t="shared" si="54"/>
        <v>1</v>
      </c>
    </row>
    <row r="1011" spans="1:12" x14ac:dyDescent="0.25">
      <c r="A1011">
        <f t="shared" si="52"/>
        <v>12</v>
      </c>
      <c r="B1011">
        <f t="shared" si="55"/>
        <v>2022</v>
      </c>
      <c r="C1011" s="7">
        <v>44909</v>
      </c>
      <c r="D1011" s="8"/>
      <c r="E1011" s="7">
        <v>44909</v>
      </c>
      <c r="F1011" s="9">
        <v>174</v>
      </c>
      <c r="G1011" s="7">
        <v>44909</v>
      </c>
      <c r="H1011" s="9">
        <v>173</v>
      </c>
      <c r="I1011" s="7">
        <v>44909</v>
      </c>
      <c r="J1011" s="9">
        <v>157.25</v>
      </c>
      <c r="K1011" s="5">
        <f t="shared" si="53"/>
        <v>16.75</v>
      </c>
      <c r="L1011" s="6">
        <f t="shared" si="54"/>
        <v>1</v>
      </c>
    </row>
    <row r="1012" spans="1:12" x14ac:dyDescent="0.25">
      <c r="A1012">
        <f t="shared" si="52"/>
        <v>12</v>
      </c>
      <c r="B1012">
        <f t="shared" si="55"/>
        <v>2022</v>
      </c>
      <c r="C1012" s="7">
        <v>44910</v>
      </c>
      <c r="D1012" s="8"/>
      <c r="E1012" s="7">
        <v>44910</v>
      </c>
      <c r="F1012" s="9">
        <v>173.5</v>
      </c>
      <c r="G1012" s="7">
        <v>44910</v>
      </c>
      <c r="H1012" s="9">
        <v>172.5</v>
      </c>
      <c r="I1012" s="7">
        <v>44910</v>
      </c>
      <c r="J1012" s="9">
        <v>157.75</v>
      </c>
      <c r="K1012" s="5">
        <f t="shared" si="53"/>
        <v>15.75</v>
      </c>
      <c r="L1012" s="6">
        <f t="shared" si="54"/>
        <v>1</v>
      </c>
    </row>
    <row r="1013" spans="1:12" x14ac:dyDescent="0.25">
      <c r="A1013">
        <f t="shared" si="52"/>
        <v>12</v>
      </c>
      <c r="B1013">
        <f t="shared" si="55"/>
        <v>2022</v>
      </c>
      <c r="C1013" s="7">
        <v>44911</v>
      </c>
      <c r="D1013" s="8"/>
      <c r="E1013" s="7">
        <v>44911</v>
      </c>
      <c r="F1013" s="9">
        <v>173.25</v>
      </c>
      <c r="G1013" s="7">
        <v>44911</v>
      </c>
      <c r="H1013" s="9">
        <v>172.25</v>
      </c>
      <c r="I1013" s="7">
        <v>44911</v>
      </c>
      <c r="J1013" s="9">
        <v>159.25</v>
      </c>
      <c r="K1013" s="5">
        <f t="shared" si="53"/>
        <v>14</v>
      </c>
      <c r="L1013" s="6">
        <f t="shared" si="54"/>
        <v>1</v>
      </c>
    </row>
    <row r="1014" spans="1:12" x14ac:dyDescent="0.25">
      <c r="A1014">
        <f t="shared" si="52"/>
        <v>12</v>
      </c>
      <c r="B1014">
        <f t="shared" si="55"/>
        <v>2022</v>
      </c>
      <c r="C1014" s="7">
        <v>44914</v>
      </c>
      <c r="D1014" s="8"/>
      <c r="E1014" s="7">
        <v>44914</v>
      </c>
      <c r="F1014" s="9">
        <v>172.5</v>
      </c>
      <c r="G1014" s="7">
        <v>44914</v>
      </c>
      <c r="H1014" s="9">
        <v>171.5</v>
      </c>
      <c r="I1014" s="7">
        <v>44914</v>
      </c>
      <c r="J1014" s="9">
        <v>159.25</v>
      </c>
      <c r="K1014" s="5">
        <f t="shared" si="53"/>
        <v>13.25</v>
      </c>
      <c r="L1014" s="6">
        <f t="shared" si="54"/>
        <v>1</v>
      </c>
    </row>
    <row r="1015" spans="1:12" x14ac:dyDescent="0.25">
      <c r="A1015">
        <f t="shared" si="52"/>
        <v>12</v>
      </c>
      <c r="B1015">
        <f t="shared" si="55"/>
        <v>2022</v>
      </c>
      <c r="C1015" s="7">
        <v>44915</v>
      </c>
      <c r="D1015" s="8"/>
      <c r="E1015" s="7">
        <v>44915</v>
      </c>
      <c r="F1015" s="9">
        <v>174.5</v>
      </c>
      <c r="G1015" s="7">
        <v>44915</v>
      </c>
      <c r="H1015" s="9">
        <v>173.5</v>
      </c>
      <c r="I1015" s="7">
        <v>44915</v>
      </c>
      <c r="J1015" s="9">
        <v>161.75</v>
      </c>
      <c r="K1015" s="5">
        <f t="shared" si="53"/>
        <v>12.75</v>
      </c>
      <c r="L1015" s="6">
        <f t="shared" si="54"/>
        <v>1</v>
      </c>
    </row>
    <row r="1016" spans="1:12" x14ac:dyDescent="0.25">
      <c r="A1016">
        <f t="shared" si="52"/>
        <v>12</v>
      </c>
      <c r="B1016">
        <f t="shared" si="55"/>
        <v>2022</v>
      </c>
      <c r="C1016" s="7">
        <v>44916</v>
      </c>
      <c r="D1016" s="8"/>
      <c r="E1016" s="7">
        <v>44916</v>
      </c>
      <c r="F1016" s="9">
        <v>175.5</v>
      </c>
      <c r="G1016" s="7">
        <v>44916</v>
      </c>
      <c r="H1016" s="9">
        <v>174.5</v>
      </c>
      <c r="I1016" s="7">
        <v>44916</v>
      </c>
      <c r="J1016" s="9">
        <v>166.125</v>
      </c>
      <c r="K1016" s="5">
        <f t="shared" si="53"/>
        <v>9.375</v>
      </c>
      <c r="L1016" s="6">
        <f t="shared" si="54"/>
        <v>1</v>
      </c>
    </row>
    <row r="1017" spans="1:12" x14ac:dyDescent="0.25">
      <c r="A1017">
        <f t="shared" si="52"/>
        <v>12</v>
      </c>
      <c r="B1017">
        <f t="shared" si="55"/>
        <v>2022</v>
      </c>
      <c r="C1017" s="7">
        <v>44917</v>
      </c>
      <c r="D1017" s="8"/>
      <c r="E1017" s="7">
        <v>44917</v>
      </c>
      <c r="F1017" s="9">
        <v>175.5</v>
      </c>
      <c r="G1017" s="7">
        <v>44917</v>
      </c>
      <c r="H1017" s="9">
        <v>174.5</v>
      </c>
      <c r="I1017" s="7">
        <v>44917</v>
      </c>
      <c r="J1017" s="9">
        <v>168.25</v>
      </c>
      <c r="K1017" s="5">
        <f t="shared" si="53"/>
        <v>7.25</v>
      </c>
      <c r="L1017" s="6">
        <f t="shared" si="54"/>
        <v>1</v>
      </c>
    </row>
    <row r="1018" spans="1:12" x14ac:dyDescent="0.25">
      <c r="A1018">
        <f t="shared" si="52"/>
        <v>12</v>
      </c>
      <c r="B1018">
        <f t="shared" si="55"/>
        <v>2022</v>
      </c>
      <c r="C1018" s="7">
        <v>44918</v>
      </c>
      <c r="D1018" s="8"/>
      <c r="E1018" s="7">
        <v>44918</v>
      </c>
      <c r="F1018" s="9">
        <v>175.5</v>
      </c>
      <c r="G1018" s="7">
        <v>44918</v>
      </c>
      <c r="H1018" s="9">
        <v>174.5</v>
      </c>
      <c r="I1018" s="7">
        <v>44918</v>
      </c>
      <c r="J1018" s="9">
        <v>167.5</v>
      </c>
      <c r="K1018" s="5">
        <f t="shared" si="53"/>
        <v>8</v>
      </c>
      <c r="L1018" s="6">
        <f t="shared" si="54"/>
        <v>1</v>
      </c>
    </row>
    <row r="1019" spans="1:12" x14ac:dyDescent="0.25">
      <c r="A1019">
        <f t="shared" si="52"/>
        <v>12</v>
      </c>
      <c r="B1019">
        <f t="shared" si="55"/>
        <v>2022</v>
      </c>
      <c r="C1019" s="7">
        <v>44922</v>
      </c>
      <c r="D1019" s="8"/>
      <c r="E1019" s="7">
        <v>44922</v>
      </c>
      <c r="F1019" s="9">
        <v>175.5</v>
      </c>
      <c r="G1019" s="7">
        <v>44922</v>
      </c>
      <c r="H1019" s="9">
        <v>174.5</v>
      </c>
      <c r="I1019" s="7">
        <v>44922</v>
      </c>
      <c r="J1019" s="9">
        <v>164.5</v>
      </c>
      <c r="K1019" s="5">
        <f t="shared" si="53"/>
        <v>11</v>
      </c>
      <c r="L1019" s="6">
        <f t="shared" si="54"/>
        <v>1</v>
      </c>
    </row>
    <row r="1020" spans="1:12" x14ac:dyDescent="0.25">
      <c r="A1020">
        <f t="shared" si="52"/>
        <v>12</v>
      </c>
      <c r="B1020">
        <f t="shared" si="55"/>
        <v>2022</v>
      </c>
      <c r="C1020" s="7">
        <v>44923</v>
      </c>
      <c r="D1020" s="8"/>
      <c r="E1020" s="7">
        <v>44923</v>
      </c>
      <c r="F1020" s="9">
        <v>173.5</v>
      </c>
      <c r="G1020" s="7">
        <v>44923</v>
      </c>
      <c r="H1020" s="9">
        <v>172.5</v>
      </c>
      <c r="I1020" s="7">
        <v>44923</v>
      </c>
      <c r="J1020" s="9">
        <v>163.25</v>
      </c>
      <c r="K1020" s="5">
        <f t="shared" si="53"/>
        <v>10.25</v>
      </c>
      <c r="L1020" s="6">
        <f t="shared" si="54"/>
        <v>1</v>
      </c>
    </row>
    <row r="1021" spans="1:12" x14ac:dyDescent="0.25">
      <c r="A1021">
        <f t="shared" si="52"/>
        <v>12</v>
      </c>
      <c r="B1021">
        <f t="shared" si="55"/>
        <v>2022</v>
      </c>
      <c r="C1021" s="7">
        <v>44924</v>
      </c>
      <c r="D1021" s="8"/>
      <c r="E1021" s="7">
        <v>44924</v>
      </c>
      <c r="F1021" s="9">
        <v>172.5</v>
      </c>
      <c r="G1021" s="7">
        <v>44924</v>
      </c>
      <c r="H1021" s="9">
        <v>171.5</v>
      </c>
      <c r="I1021" s="7">
        <v>44924</v>
      </c>
      <c r="J1021" s="9">
        <v>164.75</v>
      </c>
      <c r="K1021" s="5">
        <f t="shared" si="53"/>
        <v>7.75</v>
      </c>
      <c r="L1021" s="6">
        <f t="shared" si="54"/>
        <v>1</v>
      </c>
    </row>
    <row r="1022" spans="1:12" x14ac:dyDescent="0.25">
      <c r="A1022">
        <f t="shared" si="52"/>
        <v>12</v>
      </c>
      <c r="B1022">
        <f t="shared" si="55"/>
        <v>2022</v>
      </c>
      <c r="C1022" s="7">
        <v>44925</v>
      </c>
      <c r="D1022" s="8"/>
      <c r="E1022" s="7">
        <v>44925</v>
      </c>
      <c r="F1022" s="9">
        <v>177.25</v>
      </c>
      <c r="G1022" s="7">
        <v>44925</v>
      </c>
      <c r="H1022" s="9">
        <v>176.25</v>
      </c>
      <c r="I1022" s="7">
        <v>44925</v>
      </c>
      <c r="J1022" s="9">
        <v>164.75</v>
      </c>
      <c r="K1022" s="5">
        <f t="shared" si="53"/>
        <v>12.5</v>
      </c>
      <c r="L1022" s="6">
        <f t="shared" si="54"/>
        <v>1</v>
      </c>
    </row>
    <row r="1023" spans="1:12" x14ac:dyDescent="0.25">
      <c r="A1023">
        <f t="shared" si="52"/>
        <v>1</v>
      </c>
      <c r="B1023">
        <f t="shared" si="55"/>
        <v>2023</v>
      </c>
      <c r="C1023" s="7">
        <v>44929</v>
      </c>
      <c r="D1023" s="8"/>
      <c r="E1023" s="7">
        <v>44929</v>
      </c>
      <c r="F1023" s="9">
        <v>170.25</v>
      </c>
      <c r="G1023" s="7">
        <v>44929</v>
      </c>
      <c r="H1023" s="9">
        <v>176.25</v>
      </c>
      <c r="I1023" s="7">
        <v>44929</v>
      </c>
      <c r="J1023" s="9">
        <v>166.75</v>
      </c>
      <c r="K1023" s="5">
        <f t="shared" si="53"/>
        <v>3.5</v>
      </c>
      <c r="L1023" s="6">
        <f t="shared" si="54"/>
        <v>-6</v>
      </c>
    </row>
    <row r="1024" spans="1:12" x14ac:dyDescent="0.25">
      <c r="A1024">
        <f t="shared" si="52"/>
        <v>1</v>
      </c>
      <c r="B1024">
        <f t="shared" si="55"/>
        <v>2023</v>
      </c>
      <c r="C1024" s="7">
        <v>44930</v>
      </c>
      <c r="D1024" s="8"/>
      <c r="E1024" s="7">
        <v>44930</v>
      </c>
      <c r="F1024" s="9">
        <v>173.5</v>
      </c>
      <c r="G1024" s="7">
        <v>44930</v>
      </c>
      <c r="H1024" s="9">
        <v>172.5</v>
      </c>
      <c r="I1024" s="7">
        <v>44930</v>
      </c>
      <c r="J1024" s="9">
        <v>172.25</v>
      </c>
      <c r="K1024" s="5">
        <f t="shared" si="53"/>
        <v>1.25</v>
      </c>
      <c r="L1024" s="6">
        <f t="shared" si="54"/>
        <v>1</v>
      </c>
    </row>
    <row r="1025" spans="1:12" x14ac:dyDescent="0.25">
      <c r="A1025">
        <f t="shared" si="52"/>
        <v>1</v>
      </c>
      <c r="B1025">
        <f t="shared" si="55"/>
        <v>2023</v>
      </c>
      <c r="C1025" s="7">
        <v>44931</v>
      </c>
      <c r="D1025" s="8"/>
      <c r="E1025" s="7">
        <v>44931</v>
      </c>
      <c r="F1025" s="9">
        <v>172.75</v>
      </c>
      <c r="G1025" s="7">
        <v>44931</v>
      </c>
      <c r="H1025" s="9">
        <v>171.75</v>
      </c>
      <c r="I1025" s="7">
        <v>44931</v>
      </c>
      <c r="J1025" s="9">
        <v>170.25</v>
      </c>
      <c r="K1025" s="5">
        <f t="shared" si="53"/>
        <v>2.5</v>
      </c>
      <c r="L1025" s="6">
        <f t="shared" si="54"/>
        <v>1</v>
      </c>
    </row>
    <row r="1026" spans="1:12" x14ac:dyDescent="0.25">
      <c r="A1026">
        <f t="shared" si="52"/>
        <v>1</v>
      </c>
      <c r="B1026">
        <f t="shared" si="55"/>
        <v>2023</v>
      </c>
      <c r="C1026" s="7">
        <v>44932</v>
      </c>
      <c r="D1026" s="8"/>
      <c r="E1026" s="7">
        <v>44932</v>
      </c>
      <c r="F1026" s="9">
        <v>174.5</v>
      </c>
      <c r="G1026" s="7">
        <v>44932</v>
      </c>
      <c r="H1026" s="9">
        <v>173.5</v>
      </c>
      <c r="I1026" s="7">
        <v>44932</v>
      </c>
      <c r="J1026" s="9">
        <v>171.25</v>
      </c>
      <c r="K1026" s="5">
        <f t="shared" si="53"/>
        <v>3.25</v>
      </c>
      <c r="L1026" s="6">
        <f t="shared" si="54"/>
        <v>1</v>
      </c>
    </row>
    <row r="1027" spans="1:12" x14ac:dyDescent="0.25">
      <c r="A1027">
        <f t="shared" si="52"/>
        <v>1</v>
      </c>
      <c r="B1027">
        <f t="shared" si="55"/>
        <v>2023</v>
      </c>
      <c r="C1027" s="7">
        <v>44935</v>
      </c>
      <c r="D1027" s="8"/>
      <c r="E1027" s="7">
        <v>44935</v>
      </c>
      <c r="F1027" s="9">
        <v>176.5</v>
      </c>
      <c r="G1027" s="7">
        <v>44935</v>
      </c>
      <c r="H1027" s="9">
        <v>175.5</v>
      </c>
      <c r="I1027" s="7">
        <v>44935</v>
      </c>
      <c r="J1027" s="9">
        <v>173.25</v>
      </c>
      <c r="K1027" s="5">
        <f t="shared" si="53"/>
        <v>3.25</v>
      </c>
      <c r="L1027" s="6">
        <f t="shared" si="54"/>
        <v>1</v>
      </c>
    </row>
    <row r="1028" spans="1:12" x14ac:dyDescent="0.25">
      <c r="A1028">
        <f t="shared" si="52"/>
        <v>1</v>
      </c>
      <c r="B1028">
        <f t="shared" si="55"/>
        <v>2023</v>
      </c>
      <c r="C1028" s="7">
        <v>44936</v>
      </c>
      <c r="D1028" s="8"/>
      <c r="E1028" s="7">
        <v>44936</v>
      </c>
      <c r="F1028" s="9">
        <v>176.5</v>
      </c>
      <c r="G1028" s="7">
        <v>44936</v>
      </c>
      <c r="H1028" s="9">
        <v>175.5</v>
      </c>
      <c r="I1028" s="7">
        <v>44936</v>
      </c>
      <c r="J1028" s="9">
        <v>171</v>
      </c>
      <c r="K1028" s="5">
        <f t="shared" si="53"/>
        <v>5.5</v>
      </c>
      <c r="L1028" s="6">
        <f t="shared" si="54"/>
        <v>1</v>
      </c>
    </row>
    <row r="1029" spans="1:12" x14ac:dyDescent="0.25">
      <c r="A1029">
        <f t="shared" si="52"/>
        <v>1</v>
      </c>
      <c r="B1029">
        <f t="shared" si="55"/>
        <v>2023</v>
      </c>
      <c r="C1029" s="7">
        <v>44937</v>
      </c>
      <c r="D1029" s="8"/>
      <c r="E1029" s="7">
        <v>44937</v>
      </c>
      <c r="F1029" s="9">
        <v>172.75</v>
      </c>
      <c r="G1029" s="7">
        <v>44937</v>
      </c>
      <c r="H1029" s="9">
        <v>171.75</v>
      </c>
      <c r="I1029" s="7">
        <v>44937</v>
      </c>
      <c r="J1029" s="9">
        <v>169.75</v>
      </c>
      <c r="K1029" s="5">
        <f t="shared" si="53"/>
        <v>3</v>
      </c>
      <c r="L1029" s="6">
        <f t="shared" si="54"/>
        <v>1</v>
      </c>
    </row>
    <row r="1030" spans="1:12" x14ac:dyDescent="0.25">
      <c r="A1030">
        <f t="shared" si="52"/>
        <v>1</v>
      </c>
      <c r="B1030">
        <f t="shared" si="55"/>
        <v>2023</v>
      </c>
      <c r="C1030" s="7">
        <v>44938</v>
      </c>
      <c r="D1030" s="8"/>
      <c r="E1030" s="7">
        <v>44938</v>
      </c>
      <c r="F1030" s="9">
        <v>169</v>
      </c>
      <c r="G1030" s="7">
        <v>44938</v>
      </c>
      <c r="H1030" s="9">
        <v>168</v>
      </c>
      <c r="I1030" s="7">
        <v>44938</v>
      </c>
      <c r="J1030" s="9">
        <v>166.25</v>
      </c>
      <c r="K1030" s="5">
        <f t="shared" si="53"/>
        <v>2.75</v>
      </c>
      <c r="L1030" s="6">
        <f t="shared" si="54"/>
        <v>1</v>
      </c>
    </row>
    <row r="1031" spans="1:12" x14ac:dyDescent="0.25">
      <c r="A1031">
        <f t="shared" si="52"/>
        <v>1</v>
      </c>
      <c r="B1031">
        <f t="shared" si="55"/>
        <v>2023</v>
      </c>
      <c r="C1031" s="7">
        <v>44939</v>
      </c>
      <c r="D1031" s="8"/>
      <c r="E1031" s="7">
        <v>44939</v>
      </c>
      <c r="F1031" s="9">
        <v>166.25</v>
      </c>
      <c r="G1031" s="7">
        <v>44939</v>
      </c>
      <c r="H1031" s="9">
        <v>165.25</v>
      </c>
      <c r="I1031" s="7">
        <v>44939</v>
      </c>
      <c r="J1031" s="9">
        <v>163.5</v>
      </c>
      <c r="K1031" s="5">
        <f t="shared" si="53"/>
        <v>2.75</v>
      </c>
      <c r="L1031" s="6">
        <f t="shared" si="54"/>
        <v>1</v>
      </c>
    </row>
    <row r="1032" spans="1:12" x14ac:dyDescent="0.25">
      <c r="A1032">
        <f t="shared" si="52"/>
        <v>1</v>
      </c>
      <c r="B1032">
        <f t="shared" si="55"/>
        <v>2023</v>
      </c>
      <c r="C1032" s="7">
        <v>44943</v>
      </c>
      <c r="D1032" s="8"/>
      <c r="E1032" s="7">
        <v>44943</v>
      </c>
      <c r="F1032" s="9">
        <v>167.75</v>
      </c>
      <c r="G1032" s="7">
        <v>44943</v>
      </c>
      <c r="H1032" s="9">
        <v>166.75</v>
      </c>
      <c r="I1032" s="7">
        <v>44943</v>
      </c>
      <c r="J1032" s="9">
        <v>164.75</v>
      </c>
      <c r="K1032" s="5">
        <f t="shared" si="53"/>
        <v>3</v>
      </c>
      <c r="L1032" s="6">
        <f t="shared" si="54"/>
        <v>1</v>
      </c>
    </row>
    <row r="1033" spans="1:12" x14ac:dyDescent="0.25">
      <c r="A1033">
        <f t="shared" si="52"/>
        <v>1</v>
      </c>
      <c r="B1033">
        <f t="shared" si="55"/>
        <v>2023</v>
      </c>
      <c r="C1033" s="7">
        <v>44944</v>
      </c>
      <c r="D1033" s="8"/>
      <c r="E1033" s="7">
        <v>44944</v>
      </c>
      <c r="F1033" s="9">
        <v>166.5</v>
      </c>
      <c r="G1033" s="7">
        <v>44944</v>
      </c>
      <c r="H1033" s="9">
        <v>165.5</v>
      </c>
      <c r="I1033" s="7">
        <v>44944</v>
      </c>
      <c r="J1033" s="9">
        <v>164.5</v>
      </c>
      <c r="K1033" s="5">
        <f t="shared" si="53"/>
        <v>2</v>
      </c>
      <c r="L1033" s="6">
        <f t="shared" si="54"/>
        <v>1</v>
      </c>
    </row>
    <row r="1034" spans="1:12" x14ac:dyDescent="0.25">
      <c r="A1034">
        <f t="shared" si="52"/>
        <v>1</v>
      </c>
      <c r="B1034">
        <f t="shared" si="55"/>
        <v>2023</v>
      </c>
      <c r="C1034" s="7">
        <v>44945</v>
      </c>
      <c r="D1034" s="8"/>
      <c r="E1034" s="7">
        <v>44945</v>
      </c>
      <c r="F1034" s="9">
        <v>166.75</v>
      </c>
      <c r="G1034" s="7">
        <v>44945</v>
      </c>
      <c r="H1034" s="9">
        <v>165.75</v>
      </c>
      <c r="I1034" s="7">
        <v>44945</v>
      </c>
      <c r="J1034" s="9">
        <v>164.25</v>
      </c>
      <c r="K1034" s="5">
        <f t="shared" si="53"/>
        <v>2.5</v>
      </c>
      <c r="L1034" s="6">
        <f t="shared" si="54"/>
        <v>1</v>
      </c>
    </row>
    <row r="1035" spans="1:12" x14ac:dyDescent="0.25">
      <c r="A1035">
        <f t="shared" si="52"/>
        <v>1</v>
      </c>
      <c r="B1035">
        <f t="shared" si="55"/>
        <v>2023</v>
      </c>
      <c r="C1035" s="7">
        <v>44946</v>
      </c>
      <c r="D1035" s="8"/>
      <c r="E1035" s="7">
        <v>44946</v>
      </c>
      <c r="F1035" s="9">
        <v>165.25</v>
      </c>
      <c r="G1035" s="7">
        <v>44946</v>
      </c>
      <c r="H1035" s="9">
        <v>164.25</v>
      </c>
      <c r="I1035" s="7">
        <v>44946</v>
      </c>
      <c r="J1035" s="9">
        <v>162.5</v>
      </c>
      <c r="K1035" s="5">
        <f t="shared" si="53"/>
        <v>2.75</v>
      </c>
      <c r="L1035" s="6">
        <f t="shared" si="54"/>
        <v>1</v>
      </c>
    </row>
    <row r="1036" spans="1:12" x14ac:dyDescent="0.25">
      <c r="A1036">
        <f t="shared" si="52"/>
        <v>1</v>
      </c>
      <c r="B1036">
        <f t="shared" si="55"/>
        <v>2023</v>
      </c>
      <c r="C1036" s="7">
        <v>44949</v>
      </c>
      <c r="D1036" s="8"/>
      <c r="E1036" s="7">
        <v>44949</v>
      </c>
      <c r="F1036" s="9">
        <v>165.25</v>
      </c>
      <c r="G1036" s="7">
        <v>44949</v>
      </c>
      <c r="H1036" s="9">
        <v>164.25</v>
      </c>
      <c r="I1036" s="7">
        <v>44949</v>
      </c>
      <c r="J1036" s="9">
        <v>162.5</v>
      </c>
      <c r="K1036" s="5">
        <f t="shared" si="53"/>
        <v>2.75</v>
      </c>
      <c r="L1036" s="6">
        <f t="shared" si="54"/>
        <v>1</v>
      </c>
    </row>
    <row r="1037" spans="1:12" x14ac:dyDescent="0.25">
      <c r="A1037">
        <f t="shared" si="52"/>
        <v>1</v>
      </c>
      <c r="B1037">
        <f t="shared" si="55"/>
        <v>2023</v>
      </c>
      <c r="C1037" s="7">
        <v>44950</v>
      </c>
      <c r="D1037" s="8"/>
      <c r="E1037" s="7">
        <v>44950</v>
      </c>
      <c r="F1037" s="9">
        <v>165.25</v>
      </c>
      <c r="G1037" s="7">
        <v>44950</v>
      </c>
      <c r="H1037" s="9">
        <v>164.25</v>
      </c>
      <c r="I1037" s="7">
        <v>44950</v>
      </c>
      <c r="J1037" s="9">
        <v>162.5</v>
      </c>
      <c r="K1037" s="5">
        <f t="shared" si="53"/>
        <v>2.75</v>
      </c>
      <c r="L1037" s="6">
        <f t="shared" si="54"/>
        <v>1</v>
      </c>
    </row>
    <row r="1038" spans="1:12" x14ac:dyDescent="0.25">
      <c r="A1038">
        <f t="shared" ref="A1038:A1101" si="56">MONTH(E1038)</f>
        <v>1</v>
      </c>
      <c r="B1038">
        <f t="shared" si="55"/>
        <v>2023</v>
      </c>
      <c r="C1038" s="7">
        <v>44951</v>
      </c>
      <c r="D1038" s="8"/>
      <c r="E1038" s="7">
        <v>44951</v>
      </c>
      <c r="F1038" s="9">
        <v>167.75</v>
      </c>
      <c r="G1038" s="7">
        <v>44951</v>
      </c>
      <c r="H1038" s="9">
        <v>166.75</v>
      </c>
      <c r="I1038" s="7">
        <v>44951</v>
      </c>
      <c r="J1038" s="9">
        <v>165.25</v>
      </c>
      <c r="K1038" s="5">
        <f t="shared" ref="K1038:K1101" si="57">F1038-J1038</f>
        <v>2.5</v>
      </c>
      <c r="L1038" s="6">
        <f t="shared" ref="L1038:L1101" si="58">F1038-H1038</f>
        <v>1</v>
      </c>
    </row>
    <row r="1039" spans="1:12" x14ac:dyDescent="0.25">
      <c r="A1039">
        <f t="shared" si="56"/>
        <v>1</v>
      </c>
      <c r="B1039">
        <f t="shared" ref="B1039:B1102" si="59">YEAR(E1039)</f>
        <v>2023</v>
      </c>
      <c r="C1039" s="7">
        <v>44952</v>
      </c>
      <c r="D1039" s="8"/>
      <c r="E1039" s="7">
        <v>44952</v>
      </c>
      <c r="F1039" s="9">
        <v>168.5</v>
      </c>
      <c r="G1039" s="7">
        <v>44952</v>
      </c>
      <c r="H1039" s="9">
        <v>167.5</v>
      </c>
      <c r="I1039" s="7">
        <v>44952</v>
      </c>
      <c r="J1039" s="9">
        <v>166.5</v>
      </c>
      <c r="K1039" s="5">
        <f t="shared" si="57"/>
        <v>2</v>
      </c>
      <c r="L1039" s="6">
        <f t="shared" si="58"/>
        <v>1</v>
      </c>
    </row>
    <row r="1040" spans="1:12" x14ac:dyDescent="0.25">
      <c r="A1040">
        <f t="shared" si="56"/>
        <v>1</v>
      </c>
      <c r="B1040">
        <f t="shared" si="59"/>
        <v>2023</v>
      </c>
      <c r="C1040" s="7">
        <v>44953</v>
      </c>
      <c r="D1040" s="8"/>
      <c r="E1040" s="7">
        <v>44953</v>
      </c>
      <c r="F1040" s="9">
        <v>168.5</v>
      </c>
      <c r="G1040" s="7">
        <v>44953</v>
      </c>
      <c r="H1040" s="9">
        <v>167.5</v>
      </c>
      <c r="I1040" s="7">
        <v>44953</v>
      </c>
      <c r="J1040" s="9">
        <v>166.75</v>
      </c>
      <c r="K1040" s="5">
        <f t="shared" si="57"/>
        <v>1.75</v>
      </c>
      <c r="L1040" s="6">
        <f t="shared" si="58"/>
        <v>1</v>
      </c>
    </row>
    <row r="1041" spans="1:12" x14ac:dyDescent="0.25">
      <c r="A1041">
        <f t="shared" si="56"/>
        <v>1</v>
      </c>
      <c r="B1041">
        <f t="shared" si="59"/>
        <v>2023</v>
      </c>
      <c r="C1041" s="7">
        <v>44956</v>
      </c>
      <c r="D1041" s="8"/>
      <c r="E1041" s="7">
        <v>44956</v>
      </c>
      <c r="F1041" s="9">
        <v>165.5</v>
      </c>
      <c r="G1041" s="7">
        <v>44956</v>
      </c>
      <c r="H1041" s="9">
        <v>164.5</v>
      </c>
      <c r="I1041" s="7">
        <v>44956</v>
      </c>
      <c r="J1041" s="9">
        <v>163.5</v>
      </c>
      <c r="K1041" s="5">
        <f t="shared" si="57"/>
        <v>2</v>
      </c>
      <c r="L1041" s="6">
        <f t="shared" si="58"/>
        <v>1</v>
      </c>
    </row>
    <row r="1042" spans="1:12" x14ac:dyDescent="0.25">
      <c r="A1042">
        <f t="shared" si="56"/>
        <v>1</v>
      </c>
      <c r="B1042">
        <f t="shared" si="59"/>
        <v>2023</v>
      </c>
      <c r="C1042" s="7">
        <v>44957</v>
      </c>
      <c r="D1042" s="8"/>
      <c r="E1042" s="7">
        <v>44957</v>
      </c>
      <c r="F1042" s="9">
        <v>163.5</v>
      </c>
      <c r="G1042" s="7">
        <v>44957</v>
      </c>
      <c r="H1042" s="9">
        <v>162.5</v>
      </c>
      <c r="I1042" s="7">
        <v>44957</v>
      </c>
      <c r="J1042" s="9">
        <v>159.5</v>
      </c>
      <c r="K1042" s="5">
        <f t="shared" si="57"/>
        <v>4</v>
      </c>
      <c r="L1042" s="6">
        <f t="shared" si="58"/>
        <v>1</v>
      </c>
    </row>
    <row r="1043" spans="1:12" x14ac:dyDescent="0.25">
      <c r="A1043">
        <f t="shared" si="56"/>
        <v>2</v>
      </c>
      <c r="B1043">
        <f t="shared" si="59"/>
        <v>2023</v>
      </c>
      <c r="C1043" s="7">
        <v>44958</v>
      </c>
      <c r="D1043" s="8"/>
      <c r="E1043" s="7">
        <v>44958</v>
      </c>
      <c r="F1043" s="9">
        <v>159.25</v>
      </c>
      <c r="G1043" s="7">
        <v>44958</v>
      </c>
      <c r="H1043" s="9">
        <v>158.25</v>
      </c>
      <c r="I1043" s="7">
        <v>44958</v>
      </c>
      <c r="J1043" s="9">
        <v>156.75</v>
      </c>
      <c r="K1043" s="5">
        <f t="shared" si="57"/>
        <v>2.5</v>
      </c>
      <c r="L1043" s="6">
        <f t="shared" si="58"/>
        <v>1</v>
      </c>
    </row>
    <row r="1044" spans="1:12" x14ac:dyDescent="0.25">
      <c r="A1044">
        <f t="shared" si="56"/>
        <v>2</v>
      </c>
      <c r="B1044">
        <f t="shared" si="59"/>
        <v>2023</v>
      </c>
      <c r="C1044" s="7">
        <v>44959</v>
      </c>
      <c r="D1044" s="8"/>
      <c r="E1044" s="7">
        <v>44959</v>
      </c>
      <c r="F1044" s="9">
        <v>159.5</v>
      </c>
      <c r="G1044" s="7">
        <v>44959</v>
      </c>
      <c r="H1044" s="9">
        <v>158.5</v>
      </c>
      <c r="I1044" s="7">
        <v>44959</v>
      </c>
      <c r="J1044" s="9">
        <v>155.5</v>
      </c>
      <c r="K1044" s="5">
        <f t="shared" si="57"/>
        <v>4</v>
      </c>
      <c r="L1044" s="6">
        <f t="shared" si="58"/>
        <v>1</v>
      </c>
    </row>
    <row r="1045" spans="1:12" x14ac:dyDescent="0.25">
      <c r="A1045">
        <f t="shared" si="56"/>
        <v>2</v>
      </c>
      <c r="B1045">
        <f t="shared" si="59"/>
        <v>2023</v>
      </c>
      <c r="C1045" s="7">
        <v>44960</v>
      </c>
      <c r="D1045" s="8"/>
      <c r="E1045" s="7">
        <v>44960</v>
      </c>
      <c r="F1045" s="9">
        <v>155.75</v>
      </c>
      <c r="G1045" s="7">
        <v>44960</v>
      </c>
      <c r="H1045" s="9">
        <v>154.75</v>
      </c>
      <c r="I1045" s="7">
        <v>44960</v>
      </c>
      <c r="J1045" s="9">
        <v>153.5</v>
      </c>
      <c r="K1045" s="5">
        <f t="shared" si="57"/>
        <v>2.25</v>
      </c>
      <c r="L1045" s="6">
        <f t="shared" si="58"/>
        <v>1</v>
      </c>
    </row>
    <row r="1046" spans="1:12" x14ac:dyDescent="0.25">
      <c r="A1046">
        <f t="shared" si="56"/>
        <v>2</v>
      </c>
      <c r="B1046">
        <f t="shared" si="59"/>
        <v>2023</v>
      </c>
      <c r="C1046" s="7">
        <v>44963</v>
      </c>
      <c r="D1046" s="8"/>
      <c r="E1046" s="7">
        <v>44963</v>
      </c>
      <c r="F1046" s="9">
        <v>156.25</v>
      </c>
      <c r="G1046" s="7">
        <v>44963</v>
      </c>
      <c r="H1046" s="9">
        <v>155.25</v>
      </c>
      <c r="I1046" s="7">
        <v>44963</v>
      </c>
      <c r="J1046" s="9">
        <v>152.5</v>
      </c>
      <c r="K1046" s="5">
        <f t="shared" si="57"/>
        <v>3.75</v>
      </c>
      <c r="L1046" s="6">
        <f t="shared" si="58"/>
        <v>1</v>
      </c>
    </row>
    <row r="1047" spans="1:12" x14ac:dyDescent="0.25">
      <c r="A1047">
        <f t="shared" si="56"/>
        <v>2</v>
      </c>
      <c r="B1047">
        <f t="shared" si="59"/>
        <v>2023</v>
      </c>
      <c r="C1047" s="7">
        <v>44964</v>
      </c>
      <c r="D1047" s="8"/>
      <c r="E1047" s="7">
        <v>44964</v>
      </c>
      <c r="F1047" s="9">
        <v>158.25</v>
      </c>
      <c r="G1047" s="7">
        <v>44964</v>
      </c>
      <c r="H1047" s="9">
        <v>157.25</v>
      </c>
      <c r="I1047" s="7">
        <v>44964</v>
      </c>
      <c r="J1047" s="9">
        <v>154.75</v>
      </c>
      <c r="K1047" s="5">
        <f t="shared" si="57"/>
        <v>3.5</v>
      </c>
      <c r="L1047" s="6">
        <f t="shared" si="58"/>
        <v>1</v>
      </c>
    </row>
    <row r="1048" spans="1:12" x14ac:dyDescent="0.25">
      <c r="A1048">
        <f t="shared" si="56"/>
        <v>2</v>
      </c>
      <c r="B1048">
        <f t="shared" si="59"/>
        <v>2023</v>
      </c>
      <c r="C1048" s="7">
        <v>44965</v>
      </c>
      <c r="D1048" s="8"/>
      <c r="E1048" s="7">
        <v>44965</v>
      </c>
      <c r="F1048" s="9">
        <v>159</v>
      </c>
      <c r="G1048" s="7">
        <v>44965</v>
      </c>
      <c r="H1048" s="9">
        <v>158</v>
      </c>
      <c r="I1048" s="7">
        <v>44965</v>
      </c>
      <c r="J1048" s="9">
        <v>155.5</v>
      </c>
      <c r="K1048" s="5">
        <f t="shared" si="57"/>
        <v>3.5</v>
      </c>
      <c r="L1048" s="6">
        <f t="shared" si="58"/>
        <v>1</v>
      </c>
    </row>
    <row r="1049" spans="1:12" x14ac:dyDescent="0.25">
      <c r="A1049">
        <f t="shared" si="56"/>
        <v>2</v>
      </c>
      <c r="B1049">
        <f t="shared" si="59"/>
        <v>2023</v>
      </c>
      <c r="C1049" s="7">
        <v>44966</v>
      </c>
      <c r="D1049" s="8"/>
      <c r="E1049" s="7">
        <v>44966</v>
      </c>
      <c r="F1049" s="9">
        <v>160.5</v>
      </c>
      <c r="G1049" s="7">
        <v>44966</v>
      </c>
      <c r="H1049" s="9">
        <v>159.5</v>
      </c>
      <c r="I1049" s="7">
        <v>44966</v>
      </c>
      <c r="J1049" s="9">
        <v>156.5</v>
      </c>
      <c r="K1049" s="5">
        <f t="shared" si="57"/>
        <v>4</v>
      </c>
      <c r="L1049" s="6">
        <f t="shared" si="58"/>
        <v>1</v>
      </c>
    </row>
    <row r="1050" spans="1:12" x14ac:dyDescent="0.25">
      <c r="A1050">
        <f t="shared" si="56"/>
        <v>2</v>
      </c>
      <c r="B1050">
        <f t="shared" si="59"/>
        <v>2023</v>
      </c>
      <c r="C1050" s="7">
        <v>44967</v>
      </c>
      <c r="D1050" s="8"/>
      <c r="E1050" s="7">
        <v>44967</v>
      </c>
      <c r="F1050" s="9">
        <v>161.5</v>
      </c>
      <c r="G1050" s="7">
        <v>44967</v>
      </c>
      <c r="H1050" s="9">
        <v>160.5</v>
      </c>
      <c r="I1050" s="7">
        <v>44967</v>
      </c>
      <c r="J1050" s="9">
        <v>158.5</v>
      </c>
      <c r="K1050" s="5">
        <f t="shared" si="57"/>
        <v>3</v>
      </c>
      <c r="L1050" s="6">
        <f t="shared" si="58"/>
        <v>1</v>
      </c>
    </row>
    <row r="1051" spans="1:12" x14ac:dyDescent="0.25">
      <c r="A1051">
        <f t="shared" si="56"/>
        <v>2</v>
      </c>
      <c r="B1051">
        <f t="shared" si="59"/>
        <v>2023</v>
      </c>
      <c r="C1051" s="7">
        <v>44970</v>
      </c>
      <c r="D1051" s="8"/>
      <c r="E1051" s="7">
        <v>44970</v>
      </c>
      <c r="F1051" s="9">
        <v>162.5</v>
      </c>
      <c r="G1051" s="7">
        <v>44970</v>
      </c>
      <c r="H1051" s="9">
        <v>161.5</v>
      </c>
      <c r="I1051" s="7">
        <v>44970</v>
      </c>
      <c r="J1051" s="9">
        <v>159.5</v>
      </c>
      <c r="K1051" s="5">
        <f t="shared" si="57"/>
        <v>3</v>
      </c>
      <c r="L1051" s="6">
        <f t="shared" si="58"/>
        <v>1</v>
      </c>
    </row>
    <row r="1052" spans="1:12" x14ac:dyDescent="0.25">
      <c r="A1052">
        <f t="shared" si="56"/>
        <v>2</v>
      </c>
      <c r="B1052">
        <f t="shared" si="59"/>
        <v>2023</v>
      </c>
      <c r="C1052" s="7">
        <v>44971</v>
      </c>
      <c r="D1052" s="8"/>
      <c r="E1052" s="7">
        <v>44971</v>
      </c>
      <c r="F1052" s="9">
        <v>163.5</v>
      </c>
      <c r="G1052" s="7">
        <v>44971</v>
      </c>
      <c r="H1052" s="9">
        <v>162.5</v>
      </c>
      <c r="I1052" s="7">
        <v>44971</v>
      </c>
      <c r="J1052" s="9">
        <v>160.5</v>
      </c>
      <c r="K1052" s="5">
        <f t="shared" si="57"/>
        <v>3</v>
      </c>
      <c r="L1052" s="6">
        <f t="shared" si="58"/>
        <v>1</v>
      </c>
    </row>
    <row r="1053" spans="1:12" x14ac:dyDescent="0.25">
      <c r="A1053">
        <f t="shared" si="56"/>
        <v>2</v>
      </c>
      <c r="B1053">
        <f t="shared" si="59"/>
        <v>2023</v>
      </c>
      <c r="C1053" s="7">
        <v>44972</v>
      </c>
      <c r="D1053" s="8"/>
      <c r="E1053" s="7">
        <v>44972</v>
      </c>
      <c r="F1053" s="9">
        <v>164.5</v>
      </c>
      <c r="G1053" s="7">
        <v>44972</v>
      </c>
      <c r="H1053" s="9">
        <v>163.5</v>
      </c>
      <c r="I1053" s="7">
        <v>44972</v>
      </c>
      <c r="J1053" s="9">
        <v>161.125</v>
      </c>
      <c r="K1053" s="5">
        <f t="shared" si="57"/>
        <v>3.375</v>
      </c>
      <c r="L1053" s="6">
        <f t="shared" si="58"/>
        <v>1</v>
      </c>
    </row>
    <row r="1054" spans="1:12" x14ac:dyDescent="0.25">
      <c r="A1054">
        <f t="shared" si="56"/>
        <v>2</v>
      </c>
      <c r="B1054">
        <f t="shared" si="59"/>
        <v>2023</v>
      </c>
      <c r="C1054" s="7">
        <v>44973</v>
      </c>
      <c r="D1054" s="8"/>
      <c r="E1054" s="7">
        <v>44973</v>
      </c>
      <c r="F1054" s="9">
        <v>164.75</v>
      </c>
      <c r="G1054" s="7">
        <v>44973</v>
      </c>
      <c r="H1054" s="9">
        <v>163.75</v>
      </c>
      <c r="I1054" s="7">
        <v>44973</v>
      </c>
      <c r="J1054" s="9">
        <v>161.25</v>
      </c>
      <c r="K1054" s="5">
        <f t="shared" si="57"/>
        <v>3.5</v>
      </c>
      <c r="L1054" s="6">
        <f t="shared" si="58"/>
        <v>1</v>
      </c>
    </row>
    <row r="1055" spans="1:12" x14ac:dyDescent="0.25">
      <c r="A1055">
        <f t="shared" si="56"/>
        <v>2</v>
      </c>
      <c r="B1055">
        <f t="shared" si="59"/>
        <v>2023</v>
      </c>
      <c r="C1055" s="7">
        <v>44974</v>
      </c>
      <c r="D1055" s="8"/>
      <c r="E1055" s="7">
        <v>44974</v>
      </c>
      <c r="F1055" s="9">
        <v>165.75</v>
      </c>
      <c r="G1055" s="7">
        <v>44974</v>
      </c>
      <c r="H1055" s="9">
        <v>164.75</v>
      </c>
      <c r="I1055" s="7">
        <v>44974</v>
      </c>
      <c r="J1055" s="9">
        <v>161.75</v>
      </c>
      <c r="K1055" s="5">
        <f t="shared" si="57"/>
        <v>4</v>
      </c>
      <c r="L1055" s="6">
        <f t="shared" si="58"/>
        <v>1</v>
      </c>
    </row>
    <row r="1056" spans="1:12" x14ac:dyDescent="0.25">
      <c r="A1056">
        <f t="shared" si="56"/>
        <v>2</v>
      </c>
      <c r="B1056">
        <f t="shared" si="59"/>
        <v>2023</v>
      </c>
      <c r="C1056" s="7">
        <v>44978</v>
      </c>
      <c r="D1056" s="8"/>
      <c r="E1056" s="7">
        <v>44978</v>
      </c>
      <c r="F1056" s="9">
        <v>166.75</v>
      </c>
      <c r="G1056" s="7">
        <v>44978</v>
      </c>
      <c r="H1056" s="9">
        <v>165.75</v>
      </c>
      <c r="I1056" s="7">
        <v>44978</v>
      </c>
      <c r="J1056" s="9">
        <v>162.625</v>
      </c>
      <c r="K1056" s="5">
        <f t="shared" si="57"/>
        <v>4.125</v>
      </c>
      <c r="L1056" s="6">
        <f t="shared" si="58"/>
        <v>1</v>
      </c>
    </row>
    <row r="1057" spans="1:12" x14ac:dyDescent="0.25">
      <c r="A1057">
        <f t="shared" si="56"/>
        <v>2</v>
      </c>
      <c r="B1057">
        <f t="shared" si="59"/>
        <v>2023</v>
      </c>
      <c r="C1057" s="7">
        <v>44979</v>
      </c>
      <c r="D1057" s="8"/>
      <c r="E1057" s="7">
        <v>44979</v>
      </c>
      <c r="F1057" s="9">
        <v>167.5</v>
      </c>
      <c r="G1057" s="7">
        <v>44979</v>
      </c>
      <c r="H1057" s="9">
        <v>166.5</v>
      </c>
      <c r="I1057" s="7">
        <v>44979</v>
      </c>
      <c r="J1057" s="9">
        <v>163.5</v>
      </c>
      <c r="K1057" s="5">
        <f t="shared" si="57"/>
        <v>4</v>
      </c>
      <c r="L1057" s="6">
        <f t="shared" si="58"/>
        <v>1</v>
      </c>
    </row>
    <row r="1058" spans="1:12" x14ac:dyDescent="0.25">
      <c r="A1058">
        <f t="shared" si="56"/>
        <v>2</v>
      </c>
      <c r="B1058">
        <f t="shared" si="59"/>
        <v>2023</v>
      </c>
      <c r="C1058" s="7">
        <v>44980</v>
      </c>
      <c r="D1058" s="8"/>
      <c r="E1058" s="7">
        <v>44980</v>
      </c>
      <c r="F1058" s="9">
        <v>164.75</v>
      </c>
      <c r="G1058" s="7">
        <v>44980</v>
      </c>
      <c r="H1058" s="9">
        <v>163.75</v>
      </c>
      <c r="I1058" s="7">
        <v>44980</v>
      </c>
      <c r="J1058" s="9">
        <v>161.25</v>
      </c>
      <c r="K1058" s="5">
        <f t="shared" si="57"/>
        <v>3.5</v>
      </c>
      <c r="L1058" s="6">
        <f t="shared" si="58"/>
        <v>1</v>
      </c>
    </row>
    <row r="1059" spans="1:12" x14ac:dyDescent="0.25">
      <c r="A1059">
        <f t="shared" si="56"/>
        <v>2</v>
      </c>
      <c r="B1059">
        <f t="shared" si="59"/>
        <v>2023</v>
      </c>
      <c r="C1059" s="7">
        <v>44981</v>
      </c>
      <c r="D1059" s="8"/>
      <c r="E1059" s="7">
        <v>44981</v>
      </c>
      <c r="F1059" s="9">
        <v>164</v>
      </c>
      <c r="G1059" s="7">
        <v>44981</v>
      </c>
      <c r="H1059" s="9">
        <v>163</v>
      </c>
      <c r="I1059" s="7">
        <v>44981</v>
      </c>
      <c r="J1059" s="9">
        <v>160.25</v>
      </c>
      <c r="K1059" s="5">
        <f t="shared" si="57"/>
        <v>3.75</v>
      </c>
      <c r="L1059" s="6">
        <f t="shared" si="58"/>
        <v>1</v>
      </c>
    </row>
    <row r="1060" spans="1:12" x14ac:dyDescent="0.25">
      <c r="A1060">
        <f t="shared" si="56"/>
        <v>2</v>
      </c>
      <c r="B1060">
        <f t="shared" si="59"/>
        <v>2023</v>
      </c>
      <c r="C1060" s="7">
        <v>44984</v>
      </c>
      <c r="D1060" s="8"/>
      <c r="E1060" s="7">
        <v>44984</v>
      </c>
      <c r="F1060" s="9">
        <v>162</v>
      </c>
      <c r="G1060" s="7">
        <v>44984</v>
      </c>
      <c r="H1060" s="9">
        <v>161</v>
      </c>
      <c r="I1060" s="7">
        <v>44984</v>
      </c>
      <c r="J1060" s="9">
        <v>158.75</v>
      </c>
      <c r="K1060" s="5">
        <f t="shared" si="57"/>
        <v>3.25</v>
      </c>
      <c r="L1060" s="6">
        <f t="shared" si="58"/>
        <v>1</v>
      </c>
    </row>
    <row r="1061" spans="1:12" x14ac:dyDescent="0.25">
      <c r="A1061">
        <f t="shared" si="56"/>
        <v>2</v>
      </c>
      <c r="B1061">
        <f t="shared" si="59"/>
        <v>2023</v>
      </c>
      <c r="C1061" s="7">
        <v>44985</v>
      </c>
      <c r="D1061" s="8"/>
      <c r="E1061" s="7">
        <v>44985</v>
      </c>
      <c r="F1061" s="9">
        <v>161.5</v>
      </c>
      <c r="G1061" s="7">
        <v>44985</v>
      </c>
      <c r="H1061" s="9">
        <v>160.5</v>
      </c>
      <c r="I1061" s="7">
        <v>44985</v>
      </c>
      <c r="J1061" s="9">
        <v>158.75</v>
      </c>
      <c r="K1061" s="5">
        <f t="shared" si="57"/>
        <v>2.75</v>
      </c>
      <c r="L1061" s="6">
        <f t="shared" si="58"/>
        <v>1</v>
      </c>
    </row>
    <row r="1062" spans="1:12" x14ac:dyDescent="0.25">
      <c r="A1062">
        <f t="shared" si="56"/>
        <v>3</v>
      </c>
      <c r="B1062">
        <f t="shared" si="59"/>
        <v>2023</v>
      </c>
      <c r="C1062" s="7">
        <v>44986</v>
      </c>
      <c r="D1062" s="8"/>
      <c r="E1062" s="7">
        <v>44986</v>
      </c>
      <c r="F1062" s="9">
        <v>161.5</v>
      </c>
      <c r="G1062" s="7">
        <v>44986</v>
      </c>
      <c r="H1062" s="9">
        <v>160.5</v>
      </c>
      <c r="I1062" s="7">
        <v>44986</v>
      </c>
      <c r="J1062" s="9">
        <v>156.25</v>
      </c>
      <c r="K1062" s="5">
        <f t="shared" si="57"/>
        <v>5.25</v>
      </c>
      <c r="L1062" s="6">
        <f t="shared" si="58"/>
        <v>1</v>
      </c>
    </row>
    <row r="1063" spans="1:12" x14ac:dyDescent="0.25">
      <c r="A1063">
        <f t="shared" si="56"/>
        <v>3</v>
      </c>
      <c r="B1063">
        <f t="shared" si="59"/>
        <v>2023</v>
      </c>
      <c r="C1063" s="7">
        <v>44987</v>
      </c>
      <c r="D1063" s="8"/>
      <c r="E1063" s="7">
        <v>44987</v>
      </c>
      <c r="F1063" s="9">
        <v>161.5</v>
      </c>
      <c r="G1063" s="7">
        <v>44987</v>
      </c>
      <c r="H1063" s="9">
        <v>160.5</v>
      </c>
      <c r="I1063" s="7">
        <v>44987</v>
      </c>
      <c r="J1063" s="9">
        <v>157.75</v>
      </c>
      <c r="K1063" s="5">
        <f t="shared" si="57"/>
        <v>3.75</v>
      </c>
      <c r="L1063" s="6">
        <f t="shared" si="58"/>
        <v>1</v>
      </c>
    </row>
    <row r="1064" spans="1:12" x14ac:dyDescent="0.25">
      <c r="A1064">
        <f t="shared" si="56"/>
        <v>3</v>
      </c>
      <c r="B1064">
        <f t="shared" si="59"/>
        <v>2023</v>
      </c>
      <c r="C1064" s="7">
        <v>44988</v>
      </c>
      <c r="D1064" s="8"/>
      <c r="E1064" s="7">
        <v>44988</v>
      </c>
      <c r="F1064" s="9">
        <v>160.5</v>
      </c>
      <c r="G1064" s="7">
        <v>44988</v>
      </c>
      <c r="H1064" s="9">
        <v>159.5</v>
      </c>
      <c r="I1064" s="7">
        <v>44988</v>
      </c>
      <c r="J1064" s="9">
        <v>156.5</v>
      </c>
      <c r="K1064" s="5">
        <f t="shared" si="57"/>
        <v>4</v>
      </c>
      <c r="L1064" s="6">
        <f t="shared" si="58"/>
        <v>1</v>
      </c>
    </row>
    <row r="1065" spans="1:12" x14ac:dyDescent="0.25">
      <c r="A1065">
        <f t="shared" si="56"/>
        <v>3</v>
      </c>
      <c r="B1065">
        <f t="shared" si="59"/>
        <v>2023</v>
      </c>
      <c r="C1065" s="7">
        <v>44991</v>
      </c>
      <c r="D1065" s="8"/>
      <c r="E1065" s="7">
        <v>44991</v>
      </c>
      <c r="F1065" s="9">
        <v>160.5</v>
      </c>
      <c r="G1065" s="7">
        <v>44991</v>
      </c>
      <c r="H1065" s="9">
        <v>159.5</v>
      </c>
      <c r="I1065" s="7">
        <v>44991</v>
      </c>
      <c r="J1065" s="9">
        <v>157.25</v>
      </c>
      <c r="K1065" s="5">
        <f t="shared" si="57"/>
        <v>3.25</v>
      </c>
      <c r="L1065" s="6">
        <f t="shared" si="58"/>
        <v>1</v>
      </c>
    </row>
    <row r="1066" spans="1:12" x14ac:dyDescent="0.25">
      <c r="A1066">
        <f t="shared" si="56"/>
        <v>3</v>
      </c>
      <c r="B1066">
        <f t="shared" si="59"/>
        <v>2023</v>
      </c>
      <c r="C1066" s="7">
        <v>44992</v>
      </c>
      <c r="D1066" s="8"/>
      <c r="E1066" s="7">
        <v>44992</v>
      </c>
      <c r="F1066" s="9">
        <v>160.75</v>
      </c>
      <c r="G1066" s="7">
        <v>44992</v>
      </c>
      <c r="H1066" s="9">
        <v>159.75</v>
      </c>
      <c r="I1066" s="7">
        <v>44992</v>
      </c>
      <c r="J1066" s="9">
        <v>156.75</v>
      </c>
      <c r="K1066" s="5">
        <f t="shared" si="57"/>
        <v>4</v>
      </c>
      <c r="L1066" s="6">
        <f t="shared" si="58"/>
        <v>1</v>
      </c>
    </row>
    <row r="1067" spans="1:12" x14ac:dyDescent="0.25">
      <c r="A1067">
        <f t="shared" si="56"/>
        <v>3</v>
      </c>
      <c r="B1067">
        <f t="shared" si="59"/>
        <v>2023</v>
      </c>
      <c r="C1067" s="7">
        <v>44993</v>
      </c>
      <c r="D1067" s="8"/>
      <c r="E1067" s="7">
        <v>44993</v>
      </c>
      <c r="F1067" s="9">
        <v>161.5</v>
      </c>
      <c r="G1067" s="7">
        <v>44993</v>
      </c>
      <c r="H1067" s="9">
        <v>160.5</v>
      </c>
      <c r="I1067" s="7">
        <v>44993</v>
      </c>
      <c r="J1067" s="9">
        <v>157.25</v>
      </c>
      <c r="K1067" s="5">
        <f t="shared" si="57"/>
        <v>4.25</v>
      </c>
      <c r="L1067" s="6">
        <f t="shared" si="58"/>
        <v>1</v>
      </c>
    </row>
    <row r="1068" spans="1:12" x14ac:dyDescent="0.25">
      <c r="A1068">
        <f t="shared" si="56"/>
        <v>3</v>
      </c>
      <c r="B1068">
        <f t="shared" si="59"/>
        <v>2023</v>
      </c>
      <c r="C1068" s="7">
        <v>44994</v>
      </c>
      <c r="D1068" s="8"/>
      <c r="E1068" s="7">
        <v>44994</v>
      </c>
      <c r="F1068" s="9">
        <v>161.5</v>
      </c>
      <c r="G1068" s="7">
        <v>44994</v>
      </c>
      <c r="H1068" s="9">
        <v>160.5</v>
      </c>
      <c r="I1068" s="7">
        <v>44994</v>
      </c>
      <c r="J1068" s="9">
        <v>156.5</v>
      </c>
      <c r="K1068" s="5">
        <f t="shared" si="57"/>
        <v>5</v>
      </c>
      <c r="L1068" s="6">
        <f t="shared" si="58"/>
        <v>1</v>
      </c>
    </row>
    <row r="1069" spans="1:12" x14ac:dyDescent="0.25">
      <c r="A1069">
        <f t="shared" si="56"/>
        <v>3</v>
      </c>
      <c r="B1069">
        <f t="shared" si="59"/>
        <v>2023</v>
      </c>
      <c r="C1069" s="7">
        <v>44995</v>
      </c>
      <c r="D1069" s="8"/>
      <c r="E1069" s="7">
        <v>44995</v>
      </c>
      <c r="F1069" s="9">
        <v>158.5</v>
      </c>
      <c r="G1069" s="7">
        <v>44995</v>
      </c>
      <c r="H1069" s="9">
        <v>157.5</v>
      </c>
      <c r="I1069" s="7">
        <v>44995</v>
      </c>
      <c r="J1069" s="9">
        <v>154.5</v>
      </c>
      <c r="K1069" s="5">
        <f t="shared" si="57"/>
        <v>4</v>
      </c>
      <c r="L1069" s="6">
        <f t="shared" si="58"/>
        <v>1</v>
      </c>
    </row>
    <row r="1070" spans="1:12" x14ac:dyDescent="0.25">
      <c r="A1070">
        <f t="shared" si="56"/>
        <v>3</v>
      </c>
      <c r="B1070">
        <f t="shared" si="59"/>
        <v>2023</v>
      </c>
      <c r="C1070" s="7">
        <v>44998</v>
      </c>
      <c r="D1070" s="8"/>
      <c r="E1070" s="7">
        <v>44998</v>
      </c>
      <c r="F1070" s="9">
        <v>155.25</v>
      </c>
      <c r="G1070" s="7">
        <v>44998</v>
      </c>
      <c r="H1070" s="9">
        <v>154.25</v>
      </c>
      <c r="I1070" s="7">
        <v>44998</v>
      </c>
      <c r="J1070" s="9">
        <v>152.25</v>
      </c>
      <c r="K1070" s="5">
        <f t="shared" si="57"/>
        <v>3</v>
      </c>
      <c r="L1070" s="6">
        <f t="shared" si="58"/>
        <v>1</v>
      </c>
    </row>
    <row r="1071" spans="1:12" x14ac:dyDescent="0.25">
      <c r="A1071">
        <f t="shared" si="56"/>
        <v>3</v>
      </c>
      <c r="B1071">
        <f t="shared" si="59"/>
        <v>2023</v>
      </c>
      <c r="C1071" s="7">
        <v>44999</v>
      </c>
      <c r="D1071" s="8"/>
      <c r="E1071" s="7">
        <v>44999</v>
      </c>
      <c r="F1071" s="9">
        <v>156.5</v>
      </c>
      <c r="G1071" s="7">
        <v>44999</v>
      </c>
      <c r="H1071" s="9">
        <v>155.5</v>
      </c>
      <c r="I1071" s="7">
        <v>44999</v>
      </c>
      <c r="J1071" s="9">
        <v>153.25</v>
      </c>
      <c r="K1071" s="5">
        <f t="shared" si="57"/>
        <v>3.25</v>
      </c>
      <c r="L1071" s="6">
        <f t="shared" si="58"/>
        <v>1</v>
      </c>
    </row>
    <row r="1072" spans="1:12" x14ac:dyDescent="0.25">
      <c r="A1072">
        <f t="shared" si="56"/>
        <v>3</v>
      </c>
      <c r="B1072">
        <f t="shared" si="59"/>
        <v>2023</v>
      </c>
      <c r="C1072" s="7">
        <v>45000</v>
      </c>
      <c r="D1072" s="8"/>
      <c r="E1072" s="7">
        <v>45000</v>
      </c>
      <c r="F1072" s="9">
        <v>156.5</v>
      </c>
      <c r="G1072" s="7">
        <v>45000</v>
      </c>
      <c r="H1072" s="9">
        <v>155.5</v>
      </c>
      <c r="I1072" s="7">
        <v>45000</v>
      </c>
      <c r="J1072" s="9">
        <v>151.5</v>
      </c>
      <c r="K1072" s="5">
        <f t="shared" si="57"/>
        <v>5</v>
      </c>
      <c r="L1072" s="6">
        <f t="shared" si="58"/>
        <v>1</v>
      </c>
    </row>
    <row r="1073" spans="1:12" x14ac:dyDescent="0.25">
      <c r="A1073">
        <f t="shared" si="56"/>
        <v>3</v>
      </c>
      <c r="B1073">
        <f t="shared" si="59"/>
        <v>2023</v>
      </c>
      <c r="C1073" s="7">
        <v>45001</v>
      </c>
      <c r="D1073" s="8"/>
      <c r="E1073" s="7">
        <v>45001</v>
      </c>
      <c r="F1073" s="9">
        <v>157</v>
      </c>
      <c r="G1073" s="7">
        <v>45001</v>
      </c>
      <c r="H1073" s="9">
        <v>156</v>
      </c>
      <c r="I1073" s="7">
        <v>45001</v>
      </c>
      <c r="J1073" s="9">
        <v>153</v>
      </c>
      <c r="K1073" s="5">
        <f t="shared" si="57"/>
        <v>4</v>
      </c>
      <c r="L1073" s="6">
        <f t="shared" si="58"/>
        <v>1</v>
      </c>
    </row>
    <row r="1074" spans="1:12" x14ac:dyDescent="0.25">
      <c r="A1074">
        <f t="shared" si="56"/>
        <v>3</v>
      </c>
      <c r="B1074">
        <f t="shared" si="59"/>
        <v>2023</v>
      </c>
      <c r="C1074" s="7">
        <v>45002</v>
      </c>
      <c r="D1074" s="8"/>
      <c r="E1074" s="7">
        <v>45002</v>
      </c>
      <c r="F1074" s="9">
        <v>158.25</v>
      </c>
      <c r="G1074" s="7">
        <v>45002</v>
      </c>
      <c r="H1074" s="9">
        <v>157.25</v>
      </c>
      <c r="I1074" s="7">
        <v>45002</v>
      </c>
      <c r="J1074" s="9">
        <v>153.5</v>
      </c>
      <c r="K1074" s="5">
        <f t="shared" si="57"/>
        <v>4.75</v>
      </c>
      <c r="L1074" s="6">
        <f t="shared" si="58"/>
        <v>1</v>
      </c>
    </row>
    <row r="1075" spans="1:12" x14ac:dyDescent="0.25">
      <c r="A1075">
        <f t="shared" si="56"/>
        <v>3</v>
      </c>
      <c r="B1075">
        <f t="shared" si="59"/>
        <v>2023</v>
      </c>
      <c r="C1075" s="7">
        <v>45005</v>
      </c>
      <c r="D1075" s="8"/>
      <c r="E1075" s="7">
        <v>45005</v>
      </c>
      <c r="F1075" s="9">
        <v>155.5</v>
      </c>
      <c r="G1075" s="7">
        <v>45005</v>
      </c>
      <c r="H1075" s="9">
        <v>154.5</v>
      </c>
      <c r="I1075" s="7">
        <v>45005</v>
      </c>
      <c r="J1075" s="9">
        <v>151.75</v>
      </c>
      <c r="K1075" s="5">
        <f t="shared" si="57"/>
        <v>3.75</v>
      </c>
      <c r="L1075" s="6">
        <f t="shared" si="58"/>
        <v>1</v>
      </c>
    </row>
    <row r="1076" spans="1:12" x14ac:dyDescent="0.25">
      <c r="A1076">
        <f t="shared" si="56"/>
        <v>3</v>
      </c>
      <c r="B1076">
        <f t="shared" si="59"/>
        <v>2023</v>
      </c>
      <c r="C1076" s="7">
        <v>45006</v>
      </c>
      <c r="D1076" s="8"/>
      <c r="E1076" s="7">
        <v>45006</v>
      </c>
      <c r="F1076" s="9">
        <v>157</v>
      </c>
      <c r="G1076" s="7">
        <v>45006</v>
      </c>
      <c r="H1076" s="9">
        <v>156</v>
      </c>
      <c r="I1076" s="7">
        <v>45006</v>
      </c>
      <c r="J1076" s="9">
        <v>152.5</v>
      </c>
      <c r="K1076" s="5">
        <f t="shared" si="57"/>
        <v>4.5</v>
      </c>
      <c r="L1076" s="6">
        <f t="shared" si="58"/>
        <v>1</v>
      </c>
    </row>
    <row r="1077" spans="1:12" x14ac:dyDescent="0.25">
      <c r="A1077">
        <f t="shared" si="56"/>
        <v>3</v>
      </c>
      <c r="B1077">
        <f t="shared" si="59"/>
        <v>2023</v>
      </c>
      <c r="C1077" s="7">
        <v>45007</v>
      </c>
      <c r="D1077" s="8"/>
      <c r="E1077" s="7">
        <v>45007</v>
      </c>
      <c r="F1077" s="9">
        <v>154.5</v>
      </c>
      <c r="G1077" s="7">
        <v>45007</v>
      </c>
      <c r="H1077" s="9">
        <v>153.5</v>
      </c>
      <c r="I1077" s="7">
        <v>45007</v>
      </c>
      <c r="J1077" s="9">
        <v>151.75</v>
      </c>
      <c r="K1077" s="5">
        <f t="shared" si="57"/>
        <v>2.75</v>
      </c>
      <c r="L1077" s="6">
        <f t="shared" si="58"/>
        <v>1</v>
      </c>
    </row>
    <row r="1078" spans="1:12" x14ac:dyDescent="0.25">
      <c r="A1078">
        <f t="shared" si="56"/>
        <v>3</v>
      </c>
      <c r="B1078">
        <f t="shared" si="59"/>
        <v>2023</v>
      </c>
      <c r="C1078" s="7">
        <v>45008</v>
      </c>
      <c r="D1078" s="8"/>
      <c r="E1078" s="7">
        <v>45008</v>
      </c>
      <c r="F1078" s="9">
        <v>153.75</v>
      </c>
      <c r="G1078" s="7">
        <v>45008</v>
      </c>
      <c r="H1078" s="9">
        <v>152.75</v>
      </c>
      <c r="I1078" s="7">
        <v>45008</v>
      </c>
      <c r="J1078" s="9">
        <v>148.5</v>
      </c>
      <c r="K1078" s="5">
        <f t="shared" si="57"/>
        <v>5.25</v>
      </c>
      <c r="L1078" s="6">
        <f t="shared" si="58"/>
        <v>1</v>
      </c>
    </row>
    <row r="1079" spans="1:12" x14ac:dyDescent="0.25">
      <c r="A1079">
        <f t="shared" si="56"/>
        <v>3</v>
      </c>
      <c r="B1079">
        <f t="shared" si="59"/>
        <v>2023</v>
      </c>
      <c r="C1079" s="7">
        <v>45009</v>
      </c>
      <c r="D1079" s="8"/>
      <c r="E1079" s="7">
        <v>45009</v>
      </c>
      <c r="F1079" s="9">
        <v>155.5</v>
      </c>
      <c r="G1079" s="7">
        <v>45009</v>
      </c>
      <c r="H1079" s="9">
        <v>154.5</v>
      </c>
      <c r="I1079" s="7">
        <v>45009</v>
      </c>
      <c r="J1079" s="9">
        <v>151.5</v>
      </c>
      <c r="K1079" s="5">
        <f t="shared" si="57"/>
        <v>4</v>
      </c>
      <c r="L1079" s="6">
        <f t="shared" si="58"/>
        <v>1</v>
      </c>
    </row>
    <row r="1080" spans="1:12" x14ac:dyDescent="0.25">
      <c r="A1080">
        <f t="shared" si="56"/>
        <v>3</v>
      </c>
      <c r="B1080">
        <f t="shared" si="59"/>
        <v>2023</v>
      </c>
      <c r="C1080" s="7">
        <v>45012</v>
      </c>
      <c r="D1080" s="8"/>
      <c r="E1080" s="7">
        <v>45012</v>
      </c>
      <c r="F1080" s="9">
        <v>155.75</v>
      </c>
      <c r="G1080" s="7">
        <v>45012</v>
      </c>
      <c r="H1080" s="9">
        <v>154.75</v>
      </c>
      <c r="I1080" s="7">
        <v>45012</v>
      </c>
      <c r="J1080" s="9">
        <v>152.5</v>
      </c>
      <c r="K1080" s="5">
        <f t="shared" si="57"/>
        <v>3.25</v>
      </c>
      <c r="L1080" s="6">
        <f t="shared" si="58"/>
        <v>1</v>
      </c>
    </row>
    <row r="1081" spans="1:12" x14ac:dyDescent="0.25">
      <c r="A1081">
        <f t="shared" si="56"/>
        <v>3</v>
      </c>
      <c r="B1081">
        <f t="shared" si="59"/>
        <v>2023</v>
      </c>
      <c r="C1081" s="7">
        <v>45013</v>
      </c>
      <c r="D1081" s="8"/>
      <c r="E1081" s="7">
        <v>45013</v>
      </c>
      <c r="F1081" s="9">
        <v>154.75</v>
      </c>
      <c r="G1081" s="7">
        <v>45013</v>
      </c>
      <c r="H1081" s="9">
        <v>153.5</v>
      </c>
      <c r="I1081" s="7">
        <v>45013</v>
      </c>
      <c r="J1081" s="9">
        <v>152</v>
      </c>
      <c r="K1081" s="5">
        <f t="shared" si="57"/>
        <v>2.75</v>
      </c>
      <c r="L1081" s="6">
        <f t="shared" si="58"/>
        <v>1.25</v>
      </c>
    </row>
    <row r="1082" spans="1:12" x14ac:dyDescent="0.25">
      <c r="A1082">
        <f t="shared" si="56"/>
        <v>3</v>
      </c>
      <c r="B1082">
        <f t="shared" si="59"/>
        <v>2023</v>
      </c>
      <c r="C1082" s="7">
        <v>45014</v>
      </c>
      <c r="D1082" s="8"/>
      <c r="E1082" s="7">
        <v>45014</v>
      </c>
      <c r="F1082" s="9">
        <v>155.75</v>
      </c>
      <c r="G1082" s="7">
        <v>45014</v>
      </c>
      <c r="H1082" s="9">
        <v>155</v>
      </c>
      <c r="I1082" s="7">
        <v>45014</v>
      </c>
      <c r="J1082" s="9">
        <v>152.75</v>
      </c>
      <c r="K1082" s="5">
        <f t="shared" si="57"/>
        <v>3</v>
      </c>
      <c r="L1082" s="6">
        <f t="shared" si="58"/>
        <v>0.75</v>
      </c>
    </row>
    <row r="1083" spans="1:12" x14ac:dyDescent="0.25">
      <c r="A1083">
        <f t="shared" si="56"/>
        <v>3</v>
      </c>
      <c r="B1083">
        <f t="shared" si="59"/>
        <v>2023</v>
      </c>
      <c r="C1083" s="7">
        <v>45015</v>
      </c>
      <c r="D1083" s="8"/>
      <c r="E1083" s="7">
        <v>45015</v>
      </c>
      <c r="F1083" s="9">
        <v>154</v>
      </c>
      <c r="G1083" s="7">
        <v>45015</v>
      </c>
      <c r="H1083" s="9">
        <v>153</v>
      </c>
      <c r="I1083" s="7">
        <v>45015</v>
      </c>
      <c r="J1083" s="9">
        <v>151.25</v>
      </c>
      <c r="K1083" s="5">
        <f t="shared" si="57"/>
        <v>2.75</v>
      </c>
      <c r="L1083" s="6">
        <f t="shared" si="58"/>
        <v>1</v>
      </c>
    </row>
    <row r="1084" spans="1:12" x14ac:dyDescent="0.25">
      <c r="A1084">
        <f t="shared" si="56"/>
        <v>3</v>
      </c>
      <c r="B1084">
        <f t="shared" si="59"/>
        <v>2023</v>
      </c>
      <c r="C1084" s="7">
        <v>45016</v>
      </c>
      <c r="D1084" s="8"/>
      <c r="E1084" s="7">
        <v>45016</v>
      </c>
      <c r="F1084" s="9">
        <v>154</v>
      </c>
      <c r="G1084" s="7">
        <v>45016</v>
      </c>
      <c r="H1084" s="9">
        <v>153</v>
      </c>
      <c r="I1084" s="7">
        <v>45016</v>
      </c>
      <c r="J1084" s="9">
        <v>151.75</v>
      </c>
      <c r="K1084" s="5">
        <f t="shared" si="57"/>
        <v>2.25</v>
      </c>
      <c r="L1084" s="6">
        <f t="shared" si="58"/>
        <v>1</v>
      </c>
    </row>
    <row r="1085" spans="1:12" x14ac:dyDescent="0.25">
      <c r="A1085">
        <f t="shared" si="56"/>
        <v>4</v>
      </c>
      <c r="B1085">
        <f t="shared" si="59"/>
        <v>2023</v>
      </c>
      <c r="C1085" s="7">
        <v>45019</v>
      </c>
      <c r="D1085" s="8"/>
      <c r="E1085" s="7">
        <v>45019</v>
      </c>
      <c r="F1085" s="9">
        <v>154.5</v>
      </c>
      <c r="G1085" s="7">
        <v>45019</v>
      </c>
      <c r="H1085" s="9">
        <v>153.5</v>
      </c>
      <c r="I1085" s="7">
        <v>45019</v>
      </c>
      <c r="J1085" s="9">
        <v>151.5</v>
      </c>
      <c r="K1085" s="5">
        <f t="shared" si="57"/>
        <v>3</v>
      </c>
      <c r="L1085" s="6">
        <f t="shared" si="58"/>
        <v>1</v>
      </c>
    </row>
    <row r="1086" spans="1:12" x14ac:dyDescent="0.25">
      <c r="A1086">
        <f t="shared" si="56"/>
        <v>4</v>
      </c>
      <c r="B1086">
        <f t="shared" si="59"/>
        <v>2023</v>
      </c>
      <c r="C1086" s="7">
        <v>45020</v>
      </c>
      <c r="D1086" s="8"/>
      <c r="E1086" s="7">
        <v>45020</v>
      </c>
      <c r="F1086" s="9">
        <v>154.5</v>
      </c>
      <c r="G1086" s="7">
        <v>45020</v>
      </c>
      <c r="H1086" s="9">
        <v>153.5</v>
      </c>
      <c r="I1086" s="7">
        <v>45020</v>
      </c>
      <c r="J1086" s="9">
        <v>151.75</v>
      </c>
      <c r="K1086" s="5">
        <f t="shared" si="57"/>
        <v>2.75</v>
      </c>
      <c r="L1086" s="6">
        <f t="shared" si="58"/>
        <v>1</v>
      </c>
    </row>
    <row r="1087" spans="1:12" x14ac:dyDescent="0.25">
      <c r="A1087">
        <f t="shared" si="56"/>
        <v>4</v>
      </c>
      <c r="B1087">
        <f t="shared" si="59"/>
        <v>2023</v>
      </c>
      <c r="C1087" s="7">
        <v>45021</v>
      </c>
      <c r="D1087" s="8"/>
      <c r="E1087" s="7">
        <v>45021</v>
      </c>
      <c r="F1087" s="9">
        <v>155.5</v>
      </c>
      <c r="G1087" s="7">
        <v>45021</v>
      </c>
      <c r="H1087" s="9">
        <v>154.5</v>
      </c>
      <c r="I1087" s="7">
        <v>45021</v>
      </c>
      <c r="J1087" s="9">
        <v>152.5</v>
      </c>
      <c r="K1087" s="5">
        <f t="shared" si="57"/>
        <v>3</v>
      </c>
      <c r="L1087" s="6">
        <f t="shared" si="58"/>
        <v>1</v>
      </c>
    </row>
    <row r="1088" spans="1:12" x14ac:dyDescent="0.25">
      <c r="A1088">
        <f t="shared" si="56"/>
        <v>4</v>
      </c>
      <c r="B1088">
        <f t="shared" si="59"/>
        <v>2023</v>
      </c>
      <c r="C1088" s="7">
        <v>45022</v>
      </c>
      <c r="D1088" s="8"/>
      <c r="E1088" s="7">
        <v>45022</v>
      </c>
      <c r="F1088" s="9">
        <v>155.25</v>
      </c>
      <c r="G1088" s="7">
        <v>45022</v>
      </c>
      <c r="H1088" s="9">
        <v>154.25</v>
      </c>
      <c r="I1088" s="7">
        <v>45022</v>
      </c>
      <c r="J1088" s="9">
        <v>154.25</v>
      </c>
      <c r="K1088" s="5">
        <f t="shared" si="57"/>
        <v>1</v>
      </c>
      <c r="L1088" s="6">
        <f t="shared" si="58"/>
        <v>1</v>
      </c>
    </row>
    <row r="1089" spans="1:12" x14ac:dyDescent="0.25">
      <c r="A1089">
        <f t="shared" si="56"/>
        <v>4</v>
      </c>
      <c r="B1089">
        <f t="shared" si="59"/>
        <v>2023</v>
      </c>
      <c r="C1089" s="7">
        <v>45026</v>
      </c>
      <c r="D1089" s="8"/>
      <c r="E1089" s="7">
        <v>45026</v>
      </c>
      <c r="F1089" s="9">
        <v>156.25</v>
      </c>
      <c r="G1089" s="7">
        <v>45026</v>
      </c>
      <c r="H1089" s="9">
        <v>155.25</v>
      </c>
      <c r="I1089" s="7">
        <v>45026</v>
      </c>
      <c r="J1089" s="9">
        <v>154.25</v>
      </c>
      <c r="K1089" s="5">
        <f t="shared" si="57"/>
        <v>2</v>
      </c>
      <c r="L1089" s="6">
        <f t="shared" si="58"/>
        <v>1</v>
      </c>
    </row>
    <row r="1090" spans="1:12" x14ac:dyDescent="0.25">
      <c r="A1090">
        <f t="shared" si="56"/>
        <v>4</v>
      </c>
      <c r="B1090">
        <f t="shared" si="59"/>
        <v>2023</v>
      </c>
      <c r="C1090" s="7">
        <v>45027</v>
      </c>
      <c r="D1090" s="8"/>
      <c r="E1090" s="7">
        <v>45027</v>
      </c>
      <c r="F1090" s="9">
        <v>157.75</v>
      </c>
      <c r="G1090" s="7">
        <v>45027</v>
      </c>
      <c r="H1090" s="9">
        <v>156.75</v>
      </c>
      <c r="I1090" s="7">
        <v>45027</v>
      </c>
      <c r="J1090" s="9">
        <v>155.25</v>
      </c>
      <c r="K1090" s="5">
        <f t="shared" si="57"/>
        <v>2.5</v>
      </c>
      <c r="L1090" s="6">
        <f t="shared" si="58"/>
        <v>1</v>
      </c>
    </row>
    <row r="1091" spans="1:12" x14ac:dyDescent="0.25">
      <c r="A1091">
        <f t="shared" si="56"/>
        <v>4</v>
      </c>
      <c r="B1091">
        <f t="shared" si="59"/>
        <v>2023</v>
      </c>
      <c r="C1091" s="7">
        <v>45028</v>
      </c>
      <c r="D1091" s="8"/>
      <c r="E1091" s="7">
        <v>45028</v>
      </c>
      <c r="F1091" s="9">
        <v>157.5</v>
      </c>
      <c r="G1091" s="7">
        <v>45028</v>
      </c>
      <c r="H1091" s="9">
        <v>156.5</v>
      </c>
      <c r="I1091" s="7">
        <v>45028</v>
      </c>
      <c r="J1091" s="9">
        <v>155.25</v>
      </c>
      <c r="K1091" s="5">
        <f t="shared" si="57"/>
        <v>2.25</v>
      </c>
      <c r="L1091" s="6">
        <f t="shared" si="58"/>
        <v>1</v>
      </c>
    </row>
    <row r="1092" spans="1:12" x14ac:dyDescent="0.25">
      <c r="A1092">
        <f t="shared" si="56"/>
        <v>4</v>
      </c>
      <c r="B1092">
        <f t="shared" si="59"/>
        <v>2023</v>
      </c>
      <c r="C1092" s="7">
        <v>45029</v>
      </c>
      <c r="D1092" s="8"/>
      <c r="E1092" s="7">
        <v>45029</v>
      </c>
      <c r="F1092" s="9">
        <v>157.5</v>
      </c>
      <c r="G1092" s="7">
        <v>45029</v>
      </c>
      <c r="H1092" s="9">
        <v>156.5</v>
      </c>
      <c r="I1092" s="7">
        <v>45029</v>
      </c>
      <c r="J1092" s="9">
        <v>155.25</v>
      </c>
      <c r="K1092" s="5">
        <f t="shared" si="57"/>
        <v>2.25</v>
      </c>
      <c r="L1092" s="6">
        <f t="shared" si="58"/>
        <v>1</v>
      </c>
    </row>
    <row r="1093" spans="1:12" x14ac:dyDescent="0.25">
      <c r="A1093">
        <f t="shared" si="56"/>
        <v>4</v>
      </c>
      <c r="B1093">
        <f t="shared" si="59"/>
        <v>2023</v>
      </c>
      <c r="C1093" s="7">
        <v>45030</v>
      </c>
      <c r="D1093" s="8"/>
      <c r="E1093" s="7">
        <v>45030</v>
      </c>
      <c r="F1093" s="9">
        <v>157.5</v>
      </c>
      <c r="G1093" s="7">
        <v>45030</v>
      </c>
      <c r="H1093" s="9">
        <v>156.5</v>
      </c>
      <c r="I1093" s="7">
        <v>45030</v>
      </c>
      <c r="J1093" s="9">
        <v>155.25</v>
      </c>
      <c r="K1093" s="5">
        <f t="shared" si="57"/>
        <v>2.25</v>
      </c>
      <c r="L1093" s="6">
        <f t="shared" si="58"/>
        <v>1</v>
      </c>
    </row>
    <row r="1094" spans="1:12" x14ac:dyDescent="0.25">
      <c r="A1094">
        <f t="shared" si="56"/>
        <v>4</v>
      </c>
      <c r="B1094">
        <f t="shared" si="59"/>
        <v>2023</v>
      </c>
      <c r="C1094" s="7">
        <v>45033</v>
      </c>
      <c r="D1094" s="8"/>
      <c r="E1094" s="7">
        <v>45033</v>
      </c>
      <c r="F1094" s="9">
        <v>159.15</v>
      </c>
      <c r="G1094" s="7">
        <v>45033</v>
      </c>
      <c r="H1094" s="9">
        <v>158.15</v>
      </c>
      <c r="I1094" s="7">
        <v>45033</v>
      </c>
      <c r="J1094" s="9">
        <v>157.25</v>
      </c>
      <c r="K1094" s="5">
        <f t="shared" si="57"/>
        <v>1.9000000000000057</v>
      </c>
      <c r="L1094" s="6">
        <f t="shared" si="58"/>
        <v>1</v>
      </c>
    </row>
    <row r="1095" spans="1:12" x14ac:dyDescent="0.25">
      <c r="A1095">
        <f t="shared" si="56"/>
        <v>4</v>
      </c>
      <c r="B1095">
        <f t="shared" si="59"/>
        <v>2023</v>
      </c>
      <c r="C1095" s="7">
        <v>45034</v>
      </c>
      <c r="D1095" s="8"/>
      <c r="E1095" s="7">
        <v>45034</v>
      </c>
      <c r="F1095" s="9">
        <v>160.5</v>
      </c>
      <c r="G1095" s="7">
        <v>45034</v>
      </c>
      <c r="H1095" s="9">
        <v>159.5</v>
      </c>
      <c r="I1095" s="7">
        <v>45034</v>
      </c>
      <c r="J1095" s="9">
        <v>157.75</v>
      </c>
      <c r="K1095" s="5">
        <f t="shared" si="57"/>
        <v>2.75</v>
      </c>
      <c r="L1095" s="6">
        <f t="shared" si="58"/>
        <v>1</v>
      </c>
    </row>
    <row r="1096" spans="1:12" x14ac:dyDescent="0.25">
      <c r="A1096">
        <f t="shared" si="56"/>
        <v>4</v>
      </c>
      <c r="B1096">
        <f t="shared" si="59"/>
        <v>2023</v>
      </c>
      <c r="C1096" s="7">
        <v>45035</v>
      </c>
      <c r="D1096" s="8"/>
      <c r="E1096" s="7">
        <v>45035</v>
      </c>
      <c r="F1096" s="9">
        <v>159.5</v>
      </c>
      <c r="G1096" s="7">
        <v>45035</v>
      </c>
      <c r="H1096" s="9">
        <v>158.5</v>
      </c>
      <c r="I1096" s="7">
        <v>45035</v>
      </c>
      <c r="J1096" s="9">
        <v>156.125</v>
      </c>
      <c r="K1096" s="5">
        <f t="shared" si="57"/>
        <v>3.375</v>
      </c>
      <c r="L1096" s="6">
        <f t="shared" si="58"/>
        <v>1</v>
      </c>
    </row>
    <row r="1097" spans="1:12" x14ac:dyDescent="0.25">
      <c r="A1097">
        <f t="shared" si="56"/>
        <v>4</v>
      </c>
      <c r="B1097">
        <f t="shared" si="59"/>
        <v>2023</v>
      </c>
      <c r="C1097" s="7">
        <v>45036</v>
      </c>
      <c r="D1097" s="8"/>
      <c r="E1097" s="7">
        <v>45036</v>
      </c>
      <c r="F1097" s="9">
        <v>158</v>
      </c>
      <c r="G1097" s="7">
        <v>45036</v>
      </c>
      <c r="H1097" s="9">
        <v>157</v>
      </c>
      <c r="I1097" s="7">
        <v>45036</v>
      </c>
      <c r="J1097" s="9">
        <v>153.75</v>
      </c>
      <c r="K1097" s="5">
        <f t="shared" si="57"/>
        <v>4.25</v>
      </c>
      <c r="L1097" s="6">
        <f t="shared" si="58"/>
        <v>1</v>
      </c>
    </row>
    <row r="1098" spans="1:12" x14ac:dyDescent="0.25">
      <c r="A1098">
        <f t="shared" si="56"/>
        <v>4</v>
      </c>
      <c r="B1098">
        <f t="shared" si="59"/>
        <v>2023</v>
      </c>
      <c r="C1098" s="7">
        <v>45037</v>
      </c>
      <c r="D1098" s="8"/>
      <c r="E1098" s="7">
        <v>45037</v>
      </c>
      <c r="F1098" s="9">
        <v>155.5</v>
      </c>
      <c r="G1098" s="7">
        <v>45037</v>
      </c>
      <c r="H1098" s="9">
        <v>154.5</v>
      </c>
      <c r="I1098" s="7">
        <v>45037</v>
      </c>
      <c r="J1098" s="9">
        <v>152.25</v>
      </c>
      <c r="K1098" s="5">
        <f t="shared" si="57"/>
        <v>3.25</v>
      </c>
      <c r="L1098" s="6">
        <f t="shared" si="58"/>
        <v>1</v>
      </c>
    </row>
    <row r="1099" spans="1:12" x14ac:dyDescent="0.25">
      <c r="A1099">
        <f t="shared" si="56"/>
        <v>4</v>
      </c>
      <c r="B1099">
        <f t="shared" si="59"/>
        <v>2023</v>
      </c>
      <c r="C1099" s="7">
        <v>45040</v>
      </c>
      <c r="D1099" s="8"/>
      <c r="E1099" s="7">
        <v>45040</v>
      </c>
      <c r="F1099" s="9">
        <v>156.75</v>
      </c>
      <c r="G1099" s="7">
        <v>45040</v>
      </c>
      <c r="H1099" s="9">
        <v>155.75</v>
      </c>
      <c r="I1099" s="7">
        <v>45040</v>
      </c>
      <c r="J1099" s="9">
        <v>153.25</v>
      </c>
      <c r="K1099" s="5">
        <f t="shared" si="57"/>
        <v>3.5</v>
      </c>
      <c r="L1099" s="6">
        <f t="shared" si="58"/>
        <v>1</v>
      </c>
    </row>
    <row r="1100" spans="1:12" x14ac:dyDescent="0.25">
      <c r="A1100">
        <f t="shared" si="56"/>
        <v>4</v>
      </c>
      <c r="B1100">
        <f t="shared" si="59"/>
        <v>2023</v>
      </c>
      <c r="C1100" s="7">
        <v>45041</v>
      </c>
      <c r="D1100" s="8"/>
      <c r="E1100" s="7">
        <v>45041</v>
      </c>
      <c r="F1100" s="9">
        <v>156.5</v>
      </c>
      <c r="G1100" s="7">
        <v>45041</v>
      </c>
      <c r="H1100" s="9">
        <v>155.5</v>
      </c>
      <c r="I1100" s="7">
        <v>45041</v>
      </c>
      <c r="J1100" s="9">
        <v>153</v>
      </c>
      <c r="K1100" s="5">
        <f t="shared" si="57"/>
        <v>3.5</v>
      </c>
      <c r="L1100" s="6">
        <f t="shared" si="58"/>
        <v>1</v>
      </c>
    </row>
    <row r="1101" spans="1:12" x14ac:dyDescent="0.25">
      <c r="A1101">
        <f t="shared" si="56"/>
        <v>4</v>
      </c>
      <c r="B1101">
        <f t="shared" si="59"/>
        <v>2023</v>
      </c>
      <c r="C1101" s="7">
        <v>45042</v>
      </c>
      <c r="D1101" s="8"/>
      <c r="E1101" s="7">
        <v>45042</v>
      </c>
      <c r="F1101" s="9">
        <v>155.75</v>
      </c>
      <c r="G1101" s="7">
        <v>45042</v>
      </c>
      <c r="H1101" s="9">
        <v>154.75</v>
      </c>
      <c r="I1101" s="7">
        <v>45042</v>
      </c>
      <c r="J1101" s="9">
        <v>152.75</v>
      </c>
      <c r="K1101" s="5">
        <f t="shared" si="57"/>
        <v>3</v>
      </c>
      <c r="L1101" s="6">
        <f t="shared" si="58"/>
        <v>1</v>
      </c>
    </row>
    <row r="1102" spans="1:12" x14ac:dyDescent="0.25">
      <c r="A1102">
        <f t="shared" ref="A1102:A1165" si="60">MONTH(E1102)</f>
        <v>4</v>
      </c>
      <c r="B1102">
        <f t="shared" si="59"/>
        <v>2023</v>
      </c>
      <c r="C1102" s="7">
        <v>45043</v>
      </c>
      <c r="D1102" s="8"/>
      <c r="E1102" s="7">
        <v>45043</v>
      </c>
      <c r="F1102" s="9">
        <v>155.75</v>
      </c>
      <c r="G1102" s="7">
        <v>45043</v>
      </c>
      <c r="H1102" s="9">
        <v>154.75</v>
      </c>
      <c r="I1102" s="7">
        <v>45043</v>
      </c>
      <c r="J1102" s="9">
        <v>152.75</v>
      </c>
      <c r="K1102" s="5">
        <f t="shared" ref="K1102:K1165" si="61">F1102-J1102</f>
        <v>3</v>
      </c>
      <c r="L1102" s="6">
        <f t="shared" ref="L1102:L1165" si="62">F1102-H1102</f>
        <v>1</v>
      </c>
    </row>
    <row r="1103" spans="1:12" x14ac:dyDescent="0.25">
      <c r="A1103">
        <f t="shared" si="60"/>
        <v>4</v>
      </c>
      <c r="B1103">
        <f t="shared" ref="B1103:B1166" si="63">YEAR(E1103)</f>
        <v>2023</v>
      </c>
      <c r="C1103" s="7">
        <v>45044</v>
      </c>
      <c r="D1103" s="8"/>
      <c r="E1103" s="7">
        <v>45044</v>
      </c>
      <c r="F1103" s="9">
        <v>153.75</v>
      </c>
      <c r="G1103" s="7">
        <v>45044</v>
      </c>
      <c r="H1103" s="9">
        <v>152.75</v>
      </c>
      <c r="I1103" s="7">
        <v>45044</v>
      </c>
      <c r="J1103" s="9">
        <v>149.5</v>
      </c>
      <c r="K1103" s="5">
        <f t="shared" si="61"/>
        <v>4.25</v>
      </c>
      <c r="L1103" s="6">
        <f t="shared" si="62"/>
        <v>1</v>
      </c>
    </row>
    <row r="1104" spans="1:12" x14ac:dyDescent="0.25">
      <c r="A1104">
        <f t="shared" si="60"/>
        <v>5</v>
      </c>
      <c r="B1104">
        <f t="shared" si="63"/>
        <v>2023</v>
      </c>
      <c r="C1104" s="7">
        <v>45047</v>
      </c>
      <c r="D1104" s="8"/>
      <c r="E1104" s="7">
        <v>45047</v>
      </c>
      <c r="F1104" s="9">
        <v>156.25</v>
      </c>
      <c r="G1104" s="7">
        <v>45047</v>
      </c>
      <c r="H1104" s="9">
        <v>155.25</v>
      </c>
      <c r="I1104" s="7">
        <v>45047</v>
      </c>
      <c r="J1104" s="9">
        <v>153.25</v>
      </c>
      <c r="K1104" s="5">
        <f t="shared" si="61"/>
        <v>3</v>
      </c>
      <c r="L1104" s="6">
        <f t="shared" si="62"/>
        <v>1</v>
      </c>
    </row>
    <row r="1105" spans="1:12" x14ac:dyDescent="0.25">
      <c r="A1105">
        <f t="shared" si="60"/>
        <v>5</v>
      </c>
      <c r="B1105">
        <f t="shared" si="63"/>
        <v>2023</v>
      </c>
      <c r="C1105" s="7">
        <v>45048</v>
      </c>
      <c r="D1105" s="8"/>
      <c r="E1105" s="7">
        <v>45048</v>
      </c>
      <c r="F1105" s="9">
        <v>157.25</v>
      </c>
      <c r="G1105" s="7">
        <v>45048</v>
      </c>
      <c r="H1105" s="9">
        <v>156.25</v>
      </c>
      <c r="I1105" s="7">
        <v>45048</v>
      </c>
      <c r="J1105" s="9">
        <v>153.25</v>
      </c>
      <c r="K1105" s="5">
        <f t="shared" si="61"/>
        <v>4</v>
      </c>
      <c r="L1105" s="6">
        <f t="shared" si="62"/>
        <v>1</v>
      </c>
    </row>
    <row r="1106" spans="1:12" x14ac:dyDescent="0.25">
      <c r="A1106">
        <f t="shared" si="60"/>
        <v>5</v>
      </c>
      <c r="B1106">
        <f t="shared" si="63"/>
        <v>2023</v>
      </c>
      <c r="C1106" s="7">
        <v>45049</v>
      </c>
      <c r="D1106" s="8"/>
      <c r="E1106" s="7">
        <v>45049</v>
      </c>
      <c r="F1106" s="9">
        <v>157.75</v>
      </c>
      <c r="G1106" s="7">
        <v>45049</v>
      </c>
      <c r="H1106" s="9">
        <v>156.75</v>
      </c>
      <c r="I1106" s="7">
        <v>45049</v>
      </c>
      <c r="J1106" s="9">
        <v>153.5</v>
      </c>
      <c r="K1106" s="5">
        <f t="shared" si="61"/>
        <v>4.25</v>
      </c>
      <c r="L1106" s="6">
        <f t="shared" si="62"/>
        <v>1</v>
      </c>
    </row>
    <row r="1107" spans="1:12" x14ac:dyDescent="0.25">
      <c r="A1107">
        <f t="shared" si="60"/>
        <v>5</v>
      </c>
      <c r="B1107">
        <f t="shared" si="63"/>
        <v>2023</v>
      </c>
      <c r="C1107" s="7">
        <v>45050</v>
      </c>
      <c r="D1107" s="8"/>
      <c r="E1107" s="7">
        <v>45050</v>
      </c>
      <c r="F1107" s="9">
        <v>158</v>
      </c>
      <c r="G1107" s="7">
        <v>45050</v>
      </c>
      <c r="H1107" s="9">
        <v>157</v>
      </c>
      <c r="I1107" s="7">
        <v>45050</v>
      </c>
      <c r="J1107" s="9">
        <v>154</v>
      </c>
      <c r="K1107" s="5">
        <f t="shared" si="61"/>
        <v>4</v>
      </c>
      <c r="L1107" s="6">
        <f t="shared" si="62"/>
        <v>1</v>
      </c>
    </row>
    <row r="1108" spans="1:12" x14ac:dyDescent="0.25">
      <c r="A1108">
        <f t="shared" si="60"/>
        <v>5</v>
      </c>
      <c r="B1108">
        <f t="shared" si="63"/>
        <v>2023</v>
      </c>
      <c r="C1108" s="7">
        <v>45051</v>
      </c>
      <c r="D1108" s="8"/>
      <c r="E1108" s="7">
        <v>45051</v>
      </c>
      <c r="F1108" s="9">
        <v>158</v>
      </c>
      <c r="G1108" s="7">
        <v>45051</v>
      </c>
      <c r="H1108" s="9">
        <v>157</v>
      </c>
      <c r="I1108" s="7">
        <v>45051</v>
      </c>
      <c r="J1108" s="9">
        <v>154</v>
      </c>
      <c r="K1108" s="5">
        <f t="shared" si="61"/>
        <v>4</v>
      </c>
      <c r="L1108" s="6">
        <f t="shared" si="62"/>
        <v>1</v>
      </c>
    </row>
    <row r="1109" spans="1:12" x14ac:dyDescent="0.25">
      <c r="A1109">
        <f t="shared" si="60"/>
        <v>5</v>
      </c>
      <c r="B1109">
        <f t="shared" si="63"/>
        <v>2023</v>
      </c>
      <c r="C1109" s="7">
        <v>45054</v>
      </c>
      <c r="D1109" s="8"/>
      <c r="E1109" s="7">
        <v>45054</v>
      </c>
      <c r="F1109" s="9">
        <v>156.75</v>
      </c>
      <c r="G1109" s="7">
        <v>45054</v>
      </c>
      <c r="H1109" s="9">
        <v>155.75</v>
      </c>
      <c r="I1109" s="7">
        <v>45054</v>
      </c>
      <c r="J1109" s="9">
        <v>153.25</v>
      </c>
      <c r="K1109" s="5">
        <f t="shared" si="61"/>
        <v>3.5</v>
      </c>
      <c r="L1109" s="6">
        <f t="shared" si="62"/>
        <v>1</v>
      </c>
    </row>
    <row r="1110" spans="1:12" x14ac:dyDescent="0.25">
      <c r="A1110">
        <f t="shared" si="60"/>
        <v>5</v>
      </c>
      <c r="B1110">
        <f t="shared" si="63"/>
        <v>2023</v>
      </c>
      <c r="C1110" s="7">
        <v>45055</v>
      </c>
      <c r="D1110" s="8"/>
      <c r="E1110" s="7">
        <v>45055</v>
      </c>
      <c r="F1110" s="9">
        <v>155.75</v>
      </c>
      <c r="G1110" s="7">
        <v>45055</v>
      </c>
      <c r="H1110" s="9">
        <v>154.75</v>
      </c>
      <c r="I1110" s="7">
        <v>45055</v>
      </c>
      <c r="J1110" s="9">
        <v>152.5</v>
      </c>
      <c r="K1110" s="5">
        <f t="shared" si="61"/>
        <v>3.25</v>
      </c>
      <c r="L1110" s="6">
        <f t="shared" si="62"/>
        <v>1</v>
      </c>
    </row>
    <row r="1111" spans="1:12" x14ac:dyDescent="0.25">
      <c r="A1111">
        <f t="shared" si="60"/>
        <v>5</v>
      </c>
      <c r="B1111">
        <f t="shared" si="63"/>
        <v>2023</v>
      </c>
      <c r="C1111" s="7">
        <v>45056</v>
      </c>
      <c r="D1111" s="8"/>
      <c r="E1111" s="7">
        <v>45056</v>
      </c>
      <c r="F1111" s="9">
        <v>156</v>
      </c>
      <c r="G1111" s="7">
        <v>45056</v>
      </c>
      <c r="H1111" s="9">
        <v>155</v>
      </c>
      <c r="I1111" s="7">
        <v>45056</v>
      </c>
      <c r="J1111" s="9">
        <v>152.25</v>
      </c>
      <c r="K1111" s="5">
        <f t="shared" si="61"/>
        <v>3.75</v>
      </c>
      <c r="L1111" s="6">
        <f t="shared" si="62"/>
        <v>1</v>
      </c>
    </row>
    <row r="1112" spans="1:12" x14ac:dyDescent="0.25">
      <c r="A1112">
        <f t="shared" si="60"/>
        <v>5</v>
      </c>
      <c r="B1112">
        <f t="shared" si="63"/>
        <v>2023</v>
      </c>
      <c r="C1112" s="7">
        <v>45057</v>
      </c>
      <c r="D1112" s="8"/>
      <c r="E1112" s="7">
        <v>45057</v>
      </c>
      <c r="F1112" s="9">
        <v>156.25</v>
      </c>
      <c r="G1112" s="7">
        <v>45057</v>
      </c>
      <c r="H1112" s="9">
        <v>155.25</v>
      </c>
      <c r="I1112" s="7">
        <v>45057</v>
      </c>
      <c r="J1112" s="9">
        <v>152.75</v>
      </c>
      <c r="K1112" s="5">
        <f t="shared" si="61"/>
        <v>3.5</v>
      </c>
      <c r="L1112" s="6">
        <f t="shared" si="62"/>
        <v>1</v>
      </c>
    </row>
    <row r="1113" spans="1:12" x14ac:dyDescent="0.25">
      <c r="A1113">
        <f t="shared" si="60"/>
        <v>5</v>
      </c>
      <c r="B1113">
        <f t="shared" si="63"/>
        <v>2023</v>
      </c>
      <c r="C1113" s="7">
        <v>45058</v>
      </c>
      <c r="D1113" s="8"/>
      <c r="E1113" s="7">
        <v>45058</v>
      </c>
      <c r="F1113" s="9">
        <v>155.25</v>
      </c>
      <c r="G1113" s="7">
        <v>45058</v>
      </c>
      <c r="H1113" s="9">
        <v>154.25</v>
      </c>
      <c r="I1113" s="7">
        <v>45058</v>
      </c>
      <c r="J1113" s="9">
        <v>151.75</v>
      </c>
      <c r="K1113" s="5">
        <f t="shared" si="61"/>
        <v>3.5</v>
      </c>
      <c r="L1113" s="6">
        <f t="shared" si="62"/>
        <v>1</v>
      </c>
    </row>
    <row r="1114" spans="1:12" x14ac:dyDescent="0.25">
      <c r="A1114">
        <f t="shared" si="60"/>
        <v>5</v>
      </c>
      <c r="B1114">
        <f t="shared" si="63"/>
        <v>2023</v>
      </c>
      <c r="C1114" s="7">
        <v>45061</v>
      </c>
      <c r="D1114" s="8"/>
      <c r="E1114" s="7">
        <v>45061</v>
      </c>
      <c r="F1114" s="9">
        <v>154.5</v>
      </c>
      <c r="G1114" s="7">
        <v>45061</v>
      </c>
      <c r="H1114" s="9">
        <v>153.5</v>
      </c>
      <c r="I1114" s="7">
        <v>45061</v>
      </c>
      <c r="J1114" s="9">
        <v>151</v>
      </c>
      <c r="K1114" s="5">
        <f t="shared" si="61"/>
        <v>3.5</v>
      </c>
      <c r="L1114" s="6">
        <f t="shared" si="62"/>
        <v>1</v>
      </c>
    </row>
    <row r="1115" spans="1:12" x14ac:dyDescent="0.25">
      <c r="A1115">
        <f t="shared" si="60"/>
        <v>5</v>
      </c>
      <c r="B1115">
        <f t="shared" si="63"/>
        <v>2023</v>
      </c>
      <c r="C1115" s="7">
        <v>45062</v>
      </c>
      <c r="D1115" s="8"/>
      <c r="E1115" s="7">
        <v>45062</v>
      </c>
      <c r="F1115" s="9">
        <v>152.5</v>
      </c>
      <c r="G1115" s="7">
        <v>45062</v>
      </c>
      <c r="H1115" s="9">
        <v>151.5</v>
      </c>
      <c r="I1115" s="7">
        <v>45062</v>
      </c>
      <c r="J1115" s="9">
        <v>149</v>
      </c>
      <c r="K1115" s="5">
        <f t="shared" si="61"/>
        <v>3.5</v>
      </c>
      <c r="L1115" s="6">
        <f t="shared" si="62"/>
        <v>1</v>
      </c>
    </row>
    <row r="1116" spans="1:12" x14ac:dyDescent="0.25">
      <c r="A1116">
        <f t="shared" si="60"/>
        <v>5</v>
      </c>
      <c r="B1116">
        <f t="shared" si="63"/>
        <v>2023</v>
      </c>
      <c r="C1116" s="7">
        <v>45063</v>
      </c>
      <c r="D1116" s="8"/>
      <c r="E1116" s="7">
        <v>45063</v>
      </c>
      <c r="F1116" s="9">
        <v>150.5</v>
      </c>
      <c r="G1116" s="7">
        <v>45063</v>
      </c>
      <c r="H1116" s="9">
        <v>149.5</v>
      </c>
      <c r="I1116" s="7">
        <v>45063</v>
      </c>
      <c r="J1116" s="9">
        <v>148.5</v>
      </c>
      <c r="K1116" s="5">
        <f t="shared" si="61"/>
        <v>2</v>
      </c>
      <c r="L1116" s="6">
        <f t="shared" si="62"/>
        <v>1</v>
      </c>
    </row>
    <row r="1117" spans="1:12" x14ac:dyDescent="0.25">
      <c r="A1117">
        <f t="shared" si="60"/>
        <v>5</v>
      </c>
      <c r="B1117">
        <f t="shared" si="63"/>
        <v>2023</v>
      </c>
      <c r="C1117" s="7">
        <v>45064</v>
      </c>
      <c r="D1117" s="8"/>
      <c r="E1117" s="7">
        <v>45064</v>
      </c>
      <c r="F1117" s="9">
        <v>149.5</v>
      </c>
      <c r="G1117" s="7">
        <v>45064</v>
      </c>
      <c r="H1117" s="9">
        <v>148.5</v>
      </c>
      <c r="I1117" s="7">
        <v>45064</v>
      </c>
      <c r="J1117" s="9">
        <v>147.25</v>
      </c>
      <c r="K1117" s="5">
        <f t="shared" si="61"/>
        <v>2.25</v>
      </c>
      <c r="L1117" s="6">
        <f t="shared" si="62"/>
        <v>1</v>
      </c>
    </row>
    <row r="1118" spans="1:12" x14ac:dyDescent="0.25">
      <c r="A1118">
        <f t="shared" si="60"/>
        <v>5</v>
      </c>
      <c r="B1118">
        <f t="shared" si="63"/>
        <v>2023</v>
      </c>
      <c r="C1118" s="7">
        <v>45065</v>
      </c>
      <c r="D1118" s="8"/>
      <c r="E1118" s="7">
        <v>45065</v>
      </c>
      <c r="F1118" s="9">
        <v>150</v>
      </c>
      <c r="G1118" s="7">
        <v>45065</v>
      </c>
      <c r="H1118" s="9">
        <v>149</v>
      </c>
      <c r="I1118" s="7">
        <v>45065</v>
      </c>
      <c r="J1118" s="9">
        <v>147.5</v>
      </c>
      <c r="K1118" s="5">
        <f t="shared" si="61"/>
        <v>2.5</v>
      </c>
      <c r="L1118" s="6">
        <f t="shared" si="62"/>
        <v>1</v>
      </c>
    </row>
    <row r="1119" spans="1:12" x14ac:dyDescent="0.25">
      <c r="A1119">
        <f t="shared" si="60"/>
        <v>5</v>
      </c>
      <c r="B1119">
        <f t="shared" si="63"/>
        <v>2023</v>
      </c>
      <c r="C1119" s="7">
        <v>45068</v>
      </c>
      <c r="D1119" s="8"/>
      <c r="E1119" s="7">
        <v>45068</v>
      </c>
      <c r="F1119" s="9">
        <v>151.25</v>
      </c>
      <c r="G1119" s="7">
        <v>45068</v>
      </c>
      <c r="H1119" s="9">
        <v>150.25</v>
      </c>
      <c r="I1119" s="7">
        <v>45068</v>
      </c>
      <c r="J1119" s="9">
        <v>149.25</v>
      </c>
      <c r="K1119" s="5">
        <f t="shared" si="61"/>
        <v>2</v>
      </c>
      <c r="L1119" s="6">
        <f t="shared" si="62"/>
        <v>1</v>
      </c>
    </row>
    <row r="1120" spans="1:12" x14ac:dyDescent="0.25">
      <c r="A1120">
        <f t="shared" si="60"/>
        <v>5</v>
      </c>
      <c r="B1120">
        <f t="shared" si="63"/>
        <v>2023</v>
      </c>
      <c r="C1120" s="7">
        <v>45069</v>
      </c>
      <c r="D1120" s="8"/>
      <c r="E1120" s="7">
        <v>45069</v>
      </c>
      <c r="F1120" s="9">
        <v>151.25</v>
      </c>
      <c r="G1120" s="7">
        <v>45069</v>
      </c>
      <c r="H1120" s="9">
        <v>150.25</v>
      </c>
      <c r="I1120" s="7">
        <v>45069</v>
      </c>
      <c r="J1120" s="9">
        <v>148.75</v>
      </c>
      <c r="K1120" s="5">
        <f t="shared" si="61"/>
        <v>2.5</v>
      </c>
      <c r="L1120" s="6">
        <f t="shared" si="62"/>
        <v>1</v>
      </c>
    </row>
    <row r="1121" spans="1:12" x14ac:dyDescent="0.25">
      <c r="A1121">
        <f t="shared" si="60"/>
        <v>5</v>
      </c>
      <c r="B1121">
        <f t="shared" si="63"/>
        <v>2023</v>
      </c>
      <c r="C1121" s="7">
        <v>45070</v>
      </c>
      <c r="D1121" s="8"/>
      <c r="E1121" s="7">
        <v>45070</v>
      </c>
      <c r="F1121" s="9">
        <v>150.5</v>
      </c>
      <c r="G1121" s="7">
        <v>45070</v>
      </c>
      <c r="H1121" s="9">
        <v>149.5</v>
      </c>
      <c r="I1121" s="7">
        <v>45070</v>
      </c>
      <c r="J1121" s="9">
        <v>148.875</v>
      </c>
      <c r="K1121" s="5">
        <f t="shared" si="61"/>
        <v>1.625</v>
      </c>
      <c r="L1121" s="6">
        <f t="shared" si="62"/>
        <v>1</v>
      </c>
    </row>
    <row r="1122" spans="1:12" x14ac:dyDescent="0.25">
      <c r="A1122">
        <f t="shared" si="60"/>
        <v>5</v>
      </c>
      <c r="B1122">
        <f t="shared" si="63"/>
        <v>2023</v>
      </c>
      <c r="C1122" s="7">
        <v>45071</v>
      </c>
      <c r="D1122" s="8"/>
      <c r="E1122" s="7">
        <v>45071</v>
      </c>
      <c r="F1122" s="9">
        <v>151.25</v>
      </c>
      <c r="G1122" s="7">
        <v>45071</v>
      </c>
      <c r="H1122" s="9">
        <v>150.25</v>
      </c>
      <c r="I1122" s="7">
        <v>45071</v>
      </c>
      <c r="J1122" s="9">
        <v>149.75</v>
      </c>
      <c r="K1122" s="5">
        <f t="shared" si="61"/>
        <v>1.5</v>
      </c>
      <c r="L1122" s="6">
        <f t="shared" si="62"/>
        <v>1</v>
      </c>
    </row>
    <row r="1123" spans="1:12" x14ac:dyDescent="0.25">
      <c r="A1123">
        <f t="shared" si="60"/>
        <v>5</v>
      </c>
      <c r="B1123">
        <f t="shared" si="63"/>
        <v>2023</v>
      </c>
      <c r="C1123" s="7">
        <v>45072</v>
      </c>
      <c r="D1123" s="8"/>
      <c r="E1123" s="7">
        <v>45072</v>
      </c>
      <c r="F1123" s="9">
        <v>151.25</v>
      </c>
      <c r="G1123" s="7">
        <v>45072</v>
      </c>
      <c r="H1123" s="9">
        <v>152</v>
      </c>
      <c r="I1123" s="7">
        <v>45072</v>
      </c>
      <c r="J1123" s="9">
        <v>150.25</v>
      </c>
      <c r="K1123" s="5">
        <f t="shared" si="61"/>
        <v>1</v>
      </c>
      <c r="L1123" s="6">
        <f t="shared" si="62"/>
        <v>-0.75</v>
      </c>
    </row>
    <row r="1124" spans="1:12" x14ac:dyDescent="0.25">
      <c r="A1124">
        <f t="shared" si="60"/>
        <v>5</v>
      </c>
      <c r="B1124">
        <f t="shared" si="63"/>
        <v>2023</v>
      </c>
      <c r="C1124" s="7">
        <v>45076</v>
      </c>
      <c r="D1124" s="8"/>
      <c r="E1124" s="7">
        <v>45076</v>
      </c>
      <c r="F1124" s="9">
        <v>148.5</v>
      </c>
      <c r="G1124" s="7">
        <v>45076</v>
      </c>
      <c r="H1124" s="9">
        <v>152</v>
      </c>
      <c r="I1124" s="7">
        <v>45076</v>
      </c>
      <c r="J1124" s="9">
        <v>146.75</v>
      </c>
      <c r="K1124" s="5">
        <f t="shared" si="61"/>
        <v>1.75</v>
      </c>
      <c r="L1124" s="6">
        <f t="shared" si="62"/>
        <v>-3.5</v>
      </c>
    </row>
    <row r="1125" spans="1:12" x14ac:dyDescent="0.25">
      <c r="A1125">
        <f t="shared" si="60"/>
        <v>5</v>
      </c>
      <c r="B1125">
        <f t="shared" si="63"/>
        <v>2023</v>
      </c>
      <c r="C1125" s="7">
        <v>45077</v>
      </c>
      <c r="D1125" s="8"/>
      <c r="E1125" s="7">
        <v>45077</v>
      </c>
      <c r="F1125" s="9">
        <v>146.5</v>
      </c>
      <c r="G1125" s="7">
        <v>45077</v>
      </c>
      <c r="H1125" s="9">
        <v>152</v>
      </c>
      <c r="I1125" s="7">
        <v>45077</v>
      </c>
      <c r="J1125" s="9">
        <v>145</v>
      </c>
      <c r="K1125" s="5">
        <f t="shared" si="61"/>
        <v>1.5</v>
      </c>
      <c r="L1125" s="6">
        <f t="shared" si="62"/>
        <v>-5.5</v>
      </c>
    </row>
    <row r="1126" spans="1:12" x14ac:dyDescent="0.25">
      <c r="A1126">
        <f t="shared" si="60"/>
        <v>6</v>
      </c>
      <c r="B1126">
        <f t="shared" si="63"/>
        <v>2023</v>
      </c>
      <c r="C1126" s="7">
        <v>45078</v>
      </c>
      <c r="D1126" s="8"/>
      <c r="E1126" s="7">
        <v>45078</v>
      </c>
      <c r="F1126" s="9">
        <v>144.75</v>
      </c>
      <c r="G1126" s="7">
        <v>45078</v>
      </c>
      <c r="H1126" s="9">
        <v>152</v>
      </c>
      <c r="I1126" s="7">
        <v>45078</v>
      </c>
      <c r="J1126" s="9">
        <v>142.75</v>
      </c>
      <c r="K1126" s="5">
        <f t="shared" si="61"/>
        <v>2</v>
      </c>
      <c r="L1126" s="6">
        <f t="shared" si="62"/>
        <v>-7.25</v>
      </c>
    </row>
    <row r="1127" spans="1:12" x14ac:dyDescent="0.25">
      <c r="A1127">
        <f t="shared" si="60"/>
        <v>6</v>
      </c>
      <c r="B1127">
        <f t="shared" si="63"/>
        <v>2023</v>
      </c>
      <c r="C1127" s="7">
        <v>45079</v>
      </c>
      <c r="D1127" s="8"/>
      <c r="E1127" s="7">
        <v>45079</v>
      </c>
      <c r="F1127" s="9">
        <v>142.25</v>
      </c>
      <c r="G1127" s="7">
        <v>45079</v>
      </c>
      <c r="H1127" s="9">
        <v>141.25</v>
      </c>
      <c r="I1127" s="7">
        <v>45079</v>
      </c>
      <c r="J1127" s="9">
        <v>140.25</v>
      </c>
      <c r="K1127" s="5">
        <f t="shared" si="61"/>
        <v>2</v>
      </c>
      <c r="L1127" s="6">
        <f t="shared" si="62"/>
        <v>1</v>
      </c>
    </row>
    <row r="1128" spans="1:12" x14ac:dyDescent="0.25">
      <c r="A1128">
        <f t="shared" si="60"/>
        <v>6</v>
      </c>
      <c r="B1128">
        <f t="shared" si="63"/>
        <v>2023</v>
      </c>
      <c r="C1128" s="7">
        <v>45082</v>
      </c>
      <c r="D1128" s="8"/>
      <c r="E1128" s="7">
        <v>45082</v>
      </c>
      <c r="F1128" s="9">
        <v>139.5</v>
      </c>
      <c r="G1128" s="7">
        <v>45082</v>
      </c>
      <c r="H1128" s="9">
        <v>138.5</v>
      </c>
      <c r="I1128" s="7">
        <v>45082</v>
      </c>
      <c r="J1128" s="9">
        <v>137.5</v>
      </c>
      <c r="K1128" s="5">
        <f t="shared" si="61"/>
        <v>2</v>
      </c>
      <c r="L1128" s="6">
        <f t="shared" si="62"/>
        <v>1</v>
      </c>
    </row>
    <row r="1129" spans="1:12" x14ac:dyDescent="0.25">
      <c r="A1129">
        <f t="shared" si="60"/>
        <v>6</v>
      </c>
      <c r="B1129">
        <f t="shared" si="63"/>
        <v>2023</v>
      </c>
      <c r="C1129" s="7">
        <v>45083</v>
      </c>
      <c r="D1129" s="8"/>
      <c r="E1129" s="7">
        <v>45083</v>
      </c>
      <c r="F1129" s="9">
        <v>141.25</v>
      </c>
      <c r="G1129" s="7">
        <v>45083</v>
      </c>
      <c r="H1129" s="9">
        <v>140.25</v>
      </c>
      <c r="I1129" s="7">
        <v>45083</v>
      </c>
      <c r="J1129" s="9">
        <v>138.75</v>
      </c>
      <c r="K1129" s="5">
        <f t="shared" si="61"/>
        <v>2.5</v>
      </c>
      <c r="L1129" s="6">
        <f t="shared" si="62"/>
        <v>1</v>
      </c>
    </row>
    <row r="1130" spans="1:12" x14ac:dyDescent="0.25">
      <c r="A1130">
        <f t="shared" si="60"/>
        <v>6</v>
      </c>
      <c r="B1130">
        <f t="shared" si="63"/>
        <v>2023</v>
      </c>
      <c r="C1130" s="7">
        <v>45084</v>
      </c>
      <c r="D1130" s="8"/>
      <c r="E1130" s="7">
        <v>45084</v>
      </c>
      <c r="F1130" s="9">
        <v>143.75</v>
      </c>
      <c r="G1130" s="7">
        <v>45084</v>
      </c>
      <c r="H1130" s="9">
        <v>142.75</v>
      </c>
      <c r="I1130" s="7">
        <v>45084</v>
      </c>
      <c r="J1130" s="9">
        <v>141.25</v>
      </c>
      <c r="K1130" s="5">
        <f t="shared" si="61"/>
        <v>2.5</v>
      </c>
      <c r="L1130" s="6">
        <f t="shared" si="62"/>
        <v>1</v>
      </c>
    </row>
    <row r="1131" spans="1:12" x14ac:dyDescent="0.25">
      <c r="A1131">
        <f t="shared" si="60"/>
        <v>6</v>
      </c>
      <c r="B1131">
        <f t="shared" si="63"/>
        <v>2023</v>
      </c>
      <c r="C1131" s="7">
        <v>45085</v>
      </c>
      <c r="D1131" s="8"/>
      <c r="E1131" s="7">
        <v>45085</v>
      </c>
      <c r="F1131" s="9">
        <v>145.25</v>
      </c>
      <c r="G1131" s="7">
        <v>45085</v>
      </c>
      <c r="H1131" s="9">
        <v>144.25</v>
      </c>
      <c r="I1131" s="7">
        <v>45085</v>
      </c>
      <c r="J1131" s="9">
        <v>143.5</v>
      </c>
      <c r="K1131" s="5">
        <f t="shared" si="61"/>
        <v>1.75</v>
      </c>
      <c r="L1131" s="6">
        <f t="shared" si="62"/>
        <v>1</v>
      </c>
    </row>
    <row r="1132" spans="1:12" x14ac:dyDescent="0.25">
      <c r="A1132">
        <f t="shared" si="60"/>
        <v>6</v>
      </c>
      <c r="B1132">
        <f t="shared" si="63"/>
        <v>2023</v>
      </c>
      <c r="C1132" s="7">
        <v>45086</v>
      </c>
      <c r="D1132" s="8"/>
      <c r="E1132" s="7">
        <v>45086</v>
      </c>
      <c r="F1132" s="9">
        <v>148</v>
      </c>
      <c r="G1132" s="7">
        <v>45086</v>
      </c>
      <c r="H1132" s="9">
        <v>147</v>
      </c>
      <c r="I1132" s="7">
        <v>45086</v>
      </c>
      <c r="J1132" s="9">
        <v>146.75</v>
      </c>
      <c r="K1132" s="5">
        <f t="shared" si="61"/>
        <v>1.25</v>
      </c>
      <c r="L1132" s="6">
        <f t="shared" si="62"/>
        <v>1</v>
      </c>
    </row>
    <row r="1133" spans="1:12" x14ac:dyDescent="0.25">
      <c r="A1133">
        <f t="shared" si="60"/>
        <v>6</v>
      </c>
      <c r="B1133">
        <f t="shared" si="63"/>
        <v>2023</v>
      </c>
      <c r="C1133" s="7">
        <v>45089</v>
      </c>
      <c r="D1133" s="8"/>
      <c r="E1133" s="7">
        <v>45089</v>
      </c>
      <c r="F1133" s="9">
        <v>149.25</v>
      </c>
      <c r="G1133" s="7">
        <v>45089</v>
      </c>
      <c r="H1133" s="9">
        <v>148.25</v>
      </c>
      <c r="I1133" s="7">
        <v>45089</v>
      </c>
      <c r="J1133" s="9">
        <v>145.5</v>
      </c>
      <c r="K1133" s="5">
        <f t="shared" si="61"/>
        <v>3.75</v>
      </c>
      <c r="L1133" s="6">
        <f t="shared" si="62"/>
        <v>1</v>
      </c>
    </row>
    <row r="1134" spans="1:12" x14ac:dyDescent="0.25">
      <c r="A1134">
        <f t="shared" si="60"/>
        <v>6</v>
      </c>
      <c r="B1134">
        <f t="shared" si="63"/>
        <v>2023</v>
      </c>
      <c r="C1134" s="7">
        <v>45090</v>
      </c>
      <c r="D1134" s="8"/>
      <c r="E1134" s="7">
        <v>45090</v>
      </c>
      <c r="F1134" s="9">
        <v>147</v>
      </c>
      <c r="G1134" s="7">
        <v>45090</v>
      </c>
      <c r="H1134" s="9">
        <v>146</v>
      </c>
      <c r="I1134" s="7">
        <v>45090</v>
      </c>
      <c r="J1134" s="9">
        <v>142</v>
      </c>
      <c r="K1134" s="5">
        <f t="shared" si="61"/>
        <v>5</v>
      </c>
      <c r="L1134" s="6">
        <f t="shared" si="62"/>
        <v>1</v>
      </c>
    </row>
    <row r="1135" spans="1:12" x14ac:dyDescent="0.25">
      <c r="A1135">
        <f t="shared" si="60"/>
        <v>6</v>
      </c>
      <c r="B1135">
        <f t="shared" si="63"/>
        <v>2023</v>
      </c>
      <c r="C1135" s="7">
        <v>45091</v>
      </c>
      <c r="D1135" s="8"/>
      <c r="E1135" s="7">
        <v>45091</v>
      </c>
      <c r="F1135" s="9">
        <v>146.5</v>
      </c>
      <c r="G1135" s="7">
        <v>45091</v>
      </c>
      <c r="H1135" s="9">
        <v>145.5</v>
      </c>
      <c r="I1135" s="7">
        <v>45091</v>
      </c>
      <c r="J1135" s="9">
        <v>143.75</v>
      </c>
      <c r="K1135" s="5">
        <f t="shared" si="61"/>
        <v>2.75</v>
      </c>
      <c r="L1135" s="6">
        <f t="shared" si="62"/>
        <v>1</v>
      </c>
    </row>
    <row r="1136" spans="1:12" x14ac:dyDescent="0.25">
      <c r="A1136">
        <f t="shared" si="60"/>
        <v>6</v>
      </c>
      <c r="B1136">
        <f t="shared" si="63"/>
        <v>2023</v>
      </c>
      <c r="C1136" s="7">
        <v>45092</v>
      </c>
      <c r="D1136" s="8"/>
      <c r="E1136" s="7">
        <v>45092</v>
      </c>
      <c r="F1136" s="9">
        <v>146.25</v>
      </c>
      <c r="G1136" s="7">
        <v>45092</v>
      </c>
      <c r="H1136" s="9">
        <v>145.25</v>
      </c>
      <c r="I1136" s="7">
        <v>45092</v>
      </c>
      <c r="J1136" s="9">
        <v>143</v>
      </c>
      <c r="K1136" s="5">
        <f t="shared" si="61"/>
        <v>3.25</v>
      </c>
      <c r="L1136" s="6">
        <f t="shared" si="62"/>
        <v>1</v>
      </c>
    </row>
    <row r="1137" spans="1:12" x14ac:dyDescent="0.25">
      <c r="A1137">
        <f t="shared" si="60"/>
        <v>6</v>
      </c>
      <c r="B1137">
        <f t="shared" si="63"/>
        <v>2023</v>
      </c>
      <c r="C1137" s="7">
        <v>45093</v>
      </c>
      <c r="D1137" s="8"/>
      <c r="E1137" s="7">
        <v>45093</v>
      </c>
      <c r="F1137" s="9">
        <v>146</v>
      </c>
      <c r="G1137" s="7">
        <v>45093</v>
      </c>
      <c r="H1137" s="9">
        <v>145</v>
      </c>
      <c r="I1137" s="7">
        <v>45093</v>
      </c>
      <c r="J1137" s="9">
        <v>144.25</v>
      </c>
      <c r="K1137" s="5">
        <f t="shared" si="61"/>
        <v>1.75</v>
      </c>
      <c r="L1137" s="6">
        <f t="shared" si="62"/>
        <v>1</v>
      </c>
    </row>
    <row r="1138" spans="1:12" x14ac:dyDescent="0.25">
      <c r="A1138">
        <f t="shared" si="60"/>
        <v>6</v>
      </c>
      <c r="B1138">
        <f t="shared" si="63"/>
        <v>2023</v>
      </c>
      <c r="C1138" s="7">
        <v>45097</v>
      </c>
      <c r="D1138" s="8"/>
      <c r="E1138" s="7">
        <v>45097</v>
      </c>
      <c r="F1138" s="9">
        <v>150.75</v>
      </c>
      <c r="G1138" s="7">
        <v>45097</v>
      </c>
      <c r="H1138" s="9">
        <v>149.75</v>
      </c>
      <c r="I1138" s="7">
        <v>45097</v>
      </c>
      <c r="J1138" s="9">
        <v>146.75</v>
      </c>
      <c r="K1138" s="5">
        <f t="shared" si="61"/>
        <v>4</v>
      </c>
      <c r="L1138" s="6">
        <f t="shared" si="62"/>
        <v>1</v>
      </c>
    </row>
    <row r="1139" spans="1:12" x14ac:dyDescent="0.25">
      <c r="A1139">
        <f t="shared" si="60"/>
        <v>6</v>
      </c>
      <c r="B1139">
        <f t="shared" si="63"/>
        <v>2023</v>
      </c>
      <c r="C1139" s="7">
        <v>45098</v>
      </c>
      <c r="D1139" s="8"/>
      <c r="E1139" s="7">
        <v>45098</v>
      </c>
      <c r="F1139" s="9">
        <v>138</v>
      </c>
      <c r="G1139" s="7">
        <v>45098</v>
      </c>
      <c r="H1139" s="9">
        <v>137</v>
      </c>
      <c r="I1139" s="7">
        <v>45098</v>
      </c>
      <c r="J1139" s="9">
        <v>138</v>
      </c>
      <c r="K1139" s="5">
        <f t="shared" si="61"/>
        <v>0</v>
      </c>
      <c r="L1139" s="6">
        <f t="shared" si="62"/>
        <v>1</v>
      </c>
    </row>
    <row r="1140" spans="1:12" x14ac:dyDescent="0.25">
      <c r="A1140">
        <f t="shared" si="60"/>
        <v>6</v>
      </c>
      <c r="B1140">
        <f t="shared" si="63"/>
        <v>2023</v>
      </c>
      <c r="C1140" s="7">
        <v>45099</v>
      </c>
      <c r="D1140" s="8"/>
      <c r="E1140" s="7">
        <v>45099</v>
      </c>
      <c r="F1140" s="9">
        <v>137.75</v>
      </c>
      <c r="G1140" s="7">
        <v>45099</v>
      </c>
      <c r="H1140" s="9">
        <v>130.75</v>
      </c>
      <c r="I1140" s="7">
        <v>45099</v>
      </c>
      <c r="J1140" s="9">
        <v>135.25</v>
      </c>
      <c r="K1140" s="5">
        <f t="shared" si="61"/>
        <v>2.5</v>
      </c>
      <c r="L1140" s="6">
        <f t="shared" si="62"/>
        <v>7</v>
      </c>
    </row>
    <row r="1141" spans="1:12" x14ac:dyDescent="0.25">
      <c r="A1141">
        <f t="shared" si="60"/>
        <v>6</v>
      </c>
      <c r="B1141">
        <f t="shared" si="63"/>
        <v>2023</v>
      </c>
      <c r="C1141" s="7">
        <v>45100</v>
      </c>
      <c r="D1141" s="8"/>
      <c r="E1141" s="7">
        <v>45100</v>
      </c>
      <c r="F1141" s="9">
        <v>139.75</v>
      </c>
      <c r="G1141" s="7">
        <v>45100</v>
      </c>
      <c r="H1141" s="9">
        <v>138.75</v>
      </c>
      <c r="I1141" s="7">
        <v>45100</v>
      </c>
      <c r="J1141" s="9">
        <v>138.5</v>
      </c>
      <c r="K1141" s="5">
        <f t="shared" si="61"/>
        <v>1.25</v>
      </c>
      <c r="L1141" s="6">
        <f t="shared" si="62"/>
        <v>1</v>
      </c>
    </row>
    <row r="1142" spans="1:12" x14ac:dyDescent="0.25">
      <c r="A1142">
        <f t="shared" si="60"/>
        <v>6</v>
      </c>
      <c r="B1142">
        <f t="shared" si="63"/>
        <v>2023</v>
      </c>
      <c r="C1142" s="7">
        <v>45103</v>
      </c>
      <c r="D1142" s="8"/>
      <c r="E1142" s="7">
        <v>45103</v>
      </c>
      <c r="F1142" s="9">
        <v>142.75</v>
      </c>
      <c r="G1142" s="7">
        <v>45103</v>
      </c>
      <c r="H1142" s="9">
        <v>141.75</v>
      </c>
      <c r="I1142" s="7">
        <v>45103</v>
      </c>
      <c r="J1142" s="9">
        <v>142.5</v>
      </c>
      <c r="K1142" s="5">
        <f t="shared" si="61"/>
        <v>0.25</v>
      </c>
      <c r="L1142" s="6">
        <f t="shared" si="62"/>
        <v>1</v>
      </c>
    </row>
    <row r="1143" spans="1:12" x14ac:dyDescent="0.25">
      <c r="A1143">
        <f t="shared" si="60"/>
        <v>6</v>
      </c>
      <c r="B1143">
        <f t="shared" si="63"/>
        <v>2023</v>
      </c>
      <c r="C1143" s="7">
        <v>45104</v>
      </c>
      <c r="D1143" s="8"/>
      <c r="E1143" s="7">
        <v>45104</v>
      </c>
      <c r="F1143" s="9">
        <v>144.25</v>
      </c>
      <c r="G1143" s="7">
        <v>45104</v>
      </c>
      <c r="H1143" s="9">
        <v>143.25</v>
      </c>
      <c r="I1143" s="7">
        <v>45104</v>
      </c>
      <c r="J1143" s="9">
        <v>143.75</v>
      </c>
      <c r="K1143" s="5">
        <f t="shared" si="61"/>
        <v>0.5</v>
      </c>
      <c r="L1143" s="6">
        <f t="shared" si="62"/>
        <v>1</v>
      </c>
    </row>
    <row r="1144" spans="1:12" x14ac:dyDescent="0.25">
      <c r="A1144">
        <f t="shared" si="60"/>
        <v>6</v>
      </c>
      <c r="B1144">
        <f t="shared" si="63"/>
        <v>2023</v>
      </c>
      <c r="C1144" s="7">
        <v>45105</v>
      </c>
      <c r="D1144" s="8"/>
      <c r="E1144" s="7">
        <v>45105</v>
      </c>
      <c r="F1144" s="9">
        <v>144.875</v>
      </c>
      <c r="G1144" s="7">
        <v>45105</v>
      </c>
      <c r="H1144" s="9">
        <v>143.875</v>
      </c>
      <c r="I1144" s="7">
        <v>45105</v>
      </c>
      <c r="J1144" s="9">
        <v>142.25</v>
      </c>
      <c r="K1144" s="5">
        <f t="shared" si="61"/>
        <v>2.625</v>
      </c>
      <c r="L1144" s="6">
        <f t="shared" si="62"/>
        <v>1</v>
      </c>
    </row>
    <row r="1145" spans="1:12" x14ac:dyDescent="0.25">
      <c r="A1145">
        <f t="shared" si="60"/>
        <v>6</v>
      </c>
      <c r="B1145">
        <f t="shared" si="63"/>
        <v>2023</v>
      </c>
      <c r="C1145" s="7">
        <v>45106</v>
      </c>
      <c r="D1145" s="8"/>
      <c r="E1145" s="7">
        <v>45106</v>
      </c>
      <c r="F1145" s="9">
        <v>144.5</v>
      </c>
      <c r="G1145" s="7">
        <v>45106</v>
      </c>
      <c r="H1145" s="9">
        <v>143.5</v>
      </c>
      <c r="I1145" s="7">
        <v>45106</v>
      </c>
      <c r="J1145" s="9">
        <v>144.25</v>
      </c>
      <c r="K1145" s="5">
        <f t="shared" si="61"/>
        <v>0.25</v>
      </c>
      <c r="L1145" s="6">
        <f t="shared" si="62"/>
        <v>1</v>
      </c>
    </row>
    <row r="1146" spans="1:12" x14ac:dyDescent="0.25">
      <c r="A1146">
        <f t="shared" si="60"/>
        <v>6</v>
      </c>
      <c r="B1146">
        <f t="shared" si="63"/>
        <v>2023</v>
      </c>
      <c r="C1146" s="7">
        <v>45107</v>
      </c>
      <c r="D1146" s="8"/>
      <c r="E1146" s="7">
        <v>45107</v>
      </c>
      <c r="F1146" s="9">
        <v>151.5</v>
      </c>
      <c r="G1146" s="7">
        <v>45107</v>
      </c>
      <c r="H1146" s="9">
        <v>150.5</v>
      </c>
      <c r="I1146" s="7">
        <v>45107</v>
      </c>
      <c r="J1146" s="9">
        <v>149.5</v>
      </c>
      <c r="K1146" s="5">
        <f t="shared" si="61"/>
        <v>2</v>
      </c>
      <c r="L1146" s="6">
        <f t="shared" si="62"/>
        <v>1</v>
      </c>
    </row>
    <row r="1147" spans="1:12" x14ac:dyDescent="0.25">
      <c r="A1147">
        <f t="shared" si="60"/>
        <v>7</v>
      </c>
      <c r="B1147">
        <f t="shared" si="63"/>
        <v>2023</v>
      </c>
      <c r="C1147" s="7">
        <v>45110</v>
      </c>
      <c r="D1147" s="8"/>
      <c r="E1147" s="7">
        <v>45110</v>
      </c>
      <c r="F1147" s="9">
        <v>155.5</v>
      </c>
      <c r="G1147" s="7">
        <v>45110</v>
      </c>
      <c r="H1147" s="9">
        <v>154.5</v>
      </c>
      <c r="I1147" s="7">
        <v>45110</v>
      </c>
      <c r="J1147" s="9">
        <v>155.5</v>
      </c>
      <c r="K1147" s="5">
        <f t="shared" si="61"/>
        <v>0</v>
      </c>
      <c r="L1147" s="6">
        <f t="shared" si="62"/>
        <v>1</v>
      </c>
    </row>
    <row r="1148" spans="1:12" x14ac:dyDescent="0.25">
      <c r="A1148">
        <f t="shared" si="60"/>
        <v>7</v>
      </c>
      <c r="B1148">
        <f t="shared" si="63"/>
        <v>2023</v>
      </c>
      <c r="C1148" s="7">
        <v>45112</v>
      </c>
      <c r="D1148" s="8"/>
      <c r="E1148" s="7">
        <v>45112</v>
      </c>
      <c r="F1148" s="9">
        <v>157</v>
      </c>
      <c r="G1148" s="7">
        <v>45112</v>
      </c>
      <c r="H1148" s="9">
        <v>156</v>
      </c>
      <c r="I1148" s="7">
        <v>45112</v>
      </c>
      <c r="J1148" s="9">
        <v>156.75</v>
      </c>
      <c r="K1148" s="5">
        <f t="shared" si="61"/>
        <v>0.25</v>
      </c>
      <c r="L1148" s="6">
        <f t="shared" si="62"/>
        <v>1</v>
      </c>
    </row>
    <row r="1149" spans="1:12" x14ac:dyDescent="0.25">
      <c r="A1149">
        <f t="shared" si="60"/>
        <v>7</v>
      </c>
      <c r="B1149">
        <f t="shared" si="63"/>
        <v>2023</v>
      </c>
      <c r="C1149" s="7">
        <v>45113</v>
      </c>
      <c r="D1149" s="8"/>
      <c r="E1149" s="7">
        <v>45113</v>
      </c>
      <c r="F1149" s="9">
        <v>153.75</v>
      </c>
      <c r="G1149" s="7">
        <v>45113</v>
      </c>
      <c r="H1149" s="9">
        <v>152.75</v>
      </c>
      <c r="I1149" s="7">
        <v>45113</v>
      </c>
      <c r="J1149" s="9">
        <v>153.75</v>
      </c>
      <c r="K1149" s="5">
        <f t="shared" si="61"/>
        <v>0</v>
      </c>
      <c r="L1149" s="6">
        <f t="shared" si="62"/>
        <v>1</v>
      </c>
    </row>
    <row r="1150" spans="1:12" x14ac:dyDescent="0.25">
      <c r="A1150">
        <f t="shared" si="60"/>
        <v>7</v>
      </c>
      <c r="B1150">
        <f t="shared" si="63"/>
        <v>2023</v>
      </c>
      <c r="C1150" s="7">
        <v>45114</v>
      </c>
      <c r="D1150" s="8"/>
      <c r="E1150" s="7">
        <v>45114</v>
      </c>
      <c r="F1150" s="9">
        <v>155.75</v>
      </c>
      <c r="G1150" s="7">
        <v>45114</v>
      </c>
      <c r="H1150" s="9">
        <v>154.75</v>
      </c>
      <c r="I1150" s="7">
        <v>45114</v>
      </c>
      <c r="J1150" s="9">
        <v>154.75</v>
      </c>
      <c r="K1150" s="5">
        <f t="shared" si="61"/>
        <v>1</v>
      </c>
      <c r="L1150" s="6">
        <f t="shared" si="62"/>
        <v>1</v>
      </c>
    </row>
    <row r="1151" spans="1:12" x14ac:dyDescent="0.25">
      <c r="A1151">
        <f t="shared" si="60"/>
        <v>7</v>
      </c>
      <c r="B1151">
        <f t="shared" si="63"/>
        <v>2023</v>
      </c>
      <c r="C1151" s="7">
        <v>45117</v>
      </c>
      <c r="D1151" s="8"/>
      <c r="E1151" s="7">
        <v>45117</v>
      </c>
      <c r="F1151" s="9">
        <v>157.25</v>
      </c>
      <c r="G1151" s="7">
        <v>45117</v>
      </c>
      <c r="H1151" s="9">
        <v>156.25</v>
      </c>
      <c r="I1151" s="7">
        <v>45117</v>
      </c>
      <c r="J1151" s="9">
        <v>157.25</v>
      </c>
      <c r="K1151" s="5">
        <f t="shared" si="61"/>
        <v>0</v>
      </c>
      <c r="L1151" s="6">
        <f t="shared" si="62"/>
        <v>1</v>
      </c>
    </row>
    <row r="1152" spans="1:12" x14ac:dyDescent="0.25">
      <c r="A1152">
        <f t="shared" si="60"/>
        <v>7</v>
      </c>
      <c r="B1152">
        <f t="shared" si="63"/>
        <v>2023</v>
      </c>
      <c r="C1152" s="7">
        <v>45118</v>
      </c>
      <c r="D1152" s="8"/>
      <c r="E1152" s="7">
        <v>45118</v>
      </c>
      <c r="F1152" s="9">
        <v>156.75</v>
      </c>
      <c r="G1152" s="7">
        <v>45118</v>
      </c>
      <c r="H1152" s="9">
        <v>155.25</v>
      </c>
      <c r="I1152" s="7">
        <v>45118</v>
      </c>
      <c r="J1152" s="9">
        <v>155.25</v>
      </c>
      <c r="K1152" s="5">
        <f t="shared" si="61"/>
        <v>1.5</v>
      </c>
      <c r="L1152" s="6">
        <f t="shared" si="62"/>
        <v>1.5</v>
      </c>
    </row>
    <row r="1153" spans="1:12" x14ac:dyDescent="0.25">
      <c r="A1153">
        <f t="shared" si="60"/>
        <v>7</v>
      </c>
      <c r="B1153">
        <f t="shared" si="63"/>
        <v>2023</v>
      </c>
      <c r="C1153" s="7">
        <v>45119</v>
      </c>
      <c r="D1153" s="8"/>
      <c r="E1153" s="7">
        <v>45119</v>
      </c>
      <c r="F1153" s="9">
        <v>157.25</v>
      </c>
      <c r="G1153" s="7">
        <v>45119</v>
      </c>
      <c r="H1153" s="9">
        <v>155.25</v>
      </c>
      <c r="I1153" s="7">
        <v>45119</v>
      </c>
      <c r="J1153" s="9">
        <v>155.25</v>
      </c>
      <c r="K1153" s="5">
        <f t="shared" si="61"/>
        <v>2</v>
      </c>
      <c r="L1153" s="6">
        <f t="shared" si="62"/>
        <v>2</v>
      </c>
    </row>
    <row r="1154" spans="1:12" x14ac:dyDescent="0.25">
      <c r="A1154">
        <f t="shared" si="60"/>
        <v>7</v>
      </c>
      <c r="B1154">
        <f t="shared" si="63"/>
        <v>2023</v>
      </c>
      <c r="C1154" s="7">
        <v>45120</v>
      </c>
      <c r="D1154" s="8"/>
      <c r="E1154" s="7">
        <v>45120</v>
      </c>
      <c r="F1154" s="9">
        <v>156.75</v>
      </c>
      <c r="G1154" s="7">
        <v>45120</v>
      </c>
      <c r="H1154" s="9">
        <v>155.25</v>
      </c>
      <c r="I1154" s="7">
        <v>45120</v>
      </c>
      <c r="J1154" s="9">
        <v>155.25</v>
      </c>
      <c r="K1154" s="5">
        <f t="shared" si="61"/>
        <v>1.5</v>
      </c>
      <c r="L1154" s="6">
        <f t="shared" si="62"/>
        <v>1.5</v>
      </c>
    </row>
    <row r="1155" spans="1:12" x14ac:dyDescent="0.25">
      <c r="A1155">
        <f t="shared" si="60"/>
        <v>7</v>
      </c>
      <c r="B1155">
        <f t="shared" si="63"/>
        <v>2023</v>
      </c>
      <c r="C1155" s="7">
        <v>45121</v>
      </c>
      <c r="D1155" s="8"/>
      <c r="E1155" s="7">
        <v>45121</v>
      </c>
      <c r="F1155" s="9">
        <v>153.75</v>
      </c>
      <c r="G1155" s="7">
        <v>45121</v>
      </c>
      <c r="H1155" s="9">
        <v>152.75</v>
      </c>
      <c r="I1155" s="7">
        <v>45121</v>
      </c>
      <c r="J1155" s="9">
        <v>153.5</v>
      </c>
      <c r="K1155" s="5">
        <f t="shared" si="61"/>
        <v>0.25</v>
      </c>
      <c r="L1155" s="6">
        <f t="shared" si="62"/>
        <v>1</v>
      </c>
    </row>
    <row r="1156" spans="1:12" x14ac:dyDescent="0.25">
      <c r="A1156">
        <f t="shared" si="60"/>
        <v>7</v>
      </c>
      <c r="B1156">
        <f t="shared" si="63"/>
        <v>2023</v>
      </c>
      <c r="C1156" s="7">
        <v>45124</v>
      </c>
      <c r="D1156" s="8"/>
      <c r="E1156" s="7">
        <v>45124</v>
      </c>
      <c r="F1156" s="9">
        <v>154.75</v>
      </c>
      <c r="G1156" s="7">
        <v>45124</v>
      </c>
      <c r="H1156" s="9">
        <v>153.75</v>
      </c>
      <c r="I1156" s="7">
        <v>45124</v>
      </c>
      <c r="J1156" s="9">
        <v>153.75</v>
      </c>
      <c r="K1156" s="5">
        <f t="shared" si="61"/>
        <v>1</v>
      </c>
      <c r="L1156" s="6">
        <f t="shared" si="62"/>
        <v>1</v>
      </c>
    </row>
    <row r="1157" spans="1:12" x14ac:dyDescent="0.25">
      <c r="A1157">
        <f t="shared" si="60"/>
        <v>7</v>
      </c>
      <c r="B1157">
        <f t="shared" si="63"/>
        <v>2023</v>
      </c>
      <c r="C1157" s="7">
        <v>45125</v>
      </c>
      <c r="D1157" s="8"/>
      <c r="E1157" s="7">
        <v>45125</v>
      </c>
      <c r="F1157" s="9">
        <v>153.75</v>
      </c>
      <c r="G1157" s="7">
        <v>45125</v>
      </c>
      <c r="H1157" s="9">
        <v>152.75</v>
      </c>
      <c r="I1157" s="7">
        <v>45125</v>
      </c>
      <c r="J1157" s="9">
        <v>152.75</v>
      </c>
      <c r="K1157" s="5">
        <f t="shared" si="61"/>
        <v>1</v>
      </c>
      <c r="L1157" s="6">
        <f t="shared" si="62"/>
        <v>1</v>
      </c>
    </row>
    <row r="1158" spans="1:12" x14ac:dyDescent="0.25">
      <c r="A1158">
        <f t="shared" si="60"/>
        <v>7</v>
      </c>
      <c r="B1158">
        <f t="shared" si="63"/>
        <v>2023</v>
      </c>
      <c r="C1158" s="7">
        <v>45126</v>
      </c>
      <c r="D1158" s="8"/>
      <c r="E1158" s="7">
        <v>45126</v>
      </c>
      <c r="F1158" s="9">
        <v>155.25</v>
      </c>
      <c r="G1158" s="7">
        <v>45126</v>
      </c>
      <c r="H1158" s="9">
        <v>154.25</v>
      </c>
      <c r="I1158" s="7">
        <v>45126</v>
      </c>
      <c r="J1158" s="9">
        <v>154.75</v>
      </c>
      <c r="K1158" s="5">
        <f t="shared" si="61"/>
        <v>0.5</v>
      </c>
      <c r="L1158" s="6">
        <f t="shared" si="62"/>
        <v>1</v>
      </c>
    </row>
    <row r="1159" spans="1:12" x14ac:dyDescent="0.25">
      <c r="A1159">
        <f t="shared" si="60"/>
        <v>7</v>
      </c>
      <c r="B1159">
        <f t="shared" si="63"/>
        <v>2023</v>
      </c>
      <c r="C1159" s="7">
        <v>45127</v>
      </c>
      <c r="D1159" s="8"/>
      <c r="E1159" s="7">
        <v>45127</v>
      </c>
      <c r="F1159" s="9">
        <v>155.25</v>
      </c>
      <c r="G1159" s="7">
        <v>45127</v>
      </c>
      <c r="H1159" s="9">
        <v>154.25</v>
      </c>
      <c r="I1159" s="7">
        <v>45127</v>
      </c>
      <c r="J1159" s="9">
        <v>155.25</v>
      </c>
      <c r="K1159" s="5">
        <f t="shared" si="61"/>
        <v>0</v>
      </c>
      <c r="L1159" s="6">
        <f t="shared" si="62"/>
        <v>1</v>
      </c>
    </row>
    <row r="1160" spans="1:12" x14ac:dyDescent="0.25">
      <c r="A1160">
        <f t="shared" si="60"/>
        <v>7</v>
      </c>
      <c r="B1160">
        <f t="shared" si="63"/>
        <v>2023</v>
      </c>
      <c r="C1160" s="7">
        <v>45128</v>
      </c>
      <c r="D1160" s="8"/>
      <c r="E1160" s="7">
        <v>45128</v>
      </c>
      <c r="F1160" s="9">
        <v>156.75</v>
      </c>
      <c r="G1160" s="7">
        <v>45128</v>
      </c>
      <c r="H1160" s="9">
        <v>155.75</v>
      </c>
      <c r="I1160" s="7">
        <v>45128</v>
      </c>
      <c r="J1160" s="9">
        <v>156.25</v>
      </c>
      <c r="K1160" s="5">
        <f t="shared" si="61"/>
        <v>0.5</v>
      </c>
      <c r="L1160" s="6">
        <f t="shared" si="62"/>
        <v>1</v>
      </c>
    </row>
    <row r="1161" spans="1:12" x14ac:dyDescent="0.25">
      <c r="A1161">
        <f t="shared" si="60"/>
        <v>7</v>
      </c>
      <c r="B1161">
        <f t="shared" si="63"/>
        <v>2023</v>
      </c>
      <c r="C1161" s="7">
        <v>45131</v>
      </c>
      <c r="D1161" s="8"/>
      <c r="E1161" s="7">
        <v>45131</v>
      </c>
      <c r="F1161" s="9">
        <v>160.25</v>
      </c>
      <c r="G1161" s="7">
        <v>45131</v>
      </c>
      <c r="H1161" s="9">
        <v>159.25</v>
      </c>
      <c r="I1161" s="7">
        <v>45131</v>
      </c>
      <c r="J1161" s="9">
        <v>159.25</v>
      </c>
      <c r="K1161" s="5">
        <f t="shared" si="61"/>
        <v>1</v>
      </c>
      <c r="L1161" s="6">
        <f t="shared" si="62"/>
        <v>1</v>
      </c>
    </row>
    <row r="1162" spans="1:12" x14ac:dyDescent="0.25">
      <c r="A1162">
        <f t="shared" si="60"/>
        <v>7</v>
      </c>
      <c r="B1162">
        <f t="shared" si="63"/>
        <v>2023</v>
      </c>
      <c r="C1162" s="7">
        <v>45132</v>
      </c>
      <c r="D1162" s="8"/>
      <c r="E1162" s="7">
        <v>45132</v>
      </c>
      <c r="F1162" s="9">
        <v>159.5</v>
      </c>
      <c r="G1162" s="7">
        <v>45132</v>
      </c>
      <c r="H1162" s="9">
        <v>158.5</v>
      </c>
      <c r="I1162" s="7">
        <v>45132</v>
      </c>
      <c r="J1162" s="9">
        <v>159.5</v>
      </c>
      <c r="K1162" s="5">
        <f t="shared" si="61"/>
        <v>0</v>
      </c>
      <c r="L1162" s="6">
        <f t="shared" si="62"/>
        <v>1</v>
      </c>
    </row>
    <row r="1163" spans="1:12" x14ac:dyDescent="0.25">
      <c r="A1163">
        <f t="shared" si="60"/>
        <v>7</v>
      </c>
      <c r="B1163">
        <f t="shared" si="63"/>
        <v>2023</v>
      </c>
      <c r="C1163" s="7">
        <v>45133</v>
      </c>
      <c r="D1163" s="8"/>
      <c r="E1163" s="7">
        <v>45133</v>
      </c>
      <c r="F1163" s="9">
        <v>156.5</v>
      </c>
      <c r="G1163" s="7">
        <v>45133</v>
      </c>
      <c r="H1163" s="9">
        <v>155.5</v>
      </c>
      <c r="I1163" s="7">
        <v>45133</v>
      </c>
      <c r="J1163" s="9">
        <v>156</v>
      </c>
      <c r="K1163" s="5">
        <f t="shared" si="61"/>
        <v>0.5</v>
      </c>
      <c r="L1163" s="6">
        <f t="shared" si="62"/>
        <v>1</v>
      </c>
    </row>
    <row r="1164" spans="1:12" x14ac:dyDescent="0.25">
      <c r="A1164">
        <f t="shared" si="60"/>
        <v>7</v>
      </c>
      <c r="B1164">
        <f t="shared" si="63"/>
        <v>2023</v>
      </c>
      <c r="C1164" s="7">
        <v>45134</v>
      </c>
      <c r="D1164" s="8"/>
      <c r="E1164" s="7">
        <v>45134</v>
      </c>
      <c r="F1164" s="9">
        <v>153</v>
      </c>
      <c r="G1164" s="7">
        <v>45134</v>
      </c>
      <c r="H1164" s="9">
        <v>152</v>
      </c>
      <c r="I1164" s="7">
        <v>45134</v>
      </c>
      <c r="J1164" s="9">
        <v>153.25</v>
      </c>
      <c r="K1164" s="5">
        <f t="shared" si="61"/>
        <v>-0.25</v>
      </c>
      <c r="L1164" s="6">
        <f t="shared" si="62"/>
        <v>1</v>
      </c>
    </row>
    <row r="1165" spans="1:12" x14ac:dyDescent="0.25">
      <c r="A1165">
        <f t="shared" si="60"/>
        <v>7</v>
      </c>
      <c r="B1165">
        <f t="shared" si="63"/>
        <v>2023</v>
      </c>
      <c r="C1165" s="7">
        <v>45135</v>
      </c>
      <c r="D1165" s="8"/>
      <c r="E1165" s="7">
        <v>45135</v>
      </c>
      <c r="F1165" s="9">
        <v>153.5</v>
      </c>
      <c r="G1165" s="7">
        <v>45135</v>
      </c>
      <c r="H1165" s="9">
        <v>152.5</v>
      </c>
      <c r="I1165" s="7">
        <v>45135</v>
      </c>
      <c r="J1165" s="9">
        <v>152.5</v>
      </c>
      <c r="K1165" s="5">
        <f t="shared" si="61"/>
        <v>1</v>
      </c>
      <c r="L1165" s="6">
        <f t="shared" si="62"/>
        <v>1</v>
      </c>
    </row>
    <row r="1166" spans="1:12" x14ac:dyDescent="0.25">
      <c r="A1166">
        <f t="shared" ref="A1166:A1229" si="64">MONTH(E1166)</f>
        <v>7</v>
      </c>
      <c r="B1166">
        <f t="shared" si="63"/>
        <v>2023</v>
      </c>
      <c r="C1166" s="7">
        <v>45138</v>
      </c>
      <c r="D1166" s="8"/>
      <c r="E1166" s="7">
        <v>45138</v>
      </c>
      <c r="F1166" s="9">
        <v>150.5</v>
      </c>
      <c r="G1166" s="7">
        <v>45138</v>
      </c>
      <c r="H1166" s="9">
        <v>149.5</v>
      </c>
      <c r="I1166" s="7">
        <v>45138</v>
      </c>
      <c r="J1166" s="9">
        <v>150</v>
      </c>
      <c r="K1166" s="5">
        <f t="shared" ref="K1166:K1229" si="65">F1166-J1166</f>
        <v>0.5</v>
      </c>
      <c r="L1166" s="6">
        <f t="shared" ref="L1166:L1229" si="66">F1166-H1166</f>
        <v>1</v>
      </c>
    </row>
    <row r="1167" spans="1:12" x14ac:dyDescent="0.25">
      <c r="A1167">
        <f t="shared" si="64"/>
        <v>8</v>
      </c>
      <c r="B1167">
        <f t="shared" ref="B1167:B1230" si="67">YEAR(E1167)</f>
        <v>2023</v>
      </c>
      <c r="C1167" s="7">
        <v>45139</v>
      </c>
      <c r="D1167" s="8"/>
      <c r="E1167" s="7">
        <v>45139</v>
      </c>
      <c r="F1167" s="9">
        <v>150.5</v>
      </c>
      <c r="G1167" s="7">
        <v>45139</v>
      </c>
      <c r="H1167" s="9">
        <v>149.5</v>
      </c>
      <c r="I1167" s="7">
        <v>45139</v>
      </c>
      <c r="J1167" s="9">
        <v>150</v>
      </c>
      <c r="K1167" s="5">
        <f t="shared" si="65"/>
        <v>0.5</v>
      </c>
      <c r="L1167" s="6">
        <f t="shared" si="66"/>
        <v>1</v>
      </c>
    </row>
    <row r="1168" spans="1:12" x14ac:dyDescent="0.25">
      <c r="A1168">
        <f t="shared" si="64"/>
        <v>8</v>
      </c>
      <c r="B1168">
        <f t="shared" si="67"/>
        <v>2023</v>
      </c>
      <c r="C1168" s="7">
        <v>45140</v>
      </c>
      <c r="D1168" s="8"/>
      <c r="E1168" s="7">
        <v>45140</v>
      </c>
      <c r="F1168" s="9">
        <v>152</v>
      </c>
      <c r="G1168" s="7">
        <v>45140</v>
      </c>
      <c r="H1168" s="9">
        <v>151</v>
      </c>
      <c r="I1168" s="7">
        <v>45140</v>
      </c>
      <c r="J1168" s="9">
        <v>152</v>
      </c>
      <c r="K1168" s="5">
        <f t="shared" si="65"/>
        <v>0</v>
      </c>
      <c r="L1168" s="6">
        <f t="shared" si="66"/>
        <v>1</v>
      </c>
    </row>
    <row r="1169" spans="1:12" x14ac:dyDescent="0.25">
      <c r="A1169">
        <f t="shared" si="64"/>
        <v>8</v>
      </c>
      <c r="B1169">
        <f t="shared" si="67"/>
        <v>2023</v>
      </c>
      <c r="C1169" s="7">
        <v>45141</v>
      </c>
      <c r="D1169" s="8"/>
      <c r="E1169" s="7">
        <v>45141</v>
      </c>
      <c r="F1169" s="9">
        <v>150.5</v>
      </c>
      <c r="G1169" s="7">
        <v>45141</v>
      </c>
      <c r="H1169" s="9">
        <v>150.5</v>
      </c>
      <c r="I1169" s="7">
        <v>45141</v>
      </c>
      <c r="J1169" s="9">
        <v>151.5</v>
      </c>
      <c r="K1169" s="5">
        <f t="shared" si="65"/>
        <v>-1</v>
      </c>
      <c r="L1169" s="6">
        <f t="shared" si="66"/>
        <v>0</v>
      </c>
    </row>
    <row r="1170" spans="1:12" x14ac:dyDescent="0.25">
      <c r="A1170">
        <f t="shared" si="64"/>
        <v>8</v>
      </c>
      <c r="B1170">
        <f t="shared" si="67"/>
        <v>2023</v>
      </c>
      <c r="C1170" s="7">
        <v>45142</v>
      </c>
      <c r="D1170" s="8"/>
      <c r="E1170" s="7">
        <v>45142</v>
      </c>
      <c r="F1170" s="9">
        <v>152.5</v>
      </c>
      <c r="G1170" s="7">
        <v>45142</v>
      </c>
      <c r="H1170" s="9">
        <v>151.5</v>
      </c>
      <c r="I1170" s="7">
        <v>45142</v>
      </c>
      <c r="J1170" s="9">
        <v>152</v>
      </c>
      <c r="K1170" s="5">
        <f t="shared" si="65"/>
        <v>0.5</v>
      </c>
      <c r="L1170" s="6">
        <f t="shared" si="66"/>
        <v>1</v>
      </c>
    </row>
    <row r="1171" spans="1:12" x14ac:dyDescent="0.25">
      <c r="A1171">
        <f t="shared" si="64"/>
        <v>8</v>
      </c>
      <c r="B1171">
        <f t="shared" si="67"/>
        <v>2023</v>
      </c>
      <c r="C1171" s="7">
        <v>45145</v>
      </c>
      <c r="D1171" s="8"/>
      <c r="E1171" s="7">
        <v>45145</v>
      </c>
      <c r="F1171" s="9">
        <v>152.5</v>
      </c>
      <c r="G1171" s="7">
        <v>45145</v>
      </c>
      <c r="H1171" s="9">
        <v>151.5</v>
      </c>
      <c r="I1171" s="7">
        <v>45145</v>
      </c>
      <c r="J1171" s="9">
        <v>152</v>
      </c>
      <c r="K1171" s="5">
        <f t="shared" si="65"/>
        <v>0.5</v>
      </c>
      <c r="L1171" s="6">
        <f t="shared" si="66"/>
        <v>1</v>
      </c>
    </row>
    <row r="1172" spans="1:12" x14ac:dyDescent="0.25">
      <c r="A1172">
        <f t="shared" si="64"/>
        <v>8</v>
      </c>
      <c r="B1172">
        <f t="shared" si="67"/>
        <v>2023</v>
      </c>
      <c r="C1172" s="7">
        <v>45146</v>
      </c>
      <c r="D1172" s="8"/>
      <c r="E1172" s="7">
        <v>45146</v>
      </c>
      <c r="F1172" s="9">
        <v>148</v>
      </c>
      <c r="G1172" s="7">
        <v>45146</v>
      </c>
      <c r="H1172" s="9">
        <v>147</v>
      </c>
      <c r="I1172" s="7">
        <v>45146</v>
      </c>
      <c r="J1172" s="9">
        <v>148</v>
      </c>
      <c r="K1172" s="5">
        <f t="shared" si="65"/>
        <v>0</v>
      </c>
      <c r="L1172" s="6">
        <f t="shared" si="66"/>
        <v>1</v>
      </c>
    </row>
    <row r="1173" spans="1:12" x14ac:dyDescent="0.25">
      <c r="A1173">
        <f t="shared" si="64"/>
        <v>8</v>
      </c>
      <c r="B1173">
        <f t="shared" si="67"/>
        <v>2023</v>
      </c>
      <c r="C1173" s="7">
        <v>45147</v>
      </c>
      <c r="D1173" s="8"/>
      <c r="E1173" s="7">
        <v>45147</v>
      </c>
      <c r="F1173" s="9">
        <v>147</v>
      </c>
      <c r="G1173" s="7">
        <v>45147</v>
      </c>
      <c r="H1173" s="9">
        <v>146</v>
      </c>
      <c r="I1173" s="7">
        <v>45147</v>
      </c>
      <c r="J1173" s="9">
        <v>147</v>
      </c>
      <c r="K1173" s="5">
        <f t="shared" si="65"/>
        <v>0</v>
      </c>
      <c r="L1173" s="6">
        <f t="shared" si="66"/>
        <v>1</v>
      </c>
    </row>
    <row r="1174" spans="1:12" x14ac:dyDescent="0.25">
      <c r="A1174">
        <f t="shared" si="64"/>
        <v>8</v>
      </c>
      <c r="B1174">
        <f t="shared" si="67"/>
        <v>2023</v>
      </c>
      <c r="C1174" s="7">
        <v>45148</v>
      </c>
      <c r="D1174" s="8"/>
      <c r="E1174" s="7">
        <v>45148</v>
      </c>
      <c r="F1174" s="9">
        <v>144.5</v>
      </c>
      <c r="G1174" s="7">
        <v>45148</v>
      </c>
      <c r="H1174" s="9">
        <v>143.5</v>
      </c>
      <c r="I1174" s="7">
        <v>45148</v>
      </c>
      <c r="J1174" s="9">
        <v>144</v>
      </c>
      <c r="K1174" s="5">
        <f t="shared" si="65"/>
        <v>0.5</v>
      </c>
      <c r="L1174" s="6">
        <f t="shared" si="66"/>
        <v>1</v>
      </c>
    </row>
    <row r="1175" spans="1:12" x14ac:dyDescent="0.25">
      <c r="A1175">
        <f t="shared" si="64"/>
        <v>8</v>
      </c>
      <c r="B1175">
        <f t="shared" si="67"/>
        <v>2023</v>
      </c>
      <c r="C1175" s="7">
        <v>45149</v>
      </c>
      <c r="D1175" s="9">
        <v>298</v>
      </c>
      <c r="E1175" s="7">
        <v>45149</v>
      </c>
      <c r="F1175" s="9">
        <v>143.5</v>
      </c>
      <c r="G1175" s="7">
        <v>45149</v>
      </c>
      <c r="H1175" s="9">
        <v>142.5</v>
      </c>
      <c r="I1175" s="7">
        <v>45149</v>
      </c>
      <c r="J1175" s="9">
        <v>143</v>
      </c>
      <c r="K1175" s="5">
        <f t="shared" si="65"/>
        <v>0.5</v>
      </c>
      <c r="L1175" s="6">
        <f t="shared" si="66"/>
        <v>1</v>
      </c>
    </row>
    <row r="1176" spans="1:12" x14ac:dyDescent="0.25">
      <c r="A1176">
        <f t="shared" si="64"/>
        <v>8</v>
      </c>
      <c r="B1176">
        <f t="shared" si="67"/>
        <v>2023</v>
      </c>
      <c r="C1176" s="7">
        <v>45152</v>
      </c>
      <c r="D1176" s="9">
        <v>220</v>
      </c>
      <c r="E1176" s="7">
        <v>45152</v>
      </c>
      <c r="F1176" s="9">
        <v>143.5</v>
      </c>
      <c r="G1176" s="7">
        <v>45152</v>
      </c>
      <c r="H1176" s="9">
        <v>142.5</v>
      </c>
      <c r="I1176" s="7">
        <v>45152</v>
      </c>
      <c r="J1176" s="9">
        <v>143</v>
      </c>
      <c r="K1176" s="5">
        <f t="shared" si="65"/>
        <v>0.5</v>
      </c>
      <c r="L1176" s="6">
        <f t="shared" si="66"/>
        <v>1</v>
      </c>
    </row>
    <row r="1177" spans="1:12" x14ac:dyDescent="0.25">
      <c r="A1177">
        <f t="shared" si="64"/>
        <v>8</v>
      </c>
      <c r="B1177">
        <f t="shared" si="67"/>
        <v>2023</v>
      </c>
      <c r="C1177" s="7">
        <v>45153</v>
      </c>
      <c r="D1177" s="9">
        <v>299</v>
      </c>
      <c r="E1177" s="7">
        <v>45153</v>
      </c>
      <c r="F1177" s="9">
        <v>144.5</v>
      </c>
      <c r="G1177" s="7">
        <v>45153</v>
      </c>
      <c r="H1177" s="9">
        <v>143.5</v>
      </c>
      <c r="I1177" s="7">
        <v>45153</v>
      </c>
      <c r="J1177" s="9">
        <v>144</v>
      </c>
      <c r="K1177" s="5">
        <f t="shared" si="65"/>
        <v>0.5</v>
      </c>
      <c r="L1177" s="6">
        <f t="shared" si="66"/>
        <v>1</v>
      </c>
    </row>
    <row r="1178" spans="1:12" x14ac:dyDescent="0.25">
      <c r="A1178">
        <f t="shared" si="64"/>
        <v>8</v>
      </c>
      <c r="B1178">
        <f t="shared" si="67"/>
        <v>2023</v>
      </c>
      <c r="C1178" s="7">
        <v>45154</v>
      </c>
      <c r="D1178" s="9">
        <v>299</v>
      </c>
      <c r="E1178" s="7">
        <v>45154</v>
      </c>
      <c r="F1178" s="9">
        <v>145.5</v>
      </c>
      <c r="G1178" s="7">
        <v>45154</v>
      </c>
      <c r="H1178" s="9">
        <v>144.5</v>
      </c>
      <c r="I1178" s="7">
        <v>45154</v>
      </c>
      <c r="J1178" s="9">
        <v>145</v>
      </c>
      <c r="K1178" s="5">
        <f t="shared" si="65"/>
        <v>0.5</v>
      </c>
      <c r="L1178" s="6">
        <f t="shared" si="66"/>
        <v>1</v>
      </c>
    </row>
    <row r="1179" spans="1:12" x14ac:dyDescent="0.25">
      <c r="A1179">
        <f t="shared" si="64"/>
        <v>8</v>
      </c>
      <c r="B1179">
        <f t="shared" si="67"/>
        <v>2023</v>
      </c>
      <c r="C1179" s="7">
        <v>45155</v>
      </c>
      <c r="D1179" s="9">
        <v>299</v>
      </c>
      <c r="E1179" s="7">
        <v>45155</v>
      </c>
      <c r="F1179" s="9">
        <v>144.5</v>
      </c>
      <c r="G1179" s="7">
        <v>45155</v>
      </c>
      <c r="H1179" s="9">
        <v>143.5</v>
      </c>
      <c r="I1179" s="7">
        <v>45155</v>
      </c>
      <c r="J1179" s="9">
        <v>144</v>
      </c>
      <c r="K1179" s="5">
        <f t="shared" si="65"/>
        <v>0.5</v>
      </c>
      <c r="L1179" s="6">
        <f t="shared" si="66"/>
        <v>1</v>
      </c>
    </row>
    <row r="1180" spans="1:12" x14ac:dyDescent="0.25">
      <c r="A1180">
        <f t="shared" si="64"/>
        <v>8</v>
      </c>
      <c r="B1180">
        <f t="shared" si="67"/>
        <v>2023</v>
      </c>
      <c r="C1180" s="7">
        <v>45156</v>
      </c>
      <c r="D1180" s="9">
        <v>299</v>
      </c>
      <c r="E1180" s="7">
        <v>45156</v>
      </c>
      <c r="F1180" s="9">
        <v>144.5</v>
      </c>
      <c r="G1180" s="7">
        <v>45156</v>
      </c>
      <c r="H1180" s="9">
        <v>143.5</v>
      </c>
      <c r="I1180" s="7">
        <v>45156</v>
      </c>
      <c r="J1180" s="9">
        <v>144</v>
      </c>
      <c r="K1180" s="5">
        <f t="shared" si="65"/>
        <v>0.5</v>
      </c>
      <c r="L1180" s="6">
        <f t="shared" si="66"/>
        <v>1</v>
      </c>
    </row>
    <row r="1181" spans="1:12" x14ac:dyDescent="0.25">
      <c r="A1181">
        <f t="shared" si="64"/>
        <v>8</v>
      </c>
      <c r="B1181">
        <f t="shared" si="67"/>
        <v>2023</v>
      </c>
      <c r="C1181" s="7">
        <v>45159</v>
      </c>
      <c r="D1181" s="9">
        <v>299</v>
      </c>
      <c r="E1181" s="7">
        <v>45159</v>
      </c>
      <c r="F1181" s="9">
        <v>142</v>
      </c>
      <c r="G1181" s="7">
        <v>45159</v>
      </c>
      <c r="H1181" s="9">
        <v>141</v>
      </c>
      <c r="I1181" s="7">
        <v>45159</v>
      </c>
      <c r="J1181" s="9">
        <v>141.5</v>
      </c>
      <c r="K1181" s="5">
        <f t="shared" si="65"/>
        <v>0.5</v>
      </c>
      <c r="L1181" s="6">
        <f t="shared" si="66"/>
        <v>1</v>
      </c>
    </row>
    <row r="1182" spans="1:12" x14ac:dyDescent="0.25">
      <c r="A1182">
        <f t="shared" si="64"/>
        <v>8</v>
      </c>
      <c r="B1182">
        <f t="shared" si="67"/>
        <v>2023</v>
      </c>
      <c r="C1182" s="7">
        <v>45160</v>
      </c>
      <c r="D1182" s="9">
        <v>302</v>
      </c>
      <c r="E1182" s="7">
        <v>45160</v>
      </c>
      <c r="F1182" s="9">
        <v>141</v>
      </c>
      <c r="G1182" s="7">
        <v>45160</v>
      </c>
      <c r="H1182" s="9">
        <v>140</v>
      </c>
      <c r="I1182" s="7">
        <v>45160</v>
      </c>
      <c r="J1182" s="9">
        <v>140</v>
      </c>
      <c r="K1182" s="5">
        <f t="shared" si="65"/>
        <v>1</v>
      </c>
      <c r="L1182" s="6">
        <f t="shared" si="66"/>
        <v>1</v>
      </c>
    </row>
    <row r="1183" spans="1:12" x14ac:dyDescent="0.25">
      <c r="A1183">
        <f t="shared" si="64"/>
        <v>8</v>
      </c>
      <c r="B1183">
        <f t="shared" si="67"/>
        <v>2023</v>
      </c>
      <c r="C1183" s="7">
        <v>45161</v>
      </c>
      <c r="D1183" s="9">
        <v>302</v>
      </c>
      <c r="E1183" s="7">
        <v>45161</v>
      </c>
      <c r="F1183" s="9">
        <v>141</v>
      </c>
      <c r="G1183" s="7">
        <v>45161</v>
      </c>
      <c r="H1183" s="9">
        <v>140</v>
      </c>
      <c r="I1183" s="7">
        <v>45161</v>
      </c>
      <c r="J1183" s="9">
        <v>140</v>
      </c>
      <c r="K1183" s="5">
        <f t="shared" si="65"/>
        <v>1</v>
      </c>
      <c r="L1183" s="6">
        <f t="shared" si="66"/>
        <v>1</v>
      </c>
    </row>
    <row r="1184" spans="1:12" x14ac:dyDescent="0.25">
      <c r="A1184">
        <f t="shared" si="64"/>
        <v>8</v>
      </c>
      <c r="B1184">
        <f t="shared" si="67"/>
        <v>2023</v>
      </c>
      <c r="C1184" s="7">
        <v>45162</v>
      </c>
      <c r="D1184" s="9">
        <v>300</v>
      </c>
      <c r="E1184" s="7">
        <v>45162</v>
      </c>
      <c r="F1184" s="9">
        <v>141</v>
      </c>
      <c r="G1184" s="7">
        <v>45162</v>
      </c>
      <c r="H1184" s="9">
        <v>140</v>
      </c>
      <c r="I1184" s="7">
        <v>45162</v>
      </c>
      <c r="J1184" s="9">
        <v>140</v>
      </c>
      <c r="K1184" s="5">
        <f t="shared" si="65"/>
        <v>1</v>
      </c>
      <c r="L1184" s="6">
        <f t="shared" si="66"/>
        <v>1</v>
      </c>
    </row>
    <row r="1185" spans="1:12" x14ac:dyDescent="0.25">
      <c r="A1185">
        <f t="shared" si="64"/>
        <v>8</v>
      </c>
      <c r="B1185">
        <f t="shared" si="67"/>
        <v>2023</v>
      </c>
      <c r="C1185" s="7">
        <v>45163</v>
      </c>
      <c r="D1185" s="9">
        <v>300</v>
      </c>
      <c r="E1185" s="7">
        <v>45163</v>
      </c>
      <c r="F1185" s="9">
        <v>141</v>
      </c>
      <c r="G1185" s="7">
        <v>45163</v>
      </c>
      <c r="H1185" s="9">
        <v>140</v>
      </c>
      <c r="I1185" s="7">
        <v>45163</v>
      </c>
      <c r="J1185" s="9">
        <v>140</v>
      </c>
      <c r="K1185" s="5">
        <f t="shared" si="65"/>
        <v>1</v>
      </c>
      <c r="L1185" s="6">
        <f t="shared" si="66"/>
        <v>1</v>
      </c>
    </row>
    <row r="1186" spans="1:12" x14ac:dyDescent="0.25">
      <c r="A1186">
        <f t="shared" si="64"/>
        <v>8</v>
      </c>
      <c r="B1186">
        <f t="shared" si="67"/>
        <v>2023</v>
      </c>
      <c r="C1186" s="7">
        <v>45166</v>
      </c>
      <c r="D1186" s="9">
        <v>300</v>
      </c>
      <c r="E1186" s="7">
        <v>45166</v>
      </c>
      <c r="F1186" s="9">
        <v>141</v>
      </c>
      <c r="G1186" s="7">
        <v>45166</v>
      </c>
      <c r="H1186" s="9">
        <v>140</v>
      </c>
      <c r="I1186" s="7">
        <v>45166</v>
      </c>
      <c r="J1186" s="9">
        <v>140</v>
      </c>
      <c r="K1186" s="5">
        <f t="shared" si="65"/>
        <v>1</v>
      </c>
      <c r="L1186" s="6">
        <f t="shared" si="66"/>
        <v>1</v>
      </c>
    </row>
    <row r="1187" spans="1:12" x14ac:dyDescent="0.25">
      <c r="A1187">
        <f t="shared" si="64"/>
        <v>8</v>
      </c>
      <c r="B1187">
        <f t="shared" si="67"/>
        <v>2023</v>
      </c>
      <c r="C1187" s="7">
        <v>45167</v>
      </c>
      <c r="D1187" s="9">
        <v>300</v>
      </c>
      <c r="E1187" s="7">
        <v>45167</v>
      </c>
      <c r="F1187" s="9">
        <v>142</v>
      </c>
      <c r="G1187" s="7">
        <v>45167</v>
      </c>
      <c r="H1187" s="9">
        <v>141</v>
      </c>
      <c r="I1187" s="7">
        <v>45167</v>
      </c>
      <c r="J1187" s="9">
        <v>141.5</v>
      </c>
      <c r="K1187" s="5">
        <f t="shared" si="65"/>
        <v>0.5</v>
      </c>
      <c r="L1187" s="6">
        <f t="shared" si="66"/>
        <v>1</v>
      </c>
    </row>
    <row r="1188" spans="1:12" x14ac:dyDescent="0.25">
      <c r="A1188">
        <f t="shared" si="64"/>
        <v>8</v>
      </c>
      <c r="B1188">
        <f t="shared" si="67"/>
        <v>2023</v>
      </c>
      <c r="C1188" s="7">
        <v>45168</v>
      </c>
      <c r="D1188" s="9">
        <v>300</v>
      </c>
      <c r="E1188" s="7">
        <v>45168</v>
      </c>
      <c r="F1188" s="9">
        <v>142</v>
      </c>
      <c r="G1188" s="7">
        <v>45168</v>
      </c>
      <c r="H1188" s="9">
        <v>141</v>
      </c>
      <c r="I1188" s="7">
        <v>45168</v>
      </c>
      <c r="J1188" s="9">
        <v>141.5</v>
      </c>
      <c r="K1188" s="5">
        <f t="shared" si="65"/>
        <v>0.5</v>
      </c>
      <c r="L1188" s="6">
        <f t="shared" si="66"/>
        <v>1</v>
      </c>
    </row>
    <row r="1189" spans="1:12" x14ac:dyDescent="0.25">
      <c r="A1189">
        <f t="shared" si="64"/>
        <v>8</v>
      </c>
      <c r="B1189">
        <f t="shared" si="67"/>
        <v>2023</v>
      </c>
      <c r="C1189" s="7">
        <v>45169</v>
      </c>
      <c r="D1189" s="9">
        <v>302</v>
      </c>
      <c r="E1189" s="7">
        <v>45169</v>
      </c>
      <c r="F1189" s="9">
        <v>141.25</v>
      </c>
      <c r="G1189" s="7">
        <v>45169</v>
      </c>
      <c r="H1189" s="9">
        <v>140.25</v>
      </c>
      <c r="I1189" s="7">
        <v>45169</v>
      </c>
      <c r="J1189" s="9">
        <v>140</v>
      </c>
      <c r="K1189" s="5">
        <f t="shared" si="65"/>
        <v>1.25</v>
      </c>
      <c r="L1189" s="6">
        <f t="shared" si="66"/>
        <v>1</v>
      </c>
    </row>
    <row r="1190" spans="1:12" x14ac:dyDescent="0.25">
      <c r="A1190">
        <f t="shared" si="64"/>
        <v>9</v>
      </c>
      <c r="B1190">
        <f t="shared" si="67"/>
        <v>2023</v>
      </c>
      <c r="C1190" s="7">
        <v>45170</v>
      </c>
      <c r="D1190" s="9">
        <v>302</v>
      </c>
      <c r="E1190" s="7">
        <v>45170</v>
      </c>
      <c r="F1190" s="9">
        <v>140.25</v>
      </c>
      <c r="G1190" s="7">
        <v>45170</v>
      </c>
      <c r="H1190" s="9">
        <v>139.25</v>
      </c>
      <c r="I1190" s="7">
        <v>45170</v>
      </c>
      <c r="J1190" s="9">
        <v>139.5</v>
      </c>
      <c r="K1190" s="5">
        <f t="shared" si="65"/>
        <v>0.75</v>
      </c>
      <c r="L1190" s="6">
        <f t="shared" si="66"/>
        <v>1</v>
      </c>
    </row>
    <row r="1191" spans="1:12" x14ac:dyDescent="0.25">
      <c r="A1191">
        <f t="shared" si="64"/>
        <v>9</v>
      </c>
      <c r="B1191">
        <f t="shared" si="67"/>
        <v>2023</v>
      </c>
      <c r="C1191" s="7">
        <v>45174</v>
      </c>
      <c r="D1191" s="9">
        <v>301</v>
      </c>
      <c r="E1191" s="7">
        <v>45174</v>
      </c>
      <c r="F1191" s="9">
        <v>136.125</v>
      </c>
      <c r="G1191" s="7">
        <v>45174</v>
      </c>
      <c r="H1191" s="9">
        <v>135.125</v>
      </c>
      <c r="I1191" s="7">
        <v>45174</v>
      </c>
      <c r="J1191" s="9">
        <v>132.5</v>
      </c>
      <c r="K1191" s="5">
        <f t="shared" si="65"/>
        <v>3.625</v>
      </c>
      <c r="L1191" s="6">
        <f t="shared" si="66"/>
        <v>1</v>
      </c>
    </row>
    <row r="1192" spans="1:12" x14ac:dyDescent="0.25">
      <c r="A1192">
        <f t="shared" si="64"/>
        <v>9</v>
      </c>
      <c r="B1192">
        <f t="shared" si="67"/>
        <v>2023</v>
      </c>
      <c r="C1192" s="7">
        <v>45175</v>
      </c>
      <c r="D1192" s="9">
        <v>301</v>
      </c>
      <c r="E1192" s="7">
        <v>45175</v>
      </c>
      <c r="F1192" s="9">
        <v>136.125</v>
      </c>
      <c r="G1192" s="7">
        <v>45175</v>
      </c>
      <c r="H1192" s="9">
        <v>135.125</v>
      </c>
      <c r="I1192" s="7">
        <v>45175</v>
      </c>
      <c r="J1192" s="9">
        <v>132.5</v>
      </c>
      <c r="K1192" s="5">
        <f t="shared" si="65"/>
        <v>3.625</v>
      </c>
      <c r="L1192" s="6">
        <f t="shared" si="66"/>
        <v>1</v>
      </c>
    </row>
    <row r="1193" spans="1:12" x14ac:dyDescent="0.25">
      <c r="A1193">
        <f t="shared" si="64"/>
        <v>9</v>
      </c>
      <c r="B1193">
        <f t="shared" si="67"/>
        <v>2023</v>
      </c>
      <c r="C1193" s="7">
        <v>45176</v>
      </c>
      <c r="D1193" s="9">
        <v>299.5</v>
      </c>
      <c r="E1193" s="7">
        <v>45176</v>
      </c>
      <c r="F1193" s="9">
        <v>132.25</v>
      </c>
      <c r="G1193" s="7">
        <v>45176</v>
      </c>
      <c r="H1193" s="9">
        <v>131.25</v>
      </c>
      <c r="I1193" s="7">
        <v>45176</v>
      </c>
      <c r="J1193" s="9">
        <v>131.25</v>
      </c>
      <c r="K1193" s="5">
        <f t="shared" si="65"/>
        <v>1</v>
      </c>
      <c r="L1193" s="6">
        <f t="shared" si="66"/>
        <v>1</v>
      </c>
    </row>
    <row r="1194" spans="1:12" x14ac:dyDescent="0.25">
      <c r="A1194">
        <f t="shared" si="64"/>
        <v>9</v>
      </c>
      <c r="B1194">
        <f t="shared" si="67"/>
        <v>2023</v>
      </c>
      <c r="C1194" s="7">
        <v>45177</v>
      </c>
      <c r="D1194" s="9">
        <v>299.5</v>
      </c>
      <c r="E1194" s="7">
        <v>45177</v>
      </c>
      <c r="F1194" s="9">
        <v>132.25</v>
      </c>
      <c r="G1194" s="7">
        <v>45177</v>
      </c>
      <c r="H1194" s="9">
        <v>131.25</v>
      </c>
      <c r="I1194" s="7">
        <v>45177</v>
      </c>
      <c r="J1194" s="9">
        <v>131.5</v>
      </c>
      <c r="K1194" s="5">
        <f t="shared" si="65"/>
        <v>0.75</v>
      </c>
      <c r="L1194" s="6">
        <f t="shared" si="66"/>
        <v>1</v>
      </c>
    </row>
    <row r="1195" spans="1:12" x14ac:dyDescent="0.25">
      <c r="A1195">
        <f t="shared" si="64"/>
        <v>9</v>
      </c>
      <c r="B1195">
        <f t="shared" si="67"/>
        <v>2023</v>
      </c>
      <c r="C1195" s="7">
        <v>45180</v>
      </c>
      <c r="D1195" s="9">
        <v>299.5</v>
      </c>
      <c r="E1195" s="7">
        <v>45180</v>
      </c>
      <c r="F1195" s="9">
        <v>133.25</v>
      </c>
      <c r="G1195" s="7">
        <v>45180</v>
      </c>
      <c r="H1195" s="9">
        <v>132.25</v>
      </c>
      <c r="I1195" s="7">
        <v>45180</v>
      </c>
      <c r="J1195" s="9">
        <v>132.75</v>
      </c>
      <c r="K1195" s="5">
        <f t="shared" si="65"/>
        <v>0.5</v>
      </c>
      <c r="L1195" s="6">
        <f t="shared" si="66"/>
        <v>1</v>
      </c>
    </row>
    <row r="1196" spans="1:12" x14ac:dyDescent="0.25">
      <c r="A1196">
        <f t="shared" si="64"/>
        <v>9</v>
      </c>
      <c r="B1196">
        <f t="shared" si="67"/>
        <v>2023</v>
      </c>
      <c r="C1196" s="7">
        <v>45181</v>
      </c>
      <c r="D1196" s="9">
        <v>299.5</v>
      </c>
      <c r="E1196" s="7">
        <v>45181</v>
      </c>
      <c r="F1196" s="9">
        <v>132.5</v>
      </c>
      <c r="G1196" s="7">
        <v>45181</v>
      </c>
      <c r="H1196" s="9">
        <v>131.5</v>
      </c>
      <c r="I1196" s="7">
        <v>45181</v>
      </c>
      <c r="J1196" s="9">
        <v>131.75</v>
      </c>
      <c r="K1196" s="5">
        <f t="shared" si="65"/>
        <v>0.75</v>
      </c>
      <c r="L1196" s="6">
        <f t="shared" si="66"/>
        <v>1</v>
      </c>
    </row>
    <row r="1197" spans="1:12" x14ac:dyDescent="0.25">
      <c r="A1197">
        <f t="shared" si="64"/>
        <v>9</v>
      </c>
      <c r="B1197">
        <f t="shared" si="67"/>
        <v>2023</v>
      </c>
      <c r="C1197" s="7">
        <v>45182</v>
      </c>
      <c r="D1197" s="9">
        <v>299.5</v>
      </c>
      <c r="E1197" s="7">
        <v>45182</v>
      </c>
      <c r="F1197" s="9">
        <v>130.25</v>
      </c>
      <c r="G1197" s="7">
        <v>45182</v>
      </c>
      <c r="H1197" s="9">
        <v>129.25</v>
      </c>
      <c r="I1197" s="7">
        <v>45182</v>
      </c>
      <c r="J1197" s="9">
        <v>129.25</v>
      </c>
      <c r="K1197" s="5">
        <f t="shared" si="65"/>
        <v>1</v>
      </c>
      <c r="L1197" s="6">
        <f t="shared" si="66"/>
        <v>1</v>
      </c>
    </row>
    <row r="1198" spans="1:12" x14ac:dyDescent="0.25">
      <c r="A1198">
        <f t="shared" si="64"/>
        <v>9</v>
      </c>
      <c r="B1198">
        <f t="shared" si="67"/>
        <v>2023</v>
      </c>
      <c r="C1198" s="7">
        <v>45183</v>
      </c>
      <c r="D1198" s="9">
        <v>297</v>
      </c>
      <c r="E1198" s="7">
        <v>45183</v>
      </c>
      <c r="F1198" s="9">
        <v>127</v>
      </c>
      <c r="G1198" s="7">
        <v>45183</v>
      </c>
      <c r="H1198" s="9">
        <v>126</v>
      </c>
      <c r="I1198" s="7">
        <v>45183</v>
      </c>
      <c r="J1198" s="9">
        <v>126.5</v>
      </c>
      <c r="K1198" s="5">
        <f t="shared" si="65"/>
        <v>0.5</v>
      </c>
      <c r="L1198" s="6">
        <f t="shared" si="66"/>
        <v>1</v>
      </c>
    </row>
    <row r="1199" spans="1:12" x14ac:dyDescent="0.25">
      <c r="A1199">
        <f t="shared" si="64"/>
        <v>9</v>
      </c>
      <c r="B1199">
        <f t="shared" si="67"/>
        <v>2023</v>
      </c>
      <c r="C1199" s="7">
        <v>45184</v>
      </c>
      <c r="D1199" s="9">
        <v>297</v>
      </c>
      <c r="E1199" s="7">
        <v>45184</v>
      </c>
      <c r="F1199" s="9">
        <v>126</v>
      </c>
      <c r="G1199" s="7">
        <v>45184</v>
      </c>
      <c r="H1199" s="9">
        <v>125</v>
      </c>
      <c r="I1199" s="7">
        <v>45184</v>
      </c>
      <c r="J1199" s="9">
        <v>125.5</v>
      </c>
      <c r="K1199" s="5">
        <f t="shared" si="65"/>
        <v>0.5</v>
      </c>
      <c r="L1199" s="6">
        <f t="shared" si="66"/>
        <v>1</v>
      </c>
    </row>
    <row r="1200" spans="1:12" x14ac:dyDescent="0.25">
      <c r="A1200">
        <f t="shared" si="64"/>
        <v>9</v>
      </c>
      <c r="B1200">
        <f t="shared" si="67"/>
        <v>2023</v>
      </c>
      <c r="C1200" s="7">
        <v>45187</v>
      </c>
      <c r="D1200" s="9">
        <v>297</v>
      </c>
      <c r="E1200" s="7">
        <v>45187</v>
      </c>
      <c r="F1200" s="9">
        <v>121</v>
      </c>
      <c r="G1200" s="7">
        <v>45187</v>
      </c>
      <c r="H1200" s="9">
        <v>120</v>
      </c>
      <c r="I1200" s="7">
        <v>45187</v>
      </c>
      <c r="J1200" s="9">
        <v>120.5</v>
      </c>
      <c r="K1200" s="5">
        <f t="shared" si="65"/>
        <v>0.5</v>
      </c>
      <c r="L1200" s="6">
        <f t="shared" si="66"/>
        <v>1</v>
      </c>
    </row>
    <row r="1201" spans="1:12" x14ac:dyDescent="0.25">
      <c r="A1201">
        <f t="shared" si="64"/>
        <v>9</v>
      </c>
      <c r="B1201">
        <f t="shared" si="67"/>
        <v>2023</v>
      </c>
      <c r="C1201" s="7">
        <v>45188</v>
      </c>
      <c r="D1201" s="9">
        <v>293</v>
      </c>
      <c r="E1201" s="7">
        <v>45188</v>
      </c>
      <c r="F1201" s="9">
        <v>115</v>
      </c>
      <c r="G1201" s="7">
        <v>45188</v>
      </c>
      <c r="H1201" s="9">
        <v>114</v>
      </c>
      <c r="I1201" s="7">
        <v>45188</v>
      </c>
      <c r="J1201" s="9">
        <v>114.5</v>
      </c>
      <c r="K1201" s="5">
        <f t="shared" si="65"/>
        <v>0.5</v>
      </c>
      <c r="L1201" s="6">
        <f t="shared" si="66"/>
        <v>1</v>
      </c>
    </row>
    <row r="1202" spans="1:12" x14ac:dyDescent="0.25">
      <c r="A1202">
        <f t="shared" si="64"/>
        <v>9</v>
      </c>
      <c r="B1202">
        <f t="shared" si="67"/>
        <v>2023</v>
      </c>
      <c r="C1202" s="7">
        <v>45189</v>
      </c>
      <c r="D1202" s="9">
        <v>292</v>
      </c>
      <c r="E1202" s="7">
        <v>45189</v>
      </c>
      <c r="F1202" s="9">
        <v>113</v>
      </c>
      <c r="G1202" s="7">
        <v>45189</v>
      </c>
      <c r="H1202" s="9">
        <v>112</v>
      </c>
      <c r="I1202" s="7">
        <v>45189</v>
      </c>
      <c r="J1202" s="9">
        <v>112</v>
      </c>
      <c r="K1202" s="5">
        <f t="shared" si="65"/>
        <v>1</v>
      </c>
      <c r="L1202" s="6">
        <f t="shared" si="66"/>
        <v>1</v>
      </c>
    </row>
    <row r="1203" spans="1:12" x14ac:dyDescent="0.25">
      <c r="A1203">
        <f t="shared" si="64"/>
        <v>9</v>
      </c>
      <c r="B1203">
        <f t="shared" si="67"/>
        <v>2023</v>
      </c>
      <c r="C1203" s="7">
        <v>45190</v>
      </c>
      <c r="D1203" s="9">
        <v>287</v>
      </c>
      <c r="E1203" s="7">
        <v>45190</v>
      </c>
      <c r="F1203" s="9">
        <v>106</v>
      </c>
      <c r="G1203" s="7">
        <v>45190</v>
      </c>
      <c r="H1203" s="9">
        <v>105</v>
      </c>
      <c r="I1203" s="7">
        <v>45190</v>
      </c>
      <c r="J1203" s="9">
        <v>105</v>
      </c>
      <c r="K1203" s="5">
        <f t="shared" si="65"/>
        <v>1</v>
      </c>
      <c r="L1203" s="6">
        <f t="shared" si="66"/>
        <v>1</v>
      </c>
    </row>
    <row r="1204" spans="1:12" x14ac:dyDescent="0.25">
      <c r="A1204">
        <f t="shared" si="64"/>
        <v>9</v>
      </c>
      <c r="B1204">
        <f t="shared" si="67"/>
        <v>2023</v>
      </c>
      <c r="C1204" s="7">
        <v>45191</v>
      </c>
      <c r="D1204" s="9">
        <v>288.5</v>
      </c>
      <c r="E1204" s="7">
        <v>45191</v>
      </c>
      <c r="F1204" s="9">
        <v>108.5</v>
      </c>
      <c r="G1204" s="7">
        <v>45191</v>
      </c>
      <c r="H1204" s="9">
        <v>107.5</v>
      </c>
      <c r="I1204" s="7">
        <v>45191</v>
      </c>
      <c r="J1204" s="9">
        <v>108</v>
      </c>
      <c r="K1204" s="5">
        <f t="shared" si="65"/>
        <v>0.5</v>
      </c>
      <c r="L1204" s="6">
        <f t="shared" si="66"/>
        <v>1</v>
      </c>
    </row>
    <row r="1205" spans="1:12" x14ac:dyDescent="0.25">
      <c r="A1205">
        <f t="shared" si="64"/>
        <v>9</v>
      </c>
      <c r="B1205">
        <f t="shared" si="67"/>
        <v>2023</v>
      </c>
      <c r="C1205" s="7">
        <v>45194</v>
      </c>
      <c r="D1205" s="9">
        <v>287.5</v>
      </c>
      <c r="E1205" s="7">
        <v>45194</v>
      </c>
      <c r="F1205" s="9">
        <v>100.5</v>
      </c>
      <c r="G1205" s="7">
        <v>45194</v>
      </c>
      <c r="H1205" s="9">
        <v>99.5</v>
      </c>
      <c r="I1205" s="7">
        <v>45194</v>
      </c>
      <c r="J1205" s="9">
        <v>99.5</v>
      </c>
      <c r="K1205" s="5">
        <f t="shared" si="65"/>
        <v>1</v>
      </c>
      <c r="L1205" s="6">
        <f t="shared" si="66"/>
        <v>1</v>
      </c>
    </row>
    <row r="1206" spans="1:12" x14ac:dyDescent="0.25">
      <c r="A1206">
        <f t="shared" si="64"/>
        <v>9</v>
      </c>
      <c r="B1206">
        <f t="shared" si="67"/>
        <v>2023</v>
      </c>
      <c r="C1206" s="7">
        <v>45195</v>
      </c>
      <c r="D1206" s="9">
        <v>292</v>
      </c>
      <c r="E1206" s="7">
        <v>45195</v>
      </c>
      <c r="F1206" s="9">
        <v>99.5</v>
      </c>
      <c r="G1206" s="7">
        <v>45195</v>
      </c>
      <c r="H1206" s="9">
        <v>98.5</v>
      </c>
      <c r="I1206" s="7">
        <v>45195</v>
      </c>
      <c r="J1206" s="9">
        <v>99</v>
      </c>
      <c r="K1206" s="5">
        <f t="shared" si="65"/>
        <v>0.5</v>
      </c>
      <c r="L1206" s="6">
        <f t="shared" si="66"/>
        <v>1</v>
      </c>
    </row>
    <row r="1207" spans="1:12" x14ac:dyDescent="0.25">
      <c r="A1207">
        <f t="shared" si="64"/>
        <v>9</v>
      </c>
      <c r="B1207">
        <f t="shared" si="67"/>
        <v>2023</v>
      </c>
      <c r="C1207" s="7">
        <v>45196</v>
      </c>
      <c r="D1207" s="9">
        <v>292</v>
      </c>
      <c r="E1207" s="7">
        <v>45196</v>
      </c>
      <c r="F1207" s="9">
        <v>99.5</v>
      </c>
      <c r="G1207" s="7">
        <v>45196</v>
      </c>
      <c r="H1207" s="9">
        <v>98.5</v>
      </c>
      <c r="I1207" s="7">
        <v>45196</v>
      </c>
      <c r="J1207" s="9">
        <v>99</v>
      </c>
      <c r="K1207" s="5">
        <f t="shared" si="65"/>
        <v>0.5</v>
      </c>
      <c r="L1207" s="6">
        <f t="shared" si="66"/>
        <v>1</v>
      </c>
    </row>
    <row r="1208" spans="1:12" x14ac:dyDescent="0.25">
      <c r="A1208">
        <f t="shared" si="64"/>
        <v>9</v>
      </c>
      <c r="B1208">
        <f t="shared" si="67"/>
        <v>2023</v>
      </c>
      <c r="C1208" s="7">
        <v>45197</v>
      </c>
      <c r="D1208" s="9">
        <v>292</v>
      </c>
      <c r="E1208" s="7">
        <v>45197</v>
      </c>
      <c r="F1208" s="9">
        <v>99.5</v>
      </c>
      <c r="G1208" s="7">
        <v>45197</v>
      </c>
      <c r="H1208" s="9">
        <v>98.5</v>
      </c>
      <c r="I1208" s="7">
        <v>45197</v>
      </c>
      <c r="J1208" s="9">
        <v>99</v>
      </c>
      <c r="K1208" s="5">
        <f t="shared" si="65"/>
        <v>0.5</v>
      </c>
      <c r="L1208" s="6">
        <f t="shared" si="66"/>
        <v>1</v>
      </c>
    </row>
    <row r="1209" spans="1:12" x14ac:dyDescent="0.25">
      <c r="A1209">
        <f t="shared" si="64"/>
        <v>9</v>
      </c>
      <c r="B1209">
        <f t="shared" si="67"/>
        <v>2023</v>
      </c>
      <c r="C1209" s="7">
        <v>45198</v>
      </c>
      <c r="D1209" s="9">
        <v>292</v>
      </c>
      <c r="E1209" s="7">
        <v>45198</v>
      </c>
      <c r="F1209" s="9">
        <v>99.5</v>
      </c>
      <c r="G1209" s="7">
        <v>45198</v>
      </c>
      <c r="H1209" s="9">
        <v>98.5</v>
      </c>
      <c r="I1209" s="7">
        <v>45198</v>
      </c>
      <c r="J1209" s="9">
        <v>99</v>
      </c>
      <c r="K1209" s="5">
        <f t="shared" si="65"/>
        <v>0.5</v>
      </c>
      <c r="L1209" s="6">
        <f t="shared" si="66"/>
        <v>1</v>
      </c>
    </row>
    <row r="1210" spans="1:12" x14ac:dyDescent="0.25">
      <c r="A1210">
        <f t="shared" si="64"/>
        <v>10</v>
      </c>
      <c r="B1210">
        <f t="shared" si="67"/>
        <v>2023</v>
      </c>
      <c r="C1210" s="7">
        <v>45201</v>
      </c>
      <c r="D1210" s="9">
        <v>291.5</v>
      </c>
      <c r="E1210" s="7">
        <v>45201</v>
      </c>
      <c r="F1210" s="9">
        <v>96</v>
      </c>
      <c r="G1210" s="7">
        <v>45201</v>
      </c>
      <c r="H1210" s="9">
        <v>95</v>
      </c>
      <c r="I1210" s="7">
        <v>45201</v>
      </c>
      <c r="J1210" s="9">
        <v>95.5</v>
      </c>
      <c r="K1210" s="5">
        <f t="shared" si="65"/>
        <v>0.5</v>
      </c>
      <c r="L1210" s="6">
        <f t="shared" si="66"/>
        <v>1</v>
      </c>
    </row>
    <row r="1211" spans="1:12" x14ac:dyDescent="0.25">
      <c r="A1211">
        <f t="shared" si="64"/>
        <v>10</v>
      </c>
      <c r="B1211">
        <f t="shared" si="67"/>
        <v>2023</v>
      </c>
      <c r="C1211" s="7">
        <v>45202</v>
      </c>
      <c r="D1211" s="9">
        <v>305.5</v>
      </c>
      <c r="E1211" s="7">
        <v>45202</v>
      </c>
      <c r="F1211" s="9">
        <v>97</v>
      </c>
      <c r="G1211" s="7">
        <v>45202</v>
      </c>
      <c r="H1211" s="9">
        <v>96</v>
      </c>
      <c r="I1211" s="7">
        <v>45202</v>
      </c>
      <c r="J1211" s="9">
        <v>96.5</v>
      </c>
      <c r="K1211" s="5">
        <f t="shared" si="65"/>
        <v>0.5</v>
      </c>
      <c r="L1211" s="6">
        <f t="shared" si="66"/>
        <v>1</v>
      </c>
    </row>
    <row r="1212" spans="1:12" x14ac:dyDescent="0.25">
      <c r="A1212">
        <f t="shared" si="64"/>
        <v>10</v>
      </c>
      <c r="B1212">
        <f t="shared" si="67"/>
        <v>2023</v>
      </c>
      <c r="C1212" s="7">
        <v>45203</v>
      </c>
      <c r="D1212" s="9">
        <v>305.5</v>
      </c>
      <c r="E1212" s="7">
        <v>45203</v>
      </c>
      <c r="F1212" s="9">
        <v>98.5</v>
      </c>
      <c r="G1212" s="7">
        <v>45203</v>
      </c>
      <c r="H1212" s="9">
        <v>97.5</v>
      </c>
      <c r="I1212" s="7">
        <v>45203</v>
      </c>
      <c r="J1212" s="9">
        <v>97.5</v>
      </c>
      <c r="K1212" s="5">
        <f t="shared" si="65"/>
        <v>1</v>
      </c>
      <c r="L1212" s="6">
        <f t="shared" si="66"/>
        <v>1</v>
      </c>
    </row>
    <row r="1213" spans="1:12" x14ac:dyDescent="0.25">
      <c r="A1213">
        <f t="shared" si="64"/>
        <v>10</v>
      </c>
      <c r="B1213">
        <f t="shared" si="67"/>
        <v>2023</v>
      </c>
      <c r="C1213" s="7">
        <v>45204</v>
      </c>
      <c r="D1213" s="9">
        <v>311</v>
      </c>
      <c r="E1213" s="7">
        <v>45204</v>
      </c>
      <c r="F1213" s="9">
        <v>94.5</v>
      </c>
      <c r="G1213" s="7">
        <v>45204</v>
      </c>
      <c r="H1213" s="9">
        <v>93.5</v>
      </c>
      <c r="I1213" s="7">
        <v>45204</v>
      </c>
      <c r="J1213" s="9">
        <v>94</v>
      </c>
      <c r="K1213" s="5">
        <f t="shared" si="65"/>
        <v>0.5</v>
      </c>
      <c r="L1213" s="6">
        <f t="shared" si="66"/>
        <v>1</v>
      </c>
    </row>
    <row r="1214" spans="1:12" x14ac:dyDescent="0.25">
      <c r="A1214">
        <f t="shared" si="64"/>
        <v>10</v>
      </c>
      <c r="B1214">
        <f t="shared" si="67"/>
        <v>2023</v>
      </c>
      <c r="C1214" s="7">
        <v>45205</v>
      </c>
      <c r="D1214" s="9">
        <v>311</v>
      </c>
      <c r="E1214" s="7">
        <v>45205</v>
      </c>
      <c r="F1214" s="9">
        <v>91</v>
      </c>
      <c r="G1214" s="7">
        <v>45205</v>
      </c>
      <c r="H1214" s="9">
        <v>90</v>
      </c>
      <c r="I1214" s="7">
        <v>45205</v>
      </c>
      <c r="J1214" s="9">
        <v>90.5</v>
      </c>
      <c r="K1214" s="5">
        <f t="shared" si="65"/>
        <v>0.5</v>
      </c>
      <c r="L1214" s="6">
        <f t="shared" si="66"/>
        <v>1</v>
      </c>
    </row>
    <row r="1215" spans="1:12" x14ac:dyDescent="0.25">
      <c r="A1215">
        <f t="shared" si="64"/>
        <v>10</v>
      </c>
      <c r="B1215">
        <f t="shared" si="67"/>
        <v>2023</v>
      </c>
      <c r="C1215" s="7">
        <v>45208</v>
      </c>
      <c r="D1215" s="9">
        <v>321.5</v>
      </c>
      <c r="E1215" s="7">
        <v>45208</v>
      </c>
      <c r="F1215" s="9">
        <v>83.75</v>
      </c>
      <c r="G1215" s="7">
        <v>45208</v>
      </c>
      <c r="H1215" s="9">
        <v>82.75</v>
      </c>
      <c r="I1215" s="7">
        <v>45208</v>
      </c>
      <c r="J1215" s="9">
        <v>82.5</v>
      </c>
      <c r="K1215" s="5">
        <f t="shared" si="65"/>
        <v>1.25</v>
      </c>
      <c r="L1215" s="6">
        <f t="shared" si="66"/>
        <v>1</v>
      </c>
    </row>
    <row r="1216" spans="1:12" x14ac:dyDescent="0.25">
      <c r="A1216">
        <f t="shared" si="64"/>
        <v>10</v>
      </c>
      <c r="B1216">
        <f t="shared" si="67"/>
        <v>2023</v>
      </c>
      <c r="C1216" s="7">
        <v>45209</v>
      </c>
      <c r="D1216" s="9">
        <v>332</v>
      </c>
      <c r="E1216" s="7">
        <v>45209</v>
      </c>
      <c r="F1216" s="9">
        <v>79.5</v>
      </c>
      <c r="G1216" s="7">
        <v>45209</v>
      </c>
      <c r="H1216" s="9">
        <v>78.5</v>
      </c>
      <c r="I1216" s="7">
        <v>45209</v>
      </c>
      <c r="J1216" s="9">
        <v>79.25</v>
      </c>
      <c r="K1216" s="5">
        <f t="shared" si="65"/>
        <v>0.25</v>
      </c>
      <c r="L1216" s="6">
        <f t="shared" si="66"/>
        <v>1</v>
      </c>
    </row>
    <row r="1217" spans="1:12" x14ac:dyDescent="0.25">
      <c r="A1217">
        <f t="shared" si="64"/>
        <v>10</v>
      </c>
      <c r="B1217">
        <f t="shared" si="67"/>
        <v>2023</v>
      </c>
      <c r="C1217" s="7">
        <v>45210</v>
      </c>
      <c r="D1217" s="9">
        <v>333.5</v>
      </c>
      <c r="E1217" s="7">
        <v>45210</v>
      </c>
      <c r="F1217" s="9">
        <v>81.5</v>
      </c>
      <c r="G1217" s="7">
        <v>45210</v>
      </c>
      <c r="H1217" s="9">
        <v>80.5</v>
      </c>
      <c r="I1217" s="7">
        <v>45210</v>
      </c>
      <c r="J1217" s="9">
        <v>81</v>
      </c>
      <c r="K1217" s="5">
        <f t="shared" si="65"/>
        <v>0.5</v>
      </c>
      <c r="L1217" s="6">
        <f t="shared" si="66"/>
        <v>1</v>
      </c>
    </row>
    <row r="1218" spans="1:12" x14ac:dyDescent="0.25">
      <c r="A1218">
        <f t="shared" si="64"/>
        <v>10</v>
      </c>
      <c r="B1218">
        <f t="shared" si="67"/>
        <v>2023</v>
      </c>
      <c r="C1218" s="7">
        <v>45211</v>
      </c>
      <c r="D1218" s="9">
        <v>335.5</v>
      </c>
      <c r="E1218" s="7">
        <v>45211</v>
      </c>
      <c r="F1218" s="9">
        <v>84.5</v>
      </c>
      <c r="G1218" s="7">
        <v>45211</v>
      </c>
      <c r="H1218" s="9">
        <v>83.5</v>
      </c>
      <c r="I1218" s="7">
        <v>45211</v>
      </c>
      <c r="J1218" s="9">
        <v>84</v>
      </c>
      <c r="K1218" s="5">
        <f t="shared" si="65"/>
        <v>0.5</v>
      </c>
      <c r="L1218" s="6">
        <f t="shared" si="66"/>
        <v>1</v>
      </c>
    </row>
    <row r="1219" spans="1:12" x14ac:dyDescent="0.25">
      <c r="A1219">
        <f t="shared" si="64"/>
        <v>10</v>
      </c>
      <c r="B1219">
        <f t="shared" si="67"/>
        <v>2023</v>
      </c>
      <c r="C1219" s="7">
        <v>45212</v>
      </c>
      <c r="D1219" s="9">
        <v>335.5</v>
      </c>
      <c r="E1219" s="7">
        <v>45212</v>
      </c>
      <c r="F1219" s="9">
        <v>86</v>
      </c>
      <c r="G1219" s="7">
        <v>45212</v>
      </c>
      <c r="H1219" s="9">
        <v>85</v>
      </c>
      <c r="I1219" s="7">
        <v>45212</v>
      </c>
      <c r="J1219" s="9">
        <v>85.25</v>
      </c>
      <c r="K1219" s="5">
        <f t="shared" si="65"/>
        <v>0.75</v>
      </c>
      <c r="L1219" s="6">
        <f t="shared" si="66"/>
        <v>1</v>
      </c>
    </row>
    <row r="1220" spans="1:12" x14ac:dyDescent="0.25">
      <c r="A1220">
        <f t="shared" si="64"/>
        <v>10</v>
      </c>
      <c r="B1220">
        <f t="shared" si="67"/>
        <v>2023</v>
      </c>
      <c r="C1220" s="7">
        <v>45215</v>
      </c>
      <c r="D1220" s="9">
        <v>338</v>
      </c>
      <c r="E1220" s="7">
        <v>45215</v>
      </c>
      <c r="F1220" s="9">
        <v>90</v>
      </c>
      <c r="G1220" s="7">
        <v>45215</v>
      </c>
      <c r="H1220" s="9">
        <v>89</v>
      </c>
      <c r="I1220" s="7">
        <v>45215</v>
      </c>
      <c r="J1220" s="9">
        <v>89.5</v>
      </c>
      <c r="K1220" s="5">
        <f t="shared" si="65"/>
        <v>0.5</v>
      </c>
      <c r="L1220" s="6">
        <f t="shared" si="66"/>
        <v>1</v>
      </c>
    </row>
    <row r="1221" spans="1:12" x14ac:dyDescent="0.25">
      <c r="A1221">
        <f t="shared" si="64"/>
        <v>10</v>
      </c>
      <c r="B1221">
        <f t="shared" si="67"/>
        <v>2023</v>
      </c>
      <c r="C1221" s="7">
        <v>45216</v>
      </c>
      <c r="D1221" s="9">
        <v>338</v>
      </c>
      <c r="E1221" s="7">
        <v>45216</v>
      </c>
      <c r="F1221" s="9">
        <v>90.75</v>
      </c>
      <c r="G1221" s="7">
        <v>45216</v>
      </c>
      <c r="H1221" s="9">
        <v>90</v>
      </c>
      <c r="I1221" s="7">
        <v>45216</v>
      </c>
      <c r="J1221" s="9">
        <v>90.5</v>
      </c>
      <c r="K1221" s="5">
        <f t="shared" si="65"/>
        <v>0.25</v>
      </c>
      <c r="L1221" s="6">
        <f t="shared" si="66"/>
        <v>0.75</v>
      </c>
    </row>
    <row r="1222" spans="1:12" x14ac:dyDescent="0.25">
      <c r="A1222">
        <f t="shared" si="64"/>
        <v>10</v>
      </c>
      <c r="B1222">
        <f t="shared" si="67"/>
        <v>2023</v>
      </c>
      <c r="C1222" s="7">
        <v>45217</v>
      </c>
      <c r="D1222" s="9">
        <v>334</v>
      </c>
      <c r="E1222" s="7">
        <v>45217</v>
      </c>
      <c r="F1222" s="9">
        <v>94</v>
      </c>
      <c r="G1222" s="7">
        <v>45217</v>
      </c>
      <c r="H1222" s="9">
        <v>93.25</v>
      </c>
      <c r="I1222" s="7">
        <v>45217</v>
      </c>
      <c r="J1222" s="9">
        <v>93.75</v>
      </c>
      <c r="K1222" s="5">
        <f t="shared" si="65"/>
        <v>0.25</v>
      </c>
      <c r="L1222" s="6">
        <f t="shared" si="66"/>
        <v>0.75</v>
      </c>
    </row>
    <row r="1223" spans="1:12" x14ac:dyDescent="0.25">
      <c r="A1223">
        <f t="shared" si="64"/>
        <v>10</v>
      </c>
      <c r="B1223">
        <f t="shared" si="67"/>
        <v>2023</v>
      </c>
      <c r="C1223" s="7">
        <v>45218</v>
      </c>
      <c r="D1223" s="9">
        <v>334</v>
      </c>
      <c r="E1223" s="7">
        <v>45218</v>
      </c>
      <c r="F1223" s="9">
        <v>89.5</v>
      </c>
      <c r="G1223" s="7">
        <v>45218</v>
      </c>
      <c r="H1223" s="9">
        <v>88.75</v>
      </c>
      <c r="I1223" s="7">
        <v>45218</v>
      </c>
      <c r="J1223" s="9">
        <v>89.25</v>
      </c>
      <c r="K1223" s="5">
        <f t="shared" si="65"/>
        <v>0.25</v>
      </c>
      <c r="L1223" s="6">
        <f t="shared" si="66"/>
        <v>0.75</v>
      </c>
    </row>
    <row r="1224" spans="1:12" x14ac:dyDescent="0.25">
      <c r="A1224">
        <f t="shared" si="64"/>
        <v>10</v>
      </c>
      <c r="B1224">
        <f t="shared" si="67"/>
        <v>2023</v>
      </c>
      <c r="C1224" s="7">
        <v>45219</v>
      </c>
      <c r="D1224" s="9">
        <v>353</v>
      </c>
      <c r="E1224" s="7">
        <v>45219</v>
      </c>
      <c r="F1224" s="9">
        <v>89</v>
      </c>
      <c r="G1224" s="7">
        <v>45219</v>
      </c>
      <c r="H1224" s="9">
        <v>88.25</v>
      </c>
      <c r="I1224" s="7">
        <v>45219</v>
      </c>
      <c r="J1224" s="9">
        <v>88.5</v>
      </c>
      <c r="K1224" s="5">
        <f t="shared" si="65"/>
        <v>0.5</v>
      </c>
      <c r="L1224" s="6">
        <f t="shared" si="66"/>
        <v>0.75</v>
      </c>
    </row>
    <row r="1225" spans="1:12" x14ac:dyDescent="0.25">
      <c r="A1225">
        <f t="shared" si="64"/>
        <v>10</v>
      </c>
      <c r="B1225">
        <f t="shared" si="67"/>
        <v>2023</v>
      </c>
      <c r="C1225" s="7">
        <v>45222</v>
      </c>
      <c r="D1225" s="9">
        <v>353</v>
      </c>
      <c r="E1225" s="7">
        <v>45222</v>
      </c>
      <c r="F1225" s="9">
        <v>88.5</v>
      </c>
      <c r="G1225" s="7">
        <v>45222</v>
      </c>
      <c r="H1225" s="9">
        <v>87.75</v>
      </c>
      <c r="I1225" s="7">
        <v>45222</v>
      </c>
      <c r="J1225" s="9">
        <v>88</v>
      </c>
      <c r="K1225" s="5">
        <f t="shared" si="65"/>
        <v>0.5</v>
      </c>
      <c r="L1225" s="6">
        <f t="shared" si="66"/>
        <v>0.75</v>
      </c>
    </row>
    <row r="1226" spans="1:12" x14ac:dyDescent="0.25">
      <c r="A1226">
        <f t="shared" si="64"/>
        <v>10</v>
      </c>
      <c r="B1226">
        <f t="shared" si="67"/>
        <v>2023</v>
      </c>
      <c r="C1226" s="7">
        <v>45223</v>
      </c>
      <c r="D1226" s="9">
        <v>350.5</v>
      </c>
      <c r="E1226" s="7">
        <v>45223</v>
      </c>
      <c r="F1226" s="9">
        <v>86.5</v>
      </c>
      <c r="G1226" s="7">
        <v>45223</v>
      </c>
      <c r="H1226" s="9">
        <v>85.75</v>
      </c>
      <c r="I1226" s="7">
        <v>45223</v>
      </c>
      <c r="J1226" s="9">
        <v>86</v>
      </c>
      <c r="K1226" s="5">
        <f t="shared" si="65"/>
        <v>0.5</v>
      </c>
      <c r="L1226" s="6">
        <f t="shared" si="66"/>
        <v>0.75</v>
      </c>
    </row>
    <row r="1227" spans="1:12" x14ac:dyDescent="0.25">
      <c r="A1227">
        <f t="shared" si="64"/>
        <v>10</v>
      </c>
      <c r="B1227">
        <f t="shared" si="67"/>
        <v>2023</v>
      </c>
      <c r="C1227" s="7">
        <v>45224</v>
      </c>
      <c r="D1227" s="9">
        <v>350.5</v>
      </c>
      <c r="E1227" s="7">
        <v>45224</v>
      </c>
      <c r="F1227" s="9">
        <v>87.5</v>
      </c>
      <c r="G1227" s="7">
        <v>45224</v>
      </c>
      <c r="H1227" s="9">
        <v>86.75</v>
      </c>
      <c r="I1227" s="7">
        <v>45224</v>
      </c>
      <c r="J1227" s="9">
        <v>87.25</v>
      </c>
      <c r="K1227" s="5">
        <f t="shared" si="65"/>
        <v>0.25</v>
      </c>
      <c r="L1227" s="6">
        <f t="shared" si="66"/>
        <v>0.75</v>
      </c>
    </row>
    <row r="1228" spans="1:12" x14ac:dyDescent="0.25">
      <c r="A1228">
        <f t="shared" si="64"/>
        <v>10</v>
      </c>
      <c r="B1228">
        <f t="shared" si="67"/>
        <v>2023</v>
      </c>
      <c r="C1228" s="7">
        <v>45225</v>
      </c>
      <c r="D1228" s="9">
        <v>350.5</v>
      </c>
      <c r="E1228" s="7">
        <v>45225</v>
      </c>
      <c r="F1228" s="9">
        <v>86.5</v>
      </c>
      <c r="G1228" s="7">
        <v>45225</v>
      </c>
      <c r="H1228" s="9">
        <v>86</v>
      </c>
      <c r="I1228" s="7">
        <v>45225</v>
      </c>
      <c r="J1228" s="9">
        <v>86</v>
      </c>
      <c r="K1228" s="5">
        <f t="shared" si="65"/>
        <v>0.5</v>
      </c>
      <c r="L1228" s="6">
        <f t="shared" si="66"/>
        <v>0.5</v>
      </c>
    </row>
    <row r="1229" spans="1:12" x14ac:dyDescent="0.25">
      <c r="A1229">
        <f t="shared" si="64"/>
        <v>10</v>
      </c>
      <c r="B1229">
        <f t="shared" si="67"/>
        <v>2023</v>
      </c>
      <c r="C1229" s="7">
        <v>45226</v>
      </c>
      <c r="D1229" s="9">
        <v>346.75</v>
      </c>
      <c r="E1229" s="7">
        <v>45226</v>
      </c>
      <c r="F1229" s="9">
        <v>86.75</v>
      </c>
      <c r="G1229" s="7">
        <v>45226</v>
      </c>
      <c r="H1229" s="9">
        <v>86.25</v>
      </c>
      <c r="I1229" s="7">
        <v>45226</v>
      </c>
      <c r="J1229" s="9">
        <v>86.25</v>
      </c>
      <c r="K1229" s="5">
        <f t="shared" si="65"/>
        <v>0.5</v>
      </c>
      <c r="L1229" s="6">
        <f t="shared" si="66"/>
        <v>0.5</v>
      </c>
    </row>
    <row r="1230" spans="1:12" x14ac:dyDescent="0.25">
      <c r="A1230">
        <f t="shared" ref="A1230:A1271" si="68">MONTH(E1230)</f>
        <v>10</v>
      </c>
      <c r="B1230">
        <f t="shared" si="67"/>
        <v>2023</v>
      </c>
      <c r="C1230" s="7">
        <v>45229</v>
      </c>
      <c r="D1230" s="9">
        <v>345.5</v>
      </c>
      <c r="E1230" s="7">
        <v>45229</v>
      </c>
      <c r="F1230" s="9">
        <v>85.5</v>
      </c>
      <c r="G1230" s="7">
        <v>45229</v>
      </c>
      <c r="H1230" s="9">
        <v>85</v>
      </c>
      <c r="I1230" s="7">
        <v>45229</v>
      </c>
      <c r="J1230" s="9">
        <v>85</v>
      </c>
      <c r="K1230" s="5">
        <f t="shared" ref="K1230:K1271" si="69">F1230-J1230</f>
        <v>0.5</v>
      </c>
      <c r="L1230" s="6">
        <f t="shared" ref="L1230:L1271" si="70">F1230-H1230</f>
        <v>0.5</v>
      </c>
    </row>
    <row r="1231" spans="1:12" x14ac:dyDescent="0.25">
      <c r="A1231">
        <f t="shared" si="68"/>
        <v>10</v>
      </c>
      <c r="B1231">
        <f t="shared" ref="B1231:B1272" si="71">YEAR(E1231)</f>
        <v>2023</v>
      </c>
      <c r="C1231" s="7">
        <v>45230</v>
      </c>
      <c r="D1231" s="9">
        <v>348</v>
      </c>
      <c r="E1231" s="7">
        <v>45230</v>
      </c>
      <c r="F1231" s="9">
        <v>82.5</v>
      </c>
      <c r="G1231" s="7">
        <v>45230</v>
      </c>
      <c r="H1231" s="9">
        <v>82</v>
      </c>
      <c r="I1231" s="7">
        <v>45230</v>
      </c>
      <c r="J1231" s="9">
        <v>81.5</v>
      </c>
      <c r="K1231" s="5">
        <f t="shared" si="69"/>
        <v>1</v>
      </c>
      <c r="L1231" s="6">
        <f t="shared" si="70"/>
        <v>0.5</v>
      </c>
    </row>
    <row r="1232" spans="1:12" x14ac:dyDescent="0.25">
      <c r="A1232">
        <f t="shared" si="68"/>
        <v>11</v>
      </c>
      <c r="B1232">
        <f t="shared" si="71"/>
        <v>2023</v>
      </c>
      <c r="C1232" s="7">
        <v>45231</v>
      </c>
      <c r="D1232" s="9">
        <v>353.5</v>
      </c>
      <c r="E1232" s="7">
        <v>45231</v>
      </c>
      <c r="F1232" s="9">
        <v>80.5</v>
      </c>
      <c r="G1232" s="7">
        <v>45231</v>
      </c>
      <c r="H1232" s="9">
        <v>81</v>
      </c>
      <c r="I1232" s="7">
        <v>45231</v>
      </c>
      <c r="J1232" s="9">
        <v>80.5</v>
      </c>
      <c r="K1232" s="5">
        <f t="shared" si="69"/>
        <v>0</v>
      </c>
      <c r="L1232" s="6">
        <f t="shared" si="70"/>
        <v>-0.5</v>
      </c>
    </row>
    <row r="1233" spans="1:12" x14ac:dyDescent="0.25">
      <c r="A1233">
        <f t="shared" si="68"/>
        <v>11</v>
      </c>
      <c r="B1233">
        <f t="shared" si="71"/>
        <v>2023</v>
      </c>
      <c r="C1233" s="7">
        <v>45232</v>
      </c>
      <c r="D1233" s="9">
        <v>354</v>
      </c>
      <c r="E1233" s="7">
        <v>45232</v>
      </c>
      <c r="F1233" s="9">
        <v>79.75</v>
      </c>
      <c r="G1233" s="7">
        <v>45232</v>
      </c>
      <c r="H1233" s="9">
        <v>79.25</v>
      </c>
      <c r="I1233" s="7">
        <v>45232</v>
      </c>
      <c r="J1233" s="9">
        <v>79.5</v>
      </c>
      <c r="K1233" s="5">
        <f t="shared" si="69"/>
        <v>0.25</v>
      </c>
      <c r="L1233" s="6">
        <f t="shared" si="70"/>
        <v>0.5</v>
      </c>
    </row>
    <row r="1234" spans="1:12" x14ac:dyDescent="0.25">
      <c r="A1234">
        <f t="shared" si="68"/>
        <v>11</v>
      </c>
      <c r="B1234">
        <f t="shared" si="71"/>
        <v>2023</v>
      </c>
      <c r="C1234" s="7">
        <v>45233</v>
      </c>
      <c r="D1234" s="9">
        <v>354.5</v>
      </c>
      <c r="E1234" s="7">
        <v>45233</v>
      </c>
      <c r="F1234" s="9">
        <v>80.5</v>
      </c>
      <c r="G1234" s="7">
        <v>45233</v>
      </c>
      <c r="H1234" s="9">
        <v>80</v>
      </c>
      <c r="I1234" s="7">
        <v>45233</v>
      </c>
      <c r="J1234" s="9">
        <v>80</v>
      </c>
      <c r="K1234" s="5">
        <f t="shared" si="69"/>
        <v>0.5</v>
      </c>
      <c r="L1234" s="6">
        <f t="shared" si="70"/>
        <v>0.5</v>
      </c>
    </row>
    <row r="1235" spans="1:12" x14ac:dyDescent="0.25">
      <c r="A1235">
        <f t="shared" si="68"/>
        <v>11</v>
      </c>
      <c r="B1235">
        <f t="shared" si="71"/>
        <v>2023</v>
      </c>
      <c r="C1235" s="7">
        <v>45236</v>
      </c>
      <c r="D1235" s="9">
        <v>355</v>
      </c>
      <c r="E1235" s="7">
        <v>45236</v>
      </c>
      <c r="F1235" s="9">
        <v>81</v>
      </c>
      <c r="G1235" s="7">
        <v>45236</v>
      </c>
      <c r="H1235" s="9">
        <v>80.5</v>
      </c>
      <c r="I1235" s="7">
        <v>45236</v>
      </c>
      <c r="J1235" s="9">
        <v>80.5</v>
      </c>
      <c r="K1235" s="5">
        <f t="shared" si="69"/>
        <v>0.5</v>
      </c>
      <c r="L1235" s="6">
        <f t="shared" si="70"/>
        <v>0.5</v>
      </c>
    </row>
    <row r="1236" spans="1:12" x14ac:dyDescent="0.25">
      <c r="A1236">
        <f t="shared" si="68"/>
        <v>11</v>
      </c>
      <c r="B1236">
        <f t="shared" si="71"/>
        <v>2023</v>
      </c>
      <c r="C1236" s="7">
        <v>45237</v>
      </c>
      <c r="D1236" s="9">
        <v>355</v>
      </c>
      <c r="E1236" s="7">
        <v>45237</v>
      </c>
      <c r="F1236" s="9">
        <v>80</v>
      </c>
      <c r="G1236" s="7">
        <v>45237</v>
      </c>
      <c r="H1236" s="9">
        <v>79.5</v>
      </c>
      <c r="I1236" s="7">
        <v>45237</v>
      </c>
      <c r="J1236" s="9">
        <v>80</v>
      </c>
      <c r="K1236" s="5">
        <f t="shared" si="69"/>
        <v>0</v>
      </c>
      <c r="L1236" s="6">
        <f t="shared" si="70"/>
        <v>0.5</v>
      </c>
    </row>
    <row r="1237" spans="1:12" x14ac:dyDescent="0.25">
      <c r="A1237">
        <f t="shared" si="68"/>
        <v>11</v>
      </c>
      <c r="B1237">
        <f t="shared" si="71"/>
        <v>2023</v>
      </c>
      <c r="C1237" s="7">
        <v>45238</v>
      </c>
      <c r="D1237" s="9">
        <v>355.5</v>
      </c>
      <c r="E1237" s="7">
        <v>45238</v>
      </c>
      <c r="F1237" s="9">
        <v>82</v>
      </c>
      <c r="G1237" s="7">
        <v>45238</v>
      </c>
      <c r="H1237" s="9">
        <v>81</v>
      </c>
      <c r="I1237" s="7">
        <v>45238</v>
      </c>
      <c r="J1237" s="9">
        <v>82</v>
      </c>
      <c r="K1237" s="5">
        <f t="shared" si="69"/>
        <v>0</v>
      </c>
      <c r="L1237" s="6">
        <f t="shared" si="70"/>
        <v>1</v>
      </c>
    </row>
    <row r="1238" spans="1:12" x14ac:dyDescent="0.25">
      <c r="A1238">
        <f t="shared" si="68"/>
        <v>11</v>
      </c>
      <c r="B1238">
        <f t="shared" si="71"/>
        <v>2023</v>
      </c>
      <c r="C1238" s="7">
        <v>45239</v>
      </c>
      <c r="D1238" s="9">
        <v>353.5</v>
      </c>
      <c r="E1238" s="7">
        <v>45239</v>
      </c>
      <c r="F1238" s="9">
        <v>84</v>
      </c>
      <c r="G1238" s="7">
        <v>45239</v>
      </c>
      <c r="H1238" s="9">
        <v>83</v>
      </c>
      <c r="I1238" s="7">
        <v>45239</v>
      </c>
      <c r="J1238" s="9">
        <v>84</v>
      </c>
      <c r="K1238" s="5">
        <f t="shared" si="69"/>
        <v>0</v>
      </c>
      <c r="L1238" s="6">
        <f t="shared" si="70"/>
        <v>1</v>
      </c>
    </row>
    <row r="1239" spans="1:12" x14ac:dyDescent="0.25">
      <c r="A1239">
        <f t="shared" si="68"/>
        <v>11</v>
      </c>
      <c r="B1239">
        <f t="shared" si="71"/>
        <v>2023</v>
      </c>
      <c r="C1239" s="7">
        <v>45240</v>
      </c>
      <c r="D1239" s="9">
        <v>353.5</v>
      </c>
      <c r="E1239" s="7">
        <v>45240</v>
      </c>
      <c r="F1239" s="9">
        <v>85</v>
      </c>
      <c r="G1239" s="7">
        <v>45240</v>
      </c>
      <c r="H1239" s="9">
        <v>83</v>
      </c>
      <c r="I1239" s="7">
        <v>45240</v>
      </c>
      <c r="J1239" s="9">
        <v>84</v>
      </c>
      <c r="K1239" s="5">
        <f t="shared" si="69"/>
        <v>1</v>
      </c>
      <c r="L1239" s="6">
        <f t="shared" si="70"/>
        <v>2</v>
      </c>
    </row>
    <row r="1240" spans="1:12" x14ac:dyDescent="0.25">
      <c r="A1240">
        <f t="shared" si="68"/>
        <v>11</v>
      </c>
      <c r="B1240">
        <f t="shared" si="71"/>
        <v>2023</v>
      </c>
      <c r="C1240" s="7">
        <v>45243</v>
      </c>
      <c r="D1240" s="9">
        <v>345</v>
      </c>
      <c r="E1240" s="7">
        <v>45243</v>
      </c>
      <c r="F1240" s="9">
        <v>82</v>
      </c>
      <c r="G1240" s="7">
        <v>45243</v>
      </c>
      <c r="H1240" s="9">
        <v>82</v>
      </c>
      <c r="I1240" s="7">
        <v>45243</v>
      </c>
      <c r="J1240" s="9">
        <v>82</v>
      </c>
      <c r="K1240" s="5">
        <f t="shared" si="69"/>
        <v>0</v>
      </c>
      <c r="L1240" s="6">
        <f t="shared" si="70"/>
        <v>0</v>
      </c>
    </row>
    <row r="1241" spans="1:12" x14ac:dyDescent="0.25">
      <c r="A1241">
        <f t="shared" si="68"/>
        <v>11</v>
      </c>
      <c r="B1241">
        <f t="shared" si="71"/>
        <v>2023</v>
      </c>
      <c r="C1241" s="7">
        <v>45244</v>
      </c>
      <c r="D1241" s="9">
        <v>344</v>
      </c>
      <c r="E1241" s="7">
        <v>45244</v>
      </c>
      <c r="F1241" s="9">
        <v>82</v>
      </c>
      <c r="G1241" s="7">
        <v>45244</v>
      </c>
      <c r="H1241" s="9">
        <v>81</v>
      </c>
      <c r="I1241" s="7">
        <v>45244</v>
      </c>
      <c r="J1241" s="9">
        <v>82</v>
      </c>
      <c r="K1241" s="5">
        <f t="shared" si="69"/>
        <v>0</v>
      </c>
      <c r="L1241" s="6">
        <f t="shared" si="70"/>
        <v>1</v>
      </c>
    </row>
    <row r="1242" spans="1:12" x14ac:dyDescent="0.25">
      <c r="A1242">
        <f t="shared" si="68"/>
        <v>11</v>
      </c>
      <c r="B1242">
        <f t="shared" si="71"/>
        <v>2023</v>
      </c>
      <c r="C1242" s="7">
        <v>45245</v>
      </c>
      <c r="D1242" s="9">
        <v>345</v>
      </c>
      <c r="E1242" s="7">
        <v>45245</v>
      </c>
      <c r="F1242" s="9">
        <v>86</v>
      </c>
      <c r="G1242" s="7">
        <v>45245</v>
      </c>
      <c r="H1242" s="9">
        <v>85</v>
      </c>
      <c r="I1242" s="7">
        <v>45245</v>
      </c>
      <c r="J1242" s="9">
        <v>86</v>
      </c>
      <c r="K1242" s="5">
        <f t="shared" si="69"/>
        <v>0</v>
      </c>
      <c r="L1242" s="6">
        <f t="shared" si="70"/>
        <v>1</v>
      </c>
    </row>
    <row r="1243" spans="1:12" x14ac:dyDescent="0.25">
      <c r="A1243">
        <f t="shared" si="68"/>
        <v>11</v>
      </c>
      <c r="B1243">
        <f t="shared" si="71"/>
        <v>2023</v>
      </c>
      <c r="C1243" s="7">
        <v>45246</v>
      </c>
      <c r="D1243" s="9">
        <v>344</v>
      </c>
      <c r="E1243" s="7">
        <v>45246</v>
      </c>
      <c r="F1243" s="9">
        <v>84.75</v>
      </c>
      <c r="G1243" s="7">
        <v>45246</v>
      </c>
      <c r="H1243" s="9">
        <v>84</v>
      </c>
      <c r="I1243" s="7">
        <v>45246</v>
      </c>
      <c r="J1243" s="9">
        <v>85</v>
      </c>
      <c r="K1243" s="5">
        <f t="shared" si="69"/>
        <v>-0.25</v>
      </c>
      <c r="L1243" s="6">
        <f t="shared" si="70"/>
        <v>0.75</v>
      </c>
    </row>
    <row r="1244" spans="1:12" x14ac:dyDescent="0.25">
      <c r="A1244">
        <f t="shared" si="68"/>
        <v>11</v>
      </c>
      <c r="B1244">
        <f t="shared" si="71"/>
        <v>2023</v>
      </c>
      <c r="C1244" s="7">
        <v>45247</v>
      </c>
      <c r="D1244" s="9">
        <v>340</v>
      </c>
      <c r="E1244" s="7">
        <v>45247</v>
      </c>
      <c r="F1244" s="9">
        <v>83.25</v>
      </c>
      <c r="G1244" s="7">
        <v>45247</v>
      </c>
      <c r="H1244" s="9">
        <v>82.25</v>
      </c>
      <c r="I1244" s="7">
        <v>45247</v>
      </c>
      <c r="J1244" s="9">
        <v>83.5</v>
      </c>
      <c r="K1244" s="5">
        <f t="shared" si="69"/>
        <v>-0.25</v>
      </c>
      <c r="L1244" s="6">
        <f t="shared" si="70"/>
        <v>1</v>
      </c>
    </row>
    <row r="1245" spans="1:12" x14ac:dyDescent="0.25">
      <c r="A1245">
        <f t="shared" si="68"/>
        <v>11</v>
      </c>
      <c r="B1245">
        <f t="shared" si="71"/>
        <v>2023</v>
      </c>
      <c r="C1245" s="7">
        <v>45250</v>
      </c>
      <c r="D1245" s="9">
        <v>341</v>
      </c>
      <c r="E1245" s="7">
        <v>45250</v>
      </c>
      <c r="F1245" s="9">
        <v>84.5</v>
      </c>
      <c r="G1245" s="7">
        <v>45250</v>
      </c>
      <c r="H1245" s="9">
        <v>82.25</v>
      </c>
      <c r="I1245" s="7">
        <v>45250</v>
      </c>
      <c r="J1245" s="9">
        <v>84.5</v>
      </c>
      <c r="K1245" s="5">
        <f t="shared" si="69"/>
        <v>0</v>
      </c>
      <c r="L1245" s="6">
        <f t="shared" si="70"/>
        <v>2.25</v>
      </c>
    </row>
    <row r="1246" spans="1:12" x14ac:dyDescent="0.25">
      <c r="A1246">
        <f t="shared" si="68"/>
        <v>11</v>
      </c>
      <c r="B1246">
        <f t="shared" si="71"/>
        <v>2023</v>
      </c>
      <c r="C1246" s="7">
        <v>45251</v>
      </c>
      <c r="D1246" s="9">
        <v>340</v>
      </c>
      <c r="E1246" s="7">
        <v>45251</v>
      </c>
      <c r="F1246" s="9">
        <v>85</v>
      </c>
      <c r="G1246" s="7">
        <v>45251</v>
      </c>
      <c r="H1246" s="9">
        <v>83.5</v>
      </c>
      <c r="I1246" s="7">
        <v>45251</v>
      </c>
      <c r="J1246" s="9">
        <v>85</v>
      </c>
      <c r="K1246" s="5">
        <f t="shared" si="69"/>
        <v>0</v>
      </c>
      <c r="L1246" s="6">
        <f t="shared" si="70"/>
        <v>1.5</v>
      </c>
    </row>
    <row r="1247" spans="1:12" x14ac:dyDescent="0.25">
      <c r="A1247">
        <f t="shared" si="68"/>
        <v>11</v>
      </c>
      <c r="B1247">
        <f t="shared" si="71"/>
        <v>2023</v>
      </c>
      <c r="C1247" s="7">
        <v>45252</v>
      </c>
      <c r="D1247" s="9">
        <v>338</v>
      </c>
      <c r="E1247" s="7">
        <v>45252</v>
      </c>
      <c r="F1247" s="9">
        <v>85</v>
      </c>
      <c r="G1247" s="7">
        <v>45252</v>
      </c>
      <c r="H1247" s="9">
        <v>84</v>
      </c>
      <c r="I1247" s="7">
        <v>45252</v>
      </c>
      <c r="J1247" s="9">
        <v>85.5</v>
      </c>
      <c r="K1247" s="5">
        <f t="shared" si="69"/>
        <v>-0.5</v>
      </c>
      <c r="L1247" s="6">
        <f t="shared" si="70"/>
        <v>1</v>
      </c>
    </row>
    <row r="1248" spans="1:12" x14ac:dyDescent="0.25">
      <c r="A1248">
        <f t="shared" si="68"/>
        <v>11</v>
      </c>
      <c r="B1248">
        <f t="shared" si="71"/>
        <v>2023</v>
      </c>
      <c r="C1248" s="7">
        <v>45257</v>
      </c>
      <c r="D1248" s="9">
        <v>338</v>
      </c>
      <c r="E1248" s="7">
        <v>45257</v>
      </c>
      <c r="F1248" s="9">
        <v>82</v>
      </c>
      <c r="G1248" s="7">
        <v>45257</v>
      </c>
      <c r="H1248" s="9">
        <v>81</v>
      </c>
      <c r="I1248" s="7">
        <v>45257</v>
      </c>
      <c r="J1248" s="9">
        <v>82.5</v>
      </c>
      <c r="K1248" s="5">
        <f t="shared" si="69"/>
        <v>-0.5</v>
      </c>
      <c r="L1248" s="6">
        <f t="shared" si="70"/>
        <v>1</v>
      </c>
    </row>
    <row r="1249" spans="1:12" x14ac:dyDescent="0.25">
      <c r="A1249">
        <f t="shared" si="68"/>
        <v>11</v>
      </c>
      <c r="B1249">
        <f t="shared" si="71"/>
        <v>2023</v>
      </c>
      <c r="C1249" s="7">
        <v>45258</v>
      </c>
      <c r="D1249" s="9">
        <v>334</v>
      </c>
      <c r="E1249" s="7">
        <v>45258</v>
      </c>
      <c r="F1249" s="9">
        <v>83</v>
      </c>
      <c r="G1249" s="7">
        <v>45258</v>
      </c>
      <c r="H1249" s="9">
        <v>82</v>
      </c>
      <c r="I1249" s="7">
        <v>45258</v>
      </c>
      <c r="J1249" s="9">
        <v>83</v>
      </c>
      <c r="K1249" s="5">
        <f t="shared" si="69"/>
        <v>0</v>
      </c>
      <c r="L1249" s="6">
        <f t="shared" si="70"/>
        <v>1</v>
      </c>
    </row>
    <row r="1250" spans="1:12" x14ac:dyDescent="0.25">
      <c r="A1250">
        <f t="shared" si="68"/>
        <v>11</v>
      </c>
      <c r="B1250">
        <f t="shared" si="71"/>
        <v>2023</v>
      </c>
      <c r="C1250" s="7">
        <v>45259</v>
      </c>
      <c r="D1250" s="9">
        <v>334</v>
      </c>
      <c r="E1250" s="7">
        <v>45259</v>
      </c>
      <c r="F1250" s="9">
        <v>84</v>
      </c>
      <c r="G1250" s="7">
        <v>45259</v>
      </c>
      <c r="H1250" s="9">
        <v>83</v>
      </c>
      <c r="I1250" s="7">
        <v>45259</v>
      </c>
      <c r="J1250" s="9">
        <v>84.25</v>
      </c>
      <c r="K1250" s="5">
        <f t="shared" si="69"/>
        <v>-0.25</v>
      </c>
      <c r="L1250" s="6">
        <f t="shared" si="70"/>
        <v>1</v>
      </c>
    </row>
    <row r="1251" spans="1:12" x14ac:dyDescent="0.25">
      <c r="A1251">
        <f t="shared" si="68"/>
        <v>11</v>
      </c>
      <c r="B1251">
        <f t="shared" si="71"/>
        <v>2023</v>
      </c>
      <c r="C1251" s="7">
        <v>45260</v>
      </c>
      <c r="D1251" s="9">
        <v>329</v>
      </c>
      <c r="E1251" s="7">
        <v>45260</v>
      </c>
      <c r="F1251" s="9">
        <v>84</v>
      </c>
      <c r="G1251" s="7">
        <v>45260</v>
      </c>
      <c r="H1251" s="9">
        <v>83</v>
      </c>
      <c r="I1251" s="7">
        <v>45260</v>
      </c>
      <c r="J1251" s="9">
        <v>84</v>
      </c>
      <c r="K1251" s="5">
        <f t="shared" si="69"/>
        <v>0</v>
      </c>
      <c r="L1251" s="6">
        <f t="shared" si="70"/>
        <v>1</v>
      </c>
    </row>
    <row r="1252" spans="1:12" x14ac:dyDescent="0.25">
      <c r="A1252">
        <f t="shared" si="68"/>
        <v>12</v>
      </c>
      <c r="B1252">
        <f t="shared" si="71"/>
        <v>2023</v>
      </c>
      <c r="C1252" s="7">
        <v>45261</v>
      </c>
      <c r="D1252" s="9">
        <v>329</v>
      </c>
      <c r="E1252" s="7">
        <v>45261</v>
      </c>
      <c r="F1252" s="9">
        <v>85</v>
      </c>
      <c r="G1252" s="7">
        <v>45261</v>
      </c>
      <c r="H1252" s="9">
        <v>84</v>
      </c>
      <c r="I1252" s="7">
        <v>45261</v>
      </c>
      <c r="J1252" s="9">
        <v>85.25</v>
      </c>
      <c r="K1252" s="5">
        <f t="shared" si="69"/>
        <v>-0.25</v>
      </c>
      <c r="L1252" s="6">
        <f t="shared" si="70"/>
        <v>1</v>
      </c>
    </row>
    <row r="1253" spans="1:12" x14ac:dyDescent="0.25">
      <c r="A1253">
        <f t="shared" si="68"/>
        <v>12</v>
      </c>
      <c r="B1253">
        <f t="shared" si="71"/>
        <v>2023</v>
      </c>
      <c r="C1253" s="7">
        <v>45264</v>
      </c>
      <c r="D1253" s="9">
        <v>329</v>
      </c>
      <c r="E1253" s="7">
        <v>45264</v>
      </c>
      <c r="F1253" s="9">
        <v>85.875</v>
      </c>
      <c r="G1253" s="7">
        <v>45264</v>
      </c>
      <c r="H1253" s="9">
        <v>84.875</v>
      </c>
      <c r="I1253" s="7">
        <v>45264</v>
      </c>
      <c r="J1253" s="9">
        <v>85.875</v>
      </c>
      <c r="K1253" s="5">
        <f t="shared" si="69"/>
        <v>0</v>
      </c>
      <c r="L1253" s="6">
        <f t="shared" si="70"/>
        <v>1</v>
      </c>
    </row>
    <row r="1254" spans="1:12" x14ac:dyDescent="0.25">
      <c r="A1254">
        <f t="shared" si="68"/>
        <v>12</v>
      </c>
      <c r="B1254">
        <f t="shared" si="71"/>
        <v>2023</v>
      </c>
      <c r="C1254" s="7">
        <v>45265</v>
      </c>
      <c r="D1254" s="9">
        <v>321.5</v>
      </c>
      <c r="E1254" s="7">
        <v>45265</v>
      </c>
      <c r="F1254" s="9">
        <v>82.75</v>
      </c>
      <c r="G1254" s="7">
        <v>45265</v>
      </c>
      <c r="H1254" s="9">
        <v>81.75</v>
      </c>
      <c r="I1254" s="7">
        <v>45265</v>
      </c>
      <c r="J1254" s="9">
        <v>83</v>
      </c>
      <c r="K1254" s="5">
        <f t="shared" si="69"/>
        <v>-0.25</v>
      </c>
      <c r="L1254" s="6">
        <f t="shared" si="70"/>
        <v>1</v>
      </c>
    </row>
    <row r="1255" spans="1:12" x14ac:dyDescent="0.25">
      <c r="A1255">
        <f t="shared" si="68"/>
        <v>12</v>
      </c>
      <c r="B1255">
        <f t="shared" si="71"/>
        <v>2023</v>
      </c>
      <c r="C1255" s="7">
        <v>45266</v>
      </c>
      <c r="D1255" s="9">
        <v>317</v>
      </c>
      <c r="E1255" s="7">
        <v>45266</v>
      </c>
      <c r="F1255" s="9">
        <v>81.25</v>
      </c>
      <c r="G1255" s="7">
        <v>45266</v>
      </c>
      <c r="H1255" s="9">
        <v>80.25</v>
      </c>
      <c r="I1255" s="7">
        <v>45266</v>
      </c>
      <c r="J1255" s="9">
        <v>81.5</v>
      </c>
      <c r="K1255" s="5">
        <f t="shared" si="69"/>
        <v>-0.25</v>
      </c>
      <c r="L1255" s="6">
        <f t="shared" si="70"/>
        <v>1</v>
      </c>
    </row>
    <row r="1256" spans="1:12" x14ac:dyDescent="0.25">
      <c r="A1256">
        <f t="shared" si="68"/>
        <v>12</v>
      </c>
      <c r="B1256">
        <f t="shared" si="71"/>
        <v>2023</v>
      </c>
      <c r="C1256" s="7">
        <v>45267</v>
      </c>
      <c r="D1256" s="9">
        <v>316.5</v>
      </c>
      <c r="E1256" s="7">
        <v>45267</v>
      </c>
      <c r="F1256" s="9">
        <v>82.75</v>
      </c>
      <c r="G1256" s="7">
        <v>45267</v>
      </c>
      <c r="H1256" s="9">
        <v>81.75</v>
      </c>
      <c r="I1256" s="7">
        <v>45267</v>
      </c>
      <c r="J1256" s="9">
        <v>82.75</v>
      </c>
      <c r="K1256" s="5">
        <f t="shared" si="69"/>
        <v>0</v>
      </c>
      <c r="L1256" s="6">
        <f t="shared" si="70"/>
        <v>1</v>
      </c>
    </row>
    <row r="1257" spans="1:12" x14ac:dyDescent="0.25">
      <c r="A1257">
        <f t="shared" si="68"/>
        <v>12</v>
      </c>
      <c r="B1257">
        <f t="shared" si="71"/>
        <v>2023</v>
      </c>
      <c r="C1257" s="7">
        <v>45268</v>
      </c>
      <c r="D1257" s="9">
        <v>315</v>
      </c>
      <c r="E1257" s="7">
        <v>45268</v>
      </c>
      <c r="F1257" s="9">
        <v>82</v>
      </c>
      <c r="G1257" s="7">
        <v>45268</v>
      </c>
      <c r="H1257" s="9">
        <v>82</v>
      </c>
      <c r="I1257" s="7">
        <v>45268</v>
      </c>
      <c r="J1257" s="9">
        <v>82</v>
      </c>
      <c r="K1257" s="5">
        <f t="shared" si="69"/>
        <v>0</v>
      </c>
      <c r="L1257" s="6">
        <f t="shared" si="70"/>
        <v>0</v>
      </c>
    </row>
    <row r="1258" spans="1:12" x14ac:dyDescent="0.25">
      <c r="A1258">
        <f t="shared" si="68"/>
        <v>12</v>
      </c>
      <c r="B1258">
        <f t="shared" si="71"/>
        <v>2023</v>
      </c>
      <c r="C1258" s="7">
        <v>45271</v>
      </c>
      <c r="D1258" s="9">
        <v>315</v>
      </c>
      <c r="E1258" s="7">
        <v>45271</v>
      </c>
      <c r="F1258" s="9">
        <v>80.25</v>
      </c>
      <c r="G1258" s="7">
        <v>45271</v>
      </c>
      <c r="H1258" s="9">
        <v>82</v>
      </c>
      <c r="I1258" s="7">
        <v>45271</v>
      </c>
      <c r="J1258" s="9">
        <v>79.5</v>
      </c>
      <c r="K1258" s="5">
        <f t="shared" si="69"/>
        <v>0.75</v>
      </c>
      <c r="L1258" s="6">
        <f t="shared" si="70"/>
        <v>-1.75</v>
      </c>
    </row>
    <row r="1259" spans="1:12" x14ac:dyDescent="0.25">
      <c r="A1259">
        <f t="shared" si="68"/>
        <v>12</v>
      </c>
      <c r="B1259">
        <f t="shared" si="71"/>
        <v>2023</v>
      </c>
      <c r="C1259" s="7">
        <v>45272</v>
      </c>
      <c r="D1259" s="9">
        <v>305</v>
      </c>
      <c r="E1259" s="7">
        <v>45272</v>
      </c>
      <c r="F1259" s="9">
        <v>80</v>
      </c>
      <c r="G1259" s="7">
        <v>45272</v>
      </c>
      <c r="H1259" s="9">
        <v>79</v>
      </c>
      <c r="I1259" s="7">
        <v>45272</v>
      </c>
      <c r="J1259" s="9">
        <v>79.5</v>
      </c>
      <c r="K1259" s="5">
        <f t="shared" si="69"/>
        <v>0.5</v>
      </c>
      <c r="L1259" s="6">
        <f t="shared" si="70"/>
        <v>1</v>
      </c>
    </row>
    <row r="1260" spans="1:12" x14ac:dyDescent="0.25">
      <c r="A1260">
        <f t="shared" si="68"/>
        <v>12</v>
      </c>
      <c r="B1260">
        <f t="shared" si="71"/>
        <v>2023</v>
      </c>
      <c r="C1260" s="7">
        <v>45273</v>
      </c>
      <c r="D1260" s="9">
        <v>303</v>
      </c>
      <c r="E1260" s="7">
        <v>45273</v>
      </c>
      <c r="F1260" s="9">
        <v>80.75</v>
      </c>
      <c r="G1260" s="7">
        <v>45273</v>
      </c>
      <c r="H1260" s="9">
        <v>80</v>
      </c>
      <c r="I1260" s="7">
        <v>45273</v>
      </c>
      <c r="J1260" s="9">
        <v>81</v>
      </c>
      <c r="K1260" s="5">
        <f t="shared" si="69"/>
        <v>-0.25</v>
      </c>
      <c r="L1260" s="6">
        <f t="shared" si="70"/>
        <v>0.75</v>
      </c>
    </row>
    <row r="1261" spans="1:12" x14ac:dyDescent="0.25">
      <c r="A1261">
        <f t="shared" si="68"/>
        <v>12</v>
      </c>
      <c r="B1261">
        <f t="shared" si="71"/>
        <v>2023</v>
      </c>
      <c r="C1261" s="7">
        <v>45274</v>
      </c>
      <c r="D1261" s="9">
        <v>299</v>
      </c>
      <c r="E1261" s="7">
        <v>45274</v>
      </c>
      <c r="F1261" s="9">
        <v>80.5</v>
      </c>
      <c r="G1261" s="7">
        <v>45274</v>
      </c>
      <c r="H1261" s="9">
        <v>80</v>
      </c>
      <c r="I1261" s="7">
        <v>45274</v>
      </c>
      <c r="J1261" s="9">
        <v>80.25</v>
      </c>
      <c r="K1261" s="5">
        <f t="shared" si="69"/>
        <v>0.25</v>
      </c>
      <c r="L1261" s="6">
        <f t="shared" si="70"/>
        <v>0.5</v>
      </c>
    </row>
    <row r="1262" spans="1:12" x14ac:dyDescent="0.25">
      <c r="A1262">
        <f t="shared" si="68"/>
        <v>12</v>
      </c>
      <c r="B1262">
        <f t="shared" si="71"/>
        <v>2023</v>
      </c>
      <c r="C1262" s="7">
        <v>45275</v>
      </c>
      <c r="D1262" s="9">
        <v>299</v>
      </c>
      <c r="E1262" s="7">
        <v>45275</v>
      </c>
      <c r="F1262" s="9">
        <v>81</v>
      </c>
      <c r="G1262" s="7">
        <v>45275</v>
      </c>
      <c r="H1262" s="9">
        <v>80</v>
      </c>
      <c r="I1262" s="7">
        <v>45275</v>
      </c>
      <c r="J1262" s="9">
        <v>81</v>
      </c>
      <c r="K1262" s="5">
        <f t="shared" si="69"/>
        <v>0</v>
      </c>
      <c r="L1262" s="6">
        <f t="shared" si="70"/>
        <v>1</v>
      </c>
    </row>
    <row r="1263" spans="1:12" x14ac:dyDescent="0.25">
      <c r="A1263">
        <f t="shared" si="68"/>
        <v>12</v>
      </c>
      <c r="B1263">
        <f t="shared" si="71"/>
        <v>2023</v>
      </c>
      <c r="C1263" s="7">
        <v>45278</v>
      </c>
      <c r="D1263" s="9">
        <v>299</v>
      </c>
      <c r="E1263" s="7">
        <v>45278</v>
      </c>
      <c r="F1263" s="9">
        <v>82</v>
      </c>
      <c r="G1263" s="7">
        <v>45278</v>
      </c>
      <c r="H1263" s="9">
        <v>81</v>
      </c>
      <c r="I1263" s="7">
        <v>45278</v>
      </c>
      <c r="J1263" s="9">
        <v>82</v>
      </c>
      <c r="K1263" s="5">
        <f t="shared" si="69"/>
        <v>0</v>
      </c>
      <c r="L1263" s="6">
        <f t="shared" si="70"/>
        <v>1</v>
      </c>
    </row>
    <row r="1264" spans="1:12" x14ac:dyDescent="0.25">
      <c r="A1264">
        <f t="shared" si="68"/>
        <v>12</v>
      </c>
      <c r="B1264">
        <f t="shared" si="71"/>
        <v>2023</v>
      </c>
      <c r="C1264" s="7">
        <v>45279</v>
      </c>
      <c r="D1264" s="9">
        <v>296.5</v>
      </c>
      <c r="E1264" s="7">
        <v>45279</v>
      </c>
      <c r="F1264" s="9">
        <v>82</v>
      </c>
      <c r="G1264" s="7">
        <v>45279</v>
      </c>
      <c r="H1264" s="9">
        <v>81</v>
      </c>
      <c r="I1264" s="7">
        <v>45279</v>
      </c>
      <c r="J1264" s="9">
        <v>82</v>
      </c>
      <c r="K1264" s="5">
        <f t="shared" si="69"/>
        <v>0</v>
      </c>
      <c r="L1264" s="6">
        <f t="shared" si="70"/>
        <v>1</v>
      </c>
    </row>
    <row r="1265" spans="1:12" x14ac:dyDescent="0.25">
      <c r="A1265">
        <f t="shared" si="68"/>
        <v>12</v>
      </c>
      <c r="B1265">
        <f t="shared" si="71"/>
        <v>2023</v>
      </c>
      <c r="C1265" s="7">
        <v>45280</v>
      </c>
      <c r="D1265" s="9">
        <v>298.5</v>
      </c>
      <c r="E1265" s="7">
        <v>45280</v>
      </c>
      <c r="F1265" s="9">
        <v>82</v>
      </c>
      <c r="G1265" s="7">
        <v>45280</v>
      </c>
      <c r="H1265" s="9">
        <v>81</v>
      </c>
      <c r="I1265" s="7">
        <v>45280</v>
      </c>
      <c r="J1265" s="9">
        <v>82</v>
      </c>
      <c r="K1265" s="5">
        <f t="shared" si="69"/>
        <v>0</v>
      </c>
      <c r="L1265" s="6">
        <f t="shared" si="70"/>
        <v>1</v>
      </c>
    </row>
    <row r="1266" spans="1:12" x14ac:dyDescent="0.25">
      <c r="A1266">
        <f t="shared" si="68"/>
        <v>12</v>
      </c>
      <c r="B1266">
        <f t="shared" si="71"/>
        <v>2023</v>
      </c>
      <c r="C1266" s="7">
        <v>45281</v>
      </c>
      <c r="D1266" s="9">
        <v>298.5</v>
      </c>
      <c r="E1266" s="7">
        <v>45281</v>
      </c>
      <c r="F1266" s="9">
        <v>81</v>
      </c>
      <c r="G1266" s="7">
        <v>45281</v>
      </c>
      <c r="H1266" s="9">
        <v>80</v>
      </c>
      <c r="I1266" s="7">
        <v>45281</v>
      </c>
      <c r="J1266" s="9">
        <v>81.25</v>
      </c>
      <c r="K1266" s="5">
        <f t="shared" si="69"/>
        <v>-0.25</v>
      </c>
      <c r="L1266" s="6">
        <f t="shared" si="70"/>
        <v>1</v>
      </c>
    </row>
    <row r="1267" spans="1:12" x14ac:dyDescent="0.25">
      <c r="A1267">
        <f t="shared" si="68"/>
        <v>12</v>
      </c>
      <c r="B1267">
        <f t="shared" si="71"/>
        <v>2023</v>
      </c>
      <c r="C1267" s="7">
        <v>45282</v>
      </c>
      <c r="D1267" s="9">
        <v>303.5</v>
      </c>
      <c r="E1267" s="7">
        <v>45282</v>
      </c>
      <c r="F1267" s="9">
        <v>82</v>
      </c>
      <c r="G1267" s="7">
        <v>45282</v>
      </c>
      <c r="H1267" s="9">
        <v>81.75</v>
      </c>
      <c r="I1267" s="7">
        <v>45282</v>
      </c>
      <c r="J1267" s="9">
        <v>81.25</v>
      </c>
      <c r="K1267" s="5">
        <f t="shared" si="69"/>
        <v>0.75</v>
      </c>
      <c r="L1267" s="6">
        <f t="shared" si="70"/>
        <v>0.25</v>
      </c>
    </row>
    <row r="1268" spans="1:12" x14ac:dyDescent="0.25">
      <c r="A1268">
        <f t="shared" si="68"/>
        <v>12</v>
      </c>
      <c r="B1268">
        <f t="shared" si="71"/>
        <v>2023</v>
      </c>
      <c r="C1268" s="7">
        <v>45286</v>
      </c>
      <c r="D1268" s="9">
        <v>305.75</v>
      </c>
      <c r="E1268" s="7">
        <v>45286</v>
      </c>
      <c r="F1268" s="9">
        <v>82</v>
      </c>
      <c r="G1268" s="7">
        <v>45286</v>
      </c>
      <c r="H1268" s="9">
        <v>82.25</v>
      </c>
      <c r="I1268" s="7">
        <v>45286</v>
      </c>
      <c r="J1268" s="9">
        <v>81.25</v>
      </c>
      <c r="K1268" s="5">
        <f t="shared" si="69"/>
        <v>0.75</v>
      </c>
      <c r="L1268" s="6">
        <f t="shared" si="70"/>
        <v>-0.25</v>
      </c>
    </row>
    <row r="1269" spans="1:12" x14ac:dyDescent="0.25">
      <c r="A1269">
        <f t="shared" si="68"/>
        <v>12</v>
      </c>
      <c r="B1269">
        <f t="shared" si="71"/>
        <v>2023</v>
      </c>
      <c r="C1269" s="7">
        <v>45287</v>
      </c>
      <c r="D1269" s="9">
        <v>305.75</v>
      </c>
      <c r="E1269" s="7">
        <v>45287</v>
      </c>
      <c r="F1269" s="9">
        <v>76.5</v>
      </c>
      <c r="G1269" s="7">
        <v>45287</v>
      </c>
      <c r="H1269" s="9">
        <v>75.5</v>
      </c>
      <c r="I1269" s="7">
        <v>45287</v>
      </c>
      <c r="J1269" s="9">
        <v>76.75</v>
      </c>
      <c r="K1269" s="5">
        <f t="shared" si="69"/>
        <v>-0.25</v>
      </c>
      <c r="L1269" s="6">
        <f t="shared" si="70"/>
        <v>1</v>
      </c>
    </row>
    <row r="1270" spans="1:12" x14ac:dyDescent="0.25">
      <c r="A1270">
        <f t="shared" si="68"/>
        <v>12</v>
      </c>
      <c r="B1270">
        <f t="shared" si="71"/>
        <v>2023</v>
      </c>
      <c r="C1270" s="7">
        <v>45288</v>
      </c>
      <c r="D1270" s="9">
        <v>306.75</v>
      </c>
      <c r="E1270" s="7">
        <v>45288</v>
      </c>
      <c r="F1270" s="9">
        <v>77.5</v>
      </c>
      <c r="G1270" s="7">
        <v>45288</v>
      </c>
      <c r="H1270" s="9">
        <v>76.5</v>
      </c>
      <c r="I1270" s="7">
        <v>45288</v>
      </c>
      <c r="J1270" s="9">
        <v>77.5</v>
      </c>
      <c r="K1270" s="5">
        <f t="shared" si="69"/>
        <v>0</v>
      </c>
      <c r="L1270" s="6">
        <f t="shared" si="70"/>
        <v>1</v>
      </c>
    </row>
    <row r="1271" spans="1:12" x14ac:dyDescent="0.25">
      <c r="A1271">
        <f t="shared" si="68"/>
        <v>12</v>
      </c>
      <c r="B1271">
        <f t="shared" si="71"/>
        <v>2023</v>
      </c>
      <c r="C1271" s="7">
        <v>45289</v>
      </c>
      <c r="D1271" s="9">
        <v>320</v>
      </c>
      <c r="E1271" s="7">
        <v>45289</v>
      </c>
      <c r="F1271" s="9">
        <v>77.5</v>
      </c>
      <c r="G1271" s="7">
        <v>45289</v>
      </c>
      <c r="H1271" s="9">
        <v>76.5</v>
      </c>
      <c r="I1271" s="7">
        <v>45289</v>
      </c>
      <c r="J1271" s="9">
        <v>77.5</v>
      </c>
      <c r="K1271" s="5">
        <f t="shared" si="69"/>
        <v>0</v>
      </c>
      <c r="L1271" s="6">
        <f t="shared" si="70"/>
        <v>1</v>
      </c>
    </row>
    <row r="1272" spans="1:12" x14ac:dyDescent="0.25">
      <c r="A1272">
        <f>MONTH(E1272)</f>
        <v>1</v>
      </c>
      <c r="B1272">
        <f>YEAR(E1272)</f>
        <v>2024</v>
      </c>
      <c r="C1272" s="2">
        <v>45293</v>
      </c>
      <c r="D1272">
        <v>317.5</v>
      </c>
      <c r="E1272" s="2">
        <v>45293</v>
      </c>
      <c r="F1272">
        <v>77.5</v>
      </c>
      <c r="G1272" s="2">
        <v>45293</v>
      </c>
      <c r="H1272">
        <v>76.75</v>
      </c>
      <c r="I1272" s="2">
        <v>45293</v>
      </c>
      <c r="J1272">
        <v>77</v>
      </c>
      <c r="K1272" s="5">
        <f>F1272-J1272</f>
        <v>0.5</v>
      </c>
      <c r="L1272" s="6">
        <f>F1272-H1272</f>
        <v>0.75</v>
      </c>
    </row>
    <row r="1273" spans="1:12" x14ac:dyDescent="0.25">
      <c r="A1273">
        <f t="shared" ref="A1273:A1336" si="72">MONTH(E1273)</f>
        <v>1</v>
      </c>
      <c r="B1273">
        <f t="shared" ref="B1273:B1336" si="73">YEAR(E1273)</f>
        <v>2024</v>
      </c>
      <c r="C1273" s="2">
        <v>45294</v>
      </c>
      <c r="D1273">
        <v>322.5</v>
      </c>
      <c r="E1273" s="2">
        <v>45294</v>
      </c>
      <c r="F1273">
        <v>77.75</v>
      </c>
      <c r="G1273" s="2">
        <v>45294</v>
      </c>
      <c r="H1273">
        <v>77</v>
      </c>
      <c r="I1273" s="2">
        <v>45294</v>
      </c>
      <c r="J1273">
        <v>77</v>
      </c>
      <c r="K1273" s="5">
        <f t="shared" ref="K1273:K1336" si="74">F1273-J1273</f>
        <v>0.75</v>
      </c>
      <c r="L1273" s="6">
        <f t="shared" ref="L1273:L1336" si="75">F1273-H1273</f>
        <v>0.75</v>
      </c>
    </row>
    <row r="1274" spans="1:12" x14ac:dyDescent="0.25">
      <c r="A1274">
        <f t="shared" si="72"/>
        <v>1</v>
      </c>
      <c r="B1274">
        <f t="shared" si="73"/>
        <v>2024</v>
      </c>
      <c r="C1274" s="2">
        <v>45295</v>
      </c>
      <c r="D1274">
        <v>324.5</v>
      </c>
      <c r="E1274" s="2">
        <v>45295</v>
      </c>
      <c r="F1274">
        <v>78.5</v>
      </c>
      <c r="G1274" s="2">
        <v>45295</v>
      </c>
      <c r="H1274">
        <v>77</v>
      </c>
      <c r="I1274" s="2">
        <v>45295</v>
      </c>
      <c r="J1274">
        <v>78</v>
      </c>
      <c r="K1274" s="5">
        <f t="shared" si="74"/>
        <v>0.5</v>
      </c>
      <c r="L1274" s="6">
        <f t="shared" si="75"/>
        <v>1.5</v>
      </c>
    </row>
    <row r="1275" spans="1:12" x14ac:dyDescent="0.25">
      <c r="A1275">
        <f t="shared" si="72"/>
        <v>1</v>
      </c>
      <c r="B1275">
        <f t="shared" si="73"/>
        <v>2024</v>
      </c>
      <c r="C1275" s="2">
        <v>45296</v>
      </c>
      <c r="D1275">
        <v>332.5</v>
      </c>
      <c r="E1275" s="2">
        <v>45296</v>
      </c>
      <c r="F1275">
        <v>80.75</v>
      </c>
      <c r="G1275" s="2">
        <v>45296</v>
      </c>
      <c r="H1275">
        <v>78.25</v>
      </c>
      <c r="I1275" s="2">
        <v>45296</v>
      </c>
      <c r="J1275">
        <v>79.5</v>
      </c>
      <c r="K1275" s="5">
        <f t="shared" si="74"/>
        <v>1.25</v>
      </c>
      <c r="L1275" s="6">
        <f t="shared" si="75"/>
        <v>2.5</v>
      </c>
    </row>
    <row r="1276" spans="1:12" x14ac:dyDescent="0.25">
      <c r="A1276">
        <f t="shared" si="72"/>
        <v>1</v>
      </c>
      <c r="B1276">
        <f t="shared" si="73"/>
        <v>2024</v>
      </c>
      <c r="C1276" s="2">
        <v>45299</v>
      </c>
      <c r="D1276">
        <v>343</v>
      </c>
      <c r="E1276" s="2">
        <v>45299</v>
      </c>
      <c r="F1276">
        <v>80.75</v>
      </c>
      <c r="G1276" s="2">
        <v>45299</v>
      </c>
      <c r="H1276">
        <v>78.25</v>
      </c>
      <c r="I1276" s="2">
        <v>45299</v>
      </c>
      <c r="J1276">
        <v>79.5</v>
      </c>
      <c r="K1276" s="5">
        <f t="shared" si="74"/>
        <v>1.25</v>
      </c>
      <c r="L1276" s="6">
        <f t="shared" si="75"/>
        <v>2.5</v>
      </c>
    </row>
    <row r="1277" spans="1:12" x14ac:dyDescent="0.25">
      <c r="A1277">
        <f t="shared" si="72"/>
        <v>1</v>
      </c>
      <c r="B1277">
        <f t="shared" si="73"/>
        <v>2024</v>
      </c>
      <c r="C1277" s="2">
        <v>45300</v>
      </c>
      <c r="D1277">
        <v>338</v>
      </c>
      <c r="E1277" s="2">
        <v>45300</v>
      </c>
      <c r="F1277">
        <v>80.5</v>
      </c>
      <c r="G1277" s="2">
        <v>45300</v>
      </c>
      <c r="H1277">
        <v>79.5</v>
      </c>
      <c r="I1277" s="2">
        <v>45300</v>
      </c>
      <c r="J1277">
        <v>80.5</v>
      </c>
      <c r="K1277" s="5">
        <f t="shared" si="74"/>
        <v>0</v>
      </c>
      <c r="L1277" s="6">
        <f t="shared" si="75"/>
        <v>1</v>
      </c>
    </row>
    <row r="1278" spans="1:12" x14ac:dyDescent="0.25">
      <c r="A1278">
        <f t="shared" si="72"/>
        <v>1</v>
      </c>
      <c r="B1278">
        <f t="shared" si="73"/>
        <v>2024</v>
      </c>
      <c r="C1278" s="2">
        <v>45301</v>
      </c>
      <c r="D1278">
        <v>338</v>
      </c>
      <c r="E1278" s="2">
        <v>45301</v>
      </c>
      <c r="F1278">
        <v>82.25</v>
      </c>
      <c r="G1278" s="2">
        <v>45301</v>
      </c>
      <c r="H1278">
        <v>79.75</v>
      </c>
      <c r="I1278" s="2">
        <v>45301</v>
      </c>
      <c r="J1278">
        <v>80.75</v>
      </c>
      <c r="K1278" s="5">
        <f t="shared" si="74"/>
        <v>1.5</v>
      </c>
      <c r="L1278" s="6">
        <f t="shared" si="75"/>
        <v>2.5</v>
      </c>
    </row>
    <row r="1279" spans="1:12" x14ac:dyDescent="0.25">
      <c r="A1279">
        <f t="shared" si="72"/>
        <v>1</v>
      </c>
      <c r="B1279">
        <f t="shared" si="73"/>
        <v>2024</v>
      </c>
      <c r="C1279" s="2">
        <v>45302</v>
      </c>
      <c r="D1279">
        <v>335</v>
      </c>
      <c r="E1279" s="2">
        <v>45302</v>
      </c>
      <c r="F1279">
        <v>80.25</v>
      </c>
      <c r="G1279" s="2">
        <v>45302</v>
      </c>
      <c r="H1279">
        <v>79.25</v>
      </c>
      <c r="I1279" s="2">
        <v>45302</v>
      </c>
      <c r="J1279">
        <v>79.5</v>
      </c>
      <c r="K1279" s="5">
        <f t="shared" si="74"/>
        <v>0.75</v>
      </c>
      <c r="L1279" s="6">
        <f t="shared" si="75"/>
        <v>1</v>
      </c>
    </row>
    <row r="1280" spans="1:12" x14ac:dyDescent="0.25">
      <c r="A1280">
        <f t="shared" si="72"/>
        <v>1</v>
      </c>
      <c r="B1280">
        <f t="shared" si="73"/>
        <v>2024</v>
      </c>
      <c r="C1280" s="2">
        <v>45303</v>
      </c>
      <c r="D1280">
        <v>331</v>
      </c>
      <c r="E1280" s="2">
        <v>45303</v>
      </c>
      <c r="F1280">
        <v>79.5</v>
      </c>
      <c r="G1280" s="2">
        <v>45303</v>
      </c>
      <c r="H1280">
        <v>78.5</v>
      </c>
      <c r="I1280" s="2">
        <v>45303</v>
      </c>
      <c r="J1280">
        <v>77.5</v>
      </c>
      <c r="K1280" s="5">
        <f t="shared" si="74"/>
        <v>2</v>
      </c>
      <c r="L1280" s="6">
        <f t="shared" si="75"/>
        <v>1</v>
      </c>
    </row>
    <row r="1281" spans="1:12" x14ac:dyDescent="0.25">
      <c r="A1281">
        <f t="shared" si="72"/>
        <v>1</v>
      </c>
      <c r="B1281">
        <f t="shared" si="73"/>
        <v>2024</v>
      </c>
      <c r="C1281" s="2">
        <v>45307</v>
      </c>
      <c r="D1281">
        <v>295</v>
      </c>
      <c r="E1281" s="2">
        <v>45307</v>
      </c>
      <c r="F1281">
        <v>80</v>
      </c>
      <c r="G1281" s="2">
        <v>45307</v>
      </c>
      <c r="H1281">
        <v>76.25</v>
      </c>
      <c r="I1281" s="2">
        <v>45307</v>
      </c>
      <c r="J1281">
        <v>77</v>
      </c>
      <c r="K1281" s="5">
        <f t="shared" si="74"/>
        <v>3</v>
      </c>
      <c r="L1281" s="6">
        <f t="shared" si="75"/>
        <v>3.75</v>
      </c>
    </row>
    <row r="1282" spans="1:12" x14ac:dyDescent="0.25">
      <c r="A1282">
        <f t="shared" si="72"/>
        <v>1</v>
      </c>
      <c r="B1282">
        <f t="shared" si="73"/>
        <v>2024</v>
      </c>
      <c r="C1282" s="2">
        <v>45308</v>
      </c>
      <c r="D1282">
        <v>310</v>
      </c>
      <c r="E1282" s="2">
        <v>45308</v>
      </c>
      <c r="F1282">
        <v>79</v>
      </c>
      <c r="G1282" s="2">
        <v>45308</v>
      </c>
      <c r="H1282">
        <v>76.25</v>
      </c>
      <c r="I1282" s="2">
        <v>45308</v>
      </c>
      <c r="J1282">
        <v>78.25</v>
      </c>
      <c r="K1282" s="5">
        <f t="shared" si="74"/>
        <v>0.75</v>
      </c>
      <c r="L1282" s="6">
        <f t="shared" si="75"/>
        <v>2.75</v>
      </c>
    </row>
    <row r="1283" spans="1:12" x14ac:dyDescent="0.25">
      <c r="A1283">
        <f t="shared" si="72"/>
        <v>1</v>
      </c>
      <c r="B1283">
        <f t="shared" si="73"/>
        <v>2024</v>
      </c>
      <c r="C1283" s="2">
        <v>45309</v>
      </c>
      <c r="D1283">
        <v>311</v>
      </c>
      <c r="E1283" s="2">
        <v>45309</v>
      </c>
      <c r="F1283">
        <v>78.5</v>
      </c>
      <c r="G1283" s="2">
        <v>45309</v>
      </c>
      <c r="H1283">
        <v>77.75</v>
      </c>
      <c r="I1283" s="2">
        <v>45309</v>
      </c>
      <c r="J1283">
        <v>77.5</v>
      </c>
      <c r="K1283" s="5">
        <f t="shared" si="74"/>
        <v>1</v>
      </c>
      <c r="L1283" s="6">
        <f t="shared" si="75"/>
        <v>0.75</v>
      </c>
    </row>
    <row r="1284" spans="1:12" x14ac:dyDescent="0.25">
      <c r="A1284">
        <f t="shared" si="72"/>
        <v>1</v>
      </c>
      <c r="B1284">
        <f t="shared" si="73"/>
        <v>2024</v>
      </c>
      <c r="C1284" s="2">
        <v>45310</v>
      </c>
      <c r="D1284">
        <v>310</v>
      </c>
      <c r="E1284" s="2">
        <v>45310</v>
      </c>
      <c r="F1284">
        <v>76</v>
      </c>
      <c r="G1284" s="2">
        <v>45310</v>
      </c>
      <c r="H1284">
        <v>76.5</v>
      </c>
      <c r="I1284" s="2">
        <v>45310</v>
      </c>
      <c r="J1284">
        <v>75.25</v>
      </c>
      <c r="K1284" s="5">
        <f t="shared" si="74"/>
        <v>0.75</v>
      </c>
      <c r="L1284" s="6">
        <f t="shared" si="75"/>
        <v>-0.5</v>
      </c>
    </row>
    <row r="1285" spans="1:12" x14ac:dyDescent="0.25">
      <c r="A1285">
        <f t="shared" si="72"/>
        <v>1</v>
      </c>
      <c r="B1285">
        <f t="shared" si="73"/>
        <v>2024</v>
      </c>
      <c r="C1285" s="2">
        <v>45313</v>
      </c>
      <c r="D1285">
        <v>309.5</v>
      </c>
      <c r="E1285" s="2">
        <v>45313</v>
      </c>
      <c r="F1285">
        <v>74.75</v>
      </c>
      <c r="G1285" s="2">
        <v>45313</v>
      </c>
      <c r="H1285">
        <v>73.75</v>
      </c>
      <c r="I1285" s="2">
        <v>45313</v>
      </c>
      <c r="J1285">
        <v>74.25</v>
      </c>
      <c r="K1285" s="5">
        <f t="shared" si="74"/>
        <v>0.5</v>
      </c>
      <c r="L1285" s="6">
        <f t="shared" si="75"/>
        <v>1</v>
      </c>
    </row>
    <row r="1286" spans="1:12" x14ac:dyDescent="0.25">
      <c r="A1286">
        <f t="shared" si="72"/>
        <v>1</v>
      </c>
      <c r="B1286">
        <f t="shared" si="73"/>
        <v>2024</v>
      </c>
      <c r="C1286" s="2">
        <v>45314</v>
      </c>
      <c r="D1286">
        <v>309.5</v>
      </c>
      <c r="E1286" s="2">
        <v>45314</v>
      </c>
      <c r="F1286">
        <v>72.25</v>
      </c>
      <c r="G1286" s="2">
        <v>45314</v>
      </c>
      <c r="H1286">
        <v>73.5</v>
      </c>
      <c r="I1286" s="2">
        <v>45314</v>
      </c>
      <c r="J1286">
        <v>72</v>
      </c>
      <c r="K1286" s="5">
        <f t="shared" si="74"/>
        <v>0.25</v>
      </c>
      <c r="L1286" s="6">
        <f t="shared" si="75"/>
        <v>-1.25</v>
      </c>
    </row>
    <row r="1287" spans="1:12" x14ac:dyDescent="0.25">
      <c r="A1287">
        <f t="shared" si="72"/>
        <v>1</v>
      </c>
      <c r="B1287">
        <f t="shared" si="73"/>
        <v>2024</v>
      </c>
      <c r="C1287" s="2">
        <v>45315</v>
      </c>
      <c r="D1287">
        <v>306</v>
      </c>
      <c r="E1287" s="2">
        <v>45315</v>
      </c>
      <c r="F1287">
        <v>65.5</v>
      </c>
      <c r="G1287" s="2">
        <v>45315</v>
      </c>
      <c r="H1287">
        <v>67.5</v>
      </c>
      <c r="I1287" s="2">
        <v>45315</v>
      </c>
      <c r="J1287">
        <v>65.5</v>
      </c>
      <c r="K1287" s="5">
        <f t="shared" si="74"/>
        <v>0</v>
      </c>
      <c r="L1287" s="6">
        <f t="shared" si="75"/>
        <v>-2</v>
      </c>
    </row>
    <row r="1288" spans="1:12" x14ac:dyDescent="0.25">
      <c r="A1288">
        <f t="shared" si="72"/>
        <v>1</v>
      </c>
      <c r="B1288">
        <f t="shared" si="73"/>
        <v>2024</v>
      </c>
      <c r="C1288" s="2">
        <v>45316</v>
      </c>
      <c r="D1288">
        <v>304</v>
      </c>
      <c r="E1288" s="2">
        <v>45316</v>
      </c>
      <c r="F1288">
        <v>60</v>
      </c>
      <c r="G1288" s="2">
        <v>45316</v>
      </c>
      <c r="H1288">
        <v>59.25</v>
      </c>
      <c r="I1288" s="2">
        <v>45316</v>
      </c>
      <c r="J1288">
        <v>58</v>
      </c>
      <c r="K1288" s="5">
        <f t="shared" si="74"/>
        <v>2</v>
      </c>
      <c r="L1288" s="6">
        <f t="shared" si="75"/>
        <v>0.75</v>
      </c>
    </row>
    <row r="1289" spans="1:12" x14ac:dyDescent="0.25">
      <c r="A1289">
        <f t="shared" si="72"/>
        <v>1</v>
      </c>
      <c r="B1289">
        <f t="shared" si="73"/>
        <v>2024</v>
      </c>
      <c r="C1289" s="2">
        <v>45317</v>
      </c>
      <c r="D1289">
        <v>302</v>
      </c>
      <c r="E1289" s="2">
        <v>45317</v>
      </c>
      <c r="F1289">
        <v>57</v>
      </c>
      <c r="G1289" s="2">
        <v>45317</v>
      </c>
      <c r="H1289">
        <v>56.25</v>
      </c>
      <c r="I1289" s="2">
        <v>45317</v>
      </c>
      <c r="J1289">
        <v>56.5</v>
      </c>
      <c r="K1289" s="5">
        <f t="shared" si="74"/>
        <v>0.5</v>
      </c>
      <c r="L1289" s="6">
        <f t="shared" si="75"/>
        <v>0.75</v>
      </c>
    </row>
    <row r="1290" spans="1:12" x14ac:dyDescent="0.25">
      <c r="A1290">
        <f t="shared" si="72"/>
        <v>1</v>
      </c>
      <c r="B1290">
        <f t="shared" si="73"/>
        <v>2024</v>
      </c>
      <c r="C1290" s="2">
        <v>45320</v>
      </c>
      <c r="D1290">
        <v>298</v>
      </c>
      <c r="E1290" s="2">
        <v>45320</v>
      </c>
      <c r="F1290">
        <v>52</v>
      </c>
      <c r="G1290" s="2">
        <v>45320</v>
      </c>
      <c r="H1290">
        <v>51</v>
      </c>
      <c r="I1290" s="2">
        <v>45320</v>
      </c>
      <c r="J1290">
        <v>51</v>
      </c>
      <c r="K1290" s="5">
        <f t="shared" si="74"/>
        <v>1</v>
      </c>
      <c r="L1290" s="6">
        <f t="shared" si="75"/>
        <v>1</v>
      </c>
    </row>
    <row r="1291" spans="1:12" x14ac:dyDescent="0.25">
      <c r="A1291">
        <f t="shared" si="72"/>
        <v>1</v>
      </c>
      <c r="B1291">
        <f t="shared" si="73"/>
        <v>2024</v>
      </c>
      <c r="C1291" s="2">
        <v>45321</v>
      </c>
      <c r="D1291">
        <v>294</v>
      </c>
      <c r="E1291" s="2">
        <v>45321</v>
      </c>
      <c r="F1291">
        <v>54.5</v>
      </c>
      <c r="G1291" s="2">
        <v>45321</v>
      </c>
      <c r="H1291">
        <v>53.5</v>
      </c>
      <c r="I1291" s="2">
        <v>45321</v>
      </c>
      <c r="J1291">
        <v>54.5</v>
      </c>
      <c r="K1291" s="5">
        <f t="shared" si="74"/>
        <v>0</v>
      </c>
      <c r="L1291" s="6">
        <f t="shared" si="75"/>
        <v>1</v>
      </c>
    </row>
    <row r="1292" spans="1:12" x14ac:dyDescent="0.25">
      <c r="A1292">
        <f t="shared" si="72"/>
        <v>1</v>
      </c>
      <c r="B1292">
        <f t="shared" si="73"/>
        <v>2024</v>
      </c>
      <c r="C1292" s="2">
        <v>45322</v>
      </c>
      <c r="D1292">
        <v>275</v>
      </c>
      <c r="E1292" s="2">
        <v>45322</v>
      </c>
      <c r="F1292">
        <v>57</v>
      </c>
      <c r="G1292" s="2">
        <v>45322</v>
      </c>
      <c r="H1292">
        <v>56</v>
      </c>
      <c r="I1292" s="2">
        <v>45322</v>
      </c>
      <c r="J1292">
        <v>56</v>
      </c>
      <c r="K1292" s="5">
        <f t="shared" si="74"/>
        <v>1</v>
      </c>
      <c r="L1292" s="6">
        <f t="shared" si="75"/>
        <v>1</v>
      </c>
    </row>
    <row r="1293" spans="1:12" x14ac:dyDescent="0.25">
      <c r="A1293">
        <f t="shared" si="72"/>
        <v>2</v>
      </c>
      <c r="B1293">
        <f t="shared" si="73"/>
        <v>2024</v>
      </c>
      <c r="C1293" s="2">
        <v>45323</v>
      </c>
      <c r="D1293">
        <v>275</v>
      </c>
      <c r="E1293" s="2">
        <v>45323</v>
      </c>
      <c r="F1293">
        <v>54.75</v>
      </c>
      <c r="G1293" s="2">
        <v>45323</v>
      </c>
      <c r="H1293">
        <v>54</v>
      </c>
      <c r="I1293" s="2">
        <v>45323</v>
      </c>
      <c r="J1293">
        <v>54</v>
      </c>
      <c r="K1293" s="5">
        <f t="shared" si="74"/>
        <v>0.75</v>
      </c>
      <c r="L1293" s="6">
        <f t="shared" si="75"/>
        <v>0.75</v>
      </c>
    </row>
    <row r="1294" spans="1:12" x14ac:dyDescent="0.25">
      <c r="A1294">
        <f t="shared" si="72"/>
        <v>2</v>
      </c>
      <c r="B1294">
        <f t="shared" si="73"/>
        <v>2024</v>
      </c>
      <c r="C1294" s="2">
        <v>45324</v>
      </c>
      <c r="D1294">
        <v>276</v>
      </c>
      <c r="E1294" s="2">
        <v>45324</v>
      </c>
      <c r="F1294">
        <v>54.75</v>
      </c>
      <c r="G1294" s="2">
        <v>45324</v>
      </c>
      <c r="H1294">
        <v>54</v>
      </c>
      <c r="I1294" s="2">
        <v>45324</v>
      </c>
      <c r="J1294">
        <v>54</v>
      </c>
      <c r="K1294" s="5">
        <f t="shared" si="74"/>
        <v>0.75</v>
      </c>
      <c r="L1294" s="6">
        <f t="shared" si="75"/>
        <v>0.75</v>
      </c>
    </row>
    <row r="1295" spans="1:12" x14ac:dyDescent="0.25">
      <c r="A1295">
        <f t="shared" si="72"/>
        <v>2</v>
      </c>
      <c r="B1295">
        <f t="shared" si="73"/>
        <v>2024</v>
      </c>
      <c r="C1295" s="2">
        <v>45327</v>
      </c>
      <c r="D1295">
        <v>286</v>
      </c>
      <c r="E1295" s="2">
        <v>45327</v>
      </c>
      <c r="F1295">
        <v>53.25</v>
      </c>
      <c r="G1295" s="2">
        <v>45327</v>
      </c>
      <c r="H1295">
        <v>52.75</v>
      </c>
      <c r="I1295" s="2">
        <v>45327</v>
      </c>
      <c r="J1295">
        <v>52.75</v>
      </c>
      <c r="K1295" s="5">
        <f t="shared" si="74"/>
        <v>0.5</v>
      </c>
      <c r="L1295" s="6">
        <f t="shared" si="75"/>
        <v>0.5</v>
      </c>
    </row>
    <row r="1296" spans="1:12" x14ac:dyDescent="0.25">
      <c r="A1296">
        <f t="shared" si="72"/>
        <v>2</v>
      </c>
      <c r="B1296">
        <f t="shared" si="73"/>
        <v>2024</v>
      </c>
      <c r="C1296" s="2">
        <v>45328</v>
      </c>
      <c r="D1296">
        <v>287</v>
      </c>
      <c r="E1296" s="2">
        <v>45328</v>
      </c>
      <c r="F1296">
        <v>53</v>
      </c>
      <c r="G1296" s="2">
        <v>45328</v>
      </c>
      <c r="H1296">
        <v>51.75</v>
      </c>
      <c r="I1296" s="2">
        <v>45328</v>
      </c>
      <c r="J1296">
        <v>52.75</v>
      </c>
      <c r="K1296" s="5">
        <f t="shared" si="74"/>
        <v>0.25</v>
      </c>
      <c r="L1296" s="6">
        <f t="shared" si="75"/>
        <v>1.25</v>
      </c>
    </row>
    <row r="1297" spans="1:12" x14ac:dyDescent="0.25">
      <c r="A1297">
        <f t="shared" si="72"/>
        <v>2</v>
      </c>
      <c r="B1297">
        <f t="shared" si="73"/>
        <v>2024</v>
      </c>
      <c r="C1297" s="2">
        <v>45329</v>
      </c>
      <c r="D1297">
        <v>297</v>
      </c>
      <c r="E1297" s="2">
        <v>45329</v>
      </c>
      <c r="F1297">
        <v>52.75</v>
      </c>
      <c r="G1297" s="2">
        <v>45329</v>
      </c>
      <c r="H1297">
        <v>51.5</v>
      </c>
      <c r="I1297" s="2">
        <v>45329</v>
      </c>
      <c r="J1297">
        <v>52</v>
      </c>
      <c r="K1297" s="5">
        <f t="shared" si="74"/>
        <v>0.75</v>
      </c>
      <c r="L1297" s="6">
        <f t="shared" si="75"/>
        <v>1.25</v>
      </c>
    </row>
    <row r="1298" spans="1:12" x14ac:dyDescent="0.25">
      <c r="A1298">
        <f t="shared" si="72"/>
        <v>2</v>
      </c>
      <c r="B1298">
        <f t="shared" si="73"/>
        <v>2024</v>
      </c>
      <c r="C1298" s="2">
        <v>45330</v>
      </c>
      <c r="D1298">
        <v>294</v>
      </c>
      <c r="E1298" s="2">
        <v>45330</v>
      </c>
      <c r="F1298">
        <v>52.75</v>
      </c>
      <c r="G1298" s="2">
        <v>45330</v>
      </c>
      <c r="H1298">
        <v>53.25</v>
      </c>
      <c r="I1298" s="2">
        <v>45330</v>
      </c>
      <c r="J1298">
        <v>53.5</v>
      </c>
      <c r="K1298" s="5">
        <f t="shared" si="74"/>
        <v>-0.75</v>
      </c>
      <c r="L1298" s="6">
        <f t="shared" si="75"/>
        <v>-0.5</v>
      </c>
    </row>
    <row r="1299" spans="1:12" x14ac:dyDescent="0.25">
      <c r="A1299">
        <f t="shared" si="72"/>
        <v>2</v>
      </c>
      <c r="B1299">
        <f t="shared" si="73"/>
        <v>2024</v>
      </c>
      <c r="C1299" s="2">
        <v>45331</v>
      </c>
      <c r="D1299">
        <v>292</v>
      </c>
      <c r="E1299" s="2">
        <v>45331</v>
      </c>
      <c r="F1299">
        <v>52.5</v>
      </c>
      <c r="G1299" s="2">
        <v>45331</v>
      </c>
      <c r="H1299">
        <v>51.5</v>
      </c>
      <c r="I1299" s="2">
        <v>45331</v>
      </c>
      <c r="J1299">
        <v>52</v>
      </c>
      <c r="K1299" s="5">
        <f t="shared" si="74"/>
        <v>0.5</v>
      </c>
      <c r="L1299" s="6">
        <f t="shared" si="75"/>
        <v>1</v>
      </c>
    </row>
    <row r="1300" spans="1:12" x14ac:dyDescent="0.25">
      <c r="A1300">
        <f t="shared" si="72"/>
        <v>2</v>
      </c>
      <c r="B1300">
        <f t="shared" si="73"/>
        <v>2024</v>
      </c>
      <c r="C1300" s="2">
        <v>45334</v>
      </c>
      <c r="D1300">
        <v>292</v>
      </c>
      <c r="E1300" s="2">
        <v>45334</v>
      </c>
      <c r="F1300">
        <v>52.75</v>
      </c>
      <c r="G1300" s="2">
        <v>45334</v>
      </c>
      <c r="H1300">
        <v>51.75</v>
      </c>
      <c r="I1300" s="2">
        <v>45334</v>
      </c>
      <c r="J1300">
        <v>51.5</v>
      </c>
      <c r="K1300" s="5">
        <f t="shared" si="74"/>
        <v>1.25</v>
      </c>
      <c r="L1300" s="6">
        <f t="shared" si="75"/>
        <v>1</v>
      </c>
    </row>
    <row r="1301" spans="1:12" x14ac:dyDescent="0.25">
      <c r="A1301">
        <f t="shared" si="72"/>
        <v>2</v>
      </c>
      <c r="B1301">
        <f t="shared" si="73"/>
        <v>2024</v>
      </c>
      <c r="C1301" s="2">
        <v>45335</v>
      </c>
      <c r="D1301">
        <v>292</v>
      </c>
      <c r="E1301" s="2">
        <v>45335</v>
      </c>
      <c r="F1301">
        <v>52.5</v>
      </c>
      <c r="G1301" s="2">
        <v>45335</v>
      </c>
      <c r="H1301">
        <v>51.5</v>
      </c>
      <c r="I1301" s="2">
        <v>45335</v>
      </c>
      <c r="J1301">
        <v>51</v>
      </c>
      <c r="K1301" s="5">
        <f t="shared" si="74"/>
        <v>1.5</v>
      </c>
      <c r="L1301" s="6">
        <f t="shared" si="75"/>
        <v>1</v>
      </c>
    </row>
    <row r="1302" spans="1:12" x14ac:dyDescent="0.25">
      <c r="A1302">
        <f t="shared" si="72"/>
        <v>2</v>
      </c>
      <c r="B1302">
        <f t="shared" si="73"/>
        <v>2024</v>
      </c>
      <c r="C1302" s="2">
        <v>45336</v>
      </c>
      <c r="D1302">
        <v>294</v>
      </c>
      <c r="E1302" s="2">
        <v>45336</v>
      </c>
      <c r="F1302">
        <v>51.25</v>
      </c>
      <c r="G1302" s="2">
        <v>45336</v>
      </c>
      <c r="H1302">
        <v>50.75</v>
      </c>
      <c r="I1302" s="2">
        <v>45336</v>
      </c>
      <c r="J1302">
        <v>50.25</v>
      </c>
      <c r="K1302" s="5">
        <f t="shared" si="74"/>
        <v>1</v>
      </c>
      <c r="L1302" s="6">
        <f t="shared" si="75"/>
        <v>0.5</v>
      </c>
    </row>
    <row r="1303" spans="1:12" x14ac:dyDescent="0.25">
      <c r="A1303">
        <f t="shared" si="72"/>
        <v>2</v>
      </c>
      <c r="B1303">
        <f t="shared" si="73"/>
        <v>2024</v>
      </c>
      <c r="C1303" s="2">
        <v>45337</v>
      </c>
      <c r="D1303">
        <v>294</v>
      </c>
      <c r="E1303" s="2">
        <v>45337</v>
      </c>
      <c r="F1303">
        <v>47.5</v>
      </c>
      <c r="G1303" s="2">
        <v>45337</v>
      </c>
      <c r="H1303">
        <v>47.25</v>
      </c>
      <c r="I1303" s="2">
        <v>45337</v>
      </c>
      <c r="J1303">
        <v>47</v>
      </c>
      <c r="K1303" s="5">
        <f t="shared" si="74"/>
        <v>0.5</v>
      </c>
      <c r="L1303" s="6">
        <f t="shared" si="75"/>
        <v>0.25</v>
      </c>
    </row>
    <row r="1304" spans="1:12" x14ac:dyDescent="0.25">
      <c r="A1304">
        <f t="shared" si="72"/>
        <v>2</v>
      </c>
      <c r="B1304">
        <f t="shared" si="73"/>
        <v>2024</v>
      </c>
      <c r="C1304" s="2">
        <v>45338</v>
      </c>
      <c r="D1304">
        <v>299.5</v>
      </c>
      <c r="E1304" s="2">
        <v>45338</v>
      </c>
      <c r="F1304">
        <v>45.5</v>
      </c>
      <c r="G1304" s="2">
        <v>45338</v>
      </c>
      <c r="H1304">
        <v>45.75</v>
      </c>
      <c r="I1304" s="2">
        <v>45338</v>
      </c>
      <c r="J1304">
        <v>45.5</v>
      </c>
      <c r="K1304" s="5">
        <f t="shared" si="74"/>
        <v>0</v>
      </c>
      <c r="L1304" s="6">
        <f t="shared" si="75"/>
        <v>-0.25</v>
      </c>
    </row>
    <row r="1305" spans="1:12" x14ac:dyDescent="0.25">
      <c r="A1305">
        <f t="shared" si="72"/>
        <v>2</v>
      </c>
      <c r="B1305">
        <f t="shared" si="73"/>
        <v>2024</v>
      </c>
      <c r="C1305" s="2">
        <v>45342</v>
      </c>
      <c r="D1305">
        <v>299</v>
      </c>
      <c r="E1305" s="2">
        <v>45342</v>
      </c>
      <c r="F1305">
        <v>42.5</v>
      </c>
      <c r="G1305" s="2">
        <v>45342</v>
      </c>
      <c r="H1305">
        <v>41.5</v>
      </c>
      <c r="I1305" s="2">
        <v>45342</v>
      </c>
      <c r="J1305">
        <v>42.25</v>
      </c>
      <c r="K1305" s="5">
        <f t="shared" si="74"/>
        <v>0.25</v>
      </c>
      <c r="L1305" s="6">
        <f t="shared" si="75"/>
        <v>1</v>
      </c>
    </row>
    <row r="1306" spans="1:12" x14ac:dyDescent="0.25">
      <c r="A1306">
        <f t="shared" si="72"/>
        <v>2</v>
      </c>
      <c r="B1306">
        <f t="shared" si="73"/>
        <v>2024</v>
      </c>
      <c r="C1306" s="2">
        <v>45343</v>
      </c>
      <c r="D1306">
        <v>301.5</v>
      </c>
      <c r="E1306" s="2">
        <v>45343</v>
      </c>
      <c r="F1306">
        <v>39</v>
      </c>
      <c r="G1306" s="2">
        <v>45343</v>
      </c>
      <c r="H1306">
        <v>38</v>
      </c>
      <c r="I1306" s="2">
        <v>45343</v>
      </c>
      <c r="J1306">
        <v>37.25</v>
      </c>
      <c r="K1306" s="5">
        <f t="shared" si="74"/>
        <v>1.75</v>
      </c>
      <c r="L1306" s="6">
        <f t="shared" si="75"/>
        <v>1</v>
      </c>
    </row>
    <row r="1307" spans="1:12" x14ac:dyDescent="0.25">
      <c r="A1307">
        <f t="shared" si="72"/>
        <v>2</v>
      </c>
      <c r="B1307">
        <f t="shared" si="73"/>
        <v>2024</v>
      </c>
      <c r="C1307" s="2">
        <v>45344</v>
      </c>
      <c r="D1307">
        <v>301.5</v>
      </c>
      <c r="E1307" s="2">
        <v>45344</v>
      </c>
      <c r="F1307">
        <v>42</v>
      </c>
      <c r="G1307" s="2">
        <v>45344</v>
      </c>
      <c r="H1307">
        <v>41</v>
      </c>
      <c r="I1307" s="2">
        <v>45344</v>
      </c>
      <c r="J1307">
        <v>41.5</v>
      </c>
      <c r="K1307" s="5">
        <f t="shared" si="74"/>
        <v>0.5</v>
      </c>
      <c r="L1307" s="6">
        <f t="shared" si="75"/>
        <v>1</v>
      </c>
    </row>
    <row r="1308" spans="1:12" x14ac:dyDescent="0.25">
      <c r="A1308">
        <f t="shared" si="72"/>
        <v>2</v>
      </c>
      <c r="B1308">
        <f t="shared" si="73"/>
        <v>2024</v>
      </c>
      <c r="C1308" s="2">
        <v>45345</v>
      </c>
      <c r="D1308">
        <v>303</v>
      </c>
      <c r="E1308" s="2">
        <v>45345</v>
      </c>
      <c r="F1308">
        <v>41</v>
      </c>
      <c r="G1308" s="2">
        <v>45345</v>
      </c>
      <c r="H1308">
        <v>40.25</v>
      </c>
      <c r="I1308" s="2">
        <v>45345</v>
      </c>
      <c r="J1308">
        <v>40.5</v>
      </c>
      <c r="K1308" s="5">
        <f t="shared" si="74"/>
        <v>0.5</v>
      </c>
      <c r="L1308" s="6">
        <f t="shared" si="75"/>
        <v>0.75</v>
      </c>
    </row>
    <row r="1309" spans="1:12" x14ac:dyDescent="0.25">
      <c r="A1309">
        <f t="shared" si="72"/>
        <v>2</v>
      </c>
      <c r="B1309">
        <f t="shared" si="73"/>
        <v>2024</v>
      </c>
      <c r="C1309" s="2">
        <v>45348</v>
      </c>
      <c r="D1309">
        <v>302</v>
      </c>
      <c r="E1309" s="2">
        <v>45348</v>
      </c>
      <c r="F1309">
        <v>41</v>
      </c>
      <c r="G1309" s="2">
        <v>45348</v>
      </c>
      <c r="H1309">
        <v>40.25</v>
      </c>
      <c r="I1309" s="2">
        <v>45348</v>
      </c>
      <c r="J1309">
        <v>40.5</v>
      </c>
      <c r="K1309" s="5">
        <f t="shared" si="74"/>
        <v>0.5</v>
      </c>
      <c r="L1309" s="6">
        <f t="shared" si="75"/>
        <v>0.75</v>
      </c>
    </row>
    <row r="1310" spans="1:12" x14ac:dyDescent="0.25">
      <c r="A1310">
        <f t="shared" si="72"/>
        <v>2</v>
      </c>
      <c r="B1310">
        <f t="shared" si="73"/>
        <v>2024</v>
      </c>
      <c r="C1310" s="2">
        <v>45349</v>
      </c>
      <c r="D1310">
        <v>302</v>
      </c>
      <c r="E1310" s="2">
        <v>45349</v>
      </c>
      <c r="F1310">
        <v>42.75</v>
      </c>
      <c r="G1310" s="2">
        <v>45349</v>
      </c>
      <c r="H1310">
        <v>41.75</v>
      </c>
      <c r="I1310" s="2">
        <v>45349</v>
      </c>
      <c r="J1310">
        <v>42</v>
      </c>
      <c r="K1310" s="5">
        <f t="shared" si="74"/>
        <v>0.75</v>
      </c>
      <c r="L1310" s="6">
        <f t="shared" si="75"/>
        <v>1</v>
      </c>
    </row>
    <row r="1311" spans="1:12" x14ac:dyDescent="0.25">
      <c r="A1311">
        <f t="shared" si="72"/>
        <v>2</v>
      </c>
      <c r="B1311">
        <f t="shared" si="73"/>
        <v>2024</v>
      </c>
      <c r="C1311" s="2">
        <v>45350</v>
      </c>
      <c r="D1311">
        <v>306.5</v>
      </c>
      <c r="E1311" s="2">
        <v>45350</v>
      </c>
      <c r="F1311">
        <v>43.25</v>
      </c>
      <c r="G1311" s="2">
        <v>45350</v>
      </c>
      <c r="H1311">
        <v>42.25</v>
      </c>
      <c r="I1311" s="2">
        <v>45350</v>
      </c>
      <c r="J1311">
        <v>42.5</v>
      </c>
      <c r="K1311" s="5">
        <f t="shared" si="74"/>
        <v>0.75</v>
      </c>
      <c r="L1311" s="6">
        <f t="shared" si="75"/>
        <v>1</v>
      </c>
    </row>
    <row r="1312" spans="1:12" x14ac:dyDescent="0.25">
      <c r="A1312">
        <f t="shared" si="72"/>
        <v>2</v>
      </c>
      <c r="B1312">
        <f t="shared" si="73"/>
        <v>2024</v>
      </c>
      <c r="C1312" s="2">
        <v>45351</v>
      </c>
      <c r="D1312">
        <v>309</v>
      </c>
      <c r="E1312" s="2">
        <v>45351</v>
      </c>
      <c r="F1312">
        <v>45</v>
      </c>
      <c r="G1312" s="2">
        <v>45351</v>
      </c>
      <c r="H1312">
        <v>44.25</v>
      </c>
      <c r="I1312" s="2">
        <v>45351</v>
      </c>
      <c r="J1312">
        <v>44.25</v>
      </c>
      <c r="K1312" s="5">
        <f t="shared" si="74"/>
        <v>0.75</v>
      </c>
      <c r="L1312" s="6">
        <f t="shared" si="75"/>
        <v>0.75</v>
      </c>
    </row>
    <row r="1313" spans="1:12" x14ac:dyDescent="0.25">
      <c r="A1313">
        <f t="shared" si="72"/>
        <v>3</v>
      </c>
      <c r="B1313">
        <f t="shared" si="73"/>
        <v>2024</v>
      </c>
      <c r="C1313" s="2">
        <v>45352</v>
      </c>
      <c r="D1313">
        <v>310</v>
      </c>
      <c r="E1313" s="2">
        <v>45352</v>
      </c>
      <c r="F1313">
        <v>45.75</v>
      </c>
      <c r="G1313" s="2">
        <v>45352</v>
      </c>
      <c r="H1313">
        <v>45</v>
      </c>
      <c r="I1313" s="2">
        <v>45352</v>
      </c>
      <c r="J1313">
        <v>45</v>
      </c>
      <c r="K1313" s="5">
        <f t="shared" si="74"/>
        <v>0.75</v>
      </c>
      <c r="L1313" s="6">
        <f t="shared" si="75"/>
        <v>0.75</v>
      </c>
    </row>
    <row r="1314" spans="1:12" x14ac:dyDescent="0.25">
      <c r="A1314">
        <f t="shared" si="72"/>
        <v>3</v>
      </c>
      <c r="B1314">
        <f t="shared" si="73"/>
        <v>2024</v>
      </c>
      <c r="C1314" s="2">
        <v>45355</v>
      </c>
      <c r="D1314">
        <v>314.5</v>
      </c>
      <c r="E1314" s="2">
        <v>45355</v>
      </c>
      <c r="F1314">
        <v>49</v>
      </c>
      <c r="G1314" s="2">
        <v>45355</v>
      </c>
      <c r="H1314">
        <v>48</v>
      </c>
      <c r="I1314" s="2">
        <v>45355</v>
      </c>
      <c r="J1314">
        <v>47.75</v>
      </c>
      <c r="K1314" s="5">
        <f t="shared" si="74"/>
        <v>1.25</v>
      </c>
      <c r="L1314" s="6">
        <f t="shared" si="75"/>
        <v>1</v>
      </c>
    </row>
    <row r="1315" spans="1:12" x14ac:dyDescent="0.25">
      <c r="A1315">
        <f t="shared" si="72"/>
        <v>3</v>
      </c>
      <c r="B1315">
        <f t="shared" si="73"/>
        <v>2024</v>
      </c>
      <c r="C1315" s="2">
        <v>45356</v>
      </c>
      <c r="D1315">
        <v>314.5</v>
      </c>
      <c r="E1315" s="2">
        <v>45356</v>
      </c>
      <c r="F1315">
        <v>45.5</v>
      </c>
      <c r="G1315" s="2">
        <v>45356</v>
      </c>
      <c r="H1315">
        <v>44.5</v>
      </c>
      <c r="I1315" s="2">
        <v>45356</v>
      </c>
      <c r="J1315">
        <v>45.25</v>
      </c>
      <c r="K1315" s="5">
        <f t="shared" si="74"/>
        <v>0.25</v>
      </c>
      <c r="L1315" s="6">
        <f t="shared" si="75"/>
        <v>1</v>
      </c>
    </row>
    <row r="1316" spans="1:12" x14ac:dyDescent="0.25">
      <c r="A1316">
        <f t="shared" si="72"/>
        <v>3</v>
      </c>
      <c r="B1316">
        <f t="shared" si="73"/>
        <v>2024</v>
      </c>
      <c r="C1316" s="2">
        <v>45357</v>
      </c>
      <c r="D1316">
        <v>315</v>
      </c>
      <c r="E1316" s="2">
        <v>45357</v>
      </c>
      <c r="F1316">
        <v>45</v>
      </c>
      <c r="G1316" s="2">
        <v>45357</v>
      </c>
      <c r="H1316">
        <v>44</v>
      </c>
      <c r="I1316" s="2">
        <v>45357</v>
      </c>
      <c r="J1316">
        <v>43.5</v>
      </c>
      <c r="K1316" s="5">
        <f t="shared" si="74"/>
        <v>1.5</v>
      </c>
      <c r="L1316" s="6">
        <f t="shared" si="75"/>
        <v>1</v>
      </c>
    </row>
    <row r="1317" spans="1:12" x14ac:dyDescent="0.25">
      <c r="A1317">
        <f t="shared" si="72"/>
        <v>3</v>
      </c>
      <c r="B1317">
        <f t="shared" si="73"/>
        <v>2024</v>
      </c>
      <c r="C1317" s="2">
        <v>45358</v>
      </c>
      <c r="D1317">
        <v>315</v>
      </c>
      <c r="E1317" s="2">
        <v>45358</v>
      </c>
      <c r="F1317">
        <v>45.75</v>
      </c>
      <c r="G1317" s="2">
        <v>45358</v>
      </c>
      <c r="H1317">
        <v>44.75</v>
      </c>
      <c r="I1317" s="2">
        <v>45358</v>
      </c>
      <c r="J1317">
        <v>45.5</v>
      </c>
      <c r="K1317" s="5">
        <f t="shared" si="74"/>
        <v>0.25</v>
      </c>
      <c r="L1317" s="6">
        <f t="shared" si="75"/>
        <v>1</v>
      </c>
    </row>
    <row r="1318" spans="1:12" x14ac:dyDescent="0.25">
      <c r="A1318">
        <f t="shared" si="72"/>
        <v>3</v>
      </c>
      <c r="B1318">
        <f t="shared" si="73"/>
        <v>2024</v>
      </c>
      <c r="C1318" s="2">
        <v>45359</v>
      </c>
      <c r="D1318">
        <v>318</v>
      </c>
      <c r="E1318" s="2">
        <v>45359</v>
      </c>
      <c r="F1318">
        <v>46.5</v>
      </c>
      <c r="G1318" s="2">
        <v>45359</v>
      </c>
      <c r="H1318">
        <v>45.5</v>
      </c>
      <c r="I1318" s="2">
        <v>45359</v>
      </c>
      <c r="J1318">
        <v>46.25</v>
      </c>
      <c r="K1318" s="5">
        <f t="shared" si="74"/>
        <v>0.25</v>
      </c>
      <c r="L1318" s="6">
        <f t="shared" si="75"/>
        <v>1</v>
      </c>
    </row>
    <row r="1319" spans="1:12" x14ac:dyDescent="0.25">
      <c r="A1319">
        <f t="shared" si="72"/>
        <v>3</v>
      </c>
      <c r="B1319">
        <f t="shared" si="73"/>
        <v>2024</v>
      </c>
      <c r="C1319" s="2">
        <v>45362</v>
      </c>
      <c r="D1319">
        <v>317.5</v>
      </c>
      <c r="E1319" s="2">
        <v>45362</v>
      </c>
      <c r="F1319">
        <v>47.5</v>
      </c>
      <c r="G1319" s="2">
        <v>45362</v>
      </c>
      <c r="H1319">
        <v>46.5</v>
      </c>
      <c r="I1319" s="2">
        <v>45362</v>
      </c>
      <c r="J1319">
        <v>46.75</v>
      </c>
      <c r="K1319" s="5">
        <f t="shared" si="74"/>
        <v>0.75</v>
      </c>
      <c r="L1319" s="6">
        <f t="shared" si="75"/>
        <v>1</v>
      </c>
    </row>
    <row r="1320" spans="1:12" x14ac:dyDescent="0.25">
      <c r="A1320">
        <f t="shared" si="72"/>
        <v>3</v>
      </c>
      <c r="B1320">
        <f t="shared" si="73"/>
        <v>2024</v>
      </c>
      <c r="C1320" s="2">
        <v>45363</v>
      </c>
      <c r="D1320">
        <v>321</v>
      </c>
      <c r="E1320" s="2">
        <v>45363</v>
      </c>
      <c r="F1320">
        <v>49.5</v>
      </c>
      <c r="G1320" s="2">
        <v>45363</v>
      </c>
      <c r="H1320">
        <v>48.5</v>
      </c>
      <c r="I1320" s="2">
        <v>45363</v>
      </c>
      <c r="J1320">
        <v>49.25</v>
      </c>
      <c r="K1320" s="5">
        <f t="shared" si="74"/>
        <v>0.25</v>
      </c>
      <c r="L1320" s="6">
        <f t="shared" si="75"/>
        <v>1</v>
      </c>
    </row>
    <row r="1321" spans="1:12" x14ac:dyDescent="0.25">
      <c r="A1321">
        <f t="shared" si="72"/>
        <v>3</v>
      </c>
      <c r="B1321">
        <f t="shared" si="73"/>
        <v>2024</v>
      </c>
      <c r="C1321" s="2">
        <v>45364</v>
      </c>
      <c r="D1321">
        <v>319.5</v>
      </c>
      <c r="E1321" s="2">
        <v>45364</v>
      </c>
      <c r="F1321">
        <v>53</v>
      </c>
      <c r="G1321" s="2">
        <v>45364</v>
      </c>
      <c r="H1321">
        <v>52</v>
      </c>
      <c r="I1321" s="2">
        <v>45364</v>
      </c>
      <c r="J1321">
        <v>52.5</v>
      </c>
      <c r="K1321" s="5">
        <f t="shared" si="74"/>
        <v>0.5</v>
      </c>
      <c r="L1321" s="6">
        <f t="shared" si="75"/>
        <v>1</v>
      </c>
    </row>
    <row r="1322" spans="1:12" x14ac:dyDescent="0.25">
      <c r="A1322">
        <f t="shared" si="72"/>
        <v>3</v>
      </c>
      <c r="B1322">
        <f t="shared" si="73"/>
        <v>2024</v>
      </c>
      <c r="C1322" s="2">
        <v>45365</v>
      </c>
      <c r="D1322">
        <v>319.5</v>
      </c>
      <c r="E1322" s="2">
        <v>45365</v>
      </c>
      <c r="F1322">
        <v>57.75</v>
      </c>
      <c r="G1322" s="2">
        <v>45365</v>
      </c>
      <c r="H1322">
        <v>56.75</v>
      </c>
      <c r="I1322" s="2">
        <v>45365</v>
      </c>
      <c r="J1322">
        <v>57</v>
      </c>
      <c r="K1322" s="5">
        <f t="shared" si="74"/>
        <v>0.75</v>
      </c>
      <c r="L1322" s="6">
        <f t="shared" si="75"/>
        <v>1</v>
      </c>
    </row>
    <row r="1323" spans="1:12" x14ac:dyDescent="0.25">
      <c r="A1323">
        <f t="shared" si="72"/>
        <v>3</v>
      </c>
      <c r="B1323">
        <f t="shared" si="73"/>
        <v>2024</v>
      </c>
      <c r="C1323" s="2">
        <v>45366</v>
      </c>
      <c r="D1323">
        <v>319.5</v>
      </c>
      <c r="E1323" s="2">
        <v>45366</v>
      </c>
      <c r="F1323">
        <v>54.5</v>
      </c>
      <c r="G1323" s="2">
        <v>45366</v>
      </c>
      <c r="H1323">
        <v>53.5</v>
      </c>
      <c r="I1323" s="2">
        <v>45366</v>
      </c>
      <c r="J1323">
        <v>53.75</v>
      </c>
      <c r="K1323" s="5">
        <f t="shared" si="74"/>
        <v>0.75</v>
      </c>
      <c r="L1323" s="6">
        <f t="shared" si="75"/>
        <v>1</v>
      </c>
    </row>
    <row r="1324" spans="1:12" x14ac:dyDescent="0.25">
      <c r="A1324">
        <f t="shared" si="72"/>
        <v>3</v>
      </c>
      <c r="B1324">
        <f t="shared" si="73"/>
        <v>2024</v>
      </c>
      <c r="C1324" s="2">
        <v>45369</v>
      </c>
      <c r="D1324">
        <v>325</v>
      </c>
      <c r="E1324" s="2">
        <v>45369</v>
      </c>
      <c r="F1324">
        <v>54.5</v>
      </c>
      <c r="G1324" s="2">
        <v>45369</v>
      </c>
      <c r="H1324">
        <v>53.5</v>
      </c>
      <c r="I1324" s="2">
        <v>45369</v>
      </c>
      <c r="J1324">
        <v>53.5</v>
      </c>
      <c r="K1324" s="5">
        <f t="shared" si="74"/>
        <v>1</v>
      </c>
      <c r="L1324" s="6">
        <f t="shared" si="75"/>
        <v>1</v>
      </c>
    </row>
    <row r="1325" spans="1:12" x14ac:dyDescent="0.25">
      <c r="A1325">
        <f t="shared" si="72"/>
        <v>3</v>
      </c>
      <c r="B1325">
        <f t="shared" si="73"/>
        <v>2024</v>
      </c>
      <c r="C1325" s="2">
        <v>45370</v>
      </c>
      <c r="D1325">
        <v>327</v>
      </c>
      <c r="E1325" s="2">
        <v>45370</v>
      </c>
      <c r="F1325">
        <v>55.5</v>
      </c>
      <c r="G1325" s="2">
        <v>45370</v>
      </c>
      <c r="H1325">
        <v>54.5</v>
      </c>
      <c r="I1325" s="2">
        <v>45370</v>
      </c>
      <c r="J1325">
        <v>55</v>
      </c>
      <c r="K1325" s="5">
        <f t="shared" si="74"/>
        <v>0.5</v>
      </c>
      <c r="L1325" s="6">
        <f t="shared" si="75"/>
        <v>1</v>
      </c>
    </row>
    <row r="1326" spans="1:12" x14ac:dyDescent="0.25">
      <c r="A1326">
        <f t="shared" si="72"/>
        <v>3</v>
      </c>
      <c r="B1326">
        <f t="shared" si="73"/>
        <v>2024</v>
      </c>
      <c r="C1326" s="2">
        <v>45371</v>
      </c>
      <c r="D1326">
        <v>329</v>
      </c>
      <c r="E1326" s="2">
        <v>45371</v>
      </c>
      <c r="F1326">
        <v>57.25</v>
      </c>
      <c r="G1326" s="2">
        <v>45371</v>
      </c>
      <c r="H1326">
        <v>56.25</v>
      </c>
      <c r="I1326" s="2">
        <v>45371</v>
      </c>
      <c r="J1326">
        <v>56.75</v>
      </c>
      <c r="K1326" s="5">
        <f t="shared" si="74"/>
        <v>0.5</v>
      </c>
      <c r="L1326" s="6">
        <f t="shared" si="75"/>
        <v>1</v>
      </c>
    </row>
    <row r="1327" spans="1:12" x14ac:dyDescent="0.25">
      <c r="A1327">
        <f t="shared" si="72"/>
        <v>3</v>
      </c>
      <c r="B1327">
        <f t="shared" si="73"/>
        <v>2024</v>
      </c>
      <c r="C1327" s="2">
        <v>45372</v>
      </c>
      <c r="D1327">
        <v>1841</v>
      </c>
      <c r="E1327" s="2">
        <v>45372</v>
      </c>
      <c r="F1327">
        <v>57</v>
      </c>
      <c r="G1327" s="2">
        <v>45372</v>
      </c>
      <c r="H1327">
        <v>56</v>
      </c>
      <c r="I1327" s="2">
        <v>45372</v>
      </c>
      <c r="J1327">
        <v>56.5</v>
      </c>
      <c r="K1327" s="5">
        <f t="shared" si="74"/>
        <v>0.5</v>
      </c>
      <c r="L1327" s="6">
        <f t="shared" si="75"/>
        <v>1</v>
      </c>
    </row>
    <row r="1328" spans="1:12" x14ac:dyDescent="0.25">
      <c r="A1328">
        <f t="shared" si="72"/>
        <v>3</v>
      </c>
      <c r="B1328">
        <f t="shared" si="73"/>
        <v>2024</v>
      </c>
      <c r="C1328" s="2">
        <v>45373</v>
      </c>
      <c r="D1328">
        <v>338</v>
      </c>
      <c r="E1328" s="2">
        <v>45373</v>
      </c>
      <c r="F1328">
        <v>56</v>
      </c>
      <c r="G1328" s="2">
        <v>45373</v>
      </c>
      <c r="H1328">
        <v>55</v>
      </c>
      <c r="I1328" s="2">
        <v>45373</v>
      </c>
      <c r="J1328">
        <v>55.25</v>
      </c>
      <c r="K1328" s="5">
        <f t="shared" si="74"/>
        <v>0.75</v>
      </c>
      <c r="L1328" s="6">
        <f t="shared" si="75"/>
        <v>1</v>
      </c>
    </row>
    <row r="1329" spans="1:12" x14ac:dyDescent="0.25">
      <c r="A1329">
        <f t="shared" si="72"/>
        <v>3</v>
      </c>
      <c r="B1329">
        <f t="shared" si="73"/>
        <v>2024</v>
      </c>
      <c r="C1329" s="2">
        <v>45376</v>
      </c>
      <c r="D1329">
        <v>338</v>
      </c>
      <c r="E1329" s="2">
        <v>45376</v>
      </c>
      <c r="F1329">
        <v>57.25</v>
      </c>
      <c r="G1329" s="2">
        <v>45376</v>
      </c>
      <c r="H1329">
        <v>56.25</v>
      </c>
      <c r="I1329" s="2">
        <v>45376</v>
      </c>
      <c r="J1329">
        <v>56.75</v>
      </c>
      <c r="K1329" s="5">
        <f t="shared" si="74"/>
        <v>0.5</v>
      </c>
      <c r="L1329" s="6">
        <f t="shared" si="75"/>
        <v>1</v>
      </c>
    </row>
    <row r="1330" spans="1:12" x14ac:dyDescent="0.25">
      <c r="A1330">
        <f t="shared" si="72"/>
        <v>3</v>
      </c>
      <c r="B1330">
        <f t="shared" si="73"/>
        <v>2024</v>
      </c>
      <c r="C1330" s="2">
        <v>45377</v>
      </c>
      <c r="D1330">
        <v>331</v>
      </c>
      <c r="E1330" s="2">
        <v>45377</v>
      </c>
      <c r="F1330">
        <v>58</v>
      </c>
      <c r="G1330" s="2">
        <v>45377</v>
      </c>
      <c r="H1330">
        <v>57</v>
      </c>
      <c r="I1330" s="2">
        <v>45377</v>
      </c>
      <c r="J1330">
        <v>57.5</v>
      </c>
      <c r="K1330" s="5">
        <f t="shared" si="74"/>
        <v>0.5</v>
      </c>
      <c r="L1330" s="6">
        <f t="shared" si="75"/>
        <v>1</v>
      </c>
    </row>
    <row r="1331" spans="1:12" x14ac:dyDescent="0.25">
      <c r="A1331">
        <f t="shared" si="72"/>
        <v>3</v>
      </c>
      <c r="B1331">
        <f t="shared" si="73"/>
        <v>2024</v>
      </c>
      <c r="C1331" s="2">
        <v>45378</v>
      </c>
      <c r="D1331">
        <v>332</v>
      </c>
      <c r="E1331" s="2">
        <v>45378</v>
      </c>
      <c r="F1331">
        <v>58</v>
      </c>
      <c r="G1331" s="2">
        <v>45378</v>
      </c>
      <c r="H1331">
        <v>57.5</v>
      </c>
      <c r="I1331" s="2">
        <v>45378</v>
      </c>
      <c r="J1331">
        <v>58.25</v>
      </c>
      <c r="K1331" s="5">
        <f t="shared" si="74"/>
        <v>-0.25</v>
      </c>
      <c r="L1331" s="6">
        <f t="shared" si="75"/>
        <v>0.5</v>
      </c>
    </row>
    <row r="1332" spans="1:12" x14ac:dyDescent="0.25">
      <c r="A1332">
        <f t="shared" si="72"/>
        <v>3</v>
      </c>
      <c r="B1332">
        <f t="shared" si="73"/>
        <v>2024</v>
      </c>
      <c r="C1332" s="2">
        <v>45379</v>
      </c>
      <c r="D1332">
        <v>330.5</v>
      </c>
      <c r="E1332" s="2">
        <v>45379</v>
      </c>
      <c r="F1332">
        <v>56.25</v>
      </c>
      <c r="G1332" s="2">
        <v>45379</v>
      </c>
      <c r="H1332">
        <v>55.75</v>
      </c>
      <c r="I1332" s="2">
        <v>45379</v>
      </c>
      <c r="J1332">
        <v>56.25</v>
      </c>
      <c r="K1332" s="5">
        <f t="shared" si="74"/>
        <v>0</v>
      </c>
      <c r="L1332" s="6">
        <f t="shared" si="75"/>
        <v>0.5</v>
      </c>
    </row>
    <row r="1333" spans="1:12" x14ac:dyDescent="0.25">
      <c r="A1333">
        <f t="shared" si="72"/>
        <v>4</v>
      </c>
      <c r="B1333">
        <f t="shared" si="73"/>
        <v>2024</v>
      </c>
      <c r="C1333" s="2">
        <v>45383</v>
      </c>
      <c r="D1333">
        <v>332</v>
      </c>
      <c r="E1333" s="2">
        <v>45383</v>
      </c>
      <c r="F1333">
        <v>56.5</v>
      </c>
      <c r="G1333" s="2">
        <v>45383</v>
      </c>
      <c r="H1333">
        <v>55.5</v>
      </c>
      <c r="I1333" s="2">
        <v>45383</v>
      </c>
      <c r="J1333">
        <v>56</v>
      </c>
      <c r="K1333" s="5">
        <f t="shared" si="74"/>
        <v>0.5</v>
      </c>
      <c r="L1333" s="6">
        <f t="shared" si="75"/>
        <v>1</v>
      </c>
    </row>
    <row r="1334" spans="1:12" x14ac:dyDescent="0.25">
      <c r="A1334">
        <f t="shared" si="72"/>
        <v>4</v>
      </c>
      <c r="B1334">
        <f t="shared" si="73"/>
        <v>2024</v>
      </c>
      <c r="C1334" s="2">
        <v>45384</v>
      </c>
      <c r="D1334">
        <v>333</v>
      </c>
      <c r="E1334" s="2">
        <v>45384</v>
      </c>
      <c r="F1334">
        <v>56.5</v>
      </c>
      <c r="G1334" s="2">
        <v>45384</v>
      </c>
      <c r="H1334">
        <v>55.5</v>
      </c>
      <c r="I1334" s="2">
        <v>45384</v>
      </c>
      <c r="J1334">
        <v>56</v>
      </c>
      <c r="K1334" s="5">
        <f t="shared" si="74"/>
        <v>0.5</v>
      </c>
      <c r="L1334" s="6">
        <f t="shared" si="75"/>
        <v>1</v>
      </c>
    </row>
    <row r="1335" spans="1:12" x14ac:dyDescent="0.25">
      <c r="A1335">
        <f t="shared" si="72"/>
        <v>4</v>
      </c>
      <c r="B1335">
        <f t="shared" si="73"/>
        <v>2024</v>
      </c>
      <c r="C1335" s="2">
        <v>45385</v>
      </c>
      <c r="D1335">
        <v>332</v>
      </c>
      <c r="E1335" s="2">
        <v>45385</v>
      </c>
      <c r="F1335">
        <v>54.5</v>
      </c>
      <c r="G1335" s="2">
        <v>45385</v>
      </c>
      <c r="H1335">
        <v>53.5</v>
      </c>
      <c r="I1335" s="2">
        <v>45385</v>
      </c>
      <c r="J1335">
        <v>54</v>
      </c>
      <c r="K1335" s="5">
        <f t="shared" si="74"/>
        <v>0.5</v>
      </c>
      <c r="L1335" s="6">
        <f t="shared" si="75"/>
        <v>1</v>
      </c>
    </row>
    <row r="1336" spans="1:12" x14ac:dyDescent="0.25">
      <c r="A1336">
        <f t="shared" si="72"/>
        <v>4</v>
      </c>
      <c r="B1336">
        <f t="shared" si="73"/>
        <v>2024</v>
      </c>
      <c r="C1336" s="2">
        <v>45386</v>
      </c>
      <c r="D1336">
        <v>332</v>
      </c>
      <c r="E1336" s="2">
        <v>45386</v>
      </c>
      <c r="F1336">
        <v>52.25</v>
      </c>
      <c r="G1336" s="2">
        <v>45386</v>
      </c>
      <c r="H1336">
        <v>51.25</v>
      </c>
      <c r="I1336" s="2">
        <v>45386</v>
      </c>
      <c r="J1336">
        <v>51.75</v>
      </c>
      <c r="K1336" s="5">
        <f t="shared" si="74"/>
        <v>0.5</v>
      </c>
      <c r="L1336" s="6">
        <f t="shared" si="75"/>
        <v>1</v>
      </c>
    </row>
    <row r="1337" spans="1:12" x14ac:dyDescent="0.25">
      <c r="A1337">
        <f t="shared" ref="A1337:A1400" si="76">MONTH(E1337)</f>
        <v>4</v>
      </c>
      <c r="B1337">
        <f t="shared" ref="B1337:B1400" si="77">YEAR(E1337)</f>
        <v>2024</v>
      </c>
      <c r="C1337" s="2">
        <v>45387</v>
      </c>
      <c r="D1337">
        <v>333</v>
      </c>
      <c r="E1337" s="2">
        <v>45387</v>
      </c>
      <c r="F1337">
        <v>51.5</v>
      </c>
      <c r="G1337" s="2">
        <v>45387</v>
      </c>
      <c r="H1337">
        <v>51</v>
      </c>
      <c r="I1337" s="2">
        <v>45387</v>
      </c>
      <c r="J1337">
        <v>51.5</v>
      </c>
      <c r="K1337" s="5">
        <f t="shared" ref="K1337:K1400" si="78">F1337-J1337</f>
        <v>0</v>
      </c>
      <c r="L1337" s="6">
        <f t="shared" ref="L1337:L1400" si="79">F1337-H1337</f>
        <v>0.5</v>
      </c>
    </row>
    <row r="1338" spans="1:12" x14ac:dyDescent="0.25">
      <c r="A1338">
        <f t="shared" si="76"/>
        <v>4</v>
      </c>
      <c r="B1338">
        <f t="shared" si="77"/>
        <v>2024</v>
      </c>
      <c r="C1338" s="2">
        <v>45390</v>
      </c>
      <c r="D1338">
        <v>332.5</v>
      </c>
      <c r="E1338" s="2">
        <v>45390</v>
      </c>
      <c r="F1338">
        <v>52.5</v>
      </c>
      <c r="G1338" s="2">
        <v>45390</v>
      </c>
      <c r="H1338">
        <v>51.75</v>
      </c>
      <c r="I1338" s="2">
        <v>45390</v>
      </c>
      <c r="J1338">
        <v>52</v>
      </c>
      <c r="K1338" s="5">
        <f t="shared" si="78"/>
        <v>0.5</v>
      </c>
      <c r="L1338" s="6">
        <f t="shared" si="79"/>
        <v>0.75</v>
      </c>
    </row>
    <row r="1339" spans="1:12" x14ac:dyDescent="0.25">
      <c r="A1339">
        <f t="shared" si="76"/>
        <v>4</v>
      </c>
      <c r="B1339">
        <f t="shared" si="77"/>
        <v>2024</v>
      </c>
      <c r="C1339" s="2">
        <v>45391</v>
      </c>
      <c r="D1339">
        <v>332.5</v>
      </c>
      <c r="E1339" s="2">
        <v>45391</v>
      </c>
      <c r="F1339">
        <v>52</v>
      </c>
      <c r="G1339" s="2">
        <v>45391</v>
      </c>
      <c r="H1339">
        <v>51.75</v>
      </c>
      <c r="I1339" s="2">
        <v>45391</v>
      </c>
      <c r="J1339">
        <v>51.5</v>
      </c>
      <c r="K1339" s="5">
        <f t="shared" si="78"/>
        <v>0.5</v>
      </c>
      <c r="L1339" s="6">
        <f t="shared" si="79"/>
        <v>0.25</v>
      </c>
    </row>
    <row r="1340" spans="1:12" x14ac:dyDescent="0.25">
      <c r="A1340">
        <f t="shared" si="76"/>
        <v>4</v>
      </c>
      <c r="B1340">
        <f t="shared" si="77"/>
        <v>2024</v>
      </c>
      <c r="C1340" s="2">
        <v>45392</v>
      </c>
      <c r="D1340">
        <v>332</v>
      </c>
      <c r="E1340" s="2">
        <v>45392</v>
      </c>
      <c r="F1340">
        <v>52</v>
      </c>
      <c r="G1340" s="2">
        <v>45392</v>
      </c>
      <c r="H1340">
        <v>51.5</v>
      </c>
      <c r="I1340" s="2">
        <v>45392</v>
      </c>
      <c r="J1340">
        <v>51.5</v>
      </c>
      <c r="K1340" s="5">
        <f t="shared" si="78"/>
        <v>0.5</v>
      </c>
      <c r="L1340" s="6">
        <f t="shared" si="79"/>
        <v>0.5</v>
      </c>
    </row>
    <row r="1341" spans="1:12" x14ac:dyDescent="0.25">
      <c r="A1341">
        <f t="shared" si="76"/>
        <v>4</v>
      </c>
      <c r="B1341">
        <f t="shared" si="77"/>
        <v>2024</v>
      </c>
      <c r="C1341" s="2">
        <v>45393</v>
      </c>
      <c r="D1341">
        <v>330</v>
      </c>
      <c r="E1341" s="2">
        <v>45393</v>
      </c>
      <c r="F1341">
        <v>49</v>
      </c>
      <c r="G1341" s="2">
        <v>45393</v>
      </c>
      <c r="H1341">
        <v>48</v>
      </c>
      <c r="I1341" s="2">
        <v>45393</v>
      </c>
      <c r="J1341">
        <v>48.75</v>
      </c>
      <c r="K1341" s="5">
        <f t="shared" si="78"/>
        <v>0.25</v>
      </c>
      <c r="L1341" s="6">
        <f t="shared" si="79"/>
        <v>1</v>
      </c>
    </row>
    <row r="1342" spans="1:12" x14ac:dyDescent="0.25">
      <c r="A1342">
        <f t="shared" si="76"/>
        <v>4</v>
      </c>
      <c r="B1342">
        <f t="shared" si="77"/>
        <v>2024</v>
      </c>
      <c r="C1342" s="2">
        <v>45394</v>
      </c>
      <c r="D1342">
        <v>326</v>
      </c>
      <c r="E1342" s="2">
        <v>45394</v>
      </c>
      <c r="F1342">
        <v>47</v>
      </c>
      <c r="G1342" s="2">
        <v>45394</v>
      </c>
      <c r="H1342">
        <v>46</v>
      </c>
      <c r="I1342" s="2">
        <v>45394</v>
      </c>
      <c r="J1342">
        <v>46.75</v>
      </c>
      <c r="K1342" s="5">
        <f t="shared" si="78"/>
        <v>0.25</v>
      </c>
      <c r="L1342" s="6">
        <f t="shared" si="79"/>
        <v>1</v>
      </c>
    </row>
    <row r="1343" spans="1:12" x14ac:dyDescent="0.25">
      <c r="A1343">
        <f t="shared" si="76"/>
        <v>4</v>
      </c>
      <c r="B1343">
        <f t="shared" si="77"/>
        <v>2024</v>
      </c>
      <c r="C1343" s="2">
        <v>45397</v>
      </c>
      <c r="D1343">
        <v>328</v>
      </c>
      <c r="E1343" s="2">
        <v>45397</v>
      </c>
      <c r="F1343">
        <v>47.25</v>
      </c>
      <c r="G1343" s="2">
        <v>45397</v>
      </c>
      <c r="H1343">
        <v>46.25</v>
      </c>
      <c r="I1343" s="2">
        <v>45397</v>
      </c>
      <c r="J1343">
        <v>47.25</v>
      </c>
      <c r="K1343" s="5">
        <f t="shared" si="78"/>
        <v>0</v>
      </c>
      <c r="L1343" s="6">
        <f t="shared" si="79"/>
        <v>1</v>
      </c>
    </row>
    <row r="1344" spans="1:12" x14ac:dyDescent="0.25">
      <c r="A1344">
        <f t="shared" si="76"/>
        <v>4</v>
      </c>
      <c r="B1344">
        <f t="shared" si="77"/>
        <v>2024</v>
      </c>
      <c r="C1344" s="2">
        <v>45398</v>
      </c>
      <c r="D1344">
        <v>326.5</v>
      </c>
      <c r="E1344" s="2">
        <v>45398</v>
      </c>
      <c r="F1344">
        <v>44.5</v>
      </c>
      <c r="G1344" s="2">
        <v>45398</v>
      </c>
      <c r="H1344">
        <v>43.5</v>
      </c>
      <c r="I1344" s="2">
        <v>45398</v>
      </c>
      <c r="J1344">
        <v>44.5</v>
      </c>
      <c r="K1344" s="5">
        <f t="shared" si="78"/>
        <v>0</v>
      </c>
      <c r="L1344" s="6">
        <f t="shared" si="79"/>
        <v>1</v>
      </c>
    </row>
    <row r="1345" spans="1:12" x14ac:dyDescent="0.25">
      <c r="A1345">
        <f t="shared" si="76"/>
        <v>4</v>
      </c>
      <c r="B1345">
        <f t="shared" si="77"/>
        <v>2024</v>
      </c>
      <c r="C1345" s="2">
        <v>45399</v>
      </c>
      <c r="D1345">
        <v>326.25</v>
      </c>
      <c r="E1345" s="2">
        <v>45399</v>
      </c>
      <c r="F1345">
        <v>45</v>
      </c>
      <c r="G1345" s="2">
        <v>45399</v>
      </c>
      <c r="H1345">
        <v>44</v>
      </c>
      <c r="I1345" s="2">
        <v>45399</v>
      </c>
      <c r="J1345">
        <v>45.25</v>
      </c>
      <c r="K1345" s="5">
        <f t="shared" si="78"/>
        <v>-0.25</v>
      </c>
      <c r="L1345" s="6">
        <f t="shared" si="79"/>
        <v>1</v>
      </c>
    </row>
    <row r="1346" spans="1:12" x14ac:dyDescent="0.25">
      <c r="A1346">
        <f t="shared" si="76"/>
        <v>4</v>
      </c>
      <c r="B1346">
        <f t="shared" si="77"/>
        <v>2024</v>
      </c>
      <c r="C1346" s="2">
        <v>45400</v>
      </c>
      <c r="D1346">
        <v>327</v>
      </c>
      <c r="E1346" s="2">
        <v>45400</v>
      </c>
      <c r="F1346">
        <v>44.75</v>
      </c>
      <c r="G1346" s="2">
        <v>45400</v>
      </c>
      <c r="H1346">
        <v>43.75</v>
      </c>
      <c r="I1346" s="2">
        <v>45400</v>
      </c>
      <c r="J1346">
        <v>45</v>
      </c>
      <c r="K1346" s="5">
        <f t="shared" si="78"/>
        <v>-0.25</v>
      </c>
      <c r="L1346" s="6">
        <f t="shared" si="79"/>
        <v>1</v>
      </c>
    </row>
    <row r="1347" spans="1:12" x14ac:dyDescent="0.25">
      <c r="A1347">
        <f t="shared" si="76"/>
        <v>4</v>
      </c>
      <c r="B1347">
        <f t="shared" si="77"/>
        <v>2024</v>
      </c>
      <c r="C1347" s="2">
        <v>45401</v>
      </c>
      <c r="D1347">
        <v>327</v>
      </c>
      <c r="E1347" s="2">
        <v>45401</v>
      </c>
      <c r="F1347">
        <v>44</v>
      </c>
      <c r="G1347" s="2">
        <v>45401</v>
      </c>
      <c r="H1347">
        <v>43.25</v>
      </c>
      <c r="I1347" s="2">
        <v>45401</v>
      </c>
      <c r="J1347">
        <v>44.25</v>
      </c>
      <c r="K1347" s="5">
        <f t="shared" si="78"/>
        <v>-0.25</v>
      </c>
      <c r="L1347" s="6">
        <f t="shared" si="79"/>
        <v>0.75</v>
      </c>
    </row>
    <row r="1348" spans="1:12" x14ac:dyDescent="0.25">
      <c r="A1348">
        <f t="shared" si="76"/>
        <v>4</v>
      </c>
      <c r="B1348">
        <f t="shared" si="77"/>
        <v>2024</v>
      </c>
      <c r="C1348" s="2">
        <v>45404</v>
      </c>
      <c r="D1348">
        <v>326</v>
      </c>
      <c r="E1348" s="2">
        <v>45404</v>
      </c>
      <c r="F1348">
        <v>46.5</v>
      </c>
      <c r="G1348" s="2">
        <v>45404</v>
      </c>
      <c r="H1348">
        <v>45.75</v>
      </c>
      <c r="I1348" s="2">
        <v>45404</v>
      </c>
      <c r="J1348">
        <v>46</v>
      </c>
      <c r="K1348" s="5">
        <f t="shared" si="78"/>
        <v>0.5</v>
      </c>
      <c r="L1348" s="6">
        <f t="shared" si="79"/>
        <v>0.75</v>
      </c>
    </row>
    <row r="1349" spans="1:12" x14ac:dyDescent="0.25">
      <c r="A1349">
        <f t="shared" si="76"/>
        <v>4</v>
      </c>
      <c r="B1349">
        <f t="shared" si="77"/>
        <v>2024</v>
      </c>
      <c r="C1349" s="2">
        <v>45405</v>
      </c>
      <c r="D1349">
        <v>325</v>
      </c>
      <c r="E1349" s="2">
        <v>45405</v>
      </c>
      <c r="F1349">
        <v>47.25</v>
      </c>
      <c r="G1349" s="2">
        <v>45405</v>
      </c>
      <c r="H1349">
        <v>46.5</v>
      </c>
      <c r="I1349" s="2">
        <v>45405</v>
      </c>
      <c r="J1349">
        <v>47</v>
      </c>
      <c r="K1349" s="5">
        <f t="shared" si="78"/>
        <v>0.25</v>
      </c>
      <c r="L1349" s="6">
        <f t="shared" si="79"/>
        <v>0.75</v>
      </c>
    </row>
    <row r="1350" spans="1:12" x14ac:dyDescent="0.25">
      <c r="A1350">
        <f t="shared" si="76"/>
        <v>4</v>
      </c>
      <c r="B1350">
        <f t="shared" si="77"/>
        <v>2024</v>
      </c>
      <c r="C1350" s="2">
        <v>45406</v>
      </c>
      <c r="D1350">
        <v>323</v>
      </c>
      <c r="E1350" s="2">
        <v>45406</v>
      </c>
      <c r="F1350">
        <v>46</v>
      </c>
      <c r="G1350" s="2">
        <v>45406</v>
      </c>
      <c r="H1350">
        <v>45.25</v>
      </c>
      <c r="I1350" s="2">
        <v>45406</v>
      </c>
      <c r="J1350">
        <v>45.75</v>
      </c>
      <c r="K1350" s="5">
        <f t="shared" si="78"/>
        <v>0.25</v>
      </c>
      <c r="L1350" s="6">
        <f t="shared" si="79"/>
        <v>0.75</v>
      </c>
    </row>
    <row r="1351" spans="1:12" x14ac:dyDescent="0.25">
      <c r="A1351">
        <f t="shared" si="76"/>
        <v>4</v>
      </c>
      <c r="B1351">
        <f t="shared" si="77"/>
        <v>2024</v>
      </c>
      <c r="C1351" s="2">
        <v>45407</v>
      </c>
      <c r="D1351">
        <v>322</v>
      </c>
      <c r="E1351" s="2">
        <v>45407</v>
      </c>
      <c r="F1351">
        <v>45</v>
      </c>
      <c r="G1351" s="2">
        <v>45407</v>
      </c>
      <c r="H1351">
        <v>44.25</v>
      </c>
      <c r="I1351" s="2">
        <v>45407</v>
      </c>
      <c r="J1351">
        <v>45</v>
      </c>
      <c r="K1351" s="5">
        <f t="shared" si="78"/>
        <v>0</v>
      </c>
      <c r="L1351" s="6">
        <f t="shared" si="79"/>
        <v>0.75</v>
      </c>
    </row>
    <row r="1352" spans="1:12" x14ac:dyDescent="0.25">
      <c r="A1352">
        <f t="shared" si="76"/>
        <v>4</v>
      </c>
      <c r="B1352">
        <f t="shared" si="77"/>
        <v>2024</v>
      </c>
      <c r="C1352" s="2">
        <v>45408</v>
      </c>
      <c r="D1352">
        <v>322.5</v>
      </c>
      <c r="E1352" s="2">
        <v>45408</v>
      </c>
      <c r="F1352">
        <v>45.25</v>
      </c>
      <c r="G1352" s="2">
        <v>45408</v>
      </c>
      <c r="H1352">
        <v>44.5</v>
      </c>
      <c r="I1352" s="2">
        <v>45408</v>
      </c>
      <c r="J1352">
        <v>45</v>
      </c>
      <c r="K1352" s="5">
        <f t="shared" si="78"/>
        <v>0.25</v>
      </c>
      <c r="L1352" s="6">
        <f t="shared" si="79"/>
        <v>0.75</v>
      </c>
    </row>
    <row r="1353" spans="1:12" x14ac:dyDescent="0.25">
      <c r="A1353">
        <f t="shared" si="76"/>
        <v>4</v>
      </c>
      <c r="B1353">
        <f t="shared" si="77"/>
        <v>2024</v>
      </c>
      <c r="C1353" s="2">
        <v>45411</v>
      </c>
      <c r="D1353">
        <v>323</v>
      </c>
      <c r="E1353" s="2">
        <v>45411</v>
      </c>
      <c r="F1353">
        <v>44.5</v>
      </c>
      <c r="G1353" s="2">
        <v>45411</v>
      </c>
      <c r="H1353">
        <v>43.75</v>
      </c>
      <c r="I1353" s="2">
        <v>45411</v>
      </c>
      <c r="J1353">
        <v>44.25</v>
      </c>
      <c r="K1353" s="5">
        <f t="shared" si="78"/>
        <v>0.25</v>
      </c>
      <c r="L1353" s="6">
        <f t="shared" si="79"/>
        <v>0.75</v>
      </c>
    </row>
    <row r="1354" spans="1:12" x14ac:dyDescent="0.25">
      <c r="A1354">
        <f t="shared" si="76"/>
        <v>4</v>
      </c>
      <c r="B1354">
        <f t="shared" si="77"/>
        <v>2024</v>
      </c>
      <c r="C1354" s="2">
        <v>45412</v>
      </c>
      <c r="D1354">
        <v>321</v>
      </c>
      <c r="E1354" s="2">
        <v>45412</v>
      </c>
      <c r="F1354">
        <v>42.75</v>
      </c>
      <c r="G1354" s="2">
        <v>45412</v>
      </c>
      <c r="H1354">
        <v>42</v>
      </c>
      <c r="I1354" s="2">
        <v>45412</v>
      </c>
      <c r="J1354">
        <v>43</v>
      </c>
      <c r="K1354" s="5">
        <f t="shared" si="78"/>
        <v>-0.25</v>
      </c>
      <c r="L1354" s="6">
        <f t="shared" si="79"/>
        <v>0.75</v>
      </c>
    </row>
    <row r="1355" spans="1:12" x14ac:dyDescent="0.25">
      <c r="A1355">
        <f t="shared" si="76"/>
        <v>5</v>
      </c>
      <c r="B1355">
        <f t="shared" si="77"/>
        <v>2024</v>
      </c>
      <c r="C1355" s="2">
        <v>45413</v>
      </c>
      <c r="D1355">
        <v>323</v>
      </c>
      <c r="E1355" s="2">
        <v>45413</v>
      </c>
      <c r="F1355">
        <v>43.75</v>
      </c>
      <c r="G1355" s="2">
        <v>45413</v>
      </c>
      <c r="H1355">
        <v>43</v>
      </c>
      <c r="I1355" s="2">
        <v>45413</v>
      </c>
      <c r="J1355">
        <v>43.5</v>
      </c>
      <c r="K1355" s="5">
        <f t="shared" si="78"/>
        <v>0.25</v>
      </c>
      <c r="L1355" s="6">
        <f t="shared" si="79"/>
        <v>0.75</v>
      </c>
    </row>
    <row r="1356" spans="1:12" x14ac:dyDescent="0.25">
      <c r="A1356">
        <f t="shared" si="76"/>
        <v>5</v>
      </c>
      <c r="B1356">
        <f t="shared" si="77"/>
        <v>2024</v>
      </c>
      <c r="C1356" s="2">
        <v>45414</v>
      </c>
      <c r="D1356">
        <v>321</v>
      </c>
      <c r="E1356" s="2">
        <v>45414</v>
      </c>
      <c r="F1356">
        <v>43.25</v>
      </c>
      <c r="G1356" s="2">
        <v>45414</v>
      </c>
      <c r="H1356">
        <v>41.75</v>
      </c>
      <c r="I1356" s="2">
        <v>45414</v>
      </c>
      <c r="J1356">
        <v>42.75</v>
      </c>
      <c r="K1356" s="5">
        <f t="shared" si="78"/>
        <v>0.5</v>
      </c>
      <c r="L1356" s="6">
        <f t="shared" si="79"/>
        <v>1.5</v>
      </c>
    </row>
    <row r="1357" spans="1:12" x14ac:dyDescent="0.25">
      <c r="A1357">
        <f t="shared" si="76"/>
        <v>5</v>
      </c>
      <c r="B1357">
        <f t="shared" si="77"/>
        <v>2024</v>
      </c>
      <c r="C1357" s="2">
        <v>45415</v>
      </c>
      <c r="D1357">
        <v>318.25</v>
      </c>
      <c r="E1357" s="2">
        <v>45415</v>
      </c>
      <c r="F1357">
        <v>43.75</v>
      </c>
      <c r="G1357" s="2">
        <v>45415</v>
      </c>
      <c r="H1357">
        <v>43</v>
      </c>
      <c r="I1357" s="2">
        <v>45415</v>
      </c>
      <c r="J1357">
        <v>43.5</v>
      </c>
      <c r="K1357" s="5">
        <f t="shared" si="78"/>
        <v>0.25</v>
      </c>
      <c r="L1357" s="6">
        <f t="shared" si="79"/>
        <v>0.75</v>
      </c>
    </row>
    <row r="1358" spans="1:12" x14ac:dyDescent="0.25">
      <c r="A1358">
        <f t="shared" si="76"/>
        <v>5</v>
      </c>
      <c r="B1358">
        <f t="shared" si="77"/>
        <v>2024</v>
      </c>
      <c r="C1358" s="2">
        <v>45418</v>
      </c>
      <c r="D1358">
        <v>317</v>
      </c>
      <c r="E1358" s="2">
        <v>45418</v>
      </c>
      <c r="F1358">
        <v>44.25</v>
      </c>
      <c r="G1358" s="2">
        <v>45418</v>
      </c>
      <c r="H1358">
        <v>43.75</v>
      </c>
      <c r="I1358" s="2">
        <v>45418</v>
      </c>
      <c r="J1358">
        <v>44.5</v>
      </c>
      <c r="K1358" s="5">
        <f t="shared" si="78"/>
        <v>-0.25</v>
      </c>
      <c r="L1358" s="6">
        <f t="shared" si="79"/>
        <v>0.5</v>
      </c>
    </row>
    <row r="1359" spans="1:12" x14ac:dyDescent="0.25">
      <c r="A1359">
        <f t="shared" si="76"/>
        <v>5</v>
      </c>
      <c r="B1359">
        <f t="shared" si="77"/>
        <v>2024</v>
      </c>
      <c r="C1359" s="2">
        <v>45419</v>
      </c>
      <c r="D1359">
        <v>313</v>
      </c>
      <c r="E1359" s="2">
        <v>45419</v>
      </c>
      <c r="F1359">
        <v>45.75</v>
      </c>
      <c r="G1359" s="2">
        <v>45419</v>
      </c>
      <c r="H1359">
        <v>45.25</v>
      </c>
      <c r="I1359" s="2">
        <v>45419</v>
      </c>
      <c r="J1359">
        <v>45.5</v>
      </c>
      <c r="K1359" s="5">
        <f t="shared" si="78"/>
        <v>0.25</v>
      </c>
      <c r="L1359" s="6">
        <f t="shared" si="79"/>
        <v>0.5</v>
      </c>
    </row>
    <row r="1360" spans="1:12" x14ac:dyDescent="0.25">
      <c r="A1360">
        <f t="shared" si="76"/>
        <v>5</v>
      </c>
      <c r="B1360">
        <f t="shared" si="77"/>
        <v>2024</v>
      </c>
      <c r="C1360" s="2">
        <v>45420</v>
      </c>
      <c r="D1360">
        <v>315</v>
      </c>
      <c r="E1360" s="2">
        <v>45420</v>
      </c>
      <c r="F1360">
        <v>44.75</v>
      </c>
      <c r="G1360" s="2">
        <v>45420</v>
      </c>
      <c r="H1360">
        <v>44.25</v>
      </c>
      <c r="I1360" s="2">
        <v>45420</v>
      </c>
      <c r="J1360">
        <v>44.5</v>
      </c>
      <c r="K1360" s="5">
        <f t="shared" si="78"/>
        <v>0.25</v>
      </c>
      <c r="L1360" s="6">
        <f t="shared" si="79"/>
        <v>0.5</v>
      </c>
    </row>
    <row r="1361" spans="1:12" x14ac:dyDescent="0.25">
      <c r="A1361">
        <f t="shared" si="76"/>
        <v>5</v>
      </c>
      <c r="B1361">
        <f t="shared" si="77"/>
        <v>2024</v>
      </c>
      <c r="C1361" s="2">
        <v>45421</v>
      </c>
      <c r="D1361">
        <v>315</v>
      </c>
      <c r="E1361" s="2">
        <v>45421</v>
      </c>
      <c r="F1361">
        <v>43.75</v>
      </c>
      <c r="G1361" s="2">
        <v>45421</v>
      </c>
      <c r="H1361">
        <v>43</v>
      </c>
      <c r="I1361" s="2">
        <v>45421</v>
      </c>
      <c r="J1361">
        <v>43.5</v>
      </c>
      <c r="K1361" s="5">
        <f t="shared" si="78"/>
        <v>0.25</v>
      </c>
      <c r="L1361" s="6">
        <f t="shared" si="79"/>
        <v>0.75</v>
      </c>
    </row>
    <row r="1362" spans="1:12" x14ac:dyDescent="0.25">
      <c r="A1362">
        <f t="shared" si="76"/>
        <v>5</v>
      </c>
      <c r="B1362">
        <f t="shared" si="77"/>
        <v>2024</v>
      </c>
      <c r="C1362" s="2">
        <v>45422</v>
      </c>
      <c r="D1362">
        <v>316</v>
      </c>
      <c r="E1362" s="2">
        <v>45422</v>
      </c>
      <c r="F1362">
        <v>45.75</v>
      </c>
      <c r="G1362" s="2">
        <v>45422</v>
      </c>
      <c r="H1362">
        <v>45</v>
      </c>
      <c r="I1362" s="2">
        <v>45422</v>
      </c>
      <c r="J1362">
        <v>45.5</v>
      </c>
      <c r="K1362" s="5">
        <f t="shared" si="78"/>
        <v>0.25</v>
      </c>
      <c r="L1362" s="6">
        <f t="shared" si="79"/>
        <v>0.75</v>
      </c>
    </row>
    <row r="1363" spans="1:12" x14ac:dyDescent="0.25">
      <c r="A1363">
        <f t="shared" si="76"/>
        <v>5</v>
      </c>
      <c r="B1363">
        <f t="shared" si="77"/>
        <v>2024</v>
      </c>
      <c r="C1363" s="2">
        <v>45425</v>
      </c>
      <c r="D1363">
        <v>307.5</v>
      </c>
      <c r="E1363" s="2">
        <v>45425</v>
      </c>
      <c r="F1363">
        <v>48</v>
      </c>
      <c r="G1363" s="2">
        <v>45425</v>
      </c>
      <c r="H1363">
        <v>45</v>
      </c>
      <c r="I1363" s="2">
        <v>45425</v>
      </c>
      <c r="J1363">
        <v>48</v>
      </c>
      <c r="K1363" s="5">
        <f t="shared" si="78"/>
        <v>0</v>
      </c>
      <c r="L1363" s="6">
        <f t="shared" si="79"/>
        <v>3</v>
      </c>
    </row>
    <row r="1364" spans="1:12" x14ac:dyDescent="0.25">
      <c r="A1364">
        <f t="shared" si="76"/>
        <v>5</v>
      </c>
      <c r="B1364">
        <f t="shared" si="77"/>
        <v>2024</v>
      </c>
      <c r="C1364" s="2">
        <v>45426</v>
      </c>
      <c r="D1364">
        <v>307.5</v>
      </c>
      <c r="E1364" s="2">
        <v>45426</v>
      </c>
      <c r="F1364">
        <v>45.5</v>
      </c>
      <c r="G1364" s="2">
        <v>45426</v>
      </c>
      <c r="H1364">
        <v>45</v>
      </c>
      <c r="I1364" s="2">
        <v>45426</v>
      </c>
      <c r="J1364">
        <v>44.75</v>
      </c>
      <c r="K1364" s="5">
        <f t="shared" si="78"/>
        <v>0.75</v>
      </c>
      <c r="L1364" s="6">
        <f t="shared" si="79"/>
        <v>0.5</v>
      </c>
    </row>
    <row r="1365" spans="1:12" x14ac:dyDescent="0.25">
      <c r="A1365">
        <f t="shared" si="76"/>
        <v>5</v>
      </c>
      <c r="B1365">
        <f t="shared" si="77"/>
        <v>2024</v>
      </c>
      <c r="C1365" s="2">
        <v>45427</v>
      </c>
      <c r="D1365">
        <v>304.5</v>
      </c>
      <c r="E1365" s="2">
        <v>45427</v>
      </c>
      <c r="F1365">
        <v>46.25</v>
      </c>
      <c r="G1365" s="2">
        <v>45427</v>
      </c>
      <c r="H1365">
        <v>45.5</v>
      </c>
      <c r="I1365" s="2">
        <v>45427</v>
      </c>
      <c r="J1365">
        <v>46</v>
      </c>
      <c r="K1365" s="5">
        <f t="shared" si="78"/>
        <v>0.25</v>
      </c>
      <c r="L1365" s="6">
        <f t="shared" si="79"/>
        <v>0.75</v>
      </c>
    </row>
    <row r="1366" spans="1:12" x14ac:dyDescent="0.25">
      <c r="A1366">
        <f t="shared" si="76"/>
        <v>5</v>
      </c>
      <c r="B1366">
        <f t="shared" si="77"/>
        <v>2024</v>
      </c>
      <c r="C1366" s="2">
        <v>45428</v>
      </c>
      <c r="D1366">
        <v>316</v>
      </c>
      <c r="E1366" s="2">
        <v>45428</v>
      </c>
      <c r="F1366">
        <v>47.25</v>
      </c>
      <c r="G1366" s="2">
        <v>45428</v>
      </c>
      <c r="H1366">
        <v>46.75</v>
      </c>
      <c r="I1366" s="2">
        <v>45428</v>
      </c>
      <c r="J1366">
        <v>47.25</v>
      </c>
      <c r="K1366" s="5">
        <f t="shared" si="78"/>
        <v>0</v>
      </c>
      <c r="L1366" s="6">
        <f t="shared" si="79"/>
        <v>0.5</v>
      </c>
    </row>
    <row r="1367" spans="1:12" x14ac:dyDescent="0.25">
      <c r="A1367">
        <f t="shared" si="76"/>
        <v>5</v>
      </c>
      <c r="B1367">
        <f t="shared" si="77"/>
        <v>2024</v>
      </c>
      <c r="C1367" s="2">
        <v>45429</v>
      </c>
      <c r="D1367">
        <v>318</v>
      </c>
      <c r="E1367" s="2">
        <v>45429</v>
      </c>
      <c r="F1367">
        <v>49.75</v>
      </c>
      <c r="G1367" s="2">
        <v>45429</v>
      </c>
      <c r="H1367">
        <v>49</v>
      </c>
      <c r="I1367" s="2">
        <v>45429</v>
      </c>
      <c r="J1367">
        <v>49.75</v>
      </c>
      <c r="K1367" s="5">
        <f t="shared" si="78"/>
        <v>0</v>
      </c>
      <c r="L1367" s="6">
        <f t="shared" si="79"/>
        <v>0.75</v>
      </c>
    </row>
    <row r="1368" spans="1:12" x14ac:dyDescent="0.25">
      <c r="A1368">
        <f t="shared" si="76"/>
        <v>5</v>
      </c>
      <c r="B1368">
        <f t="shared" si="77"/>
        <v>2024</v>
      </c>
      <c r="C1368" s="2">
        <v>45432</v>
      </c>
      <c r="D1368">
        <v>327</v>
      </c>
      <c r="E1368" s="2">
        <v>45432</v>
      </c>
      <c r="F1368">
        <v>53.25</v>
      </c>
      <c r="G1368" s="2">
        <v>45432</v>
      </c>
      <c r="H1368">
        <v>52.5</v>
      </c>
      <c r="I1368" s="2">
        <v>45432</v>
      </c>
      <c r="J1368">
        <v>53.25</v>
      </c>
      <c r="K1368" s="5">
        <f t="shared" si="78"/>
        <v>0</v>
      </c>
      <c r="L1368" s="6">
        <f t="shared" si="79"/>
        <v>0.75</v>
      </c>
    </row>
    <row r="1369" spans="1:12" x14ac:dyDescent="0.25">
      <c r="A1369">
        <f t="shared" si="76"/>
        <v>5</v>
      </c>
      <c r="B1369">
        <f t="shared" si="77"/>
        <v>2024</v>
      </c>
      <c r="C1369" s="2">
        <v>45433</v>
      </c>
      <c r="D1369">
        <v>327</v>
      </c>
      <c r="E1369" s="2">
        <v>45433</v>
      </c>
      <c r="F1369">
        <v>53.75</v>
      </c>
      <c r="G1369" s="2">
        <v>45433</v>
      </c>
      <c r="H1369">
        <v>53</v>
      </c>
      <c r="I1369" s="2">
        <v>45433</v>
      </c>
      <c r="J1369">
        <v>53.5</v>
      </c>
      <c r="K1369" s="5">
        <f t="shared" si="78"/>
        <v>0.25</v>
      </c>
      <c r="L1369" s="6">
        <f t="shared" si="79"/>
        <v>0.75</v>
      </c>
    </row>
    <row r="1370" spans="1:12" x14ac:dyDescent="0.25">
      <c r="A1370">
        <f t="shared" si="76"/>
        <v>5</v>
      </c>
      <c r="B1370">
        <f t="shared" si="77"/>
        <v>2024</v>
      </c>
      <c r="C1370" s="2">
        <v>45434</v>
      </c>
      <c r="D1370">
        <v>326</v>
      </c>
      <c r="E1370" s="2">
        <v>45434</v>
      </c>
      <c r="F1370">
        <v>56.25</v>
      </c>
      <c r="G1370" s="2">
        <v>45434</v>
      </c>
      <c r="H1370">
        <v>55.5</v>
      </c>
      <c r="I1370" s="2">
        <v>45434</v>
      </c>
      <c r="J1370">
        <v>56.25</v>
      </c>
      <c r="K1370" s="5">
        <f t="shared" si="78"/>
        <v>0</v>
      </c>
      <c r="L1370" s="6">
        <f t="shared" si="79"/>
        <v>0.75</v>
      </c>
    </row>
    <row r="1371" spans="1:12" x14ac:dyDescent="0.25">
      <c r="A1371">
        <f t="shared" si="76"/>
        <v>5</v>
      </c>
      <c r="B1371">
        <f t="shared" si="77"/>
        <v>2024</v>
      </c>
      <c r="C1371" s="2">
        <v>45435</v>
      </c>
      <c r="D1371">
        <v>320</v>
      </c>
      <c r="E1371" s="2">
        <v>45435</v>
      </c>
      <c r="F1371">
        <v>57.25</v>
      </c>
      <c r="G1371" s="2">
        <v>45435</v>
      </c>
      <c r="H1371">
        <v>56.5</v>
      </c>
      <c r="I1371" s="2">
        <v>45435</v>
      </c>
      <c r="J1371">
        <v>57.25</v>
      </c>
      <c r="K1371" s="5">
        <f t="shared" si="78"/>
        <v>0</v>
      </c>
      <c r="L1371" s="6">
        <f t="shared" si="79"/>
        <v>0.75</v>
      </c>
    </row>
    <row r="1372" spans="1:12" x14ac:dyDescent="0.25">
      <c r="A1372">
        <f t="shared" si="76"/>
        <v>5</v>
      </c>
      <c r="B1372">
        <f t="shared" si="77"/>
        <v>2024</v>
      </c>
      <c r="C1372" s="2">
        <v>45436</v>
      </c>
      <c r="D1372">
        <v>319</v>
      </c>
      <c r="E1372" s="2">
        <v>45436</v>
      </c>
      <c r="F1372">
        <v>56.75</v>
      </c>
      <c r="G1372" s="2">
        <v>45436</v>
      </c>
      <c r="H1372">
        <v>56</v>
      </c>
      <c r="I1372" s="2">
        <v>45436</v>
      </c>
      <c r="J1372">
        <v>56.5</v>
      </c>
      <c r="K1372" s="5">
        <f t="shared" si="78"/>
        <v>0.25</v>
      </c>
      <c r="L1372" s="6">
        <f t="shared" si="79"/>
        <v>0.75</v>
      </c>
    </row>
    <row r="1373" spans="1:12" x14ac:dyDescent="0.25">
      <c r="A1373">
        <f t="shared" si="76"/>
        <v>5</v>
      </c>
      <c r="B1373">
        <f t="shared" si="77"/>
        <v>2024</v>
      </c>
      <c r="C1373" s="2">
        <v>45440</v>
      </c>
      <c r="D1373">
        <v>315</v>
      </c>
      <c r="E1373" s="2">
        <v>45440</v>
      </c>
      <c r="F1373">
        <v>56.75</v>
      </c>
      <c r="G1373" s="2">
        <v>45440</v>
      </c>
      <c r="H1373">
        <v>56</v>
      </c>
      <c r="I1373" s="2">
        <v>45440</v>
      </c>
      <c r="J1373">
        <v>56.5</v>
      </c>
      <c r="K1373" s="5">
        <f t="shared" si="78"/>
        <v>0.25</v>
      </c>
      <c r="L1373" s="6">
        <f t="shared" si="79"/>
        <v>0.75</v>
      </c>
    </row>
    <row r="1374" spans="1:12" x14ac:dyDescent="0.25">
      <c r="A1374">
        <f t="shared" si="76"/>
        <v>5</v>
      </c>
      <c r="B1374">
        <f t="shared" si="77"/>
        <v>2024</v>
      </c>
      <c r="C1374" s="2">
        <v>45441</v>
      </c>
      <c r="D1374">
        <v>315</v>
      </c>
      <c r="E1374" s="2">
        <v>45441</v>
      </c>
      <c r="F1374">
        <v>56.25</v>
      </c>
      <c r="G1374" s="2">
        <v>45441</v>
      </c>
      <c r="H1374">
        <v>55.5</v>
      </c>
      <c r="I1374" s="2">
        <v>45441</v>
      </c>
      <c r="J1374">
        <v>56</v>
      </c>
      <c r="K1374" s="5">
        <f t="shared" si="78"/>
        <v>0.25</v>
      </c>
      <c r="L1374" s="6">
        <f t="shared" si="79"/>
        <v>0.75</v>
      </c>
    </row>
    <row r="1375" spans="1:12" x14ac:dyDescent="0.25">
      <c r="A1375">
        <f t="shared" si="76"/>
        <v>5</v>
      </c>
      <c r="B1375">
        <f t="shared" si="77"/>
        <v>2024</v>
      </c>
      <c r="C1375" s="2">
        <v>45442</v>
      </c>
      <c r="D1375">
        <v>315</v>
      </c>
      <c r="E1375" s="2">
        <v>45442</v>
      </c>
      <c r="F1375">
        <v>56</v>
      </c>
      <c r="G1375" s="2">
        <v>45442</v>
      </c>
      <c r="H1375">
        <v>55</v>
      </c>
      <c r="I1375" s="2">
        <v>45442</v>
      </c>
      <c r="J1375">
        <v>56.25</v>
      </c>
      <c r="K1375" s="5">
        <f t="shared" si="78"/>
        <v>-0.25</v>
      </c>
      <c r="L1375" s="6">
        <f t="shared" si="79"/>
        <v>1</v>
      </c>
    </row>
    <row r="1376" spans="1:12" x14ac:dyDescent="0.25">
      <c r="A1376">
        <f t="shared" si="76"/>
        <v>5</v>
      </c>
      <c r="B1376">
        <f t="shared" si="77"/>
        <v>2024</v>
      </c>
      <c r="C1376" s="2">
        <v>45443</v>
      </c>
      <c r="D1376">
        <v>316</v>
      </c>
      <c r="E1376" s="2">
        <v>45443</v>
      </c>
      <c r="F1376">
        <v>56.25</v>
      </c>
      <c r="G1376" s="2">
        <v>45443</v>
      </c>
      <c r="H1376">
        <v>55.5</v>
      </c>
      <c r="I1376" s="2">
        <v>45443</v>
      </c>
      <c r="J1376">
        <v>56.25</v>
      </c>
      <c r="K1376" s="5">
        <f t="shared" si="78"/>
        <v>0</v>
      </c>
      <c r="L1376" s="6">
        <f t="shared" si="79"/>
        <v>0.75</v>
      </c>
    </row>
    <row r="1377" spans="1:12" x14ac:dyDescent="0.25">
      <c r="A1377">
        <f t="shared" si="76"/>
        <v>6</v>
      </c>
      <c r="B1377">
        <f t="shared" si="77"/>
        <v>2024</v>
      </c>
      <c r="C1377" s="2">
        <v>45446</v>
      </c>
      <c r="D1377">
        <v>325</v>
      </c>
      <c r="E1377" s="2">
        <v>45446</v>
      </c>
      <c r="F1377">
        <v>55.75</v>
      </c>
      <c r="G1377" s="2">
        <v>45446</v>
      </c>
      <c r="H1377">
        <v>55</v>
      </c>
      <c r="I1377" s="2">
        <v>45446</v>
      </c>
      <c r="J1377">
        <v>55.5</v>
      </c>
      <c r="K1377" s="5">
        <f t="shared" si="78"/>
        <v>0.25</v>
      </c>
      <c r="L1377" s="6">
        <f t="shared" si="79"/>
        <v>0.75</v>
      </c>
    </row>
    <row r="1378" spans="1:12" x14ac:dyDescent="0.25">
      <c r="A1378">
        <f t="shared" si="76"/>
        <v>6</v>
      </c>
      <c r="B1378">
        <f t="shared" si="77"/>
        <v>2024</v>
      </c>
      <c r="C1378" s="2">
        <v>45447</v>
      </c>
      <c r="D1378">
        <v>325.5</v>
      </c>
      <c r="E1378" s="2">
        <v>45447</v>
      </c>
      <c r="F1378">
        <v>55.25</v>
      </c>
      <c r="G1378" s="2">
        <v>45447</v>
      </c>
      <c r="H1378">
        <v>53.75</v>
      </c>
      <c r="I1378" s="2">
        <v>45447</v>
      </c>
      <c r="J1378">
        <v>55</v>
      </c>
      <c r="K1378" s="5">
        <f t="shared" si="78"/>
        <v>0.25</v>
      </c>
      <c r="L1378" s="6">
        <f t="shared" si="79"/>
        <v>1.5</v>
      </c>
    </row>
    <row r="1379" spans="1:12" x14ac:dyDescent="0.25">
      <c r="A1379">
        <f t="shared" si="76"/>
        <v>6</v>
      </c>
      <c r="B1379">
        <f t="shared" si="77"/>
        <v>2024</v>
      </c>
      <c r="C1379" s="2">
        <v>45448</v>
      </c>
      <c r="D1379">
        <v>316.5</v>
      </c>
      <c r="E1379" s="2">
        <v>45448</v>
      </c>
      <c r="F1379">
        <v>53.75</v>
      </c>
      <c r="G1379" s="2">
        <v>45448</v>
      </c>
      <c r="H1379">
        <v>53</v>
      </c>
      <c r="I1379" s="2">
        <v>45448</v>
      </c>
      <c r="J1379">
        <v>53.25</v>
      </c>
      <c r="K1379" s="5">
        <f t="shared" si="78"/>
        <v>0.5</v>
      </c>
      <c r="L1379" s="6">
        <f t="shared" si="79"/>
        <v>0.75</v>
      </c>
    </row>
    <row r="1380" spans="1:12" x14ac:dyDescent="0.25">
      <c r="A1380">
        <f t="shared" si="76"/>
        <v>6</v>
      </c>
      <c r="B1380">
        <f t="shared" si="77"/>
        <v>2024</v>
      </c>
      <c r="C1380" s="2">
        <v>45449</v>
      </c>
      <c r="D1380">
        <v>319</v>
      </c>
      <c r="E1380" s="2">
        <v>45449</v>
      </c>
      <c r="F1380">
        <v>54.25</v>
      </c>
      <c r="G1380" s="2">
        <v>45449</v>
      </c>
      <c r="H1380">
        <v>53</v>
      </c>
      <c r="I1380" s="2">
        <v>45449</v>
      </c>
      <c r="J1380">
        <v>54.25</v>
      </c>
      <c r="K1380" s="5">
        <f t="shared" si="78"/>
        <v>0</v>
      </c>
      <c r="L1380" s="6">
        <f t="shared" si="79"/>
        <v>1.25</v>
      </c>
    </row>
    <row r="1381" spans="1:12" x14ac:dyDescent="0.25">
      <c r="A1381">
        <f t="shared" si="76"/>
        <v>6</v>
      </c>
      <c r="B1381">
        <f t="shared" si="77"/>
        <v>2024</v>
      </c>
      <c r="C1381" s="2">
        <v>45450</v>
      </c>
      <c r="D1381">
        <v>304</v>
      </c>
      <c r="E1381" s="2">
        <v>45450</v>
      </c>
      <c r="F1381">
        <v>54</v>
      </c>
      <c r="G1381" s="2">
        <v>45450</v>
      </c>
      <c r="H1381">
        <v>52.75</v>
      </c>
      <c r="I1381" s="2">
        <v>45450</v>
      </c>
      <c r="J1381">
        <v>53.75</v>
      </c>
      <c r="K1381" s="5">
        <f t="shared" si="78"/>
        <v>0.25</v>
      </c>
      <c r="L1381" s="6">
        <f t="shared" si="79"/>
        <v>1.25</v>
      </c>
    </row>
    <row r="1382" spans="1:12" x14ac:dyDescent="0.25">
      <c r="A1382">
        <f t="shared" si="76"/>
        <v>6</v>
      </c>
      <c r="B1382">
        <f t="shared" si="77"/>
        <v>2024</v>
      </c>
      <c r="C1382" s="2">
        <v>45453</v>
      </c>
      <c r="D1382">
        <v>305</v>
      </c>
      <c r="E1382" s="2">
        <v>45453</v>
      </c>
      <c r="F1382">
        <v>54</v>
      </c>
      <c r="G1382" s="2">
        <v>45453</v>
      </c>
      <c r="H1382">
        <v>52.75</v>
      </c>
      <c r="I1382" s="2">
        <v>45453</v>
      </c>
      <c r="J1382">
        <v>53.75</v>
      </c>
      <c r="K1382" s="5">
        <f t="shared" si="78"/>
        <v>0.25</v>
      </c>
      <c r="L1382" s="6">
        <f t="shared" si="79"/>
        <v>1.25</v>
      </c>
    </row>
    <row r="1383" spans="1:12" x14ac:dyDescent="0.25">
      <c r="A1383">
        <f t="shared" si="76"/>
        <v>6</v>
      </c>
      <c r="B1383">
        <f t="shared" si="77"/>
        <v>2024</v>
      </c>
      <c r="C1383" s="2">
        <v>45454</v>
      </c>
      <c r="D1383">
        <v>302</v>
      </c>
      <c r="E1383" s="2">
        <v>45454</v>
      </c>
      <c r="F1383">
        <v>54.25</v>
      </c>
      <c r="G1383" s="2">
        <v>45454</v>
      </c>
      <c r="H1383">
        <v>53</v>
      </c>
      <c r="I1383" s="2">
        <v>45454</v>
      </c>
      <c r="J1383">
        <v>54.25</v>
      </c>
      <c r="K1383" s="5">
        <f t="shared" si="78"/>
        <v>0</v>
      </c>
      <c r="L1383" s="6">
        <f t="shared" si="79"/>
        <v>1.25</v>
      </c>
    </row>
    <row r="1384" spans="1:12" x14ac:dyDescent="0.25">
      <c r="A1384">
        <f t="shared" si="76"/>
        <v>6</v>
      </c>
      <c r="B1384">
        <f t="shared" si="77"/>
        <v>2024</v>
      </c>
      <c r="C1384" s="2">
        <v>45455</v>
      </c>
      <c r="D1384">
        <v>301</v>
      </c>
      <c r="E1384" s="2">
        <v>45455</v>
      </c>
      <c r="F1384">
        <v>54.75</v>
      </c>
      <c r="G1384" s="2">
        <v>45455</v>
      </c>
      <c r="H1384">
        <v>53.75</v>
      </c>
      <c r="I1384" s="2">
        <v>45455</v>
      </c>
      <c r="J1384">
        <v>54.75</v>
      </c>
      <c r="K1384" s="5">
        <f t="shared" si="78"/>
        <v>0</v>
      </c>
      <c r="L1384" s="6">
        <f t="shared" si="79"/>
        <v>1</v>
      </c>
    </row>
    <row r="1385" spans="1:12" x14ac:dyDescent="0.25">
      <c r="A1385">
        <f t="shared" si="76"/>
        <v>6</v>
      </c>
      <c r="B1385">
        <f t="shared" si="77"/>
        <v>2024</v>
      </c>
      <c r="C1385" s="2">
        <v>45456</v>
      </c>
      <c r="D1385">
        <v>310</v>
      </c>
      <c r="E1385" s="2">
        <v>45456</v>
      </c>
      <c r="F1385">
        <v>54.75</v>
      </c>
      <c r="G1385" s="2">
        <v>45456</v>
      </c>
      <c r="H1385">
        <v>53.75</v>
      </c>
      <c r="I1385" s="2">
        <v>45456</v>
      </c>
      <c r="J1385">
        <v>54.75</v>
      </c>
      <c r="K1385" s="5">
        <f t="shared" si="78"/>
        <v>0</v>
      </c>
      <c r="L1385" s="6">
        <f t="shared" si="79"/>
        <v>1</v>
      </c>
    </row>
    <row r="1386" spans="1:12" x14ac:dyDescent="0.25">
      <c r="A1386">
        <f t="shared" si="76"/>
        <v>6</v>
      </c>
      <c r="B1386">
        <f t="shared" si="77"/>
        <v>2024</v>
      </c>
      <c r="C1386" s="2">
        <v>45457</v>
      </c>
      <c r="D1386">
        <v>312.5</v>
      </c>
      <c r="E1386" s="2">
        <v>45457</v>
      </c>
      <c r="F1386">
        <v>55.25</v>
      </c>
      <c r="G1386" s="2">
        <v>45457</v>
      </c>
      <c r="H1386">
        <v>54.25</v>
      </c>
      <c r="I1386" s="2">
        <v>45457</v>
      </c>
      <c r="J1386">
        <v>55.25</v>
      </c>
      <c r="K1386" s="5">
        <f t="shared" si="78"/>
        <v>0</v>
      </c>
      <c r="L1386" s="6">
        <f t="shared" si="79"/>
        <v>1</v>
      </c>
    </row>
    <row r="1387" spans="1:12" x14ac:dyDescent="0.25">
      <c r="A1387">
        <f t="shared" si="76"/>
        <v>6</v>
      </c>
      <c r="B1387">
        <f t="shared" si="77"/>
        <v>2024</v>
      </c>
      <c r="C1387" s="2">
        <v>45460</v>
      </c>
      <c r="D1387">
        <v>311</v>
      </c>
      <c r="E1387" s="2">
        <v>45460</v>
      </c>
      <c r="F1387">
        <v>54.5</v>
      </c>
      <c r="G1387" s="2">
        <v>45460</v>
      </c>
      <c r="H1387">
        <v>53.5</v>
      </c>
      <c r="I1387" s="2">
        <v>45460</v>
      </c>
      <c r="J1387">
        <v>54.5</v>
      </c>
      <c r="K1387" s="5">
        <f t="shared" si="78"/>
        <v>0</v>
      </c>
      <c r="L1387" s="6">
        <f t="shared" si="79"/>
        <v>1</v>
      </c>
    </row>
    <row r="1388" spans="1:12" x14ac:dyDescent="0.25">
      <c r="A1388">
        <f t="shared" si="76"/>
        <v>6</v>
      </c>
      <c r="B1388">
        <f t="shared" si="77"/>
        <v>2024</v>
      </c>
      <c r="C1388" s="2">
        <v>45461</v>
      </c>
      <c r="D1388">
        <v>311</v>
      </c>
      <c r="E1388" s="2">
        <v>45461</v>
      </c>
      <c r="F1388">
        <v>56</v>
      </c>
      <c r="G1388" s="2">
        <v>45461</v>
      </c>
      <c r="H1388">
        <v>55.25</v>
      </c>
      <c r="I1388" s="2">
        <v>45461</v>
      </c>
      <c r="J1388">
        <v>55.75</v>
      </c>
      <c r="K1388" s="5">
        <f t="shared" si="78"/>
        <v>0.25</v>
      </c>
      <c r="L1388" s="6">
        <f t="shared" si="79"/>
        <v>0.75</v>
      </c>
    </row>
    <row r="1389" spans="1:12" x14ac:dyDescent="0.25">
      <c r="A1389">
        <f t="shared" si="76"/>
        <v>6</v>
      </c>
      <c r="B1389">
        <f t="shared" si="77"/>
        <v>2024</v>
      </c>
      <c r="C1389" s="2">
        <v>45463</v>
      </c>
      <c r="D1389">
        <v>311</v>
      </c>
      <c r="E1389" s="2">
        <v>45463</v>
      </c>
      <c r="F1389">
        <v>55.75</v>
      </c>
      <c r="G1389" s="2">
        <v>45463</v>
      </c>
      <c r="H1389">
        <v>55</v>
      </c>
      <c r="I1389" s="2">
        <v>45463</v>
      </c>
      <c r="J1389">
        <v>55.75</v>
      </c>
      <c r="K1389" s="5">
        <f t="shared" si="78"/>
        <v>0</v>
      </c>
      <c r="L1389" s="6">
        <f t="shared" si="79"/>
        <v>0.75</v>
      </c>
    </row>
    <row r="1390" spans="1:12" x14ac:dyDescent="0.25">
      <c r="A1390">
        <f t="shared" si="76"/>
        <v>6</v>
      </c>
      <c r="B1390">
        <f t="shared" si="77"/>
        <v>2024</v>
      </c>
      <c r="C1390" s="2">
        <v>45464</v>
      </c>
      <c r="D1390">
        <v>311.5</v>
      </c>
      <c r="E1390" s="2">
        <v>45464</v>
      </c>
      <c r="F1390">
        <v>56.25</v>
      </c>
      <c r="G1390" s="2">
        <v>45464</v>
      </c>
      <c r="H1390">
        <v>55.75</v>
      </c>
      <c r="I1390" s="2">
        <v>45464</v>
      </c>
      <c r="J1390">
        <v>56</v>
      </c>
      <c r="K1390" s="5">
        <f t="shared" si="78"/>
        <v>0.25</v>
      </c>
      <c r="L1390" s="6">
        <f t="shared" si="79"/>
        <v>0.5</v>
      </c>
    </row>
    <row r="1391" spans="1:12" x14ac:dyDescent="0.25">
      <c r="A1391">
        <f t="shared" si="76"/>
        <v>6</v>
      </c>
      <c r="B1391">
        <f t="shared" si="77"/>
        <v>2024</v>
      </c>
      <c r="C1391" s="2">
        <v>45467</v>
      </c>
      <c r="D1391">
        <v>314.5</v>
      </c>
      <c r="E1391" s="2">
        <v>45467</v>
      </c>
      <c r="F1391">
        <v>56.25</v>
      </c>
      <c r="G1391" s="2">
        <v>45467</v>
      </c>
      <c r="H1391">
        <v>55.75</v>
      </c>
      <c r="I1391" s="2">
        <v>45467</v>
      </c>
      <c r="J1391">
        <v>56</v>
      </c>
      <c r="K1391" s="5">
        <f t="shared" si="78"/>
        <v>0.25</v>
      </c>
      <c r="L1391" s="6">
        <f t="shared" si="79"/>
        <v>0.5</v>
      </c>
    </row>
    <row r="1392" spans="1:12" x14ac:dyDescent="0.25">
      <c r="A1392">
        <f t="shared" si="76"/>
        <v>6</v>
      </c>
      <c r="B1392">
        <f t="shared" si="77"/>
        <v>2024</v>
      </c>
      <c r="C1392" s="2">
        <v>45468</v>
      </c>
      <c r="D1392">
        <v>311.5</v>
      </c>
      <c r="E1392" s="2">
        <v>45468</v>
      </c>
      <c r="F1392">
        <v>55.25</v>
      </c>
      <c r="G1392" s="2">
        <v>45468</v>
      </c>
      <c r="H1392">
        <v>54.5</v>
      </c>
      <c r="I1392" s="2">
        <v>45468</v>
      </c>
      <c r="J1392">
        <v>55.13</v>
      </c>
      <c r="K1392" s="5">
        <f t="shared" si="78"/>
        <v>0.11999999999999744</v>
      </c>
      <c r="L1392" s="6">
        <f t="shared" si="79"/>
        <v>0.75</v>
      </c>
    </row>
    <row r="1393" spans="1:12" x14ac:dyDescent="0.25">
      <c r="A1393">
        <f t="shared" si="76"/>
        <v>6</v>
      </c>
      <c r="B1393">
        <f t="shared" si="77"/>
        <v>2024</v>
      </c>
      <c r="C1393" s="2">
        <v>45469</v>
      </c>
      <c r="D1393">
        <v>313.5</v>
      </c>
      <c r="E1393" s="2">
        <v>45469</v>
      </c>
      <c r="F1393">
        <v>55.5</v>
      </c>
      <c r="G1393" s="2">
        <v>45469</v>
      </c>
      <c r="H1393">
        <v>54.75</v>
      </c>
      <c r="I1393" s="2">
        <v>45469</v>
      </c>
      <c r="J1393">
        <v>55.25</v>
      </c>
      <c r="K1393" s="5">
        <f t="shared" si="78"/>
        <v>0.25</v>
      </c>
      <c r="L1393" s="6">
        <f t="shared" si="79"/>
        <v>0.75</v>
      </c>
    </row>
    <row r="1394" spans="1:12" x14ac:dyDescent="0.25">
      <c r="A1394">
        <f t="shared" si="76"/>
        <v>6</v>
      </c>
      <c r="B1394">
        <f t="shared" si="77"/>
        <v>2024</v>
      </c>
      <c r="C1394" s="2">
        <v>45470</v>
      </c>
      <c r="D1394">
        <v>314</v>
      </c>
      <c r="E1394" s="2">
        <v>45470</v>
      </c>
      <c r="F1394">
        <v>56</v>
      </c>
      <c r="G1394" s="2">
        <v>45470</v>
      </c>
      <c r="H1394">
        <v>55.25</v>
      </c>
      <c r="I1394" s="2">
        <v>45470</v>
      </c>
      <c r="J1394">
        <v>55.75</v>
      </c>
      <c r="K1394" s="5">
        <f t="shared" si="78"/>
        <v>0.25</v>
      </c>
      <c r="L1394" s="6">
        <f t="shared" si="79"/>
        <v>0.75</v>
      </c>
    </row>
    <row r="1395" spans="1:12" x14ac:dyDescent="0.25">
      <c r="A1395">
        <f t="shared" si="76"/>
        <v>6</v>
      </c>
      <c r="B1395">
        <f t="shared" si="77"/>
        <v>2024</v>
      </c>
      <c r="C1395" s="2">
        <v>45471</v>
      </c>
      <c r="D1395">
        <v>311</v>
      </c>
      <c r="E1395" s="2">
        <v>45471</v>
      </c>
      <c r="F1395">
        <v>56.5</v>
      </c>
      <c r="G1395" s="2">
        <v>45471</v>
      </c>
      <c r="H1395">
        <v>56</v>
      </c>
      <c r="I1395" s="2">
        <v>45471</v>
      </c>
      <c r="J1395">
        <v>56.5</v>
      </c>
      <c r="K1395" s="5">
        <f t="shared" si="78"/>
        <v>0</v>
      </c>
      <c r="L1395" s="6">
        <f t="shared" si="79"/>
        <v>0.5</v>
      </c>
    </row>
    <row r="1396" spans="1:12" x14ac:dyDescent="0.25">
      <c r="A1396">
        <f t="shared" si="76"/>
        <v>7</v>
      </c>
      <c r="B1396">
        <f t="shared" si="77"/>
        <v>2024</v>
      </c>
      <c r="C1396" s="2">
        <v>45474</v>
      </c>
      <c r="D1396">
        <v>315</v>
      </c>
      <c r="E1396" s="2">
        <v>45474</v>
      </c>
      <c r="F1396">
        <v>60</v>
      </c>
      <c r="G1396" s="2">
        <v>45474</v>
      </c>
      <c r="H1396">
        <v>59.75</v>
      </c>
      <c r="I1396" s="2">
        <v>45474</v>
      </c>
      <c r="J1396">
        <v>60.25</v>
      </c>
      <c r="K1396" s="5">
        <f t="shared" si="78"/>
        <v>-0.25</v>
      </c>
      <c r="L1396" s="6">
        <f t="shared" si="79"/>
        <v>0.25</v>
      </c>
    </row>
    <row r="1397" spans="1:12" x14ac:dyDescent="0.25">
      <c r="A1397">
        <f t="shared" si="76"/>
        <v>7</v>
      </c>
      <c r="B1397">
        <f t="shared" si="77"/>
        <v>2024</v>
      </c>
      <c r="C1397" s="2">
        <v>45475</v>
      </c>
      <c r="D1397">
        <v>314.5</v>
      </c>
      <c r="E1397" s="2">
        <v>45475</v>
      </c>
      <c r="F1397">
        <v>63.25</v>
      </c>
      <c r="G1397" s="2">
        <v>45475</v>
      </c>
      <c r="H1397">
        <v>62.75</v>
      </c>
      <c r="I1397" s="2">
        <v>45475</v>
      </c>
      <c r="J1397">
        <v>63</v>
      </c>
      <c r="K1397" s="5">
        <f t="shared" si="78"/>
        <v>0.25</v>
      </c>
      <c r="L1397" s="6">
        <f t="shared" si="79"/>
        <v>0.5</v>
      </c>
    </row>
    <row r="1398" spans="1:12" x14ac:dyDescent="0.25">
      <c r="A1398">
        <f t="shared" si="76"/>
        <v>7</v>
      </c>
      <c r="B1398">
        <f t="shared" si="77"/>
        <v>2024</v>
      </c>
      <c r="C1398" s="2">
        <v>45476</v>
      </c>
      <c r="D1398">
        <v>317</v>
      </c>
      <c r="E1398" s="2">
        <v>45476</v>
      </c>
      <c r="F1398">
        <v>64.5</v>
      </c>
      <c r="G1398" s="2">
        <v>45476</v>
      </c>
      <c r="H1398">
        <v>64</v>
      </c>
      <c r="I1398" s="2">
        <v>45476</v>
      </c>
      <c r="J1398">
        <v>64.5</v>
      </c>
      <c r="K1398" s="5">
        <f t="shared" si="78"/>
        <v>0</v>
      </c>
      <c r="L1398" s="6">
        <f t="shared" si="79"/>
        <v>0.5</v>
      </c>
    </row>
    <row r="1399" spans="1:12" x14ac:dyDescent="0.25">
      <c r="A1399">
        <f t="shared" si="76"/>
        <v>7</v>
      </c>
      <c r="B1399">
        <f t="shared" si="77"/>
        <v>2024</v>
      </c>
      <c r="C1399" s="2">
        <v>45478</v>
      </c>
      <c r="D1399">
        <v>317</v>
      </c>
      <c r="E1399" s="2">
        <v>45478</v>
      </c>
      <c r="F1399">
        <v>64.5</v>
      </c>
      <c r="G1399" s="2">
        <v>45478</v>
      </c>
      <c r="H1399">
        <v>64</v>
      </c>
      <c r="I1399" s="2">
        <v>45478</v>
      </c>
      <c r="J1399">
        <v>64.5</v>
      </c>
      <c r="K1399" s="5">
        <f t="shared" si="78"/>
        <v>0</v>
      </c>
      <c r="L1399" s="6">
        <f t="shared" si="79"/>
        <v>0.5</v>
      </c>
    </row>
    <row r="1400" spans="1:12" x14ac:dyDescent="0.25">
      <c r="A1400">
        <f t="shared" si="76"/>
        <v>7</v>
      </c>
      <c r="B1400">
        <f t="shared" si="77"/>
        <v>2024</v>
      </c>
      <c r="C1400" s="2">
        <v>45481</v>
      </c>
      <c r="D1400">
        <v>317</v>
      </c>
      <c r="E1400" s="2">
        <v>45481</v>
      </c>
      <c r="F1400">
        <v>64.25</v>
      </c>
      <c r="G1400" s="2">
        <v>45481</v>
      </c>
      <c r="H1400">
        <v>64</v>
      </c>
      <c r="I1400" s="2">
        <v>45481</v>
      </c>
      <c r="J1400">
        <v>64.25</v>
      </c>
      <c r="K1400" s="5">
        <f t="shared" si="78"/>
        <v>0</v>
      </c>
      <c r="L1400" s="6">
        <f t="shared" si="79"/>
        <v>0.25</v>
      </c>
    </row>
    <row r="1401" spans="1:12" x14ac:dyDescent="0.25">
      <c r="A1401">
        <f t="shared" ref="A1401:A1464" si="80">MONTH(E1401)</f>
        <v>7</v>
      </c>
      <c r="B1401">
        <f t="shared" ref="B1401:B1464" si="81">YEAR(E1401)</f>
        <v>2024</v>
      </c>
      <c r="C1401" s="2">
        <v>45482</v>
      </c>
      <c r="D1401">
        <v>318</v>
      </c>
      <c r="E1401" s="2">
        <v>45482</v>
      </c>
      <c r="F1401">
        <v>64.5</v>
      </c>
      <c r="G1401" s="2">
        <v>45482</v>
      </c>
      <c r="H1401">
        <v>64.25</v>
      </c>
      <c r="I1401" s="2">
        <v>45482</v>
      </c>
      <c r="J1401">
        <v>64.5</v>
      </c>
      <c r="K1401" s="5">
        <f t="shared" ref="K1401:K1464" si="82">F1401-J1401</f>
        <v>0</v>
      </c>
      <c r="L1401" s="6">
        <f t="shared" ref="L1401:L1464" si="83">F1401-H1401</f>
        <v>0.25</v>
      </c>
    </row>
    <row r="1402" spans="1:12" x14ac:dyDescent="0.25">
      <c r="A1402">
        <f t="shared" si="80"/>
        <v>7</v>
      </c>
      <c r="B1402">
        <f t="shared" si="81"/>
        <v>2024</v>
      </c>
      <c r="C1402" s="2">
        <v>45483</v>
      </c>
      <c r="D1402">
        <v>319.5</v>
      </c>
      <c r="E1402" s="2">
        <v>45483</v>
      </c>
      <c r="F1402">
        <v>64</v>
      </c>
      <c r="G1402" s="2">
        <v>45483</v>
      </c>
      <c r="H1402">
        <v>63.5</v>
      </c>
      <c r="I1402" s="2">
        <v>45483</v>
      </c>
      <c r="J1402">
        <v>64</v>
      </c>
      <c r="K1402" s="5">
        <f t="shared" si="82"/>
        <v>0</v>
      </c>
      <c r="L1402" s="6">
        <f t="shared" si="83"/>
        <v>0.5</v>
      </c>
    </row>
    <row r="1403" spans="1:12" x14ac:dyDescent="0.25">
      <c r="A1403">
        <f t="shared" si="80"/>
        <v>7</v>
      </c>
      <c r="B1403">
        <f t="shared" si="81"/>
        <v>2024</v>
      </c>
      <c r="C1403" s="2">
        <v>45484</v>
      </c>
      <c r="D1403">
        <v>325</v>
      </c>
      <c r="E1403" s="2">
        <v>45484</v>
      </c>
      <c r="F1403">
        <v>64.75</v>
      </c>
      <c r="G1403" s="2">
        <v>45484</v>
      </c>
      <c r="H1403">
        <v>63.75</v>
      </c>
      <c r="I1403" s="2">
        <v>45484</v>
      </c>
      <c r="J1403">
        <v>64.75</v>
      </c>
      <c r="K1403" s="5">
        <f t="shared" si="82"/>
        <v>0</v>
      </c>
      <c r="L1403" s="6">
        <f t="shared" si="83"/>
        <v>1</v>
      </c>
    </row>
    <row r="1404" spans="1:12" x14ac:dyDescent="0.25">
      <c r="A1404">
        <f t="shared" si="80"/>
        <v>7</v>
      </c>
      <c r="B1404">
        <f t="shared" si="81"/>
        <v>2024</v>
      </c>
      <c r="C1404" s="2">
        <v>45485</v>
      </c>
      <c r="D1404">
        <v>331</v>
      </c>
      <c r="E1404" s="2">
        <v>45485</v>
      </c>
      <c r="F1404">
        <v>64.25</v>
      </c>
      <c r="G1404" s="2">
        <v>45485</v>
      </c>
      <c r="H1404">
        <v>63.25</v>
      </c>
      <c r="I1404" s="2">
        <v>45485</v>
      </c>
      <c r="J1404">
        <v>64.25</v>
      </c>
      <c r="K1404" s="5">
        <f t="shared" si="82"/>
        <v>0</v>
      </c>
      <c r="L1404" s="6">
        <f t="shared" si="83"/>
        <v>1</v>
      </c>
    </row>
    <row r="1405" spans="1:12" x14ac:dyDescent="0.25">
      <c r="A1405">
        <f t="shared" si="80"/>
        <v>7</v>
      </c>
      <c r="B1405">
        <f t="shared" si="81"/>
        <v>2024</v>
      </c>
      <c r="C1405" s="2">
        <v>45488</v>
      </c>
      <c r="D1405">
        <v>334</v>
      </c>
      <c r="E1405" s="2">
        <v>45488</v>
      </c>
      <c r="F1405">
        <v>63.75</v>
      </c>
      <c r="G1405" s="2">
        <v>45488</v>
      </c>
      <c r="H1405">
        <v>62.75</v>
      </c>
      <c r="I1405" s="2">
        <v>45488</v>
      </c>
      <c r="J1405">
        <v>63.75</v>
      </c>
      <c r="K1405" s="5">
        <f t="shared" si="82"/>
        <v>0</v>
      </c>
      <c r="L1405" s="6">
        <f t="shared" si="83"/>
        <v>1</v>
      </c>
    </row>
    <row r="1406" spans="1:12" x14ac:dyDescent="0.25">
      <c r="A1406">
        <f t="shared" si="80"/>
        <v>7</v>
      </c>
      <c r="B1406">
        <f t="shared" si="81"/>
        <v>2024</v>
      </c>
      <c r="C1406" s="2">
        <v>45489</v>
      </c>
      <c r="D1406">
        <v>331</v>
      </c>
      <c r="E1406" s="2">
        <v>45489</v>
      </c>
      <c r="F1406">
        <v>65</v>
      </c>
      <c r="G1406" s="2">
        <v>45489</v>
      </c>
      <c r="H1406">
        <v>64</v>
      </c>
      <c r="I1406" s="2">
        <v>45489</v>
      </c>
      <c r="J1406">
        <v>65</v>
      </c>
      <c r="K1406" s="5">
        <f t="shared" si="82"/>
        <v>0</v>
      </c>
      <c r="L1406" s="6">
        <f t="shared" si="83"/>
        <v>1</v>
      </c>
    </row>
    <row r="1407" spans="1:12" x14ac:dyDescent="0.25">
      <c r="A1407">
        <f t="shared" si="80"/>
        <v>7</v>
      </c>
      <c r="B1407">
        <f t="shared" si="81"/>
        <v>2024</v>
      </c>
      <c r="C1407" s="2">
        <v>45490</v>
      </c>
      <c r="D1407">
        <v>330.5</v>
      </c>
      <c r="E1407" s="2">
        <v>45490</v>
      </c>
      <c r="F1407">
        <v>64</v>
      </c>
      <c r="G1407" s="2">
        <v>45490</v>
      </c>
      <c r="H1407">
        <v>63.75</v>
      </c>
      <c r="I1407" s="2">
        <v>45490</v>
      </c>
      <c r="J1407">
        <v>64.25</v>
      </c>
      <c r="K1407" s="5">
        <f t="shared" si="82"/>
        <v>-0.25</v>
      </c>
      <c r="L1407" s="6">
        <f t="shared" si="83"/>
        <v>0.25</v>
      </c>
    </row>
    <row r="1408" spans="1:12" x14ac:dyDescent="0.25">
      <c r="A1408">
        <f t="shared" si="80"/>
        <v>7</v>
      </c>
      <c r="B1408">
        <f t="shared" si="81"/>
        <v>2024</v>
      </c>
      <c r="C1408" s="2">
        <v>45491</v>
      </c>
      <c r="D1408">
        <v>331.5</v>
      </c>
      <c r="E1408" s="2">
        <v>45491</v>
      </c>
      <c r="F1408">
        <v>64</v>
      </c>
      <c r="G1408" s="2">
        <v>45491</v>
      </c>
      <c r="H1408">
        <v>63.5</v>
      </c>
      <c r="I1408" s="2">
        <v>45491</v>
      </c>
      <c r="J1408">
        <v>64.25</v>
      </c>
      <c r="K1408" s="5">
        <f t="shared" si="82"/>
        <v>-0.25</v>
      </c>
      <c r="L1408" s="6">
        <f t="shared" si="83"/>
        <v>0.5</v>
      </c>
    </row>
    <row r="1409" spans="1:12" x14ac:dyDescent="0.25">
      <c r="A1409">
        <f t="shared" si="80"/>
        <v>7</v>
      </c>
      <c r="B1409">
        <f t="shared" si="81"/>
        <v>2024</v>
      </c>
      <c r="C1409" s="2">
        <v>45492</v>
      </c>
      <c r="D1409">
        <v>332.5</v>
      </c>
      <c r="E1409" s="2">
        <v>45492</v>
      </c>
      <c r="F1409">
        <v>64.88</v>
      </c>
      <c r="G1409" s="2">
        <v>45492</v>
      </c>
      <c r="H1409">
        <v>64</v>
      </c>
      <c r="I1409" s="2">
        <v>45492</v>
      </c>
      <c r="J1409">
        <v>64.75</v>
      </c>
      <c r="K1409" s="5">
        <f t="shared" si="82"/>
        <v>0.12999999999999545</v>
      </c>
      <c r="L1409" s="6">
        <f t="shared" si="83"/>
        <v>0.87999999999999545</v>
      </c>
    </row>
    <row r="1410" spans="1:12" x14ac:dyDescent="0.25">
      <c r="A1410">
        <f t="shared" si="80"/>
        <v>7</v>
      </c>
      <c r="B1410">
        <f t="shared" si="81"/>
        <v>2024</v>
      </c>
      <c r="C1410" s="2">
        <v>45495</v>
      </c>
      <c r="D1410">
        <v>333</v>
      </c>
      <c r="E1410" s="2">
        <v>45495</v>
      </c>
      <c r="F1410">
        <v>66</v>
      </c>
      <c r="G1410" s="2">
        <v>45495</v>
      </c>
      <c r="H1410">
        <v>65</v>
      </c>
      <c r="I1410" s="2">
        <v>45495</v>
      </c>
      <c r="J1410">
        <v>66.13</v>
      </c>
      <c r="K1410" s="5">
        <f t="shared" si="82"/>
        <v>-0.12999999999999545</v>
      </c>
      <c r="L1410" s="6">
        <f t="shared" si="83"/>
        <v>1</v>
      </c>
    </row>
    <row r="1411" spans="1:12" x14ac:dyDescent="0.25">
      <c r="A1411">
        <f t="shared" si="80"/>
        <v>7</v>
      </c>
      <c r="B1411">
        <f t="shared" si="81"/>
        <v>2024</v>
      </c>
      <c r="C1411" s="2">
        <v>45496</v>
      </c>
      <c r="D1411">
        <v>334</v>
      </c>
      <c r="E1411" s="2">
        <v>45496</v>
      </c>
      <c r="F1411">
        <v>67.25</v>
      </c>
      <c r="G1411" s="2">
        <v>45496</v>
      </c>
      <c r="H1411">
        <v>66.75</v>
      </c>
      <c r="I1411" s="2">
        <v>45496</v>
      </c>
      <c r="J1411">
        <v>67</v>
      </c>
      <c r="K1411" s="5">
        <f t="shared" si="82"/>
        <v>0.25</v>
      </c>
      <c r="L1411" s="6">
        <f t="shared" si="83"/>
        <v>0.5</v>
      </c>
    </row>
    <row r="1412" spans="1:12" x14ac:dyDescent="0.25">
      <c r="A1412">
        <f t="shared" si="80"/>
        <v>7</v>
      </c>
      <c r="B1412">
        <f t="shared" si="81"/>
        <v>2024</v>
      </c>
      <c r="C1412" s="2">
        <v>45497</v>
      </c>
      <c r="D1412">
        <v>339</v>
      </c>
      <c r="E1412" s="2">
        <v>45497</v>
      </c>
      <c r="F1412">
        <v>66.25</v>
      </c>
      <c r="G1412" s="2">
        <v>45497</v>
      </c>
      <c r="H1412">
        <v>65.75</v>
      </c>
      <c r="I1412" s="2">
        <v>45497</v>
      </c>
      <c r="J1412">
        <v>66.25</v>
      </c>
      <c r="K1412" s="5">
        <f t="shared" si="82"/>
        <v>0</v>
      </c>
      <c r="L1412" s="6">
        <f t="shared" si="83"/>
        <v>0.5</v>
      </c>
    </row>
    <row r="1413" spans="1:12" x14ac:dyDescent="0.25">
      <c r="A1413">
        <f t="shared" si="80"/>
        <v>7</v>
      </c>
      <c r="B1413">
        <f t="shared" si="81"/>
        <v>2024</v>
      </c>
      <c r="C1413" s="2">
        <v>45498</v>
      </c>
      <c r="D1413">
        <v>340</v>
      </c>
      <c r="E1413" s="2">
        <v>45498</v>
      </c>
      <c r="F1413">
        <v>67</v>
      </c>
      <c r="G1413" s="2">
        <v>45498</v>
      </c>
      <c r="H1413">
        <v>66</v>
      </c>
      <c r="I1413" s="2">
        <v>45498</v>
      </c>
      <c r="J1413">
        <v>66.75</v>
      </c>
      <c r="K1413" s="5">
        <f t="shared" si="82"/>
        <v>0.25</v>
      </c>
      <c r="L1413" s="6">
        <f t="shared" si="83"/>
        <v>1</v>
      </c>
    </row>
    <row r="1414" spans="1:12" x14ac:dyDescent="0.25">
      <c r="A1414">
        <f t="shared" si="80"/>
        <v>7</v>
      </c>
      <c r="B1414">
        <f t="shared" si="81"/>
        <v>2024</v>
      </c>
      <c r="C1414" s="2">
        <v>45499</v>
      </c>
      <c r="D1414">
        <v>336</v>
      </c>
      <c r="E1414" s="2">
        <v>45499</v>
      </c>
      <c r="F1414">
        <v>62</v>
      </c>
      <c r="G1414" s="2">
        <v>45499</v>
      </c>
      <c r="H1414">
        <v>61.5</v>
      </c>
      <c r="I1414" s="2">
        <v>45499</v>
      </c>
      <c r="J1414">
        <v>62</v>
      </c>
      <c r="K1414" s="5">
        <f t="shared" si="82"/>
        <v>0</v>
      </c>
      <c r="L1414" s="6">
        <f t="shared" si="83"/>
        <v>0.5</v>
      </c>
    </row>
    <row r="1415" spans="1:12" x14ac:dyDescent="0.25">
      <c r="A1415">
        <f t="shared" si="80"/>
        <v>7</v>
      </c>
      <c r="B1415">
        <f t="shared" si="81"/>
        <v>2024</v>
      </c>
      <c r="C1415" s="2">
        <v>45502</v>
      </c>
      <c r="D1415">
        <v>336.25</v>
      </c>
      <c r="E1415" s="2">
        <v>45502</v>
      </c>
      <c r="F1415">
        <v>64.88</v>
      </c>
      <c r="G1415" s="2">
        <v>45502</v>
      </c>
      <c r="H1415">
        <v>62.5</v>
      </c>
      <c r="I1415" s="2">
        <v>45502</v>
      </c>
      <c r="J1415">
        <v>63.88</v>
      </c>
      <c r="K1415" s="5">
        <f t="shared" si="82"/>
        <v>0.99999999999999289</v>
      </c>
      <c r="L1415" s="6">
        <f t="shared" si="83"/>
        <v>2.3799999999999955</v>
      </c>
    </row>
    <row r="1416" spans="1:12" x14ac:dyDescent="0.25">
      <c r="A1416">
        <f t="shared" si="80"/>
        <v>7</v>
      </c>
      <c r="B1416">
        <f t="shared" si="81"/>
        <v>2024</v>
      </c>
      <c r="C1416" s="2">
        <v>45503</v>
      </c>
      <c r="D1416">
        <v>340</v>
      </c>
      <c r="E1416" s="2">
        <v>45503</v>
      </c>
      <c r="F1416">
        <v>61</v>
      </c>
      <c r="G1416" s="2">
        <v>45503</v>
      </c>
      <c r="H1416">
        <v>60</v>
      </c>
      <c r="I1416" s="2">
        <v>45503</v>
      </c>
      <c r="J1416">
        <v>61</v>
      </c>
      <c r="K1416" s="5">
        <f t="shared" si="82"/>
        <v>0</v>
      </c>
      <c r="L1416" s="6">
        <f t="shared" si="83"/>
        <v>1</v>
      </c>
    </row>
    <row r="1417" spans="1:12" x14ac:dyDescent="0.25">
      <c r="A1417">
        <f t="shared" si="80"/>
        <v>7</v>
      </c>
      <c r="B1417">
        <f t="shared" si="81"/>
        <v>2024</v>
      </c>
      <c r="C1417" s="2">
        <v>45504</v>
      </c>
      <c r="D1417">
        <v>341</v>
      </c>
      <c r="E1417" s="2">
        <v>45504</v>
      </c>
      <c r="F1417">
        <v>59</v>
      </c>
      <c r="G1417" s="2">
        <v>45504</v>
      </c>
      <c r="H1417">
        <v>59</v>
      </c>
      <c r="I1417" s="2">
        <v>45504</v>
      </c>
      <c r="J1417">
        <v>59</v>
      </c>
      <c r="K1417" s="5">
        <f t="shared" si="82"/>
        <v>0</v>
      </c>
      <c r="L1417" s="6">
        <f t="shared" si="83"/>
        <v>0</v>
      </c>
    </row>
    <row r="1418" spans="1:12" x14ac:dyDescent="0.25">
      <c r="A1418">
        <f t="shared" si="80"/>
        <v>8</v>
      </c>
      <c r="B1418">
        <f t="shared" si="81"/>
        <v>2024</v>
      </c>
      <c r="C1418" s="2">
        <v>45505</v>
      </c>
      <c r="D1418">
        <v>341</v>
      </c>
      <c r="E1418" s="2">
        <v>45505</v>
      </c>
      <c r="F1418">
        <v>58.5</v>
      </c>
      <c r="G1418" s="2">
        <v>45505</v>
      </c>
      <c r="H1418">
        <v>58.5</v>
      </c>
      <c r="I1418" s="2">
        <v>45505</v>
      </c>
      <c r="J1418">
        <v>58.5</v>
      </c>
      <c r="K1418" s="5">
        <f t="shared" si="82"/>
        <v>0</v>
      </c>
      <c r="L1418" s="6">
        <f t="shared" si="83"/>
        <v>0</v>
      </c>
    </row>
    <row r="1419" spans="1:12" x14ac:dyDescent="0.25">
      <c r="A1419">
        <f t="shared" si="80"/>
        <v>8</v>
      </c>
      <c r="B1419">
        <f t="shared" si="81"/>
        <v>2024</v>
      </c>
      <c r="C1419" s="2">
        <v>45506</v>
      </c>
      <c r="D1419">
        <v>342</v>
      </c>
      <c r="E1419" s="2">
        <v>45506</v>
      </c>
      <c r="F1419">
        <v>58</v>
      </c>
      <c r="G1419" s="2">
        <v>45506</v>
      </c>
      <c r="H1419">
        <v>57.5</v>
      </c>
      <c r="I1419" s="2">
        <v>45506</v>
      </c>
      <c r="J1419">
        <v>58</v>
      </c>
      <c r="K1419" s="5">
        <f t="shared" si="82"/>
        <v>0</v>
      </c>
      <c r="L1419" s="6">
        <f t="shared" si="83"/>
        <v>0.5</v>
      </c>
    </row>
    <row r="1420" spans="1:12" x14ac:dyDescent="0.25">
      <c r="A1420">
        <f t="shared" si="80"/>
        <v>8</v>
      </c>
      <c r="B1420">
        <f t="shared" si="81"/>
        <v>2024</v>
      </c>
      <c r="C1420" s="2">
        <v>45509</v>
      </c>
      <c r="D1420">
        <v>341</v>
      </c>
      <c r="E1420" s="2">
        <v>45509</v>
      </c>
      <c r="F1420">
        <v>55.63</v>
      </c>
      <c r="G1420" s="2">
        <v>45509</v>
      </c>
      <c r="H1420">
        <v>54.75</v>
      </c>
      <c r="I1420" s="2">
        <v>45509</v>
      </c>
      <c r="J1420">
        <v>55.5</v>
      </c>
      <c r="K1420" s="5">
        <f t="shared" si="82"/>
        <v>0.13000000000000256</v>
      </c>
      <c r="L1420" s="6">
        <f t="shared" si="83"/>
        <v>0.88000000000000256</v>
      </c>
    </row>
    <row r="1421" spans="1:12" x14ac:dyDescent="0.25">
      <c r="A1421">
        <f t="shared" si="80"/>
        <v>8</v>
      </c>
      <c r="B1421">
        <f t="shared" si="81"/>
        <v>2024</v>
      </c>
      <c r="C1421" s="2">
        <v>45510</v>
      </c>
      <c r="D1421">
        <v>342</v>
      </c>
      <c r="E1421" s="2">
        <v>45510</v>
      </c>
      <c r="F1421">
        <v>54.5</v>
      </c>
      <c r="G1421" s="2">
        <v>45510</v>
      </c>
      <c r="H1421">
        <v>53.5</v>
      </c>
      <c r="I1421" s="2">
        <v>45510</v>
      </c>
      <c r="J1421">
        <v>54.25</v>
      </c>
      <c r="K1421" s="5">
        <f t="shared" si="82"/>
        <v>0.25</v>
      </c>
      <c r="L1421" s="6">
        <f t="shared" si="83"/>
        <v>1</v>
      </c>
    </row>
    <row r="1422" spans="1:12" x14ac:dyDescent="0.25">
      <c r="A1422">
        <f t="shared" si="80"/>
        <v>8</v>
      </c>
      <c r="B1422">
        <f t="shared" si="81"/>
        <v>2024</v>
      </c>
      <c r="C1422" s="2">
        <v>45511</v>
      </c>
      <c r="D1422">
        <v>342</v>
      </c>
      <c r="E1422" s="2">
        <v>45511</v>
      </c>
      <c r="F1422">
        <v>59.75</v>
      </c>
      <c r="G1422" s="2">
        <v>45511</v>
      </c>
      <c r="H1422">
        <v>58.75</v>
      </c>
      <c r="I1422" s="2">
        <v>45511</v>
      </c>
      <c r="J1422">
        <v>59.75</v>
      </c>
      <c r="K1422" s="5">
        <f t="shared" si="82"/>
        <v>0</v>
      </c>
      <c r="L1422" s="6">
        <f t="shared" si="83"/>
        <v>1</v>
      </c>
    </row>
    <row r="1423" spans="1:12" x14ac:dyDescent="0.25">
      <c r="A1423">
        <f t="shared" si="80"/>
        <v>8</v>
      </c>
      <c r="B1423">
        <f t="shared" si="81"/>
        <v>2024</v>
      </c>
      <c r="C1423" s="2">
        <v>45512</v>
      </c>
      <c r="D1423">
        <v>342</v>
      </c>
      <c r="E1423" s="2">
        <v>45512</v>
      </c>
      <c r="F1423">
        <v>61.25</v>
      </c>
      <c r="G1423" s="2">
        <v>45512</v>
      </c>
      <c r="H1423">
        <v>60.75</v>
      </c>
      <c r="I1423" s="2">
        <v>45512</v>
      </c>
      <c r="J1423">
        <v>61.25</v>
      </c>
      <c r="K1423" s="5">
        <f t="shared" si="82"/>
        <v>0</v>
      </c>
      <c r="L1423" s="6">
        <f t="shared" si="83"/>
        <v>0.5</v>
      </c>
    </row>
    <row r="1424" spans="1:12" x14ac:dyDescent="0.25">
      <c r="A1424">
        <f t="shared" si="80"/>
        <v>8</v>
      </c>
      <c r="B1424">
        <f t="shared" si="81"/>
        <v>2024</v>
      </c>
      <c r="C1424" s="2">
        <v>45513</v>
      </c>
      <c r="D1424">
        <v>342</v>
      </c>
      <c r="E1424" s="2">
        <v>45513</v>
      </c>
      <c r="F1424">
        <v>62.25</v>
      </c>
      <c r="G1424" s="2">
        <v>45513</v>
      </c>
      <c r="H1424">
        <v>61.75</v>
      </c>
      <c r="I1424" s="2">
        <v>45513</v>
      </c>
      <c r="J1424">
        <v>62.25</v>
      </c>
      <c r="K1424" s="5">
        <f t="shared" si="82"/>
        <v>0</v>
      </c>
      <c r="L1424" s="6">
        <f t="shared" si="83"/>
        <v>0.5</v>
      </c>
    </row>
    <row r="1425" spans="1:12" x14ac:dyDescent="0.25">
      <c r="A1425">
        <f t="shared" si="80"/>
        <v>8</v>
      </c>
      <c r="B1425">
        <f t="shared" si="81"/>
        <v>2024</v>
      </c>
      <c r="C1425" s="2">
        <v>45516</v>
      </c>
      <c r="D1425">
        <v>338</v>
      </c>
      <c r="E1425" s="2">
        <v>45516</v>
      </c>
      <c r="F1425">
        <v>58</v>
      </c>
      <c r="G1425" s="2">
        <v>45516</v>
      </c>
      <c r="H1425">
        <v>57.5</v>
      </c>
      <c r="I1425" s="2">
        <v>45516</v>
      </c>
      <c r="J1425">
        <v>57.75</v>
      </c>
      <c r="K1425" s="5">
        <f t="shared" si="82"/>
        <v>0.25</v>
      </c>
      <c r="L1425" s="6">
        <f t="shared" si="83"/>
        <v>0.5</v>
      </c>
    </row>
    <row r="1426" spans="1:12" x14ac:dyDescent="0.25">
      <c r="A1426">
        <f t="shared" si="80"/>
        <v>8</v>
      </c>
      <c r="B1426">
        <f t="shared" si="81"/>
        <v>2024</v>
      </c>
      <c r="C1426" s="2">
        <v>45517</v>
      </c>
      <c r="D1426">
        <v>336</v>
      </c>
      <c r="E1426" s="2">
        <v>45517</v>
      </c>
      <c r="F1426">
        <v>56.5</v>
      </c>
      <c r="G1426" s="2">
        <v>45517</v>
      </c>
      <c r="H1426">
        <v>56</v>
      </c>
      <c r="I1426" s="2">
        <v>45517</v>
      </c>
      <c r="J1426">
        <v>56.5</v>
      </c>
      <c r="K1426" s="5">
        <f t="shared" si="82"/>
        <v>0</v>
      </c>
      <c r="L1426" s="6">
        <f t="shared" si="83"/>
        <v>0.5</v>
      </c>
    </row>
    <row r="1427" spans="1:12" x14ac:dyDescent="0.25">
      <c r="A1427">
        <f t="shared" si="80"/>
        <v>8</v>
      </c>
      <c r="B1427">
        <f t="shared" si="81"/>
        <v>2024</v>
      </c>
      <c r="C1427" s="2">
        <v>45518</v>
      </c>
      <c r="D1427">
        <v>335</v>
      </c>
      <c r="E1427" s="2">
        <v>45518</v>
      </c>
      <c r="F1427">
        <v>54.75</v>
      </c>
      <c r="G1427" s="2">
        <v>45518</v>
      </c>
      <c r="H1427">
        <v>54</v>
      </c>
      <c r="I1427" s="2">
        <v>45518</v>
      </c>
      <c r="J1427">
        <v>54.75</v>
      </c>
      <c r="K1427" s="5">
        <f t="shared" si="82"/>
        <v>0</v>
      </c>
      <c r="L1427" s="6">
        <f t="shared" si="83"/>
        <v>0.75</v>
      </c>
    </row>
    <row r="1428" spans="1:12" x14ac:dyDescent="0.25">
      <c r="A1428">
        <f t="shared" si="80"/>
        <v>8</v>
      </c>
      <c r="B1428">
        <f t="shared" si="81"/>
        <v>2024</v>
      </c>
      <c r="C1428" s="2">
        <v>45519</v>
      </c>
      <c r="D1428">
        <v>335</v>
      </c>
      <c r="E1428" s="2">
        <v>45519</v>
      </c>
      <c r="F1428">
        <v>52</v>
      </c>
      <c r="G1428" s="2">
        <v>45519</v>
      </c>
      <c r="H1428">
        <v>51</v>
      </c>
      <c r="I1428" s="2">
        <v>45519</v>
      </c>
      <c r="J1428">
        <v>52</v>
      </c>
      <c r="K1428" s="5">
        <f t="shared" si="82"/>
        <v>0</v>
      </c>
      <c r="L1428" s="6">
        <f t="shared" si="83"/>
        <v>1</v>
      </c>
    </row>
    <row r="1429" spans="1:12" x14ac:dyDescent="0.25">
      <c r="A1429">
        <f t="shared" si="80"/>
        <v>8</v>
      </c>
      <c r="B1429">
        <f t="shared" si="81"/>
        <v>2024</v>
      </c>
      <c r="C1429" s="2">
        <v>45520</v>
      </c>
      <c r="D1429">
        <v>327</v>
      </c>
      <c r="E1429" s="2">
        <v>45520</v>
      </c>
      <c r="F1429">
        <v>53.75</v>
      </c>
      <c r="G1429" s="2">
        <v>45520</v>
      </c>
      <c r="H1429">
        <v>52.75</v>
      </c>
      <c r="I1429" s="2">
        <v>45520</v>
      </c>
      <c r="J1429">
        <v>53.75</v>
      </c>
      <c r="K1429" s="5">
        <f t="shared" si="82"/>
        <v>0</v>
      </c>
      <c r="L1429" s="6">
        <f t="shared" si="83"/>
        <v>1</v>
      </c>
    </row>
    <row r="1430" spans="1:12" x14ac:dyDescent="0.25">
      <c r="A1430">
        <f t="shared" si="80"/>
        <v>8</v>
      </c>
      <c r="B1430">
        <f t="shared" si="81"/>
        <v>2024</v>
      </c>
      <c r="C1430" s="2">
        <v>45523</v>
      </c>
      <c r="D1430">
        <v>325</v>
      </c>
      <c r="E1430" s="2">
        <v>45523</v>
      </c>
      <c r="F1430">
        <v>54.5</v>
      </c>
      <c r="G1430" s="2">
        <v>45523</v>
      </c>
      <c r="H1430">
        <v>53.5</v>
      </c>
      <c r="I1430" s="2">
        <v>45523</v>
      </c>
      <c r="J1430">
        <v>54.5</v>
      </c>
      <c r="K1430" s="5">
        <f t="shared" si="82"/>
        <v>0</v>
      </c>
      <c r="L1430" s="6">
        <f t="shared" si="83"/>
        <v>1</v>
      </c>
    </row>
    <row r="1431" spans="1:12" x14ac:dyDescent="0.25">
      <c r="A1431">
        <f t="shared" si="80"/>
        <v>8</v>
      </c>
      <c r="B1431">
        <f t="shared" si="81"/>
        <v>2024</v>
      </c>
      <c r="C1431" s="2">
        <v>45524</v>
      </c>
      <c r="D1431">
        <v>333</v>
      </c>
      <c r="E1431" s="2">
        <v>45524</v>
      </c>
      <c r="F1431">
        <v>54</v>
      </c>
      <c r="G1431" s="2">
        <v>45524</v>
      </c>
      <c r="H1431">
        <v>53</v>
      </c>
      <c r="I1431" s="2">
        <v>45524</v>
      </c>
      <c r="J1431">
        <v>53.75</v>
      </c>
      <c r="K1431" s="5">
        <f t="shared" si="82"/>
        <v>0.25</v>
      </c>
      <c r="L1431" s="6">
        <f t="shared" si="83"/>
        <v>1</v>
      </c>
    </row>
    <row r="1432" spans="1:12" x14ac:dyDescent="0.25">
      <c r="A1432">
        <f t="shared" si="80"/>
        <v>8</v>
      </c>
      <c r="B1432">
        <f t="shared" si="81"/>
        <v>2024</v>
      </c>
      <c r="C1432" s="2">
        <v>45525</v>
      </c>
      <c r="D1432">
        <v>333.5</v>
      </c>
      <c r="E1432" s="2">
        <v>45525</v>
      </c>
      <c r="F1432">
        <v>56</v>
      </c>
      <c r="G1432" s="2">
        <v>45525</v>
      </c>
      <c r="H1432">
        <v>55.25</v>
      </c>
      <c r="I1432" s="2">
        <v>45525</v>
      </c>
      <c r="J1432">
        <v>56</v>
      </c>
      <c r="K1432" s="5">
        <f t="shared" si="82"/>
        <v>0</v>
      </c>
      <c r="L1432" s="6">
        <f t="shared" si="83"/>
        <v>0.75</v>
      </c>
    </row>
    <row r="1433" spans="1:12" x14ac:dyDescent="0.25">
      <c r="A1433">
        <f t="shared" si="80"/>
        <v>8</v>
      </c>
      <c r="B1433">
        <f t="shared" si="81"/>
        <v>2024</v>
      </c>
      <c r="C1433" s="2">
        <v>45526</v>
      </c>
      <c r="D1433">
        <v>333</v>
      </c>
      <c r="E1433" s="2">
        <v>45526</v>
      </c>
      <c r="F1433">
        <v>54.38</v>
      </c>
      <c r="G1433" s="2">
        <v>45526</v>
      </c>
      <c r="H1433">
        <v>53.63</v>
      </c>
      <c r="I1433" s="2">
        <v>45526</v>
      </c>
      <c r="J1433">
        <v>54.38</v>
      </c>
      <c r="K1433" s="5">
        <f t="shared" si="82"/>
        <v>0</v>
      </c>
      <c r="L1433" s="6">
        <f t="shared" si="83"/>
        <v>0.75</v>
      </c>
    </row>
    <row r="1434" spans="1:12" x14ac:dyDescent="0.25">
      <c r="A1434">
        <f t="shared" si="80"/>
        <v>8</v>
      </c>
      <c r="B1434">
        <f t="shared" si="81"/>
        <v>2024</v>
      </c>
      <c r="C1434" s="2">
        <v>45527</v>
      </c>
      <c r="D1434">
        <v>334</v>
      </c>
      <c r="E1434" s="2">
        <v>45527</v>
      </c>
      <c r="F1434">
        <v>55</v>
      </c>
      <c r="G1434" s="2">
        <v>45527</v>
      </c>
      <c r="H1434">
        <v>54.5</v>
      </c>
      <c r="I1434" s="2">
        <v>45527</v>
      </c>
      <c r="J1434">
        <v>55</v>
      </c>
      <c r="K1434" s="5">
        <f t="shared" si="82"/>
        <v>0</v>
      </c>
      <c r="L1434" s="6">
        <f t="shared" si="83"/>
        <v>0.5</v>
      </c>
    </row>
    <row r="1435" spans="1:12" x14ac:dyDescent="0.25">
      <c r="A1435">
        <f t="shared" si="80"/>
        <v>8</v>
      </c>
      <c r="B1435">
        <f t="shared" si="81"/>
        <v>2024</v>
      </c>
      <c r="C1435" s="2">
        <v>45530</v>
      </c>
      <c r="D1435">
        <v>335</v>
      </c>
      <c r="E1435" s="2">
        <v>45530</v>
      </c>
      <c r="F1435">
        <v>55.25</v>
      </c>
      <c r="G1435" s="2">
        <v>45530</v>
      </c>
      <c r="H1435">
        <v>54.75</v>
      </c>
      <c r="I1435" s="2">
        <v>45530</v>
      </c>
      <c r="J1435">
        <v>55.25</v>
      </c>
      <c r="K1435" s="5">
        <f t="shared" si="82"/>
        <v>0</v>
      </c>
      <c r="L1435" s="6">
        <f t="shared" si="83"/>
        <v>0.5</v>
      </c>
    </row>
    <row r="1436" spans="1:12" x14ac:dyDescent="0.25">
      <c r="A1436">
        <f t="shared" si="80"/>
        <v>8</v>
      </c>
      <c r="B1436">
        <f t="shared" si="81"/>
        <v>2024</v>
      </c>
      <c r="C1436" s="2">
        <v>45531</v>
      </c>
      <c r="D1436">
        <v>336</v>
      </c>
      <c r="E1436" s="2">
        <v>45531</v>
      </c>
      <c r="F1436">
        <v>56.25</v>
      </c>
      <c r="G1436" s="2">
        <v>45531</v>
      </c>
      <c r="H1436">
        <v>55.75</v>
      </c>
      <c r="I1436" s="2">
        <v>45531</v>
      </c>
      <c r="J1436">
        <v>56.13</v>
      </c>
      <c r="K1436" s="5">
        <f t="shared" si="82"/>
        <v>0.11999999999999744</v>
      </c>
      <c r="L1436" s="6">
        <f t="shared" si="83"/>
        <v>0.5</v>
      </c>
    </row>
    <row r="1437" spans="1:12" x14ac:dyDescent="0.25">
      <c r="A1437">
        <f t="shared" si="80"/>
        <v>8</v>
      </c>
      <c r="B1437">
        <f t="shared" si="81"/>
        <v>2024</v>
      </c>
      <c r="C1437" s="2">
        <v>45532</v>
      </c>
      <c r="D1437">
        <v>335</v>
      </c>
      <c r="E1437" s="2">
        <v>45532</v>
      </c>
      <c r="F1437">
        <v>56.88</v>
      </c>
      <c r="G1437" s="2">
        <v>45532</v>
      </c>
      <c r="H1437">
        <v>56.25</v>
      </c>
      <c r="I1437" s="2">
        <v>45532</v>
      </c>
      <c r="J1437">
        <v>56.75</v>
      </c>
      <c r="K1437" s="5">
        <f t="shared" si="82"/>
        <v>0.13000000000000256</v>
      </c>
      <c r="L1437" s="6">
        <f t="shared" si="83"/>
        <v>0.63000000000000256</v>
      </c>
    </row>
    <row r="1438" spans="1:12" x14ac:dyDescent="0.25">
      <c r="A1438">
        <f t="shared" si="80"/>
        <v>8</v>
      </c>
      <c r="B1438">
        <f t="shared" si="81"/>
        <v>2024</v>
      </c>
      <c r="C1438" s="2">
        <v>45533</v>
      </c>
      <c r="D1438">
        <v>333.5</v>
      </c>
      <c r="E1438" s="2">
        <v>45533</v>
      </c>
      <c r="F1438">
        <v>58.88</v>
      </c>
      <c r="G1438" s="2">
        <v>45533</v>
      </c>
      <c r="H1438">
        <v>58.25</v>
      </c>
      <c r="I1438" s="2">
        <v>45533</v>
      </c>
      <c r="J1438">
        <v>59</v>
      </c>
      <c r="K1438" s="5">
        <f t="shared" si="82"/>
        <v>-0.11999999999999744</v>
      </c>
      <c r="L1438" s="6">
        <f t="shared" si="83"/>
        <v>0.63000000000000256</v>
      </c>
    </row>
    <row r="1439" spans="1:12" x14ac:dyDescent="0.25">
      <c r="A1439">
        <f t="shared" si="80"/>
        <v>8</v>
      </c>
      <c r="B1439">
        <f t="shared" si="81"/>
        <v>2024</v>
      </c>
      <c r="C1439" s="2">
        <v>45534</v>
      </c>
      <c r="D1439">
        <v>335.5</v>
      </c>
      <c r="E1439" s="2">
        <v>45534</v>
      </c>
      <c r="F1439">
        <v>59</v>
      </c>
      <c r="G1439" s="2">
        <v>45534</v>
      </c>
      <c r="H1439">
        <v>58.75</v>
      </c>
      <c r="I1439" s="2">
        <v>45534</v>
      </c>
      <c r="J1439">
        <v>59</v>
      </c>
      <c r="K1439" s="5">
        <f t="shared" si="82"/>
        <v>0</v>
      </c>
      <c r="L1439" s="6">
        <f t="shared" si="83"/>
        <v>0.25</v>
      </c>
    </row>
    <row r="1440" spans="1:12" x14ac:dyDescent="0.25">
      <c r="A1440">
        <f t="shared" si="80"/>
        <v>9</v>
      </c>
      <c r="B1440">
        <f t="shared" si="81"/>
        <v>2024</v>
      </c>
      <c r="C1440" s="2">
        <v>45538</v>
      </c>
      <c r="D1440">
        <v>335</v>
      </c>
      <c r="E1440" s="2">
        <v>45538</v>
      </c>
      <c r="F1440">
        <v>57.5</v>
      </c>
      <c r="G1440" s="2">
        <v>45538</v>
      </c>
      <c r="H1440">
        <v>57.25</v>
      </c>
      <c r="I1440" s="2">
        <v>45538</v>
      </c>
      <c r="J1440">
        <v>57.38</v>
      </c>
      <c r="K1440" s="5">
        <f t="shared" si="82"/>
        <v>0.11999999999999744</v>
      </c>
      <c r="L1440" s="6">
        <f t="shared" si="83"/>
        <v>0.25</v>
      </c>
    </row>
    <row r="1441" spans="1:12" x14ac:dyDescent="0.25">
      <c r="A1441">
        <f t="shared" si="80"/>
        <v>9</v>
      </c>
      <c r="B1441">
        <f t="shared" si="81"/>
        <v>2024</v>
      </c>
      <c r="C1441" s="2">
        <v>45539</v>
      </c>
      <c r="D1441">
        <v>335</v>
      </c>
      <c r="E1441" s="2">
        <v>45539</v>
      </c>
      <c r="F1441">
        <v>57.5</v>
      </c>
      <c r="G1441" s="2">
        <v>45539</v>
      </c>
      <c r="H1441">
        <v>57.25</v>
      </c>
      <c r="I1441" s="2">
        <v>45539</v>
      </c>
      <c r="J1441">
        <v>57.38</v>
      </c>
      <c r="K1441" s="5">
        <f t="shared" si="82"/>
        <v>0.11999999999999744</v>
      </c>
      <c r="L1441" s="6">
        <f t="shared" si="83"/>
        <v>0.25</v>
      </c>
    </row>
    <row r="1442" spans="1:12" x14ac:dyDescent="0.25">
      <c r="A1442">
        <f t="shared" si="80"/>
        <v>9</v>
      </c>
      <c r="B1442">
        <f t="shared" si="81"/>
        <v>2024</v>
      </c>
      <c r="C1442" s="2">
        <v>45540</v>
      </c>
      <c r="D1442">
        <v>334.25</v>
      </c>
      <c r="E1442" s="2">
        <v>45540</v>
      </c>
      <c r="F1442">
        <v>58.5</v>
      </c>
      <c r="G1442" s="2">
        <v>45540</v>
      </c>
      <c r="H1442">
        <v>58.25</v>
      </c>
      <c r="I1442" s="2">
        <v>45540</v>
      </c>
      <c r="J1442">
        <v>58.5</v>
      </c>
      <c r="K1442" s="5">
        <f t="shared" si="82"/>
        <v>0</v>
      </c>
      <c r="L1442" s="6">
        <f t="shared" si="83"/>
        <v>0.25</v>
      </c>
    </row>
    <row r="1443" spans="1:12" x14ac:dyDescent="0.25">
      <c r="A1443">
        <f t="shared" si="80"/>
        <v>9</v>
      </c>
      <c r="B1443">
        <f t="shared" si="81"/>
        <v>2024</v>
      </c>
      <c r="C1443" s="2">
        <v>45541</v>
      </c>
      <c r="D1443">
        <v>335</v>
      </c>
      <c r="E1443" s="2">
        <v>45541</v>
      </c>
      <c r="F1443">
        <v>57</v>
      </c>
      <c r="G1443" s="2">
        <v>45541</v>
      </c>
      <c r="H1443">
        <v>56.75</v>
      </c>
      <c r="I1443" s="2">
        <v>45541</v>
      </c>
      <c r="J1443">
        <v>57</v>
      </c>
      <c r="K1443" s="5">
        <f t="shared" si="82"/>
        <v>0</v>
      </c>
      <c r="L1443" s="6">
        <f t="shared" si="83"/>
        <v>0.25</v>
      </c>
    </row>
    <row r="1444" spans="1:12" x14ac:dyDescent="0.25">
      <c r="A1444">
        <f t="shared" si="80"/>
        <v>9</v>
      </c>
      <c r="B1444">
        <f t="shared" si="81"/>
        <v>2024</v>
      </c>
      <c r="C1444" s="2">
        <v>45544</v>
      </c>
      <c r="D1444">
        <v>335</v>
      </c>
      <c r="E1444" s="2">
        <v>45544</v>
      </c>
      <c r="F1444">
        <v>58</v>
      </c>
      <c r="G1444" s="2">
        <v>45544</v>
      </c>
      <c r="H1444">
        <v>57.5</v>
      </c>
      <c r="I1444" s="2">
        <v>45544</v>
      </c>
      <c r="J1444">
        <v>58</v>
      </c>
      <c r="K1444" s="5">
        <f t="shared" si="82"/>
        <v>0</v>
      </c>
      <c r="L1444" s="6">
        <f t="shared" si="83"/>
        <v>0.5</v>
      </c>
    </row>
    <row r="1445" spans="1:12" x14ac:dyDescent="0.25">
      <c r="A1445">
        <f t="shared" si="80"/>
        <v>9</v>
      </c>
      <c r="B1445">
        <f t="shared" si="81"/>
        <v>2024</v>
      </c>
      <c r="C1445" s="2">
        <v>45545</v>
      </c>
      <c r="D1445">
        <v>334</v>
      </c>
      <c r="E1445" s="2">
        <v>45545</v>
      </c>
      <c r="F1445">
        <v>57.5</v>
      </c>
      <c r="G1445" s="2">
        <v>45545</v>
      </c>
      <c r="H1445">
        <v>57</v>
      </c>
      <c r="I1445" s="2">
        <v>45545</v>
      </c>
      <c r="J1445">
        <v>57.5</v>
      </c>
      <c r="K1445" s="5">
        <f t="shared" si="82"/>
        <v>0</v>
      </c>
      <c r="L1445" s="6">
        <f t="shared" si="83"/>
        <v>0.5</v>
      </c>
    </row>
    <row r="1446" spans="1:12" x14ac:dyDescent="0.25">
      <c r="A1446">
        <f t="shared" si="80"/>
        <v>9</v>
      </c>
      <c r="B1446">
        <f t="shared" si="81"/>
        <v>2024</v>
      </c>
      <c r="C1446" s="2">
        <v>45546</v>
      </c>
      <c r="D1446">
        <v>335</v>
      </c>
      <c r="E1446" s="2">
        <v>45546</v>
      </c>
      <c r="F1446">
        <v>57.5</v>
      </c>
      <c r="G1446" s="2">
        <v>45546</v>
      </c>
      <c r="H1446">
        <v>57</v>
      </c>
      <c r="I1446" s="2">
        <v>45546</v>
      </c>
      <c r="J1446">
        <v>57.5</v>
      </c>
      <c r="K1446" s="5">
        <f t="shared" si="82"/>
        <v>0</v>
      </c>
      <c r="L1446" s="6">
        <f t="shared" si="83"/>
        <v>0.5</v>
      </c>
    </row>
    <row r="1447" spans="1:12" x14ac:dyDescent="0.25">
      <c r="A1447">
        <f t="shared" si="80"/>
        <v>9</v>
      </c>
      <c r="B1447">
        <f t="shared" si="81"/>
        <v>2024</v>
      </c>
      <c r="C1447" s="2">
        <v>45547</v>
      </c>
      <c r="D1447">
        <v>334.5</v>
      </c>
      <c r="E1447" s="2">
        <v>45547</v>
      </c>
      <c r="F1447">
        <v>56.5</v>
      </c>
      <c r="G1447" s="2">
        <v>45547</v>
      </c>
      <c r="H1447">
        <v>56</v>
      </c>
      <c r="I1447" s="2">
        <v>45547</v>
      </c>
      <c r="J1447">
        <v>56.38</v>
      </c>
      <c r="K1447" s="5">
        <f t="shared" si="82"/>
        <v>0.11999999999999744</v>
      </c>
      <c r="L1447" s="6">
        <f t="shared" si="83"/>
        <v>0.5</v>
      </c>
    </row>
    <row r="1448" spans="1:12" x14ac:dyDescent="0.25">
      <c r="A1448">
        <f t="shared" si="80"/>
        <v>9</v>
      </c>
      <c r="B1448">
        <f t="shared" si="81"/>
        <v>2024</v>
      </c>
      <c r="C1448" s="2">
        <v>45548</v>
      </c>
      <c r="D1448">
        <v>334.5</v>
      </c>
      <c r="E1448" s="2">
        <v>45548</v>
      </c>
      <c r="F1448">
        <v>55.75</v>
      </c>
      <c r="G1448" s="2">
        <v>45548</v>
      </c>
      <c r="H1448">
        <v>55.25</v>
      </c>
      <c r="I1448" s="2">
        <v>45548</v>
      </c>
      <c r="J1448">
        <v>55.63</v>
      </c>
      <c r="K1448" s="5">
        <f t="shared" si="82"/>
        <v>0.11999999999999744</v>
      </c>
      <c r="L1448" s="6">
        <f t="shared" si="83"/>
        <v>0.5</v>
      </c>
    </row>
    <row r="1449" spans="1:12" x14ac:dyDescent="0.25">
      <c r="A1449">
        <f t="shared" si="80"/>
        <v>9</v>
      </c>
      <c r="B1449">
        <f t="shared" si="81"/>
        <v>2024</v>
      </c>
      <c r="C1449" s="2">
        <v>45551</v>
      </c>
      <c r="D1449">
        <v>335</v>
      </c>
      <c r="E1449" s="2">
        <v>45551</v>
      </c>
      <c r="F1449">
        <v>56</v>
      </c>
      <c r="G1449" s="2">
        <v>45551</v>
      </c>
      <c r="H1449">
        <v>55.5</v>
      </c>
      <c r="I1449" s="2">
        <v>45551</v>
      </c>
      <c r="J1449">
        <v>55.88</v>
      </c>
      <c r="K1449" s="5">
        <f t="shared" si="82"/>
        <v>0.11999999999999744</v>
      </c>
      <c r="L1449" s="6">
        <f t="shared" si="83"/>
        <v>0.5</v>
      </c>
    </row>
    <row r="1450" spans="1:12" x14ac:dyDescent="0.25">
      <c r="A1450">
        <f t="shared" si="80"/>
        <v>9</v>
      </c>
      <c r="B1450">
        <f t="shared" si="81"/>
        <v>2024</v>
      </c>
      <c r="C1450" s="2">
        <v>45552</v>
      </c>
      <c r="D1450">
        <v>334.5</v>
      </c>
      <c r="E1450" s="2">
        <v>45552</v>
      </c>
      <c r="F1450">
        <v>57</v>
      </c>
      <c r="G1450" s="2">
        <v>45552</v>
      </c>
      <c r="H1450">
        <v>56.5</v>
      </c>
      <c r="I1450" s="2">
        <v>45552</v>
      </c>
      <c r="J1450">
        <v>56.88</v>
      </c>
      <c r="K1450" s="5">
        <f t="shared" si="82"/>
        <v>0.11999999999999744</v>
      </c>
      <c r="L1450" s="6">
        <f t="shared" si="83"/>
        <v>0.5</v>
      </c>
    </row>
    <row r="1451" spans="1:12" x14ac:dyDescent="0.25">
      <c r="A1451">
        <f t="shared" si="80"/>
        <v>9</v>
      </c>
      <c r="B1451">
        <f t="shared" si="81"/>
        <v>2024</v>
      </c>
      <c r="C1451" s="2">
        <v>45553</v>
      </c>
      <c r="D1451">
        <v>335</v>
      </c>
      <c r="E1451" s="2">
        <v>45553</v>
      </c>
      <c r="F1451">
        <v>58</v>
      </c>
      <c r="G1451" s="2">
        <v>45553</v>
      </c>
      <c r="H1451">
        <v>57.5</v>
      </c>
      <c r="I1451" s="2">
        <v>45553</v>
      </c>
      <c r="J1451">
        <v>57.88</v>
      </c>
      <c r="K1451" s="5">
        <f t="shared" si="82"/>
        <v>0.11999999999999744</v>
      </c>
      <c r="L1451" s="6">
        <f t="shared" si="83"/>
        <v>0.5</v>
      </c>
    </row>
    <row r="1452" spans="1:12" x14ac:dyDescent="0.25">
      <c r="A1452">
        <f t="shared" si="80"/>
        <v>9</v>
      </c>
      <c r="B1452">
        <f t="shared" si="81"/>
        <v>2024</v>
      </c>
      <c r="C1452" s="2">
        <v>45554</v>
      </c>
      <c r="D1452">
        <v>336</v>
      </c>
      <c r="E1452" s="2">
        <v>45554</v>
      </c>
      <c r="F1452">
        <v>59</v>
      </c>
      <c r="G1452" s="2">
        <v>45554</v>
      </c>
      <c r="H1452">
        <v>58.5</v>
      </c>
      <c r="I1452" s="2">
        <v>45554</v>
      </c>
      <c r="J1452">
        <v>58.88</v>
      </c>
      <c r="K1452" s="5">
        <f t="shared" si="82"/>
        <v>0.11999999999999744</v>
      </c>
      <c r="L1452" s="6">
        <f t="shared" si="83"/>
        <v>0.5</v>
      </c>
    </row>
    <row r="1453" spans="1:12" x14ac:dyDescent="0.25">
      <c r="A1453">
        <f t="shared" si="80"/>
        <v>9</v>
      </c>
      <c r="B1453">
        <f t="shared" si="81"/>
        <v>2024</v>
      </c>
      <c r="C1453" s="2">
        <v>45555</v>
      </c>
      <c r="D1453">
        <v>336</v>
      </c>
      <c r="E1453" s="2">
        <v>45555</v>
      </c>
      <c r="F1453">
        <v>60.75</v>
      </c>
      <c r="G1453" s="2">
        <v>45555</v>
      </c>
      <c r="H1453">
        <v>60.25</v>
      </c>
      <c r="I1453" s="2">
        <v>45555</v>
      </c>
      <c r="J1453">
        <v>60.75</v>
      </c>
      <c r="K1453" s="5">
        <f t="shared" si="82"/>
        <v>0</v>
      </c>
      <c r="L1453" s="6">
        <f t="shared" si="83"/>
        <v>0.5</v>
      </c>
    </row>
    <row r="1454" spans="1:12" x14ac:dyDescent="0.25">
      <c r="A1454">
        <f t="shared" si="80"/>
        <v>9</v>
      </c>
      <c r="B1454">
        <f t="shared" si="81"/>
        <v>2024</v>
      </c>
      <c r="C1454" s="2">
        <v>45558</v>
      </c>
      <c r="D1454">
        <v>346.13</v>
      </c>
      <c r="E1454" s="2">
        <v>45558</v>
      </c>
      <c r="F1454">
        <v>63</v>
      </c>
      <c r="G1454" s="2">
        <v>45558</v>
      </c>
      <c r="H1454">
        <v>62.5</v>
      </c>
      <c r="I1454" s="2">
        <v>45558</v>
      </c>
      <c r="J1454">
        <v>62.88</v>
      </c>
      <c r="K1454" s="5">
        <f t="shared" si="82"/>
        <v>0.11999999999999744</v>
      </c>
      <c r="L1454" s="6">
        <f t="shared" si="83"/>
        <v>0.5</v>
      </c>
    </row>
    <row r="1455" spans="1:12" x14ac:dyDescent="0.25">
      <c r="A1455">
        <f t="shared" si="80"/>
        <v>9</v>
      </c>
      <c r="B1455">
        <f t="shared" si="81"/>
        <v>2024</v>
      </c>
      <c r="C1455" s="2">
        <v>45559</v>
      </c>
      <c r="D1455">
        <v>345.5</v>
      </c>
      <c r="E1455" s="2">
        <v>45559</v>
      </c>
      <c r="F1455">
        <v>64.75</v>
      </c>
      <c r="G1455" s="2">
        <v>45559</v>
      </c>
      <c r="H1455">
        <v>64</v>
      </c>
      <c r="I1455" s="2">
        <v>45559</v>
      </c>
      <c r="J1455">
        <v>64.75</v>
      </c>
      <c r="K1455" s="5">
        <f t="shared" si="82"/>
        <v>0</v>
      </c>
      <c r="L1455" s="6">
        <f t="shared" si="83"/>
        <v>0.75</v>
      </c>
    </row>
    <row r="1456" spans="1:12" x14ac:dyDescent="0.25">
      <c r="A1456">
        <f t="shared" si="80"/>
        <v>9</v>
      </c>
      <c r="B1456">
        <f t="shared" si="81"/>
        <v>2024</v>
      </c>
      <c r="C1456" s="2">
        <v>45560</v>
      </c>
      <c r="D1456">
        <v>354</v>
      </c>
      <c r="E1456" s="2">
        <v>45560</v>
      </c>
      <c r="F1456">
        <v>69</v>
      </c>
      <c r="G1456" s="2">
        <v>45560</v>
      </c>
      <c r="H1456">
        <v>68.25</v>
      </c>
      <c r="I1456" s="2">
        <v>45560</v>
      </c>
      <c r="J1456">
        <v>68.88</v>
      </c>
      <c r="K1456" s="5">
        <f t="shared" si="82"/>
        <v>0.12000000000000455</v>
      </c>
      <c r="L1456" s="6">
        <f t="shared" si="83"/>
        <v>0.75</v>
      </c>
    </row>
    <row r="1457" spans="1:12" x14ac:dyDescent="0.25">
      <c r="A1457">
        <f t="shared" si="80"/>
        <v>9</v>
      </c>
      <c r="B1457">
        <f t="shared" si="81"/>
        <v>2024</v>
      </c>
      <c r="C1457" s="2">
        <v>45561</v>
      </c>
      <c r="D1457">
        <v>355</v>
      </c>
      <c r="E1457" s="2">
        <v>45561</v>
      </c>
      <c r="F1457">
        <v>70</v>
      </c>
      <c r="G1457" s="2">
        <v>45561</v>
      </c>
      <c r="H1457">
        <v>69.25</v>
      </c>
      <c r="I1457" s="2">
        <v>45561</v>
      </c>
      <c r="J1457">
        <v>69.88</v>
      </c>
      <c r="K1457" s="5">
        <f t="shared" si="82"/>
        <v>0.12000000000000455</v>
      </c>
      <c r="L1457" s="6">
        <f t="shared" si="83"/>
        <v>0.75</v>
      </c>
    </row>
    <row r="1458" spans="1:12" x14ac:dyDescent="0.25">
      <c r="A1458">
        <f t="shared" si="80"/>
        <v>9</v>
      </c>
      <c r="B1458">
        <f t="shared" si="81"/>
        <v>2024</v>
      </c>
      <c r="C1458" s="2">
        <v>45562</v>
      </c>
      <c r="D1458">
        <v>353</v>
      </c>
      <c r="E1458" s="2">
        <v>45562</v>
      </c>
      <c r="F1458">
        <v>66.75</v>
      </c>
      <c r="G1458" s="2">
        <v>45562</v>
      </c>
      <c r="H1458">
        <v>66</v>
      </c>
      <c r="I1458" s="2">
        <v>45562</v>
      </c>
      <c r="J1458">
        <v>66.63</v>
      </c>
      <c r="K1458" s="5">
        <f t="shared" si="82"/>
        <v>0.12000000000000455</v>
      </c>
      <c r="L1458" s="6">
        <f t="shared" si="83"/>
        <v>0.75</v>
      </c>
    </row>
    <row r="1459" spans="1:12" x14ac:dyDescent="0.25">
      <c r="A1459">
        <f t="shared" si="80"/>
        <v>9</v>
      </c>
      <c r="B1459">
        <f t="shared" si="81"/>
        <v>2024</v>
      </c>
      <c r="C1459" s="2">
        <v>45565</v>
      </c>
      <c r="D1459">
        <v>350</v>
      </c>
      <c r="E1459" s="2">
        <v>45565</v>
      </c>
      <c r="F1459">
        <v>68.25</v>
      </c>
      <c r="G1459" s="2">
        <v>45565</v>
      </c>
      <c r="H1459">
        <v>67.5</v>
      </c>
      <c r="I1459" s="2">
        <v>45565</v>
      </c>
      <c r="J1459">
        <v>68.25</v>
      </c>
      <c r="K1459" s="5">
        <f t="shared" si="82"/>
        <v>0</v>
      </c>
      <c r="L1459" s="6">
        <f t="shared" si="83"/>
        <v>0.75</v>
      </c>
    </row>
    <row r="1460" spans="1:12" x14ac:dyDescent="0.25">
      <c r="A1460">
        <f t="shared" si="80"/>
        <v>10</v>
      </c>
      <c r="B1460">
        <f t="shared" si="81"/>
        <v>2024</v>
      </c>
      <c r="C1460" s="2">
        <v>45566</v>
      </c>
      <c r="D1460">
        <v>346</v>
      </c>
      <c r="E1460" s="2">
        <v>45566</v>
      </c>
      <c r="F1460">
        <v>67.75</v>
      </c>
      <c r="G1460" s="2">
        <v>45566</v>
      </c>
      <c r="H1460">
        <v>67.25</v>
      </c>
      <c r="I1460" s="2">
        <v>45566</v>
      </c>
      <c r="J1460">
        <v>67.75</v>
      </c>
      <c r="K1460" s="5">
        <f t="shared" si="82"/>
        <v>0</v>
      </c>
      <c r="L1460" s="6">
        <f t="shared" si="83"/>
        <v>0.5</v>
      </c>
    </row>
    <row r="1461" spans="1:12" x14ac:dyDescent="0.25">
      <c r="A1461">
        <f t="shared" si="80"/>
        <v>10</v>
      </c>
      <c r="B1461">
        <f t="shared" si="81"/>
        <v>2024</v>
      </c>
      <c r="C1461" s="2">
        <v>45567</v>
      </c>
      <c r="D1461">
        <v>345</v>
      </c>
      <c r="E1461" s="2">
        <v>45567</v>
      </c>
      <c r="F1461">
        <v>69</v>
      </c>
      <c r="G1461" s="2">
        <v>45567</v>
      </c>
      <c r="H1461">
        <v>68.5</v>
      </c>
      <c r="I1461" s="2">
        <v>45567</v>
      </c>
      <c r="J1461">
        <v>68.88</v>
      </c>
      <c r="K1461" s="5">
        <f t="shared" si="82"/>
        <v>0.12000000000000455</v>
      </c>
      <c r="L1461" s="6">
        <f t="shared" si="83"/>
        <v>0.5</v>
      </c>
    </row>
    <row r="1462" spans="1:12" x14ac:dyDescent="0.25">
      <c r="A1462">
        <f t="shared" si="80"/>
        <v>10</v>
      </c>
      <c r="B1462">
        <f t="shared" si="81"/>
        <v>2024</v>
      </c>
      <c r="C1462" s="2">
        <v>45568</v>
      </c>
      <c r="D1462">
        <v>330.5</v>
      </c>
      <c r="E1462" s="2">
        <v>45568</v>
      </c>
      <c r="F1462">
        <v>70.25</v>
      </c>
      <c r="G1462" s="2">
        <v>45568</v>
      </c>
      <c r="H1462">
        <v>69.75</v>
      </c>
      <c r="I1462" s="2">
        <v>45568</v>
      </c>
      <c r="J1462">
        <v>70.25</v>
      </c>
      <c r="K1462" s="5">
        <f t="shared" si="82"/>
        <v>0</v>
      </c>
      <c r="L1462" s="6">
        <f t="shared" si="83"/>
        <v>0.5</v>
      </c>
    </row>
    <row r="1463" spans="1:12" x14ac:dyDescent="0.25">
      <c r="A1463">
        <f t="shared" si="80"/>
        <v>10</v>
      </c>
      <c r="B1463">
        <f t="shared" si="81"/>
        <v>2024</v>
      </c>
      <c r="C1463" s="2">
        <v>45569</v>
      </c>
      <c r="D1463">
        <v>330.5</v>
      </c>
      <c r="E1463" s="2">
        <v>45569</v>
      </c>
      <c r="F1463">
        <v>69.63</v>
      </c>
      <c r="G1463" s="2">
        <v>45569</v>
      </c>
      <c r="H1463">
        <v>69.13</v>
      </c>
      <c r="I1463" s="2">
        <v>45569</v>
      </c>
      <c r="J1463">
        <v>69.5</v>
      </c>
      <c r="K1463" s="5">
        <f t="shared" si="82"/>
        <v>0.12999999999999545</v>
      </c>
      <c r="L1463" s="6">
        <f t="shared" si="83"/>
        <v>0.5</v>
      </c>
    </row>
    <row r="1464" spans="1:12" x14ac:dyDescent="0.25">
      <c r="A1464">
        <f t="shared" si="80"/>
        <v>10</v>
      </c>
      <c r="B1464">
        <f t="shared" si="81"/>
        <v>2024</v>
      </c>
      <c r="C1464" s="2">
        <v>45572</v>
      </c>
      <c r="D1464">
        <v>329.5</v>
      </c>
      <c r="E1464" s="2">
        <v>45572</v>
      </c>
      <c r="F1464">
        <v>70.25</v>
      </c>
      <c r="G1464" s="2">
        <v>45572</v>
      </c>
      <c r="H1464">
        <v>69.75</v>
      </c>
      <c r="I1464" s="2">
        <v>45572</v>
      </c>
      <c r="J1464">
        <v>70.5</v>
      </c>
      <c r="K1464" s="5">
        <f t="shared" si="82"/>
        <v>-0.25</v>
      </c>
      <c r="L1464" s="6">
        <f t="shared" si="83"/>
        <v>0.5</v>
      </c>
    </row>
    <row r="1465" spans="1:12" x14ac:dyDescent="0.25">
      <c r="A1465">
        <f t="shared" ref="A1465:A1523" si="84">MONTH(E1465)</f>
        <v>10</v>
      </c>
      <c r="B1465">
        <f t="shared" ref="B1465:B1523" si="85">YEAR(E1465)</f>
        <v>2024</v>
      </c>
      <c r="C1465" s="2">
        <v>45573</v>
      </c>
      <c r="D1465">
        <v>328.5</v>
      </c>
      <c r="E1465" s="2">
        <v>45573</v>
      </c>
      <c r="F1465">
        <v>70.38</v>
      </c>
      <c r="G1465" s="2">
        <v>45573</v>
      </c>
      <c r="H1465">
        <v>69.88</v>
      </c>
      <c r="I1465" s="2">
        <v>45573</v>
      </c>
      <c r="J1465">
        <v>70.25</v>
      </c>
      <c r="K1465" s="5">
        <f t="shared" ref="K1465:K1516" si="86">F1465-J1465</f>
        <v>0.12999999999999545</v>
      </c>
      <c r="L1465" s="6">
        <f t="shared" ref="L1465:L1516" si="87">F1465-H1465</f>
        <v>0.5</v>
      </c>
    </row>
    <row r="1466" spans="1:12" x14ac:dyDescent="0.25">
      <c r="A1466">
        <f t="shared" si="84"/>
        <v>10</v>
      </c>
      <c r="B1466">
        <f t="shared" si="85"/>
        <v>2024</v>
      </c>
      <c r="C1466" s="2">
        <v>45574</v>
      </c>
      <c r="D1466">
        <v>328</v>
      </c>
      <c r="E1466" s="2">
        <v>45574</v>
      </c>
      <c r="F1466">
        <v>70.5</v>
      </c>
      <c r="G1466" s="2">
        <v>45574</v>
      </c>
      <c r="H1466">
        <v>69.75</v>
      </c>
      <c r="I1466" s="2">
        <v>45574</v>
      </c>
      <c r="J1466">
        <v>70.38</v>
      </c>
      <c r="K1466" s="5">
        <f t="shared" si="86"/>
        <v>0.12000000000000455</v>
      </c>
      <c r="L1466" s="6">
        <f t="shared" si="87"/>
        <v>0.75</v>
      </c>
    </row>
    <row r="1467" spans="1:12" x14ac:dyDescent="0.25">
      <c r="A1467">
        <f t="shared" si="84"/>
        <v>10</v>
      </c>
      <c r="B1467">
        <f t="shared" si="85"/>
        <v>2024</v>
      </c>
      <c r="C1467" s="2">
        <v>45575</v>
      </c>
      <c r="D1467">
        <v>328</v>
      </c>
      <c r="E1467" s="2">
        <v>45575</v>
      </c>
      <c r="F1467">
        <v>71</v>
      </c>
      <c r="G1467" s="2">
        <v>45575</v>
      </c>
      <c r="H1467">
        <v>70.25</v>
      </c>
      <c r="I1467" s="2">
        <v>45575</v>
      </c>
      <c r="J1467">
        <v>71.13</v>
      </c>
      <c r="K1467" s="5">
        <f t="shared" si="86"/>
        <v>-0.12999999999999545</v>
      </c>
      <c r="L1467" s="6">
        <f t="shared" si="87"/>
        <v>0.75</v>
      </c>
    </row>
    <row r="1468" spans="1:12" x14ac:dyDescent="0.25">
      <c r="A1468">
        <f t="shared" si="84"/>
        <v>10</v>
      </c>
      <c r="B1468">
        <f t="shared" si="85"/>
        <v>2024</v>
      </c>
      <c r="C1468" s="2">
        <v>45576</v>
      </c>
      <c r="D1468">
        <v>328</v>
      </c>
      <c r="E1468" s="2">
        <v>45576</v>
      </c>
      <c r="F1468">
        <v>71.25</v>
      </c>
      <c r="G1468" s="2">
        <v>45576</v>
      </c>
      <c r="H1468">
        <v>70.5</v>
      </c>
      <c r="I1468" s="2">
        <v>45576</v>
      </c>
      <c r="J1468">
        <v>71.25</v>
      </c>
      <c r="K1468" s="5">
        <f t="shared" si="86"/>
        <v>0</v>
      </c>
      <c r="L1468" s="6">
        <f t="shared" si="87"/>
        <v>0.75</v>
      </c>
    </row>
    <row r="1469" spans="1:12" x14ac:dyDescent="0.25">
      <c r="A1469">
        <f t="shared" si="84"/>
        <v>10</v>
      </c>
      <c r="B1469">
        <f t="shared" si="85"/>
        <v>2024</v>
      </c>
      <c r="C1469" s="2">
        <v>45579</v>
      </c>
      <c r="D1469">
        <v>332</v>
      </c>
      <c r="E1469" s="2">
        <v>45579</v>
      </c>
      <c r="F1469">
        <v>70</v>
      </c>
      <c r="G1469" s="2">
        <v>45579</v>
      </c>
      <c r="H1469">
        <v>69.25</v>
      </c>
      <c r="I1469" s="2">
        <v>45579</v>
      </c>
      <c r="J1469">
        <v>70</v>
      </c>
      <c r="K1469" s="5">
        <f t="shared" si="86"/>
        <v>0</v>
      </c>
      <c r="L1469" s="6">
        <f t="shared" si="87"/>
        <v>0.75</v>
      </c>
    </row>
    <row r="1470" spans="1:12" x14ac:dyDescent="0.25">
      <c r="A1470">
        <f t="shared" si="84"/>
        <v>10</v>
      </c>
      <c r="B1470">
        <f t="shared" si="85"/>
        <v>2024</v>
      </c>
      <c r="C1470" s="2">
        <v>45580</v>
      </c>
      <c r="D1470">
        <v>333</v>
      </c>
      <c r="E1470" s="2">
        <v>45580</v>
      </c>
      <c r="F1470">
        <v>70.5</v>
      </c>
      <c r="G1470" s="2">
        <v>45580</v>
      </c>
      <c r="H1470">
        <v>69.75</v>
      </c>
      <c r="I1470" s="2">
        <v>45580</v>
      </c>
      <c r="J1470">
        <v>70.5</v>
      </c>
      <c r="K1470" s="5">
        <f t="shared" si="86"/>
        <v>0</v>
      </c>
      <c r="L1470" s="6">
        <f t="shared" si="87"/>
        <v>0.75</v>
      </c>
    </row>
    <row r="1471" spans="1:12" x14ac:dyDescent="0.25">
      <c r="A1471">
        <f t="shared" si="84"/>
        <v>10</v>
      </c>
      <c r="B1471">
        <f t="shared" si="85"/>
        <v>2024</v>
      </c>
      <c r="C1471" s="2">
        <v>45581</v>
      </c>
      <c r="D1471">
        <v>333</v>
      </c>
      <c r="E1471" s="2">
        <v>45581</v>
      </c>
      <c r="F1471">
        <v>71</v>
      </c>
      <c r="G1471" s="2">
        <v>45581</v>
      </c>
      <c r="H1471">
        <v>70.25</v>
      </c>
      <c r="I1471" s="2">
        <v>45581</v>
      </c>
      <c r="J1471">
        <v>71</v>
      </c>
      <c r="K1471" s="5">
        <f t="shared" si="86"/>
        <v>0</v>
      </c>
      <c r="L1471" s="6">
        <f t="shared" si="87"/>
        <v>0.75</v>
      </c>
    </row>
    <row r="1472" spans="1:12" x14ac:dyDescent="0.25">
      <c r="A1472">
        <f t="shared" si="84"/>
        <v>10</v>
      </c>
      <c r="B1472">
        <f t="shared" si="85"/>
        <v>2024</v>
      </c>
      <c r="C1472" s="2">
        <v>45582</v>
      </c>
      <c r="D1472">
        <v>332</v>
      </c>
      <c r="E1472" s="2">
        <v>45582</v>
      </c>
      <c r="F1472">
        <v>71.25</v>
      </c>
      <c r="G1472" s="2">
        <v>45582</v>
      </c>
      <c r="H1472">
        <v>70.5</v>
      </c>
      <c r="I1472" s="2">
        <v>45582</v>
      </c>
      <c r="J1472">
        <v>71.13</v>
      </c>
      <c r="K1472" s="5">
        <f t="shared" si="86"/>
        <v>0.12000000000000455</v>
      </c>
      <c r="L1472" s="6">
        <f t="shared" si="87"/>
        <v>0.75</v>
      </c>
    </row>
    <row r="1473" spans="1:12" x14ac:dyDescent="0.25">
      <c r="A1473">
        <f t="shared" si="84"/>
        <v>10</v>
      </c>
      <c r="B1473">
        <f t="shared" si="85"/>
        <v>2024</v>
      </c>
      <c r="C1473" s="2">
        <v>45583</v>
      </c>
      <c r="D1473">
        <v>330</v>
      </c>
      <c r="E1473" s="2">
        <v>45583</v>
      </c>
      <c r="F1473">
        <v>70.38</v>
      </c>
      <c r="G1473" s="2">
        <v>45583</v>
      </c>
      <c r="H1473">
        <v>69.63</v>
      </c>
      <c r="I1473" s="2">
        <v>45583</v>
      </c>
      <c r="J1473">
        <v>70.25</v>
      </c>
      <c r="K1473" s="5">
        <f t="shared" si="86"/>
        <v>0.12999999999999545</v>
      </c>
      <c r="L1473" s="6">
        <f t="shared" si="87"/>
        <v>0.75</v>
      </c>
    </row>
    <row r="1474" spans="1:12" x14ac:dyDescent="0.25">
      <c r="A1474">
        <f t="shared" si="84"/>
        <v>10</v>
      </c>
      <c r="B1474">
        <f t="shared" si="85"/>
        <v>2024</v>
      </c>
      <c r="C1474" s="2">
        <v>45586</v>
      </c>
      <c r="D1474">
        <v>330</v>
      </c>
      <c r="E1474" s="2">
        <v>45586</v>
      </c>
      <c r="F1474">
        <v>69</v>
      </c>
      <c r="G1474" s="2">
        <v>45586</v>
      </c>
      <c r="H1474">
        <v>68.25</v>
      </c>
      <c r="I1474" s="2">
        <v>45586</v>
      </c>
      <c r="J1474">
        <v>69.13</v>
      </c>
      <c r="K1474" s="5">
        <f t="shared" si="86"/>
        <v>-0.12999999999999545</v>
      </c>
      <c r="L1474" s="6">
        <f t="shared" si="87"/>
        <v>0.75</v>
      </c>
    </row>
    <row r="1475" spans="1:12" x14ac:dyDescent="0.25">
      <c r="A1475">
        <f t="shared" si="84"/>
        <v>10</v>
      </c>
      <c r="B1475">
        <f t="shared" si="85"/>
        <v>2024</v>
      </c>
      <c r="C1475" s="2">
        <v>45587</v>
      </c>
      <c r="D1475">
        <v>315</v>
      </c>
      <c r="E1475" s="2">
        <v>45587</v>
      </c>
      <c r="F1475">
        <v>70.5</v>
      </c>
      <c r="G1475" s="2">
        <v>45587</v>
      </c>
      <c r="H1475">
        <v>69.75</v>
      </c>
      <c r="I1475" s="2">
        <v>45587</v>
      </c>
      <c r="J1475">
        <v>70.38</v>
      </c>
      <c r="K1475" s="5">
        <f t="shared" si="86"/>
        <v>0.12000000000000455</v>
      </c>
      <c r="L1475" s="6">
        <f t="shared" si="87"/>
        <v>0.75</v>
      </c>
    </row>
    <row r="1476" spans="1:12" x14ac:dyDescent="0.25">
      <c r="A1476">
        <f t="shared" si="84"/>
        <v>10</v>
      </c>
      <c r="B1476">
        <f t="shared" si="85"/>
        <v>2024</v>
      </c>
      <c r="C1476" s="2">
        <v>45588</v>
      </c>
      <c r="D1476">
        <v>320</v>
      </c>
      <c r="E1476" s="2">
        <v>45588</v>
      </c>
      <c r="F1476">
        <v>70</v>
      </c>
      <c r="G1476" s="2">
        <v>45588</v>
      </c>
      <c r="H1476">
        <v>69.25</v>
      </c>
      <c r="I1476" s="2">
        <v>45588</v>
      </c>
      <c r="J1476">
        <v>70</v>
      </c>
      <c r="K1476" s="5">
        <f t="shared" si="86"/>
        <v>0</v>
      </c>
      <c r="L1476" s="6">
        <f t="shared" si="87"/>
        <v>0.75</v>
      </c>
    </row>
    <row r="1477" spans="1:12" x14ac:dyDescent="0.25">
      <c r="A1477">
        <f t="shared" si="84"/>
        <v>10</v>
      </c>
      <c r="B1477">
        <f t="shared" si="85"/>
        <v>2024</v>
      </c>
      <c r="C1477" s="2">
        <v>45589</v>
      </c>
      <c r="D1477">
        <v>314</v>
      </c>
      <c r="E1477" s="2">
        <v>45589</v>
      </c>
      <c r="F1477">
        <v>71.38</v>
      </c>
      <c r="G1477" s="2">
        <v>45589</v>
      </c>
      <c r="H1477">
        <v>70.75</v>
      </c>
      <c r="I1477" s="2">
        <v>45589</v>
      </c>
      <c r="J1477">
        <v>71.25</v>
      </c>
      <c r="K1477" s="5">
        <f t="shared" si="86"/>
        <v>0.12999999999999545</v>
      </c>
      <c r="L1477" s="6">
        <f t="shared" si="87"/>
        <v>0.62999999999999545</v>
      </c>
    </row>
    <row r="1478" spans="1:12" x14ac:dyDescent="0.25">
      <c r="A1478">
        <f t="shared" si="84"/>
        <v>10</v>
      </c>
      <c r="B1478">
        <f t="shared" si="85"/>
        <v>2024</v>
      </c>
      <c r="C1478" s="2">
        <v>45590</v>
      </c>
      <c r="D1478">
        <v>318</v>
      </c>
      <c r="E1478" s="2">
        <v>45590</v>
      </c>
      <c r="F1478">
        <v>70</v>
      </c>
      <c r="G1478" s="2">
        <v>45590</v>
      </c>
      <c r="H1478">
        <v>68.75</v>
      </c>
      <c r="I1478" s="2">
        <v>45590</v>
      </c>
      <c r="J1478">
        <v>69.88</v>
      </c>
      <c r="K1478" s="5">
        <f t="shared" si="86"/>
        <v>0.12000000000000455</v>
      </c>
      <c r="L1478" s="6">
        <f t="shared" si="87"/>
        <v>1.25</v>
      </c>
    </row>
    <row r="1479" spans="1:12" x14ac:dyDescent="0.25">
      <c r="A1479">
        <f t="shared" si="84"/>
        <v>10</v>
      </c>
      <c r="B1479">
        <f t="shared" si="85"/>
        <v>2024</v>
      </c>
      <c r="C1479" s="2">
        <v>45593</v>
      </c>
      <c r="D1479">
        <v>317</v>
      </c>
      <c r="E1479" s="2">
        <v>45593</v>
      </c>
      <c r="F1479">
        <v>69</v>
      </c>
      <c r="G1479" s="2">
        <v>45593</v>
      </c>
      <c r="H1479">
        <v>68.25</v>
      </c>
      <c r="I1479" s="2">
        <v>45593</v>
      </c>
      <c r="J1479">
        <v>69</v>
      </c>
      <c r="K1479" s="5">
        <f t="shared" si="86"/>
        <v>0</v>
      </c>
      <c r="L1479" s="6">
        <f t="shared" si="87"/>
        <v>0.75</v>
      </c>
    </row>
    <row r="1480" spans="1:12" x14ac:dyDescent="0.25">
      <c r="A1480">
        <f t="shared" si="84"/>
        <v>10</v>
      </c>
      <c r="B1480">
        <f t="shared" si="85"/>
        <v>2024</v>
      </c>
      <c r="C1480" s="2">
        <v>45594</v>
      </c>
      <c r="D1480">
        <v>315</v>
      </c>
      <c r="E1480" s="2">
        <v>45594</v>
      </c>
      <c r="F1480">
        <v>69</v>
      </c>
      <c r="G1480" s="2">
        <v>45594</v>
      </c>
      <c r="H1480">
        <v>68.5</v>
      </c>
      <c r="I1480" s="2">
        <v>45594</v>
      </c>
      <c r="J1480">
        <v>69</v>
      </c>
      <c r="K1480" s="5">
        <f t="shared" si="86"/>
        <v>0</v>
      </c>
      <c r="L1480" s="6">
        <f t="shared" si="87"/>
        <v>0.5</v>
      </c>
    </row>
    <row r="1481" spans="1:12" x14ac:dyDescent="0.25">
      <c r="A1481">
        <f t="shared" si="84"/>
        <v>10</v>
      </c>
      <c r="B1481">
        <f t="shared" si="85"/>
        <v>2024</v>
      </c>
      <c r="C1481" s="2">
        <v>45595</v>
      </c>
      <c r="D1481">
        <v>314</v>
      </c>
      <c r="E1481" s="2">
        <v>45595</v>
      </c>
      <c r="F1481">
        <v>66.5</v>
      </c>
      <c r="G1481" s="2">
        <v>45595</v>
      </c>
      <c r="H1481">
        <v>66</v>
      </c>
      <c r="I1481" s="2">
        <v>45595</v>
      </c>
      <c r="J1481">
        <v>66.25</v>
      </c>
      <c r="K1481" s="5">
        <f t="shared" si="86"/>
        <v>0.25</v>
      </c>
      <c r="L1481" s="6">
        <f t="shared" si="87"/>
        <v>0.5</v>
      </c>
    </row>
    <row r="1482" spans="1:12" x14ac:dyDescent="0.25">
      <c r="A1482">
        <f t="shared" si="84"/>
        <v>10</v>
      </c>
      <c r="B1482">
        <f t="shared" si="85"/>
        <v>2024</v>
      </c>
      <c r="C1482" s="2">
        <v>45596</v>
      </c>
      <c r="D1482">
        <v>312</v>
      </c>
      <c r="E1482" s="2">
        <v>45596</v>
      </c>
      <c r="F1482">
        <v>68.5</v>
      </c>
      <c r="G1482" s="2">
        <v>45596</v>
      </c>
      <c r="H1482">
        <v>68</v>
      </c>
      <c r="I1482" s="2">
        <v>45596</v>
      </c>
      <c r="J1482">
        <v>68.5</v>
      </c>
      <c r="K1482" s="5">
        <f t="shared" si="86"/>
        <v>0</v>
      </c>
      <c r="L1482" s="6">
        <f t="shared" si="87"/>
        <v>0.5</v>
      </c>
    </row>
    <row r="1483" spans="1:12" x14ac:dyDescent="0.25">
      <c r="A1483">
        <f t="shared" si="84"/>
        <v>11</v>
      </c>
      <c r="B1483">
        <f t="shared" si="85"/>
        <v>2024</v>
      </c>
      <c r="C1483" s="2">
        <v>45597</v>
      </c>
      <c r="D1483">
        <v>312</v>
      </c>
      <c r="E1483" s="2">
        <v>45597</v>
      </c>
      <c r="F1483">
        <v>69.63</v>
      </c>
      <c r="G1483" s="2">
        <v>45597</v>
      </c>
      <c r="H1483">
        <v>69.25</v>
      </c>
      <c r="I1483" s="2">
        <v>45597</v>
      </c>
      <c r="J1483">
        <v>69.5</v>
      </c>
      <c r="K1483" s="5">
        <f t="shared" si="86"/>
        <v>0.12999999999999545</v>
      </c>
      <c r="L1483" s="6">
        <f t="shared" si="87"/>
        <v>0.37999999999999545</v>
      </c>
    </row>
    <row r="1484" spans="1:12" x14ac:dyDescent="0.25">
      <c r="A1484">
        <f t="shared" si="84"/>
        <v>11</v>
      </c>
      <c r="B1484">
        <f t="shared" si="85"/>
        <v>2024</v>
      </c>
      <c r="C1484" s="2">
        <v>45600</v>
      </c>
      <c r="D1484">
        <v>307</v>
      </c>
      <c r="E1484" s="2">
        <v>45600</v>
      </c>
      <c r="F1484">
        <v>68.5</v>
      </c>
      <c r="G1484" s="2">
        <v>45600</v>
      </c>
      <c r="H1484">
        <v>67.5</v>
      </c>
      <c r="I1484" s="2">
        <v>45600</v>
      </c>
      <c r="J1484">
        <v>68.5</v>
      </c>
      <c r="K1484" s="5">
        <f t="shared" si="86"/>
        <v>0</v>
      </c>
      <c r="L1484" s="6">
        <f t="shared" si="87"/>
        <v>1</v>
      </c>
    </row>
    <row r="1485" spans="1:12" x14ac:dyDescent="0.25">
      <c r="A1485">
        <f t="shared" si="84"/>
        <v>11</v>
      </c>
      <c r="B1485">
        <f t="shared" si="85"/>
        <v>2024</v>
      </c>
      <c r="C1485" s="2">
        <v>45601</v>
      </c>
      <c r="D1485">
        <v>305</v>
      </c>
      <c r="E1485" s="2">
        <v>45601</v>
      </c>
      <c r="F1485">
        <v>68.38</v>
      </c>
      <c r="G1485" s="2">
        <v>45601</v>
      </c>
      <c r="H1485">
        <v>67.5</v>
      </c>
      <c r="I1485" s="2">
        <v>45601</v>
      </c>
      <c r="J1485">
        <v>68.25</v>
      </c>
      <c r="K1485" s="5">
        <f t="shared" si="86"/>
        <v>0.12999999999999545</v>
      </c>
      <c r="L1485" s="6">
        <f t="shared" si="87"/>
        <v>0.87999999999999545</v>
      </c>
    </row>
    <row r="1486" spans="1:12" x14ac:dyDescent="0.25">
      <c r="A1486">
        <f t="shared" si="84"/>
        <v>11</v>
      </c>
      <c r="B1486">
        <f t="shared" si="85"/>
        <v>2024</v>
      </c>
      <c r="C1486" s="2">
        <v>45602</v>
      </c>
      <c r="D1486">
        <v>303</v>
      </c>
      <c r="E1486" s="2">
        <v>45602</v>
      </c>
      <c r="F1486">
        <v>71.25</v>
      </c>
      <c r="G1486" s="2">
        <v>45602</v>
      </c>
      <c r="H1486">
        <v>70.25</v>
      </c>
      <c r="I1486" s="2">
        <v>45602</v>
      </c>
      <c r="J1486">
        <v>71.25</v>
      </c>
      <c r="K1486" s="5">
        <f t="shared" si="86"/>
        <v>0</v>
      </c>
      <c r="L1486" s="6">
        <f t="shared" si="87"/>
        <v>1</v>
      </c>
    </row>
    <row r="1487" spans="1:12" x14ac:dyDescent="0.25">
      <c r="A1487">
        <f t="shared" si="84"/>
        <v>11</v>
      </c>
      <c r="B1487">
        <f t="shared" si="85"/>
        <v>2024</v>
      </c>
      <c r="C1487" s="2">
        <v>45603</v>
      </c>
      <c r="D1487">
        <v>303</v>
      </c>
      <c r="E1487" s="2">
        <v>45603</v>
      </c>
      <c r="F1487">
        <v>76.5</v>
      </c>
      <c r="G1487" s="2">
        <v>45603</v>
      </c>
      <c r="H1487">
        <v>75.5</v>
      </c>
      <c r="I1487" s="2">
        <v>45603</v>
      </c>
      <c r="J1487">
        <v>76.38</v>
      </c>
      <c r="K1487" s="5">
        <f t="shared" si="86"/>
        <v>0.12000000000000455</v>
      </c>
      <c r="L1487" s="6">
        <f t="shared" si="87"/>
        <v>1</v>
      </c>
    </row>
    <row r="1488" spans="1:12" x14ac:dyDescent="0.25">
      <c r="A1488">
        <f t="shared" si="84"/>
        <v>11</v>
      </c>
      <c r="B1488">
        <f t="shared" si="85"/>
        <v>2024</v>
      </c>
      <c r="C1488" s="2">
        <v>45604</v>
      </c>
      <c r="D1488">
        <v>305</v>
      </c>
      <c r="E1488" s="2">
        <v>45604</v>
      </c>
      <c r="F1488">
        <v>79</v>
      </c>
      <c r="G1488" s="2">
        <v>45604</v>
      </c>
      <c r="H1488">
        <v>78</v>
      </c>
      <c r="I1488" s="2">
        <v>45604</v>
      </c>
      <c r="J1488">
        <v>79</v>
      </c>
      <c r="K1488" s="5">
        <f t="shared" si="86"/>
        <v>0</v>
      </c>
      <c r="L1488" s="6">
        <f t="shared" si="87"/>
        <v>1</v>
      </c>
    </row>
    <row r="1489" spans="1:12" x14ac:dyDescent="0.25">
      <c r="A1489">
        <f t="shared" si="84"/>
        <v>11</v>
      </c>
      <c r="B1489">
        <f t="shared" si="85"/>
        <v>2024</v>
      </c>
      <c r="C1489" s="2">
        <v>45607</v>
      </c>
      <c r="D1489">
        <v>305</v>
      </c>
      <c r="E1489" s="2">
        <v>45607</v>
      </c>
      <c r="F1489">
        <v>79</v>
      </c>
      <c r="G1489" s="2">
        <v>45607</v>
      </c>
      <c r="H1489">
        <v>78</v>
      </c>
      <c r="I1489" s="2">
        <v>45607</v>
      </c>
      <c r="J1489">
        <v>78.88</v>
      </c>
      <c r="K1489" s="5">
        <f t="shared" si="86"/>
        <v>0.12000000000000455</v>
      </c>
      <c r="L1489" s="6">
        <f t="shared" si="87"/>
        <v>1</v>
      </c>
    </row>
    <row r="1490" spans="1:12" x14ac:dyDescent="0.25">
      <c r="A1490">
        <f t="shared" si="84"/>
        <v>11</v>
      </c>
      <c r="B1490">
        <f t="shared" si="85"/>
        <v>2024</v>
      </c>
      <c r="C1490" s="2">
        <v>45608</v>
      </c>
      <c r="D1490">
        <v>315</v>
      </c>
      <c r="E1490" s="2">
        <v>45608</v>
      </c>
      <c r="F1490">
        <v>75.75</v>
      </c>
      <c r="G1490" s="2">
        <v>45608</v>
      </c>
      <c r="H1490">
        <v>74.75</v>
      </c>
      <c r="I1490" s="2">
        <v>45608</v>
      </c>
      <c r="J1490">
        <v>75.5</v>
      </c>
      <c r="K1490" s="5">
        <f t="shared" si="86"/>
        <v>0.25</v>
      </c>
      <c r="L1490" s="6">
        <f t="shared" si="87"/>
        <v>1</v>
      </c>
    </row>
    <row r="1491" spans="1:12" x14ac:dyDescent="0.25">
      <c r="A1491">
        <f t="shared" si="84"/>
        <v>11</v>
      </c>
      <c r="B1491">
        <f t="shared" si="85"/>
        <v>2024</v>
      </c>
      <c r="C1491" s="2">
        <v>45609</v>
      </c>
      <c r="D1491">
        <v>270</v>
      </c>
      <c r="E1491" s="2">
        <v>45609</v>
      </c>
      <c r="F1491">
        <v>70.25</v>
      </c>
      <c r="G1491" s="2">
        <v>45609</v>
      </c>
      <c r="H1491">
        <v>69.25</v>
      </c>
      <c r="I1491" s="2">
        <v>45609</v>
      </c>
      <c r="J1491">
        <v>70</v>
      </c>
      <c r="K1491" s="5">
        <f t="shared" si="86"/>
        <v>0.25</v>
      </c>
      <c r="L1491" s="6">
        <f t="shared" si="87"/>
        <v>1</v>
      </c>
    </row>
    <row r="1492" spans="1:12" x14ac:dyDescent="0.25">
      <c r="A1492">
        <f t="shared" si="84"/>
        <v>11</v>
      </c>
      <c r="B1492">
        <f t="shared" si="85"/>
        <v>2024</v>
      </c>
      <c r="C1492" s="2">
        <v>45610</v>
      </c>
      <c r="D1492">
        <v>268</v>
      </c>
      <c r="E1492" s="2">
        <v>45610</v>
      </c>
      <c r="F1492">
        <v>68.75</v>
      </c>
      <c r="G1492" s="2">
        <v>45610</v>
      </c>
      <c r="H1492">
        <v>68.25</v>
      </c>
      <c r="I1492" s="2">
        <v>45610</v>
      </c>
      <c r="J1492">
        <v>68.75</v>
      </c>
      <c r="K1492" s="5">
        <f t="shared" si="86"/>
        <v>0</v>
      </c>
      <c r="L1492" s="6">
        <f t="shared" si="87"/>
        <v>0.5</v>
      </c>
    </row>
    <row r="1493" spans="1:12" x14ac:dyDescent="0.25">
      <c r="A1493">
        <f t="shared" si="84"/>
        <v>11</v>
      </c>
      <c r="B1493">
        <f t="shared" si="85"/>
        <v>2024</v>
      </c>
      <c r="C1493" s="2">
        <v>45611</v>
      </c>
      <c r="D1493">
        <v>270</v>
      </c>
      <c r="E1493" s="2">
        <v>45611</v>
      </c>
      <c r="F1493">
        <v>71</v>
      </c>
      <c r="G1493" s="2">
        <v>45611</v>
      </c>
      <c r="H1493">
        <v>70.5</v>
      </c>
      <c r="I1493" s="2">
        <v>45611</v>
      </c>
      <c r="J1493">
        <v>70.75</v>
      </c>
      <c r="K1493" s="5">
        <f t="shared" si="86"/>
        <v>0.25</v>
      </c>
      <c r="L1493" s="6">
        <f t="shared" si="87"/>
        <v>0.5</v>
      </c>
    </row>
    <row r="1494" spans="1:12" x14ac:dyDescent="0.25">
      <c r="A1494">
        <f t="shared" si="84"/>
        <v>11</v>
      </c>
      <c r="B1494">
        <f t="shared" si="85"/>
        <v>2024</v>
      </c>
      <c r="C1494" s="2">
        <v>45614</v>
      </c>
      <c r="D1494">
        <v>262</v>
      </c>
      <c r="E1494" s="2">
        <v>45614</v>
      </c>
      <c r="F1494">
        <v>68.25</v>
      </c>
      <c r="G1494" s="2">
        <v>45614</v>
      </c>
      <c r="H1494">
        <v>67.75</v>
      </c>
      <c r="I1494" s="2">
        <v>45614</v>
      </c>
      <c r="J1494">
        <v>68.25</v>
      </c>
      <c r="K1494" s="5">
        <f t="shared" si="86"/>
        <v>0</v>
      </c>
      <c r="L1494" s="6">
        <f t="shared" si="87"/>
        <v>0.5</v>
      </c>
    </row>
    <row r="1495" spans="1:12" x14ac:dyDescent="0.25">
      <c r="A1495">
        <f t="shared" si="84"/>
        <v>11</v>
      </c>
      <c r="B1495">
        <f t="shared" si="85"/>
        <v>2024</v>
      </c>
      <c r="C1495" s="2">
        <v>45615</v>
      </c>
      <c r="D1495">
        <v>255</v>
      </c>
      <c r="E1495" s="2">
        <v>45615</v>
      </c>
      <c r="F1495">
        <v>67.25</v>
      </c>
      <c r="G1495" s="2">
        <v>45615</v>
      </c>
      <c r="H1495">
        <v>66.75</v>
      </c>
      <c r="I1495" s="2">
        <v>45615</v>
      </c>
      <c r="J1495">
        <v>67</v>
      </c>
      <c r="K1495" s="5">
        <f t="shared" si="86"/>
        <v>0.25</v>
      </c>
      <c r="L1495" s="6">
        <f t="shared" si="87"/>
        <v>0.5</v>
      </c>
    </row>
    <row r="1496" spans="1:12" x14ac:dyDescent="0.25">
      <c r="A1496">
        <f t="shared" si="84"/>
        <v>11</v>
      </c>
      <c r="B1496">
        <f t="shared" si="85"/>
        <v>2024</v>
      </c>
      <c r="C1496" s="2">
        <v>45616</v>
      </c>
      <c r="D1496">
        <v>254</v>
      </c>
      <c r="E1496" s="2">
        <v>45616</v>
      </c>
      <c r="F1496">
        <v>65.25</v>
      </c>
      <c r="G1496" s="2">
        <v>45616</v>
      </c>
      <c r="H1496">
        <v>64.25</v>
      </c>
      <c r="I1496" s="2">
        <v>45616</v>
      </c>
      <c r="J1496">
        <v>64.75</v>
      </c>
      <c r="K1496" s="5">
        <f t="shared" si="86"/>
        <v>0.5</v>
      </c>
      <c r="L1496" s="6">
        <f t="shared" si="87"/>
        <v>1</v>
      </c>
    </row>
    <row r="1497" spans="1:12" x14ac:dyDescent="0.25">
      <c r="A1497">
        <f t="shared" si="84"/>
        <v>11</v>
      </c>
      <c r="B1497">
        <f t="shared" si="85"/>
        <v>2024</v>
      </c>
      <c r="C1497" s="2">
        <v>45617</v>
      </c>
      <c r="D1497">
        <v>246</v>
      </c>
      <c r="E1497" s="2">
        <v>45617</v>
      </c>
      <c r="F1497">
        <v>60.5</v>
      </c>
      <c r="G1497" s="2">
        <v>45617</v>
      </c>
      <c r="H1497">
        <v>59.5</v>
      </c>
      <c r="I1497" s="2">
        <v>45617</v>
      </c>
      <c r="J1497">
        <v>60.75</v>
      </c>
      <c r="K1497" s="5">
        <f t="shared" si="86"/>
        <v>-0.25</v>
      </c>
      <c r="L1497" s="6">
        <f t="shared" si="87"/>
        <v>1</v>
      </c>
    </row>
    <row r="1498" spans="1:12" x14ac:dyDescent="0.25">
      <c r="A1498">
        <f t="shared" si="84"/>
        <v>11</v>
      </c>
      <c r="B1498">
        <f t="shared" si="85"/>
        <v>2024</v>
      </c>
      <c r="C1498" s="2">
        <v>45618</v>
      </c>
      <c r="D1498">
        <v>247</v>
      </c>
      <c r="E1498" s="2">
        <v>45618</v>
      </c>
      <c r="F1498">
        <v>59.5</v>
      </c>
      <c r="G1498" s="2">
        <v>45618</v>
      </c>
      <c r="H1498">
        <v>58.5</v>
      </c>
      <c r="I1498" s="2">
        <v>45618</v>
      </c>
      <c r="J1498">
        <v>59.25</v>
      </c>
      <c r="K1498" s="5">
        <f t="shared" si="86"/>
        <v>0.25</v>
      </c>
      <c r="L1498" s="6">
        <f t="shared" si="87"/>
        <v>1</v>
      </c>
    </row>
    <row r="1499" spans="1:12" x14ac:dyDescent="0.25">
      <c r="A1499">
        <f t="shared" si="84"/>
        <v>11</v>
      </c>
      <c r="B1499">
        <f t="shared" si="85"/>
        <v>2024</v>
      </c>
      <c r="C1499" s="2">
        <v>45621</v>
      </c>
      <c r="D1499">
        <v>240</v>
      </c>
      <c r="E1499" s="2">
        <v>45621</v>
      </c>
      <c r="F1499">
        <v>58</v>
      </c>
      <c r="G1499" s="2">
        <v>45621</v>
      </c>
      <c r="H1499">
        <v>57</v>
      </c>
      <c r="I1499" s="2">
        <v>45621</v>
      </c>
      <c r="J1499">
        <v>58.5</v>
      </c>
      <c r="K1499" s="5">
        <f t="shared" si="86"/>
        <v>-0.5</v>
      </c>
      <c r="L1499" s="6">
        <f t="shared" si="87"/>
        <v>1</v>
      </c>
    </row>
    <row r="1500" spans="1:12" x14ac:dyDescent="0.25">
      <c r="A1500">
        <f t="shared" si="84"/>
        <v>11</v>
      </c>
      <c r="B1500">
        <f t="shared" si="85"/>
        <v>2024</v>
      </c>
      <c r="C1500" s="2">
        <v>45622</v>
      </c>
      <c r="D1500">
        <v>243.25</v>
      </c>
      <c r="E1500" s="2">
        <v>45622</v>
      </c>
      <c r="F1500">
        <v>58.5</v>
      </c>
      <c r="G1500" s="2">
        <v>45622</v>
      </c>
      <c r="H1500">
        <v>58</v>
      </c>
      <c r="I1500" s="2">
        <v>45622</v>
      </c>
      <c r="J1500">
        <v>58.5</v>
      </c>
      <c r="K1500" s="5">
        <f t="shared" si="86"/>
        <v>0</v>
      </c>
      <c r="L1500" s="6">
        <f t="shared" si="87"/>
        <v>0.5</v>
      </c>
    </row>
    <row r="1501" spans="1:12" x14ac:dyDescent="0.25">
      <c r="A1501">
        <f t="shared" si="84"/>
        <v>11</v>
      </c>
      <c r="B1501">
        <f t="shared" si="85"/>
        <v>2024</v>
      </c>
      <c r="C1501" s="2">
        <v>45623</v>
      </c>
      <c r="D1501">
        <v>244.25</v>
      </c>
      <c r="E1501" s="2">
        <v>45623</v>
      </c>
      <c r="F1501">
        <v>65.25</v>
      </c>
      <c r="G1501" s="2">
        <v>45623</v>
      </c>
      <c r="H1501">
        <v>60.5</v>
      </c>
      <c r="I1501" s="2">
        <v>45623</v>
      </c>
      <c r="J1501">
        <v>60.75</v>
      </c>
      <c r="K1501" s="5">
        <f t="shared" si="86"/>
        <v>4.5</v>
      </c>
      <c r="L1501" s="6">
        <f t="shared" si="87"/>
        <v>4.75</v>
      </c>
    </row>
    <row r="1502" spans="1:12" x14ac:dyDescent="0.25">
      <c r="A1502">
        <f t="shared" si="84"/>
        <v>11</v>
      </c>
      <c r="B1502">
        <f t="shared" si="85"/>
        <v>2024</v>
      </c>
      <c r="C1502" s="2">
        <v>45625</v>
      </c>
      <c r="D1502">
        <v>244.25</v>
      </c>
      <c r="E1502" s="2">
        <v>45625</v>
      </c>
      <c r="F1502">
        <v>65.25</v>
      </c>
      <c r="G1502" s="2">
        <v>45625</v>
      </c>
      <c r="H1502">
        <v>60.5</v>
      </c>
      <c r="I1502" s="2">
        <v>45625</v>
      </c>
      <c r="J1502">
        <v>60.75</v>
      </c>
      <c r="K1502" s="5">
        <f t="shared" si="86"/>
        <v>4.5</v>
      </c>
      <c r="L1502" s="6">
        <f t="shared" si="87"/>
        <v>4.75</v>
      </c>
    </row>
    <row r="1503" spans="1:12" x14ac:dyDescent="0.25">
      <c r="A1503">
        <f t="shared" si="84"/>
        <v>12</v>
      </c>
      <c r="B1503">
        <f t="shared" si="85"/>
        <v>2024</v>
      </c>
      <c r="C1503" s="2">
        <v>45628</v>
      </c>
      <c r="D1503">
        <v>244</v>
      </c>
      <c r="E1503" s="2">
        <v>45628</v>
      </c>
      <c r="F1503">
        <v>57.75</v>
      </c>
      <c r="G1503" s="2">
        <v>45628</v>
      </c>
      <c r="H1503">
        <v>56.75</v>
      </c>
      <c r="I1503" s="2">
        <v>45628</v>
      </c>
      <c r="J1503">
        <v>57.5</v>
      </c>
      <c r="K1503" s="5">
        <f t="shared" si="86"/>
        <v>0.25</v>
      </c>
      <c r="L1503" s="6">
        <f t="shared" si="87"/>
        <v>1</v>
      </c>
    </row>
    <row r="1504" spans="1:12" x14ac:dyDescent="0.25">
      <c r="A1504">
        <f t="shared" si="84"/>
        <v>12</v>
      </c>
      <c r="B1504">
        <f t="shared" si="85"/>
        <v>2024</v>
      </c>
      <c r="C1504" s="2">
        <v>45629</v>
      </c>
      <c r="D1504">
        <v>244</v>
      </c>
      <c r="E1504" s="2">
        <v>45629</v>
      </c>
      <c r="F1504">
        <v>59</v>
      </c>
      <c r="G1504" s="2">
        <v>45629</v>
      </c>
      <c r="H1504">
        <v>58</v>
      </c>
      <c r="I1504" s="2">
        <v>45629</v>
      </c>
      <c r="J1504">
        <v>59</v>
      </c>
      <c r="K1504" s="5">
        <f t="shared" si="86"/>
        <v>0</v>
      </c>
      <c r="L1504" s="6">
        <f t="shared" si="87"/>
        <v>1</v>
      </c>
    </row>
    <row r="1505" spans="1:12" x14ac:dyDescent="0.25">
      <c r="A1505">
        <f t="shared" si="84"/>
        <v>12</v>
      </c>
      <c r="B1505">
        <f t="shared" si="85"/>
        <v>2024</v>
      </c>
      <c r="C1505" s="2">
        <v>45630</v>
      </c>
      <c r="D1505">
        <v>245</v>
      </c>
      <c r="E1505" s="2">
        <v>45630</v>
      </c>
      <c r="F1505">
        <v>60</v>
      </c>
      <c r="G1505" s="2">
        <v>45630</v>
      </c>
      <c r="H1505">
        <v>59.5</v>
      </c>
      <c r="I1505" s="2">
        <v>45630</v>
      </c>
      <c r="J1505">
        <v>59.5</v>
      </c>
      <c r="K1505" s="5">
        <f t="shared" si="86"/>
        <v>0.5</v>
      </c>
      <c r="L1505" s="6">
        <f t="shared" si="87"/>
        <v>0.5</v>
      </c>
    </row>
    <row r="1506" spans="1:12" x14ac:dyDescent="0.25">
      <c r="A1506">
        <f t="shared" si="84"/>
        <v>12</v>
      </c>
      <c r="B1506">
        <f t="shared" si="85"/>
        <v>2024</v>
      </c>
      <c r="C1506" s="2">
        <v>45631</v>
      </c>
      <c r="D1506">
        <v>249</v>
      </c>
      <c r="E1506" s="2">
        <v>45631</v>
      </c>
      <c r="F1506">
        <v>63.5</v>
      </c>
      <c r="G1506" s="2">
        <v>45631</v>
      </c>
      <c r="H1506">
        <v>63</v>
      </c>
      <c r="I1506" s="2">
        <v>45631</v>
      </c>
      <c r="J1506">
        <v>63.5</v>
      </c>
      <c r="K1506" s="5">
        <f t="shared" si="86"/>
        <v>0</v>
      </c>
      <c r="L1506" s="6">
        <f t="shared" si="87"/>
        <v>0.5</v>
      </c>
    </row>
    <row r="1507" spans="1:12" x14ac:dyDescent="0.25">
      <c r="A1507">
        <f t="shared" si="84"/>
        <v>12</v>
      </c>
      <c r="B1507">
        <f t="shared" si="85"/>
        <v>2024</v>
      </c>
      <c r="C1507" s="2">
        <v>45632</v>
      </c>
      <c r="D1507">
        <v>207.5</v>
      </c>
      <c r="E1507" s="2">
        <v>45632</v>
      </c>
      <c r="F1507">
        <v>68.5</v>
      </c>
      <c r="G1507" s="2">
        <v>45632</v>
      </c>
      <c r="H1507">
        <v>68</v>
      </c>
      <c r="I1507" s="2">
        <v>45632</v>
      </c>
      <c r="J1507">
        <v>68.5</v>
      </c>
      <c r="K1507" s="5">
        <f t="shared" si="86"/>
        <v>0</v>
      </c>
      <c r="L1507" s="6">
        <f t="shared" si="87"/>
        <v>0.5</v>
      </c>
    </row>
    <row r="1508" spans="1:12" x14ac:dyDescent="0.25">
      <c r="A1508">
        <f t="shared" si="84"/>
        <v>12</v>
      </c>
      <c r="B1508">
        <f t="shared" si="85"/>
        <v>2024</v>
      </c>
      <c r="C1508" s="2">
        <v>45635</v>
      </c>
      <c r="D1508">
        <v>207.5</v>
      </c>
      <c r="E1508" s="2">
        <v>45635</v>
      </c>
      <c r="F1508">
        <v>66.25</v>
      </c>
      <c r="G1508" s="2">
        <v>45635</v>
      </c>
      <c r="H1508">
        <v>67</v>
      </c>
      <c r="I1508" s="2">
        <v>45635</v>
      </c>
      <c r="J1508">
        <v>66.25</v>
      </c>
      <c r="K1508" s="5">
        <f t="shared" si="86"/>
        <v>0</v>
      </c>
      <c r="L1508" s="6">
        <f t="shared" si="87"/>
        <v>-0.75</v>
      </c>
    </row>
    <row r="1509" spans="1:12" x14ac:dyDescent="0.25">
      <c r="A1509">
        <f t="shared" si="84"/>
        <v>12</v>
      </c>
      <c r="B1509">
        <f t="shared" si="85"/>
        <v>2024</v>
      </c>
      <c r="C1509" s="2">
        <v>45636</v>
      </c>
      <c r="D1509">
        <v>210</v>
      </c>
      <c r="E1509" s="2">
        <v>45636</v>
      </c>
      <c r="F1509">
        <v>63.5</v>
      </c>
      <c r="G1509" s="2">
        <v>45636</v>
      </c>
      <c r="H1509">
        <v>63.5</v>
      </c>
      <c r="I1509" s="2">
        <v>45636</v>
      </c>
      <c r="J1509">
        <v>64</v>
      </c>
      <c r="K1509" s="5">
        <f t="shared" si="86"/>
        <v>-0.5</v>
      </c>
      <c r="L1509" s="6">
        <f t="shared" si="87"/>
        <v>0</v>
      </c>
    </row>
    <row r="1510" spans="1:12" x14ac:dyDescent="0.25">
      <c r="A1510">
        <f t="shared" si="84"/>
        <v>12</v>
      </c>
      <c r="B1510">
        <f t="shared" si="85"/>
        <v>2024</v>
      </c>
      <c r="C1510" s="2">
        <v>45637</v>
      </c>
      <c r="D1510">
        <v>210</v>
      </c>
      <c r="E1510" s="2">
        <v>45637</v>
      </c>
      <c r="F1510">
        <v>63.75</v>
      </c>
      <c r="G1510" s="2">
        <v>45637</v>
      </c>
      <c r="H1510">
        <v>64</v>
      </c>
      <c r="I1510" s="2">
        <v>45637</v>
      </c>
      <c r="J1510">
        <v>64.25</v>
      </c>
      <c r="K1510" s="5">
        <f t="shared" si="86"/>
        <v>-0.5</v>
      </c>
      <c r="L1510" s="6">
        <f t="shared" si="87"/>
        <v>-0.25</v>
      </c>
    </row>
    <row r="1511" spans="1:12" x14ac:dyDescent="0.25">
      <c r="A1511">
        <f t="shared" si="84"/>
        <v>12</v>
      </c>
      <c r="B1511">
        <f t="shared" si="85"/>
        <v>2024</v>
      </c>
      <c r="C1511" s="2">
        <v>45638</v>
      </c>
      <c r="D1511">
        <v>207.5</v>
      </c>
      <c r="E1511" s="2">
        <v>45638</v>
      </c>
      <c r="F1511">
        <v>64.13</v>
      </c>
      <c r="G1511" s="2">
        <v>45638</v>
      </c>
      <c r="H1511">
        <v>64</v>
      </c>
      <c r="I1511" s="2">
        <v>45638</v>
      </c>
      <c r="J1511">
        <v>64.25</v>
      </c>
      <c r="K1511" s="5">
        <f t="shared" si="86"/>
        <v>-0.12000000000000455</v>
      </c>
      <c r="L1511" s="6">
        <f t="shared" si="87"/>
        <v>0.12999999999999545</v>
      </c>
    </row>
    <row r="1512" spans="1:12" x14ac:dyDescent="0.25">
      <c r="A1512">
        <f t="shared" si="84"/>
        <v>12</v>
      </c>
      <c r="B1512">
        <f t="shared" si="85"/>
        <v>2024</v>
      </c>
      <c r="C1512" s="2">
        <v>45639</v>
      </c>
      <c r="D1512">
        <v>215</v>
      </c>
      <c r="E1512" s="2">
        <v>45639</v>
      </c>
      <c r="F1512">
        <v>63.63</v>
      </c>
      <c r="G1512" s="2">
        <v>45639</v>
      </c>
      <c r="H1512">
        <v>64</v>
      </c>
      <c r="I1512" s="2">
        <v>45639</v>
      </c>
      <c r="J1512">
        <v>64</v>
      </c>
      <c r="K1512" s="5">
        <f t="shared" si="86"/>
        <v>-0.36999999999999744</v>
      </c>
      <c r="L1512" s="6">
        <f t="shared" si="87"/>
        <v>-0.36999999999999744</v>
      </c>
    </row>
    <row r="1513" spans="1:12" x14ac:dyDescent="0.25">
      <c r="A1513">
        <f t="shared" si="84"/>
        <v>12</v>
      </c>
      <c r="B1513">
        <f t="shared" si="85"/>
        <v>2024</v>
      </c>
      <c r="C1513" s="2">
        <v>45642</v>
      </c>
      <c r="D1513">
        <v>220</v>
      </c>
      <c r="E1513" s="2">
        <v>45642</v>
      </c>
      <c r="F1513">
        <v>61</v>
      </c>
      <c r="G1513" s="2">
        <v>45642</v>
      </c>
      <c r="H1513">
        <v>60.5</v>
      </c>
      <c r="I1513" s="2">
        <v>45642</v>
      </c>
      <c r="J1513">
        <v>61</v>
      </c>
      <c r="K1513" s="5">
        <f t="shared" si="86"/>
        <v>0</v>
      </c>
      <c r="L1513" s="6">
        <f t="shared" si="87"/>
        <v>0.5</v>
      </c>
    </row>
    <row r="1514" spans="1:12" x14ac:dyDescent="0.25">
      <c r="A1514">
        <f t="shared" si="84"/>
        <v>12</v>
      </c>
      <c r="B1514">
        <f t="shared" si="85"/>
        <v>2024</v>
      </c>
      <c r="C1514" s="2">
        <v>45643</v>
      </c>
      <c r="D1514">
        <v>222.5</v>
      </c>
      <c r="E1514" s="2">
        <v>45643</v>
      </c>
      <c r="F1514">
        <v>59.13</v>
      </c>
      <c r="G1514" s="2">
        <v>45643</v>
      </c>
      <c r="H1514">
        <v>58.75</v>
      </c>
      <c r="I1514" s="2">
        <v>45643</v>
      </c>
      <c r="J1514">
        <v>59.38</v>
      </c>
      <c r="K1514" s="5">
        <f t="shared" si="86"/>
        <v>-0.25</v>
      </c>
      <c r="L1514" s="6">
        <f t="shared" si="87"/>
        <v>0.38000000000000256</v>
      </c>
    </row>
    <row r="1515" spans="1:12" x14ac:dyDescent="0.25">
      <c r="A1515">
        <f t="shared" si="84"/>
        <v>12</v>
      </c>
      <c r="B1515">
        <f t="shared" si="85"/>
        <v>2024</v>
      </c>
      <c r="C1515" s="2">
        <v>45644</v>
      </c>
      <c r="D1515">
        <v>222.5</v>
      </c>
      <c r="E1515" s="2">
        <v>45644</v>
      </c>
      <c r="F1515">
        <v>55</v>
      </c>
      <c r="G1515" s="2">
        <v>45644</v>
      </c>
      <c r="H1515">
        <v>54.5</v>
      </c>
      <c r="I1515" s="2">
        <v>45644</v>
      </c>
      <c r="J1515">
        <v>55</v>
      </c>
      <c r="K1515" s="5">
        <f t="shared" si="86"/>
        <v>0</v>
      </c>
      <c r="L1515" s="6">
        <f t="shared" si="87"/>
        <v>0.5</v>
      </c>
    </row>
    <row r="1516" spans="1:12" x14ac:dyDescent="0.25">
      <c r="A1516">
        <f t="shared" si="84"/>
        <v>12</v>
      </c>
      <c r="B1516">
        <f t="shared" si="85"/>
        <v>2024</v>
      </c>
      <c r="C1516" s="2">
        <v>45645</v>
      </c>
      <c r="D1516">
        <v>226</v>
      </c>
      <c r="E1516" s="2">
        <v>45645</v>
      </c>
      <c r="F1516">
        <v>57</v>
      </c>
      <c r="G1516" s="2">
        <v>45645</v>
      </c>
      <c r="H1516">
        <v>56.5</v>
      </c>
      <c r="I1516" s="2">
        <v>45645</v>
      </c>
      <c r="J1516">
        <v>57</v>
      </c>
      <c r="K1516" s="5">
        <f t="shared" si="86"/>
        <v>0</v>
      </c>
      <c r="L1516" s="6">
        <f t="shared" si="87"/>
        <v>0.5</v>
      </c>
    </row>
    <row r="1517" spans="1:12" x14ac:dyDescent="0.25">
      <c r="A1517">
        <f t="shared" si="84"/>
        <v>12</v>
      </c>
      <c r="B1517">
        <f t="shared" si="85"/>
        <v>2024</v>
      </c>
      <c r="C1517" s="2">
        <v>45646</v>
      </c>
      <c r="D1517">
        <v>229</v>
      </c>
      <c r="E1517" s="2">
        <v>45646</v>
      </c>
      <c r="F1517">
        <v>56.75</v>
      </c>
      <c r="G1517" s="2">
        <v>45646</v>
      </c>
      <c r="H1517">
        <v>56.25</v>
      </c>
      <c r="I1517" s="2">
        <v>45646</v>
      </c>
      <c r="J1517">
        <v>56.75</v>
      </c>
    </row>
    <row r="1518" spans="1:12" x14ac:dyDescent="0.25">
      <c r="A1518">
        <f t="shared" si="84"/>
        <v>12</v>
      </c>
      <c r="B1518">
        <f t="shared" si="85"/>
        <v>2024</v>
      </c>
      <c r="C1518" s="2">
        <v>45649</v>
      </c>
      <c r="D1518">
        <v>229</v>
      </c>
      <c r="E1518" s="2">
        <v>45649</v>
      </c>
      <c r="F1518">
        <v>56.88</v>
      </c>
      <c r="G1518" s="2">
        <v>45649</v>
      </c>
      <c r="H1518">
        <v>56.5</v>
      </c>
      <c r="I1518" s="2">
        <v>45649</v>
      </c>
      <c r="J1518">
        <v>56.75</v>
      </c>
    </row>
    <row r="1519" spans="1:12" x14ac:dyDescent="0.25">
      <c r="A1519">
        <f t="shared" si="84"/>
        <v>12</v>
      </c>
      <c r="B1519">
        <f t="shared" si="85"/>
        <v>2024</v>
      </c>
      <c r="C1519" s="2">
        <v>45650</v>
      </c>
      <c r="D1519">
        <v>229</v>
      </c>
      <c r="E1519" s="2">
        <v>45650</v>
      </c>
      <c r="F1519">
        <v>56.88</v>
      </c>
      <c r="G1519" s="2">
        <v>45650</v>
      </c>
      <c r="H1519">
        <v>56.5</v>
      </c>
      <c r="I1519" s="2">
        <v>45650</v>
      </c>
      <c r="J1519">
        <v>56.75</v>
      </c>
    </row>
    <row r="1520" spans="1:12" x14ac:dyDescent="0.25">
      <c r="A1520">
        <f t="shared" si="84"/>
        <v>12</v>
      </c>
      <c r="B1520">
        <f t="shared" si="85"/>
        <v>2024</v>
      </c>
      <c r="C1520" s="2">
        <v>45652</v>
      </c>
      <c r="D1520">
        <v>229</v>
      </c>
      <c r="E1520" s="2">
        <v>45652</v>
      </c>
      <c r="F1520">
        <v>56.88</v>
      </c>
      <c r="G1520" s="2">
        <v>45652</v>
      </c>
      <c r="H1520">
        <v>56.5</v>
      </c>
      <c r="I1520" s="2">
        <v>45652</v>
      </c>
      <c r="J1520">
        <v>56.75</v>
      </c>
    </row>
    <row r="1521" spans="1:10" x14ac:dyDescent="0.25">
      <c r="A1521">
        <f t="shared" si="84"/>
        <v>12</v>
      </c>
      <c r="B1521">
        <f t="shared" si="85"/>
        <v>2024</v>
      </c>
      <c r="C1521" s="2">
        <v>45653</v>
      </c>
      <c r="D1521">
        <v>229</v>
      </c>
      <c r="E1521" s="2">
        <v>45653</v>
      </c>
      <c r="F1521">
        <v>56.88</v>
      </c>
      <c r="G1521" s="2">
        <v>45653</v>
      </c>
      <c r="H1521">
        <v>56.5</v>
      </c>
      <c r="I1521" s="2">
        <v>45653</v>
      </c>
      <c r="J1521">
        <v>56.75</v>
      </c>
    </row>
    <row r="1522" spans="1:10" x14ac:dyDescent="0.25">
      <c r="A1522">
        <f t="shared" si="84"/>
        <v>12</v>
      </c>
      <c r="B1522">
        <f t="shared" si="85"/>
        <v>2024</v>
      </c>
      <c r="C1522" s="2">
        <v>45656</v>
      </c>
      <c r="D1522">
        <v>231</v>
      </c>
      <c r="E1522" s="2">
        <v>45656</v>
      </c>
      <c r="F1522">
        <v>59</v>
      </c>
      <c r="G1522" s="2">
        <v>45656</v>
      </c>
      <c r="H1522">
        <v>57.75</v>
      </c>
      <c r="I1522" s="2">
        <v>45656</v>
      </c>
      <c r="J1522">
        <v>58</v>
      </c>
    </row>
    <row r="1523" spans="1:10" x14ac:dyDescent="0.25">
      <c r="A1523">
        <f t="shared" si="84"/>
        <v>12</v>
      </c>
      <c r="B1523">
        <f t="shared" si="85"/>
        <v>2024</v>
      </c>
      <c r="C1523" s="2">
        <v>45657</v>
      </c>
      <c r="D1523">
        <v>245</v>
      </c>
      <c r="E1523" s="2">
        <v>45657</v>
      </c>
      <c r="F1523">
        <v>59.5</v>
      </c>
      <c r="G1523" s="2">
        <v>45657</v>
      </c>
      <c r="H1523">
        <v>58.75</v>
      </c>
      <c r="I1523" s="2">
        <v>45657</v>
      </c>
      <c r="J1523">
        <v>59</v>
      </c>
    </row>
    <row r="1524" spans="1:10" x14ac:dyDescent="0.25">
      <c r="E1524" s="2"/>
      <c r="G1524" s="2"/>
      <c r="I1524" s="2"/>
    </row>
    <row r="1525" spans="1:10" x14ac:dyDescent="0.25">
      <c r="E1525" s="2"/>
      <c r="G1525" s="2"/>
      <c r="I1525" s="2"/>
    </row>
    <row r="1526" spans="1:10" x14ac:dyDescent="0.25">
      <c r="E1526" s="2"/>
      <c r="G1526" s="2"/>
      <c r="I1526" s="2"/>
    </row>
    <row r="1527" spans="1:10" x14ac:dyDescent="0.25">
      <c r="E1527" s="2"/>
      <c r="G1527" s="2"/>
      <c r="I1527" s="2"/>
    </row>
    <row r="1528" spans="1:10" x14ac:dyDescent="0.25">
      <c r="E1528" s="2"/>
      <c r="G1528" s="2"/>
      <c r="I1528" s="2"/>
    </row>
    <row r="1529" spans="1:10" x14ac:dyDescent="0.25">
      <c r="E1529" s="2"/>
      <c r="G1529" s="2"/>
      <c r="I1529" s="2"/>
    </row>
    <row r="1530" spans="1:10" x14ac:dyDescent="0.25">
      <c r="E1530" s="2"/>
      <c r="G1530" s="2"/>
      <c r="I1530" s="2"/>
    </row>
    <row r="1531" spans="1:10" x14ac:dyDescent="0.25">
      <c r="E1531" s="2"/>
      <c r="G1531" s="2"/>
      <c r="I1531" s="2"/>
    </row>
    <row r="1532" spans="1:10" x14ac:dyDescent="0.25">
      <c r="E1532" s="2"/>
      <c r="G1532" s="2"/>
      <c r="I1532" s="2"/>
    </row>
    <row r="1533" spans="1:10" x14ac:dyDescent="0.25">
      <c r="E1533" s="2"/>
      <c r="G1533" s="2"/>
      <c r="I1533" s="2"/>
    </row>
    <row r="1534" spans="1:10" x14ac:dyDescent="0.25">
      <c r="E1534" s="2"/>
      <c r="G1534" s="2"/>
      <c r="I1534" s="2"/>
    </row>
    <row r="1535" spans="1:10" x14ac:dyDescent="0.25">
      <c r="E1535" s="2"/>
      <c r="G1535" s="2"/>
      <c r="I1535" s="2"/>
    </row>
    <row r="1536" spans="1:10" x14ac:dyDescent="0.25">
      <c r="E1536" s="2"/>
      <c r="G1536" s="2"/>
      <c r="I1536" s="2"/>
    </row>
    <row r="1537" spans="5:9" x14ac:dyDescent="0.25">
      <c r="E1537" s="2"/>
      <c r="G1537" s="2"/>
      <c r="I1537" s="2"/>
    </row>
    <row r="1538" spans="5:9" x14ac:dyDescent="0.25">
      <c r="E1538" s="2"/>
      <c r="G1538" s="2"/>
      <c r="I1538" s="2"/>
    </row>
    <row r="1539" spans="5:9" x14ac:dyDescent="0.25">
      <c r="E1539" s="2"/>
      <c r="G1539" s="2"/>
      <c r="I1539" s="2"/>
    </row>
    <row r="1540" spans="5:9" x14ac:dyDescent="0.25">
      <c r="E1540" s="2"/>
      <c r="G1540" s="2"/>
      <c r="I1540" s="2"/>
    </row>
    <row r="1541" spans="5:9" x14ac:dyDescent="0.25">
      <c r="E1541" s="2"/>
      <c r="G1541" s="2"/>
      <c r="I1541" s="2"/>
    </row>
    <row r="1542" spans="5:9" x14ac:dyDescent="0.25">
      <c r="E1542" s="2"/>
      <c r="G1542" s="2"/>
      <c r="I1542" s="2"/>
    </row>
    <row r="1543" spans="5:9" x14ac:dyDescent="0.25">
      <c r="E1543" s="2"/>
      <c r="G1543" s="2"/>
      <c r="I1543" s="2"/>
    </row>
    <row r="1544" spans="5:9" x14ac:dyDescent="0.25">
      <c r="E1544" s="2"/>
      <c r="G1544" s="2"/>
      <c r="I1544" s="2"/>
    </row>
    <row r="1545" spans="5:9" x14ac:dyDescent="0.25">
      <c r="E1545" s="2"/>
      <c r="G1545" s="2"/>
      <c r="I1545" s="2"/>
    </row>
    <row r="1546" spans="5:9" x14ac:dyDescent="0.25">
      <c r="E1546" s="2"/>
      <c r="G1546" s="2"/>
      <c r="I1546" s="2"/>
    </row>
    <row r="1547" spans="5:9" x14ac:dyDescent="0.25">
      <c r="E1547" s="2"/>
      <c r="G1547" s="2"/>
      <c r="I1547" s="2"/>
    </row>
    <row r="1548" spans="5:9" x14ac:dyDescent="0.25">
      <c r="E1548" s="2"/>
      <c r="G1548" s="2"/>
      <c r="I1548" s="2"/>
    </row>
    <row r="1549" spans="5:9" x14ac:dyDescent="0.25">
      <c r="E1549" s="2"/>
      <c r="G1549" s="2"/>
      <c r="I1549" s="2"/>
    </row>
    <row r="1550" spans="5:9" x14ac:dyDescent="0.25">
      <c r="E1550" s="2"/>
      <c r="G1550" s="2"/>
      <c r="I1550" s="2"/>
    </row>
    <row r="1551" spans="5:9" x14ac:dyDescent="0.25">
      <c r="E1551" s="2"/>
      <c r="G1551" s="2"/>
      <c r="I1551" s="2"/>
    </row>
    <row r="1552" spans="5:9" x14ac:dyDescent="0.25">
      <c r="E1552" s="2"/>
      <c r="G1552" s="2"/>
      <c r="I1552" s="2"/>
    </row>
    <row r="1553" spans="5:9" x14ac:dyDescent="0.25">
      <c r="E1553" s="2"/>
      <c r="G1553" s="2"/>
      <c r="I1553" s="2"/>
    </row>
    <row r="1554" spans="5:9" x14ac:dyDescent="0.25">
      <c r="E1554" s="2"/>
      <c r="G1554" s="2"/>
      <c r="I1554" s="2"/>
    </row>
    <row r="1555" spans="5:9" x14ac:dyDescent="0.25">
      <c r="E1555" s="2"/>
      <c r="G1555" s="2"/>
      <c r="I1555" s="2"/>
    </row>
    <row r="1556" spans="5:9" x14ac:dyDescent="0.25">
      <c r="E1556" s="2"/>
      <c r="G1556" s="2"/>
      <c r="I1556" s="2"/>
    </row>
    <row r="1557" spans="5:9" x14ac:dyDescent="0.25">
      <c r="E1557" s="2"/>
      <c r="G1557" s="2"/>
      <c r="I1557" s="2"/>
    </row>
    <row r="1558" spans="5:9" x14ac:dyDescent="0.25">
      <c r="E1558" s="2"/>
      <c r="G1558" s="2"/>
      <c r="I1558" s="2"/>
    </row>
    <row r="1559" spans="5:9" x14ac:dyDescent="0.25">
      <c r="E1559" s="2"/>
      <c r="G1559" s="2"/>
      <c r="I1559" s="2"/>
    </row>
    <row r="1560" spans="5:9" x14ac:dyDescent="0.25">
      <c r="E1560" s="2"/>
      <c r="G1560" s="2"/>
      <c r="I1560" s="2"/>
    </row>
    <row r="1561" spans="5:9" x14ac:dyDescent="0.25">
      <c r="E1561" s="2"/>
      <c r="G1561" s="2"/>
      <c r="I1561" s="2"/>
    </row>
    <row r="1562" spans="5:9" x14ac:dyDescent="0.25">
      <c r="E1562" s="2"/>
      <c r="G1562" s="2"/>
      <c r="I1562" s="2"/>
    </row>
    <row r="1563" spans="5:9" x14ac:dyDescent="0.25">
      <c r="E1563" s="2"/>
      <c r="G1563" s="2"/>
      <c r="I1563" s="2"/>
    </row>
    <row r="1564" spans="5:9" x14ac:dyDescent="0.25">
      <c r="E1564" s="2"/>
      <c r="G1564" s="2"/>
      <c r="I1564" s="2"/>
    </row>
    <row r="1565" spans="5:9" x14ac:dyDescent="0.25">
      <c r="E1565" s="2"/>
      <c r="G1565" s="2"/>
      <c r="I1565" s="2"/>
    </row>
    <row r="1566" spans="5:9" x14ac:dyDescent="0.25">
      <c r="E1566" s="2"/>
      <c r="G1566" s="2"/>
      <c r="I1566" s="2"/>
    </row>
    <row r="1567" spans="5:9" x14ac:dyDescent="0.25">
      <c r="E1567" s="2"/>
      <c r="G1567" s="2"/>
      <c r="I1567" s="2"/>
    </row>
    <row r="1568" spans="5:9" x14ac:dyDescent="0.25">
      <c r="E1568" s="2"/>
      <c r="G1568" s="2"/>
      <c r="I1568" s="2"/>
    </row>
    <row r="1569" spans="5:9" x14ac:dyDescent="0.25">
      <c r="E1569" s="2"/>
      <c r="G1569" s="2"/>
      <c r="I1569" s="2"/>
    </row>
    <row r="1570" spans="5:9" x14ac:dyDescent="0.25">
      <c r="E1570" s="2"/>
      <c r="G1570" s="2"/>
      <c r="I1570" s="2"/>
    </row>
    <row r="1571" spans="5:9" x14ac:dyDescent="0.25">
      <c r="E1571" s="2"/>
      <c r="G1571" s="2"/>
      <c r="I1571" s="2"/>
    </row>
    <row r="1572" spans="5:9" x14ac:dyDescent="0.25">
      <c r="E1572" s="2"/>
      <c r="G1572" s="2"/>
      <c r="I1572" s="2"/>
    </row>
    <row r="1573" spans="5:9" x14ac:dyDescent="0.25">
      <c r="E1573" s="2"/>
      <c r="G1573" s="2"/>
      <c r="I1573" s="2"/>
    </row>
    <row r="1574" spans="5:9" x14ac:dyDescent="0.25">
      <c r="E1574" s="2"/>
      <c r="G1574" s="2"/>
      <c r="I1574" s="2"/>
    </row>
    <row r="1575" spans="5:9" x14ac:dyDescent="0.25">
      <c r="E1575" s="2"/>
      <c r="G1575" s="2"/>
      <c r="I1575" s="2"/>
    </row>
    <row r="1576" spans="5:9" x14ac:dyDescent="0.25">
      <c r="E1576" s="2"/>
      <c r="G1576" s="2"/>
      <c r="I1576" s="2"/>
    </row>
    <row r="1577" spans="5:9" x14ac:dyDescent="0.25">
      <c r="E1577" s="2"/>
      <c r="G1577" s="2"/>
      <c r="I1577" s="2"/>
    </row>
    <row r="1578" spans="5:9" x14ac:dyDescent="0.25">
      <c r="E1578" s="2"/>
      <c r="G1578" s="2"/>
      <c r="I1578" s="2"/>
    </row>
    <row r="1579" spans="5:9" x14ac:dyDescent="0.25">
      <c r="E1579" s="2"/>
      <c r="G1579" s="2"/>
      <c r="I1579" s="2"/>
    </row>
    <row r="1580" spans="5:9" x14ac:dyDescent="0.25">
      <c r="E1580" s="2"/>
      <c r="G1580" s="2"/>
      <c r="I1580" s="2"/>
    </row>
    <row r="1581" spans="5:9" x14ac:dyDescent="0.25">
      <c r="E1581" s="2"/>
      <c r="G1581" s="2"/>
      <c r="I1581" s="2"/>
    </row>
    <row r="1582" spans="5:9" x14ac:dyDescent="0.25">
      <c r="E1582" s="2"/>
      <c r="G1582" s="2"/>
      <c r="I1582" s="2"/>
    </row>
    <row r="1583" spans="5:9" x14ac:dyDescent="0.25">
      <c r="E1583" s="2"/>
      <c r="G1583" s="2"/>
      <c r="I1583" s="2"/>
    </row>
    <row r="1584" spans="5:9" x14ac:dyDescent="0.25">
      <c r="E1584" s="2"/>
      <c r="G1584" s="2"/>
      <c r="I1584" s="2"/>
    </row>
    <row r="1585" spans="5:9" x14ac:dyDescent="0.25">
      <c r="E1585" s="2"/>
      <c r="G1585" s="2"/>
      <c r="I1585" s="2"/>
    </row>
    <row r="1586" spans="5:9" x14ac:dyDescent="0.25">
      <c r="E1586" s="2"/>
      <c r="G1586" s="2"/>
      <c r="I1586" s="2"/>
    </row>
    <row r="1587" spans="5:9" x14ac:dyDescent="0.25">
      <c r="E1587" s="2"/>
      <c r="G1587" s="2"/>
      <c r="I1587" s="2"/>
    </row>
    <row r="1588" spans="5:9" x14ac:dyDescent="0.25">
      <c r="E1588" s="2"/>
      <c r="G1588" s="2"/>
      <c r="I1588" s="2"/>
    </row>
    <row r="1589" spans="5:9" x14ac:dyDescent="0.25">
      <c r="E1589" s="2"/>
      <c r="G1589" s="2"/>
      <c r="I1589" s="2"/>
    </row>
    <row r="1590" spans="5:9" x14ac:dyDescent="0.25">
      <c r="E1590" s="2"/>
      <c r="G1590" s="2"/>
      <c r="I1590" s="2"/>
    </row>
    <row r="1591" spans="5:9" x14ac:dyDescent="0.25">
      <c r="E1591" s="2"/>
      <c r="G1591" s="2"/>
      <c r="I1591" s="2"/>
    </row>
    <row r="1592" spans="5:9" x14ac:dyDescent="0.25">
      <c r="E1592" s="2"/>
      <c r="G1592" s="2"/>
      <c r="I1592" s="2"/>
    </row>
    <row r="1593" spans="5:9" x14ac:dyDescent="0.25">
      <c r="E1593" s="2"/>
      <c r="G1593" s="2"/>
      <c r="I1593" s="2"/>
    </row>
    <row r="1594" spans="5:9" x14ac:dyDescent="0.25">
      <c r="E1594" s="2"/>
      <c r="G1594" s="2"/>
      <c r="I1594" s="2"/>
    </row>
    <row r="1595" spans="5:9" x14ac:dyDescent="0.25">
      <c r="E1595" s="2"/>
      <c r="G1595" s="2"/>
      <c r="I1595" s="2"/>
    </row>
    <row r="1596" spans="5:9" x14ac:dyDescent="0.25">
      <c r="E1596" s="2"/>
      <c r="G1596" s="2"/>
      <c r="I1596" s="2"/>
    </row>
    <row r="1597" spans="5:9" x14ac:dyDescent="0.25">
      <c r="E1597" s="2"/>
      <c r="G1597" s="2"/>
      <c r="I1597" s="2"/>
    </row>
    <row r="1598" spans="5:9" x14ac:dyDescent="0.25">
      <c r="E1598" s="2"/>
      <c r="G1598" s="2"/>
      <c r="I1598" s="2"/>
    </row>
    <row r="1599" spans="5:9" x14ac:dyDescent="0.25">
      <c r="E1599" s="2"/>
      <c r="G1599" s="2"/>
      <c r="I1599" s="2"/>
    </row>
    <row r="1600" spans="5:9" x14ac:dyDescent="0.25">
      <c r="E1600" s="2"/>
      <c r="G1600" s="2"/>
      <c r="I1600" s="2"/>
    </row>
    <row r="1601" spans="5:9" x14ac:dyDescent="0.25">
      <c r="E1601" s="2"/>
      <c r="G1601" s="2"/>
      <c r="I1601" s="2"/>
    </row>
    <row r="1602" spans="5:9" x14ac:dyDescent="0.25">
      <c r="E1602" s="2"/>
      <c r="G1602" s="2"/>
      <c r="I1602" s="2"/>
    </row>
    <row r="1603" spans="5:9" x14ac:dyDescent="0.25">
      <c r="E1603" s="2"/>
      <c r="G1603" s="2"/>
      <c r="I1603" s="2"/>
    </row>
    <row r="1604" spans="5:9" x14ac:dyDescent="0.25">
      <c r="E1604" s="2"/>
      <c r="G1604" s="2"/>
      <c r="I1604" s="2"/>
    </row>
    <row r="1605" spans="5:9" x14ac:dyDescent="0.25">
      <c r="E1605" s="2"/>
      <c r="G1605" s="2"/>
      <c r="I1605" s="2"/>
    </row>
    <row r="1606" spans="5:9" x14ac:dyDescent="0.25">
      <c r="E1606" s="2"/>
      <c r="G1606" s="2"/>
      <c r="I1606" s="2"/>
    </row>
    <row r="1607" spans="5:9" x14ac:dyDescent="0.25">
      <c r="E1607" s="2"/>
      <c r="G1607" s="2"/>
      <c r="I1607" s="2"/>
    </row>
    <row r="1608" spans="5:9" x14ac:dyDescent="0.25">
      <c r="E1608" s="2"/>
      <c r="G1608" s="2"/>
      <c r="I1608" s="2"/>
    </row>
    <row r="1609" spans="5:9" x14ac:dyDescent="0.25">
      <c r="E1609" s="2"/>
      <c r="G1609" s="2"/>
      <c r="I1609" s="2"/>
    </row>
    <row r="1610" spans="5:9" x14ac:dyDescent="0.25">
      <c r="E1610" s="2"/>
      <c r="G1610" s="2"/>
      <c r="I1610" s="2"/>
    </row>
    <row r="1611" spans="5:9" x14ac:dyDescent="0.25">
      <c r="E1611" s="2"/>
      <c r="G1611" s="2"/>
      <c r="I1611" s="2"/>
    </row>
    <row r="1612" spans="5:9" x14ac:dyDescent="0.25">
      <c r="E1612" s="2"/>
      <c r="G1612" s="2"/>
      <c r="I1612" s="2"/>
    </row>
    <row r="1613" spans="5:9" x14ac:dyDescent="0.25">
      <c r="E1613" s="2"/>
      <c r="G1613" s="2"/>
      <c r="I1613" s="2"/>
    </row>
    <row r="1614" spans="5:9" x14ac:dyDescent="0.25">
      <c r="E1614" s="2"/>
      <c r="G1614" s="2"/>
      <c r="I1614" s="2"/>
    </row>
    <row r="1615" spans="5:9" x14ac:dyDescent="0.25">
      <c r="E1615" s="2"/>
      <c r="G1615" s="2"/>
      <c r="I1615" s="2"/>
    </row>
    <row r="1616" spans="5:9" x14ac:dyDescent="0.25">
      <c r="E1616" s="2"/>
      <c r="G1616" s="2"/>
      <c r="I1616" s="2"/>
    </row>
    <row r="1617" spans="5:9" x14ac:dyDescent="0.25">
      <c r="E1617" s="2"/>
      <c r="G1617" s="2"/>
      <c r="I1617" s="2"/>
    </row>
    <row r="1618" spans="5:9" x14ac:dyDescent="0.25">
      <c r="E1618" s="2"/>
      <c r="G1618" s="2"/>
      <c r="I1618" s="2"/>
    </row>
    <row r="1619" spans="5:9" x14ac:dyDescent="0.25">
      <c r="E1619" s="2"/>
      <c r="G1619" s="2"/>
      <c r="I1619" s="2"/>
    </row>
    <row r="1620" spans="5:9" x14ac:dyDescent="0.25">
      <c r="E1620" s="2"/>
      <c r="G1620" s="2"/>
      <c r="I1620" s="2"/>
    </row>
    <row r="1621" spans="5:9" x14ac:dyDescent="0.25">
      <c r="E1621" s="2"/>
      <c r="G1621" s="2"/>
      <c r="I1621" s="2"/>
    </row>
    <row r="1622" spans="5:9" x14ac:dyDescent="0.25">
      <c r="E1622" s="2"/>
      <c r="G1622" s="2"/>
      <c r="I1622" s="2"/>
    </row>
    <row r="1623" spans="5:9" x14ac:dyDescent="0.25">
      <c r="E1623" s="2"/>
      <c r="G1623" s="2"/>
      <c r="I1623" s="2"/>
    </row>
    <row r="1624" spans="5:9" x14ac:dyDescent="0.25">
      <c r="E1624" s="2"/>
      <c r="G1624" s="2"/>
      <c r="I1624" s="2"/>
    </row>
    <row r="1625" spans="5:9" x14ac:dyDescent="0.25">
      <c r="E1625" s="2"/>
      <c r="G1625" s="2"/>
      <c r="I1625" s="2"/>
    </row>
    <row r="1626" spans="5:9" x14ac:dyDescent="0.25">
      <c r="E1626" s="2"/>
      <c r="G1626" s="2"/>
      <c r="I1626" s="2"/>
    </row>
    <row r="1627" spans="5:9" x14ac:dyDescent="0.25">
      <c r="E1627" s="2"/>
      <c r="G1627" s="2"/>
      <c r="I1627" s="2"/>
    </row>
    <row r="1628" spans="5:9" x14ac:dyDescent="0.25">
      <c r="E1628" s="2"/>
      <c r="G1628" s="2"/>
      <c r="I1628" s="2"/>
    </row>
    <row r="1629" spans="5:9" x14ac:dyDescent="0.25">
      <c r="E1629" s="2"/>
      <c r="G1629" s="2"/>
      <c r="I1629" s="2"/>
    </row>
    <row r="1630" spans="5:9" x14ac:dyDescent="0.25">
      <c r="E1630" s="2"/>
      <c r="G1630" s="2"/>
      <c r="I1630" s="2"/>
    </row>
    <row r="1631" spans="5:9" x14ac:dyDescent="0.25">
      <c r="E1631" s="2"/>
      <c r="G1631" s="2"/>
      <c r="I1631" s="2"/>
    </row>
    <row r="1632" spans="5:9" x14ac:dyDescent="0.25">
      <c r="E1632" s="2"/>
      <c r="G1632" s="2"/>
      <c r="I1632" s="2"/>
    </row>
    <row r="1633" spans="5:9" x14ac:dyDescent="0.25">
      <c r="E1633" s="2"/>
      <c r="G1633" s="2"/>
      <c r="I1633" s="2"/>
    </row>
    <row r="1634" spans="5:9" x14ac:dyDescent="0.25">
      <c r="E1634" s="2"/>
      <c r="G1634" s="2"/>
      <c r="I1634" s="2"/>
    </row>
    <row r="1635" spans="5:9" x14ac:dyDescent="0.25">
      <c r="E1635" s="2"/>
      <c r="G1635" s="2"/>
      <c r="I1635" s="2"/>
    </row>
    <row r="1636" spans="5:9" x14ac:dyDescent="0.25">
      <c r="E1636" s="2"/>
      <c r="G1636" s="2"/>
      <c r="I1636" s="2"/>
    </row>
    <row r="1637" spans="5:9" x14ac:dyDescent="0.25">
      <c r="E1637" s="2"/>
      <c r="G1637" s="2"/>
      <c r="I1637" s="2"/>
    </row>
    <row r="1638" spans="5:9" x14ac:dyDescent="0.25">
      <c r="E1638" s="2"/>
      <c r="G1638" s="2"/>
      <c r="I1638" s="2"/>
    </row>
    <row r="1639" spans="5:9" x14ac:dyDescent="0.25">
      <c r="E1639" s="2"/>
      <c r="G1639" s="2"/>
      <c r="I1639" s="2"/>
    </row>
    <row r="1640" spans="5:9" x14ac:dyDescent="0.25">
      <c r="E1640" s="2"/>
      <c r="G1640" s="2"/>
      <c r="I1640" s="2"/>
    </row>
    <row r="1641" spans="5:9" x14ac:dyDescent="0.25">
      <c r="E1641" s="2"/>
      <c r="G1641" s="2"/>
      <c r="I1641" s="2"/>
    </row>
    <row r="1642" spans="5:9" x14ac:dyDescent="0.25">
      <c r="E1642" s="2"/>
      <c r="G1642" s="2"/>
      <c r="I1642" s="2"/>
    </row>
    <row r="1643" spans="5:9" x14ac:dyDescent="0.25">
      <c r="E1643" s="2"/>
      <c r="G1643" s="2"/>
      <c r="I1643" s="2"/>
    </row>
    <row r="1644" spans="5:9" x14ac:dyDescent="0.25">
      <c r="E1644" s="2"/>
      <c r="G1644" s="2"/>
      <c r="I1644" s="2"/>
    </row>
    <row r="1645" spans="5:9" x14ac:dyDescent="0.25">
      <c r="E1645" s="2"/>
      <c r="G1645" s="2"/>
      <c r="I1645" s="2"/>
    </row>
    <row r="1646" spans="5:9" x14ac:dyDescent="0.25">
      <c r="E1646" s="2"/>
      <c r="G1646" s="2"/>
      <c r="I1646" s="2"/>
    </row>
    <row r="1647" spans="5:9" x14ac:dyDescent="0.25">
      <c r="E1647" s="2"/>
      <c r="G1647" s="2"/>
      <c r="I1647" s="2"/>
    </row>
    <row r="1648" spans="5:9" x14ac:dyDescent="0.25">
      <c r="E1648" s="2"/>
      <c r="G1648" s="2"/>
      <c r="I1648" s="2"/>
    </row>
    <row r="1649" spans="5:9" x14ac:dyDescent="0.25">
      <c r="E1649" s="2"/>
      <c r="G1649" s="2"/>
      <c r="I1649" s="2"/>
    </row>
    <row r="1650" spans="5:9" x14ac:dyDescent="0.25">
      <c r="E1650" s="2"/>
      <c r="G1650" s="2"/>
      <c r="I1650" s="2"/>
    </row>
    <row r="1651" spans="5:9" x14ac:dyDescent="0.25">
      <c r="E1651" s="2"/>
      <c r="G1651" s="2"/>
      <c r="I1651" s="2"/>
    </row>
    <row r="1652" spans="5:9" x14ac:dyDescent="0.25">
      <c r="E1652" s="2"/>
      <c r="G1652" s="2"/>
      <c r="I1652" s="2"/>
    </row>
    <row r="1653" spans="5:9" x14ac:dyDescent="0.25">
      <c r="E1653" s="2"/>
      <c r="G1653" s="2"/>
      <c r="I1653" s="2"/>
    </row>
    <row r="1654" spans="5:9" x14ac:dyDescent="0.25">
      <c r="E1654" s="2"/>
      <c r="G1654" s="2"/>
      <c r="I1654" s="2"/>
    </row>
    <row r="1655" spans="5:9" x14ac:dyDescent="0.25">
      <c r="E1655" s="2"/>
      <c r="G1655" s="2"/>
      <c r="I1655" s="2"/>
    </row>
    <row r="1656" spans="5:9" x14ac:dyDescent="0.25">
      <c r="E1656" s="2"/>
      <c r="G1656" s="2"/>
      <c r="I1656" s="2"/>
    </row>
    <row r="1657" spans="5:9" x14ac:dyDescent="0.25">
      <c r="E1657" s="2"/>
      <c r="G1657" s="2"/>
      <c r="I1657" s="2"/>
    </row>
    <row r="1658" spans="5:9" x14ac:dyDescent="0.25">
      <c r="E1658" s="2"/>
      <c r="G1658" s="2"/>
      <c r="I1658" s="2"/>
    </row>
    <row r="1659" spans="5:9" x14ac:dyDescent="0.25">
      <c r="E1659" s="2"/>
      <c r="G1659" s="2"/>
      <c r="I1659" s="2"/>
    </row>
    <row r="1660" spans="5:9" x14ac:dyDescent="0.25">
      <c r="E1660" s="2"/>
      <c r="G1660" s="2"/>
      <c r="I1660" s="2"/>
    </row>
    <row r="1661" spans="5:9" x14ac:dyDescent="0.25">
      <c r="E1661" s="2"/>
      <c r="G1661" s="2"/>
      <c r="I1661" s="2"/>
    </row>
    <row r="1662" spans="5:9" x14ac:dyDescent="0.25">
      <c r="E1662" s="2"/>
      <c r="G1662" s="2"/>
      <c r="I1662" s="2"/>
    </row>
    <row r="1663" spans="5:9" x14ac:dyDescent="0.25">
      <c r="E1663" s="2"/>
      <c r="G1663" s="2"/>
      <c r="I1663" s="2"/>
    </row>
    <row r="1664" spans="5:9" x14ac:dyDescent="0.25">
      <c r="E1664" s="2"/>
      <c r="G1664" s="2"/>
      <c r="I1664" s="2"/>
    </row>
    <row r="1665" spans="5:9" x14ac:dyDescent="0.25">
      <c r="E1665" s="2"/>
      <c r="G1665" s="2"/>
      <c r="I1665" s="2"/>
    </row>
    <row r="1666" spans="5:9" x14ac:dyDescent="0.25">
      <c r="E1666" s="2"/>
      <c r="G1666" s="2"/>
      <c r="I1666" s="2"/>
    </row>
    <row r="1667" spans="5:9" x14ac:dyDescent="0.25">
      <c r="E1667" s="2"/>
      <c r="G1667" s="2"/>
      <c r="I1667" s="2"/>
    </row>
    <row r="1668" spans="5:9" x14ac:dyDescent="0.25">
      <c r="E1668" s="2"/>
      <c r="G1668" s="2"/>
      <c r="I1668" s="2"/>
    </row>
    <row r="1669" spans="5:9" x14ac:dyDescent="0.25">
      <c r="E1669" s="2"/>
      <c r="G1669" s="2"/>
      <c r="I1669" s="2"/>
    </row>
    <row r="1670" spans="5:9" x14ac:dyDescent="0.25">
      <c r="E1670" s="2"/>
      <c r="G1670" s="2"/>
      <c r="I1670" s="2"/>
    </row>
    <row r="1671" spans="5:9" x14ac:dyDescent="0.25">
      <c r="E1671" s="2"/>
      <c r="G1671" s="2"/>
      <c r="I1671" s="2"/>
    </row>
    <row r="1672" spans="5:9" x14ac:dyDescent="0.25">
      <c r="E1672" s="2"/>
      <c r="G1672" s="2"/>
      <c r="I1672" s="2"/>
    </row>
    <row r="1673" spans="5:9" x14ac:dyDescent="0.25">
      <c r="E1673" s="2"/>
      <c r="G1673" s="2"/>
      <c r="I1673" s="2"/>
    </row>
    <row r="1674" spans="5:9" x14ac:dyDescent="0.25">
      <c r="E1674" s="2"/>
      <c r="G1674" s="2"/>
      <c r="I1674" s="2"/>
    </row>
    <row r="1675" spans="5:9" x14ac:dyDescent="0.25">
      <c r="E1675" s="2"/>
      <c r="G1675" s="2"/>
      <c r="I1675" s="2"/>
    </row>
    <row r="1676" spans="5:9" x14ac:dyDescent="0.25">
      <c r="E1676" s="2"/>
      <c r="G1676" s="2"/>
      <c r="I1676" s="2"/>
    </row>
    <row r="1677" spans="5:9" x14ac:dyDescent="0.25">
      <c r="E1677" s="2"/>
      <c r="G1677" s="2"/>
      <c r="I1677" s="2"/>
    </row>
    <row r="1678" spans="5:9" x14ac:dyDescent="0.25">
      <c r="E1678" s="2"/>
      <c r="G1678" s="2"/>
      <c r="I1678" s="2"/>
    </row>
    <row r="1679" spans="5:9" x14ac:dyDescent="0.25">
      <c r="E1679" s="2"/>
      <c r="G1679" s="2"/>
      <c r="I1679" s="2"/>
    </row>
    <row r="1680" spans="5:9" x14ac:dyDescent="0.25">
      <c r="E1680" s="2"/>
      <c r="G1680" s="2"/>
      <c r="I1680" s="2"/>
    </row>
    <row r="1681" spans="5:9" x14ac:dyDescent="0.25">
      <c r="E1681" s="2"/>
      <c r="G1681" s="2"/>
      <c r="I1681" s="2"/>
    </row>
    <row r="1682" spans="5:9" x14ac:dyDescent="0.25">
      <c r="E1682" s="2"/>
      <c r="G1682" s="2"/>
      <c r="I1682" s="2"/>
    </row>
    <row r="1683" spans="5:9" x14ac:dyDescent="0.25">
      <c r="E1683" s="2"/>
      <c r="G1683" s="2"/>
      <c r="I1683" s="2"/>
    </row>
    <row r="1684" spans="5:9" x14ac:dyDescent="0.25">
      <c r="E1684" s="2"/>
      <c r="G1684" s="2"/>
      <c r="I1684" s="2"/>
    </row>
    <row r="1685" spans="5:9" x14ac:dyDescent="0.25">
      <c r="E1685" s="2"/>
      <c r="G1685" s="2"/>
      <c r="I1685" s="2"/>
    </row>
    <row r="1686" spans="5:9" x14ac:dyDescent="0.25">
      <c r="E1686" s="2"/>
      <c r="G1686" s="2"/>
      <c r="I1686" s="2"/>
    </row>
    <row r="1687" spans="5:9" x14ac:dyDescent="0.25">
      <c r="E1687" s="2"/>
      <c r="G1687" s="2"/>
      <c r="I1687" s="2"/>
    </row>
    <row r="1688" spans="5:9" x14ac:dyDescent="0.25">
      <c r="E1688" s="2"/>
      <c r="G1688" s="2"/>
      <c r="I1688" s="2"/>
    </row>
    <row r="1689" spans="5:9" x14ac:dyDescent="0.25">
      <c r="E1689" s="2"/>
      <c r="G1689" s="2"/>
      <c r="I1689" s="2"/>
    </row>
    <row r="1690" spans="5:9" x14ac:dyDescent="0.25">
      <c r="E1690" s="2"/>
      <c r="G1690" s="2"/>
      <c r="I1690" s="2"/>
    </row>
    <row r="1691" spans="5:9" x14ac:dyDescent="0.25">
      <c r="E1691" s="2"/>
      <c r="G1691" s="2"/>
      <c r="I1691" s="2"/>
    </row>
    <row r="1692" spans="5:9" x14ac:dyDescent="0.25">
      <c r="E1692" s="2"/>
      <c r="G1692" s="2"/>
      <c r="I1692" s="2"/>
    </row>
    <row r="1693" spans="5:9" x14ac:dyDescent="0.25">
      <c r="E1693" s="2"/>
      <c r="G1693" s="2"/>
      <c r="I1693" s="2"/>
    </row>
    <row r="1694" spans="5:9" x14ac:dyDescent="0.25">
      <c r="E1694" s="2"/>
      <c r="G1694" s="2"/>
      <c r="I1694" s="2"/>
    </row>
    <row r="1695" spans="5:9" x14ac:dyDescent="0.25">
      <c r="E1695" s="2"/>
      <c r="G1695" s="2"/>
      <c r="I1695" s="2"/>
    </row>
    <row r="1696" spans="5:9" x14ac:dyDescent="0.25">
      <c r="E1696" s="2"/>
      <c r="G1696" s="2"/>
      <c r="I1696" s="2"/>
    </row>
    <row r="1697" spans="5:9" x14ac:dyDescent="0.25">
      <c r="E1697" s="2"/>
      <c r="G1697" s="2"/>
      <c r="I1697" s="2"/>
    </row>
    <row r="1698" spans="5:9" x14ac:dyDescent="0.25">
      <c r="E1698" s="2"/>
      <c r="G1698" s="2"/>
      <c r="I1698" s="2"/>
    </row>
    <row r="1699" spans="5:9" x14ac:dyDescent="0.25">
      <c r="E1699" s="2"/>
      <c r="G1699" s="2"/>
      <c r="I1699" s="2"/>
    </row>
    <row r="1700" spans="5:9" x14ac:dyDescent="0.25">
      <c r="E1700" s="2"/>
      <c r="G1700" s="2"/>
      <c r="I1700" s="2"/>
    </row>
    <row r="1701" spans="5:9" x14ac:dyDescent="0.25">
      <c r="E1701" s="2"/>
      <c r="G1701" s="2"/>
      <c r="I1701" s="2"/>
    </row>
    <row r="1702" spans="5:9" x14ac:dyDescent="0.25">
      <c r="E1702" s="2"/>
      <c r="G1702" s="2"/>
      <c r="I1702" s="2"/>
    </row>
    <row r="1703" spans="5:9" x14ac:dyDescent="0.25">
      <c r="E1703" s="2"/>
      <c r="G1703" s="2"/>
      <c r="I1703" s="2"/>
    </row>
    <row r="1704" spans="5:9" x14ac:dyDescent="0.25">
      <c r="E1704" s="2"/>
      <c r="G1704" s="2"/>
      <c r="I1704" s="2"/>
    </row>
    <row r="1705" spans="5:9" x14ac:dyDescent="0.25">
      <c r="E1705" s="2"/>
      <c r="G1705" s="2"/>
      <c r="I1705" s="2"/>
    </row>
    <row r="1706" spans="5:9" x14ac:dyDescent="0.25">
      <c r="E1706" s="2"/>
      <c r="G1706" s="2"/>
      <c r="I1706" s="2"/>
    </row>
    <row r="1707" spans="5:9" x14ac:dyDescent="0.25">
      <c r="E1707" s="2"/>
      <c r="G1707" s="2"/>
      <c r="I1707" s="2"/>
    </row>
    <row r="1708" spans="5:9" x14ac:dyDescent="0.25">
      <c r="E1708" s="2"/>
      <c r="G1708" s="2"/>
      <c r="I1708" s="2"/>
    </row>
    <row r="1709" spans="5:9" x14ac:dyDescent="0.25">
      <c r="E1709" s="2"/>
      <c r="G1709" s="2"/>
      <c r="I1709" s="2"/>
    </row>
    <row r="1710" spans="5:9" x14ac:dyDescent="0.25">
      <c r="E1710" s="2"/>
      <c r="G1710" s="2"/>
      <c r="I1710" s="2"/>
    </row>
    <row r="1711" spans="5:9" x14ac:dyDescent="0.25">
      <c r="E1711" s="2"/>
      <c r="G1711" s="2"/>
      <c r="I1711" s="2"/>
    </row>
    <row r="1712" spans="5:9" x14ac:dyDescent="0.25">
      <c r="E1712" s="2"/>
      <c r="G1712" s="2"/>
      <c r="I1712" s="2"/>
    </row>
    <row r="1713" spans="5:9" x14ac:dyDescent="0.25">
      <c r="E1713" s="2"/>
      <c r="G1713" s="2"/>
      <c r="I1713" s="2"/>
    </row>
    <row r="1714" spans="5:9" x14ac:dyDescent="0.25">
      <c r="E1714" s="2"/>
      <c r="G1714" s="2"/>
      <c r="I1714" s="2"/>
    </row>
    <row r="1715" spans="5:9" x14ac:dyDescent="0.25">
      <c r="E1715" s="2"/>
      <c r="G1715" s="2"/>
      <c r="I1715" s="2"/>
    </row>
    <row r="1716" spans="5:9" x14ac:dyDescent="0.25">
      <c r="E1716" s="2"/>
      <c r="G1716" s="2"/>
      <c r="I1716" s="2"/>
    </row>
    <row r="1717" spans="5:9" x14ac:dyDescent="0.25">
      <c r="E1717" s="2"/>
      <c r="G1717" s="2"/>
      <c r="I1717" s="2"/>
    </row>
    <row r="1718" spans="5:9" x14ac:dyDescent="0.25">
      <c r="E1718" s="2"/>
      <c r="G1718" s="2"/>
      <c r="I1718" s="2"/>
    </row>
    <row r="1719" spans="5:9" x14ac:dyDescent="0.25">
      <c r="E1719" s="2"/>
      <c r="G1719" s="2"/>
      <c r="I1719" s="2"/>
    </row>
    <row r="1720" spans="5:9" x14ac:dyDescent="0.25">
      <c r="E1720" s="2"/>
      <c r="G1720" s="2"/>
      <c r="I1720" s="2"/>
    </row>
    <row r="1721" spans="5:9" x14ac:dyDescent="0.25">
      <c r="E1721" s="2"/>
      <c r="G1721" s="2"/>
      <c r="I1721" s="2"/>
    </row>
    <row r="1722" spans="5:9" x14ac:dyDescent="0.25">
      <c r="E1722" s="2"/>
      <c r="G1722" s="2"/>
      <c r="I1722" s="2"/>
    </row>
    <row r="1723" spans="5:9" x14ac:dyDescent="0.25">
      <c r="E1723" s="2"/>
      <c r="G1723" s="2"/>
      <c r="I1723" s="2"/>
    </row>
    <row r="1724" spans="5:9" x14ac:dyDescent="0.25">
      <c r="E1724" s="2"/>
      <c r="G1724" s="2"/>
      <c r="I1724" s="2"/>
    </row>
    <row r="1725" spans="5:9" x14ac:dyDescent="0.25">
      <c r="E1725" s="2"/>
      <c r="G1725" s="2"/>
      <c r="I1725" s="2"/>
    </row>
    <row r="1726" spans="5:9" x14ac:dyDescent="0.25">
      <c r="E1726" s="2"/>
      <c r="G1726" s="2"/>
      <c r="I1726" s="2"/>
    </row>
    <row r="1727" spans="5:9" x14ac:dyDescent="0.25">
      <c r="E1727" s="2"/>
      <c r="G1727" s="2"/>
      <c r="I1727" s="2"/>
    </row>
    <row r="1728" spans="5:9" x14ac:dyDescent="0.25">
      <c r="E1728" s="2"/>
      <c r="G1728" s="2"/>
      <c r="I1728" s="2"/>
    </row>
    <row r="1729" spans="5:9" x14ac:dyDescent="0.25">
      <c r="E1729" s="2"/>
      <c r="G1729" s="2"/>
      <c r="I1729" s="2"/>
    </row>
    <row r="1730" spans="5:9" x14ac:dyDescent="0.25">
      <c r="E1730" s="2"/>
      <c r="G1730" s="2"/>
      <c r="I1730" s="2"/>
    </row>
    <row r="1731" spans="5:9" x14ac:dyDescent="0.25">
      <c r="E1731" s="2"/>
      <c r="G1731" s="2"/>
      <c r="I1731" s="2"/>
    </row>
    <row r="1732" spans="5:9" x14ac:dyDescent="0.25">
      <c r="E1732" s="2"/>
      <c r="G1732" s="2"/>
      <c r="I1732" s="2"/>
    </row>
    <row r="1733" spans="5:9" x14ac:dyDescent="0.25">
      <c r="E1733" s="2"/>
      <c r="G1733" s="2"/>
      <c r="I1733" s="2"/>
    </row>
    <row r="1734" spans="5:9" x14ac:dyDescent="0.25">
      <c r="E1734" s="2"/>
      <c r="G1734" s="2"/>
      <c r="I1734" s="2"/>
    </row>
    <row r="1735" spans="5:9" x14ac:dyDescent="0.25">
      <c r="E1735" s="2"/>
      <c r="G1735" s="2"/>
      <c r="I1735" s="2"/>
    </row>
    <row r="1736" spans="5:9" x14ac:dyDescent="0.25">
      <c r="E1736" s="2"/>
      <c r="G1736" s="2"/>
      <c r="I1736" s="2"/>
    </row>
    <row r="1737" spans="5:9" x14ac:dyDescent="0.25">
      <c r="E1737" s="2"/>
      <c r="G1737" s="2"/>
      <c r="I1737" s="2"/>
    </row>
    <row r="1738" spans="5:9" x14ac:dyDescent="0.25">
      <c r="E1738" s="2"/>
      <c r="G1738" s="2"/>
      <c r="I1738" s="2"/>
    </row>
    <row r="1739" spans="5:9" x14ac:dyDescent="0.25">
      <c r="E1739" s="2"/>
      <c r="G1739" s="2"/>
      <c r="I1739" s="2"/>
    </row>
    <row r="1740" spans="5:9" x14ac:dyDescent="0.25">
      <c r="E1740" s="2"/>
      <c r="G1740" s="2"/>
      <c r="I1740" s="2"/>
    </row>
    <row r="1741" spans="5:9" x14ac:dyDescent="0.25">
      <c r="E1741" s="2"/>
      <c r="G1741" s="2"/>
      <c r="I1741" s="2"/>
    </row>
    <row r="1742" spans="5:9" x14ac:dyDescent="0.25">
      <c r="E1742" s="2"/>
      <c r="G1742" s="2"/>
      <c r="I1742" s="2"/>
    </row>
    <row r="1743" spans="5:9" x14ac:dyDescent="0.25">
      <c r="E1743" s="2"/>
      <c r="G1743" s="2"/>
      <c r="I1743" s="2"/>
    </row>
    <row r="1744" spans="5:9" x14ac:dyDescent="0.25">
      <c r="E1744" s="2"/>
      <c r="G1744" s="2"/>
      <c r="I1744" s="2"/>
    </row>
    <row r="1745" spans="5:9" x14ac:dyDescent="0.25">
      <c r="E1745" s="2"/>
      <c r="G1745" s="2"/>
      <c r="I1745" s="2"/>
    </row>
    <row r="1746" spans="5:9" x14ac:dyDescent="0.25">
      <c r="E1746" s="2"/>
      <c r="G1746" s="2"/>
      <c r="I1746" s="2"/>
    </row>
    <row r="1747" spans="5:9" x14ac:dyDescent="0.25">
      <c r="E1747" s="2"/>
      <c r="G1747" s="2"/>
      <c r="I1747" s="2"/>
    </row>
    <row r="1748" spans="5:9" x14ac:dyDescent="0.25">
      <c r="E1748" s="2"/>
      <c r="G1748" s="2"/>
      <c r="I1748" s="2"/>
    </row>
    <row r="1749" spans="5:9" x14ac:dyDescent="0.25">
      <c r="E1749" s="2"/>
      <c r="G1749" s="2"/>
      <c r="I1749" s="2"/>
    </row>
    <row r="1750" spans="5:9" x14ac:dyDescent="0.25">
      <c r="E1750" s="2"/>
      <c r="G1750" s="2"/>
      <c r="I1750" s="2"/>
    </row>
    <row r="1751" spans="5:9" x14ac:dyDescent="0.25">
      <c r="E1751" s="2"/>
      <c r="G1751" s="2"/>
      <c r="I1751" s="2"/>
    </row>
    <row r="1752" spans="5:9" x14ac:dyDescent="0.25">
      <c r="E1752" s="2"/>
      <c r="G1752" s="2"/>
      <c r="I1752" s="2"/>
    </row>
    <row r="1753" spans="5:9" x14ac:dyDescent="0.25">
      <c r="E1753" s="2"/>
      <c r="G1753" s="2"/>
      <c r="I1753" s="2"/>
    </row>
    <row r="1754" spans="5:9" x14ac:dyDescent="0.25">
      <c r="E1754" s="2"/>
      <c r="G1754" s="2"/>
      <c r="I1754" s="2"/>
    </row>
    <row r="1755" spans="5:9" x14ac:dyDescent="0.25">
      <c r="E1755" s="2"/>
      <c r="G1755" s="2"/>
      <c r="I1755" s="2"/>
    </row>
    <row r="1756" spans="5:9" x14ac:dyDescent="0.25">
      <c r="E1756" s="2"/>
      <c r="G1756" s="2"/>
      <c r="I1756" s="2"/>
    </row>
    <row r="1757" spans="5:9" x14ac:dyDescent="0.25">
      <c r="E1757" s="2"/>
      <c r="G1757" s="2"/>
      <c r="I1757" s="2"/>
    </row>
    <row r="1758" spans="5:9" x14ac:dyDescent="0.25">
      <c r="E1758" s="2"/>
      <c r="G1758" s="2"/>
      <c r="I1758" s="2"/>
    </row>
    <row r="1759" spans="5:9" x14ac:dyDescent="0.25">
      <c r="E1759" s="2"/>
      <c r="G1759" s="2"/>
      <c r="I1759" s="2"/>
    </row>
    <row r="1760" spans="5:9" x14ac:dyDescent="0.25">
      <c r="E1760" s="2"/>
      <c r="G1760" s="2"/>
      <c r="I1760" s="2"/>
    </row>
    <row r="1761" spans="5:9" x14ac:dyDescent="0.25">
      <c r="E1761" s="2"/>
      <c r="G1761" s="2"/>
      <c r="I1761" s="2"/>
    </row>
    <row r="1762" spans="5:9" x14ac:dyDescent="0.25">
      <c r="E1762" s="2"/>
      <c r="G1762" s="2"/>
      <c r="I1762" s="2"/>
    </row>
    <row r="1763" spans="5:9" x14ac:dyDescent="0.25">
      <c r="E1763" s="2"/>
      <c r="G1763" s="2"/>
      <c r="I1763" s="2"/>
    </row>
    <row r="1764" spans="5:9" x14ac:dyDescent="0.25">
      <c r="E1764" s="2"/>
      <c r="G1764" s="2"/>
      <c r="I1764" s="2"/>
    </row>
    <row r="1765" spans="5:9" x14ac:dyDescent="0.25">
      <c r="E1765" s="2"/>
      <c r="G1765" s="2"/>
      <c r="I1765" s="2"/>
    </row>
    <row r="1766" spans="5:9" x14ac:dyDescent="0.25">
      <c r="E1766" s="2"/>
      <c r="G1766" s="2"/>
      <c r="I1766" s="2"/>
    </row>
    <row r="1767" spans="5:9" x14ac:dyDescent="0.25">
      <c r="E1767" s="2"/>
      <c r="G1767" s="2"/>
      <c r="I1767" s="2"/>
    </row>
    <row r="1768" spans="5:9" x14ac:dyDescent="0.25">
      <c r="E1768" s="2"/>
      <c r="G1768" s="2"/>
      <c r="I1768" s="2"/>
    </row>
    <row r="1769" spans="5:9" x14ac:dyDescent="0.25">
      <c r="E1769" s="2"/>
      <c r="G1769" s="2"/>
      <c r="I1769" s="2"/>
    </row>
    <row r="1770" spans="5:9" x14ac:dyDescent="0.25">
      <c r="E1770" s="2"/>
      <c r="G1770" s="2"/>
      <c r="I1770" s="2"/>
    </row>
    <row r="1771" spans="5:9" x14ac:dyDescent="0.25">
      <c r="E1771" s="2"/>
      <c r="G1771" s="2"/>
      <c r="I1771" s="2"/>
    </row>
    <row r="1772" spans="5:9" x14ac:dyDescent="0.25">
      <c r="E1772" s="2"/>
      <c r="G1772" s="2"/>
      <c r="I1772" s="2"/>
    </row>
    <row r="1773" spans="5:9" x14ac:dyDescent="0.25">
      <c r="E1773" s="2"/>
      <c r="G1773" s="2"/>
      <c r="I1773" s="2"/>
    </row>
    <row r="1774" spans="5:9" x14ac:dyDescent="0.25">
      <c r="E1774" s="2"/>
      <c r="G1774" s="2"/>
      <c r="I1774" s="2"/>
    </row>
    <row r="1775" spans="5:9" x14ac:dyDescent="0.25">
      <c r="E1775" s="2"/>
      <c r="G1775" s="2"/>
      <c r="I1775" s="2"/>
    </row>
    <row r="1776" spans="5:9" x14ac:dyDescent="0.25">
      <c r="E1776" s="2"/>
      <c r="G1776" s="2"/>
      <c r="I1776" s="2"/>
    </row>
    <row r="1777" spans="5:9" x14ac:dyDescent="0.25">
      <c r="E1777" s="2"/>
      <c r="G1777" s="2"/>
      <c r="I1777" s="2"/>
    </row>
    <row r="1778" spans="5:9" x14ac:dyDescent="0.25">
      <c r="E1778" s="2"/>
      <c r="G1778" s="2"/>
      <c r="I1778" s="2"/>
    </row>
    <row r="1779" spans="5:9" x14ac:dyDescent="0.25">
      <c r="E1779" s="2"/>
      <c r="G1779" s="2"/>
      <c r="I1779" s="2"/>
    </row>
    <row r="1780" spans="5:9" x14ac:dyDescent="0.25">
      <c r="E1780" s="2"/>
      <c r="G1780" s="2"/>
      <c r="I1780" s="2"/>
    </row>
    <row r="1781" spans="5:9" x14ac:dyDescent="0.25">
      <c r="E1781" s="2"/>
      <c r="G1781" s="2"/>
      <c r="I1781" s="2"/>
    </row>
    <row r="1782" spans="5:9" x14ac:dyDescent="0.25">
      <c r="E1782" s="2"/>
      <c r="G1782" s="2"/>
      <c r="I1782" s="2"/>
    </row>
    <row r="1783" spans="5:9" x14ac:dyDescent="0.25">
      <c r="E1783" s="2"/>
      <c r="G1783" s="2"/>
      <c r="I1783" s="2"/>
    </row>
    <row r="1784" spans="5:9" x14ac:dyDescent="0.25">
      <c r="E1784" s="2"/>
      <c r="G1784" s="2"/>
      <c r="I1784" s="2"/>
    </row>
    <row r="1785" spans="5:9" x14ac:dyDescent="0.25">
      <c r="E1785" s="2"/>
      <c r="G1785" s="2"/>
      <c r="I1785" s="2"/>
    </row>
    <row r="1786" spans="5:9" x14ac:dyDescent="0.25">
      <c r="E1786" s="2"/>
      <c r="G1786" s="2"/>
      <c r="I1786" s="2"/>
    </row>
    <row r="1787" spans="5:9" x14ac:dyDescent="0.25">
      <c r="E1787" s="2"/>
      <c r="G1787" s="2"/>
      <c r="I1787" s="2"/>
    </row>
    <row r="1788" spans="5:9" x14ac:dyDescent="0.25">
      <c r="E1788" s="2"/>
      <c r="G1788" s="2"/>
      <c r="I1788" s="2"/>
    </row>
    <row r="1789" spans="5:9" x14ac:dyDescent="0.25">
      <c r="E1789" s="2"/>
      <c r="G1789" s="2"/>
      <c r="I1789" s="2"/>
    </row>
    <row r="1790" spans="5:9" x14ac:dyDescent="0.25">
      <c r="E1790" s="2"/>
      <c r="G1790" s="2"/>
      <c r="I1790" s="2"/>
    </row>
    <row r="1791" spans="5:9" x14ac:dyDescent="0.25">
      <c r="E1791" s="2"/>
      <c r="G1791" s="2"/>
      <c r="I1791" s="2"/>
    </row>
    <row r="1792" spans="5:9" x14ac:dyDescent="0.25">
      <c r="E1792" s="2"/>
      <c r="G1792" s="2"/>
      <c r="I1792" s="2"/>
    </row>
    <row r="1793" spans="5:9" x14ac:dyDescent="0.25">
      <c r="E1793" s="2"/>
      <c r="G1793" s="2"/>
      <c r="I1793" s="2"/>
    </row>
    <row r="1794" spans="5:9" x14ac:dyDescent="0.25">
      <c r="E1794" s="2"/>
      <c r="G1794" s="2"/>
      <c r="I1794" s="2"/>
    </row>
    <row r="1795" spans="5:9" x14ac:dyDescent="0.25">
      <c r="E1795" s="2"/>
      <c r="G1795" s="2"/>
      <c r="I1795" s="2"/>
    </row>
    <row r="1796" spans="5:9" x14ac:dyDescent="0.25">
      <c r="E1796" s="2"/>
      <c r="G1796" s="2"/>
      <c r="I1796" s="2"/>
    </row>
    <row r="1797" spans="5:9" x14ac:dyDescent="0.25">
      <c r="E1797" s="2"/>
      <c r="G1797" s="2"/>
      <c r="I1797" s="2"/>
    </row>
    <row r="1798" spans="5:9" x14ac:dyDescent="0.25">
      <c r="E1798" s="2"/>
      <c r="G1798" s="2"/>
      <c r="I1798" s="2"/>
    </row>
    <row r="1799" spans="5:9" x14ac:dyDescent="0.25">
      <c r="E1799" s="2"/>
      <c r="G1799" s="2"/>
      <c r="I1799" s="2"/>
    </row>
    <row r="1800" spans="5:9" x14ac:dyDescent="0.25">
      <c r="E1800" s="2"/>
      <c r="G1800" s="2"/>
      <c r="I1800" s="2"/>
    </row>
    <row r="1801" spans="5:9" x14ac:dyDescent="0.25">
      <c r="E1801" s="2"/>
      <c r="G1801" s="2"/>
      <c r="I1801" s="2"/>
    </row>
    <row r="1802" spans="5:9" x14ac:dyDescent="0.25">
      <c r="E1802" s="2"/>
      <c r="G1802" s="2"/>
      <c r="I1802" s="2"/>
    </row>
    <row r="1803" spans="5:9" x14ac:dyDescent="0.25">
      <c r="E1803" s="2"/>
      <c r="G1803" s="2"/>
      <c r="I1803" s="2"/>
    </row>
    <row r="1804" spans="5:9" x14ac:dyDescent="0.25">
      <c r="E1804" s="2"/>
      <c r="G1804" s="2"/>
      <c r="I1804" s="2"/>
    </row>
    <row r="1805" spans="5:9" x14ac:dyDescent="0.25">
      <c r="E1805" s="2"/>
      <c r="G1805" s="2"/>
      <c r="I1805" s="2"/>
    </row>
    <row r="1806" spans="5:9" x14ac:dyDescent="0.25">
      <c r="E1806" s="2"/>
      <c r="G1806" s="2"/>
      <c r="I1806" s="2"/>
    </row>
    <row r="1807" spans="5:9" x14ac:dyDescent="0.25">
      <c r="E1807" s="2"/>
      <c r="G1807" s="2"/>
      <c r="I1807" s="2"/>
    </row>
    <row r="1808" spans="5:9" x14ac:dyDescent="0.25">
      <c r="E1808" s="2"/>
      <c r="G1808" s="2"/>
      <c r="I1808" s="2"/>
    </row>
    <row r="1809" spans="5:9" x14ac:dyDescent="0.25">
      <c r="E1809" s="2"/>
      <c r="G1809" s="2"/>
      <c r="I1809" s="2"/>
    </row>
    <row r="1810" spans="5:9" x14ac:dyDescent="0.25">
      <c r="E1810" s="2"/>
      <c r="G1810" s="2"/>
      <c r="I1810" s="2"/>
    </row>
    <row r="1811" spans="5:9" x14ac:dyDescent="0.25">
      <c r="E1811" s="2"/>
      <c r="G1811" s="2"/>
      <c r="I1811" s="2"/>
    </row>
    <row r="1812" spans="5:9" x14ac:dyDescent="0.25">
      <c r="E1812" s="2"/>
      <c r="G1812" s="2"/>
      <c r="I1812" s="2"/>
    </row>
    <row r="1813" spans="5:9" x14ac:dyDescent="0.25">
      <c r="E1813" s="2"/>
      <c r="G1813" s="2"/>
      <c r="I1813" s="2"/>
    </row>
    <row r="1814" spans="5:9" x14ac:dyDescent="0.25">
      <c r="E1814" s="2"/>
      <c r="G1814" s="2"/>
      <c r="I1814" s="2"/>
    </row>
    <row r="1815" spans="5:9" x14ac:dyDescent="0.25">
      <c r="E1815" s="2"/>
      <c r="G1815" s="2"/>
      <c r="I1815" s="2"/>
    </row>
    <row r="1816" spans="5:9" x14ac:dyDescent="0.25">
      <c r="E1816" s="2"/>
      <c r="G1816" s="2"/>
      <c r="I1816" s="2"/>
    </row>
    <row r="1817" spans="5:9" x14ac:dyDescent="0.25">
      <c r="E1817" s="2"/>
      <c r="G1817" s="2"/>
      <c r="I1817" s="2"/>
    </row>
    <row r="1818" spans="5:9" x14ac:dyDescent="0.25">
      <c r="E1818" s="2"/>
      <c r="G1818" s="2"/>
      <c r="I1818" s="2"/>
    </row>
    <row r="1819" spans="5:9" x14ac:dyDescent="0.25">
      <c r="E1819" s="2"/>
      <c r="G1819" s="2"/>
      <c r="I1819" s="2"/>
    </row>
    <row r="1820" spans="5:9" x14ac:dyDescent="0.25">
      <c r="E1820" s="2"/>
      <c r="G1820" s="2"/>
      <c r="I1820" s="2"/>
    </row>
    <row r="1821" spans="5:9" x14ac:dyDescent="0.25">
      <c r="E1821" s="2"/>
      <c r="G1821" s="2"/>
      <c r="I1821" s="2"/>
    </row>
    <row r="1822" spans="5:9" x14ac:dyDescent="0.25">
      <c r="E1822" s="2"/>
      <c r="G1822" s="2"/>
      <c r="I1822" s="2"/>
    </row>
    <row r="1823" spans="5:9" x14ac:dyDescent="0.25">
      <c r="E1823" s="2"/>
      <c r="G1823" s="2"/>
      <c r="I1823" s="2"/>
    </row>
    <row r="1824" spans="5:9" x14ac:dyDescent="0.25">
      <c r="E1824" s="2"/>
      <c r="G1824" s="2"/>
      <c r="I1824" s="2"/>
    </row>
    <row r="1825" spans="5:9" x14ac:dyDescent="0.25">
      <c r="E1825" s="2"/>
      <c r="G1825" s="2"/>
      <c r="I1825" s="2"/>
    </row>
    <row r="1826" spans="5:9" x14ac:dyDescent="0.25">
      <c r="E1826" s="2"/>
      <c r="G1826" s="2"/>
      <c r="I1826" s="2"/>
    </row>
    <row r="1827" spans="5:9" x14ac:dyDescent="0.25">
      <c r="E1827" s="2"/>
      <c r="G1827" s="2"/>
      <c r="I1827" s="2"/>
    </row>
    <row r="1828" spans="5:9" x14ac:dyDescent="0.25">
      <c r="E1828" s="2"/>
      <c r="G1828" s="2"/>
      <c r="I1828" s="2"/>
    </row>
    <row r="1829" spans="5:9" x14ac:dyDescent="0.25">
      <c r="E1829" s="2"/>
      <c r="G1829" s="2"/>
      <c r="I1829" s="2"/>
    </row>
    <row r="1830" spans="5:9" x14ac:dyDescent="0.25">
      <c r="E1830" s="2"/>
      <c r="G1830" s="2"/>
      <c r="I1830" s="2"/>
    </row>
    <row r="1831" spans="5:9" x14ac:dyDescent="0.25">
      <c r="E1831" s="2"/>
      <c r="G1831" s="2"/>
      <c r="I1831" s="2"/>
    </row>
    <row r="1832" spans="5:9" x14ac:dyDescent="0.25">
      <c r="E1832" s="2"/>
      <c r="G1832" s="2"/>
      <c r="I1832" s="2"/>
    </row>
    <row r="1833" spans="5:9" x14ac:dyDescent="0.25">
      <c r="E1833" s="2"/>
      <c r="G1833" s="2"/>
      <c r="I1833" s="2"/>
    </row>
    <row r="1834" spans="5:9" x14ac:dyDescent="0.25">
      <c r="E1834" s="2"/>
      <c r="G1834" s="2"/>
      <c r="I1834" s="2"/>
    </row>
    <row r="1835" spans="5:9" x14ac:dyDescent="0.25">
      <c r="E1835" s="2"/>
      <c r="G1835" s="2"/>
      <c r="I1835" s="2"/>
    </row>
    <row r="1836" spans="5:9" x14ac:dyDescent="0.25">
      <c r="E1836" s="2"/>
      <c r="G1836" s="2"/>
      <c r="I1836" s="2"/>
    </row>
    <row r="1837" spans="5:9" x14ac:dyDescent="0.25">
      <c r="E1837" s="2"/>
      <c r="G1837" s="2"/>
      <c r="I1837" s="2"/>
    </row>
    <row r="1838" spans="5:9" x14ac:dyDescent="0.25">
      <c r="E1838" s="2"/>
      <c r="G1838" s="2"/>
      <c r="I1838" s="2"/>
    </row>
    <row r="1839" spans="5:9" x14ac:dyDescent="0.25">
      <c r="E1839" s="2"/>
      <c r="G1839" s="2"/>
      <c r="I1839" s="2"/>
    </row>
    <row r="1840" spans="5:9" x14ac:dyDescent="0.25">
      <c r="E1840" s="2"/>
      <c r="G1840" s="2"/>
      <c r="I1840" s="2"/>
    </row>
    <row r="1841" spans="5:9" x14ac:dyDescent="0.25">
      <c r="E1841" s="2"/>
      <c r="G1841" s="2"/>
      <c r="I1841" s="2"/>
    </row>
    <row r="1842" spans="5:9" x14ac:dyDescent="0.25">
      <c r="E1842" s="2"/>
      <c r="G1842" s="2"/>
      <c r="I1842" s="2"/>
    </row>
    <row r="1843" spans="5:9" x14ac:dyDescent="0.25">
      <c r="E1843" s="2"/>
      <c r="G1843" s="2"/>
      <c r="I1843" s="2"/>
    </row>
    <row r="1844" spans="5:9" x14ac:dyDescent="0.25">
      <c r="E1844" s="2"/>
      <c r="G1844" s="2"/>
      <c r="I1844" s="2"/>
    </row>
    <row r="1845" spans="5:9" x14ac:dyDescent="0.25">
      <c r="E1845" s="2"/>
      <c r="G1845" s="2"/>
      <c r="I1845" s="2"/>
    </row>
    <row r="1846" spans="5:9" x14ac:dyDescent="0.25">
      <c r="E1846" s="2"/>
      <c r="G1846" s="2"/>
      <c r="I1846" s="2"/>
    </row>
    <row r="1847" spans="5:9" x14ac:dyDescent="0.25">
      <c r="E1847" s="2"/>
      <c r="G1847" s="2"/>
      <c r="I1847" s="2"/>
    </row>
    <row r="1848" spans="5:9" x14ac:dyDescent="0.25">
      <c r="E1848" s="2"/>
      <c r="G1848" s="2"/>
      <c r="I1848" s="2"/>
    </row>
    <row r="1849" spans="5:9" x14ac:dyDescent="0.25">
      <c r="E1849" s="2"/>
      <c r="G1849" s="2"/>
      <c r="I1849" s="2"/>
    </row>
    <row r="1850" spans="5:9" x14ac:dyDescent="0.25">
      <c r="E1850" s="2"/>
      <c r="G1850" s="2"/>
      <c r="I1850" s="2"/>
    </row>
    <row r="1851" spans="5:9" x14ac:dyDescent="0.25">
      <c r="E1851" s="2"/>
      <c r="G1851" s="2"/>
      <c r="I1851" s="2"/>
    </row>
    <row r="1852" spans="5:9" x14ac:dyDescent="0.25">
      <c r="E1852" s="2"/>
      <c r="G1852" s="2"/>
      <c r="I1852" s="2"/>
    </row>
    <row r="1853" spans="5:9" x14ac:dyDescent="0.25">
      <c r="E1853" s="2"/>
      <c r="G1853" s="2"/>
      <c r="I1853" s="2"/>
    </row>
    <row r="1854" spans="5:9" x14ac:dyDescent="0.25">
      <c r="E1854" s="2"/>
      <c r="G1854" s="2"/>
      <c r="I1854" s="2"/>
    </row>
    <row r="1855" spans="5:9" x14ac:dyDescent="0.25">
      <c r="E1855" s="2"/>
      <c r="G1855" s="2"/>
      <c r="I1855" s="2"/>
    </row>
    <row r="1856" spans="5:9" x14ac:dyDescent="0.25">
      <c r="E1856" s="2"/>
      <c r="G1856" s="2"/>
      <c r="I1856" s="2"/>
    </row>
    <row r="1857" spans="5:9" x14ac:dyDescent="0.25">
      <c r="E1857" s="2"/>
      <c r="G1857" s="2"/>
      <c r="I1857" s="2"/>
    </row>
    <row r="1858" spans="5:9" x14ac:dyDescent="0.25">
      <c r="E1858" s="2"/>
      <c r="G1858" s="2"/>
      <c r="I1858" s="2"/>
    </row>
    <row r="1859" spans="5:9" x14ac:dyDescent="0.25">
      <c r="E1859" s="2"/>
      <c r="G1859" s="2"/>
      <c r="I1859" s="2"/>
    </row>
    <row r="1860" spans="5:9" x14ac:dyDescent="0.25">
      <c r="E1860" s="2"/>
      <c r="G1860" s="2"/>
      <c r="I1860" s="2"/>
    </row>
    <row r="1861" spans="5:9" x14ac:dyDescent="0.25">
      <c r="E1861" s="2"/>
      <c r="G1861" s="2"/>
      <c r="I1861" s="2"/>
    </row>
    <row r="1862" spans="5:9" x14ac:dyDescent="0.25">
      <c r="E1862" s="2"/>
      <c r="G1862" s="2"/>
      <c r="I1862" s="2"/>
    </row>
    <row r="1863" spans="5:9" x14ac:dyDescent="0.25">
      <c r="E1863" s="2"/>
      <c r="G1863" s="2"/>
      <c r="I1863" s="2"/>
    </row>
    <row r="1864" spans="5:9" x14ac:dyDescent="0.25">
      <c r="E1864" s="2"/>
      <c r="G1864" s="2"/>
      <c r="I1864" s="2"/>
    </row>
    <row r="1865" spans="5:9" x14ac:dyDescent="0.25">
      <c r="E1865" s="2"/>
      <c r="G1865" s="2"/>
      <c r="I1865" s="2"/>
    </row>
    <row r="1866" spans="5:9" x14ac:dyDescent="0.25">
      <c r="E1866" s="2"/>
      <c r="G1866" s="2"/>
      <c r="I1866" s="2"/>
    </row>
    <row r="1867" spans="5:9" x14ac:dyDescent="0.25">
      <c r="E1867" s="2"/>
      <c r="G1867" s="2"/>
      <c r="I1867" s="2"/>
    </row>
    <row r="1868" spans="5:9" x14ac:dyDescent="0.25">
      <c r="E1868" s="2"/>
      <c r="G1868" s="2"/>
      <c r="I1868" s="2"/>
    </row>
    <row r="1869" spans="5:9" x14ac:dyDescent="0.25">
      <c r="E1869" s="2"/>
      <c r="G1869" s="2"/>
      <c r="I1869" s="2"/>
    </row>
    <row r="1870" spans="5:9" x14ac:dyDescent="0.25">
      <c r="E1870" s="2"/>
      <c r="G1870" s="2"/>
      <c r="I1870" s="2"/>
    </row>
    <row r="1871" spans="5:9" x14ac:dyDescent="0.25">
      <c r="E1871" s="2"/>
      <c r="G1871" s="2"/>
      <c r="I1871" s="2"/>
    </row>
    <row r="1872" spans="5:9" x14ac:dyDescent="0.25">
      <c r="E1872" s="2"/>
      <c r="G1872" s="2"/>
      <c r="I1872" s="2"/>
    </row>
    <row r="1873" spans="5:9" x14ac:dyDescent="0.25">
      <c r="E1873" s="2"/>
      <c r="G1873" s="2"/>
      <c r="I1873" s="2"/>
    </row>
    <row r="1874" spans="5:9" x14ac:dyDescent="0.25">
      <c r="E1874" s="2"/>
      <c r="G1874" s="2"/>
      <c r="I1874" s="2"/>
    </row>
    <row r="1875" spans="5:9" x14ac:dyDescent="0.25">
      <c r="E1875" s="2"/>
      <c r="G1875" s="2"/>
      <c r="I1875" s="2"/>
    </row>
    <row r="1876" spans="5:9" x14ac:dyDescent="0.25">
      <c r="E1876" s="2"/>
      <c r="G1876" s="2"/>
      <c r="I1876" s="2"/>
    </row>
    <row r="1877" spans="5:9" x14ac:dyDescent="0.25">
      <c r="E1877" s="2"/>
      <c r="G1877" s="2"/>
      <c r="I1877" s="2"/>
    </row>
    <row r="1878" spans="5:9" x14ac:dyDescent="0.25">
      <c r="E1878" s="2"/>
      <c r="G1878" s="2"/>
      <c r="I1878" s="2"/>
    </row>
    <row r="1879" spans="5:9" x14ac:dyDescent="0.25">
      <c r="E1879" s="2"/>
      <c r="G1879" s="2"/>
      <c r="I1879" s="2"/>
    </row>
    <row r="1880" spans="5:9" x14ac:dyDescent="0.25">
      <c r="E1880" s="2"/>
      <c r="G1880" s="2"/>
      <c r="I1880" s="2"/>
    </row>
    <row r="1881" spans="5:9" x14ac:dyDescent="0.25">
      <c r="E1881" s="2"/>
      <c r="G1881" s="2"/>
      <c r="I1881" s="2"/>
    </row>
    <row r="1882" spans="5:9" x14ac:dyDescent="0.25">
      <c r="E1882" s="2"/>
      <c r="G1882" s="2"/>
      <c r="I1882" s="2"/>
    </row>
    <row r="1883" spans="5:9" x14ac:dyDescent="0.25">
      <c r="E1883" s="2"/>
      <c r="G1883" s="2"/>
      <c r="I1883" s="2"/>
    </row>
    <row r="1884" spans="5:9" x14ac:dyDescent="0.25">
      <c r="E1884" s="2"/>
      <c r="G1884" s="2"/>
      <c r="I1884" s="2"/>
    </row>
    <row r="1885" spans="5:9" x14ac:dyDescent="0.25">
      <c r="E1885" s="2"/>
      <c r="G1885" s="2"/>
      <c r="I1885" s="2"/>
    </row>
    <row r="1886" spans="5:9" x14ac:dyDescent="0.25">
      <c r="E1886" s="2"/>
      <c r="G1886" s="2"/>
      <c r="I1886" s="2"/>
    </row>
    <row r="1887" spans="5:9" x14ac:dyDescent="0.25">
      <c r="E1887" s="2"/>
      <c r="G1887" s="2"/>
      <c r="I1887" s="2"/>
    </row>
    <row r="1888" spans="5:9" x14ac:dyDescent="0.25">
      <c r="E1888" s="2"/>
      <c r="G1888" s="2"/>
      <c r="I1888" s="2"/>
    </row>
    <row r="1889" spans="5:9" x14ac:dyDescent="0.25">
      <c r="E1889" s="2"/>
      <c r="G1889" s="2"/>
      <c r="I1889" s="2"/>
    </row>
    <row r="1890" spans="5:9" x14ac:dyDescent="0.25">
      <c r="E1890" s="2"/>
      <c r="G1890" s="2"/>
      <c r="I1890" s="2"/>
    </row>
    <row r="1891" spans="5:9" x14ac:dyDescent="0.25">
      <c r="E1891" s="2"/>
      <c r="G1891" s="2"/>
      <c r="I1891" s="2"/>
    </row>
    <row r="1892" spans="5:9" x14ac:dyDescent="0.25">
      <c r="E1892" s="2"/>
      <c r="G1892" s="2"/>
      <c r="I1892" s="2"/>
    </row>
    <row r="1893" spans="5:9" x14ac:dyDescent="0.25">
      <c r="E1893" s="2"/>
      <c r="G1893" s="2"/>
      <c r="I1893" s="2"/>
    </row>
    <row r="1894" spans="5:9" x14ac:dyDescent="0.25">
      <c r="E1894" s="2"/>
      <c r="G1894" s="2"/>
      <c r="I1894" s="2"/>
    </row>
    <row r="1895" spans="5:9" x14ac:dyDescent="0.25">
      <c r="E1895" s="2"/>
      <c r="G1895" s="2"/>
      <c r="I1895" s="2"/>
    </row>
    <row r="1896" spans="5:9" x14ac:dyDescent="0.25">
      <c r="E1896" s="2"/>
      <c r="G1896" s="2"/>
      <c r="I1896" s="2"/>
    </row>
    <row r="1897" spans="5:9" x14ac:dyDescent="0.25">
      <c r="E1897" s="2"/>
      <c r="G1897" s="2"/>
      <c r="I1897" s="2"/>
    </row>
    <row r="1898" spans="5:9" x14ac:dyDescent="0.25">
      <c r="E1898" s="2"/>
      <c r="G1898" s="2"/>
      <c r="I1898" s="2"/>
    </row>
    <row r="1899" spans="5:9" x14ac:dyDescent="0.25">
      <c r="E1899" s="2"/>
      <c r="G1899" s="2"/>
      <c r="I1899" s="2"/>
    </row>
    <row r="1900" spans="5:9" x14ac:dyDescent="0.25">
      <c r="E1900" s="2"/>
      <c r="G1900" s="2"/>
      <c r="I1900" s="2"/>
    </row>
    <row r="1901" spans="5:9" x14ac:dyDescent="0.25">
      <c r="E1901" s="2"/>
      <c r="G1901" s="2"/>
      <c r="I1901" s="2"/>
    </row>
    <row r="1902" spans="5:9" x14ac:dyDescent="0.25">
      <c r="E1902" s="2"/>
      <c r="G1902" s="2"/>
      <c r="I1902" s="2"/>
    </row>
    <row r="1903" spans="5:9" x14ac:dyDescent="0.25">
      <c r="E1903" s="2"/>
      <c r="G1903" s="2"/>
      <c r="I1903" s="2"/>
    </row>
    <row r="1904" spans="5:9" x14ac:dyDescent="0.25">
      <c r="E1904" s="2"/>
      <c r="G1904" s="2"/>
      <c r="I1904" s="2"/>
    </row>
    <row r="1905" spans="5:9" x14ac:dyDescent="0.25">
      <c r="E1905" s="2"/>
      <c r="G1905" s="2"/>
      <c r="I1905" s="2"/>
    </row>
    <row r="1906" spans="5:9" x14ac:dyDescent="0.25">
      <c r="E1906" s="2"/>
      <c r="G1906" s="2"/>
      <c r="I1906" s="2"/>
    </row>
    <row r="1907" spans="5:9" x14ac:dyDescent="0.25">
      <c r="E1907" s="2"/>
      <c r="G1907" s="2"/>
      <c r="I1907" s="2"/>
    </row>
    <row r="1908" spans="5:9" x14ac:dyDescent="0.25">
      <c r="E1908" s="2"/>
      <c r="G1908" s="2"/>
      <c r="I1908" s="2"/>
    </row>
    <row r="1909" spans="5:9" x14ac:dyDescent="0.25">
      <c r="E1909" s="2"/>
      <c r="G1909" s="2"/>
      <c r="I1909" s="2"/>
    </row>
    <row r="1910" spans="5:9" x14ac:dyDescent="0.25">
      <c r="E1910" s="2"/>
      <c r="G1910" s="2"/>
      <c r="I1910" s="2"/>
    </row>
    <row r="1911" spans="5:9" x14ac:dyDescent="0.25">
      <c r="E1911" s="2"/>
      <c r="G1911" s="2"/>
      <c r="I1911" s="2"/>
    </row>
    <row r="1912" spans="5:9" x14ac:dyDescent="0.25">
      <c r="E1912" s="2"/>
      <c r="G1912" s="2"/>
      <c r="I1912" s="2"/>
    </row>
    <row r="1913" spans="5:9" x14ac:dyDescent="0.25">
      <c r="E1913" s="2"/>
      <c r="G1913" s="2"/>
      <c r="I1913" s="2"/>
    </row>
    <row r="1914" spans="5:9" x14ac:dyDescent="0.25">
      <c r="E1914" s="2"/>
      <c r="G1914" s="2"/>
      <c r="I1914" s="2"/>
    </row>
    <row r="1915" spans="5:9" x14ac:dyDescent="0.25">
      <c r="E1915" s="2"/>
      <c r="G1915" s="2"/>
      <c r="I1915" s="2"/>
    </row>
    <row r="1916" spans="5:9" x14ac:dyDescent="0.25">
      <c r="E1916" s="2"/>
      <c r="G1916" s="2"/>
      <c r="I1916" s="2"/>
    </row>
    <row r="1917" spans="5:9" x14ac:dyDescent="0.25">
      <c r="E1917" s="2"/>
      <c r="G1917" s="2"/>
      <c r="I1917" s="2"/>
    </row>
    <row r="1918" spans="5:9" x14ac:dyDescent="0.25">
      <c r="E1918" s="2"/>
      <c r="G1918" s="2"/>
      <c r="I1918" s="2"/>
    </row>
    <row r="1919" spans="5:9" x14ac:dyDescent="0.25">
      <c r="E1919" s="2"/>
      <c r="G1919" s="2"/>
      <c r="I1919" s="2"/>
    </row>
    <row r="1920" spans="5:9" x14ac:dyDescent="0.25">
      <c r="E1920" s="2"/>
      <c r="G1920" s="2"/>
      <c r="I1920" s="2"/>
    </row>
    <row r="1921" spans="5:9" x14ac:dyDescent="0.25">
      <c r="E1921" s="2"/>
      <c r="G1921" s="2"/>
      <c r="I1921" s="2"/>
    </row>
    <row r="1922" spans="5:9" x14ac:dyDescent="0.25">
      <c r="E1922" s="2"/>
      <c r="G1922" s="2"/>
      <c r="I1922" s="2"/>
    </row>
    <row r="1923" spans="5:9" x14ac:dyDescent="0.25">
      <c r="E1923" s="2"/>
      <c r="G1923" s="2"/>
      <c r="I1923" s="2"/>
    </row>
    <row r="1924" spans="5:9" x14ac:dyDescent="0.25">
      <c r="E1924" s="2"/>
      <c r="G1924" s="2"/>
      <c r="I1924" s="2"/>
    </row>
    <row r="1925" spans="5:9" x14ac:dyDescent="0.25">
      <c r="E1925" s="2"/>
      <c r="G1925" s="2"/>
      <c r="I1925" s="2"/>
    </row>
    <row r="1926" spans="5:9" x14ac:dyDescent="0.25">
      <c r="E1926" s="2"/>
      <c r="G1926" s="2"/>
      <c r="I1926" s="2"/>
    </row>
    <row r="1927" spans="5:9" x14ac:dyDescent="0.25">
      <c r="E1927" s="2"/>
      <c r="G1927" s="2"/>
      <c r="I1927" s="2"/>
    </row>
    <row r="1928" spans="5:9" x14ac:dyDescent="0.25">
      <c r="E1928" s="2"/>
      <c r="G1928" s="2"/>
      <c r="I1928" s="2"/>
    </row>
    <row r="1929" spans="5:9" x14ac:dyDescent="0.25">
      <c r="E1929" s="2"/>
      <c r="G1929" s="2"/>
      <c r="I1929" s="2"/>
    </row>
    <row r="1930" spans="5:9" x14ac:dyDescent="0.25">
      <c r="E1930" s="2"/>
      <c r="G1930" s="2"/>
      <c r="I1930" s="2"/>
    </row>
    <row r="1931" spans="5:9" x14ac:dyDescent="0.25">
      <c r="E1931" s="2"/>
      <c r="G1931" s="2"/>
      <c r="I1931" s="2"/>
    </row>
    <row r="1932" spans="5:9" x14ac:dyDescent="0.25">
      <c r="E1932" s="2"/>
      <c r="G1932" s="2"/>
      <c r="I1932" s="2"/>
    </row>
    <row r="1933" spans="5:9" x14ac:dyDescent="0.25">
      <c r="E1933" s="2"/>
      <c r="G1933" s="2"/>
      <c r="I1933" s="2"/>
    </row>
    <row r="1934" spans="5:9" x14ac:dyDescent="0.25">
      <c r="E1934" s="2"/>
      <c r="G1934" s="2"/>
      <c r="I1934" s="2"/>
    </row>
    <row r="1935" spans="5:9" x14ac:dyDescent="0.25">
      <c r="E1935" s="2"/>
      <c r="G1935" s="2"/>
      <c r="I1935" s="2"/>
    </row>
    <row r="1936" spans="5:9" x14ac:dyDescent="0.25">
      <c r="E1936" s="2"/>
      <c r="G1936" s="2"/>
      <c r="I1936" s="2"/>
    </row>
    <row r="1937" spans="5:9" x14ac:dyDescent="0.25">
      <c r="E1937" s="2"/>
      <c r="G1937" s="2"/>
      <c r="I1937" s="2"/>
    </row>
    <row r="1938" spans="5:9" x14ac:dyDescent="0.25">
      <c r="E1938" s="2"/>
      <c r="G1938" s="2"/>
      <c r="I1938" s="2"/>
    </row>
    <row r="1939" spans="5:9" x14ac:dyDescent="0.25">
      <c r="E1939" s="2"/>
      <c r="G1939" s="2"/>
      <c r="I1939" s="2"/>
    </row>
    <row r="1940" spans="5:9" x14ac:dyDescent="0.25">
      <c r="E1940" s="2"/>
      <c r="G1940" s="2"/>
      <c r="I1940" s="2"/>
    </row>
    <row r="1941" spans="5:9" x14ac:dyDescent="0.25">
      <c r="E1941" s="2"/>
      <c r="G1941" s="2"/>
      <c r="I1941" s="2"/>
    </row>
    <row r="1942" spans="5:9" x14ac:dyDescent="0.25">
      <c r="E1942" s="2"/>
      <c r="G1942" s="2"/>
      <c r="I1942" s="2"/>
    </row>
    <row r="1943" spans="5:9" x14ac:dyDescent="0.25">
      <c r="E1943" s="2"/>
      <c r="G1943" s="2"/>
      <c r="I1943" s="2"/>
    </row>
    <row r="1944" spans="5:9" x14ac:dyDescent="0.25">
      <c r="E1944" s="2"/>
      <c r="G1944" s="2"/>
      <c r="I1944" s="2"/>
    </row>
    <row r="1945" spans="5:9" x14ac:dyDescent="0.25">
      <c r="E1945" s="2"/>
      <c r="G1945" s="2"/>
      <c r="I1945" s="2"/>
    </row>
    <row r="1946" spans="5:9" x14ac:dyDescent="0.25">
      <c r="E1946" s="2"/>
      <c r="G1946" s="2"/>
      <c r="I1946" s="2"/>
    </row>
    <row r="1947" spans="5:9" x14ac:dyDescent="0.25">
      <c r="E1947" s="2"/>
      <c r="G1947" s="2"/>
      <c r="I1947" s="2"/>
    </row>
    <row r="1948" spans="5:9" x14ac:dyDescent="0.25">
      <c r="E1948" s="2"/>
      <c r="G1948" s="2"/>
      <c r="I1948" s="2"/>
    </row>
    <row r="1949" spans="5:9" x14ac:dyDescent="0.25">
      <c r="E1949" s="2"/>
      <c r="G1949" s="2"/>
      <c r="I1949" s="2"/>
    </row>
    <row r="1950" spans="5:9" x14ac:dyDescent="0.25">
      <c r="E1950" s="2"/>
      <c r="G1950" s="2"/>
      <c r="I1950" s="2"/>
    </row>
    <row r="1951" spans="5:9" x14ac:dyDescent="0.25">
      <c r="E1951" s="2"/>
      <c r="G1951" s="2"/>
      <c r="I1951" s="2"/>
    </row>
    <row r="1952" spans="5:9" x14ac:dyDescent="0.25">
      <c r="E1952" s="2"/>
      <c r="G1952" s="2"/>
      <c r="I1952" s="2"/>
    </row>
    <row r="1953" spans="5:9" x14ac:dyDescent="0.25">
      <c r="E1953" s="2"/>
      <c r="G1953" s="2"/>
      <c r="I1953" s="2"/>
    </row>
    <row r="1954" spans="5:9" x14ac:dyDescent="0.25">
      <c r="E1954" s="2"/>
      <c r="G1954" s="2"/>
      <c r="I1954" s="2"/>
    </row>
    <row r="1955" spans="5:9" x14ac:dyDescent="0.25">
      <c r="E1955" s="2"/>
      <c r="G1955" s="2"/>
      <c r="I1955" s="2"/>
    </row>
    <row r="1956" spans="5:9" x14ac:dyDescent="0.25">
      <c r="E1956" s="2"/>
      <c r="G1956" s="2"/>
      <c r="I1956" s="2"/>
    </row>
    <row r="1957" spans="5:9" x14ac:dyDescent="0.25">
      <c r="E1957" s="2"/>
      <c r="G1957" s="2"/>
      <c r="I1957" s="2"/>
    </row>
    <row r="1958" spans="5:9" x14ac:dyDescent="0.25">
      <c r="E1958" s="2"/>
      <c r="G1958" s="2"/>
      <c r="I1958" s="2"/>
    </row>
    <row r="1959" spans="5:9" x14ac:dyDescent="0.25">
      <c r="E1959" s="2"/>
      <c r="G1959" s="2"/>
      <c r="I1959" s="2"/>
    </row>
    <row r="1960" spans="5:9" x14ac:dyDescent="0.25">
      <c r="E1960" s="2"/>
      <c r="G1960" s="2"/>
      <c r="I1960" s="2"/>
    </row>
    <row r="1961" spans="5:9" x14ac:dyDescent="0.25">
      <c r="E1961" s="2"/>
      <c r="G1961" s="2"/>
      <c r="I1961" s="2"/>
    </row>
    <row r="1962" spans="5:9" x14ac:dyDescent="0.25">
      <c r="E1962" s="2"/>
      <c r="G1962" s="2"/>
      <c r="I1962" s="2"/>
    </row>
    <row r="1963" spans="5:9" x14ac:dyDescent="0.25">
      <c r="E1963" s="2"/>
      <c r="G1963" s="2"/>
      <c r="I1963" s="2"/>
    </row>
    <row r="1964" spans="5:9" x14ac:dyDescent="0.25">
      <c r="E1964" s="2"/>
      <c r="G1964" s="2"/>
      <c r="I1964" s="2"/>
    </row>
    <row r="1965" spans="5:9" x14ac:dyDescent="0.25">
      <c r="E1965" s="2"/>
      <c r="G1965" s="2"/>
      <c r="I1965" s="2"/>
    </row>
    <row r="1966" spans="5:9" x14ac:dyDescent="0.25">
      <c r="E1966" s="2"/>
      <c r="G1966" s="2"/>
      <c r="I1966" s="2"/>
    </row>
    <row r="1967" spans="5:9" x14ac:dyDescent="0.25">
      <c r="E1967" s="2"/>
      <c r="G1967" s="2"/>
      <c r="I1967" s="2"/>
    </row>
    <row r="1968" spans="5:9" x14ac:dyDescent="0.25">
      <c r="E1968" s="2"/>
      <c r="G1968" s="2"/>
      <c r="I1968" s="2"/>
    </row>
    <row r="1969" spans="5:9" x14ac:dyDescent="0.25">
      <c r="E1969" s="2"/>
      <c r="G1969" s="2"/>
      <c r="I1969" s="2"/>
    </row>
    <row r="1970" spans="5:9" x14ac:dyDescent="0.25">
      <c r="E1970" s="2"/>
      <c r="G1970" s="2"/>
      <c r="I1970" s="2"/>
    </row>
    <row r="1971" spans="5:9" x14ac:dyDescent="0.25">
      <c r="E1971" s="2"/>
      <c r="G1971" s="2"/>
      <c r="I1971" s="2"/>
    </row>
    <row r="1972" spans="5:9" x14ac:dyDescent="0.25">
      <c r="E1972" s="2"/>
      <c r="G1972" s="2"/>
      <c r="I1972" s="2"/>
    </row>
    <row r="1973" spans="5:9" x14ac:dyDescent="0.25">
      <c r="E1973" s="2"/>
      <c r="G1973" s="2"/>
      <c r="I1973" s="2"/>
    </row>
    <row r="1974" spans="5:9" x14ac:dyDescent="0.25">
      <c r="E1974" s="2"/>
      <c r="G1974" s="2"/>
      <c r="I1974" s="2"/>
    </row>
    <row r="1975" spans="5:9" x14ac:dyDescent="0.25">
      <c r="E1975" s="2"/>
      <c r="G1975" s="2"/>
      <c r="I1975" s="2"/>
    </row>
    <row r="1976" spans="5:9" x14ac:dyDescent="0.25">
      <c r="E1976" s="2"/>
      <c r="G1976" s="2"/>
      <c r="I1976" s="2"/>
    </row>
    <row r="1977" spans="5:9" x14ac:dyDescent="0.25">
      <c r="E1977" s="2"/>
      <c r="G1977" s="2"/>
      <c r="I1977" s="2"/>
    </row>
    <row r="1978" spans="5:9" x14ac:dyDescent="0.25">
      <c r="E1978" s="2"/>
      <c r="G1978" s="2"/>
      <c r="I1978" s="2"/>
    </row>
    <row r="1979" spans="5:9" x14ac:dyDescent="0.25">
      <c r="E1979" s="2"/>
      <c r="G1979" s="2"/>
      <c r="I1979" s="2"/>
    </row>
    <row r="1980" spans="5:9" x14ac:dyDescent="0.25">
      <c r="E1980" s="2"/>
      <c r="G1980" s="2"/>
      <c r="I1980" s="2"/>
    </row>
    <row r="1981" spans="5:9" x14ac:dyDescent="0.25">
      <c r="E1981" s="2"/>
      <c r="G1981" s="2"/>
      <c r="I1981" s="2"/>
    </row>
    <row r="1982" spans="5:9" x14ac:dyDescent="0.25">
      <c r="E1982" s="2"/>
      <c r="G1982" s="2"/>
      <c r="I1982" s="2"/>
    </row>
    <row r="1983" spans="5:9" x14ac:dyDescent="0.25">
      <c r="E1983" s="2"/>
      <c r="G1983" s="2"/>
      <c r="I1983" s="2"/>
    </row>
    <row r="1984" spans="5:9" x14ac:dyDescent="0.25">
      <c r="E1984" s="2"/>
      <c r="G1984" s="2"/>
      <c r="I1984" s="2"/>
    </row>
    <row r="1985" spans="5:9" x14ac:dyDescent="0.25">
      <c r="E1985" s="2"/>
      <c r="G1985" s="2"/>
      <c r="I1985" s="2"/>
    </row>
    <row r="1986" spans="5:9" x14ac:dyDescent="0.25">
      <c r="E1986" s="2"/>
      <c r="G1986" s="2"/>
      <c r="I1986" s="2"/>
    </row>
    <row r="1987" spans="5:9" x14ac:dyDescent="0.25">
      <c r="E1987" s="2"/>
      <c r="G1987" s="2"/>
      <c r="I1987" s="2"/>
    </row>
    <row r="1988" spans="5:9" x14ac:dyDescent="0.25">
      <c r="E1988" s="2"/>
      <c r="G1988" s="2"/>
      <c r="I1988" s="2"/>
    </row>
    <row r="1989" spans="5:9" x14ac:dyDescent="0.25">
      <c r="E1989" s="2"/>
      <c r="G1989" s="2"/>
      <c r="I1989" s="2"/>
    </row>
    <row r="1990" spans="5:9" x14ac:dyDescent="0.25">
      <c r="E1990" s="2"/>
      <c r="G1990" s="2"/>
      <c r="I1990" s="2"/>
    </row>
    <row r="1991" spans="5:9" x14ac:dyDescent="0.25">
      <c r="E1991" s="2"/>
      <c r="G1991" s="2"/>
      <c r="I1991" s="2"/>
    </row>
    <row r="1992" spans="5:9" x14ac:dyDescent="0.25">
      <c r="E1992" s="2"/>
      <c r="G1992" s="2"/>
      <c r="I1992" s="2"/>
    </row>
    <row r="1993" spans="5:9" x14ac:dyDescent="0.25">
      <c r="E1993" s="2"/>
      <c r="G1993" s="2"/>
      <c r="I1993" s="2"/>
    </row>
    <row r="1994" spans="5:9" x14ac:dyDescent="0.25">
      <c r="E1994" s="2"/>
      <c r="G1994" s="2"/>
      <c r="I1994" s="2"/>
    </row>
    <row r="1995" spans="5:9" x14ac:dyDescent="0.25">
      <c r="E1995" s="2"/>
      <c r="G1995" s="2"/>
      <c r="I1995" s="2"/>
    </row>
    <row r="1996" spans="5:9" x14ac:dyDescent="0.25">
      <c r="E1996" s="2"/>
      <c r="G1996" s="2"/>
      <c r="I1996" s="2"/>
    </row>
    <row r="1997" spans="5:9" x14ac:dyDescent="0.25">
      <c r="E1997" s="2"/>
      <c r="G1997" s="2"/>
      <c r="I1997" s="2"/>
    </row>
    <row r="1998" spans="5:9" x14ac:dyDescent="0.25">
      <c r="E1998" s="2"/>
      <c r="G1998" s="2"/>
      <c r="I1998" s="2"/>
    </row>
    <row r="1999" spans="5:9" x14ac:dyDescent="0.25">
      <c r="E1999" s="2"/>
      <c r="G1999" s="2"/>
      <c r="I1999" s="2"/>
    </row>
    <row r="2000" spans="5:9" x14ac:dyDescent="0.25">
      <c r="E2000" s="2"/>
      <c r="G2000" s="2"/>
      <c r="I2000" s="2"/>
    </row>
    <row r="2001" spans="5:9" x14ac:dyDescent="0.25">
      <c r="E2001" s="2"/>
      <c r="G2001" s="2"/>
      <c r="I2001" s="2"/>
    </row>
    <row r="2002" spans="5:9" x14ac:dyDescent="0.25">
      <c r="E2002" s="2"/>
      <c r="G2002" s="2"/>
      <c r="I2002" s="2"/>
    </row>
    <row r="2003" spans="5:9" x14ac:dyDescent="0.25">
      <c r="E2003" s="2"/>
      <c r="G2003" s="2"/>
      <c r="I2003" s="2"/>
    </row>
    <row r="2004" spans="5:9" x14ac:dyDescent="0.25">
      <c r="E2004" s="2"/>
      <c r="G2004" s="2"/>
      <c r="I2004" s="2"/>
    </row>
    <row r="2005" spans="5:9" x14ac:dyDescent="0.25">
      <c r="E2005" s="2"/>
      <c r="G2005" s="2"/>
      <c r="I2005" s="2"/>
    </row>
    <row r="2006" spans="5:9" x14ac:dyDescent="0.25">
      <c r="E2006" s="2"/>
      <c r="G2006" s="2"/>
      <c r="I2006" s="2"/>
    </row>
    <row r="2007" spans="5:9" x14ac:dyDescent="0.25">
      <c r="E2007" s="2"/>
      <c r="G2007" s="2"/>
      <c r="I2007" s="2"/>
    </row>
    <row r="2008" spans="5:9" x14ac:dyDescent="0.25">
      <c r="E2008" s="2"/>
      <c r="G2008" s="2"/>
      <c r="I2008" s="2"/>
    </row>
    <row r="2009" spans="5:9" x14ac:dyDescent="0.25">
      <c r="E2009" s="2"/>
      <c r="G2009" s="2"/>
      <c r="I2009" s="2"/>
    </row>
    <row r="2010" spans="5:9" x14ac:dyDescent="0.25">
      <c r="E2010" s="2"/>
      <c r="G2010" s="2"/>
      <c r="I2010" s="2"/>
    </row>
    <row r="2011" spans="5:9" x14ac:dyDescent="0.25">
      <c r="E2011" s="2"/>
      <c r="G2011" s="2"/>
      <c r="I2011" s="2"/>
    </row>
    <row r="2012" spans="5:9" x14ac:dyDescent="0.25">
      <c r="E2012" s="2"/>
      <c r="G2012" s="2"/>
      <c r="I2012" s="2"/>
    </row>
    <row r="2013" spans="5:9" x14ac:dyDescent="0.25">
      <c r="E2013" s="2"/>
      <c r="G2013" s="2"/>
      <c r="I2013" s="2"/>
    </row>
    <row r="2014" spans="5:9" x14ac:dyDescent="0.25">
      <c r="E2014" s="2"/>
      <c r="G2014" s="2"/>
      <c r="I2014" s="2"/>
    </row>
    <row r="2015" spans="5:9" x14ac:dyDescent="0.25">
      <c r="E2015" s="2"/>
      <c r="G2015" s="2"/>
      <c r="I2015" s="2"/>
    </row>
    <row r="2016" spans="5:9" x14ac:dyDescent="0.25">
      <c r="E2016" s="2"/>
      <c r="G2016" s="2"/>
      <c r="I2016" s="2"/>
    </row>
    <row r="2017" spans="5:9" x14ac:dyDescent="0.25">
      <c r="E2017" s="2"/>
      <c r="G2017" s="2"/>
      <c r="I2017" s="2"/>
    </row>
    <row r="2018" spans="5:9" x14ac:dyDescent="0.25">
      <c r="E2018" s="2"/>
      <c r="G2018" s="2"/>
      <c r="I2018" s="2"/>
    </row>
    <row r="2019" spans="5:9" x14ac:dyDescent="0.25">
      <c r="E2019" s="2"/>
      <c r="G2019" s="2"/>
      <c r="I2019" s="2"/>
    </row>
    <row r="2020" spans="5:9" x14ac:dyDescent="0.25">
      <c r="E2020" s="2"/>
      <c r="G2020" s="2"/>
      <c r="I2020" s="2"/>
    </row>
    <row r="2021" spans="5:9" x14ac:dyDescent="0.25">
      <c r="E2021" s="2"/>
      <c r="G2021" s="2"/>
      <c r="I2021" s="2"/>
    </row>
    <row r="2022" spans="5:9" x14ac:dyDescent="0.25">
      <c r="E2022" s="2"/>
      <c r="G2022" s="2"/>
      <c r="I2022" s="2"/>
    </row>
    <row r="2023" spans="5:9" x14ac:dyDescent="0.25">
      <c r="E2023" s="2"/>
      <c r="G2023" s="2"/>
      <c r="I2023" s="2"/>
    </row>
    <row r="2024" spans="5:9" x14ac:dyDescent="0.25">
      <c r="E2024" s="2"/>
      <c r="G2024" s="2"/>
      <c r="I2024" s="2"/>
    </row>
    <row r="2025" spans="5:9" x14ac:dyDescent="0.25">
      <c r="E2025" s="2"/>
      <c r="G2025" s="2"/>
      <c r="I2025" s="2"/>
    </row>
    <row r="2026" spans="5:9" x14ac:dyDescent="0.25">
      <c r="E2026" s="2"/>
      <c r="G2026" s="2"/>
      <c r="I2026" s="2"/>
    </row>
    <row r="2027" spans="5:9" x14ac:dyDescent="0.25">
      <c r="E2027" s="2"/>
      <c r="G2027" s="2"/>
      <c r="I2027" s="2"/>
    </row>
    <row r="2028" spans="5:9" x14ac:dyDescent="0.25">
      <c r="E2028" s="2"/>
      <c r="G2028" s="2"/>
      <c r="I2028" s="2"/>
    </row>
    <row r="2029" spans="5:9" x14ac:dyDescent="0.25">
      <c r="E2029" s="2"/>
      <c r="G2029" s="2"/>
      <c r="I2029" s="2"/>
    </row>
    <row r="2030" spans="5:9" x14ac:dyDescent="0.25">
      <c r="E2030" s="2"/>
      <c r="G2030" s="2"/>
      <c r="I2030" s="2"/>
    </row>
    <row r="2031" spans="5:9" x14ac:dyDescent="0.25">
      <c r="E2031" s="2"/>
      <c r="G2031" s="2"/>
      <c r="I2031" s="2"/>
    </row>
    <row r="2032" spans="5:9" x14ac:dyDescent="0.25">
      <c r="E2032" s="2"/>
      <c r="G2032" s="2"/>
      <c r="I2032" s="2"/>
    </row>
    <row r="2033" spans="5:9" x14ac:dyDescent="0.25">
      <c r="E2033" s="2"/>
      <c r="G2033" s="2"/>
      <c r="I2033" s="2"/>
    </row>
    <row r="2034" spans="5:9" x14ac:dyDescent="0.25">
      <c r="E2034" s="2"/>
      <c r="G2034" s="2"/>
      <c r="I2034" s="2"/>
    </row>
    <row r="2035" spans="5:9" x14ac:dyDescent="0.25">
      <c r="E2035" s="2"/>
      <c r="G2035" s="2"/>
      <c r="I2035" s="2"/>
    </row>
    <row r="2036" spans="5:9" x14ac:dyDescent="0.25">
      <c r="E2036" s="2"/>
      <c r="G2036" s="2"/>
      <c r="I2036" s="2"/>
    </row>
    <row r="2037" spans="5:9" x14ac:dyDescent="0.25">
      <c r="E2037" s="2"/>
      <c r="G2037" s="2"/>
      <c r="I2037" s="2"/>
    </row>
    <row r="2038" spans="5:9" x14ac:dyDescent="0.25">
      <c r="E2038" s="2"/>
      <c r="G2038" s="2"/>
      <c r="I2038" s="2"/>
    </row>
    <row r="2039" spans="5:9" x14ac:dyDescent="0.25">
      <c r="E2039" s="2"/>
      <c r="G2039" s="2"/>
      <c r="I2039" s="2"/>
    </row>
    <row r="2040" spans="5:9" x14ac:dyDescent="0.25">
      <c r="E2040" s="2"/>
      <c r="G2040" s="2"/>
      <c r="I2040" s="2"/>
    </row>
    <row r="2041" spans="5:9" x14ac:dyDescent="0.25">
      <c r="E2041" s="2"/>
      <c r="G2041" s="2"/>
      <c r="I2041" s="2"/>
    </row>
    <row r="2042" spans="5:9" x14ac:dyDescent="0.25">
      <c r="E2042" s="2"/>
      <c r="G2042" s="2"/>
      <c r="I2042" s="2"/>
    </row>
    <row r="2043" spans="5:9" x14ac:dyDescent="0.25">
      <c r="E2043" s="2"/>
      <c r="G2043" s="2"/>
      <c r="I2043" s="2"/>
    </row>
    <row r="2044" spans="5:9" x14ac:dyDescent="0.25">
      <c r="E2044" s="2"/>
      <c r="G2044" s="2"/>
      <c r="I2044" s="2"/>
    </row>
    <row r="2045" spans="5:9" x14ac:dyDescent="0.25">
      <c r="E2045" s="2"/>
      <c r="G2045" s="2"/>
      <c r="I2045" s="2"/>
    </row>
    <row r="2046" spans="5:9" x14ac:dyDescent="0.25">
      <c r="E2046" s="2"/>
      <c r="G2046" s="2"/>
      <c r="I2046" s="2"/>
    </row>
    <row r="2047" spans="5:9" x14ac:dyDescent="0.25">
      <c r="E2047" s="2"/>
      <c r="G2047" s="2"/>
      <c r="I2047" s="2"/>
    </row>
    <row r="2048" spans="5:9" x14ac:dyDescent="0.25">
      <c r="E2048" s="2"/>
      <c r="G2048" s="2"/>
      <c r="I2048" s="2"/>
    </row>
    <row r="2049" spans="5:9" x14ac:dyDescent="0.25">
      <c r="E2049" s="2"/>
      <c r="G2049" s="2"/>
      <c r="I2049" s="2"/>
    </row>
    <row r="2050" spans="5:9" x14ac:dyDescent="0.25">
      <c r="E2050" s="2"/>
      <c r="G2050" s="2"/>
      <c r="I2050" s="2"/>
    </row>
    <row r="2051" spans="5:9" x14ac:dyDescent="0.25">
      <c r="E2051" s="2"/>
      <c r="G2051" s="2"/>
      <c r="I2051" s="2"/>
    </row>
    <row r="2052" spans="5:9" x14ac:dyDescent="0.25">
      <c r="E2052" s="2"/>
      <c r="G2052" s="2"/>
      <c r="I2052" s="2"/>
    </row>
    <row r="2053" spans="5:9" x14ac:dyDescent="0.25">
      <c r="E2053" s="2"/>
      <c r="G2053" s="2"/>
      <c r="I2053" s="2"/>
    </row>
    <row r="2054" spans="5:9" x14ac:dyDescent="0.25">
      <c r="E2054" s="2"/>
      <c r="G2054" s="2"/>
      <c r="I2054" s="2"/>
    </row>
    <row r="2055" spans="5:9" x14ac:dyDescent="0.25">
      <c r="E2055" s="2"/>
      <c r="G2055" s="2"/>
      <c r="I2055" s="2"/>
    </row>
    <row r="2056" spans="5:9" x14ac:dyDescent="0.25">
      <c r="E2056" s="2"/>
      <c r="G2056" s="2"/>
      <c r="I2056" s="2"/>
    </row>
    <row r="2057" spans="5:9" x14ac:dyDescent="0.25">
      <c r="E2057" s="2"/>
      <c r="G2057" s="2"/>
      <c r="I2057" s="2"/>
    </row>
    <row r="2058" spans="5:9" x14ac:dyDescent="0.25">
      <c r="E2058" s="2"/>
      <c r="G2058" s="2"/>
      <c r="I2058" s="2"/>
    </row>
    <row r="2059" spans="5:9" x14ac:dyDescent="0.25">
      <c r="E2059" s="2"/>
      <c r="G2059" s="2"/>
      <c r="I2059" s="2"/>
    </row>
    <row r="2060" spans="5:9" x14ac:dyDescent="0.25">
      <c r="E2060" s="2"/>
      <c r="G2060" s="2"/>
      <c r="I2060" s="2"/>
    </row>
    <row r="2061" spans="5:9" x14ac:dyDescent="0.25">
      <c r="E2061" s="2"/>
      <c r="G2061" s="2"/>
      <c r="I2061" s="2"/>
    </row>
    <row r="2062" spans="5:9" x14ac:dyDescent="0.25">
      <c r="E2062" s="2"/>
      <c r="G2062" s="2"/>
      <c r="I2062" s="2"/>
    </row>
    <row r="2063" spans="5:9" x14ac:dyDescent="0.25">
      <c r="E2063" s="2"/>
      <c r="G2063" s="2"/>
      <c r="I2063" s="2"/>
    </row>
    <row r="2064" spans="5:9" x14ac:dyDescent="0.25">
      <c r="E2064" s="2"/>
      <c r="G2064" s="2"/>
      <c r="I2064" s="2"/>
    </row>
    <row r="2065" spans="5:9" x14ac:dyDescent="0.25">
      <c r="E2065" s="2"/>
      <c r="G2065" s="2"/>
      <c r="I2065" s="2"/>
    </row>
    <row r="2066" spans="5:9" x14ac:dyDescent="0.25">
      <c r="E2066" s="2"/>
      <c r="G2066" s="2"/>
      <c r="I2066" s="2"/>
    </row>
    <row r="2067" spans="5:9" x14ac:dyDescent="0.25">
      <c r="E2067" s="2"/>
      <c r="G2067" s="2"/>
      <c r="I2067" s="2"/>
    </row>
    <row r="2068" spans="5:9" x14ac:dyDescent="0.25">
      <c r="E2068" s="2"/>
      <c r="G2068" s="2"/>
      <c r="I2068" s="2"/>
    </row>
    <row r="2069" spans="5:9" x14ac:dyDescent="0.25">
      <c r="E2069" s="2"/>
      <c r="G2069" s="2"/>
      <c r="I2069" s="2"/>
    </row>
    <row r="2070" spans="5:9" x14ac:dyDescent="0.25">
      <c r="E2070" s="2"/>
      <c r="G2070" s="2"/>
      <c r="I2070" s="2"/>
    </row>
    <row r="2071" spans="5:9" x14ac:dyDescent="0.25">
      <c r="E2071" s="2"/>
      <c r="G2071" s="2"/>
      <c r="I2071" s="2"/>
    </row>
    <row r="2072" spans="5:9" x14ac:dyDescent="0.25">
      <c r="E2072" s="2"/>
      <c r="G2072" s="2"/>
      <c r="I2072" s="2"/>
    </row>
    <row r="2073" spans="5:9" x14ac:dyDescent="0.25">
      <c r="E2073" s="2"/>
      <c r="G2073" s="2"/>
      <c r="I2073" s="2"/>
    </row>
    <row r="2074" spans="5:9" x14ac:dyDescent="0.25">
      <c r="E2074" s="2"/>
      <c r="G2074" s="2"/>
      <c r="I2074" s="2"/>
    </row>
    <row r="2075" spans="5:9" x14ac:dyDescent="0.25">
      <c r="E2075" s="2"/>
      <c r="G2075" s="2"/>
      <c r="I2075" s="2"/>
    </row>
    <row r="2076" spans="5:9" x14ac:dyDescent="0.25">
      <c r="E2076" s="2"/>
      <c r="G2076" s="2"/>
      <c r="I2076" s="2"/>
    </row>
    <row r="2077" spans="5:9" x14ac:dyDescent="0.25">
      <c r="E2077" s="2"/>
      <c r="G2077" s="2"/>
      <c r="I2077" s="2"/>
    </row>
    <row r="2078" spans="5:9" x14ac:dyDescent="0.25">
      <c r="E2078" s="2"/>
      <c r="G2078" s="2"/>
      <c r="I2078" s="2"/>
    </row>
    <row r="2079" spans="5:9" x14ac:dyDescent="0.25">
      <c r="E2079" s="2"/>
      <c r="G2079" s="2"/>
      <c r="I2079" s="2"/>
    </row>
    <row r="2080" spans="5:9" x14ac:dyDescent="0.25">
      <c r="E2080" s="2"/>
      <c r="G2080" s="2"/>
      <c r="I2080" s="2"/>
    </row>
    <row r="2081" spans="5:9" x14ac:dyDescent="0.25">
      <c r="E2081" s="2"/>
      <c r="G2081" s="2"/>
      <c r="I2081" s="2"/>
    </row>
    <row r="2082" spans="5:9" x14ac:dyDescent="0.25">
      <c r="E2082" s="2"/>
      <c r="G2082" s="2"/>
      <c r="I2082" s="2"/>
    </row>
    <row r="2083" spans="5:9" x14ac:dyDescent="0.25">
      <c r="E2083" s="2"/>
      <c r="G2083" s="2"/>
      <c r="I2083" s="2"/>
    </row>
    <row r="2084" spans="5:9" x14ac:dyDescent="0.25">
      <c r="E2084" s="2"/>
      <c r="G2084" s="2"/>
      <c r="I2084" s="2"/>
    </row>
    <row r="2085" spans="5:9" x14ac:dyDescent="0.25">
      <c r="E2085" s="2"/>
      <c r="G2085" s="2"/>
      <c r="I2085" s="2"/>
    </row>
    <row r="2086" spans="5:9" x14ac:dyDescent="0.25">
      <c r="E2086" s="2"/>
      <c r="G2086" s="2"/>
      <c r="I2086" s="2"/>
    </row>
    <row r="2087" spans="5:9" x14ac:dyDescent="0.25">
      <c r="E2087" s="2"/>
      <c r="G2087" s="2"/>
      <c r="I2087" s="2"/>
    </row>
    <row r="2088" spans="5:9" x14ac:dyDescent="0.25">
      <c r="E2088" s="2"/>
      <c r="G2088" s="2"/>
      <c r="I2088" s="2"/>
    </row>
    <row r="2089" spans="5:9" x14ac:dyDescent="0.25">
      <c r="E2089" s="2"/>
      <c r="G2089" s="2"/>
      <c r="I2089" s="2"/>
    </row>
    <row r="2090" spans="5:9" x14ac:dyDescent="0.25">
      <c r="E2090" s="2"/>
      <c r="G2090" s="2"/>
      <c r="I2090" s="2"/>
    </row>
    <row r="2091" spans="5:9" x14ac:dyDescent="0.25">
      <c r="E2091" s="2"/>
      <c r="G2091" s="2"/>
      <c r="I2091" s="2"/>
    </row>
    <row r="2092" spans="5:9" x14ac:dyDescent="0.25">
      <c r="E2092" s="2"/>
      <c r="G2092" s="2"/>
      <c r="I2092" s="2"/>
    </row>
    <row r="2093" spans="5:9" x14ac:dyDescent="0.25">
      <c r="E2093" s="2"/>
      <c r="G2093" s="2"/>
      <c r="I2093" s="2"/>
    </row>
    <row r="2094" spans="5:9" x14ac:dyDescent="0.25">
      <c r="E2094" s="2"/>
      <c r="G2094" s="2"/>
      <c r="I2094" s="2"/>
    </row>
    <row r="2095" spans="5:9" x14ac:dyDescent="0.25">
      <c r="E2095" s="2"/>
      <c r="G2095" s="2"/>
      <c r="I2095" s="2"/>
    </row>
    <row r="2096" spans="5:9" x14ac:dyDescent="0.25">
      <c r="E2096" s="2"/>
      <c r="G2096" s="2"/>
      <c r="I2096" s="2"/>
    </row>
    <row r="2097" spans="5:9" x14ac:dyDescent="0.25">
      <c r="E2097" s="2"/>
      <c r="G2097" s="2"/>
      <c r="I2097" s="2"/>
    </row>
    <row r="2098" spans="5:9" x14ac:dyDescent="0.25">
      <c r="E2098" s="2"/>
      <c r="G2098" s="2"/>
      <c r="I2098" s="2"/>
    </row>
    <row r="2099" spans="5:9" x14ac:dyDescent="0.25">
      <c r="E2099" s="2"/>
      <c r="G2099" s="2"/>
      <c r="I2099" s="2"/>
    </row>
    <row r="2100" spans="5:9" x14ac:dyDescent="0.25">
      <c r="E2100" s="2"/>
      <c r="G2100" s="2"/>
      <c r="I2100" s="2"/>
    </row>
    <row r="2101" spans="5:9" x14ac:dyDescent="0.25">
      <c r="E2101" s="2"/>
      <c r="G2101" s="2"/>
      <c r="I2101" s="2"/>
    </row>
    <row r="2102" spans="5:9" x14ac:dyDescent="0.25">
      <c r="E2102" s="2"/>
      <c r="G2102" s="2"/>
      <c r="I2102" s="2"/>
    </row>
    <row r="2103" spans="5:9" x14ac:dyDescent="0.25">
      <c r="E2103" s="2"/>
      <c r="G2103" s="2"/>
      <c r="I2103" s="2"/>
    </row>
    <row r="2104" spans="5:9" x14ac:dyDescent="0.25">
      <c r="E2104" s="2"/>
      <c r="G2104" s="2"/>
      <c r="I2104" s="2"/>
    </row>
    <row r="2105" spans="5:9" x14ac:dyDescent="0.25">
      <c r="E2105" s="2"/>
      <c r="G2105" s="2"/>
      <c r="I2105" s="2"/>
    </row>
    <row r="2106" spans="5:9" x14ac:dyDescent="0.25">
      <c r="E2106" s="2"/>
      <c r="G2106" s="2"/>
      <c r="I2106" s="2"/>
    </row>
    <row r="2107" spans="5:9" x14ac:dyDescent="0.25">
      <c r="E2107" s="2"/>
      <c r="G2107" s="2"/>
      <c r="I2107" s="2"/>
    </row>
    <row r="2108" spans="5:9" x14ac:dyDescent="0.25">
      <c r="E2108" s="2"/>
      <c r="G2108" s="2"/>
      <c r="I2108" s="2"/>
    </row>
    <row r="2109" spans="5:9" x14ac:dyDescent="0.25">
      <c r="E2109" s="2"/>
      <c r="G2109" s="2"/>
      <c r="I2109" s="2"/>
    </row>
    <row r="2110" spans="5:9" x14ac:dyDescent="0.25">
      <c r="E2110" s="2"/>
      <c r="G2110" s="2"/>
      <c r="I2110" s="2"/>
    </row>
    <row r="2111" spans="5:9" x14ac:dyDescent="0.25">
      <c r="E2111" s="2"/>
      <c r="G2111" s="2"/>
      <c r="I2111" s="2"/>
    </row>
    <row r="2112" spans="5:9" x14ac:dyDescent="0.25">
      <c r="E2112" s="2"/>
      <c r="G2112" s="2"/>
      <c r="I2112" s="2"/>
    </row>
    <row r="2113" spans="5:9" x14ac:dyDescent="0.25">
      <c r="E2113" s="2"/>
      <c r="G2113" s="2"/>
      <c r="I2113" s="2"/>
    </row>
    <row r="2114" spans="5:9" x14ac:dyDescent="0.25">
      <c r="E2114" s="2"/>
      <c r="G2114" s="2"/>
      <c r="I2114" s="2"/>
    </row>
    <row r="2115" spans="5:9" x14ac:dyDescent="0.25">
      <c r="E2115" s="2"/>
      <c r="G2115" s="2"/>
      <c r="I2115" s="2"/>
    </row>
    <row r="2116" spans="5:9" x14ac:dyDescent="0.25">
      <c r="E2116" s="2"/>
      <c r="G2116" s="2"/>
      <c r="I2116" s="2"/>
    </row>
    <row r="2117" spans="5:9" x14ac:dyDescent="0.25">
      <c r="E2117" s="2"/>
      <c r="G2117" s="2"/>
      <c r="I2117" s="2"/>
    </row>
    <row r="2118" spans="5:9" x14ac:dyDescent="0.25">
      <c r="E2118" s="2"/>
      <c r="G2118" s="2"/>
      <c r="I2118" s="2"/>
    </row>
    <row r="2119" spans="5:9" x14ac:dyDescent="0.25">
      <c r="E2119" s="2"/>
      <c r="G2119" s="2"/>
      <c r="I2119" s="2"/>
    </row>
    <row r="2120" spans="5:9" x14ac:dyDescent="0.25">
      <c r="E2120" s="2"/>
      <c r="G2120" s="2"/>
      <c r="I2120" s="2"/>
    </row>
    <row r="2121" spans="5:9" x14ac:dyDescent="0.25">
      <c r="E2121" s="2"/>
      <c r="G2121" s="2"/>
      <c r="I2121" s="2"/>
    </row>
    <row r="2122" spans="5:9" x14ac:dyDescent="0.25">
      <c r="E2122" s="2"/>
      <c r="G2122" s="2"/>
      <c r="I2122" s="2"/>
    </row>
    <row r="2123" spans="5:9" x14ac:dyDescent="0.25">
      <c r="E2123" s="2"/>
      <c r="G2123" s="2"/>
      <c r="I2123" s="2"/>
    </row>
    <row r="2124" spans="5:9" x14ac:dyDescent="0.25">
      <c r="E2124" s="2"/>
      <c r="G2124" s="2"/>
      <c r="I2124" s="2"/>
    </row>
    <row r="2125" spans="5:9" x14ac:dyDescent="0.25">
      <c r="E2125" s="2"/>
      <c r="G2125" s="2"/>
      <c r="I2125" s="2"/>
    </row>
    <row r="2126" spans="5:9" x14ac:dyDescent="0.25">
      <c r="E2126" s="2"/>
      <c r="G2126" s="2"/>
      <c r="I2126" s="2"/>
    </row>
    <row r="2127" spans="5:9" x14ac:dyDescent="0.25">
      <c r="E2127" s="2"/>
      <c r="G2127" s="2"/>
      <c r="I2127" s="2"/>
    </row>
    <row r="2128" spans="5:9" x14ac:dyDescent="0.25">
      <c r="E2128" s="2"/>
      <c r="G2128" s="2"/>
      <c r="I2128" s="2"/>
    </row>
    <row r="2129" spans="5:9" x14ac:dyDescent="0.25">
      <c r="E2129" s="2"/>
      <c r="G2129" s="2"/>
      <c r="I2129" s="2"/>
    </row>
    <row r="2130" spans="5:9" x14ac:dyDescent="0.25">
      <c r="E2130" s="2"/>
      <c r="G2130" s="2"/>
      <c r="I2130" s="2"/>
    </row>
    <row r="2131" spans="5:9" x14ac:dyDescent="0.25">
      <c r="E2131" s="2"/>
      <c r="G2131" s="2"/>
      <c r="I2131" s="2"/>
    </row>
    <row r="2132" spans="5:9" x14ac:dyDescent="0.25">
      <c r="E2132" s="2"/>
      <c r="G2132" s="2"/>
      <c r="I2132" s="2"/>
    </row>
    <row r="2133" spans="5:9" x14ac:dyDescent="0.25">
      <c r="E2133" s="2"/>
      <c r="G2133" s="2"/>
      <c r="I2133" s="2"/>
    </row>
    <row r="2134" spans="5:9" x14ac:dyDescent="0.25">
      <c r="E2134" s="2"/>
      <c r="G2134" s="2"/>
      <c r="I2134" s="2"/>
    </row>
    <row r="2135" spans="5:9" x14ac:dyDescent="0.25">
      <c r="E2135" s="2"/>
      <c r="G2135" s="2"/>
      <c r="I2135" s="2"/>
    </row>
    <row r="2136" spans="5:9" x14ac:dyDescent="0.25">
      <c r="E2136" s="2"/>
      <c r="G2136" s="2"/>
      <c r="I2136" s="2"/>
    </row>
    <row r="2137" spans="5:9" x14ac:dyDescent="0.25">
      <c r="E2137" s="2"/>
      <c r="G2137" s="2"/>
      <c r="I2137" s="2"/>
    </row>
    <row r="2138" spans="5:9" x14ac:dyDescent="0.25">
      <c r="E2138" s="2"/>
      <c r="G2138" s="2"/>
      <c r="I2138" s="2"/>
    </row>
    <row r="2139" spans="5:9" x14ac:dyDescent="0.25">
      <c r="E2139" s="2"/>
      <c r="G2139" s="2"/>
      <c r="I2139" s="2"/>
    </row>
    <row r="2140" spans="5:9" x14ac:dyDescent="0.25">
      <c r="E2140" s="2"/>
      <c r="G2140" s="2"/>
      <c r="I2140" s="2"/>
    </row>
    <row r="2141" spans="5:9" x14ac:dyDescent="0.25">
      <c r="E2141" s="2"/>
      <c r="G2141" s="2"/>
      <c r="I2141" s="2"/>
    </row>
    <row r="2142" spans="5:9" x14ac:dyDescent="0.25">
      <c r="E2142" s="2"/>
      <c r="G2142" s="2"/>
      <c r="I2142" s="2"/>
    </row>
    <row r="2143" spans="5:9" x14ac:dyDescent="0.25">
      <c r="E2143" s="2"/>
      <c r="G2143" s="2"/>
      <c r="I2143" s="2"/>
    </row>
    <row r="2144" spans="5:9" x14ac:dyDescent="0.25">
      <c r="E2144" s="2"/>
      <c r="G2144" s="2"/>
      <c r="I2144" s="2"/>
    </row>
    <row r="2145" spans="5:9" x14ac:dyDescent="0.25">
      <c r="E2145" s="2"/>
      <c r="G2145" s="2"/>
      <c r="I2145" s="2"/>
    </row>
    <row r="2146" spans="5:9" x14ac:dyDescent="0.25">
      <c r="E2146" s="2"/>
      <c r="G2146" s="2"/>
      <c r="I2146" s="2"/>
    </row>
    <row r="2147" spans="5:9" x14ac:dyDescent="0.25">
      <c r="E2147" s="2"/>
      <c r="G2147" s="2"/>
      <c r="I2147" s="2"/>
    </row>
    <row r="2148" spans="5:9" x14ac:dyDescent="0.25">
      <c r="E2148" s="2"/>
      <c r="G2148" s="2"/>
      <c r="I2148" s="2"/>
    </row>
    <row r="2149" spans="5:9" x14ac:dyDescent="0.25">
      <c r="E2149" s="2"/>
      <c r="G2149" s="2"/>
      <c r="I2149" s="2"/>
    </row>
    <row r="2150" spans="5:9" x14ac:dyDescent="0.25">
      <c r="E2150" s="2"/>
      <c r="G2150" s="2"/>
      <c r="I2150" s="2"/>
    </row>
    <row r="2151" spans="5:9" x14ac:dyDescent="0.25">
      <c r="E2151" s="2"/>
      <c r="G2151" s="2"/>
      <c r="I2151" s="2"/>
    </row>
    <row r="2152" spans="5:9" x14ac:dyDescent="0.25">
      <c r="E2152" s="2"/>
      <c r="G2152" s="2"/>
      <c r="I2152" s="2"/>
    </row>
    <row r="2153" spans="5:9" x14ac:dyDescent="0.25">
      <c r="E2153" s="2"/>
      <c r="G2153" s="2"/>
      <c r="I2153" s="2"/>
    </row>
    <row r="2154" spans="5:9" x14ac:dyDescent="0.25">
      <c r="E2154" s="2"/>
      <c r="G2154" s="2"/>
      <c r="I2154" s="2"/>
    </row>
    <row r="2155" spans="5:9" x14ac:dyDescent="0.25">
      <c r="E2155" s="2"/>
      <c r="G2155" s="2"/>
      <c r="I2155" s="2"/>
    </row>
    <row r="2156" spans="5:9" x14ac:dyDescent="0.25">
      <c r="E2156" s="2"/>
      <c r="G2156" s="2"/>
      <c r="I2156" s="2"/>
    </row>
    <row r="2157" spans="5:9" x14ac:dyDescent="0.25">
      <c r="E2157" s="2"/>
      <c r="G2157" s="2"/>
      <c r="I2157" s="2"/>
    </row>
    <row r="2158" spans="5:9" x14ac:dyDescent="0.25">
      <c r="E2158" s="2"/>
      <c r="G2158" s="2"/>
      <c r="I2158" s="2"/>
    </row>
    <row r="2159" spans="5:9" x14ac:dyDescent="0.25">
      <c r="E2159" s="2"/>
      <c r="G2159" s="2"/>
      <c r="I2159" s="2"/>
    </row>
    <row r="2160" spans="5:9" x14ac:dyDescent="0.25">
      <c r="E2160" s="2"/>
      <c r="G2160" s="2"/>
      <c r="I2160" s="2"/>
    </row>
    <row r="2161" spans="5:9" x14ac:dyDescent="0.25">
      <c r="E2161" s="2"/>
      <c r="G2161" s="2"/>
      <c r="I2161" s="2"/>
    </row>
    <row r="2162" spans="5:9" x14ac:dyDescent="0.25">
      <c r="E2162" s="2"/>
      <c r="G2162" s="2"/>
      <c r="I2162" s="2"/>
    </row>
    <row r="2163" spans="5:9" x14ac:dyDescent="0.25">
      <c r="E2163" s="2"/>
      <c r="G2163" s="2"/>
      <c r="I2163" s="2"/>
    </row>
    <row r="2164" spans="5:9" x14ac:dyDescent="0.25">
      <c r="E2164" s="2"/>
      <c r="G2164" s="2"/>
      <c r="I2164" s="2"/>
    </row>
    <row r="2165" spans="5:9" x14ac:dyDescent="0.25">
      <c r="E2165" s="2"/>
      <c r="G2165" s="2"/>
      <c r="I2165" s="2"/>
    </row>
    <row r="2166" spans="5:9" x14ac:dyDescent="0.25">
      <c r="E2166" s="2"/>
      <c r="G2166" s="2"/>
      <c r="I2166" s="2"/>
    </row>
    <row r="2167" spans="5:9" x14ac:dyDescent="0.25">
      <c r="E2167" s="2"/>
      <c r="G2167" s="2"/>
      <c r="I2167" s="2"/>
    </row>
    <row r="2168" spans="5:9" x14ac:dyDescent="0.25">
      <c r="E2168" s="2"/>
      <c r="G2168" s="2"/>
      <c r="I2168" s="2"/>
    </row>
    <row r="2169" spans="5:9" x14ac:dyDescent="0.25">
      <c r="E2169" s="2"/>
      <c r="G2169" s="2"/>
      <c r="I2169" s="2"/>
    </row>
    <row r="2170" spans="5:9" x14ac:dyDescent="0.25">
      <c r="E2170" s="2"/>
      <c r="G2170" s="2"/>
      <c r="I2170" s="2"/>
    </row>
    <row r="2171" spans="5:9" x14ac:dyDescent="0.25">
      <c r="E2171" s="2"/>
      <c r="G2171" s="2"/>
      <c r="I2171" s="2"/>
    </row>
    <row r="2172" spans="5:9" x14ac:dyDescent="0.25">
      <c r="E2172" s="2"/>
      <c r="G2172" s="2"/>
      <c r="I2172" s="2"/>
    </row>
    <row r="2173" spans="5:9" x14ac:dyDescent="0.25">
      <c r="E2173" s="2"/>
      <c r="G2173" s="2"/>
      <c r="I2173" s="2"/>
    </row>
    <row r="2174" spans="5:9" x14ac:dyDescent="0.25">
      <c r="E2174" s="2"/>
      <c r="G2174" s="2"/>
      <c r="I2174" s="2"/>
    </row>
    <row r="2175" spans="5:9" x14ac:dyDescent="0.25">
      <c r="E2175" s="2"/>
      <c r="G2175" s="2"/>
      <c r="I2175" s="2"/>
    </row>
    <row r="2176" spans="5:9" x14ac:dyDescent="0.25">
      <c r="E2176" s="2"/>
      <c r="G2176" s="2"/>
      <c r="I2176" s="2"/>
    </row>
    <row r="2177" spans="5:9" x14ac:dyDescent="0.25">
      <c r="E2177" s="2"/>
      <c r="G2177" s="2"/>
      <c r="I2177" s="2"/>
    </row>
    <row r="2178" spans="5:9" x14ac:dyDescent="0.25">
      <c r="E2178" s="2"/>
      <c r="G2178" s="2"/>
      <c r="I2178" s="2"/>
    </row>
    <row r="2179" spans="5:9" x14ac:dyDescent="0.25">
      <c r="E2179" s="2"/>
      <c r="G2179" s="2"/>
      <c r="I2179" s="2"/>
    </row>
    <row r="2180" spans="5:9" x14ac:dyDescent="0.25">
      <c r="E2180" s="2"/>
      <c r="G2180" s="2"/>
      <c r="I2180" s="2"/>
    </row>
    <row r="2181" spans="5:9" x14ac:dyDescent="0.25">
      <c r="E2181" s="2"/>
      <c r="G2181" s="2"/>
      <c r="I2181" s="2"/>
    </row>
    <row r="2182" spans="5:9" x14ac:dyDescent="0.25">
      <c r="E2182" s="2"/>
      <c r="G2182" s="2"/>
      <c r="I2182" s="2"/>
    </row>
    <row r="2183" spans="5:9" x14ac:dyDescent="0.25">
      <c r="E2183" s="2"/>
      <c r="G2183" s="2"/>
      <c r="I2183" s="2"/>
    </row>
    <row r="2184" spans="5:9" x14ac:dyDescent="0.25">
      <c r="E2184" s="2"/>
      <c r="G2184" s="2"/>
      <c r="I2184" s="2"/>
    </row>
    <row r="2185" spans="5:9" x14ac:dyDescent="0.25">
      <c r="E2185" s="2"/>
      <c r="G2185" s="2"/>
      <c r="I2185" s="2"/>
    </row>
    <row r="2186" spans="5:9" x14ac:dyDescent="0.25">
      <c r="E2186" s="2"/>
      <c r="G2186" s="2"/>
      <c r="I2186" s="2"/>
    </row>
    <row r="2187" spans="5:9" x14ac:dyDescent="0.25">
      <c r="E2187" s="2"/>
      <c r="G2187" s="2"/>
      <c r="I2187" s="2"/>
    </row>
    <row r="2188" spans="5:9" x14ac:dyDescent="0.25">
      <c r="E2188" s="2"/>
      <c r="G2188" s="2"/>
      <c r="I2188" s="2"/>
    </row>
    <row r="2189" spans="5:9" x14ac:dyDescent="0.25">
      <c r="E2189" s="2"/>
      <c r="G2189" s="2"/>
      <c r="I2189" s="2"/>
    </row>
    <row r="2190" spans="5:9" x14ac:dyDescent="0.25">
      <c r="E2190" s="2"/>
      <c r="G2190" s="2"/>
      <c r="I2190" s="2"/>
    </row>
    <row r="2191" spans="5:9" x14ac:dyDescent="0.25">
      <c r="E2191" s="2"/>
      <c r="G2191" s="2"/>
      <c r="I2191" s="2"/>
    </row>
    <row r="2192" spans="5:9" x14ac:dyDescent="0.25">
      <c r="E2192" s="2"/>
      <c r="G2192" s="2"/>
      <c r="I2192" s="2"/>
    </row>
    <row r="2193" spans="5:9" x14ac:dyDescent="0.25">
      <c r="E2193" s="2"/>
      <c r="G2193" s="2"/>
      <c r="I2193" s="2"/>
    </row>
    <row r="2194" spans="5:9" x14ac:dyDescent="0.25">
      <c r="E2194" s="2"/>
      <c r="G2194" s="2"/>
      <c r="I2194" s="2"/>
    </row>
    <row r="2195" spans="5:9" x14ac:dyDescent="0.25">
      <c r="E2195" s="2"/>
      <c r="G2195" s="2"/>
      <c r="I2195" s="2"/>
    </row>
    <row r="2196" spans="5:9" x14ac:dyDescent="0.25">
      <c r="E2196" s="2"/>
      <c r="G2196" s="2"/>
      <c r="I2196" s="2"/>
    </row>
    <row r="2197" spans="5:9" x14ac:dyDescent="0.25">
      <c r="E2197" s="2"/>
      <c r="G2197" s="2"/>
      <c r="I2197" s="2"/>
    </row>
    <row r="2198" spans="5:9" x14ac:dyDescent="0.25">
      <c r="E2198" s="2"/>
      <c r="G2198" s="2"/>
      <c r="I2198" s="2"/>
    </row>
    <row r="2199" spans="5:9" x14ac:dyDescent="0.25">
      <c r="E2199" s="2"/>
      <c r="G2199" s="2"/>
      <c r="I2199" s="2"/>
    </row>
    <row r="2200" spans="5:9" x14ac:dyDescent="0.25">
      <c r="E2200" s="2"/>
      <c r="G2200" s="2"/>
      <c r="I2200" s="2"/>
    </row>
    <row r="2201" spans="5:9" x14ac:dyDescent="0.25">
      <c r="E2201" s="2"/>
      <c r="G2201" s="2"/>
      <c r="I2201" s="2"/>
    </row>
    <row r="2202" spans="5:9" x14ac:dyDescent="0.25">
      <c r="E2202" s="2"/>
      <c r="G2202" s="2"/>
      <c r="I2202" s="2"/>
    </row>
    <row r="2203" spans="5:9" x14ac:dyDescent="0.25">
      <c r="E2203" s="2"/>
      <c r="G2203" s="2"/>
      <c r="I2203" s="2"/>
    </row>
    <row r="2204" spans="5:9" x14ac:dyDescent="0.25">
      <c r="E2204" s="2"/>
      <c r="G2204" s="2"/>
      <c r="I2204" s="2"/>
    </row>
    <row r="2205" spans="5:9" x14ac:dyDescent="0.25">
      <c r="E2205" s="2"/>
      <c r="G2205" s="2"/>
      <c r="I2205" s="2"/>
    </row>
    <row r="2206" spans="5:9" x14ac:dyDescent="0.25">
      <c r="E2206" s="2"/>
      <c r="G2206" s="2"/>
      <c r="I2206" s="2"/>
    </row>
    <row r="2207" spans="5:9" x14ac:dyDescent="0.25">
      <c r="E2207" s="2"/>
      <c r="G2207" s="2"/>
      <c r="I2207" s="2"/>
    </row>
    <row r="2208" spans="5:9" x14ac:dyDescent="0.25">
      <c r="E2208" s="2"/>
      <c r="G2208" s="2"/>
      <c r="I2208" s="2"/>
    </row>
    <row r="2209" spans="5:9" x14ac:dyDescent="0.25">
      <c r="E2209" s="2"/>
      <c r="G2209" s="2"/>
      <c r="I2209" s="2"/>
    </row>
    <row r="2210" spans="5:9" x14ac:dyDescent="0.25">
      <c r="E2210" s="2"/>
      <c r="G2210" s="2"/>
      <c r="I2210" s="2"/>
    </row>
    <row r="2211" spans="5:9" x14ac:dyDescent="0.25">
      <c r="E2211" s="2"/>
      <c r="G2211" s="2"/>
      <c r="I2211" s="2"/>
    </row>
    <row r="2212" spans="5:9" x14ac:dyDescent="0.25">
      <c r="E2212" s="2"/>
      <c r="G2212" s="2"/>
      <c r="I2212" s="2"/>
    </row>
    <row r="2213" spans="5:9" x14ac:dyDescent="0.25">
      <c r="E2213" s="2"/>
      <c r="G2213" s="2"/>
      <c r="I2213" s="2"/>
    </row>
    <row r="2214" spans="5:9" x14ac:dyDescent="0.25">
      <c r="E2214" s="2"/>
      <c r="G2214" s="2"/>
      <c r="I2214" s="2"/>
    </row>
    <row r="2215" spans="5:9" x14ac:dyDescent="0.25">
      <c r="E2215" s="2"/>
      <c r="G2215" s="2"/>
      <c r="I2215" s="2"/>
    </row>
    <row r="2216" spans="5:9" x14ac:dyDescent="0.25">
      <c r="E2216" s="2"/>
      <c r="G2216" s="2"/>
      <c r="I2216" s="2"/>
    </row>
    <row r="2217" spans="5:9" x14ac:dyDescent="0.25">
      <c r="E2217" s="2"/>
      <c r="G2217" s="2"/>
      <c r="I2217" s="2"/>
    </row>
    <row r="2218" spans="5:9" x14ac:dyDescent="0.25">
      <c r="E2218" s="2"/>
      <c r="G2218" s="2"/>
      <c r="I2218" s="2"/>
    </row>
    <row r="2219" spans="5:9" x14ac:dyDescent="0.25">
      <c r="E2219" s="2"/>
      <c r="G2219" s="2"/>
      <c r="I2219" s="2"/>
    </row>
    <row r="2220" spans="5:9" x14ac:dyDescent="0.25">
      <c r="E2220" s="2"/>
      <c r="G2220" s="2"/>
      <c r="I2220" s="2"/>
    </row>
    <row r="2221" spans="5:9" x14ac:dyDescent="0.25">
      <c r="E2221" s="2"/>
      <c r="G2221" s="2"/>
      <c r="I2221" s="2"/>
    </row>
    <row r="2222" spans="5:9" x14ac:dyDescent="0.25">
      <c r="E2222" s="2"/>
      <c r="G2222" s="2"/>
      <c r="I2222" s="2"/>
    </row>
    <row r="2223" spans="5:9" x14ac:dyDescent="0.25">
      <c r="E2223" s="2"/>
      <c r="G2223" s="2"/>
      <c r="I2223" s="2"/>
    </row>
    <row r="2224" spans="5:9" x14ac:dyDescent="0.25">
      <c r="E2224" s="2"/>
      <c r="G2224" s="2"/>
      <c r="I2224" s="2"/>
    </row>
    <row r="2225" spans="5:9" x14ac:dyDescent="0.25">
      <c r="E2225" s="2"/>
      <c r="G2225" s="2"/>
      <c r="I2225" s="2"/>
    </row>
    <row r="2226" spans="5:9" x14ac:dyDescent="0.25">
      <c r="E2226" s="2"/>
      <c r="G2226" s="2"/>
      <c r="I2226" s="2"/>
    </row>
    <row r="2227" spans="5:9" x14ac:dyDescent="0.25">
      <c r="E2227" s="2"/>
      <c r="G2227" s="2"/>
      <c r="I2227" s="2"/>
    </row>
    <row r="2228" spans="5:9" x14ac:dyDescent="0.25">
      <c r="E2228" s="2"/>
      <c r="G2228" s="2"/>
      <c r="I2228" s="2"/>
    </row>
    <row r="2229" spans="5:9" x14ac:dyDescent="0.25">
      <c r="E2229" s="2"/>
      <c r="G2229" s="2"/>
      <c r="I2229" s="2"/>
    </row>
    <row r="2230" spans="5:9" x14ac:dyDescent="0.25">
      <c r="E2230" s="2"/>
      <c r="G2230" s="2"/>
      <c r="I2230" s="2"/>
    </row>
    <row r="2231" spans="5:9" x14ac:dyDescent="0.25">
      <c r="E2231" s="2"/>
      <c r="G2231" s="2"/>
      <c r="I2231" s="2"/>
    </row>
    <row r="2232" spans="5:9" x14ac:dyDescent="0.25">
      <c r="E2232" s="2"/>
      <c r="G2232" s="2"/>
      <c r="I2232" s="2"/>
    </row>
    <row r="2233" spans="5:9" x14ac:dyDescent="0.25">
      <c r="E2233" s="2"/>
      <c r="G2233" s="2"/>
      <c r="I2233" s="2"/>
    </row>
    <row r="2234" spans="5:9" x14ac:dyDescent="0.25">
      <c r="E2234" s="2"/>
      <c r="G2234" s="2"/>
      <c r="I2234" s="2"/>
    </row>
    <row r="2235" spans="5:9" x14ac:dyDescent="0.25">
      <c r="E2235" s="2"/>
      <c r="G2235" s="2"/>
      <c r="I2235" s="2"/>
    </row>
    <row r="2236" spans="5:9" x14ac:dyDescent="0.25">
      <c r="E2236" s="2"/>
      <c r="G2236" s="2"/>
      <c r="I2236" s="2"/>
    </row>
    <row r="2237" spans="5:9" x14ac:dyDescent="0.25">
      <c r="E2237" s="2"/>
      <c r="G2237" s="2"/>
      <c r="I2237" s="2"/>
    </row>
    <row r="2238" spans="5:9" x14ac:dyDescent="0.25">
      <c r="E2238" s="2"/>
      <c r="G2238" s="2"/>
      <c r="I2238" s="2"/>
    </row>
    <row r="2239" spans="5:9" x14ac:dyDescent="0.25">
      <c r="E2239" s="2"/>
      <c r="G2239" s="2"/>
      <c r="I2239" s="2"/>
    </row>
    <row r="2240" spans="5:9" x14ac:dyDescent="0.25">
      <c r="E2240" s="2"/>
      <c r="G2240" s="2"/>
      <c r="I2240" s="2"/>
    </row>
    <row r="2241" spans="5:9" x14ac:dyDescent="0.25">
      <c r="E2241" s="2"/>
      <c r="G2241" s="2"/>
      <c r="I2241" s="2"/>
    </row>
    <row r="2242" spans="5:9" x14ac:dyDescent="0.25">
      <c r="E2242" s="2"/>
      <c r="G2242" s="2"/>
      <c r="I2242" s="2"/>
    </row>
    <row r="2243" spans="5:9" x14ac:dyDescent="0.25">
      <c r="E2243" s="2"/>
      <c r="G2243" s="2"/>
      <c r="I2243" s="2"/>
    </row>
    <row r="2244" spans="5:9" x14ac:dyDescent="0.25">
      <c r="E2244" s="2"/>
      <c r="G2244" s="2"/>
      <c r="I2244" s="2"/>
    </row>
    <row r="2245" spans="5:9" x14ac:dyDescent="0.25">
      <c r="E2245" s="2"/>
      <c r="G2245" s="2"/>
      <c r="I2245" s="2"/>
    </row>
    <row r="2246" spans="5:9" x14ac:dyDescent="0.25">
      <c r="E2246" s="2"/>
      <c r="G2246" s="2"/>
      <c r="I2246" s="2"/>
    </row>
    <row r="2247" spans="5:9" x14ac:dyDescent="0.25">
      <c r="E2247" s="2"/>
      <c r="G2247" s="2"/>
      <c r="I2247" s="2"/>
    </row>
    <row r="2248" spans="5:9" x14ac:dyDescent="0.25">
      <c r="E2248" s="2"/>
      <c r="G2248" s="2"/>
      <c r="I2248" s="2"/>
    </row>
    <row r="2249" spans="5:9" x14ac:dyDescent="0.25">
      <c r="E2249" s="2"/>
      <c r="G2249" s="2"/>
      <c r="I2249" s="2"/>
    </row>
    <row r="2250" spans="5:9" x14ac:dyDescent="0.25">
      <c r="E2250" s="2"/>
      <c r="G2250" s="2"/>
      <c r="I2250" s="2"/>
    </row>
    <row r="2251" spans="5:9" x14ac:dyDescent="0.25">
      <c r="E2251" s="2"/>
      <c r="G2251" s="2"/>
      <c r="I2251" s="2"/>
    </row>
    <row r="2252" spans="5:9" x14ac:dyDescent="0.25">
      <c r="E2252" s="2"/>
      <c r="G2252" s="2"/>
      <c r="I2252" s="2"/>
    </row>
    <row r="2253" spans="5:9" x14ac:dyDescent="0.25">
      <c r="E2253" s="2"/>
      <c r="G2253" s="2"/>
      <c r="I2253" s="2"/>
    </row>
    <row r="2254" spans="5:9" x14ac:dyDescent="0.25">
      <c r="E2254" s="2"/>
      <c r="G2254" s="2"/>
      <c r="I2254" s="2"/>
    </row>
    <row r="2255" spans="5:9" x14ac:dyDescent="0.25">
      <c r="E2255" s="2"/>
      <c r="G2255" s="2"/>
      <c r="I2255" s="2"/>
    </row>
    <row r="2256" spans="5:9" x14ac:dyDescent="0.25">
      <c r="E2256" s="2"/>
      <c r="G2256" s="2"/>
      <c r="I2256" s="2"/>
    </row>
    <row r="2257" spans="5:9" x14ac:dyDescent="0.25">
      <c r="E2257" s="2"/>
      <c r="G2257" s="2"/>
      <c r="I2257" s="2"/>
    </row>
    <row r="2258" spans="5:9" x14ac:dyDescent="0.25">
      <c r="E2258" s="2"/>
      <c r="G2258" s="2"/>
      <c r="I2258" s="2"/>
    </row>
    <row r="2259" spans="5:9" x14ac:dyDescent="0.25">
      <c r="E2259" s="2"/>
      <c r="G2259" s="2"/>
      <c r="I2259" s="2"/>
    </row>
    <row r="2260" spans="5:9" x14ac:dyDescent="0.25">
      <c r="E2260" s="2"/>
      <c r="G2260" s="2"/>
      <c r="I2260" s="2"/>
    </row>
    <row r="2261" spans="5:9" x14ac:dyDescent="0.25">
      <c r="E2261" s="2"/>
      <c r="G2261" s="2"/>
      <c r="I2261" s="2"/>
    </row>
    <row r="2262" spans="5:9" x14ac:dyDescent="0.25">
      <c r="E2262" s="2"/>
      <c r="G2262" s="2"/>
      <c r="I2262" s="2"/>
    </row>
    <row r="2263" spans="5:9" x14ac:dyDescent="0.25">
      <c r="E2263" s="2"/>
      <c r="G2263" s="2"/>
      <c r="I2263" s="2"/>
    </row>
    <row r="2264" spans="5:9" x14ac:dyDescent="0.25">
      <c r="E2264" s="2"/>
      <c r="G2264" s="2"/>
      <c r="I2264" s="2"/>
    </row>
    <row r="2265" spans="5:9" x14ac:dyDescent="0.25">
      <c r="E2265" s="2"/>
      <c r="G2265" s="2"/>
      <c r="I2265" s="2"/>
    </row>
    <row r="2266" spans="5:9" x14ac:dyDescent="0.25">
      <c r="E2266" s="2"/>
      <c r="G2266" s="2"/>
      <c r="I2266" s="2"/>
    </row>
    <row r="2267" spans="5:9" x14ac:dyDescent="0.25">
      <c r="E2267" s="2"/>
      <c r="G2267" s="2"/>
      <c r="I2267" s="2"/>
    </row>
    <row r="2268" spans="5:9" x14ac:dyDescent="0.25">
      <c r="E2268" s="2"/>
      <c r="G2268" s="2"/>
      <c r="I2268" s="2"/>
    </row>
    <row r="2269" spans="5:9" x14ac:dyDescent="0.25">
      <c r="E2269" s="2"/>
      <c r="G2269" s="2"/>
      <c r="I2269" s="2"/>
    </row>
    <row r="2270" spans="5:9" x14ac:dyDescent="0.25">
      <c r="E2270" s="2"/>
      <c r="G2270" s="2"/>
      <c r="I2270" s="2"/>
    </row>
    <row r="2271" spans="5:9" x14ac:dyDescent="0.25">
      <c r="E2271" s="2"/>
      <c r="G2271" s="2"/>
      <c r="I2271" s="2"/>
    </row>
    <row r="2272" spans="5:9" x14ac:dyDescent="0.25">
      <c r="E2272" s="2"/>
      <c r="G2272" s="2"/>
      <c r="I2272" s="2"/>
    </row>
    <row r="2273" spans="5:9" x14ac:dyDescent="0.25">
      <c r="E2273" s="2"/>
      <c r="G2273" s="2"/>
      <c r="I2273" s="2"/>
    </row>
    <row r="2274" spans="5:9" x14ac:dyDescent="0.25">
      <c r="E2274" s="2"/>
      <c r="G2274" s="2"/>
      <c r="I2274" s="2"/>
    </row>
    <row r="2275" spans="5:9" x14ac:dyDescent="0.25">
      <c r="E2275" s="2"/>
      <c r="G2275" s="2"/>
      <c r="I2275" s="2"/>
    </row>
    <row r="2276" spans="5:9" x14ac:dyDescent="0.25">
      <c r="E2276" s="2"/>
      <c r="G2276" s="2"/>
      <c r="I2276" s="2"/>
    </row>
    <row r="2277" spans="5:9" x14ac:dyDescent="0.25">
      <c r="E2277" s="2"/>
      <c r="G2277" s="2"/>
      <c r="I2277" s="2"/>
    </row>
    <row r="2278" spans="5:9" x14ac:dyDescent="0.25">
      <c r="E2278" s="2"/>
      <c r="G2278" s="2"/>
      <c r="I2278" s="2"/>
    </row>
    <row r="2279" spans="5:9" x14ac:dyDescent="0.25">
      <c r="E2279" s="2"/>
      <c r="G2279" s="2"/>
      <c r="I2279" s="2"/>
    </row>
    <row r="2280" spans="5:9" x14ac:dyDescent="0.25">
      <c r="E2280" s="2"/>
      <c r="G2280" s="2"/>
      <c r="I2280" s="2"/>
    </row>
    <row r="2281" spans="5:9" x14ac:dyDescent="0.25">
      <c r="E2281" s="2"/>
      <c r="G2281" s="2"/>
      <c r="I2281" s="2"/>
    </row>
    <row r="2282" spans="5:9" x14ac:dyDescent="0.25">
      <c r="E2282" s="2"/>
      <c r="G2282" s="2"/>
      <c r="I2282" s="2"/>
    </row>
    <row r="2283" spans="5:9" x14ac:dyDescent="0.25">
      <c r="E2283" s="2"/>
      <c r="G2283" s="2"/>
      <c r="I2283" s="2"/>
    </row>
    <row r="2284" spans="5:9" x14ac:dyDescent="0.25">
      <c r="E2284" s="2"/>
      <c r="G2284" s="2"/>
      <c r="I2284" s="2"/>
    </row>
    <row r="2285" spans="5:9" x14ac:dyDescent="0.25">
      <c r="E2285" s="2"/>
      <c r="G2285" s="2"/>
      <c r="I2285" s="2"/>
    </row>
    <row r="2286" spans="5:9" x14ac:dyDescent="0.25">
      <c r="E2286" s="2"/>
      <c r="G2286" s="2"/>
      <c r="I2286" s="2"/>
    </row>
    <row r="2287" spans="5:9" x14ac:dyDescent="0.25">
      <c r="E2287" s="2"/>
      <c r="G2287" s="2"/>
      <c r="I2287" s="2"/>
    </row>
    <row r="2288" spans="5:9" x14ac:dyDescent="0.25">
      <c r="E2288" s="2"/>
      <c r="G2288" s="2"/>
      <c r="I2288" s="2"/>
    </row>
    <row r="2289" spans="5:9" x14ac:dyDescent="0.25">
      <c r="E2289" s="2"/>
      <c r="G2289" s="2"/>
      <c r="I2289" s="2"/>
    </row>
    <row r="2290" spans="5:9" x14ac:dyDescent="0.25">
      <c r="E2290" s="2"/>
      <c r="G2290" s="2"/>
      <c r="I2290" s="2"/>
    </row>
    <row r="2291" spans="5:9" x14ac:dyDescent="0.25">
      <c r="E2291" s="2"/>
      <c r="G2291" s="2"/>
      <c r="I2291" s="2"/>
    </row>
    <row r="2292" spans="5:9" x14ac:dyDescent="0.25">
      <c r="E2292" s="2"/>
      <c r="G2292" s="2"/>
      <c r="I2292" s="2"/>
    </row>
    <row r="2293" spans="5:9" x14ac:dyDescent="0.25">
      <c r="E2293" s="2"/>
      <c r="G2293" s="2"/>
      <c r="I2293" s="2"/>
    </row>
    <row r="2294" spans="5:9" x14ac:dyDescent="0.25">
      <c r="E2294" s="2"/>
      <c r="G2294" s="2"/>
      <c r="I2294" s="2"/>
    </row>
    <row r="2295" spans="5:9" x14ac:dyDescent="0.25">
      <c r="E2295" s="2"/>
      <c r="G2295" s="2"/>
      <c r="I2295" s="2"/>
    </row>
    <row r="2296" spans="5:9" x14ac:dyDescent="0.25">
      <c r="E2296" s="2"/>
      <c r="G2296" s="2"/>
      <c r="I2296" s="2"/>
    </row>
    <row r="2297" spans="5:9" x14ac:dyDescent="0.25">
      <c r="E2297" s="2"/>
      <c r="G2297" s="2"/>
      <c r="I2297" s="2"/>
    </row>
    <row r="2298" spans="5:9" x14ac:dyDescent="0.25">
      <c r="E2298" s="2"/>
      <c r="G2298" s="2"/>
      <c r="I2298" s="2"/>
    </row>
    <row r="2299" spans="5:9" x14ac:dyDescent="0.25">
      <c r="E2299" s="2"/>
      <c r="G2299" s="2"/>
      <c r="I2299" s="2"/>
    </row>
    <row r="2300" spans="5:9" x14ac:dyDescent="0.25">
      <c r="E2300" s="2"/>
      <c r="G2300" s="2"/>
      <c r="I2300" s="2"/>
    </row>
    <row r="2301" spans="5:9" x14ac:dyDescent="0.25">
      <c r="E2301" s="2"/>
      <c r="G2301" s="2"/>
      <c r="I2301" s="2"/>
    </row>
    <row r="2302" spans="5:9" x14ac:dyDescent="0.25">
      <c r="E2302" s="2"/>
      <c r="G2302" s="2"/>
      <c r="I2302" s="2"/>
    </row>
    <row r="2303" spans="5:9" x14ac:dyDescent="0.25">
      <c r="E2303" s="2"/>
      <c r="G2303" s="2"/>
      <c r="I2303" s="2"/>
    </row>
    <row r="2304" spans="5:9" x14ac:dyDescent="0.25">
      <c r="E2304" s="2"/>
      <c r="G2304" s="2"/>
      <c r="I2304" s="2"/>
    </row>
    <row r="2305" spans="5:9" x14ac:dyDescent="0.25">
      <c r="E2305" s="2"/>
      <c r="G2305" s="2"/>
      <c r="I2305" s="2"/>
    </row>
    <row r="2306" spans="5:9" x14ac:dyDescent="0.25">
      <c r="E2306" s="2"/>
      <c r="G2306" s="2"/>
      <c r="I2306" s="2"/>
    </row>
    <row r="2307" spans="5:9" x14ac:dyDescent="0.25">
      <c r="E2307" s="2"/>
      <c r="G2307" s="2"/>
      <c r="I2307" s="2"/>
    </row>
    <row r="2308" spans="5:9" x14ac:dyDescent="0.25">
      <c r="E2308" s="2"/>
      <c r="G2308" s="2"/>
      <c r="I2308" s="2"/>
    </row>
    <row r="2309" spans="5:9" x14ac:dyDescent="0.25">
      <c r="E2309" s="2"/>
      <c r="G2309" s="2"/>
      <c r="I2309" s="2"/>
    </row>
    <row r="2310" spans="5:9" x14ac:dyDescent="0.25">
      <c r="E2310" s="2"/>
      <c r="G2310" s="2"/>
      <c r="I2310" s="2"/>
    </row>
    <row r="2311" spans="5:9" x14ac:dyDescent="0.25">
      <c r="E2311" s="2"/>
      <c r="G2311" s="2"/>
      <c r="I2311" s="2"/>
    </row>
    <row r="2312" spans="5:9" x14ac:dyDescent="0.25">
      <c r="E2312" s="2"/>
      <c r="G2312" s="2"/>
      <c r="I2312" s="2"/>
    </row>
    <row r="2313" spans="5:9" x14ac:dyDescent="0.25">
      <c r="E2313" s="2"/>
      <c r="G2313" s="2"/>
      <c r="I2313" s="2"/>
    </row>
    <row r="2314" spans="5:9" x14ac:dyDescent="0.25">
      <c r="E2314" s="2"/>
      <c r="G2314" s="2"/>
      <c r="I2314" s="2"/>
    </row>
    <row r="2315" spans="5:9" x14ac:dyDescent="0.25">
      <c r="E2315" s="2"/>
      <c r="G2315" s="2"/>
      <c r="I2315" s="2"/>
    </row>
    <row r="2316" spans="5:9" x14ac:dyDescent="0.25">
      <c r="E2316" s="2"/>
      <c r="G2316" s="2"/>
      <c r="I2316" s="2"/>
    </row>
    <row r="2317" spans="5:9" x14ac:dyDescent="0.25">
      <c r="E2317" s="2"/>
      <c r="G2317" s="2"/>
      <c r="I2317" s="2"/>
    </row>
    <row r="2318" spans="5:9" x14ac:dyDescent="0.25">
      <c r="E2318" s="2"/>
      <c r="G2318" s="2"/>
      <c r="I2318" s="2"/>
    </row>
    <row r="2319" spans="5:9" x14ac:dyDescent="0.25">
      <c r="E2319" s="2"/>
      <c r="G2319" s="2"/>
      <c r="I2319" s="2"/>
    </row>
    <row r="2320" spans="5:9" x14ac:dyDescent="0.25">
      <c r="E2320" s="2"/>
      <c r="G2320" s="2"/>
      <c r="I2320" s="2"/>
    </row>
    <row r="2321" spans="5:9" x14ac:dyDescent="0.25">
      <c r="E2321" s="2"/>
      <c r="G2321" s="2"/>
      <c r="I2321" s="2"/>
    </row>
    <row r="2322" spans="5:9" x14ac:dyDescent="0.25">
      <c r="E2322" s="2"/>
      <c r="G2322" s="2"/>
      <c r="I2322" s="2"/>
    </row>
    <row r="2323" spans="5:9" x14ac:dyDescent="0.25">
      <c r="E2323" s="2"/>
      <c r="G2323" s="2"/>
      <c r="I2323" s="2"/>
    </row>
    <row r="2324" spans="5:9" x14ac:dyDescent="0.25">
      <c r="E2324" s="2"/>
      <c r="G2324" s="2"/>
      <c r="I2324" s="2"/>
    </row>
    <row r="2325" spans="5:9" x14ac:dyDescent="0.25">
      <c r="E2325" s="2"/>
      <c r="G2325" s="2"/>
      <c r="I2325" s="2"/>
    </row>
    <row r="2326" spans="5:9" x14ac:dyDescent="0.25">
      <c r="E2326" s="2"/>
      <c r="G2326" s="2"/>
      <c r="I2326" s="2"/>
    </row>
    <row r="2327" spans="5:9" x14ac:dyDescent="0.25">
      <c r="E2327" s="2"/>
      <c r="G2327" s="2"/>
      <c r="I2327" s="2"/>
    </row>
    <row r="2328" spans="5:9" x14ac:dyDescent="0.25">
      <c r="E2328" s="2"/>
      <c r="G2328" s="2"/>
      <c r="I2328" s="2"/>
    </row>
    <row r="2329" spans="5:9" x14ac:dyDescent="0.25">
      <c r="E2329" s="2"/>
      <c r="G2329" s="2"/>
      <c r="I2329" s="2"/>
    </row>
    <row r="2330" spans="5:9" x14ac:dyDescent="0.25">
      <c r="E2330" s="2"/>
      <c r="G2330" s="2"/>
      <c r="I2330" s="2"/>
    </row>
    <row r="2331" spans="5:9" x14ac:dyDescent="0.25">
      <c r="E2331" s="2"/>
      <c r="G2331" s="2"/>
      <c r="I2331" s="2"/>
    </row>
    <row r="2332" spans="5:9" x14ac:dyDescent="0.25">
      <c r="E2332" s="2"/>
      <c r="G2332" s="2"/>
      <c r="I2332" s="2"/>
    </row>
    <row r="2333" spans="5:9" x14ac:dyDescent="0.25">
      <c r="E2333" s="2"/>
      <c r="G2333" s="2"/>
      <c r="I2333" s="2"/>
    </row>
    <row r="2334" spans="5:9" x14ac:dyDescent="0.25">
      <c r="E2334" s="2"/>
      <c r="G2334" s="2"/>
      <c r="I2334" s="2"/>
    </row>
    <row r="2335" spans="5:9" x14ac:dyDescent="0.25">
      <c r="E2335" s="2"/>
      <c r="G2335" s="2"/>
      <c r="I2335" s="2"/>
    </row>
    <row r="2336" spans="5:9" x14ac:dyDescent="0.25">
      <c r="E2336" s="2"/>
      <c r="G2336" s="2"/>
      <c r="I2336" s="2"/>
    </row>
    <row r="2337" spans="5:9" x14ac:dyDescent="0.25">
      <c r="E2337" s="2"/>
      <c r="G2337" s="2"/>
      <c r="I2337" s="2"/>
    </row>
    <row r="2338" spans="5:9" x14ac:dyDescent="0.25">
      <c r="E2338" s="2"/>
      <c r="G2338" s="2"/>
      <c r="I2338" s="2"/>
    </row>
    <row r="2339" spans="5:9" x14ac:dyDescent="0.25">
      <c r="E2339" s="2"/>
      <c r="G2339" s="2"/>
      <c r="I2339" s="2"/>
    </row>
    <row r="2340" spans="5:9" x14ac:dyDescent="0.25">
      <c r="E2340" s="2"/>
      <c r="G2340" s="2"/>
      <c r="I2340" s="2"/>
    </row>
    <row r="2341" spans="5:9" x14ac:dyDescent="0.25">
      <c r="E2341" s="2"/>
      <c r="G2341" s="2"/>
      <c r="I2341" s="2"/>
    </row>
    <row r="2342" spans="5:9" x14ac:dyDescent="0.25">
      <c r="E2342" s="2"/>
      <c r="G2342" s="2"/>
      <c r="I2342" s="2"/>
    </row>
    <row r="2343" spans="5:9" x14ac:dyDescent="0.25">
      <c r="E2343" s="2"/>
      <c r="G2343" s="2"/>
      <c r="I2343" s="2"/>
    </row>
    <row r="2344" spans="5:9" x14ac:dyDescent="0.25">
      <c r="E2344" s="2"/>
      <c r="G2344" s="2"/>
      <c r="I2344" s="2"/>
    </row>
    <row r="2345" spans="5:9" x14ac:dyDescent="0.25">
      <c r="E2345" s="2"/>
      <c r="G2345" s="2"/>
      <c r="I2345" s="2"/>
    </row>
    <row r="2346" spans="5:9" x14ac:dyDescent="0.25">
      <c r="E2346" s="2"/>
      <c r="G2346" s="2"/>
      <c r="I2346" s="2"/>
    </row>
    <row r="2347" spans="5:9" x14ac:dyDescent="0.25">
      <c r="E2347" s="2"/>
      <c r="G2347" s="2"/>
      <c r="I2347" s="2"/>
    </row>
    <row r="2348" spans="5:9" x14ac:dyDescent="0.25">
      <c r="E2348" s="2"/>
      <c r="G2348" s="2"/>
      <c r="I2348" s="2"/>
    </row>
    <row r="2349" spans="5:9" x14ac:dyDescent="0.25">
      <c r="E2349" s="2"/>
      <c r="G2349" s="2"/>
      <c r="I2349" s="2"/>
    </row>
    <row r="2350" spans="5:9" x14ac:dyDescent="0.25">
      <c r="E2350" s="2"/>
      <c r="G2350" s="2"/>
      <c r="I2350" s="2"/>
    </row>
    <row r="2351" spans="5:9" x14ac:dyDescent="0.25">
      <c r="E2351" s="2"/>
      <c r="G2351" s="2"/>
      <c r="I2351" s="2"/>
    </row>
    <row r="2352" spans="5:9" x14ac:dyDescent="0.25">
      <c r="E2352" s="2"/>
      <c r="G2352" s="2"/>
      <c r="I2352" s="2"/>
    </row>
    <row r="2353" spans="5:9" x14ac:dyDescent="0.25">
      <c r="E2353" s="2"/>
      <c r="G2353" s="2"/>
      <c r="I2353" s="2"/>
    </row>
    <row r="2354" spans="5:9" x14ac:dyDescent="0.25">
      <c r="E2354" s="2"/>
      <c r="G2354" s="2"/>
      <c r="I2354" s="2"/>
    </row>
    <row r="2355" spans="5:9" x14ac:dyDescent="0.25">
      <c r="E2355" s="2"/>
      <c r="G2355" s="2"/>
      <c r="I2355" s="2"/>
    </row>
    <row r="2356" spans="5:9" x14ac:dyDescent="0.25">
      <c r="E2356" s="2"/>
      <c r="G2356" s="2"/>
      <c r="I2356" s="2"/>
    </row>
    <row r="2357" spans="5:9" x14ac:dyDescent="0.25">
      <c r="E2357" s="2"/>
      <c r="G2357" s="2"/>
      <c r="I2357" s="2"/>
    </row>
    <row r="2358" spans="5:9" x14ac:dyDescent="0.25">
      <c r="E2358" s="2"/>
      <c r="G2358" s="2"/>
      <c r="I2358" s="2"/>
    </row>
    <row r="2359" spans="5:9" x14ac:dyDescent="0.25">
      <c r="E2359" s="2"/>
      <c r="G2359" s="2"/>
      <c r="I2359" s="2"/>
    </row>
    <row r="2360" spans="5:9" x14ac:dyDescent="0.25">
      <c r="E2360" s="2"/>
      <c r="G2360" s="2"/>
      <c r="I2360" s="2"/>
    </row>
    <row r="2361" spans="5:9" x14ac:dyDescent="0.25">
      <c r="E2361" s="2"/>
      <c r="G2361" s="2"/>
      <c r="I2361" s="2"/>
    </row>
    <row r="2362" spans="5:9" x14ac:dyDescent="0.25">
      <c r="E2362" s="2"/>
      <c r="G2362" s="2"/>
      <c r="I2362" s="2"/>
    </row>
    <row r="2363" spans="5:9" x14ac:dyDescent="0.25">
      <c r="E2363" s="2"/>
      <c r="G2363" s="2"/>
      <c r="I2363" s="2"/>
    </row>
    <row r="2364" spans="5:9" x14ac:dyDescent="0.25">
      <c r="E2364" s="2"/>
      <c r="G2364" s="2"/>
      <c r="I2364" s="2"/>
    </row>
    <row r="2365" spans="5:9" x14ac:dyDescent="0.25">
      <c r="E2365" s="2"/>
      <c r="G2365" s="2"/>
      <c r="I2365" s="2"/>
    </row>
    <row r="2366" spans="5:9" x14ac:dyDescent="0.25">
      <c r="E2366" s="2"/>
      <c r="G2366" s="2"/>
      <c r="I2366" s="2"/>
    </row>
    <row r="2367" spans="5:9" x14ac:dyDescent="0.25">
      <c r="E2367" s="2"/>
      <c r="G2367" s="2"/>
      <c r="I2367" s="2"/>
    </row>
    <row r="2368" spans="5:9" x14ac:dyDescent="0.25">
      <c r="E2368" s="2"/>
      <c r="G2368" s="2"/>
      <c r="I2368" s="2"/>
    </row>
    <row r="2369" spans="5:9" x14ac:dyDescent="0.25">
      <c r="E2369" s="2"/>
      <c r="G2369" s="2"/>
      <c r="I2369" s="2"/>
    </row>
    <row r="2370" spans="5:9" x14ac:dyDescent="0.25">
      <c r="E2370" s="2"/>
      <c r="G2370" s="2"/>
      <c r="I2370" s="2"/>
    </row>
    <row r="2371" spans="5:9" x14ac:dyDescent="0.25">
      <c r="E2371" s="2"/>
      <c r="G2371" s="2"/>
      <c r="I2371" s="2"/>
    </row>
    <row r="2372" spans="5:9" x14ac:dyDescent="0.25">
      <c r="E2372" s="2"/>
      <c r="G2372" s="2"/>
      <c r="I2372" s="2"/>
    </row>
    <row r="2373" spans="5:9" x14ac:dyDescent="0.25">
      <c r="E2373" s="2"/>
      <c r="G2373" s="2"/>
      <c r="I2373" s="2"/>
    </row>
    <row r="2374" spans="5:9" x14ac:dyDescent="0.25">
      <c r="E2374" s="2"/>
      <c r="G2374" s="2"/>
      <c r="I2374" s="2"/>
    </row>
    <row r="2375" spans="5:9" x14ac:dyDescent="0.25">
      <c r="E2375" s="2"/>
      <c r="G2375" s="2"/>
      <c r="I2375" s="2"/>
    </row>
    <row r="2376" spans="5:9" x14ac:dyDescent="0.25">
      <c r="E2376" s="2"/>
      <c r="G2376" s="2"/>
      <c r="I2376" s="2"/>
    </row>
    <row r="2377" spans="5:9" x14ac:dyDescent="0.25">
      <c r="E2377" s="2"/>
      <c r="G2377" s="2"/>
      <c r="I2377" s="2"/>
    </row>
    <row r="2378" spans="5:9" x14ac:dyDescent="0.25">
      <c r="E2378" s="2"/>
      <c r="G2378" s="2"/>
      <c r="I2378" s="2"/>
    </row>
    <row r="2379" spans="5:9" x14ac:dyDescent="0.25">
      <c r="E2379" s="2"/>
      <c r="G2379" s="2"/>
      <c r="I2379" s="2"/>
    </row>
    <row r="2380" spans="5:9" x14ac:dyDescent="0.25">
      <c r="E2380" s="2"/>
      <c r="G2380" s="2"/>
      <c r="I2380" s="2"/>
    </row>
    <row r="2381" spans="5:9" x14ac:dyDescent="0.25">
      <c r="E2381" s="2"/>
      <c r="G2381" s="2"/>
      <c r="I2381" s="2"/>
    </row>
    <row r="2382" spans="5:9" x14ac:dyDescent="0.25">
      <c r="E2382" s="2"/>
      <c r="G2382" s="2"/>
      <c r="I2382" s="2"/>
    </row>
    <row r="2383" spans="5:9" x14ac:dyDescent="0.25">
      <c r="E2383" s="2"/>
      <c r="G2383" s="2"/>
      <c r="I2383" s="2"/>
    </row>
    <row r="2384" spans="5:9" x14ac:dyDescent="0.25">
      <c r="E2384" s="2"/>
      <c r="G2384" s="2"/>
      <c r="I2384" s="2"/>
    </row>
    <row r="2385" spans="5:9" x14ac:dyDescent="0.25">
      <c r="E2385" s="2"/>
      <c r="G2385" s="2"/>
      <c r="I2385" s="2"/>
    </row>
    <row r="2386" spans="5:9" x14ac:dyDescent="0.25">
      <c r="E2386" s="2"/>
      <c r="G2386" s="2"/>
      <c r="I2386" s="2"/>
    </row>
    <row r="2387" spans="5:9" x14ac:dyDescent="0.25">
      <c r="E2387" s="2"/>
      <c r="G2387" s="2"/>
      <c r="I2387" s="2"/>
    </row>
    <row r="2388" spans="5:9" x14ac:dyDescent="0.25">
      <c r="E2388" s="2"/>
      <c r="G2388" s="2"/>
      <c r="I2388" s="2"/>
    </row>
    <row r="2389" spans="5:9" x14ac:dyDescent="0.25">
      <c r="E2389" s="2"/>
      <c r="G2389" s="2"/>
      <c r="I2389" s="2"/>
    </row>
    <row r="2390" spans="5:9" x14ac:dyDescent="0.25">
      <c r="E2390" s="2"/>
      <c r="G2390" s="2"/>
      <c r="I2390" s="2"/>
    </row>
    <row r="2391" spans="5:9" x14ac:dyDescent="0.25">
      <c r="E2391" s="2"/>
      <c r="G2391" s="2"/>
      <c r="I2391" s="2"/>
    </row>
    <row r="2392" spans="5:9" x14ac:dyDescent="0.25">
      <c r="E2392" s="2"/>
      <c r="G2392" s="2"/>
      <c r="I2392" s="2"/>
    </row>
    <row r="2393" spans="5:9" x14ac:dyDescent="0.25">
      <c r="E2393" s="2"/>
      <c r="G2393" s="2"/>
      <c r="I2393" s="2"/>
    </row>
    <row r="2394" spans="5:9" x14ac:dyDescent="0.25">
      <c r="E2394" s="2"/>
      <c r="G2394" s="2"/>
      <c r="I2394" s="2"/>
    </row>
    <row r="2395" spans="5:9" x14ac:dyDescent="0.25">
      <c r="E2395" s="2"/>
      <c r="G2395" s="2"/>
      <c r="I2395" s="2"/>
    </row>
    <row r="2396" spans="5:9" x14ac:dyDescent="0.25">
      <c r="E2396" s="2"/>
      <c r="G2396" s="2"/>
      <c r="I2396" s="2"/>
    </row>
    <row r="2397" spans="5:9" x14ac:dyDescent="0.25">
      <c r="E2397" s="2"/>
      <c r="G2397" s="2"/>
      <c r="I2397" s="2"/>
    </row>
    <row r="2398" spans="5:9" x14ac:dyDescent="0.25">
      <c r="E2398" s="2"/>
      <c r="G2398" s="2"/>
      <c r="I2398" s="2"/>
    </row>
    <row r="2399" spans="5:9" x14ac:dyDescent="0.25">
      <c r="E2399" s="2"/>
      <c r="G2399" s="2"/>
      <c r="I2399" s="2"/>
    </row>
    <row r="2400" spans="5:9" x14ac:dyDescent="0.25">
      <c r="E2400" s="2"/>
      <c r="G2400" s="2"/>
      <c r="I2400" s="2"/>
    </row>
    <row r="2401" spans="5:9" x14ac:dyDescent="0.25">
      <c r="E2401" s="2"/>
      <c r="G2401" s="2"/>
      <c r="I2401" s="2"/>
    </row>
    <row r="2402" spans="5:9" x14ac:dyDescent="0.25">
      <c r="E2402" s="2"/>
      <c r="G2402" s="2"/>
      <c r="I2402" s="2"/>
    </row>
    <row r="2403" spans="5:9" x14ac:dyDescent="0.25">
      <c r="E2403" s="2"/>
      <c r="G2403" s="2"/>
      <c r="I2403" s="2"/>
    </row>
    <row r="2404" spans="5:9" x14ac:dyDescent="0.25">
      <c r="E2404" s="2"/>
      <c r="G2404" s="2"/>
      <c r="I2404" s="2"/>
    </row>
    <row r="2405" spans="5:9" x14ac:dyDescent="0.25">
      <c r="E2405" s="2"/>
      <c r="G2405" s="2"/>
      <c r="I2405" s="2"/>
    </row>
    <row r="2406" spans="5:9" x14ac:dyDescent="0.25">
      <c r="E2406" s="2"/>
      <c r="G2406" s="2"/>
      <c r="I2406" s="2"/>
    </row>
    <row r="2407" spans="5:9" x14ac:dyDescent="0.25">
      <c r="E2407" s="2"/>
      <c r="G2407" s="2"/>
      <c r="I2407" s="2"/>
    </row>
    <row r="2408" spans="5:9" x14ac:dyDescent="0.25">
      <c r="E2408" s="2"/>
      <c r="G2408" s="2"/>
      <c r="I2408" s="2"/>
    </row>
    <row r="2409" spans="5:9" x14ac:dyDescent="0.25">
      <c r="E2409" s="2"/>
      <c r="G2409" s="2"/>
      <c r="I2409" s="2"/>
    </row>
    <row r="2410" spans="5:9" x14ac:dyDescent="0.25">
      <c r="E2410" s="2"/>
      <c r="G2410" s="2"/>
      <c r="I2410" s="2"/>
    </row>
    <row r="2411" spans="5:9" x14ac:dyDescent="0.25">
      <c r="E2411" s="2"/>
      <c r="G2411" s="2"/>
      <c r="I2411" s="2"/>
    </row>
    <row r="2412" spans="5:9" x14ac:dyDescent="0.25">
      <c r="E2412" s="2"/>
      <c r="G2412" s="2"/>
      <c r="I2412" s="2"/>
    </row>
    <row r="2413" spans="5:9" x14ac:dyDescent="0.25">
      <c r="E2413" s="2"/>
      <c r="G2413" s="2"/>
      <c r="I2413" s="2"/>
    </row>
    <row r="2414" spans="5:9" x14ac:dyDescent="0.25">
      <c r="E2414" s="2"/>
      <c r="G2414" s="2"/>
      <c r="I2414" s="2"/>
    </row>
    <row r="2415" spans="5:9" x14ac:dyDescent="0.25">
      <c r="E2415" s="2"/>
      <c r="G2415" s="2"/>
      <c r="I2415" s="2"/>
    </row>
    <row r="2416" spans="5:9" x14ac:dyDescent="0.25">
      <c r="E2416" s="2"/>
      <c r="G2416" s="2"/>
      <c r="I2416" s="2"/>
    </row>
    <row r="2417" spans="5:9" x14ac:dyDescent="0.25">
      <c r="E2417" s="2"/>
      <c r="G2417" s="2"/>
      <c r="I2417" s="2"/>
    </row>
    <row r="2418" spans="5:9" x14ac:dyDescent="0.25">
      <c r="E2418" s="2"/>
      <c r="G2418" s="2"/>
      <c r="I2418" s="2"/>
    </row>
    <row r="2419" spans="5:9" x14ac:dyDescent="0.25">
      <c r="E2419" s="2"/>
      <c r="G2419" s="2"/>
      <c r="I2419" s="2"/>
    </row>
    <row r="2420" spans="5:9" x14ac:dyDescent="0.25">
      <c r="E2420" s="2"/>
      <c r="G2420" s="2"/>
      <c r="I2420" s="2"/>
    </row>
    <row r="2421" spans="5:9" x14ac:dyDescent="0.25">
      <c r="E2421" s="2"/>
      <c r="G2421" s="2"/>
      <c r="I2421" s="2"/>
    </row>
    <row r="2422" spans="5:9" x14ac:dyDescent="0.25">
      <c r="E2422" s="2"/>
      <c r="G2422" s="2"/>
      <c r="I2422" s="2"/>
    </row>
    <row r="2423" spans="5:9" x14ac:dyDescent="0.25">
      <c r="E2423" s="2"/>
      <c r="G2423" s="2"/>
      <c r="I2423" s="2"/>
    </row>
    <row r="2424" spans="5:9" x14ac:dyDescent="0.25">
      <c r="E2424" s="2"/>
      <c r="G2424" s="2"/>
      <c r="I2424" s="2"/>
    </row>
    <row r="2425" spans="5:9" x14ac:dyDescent="0.25">
      <c r="E2425" s="2"/>
      <c r="G2425" s="2"/>
      <c r="I2425" s="2"/>
    </row>
    <row r="2426" spans="5:9" x14ac:dyDescent="0.25">
      <c r="E2426" s="2"/>
      <c r="G2426" s="2"/>
      <c r="I2426" s="2"/>
    </row>
    <row r="2427" spans="5:9" x14ac:dyDescent="0.25">
      <c r="E2427" s="2"/>
      <c r="G2427" s="2"/>
      <c r="I2427" s="2"/>
    </row>
    <row r="2428" spans="5:9" x14ac:dyDescent="0.25">
      <c r="E2428" s="2"/>
      <c r="G2428" s="2"/>
      <c r="I2428" s="2"/>
    </row>
    <row r="2429" spans="5:9" x14ac:dyDescent="0.25">
      <c r="E2429" s="2"/>
      <c r="G2429" s="2"/>
      <c r="I2429" s="2"/>
    </row>
    <row r="2430" spans="5:9" x14ac:dyDescent="0.25">
      <c r="E2430" s="2"/>
      <c r="G2430" s="2"/>
      <c r="I2430" s="2"/>
    </row>
    <row r="2431" spans="5:9" x14ac:dyDescent="0.25">
      <c r="E2431" s="2"/>
      <c r="G2431" s="2"/>
      <c r="I2431" s="2"/>
    </row>
    <row r="2432" spans="5:9" x14ac:dyDescent="0.25">
      <c r="E2432" s="2"/>
      <c r="G2432" s="2"/>
      <c r="I2432" s="2"/>
    </row>
    <row r="2433" spans="5:9" x14ac:dyDescent="0.25">
      <c r="E2433" s="2"/>
      <c r="G2433" s="2"/>
      <c r="I2433" s="2"/>
    </row>
    <row r="2434" spans="5:9" x14ac:dyDescent="0.25">
      <c r="E2434" s="2"/>
      <c r="G2434" s="2"/>
      <c r="I2434" s="2"/>
    </row>
    <row r="2435" spans="5:9" x14ac:dyDescent="0.25">
      <c r="E2435" s="2"/>
      <c r="G2435" s="2"/>
      <c r="I2435" s="2"/>
    </row>
    <row r="2436" spans="5:9" x14ac:dyDescent="0.25">
      <c r="E2436" s="2"/>
      <c r="G2436" s="2"/>
      <c r="I2436" s="2"/>
    </row>
    <row r="2437" spans="5:9" x14ac:dyDescent="0.25">
      <c r="E2437" s="2"/>
      <c r="G2437" s="2"/>
      <c r="I2437" s="2"/>
    </row>
    <row r="2438" spans="5:9" x14ac:dyDescent="0.25">
      <c r="E2438" s="2"/>
      <c r="G2438" s="2"/>
      <c r="I2438" s="2"/>
    </row>
    <row r="2439" spans="5:9" x14ac:dyDescent="0.25">
      <c r="E2439" s="2"/>
      <c r="G2439" s="2"/>
      <c r="I2439" s="2"/>
    </row>
    <row r="2440" spans="5:9" x14ac:dyDescent="0.25">
      <c r="E2440" s="2"/>
      <c r="G2440" s="2"/>
      <c r="I2440" s="2"/>
    </row>
    <row r="2441" spans="5:9" x14ac:dyDescent="0.25">
      <c r="E2441" s="2"/>
      <c r="G2441" s="2"/>
      <c r="I2441" s="2"/>
    </row>
    <row r="2442" spans="5:9" x14ac:dyDescent="0.25">
      <c r="E2442" s="2"/>
      <c r="G2442" s="2"/>
      <c r="I2442" s="2"/>
    </row>
    <row r="2443" spans="5:9" x14ac:dyDescent="0.25">
      <c r="E2443" s="2"/>
      <c r="G2443" s="2"/>
      <c r="I2443" s="2"/>
    </row>
    <row r="2444" spans="5:9" x14ac:dyDescent="0.25">
      <c r="E2444" s="2"/>
      <c r="G2444" s="2"/>
      <c r="I2444" s="2"/>
    </row>
    <row r="2445" spans="5:9" x14ac:dyDescent="0.25">
      <c r="E2445" s="2"/>
      <c r="G2445" s="2"/>
      <c r="I2445" s="2"/>
    </row>
    <row r="2446" spans="5:9" x14ac:dyDescent="0.25">
      <c r="E2446" s="2"/>
      <c r="G2446" s="2"/>
      <c r="I2446" s="2"/>
    </row>
    <row r="2447" spans="5:9" x14ac:dyDescent="0.25">
      <c r="E2447" s="2"/>
      <c r="G2447" s="2"/>
      <c r="I2447" s="2"/>
    </row>
    <row r="2448" spans="5:9" x14ac:dyDescent="0.25">
      <c r="E2448" s="2"/>
      <c r="G2448" s="2"/>
      <c r="I2448" s="2"/>
    </row>
    <row r="2449" spans="5:9" x14ac:dyDescent="0.25">
      <c r="E2449" s="2"/>
      <c r="G2449" s="2"/>
      <c r="I2449" s="2"/>
    </row>
    <row r="2450" spans="5:9" x14ac:dyDescent="0.25">
      <c r="E2450" s="2"/>
      <c r="G2450" s="2"/>
      <c r="I2450" s="2"/>
    </row>
    <row r="2451" spans="5:9" x14ac:dyDescent="0.25">
      <c r="E2451" s="2"/>
      <c r="G2451" s="2"/>
      <c r="I2451" s="2"/>
    </row>
    <row r="2452" spans="5:9" x14ac:dyDescent="0.25">
      <c r="E2452" s="2"/>
      <c r="G2452" s="2"/>
      <c r="I2452" s="2"/>
    </row>
    <row r="2453" spans="5:9" x14ac:dyDescent="0.25">
      <c r="E2453" s="2"/>
      <c r="G2453" s="2"/>
      <c r="I2453" s="2"/>
    </row>
    <row r="2454" spans="5:9" x14ac:dyDescent="0.25">
      <c r="E2454" s="2"/>
      <c r="G2454" s="2"/>
      <c r="I2454" s="2"/>
    </row>
    <row r="2455" spans="5:9" x14ac:dyDescent="0.25">
      <c r="E2455" s="2"/>
      <c r="G2455" s="2"/>
      <c r="I2455" s="2"/>
    </row>
    <row r="2456" spans="5:9" x14ac:dyDescent="0.25">
      <c r="E2456" s="2"/>
      <c r="G2456" s="2"/>
      <c r="I2456" s="2"/>
    </row>
    <row r="2457" spans="5:9" x14ac:dyDescent="0.25">
      <c r="E2457" s="2"/>
      <c r="G2457" s="2"/>
      <c r="I2457" s="2"/>
    </row>
    <row r="2458" spans="5:9" x14ac:dyDescent="0.25">
      <c r="E2458" s="2"/>
      <c r="G2458" s="2"/>
      <c r="I2458" s="2"/>
    </row>
    <row r="2459" spans="5:9" x14ac:dyDescent="0.25">
      <c r="E2459" s="2"/>
      <c r="G2459" s="2"/>
      <c r="I2459" s="2"/>
    </row>
    <row r="2460" spans="5:9" x14ac:dyDescent="0.25">
      <c r="E2460" s="2"/>
      <c r="G2460" s="2"/>
      <c r="I2460" s="2"/>
    </row>
    <row r="2461" spans="5:9" x14ac:dyDescent="0.25">
      <c r="E2461" s="2"/>
      <c r="G2461" s="2"/>
      <c r="I2461" s="2"/>
    </row>
    <row r="2462" spans="5:9" x14ac:dyDescent="0.25">
      <c r="E2462" s="2"/>
      <c r="G2462" s="2"/>
      <c r="I2462" s="2"/>
    </row>
    <row r="2463" spans="5:9" x14ac:dyDescent="0.25">
      <c r="E2463" s="2"/>
      <c r="G2463" s="2"/>
      <c r="I2463" s="2"/>
    </row>
    <row r="2464" spans="5:9" x14ac:dyDescent="0.25">
      <c r="E2464" s="2"/>
      <c r="G2464" s="2"/>
      <c r="I2464" s="2"/>
    </row>
    <row r="2465" spans="5:9" x14ac:dyDescent="0.25">
      <c r="E2465" s="2"/>
      <c r="G2465" s="2"/>
      <c r="I2465" s="2"/>
    </row>
    <row r="2466" spans="5:9" x14ac:dyDescent="0.25">
      <c r="E2466" s="2"/>
      <c r="G2466" s="2"/>
      <c r="I2466" s="2"/>
    </row>
    <row r="2467" spans="5:9" x14ac:dyDescent="0.25">
      <c r="E2467" s="2"/>
      <c r="G2467" s="2"/>
      <c r="I2467" s="2"/>
    </row>
    <row r="2468" spans="5:9" x14ac:dyDescent="0.25">
      <c r="E2468" s="2"/>
      <c r="G2468" s="2"/>
      <c r="I2468" s="2"/>
    </row>
    <row r="2469" spans="5:9" x14ac:dyDescent="0.25">
      <c r="E2469" s="2"/>
      <c r="G2469" s="2"/>
      <c r="I2469" s="2"/>
    </row>
    <row r="2470" spans="5:9" x14ac:dyDescent="0.25">
      <c r="E2470" s="2"/>
      <c r="G2470" s="2"/>
      <c r="I2470" s="2"/>
    </row>
    <row r="2471" spans="5:9" x14ac:dyDescent="0.25">
      <c r="E2471" s="2"/>
      <c r="G2471" s="2"/>
      <c r="I2471" s="2"/>
    </row>
    <row r="2472" spans="5:9" x14ac:dyDescent="0.25">
      <c r="E2472" s="2"/>
      <c r="G2472" s="2"/>
      <c r="I2472" s="2"/>
    </row>
    <row r="2473" spans="5:9" x14ac:dyDescent="0.25">
      <c r="E2473" s="2"/>
      <c r="G2473" s="2"/>
      <c r="I2473" s="2"/>
    </row>
    <row r="2474" spans="5:9" x14ac:dyDescent="0.25">
      <c r="E2474" s="2"/>
      <c r="G2474" s="2"/>
      <c r="I2474" s="2"/>
    </row>
    <row r="2475" spans="5:9" x14ac:dyDescent="0.25">
      <c r="E2475" s="2"/>
      <c r="G2475" s="2"/>
      <c r="I2475" s="2"/>
    </row>
    <row r="2476" spans="5:9" x14ac:dyDescent="0.25">
      <c r="E2476" s="2"/>
      <c r="G2476" s="2"/>
      <c r="I2476" s="2"/>
    </row>
    <row r="2477" spans="5:9" x14ac:dyDescent="0.25">
      <c r="E2477" s="2"/>
      <c r="G2477" s="2"/>
      <c r="I2477" s="2"/>
    </row>
    <row r="2478" spans="5:9" x14ac:dyDescent="0.25">
      <c r="E2478" s="2"/>
      <c r="G2478" s="2"/>
      <c r="I2478" s="2"/>
    </row>
    <row r="2479" spans="5:9" x14ac:dyDescent="0.25">
      <c r="E2479" s="2"/>
      <c r="G2479" s="2"/>
      <c r="I2479" s="2"/>
    </row>
    <row r="2480" spans="5:9" x14ac:dyDescent="0.25">
      <c r="E2480" s="2"/>
      <c r="G2480" s="2"/>
      <c r="I2480" s="2"/>
    </row>
    <row r="2481" spans="5:9" x14ac:dyDescent="0.25">
      <c r="E2481" s="2"/>
      <c r="G2481" s="2"/>
      <c r="I2481" s="2"/>
    </row>
    <row r="2482" spans="5:9" x14ac:dyDescent="0.25">
      <c r="E2482" s="2"/>
      <c r="G2482" s="2"/>
      <c r="I2482" s="2"/>
    </row>
    <row r="2483" spans="5:9" x14ac:dyDescent="0.25">
      <c r="E2483" s="2"/>
      <c r="G2483" s="2"/>
      <c r="I2483" s="2"/>
    </row>
    <row r="2484" spans="5:9" x14ac:dyDescent="0.25">
      <c r="E2484" s="2"/>
      <c r="G2484" s="2"/>
      <c r="I2484" s="2"/>
    </row>
    <row r="2485" spans="5:9" x14ac:dyDescent="0.25">
      <c r="E2485" s="2"/>
      <c r="G2485" s="2"/>
      <c r="I2485" s="2"/>
    </row>
    <row r="2486" spans="5:9" x14ac:dyDescent="0.25">
      <c r="E2486" s="2"/>
      <c r="G2486" s="2"/>
      <c r="I2486" s="2"/>
    </row>
    <row r="2487" spans="5:9" x14ac:dyDescent="0.25">
      <c r="E2487" s="2"/>
      <c r="G2487" s="2"/>
      <c r="I2487" s="2"/>
    </row>
    <row r="2488" spans="5:9" x14ac:dyDescent="0.25">
      <c r="E2488" s="2"/>
      <c r="G2488" s="2"/>
      <c r="I2488" s="2"/>
    </row>
    <row r="2489" spans="5:9" x14ac:dyDescent="0.25">
      <c r="E2489" s="2"/>
      <c r="G2489" s="2"/>
      <c r="I2489" s="2"/>
    </row>
    <row r="2490" spans="5:9" x14ac:dyDescent="0.25">
      <c r="E2490" s="2"/>
      <c r="G2490" s="2"/>
      <c r="I2490" s="2"/>
    </row>
    <row r="2491" spans="5:9" x14ac:dyDescent="0.25">
      <c r="E2491" s="2"/>
      <c r="G2491" s="2"/>
      <c r="I2491" s="2"/>
    </row>
    <row r="2492" spans="5:9" x14ac:dyDescent="0.25">
      <c r="E2492" s="2"/>
      <c r="G2492" s="2"/>
      <c r="I2492" s="2"/>
    </row>
    <row r="2493" spans="5:9" x14ac:dyDescent="0.25">
      <c r="E2493" s="2"/>
      <c r="G2493" s="2"/>
      <c r="I2493" s="2"/>
    </row>
    <row r="2494" spans="5:9" x14ac:dyDescent="0.25">
      <c r="E2494" s="2"/>
      <c r="G2494" s="2"/>
      <c r="I2494" s="2"/>
    </row>
    <row r="2495" spans="5:9" x14ac:dyDescent="0.25">
      <c r="E2495" s="2"/>
      <c r="G2495" s="2"/>
      <c r="I2495" s="2"/>
    </row>
    <row r="2496" spans="5:9" x14ac:dyDescent="0.25">
      <c r="E2496" s="2"/>
      <c r="G2496" s="2"/>
      <c r="I2496" s="2"/>
    </row>
    <row r="2497" spans="5:9" x14ac:dyDescent="0.25">
      <c r="E2497" s="2"/>
      <c r="G2497" s="2"/>
      <c r="I2497" s="2"/>
    </row>
    <row r="2498" spans="5:9" x14ac:dyDescent="0.25">
      <c r="E2498" s="2"/>
      <c r="G2498" s="2"/>
      <c r="I2498" s="2"/>
    </row>
    <row r="2499" spans="5:9" x14ac:dyDescent="0.25">
      <c r="E2499" s="2"/>
      <c r="G2499" s="2"/>
      <c r="I2499" s="2"/>
    </row>
    <row r="2500" spans="5:9" x14ac:dyDescent="0.25">
      <c r="E2500" s="2"/>
      <c r="G2500" s="2"/>
      <c r="I2500" s="2"/>
    </row>
    <row r="2501" spans="5:9" x14ac:dyDescent="0.25">
      <c r="E2501" s="2"/>
      <c r="G2501" s="2"/>
      <c r="I2501" s="2"/>
    </row>
    <row r="2502" spans="5:9" x14ac:dyDescent="0.25">
      <c r="E2502" s="2"/>
      <c r="G2502" s="2"/>
      <c r="I2502" s="2"/>
    </row>
    <row r="2503" spans="5:9" x14ac:dyDescent="0.25">
      <c r="E2503" s="2"/>
      <c r="G2503" s="2"/>
      <c r="I2503" s="2"/>
    </row>
    <row r="2504" spans="5:9" x14ac:dyDescent="0.25">
      <c r="E2504" s="2"/>
      <c r="G2504" s="2"/>
      <c r="I2504" s="2"/>
    </row>
    <row r="2505" spans="5:9" x14ac:dyDescent="0.25">
      <c r="E2505" s="2"/>
      <c r="G2505" s="2"/>
      <c r="I2505" s="2"/>
    </row>
    <row r="2506" spans="5:9" x14ac:dyDescent="0.25">
      <c r="E2506" s="2"/>
      <c r="G2506" s="2"/>
      <c r="I2506" s="2"/>
    </row>
    <row r="2507" spans="5:9" x14ac:dyDescent="0.25">
      <c r="E2507" s="2"/>
      <c r="G2507" s="2"/>
      <c r="I2507" s="2"/>
    </row>
    <row r="2508" spans="5:9" x14ac:dyDescent="0.25">
      <c r="E2508" s="2"/>
      <c r="G2508" s="2"/>
      <c r="I2508" s="2"/>
    </row>
    <row r="2509" spans="5:9" x14ac:dyDescent="0.25">
      <c r="E2509" s="2"/>
      <c r="G2509" s="2"/>
      <c r="I2509" s="2"/>
    </row>
    <row r="2510" spans="5:9" x14ac:dyDescent="0.25">
      <c r="E2510" s="2"/>
      <c r="G2510" s="2"/>
      <c r="I2510" s="2"/>
    </row>
    <row r="2511" spans="5:9" x14ac:dyDescent="0.25">
      <c r="E2511" s="2"/>
      <c r="G2511" s="2"/>
      <c r="I2511" s="2"/>
    </row>
    <row r="2512" spans="5:9" x14ac:dyDescent="0.25">
      <c r="E2512" s="2"/>
      <c r="G2512" s="2"/>
      <c r="I2512" s="2"/>
    </row>
    <row r="2513" spans="5:9" x14ac:dyDescent="0.25">
      <c r="E2513" s="2"/>
      <c r="G2513" s="2"/>
      <c r="I2513" s="2"/>
    </row>
    <row r="2514" spans="5:9" x14ac:dyDescent="0.25">
      <c r="E2514" s="2"/>
      <c r="G2514" s="2"/>
      <c r="I2514" s="2"/>
    </row>
    <row r="2515" spans="5:9" x14ac:dyDescent="0.25">
      <c r="E2515" s="2"/>
      <c r="G2515" s="2"/>
      <c r="I2515" s="2"/>
    </row>
    <row r="2516" spans="5:9" x14ac:dyDescent="0.25">
      <c r="E2516" s="2"/>
      <c r="G2516" s="2"/>
      <c r="I2516" s="2"/>
    </row>
    <row r="2517" spans="5:9" x14ac:dyDescent="0.25">
      <c r="E2517" s="2"/>
      <c r="G2517" s="2"/>
      <c r="I2517" s="2"/>
    </row>
    <row r="2518" spans="5:9" x14ac:dyDescent="0.25">
      <c r="E2518" s="2"/>
      <c r="G2518" s="2"/>
      <c r="I2518" s="2"/>
    </row>
    <row r="2519" spans="5:9" x14ac:dyDescent="0.25">
      <c r="E2519" s="2"/>
      <c r="G2519" s="2"/>
      <c r="I2519" s="2"/>
    </row>
    <row r="2520" spans="5:9" x14ac:dyDescent="0.25">
      <c r="E2520" s="2"/>
      <c r="G2520" s="2"/>
      <c r="I2520" s="2"/>
    </row>
    <row r="2521" spans="5:9" x14ac:dyDescent="0.25">
      <c r="E2521" s="2"/>
      <c r="G2521" s="2"/>
      <c r="I2521" s="2"/>
    </row>
    <row r="2522" spans="5:9" x14ac:dyDescent="0.25">
      <c r="E2522" s="2"/>
      <c r="G2522" s="2"/>
      <c r="I2522" s="2"/>
    </row>
    <row r="2523" spans="5:9" x14ac:dyDescent="0.25">
      <c r="E2523" s="2"/>
      <c r="G2523" s="2"/>
      <c r="I2523" s="2"/>
    </row>
    <row r="2524" spans="5:9" x14ac:dyDescent="0.25">
      <c r="E2524" s="2"/>
      <c r="G2524" s="2"/>
      <c r="I2524" s="2"/>
    </row>
    <row r="2525" spans="5:9" x14ac:dyDescent="0.25">
      <c r="E2525" s="2"/>
      <c r="G2525" s="2"/>
      <c r="I2525" s="2"/>
    </row>
    <row r="2526" spans="5:9" x14ac:dyDescent="0.25">
      <c r="E2526" s="2"/>
      <c r="G2526" s="2"/>
      <c r="I2526" s="2"/>
    </row>
    <row r="2527" spans="5:9" x14ac:dyDescent="0.25">
      <c r="E2527" s="2"/>
      <c r="G2527" s="2"/>
      <c r="I2527" s="2"/>
    </row>
    <row r="2528" spans="5:9" x14ac:dyDescent="0.25">
      <c r="E2528" s="2"/>
      <c r="G2528" s="2"/>
      <c r="I2528" s="2"/>
    </row>
    <row r="2529" spans="5:9" x14ac:dyDescent="0.25">
      <c r="E2529" s="2"/>
      <c r="G2529" s="2"/>
      <c r="I2529" s="2"/>
    </row>
    <row r="2530" spans="5:9" x14ac:dyDescent="0.25">
      <c r="E2530" s="2"/>
      <c r="G2530" s="2"/>
      <c r="I2530" s="2"/>
    </row>
    <row r="2531" spans="5:9" x14ac:dyDescent="0.25">
      <c r="E2531" s="2"/>
      <c r="G2531" s="2"/>
      <c r="I2531" s="2"/>
    </row>
    <row r="2532" spans="5:9" x14ac:dyDescent="0.25">
      <c r="E2532" s="2"/>
      <c r="G2532" s="2"/>
      <c r="I2532" s="2"/>
    </row>
    <row r="2533" spans="5:9" x14ac:dyDescent="0.25">
      <c r="E2533" s="2"/>
      <c r="G2533" s="2"/>
      <c r="I2533" s="2"/>
    </row>
    <row r="2534" spans="5:9" x14ac:dyDescent="0.25">
      <c r="E2534" s="2"/>
      <c r="G2534" s="2"/>
      <c r="I2534" s="2"/>
    </row>
    <row r="2535" spans="5:9" x14ac:dyDescent="0.25">
      <c r="E2535" s="2"/>
      <c r="G2535" s="2"/>
      <c r="I2535" s="2"/>
    </row>
    <row r="2536" spans="5:9" x14ac:dyDescent="0.25">
      <c r="E2536" s="2"/>
      <c r="G2536" s="2"/>
      <c r="I2536" s="2"/>
    </row>
    <row r="2537" spans="5:9" x14ac:dyDescent="0.25">
      <c r="E2537" s="2"/>
      <c r="G2537" s="2"/>
      <c r="I2537" s="2"/>
    </row>
    <row r="2538" spans="5:9" x14ac:dyDescent="0.25">
      <c r="E2538" s="2"/>
      <c r="G2538" s="2"/>
      <c r="I2538" s="2"/>
    </row>
    <row r="2539" spans="5:9" x14ac:dyDescent="0.25">
      <c r="E2539" s="2"/>
      <c r="G2539" s="2"/>
      <c r="I2539" s="2"/>
    </row>
    <row r="2540" spans="5:9" x14ac:dyDescent="0.25">
      <c r="E2540" s="2"/>
      <c r="G2540" s="2"/>
      <c r="I2540" s="2"/>
    </row>
    <row r="2541" spans="5:9" x14ac:dyDescent="0.25">
      <c r="E2541" s="2"/>
      <c r="G2541" s="2"/>
      <c r="I2541" s="2"/>
    </row>
    <row r="2542" spans="5:9" x14ac:dyDescent="0.25">
      <c r="E2542" s="2"/>
      <c r="G2542" s="2"/>
      <c r="I2542" s="2"/>
    </row>
    <row r="2543" spans="5:9" x14ac:dyDescent="0.25">
      <c r="E2543" s="2"/>
      <c r="G2543" s="2"/>
      <c r="I2543" s="2"/>
    </row>
    <row r="2544" spans="5:9" x14ac:dyDescent="0.25">
      <c r="E2544" s="2"/>
      <c r="G2544" s="2"/>
      <c r="I2544" s="2"/>
    </row>
    <row r="2545" spans="5:9" x14ac:dyDescent="0.25">
      <c r="E2545" s="2"/>
      <c r="G2545" s="2"/>
      <c r="I2545" s="2"/>
    </row>
    <row r="2546" spans="5:9" x14ac:dyDescent="0.25">
      <c r="E2546" s="2"/>
      <c r="G2546" s="2"/>
      <c r="I2546" s="2"/>
    </row>
    <row r="2547" spans="5:9" x14ac:dyDescent="0.25">
      <c r="E2547" s="2"/>
      <c r="G2547" s="2"/>
      <c r="I2547" s="2"/>
    </row>
    <row r="2548" spans="5:9" x14ac:dyDescent="0.25">
      <c r="E2548" s="2"/>
      <c r="G2548" s="2"/>
      <c r="I2548" s="2"/>
    </row>
    <row r="2549" spans="5:9" x14ac:dyDescent="0.25">
      <c r="E2549" s="2"/>
      <c r="G2549" s="2"/>
      <c r="I2549" s="2"/>
    </row>
    <row r="2550" spans="5:9" x14ac:dyDescent="0.25">
      <c r="E2550" s="2"/>
      <c r="G2550" s="2"/>
      <c r="I2550" s="2"/>
    </row>
    <row r="2551" spans="5:9" x14ac:dyDescent="0.25">
      <c r="E2551" s="2"/>
      <c r="G2551" s="2"/>
      <c r="I2551" s="2"/>
    </row>
    <row r="2552" spans="5:9" x14ac:dyDescent="0.25">
      <c r="E2552" s="2"/>
      <c r="G2552" s="2"/>
      <c r="I2552" s="2"/>
    </row>
    <row r="2553" spans="5:9" x14ac:dyDescent="0.25">
      <c r="E2553" s="2"/>
      <c r="G2553" s="2"/>
      <c r="I2553" s="2"/>
    </row>
    <row r="2554" spans="5:9" x14ac:dyDescent="0.25">
      <c r="E2554" s="2"/>
      <c r="G2554" s="2"/>
      <c r="I2554" s="2"/>
    </row>
    <row r="2555" spans="5:9" x14ac:dyDescent="0.25">
      <c r="E2555" s="2"/>
      <c r="G2555" s="2"/>
      <c r="I2555" s="2"/>
    </row>
    <row r="2556" spans="5:9" x14ac:dyDescent="0.25">
      <c r="E2556" s="2"/>
      <c r="G2556" s="2"/>
      <c r="I2556" s="2"/>
    </row>
    <row r="2557" spans="5:9" x14ac:dyDescent="0.25">
      <c r="E2557" s="2"/>
      <c r="G2557" s="2"/>
      <c r="I2557" s="2"/>
    </row>
    <row r="2558" spans="5:9" x14ac:dyDescent="0.25">
      <c r="E2558" s="2"/>
      <c r="G2558" s="2"/>
      <c r="I2558" s="2"/>
    </row>
    <row r="2559" spans="5:9" x14ac:dyDescent="0.25">
      <c r="E2559" s="2"/>
      <c r="G2559" s="2"/>
      <c r="I2559" s="2"/>
    </row>
    <row r="2560" spans="5:9" x14ac:dyDescent="0.25">
      <c r="E2560" s="2"/>
      <c r="G2560" s="2"/>
      <c r="I2560" s="2"/>
    </row>
    <row r="2561" spans="5:9" x14ac:dyDescent="0.25">
      <c r="E2561" s="2"/>
      <c r="G2561" s="2"/>
      <c r="I2561" s="2"/>
    </row>
    <row r="2562" spans="5:9" x14ac:dyDescent="0.25">
      <c r="E2562" s="2"/>
      <c r="G2562" s="2"/>
      <c r="I2562" s="2"/>
    </row>
    <row r="2563" spans="5:9" x14ac:dyDescent="0.25">
      <c r="E2563" s="2"/>
      <c r="G2563" s="2"/>
      <c r="I2563" s="2"/>
    </row>
    <row r="2564" spans="5:9" x14ac:dyDescent="0.25">
      <c r="E2564" s="2"/>
      <c r="G2564" s="2"/>
      <c r="I2564" s="2"/>
    </row>
    <row r="2565" spans="5:9" x14ac:dyDescent="0.25">
      <c r="E2565" s="2"/>
      <c r="G2565" s="2"/>
      <c r="I2565" s="2"/>
    </row>
    <row r="2566" spans="5:9" x14ac:dyDescent="0.25">
      <c r="E2566" s="2"/>
      <c r="G2566" s="2"/>
      <c r="I2566" s="2"/>
    </row>
    <row r="2567" spans="5:9" x14ac:dyDescent="0.25">
      <c r="E2567" s="2"/>
      <c r="G2567" s="2"/>
      <c r="I2567" s="2"/>
    </row>
    <row r="2568" spans="5:9" x14ac:dyDescent="0.25">
      <c r="E2568" s="2"/>
      <c r="G2568" s="2"/>
      <c r="I2568" s="2"/>
    </row>
    <row r="2569" spans="5:9" x14ac:dyDescent="0.25">
      <c r="E2569" s="2"/>
      <c r="G2569" s="2"/>
      <c r="I2569" s="2"/>
    </row>
    <row r="2570" spans="5:9" x14ac:dyDescent="0.25">
      <c r="E2570" s="2"/>
      <c r="G2570" s="2"/>
      <c r="I2570" s="2"/>
    </row>
    <row r="2571" spans="5:9" x14ac:dyDescent="0.25">
      <c r="E2571" s="2"/>
      <c r="G2571" s="2"/>
      <c r="I2571" s="2"/>
    </row>
    <row r="2572" spans="5:9" x14ac:dyDescent="0.25">
      <c r="E2572" s="2"/>
      <c r="G2572" s="2"/>
      <c r="I2572" s="2"/>
    </row>
    <row r="2573" spans="5:9" x14ac:dyDescent="0.25">
      <c r="E2573" s="2"/>
      <c r="G2573" s="2"/>
      <c r="I2573" s="2"/>
    </row>
    <row r="2574" spans="5:9" x14ac:dyDescent="0.25">
      <c r="E2574" s="2"/>
      <c r="G2574" s="2"/>
      <c r="I2574" s="2"/>
    </row>
    <row r="2575" spans="5:9" x14ac:dyDescent="0.25">
      <c r="E2575" s="2"/>
      <c r="G2575" s="2"/>
      <c r="I2575" s="2"/>
    </row>
    <row r="2576" spans="5:9" x14ac:dyDescent="0.25">
      <c r="E2576" s="2"/>
      <c r="G2576" s="2"/>
      <c r="I2576" s="2"/>
    </row>
    <row r="2577" spans="5:9" x14ac:dyDescent="0.25">
      <c r="E2577" s="2"/>
      <c r="G2577" s="2"/>
      <c r="I2577" s="2"/>
    </row>
    <row r="2578" spans="5:9" x14ac:dyDescent="0.25">
      <c r="E2578" s="2"/>
      <c r="G2578" s="2"/>
      <c r="I2578" s="2"/>
    </row>
    <row r="2579" spans="5:9" x14ac:dyDescent="0.25">
      <c r="E2579" s="2"/>
      <c r="G2579" s="2"/>
      <c r="I2579" s="2"/>
    </row>
    <row r="2580" spans="5:9" x14ac:dyDescent="0.25">
      <c r="E2580" s="2"/>
      <c r="G2580" s="2"/>
      <c r="I2580" s="2"/>
    </row>
    <row r="2581" spans="5:9" x14ac:dyDescent="0.25">
      <c r="E2581" s="2"/>
      <c r="G2581" s="2"/>
      <c r="I2581" s="2"/>
    </row>
    <row r="2582" spans="5:9" x14ac:dyDescent="0.25">
      <c r="E2582" s="2"/>
      <c r="G2582" s="2"/>
      <c r="I2582" s="2"/>
    </row>
    <row r="2583" spans="5:9" x14ac:dyDescent="0.25">
      <c r="E2583" s="2"/>
      <c r="G2583" s="2"/>
      <c r="I2583" s="2"/>
    </row>
    <row r="2584" spans="5:9" x14ac:dyDescent="0.25">
      <c r="E2584" s="2"/>
      <c r="G2584" s="2"/>
      <c r="I2584" s="2"/>
    </row>
    <row r="2585" spans="5:9" x14ac:dyDescent="0.25">
      <c r="E2585" s="2"/>
      <c r="G2585" s="2"/>
      <c r="I2585" s="2"/>
    </row>
    <row r="2586" spans="5:9" x14ac:dyDescent="0.25">
      <c r="E2586" s="2"/>
      <c r="G2586" s="2"/>
      <c r="I2586" s="2"/>
    </row>
    <row r="2587" spans="5:9" x14ac:dyDescent="0.25">
      <c r="E2587" s="2"/>
      <c r="G2587" s="2"/>
      <c r="I2587" s="2"/>
    </row>
    <row r="2588" spans="5:9" x14ac:dyDescent="0.25">
      <c r="E2588" s="2"/>
      <c r="G2588" s="2"/>
      <c r="I2588" s="2"/>
    </row>
    <row r="2589" spans="5:9" x14ac:dyDescent="0.25">
      <c r="E2589" s="2"/>
      <c r="G2589" s="2"/>
      <c r="I2589" s="2"/>
    </row>
    <row r="2590" spans="5:9" x14ac:dyDescent="0.25">
      <c r="E2590" s="2"/>
      <c r="G2590" s="2"/>
      <c r="I2590" s="2"/>
    </row>
    <row r="2591" spans="5:9" x14ac:dyDescent="0.25">
      <c r="E2591" s="2"/>
      <c r="G2591" s="2"/>
      <c r="I2591" s="2"/>
    </row>
    <row r="2592" spans="5:9" x14ac:dyDescent="0.25">
      <c r="E2592" s="2"/>
      <c r="G2592" s="2"/>
      <c r="I2592" s="2"/>
    </row>
    <row r="2593" spans="5:9" x14ac:dyDescent="0.25">
      <c r="E2593" s="2"/>
      <c r="G2593" s="2"/>
      <c r="I2593" s="2"/>
    </row>
    <row r="2594" spans="5:9" x14ac:dyDescent="0.25">
      <c r="E2594" s="2"/>
      <c r="G2594" s="2"/>
      <c r="I2594" s="2"/>
    </row>
    <row r="2595" spans="5:9" x14ac:dyDescent="0.25">
      <c r="E2595" s="2"/>
      <c r="G2595" s="2"/>
      <c r="I2595" s="2"/>
    </row>
    <row r="2596" spans="5:9" x14ac:dyDescent="0.25">
      <c r="E2596" s="2"/>
      <c r="G2596" s="2"/>
      <c r="I2596" s="2"/>
    </row>
    <row r="2597" spans="5:9" x14ac:dyDescent="0.25">
      <c r="E2597" s="2"/>
      <c r="G2597" s="2"/>
      <c r="I2597" s="2"/>
    </row>
    <row r="2598" spans="5:9" x14ac:dyDescent="0.25">
      <c r="E2598" s="2"/>
      <c r="G2598" s="2"/>
      <c r="I2598" s="2"/>
    </row>
    <row r="2599" spans="5:9" x14ac:dyDescent="0.25">
      <c r="E2599" s="2"/>
      <c r="G2599" s="2"/>
      <c r="I2599" s="2"/>
    </row>
    <row r="2600" spans="5:9" x14ac:dyDescent="0.25">
      <c r="E2600" s="2"/>
      <c r="G2600" s="2"/>
      <c r="I2600" s="2"/>
    </row>
    <row r="2601" spans="5:9" x14ac:dyDescent="0.25">
      <c r="E2601" s="2"/>
      <c r="G2601" s="2"/>
      <c r="I2601" s="2"/>
    </row>
    <row r="2602" spans="5:9" x14ac:dyDescent="0.25">
      <c r="E2602" s="2"/>
      <c r="G2602" s="2"/>
      <c r="I2602" s="2"/>
    </row>
    <row r="2603" spans="5:9" x14ac:dyDescent="0.25">
      <c r="E2603" s="2"/>
      <c r="G2603" s="2"/>
      <c r="I2603" s="2"/>
    </row>
    <row r="2604" spans="5:9" x14ac:dyDescent="0.25">
      <c r="E2604" s="2"/>
      <c r="G2604" s="2"/>
      <c r="I2604" s="2"/>
    </row>
    <row r="2605" spans="5:9" x14ac:dyDescent="0.25">
      <c r="E2605" s="2"/>
      <c r="G2605" s="2"/>
      <c r="I2605" s="2"/>
    </row>
    <row r="2606" spans="5:9" x14ac:dyDescent="0.25">
      <c r="E2606" s="2"/>
      <c r="G2606" s="2"/>
      <c r="I2606" s="2"/>
    </row>
    <row r="2607" spans="5:9" x14ac:dyDescent="0.25">
      <c r="E2607" s="2"/>
      <c r="G2607" s="2"/>
      <c r="I2607" s="2"/>
    </row>
    <row r="2608" spans="5:9" x14ac:dyDescent="0.25">
      <c r="E2608" s="2"/>
      <c r="G2608" s="2"/>
      <c r="I2608" s="2"/>
    </row>
    <row r="2609" spans="5:9" x14ac:dyDescent="0.25">
      <c r="E2609" s="2"/>
      <c r="G2609" s="2"/>
      <c r="I2609" s="2"/>
    </row>
    <row r="2610" spans="5:9" x14ac:dyDescent="0.25">
      <c r="E2610" s="2"/>
      <c r="G2610" s="2"/>
      <c r="I2610" s="2"/>
    </row>
    <row r="2611" spans="5:9" x14ac:dyDescent="0.25">
      <c r="E2611" s="2"/>
      <c r="G2611" s="2"/>
      <c r="I2611" s="2"/>
    </row>
    <row r="2612" spans="5:9" x14ac:dyDescent="0.25">
      <c r="E2612" s="2"/>
      <c r="G2612" s="2"/>
      <c r="I2612" s="2"/>
    </row>
    <row r="2613" spans="5:9" x14ac:dyDescent="0.25">
      <c r="E2613" s="2"/>
      <c r="G2613" s="2"/>
      <c r="I2613" s="2"/>
    </row>
    <row r="2614" spans="5:9" x14ac:dyDescent="0.25">
      <c r="E2614" s="2"/>
      <c r="G2614" s="2"/>
      <c r="I2614" s="2"/>
    </row>
    <row r="2615" spans="5:9" x14ac:dyDescent="0.25">
      <c r="E2615" s="2"/>
      <c r="G2615" s="2"/>
      <c r="I2615" s="2"/>
    </row>
    <row r="2616" spans="5:9" x14ac:dyDescent="0.25">
      <c r="E2616" s="2"/>
      <c r="G2616" s="2"/>
      <c r="I2616" s="2"/>
    </row>
    <row r="2617" spans="5:9" x14ac:dyDescent="0.25">
      <c r="E2617" s="2"/>
      <c r="G2617" s="2"/>
      <c r="I2617" s="2"/>
    </row>
    <row r="2618" spans="5:9" x14ac:dyDescent="0.25">
      <c r="E2618" s="2"/>
      <c r="G2618" s="2"/>
      <c r="I2618" s="2"/>
    </row>
    <row r="2619" spans="5:9" x14ac:dyDescent="0.25">
      <c r="E2619" s="2"/>
      <c r="G2619" s="2"/>
      <c r="I2619" s="2"/>
    </row>
    <row r="2620" spans="5:9" x14ac:dyDescent="0.25">
      <c r="E2620" s="2"/>
      <c r="G2620" s="2"/>
      <c r="I2620" s="2"/>
    </row>
    <row r="2621" spans="5:9" x14ac:dyDescent="0.25">
      <c r="E2621" s="2"/>
      <c r="G2621" s="2"/>
      <c r="I2621" s="2"/>
    </row>
    <row r="2622" spans="5:9" x14ac:dyDescent="0.25">
      <c r="E2622" s="2"/>
      <c r="G2622" s="2"/>
      <c r="I2622" s="2"/>
    </row>
    <row r="2623" spans="5:9" x14ac:dyDescent="0.25">
      <c r="E2623" s="2"/>
      <c r="G2623" s="2"/>
      <c r="I2623" s="2"/>
    </row>
    <row r="2624" spans="5:9" x14ac:dyDescent="0.25">
      <c r="E2624" s="2"/>
      <c r="G2624" s="2"/>
      <c r="I2624" s="2"/>
    </row>
    <row r="2625" spans="5:9" x14ac:dyDescent="0.25">
      <c r="E2625" s="2"/>
      <c r="G2625" s="2"/>
      <c r="I2625" s="2"/>
    </row>
    <row r="2626" spans="5:9" x14ac:dyDescent="0.25">
      <c r="E2626" s="2"/>
      <c r="G2626" s="2"/>
      <c r="I2626" s="2"/>
    </row>
    <row r="2627" spans="5:9" x14ac:dyDescent="0.25">
      <c r="E2627" s="2"/>
      <c r="G2627" s="2"/>
      <c r="I2627" s="2"/>
    </row>
    <row r="2628" spans="5:9" x14ac:dyDescent="0.25">
      <c r="E2628" s="2"/>
      <c r="G2628" s="2"/>
      <c r="I2628" s="2"/>
    </row>
    <row r="2629" spans="5:9" x14ac:dyDescent="0.25">
      <c r="E2629" s="2"/>
      <c r="G2629" s="2"/>
      <c r="I2629" s="2"/>
    </row>
    <row r="2630" spans="5:9" x14ac:dyDescent="0.25">
      <c r="E2630" s="2"/>
      <c r="G2630" s="2"/>
      <c r="I2630" s="2"/>
    </row>
    <row r="2631" spans="5:9" x14ac:dyDescent="0.25">
      <c r="E2631" s="2"/>
      <c r="G2631" s="2"/>
      <c r="I2631" s="2"/>
    </row>
    <row r="2632" spans="5:9" x14ac:dyDescent="0.25">
      <c r="E2632" s="2"/>
      <c r="G2632" s="2"/>
      <c r="I2632" s="2"/>
    </row>
    <row r="2633" spans="5:9" x14ac:dyDescent="0.25">
      <c r="E2633" s="2"/>
      <c r="G2633" s="2"/>
      <c r="I2633" s="2"/>
    </row>
    <row r="2634" spans="5:9" x14ac:dyDescent="0.25">
      <c r="E2634" s="2"/>
      <c r="G2634" s="2"/>
      <c r="I2634" s="2"/>
    </row>
    <row r="2635" spans="5:9" x14ac:dyDescent="0.25">
      <c r="E2635" s="2"/>
      <c r="G2635" s="2"/>
      <c r="I2635" s="2"/>
    </row>
    <row r="2636" spans="5:9" x14ac:dyDescent="0.25">
      <c r="E2636" s="2"/>
      <c r="G2636" s="2"/>
      <c r="I2636" s="2"/>
    </row>
    <row r="2637" spans="5:9" x14ac:dyDescent="0.25">
      <c r="E2637" s="2"/>
      <c r="G2637" s="2"/>
      <c r="I2637" s="2"/>
    </row>
    <row r="2638" spans="5:9" x14ac:dyDescent="0.25">
      <c r="E2638" s="2"/>
      <c r="G2638" s="2"/>
      <c r="I2638" s="2"/>
    </row>
    <row r="2639" spans="5:9" x14ac:dyDescent="0.25">
      <c r="E2639" s="2"/>
      <c r="G2639" s="2"/>
      <c r="I2639" s="2"/>
    </row>
    <row r="2640" spans="5:9" x14ac:dyDescent="0.25">
      <c r="E2640" s="2"/>
      <c r="G2640" s="2"/>
      <c r="I2640" s="2"/>
    </row>
    <row r="2641" spans="5:9" x14ac:dyDescent="0.25">
      <c r="E2641" s="2"/>
      <c r="G2641" s="2"/>
      <c r="I2641" s="2"/>
    </row>
    <row r="2642" spans="5:9" x14ac:dyDescent="0.25">
      <c r="E2642" s="2"/>
      <c r="G2642" s="2"/>
      <c r="I2642" s="2"/>
    </row>
    <row r="2643" spans="5:9" x14ac:dyDescent="0.25">
      <c r="E2643" s="2"/>
      <c r="G2643" s="2"/>
      <c r="I2643" s="2"/>
    </row>
    <row r="2644" spans="5:9" x14ac:dyDescent="0.25">
      <c r="E2644" s="2"/>
      <c r="G2644" s="2"/>
      <c r="I2644" s="2"/>
    </row>
    <row r="2645" spans="5:9" x14ac:dyDescent="0.25">
      <c r="E2645" s="2"/>
      <c r="G2645" s="2"/>
      <c r="I2645" s="2"/>
    </row>
    <row r="2646" spans="5:9" x14ac:dyDescent="0.25">
      <c r="E2646" s="2"/>
      <c r="G2646" s="2"/>
      <c r="I2646" s="2"/>
    </row>
    <row r="2647" spans="5:9" x14ac:dyDescent="0.25">
      <c r="E2647" s="2"/>
      <c r="G2647" s="2"/>
      <c r="I2647" s="2"/>
    </row>
    <row r="2648" spans="5:9" x14ac:dyDescent="0.25">
      <c r="E2648" s="2"/>
      <c r="G2648" s="2"/>
      <c r="I2648" s="2"/>
    </row>
    <row r="2649" spans="5:9" x14ac:dyDescent="0.25">
      <c r="E2649" s="2"/>
      <c r="G2649" s="2"/>
      <c r="I2649" s="2"/>
    </row>
    <row r="2650" spans="5:9" x14ac:dyDescent="0.25">
      <c r="E2650" s="2"/>
      <c r="G2650" s="2"/>
      <c r="I2650" s="2"/>
    </row>
    <row r="2651" spans="5:9" x14ac:dyDescent="0.25">
      <c r="E2651" s="2"/>
      <c r="G2651" s="2"/>
      <c r="I2651" s="2"/>
    </row>
    <row r="2652" spans="5:9" x14ac:dyDescent="0.25">
      <c r="E2652" s="2"/>
      <c r="G2652" s="2"/>
      <c r="I2652" s="2"/>
    </row>
    <row r="2653" spans="5:9" x14ac:dyDescent="0.25">
      <c r="E2653" s="2"/>
      <c r="G2653" s="2"/>
      <c r="I2653" s="2"/>
    </row>
    <row r="2654" spans="5:9" x14ac:dyDescent="0.25">
      <c r="E2654" s="2"/>
      <c r="G2654" s="2"/>
      <c r="I2654" s="2"/>
    </row>
    <row r="2655" spans="5:9" x14ac:dyDescent="0.25">
      <c r="E2655" s="2"/>
      <c r="G2655" s="2"/>
      <c r="I2655" s="2"/>
    </row>
    <row r="2656" spans="5:9" x14ac:dyDescent="0.25">
      <c r="E2656" s="2"/>
      <c r="G2656" s="2"/>
      <c r="I2656" s="2"/>
    </row>
    <row r="2657" spans="5:9" x14ac:dyDescent="0.25">
      <c r="E2657" s="2"/>
      <c r="G2657" s="2"/>
      <c r="I2657" s="2"/>
    </row>
    <row r="2658" spans="5:9" x14ac:dyDescent="0.25">
      <c r="E2658" s="2"/>
      <c r="G2658" s="2"/>
      <c r="I2658" s="2"/>
    </row>
    <row r="2659" spans="5:9" x14ac:dyDescent="0.25">
      <c r="E2659" s="2"/>
      <c r="G2659" s="2"/>
      <c r="I2659" s="2"/>
    </row>
    <row r="2660" spans="5:9" x14ac:dyDescent="0.25">
      <c r="E2660" s="2"/>
      <c r="G2660" s="2"/>
      <c r="I2660" s="2"/>
    </row>
    <row r="2661" spans="5:9" x14ac:dyDescent="0.25">
      <c r="E2661" s="2"/>
      <c r="G2661" s="2"/>
      <c r="I2661" s="2"/>
    </row>
    <row r="2662" spans="5:9" x14ac:dyDescent="0.25">
      <c r="E2662" s="2"/>
      <c r="G2662" s="2"/>
      <c r="I2662" s="2"/>
    </row>
    <row r="2663" spans="5:9" x14ac:dyDescent="0.25">
      <c r="E2663" s="2"/>
      <c r="G2663" s="2"/>
      <c r="I2663" s="2"/>
    </row>
    <row r="2664" spans="5:9" x14ac:dyDescent="0.25">
      <c r="E2664" s="2"/>
      <c r="G2664" s="2"/>
      <c r="I2664" s="2"/>
    </row>
    <row r="2665" spans="5:9" x14ac:dyDescent="0.25">
      <c r="E2665" s="2"/>
      <c r="G2665" s="2"/>
      <c r="I2665" s="2"/>
    </row>
    <row r="2666" spans="5:9" x14ac:dyDescent="0.25">
      <c r="E2666" s="2"/>
      <c r="G2666" s="2"/>
      <c r="I2666" s="2"/>
    </row>
    <row r="2667" spans="5:9" x14ac:dyDescent="0.25">
      <c r="E2667" s="2"/>
      <c r="G2667" s="2"/>
      <c r="I2667" s="2"/>
    </row>
    <row r="2668" spans="5:9" x14ac:dyDescent="0.25">
      <c r="E2668" s="2"/>
      <c r="G2668" s="2"/>
      <c r="I2668" s="2"/>
    </row>
    <row r="2669" spans="5:9" x14ac:dyDescent="0.25">
      <c r="E2669" s="2"/>
      <c r="G2669" s="2"/>
      <c r="I2669" s="2"/>
    </row>
    <row r="2670" spans="5:9" x14ac:dyDescent="0.25">
      <c r="E2670" s="2"/>
      <c r="G2670" s="2"/>
      <c r="I2670" s="2"/>
    </row>
    <row r="2671" spans="5:9" x14ac:dyDescent="0.25">
      <c r="E2671" s="2"/>
      <c r="G2671" s="2"/>
      <c r="I2671" s="2"/>
    </row>
    <row r="2672" spans="5:9" x14ac:dyDescent="0.25">
      <c r="E2672" s="2"/>
      <c r="G2672" s="2"/>
      <c r="I2672" s="2"/>
    </row>
    <row r="2673" spans="5:9" x14ac:dyDescent="0.25">
      <c r="E2673" s="2"/>
      <c r="G2673" s="2"/>
      <c r="I2673" s="2"/>
    </row>
    <row r="2674" spans="5:9" x14ac:dyDescent="0.25">
      <c r="E2674" s="2"/>
      <c r="G2674" s="2"/>
      <c r="I2674" s="2"/>
    </row>
    <row r="2675" spans="5:9" x14ac:dyDescent="0.25">
      <c r="E2675" s="2"/>
      <c r="G2675" s="2"/>
      <c r="I2675" s="2"/>
    </row>
    <row r="2676" spans="5:9" x14ac:dyDescent="0.25">
      <c r="E2676" s="2"/>
      <c r="G2676" s="2"/>
      <c r="I2676" s="2"/>
    </row>
    <row r="2677" spans="5:9" x14ac:dyDescent="0.25">
      <c r="E2677" s="2"/>
      <c r="G2677" s="2"/>
      <c r="I2677" s="2"/>
    </row>
    <row r="2678" spans="5:9" x14ac:dyDescent="0.25">
      <c r="E2678" s="2"/>
      <c r="G2678" s="2"/>
      <c r="I2678" s="2"/>
    </row>
    <row r="2679" spans="5:9" x14ac:dyDescent="0.25">
      <c r="E2679" s="2"/>
      <c r="G2679" s="2"/>
      <c r="I2679" s="2"/>
    </row>
    <row r="2680" spans="5:9" x14ac:dyDescent="0.25">
      <c r="E2680" s="2"/>
      <c r="G2680" s="2"/>
      <c r="I2680" s="2"/>
    </row>
    <row r="2681" spans="5:9" x14ac:dyDescent="0.25">
      <c r="E2681" s="2"/>
      <c r="G2681" s="2"/>
      <c r="I2681" s="2"/>
    </row>
    <row r="2682" spans="5:9" x14ac:dyDescent="0.25">
      <c r="E2682" s="2"/>
      <c r="G2682" s="2"/>
      <c r="I2682" s="2"/>
    </row>
    <row r="2683" spans="5:9" x14ac:dyDescent="0.25">
      <c r="E2683" s="2"/>
      <c r="G2683" s="2"/>
      <c r="I2683" s="2"/>
    </row>
    <row r="2684" spans="5:9" x14ac:dyDescent="0.25">
      <c r="E2684" s="2"/>
      <c r="G2684" s="2"/>
      <c r="I2684" s="2"/>
    </row>
    <row r="2685" spans="5:9" x14ac:dyDescent="0.25">
      <c r="E2685" s="2"/>
      <c r="G2685" s="2"/>
      <c r="I2685" s="2"/>
    </row>
    <row r="2686" spans="5:9" x14ac:dyDescent="0.25">
      <c r="E2686" s="2"/>
      <c r="G2686" s="2"/>
      <c r="I2686" s="2"/>
    </row>
    <row r="2687" spans="5:9" x14ac:dyDescent="0.25">
      <c r="E2687" s="2"/>
      <c r="G2687" s="2"/>
      <c r="I2687" s="2"/>
    </row>
    <row r="2688" spans="5:9" x14ac:dyDescent="0.25">
      <c r="E2688" s="2"/>
      <c r="G2688" s="2"/>
      <c r="I2688" s="2"/>
    </row>
    <row r="2689" spans="5:9" x14ac:dyDescent="0.25">
      <c r="E2689" s="2"/>
      <c r="G2689" s="2"/>
      <c r="I2689" s="2"/>
    </row>
    <row r="2690" spans="5:9" x14ac:dyDescent="0.25">
      <c r="E2690" s="2"/>
      <c r="G2690" s="2"/>
      <c r="I2690" s="2"/>
    </row>
    <row r="2691" spans="5:9" x14ac:dyDescent="0.25">
      <c r="E2691" s="2"/>
      <c r="G2691" s="2"/>
      <c r="I2691" s="2"/>
    </row>
    <row r="2692" spans="5:9" x14ac:dyDescent="0.25">
      <c r="E2692" s="2"/>
      <c r="G2692" s="2"/>
      <c r="I2692" s="2"/>
    </row>
    <row r="2693" spans="5:9" x14ac:dyDescent="0.25">
      <c r="E2693" s="2"/>
      <c r="G2693" s="2"/>
      <c r="I2693" s="2"/>
    </row>
    <row r="2694" spans="5:9" x14ac:dyDescent="0.25">
      <c r="E2694" s="2"/>
      <c r="G2694" s="2"/>
      <c r="I2694" s="2"/>
    </row>
    <row r="2695" spans="5:9" x14ac:dyDescent="0.25">
      <c r="E2695" s="2"/>
      <c r="G2695" s="2"/>
      <c r="I2695" s="2"/>
    </row>
    <row r="2696" spans="5:9" x14ac:dyDescent="0.25">
      <c r="E2696" s="2"/>
      <c r="G2696" s="2"/>
      <c r="I2696" s="2"/>
    </row>
    <row r="2697" spans="5:9" x14ac:dyDescent="0.25">
      <c r="E2697" s="2"/>
      <c r="G2697" s="2"/>
      <c r="I2697" s="2"/>
    </row>
    <row r="2698" spans="5:9" x14ac:dyDescent="0.25">
      <c r="E2698" s="2"/>
      <c r="G2698" s="2"/>
      <c r="I2698" s="2"/>
    </row>
    <row r="2699" spans="5:9" x14ac:dyDescent="0.25">
      <c r="E2699" s="2"/>
      <c r="G2699" s="2"/>
      <c r="I2699" s="2"/>
    </row>
    <row r="2700" spans="5:9" x14ac:dyDescent="0.25">
      <c r="E2700" s="2"/>
      <c r="G2700" s="2"/>
      <c r="I2700" s="2"/>
    </row>
    <row r="2701" spans="5:9" x14ac:dyDescent="0.25">
      <c r="E2701" s="2"/>
      <c r="G2701" s="2"/>
      <c r="I2701" s="2"/>
    </row>
    <row r="2702" spans="5:9" x14ac:dyDescent="0.25">
      <c r="E2702" s="2"/>
      <c r="G2702" s="2"/>
      <c r="I2702" s="2"/>
    </row>
    <row r="2703" spans="5:9" x14ac:dyDescent="0.25">
      <c r="E2703" s="2"/>
      <c r="G2703" s="2"/>
      <c r="I2703" s="2"/>
    </row>
    <row r="2704" spans="5:9" x14ac:dyDescent="0.25">
      <c r="E2704" s="2"/>
      <c r="G2704" s="2"/>
      <c r="I2704" s="2"/>
    </row>
    <row r="2705" spans="5:9" x14ac:dyDescent="0.25">
      <c r="E2705" s="2"/>
      <c r="G2705" s="2"/>
      <c r="I2705" s="2"/>
    </row>
    <row r="2706" spans="5:9" x14ac:dyDescent="0.25">
      <c r="E2706" s="2"/>
      <c r="G2706" s="2"/>
      <c r="I2706" s="2"/>
    </row>
    <row r="2707" spans="5:9" x14ac:dyDescent="0.25">
      <c r="E2707" s="2"/>
      <c r="G2707" s="2"/>
      <c r="I2707" s="2"/>
    </row>
    <row r="2708" spans="5:9" x14ac:dyDescent="0.25">
      <c r="E2708" s="2"/>
      <c r="G2708" s="2"/>
      <c r="I2708" s="2"/>
    </row>
    <row r="2709" spans="5:9" x14ac:dyDescent="0.25">
      <c r="E2709" s="2"/>
      <c r="G2709" s="2"/>
      <c r="I2709" s="2"/>
    </row>
    <row r="2710" spans="5:9" x14ac:dyDescent="0.25">
      <c r="E2710" s="2"/>
      <c r="G2710" s="2"/>
      <c r="I2710" s="2"/>
    </row>
    <row r="2711" spans="5:9" x14ac:dyDescent="0.25">
      <c r="E2711" s="2"/>
      <c r="G2711" s="2"/>
      <c r="I2711" s="2"/>
    </row>
    <row r="2712" spans="5:9" x14ac:dyDescent="0.25">
      <c r="E2712" s="2"/>
      <c r="G2712" s="2"/>
      <c r="I2712" s="2"/>
    </row>
    <row r="2713" spans="5:9" x14ac:dyDescent="0.25">
      <c r="E2713" s="2"/>
      <c r="G2713" s="2"/>
      <c r="I2713" s="2"/>
    </row>
    <row r="2714" spans="5:9" x14ac:dyDescent="0.25">
      <c r="E2714" s="2"/>
      <c r="G2714" s="2"/>
      <c r="I2714" s="2"/>
    </row>
    <row r="2715" spans="5:9" x14ac:dyDescent="0.25">
      <c r="E2715" s="2"/>
      <c r="G2715" s="2"/>
      <c r="I2715" s="2"/>
    </row>
    <row r="2716" spans="5:9" x14ac:dyDescent="0.25">
      <c r="E2716" s="2"/>
      <c r="G2716" s="2"/>
      <c r="I2716" s="2"/>
    </row>
    <row r="2717" spans="5:9" x14ac:dyDescent="0.25">
      <c r="E2717" s="2"/>
      <c r="G2717" s="2"/>
      <c r="I2717" s="2"/>
    </row>
    <row r="2718" spans="5:9" x14ac:dyDescent="0.25">
      <c r="E2718" s="2"/>
      <c r="G2718" s="2"/>
      <c r="I2718" s="2"/>
    </row>
    <row r="2719" spans="5:9" x14ac:dyDescent="0.25">
      <c r="E2719" s="2"/>
      <c r="G2719" s="2"/>
      <c r="I2719" s="2"/>
    </row>
    <row r="2720" spans="5:9" x14ac:dyDescent="0.25">
      <c r="E2720" s="2"/>
      <c r="G2720" s="2"/>
      <c r="I2720" s="2"/>
    </row>
    <row r="2721" spans="5:9" x14ac:dyDescent="0.25">
      <c r="E2721" s="2"/>
      <c r="G2721" s="2"/>
      <c r="I2721" s="2"/>
    </row>
    <row r="2722" spans="5:9" x14ac:dyDescent="0.25">
      <c r="E2722" s="2"/>
      <c r="G2722" s="2"/>
      <c r="I2722" s="2"/>
    </row>
    <row r="2723" spans="5:9" x14ac:dyDescent="0.25">
      <c r="E2723" s="2"/>
      <c r="G2723" s="2"/>
      <c r="I2723" s="2"/>
    </row>
    <row r="2724" spans="5:9" x14ac:dyDescent="0.25">
      <c r="E2724" s="2"/>
      <c r="G2724" s="2"/>
      <c r="I2724" s="2"/>
    </row>
    <row r="2725" spans="5:9" x14ac:dyDescent="0.25">
      <c r="E2725" s="2"/>
      <c r="G2725" s="2"/>
      <c r="I2725" s="2"/>
    </row>
    <row r="2726" spans="5:9" x14ac:dyDescent="0.25">
      <c r="E2726" s="2"/>
      <c r="G2726" s="2"/>
      <c r="I2726" s="2"/>
    </row>
    <row r="2727" spans="5:9" x14ac:dyDescent="0.25">
      <c r="E2727" s="2"/>
      <c r="G2727" s="2"/>
      <c r="I2727" s="2"/>
    </row>
    <row r="2728" spans="5:9" x14ac:dyDescent="0.25">
      <c r="E2728" s="2"/>
      <c r="G2728" s="2"/>
      <c r="I2728" s="2"/>
    </row>
    <row r="2729" spans="5:9" x14ac:dyDescent="0.25">
      <c r="E2729" s="2"/>
      <c r="G2729" s="2"/>
      <c r="I2729" s="2"/>
    </row>
    <row r="2730" spans="5:9" x14ac:dyDescent="0.25">
      <c r="E2730" s="2"/>
      <c r="G2730" s="2"/>
      <c r="I2730" s="2"/>
    </row>
    <row r="2731" spans="5:9" x14ac:dyDescent="0.25">
      <c r="E2731" s="2"/>
      <c r="G2731" s="2"/>
      <c r="I2731" s="2"/>
    </row>
    <row r="2732" spans="5:9" x14ac:dyDescent="0.25">
      <c r="E2732" s="2"/>
      <c r="G2732" s="2"/>
      <c r="I2732" s="2"/>
    </row>
    <row r="2733" spans="5:9" x14ac:dyDescent="0.25">
      <c r="E2733" s="2"/>
      <c r="G2733" s="2"/>
      <c r="I2733" s="2"/>
    </row>
    <row r="2734" spans="5:9" x14ac:dyDescent="0.25">
      <c r="E2734" s="2"/>
      <c r="G2734" s="2"/>
      <c r="I2734" s="2"/>
    </row>
    <row r="2735" spans="5:9" x14ac:dyDescent="0.25">
      <c r="E2735" s="2"/>
      <c r="G2735" s="2"/>
      <c r="I2735" s="2"/>
    </row>
    <row r="2736" spans="5:9" x14ac:dyDescent="0.25">
      <c r="E2736" s="2"/>
      <c r="G2736" s="2"/>
      <c r="I2736" s="2"/>
    </row>
    <row r="2737" spans="5:9" x14ac:dyDescent="0.25">
      <c r="E2737" s="2"/>
      <c r="G2737" s="2"/>
      <c r="I2737" s="2"/>
    </row>
    <row r="2738" spans="5:9" x14ac:dyDescent="0.25">
      <c r="E2738" s="2"/>
      <c r="G2738" s="2"/>
      <c r="I2738" s="2"/>
    </row>
    <row r="2739" spans="5:9" x14ac:dyDescent="0.25">
      <c r="E2739" s="2"/>
      <c r="G2739" s="2"/>
      <c r="I2739" s="2"/>
    </row>
    <row r="2740" spans="5:9" x14ac:dyDescent="0.25">
      <c r="E2740" s="2"/>
      <c r="G2740" s="2"/>
      <c r="I2740" s="2"/>
    </row>
    <row r="2741" spans="5:9" x14ac:dyDescent="0.25">
      <c r="E2741" s="2"/>
      <c r="G2741" s="2"/>
      <c r="I2741" s="2"/>
    </row>
    <row r="2742" spans="5:9" x14ac:dyDescent="0.25">
      <c r="E2742" s="2"/>
      <c r="G2742" s="2"/>
      <c r="I2742" s="2"/>
    </row>
    <row r="2743" spans="5:9" x14ac:dyDescent="0.25">
      <c r="E2743" s="2"/>
      <c r="G2743" s="2"/>
      <c r="I2743" s="2"/>
    </row>
    <row r="2744" spans="5:9" x14ac:dyDescent="0.25">
      <c r="E2744" s="2"/>
      <c r="G2744" s="2"/>
      <c r="I2744" s="2"/>
    </row>
    <row r="2745" spans="5:9" x14ac:dyDescent="0.25">
      <c r="E2745" s="2"/>
      <c r="G2745" s="2"/>
      <c r="I2745" s="2"/>
    </row>
    <row r="2746" spans="5:9" x14ac:dyDescent="0.25">
      <c r="E2746" s="2"/>
      <c r="G2746" s="2"/>
      <c r="I2746" s="2"/>
    </row>
    <row r="2747" spans="5:9" x14ac:dyDescent="0.25">
      <c r="E2747" s="2"/>
      <c r="G2747" s="2"/>
      <c r="I2747" s="2"/>
    </row>
    <row r="2748" spans="5:9" x14ac:dyDescent="0.25">
      <c r="E2748" s="2"/>
      <c r="G2748" s="2"/>
      <c r="I2748" s="2"/>
    </row>
    <row r="2749" spans="5:9" x14ac:dyDescent="0.25">
      <c r="E2749" s="2"/>
      <c r="G2749" s="2"/>
      <c r="I2749" s="2"/>
    </row>
    <row r="2750" spans="5:9" x14ac:dyDescent="0.25">
      <c r="E2750" s="2"/>
      <c r="G2750" s="2"/>
      <c r="I2750" s="2"/>
    </row>
    <row r="2751" spans="5:9" x14ac:dyDescent="0.25">
      <c r="E2751" s="2"/>
      <c r="G2751" s="2"/>
      <c r="I2751" s="2"/>
    </row>
    <row r="2752" spans="5:9" x14ac:dyDescent="0.25">
      <c r="E2752" s="2"/>
      <c r="G2752" s="2"/>
      <c r="I2752" s="2"/>
    </row>
    <row r="2753" spans="5:9" x14ac:dyDescent="0.25">
      <c r="E2753" s="2"/>
      <c r="G2753" s="2"/>
      <c r="I2753" s="2"/>
    </row>
    <row r="2754" spans="5:9" x14ac:dyDescent="0.25">
      <c r="E2754" s="2"/>
      <c r="G2754" s="2"/>
      <c r="I2754" s="2"/>
    </row>
    <row r="2755" spans="5:9" x14ac:dyDescent="0.25">
      <c r="E2755" s="2"/>
      <c r="G2755" s="2"/>
      <c r="I2755" s="2"/>
    </row>
    <row r="2756" spans="5:9" x14ac:dyDescent="0.25">
      <c r="E2756" s="2"/>
      <c r="G2756" s="2"/>
      <c r="I2756" s="2"/>
    </row>
    <row r="2757" spans="5:9" x14ac:dyDescent="0.25">
      <c r="E2757" s="2"/>
      <c r="G2757" s="2"/>
      <c r="I2757" s="2"/>
    </row>
    <row r="2758" spans="5:9" x14ac:dyDescent="0.25">
      <c r="E2758" s="2"/>
      <c r="G2758" s="2"/>
      <c r="I2758" s="2"/>
    </row>
    <row r="2759" spans="5:9" x14ac:dyDescent="0.25">
      <c r="E2759" s="2"/>
      <c r="G2759" s="2"/>
      <c r="I2759" s="2"/>
    </row>
    <row r="2760" spans="5:9" x14ac:dyDescent="0.25">
      <c r="E2760" s="2"/>
      <c r="G2760" s="2"/>
      <c r="I2760" s="2"/>
    </row>
    <row r="2761" spans="5:9" x14ac:dyDescent="0.25">
      <c r="E2761" s="2"/>
      <c r="G2761" s="2"/>
      <c r="I2761" s="2"/>
    </row>
    <row r="2762" spans="5:9" x14ac:dyDescent="0.25">
      <c r="E2762" s="2"/>
      <c r="G2762" s="2"/>
      <c r="I2762" s="2"/>
    </row>
    <row r="2763" spans="5:9" x14ac:dyDescent="0.25">
      <c r="E2763" s="2"/>
      <c r="G2763" s="2"/>
      <c r="I2763" s="2"/>
    </row>
    <row r="2764" spans="5:9" x14ac:dyDescent="0.25">
      <c r="E2764" s="2"/>
      <c r="G2764" s="2"/>
      <c r="I2764" s="2"/>
    </row>
    <row r="2765" spans="5:9" x14ac:dyDescent="0.25">
      <c r="E2765" s="2"/>
      <c r="G2765" s="2"/>
      <c r="I2765" s="2"/>
    </row>
    <row r="2766" spans="5:9" x14ac:dyDescent="0.25">
      <c r="E2766" s="2"/>
      <c r="G2766" s="2"/>
      <c r="I2766" s="2"/>
    </row>
    <row r="2767" spans="5:9" x14ac:dyDescent="0.25">
      <c r="E2767" s="2"/>
      <c r="G2767" s="2"/>
      <c r="I2767" s="2"/>
    </row>
    <row r="2768" spans="5:9" x14ac:dyDescent="0.25">
      <c r="E2768" s="2"/>
      <c r="G2768" s="2"/>
      <c r="I2768" s="2"/>
    </row>
    <row r="2769" spans="5:9" x14ac:dyDescent="0.25">
      <c r="E2769" s="2"/>
      <c r="G2769" s="2"/>
      <c r="I2769" s="2"/>
    </row>
    <row r="2770" spans="5:9" x14ac:dyDescent="0.25">
      <c r="E2770" s="2"/>
      <c r="G2770" s="2"/>
      <c r="I2770" s="2"/>
    </row>
    <row r="2771" spans="5:9" x14ac:dyDescent="0.25">
      <c r="E2771" s="2"/>
      <c r="G2771" s="2"/>
      <c r="I2771" s="2"/>
    </row>
    <row r="2772" spans="5:9" x14ac:dyDescent="0.25">
      <c r="E2772" s="2"/>
      <c r="G2772" s="2"/>
      <c r="I2772" s="2"/>
    </row>
    <row r="2773" spans="5:9" x14ac:dyDescent="0.25">
      <c r="E2773" s="2"/>
      <c r="G2773" s="2"/>
      <c r="I2773" s="2"/>
    </row>
    <row r="2774" spans="5:9" x14ac:dyDescent="0.25">
      <c r="E2774" s="2"/>
      <c r="G2774" s="2"/>
      <c r="I2774" s="2"/>
    </row>
    <row r="2775" spans="5:9" x14ac:dyDescent="0.25">
      <c r="E2775" s="2"/>
      <c r="G2775" s="2"/>
      <c r="I2775" s="2"/>
    </row>
    <row r="2776" spans="5:9" x14ac:dyDescent="0.25">
      <c r="E2776" s="2"/>
      <c r="G2776" s="2"/>
      <c r="I2776" s="2"/>
    </row>
    <row r="2777" spans="5:9" x14ac:dyDescent="0.25">
      <c r="E2777" s="2"/>
      <c r="G2777" s="2"/>
      <c r="I2777" s="2"/>
    </row>
    <row r="2778" spans="5:9" x14ac:dyDescent="0.25">
      <c r="E2778" s="2"/>
      <c r="G2778" s="2"/>
      <c r="I2778" s="2"/>
    </row>
    <row r="2779" spans="5:9" x14ac:dyDescent="0.25">
      <c r="E2779" s="2"/>
      <c r="G2779" s="2"/>
      <c r="I2779" s="2"/>
    </row>
    <row r="2780" spans="5:9" x14ac:dyDescent="0.25">
      <c r="E2780" s="2"/>
      <c r="G2780" s="2"/>
      <c r="I2780" s="2"/>
    </row>
    <row r="2781" spans="5:9" x14ac:dyDescent="0.25">
      <c r="E2781" s="2"/>
      <c r="G2781" s="2"/>
      <c r="I2781" s="2"/>
    </row>
    <row r="2782" spans="5:9" x14ac:dyDescent="0.25">
      <c r="E2782" s="2"/>
      <c r="G2782" s="2"/>
      <c r="I2782" s="2"/>
    </row>
    <row r="2783" spans="5:9" x14ac:dyDescent="0.25">
      <c r="E2783" s="2"/>
      <c r="G2783" s="2"/>
      <c r="I2783" s="2"/>
    </row>
    <row r="2784" spans="5:9" x14ac:dyDescent="0.25">
      <c r="E2784" s="2"/>
      <c r="G2784" s="2"/>
      <c r="I2784" s="2"/>
    </row>
    <row r="2785" spans="5:9" x14ac:dyDescent="0.25">
      <c r="E2785" s="2"/>
      <c r="G2785" s="2"/>
      <c r="I2785" s="2"/>
    </row>
    <row r="2786" spans="5:9" x14ac:dyDescent="0.25">
      <c r="E2786" s="2"/>
      <c r="G2786" s="2"/>
      <c r="I2786" s="2"/>
    </row>
    <row r="2787" spans="5:9" x14ac:dyDescent="0.25">
      <c r="E2787" s="2"/>
      <c r="G2787" s="2"/>
      <c r="I2787" s="2"/>
    </row>
    <row r="2788" spans="5:9" x14ac:dyDescent="0.25">
      <c r="E2788" s="2"/>
      <c r="G2788" s="2"/>
      <c r="I2788" s="2"/>
    </row>
    <row r="2789" spans="5:9" x14ac:dyDescent="0.25">
      <c r="E2789" s="2"/>
      <c r="G2789" s="2"/>
      <c r="I2789" s="2"/>
    </row>
    <row r="2790" spans="5:9" x14ac:dyDescent="0.25">
      <c r="E2790" s="2"/>
      <c r="G2790" s="2"/>
      <c r="I2790" s="2"/>
    </row>
    <row r="2791" spans="5:9" x14ac:dyDescent="0.25">
      <c r="E2791" s="2"/>
      <c r="G2791" s="2"/>
      <c r="I2791" s="2"/>
    </row>
    <row r="2792" spans="5:9" x14ac:dyDescent="0.25">
      <c r="E2792" s="2"/>
      <c r="G2792" s="2"/>
      <c r="I2792" s="2"/>
    </row>
    <row r="2793" spans="5:9" x14ac:dyDescent="0.25">
      <c r="E2793" s="2"/>
      <c r="G2793" s="2"/>
      <c r="I279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C637-CEB0-4F72-B1FF-FA27E90A5E3E}">
  <dimension ref="A1:AD453"/>
  <sheetViews>
    <sheetView zoomScale="115" zoomScaleNormal="115" workbookViewId="0">
      <pane xSplit="4" ySplit="3" topLeftCell="E153" activePane="bottomRight" state="frozen"/>
      <selection activeCell="G2945" sqref="G2945:H2949"/>
      <selection pane="topRight" activeCell="G2945" sqref="G2945:H2949"/>
      <selection pane="bottomLeft" activeCell="G2945" sqref="G2945:H2949"/>
      <selection pane="bottomRight" activeCell="G2945" sqref="G2945:H2949"/>
    </sheetView>
  </sheetViews>
  <sheetFormatPr defaultRowHeight="11.25" x14ac:dyDescent="0.2"/>
  <cols>
    <col min="1" max="1" width="12" style="11" bestFit="1" customWidth="1"/>
    <col min="2" max="4" width="9.140625" style="11" customWidth="1"/>
    <col min="5" max="5" width="9.28515625" style="12" bestFit="1" customWidth="1"/>
    <col min="6" max="7" width="9.28515625" style="11" bestFit="1" customWidth="1"/>
    <col min="8" max="8" width="9.28515625" style="13" bestFit="1" customWidth="1"/>
    <col min="9" max="9" width="11.5703125" style="12" bestFit="1" customWidth="1"/>
    <col min="10" max="11" width="11.5703125" style="11" bestFit="1" customWidth="1"/>
    <col min="12" max="12" width="11.5703125" style="13" bestFit="1" customWidth="1"/>
    <col min="13" max="13" width="13" style="12" bestFit="1" customWidth="1"/>
    <col min="14" max="14" width="9.28515625" style="11" bestFit="1" customWidth="1"/>
    <col min="15" max="15" width="9.28515625" style="13" bestFit="1" customWidth="1"/>
    <col min="16" max="16" width="9.28515625" style="12" bestFit="1" customWidth="1"/>
    <col min="17" max="17" width="9.28515625" style="11" bestFit="1" customWidth="1"/>
    <col min="18" max="18" width="9.28515625" style="13" bestFit="1" customWidth="1"/>
    <col min="19" max="19" width="9.7109375" style="13" bestFit="1" customWidth="1"/>
    <col min="20" max="20" width="9.28515625" style="11" bestFit="1" customWidth="1"/>
    <col min="21" max="23" width="9.140625" style="11"/>
    <col min="24" max="24" width="9.28515625" style="12" bestFit="1" customWidth="1"/>
    <col min="25" max="30" width="9.28515625" style="11" bestFit="1" customWidth="1"/>
    <col min="31" max="16384" width="9.140625" style="11"/>
  </cols>
  <sheetData>
    <row r="1" spans="1:30" x14ac:dyDescent="0.2">
      <c r="G1" s="11" t="s">
        <v>14</v>
      </c>
      <c r="H1" s="13" t="s">
        <v>15</v>
      </c>
      <c r="J1" s="1">
        <f>J143-J141</f>
        <v>24.71355889724309</v>
      </c>
      <c r="K1" s="1">
        <f>K143-K141</f>
        <v>23.77318295739348</v>
      </c>
      <c r="L1" s="1">
        <f>L143-L141</f>
        <v>20.367869674185457</v>
      </c>
      <c r="M1" s="12" t="s">
        <v>16</v>
      </c>
      <c r="N1" s="11" t="s">
        <v>17</v>
      </c>
      <c r="Q1" s="11" t="s">
        <v>18</v>
      </c>
      <c r="S1" s="13" t="s">
        <v>19</v>
      </c>
      <c r="X1" s="12" t="s">
        <v>20</v>
      </c>
    </row>
    <row r="2" spans="1:30" x14ac:dyDescent="0.2">
      <c r="E2" s="12" t="s">
        <v>21</v>
      </c>
      <c r="F2" s="11" t="s">
        <v>22</v>
      </c>
      <c r="G2" s="11" t="s">
        <v>23</v>
      </c>
      <c r="H2" s="13" t="s">
        <v>21</v>
      </c>
      <c r="I2" s="12" t="s">
        <v>24</v>
      </c>
      <c r="J2" s="11" t="s">
        <v>24</v>
      </c>
      <c r="K2" s="11" t="s">
        <v>24</v>
      </c>
      <c r="L2" s="13" t="s">
        <v>24</v>
      </c>
      <c r="M2" s="12" t="s">
        <v>25</v>
      </c>
      <c r="N2" s="11" t="s">
        <v>26</v>
      </c>
      <c r="O2" s="13" t="s">
        <v>27</v>
      </c>
      <c r="P2" s="12" t="s">
        <v>28</v>
      </c>
      <c r="Q2" s="11" t="s">
        <v>29</v>
      </c>
      <c r="R2" s="11" t="s">
        <v>30</v>
      </c>
      <c r="S2" s="12" t="s">
        <v>31</v>
      </c>
      <c r="T2" s="11" t="s">
        <v>32</v>
      </c>
      <c r="X2" s="12" t="s">
        <v>33</v>
      </c>
      <c r="Y2" s="11" t="s">
        <v>34</v>
      </c>
      <c r="Z2" s="11" t="s">
        <v>35</v>
      </c>
      <c r="AA2" s="11" t="s">
        <v>36</v>
      </c>
      <c r="AB2" s="11" t="s">
        <v>37</v>
      </c>
      <c r="AC2" s="11" t="s">
        <v>38</v>
      </c>
      <c r="AD2" s="11" t="s">
        <v>39</v>
      </c>
    </row>
    <row r="3" spans="1:30" s="14" customFormat="1" x14ac:dyDescent="0.2">
      <c r="B3" s="14" t="s">
        <v>5</v>
      </c>
      <c r="C3" s="14" t="s">
        <v>40</v>
      </c>
      <c r="D3" s="14" t="s">
        <v>6</v>
      </c>
      <c r="E3" s="15" t="s">
        <v>41</v>
      </c>
      <c r="F3" s="14" t="s">
        <v>41</v>
      </c>
      <c r="G3" s="14" t="s">
        <v>42</v>
      </c>
      <c r="H3" s="16" t="s">
        <v>42</v>
      </c>
      <c r="I3" s="15" t="s">
        <v>43</v>
      </c>
      <c r="J3" s="14" t="s">
        <v>44</v>
      </c>
      <c r="K3" s="14" t="s">
        <v>45</v>
      </c>
      <c r="L3" s="16" t="s">
        <v>46</v>
      </c>
      <c r="M3" s="15" t="s">
        <v>47</v>
      </c>
      <c r="N3" s="14" t="s">
        <v>48</v>
      </c>
      <c r="O3" s="16" t="s">
        <v>49</v>
      </c>
      <c r="P3" s="15" t="s">
        <v>50</v>
      </c>
      <c r="Q3" s="14" t="s">
        <v>50</v>
      </c>
      <c r="R3" s="16" t="s">
        <v>51</v>
      </c>
      <c r="S3" s="15" t="s">
        <v>52</v>
      </c>
      <c r="T3" s="14" t="s">
        <v>53</v>
      </c>
      <c r="X3" s="15" t="s">
        <v>54</v>
      </c>
      <c r="Y3" s="14" t="s">
        <v>55</v>
      </c>
      <c r="Z3" s="14" t="s">
        <v>56</v>
      </c>
      <c r="AA3" s="14" t="s">
        <v>57</v>
      </c>
      <c r="AB3" s="14" t="s">
        <v>58</v>
      </c>
      <c r="AC3" s="14" t="s">
        <v>53</v>
      </c>
      <c r="AD3" s="14" t="s">
        <v>59</v>
      </c>
    </row>
    <row r="4" spans="1:30" hidden="1" x14ac:dyDescent="0.2">
      <c r="A4" s="17">
        <v>41456</v>
      </c>
      <c r="B4" s="18">
        <f>MONTH(A4)</f>
        <v>7</v>
      </c>
      <c r="C4" s="18">
        <f>ROUNDUP(MONTH(A4)/3,0)</f>
        <v>3</v>
      </c>
      <c r="D4" s="11">
        <f>YEAR(A4)</f>
        <v>2013</v>
      </c>
      <c r="E4" s="19"/>
      <c r="F4" s="1">
        <f>AVERAGEIFS('Daily Prices'!$F$4:$F$3000,'Daily Prices'!$G$4:$G$3000,Monthly!$B4,'Daily Prices'!$H$4:$H$3000,Monthly!$D4)</f>
        <v>66.888888888888886</v>
      </c>
      <c r="I4" s="19"/>
      <c r="J4" s="1"/>
      <c r="K4" s="1"/>
      <c r="L4" s="20"/>
      <c r="M4" s="21">
        <f>[2]Prices!$D517/2.8</f>
        <v>1.8856737012987008</v>
      </c>
      <c r="N4" s="11">
        <v>3.0049999999999999</v>
      </c>
      <c r="O4" s="22">
        <f>N4-M4</f>
        <v>1.1193262987012991</v>
      </c>
      <c r="P4" s="23" t="e">
        <f>#REF!*7.6/100</f>
        <v>#REF!</v>
      </c>
      <c r="Q4" s="11">
        <v>3.0150000000000001</v>
      </c>
      <c r="R4" s="24" t="e">
        <f>P4-Q4</f>
        <v>#REF!</v>
      </c>
      <c r="U4" s="25"/>
      <c r="V4" s="25"/>
      <c r="W4" s="25"/>
    </row>
    <row r="5" spans="1:30" hidden="1" x14ac:dyDescent="0.2">
      <c r="A5" s="17">
        <v>41487</v>
      </c>
      <c r="B5" s="18">
        <f t="shared" ref="B5:B68" si="0">MONTH(A5)</f>
        <v>8</v>
      </c>
      <c r="C5" s="18">
        <f t="shared" ref="C5:C68" si="1">ROUNDUP(MONTH(A5)/3,0)</f>
        <v>3</v>
      </c>
      <c r="D5" s="11">
        <f t="shared" ref="D5:D68" si="2">YEAR(A5)</f>
        <v>2013</v>
      </c>
      <c r="E5" s="19"/>
      <c r="F5" s="1">
        <f>AVERAGEIFS('Daily Prices'!$F$4:$F$3000,'Daily Prices'!$G$4:$G$3000,Monthly!$B5,'Daily Prices'!$H$4:$H$3000,Monthly!$D5)</f>
        <v>62.590909090909093</v>
      </c>
      <c r="I5" s="19"/>
      <c r="J5" s="1"/>
      <c r="K5" s="1"/>
      <c r="L5" s="20"/>
      <c r="M5" s="21">
        <f>[2]Prices!$D518/2.8</f>
        <v>1.7256087662337665</v>
      </c>
      <c r="N5" s="11">
        <v>2.9660000000000002</v>
      </c>
      <c r="O5" s="22">
        <f t="shared" ref="O5:O68" si="3">N5-M5</f>
        <v>1.2403912337662337</v>
      </c>
      <c r="P5" s="23" t="e">
        <f>#REF!*7.6/100</f>
        <v>#REF!</v>
      </c>
      <c r="Q5" s="11">
        <v>3.0720000000000001</v>
      </c>
      <c r="R5" s="24" t="e">
        <f t="shared" ref="R5:R68" si="4">P5-Q5</f>
        <v>#REF!</v>
      </c>
      <c r="U5" s="25"/>
      <c r="V5" s="25"/>
      <c r="W5" s="25"/>
    </row>
    <row r="6" spans="1:30" hidden="1" x14ac:dyDescent="0.2">
      <c r="A6" s="17">
        <v>41518</v>
      </c>
      <c r="B6" s="18">
        <f t="shared" si="0"/>
        <v>9</v>
      </c>
      <c r="C6" s="18">
        <f t="shared" si="1"/>
        <v>3</v>
      </c>
      <c r="D6" s="11">
        <f t="shared" si="2"/>
        <v>2013</v>
      </c>
      <c r="E6" s="19"/>
      <c r="F6" s="1">
        <f>AVERAGEIFS('Daily Prices'!$F$4:$F$3000,'Daily Prices'!$G$4:$G$3000,Monthly!$B6,'Daily Prices'!$H$4:$H$3000,Monthly!$D6)</f>
        <v>72.650000000000006</v>
      </c>
      <c r="I6" s="19"/>
      <c r="J6" s="1"/>
      <c r="K6" s="1"/>
      <c r="L6" s="20"/>
      <c r="M6" s="21">
        <f>[2]Prices!$D519/2.8</f>
        <v>1.6411607142857143</v>
      </c>
      <c r="N6" s="11">
        <v>2.734</v>
      </c>
      <c r="O6" s="22">
        <f t="shared" si="3"/>
        <v>1.0928392857142857</v>
      </c>
      <c r="P6" s="23" t="e">
        <f>#REF!*7.6/100</f>
        <v>#REF!</v>
      </c>
      <c r="Q6" s="11">
        <v>3.052</v>
      </c>
      <c r="R6" s="24" t="e">
        <f t="shared" si="4"/>
        <v>#REF!</v>
      </c>
      <c r="U6" s="25"/>
      <c r="V6" s="25"/>
      <c r="W6" s="25"/>
    </row>
    <row r="7" spans="1:30" hidden="1" x14ac:dyDescent="0.2">
      <c r="A7" s="17">
        <v>41548</v>
      </c>
      <c r="B7" s="18">
        <f t="shared" si="0"/>
        <v>10</v>
      </c>
      <c r="C7" s="18">
        <f t="shared" si="1"/>
        <v>4</v>
      </c>
      <c r="D7" s="11">
        <f t="shared" si="2"/>
        <v>2013</v>
      </c>
      <c r="E7" s="19"/>
      <c r="F7" s="1">
        <f>AVERAGEIFS('Daily Prices'!$F$4:$F$3000,'Daily Prices'!$G$4:$G$3000,Monthly!$B7,'Daily Prices'!$H$4:$H$3000,Monthly!$D7)</f>
        <v>81.282608695652172</v>
      </c>
      <c r="I7" s="19"/>
      <c r="J7" s="1"/>
      <c r="K7" s="1"/>
      <c r="L7" s="20"/>
      <c r="M7" s="21">
        <f>[2]Prices!$D520/2.8</f>
        <v>1.5684394409937892</v>
      </c>
      <c r="N7" s="11">
        <v>2.6349999999999998</v>
      </c>
      <c r="O7" s="22">
        <f t="shared" si="3"/>
        <v>1.0665605590062106</v>
      </c>
      <c r="P7" s="23" t="e">
        <f>#REF!*7.6/100</f>
        <v>#REF!</v>
      </c>
      <c r="Q7" s="11">
        <v>2.9929999999999999</v>
      </c>
      <c r="R7" s="24" t="e">
        <f t="shared" si="4"/>
        <v>#REF!</v>
      </c>
      <c r="U7" s="25"/>
      <c r="V7" s="25"/>
      <c r="W7" s="25"/>
    </row>
    <row r="8" spans="1:30" hidden="1" x14ac:dyDescent="0.2">
      <c r="A8" s="17">
        <v>41579</v>
      </c>
      <c r="B8" s="18">
        <f t="shared" si="0"/>
        <v>11</v>
      </c>
      <c r="C8" s="18">
        <f t="shared" si="1"/>
        <v>4</v>
      </c>
      <c r="D8" s="11">
        <f t="shared" si="2"/>
        <v>2013</v>
      </c>
      <c r="E8" s="19"/>
      <c r="F8" s="1">
        <f>AVERAGEIFS('Daily Prices'!$F$4:$F$3000,'Daily Prices'!$G$4:$G$3000,Monthly!$B8,'Daily Prices'!$H$4:$H$3000,Monthly!$D8)</f>
        <v>82.875</v>
      </c>
      <c r="I8" s="19"/>
      <c r="J8" s="1"/>
      <c r="K8" s="1"/>
      <c r="L8" s="20"/>
      <c r="M8" s="21">
        <f>[2]Prices!$D521/2.8</f>
        <v>1.5107142857142859</v>
      </c>
      <c r="N8" s="11">
        <v>2.63</v>
      </c>
      <c r="O8" s="22">
        <f t="shared" si="3"/>
        <v>1.119285714285714</v>
      </c>
      <c r="P8" s="23" t="e">
        <f>#REF!*7.6/100</f>
        <v>#REF!</v>
      </c>
      <c r="Q8" s="11">
        <v>2.9409999999999998</v>
      </c>
      <c r="R8" s="24" t="e">
        <f t="shared" si="4"/>
        <v>#REF!</v>
      </c>
      <c r="U8" s="25"/>
      <c r="V8" s="25"/>
      <c r="W8" s="25"/>
    </row>
    <row r="9" spans="1:30" hidden="1" x14ac:dyDescent="0.2">
      <c r="A9" s="17">
        <v>41609</v>
      </c>
      <c r="B9" s="18">
        <f t="shared" si="0"/>
        <v>12</v>
      </c>
      <c r="C9" s="18">
        <f t="shared" si="1"/>
        <v>4</v>
      </c>
      <c r="D9" s="11">
        <f t="shared" si="2"/>
        <v>2013</v>
      </c>
      <c r="E9" s="19"/>
      <c r="F9" s="1">
        <f>AVERAGEIFS('Daily Prices'!$F$4:$F$3000,'Daily Prices'!$G$4:$G$3000,Monthly!$B9,'Daily Prices'!$H$4:$H$3000,Monthly!$D9)</f>
        <v>62.575000000000003</v>
      </c>
      <c r="I9" s="19"/>
      <c r="J9" s="1"/>
      <c r="K9" s="1"/>
      <c r="L9" s="20"/>
      <c r="M9" s="21">
        <f>[2]Prices!$D522/2.8</f>
        <v>1.5373724489795921</v>
      </c>
      <c r="N9" s="11">
        <v>2.722</v>
      </c>
      <c r="O9" s="22">
        <f t="shared" si="3"/>
        <v>1.1846275510204078</v>
      </c>
      <c r="P9" s="23" t="e">
        <f>#REF!*7.6/100</f>
        <v>#REF!</v>
      </c>
      <c r="Q9" s="11">
        <v>3.0419999999999998</v>
      </c>
      <c r="R9" s="24" t="e">
        <f t="shared" si="4"/>
        <v>#REF!</v>
      </c>
      <c r="U9" s="25"/>
      <c r="V9" s="25"/>
      <c r="W9" s="25"/>
    </row>
    <row r="10" spans="1:30" hidden="1" x14ac:dyDescent="0.2">
      <c r="A10" s="17">
        <v>41640</v>
      </c>
      <c r="B10" s="18">
        <f t="shared" si="0"/>
        <v>1</v>
      </c>
      <c r="C10" s="18">
        <f t="shared" si="1"/>
        <v>1</v>
      </c>
      <c r="D10" s="11">
        <f t="shared" si="2"/>
        <v>2014</v>
      </c>
      <c r="E10" s="19"/>
      <c r="F10" s="1">
        <f>AVERAGEIFS('Daily Prices'!$F$4:$F$3000,'Daily Prices'!$G$4:$G$3000,Monthly!$B10,'Daily Prices'!$H$4:$H$3000,Monthly!$D10)</f>
        <v>45.428571428571431</v>
      </c>
      <c r="I10" s="19"/>
      <c r="J10" s="1"/>
      <c r="K10" s="1"/>
      <c r="L10" s="20"/>
      <c r="M10" s="21">
        <f>[2]Prices!$D523/2.8</f>
        <v>1.5258078231292522</v>
      </c>
      <c r="N10" s="11">
        <v>2.6459999999999999</v>
      </c>
      <c r="O10" s="22">
        <f t="shared" si="3"/>
        <v>1.1201921768707477</v>
      </c>
      <c r="P10" s="23" t="e">
        <f>#REF!*7.6/100</f>
        <v>#REF!</v>
      </c>
      <c r="Q10" s="11">
        <v>3.0310000000000001</v>
      </c>
      <c r="R10" s="24" t="e">
        <f t="shared" si="4"/>
        <v>#REF!</v>
      </c>
      <c r="U10" s="25"/>
      <c r="V10" s="25"/>
      <c r="W10" s="25"/>
    </row>
    <row r="11" spans="1:30" hidden="1" x14ac:dyDescent="0.2">
      <c r="A11" s="17">
        <v>41671</v>
      </c>
      <c r="B11" s="18">
        <f t="shared" si="0"/>
        <v>2</v>
      </c>
      <c r="C11" s="18">
        <f t="shared" si="1"/>
        <v>1</v>
      </c>
      <c r="D11" s="11">
        <f t="shared" si="2"/>
        <v>2014</v>
      </c>
      <c r="E11" s="19"/>
      <c r="F11" s="1">
        <f>AVERAGEIFS('Daily Prices'!$F$4:$F$3000,'Daily Prices'!$G$4:$G$3000,Monthly!$B11,'Daily Prices'!$H$4:$H$3000,Monthly!$D11)</f>
        <v>45.842105263157897</v>
      </c>
      <c r="I11" s="19"/>
      <c r="J11" s="1"/>
      <c r="K11" s="1"/>
      <c r="L11" s="20"/>
      <c r="M11" s="21">
        <f>[2]Prices!$D524/2.8</f>
        <v>1.5974624060150378</v>
      </c>
      <c r="N11" s="11">
        <v>2.7589999999999999</v>
      </c>
      <c r="O11" s="22">
        <f t="shared" si="3"/>
        <v>1.1615375939849621</v>
      </c>
      <c r="P11" s="23" t="e">
        <f>#REF!*7.6/100</f>
        <v>#REF!</v>
      </c>
      <c r="Q11" s="11">
        <v>3.0630000000000002</v>
      </c>
      <c r="R11" s="24" t="e">
        <f t="shared" si="4"/>
        <v>#REF!</v>
      </c>
      <c r="U11" s="25"/>
      <c r="V11" s="25"/>
      <c r="W11" s="25"/>
    </row>
    <row r="12" spans="1:30" hidden="1" x14ac:dyDescent="0.2">
      <c r="A12" s="17">
        <v>41699</v>
      </c>
      <c r="B12" s="18">
        <f t="shared" si="0"/>
        <v>3</v>
      </c>
      <c r="C12" s="18">
        <f t="shared" si="1"/>
        <v>1</v>
      </c>
      <c r="D12" s="11">
        <f t="shared" si="2"/>
        <v>2014</v>
      </c>
      <c r="E12" s="19"/>
      <c r="F12" s="1">
        <f>AVERAGEIFS('Daily Prices'!$F$4:$F$3000,'Daily Prices'!$G$4:$G$3000,Monthly!$B12,'Daily Prices'!$H$4:$H$3000,Monthly!$D12)</f>
        <v>35.80952380952381</v>
      </c>
      <c r="I12" s="19"/>
      <c r="J12" s="1"/>
      <c r="K12" s="1"/>
      <c r="L12" s="20"/>
      <c r="M12" s="21">
        <f>[2]Prices!$D525/2.8</f>
        <v>1.7338860544217689</v>
      </c>
      <c r="N12" s="11">
        <v>2.931</v>
      </c>
      <c r="O12" s="22">
        <f t="shared" si="3"/>
        <v>1.1971139455782311</v>
      </c>
      <c r="P12" s="23" t="e">
        <f>#REF!*7.6/100</f>
        <v>#REF!</v>
      </c>
      <c r="Q12" s="11">
        <v>2.9510000000000001</v>
      </c>
      <c r="R12" s="24" t="e">
        <f t="shared" si="4"/>
        <v>#REF!</v>
      </c>
      <c r="U12" s="25"/>
      <c r="V12" s="25"/>
      <c r="W12" s="25"/>
    </row>
    <row r="13" spans="1:30" hidden="1" x14ac:dyDescent="0.2">
      <c r="A13" s="17">
        <v>41730</v>
      </c>
      <c r="B13" s="18">
        <f t="shared" si="0"/>
        <v>4</v>
      </c>
      <c r="C13" s="18">
        <f t="shared" si="1"/>
        <v>2</v>
      </c>
      <c r="D13" s="11">
        <f t="shared" si="2"/>
        <v>2014</v>
      </c>
      <c r="E13" s="19"/>
      <c r="F13" s="1">
        <f>AVERAGEIFS('Daily Prices'!$F$4:$F$3000,'Daily Prices'!$G$4:$G$3000,Monthly!$B13,'Daily Prices'!$H$4:$H$3000,Monthly!$D13)</f>
        <v>20.5</v>
      </c>
      <c r="I13" s="19"/>
      <c r="J13" s="1"/>
      <c r="K13" s="1"/>
      <c r="L13" s="20"/>
      <c r="M13" s="21">
        <f>[2]Prices!$D526/2.8</f>
        <v>1.7935799319727892</v>
      </c>
      <c r="N13" s="11">
        <v>3.012</v>
      </c>
      <c r="O13" s="22">
        <f t="shared" si="3"/>
        <v>1.2184200680272108</v>
      </c>
      <c r="P13" s="23" t="e">
        <f>#REF!*7.6/100</f>
        <v>#REF!</v>
      </c>
      <c r="Q13" s="11">
        <v>2.9550000000000001</v>
      </c>
      <c r="R13" s="24" t="e">
        <f t="shared" si="4"/>
        <v>#REF!</v>
      </c>
      <c r="U13" s="25"/>
      <c r="V13" s="25"/>
      <c r="W13" s="25"/>
    </row>
    <row r="14" spans="1:30" hidden="1" x14ac:dyDescent="0.2">
      <c r="A14" s="17">
        <v>41760</v>
      </c>
      <c r="B14" s="18">
        <f t="shared" si="0"/>
        <v>5</v>
      </c>
      <c r="C14" s="18">
        <f t="shared" si="1"/>
        <v>2</v>
      </c>
      <c r="D14" s="11">
        <f t="shared" si="2"/>
        <v>2014</v>
      </c>
      <c r="E14" s="19"/>
      <c r="F14" s="1">
        <f>AVERAGEIFS('Daily Prices'!$F$4:$F$3000,'Daily Prices'!$G$4:$G$3000,Monthly!$B14,'Daily Prices'!$H$4:$H$3000,Monthly!$D14)</f>
        <v>25.30952380952381</v>
      </c>
      <c r="I14" s="19"/>
      <c r="J14" s="1"/>
      <c r="K14" s="1"/>
      <c r="L14" s="20"/>
      <c r="M14" s="21">
        <f>[2]Prices!$D527/2.8</f>
        <v>1.7505102040816329</v>
      </c>
      <c r="N14" s="11">
        <v>2.9580000000000002</v>
      </c>
      <c r="O14" s="22">
        <f t="shared" si="3"/>
        <v>1.2074897959183672</v>
      </c>
      <c r="P14" s="23" t="e">
        <f>#REF!*7.6/100</f>
        <v>#REF!</v>
      </c>
      <c r="Q14" s="11">
        <v>2.93</v>
      </c>
      <c r="R14" s="24" t="e">
        <f t="shared" si="4"/>
        <v>#REF!</v>
      </c>
      <c r="U14" s="25"/>
      <c r="V14" s="25"/>
      <c r="W14" s="25"/>
    </row>
    <row r="15" spans="1:30" hidden="1" x14ac:dyDescent="0.2">
      <c r="A15" s="17">
        <v>41791</v>
      </c>
      <c r="B15" s="18">
        <f t="shared" si="0"/>
        <v>6</v>
      </c>
      <c r="C15" s="18">
        <f t="shared" si="1"/>
        <v>2</v>
      </c>
      <c r="D15" s="11">
        <f t="shared" si="2"/>
        <v>2014</v>
      </c>
      <c r="E15" s="19"/>
      <c r="F15" s="1">
        <f>AVERAGEIFS('Daily Prices'!$F$4:$F$3000,'Daily Prices'!$G$4:$G$3000,Monthly!$B15,'Daily Prices'!$H$4:$H$3000,Monthly!$D15)</f>
        <v>27.595238095238095</v>
      </c>
      <c r="I15" s="19"/>
      <c r="J15" s="1"/>
      <c r="K15" s="1"/>
      <c r="L15" s="20"/>
      <c r="M15" s="21">
        <f>[2]Prices!$D528/2.8</f>
        <v>1.5952382142857144</v>
      </c>
      <c r="N15" s="11">
        <v>3.04</v>
      </c>
      <c r="O15" s="22">
        <f t="shared" si="3"/>
        <v>1.4447617857142856</v>
      </c>
      <c r="P15" s="23" t="e">
        <f>#REF!*7.6/100</f>
        <v>#REF!</v>
      </c>
      <c r="Q15" s="11">
        <v>2.96</v>
      </c>
      <c r="R15" s="24" t="e">
        <f t="shared" si="4"/>
        <v>#REF!</v>
      </c>
      <c r="U15" s="25"/>
      <c r="V15" s="25"/>
      <c r="W15" s="25"/>
    </row>
    <row r="16" spans="1:30" hidden="1" x14ac:dyDescent="0.2">
      <c r="A16" s="17">
        <v>41821</v>
      </c>
      <c r="B16" s="18">
        <f t="shared" si="0"/>
        <v>7</v>
      </c>
      <c r="C16" s="18">
        <f t="shared" si="1"/>
        <v>3</v>
      </c>
      <c r="D16" s="11">
        <f t="shared" si="2"/>
        <v>2014</v>
      </c>
      <c r="E16" s="19"/>
      <c r="F16" s="1">
        <f>AVERAGEIFS('Daily Prices'!$F$4:$F$3000,'Daily Prices'!$G$4:$G$3000,Monthly!$B16,'Daily Prices'!$H$4:$H$3000,Monthly!$D16)</f>
        <v>29.5</v>
      </c>
      <c r="I16" s="19"/>
      <c r="J16" s="1"/>
      <c r="K16" s="1"/>
      <c r="L16" s="20"/>
      <c r="M16" s="21">
        <f>[2]Prices!$D529/2.8</f>
        <v>1.353246785714286</v>
      </c>
      <c r="N16" s="11">
        <v>2.91</v>
      </c>
      <c r="O16" s="22">
        <f t="shared" si="3"/>
        <v>1.5567532142857141</v>
      </c>
      <c r="P16" s="23" t="e">
        <f>#REF!*7.6/100</f>
        <v>#REF!</v>
      </c>
      <c r="Q16" s="11">
        <v>2.887</v>
      </c>
      <c r="R16" s="24" t="e">
        <f t="shared" si="4"/>
        <v>#REF!</v>
      </c>
      <c r="U16" s="25"/>
      <c r="V16" s="25"/>
      <c r="W16" s="25"/>
    </row>
    <row r="17" spans="1:23" hidden="1" x14ac:dyDescent="0.2">
      <c r="A17" s="17">
        <v>41852</v>
      </c>
      <c r="B17" s="18">
        <f t="shared" si="0"/>
        <v>8</v>
      </c>
      <c r="C17" s="18">
        <f t="shared" si="1"/>
        <v>3</v>
      </c>
      <c r="D17" s="11">
        <f t="shared" si="2"/>
        <v>2014</v>
      </c>
      <c r="E17" s="19"/>
      <c r="F17" s="1">
        <f>AVERAGEIFS('Daily Prices'!$F$4:$F$3000,'Daily Prices'!$G$4:$G$3000,Monthly!$B17,'Daily Prices'!$H$4:$H$3000,Monthly!$D17)</f>
        <v>28.11904761904762</v>
      </c>
      <c r="I17" s="19"/>
      <c r="J17" s="1"/>
      <c r="K17" s="1"/>
      <c r="L17" s="20"/>
      <c r="M17" s="21">
        <f>[2]Prices!$D530/2.8</f>
        <v>1.2833757142857143</v>
      </c>
      <c r="N17" s="11">
        <v>2.7330000000000001</v>
      </c>
      <c r="O17" s="22">
        <f t="shared" si="3"/>
        <v>1.4496242857142858</v>
      </c>
      <c r="P17" s="23" t="e">
        <f>#REF!*7.6/100</f>
        <v>#REF!</v>
      </c>
      <c r="Q17" s="11">
        <v>2.8519999999999999</v>
      </c>
      <c r="R17" s="24" t="e">
        <f t="shared" si="4"/>
        <v>#REF!</v>
      </c>
      <c r="U17" s="25"/>
      <c r="V17" s="25"/>
      <c r="W17" s="25"/>
    </row>
    <row r="18" spans="1:23" hidden="1" x14ac:dyDescent="0.2">
      <c r="A18" s="17">
        <v>41883</v>
      </c>
      <c r="B18" s="18">
        <f t="shared" si="0"/>
        <v>9</v>
      </c>
      <c r="C18" s="18">
        <f t="shared" si="1"/>
        <v>3</v>
      </c>
      <c r="D18" s="11">
        <f t="shared" si="2"/>
        <v>2014</v>
      </c>
      <c r="E18" s="19"/>
      <c r="F18" s="1">
        <f>AVERAGEIFS('Daily Prices'!$F$4:$F$3000,'Daily Prices'!$G$4:$G$3000,Monthly!$B18,'Daily Prices'!$H$4:$H$3000,Monthly!$D18)</f>
        <v>26.928571428571427</v>
      </c>
      <c r="I18" s="19"/>
      <c r="J18" s="1"/>
      <c r="K18" s="1"/>
      <c r="L18" s="20"/>
      <c r="M18" s="21">
        <f>[2]Prices!$D531/2.8</f>
        <v>1.2100339285714288</v>
      </c>
      <c r="N18" s="11">
        <v>2.59</v>
      </c>
      <c r="O18" s="22">
        <f t="shared" si="3"/>
        <v>1.3799660714285711</v>
      </c>
      <c r="P18" s="23" t="e">
        <f>#REF!*7.6/100</f>
        <v>#REF!</v>
      </c>
      <c r="Q18" s="11">
        <v>2.7450000000000001</v>
      </c>
      <c r="R18" s="24" t="e">
        <f t="shared" si="4"/>
        <v>#REF!</v>
      </c>
      <c r="U18" s="25"/>
      <c r="V18" s="25"/>
      <c r="W18" s="25"/>
    </row>
    <row r="19" spans="1:23" hidden="1" x14ac:dyDescent="0.2">
      <c r="A19" s="17">
        <v>41913</v>
      </c>
      <c r="B19" s="18">
        <f t="shared" si="0"/>
        <v>10</v>
      </c>
      <c r="C19" s="18">
        <f t="shared" si="1"/>
        <v>4</v>
      </c>
      <c r="D19" s="11">
        <f t="shared" si="2"/>
        <v>2014</v>
      </c>
      <c r="E19" s="19"/>
      <c r="F19" s="1">
        <f>AVERAGEIFS('Daily Prices'!$F$4:$F$3000,'Daily Prices'!$G$4:$G$3000,Monthly!$B19,'Daily Prices'!$H$4:$H$3000,Monthly!$D19)</f>
        <v>27.5</v>
      </c>
      <c r="I19" s="19"/>
      <c r="J19" s="1"/>
      <c r="K19" s="1"/>
      <c r="L19" s="20"/>
      <c r="M19" s="21">
        <f>[2]Prices!$D532/2.8</f>
        <v>1.2479035714285716</v>
      </c>
      <c r="N19" s="11">
        <v>2.2530000000000001</v>
      </c>
      <c r="O19" s="22">
        <f t="shared" si="3"/>
        <v>1.0050964285714286</v>
      </c>
      <c r="P19" s="23" t="e">
        <f>#REF!*7.6/100</f>
        <v>#REF!</v>
      </c>
      <c r="Q19" s="11">
        <v>2.5329999999999999</v>
      </c>
      <c r="R19" s="24" t="e">
        <f t="shared" si="4"/>
        <v>#REF!</v>
      </c>
      <c r="U19" s="25"/>
      <c r="V19" s="25"/>
      <c r="W19" s="25"/>
    </row>
    <row r="20" spans="1:23" hidden="1" x14ac:dyDescent="0.2">
      <c r="A20" s="17">
        <v>41944</v>
      </c>
      <c r="B20" s="18">
        <f t="shared" si="0"/>
        <v>11</v>
      </c>
      <c r="C20" s="18">
        <f t="shared" si="1"/>
        <v>4</v>
      </c>
      <c r="D20" s="11">
        <f t="shared" si="2"/>
        <v>2014</v>
      </c>
      <c r="E20" s="19"/>
      <c r="F20" s="1">
        <f>AVERAGEIFS('Daily Prices'!$F$4:$F$3000,'Daily Prices'!$G$4:$G$3000,Monthly!$B20,'Daily Prices'!$H$4:$H$3000,Monthly!$D20)</f>
        <v>25.5</v>
      </c>
      <c r="I20" s="19"/>
      <c r="J20" s="1"/>
      <c r="K20" s="1"/>
      <c r="L20" s="20"/>
      <c r="M20" s="21">
        <f>[2]Prices!$D533/2.8</f>
        <v>1.3327539285714287</v>
      </c>
      <c r="N20" s="11">
        <v>2.0579999999999998</v>
      </c>
      <c r="O20" s="22">
        <f t="shared" si="3"/>
        <v>0.72524607142857112</v>
      </c>
      <c r="P20" s="23" t="e">
        <f>#REF!*7.6/100</f>
        <v>#REF!</v>
      </c>
      <c r="Q20" s="11">
        <v>2.4129999999999998</v>
      </c>
      <c r="R20" s="24" t="e">
        <f t="shared" si="4"/>
        <v>#REF!</v>
      </c>
      <c r="U20" s="25"/>
      <c r="V20" s="25"/>
      <c r="W20" s="25"/>
    </row>
    <row r="21" spans="1:23" hidden="1" x14ac:dyDescent="0.2">
      <c r="A21" s="17">
        <v>41974</v>
      </c>
      <c r="B21" s="18">
        <f t="shared" si="0"/>
        <v>12</v>
      </c>
      <c r="C21" s="18">
        <f t="shared" si="1"/>
        <v>4</v>
      </c>
      <c r="D21" s="11">
        <f t="shared" si="2"/>
        <v>2014</v>
      </c>
      <c r="E21" s="19"/>
      <c r="F21" s="1">
        <f>AVERAGEIFS('Daily Prices'!$F$4:$F$3000,'Daily Prices'!$G$4:$G$3000,Monthly!$B21,'Daily Prices'!$H$4:$H$3000,Monthly!$D21)</f>
        <v>26.095238095238095</v>
      </c>
      <c r="I21" s="19"/>
      <c r="J21" s="1"/>
      <c r="K21" s="1"/>
      <c r="L21" s="20"/>
      <c r="M21" s="21">
        <f>[2]Prices!$D534/2.8</f>
        <v>1.4337257142857145</v>
      </c>
      <c r="N21" s="11">
        <v>1.6180000000000001</v>
      </c>
      <c r="O21" s="22">
        <f t="shared" si="3"/>
        <v>0.18427428571428561</v>
      </c>
      <c r="P21" s="23" t="e">
        <f>#REF!*7.6/100</f>
        <v>#REF!</v>
      </c>
      <c r="Q21" s="11">
        <v>2.0089999999999999</v>
      </c>
      <c r="R21" s="24" t="e">
        <f t="shared" si="4"/>
        <v>#REF!</v>
      </c>
      <c r="U21" s="25"/>
      <c r="V21" s="25"/>
      <c r="W21" s="25"/>
    </row>
    <row r="22" spans="1:23" hidden="1" x14ac:dyDescent="0.2">
      <c r="A22" s="17">
        <v>42005</v>
      </c>
      <c r="B22" s="18">
        <f t="shared" si="0"/>
        <v>1</v>
      </c>
      <c r="C22" s="18">
        <f t="shared" si="1"/>
        <v>1</v>
      </c>
      <c r="D22" s="11">
        <f t="shared" si="2"/>
        <v>2015</v>
      </c>
      <c r="E22" s="19"/>
      <c r="F22" s="1">
        <f>AVERAGEIFS('Daily Prices'!$F$4:$F$3000,'Daily Prices'!$G$4:$G$3000,Monthly!$B22,'Daily Prices'!$H$4:$H$3000,Monthly!$D22)</f>
        <v>24.3</v>
      </c>
      <c r="I22" s="19"/>
      <c r="J22" s="1"/>
      <c r="K22" s="1"/>
      <c r="L22" s="20"/>
      <c r="M22" s="21">
        <f>[2]Prices!$D535/2.8</f>
        <v>1.3860714285714288</v>
      </c>
      <c r="N22" s="11">
        <v>1.341</v>
      </c>
      <c r="O22" s="22">
        <f t="shared" si="3"/>
        <v>-4.5071428571428873E-2</v>
      </c>
      <c r="P22" s="23" t="e">
        <f>#REF!*7.6/100</f>
        <v>#REF!</v>
      </c>
      <c r="Q22" s="11">
        <v>1.671</v>
      </c>
      <c r="R22" s="24" t="e">
        <f t="shared" si="4"/>
        <v>#REF!</v>
      </c>
      <c r="U22" s="25"/>
      <c r="V22" s="25"/>
      <c r="W22" s="25"/>
    </row>
    <row r="23" spans="1:23" hidden="1" x14ac:dyDescent="0.2">
      <c r="A23" s="17">
        <v>42036</v>
      </c>
      <c r="B23" s="18">
        <f t="shared" si="0"/>
        <v>2</v>
      </c>
      <c r="C23" s="18">
        <f t="shared" si="1"/>
        <v>1</v>
      </c>
      <c r="D23" s="11">
        <f t="shared" si="2"/>
        <v>2015</v>
      </c>
      <c r="E23" s="19"/>
      <c r="F23" s="1">
        <f>AVERAGEIFS('Daily Prices'!$F$4:$F$3000,'Daily Prices'!$G$4:$G$3000,Monthly!$B23,'Daily Prices'!$H$4:$H$3000,Monthly!$D23)</f>
        <v>22.328947368421051</v>
      </c>
      <c r="I23" s="19"/>
      <c r="J23" s="1"/>
      <c r="K23" s="1"/>
      <c r="L23" s="20"/>
      <c r="M23" s="21">
        <f>[2]Prices!$D536/2.8</f>
        <v>1.3703007142857144</v>
      </c>
      <c r="N23" s="11">
        <v>1.605</v>
      </c>
      <c r="O23" s="22">
        <f t="shared" si="3"/>
        <v>0.23469928571428555</v>
      </c>
      <c r="P23" s="23" t="e">
        <f>#REF!*7.6/100</f>
        <v>#REF!</v>
      </c>
      <c r="Q23" s="11">
        <v>1.96</v>
      </c>
      <c r="R23" s="24" t="e">
        <f t="shared" si="4"/>
        <v>#REF!</v>
      </c>
      <c r="U23" s="25"/>
      <c r="V23" s="25"/>
      <c r="W23" s="25"/>
    </row>
    <row r="24" spans="1:23" hidden="1" x14ac:dyDescent="0.2">
      <c r="A24" s="17">
        <v>42064</v>
      </c>
      <c r="B24" s="18">
        <f t="shared" si="0"/>
        <v>3</v>
      </c>
      <c r="C24" s="18">
        <f t="shared" si="1"/>
        <v>1</v>
      </c>
      <c r="D24" s="11">
        <f t="shared" si="2"/>
        <v>2015</v>
      </c>
      <c r="E24" s="19"/>
      <c r="F24" s="1">
        <f>AVERAGEIFS('Daily Prices'!$F$4:$F$3000,'Daily Prices'!$G$4:$G$3000,Monthly!$B24,'Daily Prices'!$H$4:$H$3000,Monthly!$D24)</f>
        <v>21.897727272727273</v>
      </c>
      <c r="I24" s="19"/>
      <c r="J24" s="1"/>
      <c r="K24" s="1"/>
      <c r="L24" s="20"/>
      <c r="M24" s="21">
        <f>[2]Prices!$D537/2.8</f>
        <v>1.379301785714286</v>
      </c>
      <c r="N24" s="11">
        <v>1.8260000000000001</v>
      </c>
      <c r="O24" s="22">
        <f t="shared" si="3"/>
        <v>0.4466982142857141</v>
      </c>
      <c r="P24" s="23" t="e">
        <f>#REF!*7.6/100</f>
        <v>#REF!</v>
      </c>
      <c r="Q24" s="11">
        <v>1.7809999999999999</v>
      </c>
      <c r="R24" s="24" t="e">
        <f t="shared" si="4"/>
        <v>#REF!</v>
      </c>
      <c r="U24" s="25"/>
      <c r="V24" s="25"/>
      <c r="W24" s="25"/>
    </row>
    <row r="25" spans="1:23" hidden="1" x14ac:dyDescent="0.2">
      <c r="A25" s="17">
        <v>42095</v>
      </c>
      <c r="B25" s="18">
        <f t="shared" si="0"/>
        <v>4</v>
      </c>
      <c r="C25" s="18">
        <f t="shared" si="1"/>
        <v>2</v>
      </c>
      <c r="D25" s="11">
        <f t="shared" si="2"/>
        <v>2015</v>
      </c>
      <c r="E25" s="19"/>
      <c r="F25" s="1">
        <f>AVERAGEIFS('Daily Prices'!$F$4:$F$3000,'Daily Prices'!$G$4:$G$3000,Monthly!$B25,'Daily Prices'!$H$4:$H$3000,Monthly!$D25)</f>
        <v>21.595238095238095</v>
      </c>
      <c r="I25" s="19"/>
      <c r="J25" s="1"/>
      <c r="K25" s="1"/>
      <c r="L25" s="20"/>
      <c r="M25" s="21">
        <f>[2]Prices!$D538/2.8</f>
        <v>1.3355867857142856</v>
      </c>
      <c r="N25" s="11">
        <v>1.899</v>
      </c>
      <c r="O25" s="22">
        <f t="shared" si="3"/>
        <v>0.56341321428571445</v>
      </c>
      <c r="P25" s="23" t="e">
        <f>#REF!*7.6/100</f>
        <v>#REF!</v>
      </c>
      <c r="Q25" s="11">
        <v>1.84</v>
      </c>
      <c r="R25" s="24" t="e">
        <f t="shared" si="4"/>
        <v>#REF!</v>
      </c>
      <c r="U25" s="25"/>
      <c r="V25" s="25"/>
      <c r="W25" s="25"/>
    </row>
    <row r="26" spans="1:23" hidden="1" x14ac:dyDescent="0.2">
      <c r="A26" s="17">
        <v>42125</v>
      </c>
      <c r="B26" s="18">
        <f t="shared" si="0"/>
        <v>5</v>
      </c>
      <c r="C26" s="18">
        <f t="shared" si="1"/>
        <v>2</v>
      </c>
      <c r="D26" s="11">
        <f t="shared" si="2"/>
        <v>2015</v>
      </c>
      <c r="E26" s="19"/>
      <c r="F26" s="1">
        <f>AVERAGEIFS('Daily Prices'!$F$4:$F$3000,'Daily Prices'!$G$4:$G$3000,Monthly!$B26,'Daily Prices'!$H$4:$H$3000,Monthly!$D26)</f>
        <v>21.375</v>
      </c>
      <c r="I26" s="19"/>
      <c r="J26" s="1"/>
      <c r="K26" s="1"/>
      <c r="L26" s="20"/>
      <c r="M26" s="21">
        <f>[2]Prices!$D539/2.8</f>
        <v>1.2892857142857144</v>
      </c>
      <c r="N26" s="11">
        <v>2.028</v>
      </c>
      <c r="O26" s="22">
        <f t="shared" si="3"/>
        <v>0.73871428571428566</v>
      </c>
      <c r="P26" s="23" t="e">
        <f>#REF!*7.6/100</f>
        <v>#REF!</v>
      </c>
      <c r="Q26" s="11">
        <v>1.962</v>
      </c>
      <c r="R26" s="24" t="e">
        <f t="shared" si="4"/>
        <v>#REF!</v>
      </c>
      <c r="U26" s="25"/>
      <c r="V26" s="25"/>
      <c r="W26" s="25"/>
    </row>
    <row r="27" spans="1:23" hidden="1" x14ac:dyDescent="0.2">
      <c r="A27" s="17">
        <v>42156</v>
      </c>
      <c r="B27" s="18">
        <f t="shared" si="0"/>
        <v>6</v>
      </c>
      <c r="C27" s="18">
        <f t="shared" si="1"/>
        <v>2</v>
      </c>
      <c r="D27" s="11">
        <f t="shared" si="2"/>
        <v>2015</v>
      </c>
      <c r="E27" s="19"/>
      <c r="F27" s="1">
        <f>AVERAGEIFS('Daily Prices'!$F$4:$F$3000,'Daily Prices'!$G$4:$G$3000,Monthly!$B27,'Daily Prices'!$H$4:$H$3000,Monthly!$D27)</f>
        <v>33.68181818181818</v>
      </c>
      <c r="I27" s="19"/>
      <c r="J27" s="1"/>
      <c r="K27" s="1"/>
      <c r="L27" s="20"/>
      <c r="M27" s="21">
        <f>[2]Prices!$D540/2.8</f>
        <v>1.3014203571428573</v>
      </c>
      <c r="N27" s="11">
        <v>2.069</v>
      </c>
      <c r="O27" s="22">
        <f t="shared" si="3"/>
        <v>0.76757964285714264</v>
      </c>
      <c r="P27" s="23" t="e">
        <f>#REF!*7.6/100</f>
        <v>#REF!</v>
      </c>
      <c r="Q27" s="11">
        <v>1.889</v>
      </c>
      <c r="R27" s="24" t="e">
        <f t="shared" si="4"/>
        <v>#REF!</v>
      </c>
      <c r="U27" s="25"/>
      <c r="V27" s="25"/>
      <c r="W27" s="25"/>
    </row>
    <row r="28" spans="1:23" hidden="1" x14ac:dyDescent="0.2">
      <c r="A28" s="17">
        <v>42186</v>
      </c>
      <c r="B28" s="18">
        <f t="shared" si="0"/>
        <v>7</v>
      </c>
      <c r="C28" s="18">
        <f t="shared" si="1"/>
        <v>3</v>
      </c>
      <c r="D28" s="11">
        <f t="shared" si="2"/>
        <v>2015</v>
      </c>
      <c r="E28" s="19"/>
      <c r="F28" s="1">
        <f>AVERAGEIFS('Daily Prices'!$F$4:$F$3000,'Daily Prices'!$G$4:$G$3000,Monthly!$B28,'Daily Prices'!$H$4:$H$3000,Monthly!$D28)</f>
        <v>52.363636363636367</v>
      </c>
      <c r="I28" s="19"/>
      <c r="J28" s="1"/>
      <c r="K28" s="1"/>
      <c r="L28" s="20"/>
      <c r="M28" s="21">
        <f>[2]Prices!$D541/2.8</f>
        <v>1.4622564285714288</v>
      </c>
      <c r="N28" s="11">
        <v>1.911</v>
      </c>
      <c r="O28" s="22">
        <f t="shared" si="3"/>
        <v>0.44874357142857124</v>
      </c>
      <c r="P28" s="23" t="e">
        <f>#REF!*7.6/100</f>
        <v>#REF!</v>
      </c>
      <c r="Q28" s="11">
        <v>1.6819999999999999</v>
      </c>
      <c r="R28" s="24" t="e">
        <f t="shared" si="4"/>
        <v>#REF!</v>
      </c>
      <c r="U28" s="25"/>
      <c r="V28" s="25"/>
      <c r="W28" s="25"/>
    </row>
    <row r="29" spans="1:23" hidden="1" x14ac:dyDescent="0.2">
      <c r="A29" s="17">
        <v>42217</v>
      </c>
      <c r="B29" s="18">
        <f t="shared" si="0"/>
        <v>8</v>
      </c>
      <c r="C29" s="18">
        <f t="shared" si="1"/>
        <v>3</v>
      </c>
      <c r="D29" s="11">
        <f t="shared" si="2"/>
        <v>2015</v>
      </c>
      <c r="E29" s="19"/>
      <c r="F29" s="1">
        <f>AVERAGEIFS('Daily Prices'!$F$4:$F$3000,'Daily Prices'!$G$4:$G$3000,Monthly!$B29,'Daily Prices'!$H$4:$H$3000,Monthly!$D29)</f>
        <v>59.261904761904759</v>
      </c>
      <c r="I29" s="19"/>
      <c r="J29" s="1"/>
      <c r="K29" s="1"/>
      <c r="L29" s="20"/>
      <c r="M29" s="21">
        <f>[2]Prices!$D542/2.8</f>
        <v>1.3132653571428572</v>
      </c>
      <c r="N29" s="11">
        <v>1.6040000000000001</v>
      </c>
      <c r="O29" s="22">
        <f t="shared" si="3"/>
        <v>0.2907346428571429</v>
      </c>
      <c r="P29" s="23" t="e">
        <f>#REF!*7.6/100</f>
        <v>#REF!</v>
      </c>
      <c r="Q29" s="11">
        <v>1.528</v>
      </c>
      <c r="R29" s="24" t="e">
        <f t="shared" si="4"/>
        <v>#REF!</v>
      </c>
      <c r="U29" s="25"/>
      <c r="V29" s="25"/>
      <c r="W29" s="25"/>
    </row>
    <row r="30" spans="1:23" hidden="1" x14ac:dyDescent="0.2">
      <c r="A30" s="17">
        <v>42248</v>
      </c>
      <c r="B30" s="18">
        <f t="shared" si="0"/>
        <v>9</v>
      </c>
      <c r="C30" s="18">
        <f t="shared" si="1"/>
        <v>3</v>
      </c>
      <c r="D30" s="11">
        <f t="shared" si="2"/>
        <v>2015</v>
      </c>
      <c r="E30" s="19"/>
      <c r="F30" s="1">
        <f>AVERAGEIFS('Daily Prices'!$F$4:$F$3000,'Daily Prices'!$G$4:$G$3000,Monthly!$B30,'Daily Prices'!$H$4:$H$3000,Monthly!$D30)</f>
        <v>67.904761904761898</v>
      </c>
      <c r="I30" s="19"/>
      <c r="J30" s="1"/>
      <c r="K30" s="1"/>
      <c r="L30" s="20"/>
      <c r="M30" s="21">
        <f>[2]Prices!$D543/2.8</f>
        <v>1.3552296428571429</v>
      </c>
      <c r="N30" s="11">
        <v>1.3819999999999999</v>
      </c>
      <c r="O30" s="22">
        <f t="shared" si="3"/>
        <v>2.6770357142857026E-2</v>
      </c>
      <c r="P30" s="23" t="e">
        <f>#REF!*7.6/100</f>
        <v>#REF!</v>
      </c>
      <c r="Q30" s="11">
        <v>1.5389999999999999</v>
      </c>
      <c r="R30" s="24" t="e">
        <f t="shared" si="4"/>
        <v>#REF!</v>
      </c>
      <c r="U30" s="25"/>
      <c r="V30" s="25"/>
      <c r="W30" s="25"/>
    </row>
    <row r="31" spans="1:23" hidden="1" x14ac:dyDescent="0.2">
      <c r="A31" s="17">
        <v>42278</v>
      </c>
      <c r="B31" s="18">
        <f t="shared" si="0"/>
        <v>10</v>
      </c>
      <c r="C31" s="18">
        <f t="shared" si="1"/>
        <v>4</v>
      </c>
      <c r="D31" s="11">
        <f t="shared" si="2"/>
        <v>2015</v>
      </c>
      <c r="E31" s="19"/>
      <c r="F31" s="1">
        <f>AVERAGEIFS('Daily Prices'!$F$4:$F$3000,'Daily Prices'!$G$4:$G$3000,Monthly!$B31,'Daily Prices'!$H$4:$H$3000,Monthly!$D31)</f>
        <v>81.022727272727266</v>
      </c>
      <c r="I31" s="19"/>
      <c r="J31" s="1"/>
      <c r="K31" s="1"/>
      <c r="L31" s="20"/>
      <c r="M31" s="21">
        <f>[2]Prices!$D544/2.8</f>
        <v>1.3680600000000001</v>
      </c>
      <c r="N31" s="11">
        <v>1.349</v>
      </c>
      <c r="O31" s="22">
        <f t="shared" si="3"/>
        <v>-1.9060000000000077E-2</v>
      </c>
      <c r="P31" s="23" t="e">
        <f>#REF!*7.6/100</f>
        <v>#REF!</v>
      </c>
      <c r="Q31" s="11">
        <v>1.4990000000000001</v>
      </c>
      <c r="R31" s="24" t="e">
        <f t="shared" si="4"/>
        <v>#REF!</v>
      </c>
      <c r="U31" s="25"/>
      <c r="V31" s="25"/>
      <c r="W31" s="25"/>
    </row>
    <row r="32" spans="1:23" hidden="1" x14ac:dyDescent="0.2">
      <c r="A32" s="17">
        <v>42309</v>
      </c>
      <c r="B32" s="18">
        <f t="shared" si="0"/>
        <v>11</v>
      </c>
      <c r="C32" s="18">
        <f t="shared" si="1"/>
        <v>4</v>
      </c>
      <c r="D32" s="11">
        <f t="shared" si="2"/>
        <v>2015</v>
      </c>
      <c r="E32" s="19"/>
      <c r="F32" s="1">
        <f>AVERAGEIFS('Daily Prices'!$F$4:$F$3000,'Daily Prices'!$G$4:$G$3000,Monthly!$B32,'Daily Prices'!$H$4:$H$3000,Monthly!$D32)</f>
        <v>99.973684210526315</v>
      </c>
      <c r="I32" s="19"/>
      <c r="J32" s="1"/>
      <c r="K32" s="1"/>
      <c r="L32" s="20"/>
      <c r="M32" s="21">
        <f>[2]Prices!$D545/2.8</f>
        <v>1.3082589285714286</v>
      </c>
      <c r="N32" s="11">
        <v>1.335</v>
      </c>
      <c r="O32" s="22">
        <f t="shared" si="3"/>
        <v>2.6741071428571406E-2</v>
      </c>
      <c r="P32" s="23" t="e">
        <f>#REF!*7.6/100</f>
        <v>#REF!</v>
      </c>
      <c r="Q32" s="11">
        <v>1.4239999999999999</v>
      </c>
      <c r="R32" s="24" t="e">
        <f t="shared" si="4"/>
        <v>#REF!</v>
      </c>
      <c r="U32" s="25"/>
      <c r="V32" s="25"/>
      <c r="W32" s="25"/>
    </row>
    <row r="33" spans="1:23" hidden="1" x14ac:dyDescent="0.2">
      <c r="A33" s="17">
        <v>42339</v>
      </c>
      <c r="B33" s="18">
        <f t="shared" si="0"/>
        <v>12</v>
      </c>
      <c r="C33" s="18">
        <f t="shared" si="1"/>
        <v>4</v>
      </c>
      <c r="D33" s="11">
        <f t="shared" si="2"/>
        <v>2015</v>
      </c>
      <c r="E33" s="19"/>
      <c r="F33" s="1">
        <f>AVERAGEIFS('Daily Prices'!$F$4:$F$3000,'Daily Prices'!$G$4:$G$3000,Monthly!$B33,'Daily Prices'!$H$4:$H$3000,Monthly!$D33)</f>
        <v>116.36363636363636</v>
      </c>
      <c r="I33" s="19"/>
      <c r="J33" s="1"/>
      <c r="K33" s="1"/>
      <c r="L33" s="20"/>
      <c r="M33" s="21">
        <f>[2]Prices!$D546/2.8</f>
        <v>1.3249189285714287</v>
      </c>
      <c r="N33" s="11">
        <v>1.254</v>
      </c>
      <c r="O33" s="22">
        <f t="shared" si="3"/>
        <v>-7.0918928571428674E-2</v>
      </c>
      <c r="P33" s="23" t="e">
        <f>#REF!*7.6/100</f>
        <v>#REF!</v>
      </c>
      <c r="Q33" s="11">
        <v>1.179</v>
      </c>
      <c r="R33" s="24" t="e">
        <f t="shared" si="4"/>
        <v>#REF!</v>
      </c>
      <c r="U33" s="25"/>
      <c r="V33" s="25"/>
      <c r="W33" s="25"/>
    </row>
    <row r="34" spans="1:23" hidden="1" x14ac:dyDescent="0.2">
      <c r="A34" s="17">
        <v>42370</v>
      </c>
      <c r="B34" s="18">
        <f t="shared" si="0"/>
        <v>1</v>
      </c>
      <c r="C34" s="18">
        <f t="shared" si="1"/>
        <v>1</v>
      </c>
      <c r="D34" s="11">
        <f t="shared" si="2"/>
        <v>2016</v>
      </c>
      <c r="E34" s="19"/>
      <c r="F34" s="1">
        <f>AVERAGEIFS('Daily Prices'!$F$4:$F$3000,'Daily Prices'!$G$4:$G$3000,Monthly!$B34,'Daily Prices'!$H$4:$H$3000,Monthly!$D34)</f>
        <v>119.84210526315789</v>
      </c>
      <c r="I34" s="19"/>
      <c r="J34" s="1"/>
      <c r="K34" s="1"/>
      <c r="L34" s="20"/>
      <c r="M34" s="21">
        <f>[2]Prices!$D547/2.8</f>
        <v>1.2922932142857144</v>
      </c>
      <c r="N34" s="11">
        <v>1.0940000000000001</v>
      </c>
      <c r="O34" s="22">
        <f t="shared" si="3"/>
        <v>-0.19829321428571434</v>
      </c>
      <c r="P34" s="23" t="e">
        <f>#REF!*7.6/100</f>
        <v>#REF!</v>
      </c>
      <c r="Q34" s="11">
        <v>1.0009999999999999</v>
      </c>
      <c r="R34" s="24" t="e">
        <f t="shared" si="4"/>
        <v>#REF!</v>
      </c>
      <c r="U34" s="25"/>
      <c r="V34" s="25"/>
      <c r="W34" s="25"/>
    </row>
    <row r="35" spans="1:23" hidden="1" x14ac:dyDescent="0.2">
      <c r="A35" s="17">
        <v>42401</v>
      </c>
      <c r="B35" s="18">
        <f t="shared" si="0"/>
        <v>2</v>
      </c>
      <c r="C35" s="18">
        <f t="shared" si="1"/>
        <v>1</v>
      </c>
      <c r="D35" s="11">
        <f t="shared" si="2"/>
        <v>2016</v>
      </c>
      <c r="E35" s="19"/>
      <c r="F35" s="1">
        <f>AVERAGEIFS('Daily Prices'!$F$4:$F$3000,'Daily Prices'!$G$4:$G$3000,Monthly!$B35,'Daily Prices'!$H$4:$H$3000,Monthly!$D35)</f>
        <v>126.175</v>
      </c>
      <c r="I35" s="19"/>
      <c r="J35" s="1"/>
      <c r="K35" s="1"/>
      <c r="L35" s="20"/>
      <c r="M35" s="21">
        <f>[2]Prices!$D548/2.8</f>
        <v>1.2974107142857143</v>
      </c>
      <c r="N35" s="11">
        <v>0.995</v>
      </c>
      <c r="O35" s="22">
        <f t="shared" si="3"/>
        <v>-0.30241071428571431</v>
      </c>
      <c r="P35" s="23" t="e">
        <f>#REF!*7.6/100</f>
        <v>#REF!</v>
      </c>
      <c r="Q35" s="11">
        <v>1.0429999999999999</v>
      </c>
      <c r="R35" s="24" t="e">
        <f t="shared" si="4"/>
        <v>#REF!</v>
      </c>
      <c r="U35" s="25"/>
      <c r="V35" s="25"/>
      <c r="W35" s="25"/>
    </row>
    <row r="36" spans="1:23" hidden="1" x14ac:dyDescent="0.2">
      <c r="A36" s="17">
        <v>42430</v>
      </c>
      <c r="B36" s="18">
        <f t="shared" si="0"/>
        <v>3</v>
      </c>
      <c r="C36" s="18">
        <f t="shared" si="1"/>
        <v>1</v>
      </c>
      <c r="D36" s="11">
        <f t="shared" si="2"/>
        <v>2016</v>
      </c>
      <c r="E36" s="19"/>
      <c r="F36" s="1">
        <f>AVERAGEIFS('Daily Prices'!$F$4:$F$3000,'Daily Prices'!$G$4:$G$3000,Monthly!$B36,'Daily Prices'!$H$4:$H$3000,Monthly!$D36)</f>
        <v>125.65909090909091</v>
      </c>
      <c r="I36" s="19"/>
      <c r="J36" s="1"/>
      <c r="K36" s="1"/>
      <c r="L36" s="20"/>
      <c r="M36" s="21">
        <f>[2]Prices!$D549/2.8</f>
        <v>1.3010553571428574</v>
      </c>
      <c r="N36" s="11">
        <v>1.4159999999999999</v>
      </c>
      <c r="O36" s="22">
        <f t="shared" si="3"/>
        <v>0.11494464285714256</v>
      </c>
      <c r="P36" s="23" t="e">
        <f>#REF!*7.6/100</f>
        <v>#REF!</v>
      </c>
      <c r="Q36" s="11">
        <v>1.1930000000000001</v>
      </c>
      <c r="R36" s="24" t="e">
        <f t="shared" si="4"/>
        <v>#REF!</v>
      </c>
      <c r="U36" s="25"/>
      <c r="V36" s="25"/>
      <c r="W36" s="25"/>
    </row>
    <row r="37" spans="1:23" hidden="1" x14ac:dyDescent="0.2">
      <c r="A37" s="17">
        <v>42461</v>
      </c>
      <c r="B37" s="18">
        <f t="shared" si="0"/>
        <v>4</v>
      </c>
      <c r="C37" s="18">
        <f t="shared" si="1"/>
        <v>2</v>
      </c>
      <c r="D37" s="11">
        <f t="shared" si="2"/>
        <v>2016</v>
      </c>
      <c r="E37" s="19"/>
      <c r="F37" s="1">
        <f>AVERAGEIFS('Daily Prices'!$F$4:$F$3000,'Daily Prices'!$G$4:$G$3000,Monthly!$B37,'Daily Prices'!$H$4:$H$3000,Monthly!$D37)</f>
        <v>120.52380952380952</v>
      </c>
      <c r="I37" s="19"/>
      <c r="J37" s="1"/>
      <c r="K37" s="1"/>
      <c r="L37" s="20"/>
      <c r="M37" s="21">
        <f>[2]Prices!$D550/2.8</f>
        <v>1.3309950000000002</v>
      </c>
      <c r="N37" s="11">
        <v>1.488</v>
      </c>
      <c r="O37" s="22">
        <f t="shared" si="3"/>
        <v>0.15700499999999984</v>
      </c>
      <c r="P37" s="23" t="e">
        <f>#REF!*7.6/100</f>
        <v>#REF!</v>
      </c>
      <c r="Q37" s="11">
        <v>1.2490000000000001</v>
      </c>
      <c r="R37" s="24" t="e">
        <f t="shared" si="4"/>
        <v>#REF!</v>
      </c>
      <c r="U37" s="25"/>
      <c r="V37" s="25"/>
      <c r="W37" s="25"/>
    </row>
    <row r="38" spans="1:23" hidden="1" x14ac:dyDescent="0.2">
      <c r="A38" s="17">
        <v>42491</v>
      </c>
      <c r="B38" s="18">
        <f t="shared" si="0"/>
        <v>5</v>
      </c>
      <c r="C38" s="18">
        <f t="shared" si="1"/>
        <v>2</v>
      </c>
      <c r="D38" s="11">
        <f t="shared" si="2"/>
        <v>2016</v>
      </c>
      <c r="E38" s="19"/>
      <c r="F38" s="1">
        <f>AVERAGEIFS('Daily Prices'!$F$4:$F$3000,'Daily Prices'!$G$4:$G$3000,Monthly!$B38,'Daily Prices'!$H$4:$H$3000,Monthly!$D38)</f>
        <v>114.57142857142857</v>
      </c>
      <c r="I38" s="19"/>
      <c r="J38" s="1"/>
      <c r="K38" s="1"/>
      <c r="L38" s="20"/>
      <c r="M38" s="21">
        <f>[2]Prices!$D551/2.8</f>
        <v>1.3958332142857144</v>
      </c>
      <c r="N38" s="11">
        <v>1.581</v>
      </c>
      <c r="O38" s="22">
        <f t="shared" si="3"/>
        <v>0.18516678571428558</v>
      </c>
      <c r="P38" s="23" t="e">
        <f>#REF!*7.6/100</f>
        <v>#REF!</v>
      </c>
      <c r="Q38" s="11">
        <v>1.421</v>
      </c>
      <c r="R38" s="24" t="e">
        <f t="shared" si="4"/>
        <v>#REF!</v>
      </c>
      <c r="U38" s="25"/>
      <c r="V38" s="25"/>
      <c r="W38" s="25"/>
    </row>
    <row r="39" spans="1:23" hidden="1" x14ac:dyDescent="0.2">
      <c r="A39" s="17">
        <v>42522</v>
      </c>
      <c r="B39" s="18">
        <f t="shared" si="0"/>
        <v>6</v>
      </c>
      <c r="C39" s="18">
        <f t="shared" si="1"/>
        <v>2</v>
      </c>
      <c r="D39" s="11">
        <f t="shared" si="2"/>
        <v>2016</v>
      </c>
      <c r="E39" s="19"/>
      <c r="F39" s="1">
        <f>AVERAGEIFS('Daily Prices'!$F$4:$F$3000,'Daily Prices'!$G$4:$G$3000,Monthly!$B39,'Daily Prices'!$H$4:$H$3000,Monthly!$D39)</f>
        <v>101.11363636363636</v>
      </c>
      <c r="I39" s="19"/>
      <c r="J39" s="1"/>
      <c r="K39" s="1"/>
      <c r="L39" s="20"/>
      <c r="M39" s="21">
        <f>[2]Prices!$D552/2.8</f>
        <v>1.4652192857142858</v>
      </c>
      <c r="N39" s="11">
        <v>1.554</v>
      </c>
      <c r="O39" s="22">
        <f t="shared" si="3"/>
        <v>8.8780714285714213E-2</v>
      </c>
      <c r="P39" s="23" t="e">
        <f>#REF!*7.6/100</f>
        <v>#REF!</v>
      </c>
      <c r="Q39" s="11">
        <v>1.5009999999999999</v>
      </c>
      <c r="R39" s="24" t="e">
        <f t="shared" si="4"/>
        <v>#REF!</v>
      </c>
      <c r="U39" s="25"/>
      <c r="V39" s="25"/>
      <c r="W39" s="25"/>
    </row>
    <row r="40" spans="1:23" hidden="1" x14ac:dyDescent="0.2">
      <c r="A40" s="17">
        <v>42552</v>
      </c>
      <c r="B40" s="18">
        <f t="shared" si="0"/>
        <v>7</v>
      </c>
      <c r="C40" s="18">
        <f t="shared" si="1"/>
        <v>3</v>
      </c>
      <c r="D40" s="11">
        <f t="shared" si="2"/>
        <v>2016</v>
      </c>
      <c r="E40" s="19"/>
      <c r="F40" s="1">
        <f>AVERAGEIFS('Daily Prices'!$F$4:$F$3000,'Daily Prices'!$G$4:$G$3000,Monthly!$B40,'Daily Prices'!$H$4:$H$3000,Monthly!$D40)</f>
        <v>64.825000000000003</v>
      </c>
      <c r="I40" s="19"/>
      <c r="J40" s="1"/>
      <c r="K40" s="1"/>
      <c r="L40" s="20"/>
      <c r="M40" s="21">
        <f>[2]Prices!$D553/2.8</f>
        <v>1.2313839285714288</v>
      </c>
      <c r="N40" s="11">
        <v>1.38</v>
      </c>
      <c r="O40" s="22">
        <f t="shared" si="3"/>
        <v>0.14861607142857114</v>
      </c>
      <c r="P40" s="23" t="e">
        <f>#REF!*7.6/100</f>
        <v>#REF!</v>
      </c>
      <c r="Q40" s="11">
        <v>1.385</v>
      </c>
      <c r="R40" s="24" t="e">
        <f t="shared" si="4"/>
        <v>#REF!</v>
      </c>
      <c r="U40" s="25"/>
      <c r="V40" s="25"/>
      <c r="W40" s="25"/>
    </row>
    <row r="41" spans="1:23" hidden="1" x14ac:dyDescent="0.2">
      <c r="A41" s="17">
        <v>42583</v>
      </c>
      <c r="B41" s="18">
        <f t="shared" si="0"/>
        <v>8</v>
      </c>
      <c r="C41" s="18">
        <f t="shared" si="1"/>
        <v>3</v>
      </c>
      <c r="D41" s="11">
        <f t="shared" si="2"/>
        <v>2016</v>
      </c>
      <c r="E41" s="19"/>
      <c r="F41" s="1">
        <f>AVERAGEIFS('Daily Prices'!$F$4:$F$3000,'Daily Prices'!$G$4:$G$3000,Monthly!$B41,'Daily Prices'!$H$4:$H$3000,Monthly!$D41)</f>
        <v>72.456521739130437</v>
      </c>
      <c r="I41" s="19"/>
      <c r="J41" s="1"/>
      <c r="K41" s="1"/>
      <c r="L41" s="20"/>
      <c r="M41" s="21">
        <f>[2]Prices!$D554/2.8</f>
        <v>1.1537267857142857</v>
      </c>
      <c r="N41" s="11">
        <v>1.4159999999999999</v>
      </c>
      <c r="O41" s="22">
        <f t="shared" si="3"/>
        <v>0.26227321428571426</v>
      </c>
      <c r="P41" s="23" t="e">
        <f>#REF!*7.6/100</f>
        <v>#REF!</v>
      </c>
      <c r="Q41" s="11">
        <v>1.415</v>
      </c>
      <c r="R41" s="24" t="e">
        <f t="shared" si="4"/>
        <v>#REF!</v>
      </c>
      <c r="U41" s="25"/>
      <c r="V41" s="25"/>
      <c r="W41" s="25"/>
    </row>
    <row r="42" spans="1:23" hidden="1" x14ac:dyDescent="0.2">
      <c r="A42" s="17">
        <v>42614</v>
      </c>
      <c r="B42" s="18">
        <f t="shared" si="0"/>
        <v>9</v>
      </c>
      <c r="C42" s="18">
        <f t="shared" si="1"/>
        <v>3</v>
      </c>
      <c r="D42" s="11">
        <f t="shared" si="2"/>
        <v>2016</v>
      </c>
      <c r="E42" s="19"/>
      <c r="F42" s="1">
        <f>AVERAGEIFS('Daily Prices'!$F$4:$F$3000,'Daily Prices'!$G$4:$G$3000,Monthly!$B42,'Daily Prices'!$H$4:$H$3000,Monthly!$D42)</f>
        <v>93.428571428571431</v>
      </c>
      <c r="I42" s="19"/>
      <c r="J42" s="1"/>
      <c r="K42" s="1"/>
      <c r="L42" s="20"/>
      <c r="M42" s="21">
        <f>[2]Prices!$D555/2.8</f>
        <v>1.1919642857142858</v>
      </c>
      <c r="N42" s="11">
        <v>1.3919999999999999</v>
      </c>
      <c r="O42" s="22">
        <f t="shared" si="3"/>
        <v>0.20003571428571409</v>
      </c>
      <c r="P42" s="23" t="e">
        <f>#REF!*7.6/100</f>
        <v>#REF!</v>
      </c>
      <c r="Q42" s="11">
        <v>1.4330000000000001</v>
      </c>
      <c r="R42" s="24" t="e">
        <f t="shared" si="4"/>
        <v>#REF!</v>
      </c>
      <c r="U42" s="25"/>
      <c r="V42" s="25"/>
      <c r="W42" s="25"/>
    </row>
    <row r="43" spans="1:23" hidden="1" x14ac:dyDescent="0.2">
      <c r="A43" s="17">
        <v>42644</v>
      </c>
      <c r="B43" s="18">
        <f t="shared" si="0"/>
        <v>10</v>
      </c>
      <c r="C43" s="18">
        <f t="shared" si="1"/>
        <v>4</v>
      </c>
      <c r="D43" s="11">
        <f t="shared" si="2"/>
        <v>2016</v>
      </c>
      <c r="E43" s="19"/>
      <c r="F43" s="1">
        <f>AVERAGEIFS('Daily Prices'!$F$4:$F$3000,'Daily Prices'!$G$4:$G$3000,Monthly!$B43,'Daily Prices'!$H$4:$H$3000,Monthly!$D43)</f>
        <v>85.357142857142861</v>
      </c>
      <c r="I43" s="19"/>
      <c r="J43" s="1"/>
      <c r="K43" s="1"/>
      <c r="L43" s="20"/>
      <c r="M43" s="21">
        <f>[2]Prices!$D556/2.8</f>
        <v>1.2481717857142858</v>
      </c>
      <c r="N43" s="11">
        <v>1.49</v>
      </c>
      <c r="O43" s="22">
        <f t="shared" si="3"/>
        <v>0.24182821428571422</v>
      </c>
      <c r="P43" s="23" t="e">
        <f>#REF!*7.6/100</f>
        <v>#REF!</v>
      </c>
      <c r="Q43" s="11">
        <v>1.5660000000000001</v>
      </c>
      <c r="R43" s="24" t="e">
        <f t="shared" si="4"/>
        <v>#REF!</v>
      </c>
      <c r="U43" s="25"/>
      <c r="V43" s="25"/>
      <c r="W43" s="25"/>
    </row>
    <row r="44" spans="1:23" hidden="1" x14ac:dyDescent="0.2">
      <c r="A44" s="17">
        <v>42675</v>
      </c>
      <c r="B44" s="18">
        <f t="shared" si="0"/>
        <v>11</v>
      </c>
      <c r="C44" s="18">
        <f t="shared" si="1"/>
        <v>4</v>
      </c>
      <c r="D44" s="11">
        <f t="shared" si="2"/>
        <v>2016</v>
      </c>
      <c r="E44" s="19"/>
      <c r="F44" s="1">
        <f>AVERAGEIFS('Daily Prices'!$F$4:$F$3000,'Daily Prices'!$G$4:$G$3000,Monthly!$B44,'Daily Prices'!$H$4:$H$3000,Monthly!$D44)</f>
        <v>92.075000000000003</v>
      </c>
      <c r="H44" s="13">
        <v>60</v>
      </c>
      <c r="I44" s="19"/>
      <c r="J44" s="1"/>
      <c r="K44" s="1"/>
      <c r="L44" s="20"/>
      <c r="M44" s="21">
        <f>[2]Prices!$D557/2.8</f>
        <v>1.2320578571428573</v>
      </c>
      <c r="N44" s="11">
        <v>1.3839999999999999</v>
      </c>
      <c r="O44" s="22">
        <f t="shared" si="3"/>
        <v>0.15194214285714258</v>
      </c>
      <c r="P44" s="23" t="e">
        <f>#REF!*7.6/100</f>
        <v>#REF!</v>
      </c>
      <c r="Q44" s="11">
        <v>1.4690000000000001</v>
      </c>
      <c r="R44" s="24" t="e">
        <f t="shared" si="4"/>
        <v>#REF!</v>
      </c>
      <c r="U44" s="25"/>
      <c r="V44" s="25"/>
      <c r="W44" s="25"/>
    </row>
    <row r="45" spans="1:23" hidden="1" x14ac:dyDescent="0.2">
      <c r="A45" s="17">
        <v>42705</v>
      </c>
      <c r="B45" s="18">
        <f t="shared" si="0"/>
        <v>12</v>
      </c>
      <c r="C45" s="18">
        <f t="shared" si="1"/>
        <v>4</v>
      </c>
      <c r="D45" s="11">
        <f t="shared" si="2"/>
        <v>2016</v>
      </c>
      <c r="E45" s="19"/>
      <c r="F45" s="1">
        <f>AVERAGEIFS('Daily Prices'!$F$4:$F$3000,'Daily Prices'!$G$4:$G$3000,Monthly!$B45,'Daily Prices'!$H$4:$H$3000,Monthly!$D45)</f>
        <v>90.30952380952381</v>
      </c>
      <c r="H45" s="13">
        <v>50</v>
      </c>
      <c r="I45" s="19"/>
      <c r="J45" s="1"/>
      <c r="K45" s="1"/>
      <c r="L45" s="20"/>
      <c r="M45" s="21">
        <f>[2]Prices!$D558/2.8</f>
        <v>1.2628400000000002</v>
      </c>
      <c r="N45" s="11">
        <v>1.579</v>
      </c>
      <c r="O45" s="22">
        <f t="shared" si="3"/>
        <v>0.31615999999999977</v>
      </c>
      <c r="P45" s="23" t="e">
        <f>#REF!*7.6/100</f>
        <v>#REF!</v>
      </c>
      <c r="Q45" s="11">
        <v>1.663</v>
      </c>
      <c r="R45" s="24" t="e">
        <f t="shared" si="4"/>
        <v>#REF!</v>
      </c>
      <c r="U45" s="25"/>
      <c r="V45" s="25"/>
      <c r="W45" s="25"/>
    </row>
    <row r="46" spans="1:23" hidden="1" x14ac:dyDescent="0.2">
      <c r="A46" s="17">
        <v>42736</v>
      </c>
      <c r="B46" s="18">
        <f t="shared" si="0"/>
        <v>1</v>
      </c>
      <c r="C46" s="18">
        <f t="shared" si="1"/>
        <v>1</v>
      </c>
      <c r="D46" s="11">
        <f t="shared" si="2"/>
        <v>2017</v>
      </c>
      <c r="E46" s="19"/>
      <c r="F46" s="1">
        <f>AVERAGEIFS('Daily Prices'!$F$4:$F$3000,'Daily Prices'!$G$4:$G$3000,Monthly!$B46,'Daily Prices'!$H$4:$H$3000,Monthly!$D46)</f>
        <v>97.674999999999997</v>
      </c>
      <c r="I46" s="19"/>
      <c r="J46" s="1"/>
      <c r="K46" s="1"/>
      <c r="L46" s="20"/>
      <c r="M46" s="21">
        <f>[2]Prices!$D559/2.8</f>
        <v>1.2921875</v>
      </c>
      <c r="N46" s="11">
        <v>1.5740000000000001</v>
      </c>
      <c r="O46" s="22">
        <f t="shared" si="3"/>
        <v>0.28181250000000002</v>
      </c>
      <c r="P46" s="23" t="e">
        <f>#REF!*7.6/100</f>
        <v>#REF!</v>
      </c>
      <c r="Q46" s="11">
        <v>1.6439999999999999</v>
      </c>
      <c r="R46" s="24" t="e">
        <f t="shared" si="4"/>
        <v>#REF!</v>
      </c>
      <c r="U46" s="25"/>
      <c r="V46" s="25"/>
      <c r="W46" s="25"/>
    </row>
    <row r="47" spans="1:23" hidden="1" x14ac:dyDescent="0.2">
      <c r="A47" s="17">
        <v>42767</v>
      </c>
      <c r="B47" s="18">
        <f t="shared" si="0"/>
        <v>2</v>
      </c>
      <c r="C47" s="18">
        <f t="shared" si="1"/>
        <v>1</v>
      </c>
      <c r="D47" s="11">
        <f t="shared" si="2"/>
        <v>2017</v>
      </c>
      <c r="E47" s="19"/>
      <c r="F47" s="1">
        <f>AVERAGEIFS('Daily Prices'!$F$4:$F$3000,'Daily Prices'!$G$4:$G$3000,Monthly!$B47,'Daily Prices'!$H$4:$H$3000,Monthly!$D47)</f>
        <v>95.578947368421055</v>
      </c>
      <c r="I47" s="19"/>
      <c r="J47" s="1"/>
      <c r="K47" s="1"/>
      <c r="L47" s="20"/>
      <c r="M47" s="21">
        <f>[2]Prices!$D560/2.8</f>
        <v>1.3186089285714286</v>
      </c>
      <c r="N47" s="11">
        <v>1.534</v>
      </c>
      <c r="O47" s="22">
        <f t="shared" si="3"/>
        <v>0.21539107142857139</v>
      </c>
      <c r="P47" s="23" t="e">
        <f>#REF!*7.6/100</f>
        <v>#REF!</v>
      </c>
      <c r="Q47" s="11">
        <v>1.641</v>
      </c>
      <c r="R47" s="24" t="e">
        <f t="shared" si="4"/>
        <v>#REF!</v>
      </c>
      <c r="U47" s="25"/>
      <c r="V47" s="25"/>
      <c r="W47" s="25"/>
    </row>
    <row r="48" spans="1:23" hidden="1" x14ac:dyDescent="0.2">
      <c r="A48" s="17">
        <v>42795</v>
      </c>
      <c r="B48" s="18">
        <f t="shared" si="0"/>
        <v>3</v>
      </c>
      <c r="C48" s="18">
        <f t="shared" si="1"/>
        <v>1</v>
      </c>
      <c r="D48" s="11">
        <f t="shared" si="2"/>
        <v>2017</v>
      </c>
      <c r="E48" s="19"/>
      <c r="F48" s="1">
        <f>AVERAGEIFS('Daily Prices'!$F$4:$F$3000,'Daily Prices'!$G$4:$G$3000,Monthly!$B48,'Daily Prices'!$H$4:$H$3000,Monthly!$D48)</f>
        <v>83.826086956521735</v>
      </c>
      <c r="I48" s="19"/>
      <c r="J48" s="1"/>
      <c r="K48" s="1"/>
      <c r="L48" s="20"/>
      <c r="M48" s="21">
        <f>[2]Prices!$D561/2.8</f>
        <v>1.306017142857143</v>
      </c>
      <c r="N48" s="11">
        <v>1.629</v>
      </c>
      <c r="O48" s="22">
        <f t="shared" si="3"/>
        <v>0.32298285714285702</v>
      </c>
      <c r="P48" s="23" t="e">
        <f>#REF!*7.6/100</f>
        <v>#REF!</v>
      </c>
      <c r="Q48" s="11">
        <v>1.536</v>
      </c>
      <c r="R48" s="24" t="e">
        <f t="shared" si="4"/>
        <v>#REF!</v>
      </c>
      <c r="U48" s="25"/>
      <c r="V48" s="25"/>
      <c r="W48" s="25"/>
    </row>
    <row r="49" spans="1:23" hidden="1" x14ac:dyDescent="0.2">
      <c r="A49" s="17">
        <v>42826</v>
      </c>
      <c r="B49" s="18">
        <f t="shared" si="0"/>
        <v>4</v>
      </c>
      <c r="C49" s="18">
        <f t="shared" si="1"/>
        <v>2</v>
      </c>
      <c r="D49" s="11">
        <f t="shared" si="2"/>
        <v>2017</v>
      </c>
      <c r="E49" s="19"/>
      <c r="F49" s="1">
        <f>AVERAGEIFS('Daily Prices'!$F$4:$F$3000,'Daily Prices'!$G$4:$G$3000,Monthly!$B49,'Daily Prices'!$H$4:$H$3000,Monthly!$D49)</f>
        <v>78.631578947368425</v>
      </c>
      <c r="H49" s="13">
        <v>48.4</v>
      </c>
      <c r="I49" s="19"/>
      <c r="J49" s="1"/>
      <c r="K49" s="1"/>
      <c r="L49" s="20"/>
      <c r="M49" s="21">
        <f>[2]Prices!$D562/2.8</f>
        <v>1.2964757142857142</v>
      </c>
      <c r="N49" s="11">
        <v>1.681</v>
      </c>
      <c r="O49" s="22">
        <f t="shared" si="3"/>
        <v>0.38452428571428587</v>
      </c>
      <c r="P49" s="23" t="e">
        <f>#REF!*7.6/100</f>
        <v>#REF!</v>
      </c>
      <c r="Q49" s="11">
        <v>1.59</v>
      </c>
      <c r="R49" s="24" t="e">
        <f t="shared" si="4"/>
        <v>#REF!</v>
      </c>
      <c r="U49" s="25"/>
      <c r="V49" s="25"/>
      <c r="W49" s="25"/>
    </row>
    <row r="50" spans="1:23" hidden="1" x14ac:dyDescent="0.2">
      <c r="A50" s="17">
        <v>42856</v>
      </c>
      <c r="B50" s="18">
        <f t="shared" si="0"/>
        <v>5</v>
      </c>
      <c r="C50" s="18">
        <f t="shared" si="1"/>
        <v>2</v>
      </c>
      <c r="D50" s="11">
        <f t="shared" si="2"/>
        <v>2017</v>
      </c>
      <c r="E50" s="19"/>
      <c r="F50" s="1">
        <f>AVERAGEIFS('Daily Prices'!$F$4:$F$3000,'Daily Prices'!$G$4:$G$3000,Monthly!$B50,'Daily Prices'!$H$4:$H$3000,Monthly!$D50)</f>
        <v>72.568181818181813</v>
      </c>
      <c r="H50" s="13">
        <v>50</v>
      </c>
      <c r="I50" s="19"/>
      <c r="J50" s="1"/>
      <c r="K50" s="1"/>
      <c r="L50" s="20"/>
      <c r="M50" s="21">
        <f>[2]Prices!$D563/2.8</f>
        <v>1.323376785714286</v>
      </c>
      <c r="N50" s="11">
        <v>1.581</v>
      </c>
      <c r="O50" s="22">
        <f t="shared" si="3"/>
        <v>0.257623214285714</v>
      </c>
      <c r="P50" s="23" t="e">
        <f>#REF!*7.6/100</f>
        <v>#REF!</v>
      </c>
      <c r="Q50" s="11">
        <v>1.514</v>
      </c>
      <c r="R50" s="24" t="e">
        <f t="shared" si="4"/>
        <v>#REF!</v>
      </c>
      <c r="U50" s="25"/>
      <c r="V50" s="25"/>
      <c r="W50" s="25"/>
    </row>
    <row r="51" spans="1:23" hidden="1" x14ac:dyDescent="0.2">
      <c r="A51" s="17">
        <v>42887</v>
      </c>
      <c r="B51" s="18">
        <f t="shared" si="0"/>
        <v>6</v>
      </c>
      <c r="C51" s="18">
        <f t="shared" si="1"/>
        <v>2</v>
      </c>
      <c r="D51" s="11">
        <f t="shared" si="2"/>
        <v>2017</v>
      </c>
      <c r="E51" s="19"/>
      <c r="F51" s="1">
        <f>AVERAGEIFS('Daily Prices'!$F$4:$F$3000,'Daily Prices'!$G$4:$G$3000,Monthly!$B51,'Daily Prices'!$H$4:$H$3000,Monthly!$D51)</f>
        <v>74.545454545454547</v>
      </c>
      <c r="H51" s="13">
        <v>45</v>
      </c>
      <c r="I51" s="19"/>
      <c r="J51" s="1"/>
      <c r="K51" s="1"/>
      <c r="L51" s="20"/>
      <c r="M51" s="21">
        <f>[2]Prices!$D564/2.8</f>
        <v>1.3295860714285714</v>
      </c>
      <c r="N51" s="11">
        <v>1.482</v>
      </c>
      <c r="O51" s="22">
        <f t="shared" si="3"/>
        <v>0.15241392857142855</v>
      </c>
      <c r="P51" s="23" t="e">
        <f>#REF!*7.6/100</f>
        <v>#REF!</v>
      </c>
      <c r="Q51" s="11">
        <v>1.4259999999999999</v>
      </c>
      <c r="R51" s="24" t="e">
        <f t="shared" si="4"/>
        <v>#REF!</v>
      </c>
      <c r="U51" s="25"/>
      <c r="V51" s="25"/>
      <c r="W51" s="25"/>
    </row>
    <row r="52" spans="1:23" hidden="1" x14ac:dyDescent="0.2">
      <c r="A52" s="17">
        <v>42917</v>
      </c>
      <c r="B52" s="18">
        <f t="shared" si="0"/>
        <v>7</v>
      </c>
      <c r="C52" s="18">
        <f t="shared" si="1"/>
        <v>3</v>
      </c>
      <c r="D52" s="11">
        <f t="shared" si="2"/>
        <v>2017</v>
      </c>
      <c r="E52" s="19"/>
      <c r="F52" s="1">
        <f>AVERAGEIFS('Daily Prices'!$F$4:$F$3000,'Daily Prices'!$G$4:$G$3000,Monthly!$B52,'Daily Prices'!$H$4:$H$3000,Monthly!$D52)</f>
        <v>75.337500000000006</v>
      </c>
      <c r="I52" s="19"/>
      <c r="J52" s="1"/>
      <c r="K52" s="1"/>
      <c r="L52" s="20"/>
      <c r="M52" s="21">
        <f>[2]Prices!$D565/2.8</f>
        <v>1.3646428571428573</v>
      </c>
      <c r="N52" s="11">
        <v>1.57</v>
      </c>
      <c r="O52" s="22">
        <f t="shared" si="3"/>
        <v>0.20535714285714279</v>
      </c>
      <c r="P52" s="23" t="e">
        <f>#REF!*7.6/100</f>
        <v>#REF!</v>
      </c>
      <c r="Q52" s="11">
        <v>1.526</v>
      </c>
      <c r="R52" s="24" t="e">
        <f t="shared" si="4"/>
        <v>#REF!</v>
      </c>
      <c r="U52" s="25"/>
      <c r="V52" s="25"/>
      <c r="W52" s="25"/>
    </row>
    <row r="53" spans="1:23" hidden="1" x14ac:dyDescent="0.2">
      <c r="A53" s="17">
        <v>42948</v>
      </c>
      <c r="B53" s="18">
        <f t="shared" si="0"/>
        <v>8</v>
      </c>
      <c r="C53" s="18">
        <f t="shared" si="1"/>
        <v>3</v>
      </c>
      <c r="D53" s="11">
        <f t="shared" si="2"/>
        <v>2017</v>
      </c>
      <c r="E53" s="19"/>
      <c r="F53" s="1">
        <f>AVERAGEIFS('Daily Prices'!$F$4:$F$3000,'Daily Prices'!$G$4:$G$3000,Monthly!$B53,'Daily Prices'!$H$4:$H$3000,Monthly!$D53)</f>
        <v>91.473043478260877</v>
      </c>
      <c r="H53" s="13">
        <v>44</v>
      </c>
      <c r="I53" s="19"/>
      <c r="J53" s="1"/>
      <c r="K53" s="1"/>
      <c r="L53" s="20"/>
      <c r="M53" s="21">
        <f>[2]Prices!$D566/2.8</f>
        <v>1.2611414285714286</v>
      </c>
      <c r="N53" s="11">
        <v>1.663</v>
      </c>
      <c r="O53" s="22">
        <f t="shared" si="3"/>
        <v>0.4018585714285714</v>
      </c>
      <c r="P53" s="23" t="e">
        <f>#REF!*7.6/100</f>
        <v>#REF!</v>
      </c>
      <c r="Q53" s="11">
        <v>1.631</v>
      </c>
      <c r="R53" s="24" t="e">
        <f t="shared" si="4"/>
        <v>#REF!</v>
      </c>
      <c r="U53" s="25"/>
      <c r="V53" s="25"/>
      <c r="W53" s="25"/>
    </row>
    <row r="54" spans="1:23" hidden="1" x14ac:dyDescent="0.2">
      <c r="A54" s="17">
        <v>42979</v>
      </c>
      <c r="B54" s="18">
        <f t="shared" si="0"/>
        <v>9</v>
      </c>
      <c r="C54" s="18">
        <f t="shared" si="1"/>
        <v>3</v>
      </c>
      <c r="D54" s="11">
        <f t="shared" si="2"/>
        <v>2017</v>
      </c>
      <c r="E54" s="19"/>
      <c r="F54" s="1">
        <f>AVERAGEIFS('Daily Prices'!$F$4:$F$3000,'Daily Prices'!$G$4:$G$3000,Monthly!$B54,'Daily Prices'!$H$4:$H$3000,Monthly!$D54)</f>
        <v>93.15</v>
      </c>
      <c r="H54" s="13">
        <v>44</v>
      </c>
      <c r="I54" s="19"/>
      <c r="J54" s="1"/>
      <c r="K54" s="1"/>
      <c r="L54" s="20"/>
      <c r="M54" s="21">
        <f>[2]Prices!$D567/2.8</f>
        <v>1.2638392857142857</v>
      </c>
      <c r="N54" s="11">
        <v>1.663</v>
      </c>
      <c r="O54" s="22">
        <f t="shared" si="3"/>
        <v>0.39916071428571431</v>
      </c>
      <c r="P54" s="23" t="e">
        <f>#REF!*7.6/100</f>
        <v>#REF!</v>
      </c>
      <c r="Q54" s="11">
        <v>1.7909999999999999</v>
      </c>
      <c r="R54" s="24" t="e">
        <f t="shared" si="4"/>
        <v>#REF!</v>
      </c>
      <c r="U54" s="25"/>
      <c r="V54" s="25"/>
      <c r="W54" s="25"/>
    </row>
    <row r="55" spans="1:23" hidden="1" x14ac:dyDescent="0.2">
      <c r="A55" s="17">
        <v>43009</v>
      </c>
      <c r="B55" s="18">
        <f t="shared" si="0"/>
        <v>10</v>
      </c>
      <c r="C55" s="18">
        <f t="shared" si="1"/>
        <v>4</v>
      </c>
      <c r="D55" s="11">
        <f t="shared" si="2"/>
        <v>2017</v>
      </c>
      <c r="E55" s="19"/>
      <c r="F55" s="1">
        <f>AVERAGEIFS('Daily Prices'!$F$4:$F$3000,'Daily Prices'!$G$4:$G$3000,Monthly!$B55,'Daily Prices'!$H$4:$H$3000,Monthly!$D55)</f>
        <v>94.806818181818187</v>
      </c>
      <c r="H55" s="13">
        <v>51.55</v>
      </c>
      <c r="I55" s="19"/>
      <c r="J55" s="1"/>
      <c r="K55" s="1"/>
      <c r="L55" s="20"/>
      <c r="M55" s="21">
        <f>[2]Prices!$D568/2.8</f>
        <v>1.2478084415584416</v>
      </c>
      <c r="N55" s="11">
        <v>1.6519999999999999</v>
      </c>
      <c r="O55" s="22">
        <f t="shared" si="3"/>
        <v>0.4041915584415583</v>
      </c>
      <c r="P55" s="23" t="e">
        <f>#REF!*7.6/100</f>
        <v>#REF!</v>
      </c>
      <c r="Q55" s="11">
        <v>1.802</v>
      </c>
      <c r="R55" s="24" t="e">
        <f t="shared" si="4"/>
        <v>#REF!</v>
      </c>
      <c r="U55" s="25"/>
      <c r="V55" s="25"/>
      <c r="W55" s="25"/>
    </row>
    <row r="56" spans="1:23" hidden="1" x14ac:dyDescent="0.2">
      <c r="A56" s="17">
        <v>43040</v>
      </c>
      <c r="B56" s="18">
        <f t="shared" si="0"/>
        <v>11</v>
      </c>
      <c r="C56" s="18">
        <f t="shared" si="1"/>
        <v>4</v>
      </c>
      <c r="D56" s="11">
        <f t="shared" si="2"/>
        <v>2017</v>
      </c>
      <c r="E56" s="19"/>
      <c r="F56" s="1">
        <f>AVERAGEIFS('Daily Prices'!$F$4:$F$3000,'Daily Prices'!$G$4:$G$3000,Monthly!$B56,'Daily Prices'!$H$4:$H$3000,Monthly!$D56)</f>
        <v>102.8875</v>
      </c>
      <c r="H56" s="13">
        <v>45.07</v>
      </c>
      <c r="I56" s="19"/>
      <c r="J56" s="1"/>
      <c r="K56" s="1"/>
      <c r="L56" s="20"/>
      <c r="M56" s="21">
        <f>[2]Prices!$D569/2.8</f>
        <v>1.225637755102041</v>
      </c>
      <c r="N56" s="11">
        <v>1.7709999999999999</v>
      </c>
      <c r="O56" s="22">
        <f t="shared" si="3"/>
        <v>0.54536224489795893</v>
      </c>
      <c r="P56" s="23" t="e">
        <f>#REF!*7.6/100</f>
        <v>#REF!</v>
      </c>
      <c r="Q56" s="11">
        <v>1.9179999999999999</v>
      </c>
      <c r="R56" s="24" t="e">
        <f t="shared" si="4"/>
        <v>#REF!</v>
      </c>
      <c r="U56" s="25"/>
      <c r="V56" s="25"/>
      <c r="W56" s="25"/>
    </row>
    <row r="57" spans="1:23" hidden="1" x14ac:dyDescent="0.2">
      <c r="A57" s="17">
        <v>43070</v>
      </c>
      <c r="B57" s="18">
        <f t="shared" si="0"/>
        <v>12</v>
      </c>
      <c r="C57" s="18">
        <f t="shared" si="1"/>
        <v>4</v>
      </c>
      <c r="D57" s="11">
        <f t="shared" si="2"/>
        <v>2017</v>
      </c>
      <c r="E57" s="19"/>
      <c r="F57" s="1">
        <f>AVERAGEIFS('Daily Prices'!$F$4:$F$3000,'Daily Prices'!$G$4:$G$3000,Monthly!$B57,'Daily Prices'!$H$4:$H$3000,Monthly!$D57)</f>
        <v>109.4</v>
      </c>
      <c r="H57" s="13">
        <v>50.59</v>
      </c>
      <c r="I57" s="19"/>
      <c r="J57" s="1"/>
      <c r="K57" s="1"/>
      <c r="L57" s="20"/>
      <c r="M57" s="21">
        <f>[2]Prices!$D570/2.8</f>
        <v>1.2537500000000001</v>
      </c>
      <c r="N57" s="11">
        <v>1.7210000000000001</v>
      </c>
      <c r="O57" s="22">
        <f t="shared" si="3"/>
        <v>0.46724999999999994</v>
      </c>
      <c r="P57" s="23" t="e">
        <f>#REF!*7.6/100</f>
        <v>#REF!</v>
      </c>
      <c r="Q57" s="11">
        <v>1.9490000000000001</v>
      </c>
      <c r="R57" s="24" t="e">
        <f t="shared" si="4"/>
        <v>#REF!</v>
      </c>
      <c r="U57" s="25"/>
      <c r="V57" s="25"/>
      <c r="W57" s="25"/>
    </row>
    <row r="58" spans="1:23" hidden="1" x14ac:dyDescent="0.2">
      <c r="A58" s="17">
        <v>43101</v>
      </c>
      <c r="B58" s="18">
        <f t="shared" si="0"/>
        <v>1</v>
      </c>
      <c r="C58" s="18">
        <f t="shared" si="1"/>
        <v>1</v>
      </c>
      <c r="D58" s="11">
        <f t="shared" si="2"/>
        <v>2018</v>
      </c>
      <c r="E58" s="19"/>
      <c r="F58" s="1">
        <f>AVERAGEIFS('Daily Prices'!$F$4:$F$3000,'Daily Prices'!$G$4:$G$3000,Monthly!$B58,'Daily Prices'!$H$4:$H$3000,Monthly!$D58)</f>
        <v>134.52380952380952</v>
      </c>
      <c r="H58" s="13">
        <v>47.38</v>
      </c>
      <c r="I58" s="19"/>
      <c r="J58" s="1"/>
      <c r="K58" s="1"/>
      <c r="L58" s="20"/>
      <c r="M58" s="21">
        <f>[2]Prices!$D571/2.8</f>
        <v>1.2597363945578233</v>
      </c>
      <c r="N58" s="11">
        <v>1.8560000000000001</v>
      </c>
      <c r="O58" s="22">
        <f t="shared" si="3"/>
        <v>0.59626360544217683</v>
      </c>
      <c r="P58" s="23" t="e">
        <f>S58*7.6/100</f>
        <v>#REF!</v>
      </c>
      <c r="Q58" s="11">
        <v>2.0779999999999998</v>
      </c>
      <c r="R58" s="24" t="e">
        <f t="shared" si="4"/>
        <v>#REF!</v>
      </c>
      <c r="S58" s="23" t="e">
        <f>#REF!</f>
        <v>#REF!</v>
      </c>
      <c r="T58" s="1">
        <v>26.75</v>
      </c>
      <c r="U58" s="25"/>
      <c r="V58" s="25"/>
      <c r="W58" s="25"/>
    </row>
    <row r="59" spans="1:23" hidden="1" x14ac:dyDescent="0.2">
      <c r="A59" s="17">
        <v>43132</v>
      </c>
      <c r="B59" s="18">
        <f t="shared" si="0"/>
        <v>2</v>
      </c>
      <c r="C59" s="18">
        <f t="shared" si="1"/>
        <v>1</v>
      </c>
      <c r="D59" s="11">
        <f t="shared" si="2"/>
        <v>2018</v>
      </c>
      <c r="E59" s="19"/>
      <c r="F59" s="1">
        <f>AVERAGEIFS('Daily Prices'!$F$4:$F$3000,'Daily Prices'!$G$4:$G$3000,Monthly!$B59,'Daily Prices'!$H$4:$H$3000,Monthly!$D59)</f>
        <v>139.64473684210526</v>
      </c>
      <c r="H59" s="13">
        <v>58.4</v>
      </c>
      <c r="I59" s="19"/>
      <c r="J59" s="1"/>
      <c r="K59" s="1"/>
      <c r="L59" s="20"/>
      <c r="M59" s="21">
        <f>[2]Prices!$D572/2.8</f>
        <v>1.2879464285714288</v>
      </c>
      <c r="N59" s="11">
        <v>1.772</v>
      </c>
      <c r="O59" s="22">
        <f t="shared" si="3"/>
        <v>0.48405357142857119</v>
      </c>
      <c r="P59" s="23" t="e">
        <f t="shared" ref="P59:P122" si="5">S59*7.6/100</f>
        <v>#REF!</v>
      </c>
      <c r="Q59" s="11">
        <v>1.9390000000000001</v>
      </c>
      <c r="R59" s="24" t="e">
        <f t="shared" si="4"/>
        <v>#REF!</v>
      </c>
      <c r="S59" s="23" t="e">
        <f>#REF!</f>
        <v>#REF!</v>
      </c>
      <c r="T59" s="1">
        <v>26.0395</v>
      </c>
      <c r="U59" s="25"/>
      <c r="V59" s="25"/>
      <c r="W59" s="25"/>
    </row>
    <row r="60" spans="1:23" hidden="1" x14ac:dyDescent="0.2">
      <c r="A60" s="17">
        <v>43160</v>
      </c>
      <c r="B60" s="18">
        <f t="shared" si="0"/>
        <v>3</v>
      </c>
      <c r="C60" s="18">
        <f t="shared" si="1"/>
        <v>1</v>
      </c>
      <c r="D60" s="11">
        <f t="shared" si="2"/>
        <v>2018</v>
      </c>
      <c r="E60" s="19"/>
      <c r="F60" s="1">
        <f>AVERAGEIFS('Daily Prices'!$F$4:$F$3000,'Daily Prices'!$G$4:$G$3000,Monthly!$B60,'Daily Prices'!$H$4:$H$3000,Monthly!$D60)</f>
        <v>130.14285714285714</v>
      </c>
      <c r="H60" s="13">
        <v>56.14</v>
      </c>
      <c r="I60" s="19"/>
      <c r="J60" s="1"/>
      <c r="K60" s="1"/>
      <c r="L60" s="20"/>
      <c r="M60" s="21">
        <f>[2]Prices!$D573/2.8</f>
        <v>1.3683673469387758</v>
      </c>
      <c r="N60" s="11">
        <v>1.952</v>
      </c>
      <c r="O60" s="22">
        <f t="shared" si="3"/>
        <v>0.58363265306122414</v>
      </c>
      <c r="P60" s="23" t="e">
        <f t="shared" si="5"/>
        <v>#REF!</v>
      </c>
      <c r="Q60" s="11">
        <v>1.9359999999999999</v>
      </c>
      <c r="R60" s="24" t="e">
        <f t="shared" si="4"/>
        <v>#REF!</v>
      </c>
      <c r="S60" s="23" t="e">
        <f>#REF!</f>
        <v>#REF!</v>
      </c>
      <c r="T60" s="1">
        <v>24.25</v>
      </c>
      <c r="U60" s="25"/>
      <c r="V60" s="25"/>
      <c r="W60" s="25"/>
    </row>
    <row r="61" spans="1:23" hidden="1" x14ac:dyDescent="0.2">
      <c r="A61" s="17">
        <v>43191</v>
      </c>
      <c r="B61" s="18">
        <f t="shared" si="0"/>
        <v>4</v>
      </c>
      <c r="C61" s="18">
        <f t="shared" si="1"/>
        <v>2</v>
      </c>
      <c r="D61" s="11">
        <f t="shared" si="2"/>
        <v>2018</v>
      </c>
      <c r="E61" s="19"/>
      <c r="F61" s="1">
        <f>AVERAGEIFS('Daily Prices'!$F$4:$F$3000,'Daily Prices'!$G$4:$G$3000,Monthly!$B61,'Daily Prices'!$H$4:$H$3000,Monthly!$D61)</f>
        <v>149.11904761904762</v>
      </c>
      <c r="H61" s="13">
        <v>57.21</v>
      </c>
      <c r="I61" s="19"/>
      <c r="J61" s="1"/>
      <c r="K61" s="1"/>
      <c r="L61" s="20"/>
      <c r="M61" s="21">
        <f>[2]Prices!$D574/2.8</f>
        <v>1.3754910714285715</v>
      </c>
      <c r="N61" s="11">
        <v>2.0510000000000002</v>
      </c>
      <c r="O61" s="22">
        <f t="shared" si="3"/>
        <v>0.67550892857142864</v>
      </c>
      <c r="P61" s="23" t="e">
        <f t="shared" si="5"/>
        <v>#REF!</v>
      </c>
      <c r="Q61" s="11">
        <v>2.0739999999999998</v>
      </c>
      <c r="R61" s="24" t="e">
        <f t="shared" si="4"/>
        <v>#REF!</v>
      </c>
      <c r="S61" s="23" t="e">
        <f>#REF!</f>
        <v>#REF!</v>
      </c>
      <c r="T61" s="1">
        <v>24.25</v>
      </c>
      <c r="U61" s="25"/>
      <c r="V61" s="25"/>
      <c r="W61" s="25"/>
    </row>
    <row r="62" spans="1:23" hidden="1" x14ac:dyDescent="0.2">
      <c r="A62" s="17">
        <v>43221</v>
      </c>
      <c r="B62" s="18">
        <f t="shared" si="0"/>
        <v>5</v>
      </c>
      <c r="C62" s="18">
        <f t="shared" si="1"/>
        <v>2</v>
      </c>
      <c r="D62" s="11">
        <f t="shared" si="2"/>
        <v>2018</v>
      </c>
      <c r="E62" s="19"/>
      <c r="F62" s="1">
        <f>AVERAGEIFS('Daily Prices'!$F$4:$F$3000,'Daily Prices'!$G$4:$G$3000,Monthly!$B62,'Daily Prices'!$H$4:$H$3000,Monthly!$D62)</f>
        <v>157.125</v>
      </c>
      <c r="H62" s="13">
        <v>63.8</v>
      </c>
      <c r="I62" s="19"/>
      <c r="J62" s="1"/>
      <c r="K62" s="1"/>
      <c r="L62" s="20"/>
      <c r="M62" s="21">
        <f>[2]Prices!$D575/2.8</f>
        <v>1.435024350649351</v>
      </c>
      <c r="N62" s="11">
        <v>2.181</v>
      </c>
      <c r="O62" s="22">
        <f t="shared" si="3"/>
        <v>0.74597564935064908</v>
      </c>
      <c r="P62" s="23" t="e">
        <f t="shared" si="5"/>
        <v>#REF!</v>
      </c>
      <c r="Q62" s="11">
        <v>2.2149999999999999</v>
      </c>
      <c r="R62" s="24" t="e">
        <f t="shared" si="4"/>
        <v>#REF!</v>
      </c>
      <c r="S62" s="23" t="e">
        <f>#REF!</f>
        <v>#REF!</v>
      </c>
      <c r="T62" s="1">
        <v>24.25</v>
      </c>
      <c r="U62" s="25"/>
      <c r="V62" s="25"/>
      <c r="W62" s="25"/>
    </row>
    <row r="63" spans="1:23" hidden="1" x14ac:dyDescent="0.2">
      <c r="A63" s="17">
        <v>43252</v>
      </c>
      <c r="B63" s="18">
        <f t="shared" si="0"/>
        <v>6</v>
      </c>
      <c r="C63" s="18">
        <f t="shared" si="1"/>
        <v>2</v>
      </c>
      <c r="D63" s="11">
        <f t="shared" si="2"/>
        <v>2018</v>
      </c>
      <c r="E63" s="19"/>
      <c r="F63" s="1">
        <f>AVERAGEIFS('Daily Prices'!$F$4:$F$3000,'Daily Prices'!$G$4:$G$3000,Monthly!$B63,'Daily Prices'!$H$4:$H$3000,Monthly!$D63)</f>
        <v>179</v>
      </c>
      <c r="H63" s="13">
        <v>69.67</v>
      </c>
      <c r="I63" s="19"/>
      <c r="J63" s="1"/>
      <c r="K63" s="1"/>
      <c r="L63" s="20"/>
      <c r="M63" s="21">
        <f>[2]Prices!$D576/2.8</f>
        <v>1.3031037414965985</v>
      </c>
      <c r="N63" s="11">
        <v>2.089</v>
      </c>
      <c r="O63" s="22">
        <f t="shared" si="3"/>
        <v>0.7858962585034015</v>
      </c>
      <c r="P63" s="23" t="e">
        <f t="shared" si="5"/>
        <v>#REF!</v>
      </c>
      <c r="Q63" s="11">
        <v>2.145</v>
      </c>
      <c r="R63" s="24" t="e">
        <f t="shared" si="4"/>
        <v>#REF!</v>
      </c>
      <c r="S63" s="23" t="e">
        <f>#REF!</f>
        <v>#REF!</v>
      </c>
      <c r="T63" s="1">
        <v>24.678599999999999</v>
      </c>
      <c r="U63" s="25"/>
      <c r="V63" s="25"/>
      <c r="W63" s="25"/>
    </row>
    <row r="64" spans="1:23" hidden="1" x14ac:dyDescent="0.2">
      <c r="A64" s="17">
        <v>43282</v>
      </c>
      <c r="B64" s="18">
        <f t="shared" si="0"/>
        <v>7</v>
      </c>
      <c r="C64" s="18">
        <f t="shared" si="1"/>
        <v>3</v>
      </c>
      <c r="D64" s="11">
        <f t="shared" si="2"/>
        <v>2018</v>
      </c>
      <c r="E64" s="19"/>
      <c r="F64" s="1">
        <f>AVERAGEIFS('Daily Prices'!$F$4:$F$3000,'Daily Prices'!$G$4:$G$3000,Monthly!$B64,'Daily Prices'!$H$4:$H$3000,Monthly!$D64)</f>
        <v>186.26190476190476</v>
      </c>
      <c r="H64" s="13">
        <v>85.78</v>
      </c>
      <c r="I64" s="19"/>
      <c r="J64" s="1"/>
      <c r="K64" s="1"/>
      <c r="L64" s="20"/>
      <c r="M64" s="21">
        <f>[2]Prices!$D577/2.8</f>
        <v>1.2607993197278913</v>
      </c>
      <c r="N64" s="11">
        <v>2.1019999999999999</v>
      </c>
      <c r="O64" s="22">
        <f t="shared" si="3"/>
        <v>0.84120068027210859</v>
      </c>
      <c r="P64" s="23" t="e">
        <f t="shared" si="5"/>
        <v>#REF!</v>
      </c>
      <c r="Q64" s="11">
        <v>2.1389999999999998</v>
      </c>
      <c r="R64" s="24" t="e">
        <f t="shared" si="4"/>
        <v>#REF!</v>
      </c>
      <c r="S64" s="23" t="e">
        <f>#REF!</f>
        <v>#REF!</v>
      </c>
      <c r="T64" s="1">
        <v>24.75</v>
      </c>
      <c r="U64" s="25"/>
      <c r="V64" s="25"/>
      <c r="W64" s="25"/>
    </row>
    <row r="65" spans="1:30" hidden="1" x14ac:dyDescent="0.2">
      <c r="A65" s="17">
        <v>43313</v>
      </c>
      <c r="B65" s="18">
        <f t="shared" si="0"/>
        <v>8</v>
      </c>
      <c r="C65" s="18">
        <f t="shared" si="1"/>
        <v>3</v>
      </c>
      <c r="D65" s="11">
        <f t="shared" si="2"/>
        <v>2018</v>
      </c>
      <c r="E65" s="19"/>
      <c r="F65" s="1">
        <f>AVERAGEIFS('Daily Prices'!$F$4:$F$3000,'Daily Prices'!$G$4:$G$3000,Monthly!$B65,'Daily Prices'!$H$4:$H$3000,Monthly!$D65)</f>
        <v>184.13043478260869</v>
      </c>
      <c r="H65" s="13">
        <v>91.53</v>
      </c>
      <c r="I65" s="19"/>
      <c r="J65" s="1"/>
      <c r="K65" s="1"/>
      <c r="L65" s="20"/>
      <c r="M65" s="21">
        <f>[2]Prices!$D578/2.8</f>
        <v>1.2797748447204971</v>
      </c>
      <c r="N65" s="11">
        <v>2.0529999999999999</v>
      </c>
      <c r="O65" s="22">
        <f t="shared" si="3"/>
        <v>0.77322515527950286</v>
      </c>
      <c r="P65" s="23" t="e">
        <f t="shared" si="5"/>
        <v>#REF!</v>
      </c>
      <c r="Q65" s="11">
        <v>2.153</v>
      </c>
      <c r="R65" s="24" t="e">
        <f t="shared" si="4"/>
        <v>#REF!</v>
      </c>
      <c r="S65" s="23" t="e">
        <f>#REF!</f>
        <v>#REF!</v>
      </c>
      <c r="T65" s="1">
        <v>24.260899999999999</v>
      </c>
      <c r="U65" s="25"/>
      <c r="V65" s="25"/>
      <c r="W65" s="25"/>
    </row>
    <row r="66" spans="1:30" hidden="1" x14ac:dyDescent="0.2">
      <c r="A66" s="17">
        <v>43344</v>
      </c>
      <c r="B66" s="18">
        <f t="shared" si="0"/>
        <v>9</v>
      </c>
      <c r="C66" s="18">
        <f t="shared" si="1"/>
        <v>3</v>
      </c>
      <c r="D66" s="11">
        <f t="shared" si="2"/>
        <v>2018</v>
      </c>
      <c r="E66" s="19"/>
      <c r="F66" s="1">
        <f>AVERAGEIFS('Daily Prices'!$F$4:$F$3000,'Daily Prices'!$G$4:$G$3000,Monthly!$B66,'Daily Prices'!$H$4:$H$3000,Monthly!$D66)</f>
        <v>183.28947368421052</v>
      </c>
      <c r="H66" s="13">
        <v>91.62</v>
      </c>
      <c r="I66" s="19"/>
      <c r="J66" s="1"/>
      <c r="K66" s="1"/>
      <c r="L66" s="20"/>
      <c r="M66" s="21">
        <f>[2]Prices!$D579/2.8</f>
        <v>1.280169172932331</v>
      </c>
      <c r="N66" s="11">
        <v>2.012</v>
      </c>
      <c r="O66" s="22">
        <f t="shared" si="3"/>
        <v>0.731830827067669</v>
      </c>
      <c r="P66" s="23" t="e">
        <f t="shared" si="5"/>
        <v>#REF!</v>
      </c>
      <c r="Q66" s="11">
        <v>2.2509999999999999</v>
      </c>
      <c r="R66" s="24" t="e">
        <f t="shared" si="4"/>
        <v>#REF!</v>
      </c>
      <c r="S66" s="23" t="e">
        <f>#REF!</f>
        <v>#REF!</v>
      </c>
      <c r="T66" s="1">
        <v>23.421099999999999</v>
      </c>
      <c r="U66" s="25"/>
      <c r="V66" s="25"/>
      <c r="W66" s="25"/>
      <c r="X66" s="12">
        <v>39.47</v>
      </c>
      <c r="Y66" s="11">
        <v>24.34</v>
      </c>
      <c r="Z66" s="11">
        <v>22.64</v>
      </c>
      <c r="AA66" s="11">
        <v>27.93</v>
      </c>
      <c r="AB66" s="11">
        <v>24.73</v>
      </c>
      <c r="AC66" s="11">
        <v>23.42</v>
      </c>
      <c r="AD66" s="11">
        <v>21.24</v>
      </c>
    </row>
    <row r="67" spans="1:30" hidden="1" x14ac:dyDescent="0.2">
      <c r="A67" s="17">
        <v>43374</v>
      </c>
      <c r="B67" s="18">
        <f t="shared" si="0"/>
        <v>10</v>
      </c>
      <c r="C67" s="18">
        <f t="shared" si="1"/>
        <v>4</v>
      </c>
      <c r="D67" s="11">
        <f t="shared" si="2"/>
        <v>2018</v>
      </c>
      <c r="E67" s="19"/>
      <c r="F67" s="1">
        <f>AVERAGEIFS('Daily Prices'!$F$4:$F$3000,'Daily Prices'!$G$4:$G$3000,Monthly!$B67,'Daily Prices'!$H$4:$H$3000,Monthly!$D67)</f>
        <v>189.18478260869566</v>
      </c>
      <c r="H67" s="13">
        <v>83.59</v>
      </c>
      <c r="I67" s="19"/>
      <c r="J67" s="1"/>
      <c r="K67" s="1"/>
      <c r="L67" s="20"/>
      <c r="M67" s="21">
        <f>[2]Prices!$D580/2.8</f>
        <v>1.314829192546584</v>
      </c>
      <c r="N67" s="11">
        <v>1.9510000000000001</v>
      </c>
      <c r="O67" s="22">
        <f t="shared" si="3"/>
        <v>0.63617080745341603</v>
      </c>
      <c r="P67" s="23" t="e">
        <f t="shared" si="5"/>
        <v>#REF!</v>
      </c>
      <c r="Q67" s="11">
        <v>2.3340000000000001</v>
      </c>
      <c r="R67" s="24" t="e">
        <f t="shared" si="4"/>
        <v>#REF!</v>
      </c>
      <c r="S67" s="23" t="e">
        <f>#REF!</f>
        <v>#REF!</v>
      </c>
      <c r="T67" s="1">
        <v>23.5</v>
      </c>
      <c r="U67" s="25"/>
      <c r="V67" s="25"/>
      <c r="W67" s="25"/>
      <c r="X67" s="12">
        <v>41.4</v>
      </c>
      <c r="Y67" s="11">
        <v>23.22</v>
      </c>
      <c r="Z67" s="11">
        <v>18.39</v>
      </c>
      <c r="AA67" s="11">
        <v>23.39</v>
      </c>
      <c r="AB67" s="11">
        <v>24.47</v>
      </c>
      <c r="AC67" s="11">
        <v>23.5</v>
      </c>
      <c r="AD67" s="11">
        <v>21</v>
      </c>
    </row>
    <row r="68" spans="1:30" hidden="1" x14ac:dyDescent="0.2">
      <c r="A68" s="17">
        <v>43405</v>
      </c>
      <c r="B68" s="18">
        <f t="shared" si="0"/>
        <v>11</v>
      </c>
      <c r="C68" s="18">
        <f t="shared" si="1"/>
        <v>4</v>
      </c>
      <c r="D68" s="11">
        <f t="shared" si="2"/>
        <v>2018</v>
      </c>
      <c r="E68" s="19"/>
      <c r="F68" s="1">
        <f>AVERAGEIFS('Daily Prices'!$F$4:$F$3000,'Daily Prices'!$G$4:$G$3000,Monthly!$B68,'Daily Prices'!$H$4:$H$3000,Monthly!$D68)</f>
        <v>188.36250000000001</v>
      </c>
      <c r="H68" s="13">
        <v>101.08</v>
      </c>
      <c r="I68" s="19"/>
      <c r="J68" s="1"/>
      <c r="K68" s="1"/>
      <c r="L68" s="20"/>
      <c r="M68" s="21">
        <f>[2]Prices!$D581/2.8</f>
        <v>1.2914540816326532</v>
      </c>
      <c r="N68" s="11">
        <v>1.5569999999999999</v>
      </c>
      <c r="O68" s="22">
        <f t="shared" si="3"/>
        <v>0.26554591836734676</v>
      </c>
      <c r="P68" s="23" t="e">
        <f t="shared" si="5"/>
        <v>#REF!</v>
      </c>
      <c r="Q68" s="11">
        <v>2.0449999999999999</v>
      </c>
      <c r="R68" s="24" t="e">
        <f t="shared" si="4"/>
        <v>#REF!</v>
      </c>
      <c r="S68" s="23" t="e">
        <f>#REF!</f>
        <v>#REF!</v>
      </c>
      <c r="T68" s="1">
        <v>23.5</v>
      </c>
      <c r="U68" s="25"/>
      <c r="V68" s="25"/>
      <c r="W68" s="25"/>
      <c r="X68" s="12">
        <v>40.69</v>
      </c>
      <c r="Y68" s="11">
        <v>25.4</v>
      </c>
      <c r="Z68" s="11">
        <v>19.03</v>
      </c>
      <c r="AA68" s="11">
        <v>23.3</v>
      </c>
      <c r="AB68" s="11">
        <v>24.96</v>
      </c>
      <c r="AC68" s="11">
        <v>23.5</v>
      </c>
      <c r="AD68" s="11">
        <v>21.1</v>
      </c>
    </row>
    <row r="69" spans="1:30" hidden="1" x14ac:dyDescent="0.2">
      <c r="A69" s="17">
        <v>43435</v>
      </c>
      <c r="B69" s="18">
        <f t="shared" ref="B69:B132" si="6">MONTH(A69)</f>
        <v>12</v>
      </c>
      <c r="C69" s="18">
        <f t="shared" ref="C69:C132" si="7">ROUNDUP(MONTH(A69)/3,0)</f>
        <v>4</v>
      </c>
      <c r="D69" s="11">
        <f t="shared" ref="D69:D132" si="8">YEAR(A69)</f>
        <v>2018</v>
      </c>
      <c r="E69" s="19"/>
      <c r="F69" s="1">
        <f>AVERAGEIFS('Daily Prices'!$F$4:$F$3000,'Daily Prices'!$G$4:$G$3000,Monthly!$B69,'Daily Prices'!$H$4:$H$3000,Monthly!$D69)</f>
        <v>196.63095238095238</v>
      </c>
      <c r="H69" s="13">
        <v>102.33</v>
      </c>
      <c r="I69" s="19"/>
      <c r="J69" s="1"/>
      <c r="K69" s="1"/>
      <c r="L69" s="20"/>
      <c r="M69" s="21">
        <f>[2]Prices!$D582/2.8</f>
        <v>1.3612946428571431</v>
      </c>
      <c r="N69" s="11">
        <v>1.381</v>
      </c>
      <c r="O69" s="22">
        <f t="shared" ref="O69:O132" si="9">N69-M69</f>
        <v>1.9705357142856927E-2</v>
      </c>
      <c r="P69" s="23">
        <f t="shared" si="5"/>
        <v>2.1604140000000003</v>
      </c>
      <c r="Q69" s="11">
        <v>1.792</v>
      </c>
      <c r="R69" s="24">
        <f t="shared" ref="R69:R132" si="10">P69-Q69</f>
        <v>0.36841400000000024</v>
      </c>
      <c r="S69" s="23">
        <f>'[3]Monthly Data'!$AE3</f>
        <v>28.426500000000004</v>
      </c>
      <c r="T69" s="1">
        <v>24.1447</v>
      </c>
      <c r="U69" s="25"/>
      <c r="V69" s="25"/>
      <c r="W69" s="25"/>
      <c r="X69" s="12">
        <v>41.32</v>
      </c>
      <c r="Y69" s="11">
        <v>26</v>
      </c>
      <c r="Z69" s="11">
        <v>20.46</v>
      </c>
      <c r="AA69" s="11">
        <v>28.29</v>
      </c>
      <c r="AB69" s="11">
        <v>25.36</v>
      </c>
      <c r="AC69" s="11">
        <v>24.14</v>
      </c>
      <c r="AD69" s="11">
        <v>22.18</v>
      </c>
    </row>
    <row r="70" spans="1:30" hidden="1" x14ac:dyDescent="0.2">
      <c r="A70" s="17">
        <v>43466</v>
      </c>
      <c r="B70" s="18">
        <f t="shared" si="6"/>
        <v>1</v>
      </c>
      <c r="C70" s="18">
        <f t="shared" si="7"/>
        <v>1</v>
      </c>
      <c r="D70" s="11">
        <f t="shared" si="8"/>
        <v>2019</v>
      </c>
      <c r="E70" s="19"/>
      <c r="F70" s="1">
        <f>AVERAGEIFS('Daily Prices'!$F$4:$F$3000,'Daily Prices'!$G$4:$G$3000,Monthly!$B70,'Daily Prices'!$H$4:$H$3000,Monthly!$D70)</f>
        <v>191.17285714285714</v>
      </c>
      <c r="H70" s="13">
        <v>127.13</v>
      </c>
      <c r="I70" s="19"/>
      <c r="J70" s="1"/>
      <c r="K70" s="1"/>
      <c r="L70" s="20"/>
      <c r="M70" s="21">
        <f>[2]Prices!$D583/2.8</f>
        <v>1.3524659863945581</v>
      </c>
      <c r="N70" s="11">
        <v>1.383</v>
      </c>
      <c r="O70" s="22">
        <f t="shared" si="9"/>
        <v>3.0534013605441945E-2</v>
      </c>
      <c r="P70" s="23">
        <f t="shared" si="5"/>
        <v>2.2040723809523803</v>
      </c>
      <c r="Q70" s="11">
        <v>1.851</v>
      </c>
      <c r="R70" s="24">
        <f t="shared" si="10"/>
        <v>0.35307238095238036</v>
      </c>
      <c r="S70" s="23">
        <f>'[3]Monthly Data'!$AE4</f>
        <v>29.000952380952373</v>
      </c>
      <c r="T70" s="1">
        <v>24.631</v>
      </c>
      <c r="U70" s="25"/>
      <c r="V70" s="25"/>
      <c r="W70" s="25"/>
      <c r="X70" s="12">
        <v>41.24</v>
      </c>
      <c r="Y70" s="11">
        <v>26</v>
      </c>
      <c r="Z70" s="11">
        <v>21.82</v>
      </c>
      <c r="AA70" s="11">
        <v>29.39</v>
      </c>
      <c r="AB70" s="11">
        <v>24.92</v>
      </c>
      <c r="AC70" s="11">
        <v>24.63</v>
      </c>
      <c r="AD70" s="11">
        <v>23.17</v>
      </c>
    </row>
    <row r="71" spans="1:30" hidden="1" x14ac:dyDescent="0.2">
      <c r="A71" s="17">
        <v>43497</v>
      </c>
      <c r="B71" s="18">
        <f t="shared" si="6"/>
        <v>2</v>
      </c>
      <c r="C71" s="18">
        <f t="shared" si="7"/>
        <v>1</v>
      </c>
      <c r="D71" s="11">
        <f t="shared" si="8"/>
        <v>2019</v>
      </c>
      <c r="E71" s="19"/>
      <c r="F71" s="1">
        <f>AVERAGEIFS('Daily Prices'!$F$4:$F$3000,'Daily Prices'!$G$4:$G$3000,Monthly!$B71,'Daily Prices'!$H$4:$H$3000,Monthly!$D71)</f>
        <v>195.55263157894737</v>
      </c>
      <c r="H71" s="13">
        <v>132.63</v>
      </c>
      <c r="I71" s="19"/>
      <c r="J71" s="1"/>
      <c r="K71" s="1"/>
      <c r="L71" s="20"/>
      <c r="M71" s="21">
        <f>[2]Prices!$D584/2.8</f>
        <v>1.3373015873015874</v>
      </c>
      <c r="N71" s="11">
        <v>1.5189999999999999</v>
      </c>
      <c r="O71" s="22">
        <f t="shared" si="9"/>
        <v>0.18169841269841247</v>
      </c>
      <c r="P71" s="23">
        <f t="shared" si="5"/>
        <v>2.3061600000000002</v>
      </c>
      <c r="Q71" s="11">
        <v>1.964</v>
      </c>
      <c r="R71" s="24">
        <f t="shared" si="10"/>
        <v>0.34216000000000024</v>
      </c>
      <c r="S71" s="23">
        <f>'[3]Monthly Data'!$AE5</f>
        <v>30.344210526315795</v>
      </c>
      <c r="T71" s="1">
        <v>25.5</v>
      </c>
      <c r="U71" s="25"/>
      <c r="V71" s="25"/>
      <c r="W71" s="25"/>
      <c r="X71" s="12">
        <v>41.02</v>
      </c>
      <c r="Y71" s="11">
        <v>26</v>
      </c>
      <c r="Z71" s="11">
        <v>21.82</v>
      </c>
      <c r="AA71" s="11">
        <v>29.5</v>
      </c>
      <c r="AB71" s="11">
        <v>24.47</v>
      </c>
      <c r="AC71" s="11">
        <v>25.5</v>
      </c>
      <c r="AD71" s="11">
        <v>23.91</v>
      </c>
    </row>
    <row r="72" spans="1:30" hidden="1" x14ac:dyDescent="0.2">
      <c r="A72" s="17">
        <v>43525</v>
      </c>
      <c r="B72" s="18">
        <f t="shared" si="6"/>
        <v>3</v>
      </c>
      <c r="C72" s="18">
        <f t="shared" si="7"/>
        <v>1</v>
      </c>
      <c r="D72" s="11">
        <f t="shared" si="8"/>
        <v>2019</v>
      </c>
      <c r="E72" s="19"/>
      <c r="F72" s="1">
        <f>AVERAGEIFS('Daily Prices'!$F$4:$F$3000,'Daily Prices'!$G$4:$G$3000,Monthly!$B72,'Daily Prices'!$H$4:$H$3000,Monthly!$D72)</f>
        <v>194.97619047619048</v>
      </c>
      <c r="H72" s="13">
        <v>145.44999999999999</v>
      </c>
      <c r="I72" s="19"/>
      <c r="J72" s="1"/>
      <c r="K72" s="1"/>
      <c r="L72" s="20"/>
      <c r="M72" s="21">
        <f>[2]Prices!$D585/2.8</f>
        <v>1.3253826530612245</v>
      </c>
      <c r="N72" s="11">
        <v>1.855</v>
      </c>
      <c r="O72" s="22">
        <f t="shared" si="9"/>
        <v>0.52961734693877549</v>
      </c>
      <c r="P72" s="23">
        <f t="shared" si="5"/>
        <v>2.2329161904761907</v>
      </c>
      <c r="Q72" s="11">
        <v>1.9910000000000001</v>
      </c>
      <c r="R72" s="24">
        <f t="shared" si="10"/>
        <v>0.24191619047619062</v>
      </c>
      <c r="S72" s="23">
        <f>'[3]Monthly Data'!$AE6</f>
        <v>29.380476190476195</v>
      </c>
      <c r="T72" s="1">
        <v>25.726199999999999</v>
      </c>
      <c r="U72" s="25"/>
      <c r="V72" s="25"/>
      <c r="W72" s="25"/>
      <c r="X72" s="12">
        <v>39.71</v>
      </c>
      <c r="Y72" s="11">
        <v>26.05</v>
      </c>
      <c r="Z72" s="11">
        <v>20.51</v>
      </c>
      <c r="AA72" s="11">
        <v>29.5</v>
      </c>
      <c r="AB72" s="11">
        <v>23.71</v>
      </c>
      <c r="AC72" s="11">
        <v>25.73</v>
      </c>
      <c r="AD72" s="11">
        <v>24</v>
      </c>
    </row>
    <row r="73" spans="1:30" hidden="1" x14ac:dyDescent="0.2">
      <c r="A73" s="17">
        <v>43556</v>
      </c>
      <c r="B73" s="18">
        <f t="shared" si="6"/>
        <v>4</v>
      </c>
      <c r="C73" s="18">
        <f t="shared" si="7"/>
        <v>2</v>
      </c>
      <c r="D73" s="11">
        <f t="shared" si="8"/>
        <v>2019</v>
      </c>
      <c r="E73" s="19"/>
      <c r="F73" s="1">
        <f>AVERAGEIFS('Daily Prices'!$F$4:$F$3000,'Daily Prices'!$G$4:$G$3000,Monthly!$B73,'Daily Prices'!$H$4:$H$3000,Monthly!$D73)</f>
        <v>185.82142857142858</v>
      </c>
      <c r="H73" s="13">
        <v>129.96</v>
      </c>
      <c r="I73" s="19"/>
      <c r="J73" s="1"/>
      <c r="K73" s="1"/>
      <c r="L73" s="20"/>
      <c r="M73" s="21">
        <f>[2]Prices!$D586/2.8</f>
        <v>1.2775085034013607</v>
      </c>
      <c r="N73" s="11">
        <v>2.04</v>
      </c>
      <c r="O73" s="22">
        <f t="shared" si="9"/>
        <v>0.76249149659863935</v>
      </c>
      <c r="P73" s="23">
        <f t="shared" si="5"/>
        <v>2.1769657142857146</v>
      </c>
      <c r="Q73" s="11">
        <v>2.0609999999999999</v>
      </c>
      <c r="R73" s="24">
        <f t="shared" si="10"/>
        <v>0.11596571428571467</v>
      </c>
      <c r="S73" s="23">
        <f>'[3]Monthly Data'!$AE7</f>
        <v>28.644285714285719</v>
      </c>
      <c r="T73" s="1">
        <v>25.75</v>
      </c>
      <c r="U73" s="25"/>
      <c r="V73" s="25"/>
      <c r="W73" s="25"/>
      <c r="X73" s="12">
        <v>37.840000000000003</v>
      </c>
      <c r="Y73" s="11">
        <v>27.67</v>
      </c>
      <c r="Z73" s="11">
        <v>21.39</v>
      </c>
      <c r="AA73" s="11">
        <v>29.5</v>
      </c>
      <c r="AB73" s="11">
        <v>24.73</v>
      </c>
      <c r="AC73" s="11">
        <v>25.75</v>
      </c>
      <c r="AD73" s="11">
        <v>24</v>
      </c>
    </row>
    <row r="74" spans="1:30" hidden="1" x14ac:dyDescent="0.2">
      <c r="A74" s="17">
        <v>43586</v>
      </c>
      <c r="B74" s="18">
        <f t="shared" si="6"/>
        <v>5</v>
      </c>
      <c r="C74" s="18">
        <f t="shared" si="7"/>
        <v>2</v>
      </c>
      <c r="D74" s="11">
        <f t="shared" si="8"/>
        <v>2019</v>
      </c>
      <c r="E74" s="19"/>
      <c r="F74" s="1">
        <f>AVERAGEIFS('Daily Prices'!$F$4:$F$3000,'Daily Prices'!$G$4:$G$3000,Monthly!$B74,'Daily Prices'!$H$4:$H$3000,Monthly!$D74)</f>
        <v>187.40909090909091</v>
      </c>
      <c r="H74" s="13">
        <v>155.63</v>
      </c>
      <c r="I74" s="19"/>
      <c r="J74" s="1"/>
      <c r="K74" s="1"/>
      <c r="L74" s="20"/>
      <c r="M74" s="21">
        <f>[2]Prices!$D587/2.8</f>
        <v>1.3702516233766235</v>
      </c>
      <c r="N74" s="11">
        <v>1.976</v>
      </c>
      <c r="O74" s="22">
        <f t="shared" si="9"/>
        <v>0.60574837662337644</v>
      </c>
      <c r="P74" s="23">
        <f t="shared" si="5"/>
        <v>2.0695145454545458</v>
      </c>
      <c r="Q74" s="11">
        <v>2.0310000000000001</v>
      </c>
      <c r="R74" s="24">
        <f t="shared" si="10"/>
        <v>3.851454545454569E-2</v>
      </c>
      <c r="S74" s="23">
        <f>'[3]Monthly Data'!$AE8</f>
        <v>27.230454545454549</v>
      </c>
      <c r="T74" s="1">
        <v>25.75</v>
      </c>
      <c r="U74" s="25"/>
      <c r="V74" s="25"/>
      <c r="W74" s="25"/>
      <c r="X74" s="12">
        <v>37.229999999999997</v>
      </c>
      <c r="Y74" s="11">
        <v>28.28</v>
      </c>
      <c r="Z74" s="11">
        <v>24.31</v>
      </c>
      <c r="AA74" s="11">
        <v>29.5</v>
      </c>
      <c r="AB74" s="11">
        <v>25.2</v>
      </c>
      <c r="AC74" s="11">
        <v>25.75</v>
      </c>
      <c r="AD74" s="11">
        <v>24</v>
      </c>
    </row>
    <row r="75" spans="1:30" hidden="1" x14ac:dyDescent="0.2">
      <c r="A75" s="17">
        <v>43617</v>
      </c>
      <c r="B75" s="18">
        <f t="shared" si="6"/>
        <v>6</v>
      </c>
      <c r="C75" s="18">
        <f t="shared" si="7"/>
        <v>2</v>
      </c>
      <c r="D75" s="11">
        <f t="shared" si="8"/>
        <v>2019</v>
      </c>
      <c r="E75" s="19"/>
      <c r="F75" s="1">
        <f>AVERAGEIFS('Daily Prices'!$F$4:$F$3000,'Daily Prices'!$G$4:$G$3000,Monthly!$B75,'Daily Prices'!$H$4:$H$3000,Monthly!$D75)</f>
        <v>191.7</v>
      </c>
      <c r="H75" s="13">
        <v>158.96</v>
      </c>
      <c r="I75" s="19"/>
      <c r="J75" s="1"/>
      <c r="K75" s="1"/>
      <c r="L75" s="20"/>
      <c r="M75" s="21">
        <f>[2]Prices!$D588/2.8</f>
        <v>1.5543750000000003</v>
      </c>
      <c r="N75" s="11">
        <v>1.7809999999999999</v>
      </c>
      <c r="O75" s="22">
        <f t="shared" si="9"/>
        <v>0.22662499999999963</v>
      </c>
      <c r="P75" s="23">
        <f t="shared" si="5"/>
        <v>2.1173219999999997</v>
      </c>
      <c r="Q75" s="11">
        <v>1.851</v>
      </c>
      <c r="R75" s="24">
        <f t="shared" si="10"/>
        <v>0.26632199999999973</v>
      </c>
      <c r="S75" s="23">
        <f>'[3]Monthly Data'!$AE9</f>
        <v>27.859499999999997</v>
      </c>
      <c r="T75" s="1">
        <v>25.75</v>
      </c>
      <c r="U75" s="25"/>
      <c r="V75" s="25"/>
      <c r="W75" s="25"/>
      <c r="X75" s="12">
        <v>37.85</v>
      </c>
      <c r="Y75" s="11">
        <v>29.25</v>
      </c>
      <c r="Z75" s="11">
        <v>25.93</v>
      </c>
      <c r="AA75" s="11">
        <v>30.85</v>
      </c>
      <c r="AB75" s="11">
        <v>25.46</v>
      </c>
      <c r="AC75" s="11">
        <v>25.75</v>
      </c>
      <c r="AD75" s="11">
        <v>24</v>
      </c>
    </row>
    <row r="76" spans="1:30" hidden="1" x14ac:dyDescent="0.2">
      <c r="A76" s="17">
        <v>43647</v>
      </c>
      <c r="B76" s="18">
        <f t="shared" si="6"/>
        <v>7</v>
      </c>
      <c r="C76" s="18">
        <f t="shared" si="7"/>
        <v>3</v>
      </c>
      <c r="D76" s="11">
        <f t="shared" si="8"/>
        <v>2019</v>
      </c>
      <c r="E76" s="19"/>
      <c r="F76" s="1">
        <f>AVERAGEIFS('Daily Prices'!$F$4:$F$3000,'Daily Prices'!$G$4:$G$3000,Monthly!$B76,'Daily Prices'!$H$4:$H$3000,Monthly!$D76)</f>
        <v>196.75</v>
      </c>
      <c r="H76" s="13">
        <v>156.19999999999999</v>
      </c>
      <c r="I76" s="19"/>
      <c r="J76" s="1"/>
      <c r="K76" s="1"/>
      <c r="L76" s="20"/>
      <c r="M76" s="21">
        <f>[2]Prices!$D589/2.8</f>
        <v>1.5286120129870131</v>
      </c>
      <c r="N76" s="11">
        <v>1.9</v>
      </c>
      <c r="O76" s="22">
        <f t="shared" si="9"/>
        <v>0.37138798701298681</v>
      </c>
      <c r="P76" s="23">
        <f t="shared" si="5"/>
        <v>2.1685563636363638</v>
      </c>
      <c r="Q76" s="11">
        <v>1.92</v>
      </c>
      <c r="R76" s="24">
        <f t="shared" si="10"/>
        <v>0.24855636363636391</v>
      </c>
      <c r="S76" s="23">
        <f>'[3]Monthly Data'!$AE10</f>
        <v>28.533636363636369</v>
      </c>
      <c r="T76" s="1">
        <v>25.75</v>
      </c>
      <c r="U76" s="25"/>
      <c r="V76" s="25"/>
      <c r="W76" s="25"/>
      <c r="X76" s="12">
        <v>37.74</v>
      </c>
      <c r="Y76" s="11">
        <v>30.34</v>
      </c>
      <c r="Z76" s="11">
        <v>27.54</v>
      </c>
      <c r="AA76" s="11">
        <v>32.5</v>
      </c>
      <c r="AB76" s="11">
        <v>25.61</v>
      </c>
      <c r="AC76" s="11">
        <v>25.75</v>
      </c>
      <c r="AD76" s="11">
        <v>24</v>
      </c>
    </row>
    <row r="77" spans="1:30" hidden="1" x14ac:dyDescent="0.2">
      <c r="A77" s="17">
        <v>43678</v>
      </c>
      <c r="B77" s="18">
        <f t="shared" si="6"/>
        <v>8</v>
      </c>
      <c r="C77" s="18">
        <f t="shared" si="7"/>
        <v>3</v>
      </c>
      <c r="D77" s="11">
        <f t="shared" si="8"/>
        <v>2019</v>
      </c>
      <c r="E77" s="19"/>
      <c r="F77" s="1">
        <f>AVERAGEIFS('Daily Prices'!$F$4:$F$3000,'Daily Prices'!$G$4:$G$3000,Monthly!$B77,'Daily Prices'!$H$4:$H$3000,Monthly!$D77)</f>
        <v>196.875</v>
      </c>
      <c r="H77" s="13">
        <v>161.49</v>
      </c>
      <c r="I77" s="19"/>
      <c r="J77" s="1"/>
      <c r="K77" s="1"/>
      <c r="L77" s="20"/>
      <c r="M77" s="21">
        <f>[2]Prices!$D590/2.8</f>
        <v>1.3468112244897958</v>
      </c>
      <c r="N77" s="11">
        <v>1.675</v>
      </c>
      <c r="O77" s="22">
        <f t="shared" si="9"/>
        <v>0.3281887755102042</v>
      </c>
      <c r="P77" s="23">
        <f t="shared" si="5"/>
        <v>2.1980927272727273</v>
      </c>
      <c r="Q77" s="11">
        <v>1.829</v>
      </c>
      <c r="R77" s="24">
        <f t="shared" si="10"/>
        <v>0.36909272727272735</v>
      </c>
      <c r="S77" s="23">
        <f>'[3]Monthly Data'!$AE11</f>
        <v>28.92227272727273</v>
      </c>
      <c r="T77" s="1">
        <v>26.2273</v>
      </c>
      <c r="U77" s="25"/>
      <c r="V77" s="25"/>
      <c r="W77" s="25"/>
      <c r="X77" s="12">
        <v>38.89</v>
      </c>
      <c r="Y77" s="11">
        <v>30.8</v>
      </c>
      <c r="Z77" s="11">
        <v>26.82</v>
      </c>
      <c r="AA77" s="11">
        <v>32.5</v>
      </c>
      <c r="AB77" s="11">
        <v>24.86</v>
      </c>
      <c r="AC77" s="11">
        <v>26.23</v>
      </c>
      <c r="AD77" s="11">
        <v>23.82</v>
      </c>
    </row>
    <row r="78" spans="1:30" hidden="1" x14ac:dyDescent="0.2">
      <c r="A78" s="17">
        <v>43709</v>
      </c>
      <c r="B78" s="18">
        <f t="shared" si="6"/>
        <v>9</v>
      </c>
      <c r="C78" s="18">
        <f t="shared" si="7"/>
        <v>3</v>
      </c>
      <c r="D78" s="11">
        <f t="shared" si="8"/>
        <v>2019</v>
      </c>
      <c r="E78" s="19"/>
      <c r="F78" s="1">
        <f>AVERAGEIFS('Daily Prices'!$F$4:$F$3000,'Daily Prices'!$G$4:$G$3000,Monthly!$B78,'Daily Prices'!$H$4:$H$3000,Monthly!$D78)</f>
        <v>199.60700000000003</v>
      </c>
      <c r="H78" s="13">
        <v>165.24</v>
      </c>
      <c r="I78" s="19"/>
      <c r="J78" s="1"/>
      <c r="K78" s="1"/>
      <c r="L78" s="20"/>
      <c r="M78" s="21">
        <f>[2]Prices!$D591/2.8</f>
        <v>1.3136607142857144</v>
      </c>
      <c r="N78" s="11">
        <v>1.6120000000000001</v>
      </c>
      <c r="O78" s="22">
        <f t="shared" si="9"/>
        <v>0.2983392857142857</v>
      </c>
      <c r="P78" s="23">
        <f t="shared" si="5"/>
        <v>2.2204920000000001</v>
      </c>
      <c r="Q78" s="11">
        <v>1.9330000000000001</v>
      </c>
      <c r="R78" s="24">
        <f t="shared" si="10"/>
        <v>0.28749200000000008</v>
      </c>
      <c r="S78" s="23">
        <f>'[3]Monthly Data'!$AE12</f>
        <v>29.217000000000002</v>
      </c>
      <c r="T78" s="1">
        <v>26.5</v>
      </c>
      <c r="U78" s="25"/>
      <c r="V78" s="25"/>
      <c r="W78" s="25"/>
      <c r="X78" s="12">
        <v>39.6</v>
      </c>
      <c r="Y78" s="11">
        <v>27.85</v>
      </c>
      <c r="Z78" s="11">
        <v>23.95</v>
      </c>
      <c r="AA78" s="11">
        <v>32.5</v>
      </c>
      <c r="AB78" s="11">
        <v>23.84</v>
      </c>
      <c r="AC78" s="11">
        <v>26.5</v>
      </c>
      <c r="AD78" s="11">
        <v>23.28</v>
      </c>
    </row>
    <row r="79" spans="1:30" hidden="1" x14ac:dyDescent="0.2">
      <c r="A79" s="17">
        <v>43739</v>
      </c>
      <c r="B79" s="18">
        <f t="shared" si="6"/>
        <v>10</v>
      </c>
      <c r="C79" s="18">
        <f t="shared" si="7"/>
        <v>4</v>
      </c>
      <c r="D79" s="11">
        <f t="shared" si="8"/>
        <v>2019</v>
      </c>
      <c r="E79" s="19"/>
      <c r="F79" s="1">
        <f>AVERAGEIFS('Daily Prices'!$F$4:$F$3000,'Daily Prices'!$G$4:$G$3000,Monthly!$B79,'Daily Prices'!$H$4:$H$3000,Monthly!$D79)</f>
        <v>202.92391304347825</v>
      </c>
      <c r="H79" s="13">
        <v>161.05000000000001</v>
      </c>
      <c r="I79" s="19"/>
      <c r="J79" s="1"/>
      <c r="K79" s="1"/>
      <c r="L79" s="20"/>
      <c r="M79" s="21">
        <f>[2]Prices!$D592/2.8</f>
        <v>1.3920419254658389</v>
      </c>
      <c r="N79" s="11">
        <v>1.6180000000000001</v>
      </c>
      <c r="O79" s="22">
        <f t="shared" si="9"/>
        <v>0.22595807453416117</v>
      </c>
      <c r="P79" s="23">
        <f t="shared" si="5"/>
        <v>2.3012799999999998</v>
      </c>
      <c r="Q79" s="11">
        <v>1.9279999999999999</v>
      </c>
      <c r="R79" s="24">
        <f t="shared" si="10"/>
        <v>0.37327999999999983</v>
      </c>
      <c r="S79" s="23">
        <f>'[3]Monthly Data'!$AE13</f>
        <v>30.28</v>
      </c>
      <c r="T79" s="1">
        <v>26.5</v>
      </c>
      <c r="U79" s="25"/>
      <c r="V79" s="25"/>
      <c r="W79" s="25"/>
      <c r="X79" s="12">
        <v>41.03</v>
      </c>
      <c r="Y79" s="11">
        <v>25.73</v>
      </c>
      <c r="Z79" s="11">
        <v>21.15</v>
      </c>
      <c r="AA79" s="11">
        <v>30</v>
      </c>
      <c r="AB79" s="11">
        <v>22.69</v>
      </c>
      <c r="AC79" s="11">
        <v>26.5</v>
      </c>
      <c r="AD79" s="11">
        <v>21.96</v>
      </c>
    </row>
    <row r="80" spans="1:30" hidden="1" x14ac:dyDescent="0.2">
      <c r="A80" s="17">
        <v>43770</v>
      </c>
      <c r="B80" s="18">
        <f t="shared" si="6"/>
        <v>11</v>
      </c>
      <c r="C80" s="18">
        <f t="shared" si="7"/>
        <v>4</v>
      </c>
      <c r="D80" s="11">
        <f t="shared" si="8"/>
        <v>2019</v>
      </c>
      <c r="E80" s="19"/>
      <c r="F80" s="1">
        <f>AVERAGEIFS('Daily Prices'!$F$4:$F$3000,'Daily Prices'!$G$4:$G$3000,Monthly!$B80,'Daily Prices'!$H$4:$H$3000,Monthly!$D80)</f>
        <v>207.88157894736841</v>
      </c>
      <c r="H80" s="13">
        <v>157.44999999999999</v>
      </c>
      <c r="I80" s="19"/>
      <c r="J80" s="1"/>
      <c r="K80" s="1"/>
      <c r="L80" s="20"/>
      <c r="M80" s="21">
        <f>[2]Prices!$D593/2.8</f>
        <v>1.3399553571428573</v>
      </c>
      <c r="N80" s="11">
        <v>1.647</v>
      </c>
      <c r="O80" s="22">
        <f t="shared" si="9"/>
        <v>0.30704464285714272</v>
      </c>
      <c r="P80" s="23">
        <f t="shared" si="5"/>
        <v>2.3565699999999996</v>
      </c>
      <c r="Q80" s="11">
        <v>1.923</v>
      </c>
      <c r="R80" s="24">
        <f t="shared" si="10"/>
        <v>0.43356999999999957</v>
      </c>
      <c r="S80" s="23">
        <f>'[3]Monthly Data'!$AE14</f>
        <v>31.0075</v>
      </c>
      <c r="T80" s="1">
        <v>26.5</v>
      </c>
      <c r="U80" s="25"/>
      <c r="V80" s="25"/>
      <c r="W80" s="25"/>
      <c r="X80" s="12">
        <v>39.83</v>
      </c>
      <c r="Y80" s="11">
        <v>23.26</v>
      </c>
      <c r="Z80" s="11">
        <v>20.420000000000002</v>
      </c>
      <c r="AA80" s="11">
        <v>27.75</v>
      </c>
      <c r="AB80" s="11">
        <v>22.4</v>
      </c>
      <c r="AC80" s="11">
        <v>26.5</v>
      </c>
      <c r="AD80" s="11">
        <v>20.55</v>
      </c>
    </row>
    <row r="81" spans="1:30" hidden="1" x14ac:dyDescent="0.2">
      <c r="A81" s="17">
        <v>43800</v>
      </c>
      <c r="B81" s="18">
        <f t="shared" si="6"/>
        <v>12</v>
      </c>
      <c r="C81" s="18">
        <f t="shared" si="7"/>
        <v>4</v>
      </c>
      <c r="D81" s="11">
        <f t="shared" si="8"/>
        <v>2019</v>
      </c>
      <c r="E81" s="19"/>
      <c r="F81" s="1">
        <f>AVERAGEIFS('Daily Prices'!$F$4:$F$3000,'Daily Prices'!$G$4:$G$3000,Monthly!$B81,'Daily Prices'!$H$4:$H$3000,Monthly!$D81)</f>
        <v>206.46428571428572</v>
      </c>
      <c r="H81" s="13">
        <v>161.41</v>
      </c>
      <c r="I81" s="19"/>
      <c r="J81" s="1"/>
      <c r="K81" s="1"/>
      <c r="L81" s="20"/>
      <c r="M81" s="21">
        <f>[2]Prices!$D594/2.8</f>
        <v>1.3687074829931973</v>
      </c>
      <c r="N81" s="11">
        <v>1.671</v>
      </c>
      <c r="O81" s="22">
        <f t="shared" si="9"/>
        <v>0.30229251700680271</v>
      </c>
      <c r="P81" s="23">
        <f t="shared" si="5"/>
        <v>2.4915695238095235</v>
      </c>
      <c r="Q81" s="11">
        <v>1.9870000000000001</v>
      </c>
      <c r="R81" s="24">
        <f t="shared" si="10"/>
        <v>0.50456952380952336</v>
      </c>
      <c r="S81" s="23">
        <f>'[3]Monthly Data'!$AE15</f>
        <v>32.783809523809524</v>
      </c>
      <c r="T81" s="1">
        <v>26.5</v>
      </c>
      <c r="U81" s="25"/>
      <c r="V81" s="25"/>
      <c r="W81" s="25"/>
      <c r="X81" s="12">
        <v>40.69</v>
      </c>
      <c r="Y81" s="11">
        <v>25.19</v>
      </c>
      <c r="Z81" s="11">
        <v>23.03</v>
      </c>
      <c r="AA81" s="11">
        <v>27.79</v>
      </c>
      <c r="AB81" s="11">
        <v>23.08</v>
      </c>
      <c r="AC81" s="11">
        <v>26.5</v>
      </c>
      <c r="AD81" s="11">
        <v>20.5</v>
      </c>
    </row>
    <row r="82" spans="1:30" x14ac:dyDescent="0.2">
      <c r="A82" s="17">
        <v>43831</v>
      </c>
      <c r="B82" s="18">
        <f t="shared" si="6"/>
        <v>1</v>
      </c>
      <c r="C82" s="18">
        <f t="shared" si="7"/>
        <v>1</v>
      </c>
      <c r="D82" s="11">
        <f t="shared" si="8"/>
        <v>2020</v>
      </c>
      <c r="E82" s="19"/>
      <c r="F82" s="1">
        <f>AVERAGEIFS('Daily Prices'!$F$4:$F$3000,'Daily Prices'!$G$4:$G$3000,Monthly!$B82,'Daily Prices'!$H$4:$H$3000,Monthly!$D82)</f>
        <v>209.1340909090909</v>
      </c>
      <c r="H82" s="13">
        <v>158.63</v>
      </c>
      <c r="I82" s="19"/>
      <c r="J82" s="1">
        <f>AVERAGEIFS('RIN Daily Prices'!$F$4:$F$2925,'RIN Daily Prices'!$B$4:$B$2925,Monthly!$D82,'RIN Daily Prices'!$A$4:$A$2925,Monthly!$B82)</f>
        <v>40.352272727272727</v>
      </c>
      <c r="K82" s="1">
        <f>AVERAGEIFS('RIN Daily Prices'!$H$4:$H$2925,'RIN Daily Prices'!$B$4:$B$2925,Monthly!$D82,'RIN Daily Prices'!$A$4:$A$2925,Monthly!$B82)</f>
        <v>39.840909090909093</v>
      </c>
      <c r="L82" s="20">
        <f>AVERAGEIFS('RIN Daily Prices'!$J$4:$J$2925,'RIN Daily Prices'!$B$4:$B$2925,Monthly!$D82,'RIN Daily Prices'!$A$4:$A$2925,Monthly!$B82)</f>
        <v>15.909090909090908</v>
      </c>
      <c r="M82" s="21">
        <f>[2]Prices!$D595/2.8</f>
        <v>1.3776360544217687</v>
      </c>
      <c r="N82" s="11">
        <v>1.6160000000000001</v>
      </c>
      <c r="O82" s="22">
        <f t="shared" si="9"/>
        <v>0.23836394557823137</v>
      </c>
      <c r="P82" s="23">
        <f t="shared" si="5"/>
        <v>2.5194723809523811</v>
      </c>
      <c r="Q82" s="11">
        <v>1.853</v>
      </c>
      <c r="R82" s="24">
        <f t="shared" si="10"/>
        <v>0.66647238095238115</v>
      </c>
      <c r="S82" s="23">
        <f>[4]Prices!$D603</f>
        <v>33.150952380952383</v>
      </c>
      <c r="T82" s="1">
        <v>26.785699999999999</v>
      </c>
      <c r="U82" s="25"/>
      <c r="V82" s="25"/>
      <c r="W82" s="25"/>
      <c r="X82" s="12">
        <v>40.82</v>
      </c>
      <c r="Y82" s="11">
        <v>30.43</v>
      </c>
      <c r="Z82" s="11">
        <v>25.65</v>
      </c>
      <c r="AA82" s="11">
        <v>28.5</v>
      </c>
      <c r="AB82" s="11">
        <v>25.05</v>
      </c>
      <c r="AC82" s="11">
        <v>26.79</v>
      </c>
      <c r="AD82" s="11">
        <v>22.21</v>
      </c>
    </row>
    <row r="83" spans="1:30" x14ac:dyDescent="0.2">
      <c r="A83" s="17">
        <v>43862</v>
      </c>
      <c r="B83" s="18">
        <f t="shared" si="6"/>
        <v>2</v>
      </c>
      <c r="C83" s="18">
        <f t="shared" si="7"/>
        <v>1</v>
      </c>
      <c r="D83" s="11">
        <f t="shared" si="8"/>
        <v>2020</v>
      </c>
      <c r="E83" s="19"/>
      <c r="F83" s="1">
        <f>AVERAGEIFS('Daily Prices'!$F$4:$F$3000,'Daily Prices'!$G$4:$G$3000,Monthly!$B83,'Daily Prices'!$H$4:$H$3000,Monthly!$D83)</f>
        <v>210.36842105263159</v>
      </c>
      <c r="H83" s="13">
        <v>150.76</v>
      </c>
      <c r="I83" s="19"/>
      <c r="J83" s="1">
        <f>AVERAGEIFS('RIN Daily Prices'!$F$4:$F$2925,'RIN Daily Prices'!$B$4:$B$2925,Monthly!$D83,'RIN Daily Prices'!$A$4:$A$2925,Monthly!$B83)</f>
        <v>48.539473684210527</v>
      </c>
      <c r="K83" s="1">
        <f>AVERAGEIFS('RIN Daily Prices'!$H$4:$H$2925,'RIN Daily Prices'!$B$4:$B$2925,Monthly!$D83,'RIN Daily Prices'!$A$4:$A$2925,Monthly!$B83)</f>
        <v>48.05263157894737</v>
      </c>
      <c r="L83" s="20">
        <f>AVERAGEIFS('RIN Daily Prices'!$J$4:$J$2925,'RIN Daily Prices'!$B$4:$B$2925,Monthly!$D83,'RIN Daily Prices'!$A$4:$A$2925,Monthly!$B83)</f>
        <v>30.815789473684209</v>
      </c>
      <c r="M83" s="21">
        <f>[2]Prices!$D596/2.8</f>
        <v>1.3505169172932332</v>
      </c>
      <c r="N83" s="11">
        <v>1.5369999999999999</v>
      </c>
      <c r="O83" s="22">
        <f t="shared" si="9"/>
        <v>0.18648308270676672</v>
      </c>
      <c r="P83" s="23">
        <f t="shared" si="5"/>
        <v>2.29888</v>
      </c>
      <c r="Q83" s="11">
        <v>1.623</v>
      </c>
      <c r="R83" s="24">
        <f t="shared" si="10"/>
        <v>0.67588000000000004</v>
      </c>
      <c r="S83" s="23">
        <f>[4]Prices!$D604</f>
        <v>30.248421052631581</v>
      </c>
      <c r="T83" s="1">
        <v>28.184200000000001</v>
      </c>
      <c r="U83" s="25"/>
      <c r="V83" s="25"/>
      <c r="W83" s="25"/>
      <c r="X83" s="12">
        <v>38.119999999999997</v>
      </c>
      <c r="Y83" s="11">
        <v>34.29</v>
      </c>
      <c r="Z83" s="11">
        <v>27.04</v>
      </c>
      <c r="AA83" s="11">
        <v>28.5</v>
      </c>
      <c r="AB83" s="11">
        <v>28.04</v>
      </c>
      <c r="AC83" s="11">
        <v>28.18</v>
      </c>
      <c r="AD83" s="11">
        <v>23.09</v>
      </c>
    </row>
    <row r="84" spans="1:30" x14ac:dyDescent="0.2">
      <c r="A84" s="17">
        <v>43891</v>
      </c>
      <c r="B84" s="18">
        <f t="shared" si="6"/>
        <v>3</v>
      </c>
      <c r="C84" s="18">
        <f t="shared" si="7"/>
        <v>1</v>
      </c>
      <c r="D84" s="11">
        <f t="shared" si="8"/>
        <v>2020</v>
      </c>
      <c r="E84" s="19"/>
      <c r="F84" s="1">
        <f>AVERAGEIFS('Daily Prices'!$F$4:$F$3000,'Daily Prices'!$G$4:$G$3000,Monthly!$B84,'Daily Prices'!$H$4:$H$3000,Monthly!$D84)</f>
        <v>199.5</v>
      </c>
      <c r="H84" s="13">
        <v>146.36000000000001</v>
      </c>
      <c r="I84" s="19"/>
      <c r="J84" s="1">
        <f>AVERAGEIFS('RIN Daily Prices'!$F$4:$F$2925,'RIN Daily Prices'!$B$4:$B$2925,Monthly!$D84,'RIN Daily Prices'!$A$4:$A$2925,Monthly!$B84)</f>
        <v>48.56818181818182</v>
      </c>
      <c r="K84" s="1">
        <f>AVERAGEIFS('RIN Daily Prices'!$H$4:$H$2925,'RIN Daily Prices'!$B$4:$B$2925,Monthly!$D84,'RIN Daily Prices'!$A$4:$A$2925,Monthly!$B84)</f>
        <v>48.136363636363633</v>
      </c>
      <c r="L84" s="20">
        <f>AVERAGEIFS('RIN Daily Prices'!$J$4:$J$2925,'RIN Daily Prices'!$B$4:$B$2925,Monthly!$D84,'RIN Daily Prices'!$A$4:$A$2925,Monthly!$B84)</f>
        <v>28.829545454545453</v>
      </c>
      <c r="M84" s="21">
        <f>[2]Prices!$D597/2.8</f>
        <v>1.2816558441558443</v>
      </c>
      <c r="N84" s="11">
        <v>0.89800000000000002</v>
      </c>
      <c r="O84" s="22">
        <f t="shared" si="9"/>
        <v>-0.38365584415584431</v>
      </c>
      <c r="P84" s="23">
        <f t="shared" si="5"/>
        <v>2.0533472727272724</v>
      </c>
      <c r="Q84" s="11">
        <v>1.175</v>
      </c>
      <c r="R84" s="24">
        <f t="shared" si="10"/>
        <v>0.87834727272727231</v>
      </c>
      <c r="S84" s="23">
        <f>[4]Prices!$D605</f>
        <v>27.017727272727271</v>
      </c>
      <c r="T84" s="1">
        <v>28.5</v>
      </c>
      <c r="U84" s="25"/>
      <c r="V84" s="25"/>
      <c r="W84" s="25"/>
      <c r="X84" s="12">
        <v>35.5</v>
      </c>
      <c r="Y84" s="11">
        <v>30.86</v>
      </c>
      <c r="Z84" s="11">
        <v>22.99</v>
      </c>
      <c r="AA84" s="11">
        <v>28</v>
      </c>
      <c r="AB84" s="11">
        <v>27.7</v>
      </c>
      <c r="AC84" s="11">
        <v>28.5</v>
      </c>
      <c r="AD84" s="11">
        <v>23.74</v>
      </c>
    </row>
    <row r="85" spans="1:30" x14ac:dyDescent="0.2">
      <c r="A85" s="17">
        <v>43922</v>
      </c>
      <c r="B85" s="18">
        <f t="shared" si="6"/>
        <v>4</v>
      </c>
      <c r="C85" s="18">
        <f t="shared" si="7"/>
        <v>2</v>
      </c>
      <c r="D85" s="11">
        <f t="shared" si="8"/>
        <v>2020</v>
      </c>
      <c r="E85" s="19"/>
      <c r="F85" s="1">
        <f>AVERAGEIFS('Daily Prices'!$F$4:$F$3000,'Daily Prices'!$G$4:$G$3000,Monthly!$B85,'Daily Prices'!$H$4:$H$3000,Monthly!$D85)</f>
        <v>193.21428571428572</v>
      </c>
      <c r="H85" s="13">
        <v>123.27</v>
      </c>
      <c r="I85" s="19"/>
      <c r="J85" s="1">
        <f>AVERAGEIFS('RIN Daily Prices'!$F$4:$F$2925,'RIN Daily Prices'!$B$4:$B$2925,Monthly!$D85,'RIN Daily Prices'!$A$4:$A$2925,Monthly!$B85)</f>
        <v>52.107142857142854</v>
      </c>
      <c r="K85" s="1">
        <f>AVERAGEIFS('RIN Daily Prices'!$H$4:$H$2925,'RIN Daily Prices'!$B$4:$B$2925,Monthly!$D85,'RIN Daily Prices'!$A$4:$A$2925,Monthly!$B85)</f>
        <v>51.55952380952381</v>
      </c>
      <c r="L85" s="20">
        <f>AVERAGEIFS('RIN Daily Prices'!$J$4:$J$2925,'RIN Daily Prices'!$B$4:$B$2925,Monthly!$D85,'RIN Daily Prices'!$A$4:$A$2925,Monthly!$B85)</f>
        <v>35.05952380952381</v>
      </c>
      <c r="M85" s="21">
        <f>[2]Prices!$D598/2.8</f>
        <v>1.1571003401360545</v>
      </c>
      <c r="N85" s="11">
        <v>0.66800000000000004</v>
      </c>
      <c r="O85" s="22">
        <f t="shared" si="9"/>
        <v>-0.48910034013605441</v>
      </c>
      <c r="P85" s="23">
        <f t="shared" si="5"/>
        <v>1.9914171428571432</v>
      </c>
      <c r="Q85" s="11">
        <v>0.86699999999999999</v>
      </c>
      <c r="R85" s="24">
        <f t="shared" si="10"/>
        <v>1.1244171428571432</v>
      </c>
      <c r="S85" s="23">
        <f>[4]Prices!$D606</f>
        <v>26.202857142857148</v>
      </c>
      <c r="T85" s="1">
        <v>28.5</v>
      </c>
      <c r="U85" s="25"/>
      <c r="V85" s="25"/>
      <c r="W85" s="25"/>
      <c r="X85" s="12">
        <v>35.58</v>
      </c>
      <c r="Y85" s="11">
        <v>30.78</v>
      </c>
      <c r="Z85" s="11">
        <v>22.71</v>
      </c>
      <c r="AA85" s="11">
        <v>29.23</v>
      </c>
      <c r="AB85" s="11">
        <v>29.04</v>
      </c>
      <c r="AC85" s="11">
        <v>28.5</v>
      </c>
      <c r="AD85" s="11">
        <v>22.88</v>
      </c>
    </row>
    <row r="86" spans="1:30" x14ac:dyDescent="0.2">
      <c r="A86" s="17">
        <v>43952</v>
      </c>
      <c r="B86" s="18">
        <f t="shared" si="6"/>
        <v>5</v>
      </c>
      <c r="C86" s="18">
        <f t="shared" si="7"/>
        <v>2</v>
      </c>
      <c r="D86" s="11">
        <f t="shared" si="8"/>
        <v>2020</v>
      </c>
      <c r="E86" s="19"/>
      <c r="F86" s="1">
        <f>AVERAGEIFS('Daily Prices'!$F$4:$F$3000,'Daily Prices'!$G$4:$G$3000,Monthly!$B86,'Daily Prices'!$H$4:$H$3000,Monthly!$D86)</f>
        <v>201.95</v>
      </c>
      <c r="H86" s="13">
        <v>111.24</v>
      </c>
      <c r="I86" s="19"/>
      <c r="J86" s="1">
        <f>AVERAGEIFS('RIN Daily Prices'!$F$4:$F$2925,'RIN Daily Prices'!$B$4:$B$2925,Monthly!$D86,'RIN Daily Prices'!$A$4:$A$2925,Monthly!$B86)</f>
        <v>53.625</v>
      </c>
      <c r="K86" s="1">
        <f>AVERAGEIFS('RIN Daily Prices'!$H$4:$H$2925,'RIN Daily Prices'!$B$4:$B$2925,Monthly!$D86,'RIN Daily Prices'!$A$4:$A$2925,Monthly!$B86)</f>
        <v>53.125</v>
      </c>
      <c r="L86" s="20">
        <f>AVERAGEIFS('RIN Daily Prices'!$J$4:$J$2925,'RIN Daily Prices'!$B$4:$B$2925,Monthly!$D86,'RIN Daily Prices'!$A$4:$A$2925,Monthly!$B86)</f>
        <v>38.4</v>
      </c>
      <c r="M86" s="21">
        <f>[2]Prices!$D599/2.8</f>
        <v>1.1407589285714286</v>
      </c>
      <c r="N86" s="11">
        <v>0.95499999999999996</v>
      </c>
      <c r="O86" s="22">
        <f t="shared" si="9"/>
        <v>-0.18575892857142862</v>
      </c>
      <c r="P86" s="23">
        <f t="shared" si="5"/>
        <v>2.0298839999999996</v>
      </c>
      <c r="Q86" s="11">
        <v>0.91</v>
      </c>
      <c r="R86" s="24">
        <f t="shared" si="10"/>
        <v>1.1198839999999994</v>
      </c>
      <c r="S86" s="23">
        <f>[4]Prices!$D607</f>
        <v>26.708999999999996</v>
      </c>
      <c r="T86" s="1">
        <v>28.5</v>
      </c>
      <c r="U86" s="25"/>
      <c r="V86" s="25"/>
      <c r="W86" s="25"/>
      <c r="X86" s="12">
        <v>34.700000000000003</v>
      </c>
      <c r="Y86" s="11">
        <v>33.65</v>
      </c>
      <c r="Z86" s="11">
        <v>22.43</v>
      </c>
      <c r="AA86" s="11">
        <v>30</v>
      </c>
      <c r="AB86" s="11">
        <v>26.98</v>
      </c>
      <c r="AC86" s="11">
        <v>28.5</v>
      </c>
      <c r="AD86" s="11">
        <v>24</v>
      </c>
    </row>
    <row r="87" spans="1:30" x14ac:dyDescent="0.2">
      <c r="A87" s="17">
        <v>43983</v>
      </c>
      <c r="B87" s="18">
        <f t="shared" si="6"/>
        <v>6</v>
      </c>
      <c r="C87" s="18">
        <f t="shared" si="7"/>
        <v>2</v>
      </c>
      <c r="D87" s="11">
        <f t="shared" si="8"/>
        <v>2020</v>
      </c>
      <c r="E87" s="19"/>
      <c r="F87" s="1">
        <f>AVERAGEIFS('Daily Prices'!$F$4:$F$3000,'Daily Prices'!$G$4:$G$3000,Monthly!$B87,'Daily Prices'!$H$4:$H$3000,Monthly!$D87)</f>
        <v>208.79545454545453</v>
      </c>
      <c r="H87" s="13">
        <v>121.62</v>
      </c>
      <c r="I87" s="19"/>
      <c r="J87" s="1">
        <f>AVERAGEIFS('RIN Daily Prices'!$F$4:$F$2925,'RIN Daily Prices'!$B$4:$B$2925,Monthly!$D87,'RIN Daily Prices'!$A$4:$A$2925,Monthly!$B87)</f>
        <v>56.511363636363633</v>
      </c>
      <c r="K87" s="1">
        <f>AVERAGEIFS('RIN Daily Prices'!$H$4:$H$2925,'RIN Daily Prices'!$B$4:$B$2925,Monthly!$D87,'RIN Daily Prices'!$A$4:$A$2925,Monthly!$B87)</f>
        <v>56.090909090909093</v>
      </c>
      <c r="L87" s="20">
        <f>AVERAGEIFS('RIN Daily Prices'!$J$4:$J$2925,'RIN Daily Prices'!$B$4:$B$2925,Monthly!$D87,'RIN Daily Prices'!$A$4:$A$2925,Monthly!$B87)</f>
        <v>46.477272727272727</v>
      </c>
      <c r="M87" s="21">
        <f>[2]Prices!$D600/2.8</f>
        <v>1.171875</v>
      </c>
      <c r="N87" s="11">
        <v>1.1890000000000001</v>
      </c>
      <c r="O87" s="22">
        <f t="shared" si="9"/>
        <v>1.7125000000000057E-2</v>
      </c>
      <c r="P87" s="23">
        <f t="shared" si="5"/>
        <v>2.1197436363636366</v>
      </c>
      <c r="Q87" s="11">
        <v>1.1439999999999999</v>
      </c>
      <c r="R87" s="24">
        <f t="shared" si="10"/>
        <v>0.9757436363636367</v>
      </c>
      <c r="S87" s="23">
        <f>[4]Prices!$D608</f>
        <v>27.891363636363643</v>
      </c>
      <c r="T87" s="1">
        <v>28.5</v>
      </c>
      <c r="U87" s="25"/>
      <c r="V87" s="25"/>
      <c r="W87" s="25"/>
      <c r="X87" s="12">
        <v>37.53</v>
      </c>
      <c r="Y87" s="11">
        <v>24.95</v>
      </c>
      <c r="Z87" s="11">
        <v>19.41</v>
      </c>
      <c r="AA87" s="11">
        <v>26.52</v>
      </c>
      <c r="AB87" s="11">
        <v>23.08</v>
      </c>
      <c r="AC87" s="11">
        <v>28.5</v>
      </c>
      <c r="AD87" s="11">
        <v>23.85</v>
      </c>
    </row>
    <row r="88" spans="1:30" x14ac:dyDescent="0.2">
      <c r="A88" s="17">
        <v>44013</v>
      </c>
      <c r="B88" s="18">
        <f t="shared" si="6"/>
        <v>7</v>
      </c>
      <c r="C88" s="18">
        <f t="shared" si="7"/>
        <v>3</v>
      </c>
      <c r="D88" s="11">
        <f t="shared" si="8"/>
        <v>2020</v>
      </c>
      <c r="E88" s="19"/>
      <c r="F88" s="1">
        <f>AVERAGEIFS('Daily Prices'!$F$4:$F$3000,'Daily Prices'!$G$4:$G$3000,Monthly!$B88,'Daily Prices'!$H$4:$H$3000,Monthly!$D88)</f>
        <v>197.65909090909091</v>
      </c>
      <c r="H88" s="13">
        <v>140.25</v>
      </c>
      <c r="I88" s="19"/>
      <c r="J88" s="1">
        <f>AVERAGEIFS('RIN Daily Prices'!$F$4:$F$2925,'RIN Daily Prices'!$B$4:$B$2925,Monthly!$D88,'RIN Daily Prices'!$A$4:$A$2925,Monthly!$B88)</f>
        <v>59.840909090909093</v>
      </c>
      <c r="K88" s="1">
        <f>AVERAGEIFS('RIN Daily Prices'!$H$4:$H$2925,'RIN Daily Prices'!$B$4:$B$2925,Monthly!$D88,'RIN Daily Prices'!$A$4:$A$2925,Monthly!$B88)</f>
        <v>59.375</v>
      </c>
      <c r="L88" s="20">
        <f>AVERAGEIFS('RIN Daily Prices'!$J$4:$J$2925,'RIN Daily Prices'!$B$4:$B$2925,Monthly!$D88,'RIN Daily Prices'!$A$4:$A$2925,Monthly!$B88)</f>
        <v>47.096590909090907</v>
      </c>
      <c r="M88" s="21">
        <f>[2]Prices!$D601/2.8</f>
        <v>1.2125405844155845</v>
      </c>
      <c r="N88" s="11">
        <v>1.254</v>
      </c>
      <c r="O88" s="22">
        <f t="shared" si="9"/>
        <v>4.145941558441546E-2</v>
      </c>
      <c r="P88" s="23">
        <f t="shared" si="5"/>
        <v>2.2197181818181817</v>
      </c>
      <c r="Q88" s="11">
        <v>1.238</v>
      </c>
      <c r="R88" s="24">
        <f t="shared" si="10"/>
        <v>0.98171818181818171</v>
      </c>
      <c r="S88" s="23">
        <f>[4]Prices!$D609</f>
        <v>29.206818181818178</v>
      </c>
      <c r="T88" s="1">
        <v>28.5</v>
      </c>
      <c r="U88" s="25"/>
      <c r="V88" s="25"/>
      <c r="W88" s="25"/>
      <c r="X88" s="12">
        <v>44.2</v>
      </c>
      <c r="Y88" s="11">
        <v>23.46</v>
      </c>
      <c r="Z88" s="11">
        <v>19.36</v>
      </c>
      <c r="AA88" s="11">
        <v>25.5</v>
      </c>
      <c r="AB88" s="11">
        <v>21.57</v>
      </c>
      <c r="AC88" s="11">
        <v>28.5</v>
      </c>
      <c r="AD88" s="11">
        <v>23.5</v>
      </c>
    </row>
    <row r="89" spans="1:30" x14ac:dyDescent="0.2">
      <c r="A89" s="17">
        <v>44044</v>
      </c>
      <c r="B89" s="18">
        <f t="shared" si="6"/>
        <v>8</v>
      </c>
      <c r="C89" s="18">
        <f t="shared" si="7"/>
        <v>3</v>
      </c>
      <c r="D89" s="11">
        <f t="shared" si="8"/>
        <v>2020</v>
      </c>
      <c r="E89" s="19"/>
      <c r="F89" s="1">
        <f>AVERAGEIFS('Daily Prices'!$F$4:$F$3000,'Daily Prices'!$G$4:$G$3000,Monthly!$B89,'Daily Prices'!$H$4:$H$3000,Monthly!$D89)</f>
        <v>192.42857142857142</v>
      </c>
      <c r="H89" s="13">
        <v>130.13</v>
      </c>
      <c r="I89" s="19"/>
      <c r="J89" s="1">
        <f>AVERAGEIFS('RIN Daily Prices'!$F$4:$F$2925,'RIN Daily Prices'!$B$4:$B$2925,Monthly!$D89,'RIN Daily Prices'!$A$4:$A$2925,Monthly!$B89)</f>
        <v>64.964285714285708</v>
      </c>
      <c r="K89" s="1">
        <f>AVERAGEIFS('RIN Daily Prices'!$H$4:$H$2925,'RIN Daily Prices'!$B$4:$B$2925,Monthly!$D89,'RIN Daily Prices'!$A$4:$A$2925,Monthly!$B89)</f>
        <v>63.964285714285715</v>
      </c>
      <c r="L89" s="20">
        <f>AVERAGEIFS('RIN Daily Prices'!$J$4:$J$2925,'RIN Daily Prices'!$B$4:$B$2925,Monthly!$D89,'RIN Daily Prices'!$A$4:$A$2925,Monthly!$B89)</f>
        <v>44.526190476190472</v>
      </c>
      <c r="M89" s="21">
        <f>[2]Prices!$D602/2.8</f>
        <v>1.1612670068027213</v>
      </c>
      <c r="N89" s="11">
        <v>1.27</v>
      </c>
      <c r="O89" s="22">
        <f t="shared" si="9"/>
        <v>0.10873299319727869</v>
      </c>
      <c r="P89" s="23">
        <f t="shared" si="5"/>
        <v>2.4010209523809527</v>
      </c>
      <c r="Q89" s="11">
        <v>1.2390000000000001</v>
      </c>
      <c r="R89" s="24">
        <f t="shared" si="10"/>
        <v>1.1620209523809526</v>
      </c>
      <c r="S89" s="23">
        <f>[4]Prices!$D610</f>
        <v>31.59238095238096</v>
      </c>
      <c r="T89" s="1">
        <v>29.357099999999999</v>
      </c>
      <c r="U89" s="25"/>
      <c r="V89" s="25"/>
      <c r="W89" s="25"/>
      <c r="X89" s="12">
        <v>46.6</v>
      </c>
      <c r="Y89" s="11">
        <v>30.1</v>
      </c>
      <c r="Z89" s="11">
        <v>22.67</v>
      </c>
      <c r="AA89" s="11">
        <v>27.4</v>
      </c>
      <c r="AB89" s="11">
        <v>24.5</v>
      </c>
      <c r="AC89" s="11">
        <v>29.36</v>
      </c>
      <c r="AD89" s="11">
        <v>23.57</v>
      </c>
    </row>
    <row r="90" spans="1:30" x14ac:dyDescent="0.2">
      <c r="A90" s="17">
        <v>44075</v>
      </c>
      <c r="B90" s="18">
        <f t="shared" si="6"/>
        <v>9</v>
      </c>
      <c r="C90" s="18">
        <f t="shared" si="7"/>
        <v>3</v>
      </c>
      <c r="D90" s="11">
        <f t="shared" si="8"/>
        <v>2020</v>
      </c>
      <c r="E90" s="19"/>
      <c r="F90" s="1">
        <f>AVERAGEIFS('Daily Prices'!$F$4:$F$3000,'Daily Prices'!$G$4:$G$3000,Monthly!$B90,'Daily Prices'!$H$4:$H$3000,Monthly!$D90)</f>
        <v>197.26190476190476</v>
      </c>
      <c r="H90" s="13">
        <v>128.02000000000001</v>
      </c>
      <c r="I90" s="19"/>
      <c r="J90" s="1">
        <f>AVERAGEIFS('RIN Daily Prices'!$F$4:$F$2925,'RIN Daily Prices'!$B$4:$B$2925,Monthly!$D90,'RIN Daily Prices'!$A$4:$A$2925,Monthly!$B90)</f>
        <v>76.38095238095238</v>
      </c>
      <c r="K90" s="1">
        <f>AVERAGEIFS('RIN Daily Prices'!$H$4:$H$2925,'RIN Daily Prices'!$B$4:$B$2925,Monthly!$D90,'RIN Daily Prices'!$A$4:$A$2925,Monthly!$B90)</f>
        <v>75.166666666666671</v>
      </c>
      <c r="L90" s="20">
        <f>AVERAGEIFS('RIN Daily Prices'!$J$4:$J$2925,'RIN Daily Prices'!$B$4:$B$2925,Monthly!$D90,'RIN Daily Prices'!$A$4:$A$2925,Monthly!$B90)</f>
        <v>48.386904761904759</v>
      </c>
      <c r="M90" s="21">
        <f>[2]Prices!$D603/2.8</f>
        <v>1.3081207482993198</v>
      </c>
      <c r="N90" s="11">
        <v>1.1759999999999999</v>
      </c>
      <c r="O90" s="22">
        <f t="shared" si="9"/>
        <v>-0.13212074829931986</v>
      </c>
      <c r="P90" s="23">
        <f t="shared" si="5"/>
        <v>2.5467961904761904</v>
      </c>
      <c r="Q90" s="11">
        <v>1.127</v>
      </c>
      <c r="R90" s="24">
        <f t="shared" si="10"/>
        <v>1.4197961904761904</v>
      </c>
      <c r="S90" s="23">
        <f>[4]Prices!$D611</f>
        <v>33.51047619047619</v>
      </c>
      <c r="T90" s="1">
        <v>29.523800000000001</v>
      </c>
      <c r="U90" s="25"/>
      <c r="V90" s="25"/>
      <c r="W90" s="25"/>
      <c r="X90" s="12">
        <v>48.51</v>
      </c>
      <c r="Y90" s="11">
        <v>31.17</v>
      </c>
      <c r="Z90" s="11">
        <v>26.71</v>
      </c>
      <c r="AA90" s="11">
        <v>29.04</v>
      </c>
      <c r="AB90" s="11">
        <v>28.38</v>
      </c>
      <c r="AC90" s="11">
        <v>29.52</v>
      </c>
      <c r="AD90" s="11">
        <v>24</v>
      </c>
    </row>
    <row r="91" spans="1:30" x14ac:dyDescent="0.2">
      <c r="A91" s="17">
        <v>44105</v>
      </c>
      <c r="B91" s="18">
        <f t="shared" si="6"/>
        <v>10</v>
      </c>
      <c r="C91" s="18">
        <f t="shared" si="7"/>
        <v>4</v>
      </c>
      <c r="D91" s="11">
        <f t="shared" si="8"/>
        <v>2020</v>
      </c>
      <c r="E91" s="19"/>
      <c r="F91" s="1">
        <f>AVERAGEIFS('Daily Prices'!$F$4:$F$3000,'Daily Prices'!$G$4:$G$3000,Monthly!$B91,'Daily Prices'!$H$4:$H$3000,Monthly!$D91)</f>
        <v>195.77272727272728</v>
      </c>
      <c r="H91" s="13">
        <v>126.97</v>
      </c>
      <c r="I91" s="19"/>
      <c r="J91" s="1">
        <f>AVERAGEIFS('RIN Daily Prices'!$F$4:$F$2925,'RIN Daily Prices'!$B$4:$B$2925,Monthly!$D91,'RIN Daily Prices'!$A$4:$A$2925,Monthly!$B91)</f>
        <v>79.693181818181813</v>
      </c>
      <c r="K91" s="1">
        <f>AVERAGEIFS('RIN Daily Prices'!$H$4:$H$2925,'RIN Daily Prices'!$B$4:$B$2925,Monthly!$D91,'RIN Daily Prices'!$A$4:$A$2925,Monthly!$B91)</f>
        <v>79.23863636363636</v>
      </c>
      <c r="L91" s="20">
        <f>AVERAGEIFS('RIN Daily Prices'!$J$4:$J$2925,'RIN Daily Prices'!$B$4:$B$2925,Monthly!$D91,'RIN Daily Prices'!$A$4:$A$2925,Monthly!$B91)</f>
        <v>53.386363636363633</v>
      </c>
      <c r="M91" s="21">
        <f>[2]Prices!$D604/2.8</f>
        <v>1.4246347402597404</v>
      </c>
      <c r="N91" s="11">
        <v>1.1579999999999999</v>
      </c>
      <c r="O91" s="22">
        <f t="shared" si="9"/>
        <v>-0.26663474025974043</v>
      </c>
      <c r="P91" s="23">
        <f t="shared" si="5"/>
        <v>2.5290381818181817</v>
      </c>
      <c r="Q91" s="11">
        <v>1.151</v>
      </c>
      <c r="R91" s="24">
        <f t="shared" si="10"/>
        <v>1.3780381818181817</v>
      </c>
      <c r="S91" s="23">
        <f>[4]Prices!$D612</f>
        <v>33.276818181818186</v>
      </c>
      <c r="T91" s="1">
        <v>30.125</v>
      </c>
      <c r="U91" s="25"/>
      <c r="V91" s="25"/>
      <c r="W91" s="25"/>
      <c r="X91" s="12">
        <v>48.28</v>
      </c>
      <c r="Y91" s="11">
        <v>31.64</v>
      </c>
      <c r="Z91" s="11">
        <v>26.45</v>
      </c>
      <c r="AA91" s="11">
        <v>30.07</v>
      </c>
      <c r="AB91" s="11">
        <v>30.93</v>
      </c>
      <c r="AC91" s="11">
        <v>30.13</v>
      </c>
      <c r="AD91" s="11">
        <v>24.5</v>
      </c>
    </row>
    <row r="92" spans="1:30" x14ac:dyDescent="0.2">
      <c r="A92" s="17">
        <v>44136</v>
      </c>
      <c r="B92" s="18">
        <f t="shared" si="6"/>
        <v>11</v>
      </c>
      <c r="C92" s="18">
        <f t="shared" si="7"/>
        <v>4</v>
      </c>
      <c r="D92" s="11">
        <f t="shared" si="8"/>
        <v>2020</v>
      </c>
      <c r="E92" s="19"/>
      <c r="F92" s="1">
        <f>AVERAGEIFS('Daily Prices'!$F$4:$F$3000,'Daily Prices'!$G$4:$G$3000,Monthly!$B92,'Daily Prices'!$H$4:$H$3000,Monthly!$D92)</f>
        <v>198.72368421052633</v>
      </c>
      <c r="H92" s="13">
        <v>122.27</v>
      </c>
      <c r="I92" s="19"/>
      <c r="J92" s="1">
        <f>AVERAGEIFS('RIN Daily Prices'!$F$4:$F$2925,'RIN Daily Prices'!$B$4:$B$2925,Monthly!$D92,'RIN Daily Prices'!$A$4:$A$2925,Monthly!$B92)</f>
        <v>87.315789473684205</v>
      </c>
      <c r="K92" s="1">
        <f>AVERAGEIFS('RIN Daily Prices'!$H$4:$H$2925,'RIN Daily Prices'!$B$4:$B$2925,Monthly!$D92,'RIN Daily Prices'!$A$4:$A$2925,Monthly!$B92)</f>
        <v>86.815789473684205</v>
      </c>
      <c r="L92" s="20">
        <f>AVERAGEIFS('RIN Daily Prices'!$J$4:$J$2925,'RIN Daily Prices'!$B$4:$B$2925,Monthly!$D92,'RIN Daily Prices'!$A$4:$A$2925,Monthly!$B92)</f>
        <v>63.407894736842103</v>
      </c>
      <c r="M92" s="21">
        <f>[2]Prices!$D605/2.8</f>
        <v>1.4923214285714288</v>
      </c>
      <c r="N92" s="11">
        <v>1.161</v>
      </c>
      <c r="O92" s="22">
        <f t="shared" si="9"/>
        <v>-0.33132142857142877</v>
      </c>
      <c r="P92" s="23">
        <f t="shared" si="5"/>
        <v>2.8015499999999998</v>
      </c>
      <c r="Q92" s="11">
        <v>1.2410000000000001</v>
      </c>
      <c r="R92" s="24">
        <f t="shared" si="10"/>
        <v>1.5605499999999997</v>
      </c>
      <c r="S92" s="23">
        <f>[4]Prices!$D613</f>
        <v>36.862499999999997</v>
      </c>
      <c r="T92" s="1">
        <f>'[5]Monthly Prices'!$N253</f>
        <v>30.888500000000001</v>
      </c>
      <c r="U92" s="25"/>
      <c r="V92" s="25"/>
      <c r="W92" s="25"/>
      <c r="X92" s="12">
        <v>50.56</v>
      </c>
      <c r="Y92" s="11">
        <v>32</v>
      </c>
      <c r="Z92" s="11">
        <v>26.1</v>
      </c>
      <c r="AA92" s="11">
        <v>33.24</v>
      </c>
      <c r="AB92" s="11">
        <v>33.07</v>
      </c>
      <c r="AC92" s="11">
        <v>30.87</v>
      </c>
      <c r="AD92" s="11">
        <v>24.55</v>
      </c>
    </row>
    <row r="93" spans="1:30" x14ac:dyDescent="0.2">
      <c r="A93" s="17">
        <v>44166</v>
      </c>
      <c r="B93" s="18">
        <f t="shared" si="6"/>
        <v>12</v>
      </c>
      <c r="C93" s="18">
        <f t="shared" si="7"/>
        <v>4</v>
      </c>
      <c r="D93" s="11">
        <f t="shared" si="8"/>
        <v>2020</v>
      </c>
      <c r="E93" s="19"/>
      <c r="F93" s="1">
        <f>AVERAGEIFS('Daily Prices'!$F$4:$F$3000,'Daily Prices'!$G$4:$G$3000,Monthly!$B93,'Daily Prices'!$H$4:$H$3000,Monthly!$D93)</f>
        <v>198.97727272727272</v>
      </c>
      <c r="H93" s="13">
        <v>125.77</v>
      </c>
      <c r="I93" s="19"/>
      <c r="J93" s="1">
        <f>AVERAGEIFS('RIN Daily Prices'!$F$4:$F$2925,'RIN Daily Prices'!$B$4:$B$2925,Monthly!$D93,'RIN Daily Prices'!$A$4:$A$2925,Monthly!$B93)</f>
        <v>97.181818181818187</v>
      </c>
      <c r="K93" s="1">
        <f>AVERAGEIFS('RIN Daily Prices'!$H$4:$H$2925,'RIN Daily Prices'!$B$4:$B$2925,Monthly!$D93,'RIN Daily Prices'!$A$4:$A$2925,Monthly!$B93)</f>
        <v>96.590909090909093</v>
      </c>
      <c r="L93" s="20">
        <f>AVERAGEIFS('RIN Daily Prices'!$J$4:$J$2925,'RIN Daily Prices'!$B$4:$B$2925,Monthly!$D93,'RIN Daily Prices'!$A$4:$A$2925,Monthly!$B93)</f>
        <v>71.568181818181813</v>
      </c>
      <c r="M93" s="21">
        <f>[2]Prices!$D606/2.8</f>
        <v>1.567951127819549</v>
      </c>
      <c r="N93" s="11">
        <v>1.3280000000000001</v>
      </c>
      <c r="O93" s="22">
        <f t="shared" si="9"/>
        <v>-0.23995112781954897</v>
      </c>
      <c r="P93" s="23">
        <f t="shared" si="5"/>
        <v>3.0074236363636366</v>
      </c>
      <c r="Q93" s="11">
        <v>1.448</v>
      </c>
      <c r="R93" s="24">
        <f t="shared" si="10"/>
        <v>1.5594236363636367</v>
      </c>
      <c r="S93" s="23">
        <f>[4]Prices!$D614</f>
        <v>39.571363636363643</v>
      </c>
      <c r="T93" s="1">
        <f>'[5]Monthly Prices'!$N254</f>
        <v>33.336956521739133</v>
      </c>
      <c r="U93" s="25"/>
      <c r="V93" s="25"/>
      <c r="W93" s="25"/>
      <c r="X93" s="12">
        <v>54.57</v>
      </c>
      <c r="Y93" s="11">
        <v>35.549999999999997</v>
      </c>
      <c r="Z93" s="11">
        <v>29.22</v>
      </c>
      <c r="AA93" s="11">
        <v>36.86</v>
      </c>
      <c r="AB93" s="11">
        <v>35.26</v>
      </c>
      <c r="AC93" s="11">
        <v>33.270000000000003</v>
      </c>
      <c r="AD93" s="11">
        <v>26.85</v>
      </c>
    </row>
    <row r="94" spans="1:30" x14ac:dyDescent="0.2">
      <c r="A94" s="17">
        <v>44197</v>
      </c>
      <c r="B94" s="18">
        <f t="shared" si="6"/>
        <v>1</v>
      </c>
      <c r="C94" s="18">
        <f t="shared" si="7"/>
        <v>1</v>
      </c>
      <c r="D94" s="11">
        <f t="shared" si="8"/>
        <v>2021</v>
      </c>
      <c r="E94" s="19"/>
      <c r="F94" s="1">
        <f>AVERAGEIFS('Daily Prices'!$F$4:$F$3000,'Daily Prices'!$G$4:$G$3000,Monthly!$B94,'Daily Prices'!$H$4:$H$3000,Monthly!$D94)</f>
        <v>199.83578947368423</v>
      </c>
      <c r="H94" s="13">
        <v>124.52</v>
      </c>
      <c r="I94" s="19"/>
      <c r="J94" s="1">
        <f>AVERAGEIFS('RIN Daily Prices'!$F$4:$F$2925,'RIN Daily Prices'!$B$4:$B$2925,Monthly!$D94,'RIN Daily Prices'!$A$4:$A$2925,Monthly!$B94)</f>
        <v>102.61842105263158</v>
      </c>
      <c r="K94" s="1">
        <f>AVERAGEIFS('RIN Daily Prices'!$H$4:$H$2925,'RIN Daily Prices'!$B$4:$B$2925,Monthly!$D94,'RIN Daily Prices'!$A$4:$A$2925,Monthly!$B94)</f>
        <v>101.14473684210526</v>
      </c>
      <c r="L94" s="20">
        <f>AVERAGEIFS('RIN Daily Prices'!$J$4:$J$2925,'RIN Daily Prices'!$B$4:$B$2925,Monthly!$D94,'RIN Daily Prices'!$A$4:$A$2925,Monthly!$B94)</f>
        <v>90.65789473684211</v>
      </c>
      <c r="M94" s="21">
        <f>[2]Prices!$D607/2.8</f>
        <v>1.8406954887218048</v>
      </c>
      <c r="N94" s="11">
        <v>1.5309999999999999</v>
      </c>
      <c r="O94" s="22">
        <f t="shared" si="9"/>
        <v>-0.30969548872180486</v>
      </c>
      <c r="P94" s="23">
        <f t="shared" si="5"/>
        <v>3.2797199999999997</v>
      </c>
      <c r="Q94" s="11">
        <v>1.5780000000000001</v>
      </c>
      <c r="R94" s="24">
        <f t="shared" si="10"/>
        <v>1.7017199999999997</v>
      </c>
      <c r="S94" s="23">
        <f>[4]Prices!$D615</f>
        <v>43.154210526315786</v>
      </c>
      <c r="T94" s="1">
        <f>'[5]Monthly Prices'!$N255</f>
        <v>36.60526315789474</v>
      </c>
      <c r="U94" s="25"/>
      <c r="V94" s="25"/>
      <c r="W94" s="25"/>
      <c r="X94" s="12">
        <v>57.73</v>
      </c>
      <c r="Y94" s="11">
        <v>39.74</v>
      </c>
      <c r="Z94" s="11">
        <v>33.25</v>
      </c>
      <c r="AA94" s="11">
        <v>39.869999999999997</v>
      </c>
      <c r="AB94" s="11">
        <v>39.92</v>
      </c>
      <c r="AC94" s="11">
        <v>36.61</v>
      </c>
      <c r="AD94" s="11">
        <v>30.75</v>
      </c>
    </row>
    <row r="95" spans="1:30" x14ac:dyDescent="0.2">
      <c r="A95" s="17">
        <v>44228</v>
      </c>
      <c r="B95" s="18">
        <f t="shared" si="6"/>
        <v>2</v>
      </c>
      <c r="C95" s="18">
        <f t="shared" si="7"/>
        <v>1</v>
      </c>
      <c r="D95" s="11">
        <f t="shared" si="8"/>
        <v>2021</v>
      </c>
      <c r="E95" s="19"/>
      <c r="F95" s="1">
        <f>AVERAGEIFS('Daily Prices'!$F$4:$F$3000,'Daily Prices'!$G$4:$G$3000,Monthly!$B95,'Daily Prices'!$H$4:$H$3000,Monthly!$D95)</f>
        <v>192.96052631578948</v>
      </c>
      <c r="H95" s="13">
        <v>125.74</v>
      </c>
      <c r="I95" s="19"/>
      <c r="J95" s="1">
        <f>AVERAGEIFS('RIN Daily Prices'!$F$4:$F$2925,'RIN Daily Prices'!$B$4:$B$2925,Monthly!$D95,'RIN Daily Prices'!$A$4:$A$2925,Monthly!$B95)</f>
        <v>109.89473684210526</v>
      </c>
      <c r="K95" s="1">
        <f>AVERAGEIFS('RIN Daily Prices'!$H$4:$H$2925,'RIN Daily Prices'!$B$4:$B$2925,Monthly!$D95,'RIN Daily Prices'!$A$4:$A$2925,Monthly!$B95)</f>
        <v>109.39473684210526</v>
      </c>
      <c r="L95" s="20">
        <f>AVERAGEIFS('RIN Daily Prices'!$J$4:$J$2925,'RIN Daily Prices'!$B$4:$B$2925,Monthly!$D95,'RIN Daily Prices'!$A$4:$A$2925,Monthly!$B95)</f>
        <v>100.85526315789474</v>
      </c>
      <c r="M95" s="21">
        <f>[2]Prices!$D608/2.8</f>
        <v>1.9641917293233084</v>
      </c>
      <c r="N95" s="11">
        <v>1.7390000000000001</v>
      </c>
      <c r="O95" s="22">
        <f t="shared" si="9"/>
        <v>-0.22519172932330833</v>
      </c>
      <c r="P95" s="23">
        <f t="shared" si="5"/>
        <v>3.5679199999999995</v>
      </c>
      <c r="Q95" s="11">
        <v>1.7849999999999999</v>
      </c>
      <c r="R95" s="24">
        <f t="shared" si="10"/>
        <v>1.7829199999999996</v>
      </c>
      <c r="S95" s="23">
        <f>[4]Prices!$D616</f>
        <v>46.94631578947368</v>
      </c>
      <c r="T95" s="1">
        <f>'[5]Monthly Prices'!$N256</f>
        <v>39</v>
      </c>
      <c r="U95" s="25"/>
      <c r="V95" s="25"/>
      <c r="W95" s="25"/>
      <c r="X95" s="12">
        <v>62.68</v>
      </c>
      <c r="Y95" s="11">
        <v>43.95</v>
      </c>
      <c r="Z95" s="11">
        <v>38.24</v>
      </c>
      <c r="AA95" s="11">
        <v>43.13</v>
      </c>
      <c r="AB95" s="11">
        <v>43.5</v>
      </c>
      <c r="AC95" s="11">
        <v>39</v>
      </c>
      <c r="AD95" s="11">
        <v>34.89</v>
      </c>
    </row>
    <row r="96" spans="1:30" x14ac:dyDescent="0.2">
      <c r="A96" s="17">
        <v>44256</v>
      </c>
      <c r="B96" s="18">
        <f t="shared" si="6"/>
        <v>3</v>
      </c>
      <c r="C96" s="18">
        <f t="shared" si="7"/>
        <v>1</v>
      </c>
      <c r="D96" s="11">
        <f t="shared" si="8"/>
        <v>2021</v>
      </c>
      <c r="E96" s="19"/>
      <c r="F96" s="1">
        <f>AVERAGEIFS('Daily Prices'!$F$4:$F$3000,'Daily Prices'!$G$4:$G$3000,Monthly!$B96,'Daily Prices'!$H$4:$H$3000,Monthly!$D96)</f>
        <v>192.99478260869566</v>
      </c>
      <c r="H96" s="13">
        <v>125.46</v>
      </c>
      <c r="I96" s="19"/>
      <c r="J96" s="1">
        <f>AVERAGEIFS('RIN Daily Prices'!$F$4:$F$2925,'RIN Daily Prices'!$B$4:$B$2925,Monthly!$D96,'RIN Daily Prices'!$A$4:$A$2925,Monthly!$B96)</f>
        <v>138.40217391304347</v>
      </c>
      <c r="K96" s="1">
        <f>AVERAGEIFS('RIN Daily Prices'!$H$4:$H$2925,'RIN Daily Prices'!$B$4:$B$2925,Monthly!$D96,'RIN Daily Prices'!$A$4:$A$2925,Monthly!$B96)</f>
        <v>137.83695652173913</v>
      </c>
      <c r="L96" s="20">
        <f>AVERAGEIFS('RIN Daily Prices'!$J$4:$J$2925,'RIN Daily Prices'!$B$4:$B$2925,Monthly!$D96,'RIN Daily Prices'!$A$4:$A$2925,Monthly!$B96)</f>
        <v>129.1358695652174</v>
      </c>
      <c r="M96" s="21">
        <f>[2]Prices!$D609/2.8</f>
        <v>1.9555357142857142</v>
      </c>
      <c r="N96" s="11">
        <v>2.0070000000000001</v>
      </c>
      <c r="O96" s="22">
        <f t="shared" si="9"/>
        <v>5.1464285714285962E-2</v>
      </c>
      <c r="P96" s="23">
        <f t="shared" si="5"/>
        <v>4.0561200000000008</v>
      </c>
      <c r="Q96" s="11">
        <v>1.8560000000000001</v>
      </c>
      <c r="R96" s="24">
        <f t="shared" si="10"/>
        <v>2.200120000000001</v>
      </c>
      <c r="S96" s="23">
        <f>[4]Prices!$D617</f>
        <v>53.370000000000012</v>
      </c>
      <c r="T96" s="1">
        <f>'[5]Monthly Prices'!$N257</f>
        <v>42.195652173913047</v>
      </c>
      <c r="U96" s="25"/>
      <c r="V96" s="25"/>
      <c r="W96" s="25"/>
      <c r="X96" s="12">
        <v>72.63</v>
      </c>
      <c r="Y96" s="11">
        <v>50.43</v>
      </c>
      <c r="Z96" s="11">
        <v>45.24</v>
      </c>
      <c r="AA96" s="11">
        <v>47.7</v>
      </c>
      <c r="AB96" s="11">
        <v>51.25</v>
      </c>
      <c r="AC96" s="11">
        <v>42.2</v>
      </c>
      <c r="AD96" s="11">
        <v>39.200000000000003</v>
      </c>
    </row>
    <row r="97" spans="1:30" x14ac:dyDescent="0.2">
      <c r="A97" s="17">
        <v>44287</v>
      </c>
      <c r="B97" s="18">
        <f t="shared" si="6"/>
        <v>4</v>
      </c>
      <c r="C97" s="18">
        <f t="shared" si="7"/>
        <v>2</v>
      </c>
      <c r="D97" s="11">
        <f t="shared" si="8"/>
        <v>2021</v>
      </c>
      <c r="E97" s="19"/>
      <c r="F97" s="1">
        <f>AVERAGEIFS('Daily Prices'!$F$4:$F$3000,'Daily Prices'!$G$4:$G$3000,Monthly!$B97,'Daily Prices'!$H$4:$H$3000,Monthly!$D97)</f>
        <v>177.96428571428572</v>
      </c>
      <c r="H97" s="13">
        <v>125.93</v>
      </c>
      <c r="I97" s="19"/>
      <c r="J97" s="1">
        <f>AVERAGEIFS('RIN Daily Prices'!$F$4:$F$2925,'RIN Daily Prices'!$B$4:$B$2925,Monthly!$D97,'RIN Daily Prices'!$A$4:$A$2925,Monthly!$B97)</f>
        <v>145.82142857142858</v>
      </c>
      <c r="K97" s="1">
        <f>AVERAGEIFS('RIN Daily Prices'!$H$4:$H$2925,'RIN Daily Prices'!$B$4:$B$2925,Monthly!$D97,'RIN Daily Prices'!$A$4:$A$2925,Monthly!$B97)</f>
        <v>145.07142857142858</v>
      </c>
      <c r="L97" s="20">
        <f>AVERAGEIFS('RIN Daily Prices'!$J$4:$J$2925,'RIN Daily Prices'!$B$4:$B$2925,Monthly!$D97,'RIN Daily Prices'!$A$4:$A$2925,Monthly!$B97)</f>
        <v>138.08333333333334</v>
      </c>
      <c r="M97" s="21">
        <f>[2]Prices!$D610/2.8</f>
        <v>2.2002551020408165</v>
      </c>
      <c r="N97" s="11">
        <v>2.0070000000000001</v>
      </c>
      <c r="O97" s="22">
        <f t="shared" si="9"/>
        <v>-0.19325510204081642</v>
      </c>
      <c r="P97" s="23">
        <f t="shared" si="5"/>
        <v>4.4259142857142866</v>
      </c>
      <c r="Q97" s="11">
        <v>1.8620000000000001</v>
      </c>
      <c r="R97" s="24">
        <f t="shared" si="10"/>
        <v>2.5639142857142865</v>
      </c>
      <c r="S97" s="23">
        <f>[4]Prices!$D618</f>
        <v>58.235714285714302</v>
      </c>
      <c r="T97" s="1">
        <f>'[5]Monthly Prices'!$N258</f>
        <v>43.535714285714285</v>
      </c>
      <c r="U97" s="25"/>
      <c r="V97" s="25"/>
      <c r="W97" s="25"/>
      <c r="X97" s="12">
        <v>88.14</v>
      </c>
      <c r="Y97" s="11">
        <v>53.48</v>
      </c>
      <c r="Z97" s="11">
        <v>47.52</v>
      </c>
      <c r="AA97" s="11">
        <v>50.95</v>
      </c>
      <c r="AB97" s="11">
        <v>49.13</v>
      </c>
      <c r="AC97" s="11">
        <v>43.54</v>
      </c>
      <c r="AD97" s="11">
        <v>41.05</v>
      </c>
    </row>
    <row r="98" spans="1:30" x14ac:dyDescent="0.2">
      <c r="A98" s="17">
        <v>44317</v>
      </c>
      <c r="B98" s="18">
        <f t="shared" si="6"/>
        <v>5</v>
      </c>
      <c r="C98" s="18">
        <f t="shared" si="7"/>
        <v>2</v>
      </c>
      <c r="D98" s="11">
        <f t="shared" si="8"/>
        <v>2021</v>
      </c>
      <c r="E98" s="19"/>
      <c r="F98" s="1">
        <f>AVERAGEIFS('Daily Prices'!$F$4:$F$3000,'Daily Prices'!$G$4:$G$3000,Monthly!$B98,'Daily Prices'!$H$4:$H$3000,Monthly!$D98)</f>
        <v>187.78749999999999</v>
      </c>
      <c r="H98" s="13">
        <v>124.89</v>
      </c>
      <c r="I98" s="19"/>
      <c r="J98" s="1">
        <f>AVERAGEIFS('RIN Daily Prices'!$F$4:$F$2925,'RIN Daily Prices'!$B$4:$B$2925,Monthly!$D98,'RIN Daily Prices'!$A$4:$A$2925,Monthly!$B98)</f>
        <v>188.3125</v>
      </c>
      <c r="K98" s="1">
        <f>AVERAGEIFS('RIN Daily Prices'!$H$4:$H$2925,'RIN Daily Prices'!$B$4:$B$2925,Monthly!$D98,'RIN Daily Prices'!$A$4:$A$2925,Monthly!$B98)</f>
        <v>187.5625</v>
      </c>
      <c r="L98" s="20">
        <f>AVERAGEIFS('RIN Daily Prices'!$J$4:$J$2925,'RIN Daily Prices'!$B$4:$B$2925,Monthly!$D98,'RIN Daily Prices'!$A$4:$A$2925,Monthly!$B98)</f>
        <v>179.98750000000001</v>
      </c>
      <c r="M98" s="21">
        <f>[2]Prices!$D611/2.8</f>
        <v>2.4141517857142856</v>
      </c>
      <c r="N98" s="11">
        <v>2.1259999999999999</v>
      </c>
      <c r="O98" s="22">
        <f t="shared" si="9"/>
        <v>-0.28815178571428568</v>
      </c>
      <c r="P98" s="23">
        <f t="shared" si="5"/>
        <v>4.9886020000000011</v>
      </c>
      <c r="Q98" s="11">
        <v>2.0209999999999999</v>
      </c>
      <c r="R98" s="24">
        <f t="shared" si="10"/>
        <v>2.9676020000000012</v>
      </c>
      <c r="S98" s="23">
        <f>[4]Prices!$D619</f>
        <v>65.639500000000012</v>
      </c>
      <c r="T98" s="1">
        <f>'[5]Monthly Prices'!$N259</f>
        <v>45.387500000000003</v>
      </c>
      <c r="U98" s="25"/>
      <c r="V98" s="25"/>
      <c r="W98" s="25"/>
      <c r="X98" s="12">
        <v>103.64</v>
      </c>
      <c r="Y98" s="11">
        <v>54.95</v>
      </c>
      <c r="Z98" s="11">
        <v>49.73</v>
      </c>
      <c r="AA98" s="11">
        <v>53.73</v>
      </c>
      <c r="AB98" s="11">
        <v>51.49</v>
      </c>
      <c r="AC98" s="11">
        <v>45.39</v>
      </c>
      <c r="AD98" s="11">
        <v>42.81</v>
      </c>
    </row>
    <row r="99" spans="1:30" x14ac:dyDescent="0.2">
      <c r="A99" s="17">
        <v>44348</v>
      </c>
      <c r="B99" s="18">
        <f t="shared" si="6"/>
        <v>6</v>
      </c>
      <c r="C99" s="18">
        <f t="shared" si="7"/>
        <v>2</v>
      </c>
      <c r="D99" s="11">
        <f t="shared" si="8"/>
        <v>2021</v>
      </c>
      <c r="E99" s="19"/>
      <c r="F99" s="1">
        <f>AVERAGEIFS('Daily Prices'!$F$4:$F$3000,'Daily Prices'!$G$4:$G$3000,Monthly!$B99,'Daily Prices'!$H$4:$H$3000,Monthly!$D99)</f>
        <v>189.01136363636363</v>
      </c>
      <c r="H99" s="13">
        <v>126.56</v>
      </c>
      <c r="I99" s="19"/>
      <c r="J99" s="1">
        <f>AVERAGEIFS('RIN Daily Prices'!$F$4:$F$2925,'RIN Daily Prices'!$B$4:$B$2925,Monthly!$D99,'RIN Daily Prices'!$A$4:$A$2925,Monthly!$B99)</f>
        <v>176.5</v>
      </c>
      <c r="K99" s="1">
        <f>AVERAGEIFS('RIN Daily Prices'!$H$4:$H$2925,'RIN Daily Prices'!$B$4:$B$2925,Monthly!$D99,'RIN Daily Prices'!$A$4:$A$2925,Monthly!$B99)</f>
        <v>175.75</v>
      </c>
      <c r="L99" s="20">
        <f>AVERAGEIFS('RIN Daily Prices'!$J$4:$J$2925,'RIN Daily Prices'!$B$4:$B$2925,Monthly!$D99,'RIN Daily Prices'!$A$4:$A$2925,Monthly!$B99)</f>
        <v>167.23863636363637</v>
      </c>
      <c r="M99" s="21">
        <f>[2]Prices!$D612/2.8</f>
        <v>2.4014610389610391</v>
      </c>
      <c r="N99" s="11">
        <v>2.206</v>
      </c>
      <c r="O99" s="22">
        <f t="shared" si="9"/>
        <v>-0.19546103896103917</v>
      </c>
      <c r="P99" s="23">
        <f t="shared" si="5"/>
        <v>4.95848181818182</v>
      </c>
      <c r="Q99" s="11">
        <v>2.12</v>
      </c>
      <c r="R99" s="24">
        <f t="shared" si="10"/>
        <v>2.8384818181818199</v>
      </c>
      <c r="S99" s="23">
        <f>[4]Prices!$D620</f>
        <v>65.243181818181839</v>
      </c>
      <c r="T99" s="1">
        <f>'[5]Monthly Prices'!$N260</f>
        <v>49.284090909090907</v>
      </c>
      <c r="U99" s="25"/>
      <c r="V99" s="25"/>
      <c r="W99" s="25"/>
      <c r="X99" s="12">
        <v>99.15</v>
      </c>
      <c r="Y99" s="11">
        <v>58.41</v>
      </c>
      <c r="Z99" s="11">
        <v>53.59</v>
      </c>
      <c r="AA99" s="11">
        <v>56</v>
      </c>
      <c r="AB99" s="11">
        <v>55.42</v>
      </c>
      <c r="AC99" s="11">
        <v>49.28</v>
      </c>
      <c r="AD99" s="11">
        <v>45.03</v>
      </c>
    </row>
    <row r="100" spans="1:30" x14ac:dyDescent="0.2">
      <c r="A100" s="17">
        <v>44378</v>
      </c>
      <c r="B100" s="18">
        <f t="shared" si="6"/>
        <v>7</v>
      </c>
      <c r="C100" s="18">
        <f t="shared" si="7"/>
        <v>3</v>
      </c>
      <c r="D100" s="11">
        <f t="shared" si="8"/>
        <v>2021</v>
      </c>
      <c r="E100" s="19"/>
      <c r="F100" s="1">
        <f>AVERAGEIFS('Daily Prices'!$F$4:$F$3000,'Daily Prices'!$G$4:$G$3000,Monthly!$B100,'Daily Prices'!$H$4:$H$3000,Monthly!$D100)</f>
        <v>179.26238095238097</v>
      </c>
      <c r="H100" s="13">
        <v>125.02</v>
      </c>
      <c r="I100" s="19"/>
      <c r="J100" s="1">
        <f>AVERAGEIFS('RIN Daily Prices'!$F$4:$F$2925,'RIN Daily Prices'!$B$4:$B$2925,Monthly!$D100,'RIN Daily Prices'!$A$4:$A$2925,Monthly!$B100)</f>
        <v>165.60714285714286</v>
      </c>
      <c r="K100" s="1">
        <f>AVERAGEIFS('RIN Daily Prices'!$H$4:$H$2925,'RIN Daily Prices'!$B$4:$B$2925,Monthly!$D100,'RIN Daily Prices'!$A$4:$A$2925,Monthly!$B100)</f>
        <v>163.3095238095238</v>
      </c>
      <c r="L100" s="20">
        <f>AVERAGEIFS('RIN Daily Prices'!$J$4:$J$2925,'RIN Daily Prices'!$B$4:$B$2925,Monthly!$D100,'RIN Daily Prices'!$A$4:$A$2925,Monthly!$B100)</f>
        <v>150.9702380952381</v>
      </c>
      <c r="M100" s="21">
        <f>[2]Prices!$D613/2.8</f>
        <v>1.9904336734693877</v>
      </c>
      <c r="N100" s="11">
        <v>2.2669999999999999</v>
      </c>
      <c r="O100" s="22">
        <f t="shared" si="9"/>
        <v>0.27656632653061219</v>
      </c>
      <c r="P100" s="23">
        <f t="shared" si="5"/>
        <v>4.9351504761904756</v>
      </c>
      <c r="Q100" s="11">
        <v>2.129</v>
      </c>
      <c r="R100" s="24">
        <f t="shared" si="10"/>
        <v>2.8061504761904756</v>
      </c>
      <c r="S100" s="23">
        <f>[4]Prices!$D621</f>
        <v>64.936190476190475</v>
      </c>
      <c r="T100" s="1">
        <f>'[5]Monthly Prices'!$N261</f>
        <v>51.952380952380949</v>
      </c>
      <c r="U100" s="25"/>
      <c r="V100" s="25"/>
      <c r="W100" s="25"/>
      <c r="X100" s="12">
        <v>96.62</v>
      </c>
      <c r="Y100" s="11">
        <v>61.76</v>
      </c>
      <c r="Z100" s="11">
        <v>57.55</v>
      </c>
      <c r="AA100" s="11">
        <v>56.5</v>
      </c>
      <c r="AB100" s="11">
        <v>59.85</v>
      </c>
      <c r="AC100" s="11">
        <v>51.95</v>
      </c>
      <c r="AD100" s="11">
        <v>46.26</v>
      </c>
    </row>
    <row r="101" spans="1:30" x14ac:dyDescent="0.2">
      <c r="A101" s="17">
        <v>44409</v>
      </c>
      <c r="B101" s="18">
        <f t="shared" si="6"/>
        <v>8</v>
      </c>
      <c r="C101" s="18">
        <f t="shared" si="7"/>
        <v>3</v>
      </c>
      <c r="D101" s="11">
        <f t="shared" si="8"/>
        <v>2021</v>
      </c>
      <c r="E101" s="19"/>
      <c r="F101" s="1">
        <f>AVERAGEIFS('Daily Prices'!$F$4:$F$3000,'Daily Prices'!$G$4:$G$3000,Monthly!$B101,'Daily Prices'!$H$4:$H$3000,Monthly!$D101)</f>
        <v>180.51136363636363</v>
      </c>
      <c r="H101" s="13">
        <v>125.11</v>
      </c>
      <c r="I101" s="19"/>
      <c r="J101" s="1">
        <f>AVERAGEIFS('RIN Daily Prices'!$F$4:$F$2925,'RIN Daily Prices'!$B$4:$B$2925,Monthly!$D101,'RIN Daily Prices'!$A$4:$A$2925,Monthly!$B101)</f>
        <v>171.84090909090909</v>
      </c>
      <c r="K101" s="1">
        <f>AVERAGEIFS('RIN Daily Prices'!$H$4:$H$2925,'RIN Daily Prices'!$B$4:$B$2925,Monthly!$D101,'RIN Daily Prices'!$A$4:$A$2925,Monthly!$B101)</f>
        <v>170.90909090909091</v>
      </c>
      <c r="L101" s="20">
        <f>AVERAGEIFS('RIN Daily Prices'!$J$4:$J$2925,'RIN Daily Prices'!$B$4:$B$2925,Monthly!$D101,'RIN Daily Prices'!$A$4:$A$2925,Monthly!$B101)</f>
        <v>154.97727272727272</v>
      </c>
      <c r="M101" s="21">
        <f>[2]Prices!$D614/2.8</f>
        <v>1.97224025974026</v>
      </c>
      <c r="N101" s="11">
        <v>2.2290000000000001</v>
      </c>
      <c r="O101" s="22">
        <f t="shared" si="9"/>
        <v>0.25675974025974013</v>
      </c>
      <c r="P101" s="23">
        <f t="shared" si="5"/>
        <v>4.6712709090909081</v>
      </c>
      <c r="Q101" s="11">
        <v>2.0710000000000002</v>
      </c>
      <c r="R101" s="24">
        <f t="shared" si="10"/>
        <v>2.600270909090908</v>
      </c>
      <c r="S101" s="23">
        <f>[4]Prices!$D622</f>
        <v>61.464090909090899</v>
      </c>
      <c r="T101" s="1">
        <f>'[5]Monthly Prices'!$N262</f>
        <v>56</v>
      </c>
      <c r="U101" s="25"/>
      <c r="V101" s="25"/>
      <c r="W101" s="25"/>
      <c r="X101" s="12">
        <v>91.15</v>
      </c>
      <c r="Y101" s="11">
        <v>66.3</v>
      </c>
      <c r="Z101" s="11">
        <v>62.61</v>
      </c>
      <c r="AA101" s="11">
        <v>57.86</v>
      </c>
      <c r="AB101" s="11">
        <v>64.099999999999994</v>
      </c>
      <c r="AC101" s="11">
        <v>56</v>
      </c>
      <c r="AD101" s="11">
        <v>49.83</v>
      </c>
    </row>
    <row r="102" spans="1:30" x14ac:dyDescent="0.2">
      <c r="A102" s="17">
        <v>44440</v>
      </c>
      <c r="B102" s="18">
        <f t="shared" si="6"/>
        <v>9</v>
      </c>
      <c r="C102" s="18">
        <f t="shared" si="7"/>
        <v>3</v>
      </c>
      <c r="D102" s="11">
        <f t="shared" si="8"/>
        <v>2021</v>
      </c>
      <c r="E102" s="19"/>
      <c r="F102" s="1">
        <f>AVERAGEIFS('Daily Prices'!$F$4:$F$3000,'Daily Prices'!$G$4:$G$3000,Monthly!$B102,'Daily Prices'!$H$4:$H$3000,Monthly!$D102)</f>
        <v>166.91666666666666</v>
      </c>
      <c r="H102" s="13">
        <v>126.06</v>
      </c>
      <c r="I102" s="19"/>
      <c r="J102" s="1">
        <f>AVERAGEIFS('RIN Daily Prices'!$F$4:$F$2925,'RIN Daily Prices'!$B$4:$B$2925,Monthly!$D102,'RIN Daily Prices'!$A$4:$A$2925,Monthly!$B102)</f>
        <v>143.66666666666666</v>
      </c>
      <c r="K102" s="1">
        <f>AVERAGEIFS('RIN Daily Prices'!$H$4:$H$2925,'RIN Daily Prices'!$B$4:$B$2925,Monthly!$D102,'RIN Daily Prices'!$A$4:$A$2925,Monthly!$B102)</f>
        <v>143.10714285714286</v>
      </c>
      <c r="L102" s="20">
        <f>AVERAGEIFS('RIN Daily Prices'!$J$4:$J$2925,'RIN Daily Prices'!$B$4:$B$2925,Monthly!$D102,'RIN Daily Prices'!$A$4:$A$2925,Monthly!$B102)</f>
        <v>117.39285714285714</v>
      </c>
      <c r="M102" s="21">
        <f>[2]Prices!$D615/2.8</f>
        <v>1.8730654761904766</v>
      </c>
      <c r="N102" s="11">
        <v>2.1640000000000001</v>
      </c>
      <c r="O102" s="22">
        <f t="shared" si="9"/>
        <v>0.29093452380952356</v>
      </c>
      <c r="P102" s="23">
        <f t="shared" si="5"/>
        <v>4.3475619047619043</v>
      </c>
      <c r="Q102" s="11">
        <v>2.2010000000000001</v>
      </c>
      <c r="R102" s="24">
        <f t="shared" si="10"/>
        <v>2.1465619047619042</v>
      </c>
      <c r="S102" s="23">
        <f>[4]Prices!$D623</f>
        <v>57.204761904761902</v>
      </c>
      <c r="T102" s="1">
        <f>'[5]Monthly Prices'!$N263</f>
        <v>53.38095238095238</v>
      </c>
      <c r="U102" s="25"/>
      <c r="V102" s="25"/>
      <c r="W102" s="25"/>
      <c r="X102" s="12">
        <v>83.73</v>
      </c>
      <c r="Y102" s="11">
        <v>62.43</v>
      </c>
      <c r="Z102" s="11">
        <v>50.02</v>
      </c>
      <c r="AA102" s="11">
        <v>58</v>
      </c>
      <c r="AB102" s="11">
        <v>53.87</v>
      </c>
      <c r="AC102" s="11">
        <v>53.38</v>
      </c>
      <c r="AD102" s="11">
        <v>48.02</v>
      </c>
    </row>
    <row r="103" spans="1:30" x14ac:dyDescent="0.2">
      <c r="A103" s="17">
        <v>44470</v>
      </c>
      <c r="B103" s="18">
        <f t="shared" si="6"/>
        <v>10</v>
      </c>
      <c r="C103" s="18">
        <f t="shared" si="7"/>
        <v>4</v>
      </c>
      <c r="D103" s="11">
        <f t="shared" si="8"/>
        <v>2021</v>
      </c>
      <c r="E103" s="19"/>
      <c r="F103" s="1">
        <f>AVERAGEIFS('Daily Prices'!$F$4:$F$3000,'Daily Prices'!$G$4:$G$3000,Monthly!$B103,'Daily Prices'!$H$4:$H$3000,Monthly!$D103)</f>
        <v>167.67857142857142</v>
      </c>
      <c r="H103" s="13">
        <v>124.65</v>
      </c>
      <c r="I103" s="19"/>
      <c r="J103" s="1">
        <f>AVERAGEIFS('RIN Daily Prices'!$F$4:$F$2925,'RIN Daily Prices'!$B$4:$B$2925,Monthly!$D103,'RIN Daily Prices'!$A$4:$A$2925,Monthly!$B103)</f>
        <v>153.52380952380952</v>
      </c>
      <c r="K103" s="1">
        <f>AVERAGEIFS('RIN Daily Prices'!$H$4:$H$2925,'RIN Daily Prices'!$B$4:$B$2925,Monthly!$D103,'RIN Daily Prices'!$A$4:$A$2925,Monthly!$B103)</f>
        <v>153</v>
      </c>
      <c r="L103" s="20">
        <f>AVERAGEIFS('RIN Daily Prices'!$J$4:$J$2925,'RIN Daily Prices'!$B$4:$B$2925,Monthly!$D103,'RIN Daily Prices'!$A$4:$A$2925,Monthly!$B103)</f>
        <v>127.94047619047619</v>
      </c>
      <c r="M103" s="21">
        <f>[2]Prices!$D616/2.8</f>
        <v>1.9164965986394558</v>
      </c>
      <c r="N103" s="11">
        <v>2.42</v>
      </c>
      <c r="O103" s="22">
        <f t="shared" si="9"/>
        <v>0.50350340136054417</v>
      </c>
      <c r="P103" s="23">
        <f t="shared" si="5"/>
        <v>4.6547104761904761</v>
      </c>
      <c r="Q103" s="11">
        <v>2.516</v>
      </c>
      <c r="R103" s="24">
        <f t="shared" si="10"/>
        <v>2.1387104761904761</v>
      </c>
      <c r="S103" s="23">
        <f>[4]Prices!$D624</f>
        <v>61.246190476190478</v>
      </c>
      <c r="T103" s="1">
        <f>'[5]Monthly Prices'!$N264</f>
        <v>54.452380952380949</v>
      </c>
      <c r="U103" s="25"/>
      <c r="V103" s="25"/>
      <c r="W103" s="25"/>
      <c r="X103" s="12">
        <v>86.85</v>
      </c>
      <c r="Y103" s="11">
        <v>68.19</v>
      </c>
      <c r="Z103" s="11">
        <v>51.71</v>
      </c>
      <c r="AA103" s="11">
        <v>58</v>
      </c>
      <c r="AB103" s="11">
        <v>60.9</v>
      </c>
      <c r="AC103" s="11">
        <v>54.45</v>
      </c>
      <c r="AD103" s="11">
        <v>49.8</v>
      </c>
    </row>
    <row r="104" spans="1:30" x14ac:dyDescent="0.2">
      <c r="A104" s="17">
        <v>44501</v>
      </c>
      <c r="B104" s="18">
        <f t="shared" si="6"/>
        <v>11</v>
      </c>
      <c r="C104" s="18">
        <f t="shared" si="7"/>
        <v>4</v>
      </c>
      <c r="D104" s="11">
        <f t="shared" si="8"/>
        <v>2021</v>
      </c>
      <c r="E104" s="19"/>
      <c r="F104" s="1">
        <f>AVERAGEIFS('Daily Prices'!$F$4:$F$3000,'Daily Prices'!$G$4:$G$3000,Monthly!$B104,'Daily Prices'!$H$4:$H$3000,Monthly!$D104)</f>
        <v>149.52500000000001</v>
      </c>
      <c r="H104" s="13">
        <v>124.49</v>
      </c>
      <c r="I104" s="19"/>
      <c r="J104" s="1">
        <f>AVERAGEIFS('RIN Daily Prices'!$F$4:$F$2925,'RIN Daily Prices'!$B$4:$B$2925,Monthly!$D104,'RIN Daily Prices'!$A$4:$A$2925,Monthly!$B104)</f>
        <v>142.94999999999999</v>
      </c>
      <c r="K104" s="1">
        <f>AVERAGEIFS('RIN Daily Prices'!$H$4:$H$2925,'RIN Daily Prices'!$B$4:$B$2925,Monthly!$D104,'RIN Daily Prices'!$A$4:$A$2925,Monthly!$B104)</f>
        <v>142.65</v>
      </c>
      <c r="L104" s="20">
        <f>AVERAGEIFS('RIN Daily Prices'!$J$4:$J$2925,'RIN Daily Prices'!$B$4:$B$2925,Monthly!$D104,'RIN Daily Prices'!$A$4:$A$2925,Monthly!$B104)</f>
        <v>109.4375</v>
      </c>
      <c r="M104" s="21">
        <f>[2]Prices!$D617/2.8</f>
        <v>2.0389030612244898</v>
      </c>
      <c r="N104" s="11">
        <v>2.294</v>
      </c>
      <c r="O104" s="22">
        <f t="shared" si="9"/>
        <v>0.25509693877551021</v>
      </c>
      <c r="P104" s="23">
        <f t="shared" si="5"/>
        <v>4.5018419047619043</v>
      </c>
      <c r="Q104" s="11">
        <v>2.3879999999999999</v>
      </c>
      <c r="R104" s="24">
        <f t="shared" si="10"/>
        <v>2.1138419047619044</v>
      </c>
      <c r="S104" s="23">
        <f>[4]Prices!$D625</f>
        <v>59.234761904761896</v>
      </c>
      <c r="T104" s="1">
        <f>'[5]Monthly Prices'!$N265</f>
        <v>57.2</v>
      </c>
      <c r="U104" s="25"/>
      <c r="V104" s="25"/>
      <c r="W104" s="25"/>
      <c r="X104" s="12">
        <v>90.85</v>
      </c>
      <c r="Y104" s="11">
        <v>65.099999999999994</v>
      </c>
      <c r="Z104" s="11">
        <v>49.2</v>
      </c>
      <c r="AA104" s="11">
        <v>58</v>
      </c>
      <c r="AB104" s="11">
        <v>58.68</v>
      </c>
      <c r="AC104" s="11">
        <v>57.2</v>
      </c>
      <c r="AD104" s="11">
        <v>53.66</v>
      </c>
    </row>
    <row r="105" spans="1:30" x14ac:dyDescent="0.2">
      <c r="A105" s="17">
        <v>44531</v>
      </c>
      <c r="B105" s="18">
        <f t="shared" si="6"/>
        <v>12</v>
      </c>
      <c r="C105" s="18">
        <f t="shared" si="7"/>
        <v>4</v>
      </c>
      <c r="D105" s="11">
        <f t="shared" si="8"/>
        <v>2021</v>
      </c>
      <c r="E105" s="19"/>
      <c r="F105" s="1">
        <f>AVERAGEIFS('Daily Prices'!$F$4:$F$3000,'Daily Prices'!$G$4:$G$3000,Monthly!$B105,'Daily Prices'!$H$4:$H$3000,Monthly!$D105)</f>
        <v>148.41666666666666</v>
      </c>
      <c r="H105" s="13">
        <v>124.6</v>
      </c>
      <c r="I105" s="19"/>
      <c r="J105" s="1">
        <f>AVERAGEIFS('RIN Daily Prices'!$F$4:$F$2925,'RIN Daily Prices'!$B$4:$B$2925,Monthly!$D105,'RIN Daily Prices'!$A$4:$A$2925,Monthly!$B105)</f>
        <v>151.0595238095238</v>
      </c>
      <c r="K105" s="1">
        <f>AVERAGEIFS('RIN Daily Prices'!$H$4:$H$2925,'RIN Daily Prices'!$B$4:$B$2925,Monthly!$D105,'RIN Daily Prices'!$A$4:$A$2925,Monthly!$B105)</f>
        <v>147.38095238095238</v>
      </c>
      <c r="L105" s="20">
        <f>AVERAGEIFS('RIN Daily Prices'!$J$4:$J$2925,'RIN Daily Prices'!$B$4:$B$2925,Monthly!$D105,'RIN Daily Prices'!$A$4:$A$2925,Monthly!$B105)</f>
        <v>100.80952380952381</v>
      </c>
      <c r="M105" s="21">
        <f>[2]Prices!$D618/2.8</f>
        <v>2.1149350649350649</v>
      </c>
      <c r="N105" s="11">
        <v>2.1349999999999998</v>
      </c>
      <c r="O105" s="22">
        <f t="shared" si="9"/>
        <v>2.0064935064934897E-2</v>
      </c>
      <c r="P105" s="23">
        <f t="shared" si="5"/>
        <v>4.1959254545454545</v>
      </c>
      <c r="Q105" s="11">
        <v>2.25</v>
      </c>
      <c r="R105" s="24">
        <f t="shared" si="10"/>
        <v>1.9459254545454545</v>
      </c>
      <c r="S105" s="23">
        <f>[4]Prices!$D626</f>
        <v>55.209545454545463</v>
      </c>
      <c r="T105" s="1">
        <f>'[5]Monthly Prices'!$N266</f>
        <v>59.61904761904762</v>
      </c>
      <c r="U105" s="25"/>
      <c r="V105" s="25"/>
      <c r="W105" s="25"/>
      <c r="X105" s="12">
        <v>87.16</v>
      </c>
      <c r="Y105" s="11">
        <v>55.55</v>
      </c>
      <c r="Z105" s="11">
        <v>41.67</v>
      </c>
      <c r="AA105" s="11">
        <v>57.31</v>
      </c>
      <c r="AB105" s="11">
        <v>53.74</v>
      </c>
      <c r="AC105" s="11">
        <v>59.62</v>
      </c>
      <c r="AD105" s="11">
        <v>50.88</v>
      </c>
    </row>
    <row r="106" spans="1:30" x14ac:dyDescent="0.2">
      <c r="A106" s="17">
        <v>44562</v>
      </c>
      <c r="B106" s="18">
        <f t="shared" si="6"/>
        <v>1</v>
      </c>
      <c r="C106" s="18">
        <f t="shared" si="7"/>
        <v>1</v>
      </c>
      <c r="D106" s="11">
        <f t="shared" si="8"/>
        <v>2022</v>
      </c>
      <c r="E106" s="19"/>
      <c r="F106" s="1">
        <f>AVERAGEIFS('Daily Prices'!$F$4:$F$3000,'Daily Prices'!$G$4:$G$3000,Monthly!$B106,'Daily Prices'!$H$4:$H$3000,Monthly!$D106)</f>
        <v>149.88749999999999</v>
      </c>
      <c r="H106" s="13">
        <v>123.85</v>
      </c>
      <c r="I106" s="19"/>
      <c r="J106" s="1">
        <f>AVERAGEIFS('RIN Daily Prices'!$F$4:$F$2925,'RIN Daily Prices'!$B$4:$B$2925,Monthly!$D106,'RIN Daily Prices'!$A$4:$A$2925,Monthly!$B106)</f>
        <v>135.71250000000001</v>
      </c>
      <c r="K106" s="1">
        <f>AVERAGEIFS('RIN Daily Prices'!$H$4:$H$2925,'RIN Daily Prices'!$B$4:$B$2925,Monthly!$D106,'RIN Daily Prices'!$A$4:$A$2925,Monthly!$B106)</f>
        <v>134.72499999999999</v>
      </c>
      <c r="L106" s="20">
        <f>AVERAGEIFS('RIN Daily Prices'!$J$4:$J$2925,'RIN Daily Prices'!$B$4:$B$2925,Monthly!$D106,'RIN Daily Prices'!$A$4:$A$2925,Monthly!$B106)</f>
        <v>113.02631578947368</v>
      </c>
      <c r="M106" s="21">
        <f>[2]Prices!$D619/2.8</f>
        <v>2.176339285714286</v>
      </c>
      <c r="N106" s="11">
        <v>2.4020000000000001</v>
      </c>
      <c r="O106" s="22">
        <f t="shared" si="9"/>
        <v>0.2256607142857141</v>
      </c>
      <c r="P106" s="23">
        <f t="shared" si="5"/>
        <v>4.6116799999999998</v>
      </c>
      <c r="Q106" s="11">
        <v>2.609</v>
      </c>
      <c r="R106" s="24">
        <f t="shared" si="10"/>
        <v>2.0026799999999998</v>
      </c>
      <c r="S106" s="23">
        <f>[4]Prices!$D627</f>
        <v>60.679999999999993</v>
      </c>
      <c r="T106" s="1">
        <f>'[5]Monthly Prices'!$N267</f>
        <v>61.15</v>
      </c>
      <c r="U106" s="25"/>
      <c r="V106" s="25"/>
      <c r="W106" s="25"/>
      <c r="X106" s="12">
        <v>92.68</v>
      </c>
      <c r="Y106" s="11">
        <v>66.39</v>
      </c>
      <c r="Z106" s="11">
        <v>52.55</v>
      </c>
      <c r="AA106" s="11">
        <v>57.25</v>
      </c>
      <c r="AB106" s="11">
        <v>64.760000000000005</v>
      </c>
      <c r="AC106" s="11">
        <v>61.15</v>
      </c>
      <c r="AD106" s="11">
        <v>52.21</v>
      </c>
    </row>
    <row r="107" spans="1:30" x14ac:dyDescent="0.2">
      <c r="A107" s="17">
        <v>44593</v>
      </c>
      <c r="B107" s="18">
        <f t="shared" si="6"/>
        <v>2</v>
      </c>
      <c r="C107" s="18">
        <f t="shared" si="7"/>
        <v>1</v>
      </c>
      <c r="D107" s="11">
        <f t="shared" si="8"/>
        <v>2022</v>
      </c>
      <c r="E107" s="19"/>
      <c r="F107" s="1">
        <f>AVERAGEIFS('Daily Prices'!$F$4:$F$3000,'Daily Prices'!$G$4:$G$3000,Monthly!$B107,'Daily Prices'!$H$4:$H$3000,Monthly!$D107)</f>
        <v>141.17105263157896</v>
      </c>
      <c r="H107" s="13">
        <v>124.92</v>
      </c>
      <c r="I107" s="19"/>
      <c r="J107" s="1">
        <f>AVERAGEIFS('RIN Daily Prices'!$F$4:$F$2925,'RIN Daily Prices'!$B$4:$B$2925,Monthly!$D107,'RIN Daily Prices'!$A$4:$A$2925,Monthly!$B107)</f>
        <v>146.46052631578948</v>
      </c>
      <c r="K107" s="1">
        <f>AVERAGEIFS('RIN Daily Prices'!$H$4:$H$2925,'RIN Daily Prices'!$B$4:$B$2925,Monthly!$D107,'RIN Daily Prices'!$A$4:$A$2925,Monthly!$B107)</f>
        <v>145.46052631578948</v>
      </c>
      <c r="L107" s="20">
        <f>AVERAGEIFS('RIN Daily Prices'!$J$4:$J$2925,'RIN Daily Prices'!$B$4:$B$2925,Monthly!$D107,'RIN Daily Prices'!$A$4:$A$2925,Monthly!$B107)</f>
        <v>115.61184210526316</v>
      </c>
      <c r="M107" s="21">
        <f>[2]Prices!$D620/2.8</f>
        <v>2.3227443609022558</v>
      </c>
      <c r="N107" s="11">
        <v>2.6869999999999998</v>
      </c>
      <c r="O107" s="22">
        <f t="shared" si="9"/>
        <v>0.36425563909774406</v>
      </c>
      <c r="P107" s="23">
        <f t="shared" si="5"/>
        <v>5.0929599999999997</v>
      </c>
      <c r="Q107" s="11">
        <v>2.847</v>
      </c>
      <c r="R107" s="24">
        <f t="shared" si="10"/>
        <v>2.2459599999999997</v>
      </c>
      <c r="S107" s="23">
        <f>[4]Prices!$D628</f>
        <v>67.012631578947364</v>
      </c>
      <c r="T107" s="1">
        <f>'[5]Monthly Prices'!$N268</f>
        <v>63.921052631578945</v>
      </c>
      <c r="U107" s="25"/>
      <c r="V107" s="25"/>
      <c r="W107" s="25"/>
      <c r="X107" s="12">
        <v>99.01</v>
      </c>
      <c r="Y107" s="11">
        <v>70.28</v>
      </c>
      <c r="Z107" s="11">
        <v>64.61</v>
      </c>
      <c r="AA107" s="11">
        <v>61.11</v>
      </c>
      <c r="AB107" s="11">
        <v>73.760000000000005</v>
      </c>
      <c r="AC107" s="11">
        <v>63.92</v>
      </c>
      <c r="AD107" s="11">
        <v>57</v>
      </c>
    </row>
    <row r="108" spans="1:30" x14ac:dyDescent="0.2">
      <c r="A108" s="17">
        <v>44621</v>
      </c>
      <c r="B108" s="18">
        <f t="shared" si="6"/>
        <v>3</v>
      </c>
      <c r="C108" s="18">
        <f t="shared" si="7"/>
        <v>1</v>
      </c>
      <c r="D108" s="11">
        <f t="shared" si="8"/>
        <v>2022</v>
      </c>
      <c r="E108" s="19"/>
      <c r="F108" s="1">
        <f>AVERAGEIFS('Daily Prices'!$F$4:$F$3000,'Daily Prices'!$G$4:$G$3000,Monthly!$B108,'Daily Prices'!$H$4:$H$3000,Monthly!$D108)</f>
        <v>125.89130434782609</v>
      </c>
      <c r="H108" s="13">
        <v>124.09</v>
      </c>
      <c r="I108" s="19"/>
      <c r="J108" s="1">
        <f>AVERAGEIFS('RIN Daily Prices'!$F$4:$F$2925,'RIN Daily Prices'!$B$4:$B$2925,Monthly!$D108,'RIN Daily Prices'!$A$4:$A$2925,Monthly!$B108)</f>
        <v>148.36956521739131</v>
      </c>
      <c r="K108" s="1">
        <f>AVERAGEIFS('RIN Daily Prices'!$H$4:$H$2925,'RIN Daily Prices'!$B$4:$B$2925,Monthly!$D108,'RIN Daily Prices'!$A$4:$A$2925,Monthly!$B108)</f>
        <v>147.36956521739131</v>
      </c>
      <c r="L108" s="20">
        <f>AVERAGEIFS('RIN Daily Prices'!$J$4:$J$2925,'RIN Daily Prices'!$B$4:$B$2925,Monthly!$D108,'RIN Daily Prices'!$A$4:$A$2925,Monthly!$B108)</f>
        <v>114.58695652173913</v>
      </c>
      <c r="M108" s="21">
        <f>[2]Prices!$D621/2.8</f>
        <v>2.6663043478260873</v>
      </c>
      <c r="N108" s="11">
        <v>3.2949999999999999</v>
      </c>
      <c r="O108" s="22">
        <f t="shared" si="9"/>
        <v>0.62869565217391266</v>
      </c>
      <c r="P108" s="23">
        <f t="shared" si="5"/>
        <v>5.6244956521739145</v>
      </c>
      <c r="Q108" s="11">
        <v>3.6520000000000001</v>
      </c>
      <c r="R108" s="24">
        <f t="shared" si="10"/>
        <v>1.9724956521739143</v>
      </c>
      <c r="S108" s="23">
        <f>[4]Prices!$D629</f>
        <v>74.006521739130449</v>
      </c>
      <c r="T108" s="1">
        <f>'[5]Monthly Prices'!$N269</f>
        <v>69.021739130434781</v>
      </c>
      <c r="U108" s="25"/>
      <c r="V108" s="25"/>
      <c r="W108" s="25"/>
      <c r="X108" s="12">
        <v>102.7</v>
      </c>
      <c r="Y108" s="11">
        <v>73.59</v>
      </c>
      <c r="Z108" s="11">
        <v>68.459999999999994</v>
      </c>
      <c r="AA108" s="11">
        <v>72.349999999999994</v>
      </c>
      <c r="AB108" s="11">
        <v>80.040000000000006</v>
      </c>
      <c r="AC108" s="11">
        <v>69.02</v>
      </c>
      <c r="AD108" s="11">
        <v>62.93</v>
      </c>
    </row>
    <row r="109" spans="1:30" x14ac:dyDescent="0.2">
      <c r="A109" s="17">
        <v>44652</v>
      </c>
      <c r="B109" s="18">
        <f t="shared" si="6"/>
        <v>4</v>
      </c>
      <c r="C109" s="18">
        <f t="shared" si="7"/>
        <v>2</v>
      </c>
      <c r="D109" s="11">
        <f t="shared" si="8"/>
        <v>2022</v>
      </c>
      <c r="E109" s="19"/>
      <c r="F109" s="1">
        <f>AVERAGEIFS('Daily Prices'!$F$4:$F$3000,'Daily Prices'!$G$4:$G$3000,Monthly!$B109,'Daily Prices'!$H$4:$H$3000,Monthly!$D109)</f>
        <v>117.675</v>
      </c>
      <c r="H109" s="13">
        <v>122.84</v>
      </c>
      <c r="I109" s="19"/>
      <c r="J109" s="1">
        <f>AVERAGEIFS('RIN Daily Prices'!$F$4:$F$2925,'RIN Daily Prices'!$B$4:$B$2925,Monthly!$D109,'RIN Daily Prices'!$A$4:$A$2925,Monthly!$B109)</f>
        <v>166.66874999999999</v>
      </c>
      <c r="K109" s="1">
        <f>AVERAGEIFS('RIN Daily Prices'!$H$4:$H$2925,'RIN Daily Prices'!$B$4:$B$2925,Monthly!$D109,'RIN Daily Prices'!$A$4:$A$2925,Monthly!$B109)</f>
        <v>165.41874999999999</v>
      </c>
      <c r="L109" s="20">
        <f>AVERAGEIFS('RIN Daily Prices'!$J$4:$J$2925,'RIN Daily Prices'!$B$4:$B$2925,Monthly!$D109,'RIN Daily Prices'!$A$4:$A$2925,Monthly!$B109)</f>
        <v>128.70625000000001</v>
      </c>
      <c r="M109" s="21">
        <f>[2]Prices!$D622/2.8</f>
        <v>2.8073660714285715</v>
      </c>
      <c r="N109" s="11">
        <v>3.2559999999999998</v>
      </c>
      <c r="O109" s="22">
        <f t="shared" si="9"/>
        <v>0.44863392857142825</v>
      </c>
      <c r="P109" s="23">
        <f t="shared" si="5"/>
        <v>6.0193520000000005</v>
      </c>
      <c r="Q109" s="11">
        <v>3.87</v>
      </c>
      <c r="R109" s="24">
        <f t="shared" si="10"/>
        <v>2.1493520000000004</v>
      </c>
      <c r="S109" s="23">
        <f>[4]Prices!$D630</f>
        <v>79.201999999999998</v>
      </c>
      <c r="T109" s="1">
        <f>'[5]Monthly Prices'!$N270</f>
        <v>70.650000000000006</v>
      </c>
      <c r="U109" s="25"/>
      <c r="V109" s="25"/>
      <c r="W109" s="25"/>
      <c r="X109" s="12">
        <v>109.15</v>
      </c>
      <c r="Y109" s="11">
        <v>74.33</v>
      </c>
      <c r="Z109" s="11">
        <v>66.459999999999994</v>
      </c>
      <c r="AA109" s="11">
        <v>73.709999999999994</v>
      </c>
      <c r="AB109" s="11">
        <v>78.73</v>
      </c>
      <c r="AC109" s="11">
        <v>70.650000000000006</v>
      </c>
      <c r="AD109" s="11">
        <v>60.53</v>
      </c>
    </row>
    <row r="110" spans="1:30" x14ac:dyDescent="0.2">
      <c r="A110" s="17">
        <v>44682</v>
      </c>
      <c r="B110" s="18">
        <f t="shared" si="6"/>
        <v>5</v>
      </c>
      <c r="C110" s="18">
        <f t="shared" si="7"/>
        <v>2</v>
      </c>
      <c r="D110" s="11">
        <f t="shared" si="8"/>
        <v>2022</v>
      </c>
      <c r="E110" s="19"/>
      <c r="F110" s="1">
        <f>AVERAGEIFS('Daily Prices'!$F$4:$F$3000,'Daily Prices'!$G$4:$G$3000,Monthly!$B110,'Daily Prices'!$H$4:$H$3000,Monthly!$D110)</f>
        <v>108.58333333333333</v>
      </c>
      <c r="H110" s="13">
        <v>122.23</v>
      </c>
      <c r="I110" s="19"/>
      <c r="J110" s="1">
        <f>AVERAGEIFS('RIN Daily Prices'!$F$4:$F$2925,'RIN Daily Prices'!$B$4:$B$2925,Monthly!$D110,'RIN Daily Prices'!$A$4:$A$2925,Monthly!$B110)</f>
        <v>178.38095238095238</v>
      </c>
      <c r="K110" s="1">
        <f>AVERAGEIFS('RIN Daily Prices'!$H$4:$H$2925,'RIN Daily Prices'!$B$4:$B$2925,Monthly!$D110,'RIN Daily Prices'!$A$4:$A$2925,Monthly!$B110)</f>
        <v>177.26190476190476</v>
      </c>
      <c r="L110" s="20">
        <f>AVERAGEIFS('RIN Daily Prices'!$J$4:$J$2925,'RIN Daily Prices'!$B$4:$B$2925,Monthly!$D110,'RIN Daily Prices'!$A$4:$A$2925,Monthly!$B110)</f>
        <v>153.20238095238096</v>
      </c>
      <c r="M110" s="21">
        <f>[2]Prices!$D623/2.8</f>
        <v>2.7995323129251704</v>
      </c>
      <c r="N110" s="11">
        <v>3.7839999999999998</v>
      </c>
      <c r="O110" s="22">
        <f t="shared" si="9"/>
        <v>0.98446768707482946</v>
      </c>
      <c r="P110" s="23">
        <f t="shared" si="5"/>
        <v>6.1563619047619049</v>
      </c>
      <c r="Q110" s="11">
        <v>3.9249999999999998</v>
      </c>
      <c r="R110" s="24">
        <f t="shared" si="10"/>
        <v>2.2313619047619051</v>
      </c>
      <c r="S110" s="23">
        <f>[4]Prices!$D631</f>
        <v>81.004761904761907</v>
      </c>
      <c r="T110" s="1">
        <f>'[5]Monthly Prices'!$N271</f>
        <v>70.5</v>
      </c>
      <c r="U110" s="25"/>
      <c r="V110" s="25"/>
      <c r="W110" s="25"/>
      <c r="X110" s="12">
        <v>114.86</v>
      </c>
      <c r="Y110" s="11">
        <v>80</v>
      </c>
      <c r="Z110" s="11">
        <v>71.349999999999994</v>
      </c>
      <c r="AA110" s="11">
        <v>75.48</v>
      </c>
      <c r="AB110" s="11">
        <v>80.11</v>
      </c>
      <c r="AC110" s="11">
        <v>70.5</v>
      </c>
      <c r="AD110" s="11">
        <v>62.5</v>
      </c>
    </row>
    <row r="111" spans="1:30" x14ac:dyDescent="0.2">
      <c r="A111" s="17">
        <v>44713</v>
      </c>
      <c r="B111" s="18">
        <f t="shared" si="6"/>
        <v>6</v>
      </c>
      <c r="C111" s="18">
        <f t="shared" si="7"/>
        <v>2</v>
      </c>
      <c r="D111" s="11">
        <f t="shared" si="8"/>
        <v>2022</v>
      </c>
      <c r="E111" s="19"/>
      <c r="F111" s="1">
        <f>AVERAGEIFS('Daily Prices'!$F$4:$F$3000,'Daily Prices'!$G$4:$G$3000,Monthly!$B111,'Daily Prices'!$H$4:$H$3000,Monthly!$D111)</f>
        <v>88.523809523809518</v>
      </c>
      <c r="H111" s="13">
        <v>115.95</v>
      </c>
      <c r="I111" s="19"/>
      <c r="J111" s="1">
        <f>AVERAGEIFS('RIN Daily Prices'!$F$4:$F$2925,'RIN Daily Prices'!$B$4:$B$2925,Monthly!$D111,'RIN Daily Prices'!$A$4:$A$2925,Monthly!$B111)</f>
        <v>163.25</v>
      </c>
      <c r="K111" s="1">
        <f>AVERAGEIFS('RIN Daily Prices'!$H$4:$H$2925,'RIN Daily Prices'!$B$4:$B$2925,Monthly!$D111,'RIN Daily Prices'!$A$4:$A$2925,Monthly!$B111)</f>
        <v>162.26190476190476</v>
      </c>
      <c r="L111" s="20">
        <f>AVERAGEIFS('RIN Daily Prices'!$J$4:$J$2925,'RIN Daily Prices'!$B$4:$B$2925,Monthly!$D111,'RIN Daily Prices'!$A$4:$A$2925,Monthly!$B111)</f>
        <v>152.1904761904762</v>
      </c>
      <c r="M111" s="21">
        <f>[2]Prices!$D624/2.8</f>
        <v>2.7085884353741498</v>
      </c>
      <c r="N111" s="11">
        <v>3.9870000000000001</v>
      </c>
      <c r="O111" s="22">
        <f t="shared" si="9"/>
        <v>1.2784115646258503</v>
      </c>
      <c r="P111" s="23">
        <f t="shared" si="5"/>
        <v>5.8010799999999998</v>
      </c>
      <c r="Q111" s="11">
        <v>4.3029999999999999</v>
      </c>
      <c r="R111" s="24">
        <f t="shared" si="10"/>
        <v>1.4980799999999999</v>
      </c>
      <c r="S111" s="23">
        <f>[4]Prices!$D632</f>
        <v>76.33</v>
      </c>
      <c r="T111" s="1">
        <f>'[5]Monthly Prices'!$N272</f>
        <v>71.785714285714292</v>
      </c>
      <c r="U111" s="25"/>
      <c r="V111" s="25"/>
      <c r="W111" s="25"/>
      <c r="X111" s="12">
        <v>111.33</v>
      </c>
      <c r="Y111" s="11">
        <v>80.95</v>
      </c>
      <c r="Z111" s="11">
        <v>72.67</v>
      </c>
      <c r="AA111" s="11">
        <v>79.739999999999995</v>
      </c>
      <c r="AB111" s="11">
        <v>74.27</v>
      </c>
      <c r="AC111" s="11">
        <v>71.790000000000006</v>
      </c>
      <c r="AD111" s="11">
        <v>62.36</v>
      </c>
    </row>
    <row r="112" spans="1:30" x14ac:dyDescent="0.2">
      <c r="A112" s="17">
        <v>44743</v>
      </c>
      <c r="B112" s="18">
        <f t="shared" si="6"/>
        <v>7</v>
      </c>
      <c r="C112" s="18">
        <f t="shared" si="7"/>
        <v>3</v>
      </c>
      <c r="D112" s="11">
        <f t="shared" si="8"/>
        <v>2022</v>
      </c>
      <c r="E112" s="19"/>
      <c r="F112" s="1">
        <f>AVERAGEIFS('Daily Prices'!$F$4:$F$3000,'Daily Prices'!$G$4:$G$3000,Monthly!$B112,'Daily Prices'!$H$4:$H$3000,Monthly!$D112)</f>
        <v>92.987499999999997</v>
      </c>
      <c r="H112" s="13">
        <v>117.44</v>
      </c>
      <c r="I112" s="19"/>
      <c r="J112" s="1">
        <f>AVERAGEIFS('RIN Daily Prices'!$F$4:$F$2925,'RIN Daily Prices'!$B$4:$B$2925,Monthly!$D112,'RIN Daily Prices'!$A$4:$A$2925,Monthly!$B112)</f>
        <v>161.42500000000001</v>
      </c>
      <c r="K112" s="1">
        <f>AVERAGEIFS('RIN Daily Prices'!$H$4:$H$2925,'RIN Daily Prices'!$B$4:$B$2925,Monthly!$D112,'RIN Daily Prices'!$A$4:$A$2925,Monthly!$B112)</f>
        <v>160.42500000000001</v>
      </c>
      <c r="L112" s="20">
        <f>AVERAGEIFS('RIN Daily Prices'!$J$4:$J$2925,'RIN Daily Prices'!$B$4:$B$2925,Monthly!$D112,'RIN Daily Prices'!$A$4:$A$2925,Monthly!$B112)</f>
        <v>149.8125</v>
      </c>
      <c r="M112" s="21">
        <f>[2]Prices!$D625/2.8</f>
        <v>2.1507142857142858</v>
      </c>
      <c r="N112" s="11">
        <v>3.3410000000000002</v>
      </c>
      <c r="O112" s="22">
        <f t="shared" si="9"/>
        <v>1.1902857142857144</v>
      </c>
      <c r="P112" s="23">
        <f t="shared" si="5"/>
        <v>4.6662479999999995</v>
      </c>
      <c r="Q112" s="11">
        <v>3.64</v>
      </c>
      <c r="R112" s="24">
        <f t="shared" si="10"/>
        <v>1.0262479999999994</v>
      </c>
      <c r="S112" s="23">
        <f>[4]Prices!$D633</f>
        <v>61.398000000000003</v>
      </c>
      <c r="T112" s="1">
        <f>'[5]Monthly Prices'!$N273</f>
        <v>70.137500000000003</v>
      </c>
      <c r="U112" s="25"/>
      <c r="V112" s="25"/>
      <c r="W112" s="25"/>
      <c r="X112" s="12">
        <v>96.4</v>
      </c>
      <c r="Y112" s="11">
        <v>78.45</v>
      </c>
      <c r="Z112" s="11">
        <v>64.48</v>
      </c>
      <c r="AA112" s="11">
        <v>76.98</v>
      </c>
      <c r="AB112" s="11">
        <v>65.05</v>
      </c>
      <c r="AC112" s="11">
        <v>70.14</v>
      </c>
      <c r="AD112" s="11">
        <v>57.63</v>
      </c>
    </row>
    <row r="113" spans="1:30" x14ac:dyDescent="0.2">
      <c r="A113" s="17">
        <v>44774</v>
      </c>
      <c r="B113" s="18">
        <f t="shared" si="6"/>
        <v>8</v>
      </c>
      <c r="C113" s="18">
        <f t="shared" si="7"/>
        <v>3</v>
      </c>
      <c r="D113" s="11">
        <f t="shared" si="8"/>
        <v>2022</v>
      </c>
      <c r="E113" s="19"/>
      <c r="F113" s="1">
        <f>AVERAGEIFS('Daily Prices'!$F$4:$F$3000,'Daily Prices'!$G$4:$G$3000,Monthly!$B113,'Daily Prices'!$H$4:$H$3000,Monthly!$D113)</f>
        <v>87.956521739130437</v>
      </c>
      <c r="H113" s="13">
        <v>110.83</v>
      </c>
      <c r="I113" s="19"/>
      <c r="J113" s="1">
        <f>AVERAGEIFS('RIN Daily Prices'!$F$4:$F$2925,'RIN Daily Prices'!$B$4:$B$2925,Monthly!$D113,'RIN Daily Prices'!$A$4:$A$2925,Monthly!$B113)</f>
        <v>176.58695652173913</v>
      </c>
      <c r="K113" s="1">
        <f>AVERAGEIFS('RIN Daily Prices'!$H$4:$H$2925,'RIN Daily Prices'!$B$4:$B$2925,Monthly!$D113,'RIN Daily Prices'!$A$4:$A$2925,Monthly!$B113)</f>
        <v>175.58695652173913</v>
      </c>
      <c r="L113" s="20">
        <f>AVERAGEIFS('RIN Daily Prices'!$J$4:$J$2925,'RIN Daily Prices'!$B$4:$B$2925,Monthly!$D113,'RIN Daily Prices'!$A$4:$A$2925,Monthly!$B113)</f>
        <v>162.25</v>
      </c>
      <c r="M113" s="21">
        <f>[2]Prices!$D626/2.8</f>
        <v>2.2574145962732919</v>
      </c>
      <c r="N113" s="11">
        <v>2.911</v>
      </c>
      <c r="O113" s="22">
        <f t="shared" si="9"/>
        <v>0.65358540372670815</v>
      </c>
      <c r="P113" s="23">
        <f t="shared" si="5"/>
        <v>5.1290086956521721</v>
      </c>
      <c r="Q113" s="11">
        <v>3.593</v>
      </c>
      <c r="R113" s="24">
        <f t="shared" si="10"/>
        <v>1.5360086956521721</v>
      </c>
      <c r="S113" s="23">
        <f>[4]Prices!$D634</f>
        <v>67.486956521739117</v>
      </c>
      <c r="T113" s="1">
        <f>'[5]Monthly Prices'!$N274</f>
        <v>67.673913043478265</v>
      </c>
      <c r="U113" s="25"/>
      <c r="V113" s="25"/>
      <c r="W113" s="25"/>
      <c r="X113" s="12">
        <v>97.35</v>
      </c>
      <c r="Y113" s="11">
        <v>80</v>
      </c>
      <c r="Z113" s="11">
        <v>66.78</v>
      </c>
      <c r="AA113" s="11">
        <v>70.62</v>
      </c>
      <c r="AB113" s="11">
        <v>71.83</v>
      </c>
      <c r="AC113" s="11">
        <v>67.67</v>
      </c>
      <c r="AD113" s="11">
        <v>55.75</v>
      </c>
    </row>
    <row r="114" spans="1:30" x14ac:dyDescent="0.2">
      <c r="A114" s="17">
        <v>44805</v>
      </c>
      <c r="B114" s="18">
        <f t="shared" si="6"/>
        <v>9</v>
      </c>
      <c r="C114" s="18">
        <f t="shared" si="7"/>
        <v>3</v>
      </c>
      <c r="D114" s="11">
        <f t="shared" si="8"/>
        <v>2022</v>
      </c>
      <c r="E114" s="19"/>
      <c r="F114" s="1">
        <f>AVERAGEIFS('Daily Prices'!$F$4:$F$3000,'Daily Prices'!$G$4:$G$3000,Monthly!$B114,'Daily Prices'!$H$4:$H$3000,Monthly!$D114)</f>
        <v>77.30952380952381</v>
      </c>
      <c r="H114" s="13">
        <v>114.74</v>
      </c>
      <c r="I114" s="19"/>
      <c r="J114" s="1">
        <f>AVERAGEIFS('RIN Daily Prices'!$F$4:$F$2925,'RIN Daily Prices'!$B$4:$B$2925,Monthly!$D114,'RIN Daily Prices'!$A$4:$A$2925,Monthly!$B114)</f>
        <v>174.8154761904762</v>
      </c>
      <c r="K114" s="1">
        <f>AVERAGEIFS('RIN Daily Prices'!$H$4:$H$2925,'RIN Daily Prices'!$B$4:$B$2925,Monthly!$D114,'RIN Daily Prices'!$A$4:$A$2925,Monthly!$B114)</f>
        <v>173.8154761904762</v>
      </c>
      <c r="L114" s="20">
        <f>AVERAGEIFS('RIN Daily Prices'!$J$4:$J$2925,'RIN Daily Prices'!$B$4:$B$2925,Monthly!$D114,'RIN Daily Prices'!$A$4:$A$2925,Monthly!$B114)</f>
        <v>161.8154761904762</v>
      </c>
      <c r="M114" s="21">
        <f>[2]Prices!$D627/2.8</f>
        <v>2.4187074829931974</v>
      </c>
      <c r="N114" s="11">
        <v>2.4470000000000001</v>
      </c>
      <c r="O114" s="22">
        <f t="shared" si="9"/>
        <v>2.8292517006802687E-2</v>
      </c>
      <c r="P114" s="23">
        <f t="shared" si="5"/>
        <v>5.082373333333333</v>
      </c>
      <c r="Q114" s="11">
        <v>3.41</v>
      </c>
      <c r="R114" s="24">
        <f t="shared" si="10"/>
        <v>1.6723733333333328</v>
      </c>
      <c r="S114" s="23">
        <f>[4]Prices!$D635</f>
        <v>66.873333333333335</v>
      </c>
      <c r="T114" s="1">
        <f>'[5]Monthly Prices'!$N275</f>
        <v>66.321428571428569</v>
      </c>
      <c r="U114" s="25"/>
      <c r="V114" s="25"/>
      <c r="W114" s="25"/>
      <c r="X114" s="12">
        <v>90.59</v>
      </c>
      <c r="Y114" s="11">
        <v>76.67</v>
      </c>
      <c r="Z114" s="11">
        <v>69.73</v>
      </c>
      <c r="AA114" s="11">
        <v>69.88</v>
      </c>
      <c r="AB114" s="11">
        <v>72.45</v>
      </c>
      <c r="AC114" s="11">
        <v>66.319999999999993</v>
      </c>
      <c r="AD114" s="11">
        <v>54.5</v>
      </c>
    </row>
    <row r="115" spans="1:30" x14ac:dyDescent="0.2">
      <c r="A115" s="17">
        <v>44835</v>
      </c>
      <c r="B115" s="18">
        <f t="shared" si="6"/>
        <v>10</v>
      </c>
      <c r="C115" s="18">
        <f t="shared" si="7"/>
        <v>4</v>
      </c>
      <c r="D115" s="11">
        <f t="shared" si="8"/>
        <v>2022</v>
      </c>
      <c r="E115" s="19"/>
      <c r="F115" s="1">
        <f>AVERAGEIFS('Daily Prices'!$F$4:$F$3000,'Daily Prices'!$G$4:$G$3000,Monthly!$B115,'Daily Prices'!$H$4:$H$3000,Monthly!$D115)</f>
        <v>66.142857142857139</v>
      </c>
      <c r="H115" s="13">
        <v>115.55</v>
      </c>
      <c r="I115" s="19"/>
      <c r="J115" s="1">
        <f>AVERAGEIFS('RIN Daily Prices'!$F$4:$F$2925,'RIN Daily Prices'!$B$4:$B$2925,Monthly!$D115,'RIN Daily Prices'!$A$4:$A$2925,Monthly!$B115)</f>
        <v>181.3095238095238</v>
      </c>
      <c r="K115" s="1">
        <f>AVERAGEIFS('RIN Daily Prices'!$H$4:$H$2925,'RIN Daily Prices'!$B$4:$B$2925,Monthly!$D115,'RIN Daily Prices'!$A$4:$A$2925,Monthly!$B115)</f>
        <v>180.3095238095238</v>
      </c>
      <c r="L115" s="20">
        <f>AVERAGEIFS('RIN Daily Prices'!$J$4:$J$2925,'RIN Daily Prices'!$B$4:$B$2925,Monthly!$D115,'RIN Daily Prices'!$A$4:$A$2925,Monthly!$B115)</f>
        <v>162.4345238095238</v>
      </c>
      <c r="M115" s="21">
        <f>[2]Prices!$D628/2.8</f>
        <v>2.4483843537414969</v>
      </c>
      <c r="N115" s="11">
        <v>2.7080000000000002</v>
      </c>
      <c r="O115" s="22">
        <f t="shared" si="9"/>
        <v>0.25961564625850331</v>
      </c>
      <c r="P115" s="23">
        <f t="shared" si="5"/>
        <v>5.2055657142857141</v>
      </c>
      <c r="Q115" s="11">
        <v>3.952</v>
      </c>
      <c r="R115" s="24">
        <f t="shared" si="10"/>
        <v>1.2535657142857142</v>
      </c>
      <c r="S115" s="23">
        <f>[4]Prices!$D636</f>
        <v>68.494285714285709</v>
      </c>
      <c r="T115" s="1">
        <f>'[5]Monthly Prices'!$N276</f>
        <v>65.5</v>
      </c>
      <c r="U115" s="25"/>
      <c r="V115" s="25"/>
      <c r="W115" s="25"/>
      <c r="X115" s="12">
        <v>88.14</v>
      </c>
      <c r="Y115" s="11">
        <v>74</v>
      </c>
      <c r="Z115" s="11">
        <v>66.86</v>
      </c>
      <c r="AA115" s="11">
        <v>66.52</v>
      </c>
      <c r="AB115" s="11">
        <v>74.14</v>
      </c>
      <c r="AC115" s="11">
        <v>65.5</v>
      </c>
      <c r="AD115" s="11">
        <v>54.5</v>
      </c>
    </row>
    <row r="116" spans="1:30" x14ac:dyDescent="0.2">
      <c r="A116" s="17">
        <v>44866</v>
      </c>
      <c r="B116" s="18">
        <f t="shared" si="6"/>
        <v>11</v>
      </c>
      <c r="C116" s="18">
        <f t="shared" si="7"/>
        <v>4</v>
      </c>
      <c r="D116" s="11">
        <f t="shared" si="8"/>
        <v>2022</v>
      </c>
      <c r="E116" s="19"/>
      <c r="F116" s="1">
        <f>AVERAGEIFS('Daily Prices'!$F$4:$F$3000,'Daily Prices'!$G$4:$G$3000,Monthly!$B116,'Daily Prices'!$H$4:$H$3000,Monthly!$D116)</f>
        <v>63.287500000000001</v>
      </c>
      <c r="H116" s="13">
        <v>117.8</v>
      </c>
      <c r="I116" s="19"/>
      <c r="J116" s="1">
        <f>AVERAGEIFS('RIN Daily Prices'!$F$4:$F$2925,'RIN Daily Prices'!$B$4:$B$2925,Monthly!$D116,'RIN Daily Prices'!$A$4:$A$2925,Monthly!$B116)</f>
        <v>191.47499999999999</v>
      </c>
      <c r="K116" s="1">
        <f>AVERAGEIFS('RIN Daily Prices'!$H$4:$H$2925,'RIN Daily Prices'!$B$4:$B$2925,Monthly!$D116,'RIN Daily Prices'!$A$4:$A$2925,Monthly!$B116)</f>
        <v>190.47499999999999</v>
      </c>
      <c r="L116" s="20">
        <f>AVERAGEIFS('RIN Daily Prices'!$J$4:$J$2925,'RIN Daily Prices'!$B$4:$B$2925,Monthly!$D116,'RIN Daily Prices'!$A$4:$A$2925,Monthly!$B116)</f>
        <v>177.98750000000001</v>
      </c>
      <c r="M116" s="21">
        <f>[2]Prices!$D629/2.8</f>
        <v>2.3865646258503403</v>
      </c>
      <c r="N116" s="11">
        <v>2.5249999999999999</v>
      </c>
      <c r="O116" s="22">
        <f t="shared" si="9"/>
        <v>0.13843537414965956</v>
      </c>
      <c r="P116" s="23">
        <f t="shared" si="5"/>
        <v>5.6975752380952382</v>
      </c>
      <c r="Q116" s="11">
        <v>3.5569999999999999</v>
      </c>
      <c r="R116" s="24">
        <f t="shared" si="10"/>
        <v>2.1405752380952383</v>
      </c>
      <c r="S116" s="23">
        <f>[4]Prices!$D637</f>
        <v>74.968095238095245</v>
      </c>
      <c r="T116" s="1">
        <f>'[5]Monthly Prices'!$N277</f>
        <v>67</v>
      </c>
      <c r="U116" s="25"/>
      <c r="V116" s="25"/>
      <c r="W116" s="25"/>
      <c r="X116" s="12">
        <v>93.08</v>
      </c>
      <c r="Y116" s="11">
        <v>74</v>
      </c>
      <c r="Z116" s="11">
        <v>67.239999999999995</v>
      </c>
      <c r="AA116" s="11">
        <v>67.75</v>
      </c>
      <c r="AB116" s="11">
        <v>77.459999999999994</v>
      </c>
      <c r="AC116" s="11">
        <v>67</v>
      </c>
      <c r="AD116" s="11">
        <v>54.95</v>
      </c>
    </row>
    <row r="117" spans="1:30" x14ac:dyDescent="0.2">
      <c r="A117" s="17">
        <v>44896</v>
      </c>
      <c r="B117" s="18">
        <f t="shared" si="6"/>
        <v>12</v>
      </c>
      <c r="C117" s="18">
        <f t="shared" si="7"/>
        <v>4</v>
      </c>
      <c r="D117" s="11">
        <f t="shared" si="8"/>
        <v>2022</v>
      </c>
      <c r="E117" s="19"/>
      <c r="F117" s="1">
        <f>AVERAGEIFS('Daily Prices'!$F$4:$F$3000,'Daily Prices'!$G$4:$G$3000,Monthly!$B117,'Daily Prices'!$H$4:$H$3000,Monthly!$D117)</f>
        <v>66.88095238095238</v>
      </c>
      <c r="H117" s="13">
        <v>118.02</v>
      </c>
      <c r="I117" s="19"/>
      <c r="J117" s="1">
        <f>AVERAGEIFS('RIN Daily Prices'!$F$4:$F$2925,'RIN Daily Prices'!$B$4:$B$2925,Monthly!$D117,'RIN Daily Prices'!$A$4:$A$2925,Monthly!$B117)</f>
        <v>173.02380952380952</v>
      </c>
      <c r="K117" s="1">
        <f>AVERAGEIFS('RIN Daily Prices'!$H$4:$H$2925,'RIN Daily Prices'!$B$4:$B$2925,Monthly!$D117,'RIN Daily Prices'!$A$4:$A$2925,Monthly!$B117)</f>
        <v>172.02380952380952</v>
      </c>
      <c r="L117" s="20">
        <f>AVERAGEIFS('RIN Daily Prices'!$J$4:$J$2925,'RIN Daily Prices'!$B$4:$B$2925,Monthly!$D117,'RIN Daily Prices'!$A$4:$A$2925,Monthly!$B117)</f>
        <v>160.625</v>
      </c>
      <c r="M117" s="21">
        <f>[2]Prices!$D630/2.8</f>
        <v>2.3436224489795916</v>
      </c>
      <c r="N117" s="11">
        <v>2.2280000000000002</v>
      </c>
      <c r="O117" s="22">
        <f t="shared" si="9"/>
        <v>-0.1156224489795914</v>
      </c>
      <c r="P117" s="23">
        <f t="shared" si="5"/>
        <v>4.8794895238095242</v>
      </c>
      <c r="Q117" s="11">
        <v>3.1240000000000001</v>
      </c>
      <c r="R117" s="24">
        <f t="shared" si="10"/>
        <v>1.7554895238095241</v>
      </c>
      <c r="S117" s="23">
        <f>[4]Prices!$D638</f>
        <v>64.203809523809525</v>
      </c>
      <c r="T117" s="1">
        <f>'[5]Monthly Prices'!$N278</f>
        <v>66.452380952380949</v>
      </c>
      <c r="U117" s="25"/>
      <c r="V117" s="25"/>
      <c r="W117" s="25"/>
      <c r="X117" s="12">
        <v>82.2</v>
      </c>
      <c r="Y117" s="11">
        <v>68.67</v>
      </c>
      <c r="Z117" s="11">
        <v>64.430000000000007</v>
      </c>
      <c r="AA117" s="11">
        <v>70.260000000000005</v>
      </c>
      <c r="AB117" s="11">
        <v>67.92</v>
      </c>
      <c r="AC117" s="11">
        <v>66.45</v>
      </c>
      <c r="AD117" s="11">
        <v>54.48</v>
      </c>
    </row>
    <row r="118" spans="1:30" x14ac:dyDescent="0.2">
      <c r="A118" s="17">
        <v>44927</v>
      </c>
      <c r="B118" s="18">
        <f t="shared" si="6"/>
        <v>1</v>
      </c>
      <c r="C118" s="18">
        <f t="shared" si="7"/>
        <v>1</v>
      </c>
      <c r="D118" s="11">
        <f t="shared" si="8"/>
        <v>2023</v>
      </c>
      <c r="E118" s="19"/>
      <c r="F118" s="1">
        <f>AVERAGEIFS('Daily Prices'!$F$4:$F$3000,'Daily Prices'!$G$4:$G$3000,Monthly!$B118,'Daily Prices'!$H$4:$H$3000,Monthly!$D118)</f>
        <v>64.5625</v>
      </c>
      <c r="H118" s="13">
        <v>116.98</v>
      </c>
      <c r="I118" s="19"/>
      <c r="J118" s="1">
        <f>AVERAGEIFS('RIN Daily Prices'!$F$4:$F$2925,'RIN Daily Prices'!$B$4:$B$2925,Monthly!$D118,'RIN Daily Prices'!$A$4:$A$2925,Monthly!$B118)</f>
        <v>169.125</v>
      </c>
      <c r="K118" s="1">
        <f>AVERAGEIFS('RIN Daily Prices'!$H$4:$H$2925,'RIN Daily Prices'!$B$4:$B$2925,Monthly!$D118,'RIN Daily Prices'!$A$4:$A$2925,Monthly!$B118)</f>
        <v>168.47499999999999</v>
      </c>
      <c r="L118" s="20">
        <f>AVERAGEIFS('RIN Daily Prices'!$J$4:$J$2925,'RIN Daily Prices'!$B$4:$B$2925,Monthly!$D118,'RIN Daily Prices'!$A$4:$A$2925,Monthly!$B118)</f>
        <v>166.33750000000001</v>
      </c>
      <c r="M118" s="21">
        <f>[2]Prices!$D631/2.8</f>
        <v>2.3942410714285716</v>
      </c>
      <c r="N118" s="11">
        <v>2.4849999999999999</v>
      </c>
      <c r="O118" s="22">
        <f t="shared" si="9"/>
        <v>9.075892857142831E-2</v>
      </c>
      <c r="P118" s="23">
        <f t="shared" si="5"/>
        <v>4.7411839999999996</v>
      </c>
      <c r="Q118" s="11">
        <v>3.2280000000000002</v>
      </c>
      <c r="R118" s="24">
        <f t="shared" si="10"/>
        <v>1.5131839999999994</v>
      </c>
      <c r="S118" s="23">
        <f>[4]Prices!$D639</f>
        <v>62.383999999999993</v>
      </c>
      <c r="T118" s="1">
        <f>'[5]Monthly Prices'!$N279</f>
        <v>63.9</v>
      </c>
      <c r="U118" s="25"/>
      <c r="V118" s="25"/>
      <c r="W118" s="25"/>
      <c r="X118" s="12">
        <v>80.38</v>
      </c>
      <c r="Y118" s="11">
        <v>66.900000000000006</v>
      </c>
      <c r="Z118" s="11">
        <v>61.73</v>
      </c>
      <c r="AA118" s="11">
        <v>69.5</v>
      </c>
      <c r="AB118" s="11">
        <v>66.39</v>
      </c>
      <c r="AC118" s="11">
        <v>63.9</v>
      </c>
      <c r="AD118" s="11">
        <v>52.8</v>
      </c>
    </row>
    <row r="119" spans="1:30" x14ac:dyDescent="0.2">
      <c r="A119" s="17">
        <v>44958</v>
      </c>
      <c r="B119" s="18">
        <f t="shared" si="6"/>
        <v>2</v>
      </c>
      <c r="C119" s="18">
        <f t="shared" si="7"/>
        <v>1</v>
      </c>
      <c r="D119" s="11">
        <f t="shared" si="8"/>
        <v>2023</v>
      </c>
      <c r="E119" s="19"/>
      <c r="F119" s="1">
        <f>AVERAGEIFS('Daily Prices'!$F$4:$F$3000,'Daily Prices'!$G$4:$G$3000,Monthly!$B119,'Daily Prices'!$H$4:$H$3000,Monthly!$D119)</f>
        <v>63.94736842105263</v>
      </c>
      <c r="H119" s="13">
        <v>119.73</v>
      </c>
      <c r="I119" s="19"/>
      <c r="J119" s="1">
        <f>AVERAGEIFS('RIN Daily Prices'!$F$4:$F$2925,'RIN Daily Prices'!$B$4:$B$2925,Monthly!$D119,'RIN Daily Prices'!$A$4:$A$2925,Monthly!$B119)</f>
        <v>161.97368421052633</v>
      </c>
      <c r="K119" s="1">
        <f>AVERAGEIFS('RIN Daily Prices'!$H$4:$H$2925,'RIN Daily Prices'!$B$4:$B$2925,Monthly!$D119,'RIN Daily Prices'!$A$4:$A$2925,Monthly!$B119)</f>
        <v>160.97368421052633</v>
      </c>
      <c r="L119" s="20">
        <f>AVERAGEIFS('RIN Daily Prices'!$J$4:$J$2925,'RIN Daily Prices'!$B$4:$B$2925,Monthly!$D119,'RIN Daily Prices'!$A$4:$A$2925,Monthly!$B119)</f>
        <v>158.56578947368422</v>
      </c>
      <c r="M119" s="21">
        <f>[2]Prices!$D632/2.8</f>
        <v>2.3967575187969925</v>
      </c>
      <c r="N119" s="11">
        <v>2.4279999999999999</v>
      </c>
      <c r="O119" s="22">
        <f t="shared" si="9"/>
        <v>3.1242481203007433E-2</v>
      </c>
      <c r="P119" s="23">
        <f t="shared" si="5"/>
        <v>4.6195199999999996</v>
      </c>
      <c r="Q119" s="11">
        <v>2.8279999999999998</v>
      </c>
      <c r="R119" s="24">
        <f t="shared" si="10"/>
        <v>1.7915199999999998</v>
      </c>
      <c r="S119" s="23">
        <f>[4]Prices!$D640</f>
        <v>60.783157894736839</v>
      </c>
      <c r="T119" s="1">
        <f>'[5]Monthly Prices'!$N280</f>
        <v>56.631578947368418</v>
      </c>
      <c r="U119" s="25"/>
      <c r="V119" s="25"/>
      <c r="W119" s="25"/>
      <c r="X119" s="12">
        <v>76.47</v>
      </c>
      <c r="Y119" s="11">
        <v>59.29</v>
      </c>
      <c r="Z119" s="11">
        <v>54.63</v>
      </c>
      <c r="AA119" s="11">
        <v>61.71</v>
      </c>
      <c r="AB119" s="11">
        <v>56.58</v>
      </c>
      <c r="AC119" s="11">
        <v>56.63</v>
      </c>
      <c r="AD119" s="11">
        <v>50.5</v>
      </c>
    </row>
    <row r="120" spans="1:30" x14ac:dyDescent="0.2">
      <c r="A120" s="17">
        <v>44986</v>
      </c>
      <c r="B120" s="18">
        <f t="shared" si="6"/>
        <v>3</v>
      </c>
      <c r="C120" s="18">
        <f t="shared" si="7"/>
        <v>1</v>
      </c>
      <c r="D120" s="11">
        <f t="shared" si="8"/>
        <v>2023</v>
      </c>
      <c r="E120" s="19"/>
      <c r="F120" s="1">
        <f>AVERAGEIFS('Daily Prices'!$F$4:$F$3000,'Daily Prices'!$G$4:$G$3000,Monthly!$B120,'Daily Prices'!$H$4:$H$3000,Monthly!$D120)</f>
        <v>68.315217391304344</v>
      </c>
      <c r="H120" s="13">
        <v>118.85</v>
      </c>
      <c r="I120" s="19"/>
      <c r="J120" s="1">
        <f>AVERAGEIFS('RIN Daily Prices'!$F$4:$F$2925,'RIN Daily Prices'!$B$4:$B$2925,Monthly!$D120,'RIN Daily Prices'!$A$4:$A$2925,Monthly!$B120)</f>
        <v>157.40217391304347</v>
      </c>
      <c r="K120" s="1">
        <f>AVERAGEIFS('RIN Daily Prices'!$H$4:$H$2925,'RIN Daily Prices'!$B$4:$B$2925,Monthly!$D120,'RIN Daily Prices'!$A$4:$A$2925,Monthly!$B120)</f>
        <v>156.40217391304347</v>
      </c>
      <c r="L120" s="20">
        <f>AVERAGEIFS('RIN Daily Prices'!$J$4:$J$2925,'RIN Daily Prices'!$B$4:$B$2925,Monthly!$D120,'RIN Daily Prices'!$A$4:$A$2925,Monthly!$B120)</f>
        <v>153.58695652173913</v>
      </c>
      <c r="M120" s="21">
        <f>[2]Prices!$D633/2.8</f>
        <v>2.2654891304347826</v>
      </c>
      <c r="N120" s="11">
        <v>2.6280000000000001</v>
      </c>
      <c r="O120" s="22">
        <f t="shared" si="9"/>
        <v>0.3625108695652175</v>
      </c>
      <c r="P120" s="23">
        <f t="shared" si="5"/>
        <v>4.3237391304347828</v>
      </c>
      <c r="Q120" s="11">
        <v>2.7360000000000002</v>
      </c>
      <c r="R120" s="24">
        <f t="shared" si="10"/>
        <v>1.5877391304347825</v>
      </c>
      <c r="S120" s="23">
        <f>[4]Prices!$D641</f>
        <v>56.891304347826086</v>
      </c>
      <c r="T120" s="1">
        <f>'[5]Monthly Prices'!$N281</f>
        <v>44.847826086956523</v>
      </c>
      <c r="U120" s="25"/>
      <c r="V120" s="25"/>
      <c r="W120" s="25"/>
      <c r="X120" s="12">
        <v>71.8</v>
      </c>
      <c r="Y120" s="11">
        <v>53.98</v>
      </c>
      <c r="Z120" s="11">
        <v>48.43</v>
      </c>
      <c r="AA120" s="11">
        <v>61.28</v>
      </c>
      <c r="AB120" s="11">
        <v>51.49</v>
      </c>
      <c r="AC120" s="11">
        <v>44.85</v>
      </c>
      <c r="AD120" s="11">
        <v>42.9</v>
      </c>
    </row>
    <row r="121" spans="1:30" x14ac:dyDescent="0.2">
      <c r="A121" s="17">
        <v>45017</v>
      </c>
      <c r="B121" s="18">
        <f t="shared" si="6"/>
        <v>4</v>
      </c>
      <c r="C121" s="18">
        <f t="shared" si="7"/>
        <v>2</v>
      </c>
      <c r="D121" s="11">
        <f t="shared" si="8"/>
        <v>2023</v>
      </c>
      <c r="E121" s="19"/>
      <c r="F121" s="1">
        <f>AVERAGEIFS('Daily Prices'!$F$4:$F$3000,'Daily Prices'!$G$4:$G$3000,Monthly!$B121,'Daily Prices'!$H$4:$H$3000,Monthly!$D121)</f>
        <v>78.013157894736835</v>
      </c>
      <c r="H121" s="13">
        <v>121.73</v>
      </c>
      <c r="I121" s="19"/>
      <c r="J121" s="1">
        <f>AVERAGEIFS('RIN Daily Prices'!$F$4:$F$2925,'RIN Daily Prices'!$B$4:$B$2925,Monthly!$D121,'RIN Daily Prices'!$A$4:$A$2925,Monthly!$B121)</f>
        <v>156.70526315789473</v>
      </c>
      <c r="K121" s="1">
        <f>AVERAGEIFS('RIN Daily Prices'!$H$4:$H$2925,'RIN Daily Prices'!$B$4:$B$2925,Monthly!$D121,'RIN Daily Prices'!$A$4:$A$2925,Monthly!$B121)</f>
        <v>155.70526315789473</v>
      </c>
      <c r="L121" s="20">
        <f>AVERAGEIFS('RIN Daily Prices'!$J$4:$J$2925,'RIN Daily Prices'!$B$4:$B$2925,Monthly!$D121,'RIN Daily Prices'!$A$4:$A$2925,Monthly!$B121)</f>
        <v>153.875</v>
      </c>
      <c r="M121" s="21">
        <f>[2]Prices!$D634/2.8</f>
        <v>2.3388627819548873</v>
      </c>
      <c r="N121" s="11">
        <v>2.7149999999999999</v>
      </c>
      <c r="O121" s="22">
        <f t="shared" si="9"/>
        <v>0.37613721804511258</v>
      </c>
      <c r="P121" s="23">
        <f t="shared" si="5"/>
        <v>4.0977600000000001</v>
      </c>
      <c r="Q121" s="11">
        <v>2.5750000000000002</v>
      </c>
      <c r="R121" s="24">
        <f t="shared" si="10"/>
        <v>1.5227599999999999</v>
      </c>
      <c r="S121" s="23">
        <f>[4]Prices!$D642</f>
        <v>53.917894736842108</v>
      </c>
      <c r="T121" s="1">
        <f>'[5]Monthly Prices'!$N282</f>
        <v>42.368421052631582</v>
      </c>
      <c r="U121" s="25"/>
      <c r="V121" s="25"/>
      <c r="W121" s="25"/>
      <c r="X121" s="12">
        <v>68.94</v>
      </c>
      <c r="Y121" s="11">
        <v>52.37</v>
      </c>
      <c r="Z121" s="11">
        <v>48.01</v>
      </c>
      <c r="AA121" s="11">
        <v>58.83</v>
      </c>
      <c r="AB121" s="11">
        <v>53.34</v>
      </c>
      <c r="AC121" s="11">
        <v>42.37</v>
      </c>
      <c r="AD121" s="11">
        <v>41.5</v>
      </c>
    </row>
    <row r="122" spans="1:30" x14ac:dyDescent="0.2">
      <c r="A122" s="17">
        <v>45047</v>
      </c>
      <c r="B122" s="18">
        <f t="shared" si="6"/>
        <v>5</v>
      </c>
      <c r="C122" s="18">
        <f t="shared" si="7"/>
        <v>2</v>
      </c>
      <c r="D122" s="11">
        <f t="shared" si="8"/>
        <v>2023</v>
      </c>
      <c r="E122" s="19"/>
      <c r="F122" s="1">
        <f>AVERAGEIFS('Daily Prices'!$F$4:$F$3000,'Daily Prices'!$G$4:$G$3000,Monthly!$B122,'Daily Prices'!$H$4:$H$3000,Monthly!$D122)</f>
        <v>84.465909090909093</v>
      </c>
      <c r="H122" s="13">
        <v>131.04</v>
      </c>
      <c r="I122" s="19"/>
      <c r="J122" s="1">
        <f>AVERAGEIFS('RIN Daily Prices'!$F$4:$F$2925,'RIN Daily Prices'!$B$4:$B$2925,Monthly!$D122,'RIN Daily Prices'!$A$4:$A$2925,Monthly!$B122)</f>
        <v>153.39772727272728</v>
      </c>
      <c r="K122" s="1">
        <f>AVERAGEIFS('RIN Daily Prices'!$H$4:$H$2925,'RIN Daily Prices'!$B$4:$B$2925,Monthly!$D122,'RIN Daily Prices'!$A$4:$A$2925,Monthly!$B122)</f>
        <v>152.97727272727272</v>
      </c>
      <c r="L122" s="20">
        <f>AVERAGEIFS('RIN Daily Prices'!$J$4:$J$2925,'RIN Daily Prices'!$B$4:$B$2925,Monthly!$D122,'RIN Daily Prices'!$A$4:$A$2925,Monthly!$B122)</f>
        <v>150.5625</v>
      </c>
      <c r="M122" s="21">
        <f>[2]Prices!$D635/2.8</f>
        <v>2.0851033834586468</v>
      </c>
      <c r="N122" s="11">
        <v>2.5259999999999998</v>
      </c>
      <c r="O122" s="22">
        <f t="shared" si="9"/>
        <v>0.44089661654135304</v>
      </c>
      <c r="P122" s="23">
        <f t="shared" si="5"/>
        <v>3.7821745454545459</v>
      </c>
      <c r="Q122" s="11">
        <v>2.3460000000000001</v>
      </c>
      <c r="R122" s="24">
        <f t="shared" si="10"/>
        <v>1.4361745454545458</v>
      </c>
      <c r="S122" s="23">
        <f>[4]Prices!$D643</f>
        <v>49.765454545454553</v>
      </c>
      <c r="T122" s="1">
        <f>'[5]Monthly Prices'!$N283</f>
        <v>45.272727272727273</v>
      </c>
      <c r="U122" s="25"/>
      <c r="V122" s="25"/>
      <c r="W122" s="25"/>
      <c r="X122" s="12">
        <v>65.77</v>
      </c>
      <c r="Y122" s="11">
        <v>56.32</v>
      </c>
      <c r="Z122" s="11">
        <v>51.98</v>
      </c>
      <c r="AA122" s="11">
        <v>58.5</v>
      </c>
      <c r="AB122" s="11">
        <v>55.64</v>
      </c>
      <c r="AC122" s="11">
        <v>45.27</v>
      </c>
      <c r="AD122" s="11">
        <v>42.41</v>
      </c>
    </row>
    <row r="123" spans="1:30" x14ac:dyDescent="0.2">
      <c r="A123" s="17">
        <v>45078</v>
      </c>
      <c r="B123" s="18">
        <f t="shared" si="6"/>
        <v>6</v>
      </c>
      <c r="C123" s="18">
        <f t="shared" si="7"/>
        <v>2</v>
      </c>
      <c r="D123" s="11">
        <f t="shared" si="8"/>
        <v>2023</v>
      </c>
      <c r="E123" s="19"/>
      <c r="F123" s="1">
        <f>AVERAGEIFS('Daily Prices'!$F$4:$F$3000,'Daily Prices'!$G$4:$G$3000,Monthly!$B123,'Daily Prices'!$H$4:$H$3000,Monthly!$D123)</f>
        <v>80.428571428571431</v>
      </c>
      <c r="H123" s="13">
        <v>130.21</v>
      </c>
      <c r="I123" s="19"/>
      <c r="J123" s="1">
        <f>AVERAGEIFS('RIN Daily Prices'!$F$4:$F$2925,'RIN Daily Prices'!$B$4:$B$2925,Monthly!$D123,'RIN Daily Prices'!$A$4:$A$2925,Monthly!$B123)</f>
        <v>144.4702380952381</v>
      </c>
      <c r="K123" s="1">
        <f>AVERAGEIFS('RIN Daily Prices'!$H$4:$H$2925,'RIN Daily Prices'!$B$4:$B$2925,Monthly!$D123,'RIN Daily Prices'!$A$4:$A$2925,Monthly!$B123)</f>
        <v>143.57738095238096</v>
      </c>
      <c r="L123" s="20">
        <f>AVERAGEIFS('RIN Daily Prices'!$J$4:$J$2925,'RIN Daily Prices'!$B$4:$B$2925,Monthly!$D123,'RIN Daily Prices'!$A$4:$A$2925,Monthly!$B123)</f>
        <v>142.38095238095238</v>
      </c>
      <c r="M123" s="21">
        <f>[2]Prices!$D636/2.8</f>
        <v>2.1970238095238095</v>
      </c>
      <c r="N123" s="11">
        <v>2.5710000000000002</v>
      </c>
      <c r="O123" s="22">
        <f t="shared" si="9"/>
        <v>0.37397619047619068</v>
      </c>
      <c r="P123" s="23">
        <f t="shared" ref="P123:P186" si="11">S123*7.6/100</f>
        <v>4.24543238095238</v>
      </c>
      <c r="Q123" s="11">
        <v>2.4140000000000001</v>
      </c>
      <c r="R123" s="24">
        <f t="shared" si="10"/>
        <v>1.8314323809523798</v>
      </c>
      <c r="S123" s="23">
        <f>[4]Prices!$D644</f>
        <v>55.860952380952369</v>
      </c>
      <c r="T123" s="1">
        <f>'[5]Monthly Prices'!$N284</f>
        <v>50.166666666666664</v>
      </c>
      <c r="U123" s="25"/>
      <c r="V123" s="25"/>
      <c r="W123" s="25"/>
      <c r="X123" s="12">
        <v>75.459999999999994</v>
      </c>
      <c r="Y123" s="11">
        <v>58.9</v>
      </c>
      <c r="Z123" s="11">
        <v>53.3</v>
      </c>
      <c r="AA123" s="11">
        <v>58.5</v>
      </c>
      <c r="AB123" s="11">
        <v>58.75</v>
      </c>
      <c r="AC123" s="11">
        <v>50.17</v>
      </c>
      <c r="AD123" s="11">
        <v>43.55</v>
      </c>
    </row>
    <row r="124" spans="1:30" x14ac:dyDescent="0.2">
      <c r="A124" s="17">
        <v>45108</v>
      </c>
      <c r="B124" s="18">
        <f t="shared" si="6"/>
        <v>7</v>
      </c>
      <c r="C124" s="18">
        <f t="shared" si="7"/>
        <v>3</v>
      </c>
      <c r="D124" s="11">
        <f t="shared" si="8"/>
        <v>2023</v>
      </c>
      <c r="E124" s="19"/>
      <c r="F124" s="1">
        <f>AVERAGEIFS('Daily Prices'!$F$4:$F$3000,'Daily Prices'!$G$4:$G$3000,Monthly!$B124,'Daily Prices'!$H$4:$H$3000,Monthly!$D124)</f>
        <v>73.262500000000003</v>
      </c>
      <c r="H124" s="13">
        <v>137.93</v>
      </c>
      <c r="I124" s="19"/>
      <c r="J124" s="1">
        <f>AVERAGEIFS('RIN Daily Prices'!$F$4:$F$2925,'RIN Daily Prices'!$B$4:$B$2925,Monthly!$D124,'RIN Daily Prices'!$A$4:$A$2925,Monthly!$B124)</f>
        <v>155.63749999999999</v>
      </c>
      <c r="K124" s="1">
        <f>AVERAGEIFS('RIN Daily Prices'!$H$4:$H$2925,'RIN Daily Prices'!$B$4:$B$2925,Monthly!$D124,'RIN Daily Prices'!$A$4:$A$2925,Monthly!$B124)</f>
        <v>154.53749999999999</v>
      </c>
      <c r="L124" s="20">
        <f>AVERAGEIFS('RIN Daily Prices'!$J$4:$J$2925,'RIN Daily Prices'!$B$4:$B$2925,Monthly!$D124,'RIN Daily Prices'!$A$4:$A$2925,Monthly!$B124)</f>
        <v>155.02500000000001</v>
      </c>
      <c r="M124" s="21">
        <f>[2]Prices!$D637/2.8</f>
        <v>1.8496848739495799</v>
      </c>
      <c r="N124" s="11">
        <v>2.7189999999999999</v>
      </c>
      <c r="O124" s="22">
        <f t="shared" si="9"/>
        <v>0.86931512605041994</v>
      </c>
      <c r="P124" s="23">
        <f t="shared" si="11"/>
        <v>5.045639999999997</v>
      </c>
      <c r="Q124" s="11">
        <v>2.6659999999999999</v>
      </c>
      <c r="R124" s="24">
        <f t="shared" si="10"/>
        <v>2.3796399999999971</v>
      </c>
      <c r="S124" s="23">
        <f>[4]Prices!$D645</f>
        <v>66.389999999999972</v>
      </c>
      <c r="T124" s="1">
        <f>'[5]Monthly Prices'!$N285</f>
        <v>52.05</v>
      </c>
      <c r="U124" s="25"/>
      <c r="V124" s="25"/>
      <c r="W124" s="25"/>
      <c r="X124" s="12">
        <v>87.39</v>
      </c>
      <c r="Y124" s="11">
        <v>65.7</v>
      </c>
      <c r="Z124" s="11">
        <v>59.16</v>
      </c>
      <c r="AA124" s="11">
        <v>59.75</v>
      </c>
      <c r="AB124" s="11">
        <v>67.14</v>
      </c>
      <c r="AC124" s="11">
        <v>52.05</v>
      </c>
      <c r="AD124" s="11">
        <v>46.13</v>
      </c>
    </row>
    <row r="125" spans="1:30" x14ac:dyDescent="0.2">
      <c r="A125" s="17">
        <v>45139</v>
      </c>
      <c r="B125" s="18">
        <f t="shared" si="6"/>
        <v>8</v>
      </c>
      <c r="C125" s="18">
        <f t="shared" si="7"/>
        <v>3</v>
      </c>
      <c r="D125" s="11">
        <f t="shared" si="8"/>
        <v>2023</v>
      </c>
      <c r="E125" s="19">
        <f>AVERAGEIFS('Daily Prices'!$B$4:$B$3000,'Daily Prices'!$C$4:$C$3000,Monthly!$B125,'Daily Prices'!$D$4:$D$3000,Monthly!$D125)</f>
        <v>159.93333333333334</v>
      </c>
      <c r="F125" s="1">
        <f>AVERAGEIFS('Daily Prices'!$F$4:$F$3000,'Daily Prices'!$G$4:$G$3000,Monthly!$B125,'Daily Prices'!$H$4:$H$3000,Monthly!$D125)</f>
        <v>78.184782608695656</v>
      </c>
      <c r="G125" s="11">
        <v>106.66</v>
      </c>
      <c r="H125" s="13">
        <v>137.33000000000001</v>
      </c>
      <c r="I125" s="19">
        <f>AVERAGEIFS('RIN Daily Prices'!$D$4:$D$2925,'RIN Daily Prices'!$B$4:$B$2925,Monthly!$D125,'RIN Daily Prices'!$A$4:$A$2925,Monthly!$B125)</f>
        <v>294.60000000000002</v>
      </c>
      <c r="J125" s="1">
        <f>AVERAGEIFS('RIN Daily Prices'!$F$4:$F$2925,'RIN Daily Prices'!$B$4:$B$2925,Monthly!$D125,'RIN Daily Prices'!$A$4:$A$2925,Monthly!$B125)</f>
        <v>145.03260869565219</v>
      </c>
      <c r="K125" s="1">
        <f>AVERAGEIFS('RIN Daily Prices'!$H$4:$H$2925,'RIN Daily Prices'!$B$4:$B$2925,Monthly!$D125,'RIN Daily Prices'!$A$4:$A$2925,Monthly!$B125)</f>
        <v>144.07608695652175</v>
      </c>
      <c r="L125" s="20">
        <f>AVERAGEIFS('RIN Daily Prices'!$J$4:$J$2925,'RIN Daily Prices'!$B$4:$B$2925,Monthly!$D125,'RIN Daily Prices'!$A$4:$A$2925,Monthly!$B125)</f>
        <v>144.52173913043478</v>
      </c>
      <c r="M125" s="21">
        <f>[2]Prices!$D638/2.8</f>
        <v>1.6994565217391306</v>
      </c>
      <c r="N125" s="11">
        <v>2.8290000000000002</v>
      </c>
      <c r="O125" s="22">
        <f t="shared" si="9"/>
        <v>1.1295434782608695</v>
      </c>
      <c r="P125" s="23">
        <f t="shared" si="11"/>
        <v>4.9861617391304351</v>
      </c>
      <c r="Q125" s="11">
        <v>3.1150000000000002</v>
      </c>
      <c r="R125" s="24">
        <f t="shared" si="10"/>
        <v>1.8711617391304349</v>
      </c>
      <c r="S125" s="23">
        <f>[4]Prices!$D646</f>
        <v>65.607391304347829</v>
      </c>
      <c r="T125" s="1">
        <f>'[5]Monthly Prices'!$N286</f>
        <v>53</v>
      </c>
      <c r="U125" s="25"/>
      <c r="V125" s="25"/>
      <c r="W125" s="25"/>
      <c r="X125" s="12">
        <v>84.65</v>
      </c>
      <c r="Y125" s="11">
        <v>68.3</v>
      </c>
      <c r="Z125" s="11">
        <v>64.02</v>
      </c>
      <c r="AA125" s="11">
        <v>60.5</v>
      </c>
      <c r="AB125" s="11">
        <v>68.260000000000005</v>
      </c>
      <c r="AC125" s="11">
        <v>53</v>
      </c>
      <c r="AD125" s="11">
        <v>47</v>
      </c>
    </row>
    <row r="126" spans="1:30" x14ac:dyDescent="0.2">
      <c r="A126" s="17">
        <v>45170</v>
      </c>
      <c r="B126" s="18">
        <f t="shared" si="6"/>
        <v>9</v>
      </c>
      <c r="C126" s="18">
        <f t="shared" si="7"/>
        <v>3</v>
      </c>
      <c r="D126" s="11">
        <f t="shared" si="8"/>
        <v>2023</v>
      </c>
      <c r="E126" s="19">
        <f>AVERAGEIFS('Daily Prices'!$B$4:$B$3000,'Daily Prices'!$C$4:$C$3000,Monthly!$B126,'Daily Prices'!$D$4:$D$3000,Monthly!$D126)</f>
        <v>163.72499999999999</v>
      </c>
      <c r="F126" s="1">
        <f>AVERAGEIFS('Daily Prices'!$F$4:$F$3000,'Daily Prices'!$G$4:$G$3000,Monthly!$B126,'Daily Prices'!$H$4:$H$3000,Monthly!$D126)</f>
        <v>72.05</v>
      </c>
      <c r="G126" s="11">
        <v>96.26</v>
      </c>
      <c r="H126" s="13">
        <v>141.94</v>
      </c>
      <c r="I126" s="19">
        <f>AVERAGEIFS('RIN Daily Prices'!$D$4:$D$2925,'RIN Daily Prices'!$B$4:$B$2925,Monthly!$D126,'RIN Daily Prices'!$A$4:$A$2925,Monthly!$B126)</f>
        <v>295.42500000000001</v>
      </c>
      <c r="J126" s="1">
        <f>AVERAGEIFS('RIN Daily Prices'!$F$4:$F$2925,'RIN Daily Prices'!$B$4:$B$2925,Monthly!$D126,'RIN Daily Prices'!$A$4:$A$2925,Monthly!$B126)</f>
        <v>119.4</v>
      </c>
      <c r="K126" s="1">
        <f>AVERAGEIFS('RIN Daily Prices'!$H$4:$H$2925,'RIN Daily Prices'!$B$4:$B$2925,Monthly!$D126,'RIN Daily Prices'!$A$4:$A$2925,Monthly!$B126)</f>
        <v>118.4</v>
      </c>
      <c r="L126" s="20">
        <f>AVERAGEIFS('RIN Daily Prices'!$J$4:$J$2925,'RIN Daily Prices'!$B$4:$B$2925,Monthly!$D126,'RIN Daily Prices'!$A$4:$A$2925,Monthly!$B126)</f>
        <v>118.425</v>
      </c>
      <c r="M126" s="21">
        <f>[2]Prices!$D639/2.8</f>
        <v>1.7172321428571431</v>
      </c>
      <c r="N126" s="11">
        <v>2.625</v>
      </c>
      <c r="O126" s="22">
        <f t="shared" si="9"/>
        <v>0.9077678571428569</v>
      </c>
      <c r="P126" s="23">
        <f t="shared" si="11"/>
        <v>4.6600539999999988</v>
      </c>
      <c r="Q126" s="11">
        <v>3.3079999999999998</v>
      </c>
      <c r="R126" s="24">
        <f t="shared" si="10"/>
        <v>1.352053999999999</v>
      </c>
      <c r="S126" s="23">
        <f>[4]Prices!$D647</f>
        <v>61.316499999999984</v>
      </c>
      <c r="T126" s="1">
        <f>'[5]Monthly Prices'!$N287</f>
        <v>54.274999999999999</v>
      </c>
      <c r="U126" s="25"/>
      <c r="V126" s="25"/>
      <c r="W126" s="25"/>
      <c r="X126" s="12">
        <v>78.459999999999994</v>
      </c>
      <c r="Y126" s="11">
        <v>68.95</v>
      </c>
      <c r="Z126" s="11">
        <v>65.239999999999995</v>
      </c>
      <c r="AA126" s="11">
        <v>60.5</v>
      </c>
      <c r="AB126" s="11">
        <v>66.44</v>
      </c>
      <c r="AC126" s="11">
        <v>54.28</v>
      </c>
      <c r="AD126" s="11">
        <v>48.6</v>
      </c>
    </row>
    <row r="127" spans="1:30" x14ac:dyDescent="0.2">
      <c r="A127" s="17">
        <v>45200</v>
      </c>
      <c r="B127" s="18">
        <f t="shared" si="6"/>
        <v>10</v>
      </c>
      <c r="C127" s="18">
        <f t="shared" si="7"/>
        <v>4</v>
      </c>
      <c r="D127" s="11">
        <f t="shared" si="8"/>
        <v>2023</v>
      </c>
      <c r="E127" s="19">
        <f>AVERAGEIFS('Daily Prices'!$B$4:$B$3000,'Daily Prices'!$C$4:$C$3000,Monthly!$B127,'Daily Prices'!$D$4:$D$3000,Monthly!$D127)</f>
        <v>149.10227272727272</v>
      </c>
      <c r="F127" s="1">
        <f>AVERAGEIFS('Daily Prices'!$F$4:$F$3000,'Daily Prices'!$G$4:$G$3000,Monthly!$B127,'Daily Prices'!$H$4:$H$3000,Monthly!$D127)</f>
        <v>70.227272727272734</v>
      </c>
      <c r="G127" s="11">
        <v>98.12</v>
      </c>
      <c r="H127" s="13">
        <v>143.93</v>
      </c>
      <c r="I127" s="19">
        <f>AVERAGEIFS('RIN Daily Prices'!$D$4:$D$2925,'RIN Daily Prices'!$B$4:$B$2925,Monthly!$D127,'RIN Daily Prices'!$A$4:$A$2925,Monthly!$B127)</f>
        <v>332.92045454545456</v>
      </c>
      <c r="J127" s="1">
        <f>AVERAGEIFS('RIN Daily Prices'!$F$4:$F$2925,'RIN Daily Prices'!$B$4:$B$2925,Monthly!$D127,'RIN Daily Prices'!$A$4:$A$2925,Monthly!$B127)</f>
        <v>88.602272727272734</v>
      </c>
      <c r="K127" s="1">
        <f>AVERAGEIFS('RIN Daily Prices'!$H$4:$H$2925,'RIN Daily Prices'!$B$4:$B$2925,Monthly!$D127,'RIN Daily Prices'!$A$4:$A$2925,Monthly!$B127)</f>
        <v>87.772727272727266</v>
      </c>
      <c r="L127" s="20">
        <f>AVERAGEIFS('RIN Daily Prices'!$J$4:$J$2925,'RIN Daily Prices'!$B$4:$B$2925,Monthly!$D127,'RIN Daily Prices'!$A$4:$A$2925,Monthly!$B127)</f>
        <v>88.068181818181813</v>
      </c>
      <c r="M127" s="21">
        <f>[2]Prices!$D640/2.8</f>
        <v>1.7443993506493509</v>
      </c>
      <c r="N127" s="11">
        <v>2.274</v>
      </c>
      <c r="O127" s="22">
        <f t="shared" si="9"/>
        <v>0.5296006493506491</v>
      </c>
      <c r="P127" s="23">
        <f t="shared" si="11"/>
        <v>4.0939818181818195</v>
      </c>
      <c r="Q127" s="11">
        <v>3.0670000000000002</v>
      </c>
      <c r="R127" s="24">
        <f t="shared" si="10"/>
        <v>1.0269818181818193</v>
      </c>
      <c r="S127" s="23">
        <f>[4]Prices!$D648</f>
        <v>53.868181818181831</v>
      </c>
      <c r="T127" s="1">
        <f>'[5]Monthly Prices'!$N288</f>
        <v>51.227272727272727</v>
      </c>
      <c r="U127" s="25"/>
      <c r="V127" s="25"/>
      <c r="W127" s="25"/>
      <c r="X127" s="12">
        <v>70.66</v>
      </c>
      <c r="Y127" s="11">
        <v>59.43</v>
      </c>
      <c r="Z127" s="11">
        <v>53.55</v>
      </c>
      <c r="AA127" s="11">
        <v>57.02</v>
      </c>
      <c r="AB127" s="11">
        <v>58.68</v>
      </c>
      <c r="AC127" s="11">
        <v>51.23</v>
      </c>
      <c r="AD127" s="11">
        <v>46.8</v>
      </c>
    </row>
    <row r="128" spans="1:30" x14ac:dyDescent="0.2">
      <c r="A128" s="17">
        <v>45231</v>
      </c>
      <c r="B128" s="18">
        <f t="shared" si="6"/>
        <v>11</v>
      </c>
      <c r="C128" s="18">
        <f t="shared" si="7"/>
        <v>4</v>
      </c>
      <c r="D128" s="11">
        <f t="shared" si="8"/>
        <v>2023</v>
      </c>
      <c r="E128" s="19">
        <f>AVERAGEIFS('Daily Prices'!$B$4:$B$3000,'Daily Prices'!$C$4:$C$3000,Monthly!$B128,'Daily Prices'!$D$4:$D$3000,Monthly!$D128)</f>
        <v>105.7</v>
      </c>
      <c r="F128" s="1">
        <f>AVERAGEIFS('Daily Prices'!$F$4:$F$3000,'Daily Prices'!$G$4:$G$3000,Monthly!$B128,'Daily Prices'!$H$4:$H$3000,Monthly!$D128)</f>
        <v>67.612499999999997</v>
      </c>
      <c r="H128" s="13">
        <v>129.97</v>
      </c>
      <c r="I128" s="19">
        <f>AVERAGEIFS('RIN Daily Prices'!$D$4:$D$2925,'RIN Daily Prices'!$B$4:$B$2925,Monthly!$D128,'RIN Daily Prices'!$A$4:$A$2925,Monthly!$B128)</f>
        <v>345.32499999999999</v>
      </c>
      <c r="J128" s="1">
        <f>AVERAGEIFS('RIN Daily Prices'!$F$4:$F$2925,'RIN Daily Prices'!$B$4:$B$2925,Monthly!$D128,'RIN Daily Prices'!$A$4:$A$2925,Monthly!$B128)</f>
        <v>82.912499999999994</v>
      </c>
      <c r="K128" s="1">
        <f>AVERAGEIFS('RIN Daily Prices'!$H$4:$H$2925,'RIN Daily Prices'!$B$4:$B$2925,Monthly!$D128,'RIN Daily Prices'!$A$4:$A$2925,Monthly!$B128)</f>
        <v>82.012500000000003</v>
      </c>
      <c r="L128" s="20">
        <f>AVERAGEIFS('RIN Daily Prices'!$J$4:$J$2925,'RIN Daily Prices'!$B$4:$B$2925,Monthly!$D128,'RIN Daily Prices'!$A$4:$A$2925,Monthly!$B128)</f>
        <v>82.887500000000003</v>
      </c>
      <c r="M128" s="21">
        <f>[2]Prices!$D641/2.8</f>
        <v>1.7351615646258503</v>
      </c>
      <c r="N128" s="11">
        <v>2.2010000000000001</v>
      </c>
      <c r="O128" s="22">
        <f t="shared" si="9"/>
        <v>0.46583843537414982</v>
      </c>
      <c r="P128" s="23">
        <f t="shared" si="11"/>
        <v>3.9270285714285706</v>
      </c>
      <c r="Q128" s="11">
        <v>2.855</v>
      </c>
      <c r="R128" s="24">
        <f t="shared" si="10"/>
        <v>1.0720285714285707</v>
      </c>
      <c r="S128" s="23">
        <f>[4]Prices!$D649</f>
        <v>51.671428571428564</v>
      </c>
      <c r="T128" s="1">
        <f>'[5]Monthly Prices'!$N289</f>
        <v>39</v>
      </c>
      <c r="U128" s="25"/>
      <c r="V128" s="25"/>
      <c r="W128" s="25"/>
      <c r="X128" s="12">
        <v>67.099999999999994</v>
      </c>
      <c r="Y128" s="11">
        <v>50.88</v>
      </c>
      <c r="Z128" s="11">
        <v>43.5</v>
      </c>
      <c r="AA128" s="11">
        <v>48.75</v>
      </c>
      <c r="AB128" s="11">
        <v>53.65</v>
      </c>
      <c r="AC128" s="11">
        <v>39</v>
      </c>
      <c r="AD128" s="11">
        <v>37.229999999999997</v>
      </c>
    </row>
    <row r="129" spans="1:30" x14ac:dyDescent="0.2">
      <c r="A129" s="17">
        <v>45261</v>
      </c>
      <c r="B129" s="18">
        <f t="shared" si="6"/>
        <v>12</v>
      </c>
      <c r="C129" s="18">
        <f t="shared" si="7"/>
        <v>4</v>
      </c>
      <c r="D129" s="11">
        <f t="shared" si="8"/>
        <v>2023</v>
      </c>
      <c r="E129" s="19">
        <f>AVERAGEIFS('Daily Prices'!$B$4:$B$3000,'Daily Prices'!$C$4:$C$3000,Monthly!$B129,'Daily Prices'!$D$4:$D$3000,Monthly!$D129)</f>
        <v>93.924999999999997</v>
      </c>
      <c r="F129" s="1">
        <f>AVERAGEIFS('Daily Prices'!$F$4:$F$3000,'Daily Prices'!$G$4:$G$3000,Monthly!$B129,'Daily Prices'!$H$4:$H$3000,Monthly!$D129)</f>
        <v>70.924999999999997</v>
      </c>
      <c r="G129" s="11">
        <v>74.06</v>
      </c>
      <c r="H129" s="13">
        <v>137.96</v>
      </c>
      <c r="I129" s="19">
        <f>AVERAGEIFS('RIN Daily Prices'!$D$4:$D$2925,'RIN Daily Prices'!$B$4:$B$2925,Monthly!$D129,'RIN Daily Prices'!$A$4:$A$2925,Monthly!$B129)</f>
        <v>309.16250000000002</v>
      </c>
      <c r="J129" s="1">
        <f>AVERAGEIFS('RIN Daily Prices'!$F$4:$F$2925,'RIN Daily Prices'!$B$4:$B$2925,Monthly!$D129,'RIN Daily Prices'!$A$4:$A$2925,Monthly!$B129)</f>
        <v>81.231250000000003</v>
      </c>
      <c r="K129" s="1">
        <f>AVERAGEIFS('RIN Daily Prices'!$H$4:$H$2925,'RIN Daily Prices'!$B$4:$B$2925,Monthly!$D129,'RIN Daily Prices'!$A$4:$A$2925,Monthly!$B129)</f>
        <v>80.556250000000006</v>
      </c>
      <c r="L129" s="20">
        <f>AVERAGEIFS('RIN Daily Prices'!$J$4:$J$2925,'RIN Daily Prices'!$B$4:$B$2925,Monthly!$D129,'RIN Daily Prices'!$A$4:$A$2925,Monthly!$B129)</f>
        <v>81.15625</v>
      </c>
      <c r="M129" s="21">
        <f>[2]Prices!$D642/2.8</f>
        <v>1.7132589285714284</v>
      </c>
      <c r="N129" s="11">
        <v>2.105</v>
      </c>
      <c r="O129" s="22">
        <f t="shared" si="9"/>
        <v>0.39174107142857162</v>
      </c>
      <c r="P129" s="23">
        <f t="shared" si="11"/>
        <v>3.7827480000000002</v>
      </c>
      <c r="Q129" s="11">
        <v>2.62</v>
      </c>
      <c r="R129" s="24">
        <f t="shared" si="10"/>
        <v>1.1627480000000001</v>
      </c>
      <c r="S129" s="23">
        <f>[4]Prices!$D650</f>
        <v>49.773000000000003</v>
      </c>
      <c r="T129" s="1">
        <f>'[5]Monthly Prices'!$N290</f>
        <v>35.762500000000003</v>
      </c>
      <c r="U129" s="25"/>
      <c r="V129" s="25"/>
      <c r="W129" s="25"/>
      <c r="X129" s="12">
        <v>64.91</v>
      </c>
      <c r="Y129" s="11">
        <v>45.05</v>
      </c>
      <c r="Z129" s="11">
        <v>35.700000000000003</v>
      </c>
      <c r="AA129" s="11">
        <v>47.23</v>
      </c>
      <c r="AB129" s="11">
        <v>48.63</v>
      </c>
      <c r="AC129" s="11">
        <v>35.76</v>
      </c>
      <c r="AD129" s="11">
        <v>34.4</v>
      </c>
    </row>
    <row r="130" spans="1:30" x14ac:dyDescent="0.2">
      <c r="A130" s="17">
        <v>45292</v>
      </c>
      <c r="B130" s="18">
        <f t="shared" si="6"/>
        <v>1</v>
      </c>
      <c r="C130" s="18">
        <f t="shared" si="7"/>
        <v>1</v>
      </c>
      <c r="D130" s="11">
        <f t="shared" si="8"/>
        <v>2024</v>
      </c>
      <c r="E130" s="19">
        <f>AVERAGEIFS('Daily Prices'!$B$4:$B$3000,'Daily Prices'!$C$4:$C$3000,Monthly!$B130,'Daily Prices'!$D$4:$D$3000,Monthly!$D130)</f>
        <v>86.607142857142861</v>
      </c>
      <c r="F130" s="1">
        <f>AVERAGEIFS('Daily Prices'!$F$4:$F$3000,'Daily Prices'!$G$4:$G$3000,Monthly!$B130,'Daily Prices'!$H$4:$H$3000,Monthly!$D130)</f>
        <v>62.815714285714293</v>
      </c>
      <c r="G130" s="11">
        <v>79.849999999999994</v>
      </c>
      <c r="H130" s="13">
        <v>118.99</v>
      </c>
      <c r="I130" s="19">
        <f>AVERAGEIFS('RIN Daily Prices'!$D$4:$D$2925,'RIN Daily Prices'!$B$4:$B$2925,Monthly!$D130,'RIN Daily Prices'!$A$4:$A$2925,Monthly!$B130)</f>
        <v>314.57142857142856</v>
      </c>
      <c r="J130" s="1">
        <f>AVERAGEIFS('RIN Daily Prices'!$F$4:$F$2925,'RIN Daily Prices'!$B$4:$B$2925,Monthly!$D130,'RIN Daily Prices'!$A$4:$A$2925,Monthly!$B130)</f>
        <v>72.583333333333329</v>
      </c>
      <c r="K130" s="1">
        <f>AVERAGEIFS('RIN Daily Prices'!$H$4:$H$2925,'RIN Daily Prices'!$B$4:$B$2925,Monthly!$D130,'RIN Daily Prices'!$A$4:$A$2925,Monthly!$B130)</f>
        <v>71.511904761904759</v>
      </c>
      <c r="L130" s="20">
        <f>AVERAGEIFS('RIN Daily Prices'!$J$4:$J$2925,'RIN Daily Prices'!$B$4:$B$2925,Monthly!$D130,'RIN Daily Prices'!$A$4:$A$2925,Monthly!$B130)</f>
        <v>71.666666666666671</v>
      </c>
      <c r="M130" s="21">
        <f>[2]Prices!$D643/2.8</f>
        <v>1.6137329931972788</v>
      </c>
      <c r="N130" s="11">
        <v>2.16</v>
      </c>
      <c r="O130" s="22">
        <f t="shared" si="9"/>
        <v>0.54626700680272133</v>
      </c>
      <c r="P130" s="23">
        <f t="shared" si="11"/>
        <v>3.6130761904761899</v>
      </c>
      <c r="Q130" s="11">
        <v>2.6819999999999999</v>
      </c>
      <c r="R130" s="24">
        <f t="shared" si="10"/>
        <v>0.93107619047618995</v>
      </c>
      <c r="S130" s="23">
        <f>[4]Prices!$D651</f>
        <v>47.540476190476184</v>
      </c>
      <c r="T130" s="1">
        <f>'[5]Monthly Prices'!$N291</f>
        <v>33.011904761904759</v>
      </c>
      <c r="U130" s="25"/>
      <c r="V130" s="25"/>
      <c r="W130" s="25"/>
      <c r="X130" s="12">
        <v>60.56</v>
      </c>
      <c r="Y130" s="11">
        <v>41.43</v>
      </c>
      <c r="Z130" s="11">
        <v>33</v>
      </c>
      <c r="AA130" s="11">
        <v>45.79</v>
      </c>
      <c r="AB130" s="11">
        <v>45.64</v>
      </c>
      <c r="AC130" s="11">
        <v>33.01</v>
      </c>
      <c r="AD130" s="11">
        <v>31</v>
      </c>
    </row>
    <row r="131" spans="1:30" x14ac:dyDescent="0.2">
      <c r="A131" s="17">
        <v>45323</v>
      </c>
      <c r="B131" s="18">
        <f t="shared" si="6"/>
        <v>2</v>
      </c>
      <c r="C131" s="18">
        <f t="shared" si="7"/>
        <v>1</v>
      </c>
      <c r="D131" s="11">
        <f t="shared" si="8"/>
        <v>2024</v>
      </c>
      <c r="E131" s="19">
        <f>AVERAGEIFS('Daily Prices'!$B$4:$B$3000,'Daily Prices'!$C$4:$C$3000,Monthly!$B131,'Daily Prices'!$D$4:$D$3000,Monthly!$D131)</f>
        <v>82.787499999999994</v>
      </c>
      <c r="F131" s="1">
        <f>AVERAGEIFS('Daily Prices'!$F$4:$F$3000,'Daily Prices'!$G$4:$G$3000,Monthly!$B131,'Daily Prices'!$H$4:$H$3000,Monthly!$D131)</f>
        <v>62.612499999999997</v>
      </c>
      <c r="G131" s="11">
        <v>89.89</v>
      </c>
      <c r="H131" s="13">
        <v>132.03</v>
      </c>
      <c r="I131" s="19">
        <f>AVERAGEIFS('RIN Daily Prices'!$D$4:$D$2925,'RIN Daily Prices'!$B$4:$B$2925,Monthly!$D131,'RIN Daily Prices'!$A$4:$A$2925,Monthly!$B131)</f>
        <v>295.14999999999998</v>
      </c>
      <c r="J131" s="1">
        <f>AVERAGEIFS('RIN Daily Prices'!$F$4:$F$2925,'RIN Daily Prices'!$B$4:$B$2925,Monthly!$D131,'RIN Daily Prices'!$A$4:$A$2925,Monthly!$B131)</f>
        <v>47.987499999999997</v>
      </c>
      <c r="K131" s="1">
        <f>AVERAGEIFS('RIN Daily Prices'!$H$4:$H$2925,'RIN Daily Prices'!$B$4:$B$2925,Monthly!$D131,'RIN Daily Prices'!$A$4:$A$2925,Monthly!$B131)</f>
        <v>47.25</v>
      </c>
      <c r="L131" s="20">
        <f>AVERAGEIFS('RIN Daily Prices'!$J$4:$J$2925,'RIN Daily Prices'!$B$4:$B$2925,Monthly!$D131,'RIN Daily Prices'!$A$4:$A$2925,Monthly!$B131)</f>
        <v>47.35</v>
      </c>
      <c r="M131" s="21">
        <f>[2]Prices!$D644/2.8</f>
        <v>1.5120535714285714</v>
      </c>
      <c r="N131" s="11">
        <v>2.2919999999999998</v>
      </c>
      <c r="O131" s="22">
        <f t="shared" si="9"/>
        <v>0.77994642857142837</v>
      </c>
      <c r="P131" s="23">
        <f t="shared" si="11"/>
        <v>3.4686399999999993</v>
      </c>
      <c r="Q131" s="11">
        <v>2.7749999999999999</v>
      </c>
      <c r="R131" s="24">
        <f t="shared" si="10"/>
        <v>0.69363999999999937</v>
      </c>
      <c r="S131" s="23">
        <f>[4]Prices!$D652</f>
        <v>45.639999999999993</v>
      </c>
      <c r="T131" s="1">
        <f>'[6]Used Cooking Oil Complex'!$AF202</f>
        <v>32.25</v>
      </c>
      <c r="U131" s="25"/>
      <c r="V131" s="25"/>
      <c r="W131" s="25"/>
      <c r="X131" s="12">
        <v>57.37</v>
      </c>
      <c r="Y131" s="11">
        <v>40.6</v>
      </c>
      <c r="Z131" s="11">
        <v>33.53</v>
      </c>
      <c r="AA131" s="11">
        <v>45.5</v>
      </c>
      <c r="AB131" s="11">
        <v>43.63</v>
      </c>
      <c r="AC131" s="11">
        <v>32.68</v>
      </c>
      <c r="AD131" s="11">
        <v>30</v>
      </c>
    </row>
    <row r="132" spans="1:30" x14ac:dyDescent="0.2">
      <c r="A132" s="17">
        <v>45352</v>
      </c>
      <c r="B132" s="18">
        <f t="shared" si="6"/>
        <v>3</v>
      </c>
      <c r="C132" s="18">
        <f t="shared" si="7"/>
        <v>1</v>
      </c>
      <c r="D132" s="11">
        <f t="shared" si="8"/>
        <v>2024</v>
      </c>
      <c r="E132" s="19">
        <f>AVERAGEIFS('Daily Prices'!$B$4:$B$3000,'Daily Prices'!$C$4:$C$3000,Monthly!$B132,'Daily Prices'!$D$4:$D$3000,Monthly!$D132)</f>
        <v>70.3</v>
      </c>
      <c r="F132" s="1">
        <f>AVERAGEIFS('Daily Prices'!$F$4:$F$3000,'Daily Prices'!$G$4:$G$3000,Monthly!$B132,'Daily Prices'!$H$4:$H$3000,Monthly!$D132)</f>
        <v>67.025000000000006</v>
      </c>
      <c r="G132" s="11">
        <v>55.53</v>
      </c>
      <c r="H132" s="13">
        <v>97.88</v>
      </c>
      <c r="I132" s="19">
        <f>AVERAGEIFS('RIN Daily Prices'!$D$4:$D$2925,'RIN Daily Prices'!$B$4:$B$2925,Monthly!$D132,'RIN Daily Prices'!$A$4:$A$2925,Monthly!$B132)</f>
        <v>398.77499999999998</v>
      </c>
      <c r="J132" s="1">
        <f>AVERAGEIFS('RIN Daily Prices'!$F$4:$F$2925,'RIN Daily Prices'!$B$4:$B$2925,Monthly!$D132,'RIN Daily Prices'!$A$4:$A$2925,Monthly!$B132)</f>
        <v>52.475000000000001</v>
      </c>
      <c r="K132" s="1">
        <f>AVERAGEIFS('RIN Daily Prices'!$H$4:$H$2925,'RIN Daily Prices'!$B$4:$B$2925,Monthly!$D132,'RIN Daily Prices'!$A$4:$A$2925,Monthly!$B132)</f>
        <v>51.537500000000001</v>
      </c>
      <c r="L132" s="20">
        <f>AVERAGEIFS('RIN Daily Prices'!$J$4:$J$2925,'RIN Daily Prices'!$B$4:$B$2925,Monthly!$D132,'RIN Daily Prices'!$A$4:$A$2925,Monthly!$B132)</f>
        <v>51.912500000000001</v>
      </c>
      <c r="M132" s="21">
        <f>[2]Prices!$D645/2.8</f>
        <v>1.5564732142857145</v>
      </c>
      <c r="N132" s="11">
        <v>2.6619999999999999</v>
      </c>
      <c r="O132" s="22">
        <f t="shared" si="9"/>
        <v>1.1055267857142854</v>
      </c>
      <c r="P132" s="23">
        <f t="shared" si="11"/>
        <v>3.6076439999999996</v>
      </c>
      <c r="Q132" s="11">
        <v>2.6720000000000002</v>
      </c>
      <c r="R132" s="24">
        <f t="shared" si="10"/>
        <v>0.93564399999999948</v>
      </c>
      <c r="S132" s="23">
        <f>[4]Prices!$D653</f>
        <v>47.468999999999994</v>
      </c>
      <c r="T132" s="1">
        <f>'[6]Used Cooking Oil Complex'!$AF203</f>
        <v>32.25</v>
      </c>
      <c r="U132" s="25"/>
      <c r="V132" s="25"/>
      <c r="W132" s="25"/>
      <c r="X132" s="12">
        <v>58.49</v>
      </c>
      <c r="Y132" s="11">
        <v>41.65</v>
      </c>
      <c r="Z132" s="11">
        <v>35.61</v>
      </c>
      <c r="AA132" s="11">
        <v>45.5</v>
      </c>
      <c r="AB132" s="11">
        <v>42.71</v>
      </c>
      <c r="AC132" s="11">
        <v>32</v>
      </c>
      <c r="AD132" s="11">
        <v>30</v>
      </c>
    </row>
    <row r="133" spans="1:30" x14ac:dyDescent="0.2">
      <c r="A133" s="17">
        <v>45383</v>
      </c>
      <c r="B133" s="18">
        <f t="shared" ref="B133:B196" si="12">MONTH(A133)</f>
        <v>4</v>
      </c>
      <c r="C133" s="18">
        <f t="shared" ref="C133:C196" si="13">ROUNDUP(MONTH(A133)/3,0)</f>
        <v>2</v>
      </c>
      <c r="D133" s="11">
        <f t="shared" ref="D133:D196" si="14">YEAR(A133)</f>
        <v>2024</v>
      </c>
      <c r="E133" s="19">
        <f>AVERAGEIFS('Daily Prices'!$B$4:$B$3000,'Daily Prices'!$C$4:$C$3000,Monthly!$B133,'Daily Prices'!$D$4:$D$3000,Monthly!$D133)</f>
        <v>67.897727272727266</v>
      </c>
      <c r="F133" s="1">
        <f>AVERAGEIFS('Daily Prices'!$F$4:$F$3000,'Daily Prices'!$G$4:$G$3000,Monthly!$B133,'Daily Prices'!$H$4:$H$3000,Monthly!$D133)</f>
        <v>61.909090909090907</v>
      </c>
      <c r="G133" s="11">
        <v>61.85</v>
      </c>
      <c r="H133" s="13">
        <v>117.37</v>
      </c>
      <c r="I133" s="19">
        <f>AVERAGEIFS('RIN Daily Prices'!$D$4:$D$2925,'RIN Daily Prices'!$B$4:$B$2925,Monthly!$D133,'RIN Daily Prices'!$A$4:$A$2925,Monthly!$B133)</f>
        <v>327.82954545454544</v>
      </c>
      <c r="J133" s="1">
        <f>AVERAGEIFS('RIN Daily Prices'!$F$4:$F$2925,'RIN Daily Prices'!$B$4:$B$2925,Monthly!$D133,'RIN Daily Prices'!$A$4:$A$2925,Monthly!$B133)</f>
        <v>48.477272727272727</v>
      </c>
      <c r="K133" s="1">
        <f>AVERAGEIFS('RIN Daily Prices'!$H$4:$H$2925,'RIN Daily Prices'!$B$4:$B$2925,Monthly!$D133,'RIN Daily Prices'!$A$4:$A$2925,Monthly!$B133)</f>
        <v>47.659090909090907</v>
      </c>
      <c r="L133" s="20">
        <f>AVERAGEIFS('RIN Daily Prices'!$J$4:$J$2925,'RIN Daily Prices'!$B$4:$B$2925,Monthly!$D133,'RIN Daily Prices'!$A$4:$A$2925,Monthly!$B133)</f>
        <v>48.272727272727273</v>
      </c>
      <c r="M133" s="21">
        <f>[2]Prices!$D646/2.8</f>
        <v>1.5522321428571431</v>
      </c>
      <c r="N133" s="11">
        <v>2.7629999999999999</v>
      </c>
      <c r="O133" s="22">
        <f t="shared" ref="O133" si="15">N133-M133</f>
        <v>1.2107678571428568</v>
      </c>
      <c r="P133" s="23">
        <f t="shared" si="11"/>
        <v>3.5104399999999991</v>
      </c>
      <c r="Q133" s="11">
        <v>2.7170000000000001</v>
      </c>
      <c r="R133" s="24">
        <f t="shared" ref="R133" si="16">P133-Q133</f>
        <v>0.79343999999999903</v>
      </c>
      <c r="S133" s="23">
        <f>[4]Prices!$D654</f>
        <v>46.189999999999991</v>
      </c>
      <c r="T133" s="1">
        <f>'[6]Used Cooking Oil Complex'!$AF204</f>
        <v>34.215909090909093</v>
      </c>
      <c r="U133" s="25"/>
      <c r="V133" s="25"/>
      <c r="W133" s="25"/>
      <c r="X133" s="12">
        <v>56.97</v>
      </c>
      <c r="Y133" s="11">
        <v>41.73</v>
      </c>
      <c r="Z133" s="11">
        <v>38.200000000000003</v>
      </c>
      <c r="AA133" s="11">
        <v>45</v>
      </c>
      <c r="AB133" s="11">
        <v>41.3</v>
      </c>
      <c r="AC133" s="11">
        <v>32.229999999999997</v>
      </c>
      <c r="AD133" s="11">
        <v>30.23</v>
      </c>
    </row>
    <row r="134" spans="1:30" x14ac:dyDescent="0.2">
      <c r="A134" s="17">
        <v>45413</v>
      </c>
      <c r="B134" s="18">
        <f t="shared" si="12"/>
        <v>5</v>
      </c>
      <c r="C134" s="18">
        <f t="shared" si="13"/>
        <v>2</v>
      </c>
      <c r="D134" s="11">
        <f t="shared" si="14"/>
        <v>2024</v>
      </c>
      <c r="E134" s="19">
        <f>AVERAGEIFS('Daily Prices'!$B$4:$B$3000,'Daily Prices'!$C$4:$C$3000,Monthly!$B134,'Daily Prices'!$D$4:$D$3000,Monthly!$D134)</f>
        <v>60.215909090909093</v>
      </c>
      <c r="F134" s="1">
        <f>AVERAGEIFS('Daily Prices'!$F$4:$F$3000,'Daily Prices'!$G$4:$G$3000,Monthly!$B134,'Daily Prices'!$H$4:$H$3000,Monthly!$D134)</f>
        <v>48.477272727272727</v>
      </c>
      <c r="G134" s="11">
        <v>59.33</v>
      </c>
      <c r="H134" s="13">
        <v>56.3</v>
      </c>
      <c r="I134" s="19">
        <f>AVERAGEIFS('RIN Daily Prices'!$D$4:$D$2925,'RIN Daily Prices'!$B$4:$B$2925,Monthly!$D134,'RIN Daily Prices'!$A$4:$A$2925,Monthly!$B134)</f>
        <v>316.89772727272725</v>
      </c>
      <c r="J134" s="1">
        <f>AVERAGEIFS('RIN Daily Prices'!$F$4:$F$2925,'RIN Daily Prices'!$B$4:$B$2925,Monthly!$D134,'RIN Daily Prices'!$A$4:$A$2925,Monthly!$B134)</f>
        <v>49.738636363636367</v>
      </c>
      <c r="K134" s="1">
        <f>AVERAGEIFS('RIN Daily Prices'!$H$4:$H$2925,'RIN Daily Prices'!$B$4:$B$2925,Monthly!$D134,'RIN Daily Prices'!$A$4:$A$2925,Monthly!$B134)</f>
        <v>48.897727272727273</v>
      </c>
      <c r="L134" s="20">
        <f>AVERAGEIFS('RIN Daily Prices'!$J$4:$J$2925,'RIN Daily Prices'!$B$4:$B$2925,Monthly!$D134,'RIN Daily Prices'!$A$4:$A$2925,Monthly!$B134)</f>
        <v>49.579545454545453</v>
      </c>
      <c r="M134" s="21">
        <f>[2]Prices!$D647/2.8</f>
        <v>1.6436282467532466</v>
      </c>
      <c r="O134" s="22"/>
      <c r="P134" s="23">
        <f t="shared" si="11"/>
        <v>3.3905327272727273</v>
      </c>
      <c r="R134" s="24"/>
      <c r="S134" s="23">
        <f>[4]Prices!$D655</f>
        <v>44.612272727272725</v>
      </c>
      <c r="T134" s="1">
        <f>'[6]Used Cooking Oil Complex'!$AF205</f>
        <v>36</v>
      </c>
      <c r="U134" s="25"/>
      <c r="V134" s="25"/>
      <c r="W134" s="25"/>
      <c r="X134" s="12">
        <v>54.82</v>
      </c>
      <c r="Y134" s="11">
        <v>41.8</v>
      </c>
      <c r="Z134" s="11">
        <v>39.03</v>
      </c>
      <c r="AA134" s="11">
        <v>44.5</v>
      </c>
      <c r="AB134" s="11">
        <v>40.950000000000003</v>
      </c>
      <c r="AC134" s="11">
        <v>32.68</v>
      </c>
      <c r="AD134" s="11">
        <v>29.5</v>
      </c>
    </row>
    <row r="135" spans="1:30" x14ac:dyDescent="0.2">
      <c r="A135" s="17">
        <v>45444</v>
      </c>
      <c r="B135" s="18">
        <f t="shared" si="12"/>
        <v>6</v>
      </c>
      <c r="C135" s="18">
        <f t="shared" si="13"/>
        <v>2</v>
      </c>
      <c r="D135" s="11">
        <f t="shared" si="14"/>
        <v>2024</v>
      </c>
      <c r="E135" s="19">
        <f>AVERAGEIFS('Daily Prices'!$B$4:$B$3000,'Daily Prices'!$C$4:$C$3000,Monthly!$B135,'Daily Prices'!$D$4:$D$3000,Monthly!$D135)</f>
        <v>39.94736842105263</v>
      </c>
      <c r="F135" s="1">
        <f>AVERAGEIFS('Daily Prices'!$F$4:$F$3000,'Daily Prices'!$G$4:$G$3000,Monthly!$B135,'Daily Prices'!$H$4:$H$3000,Monthly!$D135)</f>
        <v>44.704210526315791</v>
      </c>
      <c r="G135" s="11">
        <v>40.78</v>
      </c>
      <c r="H135" s="13">
        <v>71.22</v>
      </c>
      <c r="I135" s="19">
        <f>AVERAGEIFS('RIN Daily Prices'!$D$4:$D$2925,'RIN Daily Prices'!$B$4:$B$2925,Monthly!$D135,'RIN Daily Prices'!$A$4:$A$2925,Monthly!$B135)</f>
        <v>312.07894736842104</v>
      </c>
      <c r="J135" s="1">
        <f>AVERAGEIFS('RIN Daily Prices'!$F$4:$F$2925,'RIN Daily Prices'!$B$4:$B$2925,Monthly!$D135,'RIN Daily Prices'!$A$4:$A$2925,Monthly!$B135)</f>
        <v>55.157894736842103</v>
      </c>
      <c r="K135" s="1">
        <f>AVERAGEIFS('RIN Daily Prices'!$H$4:$H$2925,'RIN Daily Prices'!$B$4:$B$2925,Monthly!$D135,'RIN Daily Prices'!$A$4:$A$2925,Monthly!$B135)</f>
        <v>54.25</v>
      </c>
      <c r="L135" s="20">
        <f>AVERAGEIFS('RIN Daily Prices'!$J$4:$J$2925,'RIN Daily Prices'!$B$4:$B$2925,Monthly!$D135,'RIN Daily Prices'!$A$4:$A$2925,Monthly!$B135)</f>
        <v>55.006842105263161</v>
      </c>
      <c r="M135" s="21">
        <f>[2]Prices!$D648/2.8</f>
        <v>1.5692669172932332</v>
      </c>
      <c r="O135" s="22"/>
      <c r="P135" s="23">
        <f t="shared" si="11"/>
        <v>3.3217200000000005</v>
      </c>
      <c r="R135" s="24"/>
      <c r="S135" s="23">
        <f>[4]Prices!$D656</f>
        <v>43.706842105263163</v>
      </c>
      <c r="T135" s="1">
        <f>'[6]Used Cooking Oil Complex'!$AF206</f>
        <v>37.763157894736842</v>
      </c>
      <c r="U135" s="25"/>
      <c r="V135" s="25"/>
      <c r="W135" s="25"/>
      <c r="X135" s="12">
        <v>54.21</v>
      </c>
      <c r="Y135" s="11">
        <v>47.21</v>
      </c>
      <c r="Z135" s="11">
        <v>42.86</v>
      </c>
      <c r="AA135" s="11">
        <v>44.5</v>
      </c>
      <c r="AB135" s="11">
        <v>44.61</v>
      </c>
      <c r="AC135" s="11">
        <v>33</v>
      </c>
      <c r="AD135" s="11">
        <v>29.5</v>
      </c>
    </row>
    <row r="136" spans="1:30" x14ac:dyDescent="0.2">
      <c r="A136" s="17">
        <v>45474</v>
      </c>
      <c r="B136" s="18">
        <f t="shared" si="12"/>
        <v>7</v>
      </c>
      <c r="C136" s="18">
        <f t="shared" si="13"/>
        <v>3</v>
      </c>
      <c r="D136" s="11">
        <f t="shared" si="14"/>
        <v>2024</v>
      </c>
      <c r="E136" s="19">
        <f>AVERAGEIFS('Daily Prices'!$B$4:$B$3000,'Daily Prices'!$C$4:$C$3000,Monthly!$B136,'Daily Prices'!$D$4:$D$3000,Monthly!$D136)</f>
        <v>26.863636363636363</v>
      </c>
      <c r="F136" s="1">
        <f>AVERAGEIFS('Daily Prices'!$F$4:$F$3000,'Daily Prices'!$G$4:$G$3000,Monthly!$B136,'Daily Prices'!$H$4:$H$3000,Monthly!$D136)</f>
        <v>47.18181818181818</v>
      </c>
      <c r="G136" s="11">
        <v>32.21</v>
      </c>
      <c r="H136" s="13">
        <v>50.78</v>
      </c>
      <c r="I136" s="19">
        <f>AVERAGEIFS('RIN Daily Prices'!$D$4:$D$2925,'RIN Daily Prices'!$B$4:$B$2925,Monthly!$D136,'RIN Daily Prices'!$A$4:$A$2925,Monthly!$B136)</f>
        <v>328.76136363636363</v>
      </c>
      <c r="J136" s="1">
        <f>AVERAGEIFS('RIN Daily Prices'!$F$4:$F$2925,'RIN Daily Prices'!$B$4:$B$2925,Monthly!$D136,'RIN Daily Prices'!$A$4:$A$2925,Monthly!$B136)</f>
        <v>64.045909090909106</v>
      </c>
      <c r="K136" s="1">
        <f>AVERAGEIFS('RIN Daily Prices'!$H$4:$H$2925,'RIN Daily Prices'!$B$4:$B$2925,Monthly!$D136,'RIN Daily Prices'!$A$4:$A$2925,Monthly!$B136)</f>
        <v>63.352272727272727</v>
      </c>
      <c r="L136" s="20">
        <f>AVERAGEIFS('RIN Daily Prices'!$J$4:$J$2925,'RIN Daily Prices'!$B$4:$B$2925,Monthly!$D136,'RIN Daily Prices'!$A$4:$A$2925,Monthly!$B136)</f>
        <v>64.000454545454559</v>
      </c>
      <c r="M136" s="21">
        <f>[2]Prices!$D649/2.8</f>
        <v>1.427529761904762</v>
      </c>
      <c r="O136" s="22"/>
      <c r="P136" s="23">
        <f t="shared" si="11"/>
        <v>3.5160018181818176</v>
      </c>
      <c r="R136" s="24"/>
      <c r="S136" s="23">
        <f>[4]Prices!$D657</f>
        <v>46.263181818181813</v>
      </c>
      <c r="T136" s="1">
        <f>'[6]Used Cooking Oil Complex'!$AF207</f>
        <v>40.5</v>
      </c>
      <c r="U136" s="25"/>
      <c r="V136" s="25"/>
      <c r="W136" s="25"/>
      <c r="X136" s="12">
        <v>58.2</v>
      </c>
      <c r="Y136" s="11">
        <v>51</v>
      </c>
      <c r="Z136" s="11">
        <v>45.27</v>
      </c>
      <c r="AA136" s="11">
        <v>44.5</v>
      </c>
      <c r="AB136" s="11">
        <v>47.11</v>
      </c>
      <c r="AC136" s="11">
        <v>33.979999999999997</v>
      </c>
      <c r="AD136" s="11">
        <v>29.86</v>
      </c>
    </row>
    <row r="137" spans="1:30" x14ac:dyDescent="0.2">
      <c r="A137" s="17">
        <v>45505</v>
      </c>
      <c r="B137" s="18">
        <f t="shared" si="12"/>
        <v>8</v>
      </c>
      <c r="C137" s="18">
        <f t="shared" si="13"/>
        <v>3</v>
      </c>
      <c r="D137" s="11">
        <f t="shared" si="14"/>
        <v>2024</v>
      </c>
      <c r="E137" s="19">
        <f>AVERAGEIFS('Daily Prices'!$B$4:$B$3000,'Daily Prices'!$C$4:$C$3000,Monthly!$B137,'Daily Prices'!$D$4:$D$3000,Monthly!$D137)</f>
        <v>29.454545454545453</v>
      </c>
      <c r="F137" s="1">
        <f>AVERAGEIFS('Daily Prices'!$F$4:$F$3000,'Daily Prices'!$G$4:$G$3000,Monthly!$B137,'Daily Prices'!$H$4:$H$3000,Monthly!$D137)</f>
        <v>52.659090909090907</v>
      </c>
      <c r="G137" s="11">
        <v>34.1</v>
      </c>
      <c r="H137" s="13">
        <v>95.57</v>
      </c>
      <c r="I137" s="19">
        <f>AVERAGEIFS('RIN Daily Prices'!$D$4:$D$2925,'RIN Daily Prices'!$B$4:$B$2925,Monthly!$D137,'RIN Daily Prices'!$A$4:$A$2925,Monthly!$B137)</f>
        <v>336.20454545454544</v>
      </c>
      <c r="J137" s="1">
        <f>AVERAGEIFS('RIN Daily Prices'!$F$4:$F$2925,'RIN Daily Prices'!$B$4:$B$2925,Monthly!$D137,'RIN Daily Prices'!$A$4:$A$2925,Monthly!$B137)</f>
        <v>56.591818181818191</v>
      </c>
      <c r="K137" s="1">
        <f>AVERAGEIFS('RIN Daily Prices'!$H$4:$H$2925,'RIN Daily Prices'!$B$4:$B$2925,Monthly!$D137,'RIN Daily Prices'!$A$4:$A$2925,Monthly!$B137)</f>
        <v>55.926363636363639</v>
      </c>
      <c r="L137" s="20">
        <f>AVERAGEIFS('RIN Daily Prices'!$J$4:$J$2925,'RIN Daily Prices'!$B$4:$B$2925,Monthly!$D137,'RIN Daily Prices'!$A$4:$A$2925,Monthly!$B137)</f>
        <v>56.545909090909092</v>
      </c>
      <c r="M137" s="21">
        <f>[2]Prices!$D650/2.8</f>
        <v>1.3500992063492063</v>
      </c>
      <c r="O137" s="22"/>
      <c r="P137" s="23">
        <f t="shared" si="11"/>
        <v>3.1401818181818175</v>
      </c>
      <c r="R137" s="24"/>
      <c r="S137" s="23">
        <f>[4]Prices!$D658</f>
        <v>41.318181818181813</v>
      </c>
      <c r="T137" s="1">
        <f>'[6]Used Cooking Oil Complex'!$AF208</f>
        <v>37.704545454545453</v>
      </c>
      <c r="U137" s="25"/>
      <c r="V137" s="25"/>
      <c r="W137" s="25"/>
      <c r="X137" s="12">
        <v>53.89</v>
      </c>
      <c r="Y137" s="11">
        <v>46.76</v>
      </c>
      <c r="Z137" s="11">
        <v>44.31</v>
      </c>
      <c r="AA137" s="11">
        <v>44.5</v>
      </c>
      <c r="AB137" s="11">
        <v>43.1</v>
      </c>
      <c r="AC137" s="11">
        <v>35.409999999999997</v>
      </c>
      <c r="AD137" s="11">
        <v>31.5</v>
      </c>
    </row>
    <row r="138" spans="1:30" x14ac:dyDescent="0.2">
      <c r="A138" s="17">
        <v>45536</v>
      </c>
      <c r="B138" s="18">
        <f t="shared" si="12"/>
        <v>9</v>
      </c>
      <c r="C138" s="18">
        <f t="shared" si="13"/>
        <v>3</v>
      </c>
      <c r="D138" s="11">
        <f t="shared" si="14"/>
        <v>2024</v>
      </c>
      <c r="E138" s="19">
        <f>AVERAGEIFS('Daily Prices'!$B$4:$B$3000,'Daily Prices'!$C$4:$C$3000,Monthly!$B138,'Daily Prices'!$D$4:$D$3000,Monthly!$D138)</f>
        <v>30.9</v>
      </c>
      <c r="F138" s="1">
        <f>AVERAGEIFS('Daily Prices'!$F$4:$F$3000,'Daily Prices'!$G$4:$G$3000,Monthly!$B138,'Daily Prices'!$H$4:$H$3000,Monthly!$D138)</f>
        <v>60.694000000000003</v>
      </c>
      <c r="G138" s="11">
        <v>39.14</v>
      </c>
      <c r="H138" s="13">
        <v>29.05</v>
      </c>
      <c r="I138" s="19">
        <f>AVERAGEIFS('RIN Daily Prices'!$D$4:$D$2925,'RIN Daily Prices'!$B$4:$B$2925,Monthly!$D138,'RIN Daily Prices'!$A$4:$A$2925,Monthly!$B138)</f>
        <v>339.61900000000003</v>
      </c>
      <c r="J138" s="1">
        <f>AVERAGEIFS('RIN Daily Prices'!$F$4:$F$2925,'RIN Daily Prices'!$B$4:$B$2925,Monthly!$D138,'RIN Daily Prices'!$A$4:$A$2925,Monthly!$B138)</f>
        <v>60.412500000000001</v>
      </c>
      <c r="K138" s="1">
        <f>AVERAGEIFS('RIN Daily Prices'!$H$4:$H$2925,'RIN Daily Prices'!$B$4:$B$2925,Monthly!$D138,'RIN Daily Prices'!$A$4:$A$2925,Monthly!$B138)</f>
        <v>59.9</v>
      </c>
      <c r="L138" s="20">
        <f>AVERAGEIFS('RIN Daily Prices'!$J$4:$J$2925,'RIN Daily Prices'!$B$4:$B$2925,Monthly!$D138,'RIN Daily Prices'!$A$4:$A$2925,Monthly!$B138)</f>
        <v>60.340499999999999</v>
      </c>
      <c r="M138" s="21">
        <f>[2]Prices!$D651/2.8</f>
        <v>1.4668750000000004</v>
      </c>
      <c r="O138" s="22"/>
      <c r="P138" s="23">
        <f t="shared" si="11"/>
        <v>3.1534679999999997</v>
      </c>
      <c r="R138" s="24"/>
      <c r="S138" s="23">
        <f>[4]Prices!$D659</f>
        <v>41.493000000000002</v>
      </c>
      <c r="T138" s="1">
        <f>'[6]Used Cooking Oil Complex'!$AF209</f>
        <v>36</v>
      </c>
      <c r="U138" s="25"/>
      <c r="V138" s="25"/>
      <c r="W138" s="25"/>
      <c r="X138" s="12">
        <v>53.47</v>
      </c>
      <c r="Y138" s="11">
        <v>45.75</v>
      </c>
      <c r="Z138" s="11">
        <v>43.54</v>
      </c>
      <c r="AA138" s="11">
        <v>44.98</v>
      </c>
      <c r="AB138" s="11">
        <v>42.22</v>
      </c>
      <c r="AC138" s="11">
        <v>42</v>
      </c>
      <c r="AD138" s="11">
        <v>37.03</v>
      </c>
    </row>
    <row r="139" spans="1:30" x14ac:dyDescent="0.2">
      <c r="A139" s="17">
        <v>45566</v>
      </c>
      <c r="B139" s="18">
        <f t="shared" si="12"/>
        <v>10</v>
      </c>
      <c r="C139" s="18">
        <f t="shared" si="13"/>
        <v>4</v>
      </c>
      <c r="D139" s="11">
        <f t="shared" si="14"/>
        <v>2024</v>
      </c>
      <c r="E139" s="19">
        <f>AVERAGEIFS('Daily Prices'!$B$4:$B$3000,'Daily Prices'!$C$4:$C$3000,Monthly!$B139,'Daily Prices'!$D$4:$D$3000,Monthly!$D139)</f>
        <v>37.978260869565219</v>
      </c>
      <c r="F139" s="1">
        <f>AVERAGEIFS('Daily Prices'!$F$4:$F$3000,'Daily Prices'!$G$4:$G$3000,Monthly!$B139,'Daily Prices'!$H$4:$H$3000,Monthly!$D139)</f>
        <v>66.565217391304344</v>
      </c>
      <c r="G139" s="11">
        <v>36.979999999999997</v>
      </c>
      <c r="H139" s="13">
        <v>48.49</v>
      </c>
      <c r="I139" s="19">
        <f>AVERAGEIFS('RIN Daily Prices'!$D$4:$D$2925,'RIN Daily Prices'!$B$4:$B$2925,Monthly!$D139,'RIN Daily Prices'!$A$4:$A$2925,Monthly!$B139)</f>
        <v>326.47826086956519</v>
      </c>
      <c r="J139" s="1">
        <f>AVERAGEIFS('RIN Daily Prices'!$F$4:$F$2925,'RIN Daily Prices'!$B$4:$B$2925,Monthly!$D139,'RIN Daily Prices'!$A$4:$A$2925,Monthly!$B139)</f>
        <v>69.870434782608697</v>
      </c>
      <c r="K139" s="1">
        <f>AVERAGEIFS('RIN Daily Prices'!$H$4:$H$2925,'RIN Daily Prices'!$B$4:$B$2925,Monthly!$D139,'RIN Daily Prices'!$A$4:$A$2925,Monthly!$B139)</f>
        <v>69.201739130434774</v>
      </c>
      <c r="L139" s="20">
        <f>AVERAGEIFS('RIN Daily Prices'!$J$4:$J$2925,'RIN Daily Prices'!$B$4:$B$2925,Monthly!$D139,'RIN Daily Prices'!$A$4:$A$2925,Monthly!$B139)</f>
        <v>69.833043478260876</v>
      </c>
      <c r="M139" s="21">
        <f>[2]Prices!$D652/2.8</f>
        <v>1.4861413043478262</v>
      </c>
      <c r="O139" s="22"/>
      <c r="P139" s="23">
        <f t="shared" si="11"/>
        <v>3.2901060869565208</v>
      </c>
      <c r="R139" s="24"/>
      <c r="S139" s="23">
        <f>[4]Prices!$D660</f>
        <v>43.290869565217378</v>
      </c>
      <c r="T139" s="1">
        <f>'[6]Used Cooking Oil Complex'!$AG198</f>
        <v>37.173913043478258</v>
      </c>
      <c r="U139" s="25"/>
      <c r="V139" s="25"/>
      <c r="W139" s="25"/>
      <c r="X139" s="12">
        <v>54.18</v>
      </c>
      <c r="Y139" s="11">
        <v>44.59</v>
      </c>
      <c r="Z139" s="11">
        <v>43.03</v>
      </c>
      <c r="AA139" s="11">
        <v>44.83</v>
      </c>
      <c r="AB139" s="11">
        <v>43.31</v>
      </c>
      <c r="AC139" s="11">
        <v>42.5</v>
      </c>
      <c r="AD139" s="11">
        <v>39</v>
      </c>
    </row>
    <row r="140" spans="1:30" x14ac:dyDescent="0.2">
      <c r="A140" s="17">
        <v>45597</v>
      </c>
      <c r="B140" s="18">
        <f t="shared" si="12"/>
        <v>11</v>
      </c>
      <c r="C140" s="18">
        <f t="shared" si="13"/>
        <v>4</v>
      </c>
      <c r="D140" s="11">
        <f t="shared" si="14"/>
        <v>2024</v>
      </c>
      <c r="E140" s="19">
        <f>AVERAGEIFS('Daily Prices'!$B$4:$B$4000,'Daily Prices'!$C$4:$C$4000,Monthly!$B140,'Daily Prices'!$D$4:$D$4000,Monthly!$D140)</f>
        <v>41.837499999999999</v>
      </c>
      <c r="F140" s="1">
        <f>AVERAGEIFS('Daily Prices'!$F$4:$F$4000,'Daily Prices'!$G$4:$G$4000,Monthly!$B140,'Daily Prices'!$H$4:$H$4000,Monthly!$D140)</f>
        <v>73.900499999999994</v>
      </c>
      <c r="G140" s="11">
        <v>23.88</v>
      </c>
      <c r="H140" s="13">
        <v>75.03</v>
      </c>
      <c r="I140" s="19">
        <f>AVERAGEIFS('RIN Daily Prices'!$D$4:$D$2925,'RIN Daily Prices'!$B$4:$B$2925,Monthly!$D140,'RIN Daily Prices'!$A$4:$A$2925,Monthly!$B140)</f>
        <v>274.9375</v>
      </c>
      <c r="J140" s="1">
        <f>AVERAGEIFS('RIN Daily Prices'!$F$4:$F$2925,'RIN Daily Prices'!$B$4:$B$2925,Monthly!$D140,'RIN Daily Prices'!$A$4:$A$2925,Monthly!$B140)</f>
        <v>68.287999999999997</v>
      </c>
      <c r="K140" s="1">
        <f>AVERAGEIFS('RIN Daily Prices'!$H$4:$H$2925,'RIN Daily Prices'!$B$4:$B$2925,Monthly!$D140,'RIN Daily Prices'!$A$4:$A$2925,Monthly!$B140)</f>
        <v>67.075000000000003</v>
      </c>
      <c r="L140" s="20">
        <f>AVERAGEIFS('RIN Daily Prices'!$J$4:$J$2925,'RIN Daily Prices'!$B$4:$B$2925,Monthly!$D140,'RIN Daily Prices'!$A$4:$A$2925,Monthly!$B140)</f>
        <v>67.763000000000005</v>
      </c>
      <c r="M140" s="21">
        <f>[2]Prices!$D653/2.8</f>
        <v>1.5151339285714287</v>
      </c>
      <c r="O140" s="22"/>
      <c r="P140" s="23">
        <f t="shared" si="11"/>
        <v>3.394806</v>
      </c>
      <c r="R140" s="24"/>
      <c r="S140" s="23">
        <f>[4]Prices!$D661</f>
        <v>44.668500000000002</v>
      </c>
      <c r="T140" s="1">
        <f>'[6]Used Cooking Oil Complex'!$AG199</f>
        <v>37.5</v>
      </c>
      <c r="U140" s="25"/>
      <c r="V140" s="25"/>
      <c r="W140" s="25"/>
      <c r="X140" s="19"/>
    </row>
    <row r="141" spans="1:30" x14ac:dyDescent="0.2">
      <c r="A141" s="17">
        <v>45627</v>
      </c>
      <c r="B141" s="18">
        <f t="shared" si="12"/>
        <v>12</v>
      </c>
      <c r="C141" s="18">
        <f t="shared" si="13"/>
        <v>4</v>
      </c>
      <c r="D141" s="11">
        <f t="shared" si="14"/>
        <v>2024</v>
      </c>
      <c r="E141" s="19">
        <f>AVERAGEIFS('Daily Prices'!$B$4:$B$4000,'Daily Prices'!$C$4:$C$4000,Monthly!$B141,'Daily Prices'!$D$4:$D$4000,Monthly!$D141)</f>
        <v>41.238095238095241</v>
      </c>
      <c r="F141" s="1">
        <f>AVERAGEIFS('Daily Prices'!$F$4:$F$4000,'Daily Prices'!$G$4:$G$4000,Monthly!$B141,'Daily Prices'!$H$4:$H$4000,Monthly!$D141)</f>
        <v>76.511904761904759</v>
      </c>
      <c r="G141" s="11">
        <v>25.71</v>
      </c>
      <c r="H141" s="13">
        <v>65.790000000000006</v>
      </c>
      <c r="I141" s="19">
        <f>AVERAGEIFS('RIN Daily Prices'!$D$4:$D$2925,'RIN Daily Prices'!$B$4:$B$2925,Monthly!$D141,'RIN Daily Prices'!$A$4:$A$2925,Monthly!$B141)</f>
        <v>226.26190476190476</v>
      </c>
      <c r="J141" s="1">
        <f>AVERAGEIFS('RIN Daily Prices'!$F$4:$F$2925,'RIN Daily Prices'!$B$4:$B$2925,Monthly!$D141,'RIN Daily Prices'!$A$4:$A$2925,Monthly!$B141)</f>
        <v>60.233809523809541</v>
      </c>
      <c r="K141" s="1">
        <f>AVERAGEIFS('RIN Daily Prices'!$H$4:$H$2925,'RIN Daily Prices'!$B$4:$B$2925,Monthly!$D141,'RIN Daily Prices'!$A$4:$A$2925,Monthly!$B141)</f>
        <v>59.845238095238095</v>
      </c>
      <c r="L141" s="20">
        <f>AVERAGEIFS('RIN Daily Prices'!$J$4:$J$2925,'RIN Daily Prices'!$B$4:$B$2925,Monthly!$D141,'RIN Daily Prices'!$A$4:$A$2925,Monthly!$B141)</f>
        <v>60.184761904761913</v>
      </c>
      <c r="M141" s="21">
        <f>[2]Prices!$D654/2.8</f>
        <v>1.5678571428571428</v>
      </c>
      <c r="O141" s="22"/>
      <c r="P141" s="23">
        <f t="shared" si="11"/>
        <v>3.1248304761904762</v>
      </c>
      <c r="R141" s="24"/>
      <c r="S141" s="23">
        <f>[4]Prices!$D662</f>
        <v>41.116190476190482</v>
      </c>
      <c r="T141" s="1">
        <f>'[6]Used Cooking Oil Complex'!$AG200</f>
        <v>37.5</v>
      </c>
      <c r="U141" s="25"/>
      <c r="V141" s="25"/>
      <c r="W141" s="25"/>
      <c r="X141" s="19"/>
    </row>
    <row r="142" spans="1:30" x14ac:dyDescent="0.2">
      <c r="A142" s="17">
        <v>45658</v>
      </c>
      <c r="B142" s="18">
        <f t="shared" si="12"/>
        <v>1</v>
      </c>
      <c r="C142" s="18">
        <f t="shared" si="13"/>
        <v>1</v>
      </c>
      <c r="D142" s="11">
        <f t="shared" si="14"/>
        <v>2025</v>
      </c>
      <c r="E142" s="19">
        <f>AVERAGEIFS('Daily Prices'!$B$4:$B$4000,'Daily Prices'!$C$4:$C$4000,Monthly!$B142,'Daily Prices'!$D$4:$D$4000,Monthly!$D142)</f>
        <v>51.761904761904759</v>
      </c>
      <c r="F142" s="1">
        <f>AVERAGEIFS('Daily Prices'!$F$4:$F$4000,'Daily Prices'!$G$4:$G$4000,Monthly!$B142,'Daily Prices'!$H$4:$H$4000,Monthly!$D142)</f>
        <v>73.011904761904759</v>
      </c>
      <c r="G142" s="11">
        <v>22.93</v>
      </c>
      <c r="H142" s="13">
        <v>43.73</v>
      </c>
      <c r="I142" s="19">
        <f>AVERAGEIFS('RIN Daily Prices'!$D$4:$D$2925,'RIN Daily Prices'!$B$4:$B$2925,Monthly!$D142,'RIN Daily Prices'!$A$4:$A$2925,Monthly!$B142)</f>
        <v>237.76190476190476</v>
      </c>
      <c r="J142" s="1">
        <f>AVERAGEIFS('RIN Daily Prices'!$F$4:$F$2925,'RIN Daily Prices'!$B$4:$B$2925,Monthly!$D142,'RIN Daily Prices'!$A$4:$A$2925,Monthly!$B142)</f>
        <v>71.86904761904762</v>
      </c>
      <c r="K142" s="1">
        <f>AVERAGEIFS('RIN Daily Prices'!$H$4:$H$2925,'RIN Daily Prices'!$B$4:$B$2925,Monthly!$D142,'RIN Daily Prices'!$A$4:$A$2925,Monthly!$B142)</f>
        <v>71.142857142857139</v>
      </c>
      <c r="L142" s="20">
        <f>AVERAGEIFS('RIN Daily Prices'!$J$4:$J$2925,'RIN Daily Prices'!$B$4:$B$2925,Monthly!$D142,'RIN Daily Prices'!$A$4:$A$2925,Monthly!$B142)</f>
        <v>69.142857142857139</v>
      </c>
      <c r="M142" s="21">
        <f>[2]Prices!$D655/2.8</f>
        <v>1.6976190476190476</v>
      </c>
      <c r="O142" s="22"/>
      <c r="P142" s="23">
        <f t="shared" si="11"/>
        <v>3.5043599999999997</v>
      </c>
      <c r="R142" s="24"/>
      <c r="S142" s="23">
        <f>[4]Prices!$D663</f>
        <v>46.11</v>
      </c>
      <c r="T142" s="1">
        <f>'[6]Used Cooking Oil Complex'!$AG201</f>
        <v>40.357142857142854</v>
      </c>
      <c r="U142" s="25"/>
      <c r="V142" s="25"/>
      <c r="W142" s="25"/>
      <c r="X142" s="19"/>
    </row>
    <row r="143" spans="1:30" x14ac:dyDescent="0.2">
      <c r="A143" s="17">
        <v>45689</v>
      </c>
      <c r="B143" s="18">
        <f t="shared" si="12"/>
        <v>2</v>
      </c>
      <c r="C143" s="18">
        <f t="shared" si="13"/>
        <v>1</v>
      </c>
      <c r="D143" s="11">
        <f t="shared" si="14"/>
        <v>2025</v>
      </c>
      <c r="E143" s="19">
        <f>AVERAGEIFS('Daily Prices'!$B$4:$B$4000,'Daily Prices'!$C$4:$C$4000,Monthly!$B143,'Daily Prices'!$D$4:$D$4000,Monthly!$D143)</f>
        <v>64.473684210526315</v>
      </c>
      <c r="F143" s="1">
        <f>AVERAGEIFS('Daily Prices'!$F$4:$F$4000,'Daily Prices'!$G$4:$G$4000,Monthly!$B143,'Daily Prices'!$H$4:$H$4000,Monthly!$D143)</f>
        <v>68.986842105263165</v>
      </c>
      <c r="I143" s="19">
        <f>AVERAGEIFS('RIN Daily Prices'!$D$4:$D$2925,'RIN Daily Prices'!$B$4:$B$2925,Monthly!$D143,'RIN Daily Prices'!$A$4:$A$2925,Monthly!$B143)</f>
        <v>247.06578947368422</v>
      </c>
      <c r="J143" s="1">
        <f>AVERAGEIFS('RIN Daily Prices'!$F$4:$F$2925,'RIN Daily Prices'!$B$4:$B$2925,Monthly!$D143,'RIN Daily Prices'!$A$4:$A$2925,Monthly!$B143)</f>
        <v>84.94736842105263</v>
      </c>
      <c r="K143" s="1">
        <f>AVERAGEIFS('RIN Daily Prices'!$H$4:$H$2925,'RIN Daily Prices'!$B$4:$B$2925,Monthly!$D143,'RIN Daily Prices'!$A$4:$A$2925,Monthly!$B143)</f>
        <v>83.618421052631575</v>
      </c>
      <c r="L143" s="20">
        <f>AVERAGEIFS('RIN Daily Prices'!$J$4:$J$2925,'RIN Daily Prices'!$B$4:$B$2925,Monthly!$D143,'RIN Daily Prices'!$A$4:$A$2925,Monthly!$B143)</f>
        <v>80.55263157894737</v>
      </c>
      <c r="M143" s="21">
        <f>[2]Prices!$D656/2.8</f>
        <v>1.7410244360902258</v>
      </c>
      <c r="O143" s="22"/>
      <c r="P143" s="23">
        <f t="shared" si="11"/>
        <v>3.4825600000000003</v>
      </c>
      <c r="R143" s="24"/>
      <c r="S143" s="23">
        <f>[4]Prices!$D664</f>
        <v>45.823157894736845</v>
      </c>
      <c r="T143" s="1">
        <f>'[6]Used Cooking Oil Complex'!$AG202</f>
        <v>42.5</v>
      </c>
      <c r="U143" s="25"/>
      <c r="V143" s="25"/>
      <c r="W143" s="25"/>
      <c r="X143" s="19"/>
    </row>
    <row r="144" spans="1:30" x14ac:dyDescent="0.2">
      <c r="A144" s="17">
        <v>45717</v>
      </c>
      <c r="B144" s="18">
        <f t="shared" si="12"/>
        <v>3</v>
      </c>
      <c r="C144" s="18">
        <f t="shared" si="13"/>
        <v>1</v>
      </c>
      <c r="D144" s="11">
        <f t="shared" si="14"/>
        <v>2025</v>
      </c>
      <c r="E144" s="19">
        <f>AVERAGEIFS('Daily Prices'!$B$4:$B$4000,'Daily Prices'!$C$4:$C$4000,Monthly!$B144,'Daily Prices'!$D$4:$D$4000,Monthly!$D144)</f>
        <v>63</v>
      </c>
      <c r="F144" s="1">
        <f>AVERAGEIFS('Daily Prices'!$F$4:$F$4000,'Daily Prices'!$G$4:$G$4000,Monthly!$B144,'Daily Prices'!$H$4:$H$4000,Monthly!$D144)</f>
        <v>57.857142857142854</v>
      </c>
      <c r="J144" s="1">
        <f>AVERAGEIFS('RIN Daily Prices'!$F$4:$F$2925,'RIN Daily Prices'!$B$4:$B$2925,Monthly!$D144,'RIN Daily Prices'!$A$4:$A$2925,Monthly!$B144)</f>
        <v>79.571428571428569</v>
      </c>
      <c r="K144" s="1">
        <f>AVERAGEIFS('RIN Daily Prices'!$H$4:$H$2925,'RIN Daily Prices'!$B$4:$B$2925,Monthly!$D144,'RIN Daily Prices'!$A$4:$A$2925,Monthly!$B144)</f>
        <v>78.297619047619051</v>
      </c>
      <c r="L144" s="20">
        <f>AVERAGEIFS('RIN Daily Prices'!$J$4:$J$2925,'RIN Daily Prices'!$B$4:$B$2925,Monthly!$D144,'RIN Daily Prices'!$A$4:$A$2925,Monthly!$B144)</f>
        <v>74.226190476190482</v>
      </c>
      <c r="M144" s="21">
        <f>[2]Prices!$D657/2.8</f>
        <v>1.6235119047619049</v>
      </c>
      <c r="O144" s="22"/>
      <c r="P144" s="23">
        <f t="shared" si="11"/>
        <v>3.30524</v>
      </c>
      <c r="R144" s="24"/>
      <c r="S144" s="23">
        <f>[4]Prices!$D665</f>
        <v>43.49</v>
      </c>
      <c r="T144" s="1">
        <f>'[6]Used Cooking Oil Complex'!$AG203</f>
        <v>43.333333333333336</v>
      </c>
      <c r="U144" s="25"/>
      <c r="V144" s="25"/>
      <c r="W144" s="25"/>
      <c r="X144" s="19"/>
    </row>
    <row r="145" spans="1:24" x14ac:dyDescent="0.2">
      <c r="A145" s="17">
        <v>45748</v>
      </c>
      <c r="B145" s="18">
        <f t="shared" si="12"/>
        <v>4</v>
      </c>
      <c r="C145" s="18">
        <f t="shared" si="13"/>
        <v>2</v>
      </c>
      <c r="D145" s="11">
        <f t="shared" si="14"/>
        <v>2025</v>
      </c>
      <c r="E145" s="19">
        <f>AVERAGEIFS('Daily Prices'!$B$4:$B$4000,'Daily Prices'!$C$4:$C$4000,Monthly!$B145,'Daily Prices'!$D$4:$D$4000,Monthly!$D145)</f>
        <v>65.875</v>
      </c>
      <c r="F145" s="1">
        <f>AVERAGEIFS('Daily Prices'!$F$4:$F$4000,'Daily Prices'!$G$4:$G$4000,Monthly!$B145,'Daily Prices'!$H$4:$H$4000,Monthly!$D145)</f>
        <v>57.958333333333336</v>
      </c>
      <c r="J145" s="1">
        <f>AVERAGEIFS('RIN Daily Prices'!$F$4:$F$2925,'RIN Daily Prices'!$B$4:$B$2925,Monthly!$D145,'RIN Daily Prices'!$A$4:$A$2925,Monthly!$B145)</f>
        <v>103.72916666666667</v>
      </c>
      <c r="K145" s="1">
        <f>AVERAGEIFS('RIN Daily Prices'!$H$4:$H$2925,'RIN Daily Prices'!$B$4:$B$2925,Monthly!$D145,'RIN Daily Prices'!$A$4:$A$2925,Monthly!$B145)</f>
        <v>101.75</v>
      </c>
      <c r="L145" s="20">
        <f>AVERAGEIFS('RIN Daily Prices'!$J$4:$J$2925,'RIN Daily Prices'!$B$4:$B$2925,Monthly!$D145,'RIN Daily Prices'!$A$4:$A$2925,Monthly!$B145)</f>
        <v>95.6875</v>
      </c>
      <c r="M145" s="21">
        <f>[2]Prices!$D658/2.8</f>
        <v>1.6888839285714285</v>
      </c>
      <c r="N145" s="1"/>
      <c r="O145" s="22"/>
      <c r="P145" s="23">
        <f t="shared" si="11"/>
        <v>3.6092399999999998</v>
      </c>
      <c r="R145" s="24"/>
      <c r="S145" s="23">
        <f>[4]Prices!$D666</f>
        <v>47.49</v>
      </c>
      <c r="T145" s="1">
        <f>'[6]Used Cooking Oil Complex'!$AG204</f>
        <v>42.25</v>
      </c>
      <c r="U145" s="25"/>
      <c r="V145" s="25"/>
      <c r="W145" s="25"/>
      <c r="X145" s="19"/>
    </row>
    <row r="146" spans="1:24" x14ac:dyDescent="0.2">
      <c r="A146" s="17">
        <v>45778</v>
      </c>
      <c r="B146" s="18">
        <f t="shared" si="12"/>
        <v>5</v>
      </c>
      <c r="C146" s="18">
        <f t="shared" si="13"/>
        <v>2</v>
      </c>
      <c r="D146" s="11">
        <f t="shared" si="14"/>
        <v>2025</v>
      </c>
      <c r="E146" s="19"/>
      <c r="F146" s="1"/>
      <c r="J146" s="26">
        <f>MultiRegressionD4RIN!$B$17+(Monthly!$S146*MultiRegressionD4RIN!$B$18)+(Monthly!$T146*MultiRegressionD4RIN!$B$19)+5</f>
        <v>89.95786754287731</v>
      </c>
      <c r="K146" s="26">
        <f>FORECAST($J146,K$107:K145,$J$107:$J145)</f>
        <v>89.056266585786062</v>
      </c>
      <c r="L146" s="27">
        <f>J146-8</f>
        <v>81.95786754287731</v>
      </c>
      <c r="M146" s="21">
        <f>[2]Prices!$D659/2.8</f>
        <v>1.7240678966614731</v>
      </c>
      <c r="O146" s="22"/>
      <c r="P146" s="23">
        <f t="shared" si="11"/>
        <v>3.6925035982683978</v>
      </c>
      <c r="R146" s="24"/>
      <c r="S146" s="28">
        <f>'[7]Monthly Prices'!$D307</f>
        <v>48.585573661426288</v>
      </c>
      <c r="T146" s="29">
        <f>'[6]Used Cooking Oil Complex'!$AG205</f>
        <v>37.75</v>
      </c>
      <c r="U146" s="25"/>
      <c r="V146" s="25"/>
      <c r="W146" s="25"/>
      <c r="X146" s="19"/>
    </row>
    <row r="147" spans="1:24" x14ac:dyDescent="0.2">
      <c r="A147" s="17">
        <v>45809</v>
      </c>
      <c r="B147" s="18">
        <f t="shared" si="12"/>
        <v>6</v>
      </c>
      <c r="C147" s="18">
        <f t="shared" si="13"/>
        <v>2</v>
      </c>
      <c r="D147" s="11">
        <f t="shared" si="14"/>
        <v>2025</v>
      </c>
      <c r="E147" s="19"/>
      <c r="F147" s="1"/>
      <c r="J147" s="26">
        <f>MultiRegressionD4RIN!$B$17+(Monthly!$S147*MultiRegressionD4RIN!$B$18)+(Monthly!$T147*MultiRegressionD4RIN!$B$19)+9</f>
        <v>98.365904403605242</v>
      </c>
      <c r="K147" s="26">
        <f>FORECAST($J147,K$107:K146,$J$107:$J146)</f>
        <v>97.452854500024898</v>
      </c>
      <c r="L147" s="27">
        <f>J147-9</f>
        <v>89.365904403605242</v>
      </c>
      <c r="M147" s="21">
        <f>[2]Prices!$D660/2.8</f>
        <v>1.6439400404950832</v>
      </c>
      <c r="O147" s="22"/>
      <c r="P147" s="23">
        <f t="shared" si="11"/>
        <v>3.739656162770562</v>
      </c>
      <c r="R147" s="24"/>
      <c r="S147" s="28">
        <f>'[7]Monthly Prices'!$D308</f>
        <v>49.206002141717924</v>
      </c>
      <c r="T147" s="29">
        <f>'[6]Used Cooking Oil Complex'!$AG206</f>
        <v>41</v>
      </c>
      <c r="U147" s="25"/>
      <c r="V147" s="25"/>
      <c r="W147" s="25"/>
      <c r="X147" s="19"/>
    </row>
    <row r="148" spans="1:24" x14ac:dyDescent="0.2">
      <c r="A148" s="17">
        <v>45839</v>
      </c>
      <c r="B148" s="18">
        <f t="shared" si="12"/>
        <v>7</v>
      </c>
      <c r="C148" s="18">
        <f t="shared" si="13"/>
        <v>3</v>
      </c>
      <c r="D148" s="11">
        <f t="shared" si="14"/>
        <v>2025</v>
      </c>
      <c r="E148" s="19"/>
      <c r="F148" s="1"/>
      <c r="J148" s="26">
        <f>MultiRegressionD4RIN!$B$17+(Monthly!$S148*MultiRegressionD4RIN!$B$18)+(Monthly!$T148*MultiRegressionD4RIN!$B$19)+17</f>
        <v>105.76821901270222</v>
      </c>
      <c r="K148" s="26">
        <f>FORECAST($J148,K$107:K147,$J$107:$J147)</f>
        <v>104.84508962145321</v>
      </c>
      <c r="L148" s="27">
        <f>J148-9</f>
        <v>96.768219012702218</v>
      </c>
      <c r="M148" s="21">
        <f>[2]Prices!$D661/2.8</f>
        <v>1.4523295084832355</v>
      </c>
      <c r="O148" s="22"/>
      <c r="P148" s="23">
        <f t="shared" si="11"/>
        <v>3.7366771070205145</v>
      </c>
      <c r="R148" s="24"/>
      <c r="S148" s="28">
        <f>'[7]Monthly Prices'!$D309</f>
        <v>49.166804039743617</v>
      </c>
      <c r="T148" s="29">
        <f>'[6]Used Cooking Oil Complex'!$AG207</f>
        <v>40.5</v>
      </c>
      <c r="U148" s="25"/>
      <c r="V148" s="25"/>
      <c r="W148" s="25"/>
      <c r="X148" s="19"/>
    </row>
    <row r="149" spans="1:24" x14ac:dyDescent="0.2">
      <c r="A149" s="17">
        <v>45870</v>
      </c>
      <c r="B149" s="18">
        <f t="shared" si="12"/>
        <v>8</v>
      </c>
      <c r="C149" s="18">
        <f t="shared" si="13"/>
        <v>3</v>
      </c>
      <c r="D149" s="11">
        <f t="shared" si="14"/>
        <v>2025</v>
      </c>
      <c r="E149" s="19"/>
      <c r="F149" s="1"/>
      <c r="J149" s="26">
        <f>MultiRegressionD4RIN!$B$17+(Monthly!$S149*MultiRegressionD4RIN!$B$18)+(Monthly!$T149*MultiRegressionD4RIN!$B$19)+10</f>
        <v>98.101433777299803</v>
      </c>
      <c r="K149" s="26">
        <f>FORECAST($J149,K$107:K148,$J$107:$J148)</f>
        <v>97.188743994648831</v>
      </c>
      <c r="L149" s="27">
        <f>J149-7</f>
        <v>91.101433777299803</v>
      </c>
      <c r="M149" s="21">
        <f>[2]Prices!$D662/2.8</f>
        <v>1.3748222741006815</v>
      </c>
      <c r="O149" s="22"/>
      <c r="P149" s="23">
        <f t="shared" si="11"/>
        <v>3.7444136037643498</v>
      </c>
      <c r="R149" s="24"/>
      <c r="S149" s="28">
        <f>'[7]Monthly Prices'!$D310</f>
        <v>49.268600049530924</v>
      </c>
      <c r="T149" s="29">
        <f>'[6]Used Cooking Oil Complex'!$AG208</f>
        <v>39.75</v>
      </c>
      <c r="U149" s="25"/>
      <c r="V149" s="25"/>
      <c r="W149" s="25"/>
      <c r="X149" s="19"/>
    </row>
    <row r="150" spans="1:24" x14ac:dyDescent="0.2">
      <c r="A150" s="17">
        <v>45901</v>
      </c>
      <c r="B150" s="18">
        <f t="shared" si="12"/>
        <v>9</v>
      </c>
      <c r="C150" s="18">
        <f t="shared" si="13"/>
        <v>3</v>
      </c>
      <c r="D150" s="11">
        <f t="shared" si="14"/>
        <v>2025</v>
      </c>
      <c r="E150" s="19"/>
      <c r="F150" s="1"/>
      <c r="J150" s="26">
        <f>MultiRegressionD4RIN!$B$17+(Monthly!$S150*MultiRegressionD4RIN!$B$18)+(Monthly!$T150*MultiRegressionD4RIN!$B$19)+10</f>
        <v>95.706368084269499</v>
      </c>
      <c r="K150" s="26">
        <f>FORECAST($J150,K$107:K149,$J$107:$J149)</f>
        <v>94.796939583581462</v>
      </c>
      <c r="L150" s="27">
        <f>J150-7</f>
        <v>88.706368084269499</v>
      </c>
      <c r="M150" s="21">
        <f>[2]Prices!$D663/2.8</f>
        <v>1.4135416652168116</v>
      </c>
      <c r="O150" s="22"/>
      <c r="P150" s="23">
        <f t="shared" si="11"/>
        <v>3.6603352658008648</v>
      </c>
      <c r="R150" s="24"/>
      <c r="S150" s="28">
        <f>'[7]Monthly Prices'!$D311</f>
        <v>48.162306128958747</v>
      </c>
      <c r="T150" s="29">
        <f>'[6]Used Cooking Oil Complex'!$AG209</f>
        <v>39</v>
      </c>
      <c r="U150" s="25"/>
      <c r="V150" s="25"/>
      <c r="W150" s="25"/>
      <c r="X150" s="19"/>
    </row>
    <row r="151" spans="1:24" x14ac:dyDescent="0.2">
      <c r="A151" s="17">
        <v>45931</v>
      </c>
      <c r="B151" s="18">
        <f t="shared" si="12"/>
        <v>10</v>
      </c>
      <c r="C151" s="18">
        <f t="shared" si="13"/>
        <v>4</v>
      </c>
      <c r="D151" s="11">
        <f t="shared" si="14"/>
        <v>2025</v>
      </c>
      <c r="E151" s="19"/>
      <c r="F151" s="1"/>
      <c r="J151" s="26">
        <f>MultiRegressionD4RIN!$B$17+(Monthly!$S151*MultiRegressionD4RIN!$B$18)+(Monthly!$T151*MultiRegressionD4RIN!$B$19)-1.5</f>
        <v>92.26754112336441</v>
      </c>
      <c r="K151" s="26">
        <f>FORECAST($J151,K$107:K150,$J$107:$J150)</f>
        <v>91.362795159933611</v>
      </c>
      <c r="L151" s="27">
        <f>J151-6</f>
        <v>86.26754112336441</v>
      </c>
      <c r="M151" s="21">
        <f>[2]Prices!$D664/2.8</f>
        <v>1.4725757460428179</v>
      </c>
      <c r="O151" s="22"/>
      <c r="P151" s="23">
        <f t="shared" si="11"/>
        <v>3.6138309702239786</v>
      </c>
      <c r="R151" s="24"/>
      <c r="S151" s="28">
        <f>'[7]Monthly Prices'!$D312</f>
        <v>47.550407502947088</v>
      </c>
      <c r="T151" s="29">
        <f>'[6]Used Cooking Oil Complex'!$AH198</f>
        <v>47.25</v>
      </c>
      <c r="U151" s="25"/>
      <c r="V151" s="25"/>
      <c r="W151" s="25"/>
      <c r="X151" s="19"/>
    </row>
    <row r="152" spans="1:24" x14ac:dyDescent="0.2">
      <c r="A152" s="17">
        <v>45962</v>
      </c>
      <c r="B152" s="18">
        <f t="shared" si="12"/>
        <v>11</v>
      </c>
      <c r="C152" s="18">
        <f t="shared" si="13"/>
        <v>4</v>
      </c>
      <c r="D152" s="11">
        <f t="shared" si="14"/>
        <v>2025</v>
      </c>
      <c r="E152" s="19"/>
      <c r="F152" s="1"/>
      <c r="J152" s="26">
        <f>MultiRegressionD4RIN!$B$17+(Monthly!$S152*MultiRegressionD4RIN!$B$18)+(Monthly!$T152*MultiRegressionD4RIN!$B$19)+5</f>
        <v>93.963907718403618</v>
      </c>
      <c r="K152" s="26">
        <f>FORECAST($J152,K$107:K151,$J$107:$J151)</f>
        <v>93.056851868527971</v>
      </c>
      <c r="L152" s="27">
        <f>J152-5</f>
        <v>88.963907718403618</v>
      </c>
      <c r="M152" s="21">
        <f>[2]Prices!$D665/2.8</f>
        <v>1.4859655597746346</v>
      </c>
      <c r="O152" s="22"/>
      <c r="P152" s="23">
        <f t="shared" si="11"/>
        <v>3.7183001038961034</v>
      </c>
      <c r="R152" s="24"/>
      <c r="S152" s="28">
        <f>'[7]Monthly Prices'!$D313</f>
        <v>48.925001367053994</v>
      </c>
      <c r="T152" s="29">
        <f>'[6]Used Cooking Oil Complex'!$AH199</f>
        <v>41</v>
      </c>
      <c r="U152" s="25"/>
      <c r="V152" s="25"/>
      <c r="W152" s="25"/>
      <c r="X152" s="19"/>
    </row>
    <row r="153" spans="1:24" x14ac:dyDescent="0.2">
      <c r="A153" s="17">
        <v>45992</v>
      </c>
      <c r="B153" s="18">
        <f t="shared" si="12"/>
        <v>12</v>
      </c>
      <c r="C153" s="18">
        <f t="shared" si="13"/>
        <v>4</v>
      </c>
      <c r="D153" s="11">
        <f t="shared" si="14"/>
        <v>2025</v>
      </c>
      <c r="E153" s="19"/>
      <c r="F153" s="1"/>
      <c r="J153" s="26">
        <f>MultiRegressionD4RIN!$B$17+(Monthly!$S153*MultiRegressionD4RIN!$B$18)+(Monthly!$T153*MultiRegressionD4RIN!$B$19)+2</f>
        <v>76.177116424503339</v>
      </c>
      <c r="K153" s="26">
        <f>FORECAST($J153,K$107:K152,$J$107:$J152)</f>
        <v>75.294280261709247</v>
      </c>
      <c r="L153" s="27">
        <f>J153-1</f>
        <v>75.177116424503339</v>
      </c>
      <c r="M153" s="21">
        <f>[2]Prices!$D666/2.8</f>
        <v>1.5090793629514077</v>
      </c>
      <c r="O153" s="22"/>
      <c r="P153" s="23">
        <f t="shared" si="11"/>
        <v>3.4362791393939394</v>
      </c>
      <c r="R153" s="24"/>
      <c r="S153" s="28">
        <f>'[7]Monthly Prices'!$D314</f>
        <v>45.214199202551832</v>
      </c>
      <c r="T153" s="29">
        <f>'[6]Used Cooking Oil Complex'!$AH200</f>
        <v>32.25</v>
      </c>
      <c r="U153" s="25"/>
      <c r="V153" s="25"/>
      <c r="W153" s="25"/>
      <c r="X153" s="19"/>
    </row>
    <row r="154" spans="1:24" x14ac:dyDescent="0.2">
      <c r="A154" s="17">
        <v>46023</v>
      </c>
      <c r="B154" s="18">
        <f t="shared" si="12"/>
        <v>1</v>
      </c>
      <c r="C154" s="18">
        <f t="shared" si="13"/>
        <v>1</v>
      </c>
      <c r="D154" s="11">
        <f t="shared" si="14"/>
        <v>2026</v>
      </c>
      <c r="E154" s="19"/>
      <c r="F154" s="1"/>
      <c r="J154" s="26">
        <f>MultiRegressionD4RIN!$B$17+(Monthly!$S154*MultiRegressionD4RIN!$B$18)+(Monthly!$T154*MultiRegressionD4RIN!$B$19)+8</f>
        <v>86.94909033588246</v>
      </c>
      <c r="K154" s="26">
        <f>FORECAST($J154,K$107:K153,$J$107:$J153)</f>
        <v>86.051586331482</v>
      </c>
      <c r="L154" s="27">
        <f>J154-7</f>
        <v>79.94909033588246</v>
      </c>
      <c r="M154" s="21">
        <f>[2]Prices!$D667/2.8</f>
        <v>1.5679133309883833</v>
      </c>
      <c r="O154" s="22"/>
      <c r="P154" s="23">
        <f t="shared" si="11"/>
        <v>3.4596064086580078</v>
      </c>
      <c r="R154" s="24"/>
      <c r="S154" s="28">
        <f>'[7]Monthly Prices'!$D315</f>
        <v>45.521136956026417</v>
      </c>
      <c r="T154" s="29">
        <f>'[6]Used Cooking Oil Complex'!$AH201</f>
        <v>36.25</v>
      </c>
      <c r="U154" s="25"/>
      <c r="V154" s="25"/>
      <c r="W154" s="25"/>
      <c r="X154" s="19"/>
    </row>
    <row r="155" spans="1:24" x14ac:dyDescent="0.2">
      <c r="A155" s="17">
        <v>46054</v>
      </c>
      <c r="B155" s="18">
        <f t="shared" si="12"/>
        <v>2</v>
      </c>
      <c r="C155" s="18">
        <f t="shared" si="13"/>
        <v>1</v>
      </c>
      <c r="D155" s="11">
        <f t="shared" si="14"/>
        <v>2026</v>
      </c>
      <c r="E155" s="19"/>
      <c r="F155" s="1"/>
      <c r="J155" s="26">
        <f>MultiRegressionD4RIN!$B$17+(Monthly!$S155*MultiRegressionD4RIN!$B$18)+(Monthly!$T155*MultiRegressionD4RIN!$B$19)+8</f>
        <v>91.067104053837198</v>
      </c>
      <c r="K155" s="26">
        <f>FORECAST($J155,K$107:K154,$J$107:$J154)</f>
        <v>90.163992685972545</v>
      </c>
      <c r="L155" s="27">
        <f>J155-7</f>
        <v>84.067104053837198</v>
      </c>
      <c r="M155" s="21">
        <f>[2]Prices!$D668/2.8</f>
        <v>1.5966371718405135</v>
      </c>
      <c r="O155" s="22"/>
      <c r="P155" s="23">
        <f t="shared" si="11"/>
        <v>3.534510941991341</v>
      </c>
      <c r="R155" s="24"/>
      <c r="S155" s="28">
        <f>'[7]Monthly Prices'!$D316</f>
        <v>46.506722920938699</v>
      </c>
      <c r="T155" s="29">
        <f>'[6]Used Cooking Oil Complex'!$AH202</f>
        <v>38.75</v>
      </c>
      <c r="U155" s="25"/>
      <c r="V155" s="25"/>
      <c r="W155" s="25"/>
      <c r="X155" s="19"/>
    </row>
    <row r="156" spans="1:24" x14ac:dyDescent="0.2">
      <c r="A156" s="17">
        <v>46082</v>
      </c>
      <c r="B156" s="18">
        <f t="shared" si="12"/>
        <v>3</v>
      </c>
      <c r="C156" s="18">
        <f t="shared" si="13"/>
        <v>1</v>
      </c>
      <c r="D156" s="11">
        <f t="shared" si="14"/>
        <v>2026</v>
      </c>
      <c r="E156" s="19"/>
      <c r="F156" s="1"/>
      <c r="J156" s="26">
        <f>MultiRegressionD4RIN!$B$17+(Monthly!$S156*MultiRegressionD4RIN!$B$18)+(Monthly!$T156*MultiRegressionD4RIN!$B$19)+5</f>
        <v>96.607071833507177</v>
      </c>
      <c r="K156" s="26">
        <f>FORECAST($J156,K$107:K155,$J$107:$J155)</f>
        <v>95.696416874229755</v>
      </c>
      <c r="L156" s="27">
        <f>J156-4</f>
        <v>92.607071833507177</v>
      </c>
      <c r="M156" s="21">
        <f>[2]Prices!$D669/2.8</f>
        <v>1.6324760024892697</v>
      </c>
      <c r="O156" s="22"/>
      <c r="P156" s="23">
        <f t="shared" si="11"/>
        <v>3.7148533072087329</v>
      </c>
      <c r="R156" s="24"/>
      <c r="S156" s="28">
        <f>'[7]Monthly Prices'!$D317</f>
        <v>48.879648779062272</v>
      </c>
      <c r="T156" s="29">
        <f>'[6]Used Cooking Oil Complex'!$AH203</f>
        <v>43.5</v>
      </c>
      <c r="U156" s="25"/>
      <c r="V156" s="25"/>
      <c r="W156" s="25"/>
      <c r="X156" s="19"/>
    </row>
    <row r="157" spans="1:24" x14ac:dyDescent="0.2">
      <c r="A157" s="17">
        <v>46113</v>
      </c>
      <c r="B157" s="18">
        <f t="shared" si="12"/>
        <v>4</v>
      </c>
      <c r="C157" s="18">
        <f t="shared" si="13"/>
        <v>2</v>
      </c>
      <c r="D157" s="11">
        <f t="shared" si="14"/>
        <v>2026</v>
      </c>
      <c r="E157" s="19"/>
      <c r="F157" s="1"/>
      <c r="J157" s="26">
        <f>MultiRegressionD4RIN!$B$17+(Monthly!$S157*MultiRegressionD4RIN!$B$18)+(Monthly!$T157*MultiRegressionD4RIN!$B$19)</f>
        <v>93.637508433397699</v>
      </c>
      <c r="K157" s="26">
        <f>FORECAST($J157,K$107:K156,$J$107:$J156)</f>
        <v>92.730897030663513</v>
      </c>
      <c r="L157" s="27">
        <f t="shared" ref="L157:L220" si="17">J157-8</f>
        <v>85.637508433397699</v>
      </c>
      <c r="M157" s="21">
        <f>[2]Prices!$D670/2.8</f>
        <v>1.6985476399751356</v>
      </c>
      <c r="O157" s="22"/>
      <c r="P157" s="23">
        <f t="shared" si="11"/>
        <v>3.8946525714285709</v>
      </c>
      <c r="R157" s="24"/>
      <c r="S157" s="28">
        <f>'[7]Monthly Prices'!$D318</f>
        <v>51.245428571428562</v>
      </c>
      <c r="T157" s="29">
        <f>'[6]Used Cooking Oil Complex'!$AH204</f>
        <v>42.25</v>
      </c>
      <c r="U157" s="25"/>
      <c r="V157" s="25"/>
      <c r="W157" s="25"/>
      <c r="X157" s="19"/>
    </row>
    <row r="158" spans="1:24" x14ac:dyDescent="0.2">
      <c r="A158" s="17">
        <v>46143</v>
      </c>
      <c r="B158" s="18">
        <f t="shared" si="12"/>
        <v>5</v>
      </c>
      <c r="C158" s="18">
        <f t="shared" si="13"/>
        <v>2</v>
      </c>
      <c r="D158" s="11">
        <f t="shared" si="14"/>
        <v>2026</v>
      </c>
      <c r="E158" s="19"/>
      <c r="F158" s="1"/>
      <c r="J158" s="26">
        <f>MultiRegressionD4RIN!$B$17+(Monthly!$S158*MultiRegressionD4RIN!$B$18)+(Monthly!$T158*MultiRegressionD4RIN!$B$19)</f>
        <v>94.878952536925624</v>
      </c>
      <c r="K158" s="26">
        <f>FORECAST($J158,K$107:K157,$J$107:$J157)</f>
        <v>93.970650700699522</v>
      </c>
      <c r="L158" s="27">
        <f t="shared" si="17"/>
        <v>86.878952536925624</v>
      </c>
      <c r="M158" s="21">
        <f>[2]Prices!$D671/2.8</f>
        <v>1.7040192837761967</v>
      </c>
      <c r="O158" s="22"/>
      <c r="P158" s="23">
        <f t="shared" si="11"/>
        <v>4.046923117922077</v>
      </c>
      <c r="R158" s="24"/>
      <c r="S158" s="28">
        <f>'[7]Monthly Prices'!$D319</f>
        <v>53.248988393711542</v>
      </c>
      <c r="T158" s="29">
        <f>'[6]Used Cooking Oil Complex'!$AH205</f>
        <v>40.75</v>
      </c>
      <c r="U158" s="25"/>
      <c r="V158" s="25"/>
      <c r="W158" s="25"/>
      <c r="X158" s="19"/>
    </row>
    <row r="159" spans="1:24" x14ac:dyDescent="0.2">
      <c r="A159" s="17">
        <v>46174</v>
      </c>
      <c r="B159" s="18">
        <f t="shared" si="12"/>
        <v>6</v>
      </c>
      <c r="C159" s="18">
        <f t="shared" si="13"/>
        <v>2</v>
      </c>
      <c r="D159" s="11">
        <f t="shared" si="14"/>
        <v>2026</v>
      </c>
      <c r="E159" s="19"/>
      <c r="F159" s="1"/>
      <c r="J159" s="26">
        <f>MultiRegressionD4RIN!$B$17+(Monthly!$S159*MultiRegressionD4RIN!$B$18)+(Monthly!$T159*MultiRegressionD4RIN!$B$19)</f>
        <v>95.829853436305953</v>
      </c>
      <c r="K159" s="26">
        <f>FORECAST($J159,K$107:K158,$J$107:$J158)</f>
        <v>94.920256789686661</v>
      </c>
      <c r="L159" s="27">
        <f t="shared" si="17"/>
        <v>87.829853436305953</v>
      </c>
      <c r="M159" s="21">
        <f>[2]Prices!$D672/2.8</f>
        <v>1.6970273925220876</v>
      </c>
      <c r="O159" s="22"/>
      <c r="P159" s="23">
        <f t="shared" si="11"/>
        <v>4.0830532135064921</v>
      </c>
      <c r="R159" s="24"/>
      <c r="S159" s="28">
        <f>'[7]Monthly Prices'!$D320</f>
        <v>53.724384388243323</v>
      </c>
      <c r="T159" s="29">
        <f>'[6]Used Cooking Oil Complex'!$AH206</f>
        <v>41</v>
      </c>
      <c r="U159" s="25"/>
      <c r="V159" s="25"/>
      <c r="W159" s="25"/>
      <c r="X159" s="19"/>
    </row>
    <row r="160" spans="1:24" x14ac:dyDescent="0.2">
      <c r="A160" s="17">
        <v>46204</v>
      </c>
      <c r="B160" s="18">
        <f t="shared" si="12"/>
        <v>7</v>
      </c>
      <c r="C160" s="18">
        <f t="shared" si="13"/>
        <v>3</v>
      </c>
      <c r="D160" s="11">
        <f t="shared" si="14"/>
        <v>2026</v>
      </c>
      <c r="E160" s="19"/>
      <c r="F160" s="1"/>
      <c r="J160" s="26">
        <f>MultiRegressionD4RIN!$B$17+(Monthly!$S160*MultiRegressionD4RIN!$B$18)+(Monthly!$T160*MultiRegressionD4RIN!$B$19)</f>
        <v>94.913228114236716</v>
      </c>
      <c r="K160" s="26">
        <f>FORECAST($J160,K$107:K159,$J$107:$J159)</f>
        <v>94.004879606087428</v>
      </c>
      <c r="L160" s="27">
        <f t="shared" si="17"/>
        <v>86.913228114236716</v>
      </c>
      <c r="M160" s="21">
        <f>[2]Prices!$D673/2.8</f>
        <v>1.4135649881823611</v>
      </c>
      <c r="O160" s="22"/>
      <c r="P160" s="23">
        <f t="shared" si="11"/>
        <v>4.048744006685487</v>
      </c>
      <c r="R160" s="24"/>
      <c r="S160" s="28">
        <f>'[7]Monthly Prices'!$D321</f>
        <v>53.272947456387989</v>
      </c>
      <c r="T160" s="29">
        <f>'[6]Used Cooking Oil Complex'!$AH207</f>
        <v>40.75</v>
      </c>
      <c r="U160" s="25"/>
      <c r="V160" s="25"/>
      <c r="W160" s="25"/>
      <c r="X160" s="19"/>
    </row>
    <row r="161" spans="1:24" x14ac:dyDescent="0.2">
      <c r="A161" s="17">
        <v>46235</v>
      </c>
      <c r="B161" s="18">
        <f t="shared" si="12"/>
        <v>8</v>
      </c>
      <c r="C161" s="18">
        <f t="shared" si="13"/>
        <v>3</v>
      </c>
      <c r="D161" s="11">
        <f t="shared" si="14"/>
        <v>2026</v>
      </c>
      <c r="E161" s="19"/>
      <c r="F161" s="1"/>
      <c r="J161" s="26">
        <f>MultiRegressionD4RIN!$B$17+(Monthly!$S161*MultiRegressionD4RIN!$B$18)+(Monthly!$T161*MultiRegressionD4RIN!$B$19)</f>
        <v>97.918813238184796</v>
      </c>
      <c r="K161" s="26">
        <f>FORECAST($J161,K$107:K160,$J$107:$J160)</f>
        <v>97.006372123898956</v>
      </c>
      <c r="L161" s="27">
        <f t="shared" si="17"/>
        <v>89.918813238184796</v>
      </c>
      <c r="M161" s="21">
        <f>[2]Prices!$D674/2.8</f>
        <v>1.3754798704725633</v>
      </c>
      <c r="O161" s="22"/>
      <c r="P161" s="23">
        <f t="shared" si="11"/>
        <v>4.0070048959457916</v>
      </c>
      <c r="R161" s="24"/>
      <c r="S161" s="28">
        <f>'[7]Monthly Prices'!$D322</f>
        <v>52.723748630865678</v>
      </c>
      <c r="T161" s="29">
        <f>'[6]Used Cooking Oil Complex'!$AH208</f>
        <v>44.25</v>
      </c>
      <c r="U161" s="25"/>
      <c r="V161" s="25"/>
      <c r="W161" s="25"/>
      <c r="X161" s="19"/>
    </row>
    <row r="162" spans="1:24" x14ac:dyDescent="0.2">
      <c r="A162" s="17">
        <v>46266</v>
      </c>
      <c r="B162" s="18">
        <f t="shared" si="12"/>
        <v>9</v>
      </c>
      <c r="C162" s="18">
        <f t="shared" si="13"/>
        <v>3</v>
      </c>
      <c r="D162" s="11">
        <f t="shared" si="14"/>
        <v>2026</v>
      </c>
      <c r="E162" s="19"/>
      <c r="F162" s="1"/>
      <c r="J162" s="26">
        <f>MultiRegressionD4RIN!$B$17+(Monthly!$S162*MultiRegressionD4RIN!$B$18)+(Monthly!$T162*MultiRegressionD4RIN!$B$19)</f>
        <v>86.760260082055339</v>
      </c>
      <c r="K162" s="26">
        <f>FORECAST($J162,K$107:K161,$J$107:$J161)</f>
        <v>85.863013201583726</v>
      </c>
      <c r="L162" s="27">
        <f t="shared" si="17"/>
        <v>78.760260082055339</v>
      </c>
      <c r="M162" s="21">
        <f>[2]Prices!$D675/2.8</f>
        <v>1.4441845223596683</v>
      </c>
      <c r="O162" s="22"/>
      <c r="P162" s="23">
        <f t="shared" si="11"/>
        <v>3.8745745094372279</v>
      </c>
      <c r="R162" s="24"/>
      <c r="S162" s="28">
        <f>'[7]Monthly Prices'!$D323</f>
        <v>50.981243545226683</v>
      </c>
      <c r="T162" s="29">
        <f>'[6]Used Cooking Oil Complex'!$AH209</f>
        <v>36.25</v>
      </c>
      <c r="U162" s="25"/>
      <c r="V162" s="25"/>
      <c r="W162" s="25"/>
      <c r="X162" s="19"/>
    </row>
    <row r="163" spans="1:24" x14ac:dyDescent="0.2">
      <c r="A163" s="17">
        <v>46296</v>
      </c>
      <c r="B163" s="18">
        <f t="shared" si="12"/>
        <v>10</v>
      </c>
      <c r="C163" s="18">
        <f t="shared" si="13"/>
        <v>4</v>
      </c>
      <c r="D163" s="11">
        <f t="shared" si="14"/>
        <v>2026</v>
      </c>
      <c r="E163" s="19"/>
      <c r="F163" s="1"/>
      <c r="J163" s="26">
        <f>MultiRegressionD4RIN!$B$17+(Monthly!$S163*MultiRegressionD4RIN!$B$18)+(Monthly!$T163*MultiRegressionD4RIN!$B$19)</f>
        <v>86.46527440202108</v>
      </c>
      <c r="K163" s="26">
        <f>FORECAST($J163,K$107:K162,$J$107:$J162)</f>
        <v>85.568429193821089</v>
      </c>
      <c r="L163" s="27">
        <f t="shared" si="17"/>
        <v>78.46527440202108</v>
      </c>
      <c r="M163" s="21">
        <f>[2]Prices!$D676/2.8</f>
        <v>1.491395621819215</v>
      </c>
      <c r="O163" s="22"/>
      <c r="P163" s="23">
        <f t="shared" si="11"/>
        <v>3.5855603023636942</v>
      </c>
      <c r="R163" s="24"/>
      <c r="S163" s="28">
        <f>'[7]Monthly Prices'!$D324</f>
        <v>47.178425031101241</v>
      </c>
      <c r="T163" s="29">
        <f>'[6]Used Cooking Oil Complex'!$AI198</f>
        <v>41</v>
      </c>
      <c r="U163" s="25"/>
      <c r="V163" s="25"/>
      <c r="W163" s="25"/>
      <c r="X163" s="19"/>
    </row>
    <row r="164" spans="1:24" x14ac:dyDescent="0.2">
      <c r="A164" s="17">
        <v>46327</v>
      </c>
      <c r="B164" s="18">
        <f t="shared" si="12"/>
        <v>11</v>
      </c>
      <c r="C164" s="18">
        <f t="shared" si="13"/>
        <v>4</v>
      </c>
      <c r="D164" s="11">
        <f t="shared" si="14"/>
        <v>2026</v>
      </c>
      <c r="E164" s="19"/>
      <c r="F164" s="1"/>
      <c r="J164" s="26">
        <f>MultiRegressionD4RIN!$B$17+(Monthly!$S164*MultiRegressionD4RIN!$B$18)+(Monthly!$T164*MultiRegressionD4RIN!$B$19)</f>
        <v>78.219177919381607</v>
      </c>
      <c r="K164" s="26">
        <f>FORECAST($J164,K$107:K163,$J$107:$J163)</f>
        <v>77.333561148798836</v>
      </c>
      <c r="L164" s="27">
        <f t="shared" si="17"/>
        <v>70.219177919381607</v>
      </c>
      <c r="M164" s="21">
        <f>[2]Prices!$D677/2.8</f>
        <v>1.5210012740603487</v>
      </c>
      <c r="O164" s="22"/>
      <c r="P164" s="23">
        <f t="shared" si="11"/>
        <v>3.3488974430663707</v>
      </c>
      <c r="R164" s="24"/>
      <c r="S164" s="28">
        <f>'[7]Monthly Prices'!$D325</f>
        <v>44.06444004034698</v>
      </c>
      <c r="T164" s="29">
        <f>'[6]Used Cooking Oil Complex'!$AI199</f>
        <v>37.5</v>
      </c>
      <c r="U164" s="25"/>
      <c r="V164" s="25"/>
      <c r="W164" s="25"/>
      <c r="X164" s="19"/>
    </row>
    <row r="165" spans="1:24" x14ac:dyDescent="0.2">
      <c r="A165" s="17">
        <v>46357</v>
      </c>
      <c r="B165" s="18">
        <f t="shared" si="12"/>
        <v>12</v>
      </c>
      <c r="C165" s="18">
        <f t="shared" si="13"/>
        <v>4</v>
      </c>
      <c r="D165" s="11">
        <f t="shared" si="14"/>
        <v>2026</v>
      </c>
      <c r="E165" s="19"/>
      <c r="F165" s="1"/>
      <c r="J165" s="26">
        <f>MultiRegressionD4RIN!$B$17+(Monthly!$S165*MultiRegressionD4RIN!$B$18)+(Monthly!$T165*MultiRegressionD4RIN!$B$19)</f>
        <v>73.797761728515056</v>
      </c>
      <c r="K165" s="26">
        <f>FORECAST($J165,K$107:K164,$J$107:$J164)</f>
        <v>72.918165454537373</v>
      </c>
      <c r="L165" s="27">
        <f t="shared" si="17"/>
        <v>65.797761728515056</v>
      </c>
      <c r="M165" s="21">
        <f>[2]Prices!$D678/2.8</f>
        <v>1.5489092949241965</v>
      </c>
      <c r="O165" s="22"/>
      <c r="P165" s="23">
        <f t="shared" si="11"/>
        <v>3.2722611438508817</v>
      </c>
      <c r="R165" s="24"/>
      <c r="S165" s="28">
        <f>'[7]Monthly Prices'!$D326</f>
        <v>43.056067682248447</v>
      </c>
      <c r="T165" s="29">
        <f>'[6]Used Cooking Oil Complex'!$AI200</f>
        <v>34.75</v>
      </c>
      <c r="U165" s="25"/>
      <c r="V165" s="25"/>
      <c r="W165" s="25"/>
      <c r="X165" s="19"/>
    </row>
    <row r="166" spans="1:24" x14ac:dyDescent="0.2">
      <c r="A166" s="17">
        <v>46388</v>
      </c>
      <c r="B166" s="18">
        <f t="shared" si="12"/>
        <v>1</v>
      </c>
      <c r="C166" s="18">
        <f t="shared" si="13"/>
        <v>1</v>
      </c>
      <c r="D166" s="11">
        <f t="shared" si="14"/>
        <v>2027</v>
      </c>
      <c r="E166" s="19"/>
      <c r="F166" s="1"/>
      <c r="J166" s="26">
        <f>MultiRegressionD4RIN!$B$17+(Monthly!$S166*MultiRegressionD4RIN!$B$18)+(Monthly!$T166*MultiRegressionD4RIN!$B$19)</f>
        <v>73.609089576087513</v>
      </c>
      <c r="K166" s="26">
        <f>FORECAST($J166,K$107:K165,$J$107:$J165)</f>
        <v>72.729750210757203</v>
      </c>
      <c r="L166" s="27">
        <f t="shared" si="17"/>
        <v>65.609089576087513</v>
      </c>
      <c r="O166" s="22"/>
      <c r="P166" s="23">
        <f t="shared" si="11"/>
        <v>3.1039866721567417</v>
      </c>
      <c r="R166" s="24"/>
      <c r="S166" s="28">
        <f>'[7]Monthly Prices'!$D327</f>
        <v>40.841929896799236</v>
      </c>
      <c r="T166" s="29">
        <f>'[6]Used Cooking Oil Complex'!$AI201</f>
        <v>37.5</v>
      </c>
      <c r="U166" s="25"/>
      <c r="V166" s="25"/>
      <c r="W166" s="25"/>
      <c r="X166" s="19"/>
    </row>
    <row r="167" spans="1:24" x14ac:dyDescent="0.2">
      <c r="A167" s="17">
        <v>46419</v>
      </c>
      <c r="B167" s="18">
        <f t="shared" si="12"/>
        <v>2</v>
      </c>
      <c r="C167" s="18">
        <f t="shared" si="13"/>
        <v>1</v>
      </c>
      <c r="D167" s="11">
        <f t="shared" si="14"/>
        <v>2027</v>
      </c>
      <c r="E167" s="19"/>
      <c r="F167" s="1"/>
      <c r="J167" s="26">
        <f>MultiRegressionD4RIN!$B$17+(Monthly!$S167*MultiRegressionD4RIN!$B$18)+(Monthly!$T167*MultiRegressionD4RIN!$B$19)</f>
        <v>76.152456805515499</v>
      </c>
      <c r="K167" s="26">
        <f>FORECAST($J167,K$107:K166,$J$107:$J166)</f>
        <v>75.269654220911278</v>
      </c>
      <c r="L167" s="27">
        <f t="shared" si="17"/>
        <v>68.152456805515499</v>
      </c>
      <c r="O167" s="22"/>
      <c r="P167" s="23">
        <f t="shared" si="11"/>
        <v>3.1383976070980792</v>
      </c>
      <c r="R167" s="24"/>
      <c r="S167" s="28">
        <f>'[7]Monthly Prices'!$D328</f>
        <v>41.294705356553678</v>
      </c>
      <c r="T167" s="29">
        <f>'[6]Used Cooking Oil Complex'!$AI202</f>
        <v>39.25</v>
      </c>
      <c r="U167" s="25"/>
      <c r="V167" s="25"/>
      <c r="W167" s="25"/>
      <c r="X167" s="19"/>
    </row>
    <row r="168" spans="1:24" x14ac:dyDescent="0.2">
      <c r="A168" s="17">
        <v>46447</v>
      </c>
      <c r="B168" s="18">
        <f t="shared" si="12"/>
        <v>3</v>
      </c>
      <c r="C168" s="18">
        <f t="shared" si="13"/>
        <v>1</v>
      </c>
      <c r="D168" s="11">
        <f t="shared" si="14"/>
        <v>2027</v>
      </c>
      <c r="E168" s="19"/>
      <c r="F168" s="1"/>
      <c r="J168" s="26">
        <f>MultiRegressionD4RIN!$B$17+(Monthly!$S168*MultiRegressionD4RIN!$B$18)+(Monthly!$T168*MultiRegressionD4RIN!$B$19)</f>
        <v>86.020688273669833</v>
      </c>
      <c r="K168" s="26">
        <f>FORECAST($J168,K$107:K167,$J$107:$J167)</f>
        <v>85.124448443738032</v>
      </c>
      <c r="L168" s="27">
        <f t="shared" si="17"/>
        <v>78.020688273669833</v>
      </c>
      <c r="O168" s="22"/>
      <c r="P168" s="23">
        <f t="shared" si="11"/>
        <v>3.446849847714581</v>
      </c>
      <c r="R168" s="24"/>
      <c r="S168" s="28">
        <f>'[7]Monthly Prices'!$D329</f>
        <v>45.353287469928702</v>
      </c>
      <c r="T168" s="29">
        <f>'[6]Used Cooking Oil Complex'!$AI203</f>
        <v>43</v>
      </c>
      <c r="U168" s="25"/>
      <c r="V168" s="25"/>
      <c r="W168" s="25"/>
      <c r="X168" s="19"/>
    </row>
    <row r="169" spans="1:24" x14ac:dyDescent="0.2">
      <c r="A169" s="17">
        <v>46478</v>
      </c>
      <c r="B169" s="18">
        <f t="shared" si="12"/>
        <v>4</v>
      </c>
      <c r="C169" s="18">
        <f t="shared" si="13"/>
        <v>2</v>
      </c>
      <c r="D169" s="11">
        <f t="shared" si="14"/>
        <v>2027</v>
      </c>
      <c r="E169" s="19"/>
      <c r="F169" s="1"/>
      <c r="J169" s="26">
        <f>MultiRegressionD4RIN!$B$17+(Monthly!$S169*MultiRegressionD4RIN!$B$18)+(Monthly!$T169*MultiRegressionD4RIN!$B$19)</f>
        <v>94.011931220559433</v>
      </c>
      <c r="K169" s="26">
        <f>FORECAST($J169,K$107:K168,$J$107:$J168)</f>
        <v>93.104809978664761</v>
      </c>
      <c r="L169" s="27">
        <f t="shared" si="17"/>
        <v>86.011931220559433</v>
      </c>
      <c r="O169" s="22"/>
      <c r="P169" s="23">
        <f t="shared" si="11"/>
        <v>3.7275195390514462</v>
      </c>
      <c r="R169" s="24"/>
      <c r="S169" s="28">
        <f>'[7]Monthly Prices'!$D330</f>
        <v>49.046309724361137</v>
      </c>
      <c r="T169" s="29">
        <f>'[6]Used Cooking Oil Complex'!$AI204</f>
        <v>45.5</v>
      </c>
      <c r="U169" s="25"/>
      <c r="V169" s="25"/>
      <c r="W169" s="25"/>
      <c r="X169" s="19"/>
    </row>
    <row r="170" spans="1:24" x14ac:dyDescent="0.2">
      <c r="A170" s="17">
        <v>46508</v>
      </c>
      <c r="B170" s="18">
        <f t="shared" si="12"/>
        <v>5</v>
      </c>
      <c r="C170" s="18">
        <f t="shared" si="13"/>
        <v>2</v>
      </c>
      <c r="D170" s="11">
        <f t="shared" si="14"/>
        <v>2027</v>
      </c>
      <c r="E170" s="19"/>
      <c r="F170" s="1"/>
      <c r="J170" s="26">
        <f>MultiRegressionD4RIN!$B$17+(Monthly!$S170*MultiRegressionD4RIN!$B$18)+(Monthly!$T170*MultiRegressionD4RIN!$B$19)</f>
        <v>91.665437885910663</v>
      </c>
      <c r="K170" s="26">
        <f>FORECAST($J170,K$107:K169,$J$107:$J169)</f>
        <v>90.761511786600451</v>
      </c>
      <c r="L170" s="27">
        <f t="shared" si="17"/>
        <v>83.665437885910663</v>
      </c>
      <c r="O170" s="22"/>
      <c r="P170" s="23">
        <f t="shared" si="11"/>
        <v>3.7179540015609094</v>
      </c>
      <c r="R170" s="24"/>
      <c r="S170" s="28">
        <f>'[7]Monthly Prices'!$D331</f>
        <v>48.920447388959332</v>
      </c>
      <c r="T170" s="29">
        <f>'[6]Used Cooking Oil Complex'!$AI205</f>
        <v>43.5</v>
      </c>
      <c r="U170" s="25"/>
      <c r="V170" s="25"/>
      <c r="W170" s="25"/>
      <c r="X170" s="19"/>
    </row>
    <row r="171" spans="1:24" x14ac:dyDescent="0.2">
      <c r="A171" s="17">
        <v>46539</v>
      </c>
      <c r="B171" s="18">
        <f t="shared" si="12"/>
        <v>6</v>
      </c>
      <c r="C171" s="18">
        <f t="shared" si="13"/>
        <v>2</v>
      </c>
      <c r="D171" s="11">
        <f t="shared" si="14"/>
        <v>2027</v>
      </c>
      <c r="E171" s="19"/>
      <c r="F171" s="1"/>
      <c r="J171" s="26">
        <f>MultiRegressionD4RIN!$B$17+(Monthly!$S171*MultiRegressionD4RIN!$B$18)+(Monthly!$T171*MultiRegressionD4RIN!$B$19)</f>
        <v>90.490319687870041</v>
      </c>
      <c r="K171" s="26">
        <f>FORECAST($J171,K$107:K170,$J$107:$J170)</f>
        <v>89.58799370825372</v>
      </c>
      <c r="L171" s="27">
        <f t="shared" si="17"/>
        <v>82.490319687870041</v>
      </c>
      <c r="O171" s="22"/>
      <c r="P171" s="23">
        <f t="shared" si="11"/>
        <v>3.6267529329167885</v>
      </c>
      <c r="R171" s="24"/>
      <c r="S171" s="28">
        <f>'[7]Monthly Prices'!$D332</f>
        <v>47.720433327852476</v>
      </c>
      <c r="T171" s="29">
        <f>'[6]Used Cooking Oil Complex'!$AI206</f>
        <v>44</v>
      </c>
      <c r="U171" s="25"/>
      <c r="V171" s="25"/>
      <c r="W171" s="25"/>
      <c r="X171" s="19"/>
    </row>
    <row r="172" spans="1:24" x14ac:dyDescent="0.2">
      <c r="A172" s="17">
        <v>46569</v>
      </c>
      <c r="B172" s="18">
        <f t="shared" si="12"/>
        <v>7</v>
      </c>
      <c r="C172" s="18">
        <f t="shared" si="13"/>
        <v>3</v>
      </c>
      <c r="D172" s="11">
        <f t="shared" si="14"/>
        <v>2027</v>
      </c>
      <c r="E172" s="19"/>
      <c r="F172" s="1"/>
      <c r="J172" s="26">
        <f>MultiRegressionD4RIN!$B$17+(Monthly!$S172*MultiRegressionD4RIN!$B$18)+(Monthly!$T172*MultiRegressionD4RIN!$B$19)</f>
        <v>91.854939120317596</v>
      </c>
      <c r="K172" s="26">
        <f>FORECAST($J172,K$107:K171,$J$107:$J171)</f>
        <v>90.950754983426393</v>
      </c>
      <c r="L172" s="27">
        <f t="shared" si="17"/>
        <v>83.854939120317596</v>
      </c>
      <c r="O172" s="22"/>
      <c r="P172" s="23">
        <f t="shared" si="11"/>
        <v>3.670475330955433</v>
      </c>
      <c r="R172" s="24"/>
      <c r="S172" s="28">
        <f>'[7]Monthly Prices'!$D333</f>
        <v>48.295728038887283</v>
      </c>
      <c r="T172" s="29">
        <f>'[6]Used Cooking Oil Complex'!$AI207</f>
        <v>44.5</v>
      </c>
      <c r="U172" s="25"/>
      <c r="V172" s="25"/>
      <c r="W172" s="25"/>
      <c r="X172" s="19"/>
    </row>
    <row r="173" spans="1:24" x14ac:dyDescent="0.2">
      <c r="A173" s="17">
        <v>46600</v>
      </c>
      <c r="B173" s="18">
        <f t="shared" si="12"/>
        <v>8</v>
      </c>
      <c r="C173" s="18">
        <f t="shared" si="13"/>
        <v>3</v>
      </c>
      <c r="D173" s="11">
        <f t="shared" si="14"/>
        <v>2027</v>
      </c>
      <c r="E173" s="19"/>
      <c r="F173" s="1"/>
      <c r="J173" s="26">
        <f>MultiRegressionD4RIN!$B$17+(Monthly!$S173*MultiRegressionD4RIN!$B$18)+(Monthly!$T173*MultiRegressionD4RIN!$B$19)</f>
        <v>69.933584814178829</v>
      </c>
      <c r="K173" s="26">
        <f>FORECAST($J173,K$107:K172,$J$107:$J172)</f>
        <v>69.059250262461575</v>
      </c>
      <c r="L173" s="27">
        <f t="shared" si="17"/>
        <v>61.933584814178829</v>
      </c>
      <c r="O173" s="22"/>
      <c r="P173" s="23">
        <f t="shared" si="11"/>
        <v>2.9806580148225099</v>
      </c>
      <c r="R173" s="24"/>
      <c r="S173" s="28">
        <f>'[7]Monthly Prices'!$D334</f>
        <v>39.219184405559346</v>
      </c>
      <c r="T173" s="29">
        <f>'[6]Used Cooking Oil Complex'!$AI208</f>
        <v>36.25</v>
      </c>
      <c r="U173" s="25"/>
      <c r="V173" s="25"/>
      <c r="W173" s="25"/>
      <c r="X173" s="19"/>
    </row>
    <row r="174" spans="1:24" x14ac:dyDescent="0.2">
      <c r="A174" s="17">
        <v>46631</v>
      </c>
      <c r="B174" s="18">
        <f t="shared" si="12"/>
        <v>9</v>
      </c>
      <c r="C174" s="18">
        <f t="shared" si="13"/>
        <v>3</v>
      </c>
      <c r="D174" s="11">
        <f t="shared" si="14"/>
        <v>2027</v>
      </c>
      <c r="E174" s="19"/>
      <c r="F174" s="1"/>
      <c r="J174" s="26">
        <f>MultiRegressionD4RIN!$B$17+(Monthly!$S174*MultiRegressionD4RIN!$B$18)+(Monthly!$T174*MultiRegressionD4RIN!$B$19)</f>
        <v>65.024256301510917</v>
      </c>
      <c r="K174" s="26">
        <f>FORECAST($J174,K$107:K173,$J$107:$J173)</f>
        <v>64.156606620515575</v>
      </c>
      <c r="L174" s="27">
        <f t="shared" si="17"/>
        <v>57.024256301510917</v>
      </c>
      <c r="O174" s="22"/>
      <c r="P174" s="23">
        <f t="shared" si="11"/>
        <v>2.8493284334499429</v>
      </c>
      <c r="R174" s="24"/>
      <c r="S174" s="28">
        <f>'[7]Monthly Prices'!$D335</f>
        <v>37.491163598025565</v>
      </c>
      <c r="T174" s="29">
        <f>'[6]Used Cooking Oil Complex'!$AI209</f>
        <v>34</v>
      </c>
      <c r="U174" s="25"/>
      <c r="V174" s="25"/>
      <c r="W174" s="25"/>
      <c r="X174" s="19"/>
    </row>
    <row r="175" spans="1:24" x14ac:dyDescent="0.2">
      <c r="A175" s="17">
        <v>46661</v>
      </c>
      <c r="B175" s="18">
        <f t="shared" si="12"/>
        <v>10</v>
      </c>
      <c r="C175" s="18">
        <f t="shared" si="13"/>
        <v>4</v>
      </c>
      <c r="D175" s="11">
        <f t="shared" si="14"/>
        <v>2027</v>
      </c>
      <c r="E175" s="19"/>
      <c r="F175" s="1"/>
      <c r="J175" s="26">
        <f>MultiRegressionD4RIN!$B$17+(Monthly!$S175*MultiRegressionD4RIN!$B$18)+(Monthly!$T175*MultiRegressionD4RIN!$B$19)</f>
        <v>65.633222684531461</v>
      </c>
      <c r="K175" s="26">
        <f>FORECAST($J175,K$107:K174,$J$107:$J174)</f>
        <v>64.764743794096603</v>
      </c>
      <c r="L175" s="27">
        <f t="shared" si="17"/>
        <v>57.633222684531461</v>
      </c>
      <c r="O175" s="22"/>
      <c r="P175" s="23">
        <f t="shared" si="11"/>
        <v>2.7809743957349498</v>
      </c>
      <c r="R175" s="24"/>
      <c r="S175" s="28">
        <f>'[7]Monthly Prices'!$D336</f>
        <v>36.59176836493355</v>
      </c>
      <c r="T175" s="29">
        <f>'[6]Used Cooking Oil Complex'!$AJ198</f>
        <v>35.75</v>
      </c>
      <c r="U175" s="25"/>
      <c r="V175" s="25"/>
      <c r="W175" s="25"/>
      <c r="X175" s="19"/>
    </row>
    <row r="176" spans="1:24" x14ac:dyDescent="0.2">
      <c r="A176" s="17">
        <v>46692</v>
      </c>
      <c r="B176" s="18">
        <f t="shared" si="12"/>
        <v>11</v>
      </c>
      <c r="C176" s="18">
        <f t="shared" si="13"/>
        <v>4</v>
      </c>
      <c r="D176" s="11">
        <f t="shared" si="14"/>
        <v>2027</v>
      </c>
      <c r="E176" s="19"/>
      <c r="F176" s="1"/>
      <c r="J176" s="26">
        <f>MultiRegressionD4RIN!$B$17+(Monthly!$S176*MultiRegressionD4RIN!$B$18)+(Monthly!$T176*MultiRegressionD4RIN!$B$19)</f>
        <v>55.746091419186698</v>
      </c>
      <c r="K176" s="26">
        <f>FORECAST($J176,K$107:K175,$J$107:$J175)</f>
        <v>54.891075509309935</v>
      </c>
      <c r="L176" s="27">
        <f t="shared" si="17"/>
        <v>47.746091419186698</v>
      </c>
      <c r="O176" s="22"/>
      <c r="P176" s="23">
        <f t="shared" si="11"/>
        <v>2.5290640206988657</v>
      </c>
      <c r="R176" s="24"/>
      <c r="S176" s="28">
        <f>'[7]Monthly Prices'!$D337</f>
        <v>33.277158167090342</v>
      </c>
      <c r="T176" s="29">
        <f>'[6]Used Cooking Oil Complex'!$AJ199</f>
        <v>31</v>
      </c>
      <c r="U176" s="25"/>
      <c r="V176" s="25"/>
      <c r="W176" s="25"/>
      <c r="X176" s="19"/>
    </row>
    <row r="177" spans="1:24" x14ac:dyDescent="0.2">
      <c r="A177" s="17">
        <v>46722</v>
      </c>
      <c r="B177" s="18">
        <f t="shared" si="12"/>
        <v>12</v>
      </c>
      <c r="C177" s="18">
        <f t="shared" si="13"/>
        <v>4</v>
      </c>
      <c r="D177" s="11">
        <f t="shared" si="14"/>
        <v>2027</v>
      </c>
      <c r="E177" s="19"/>
      <c r="F177" s="1"/>
      <c r="J177" s="26">
        <f>MultiRegressionD4RIN!$B$17+(Monthly!$S177*MultiRegressionD4RIN!$B$18)+(Monthly!$T177*MultiRegressionD4RIN!$B$19)</f>
        <v>69.735376295598726</v>
      </c>
      <c r="K177" s="26">
        <f>FORECAST($J177,K$107:K176,$J$107:$J176)</f>
        <v>68.861311637884143</v>
      </c>
      <c r="L177" s="27">
        <f t="shared" si="17"/>
        <v>61.735376295598726</v>
      </c>
      <c r="O177" s="22"/>
      <c r="P177" s="23">
        <f t="shared" si="11"/>
        <v>3.0996065070313636</v>
      </c>
      <c r="R177" s="24"/>
      <c r="S177" s="28">
        <f>'[7]Monthly Prices'!$D338</f>
        <v>40.784296145149526</v>
      </c>
      <c r="T177" s="29">
        <f>'[6]Used Cooking Oil Complex'!$AJ200</f>
        <v>34</v>
      </c>
      <c r="U177" s="25"/>
      <c r="V177" s="25"/>
      <c r="W177" s="25"/>
      <c r="X177" s="19"/>
    </row>
    <row r="178" spans="1:24" x14ac:dyDescent="0.2">
      <c r="A178" s="17">
        <v>46753</v>
      </c>
      <c r="B178" s="18">
        <f t="shared" si="12"/>
        <v>1</v>
      </c>
      <c r="C178" s="18">
        <f t="shared" si="13"/>
        <v>1</v>
      </c>
      <c r="D178" s="11">
        <f t="shared" si="14"/>
        <v>2028</v>
      </c>
      <c r="E178" s="19"/>
      <c r="F178" s="1"/>
      <c r="J178" s="26">
        <f>MultiRegressionD4RIN!$B$17+(Monthly!$S178*MultiRegressionD4RIN!$B$18)+(Monthly!$T178*MultiRegressionD4RIN!$B$19)</f>
        <v>73.880767751178169</v>
      </c>
      <c r="K178" s="26">
        <f>FORECAST($J178,K$107:K177,$J$107:$J177)</f>
        <v>73.001058450637032</v>
      </c>
      <c r="L178" s="27">
        <f t="shared" si="17"/>
        <v>65.880767751178169</v>
      </c>
      <c r="O178" s="22"/>
      <c r="P178" s="23">
        <f t="shared" si="11"/>
        <v>3.0177142110035091</v>
      </c>
      <c r="R178" s="24"/>
      <c r="S178" s="28">
        <f>'[7]Monthly Prices'!$D339</f>
        <v>39.706765934256701</v>
      </c>
      <c r="T178" s="29">
        <f>'[6]Used Cooking Oil Complex'!$AJ201</f>
        <v>39.25</v>
      </c>
      <c r="U178" s="25"/>
      <c r="V178" s="25"/>
      <c r="W178" s="25"/>
      <c r="X178" s="19"/>
    </row>
    <row r="179" spans="1:24" x14ac:dyDescent="0.2">
      <c r="A179" s="17">
        <v>46784</v>
      </c>
      <c r="B179" s="18">
        <f t="shared" si="12"/>
        <v>2</v>
      </c>
      <c r="C179" s="18">
        <f t="shared" si="13"/>
        <v>1</v>
      </c>
      <c r="D179" s="11">
        <f t="shared" si="14"/>
        <v>2028</v>
      </c>
      <c r="E179" s="19"/>
      <c r="F179" s="1"/>
      <c r="J179" s="26">
        <f>MultiRegressionD4RIN!$B$17+(Monthly!$S179*MultiRegressionD4RIN!$B$18)+(Monthly!$T179*MultiRegressionD4RIN!$B$19)</f>
        <v>63.56860980500791</v>
      </c>
      <c r="K179" s="26">
        <f>FORECAST($J179,K$107:K178,$J$107:$J178)</f>
        <v>62.702942229838385</v>
      </c>
      <c r="L179" s="27">
        <f t="shared" si="17"/>
        <v>55.56860980500791</v>
      </c>
      <c r="O179" s="22"/>
      <c r="P179" s="23">
        <f t="shared" si="11"/>
        <v>2.6425189553868926</v>
      </c>
      <c r="R179" s="24"/>
      <c r="S179" s="28">
        <f>'[7]Monthly Prices'!$D340</f>
        <v>34.769986255090693</v>
      </c>
      <c r="T179" s="29">
        <f>'[6]Used Cooking Oil Complex'!$AJ202</f>
        <v>36.25</v>
      </c>
      <c r="U179" s="25"/>
      <c r="V179" s="25"/>
      <c r="W179" s="25"/>
      <c r="X179" s="19"/>
    </row>
    <row r="180" spans="1:24" x14ac:dyDescent="0.2">
      <c r="A180" s="17">
        <v>46813</v>
      </c>
      <c r="B180" s="18">
        <f t="shared" si="12"/>
        <v>3</v>
      </c>
      <c r="C180" s="18">
        <f t="shared" si="13"/>
        <v>1</v>
      </c>
      <c r="D180" s="11">
        <f t="shared" si="14"/>
        <v>2028</v>
      </c>
      <c r="E180" s="19"/>
      <c r="F180" s="1"/>
      <c r="J180" s="26">
        <f>MultiRegressionD4RIN!$B$17+(Monthly!$S180*MultiRegressionD4RIN!$B$18)+(Monthly!$T180*MultiRegressionD4RIN!$B$19)</f>
        <v>66.895735403398874</v>
      </c>
      <c r="K180" s="26">
        <f>FORECAST($J180,K$107:K179,$J$107:$J179)</f>
        <v>66.025537391033438</v>
      </c>
      <c r="L180" s="27">
        <f t="shared" si="17"/>
        <v>58.895735403398874</v>
      </c>
      <c r="O180" s="22"/>
      <c r="P180" s="23">
        <f>S180*7.6/100</f>
        <v>2.7617264618317847</v>
      </c>
      <c r="R180" s="24"/>
      <c r="S180" s="28">
        <f>'[7]Monthly Prices'!$D341</f>
        <v>36.338506076734014</v>
      </c>
      <c r="T180" s="29">
        <f>'[6]Used Cooking Oil Complex'!$AJ203</f>
        <v>37.25</v>
      </c>
      <c r="U180" s="25"/>
      <c r="V180" s="25"/>
      <c r="W180" s="25"/>
      <c r="X180" s="19"/>
    </row>
    <row r="181" spans="1:24" x14ac:dyDescent="0.2">
      <c r="A181" s="17">
        <v>46844</v>
      </c>
      <c r="B181" s="18">
        <f t="shared" si="12"/>
        <v>4</v>
      </c>
      <c r="C181" s="18">
        <f t="shared" si="13"/>
        <v>2</v>
      </c>
      <c r="D181" s="11">
        <f t="shared" si="14"/>
        <v>2028</v>
      </c>
      <c r="E181" s="19"/>
      <c r="F181" s="1"/>
      <c r="J181" s="26">
        <f>MultiRegressionD4RIN!$B$17+(Monthly!$S181*MultiRegressionD4RIN!$B$18)+(Monthly!$T181*MultiRegressionD4RIN!$B$19)</f>
        <v>65.974072638430471</v>
      </c>
      <c r="K181" s="26">
        <f>FORECAST($J181,K$107:K180,$J$107:$J180)</f>
        <v>65.105129623854879</v>
      </c>
      <c r="L181" s="27">
        <f t="shared" si="17"/>
        <v>57.974072638430471</v>
      </c>
      <c r="O181" s="22"/>
      <c r="P181" s="23">
        <f t="shared" si="11"/>
        <v>2.7271496410450657</v>
      </c>
      <c r="R181" s="24"/>
      <c r="S181" s="28">
        <f>'[7]Monthly Prices'!$D342</f>
        <v>35.883547908487706</v>
      </c>
      <c r="T181" s="29">
        <f>'[6]Used Cooking Oil Complex'!$AJ204</f>
        <v>37</v>
      </c>
      <c r="U181" s="25"/>
      <c r="V181" s="25"/>
      <c r="W181" s="25"/>
      <c r="X181" s="19"/>
    </row>
    <row r="182" spans="1:24" x14ac:dyDescent="0.2">
      <c r="A182" s="17">
        <v>46874</v>
      </c>
      <c r="B182" s="18">
        <f t="shared" si="12"/>
        <v>5</v>
      </c>
      <c r="C182" s="18">
        <f t="shared" si="13"/>
        <v>2</v>
      </c>
      <c r="D182" s="11">
        <f t="shared" si="14"/>
        <v>2028</v>
      </c>
      <c r="E182" s="19"/>
      <c r="F182" s="1"/>
      <c r="J182" s="26">
        <f>MultiRegressionD4RIN!$B$17+(Monthly!$S182*MultiRegressionD4RIN!$B$18)+(Monthly!$T182*MultiRegressionD4RIN!$B$19)</f>
        <v>76.484537939086067</v>
      </c>
      <c r="K182" s="26">
        <f>FORECAST($J182,K$107:K181,$J$107:$J181)</f>
        <v>75.601283170554552</v>
      </c>
      <c r="L182" s="27">
        <f t="shared" si="17"/>
        <v>68.484537939086067</v>
      </c>
      <c r="O182" s="22"/>
      <c r="P182" s="23">
        <f t="shared" si="11"/>
        <v>3.1272664466057858</v>
      </c>
      <c r="R182" s="24"/>
      <c r="S182" s="28">
        <f>'[7]Monthly Prices'!$D343</f>
        <v>41.148242718497187</v>
      </c>
      <c r="T182" s="29">
        <f>'[6]Used Cooking Oil Complex'!$AJ205</f>
        <v>39.75</v>
      </c>
      <c r="U182" s="25"/>
      <c r="V182" s="25"/>
      <c r="W182" s="25"/>
      <c r="X182" s="19"/>
    </row>
    <row r="183" spans="1:24" x14ac:dyDescent="0.2">
      <c r="A183" s="17">
        <v>46905</v>
      </c>
      <c r="B183" s="18">
        <f t="shared" si="12"/>
        <v>6</v>
      </c>
      <c r="C183" s="18">
        <f t="shared" si="13"/>
        <v>2</v>
      </c>
      <c r="D183" s="11">
        <f t="shared" si="14"/>
        <v>2028</v>
      </c>
      <c r="E183" s="19"/>
      <c r="F183" s="1"/>
      <c r="J183" s="26">
        <f>MultiRegressionD4RIN!$B$17+(Monthly!$S183*MultiRegressionD4RIN!$B$18)+(Monthly!$T183*MultiRegressionD4RIN!$B$19)</f>
        <v>89.215493538230177</v>
      </c>
      <c r="K183" s="26">
        <f>FORECAST($J183,K$107:K182,$J$107:$J182)</f>
        <v>88.314903447336945</v>
      </c>
      <c r="L183" s="27">
        <f t="shared" si="17"/>
        <v>81.215493538230177</v>
      </c>
      <c r="O183" s="22"/>
      <c r="P183" s="23">
        <f t="shared" si="11"/>
        <v>3.4727089664714246</v>
      </c>
      <c r="R183" s="24"/>
      <c r="S183" s="28">
        <f>'[7]Monthly Prices'!$D344</f>
        <v>45.69353903251875</v>
      </c>
      <c r="T183" s="29">
        <f>'[6]Used Cooking Oil Complex'!$AJ206</f>
        <v>45.5</v>
      </c>
      <c r="U183" s="25"/>
      <c r="V183" s="25"/>
      <c r="W183" s="25"/>
      <c r="X183" s="19"/>
    </row>
    <row r="184" spans="1:24" x14ac:dyDescent="0.2">
      <c r="A184" s="17">
        <v>46935</v>
      </c>
      <c r="B184" s="18">
        <f t="shared" si="12"/>
        <v>7</v>
      </c>
      <c r="C184" s="18">
        <f t="shared" si="13"/>
        <v>3</v>
      </c>
      <c r="D184" s="11">
        <f t="shared" si="14"/>
        <v>2028</v>
      </c>
      <c r="E184" s="19"/>
      <c r="F184" s="1"/>
      <c r="J184" s="26">
        <f>MultiRegressionD4RIN!$B$17+(Monthly!$S184*MultiRegressionD4RIN!$B$18)+(Monthly!$T184*MultiRegressionD4RIN!$B$19)</f>
        <v>106.45919453695095</v>
      </c>
      <c r="K184" s="26">
        <f>FORECAST($J184,K$107:K183,$J$107:$J183)</f>
        <v>105.53512426711951</v>
      </c>
      <c r="L184" s="27">
        <f t="shared" si="17"/>
        <v>98.459194536950946</v>
      </c>
      <c r="O184" s="22"/>
      <c r="P184" s="23">
        <f t="shared" si="11"/>
        <v>4.0435044378505225</v>
      </c>
      <c r="R184" s="24"/>
      <c r="S184" s="28">
        <f>'[7]Monthly Prices'!$D345</f>
        <v>53.204005761191084</v>
      </c>
      <c r="T184" s="29">
        <f>'[6]Used Cooking Oil Complex'!$AJ207</f>
        <v>51.5</v>
      </c>
      <c r="U184" s="25"/>
      <c r="V184" s="25"/>
      <c r="W184" s="25"/>
      <c r="X184" s="19"/>
    </row>
    <row r="185" spans="1:24" x14ac:dyDescent="0.2">
      <c r="A185" s="17">
        <v>46966</v>
      </c>
      <c r="B185" s="18">
        <f t="shared" si="12"/>
        <v>8</v>
      </c>
      <c r="C185" s="18">
        <f t="shared" si="13"/>
        <v>3</v>
      </c>
      <c r="D185" s="11">
        <f t="shared" si="14"/>
        <v>2028</v>
      </c>
      <c r="E185" s="19"/>
      <c r="F185" s="1"/>
      <c r="J185" s="26">
        <f>MultiRegressionD4RIN!$B$17+(Monthly!$S185*MultiRegressionD4RIN!$B$18)+(Monthly!$T185*MultiRegressionD4RIN!$B$19)</f>
        <v>97.649087383882915</v>
      </c>
      <c r="K185" s="26">
        <f>FORECAST($J185,K$107:K184,$J$107:$J184)</f>
        <v>96.73701354639708</v>
      </c>
      <c r="L185" s="27">
        <f t="shared" si="17"/>
        <v>89.649087383882915</v>
      </c>
      <c r="O185" s="22"/>
      <c r="P185" s="23">
        <f t="shared" si="11"/>
        <v>3.8775838868191692</v>
      </c>
      <c r="R185" s="24"/>
      <c r="S185" s="28">
        <f>'[7]Monthly Prices'!$D346</f>
        <v>51.020840616041703</v>
      </c>
      <c r="T185" s="29">
        <f>'[6]Used Cooking Oil Complex'!$AJ208</f>
        <v>46.25</v>
      </c>
      <c r="U185" s="25"/>
      <c r="V185" s="25"/>
      <c r="W185" s="25"/>
      <c r="X185" s="19"/>
    </row>
    <row r="186" spans="1:24" x14ac:dyDescent="0.2">
      <c r="A186" s="17">
        <v>46997</v>
      </c>
      <c r="B186" s="18">
        <f t="shared" si="12"/>
        <v>9</v>
      </c>
      <c r="C186" s="18">
        <f t="shared" si="13"/>
        <v>3</v>
      </c>
      <c r="D186" s="11">
        <f t="shared" si="14"/>
        <v>2028</v>
      </c>
      <c r="E186" s="19"/>
      <c r="F186" s="1"/>
      <c r="J186" s="26">
        <f>MultiRegressionD4RIN!$B$17+(Monthly!$S186*MultiRegressionD4RIN!$B$18)+(Monthly!$T186*MultiRegressionD4RIN!$B$19)</f>
        <v>71.960728094034536</v>
      </c>
      <c r="K186" s="26">
        <f>FORECAST($J186,K$107:K185,$J$107:$J185)</f>
        <v>71.08363324816996</v>
      </c>
      <c r="L186" s="27">
        <f t="shared" si="17"/>
        <v>63.960728094034536</v>
      </c>
      <c r="O186" s="22"/>
      <c r="P186" s="23">
        <f t="shared" si="11"/>
        <v>3.0595769674891748</v>
      </c>
      <c r="R186" s="24"/>
      <c r="S186" s="28">
        <f>'[7]Monthly Prices'!$D347</f>
        <v>40.257591677489145</v>
      </c>
      <c r="T186" s="29">
        <f>'[6]Used Cooking Oil Complex'!$AJ209</f>
        <v>36.75</v>
      </c>
      <c r="U186" s="25"/>
      <c r="V186" s="25"/>
      <c r="W186" s="25"/>
      <c r="X186" s="19"/>
    </row>
    <row r="187" spans="1:24" x14ac:dyDescent="0.2">
      <c r="A187" s="17">
        <v>47027</v>
      </c>
      <c r="B187" s="18">
        <f t="shared" si="12"/>
        <v>10</v>
      </c>
      <c r="C187" s="18">
        <f t="shared" si="13"/>
        <v>4</v>
      </c>
      <c r="D187" s="11">
        <f t="shared" si="14"/>
        <v>2028</v>
      </c>
      <c r="E187" s="19"/>
      <c r="F187" s="1"/>
      <c r="J187" s="26">
        <f>MultiRegressionD4RIN!$B$17+(Monthly!$S187*MultiRegressionD4RIN!$B$18)+(Monthly!$T187*MultiRegressionD4RIN!$B$19)</f>
        <v>69.600791506932467</v>
      </c>
      <c r="K187" s="26">
        <f>FORECAST($J187,K$107:K186,$J$107:$J186)</f>
        <v>68.72691010888586</v>
      </c>
      <c r="L187" s="27">
        <f t="shared" si="17"/>
        <v>61.600791506932467</v>
      </c>
      <c r="O187" s="22"/>
      <c r="P187" s="23">
        <f t="shared" ref="P187:P250" si="18">S187*7.6/100</f>
        <v>2.847886549615712</v>
      </c>
      <c r="R187" s="24"/>
      <c r="S187" s="28">
        <f>'[7]Monthly Prices'!$D348</f>
        <v>37.472191442312003</v>
      </c>
      <c r="T187" s="29">
        <f>'[6]Used Cooking Oil Complex'!$AK198</f>
        <v>38.25</v>
      </c>
      <c r="U187" s="25"/>
      <c r="V187" s="25"/>
      <c r="W187" s="25"/>
      <c r="X187" s="19"/>
    </row>
    <row r="188" spans="1:24" x14ac:dyDescent="0.2">
      <c r="A188" s="17">
        <v>47058</v>
      </c>
      <c r="B188" s="18">
        <f t="shared" si="12"/>
        <v>11</v>
      </c>
      <c r="C188" s="18">
        <f t="shared" si="13"/>
        <v>4</v>
      </c>
      <c r="D188" s="11">
        <f t="shared" si="14"/>
        <v>2028</v>
      </c>
      <c r="E188" s="19"/>
      <c r="F188" s="1"/>
      <c r="J188" s="26">
        <f>MultiRegressionD4RIN!$B$17+(Monthly!$S188*MultiRegressionD4RIN!$B$18)+(Monthly!$T188*MultiRegressionD4RIN!$B$19)</f>
        <v>57.73630151882309</v>
      </c>
      <c r="K188" s="26">
        <f>FORECAST($J188,K$107:K187,$J$107:$J187)</f>
        <v>56.878575605492422</v>
      </c>
      <c r="L188" s="27">
        <f t="shared" si="17"/>
        <v>49.73630151882309</v>
      </c>
      <c r="O188" s="22"/>
      <c r="P188" s="23">
        <f t="shared" si="18"/>
        <v>2.548474982947289</v>
      </c>
      <c r="R188" s="24"/>
      <c r="S188" s="28">
        <f>'[7]Monthly Prices'!$D349</f>
        <v>33.532565565095908</v>
      </c>
      <c r="T188" s="29">
        <f>'[6]Used Cooking Oil Complex'!$AK199</f>
        <v>32.5</v>
      </c>
      <c r="U188" s="25"/>
      <c r="V188" s="25"/>
      <c r="W188" s="25"/>
      <c r="X188" s="19"/>
    </row>
    <row r="189" spans="1:24" x14ac:dyDescent="0.2">
      <c r="A189" s="17">
        <v>47088</v>
      </c>
      <c r="B189" s="18">
        <f t="shared" si="12"/>
        <v>12</v>
      </c>
      <c r="C189" s="18">
        <f t="shared" si="13"/>
        <v>4</v>
      </c>
      <c r="D189" s="11">
        <f t="shared" si="14"/>
        <v>2028</v>
      </c>
      <c r="E189" s="19"/>
      <c r="F189" s="1"/>
      <c r="J189" s="26">
        <f>MultiRegressionD4RIN!$B$17+(Monthly!$S189*MultiRegressionD4RIN!$B$18)+(Monthly!$T189*MultiRegressionD4RIN!$B$19)</f>
        <v>61.549476189564281</v>
      </c>
      <c r="K189" s="26">
        <f>FORECAST($J189,K$107:K188,$J$107:$J188)</f>
        <v>60.686558002046191</v>
      </c>
      <c r="L189" s="27">
        <f t="shared" si="17"/>
        <v>53.549476189564281</v>
      </c>
      <c r="O189" s="22"/>
      <c r="P189" s="23">
        <f t="shared" si="18"/>
        <v>2.7654362239415748</v>
      </c>
      <c r="R189" s="24"/>
      <c r="S189" s="28">
        <f>'[7]Monthly Prices'!$D350</f>
        <v>36.387318736073354</v>
      </c>
      <c r="T189" s="29">
        <f>'[6]Used Cooking Oil Complex'!$AK200</f>
        <v>32.25</v>
      </c>
      <c r="U189" s="25"/>
      <c r="V189" s="25"/>
      <c r="W189" s="25"/>
      <c r="X189" s="19"/>
    </row>
    <row r="190" spans="1:24" x14ac:dyDescent="0.2">
      <c r="A190" s="17">
        <v>47119</v>
      </c>
      <c r="B190" s="18">
        <f t="shared" si="12"/>
        <v>1</v>
      </c>
      <c r="C190" s="18">
        <f t="shared" si="13"/>
        <v>1</v>
      </c>
      <c r="D190" s="11">
        <f t="shared" si="14"/>
        <v>2029</v>
      </c>
      <c r="E190" s="19"/>
      <c r="F190" s="1"/>
      <c r="J190" s="26">
        <f>MultiRegressionD4RIN!$B$17+(Monthly!$S190*MultiRegressionD4RIN!$B$18)+(Monthly!$T190*MultiRegressionD4RIN!$B$19)</f>
        <v>52.071090732749845</v>
      </c>
      <c r="K190" s="26">
        <f>FORECAST($J190,K$107:K189,$J$107:$J189)</f>
        <v>51.221078950103163</v>
      </c>
      <c r="L190" s="27">
        <f t="shared" si="17"/>
        <v>44.071090732749845</v>
      </c>
      <c r="O190" s="22"/>
      <c r="P190" s="23">
        <f t="shared" si="18"/>
        <v>2.3769891840553954</v>
      </c>
      <c r="R190" s="24"/>
      <c r="S190" s="28">
        <f>'[7]Monthly Prices'!$D351</f>
        <v>31.276173474413103</v>
      </c>
      <c r="T190" s="29">
        <f>'[6]Used Cooking Oil Complex'!$AK201</f>
        <v>30.25</v>
      </c>
      <c r="U190" s="25"/>
      <c r="V190" s="25"/>
      <c r="W190" s="25"/>
      <c r="X190" s="19"/>
    </row>
    <row r="191" spans="1:24" x14ac:dyDescent="0.2">
      <c r="A191" s="17">
        <v>47150</v>
      </c>
      <c r="B191" s="18">
        <f t="shared" si="12"/>
        <v>2</v>
      </c>
      <c r="C191" s="18">
        <f t="shared" si="13"/>
        <v>1</v>
      </c>
      <c r="D191" s="11">
        <f t="shared" si="14"/>
        <v>2029</v>
      </c>
      <c r="E191" s="19"/>
      <c r="F191" s="1"/>
      <c r="J191" s="26">
        <f>MultiRegressionD4RIN!$B$17+(Monthly!$S191*MultiRegressionD4RIN!$B$18)+(Monthly!$T191*MultiRegressionD4RIN!$B$19)</f>
        <v>55.684970762553981</v>
      </c>
      <c r="K191" s="26">
        <f>FORECAST($J191,K$107:K190,$J$107:$J190)</f>
        <v>54.830038078659541</v>
      </c>
      <c r="L191" s="27">
        <f t="shared" si="17"/>
        <v>47.684970762553981</v>
      </c>
      <c r="O191" s="22"/>
      <c r="P191" s="23">
        <f t="shared" si="18"/>
        <v>2.381952196600793</v>
      </c>
      <c r="R191" s="24"/>
      <c r="S191" s="28">
        <f>'[7]Monthly Prices'!$D352</f>
        <v>31.341476271063065</v>
      </c>
      <c r="T191" s="29">
        <f>'[6]Used Cooking Oil Complex'!$AK202</f>
        <v>33.5</v>
      </c>
      <c r="U191" s="25"/>
      <c r="V191" s="25"/>
      <c r="W191" s="25"/>
      <c r="X191" s="19"/>
    </row>
    <row r="192" spans="1:24" x14ac:dyDescent="0.2">
      <c r="A192" s="17">
        <v>47178</v>
      </c>
      <c r="B192" s="18">
        <f t="shared" si="12"/>
        <v>3</v>
      </c>
      <c r="C192" s="18">
        <f t="shared" si="13"/>
        <v>1</v>
      </c>
      <c r="D192" s="11">
        <f t="shared" si="14"/>
        <v>2029</v>
      </c>
      <c r="E192" s="19"/>
      <c r="F192" s="1"/>
      <c r="J192" s="26">
        <f>MultiRegressionD4RIN!$B$17+(Monthly!$S192*MultiRegressionD4RIN!$B$18)+(Monthly!$T192*MultiRegressionD4RIN!$B$19)</f>
        <v>74.894017795874788</v>
      </c>
      <c r="K192" s="26">
        <f>FORECAST($J192,K$107:K191,$J$107:$J191)</f>
        <v>74.012928786165617</v>
      </c>
      <c r="L192" s="27">
        <f t="shared" si="17"/>
        <v>66.894017795874788</v>
      </c>
      <c r="O192" s="22"/>
      <c r="P192" s="23">
        <f t="shared" si="18"/>
        <v>2.9852242068526094</v>
      </c>
      <c r="R192" s="24"/>
      <c r="S192" s="28">
        <f>'[7]Monthly Prices'!$D353</f>
        <v>39.279265879639603</v>
      </c>
      <c r="T192" s="29">
        <f>'[6]Used Cooking Oil Complex'!$AK203</f>
        <v>40.75</v>
      </c>
      <c r="U192" s="25"/>
      <c r="V192" s="25"/>
      <c r="W192" s="25"/>
      <c r="X192" s="19"/>
    </row>
    <row r="193" spans="1:24" x14ac:dyDescent="0.2">
      <c r="A193" s="17">
        <v>47209</v>
      </c>
      <c r="B193" s="18">
        <f t="shared" si="12"/>
        <v>4</v>
      </c>
      <c r="C193" s="18">
        <f t="shared" si="13"/>
        <v>2</v>
      </c>
      <c r="D193" s="11">
        <f t="shared" si="14"/>
        <v>2029</v>
      </c>
      <c r="E193" s="19"/>
      <c r="F193" s="1"/>
      <c r="J193" s="26">
        <f>MultiRegressionD4RIN!$B$17+(Monthly!$S193*MultiRegressionD4RIN!$B$18)+(Monthly!$T193*MultiRegressionD4RIN!$B$19)</f>
        <v>88.468016660148052</v>
      </c>
      <c r="K193" s="26">
        <f>FORECAST($J193,K$107:K192,$J$107:$J192)</f>
        <v>87.568444383867302</v>
      </c>
      <c r="L193" s="27">
        <f t="shared" si="17"/>
        <v>80.468016660148052</v>
      </c>
      <c r="O193" s="22"/>
      <c r="P193" s="23">
        <f t="shared" si="18"/>
        <v>3.4329992852644464</v>
      </c>
      <c r="R193" s="24"/>
      <c r="S193" s="28">
        <f>'[7]Monthly Prices'!$D354</f>
        <v>45.171043227163771</v>
      </c>
      <c r="T193" s="29">
        <f>'[6]Used Cooking Oil Complex'!$AK204</f>
        <v>45.5</v>
      </c>
      <c r="U193" s="25"/>
      <c r="V193" s="25"/>
      <c r="W193" s="25"/>
      <c r="X193" s="19"/>
    </row>
    <row r="194" spans="1:24" x14ac:dyDescent="0.2">
      <c r="A194" s="17">
        <v>47239</v>
      </c>
      <c r="B194" s="18">
        <f t="shared" si="12"/>
        <v>5</v>
      </c>
      <c r="C194" s="18">
        <f t="shared" si="13"/>
        <v>2</v>
      </c>
      <c r="D194" s="11">
        <f t="shared" si="14"/>
        <v>2029</v>
      </c>
      <c r="E194" s="19"/>
      <c r="F194" s="1"/>
      <c r="J194" s="26">
        <f>MultiRegressionD4RIN!$B$17+(Monthly!$S194*MultiRegressionD4RIN!$B$18)+(Monthly!$T194*MultiRegressionD4RIN!$B$19)</f>
        <v>95.477521127693564</v>
      </c>
      <c r="K194" s="26">
        <f>FORECAST($J194,K$107:K193,$J$107:$J193)</f>
        <v>94.568404240358717</v>
      </c>
      <c r="L194" s="27">
        <f t="shared" si="17"/>
        <v>87.477521127693564</v>
      </c>
      <c r="O194" s="22"/>
      <c r="P194" s="23">
        <f t="shared" si="18"/>
        <v>3.7622195106335612</v>
      </c>
      <c r="R194" s="24"/>
      <c r="S194" s="28">
        <f>'[7]Monthly Prices'!$D355</f>
        <v>49.502888297810017</v>
      </c>
      <c r="T194" s="29">
        <f>'[6]Used Cooking Oil Complex'!$AK205</f>
        <v>46.25</v>
      </c>
      <c r="U194" s="25"/>
      <c r="V194" s="25"/>
      <c r="W194" s="25"/>
      <c r="X194" s="19"/>
    </row>
    <row r="195" spans="1:24" x14ac:dyDescent="0.2">
      <c r="A195" s="17">
        <v>47270</v>
      </c>
      <c r="B195" s="18">
        <f t="shared" si="12"/>
        <v>6</v>
      </c>
      <c r="C195" s="18">
        <f t="shared" si="13"/>
        <v>2</v>
      </c>
      <c r="D195" s="11">
        <f t="shared" si="14"/>
        <v>2029</v>
      </c>
      <c r="E195" s="19"/>
      <c r="F195" s="1"/>
      <c r="J195" s="26">
        <f>MultiRegressionD4RIN!$B$17+(Monthly!$S195*MultiRegressionD4RIN!$B$18)+(Monthly!$T195*MultiRegressionD4RIN!$B$19)</f>
        <v>103.7119394846209</v>
      </c>
      <c r="K195" s="26">
        <f>FORECAST($J195,K$107:K194,$J$107:$J194)</f>
        <v>102.79161006138747</v>
      </c>
      <c r="L195" s="27">
        <f t="shared" si="17"/>
        <v>95.711939484620899</v>
      </c>
      <c r="O195" s="22"/>
      <c r="P195" s="23">
        <f t="shared" si="18"/>
        <v>3.9694890116391259</v>
      </c>
      <c r="R195" s="24"/>
      <c r="S195" s="28">
        <f>'[7]Monthly Prices'!$D356</f>
        <v>52.230118574199025</v>
      </c>
      <c r="T195" s="29">
        <f>'[6]Used Cooking Oil Complex'!$AK206</f>
        <v>50.25</v>
      </c>
      <c r="U195" s="25"/>
      <c r="V195" s="25"/>
      <c r="W195" s="25"/>
      <c r="X195" s="19"/>
    </row>
    <row r="196" spans="1:24" x14ac:dyDescent="0.2">
      <c r="A196" s="17">
        <v>47300</v>
      </c>
      <c r="B196" s="18">
        <f t="shared" si="12"/>
        <v>7</v>
      </c>
      <c r="C196" s="18">
        <f t="shared" si="13"/>
        <v>3</v>
      </c>
      <c r="D196" s="11">
        <f t="shared" si="14"/>
        <v>2029</v>
      </c>
      <c r="E196" s="19"/>
      <c r="F196" s="1"/>
      <c r="J196" s="26">
        <f>MultiRegressionD4RIN!$B$17+(Monthly!$S196*MultiRegressionD4RIN!$B$18)+(Monthly!$T196*MultiRegressionD4RIN!$B$19)</f>
        <v>110.40501638724217</v>
      </c>
      <c r="K196" s="26">
        <f>FORECAST($J196,K$107:K195,$J$107:$J195)</f>
        <v>109.47557322193373</v>
      </c>
      <c r="L196" s="27">
        <f t="shared" si="17"/>
        <v>102.40501638724217</v>
      </c>
      <c r="O196" s="22"/>
      <c r="P196" s="23">
        <f t="shared" si="18"/>
        <v>4.1811936804004608</v>
      </c>
      <c r="R196" s="24"/>
      <c r="S196" s="28">
        <f>'[7]Monthly Prices'!$D357</f>
        <v>55.015706321058694</v>
      </c>
      <c r="T196" s="29">
        <f>'[6]Used Cooking Oil Complex'!$AK207</f>
        <v>52.75</v>
      </c>
      <c r="U196" s="25"/>
      <c r="V196" s="25"/>
      <c r="W196" s="25"/>
      <c r="X196" s="19"/>
    </row>
    <row r="197" spans="1:24" x14ac:dyDescent="0.2">
      <c r="A197" s="17">
        <v>47331</v>
      </c>
      <c r="B197" s="18">
        <f t="shared" ref="B197:B260" si="19">MONTH(A197)</f>
        <v>8</v>
      </c>
      <c r="C197" s="18">
        <f t="shared" ref="C197:C260" si="20">ROUNDUP(MONTH(A197)/3,0)</f>
        <v>3</v>
      </c>
      <c r="D197" s="11">
        <f t="shared" ref="D197:D260" si="21">YEAR(A197)</f>
        <v>2029</v>
      </c>
      <c r="E197" s="19"/>
      <c r="F197" s="1"/>
      <c r="J197" s="26">
        <f>MultiRegressionD4RIN!$B$17+(Monthly!$S197*MultiRegressionD4RIN!$B$18)+(Monthly!$T197*MultiRegressionD4RIN!$B$19)</f>
        <v>89.729135458597383</v>
      </c>
      <c r="K197" s="26">
        <f>FORECAST($J197,K$107:K196,$J$107:$J196)</f>
        <v>88.827845958441543</v>
      </c>
      <c r="L197" s="27">
        <f t="shared" si="17"/>
        <v>81.729135458597383</v>
      </c>
      <c r="O197" s="22"/>
      <c r="P197" s="23">
        <f t="shared" si="18"/>
        <v>3.6150880074900384</v>
      </c>
      <c r="R197" s="24"/>
      <c r="S197" s="28">
        <f>'[7]Monthly Prices'!$D358</f>
        <v>47.566947466974192</v>
      </c>
      <c r="T197" s="29">
        <f>'[6]Used Cooking Oil Complex'!$AK208</f>
        <v>43.5</v>
      </c>
      <c r="U197" s="25"/>
      <c r="V197" s="25"/>
      <c r="W197" s="25"/>
      <c r="X197" s="19"/>
    </row>
    <row r="198" spans="1:24" x14ac:dyDescent="0.2">
      <c r="A198" s="17">
        <v>47362</v>
      </c>
      <c r="B198" s="18">
        <f t="shared" si="19"/>
        <v>9</v>
      </c>
      <c r="C198" s="18">
        <f t="shared" si="20"/>
        <v>3</v>
      </c>
      <c r="D198" s="11">
        <f t="shared" si="21"/>
        <v>2029</v>
      </c>
      <c r="E198" s="19"/>
      <c r="F198" s="1"/>
      <c r="J198" s="26">
        <f>MultiRegressionD4RIN!$B$17+(Monthly!$S198*MultiRegressionD4RIN!$B$18)+(Monthly!$T198*MultiRegressionD4RIN!$B$19)</f>
        <v>61.206664960171167</v>
      </c>
      <c r="K198" s="26">
        <f>FORECAST($J198,K$107:K197,$J$107:$J197)</f>
        <v>60.344213567397972</v>
      </c>
      <c r="L198" s="27">
        <f t="shared" si="17"/>
        <v>53.206664960171167</v>
      </c>
      <c r="O198" s="22"/>
      <c r="P198" s="23">
        <f t="shared" si="18"/>
        <v>2.7184514318947182</v>
      </c>
      <c r="R198" s="24"/>
      <c r="S198" s="28">
        <f>'[7]Monthly Prices'!$D359</f>
        <v>35.769097788088395</v>
      </c>
      <c r="T198" s="29">
        <f>'[6]Used Cooking Oil Complex'!$AK209</f>
        <v>32.75</v>
      </c>
      <c r="U198" s="25"/>
      <c r="V198" s="25"/>
      <c r="W198" s="25"/>
      <c r="X198" s="19"/>
    </row>
    <row r="199" spans="1:24" x14ac:dyDescent="0.2">
      <c r="A199" s="17">
        <v>47392</v>
      </c>
      <c r="B199" s="18">
        <f t="shared" si="19"/>
        <v>10</v>
      </c>
      <c r="C199" s="18">
        <f t="shared" si="20"/>
        <v>4</v>
      </c>
      <c r="D199" s="11">
        <f t="shared" si="21"/>
        <v>2029</v>
      </c>
      <c r="E199" s="19"/>
      <c r="F199" s="1"/>
      <c r="J199" s="26">
        <f>MultiRegressionD4RIN!$B$17+(Monthly!$S199*MultiRegressionD4RIN!$B$18)+(Monthly!$T199*MultiRegressionD4RIN!$B$19)</f>
        <v>63.037671262992404</v>
      </c>
      <c r="K199" s="26">
        <f>FORECAST($J199,K$107:K198,$J$107:$J198)</f>
        <v>62.17272664932478</v>
      </c>
      <c r="L199" s="27">
        <f t="shared" si="17"/>
        <v>55.037671262992404</v>
      </c>
      <c r="O199" s="22"/>
      <c r="P199" s="23">
        <f t="shared" si="18"/>
        <v>2.585539906889283</v>
      </c>
      <c r="R199" s="24"/>
      <c r="S199" s="28">
        <f>'[7]Monthly Prices'!$D360</f>
        <v>34.020261932753726</v>
      </c>
      <c r="T199" s="29">
        <f>'[6]Used Cooking Oil Complex'!$AL198</f>
        <v>36.75</v>
      </c>
      <c r="U199" s="25"/>
      <c r="V199" s="25"/>
      <c r="W199" s="25"/>
      <c r="X199" s="19"/>
    </row>
    <row r="200" spans="1:24" x14ac:dyDescent="0.2">
      <c r="A200" s="17">
        <v>47423</v>
      </c>
      <c r="B200" s="18">
        <f t="shared" si="19"/>
        <v>11</v>
      </c>
      <c r="C200" s="18">
        <f t="shared" si="20"/>
        <v>4</v>
      </c>
      <c r="D200" s="11">
        <f t="shared" si="21"/>
        <v>2029</v>
      </c>
      <c r="E200" s="19"/>
      <c r="F200" s="1"/>
      <c r="J200" s="26">
        <f>MultiRegressionD4RIN!$B$17+(Monthly!$S200*MultiRegressionD4RIN!$B$18)+(Monthly!$T200*MultiRegressionD4RIN!$B$19)</f>
        <v>55.776096677180057</v>
      </c>
      <c r="K200" s="26">
        <f>FORECAST($J200,K$107:K199,$J$107:$J199)</f>
        <v>54.921039910133111</v>
      </c>
      <c r="L200" s="27">
        <f t="shared" si="17"/>
        <v>47.776096677180057</v>
      </c>
      <c r="O200" s="22"/>
      <c r="P200" s="23">
        <f t="shared" si="18"/>
        <v>2.5018850906083108</v>
      </c>
      <c r="R200" s="24"/>
      <c r="S200" s="28">
        <f>'[7]Monthly Prices'!$D361</f>
        <v>32.919540665898829</v>
      </c>
      <c r="T200" s="29">
        <f>'[6]Used Cooking Oil Complex'!$AL199</f>
        <v>31.5</v>
      </c>
      <c r="U200" s="25"/>
      <c r="V200" s="25"/>
      <c r="W200" s="25"/>
      <c r="X200" s="19"/>
    </row>
    <row r="201" spans="1:24" x14ac:dyDescent="0.2">
      <c r="A201" s="17">
        <v>47453</v>
      </c>
      <c r="B201" s="18">
        <f t="shared" si="19"/>
        <v>12</v>
      </c>
      <c r="C201" s="18">
        <f t="shared" si="20"/>
        <v>4</v>
      </c>
      <c r="D201" s="11">
        <f t="shared" si="21"/>
        <v>2029</v>
      </c>
      <c r="E201" s="19"/>
      <c r="F201" s="1"/>
      <c r="J201" s="26">
        <f>MultiRegressionD4RIN!$B$17+(Monthly!$S201*MultiRegressionD4RIN!$B$18)+(Monthly!$T201*MultiRegressionD4RIN!$B$19)</f>
        <v>69.443754379415097</v>
      </c>
      <c r="K201" s="26">
        <f>FORECAST($J201,K$107:K200,$J$107:$J200)</f>
        <v>68.570086813645858</v>
      </c>
      <c r="L201" s="27">
        <f t="shared" si="17"/>
        <v>61.443754379415097</v>
      </c>
      <c r="O201" s="22"/>
      <c r="P201" s="23">
        <f t="shared" si="18"/>
        <v>3.112887061934948</v>
      </c>
      <c r="R201" s="24"/>
      <c r="S201" s="28">
        <f>'[7]Monthly Prices'!$D362</f>
        <v>40.959040288617743</v>
      </c>
      <c r="T201" s="29">
        <f>'[6]Used Cooking Oil Complex'!$AL200</f>
        <v>33.5</v>
      </c>
      <c r="U201" s="25"/>
      <c r="V201" s="25"/>
      <c r="W201" s="25"/>
      <c r="X201" s="19"/>
    </row>
    <row r="202" spans="1:24" x14ac:dyDescent="0.2">
      <c r="A202" s="17">
        <v>47484</v>
      </c>
      <c r="B202" s="18">
        <f t="shared" si="19"/>
        <v>1</v>
      </c>
      <c r="C202" s="18">
        <f t="shared" si="20"/>
        <v>1</v>
      </c>
      <c r="D202" s="11">
        <f t="shared" si="21"/>
        <v>2030</v>
      </c>
      <c r="E202" s="19"/>
      <c r="F202" s="1"/>
      <c r="J202" s="26">
        <f>MultiRegressionD4RIN!$B$17+(Monthly!$S202*MultiRegressionD4RIN!$B$18)+(Monthly!$T202*MultiRegressionD4RIN!$B$19)</f>
        <v>79.497636600520536</v>
      </c>
      <c r="K202" s="26">
        <f>FORECAST($J202,K$107:K201,$J$107:$J201)</f>
        <v>78.6102789949163</v>
      </c>
      <c r="L202" s="27">
        <f t="shared" si="17"/>
        <v>71.497636600520536</v>
      </c>
      <c r="O202" s="22"/>
      <c r="P202" s="23">
        <f t="shared" si="18"/>
        <v>3.2729507212131366</v>
      </c>
      <c r="R202" s="24"/>
      <c r="S202" s="28">
        <f>'[7]Monthly Prices'!$D363</f>
        <v>43.065141068593903</v>
      </c>
      <c r="T202" s="29">
        <f>'[6]Used Cooking Oil Complex'!$AL201</f>
        <v>40</v>
      </c>
      <c r="U202" s="25"/>
      <c r="V202" s="25"/>
      <c r="W202" s="25"/>
      <c r="X202" s="19"/>
    </row>
    <row r="203" spans="1:24" x14ac:dyDescent="0.2">
      <c r="A203" s="17">
        <v>47515</v>
      </c>
      <c r="B203" s="18">
        <f t="shared" si="19"/>
        <v>2</v>
      </c>
      <c r="C203" s="18">
        <f t="shared" si="20"/>
        <v>1</v>
      </c>
      <c r="D203" s="11">
        <f t="shared" si="21"/>
        <v>2030</v>
      </c>
      <c r="E203" s="19"/>
      <c r="F203" s="1"/>
      <c r="J203" s="26">
        <f>MultiRegressionD4RIN!$B$17+(Monthly!$S203*MultiRegressionD4RIN!$B$18)+(Monthly!$T203*MultiRegressionD4RIN!$B$19)</f>
        <v>76.11303424905617</v>
      </c>
      <c r="K203" s="26">
        <f>FORECAST($J203,K$107:K202,$J$107:$J202)</f>
        <v>75.230285344846905</v>
      </c>
      <c r="L203" s="27">
        <f t="shared" si="17"/>
        <v>68.11303424905617</v>
      </c>
      <c r="O203" s="22"/>
      <c r="P203" s="23">
        <f t="shared" si="18"/>
        <v>3.0499844103603038</v>
      </c>
      <c r="R203" s="24"/>
      <c r="S203" s="28">
        <f>'[7]Monthly Prices'!$D364</f>
        <v>40.131373820530314</v>
      </c>
      <c r="T203" s="29">
        <f>'[6]Used Cooking Oil Complex'!$AL202</f>
        <v>40.75</v>
      </c>
      <c r="U203" s="25"/>
      <c r="V203" s="25"/>
      <c r="W203" s="25"/>
      <c r="X203" s="19"/>
    </row>
    <row r="204" spans="1:24" x14ac:dyDescent="0.2">
      <c r="A204" s="17">
        <v>47543</v>
      </c>
      <c r="B204" s="18">
        <f t="shared" si="19"/>
        <v>3</v>
      </c>
      <c r="C204" s="18">
        <f t="shared" si="20"/>
        <v>1</v>
      </c>
      <c r="D204" s="11">
        <f t="shared" si="21"/>
        <v>2030</v>
      </c>
      <c r="E204" s="19"/>
      <c r="F204" s="1"/>
      <c r="J204" s="26">
        <f>MultiRegressionD4RIN!$B$17+(Monthly!$S204*MultiRegressionD4RIN!$B$18)+(Monthly!$T204*MultiRegressionD4RIN!$B$19)</f>
        <v>97.740518837456008</v>
      </c>
      <c r="K204" s="26">
        <f>FORECAST($J204,K$107:K203,$J$107:$J203)</f>
        <v>96.828320500775348</v>
      </c>
      <c r="L204" s="27">
        <f t="shared" si="17"/>
        <v>89.740518837456008</v>
      </c>
      <c r="O204" s="22"/>
      <c r="P204" s="23">
        <f t="shared" si="18"/>
        <v>3.8105087836228844</v>
      </c>
      <c r="R204" s="24"/>
      <c r="S204" s="28">
        <f>'[7]Monthly Prices'!$D365</f>
        <v>50.138273468722161</v>
      </c>
      <c r="T204" s="29">
        <f>'[6]Used Cooking Oil Complex'!$AL203</f>
        <v>47.5</v>
      </c>
      <c r="U204" s="25"/>
      <c r="V204" s="25"/>
      <c r="W204" s="25"/>
      <c r="X204" s="19"/>
    </row>
    <row r="205" spans="1:24" x14ac:dyDescent="0.2">
      <c r="A205" s="17">
        <v>47574</v>
      </c>
      <c r="B205" s="18">
        <f t="shared" si="19"/>
        <v>4</v>
      </c>
      <c r="C205" s="18">
        <f t="shared" si="20"/>
        <v>2</v>
      </c>
      <c r="D205" s="11">
        <f t="shared" si="21"/>
        <v>2030</v>
      </c>
      <c r="E205" s="19"/>
      <c r="F205" s="1"/>
      <c r="J205" s="26">
        <f>MultiRegressionD4RIN!$B$17+(Monthly!$S205*MultiRegressionD4RIN!$B$18)+(Monthly!$T205*MultiRegressionD4RIN!$B$19)</f>
        <v>112.24633878171676</v>
      </c>
      <c r="K205" s="26">
        <f>FORECAST($J205,K$107:K204,$J$107:$J204)</f>
        <v>111.31438834843216</v>
      </c>
      <c r="L205" s="27">
        <f t="shared" si="17"/>
        <v>104.24633878171676</v>
      </c>
      <c r="O205" s="22"/>
      <c r="P205" s="23">
        <f t="shared" si="18"/>
        <v>4.3365597803768621</v>
      </c>
      <c r="R205" s="24"/>
      <c r="S205" s="28">
        <f>'[7]Monthly Prices'!$D366</f>
        <v>57.059997110221865</v>
      </c>
      <c r="T205" s="29">
        <f>'[6]Used Cooking Oil Complex'!$AL204</f>
        <v>51.75</v>
      </c>
      <c r="U205" s="25"/>
      <c r="V205" s="25"/>
      <c r="W205" s="25"/>
      <c r="X205" s="19"/>
    </row>
    <row r="206" spans="1:24" x14ac:dyDescent="0.2">
      <c r="A206" s="17">
        <v>47604</v>
      </c>
      <c r="B206" s="18">
        <f t="shared" si="19"/>
        <v>5</v>
      </c>
      <c r="C206" s="18">
        <f t="shared" si="20"/>
        <v>2</v>
      </c>
      <c r="D206" s="11">
        <f t="shared" si="21"/>
        <v>2030</v>
      </c>
      <c r="E206" s="19"/>
      <c r="F206" s="1"/>
      <c r="J206" s="26">
        <f>MultiRegressionD4RIN!$B$17+(Monthly!$S206*MultiRegressionD4RIN!$B$18)+(Monthly!$T206*MultiRegressionD4RIN!$B$19)</f>
        <v>104.60056453507551</v>
      </c>
      <c r="K206" s="26">
        <f>FORECAST($J206,K$107:K205,$J$107:$J205)</f>
        <v>103.67902510041849</v>
      </c>
      <c r="L206" s="27">
        <f t="shared" si="17"/>
        <v>96.600564535075506</v>
      </c>
      <c r="O206" s="22"/>
      <c r="P206" s="23">
        <f t="shared" si="18"/>
        <v>4.2900402880756427</v>
      </c>
      <c r="R206" s="24"/>
      <c r="S206" s="28">
        <f>'[7]Monthly Prices'!$D367</f>
        <v>56.447898527311089</v>
      </c>
      <c r="T206" s="29">
        <f>'[6]Used Cooking Oil Complex'!$AL205</f>
        <v>45.5</v>
      </c>
      <c r="U206" s="25"/>
      <c r="V206" s="25"/>
      <c r="W206" s="25"/>
      <c r="X206" s="19"/>
    </row>
    <row r="207" spans="1:24" x14ac:dyDescent="0.2">
      <c r="A207" s="17">
        <v>47635</v>
      </c>
      <c r="B207" s="18">
        <f t="shared" si="19"/>
        <v>6</v>
      </c>
      <c r="C207" s="18">
        <f t="shared" si="20"/>
        <v>2</v>
      </c>
      <c r="D207" s="11">
        <f t="shared" si="21"/>
        <v>2030</v>
      </c>
      <c r="E207" s="19"/>
      <c r="F207" s="1"/>
      <c r="J207" s="26">
        <f>MultiRegressionD4RIN!$B$17+(Monthly!$S207*MultiRegressionD4RIN!$B$18)+(Monthly!$T207*MultiRegressionD4RIN!$B$19)</f>
        <v>116.40197082050092</v>
      </c>
      <c r="K207" s="26">
        <f>FORECAST($J207,K$107:K206,$J$107:$J206)</f>
        <v>115.46436180012532</v>
      </c>
      <c r="L207" s="27">
        <f t="shared" si="17"/>
        <v>108.40197082050092</v>
      </c>
      <c r="O207" s="22"/>
      <c r="P207" s="23">
        <f t="shared" si="18"/>
        <v>4.6580329311466802</v>
      </c>
      <c r="R207" s="24"/>
      <c r="S207" s="28">
        <f>'[7]Monthly Prices'!$D368</f>
        <v>61.28990698877211</v>
      </c>
      <c r="T207" s="29">
        <f>'[6]Used Cooking Oil Complex'!$AL206</f>
        <v>50</v>
      </c>
      <c r="U207" s="25"/>
      <c r="V207" s="25"/>
      <c r="W207" s="25"/>
      <c r="X207" s="19"/>
    </row>
    <row r="208" spans="1:24" x14ac:dyDescent="0.2">
      <c r="A208" s="17">
        <v>47665</v>
      </c>
      <c r="B208" s="18">
        <f t="shared" si="19"/>
        <v>7</v>
      </c>
      <c r="C208" s="18">
        <f t="shared" si="20"/>
        <v>3</v>
      </c>
      <c r="D208" s="11">
        <f t="shared" si="21"/>
        <v>2030</v>
      </c>
      <c r="E208" s="19"/>
      <c r="F208" s="1"/>
      <c r="J208" s="26">
        <f>MultiRegressionD4RIN!$B$17+(Monthly!$S208*MultiRegressionD4RIN!$B$18)+(Monthly!$T208*MultiRegressionD4RIN!$B$19)</f>
        <v>130.30950868013343</v>
      </c>
      <c r="K208" s="26">
        <f>FORECAST($J208,K$107:K207,$J$107:$J207)</f>
        <v>129.35296222413666</v>
      </c>
      <c r="L208" s="27">
        <f t="shared" si="17"/>
        <v>122.30950868013343</v>
      </c>
      <c r="O208" s="22"/>
      <c r="P208" s="23">
        <f t="shared" si="18"/>
        <v>5.1523002145189265</v>
      </c>
      <c r="R208" s="24"/>
      <c r="S208" s="28">
        <f>'[7]Monthly Prices'!$D369</f>
        <v>67.793423875249033</v>
      </c>
      <c r="T208" s="29">
        <f>'[6]Used Cooking Oil Complex'!$AL207</f>
        <v>54.25</v>
      </c>
      <c r="U208" s="25"/>
      <c r="V208" s="25"/>
      <c r="W208" s="25"/>
      <c r="X208" s="19"/>
    </row>
    <row r="209" spans="1:24" x14ac:dyDescent="0.2">
      <c r="A209" s="17">
        <v>47696</v>
      </c>
      <c r="B209" s="18">
        <f t="shared" si="19"/>
        <v>8</v>
      </c>
      <c r="C209" s="18">
        <f t="shared" si="20"/>
        <v>3</v>
      </c>
      <c r="D209" s="11">
        <f t="shared" si="21"/>
        <v>2030</v>
      </c>
      <c r="E209" s="19"/>
      <c r="F209" s="1"/>
      <c r="J209" s="26">
        <f>MultiRegressionD4RIN!$B$17+(Monthly!$S209*MultiRegressionD4RIN!$B$18)+(Monthly!$T209*MultiRegressionD4RIN!$B$19)</f>
        <v>119.63671874958835</v>
      </c>
      <c r="K209" s="26">
        <f>FORECAST($J209,K$107:K208,$J$107:$J208)</f>
        <v>118.69470507964242</v>
      </c>
      <c r="L209" s="27">
        <f t="shared" si="17"/>
        <v>111.63671874958835</v>
      </c>
      <c r="O209" s="22"/>
      <c r="P209" s="23">
        <f t="shared" si="18"/>
        <v>4.9018111897122241</v>
      </c>
      <c r="R209" s="24"/>
      <c r="S209" s="28">
        <f>'[7]Monthly Prices'!$D370</f>
        <v>64.497515654108213</v>
      </c>
      <c r="T209" s="29">
        <f>'[6]Used Cooking Oil Complex'!$AL208</f>
        <v>48.75</v>
      </c>
      <c r="U209" s="25"/>
      <c r="V209" s="25"/>
      <c r="W209" s="25"/>
      <c r="X209" s="19"/>
    </row>
    <row r="210" spans="1:24" x14ac:dyDescent="0.2">
      <c r="A210" s="17">
        <v>47727</v>
      </c>
      <c r="B210" s="18">
        <f t="shared" si="19"/>
        <v>9</v>
      </c>
      <c r="C210" s="18">
        <f t="shared" si="20"/>
        <v>3</v>
      </c>
      <c r="D210" s="11">
        <f t="shared" si="21"/>
        <v>2030</v>
      </c>
      <c r="E210" s="19"/>
      <c r="F210" s="1"/>
      <c r="J210" s="26">
        <f>MultiRegressionD4RIN!$B$17+(Monthly!$S210*MultiRegressionD4RIN!$B$18)+(Monthly!$T210*MultiRegressionD4RIN!$B$19)</f>
        <v>88.625782806105661</v>
      </c>
      <c r="K210" s="26">
        <f>FORECAST($J210,K$107:K209,$J$107:$J209)</f>
        <v>87.725995704867216</v>
      </c>
      <c r="L210" s="27">
        <f t="shared" si="17"/>
        <v>80.625782806105661</v>
      </c>
      <c r="O210" s="22"/>
      <c r="P210" s="23">
        <f t="shared" si="18"/>
        <v>3.9736803344180402</v>
      </c>
      <c r="R210" s="24"/>
      <c r="S210" s="28">
        <f>'[7]Monthly Prices'!$D371</f>
        <v>52.285267558132112</v>
      </c>
      <c r="T210" s="29">
        <f>'[6]Used Cooking Oil Complex'!$AL209</f>
        <v>36.25</v>
      </c>
      <c r="U210" s="25"/>
      <c r="V210" s="25"/>
      <c r="W210" s="25"/>
      <c r="X210" s="19"/>
    </row>
    <row r="211" spans="1:24" x14ac:dyDescent="0.2">
      <c r="A211" s="17">
        <v>47757</v>
      </c>
      <c r="B211" s="18">
        <f t="shared" si="19"/>
        <v>10</v>
      </c>
      <c r="C211" s="18">
        <f t="shared" si="20"/>
        <v>4</v>
      </c>
      <c r="D211" s="11">
        <f t="shared" si="21"/>
        <v>2030</v>
      </c>
      <c r="E211" s="19"/>
      <c r="F211" s="1"/>
      <c r="J211" s="26">
        <f>MultiRegressionD4RIN!$B$17+(Monthly!$S211*MultiRegressionD4RIN!$B$18)+(Monthly!$T211*MultiRegressionD4RIN!$B$19)</f>
        <v>86.588465506160333</v>
      </c>
      <c r="K211" s="26">
        <f>FORECAST($J211,K$107:K210,$J$107:$J210)</f>
        <v>85.691452552696774</v>
      </c>
      <c r="L211" s="27">
        <f t="shared" si="17"/>
        <v>78.588465506160333</v>
      </c>
      <c r="O211" s="22"/>
      <c r="P211" s="23">
        <f t="shared" si="18"/>
        <v>3.6208777834659718</v>
      </c>
      <c r="R211" s="24"/>
      <c r="S211" s="28">
        <f>'[7]Monthly Prices'!$D372</f>
        <v>47.643128729815423</v>
      </c>
      <c r="T211" s="29">
        <f>'[6]Used Cooking Oil Complex'!$AM198</f>
        <v>40.5</v>
      </c>
      <c r="U211" s="25"/>
      <c r="V211" s="25"/>
      <c r="W211" s="25"/>
      <c r="X211" s="19"/>
    </row>
    <row r="212" spans="1:24" x14ac:dyDescent="0.2">
      <c r="A212" s="17">
        <v>47788</v>
      </c>
      <c r="B212" s="18">
        <f t="shared" si="19"/>
        <v>11</v>
      </c>
      <c r="C212" s="18">
        <f t="shared" si="20"/>
        <v>4</v>
      </c>
      <c r="D212" s="11">
        <f t="shared" si="21"/>
        <v>2030</v>
      </c>
      <c r="E212" s="19"/>
      <c r="F212" s="1"/>
      <c r="J212" s="26">
        <f>MultiRegressionD4RIN!$B$17+(Monthly!$S212*MultiRegressionD4RIN!$B$18)+(Monthly!$T212*MultiRegressionD4RIN!$B$19)</f>
        <v>71.284880026867583</v>
      </c>
      <c r="K212" s="26">
        <f>FORECAST($J212,K$107:K211,$J$107:$J211)</f>
        <v>70.408705461026059</v>
      </c>
      <c r="L212" s="27">
        <f t="shared" si="17"/>
        <v>63.284880026867583</v>
      </c>
      <c r="O212" s="22"/>
      <c r="P212" s="23">
        <f t="shared" si="18"/>
        <v>3.2394697514333171</v>
      </c>
      <c r="R212" s="24"/>
      <c r="S212" s="28">
        <f>'[7]Monthly Prices'!$D373</f>
        <v>42.624601992543646</v>
      </c>
      <c r="T212" s="29">
        <f>'[6]Used Cooking Oil Complex'!$AM199</f>
        <v>33</v>
      </c>
      <c r="U212" s="25"/>
      <c r="V212" s="25"/>
      <c r="W212" s="25"/>
      <c r="X212" s="19"/>
    </row>
    <row r="213" spans="1:24" x14ac:dyDescent="0.2">
      <c r="A213" s="17">
        <v>47818</v>
      </c>
      <c r="B213" s="18">
        <f t="shared" si="19"/>
        <v>12</v>
      </c>
      <c r="C213" s="18">
        <f t="shared" si="20"/>
        <v>4</v>
      </c>
      <c r="D213" s="11">
        <f t="shared" si="21"/>
        <v>2030</v>
      </c>
      <c r="E213" s="19"/>
      <c r="F213" s="1"/>
      <c r="J213" s="26">
        <f>MultiRegressionD4RIN!$B$17+(Monthly!$S213*MultiRegressionD4RIN!$B$18)+(Monthly!$T213*MultiRegressionD4RIN!$B$19)</f>
        <v>79.233544569421213</v>
      </c>
      <c r="K213" s="26">
        <f>FORECAST($J213,K$107:K212,$J$107:$J212)</f>
        <v>78.346546569225723</v>
      </c>
      <c r="L213" s="27">
        <f t="shared" si="17"/>
        <v>71.233544569421213</v>
      </c>
      <c r="O213" s="22"/>
      <c r="P213" s="23">
        <f t="shared" si="18"/>
        <v>3.6185828206808703</v>
      </c>
      <c r="R213" s="24"/>
      <c r="S213" s="28">
        <f>'[7]Monthly Prices'!$D374</f>
        <v>47.612931851064083</v>
      </c>
      <c r="T213" s="29">
        <f>'[6]Used Cooking Oil Complex'!$AM200</f>
        <v>33.75</v>
      </c>
      <c r="U213" s="25"/>
      <c r="V213" s="25"/>
      <c r="W213" s="25"/>
      <c r="X213" s="19"/>
    </row>
    <row r="214" spans="1:24" x14ac:dyDescent="0.2">
      <c r="A214" s="17">
        <v>47849</v>
      </c>
      <c r="B214" s="18">
        <f t="shared" si="19"/>
        <v>1</v>
      </c>
      <c r="C214" s="18">
        <f t="shared" si="20"/>
        <v>1</v>
      </c>
      <c r="D214" s="11">
        <f t="shared" si="21"/>
        <v>2031</v>
      </c>
      <c r="E214" s="19"/>
      <c r="F214" s="1"/>
      <c r="J214" s="26">
        <f>MultiRegressionD4RIN!$B$17+(Monthly!$S214*MultiRegressionD4RIN!$B$18)+(Monthly!$T214*MultiRegressionD4RIN!$B$19)</f>
        <v>75.399754882821128</v>
      </c>
      <c r="K214" s="26">
        <f>FORECAST($J214,K$107:K213,$J$107:$J213)</f>
        <v>74.517977227600312</v>
      </c>
      <c r="L214" s="27">
        <f t="shared" si="17"/>
        <v>67.399754882821128</v>
      </c>
      <c r="O214" s="22"/>
      <c r="P214" s="23">
        <f t="shared" si="18"/>
        <v>3.3573669702899256</v>
      </c>
      <c r="R214" s="24"/>
      <c r="S214" s="28">
        <f>'[7]Monthly Prices'!$D375</f>
        <v>44.175881188025343</v>
      </c>
      <c r="T214" s="29">
        <f>'[6]Used Cooking Oil Complex'!$AM201</f>
        <v>34.75</v>
      </c>
      <c r="U214" s="25"/>
      <c r="V214" s="25"/>
      <c r="W214" s="25"/>
      <c r="X214" s="19"/>
    </row>
    <row r="215" spans="1:24" x14ac:dyDescent="0.2">
      <c r="A215" s="17">
        <v>47880</v>
      </c>
      <c r="B215" s="18">
        <f t="shared" si="19"/>
        <v>2</v>
      </c>
      <c r="C215" s="18">
        <f t="shared" si="20"/>
        <v>1</v>
      </c>
      <c r="D215" s="11">
        <f t="shared" si="21"/>
        <v>2031</v>
      </c>
      <c r="E215" s="19"/>
      <c r="F215" s="1"/>
      <c r="J215" s="26">
        <f>MultiRegressionD4RIN!$B$17+(Monthly!$S215*MultiRegressionD4RIN!$B$18)+(Monthly!$T215*MultiRegressionD4RIN!$B$19)</f>
        <v>58.149157406989929</v>
      </c>
      <c r="K215" s="26">
        <f>FORECAST($J215,K$107:K214,$J$107:$J214)</f>
        <v>57.2908693214127</v>
      </c>
      <c r="L215" s="27">
        <f t="shared" si="17"/>
        <v>50.149157406989929</v>
      </c>
      <c r="O215" s="22"/>
      <c r="P215" s="23">
        <f t="shared" si="18"/>
        <v>2.6998862489226187</v>
      </c>
      <c r="R215" s="24"/>
      <c r="S215" s="28">
        <f>'[7]Monthly Prices'!$D376</f>
        <v>35.524819064771307</v>
      </c>
      <c r="T215" s="29">
        <f>'[6]Used Cooking Oil Complex'!$AM202</f>
        <v>30.25</v>
      </c>
      <c r="U215" s="25"/>
      <c r="V215" s="25"/>
      <c r="W215" s="25"/>
      <c r="X215" s="19"/>
    </row>
    <row r="216" spans="1:24" x14ac:dyDescent="0.2">
      <c r="A216" s="17">
        <v>47908</v>
      </c>
      <c r="B216" s="18">
        <f t="shared" si="19"/>
        <v>3</v>
      </c>
      <c r="C216" s="18">
        <f t="shared" si="20"/>
        <v>1</v>
      </c>
      <c r="D216" s="11">
        <f t="shared" si="21"/>
        <v>2031</v>
      </c>
      <c r="E216" s="19"/>
      <c r="F216" s="1"/>
      <c r="J216" s="26">
        <f>MultiRegressionD4RIN!$B$17+(Monthly!$S216*MultiRegressionD4RIN!$B$18)+(Monthly!$T216*MultiRegressionD4RIN!$B$19)</f>
        <v>79.572525294430605</v>
      </c>
      <c r="K216" s="26">
        <f>FORECAST($J216,K$107:K215,$J$107:$J215)</f>
        <v>78.685065715361773</v>
      </c>
      <c r="L216" s="27">
        <f t="shared" si="17"/>
        <v>71.572525294430605</v>
      </c>
      <c r="O216" s="22"/>
      <c r="P216" s="23">
        <f t="shared" si="18"/>
        <v>3.4064074926269927</v>
      </c>
      <c r="R216" s="24"/>
      <c r="S216" s="28">
        <f>'[7]Monthly Prices'!$D377</f>
        <v>44.821151218776222</v>
      </c>
      <c r="T216" s="29">
        <f>'[6]Used Cooking Oil Complex'!$AM203</f>
        <v>37.75</v>
      </c>
      <c r="U216" s="25"/>
      <c r="V216" s="25"/>
      <c r="W216" s="25"/>
      <c r="X216" s="19"/>
    </row>
    <row r="217" spans="1:24" x14ac:dyDescent="0.2">
      <c r="A217" s="17">
        <v>47939</v>
      </c>
      <c r="B217" s="18">
        <f t="shared" si="19"/>
        <v>4</v>
      </c>
      <c r="C217" s="18">
        <f t="shared" si="20"/>
        <v>2</v>
      </c>
      <c r="D217" s="11">
        <f t="shared" si="21"/>
        <v>2031</v>
      </c>
      <c r="E217" s="19"/>
      <c r="F217" s="1"/>
      <c r="J217" s="26">
        <f>MultiRegressionD4RIN!$B$17+(Monthly!$S217*MultiRegressionD4RIN!$B$18)+(Monthly!$T217*MultiRegressionD4RIN!$B$19)</f>
        <v>92.464139479840071</v>
      </c>
      <c r="K217" s="26">
        <f>FORECAST($J217,K$107:K216,$J$107:$J216)</f>
        <v>91.559125814911241</v>
      </c>
      <c r="L217" s="27">
        <f t="shared" si="17"/>
        <v>84.464139479840071</v>
      </c>
      <c r="O217" s="22"/>
      <c r="P217" s="23">
        <f t="shared" si="18"/>
        <v>3.8754768270818132</v>
      </c>
      <c r="R217" s="24"/>
      <c r="S217" s="28">
        <f>'[7]Monthly Prices'!$D378</f>
        <v>50.993116145813332</v>
      </c>
      <c r="T217" s="29">
        <f>'[6]Used Cooking Oil Complex'!$AM204</f>
        <v>41.5</v>
      </c>
      <c r="U217" s="25"/>
      <c r="V217" s="25"/>
      <c r="W217" s="25"/>
      <c r="X217" s="19"/>
    </row>
    <row r="218" spans="1:24" x14ac:dyDescent="0.2">
      <c r="A218" s="17">
        <v>47969</v>
      </c>
      <c r="B218" s="18">
        <f t="shared" si="19"/>
        <v>5</v>
      </c>
      <c r="C218" s="18">
        <f t="shared" si="20"/>
        <v>2</v>
      </c>
      <c r="D218" s="11">
        <f t="shared" si="21"/>
        <v>2031</v>
      </c>
      <c r="E218" s="19"/>
      <c r="F218" s="1"/>
      <c r="J218" s="26">
        <f>MultiRegressionD4RIN!$B$17+(Monthly!$S218*MultiRegressionD4RIN!$B$18)+(Monthly!$T218*MultiRegressionD4RIN!$B$19)</f>
        <v>103.22733012356116</v>
      </c>
      <c r="K218" s="26">
        <f>FORECAST($J218,K$107:K217,$J$107:$J217)</f>
        <v>102.30766057691184</v>
      </c>
      <c r="L218" s="27">
        <f t="shared" si="17"/>
        <v>95.22733012356116</v>
      </c>
      <c r="O218" s="22"/>
      <c r="P218" s="23">
        <f t="shared" si="18"/>
        <v>4.3177926153457005</v>
      </c>
      <c r="R218" s="24"/>
      <c r="S218" s="28">
        <f>'[7]Monthly Prices'!$D379</f>
        <v>56.813060728232898</v>
      </c>
      <c r="T218" s="29">
        <f>'[6]Used Cooking Oil Complex'!$AM205</f>
        <v>43.75</v>
      </c>
      <c r="U218" s="25"/>
      <c r="V218" s="25"/>
      <c r="W218" s="25"/>
      <c r="X218" s="19"/>
    </row>
    <row r="219" spans="1:24" x14ac:dyDescent="0.2">
      <c r="A219" s="17">
        <v>48000</v>
      </c>
      <c r="B219" s="18">
        <f t="shared" si="19"/>
        <v>6</v>
      </c>
      <c r="C219" s="18">
        <f t="shared" si="20"/>
        <v>2</v>
      </c>
      <c r="D219" s="11">
        <f t="shared" si="21"/>
        <v>2031</v>
      </c>
      <c r="E219" s="19"/>
      <c r="F219" s="1"/>
      <c r="J219" s="26">
        <f>MultiRegressionD4RIN!$B$17+(Monthly!$S219*MultiRegressionD4RIN!$B$18)+(Monthly!$T219*MultiRegressionD4RIN!$B$19)</f>
        <v>115.36449393592294</v>
      </c>
      <c r="K219" s="26">
        <f>FORECAST($J219,K$107:K218,$J$107:$J218)</f>
        <v>114.42829761360417</v>
      </c>
      <c r="L219" s="27">
        <f t="shared" si="17"/>
        <v>107.36449393592294</v>
      </c>
      <c r="O219" s="22"/>
      <c r="P219" s="23">
        <f t="shared" si="18"/>
        <v>4.6748494061845767</v>
      </c>
      <c r="R219" s="24"/>
      <c r="S219" s="28">
        <f>'[7]Monthly Prices'!$D380</f>
        <v>61.511176397165492</v>
      </c>
      <c r="T219" s="29">
        <f>'[6]Used Cooking Oil Complex'!$AM206</f>
        <v>48.75</v>
      </c>
      <c r="U219" s="25"/>
      <c r="V219" s="25"/>
      <c r="W219" s="25"/>
      <c r="X219" s="19"/>
    </row>
    <row r="220" spans="1:24" x14ac:dyDescent="0.2">
      <c r="A220" s="17">
        <v>48030</v>
      </c>
      <c r="B220" s="18">
        <f t="shared" si="19"/>
        <v>7</v>
      </c>
      <c r="C220" s="18">
        <f t="shared" si="20"/>
        <v>3</v>
      </c>
      <c r="D220" s="11">
        <f t="shared" si="21"/>
        <v>2031</v>
      </c>
      <c r="E220" s="19"/>
      <c r="F220" s="1"/>
      <c r="J220" s="26">
        <f>MultiRegressionD4RIN!$B$17+(Monthly!$S220*MultiRegressionD4RIN!$B$18)+(Monthly!$T220*MultiRegressionD4RIN!$B$19)</f>
        <v>130.33953317008726</v>
      </c>
      <c r="K220" s="26">
        <f>FORECAST($J220,K$107:K219,$J$107:$J219)</f>
        <v>129.38294583073272</v>
      </c>
      <c r="L220" s="27">
        <f t="shared" si="17"/>
        <v>122.33953317008726</v>
      </c>
      <c r="O220" s="22"/>
      <c r="P220" s="23">
        <f t="shared" si="18"/>
        <v>5.1682817435753092</v>
      </c>
      <c r="R220" s="24"/>
      <c r="S220" s="28">
        <f>'[7]Monthly Prices'!$D381</f>
        <v>68.003707152306703</v>
      </c>
      <c r="T220" s="29">
        <f>'[6]Used Cooking Oil Complex'!$AM207</f>
        <v>54</v>
      </c>
      <c r="U220" s="25"/>
      <c r="V220" s="25"/>
      <c r="W220" s="25"/>
      <c r="X220" s="19"/>
    </row>
    <row r="221" spans="1:24" x14ac:dyDescent="0.2">
      <c r="A221" s="17">
        <v>48061</v>
      </c>
      <c r="B221" s="18">
        <f t="shared" si="19"/>
        <v>8</v>
      </c>
      <c r="C221" s="18">
        <f t="shared" si="20"/>
        <v>3</v>
      </c>
      <c r="D221" s="11">
        <f t="shared" si="21"/>
        <v>2031</v>
      </c>
      <c r="E221" s="19"/>
      <c r="F221" s="1"/>
      <c r="J221" s="26">
        <f>MultiRegressionD4RIN!$B$17+(Monthly!$S221*MultiRegressionD4RIN!$B$18)+(Monthly!$T221*MultiRegressionD4RIN!$B$19)</f>
        <v>80.175644116066906</v>
      </c>
      <c r="K221" s="26">
        <f>FORECAST($J221,K$107:K220,$J$107:$J220)</f>
        <v>79.287363289989955</v>
      </c>
      <c r="L221" s="27">
        <f t="shared" ref="L221:L284" si="22">J221-8</f>
        <v>72.175644116066906</v>
      </c>
      <c r="O221" s="22"/>
      <c r="P221" s="23">
        <f t="shared" si="18"/>
        <v>3.6398588655803388</v>
      </c>
      <c r="R221" s="24"/>
      <c r="S221" s="28">
        <f>'[7]Monthly Prices'!$D382</f>
        <v>47.892879810267615</v>
      </c>
      <c r="T221" s="29">
        <f>'[6]Used Cooking Oil Complex'!$AM208</f>
        <v>34.25</v>
      </c>
      <c r="U221" s="25"/>
      <c r="V221" s="25"/>
      <c r="W221" s="25"/>
      <c r="X221" s="19"/>
    </row>
    <row r="222" spans="1:24" x14ac:dyDescent="0.2">
      <c r="A222" s="17">
        <v>48092</v>
      </c>
      <c r="B222" s="18">
        <f t="shared" si="19"/>
        <v>9</v>
      </c>
      <c r="C222" s="18">
        <f t="shared" si="20"/>
        <v>3</v>
      </c>
      <c r="D222" s="11">
        <f t="shared" si="21"/>
        <v>2031</v>
      </c>
      <c r="E222" s="19"/>
      <c r="F222" s="1"/>
      <c r="J222" s="26">
        <f>MultiRegressionD4RIN!$B$17+(Monthly!$S222*MultiRegressionD4RIN!$B$18)+(Monthly!$T222*MultiRegressionD4RIN!$B$19)</f>
        <v>84.327539217771033</v>
      </c>
      <c r="K222" s="26">
        <f>FORECAST($J222,K$107:K221,$J$107:$J221)</f>
        <v>83.433604893067098</v>
      </c>
      <c r="L222" s="27">
        <f t="shared" si="22"/>
        <v>76.327539217771033</v>
      </c>
      <c r="O222" s="22"/>
      <c r="P222" s="23">
        <f t="shared" si="18"/>
        <v>3.8172687002082837</v>
      </c>
      <c r="R222" s="24"/>
      <c r="S222" s="28">
        <f>'[7]Monthly Prices'!$D383</f>
        <v>50.227219739582679</v>
      </c>
      <c r="T222" s="29">
        <f>'[6]Used Cooking Oil Complex'!$AM209</f>
        <v>35</v>
      </c>
      <c r="U222" s="25"/>
      <c r="V222" s="25"/>
      <c r="W222" s="25"/>
      <c r="X222" s="19"/>
    </row>
    <row r="223" spans="1:24" x14ac:dyDescent="0.2">
      <c r="A223" s="17">
        <v>48122</v>
      </c>
      <c r="B223" s="18">
        <f t="shared" si="19"/>
        <v>10</v>
      </c>
      <c r="C223" s="18">
        <f t="shared" si="20"/>
        <v>4</v>
      </c>
      <c r="D223" s="11">
        <f t="shared" si="21"/>
        <v>2031</v>
      </c>
      <c r="E223" s="19"/>
      <c r="F223" s="1"/>
      <c r="J223" s="26">
        <f>MultiRegressionD4RIN!$B$17+(Monthly!$S223*MultiRegressionD4RIN!$B$18)+(Monthly!$T223*MultiRegressionD4RIN!$B$19)</f>
        <v>89.858432679323272</v>
      </c>
      <c r="K223" s="26">
        <f>FORECAST($J223,K$107:K222,$J$107:$J222)</f>
        <v>88.956967119406258</v>
      </c>
      <c r="L223" s="27">
        <f t="shared" si="22"/>
        <v>81.858432679323272</v>
      </c>
      <c r="O223" s="22"/>
      <c r="P223" s="23">
        <f t="shared" si="18"/>
        <v>3.7945946673069182</v>
      </c>
      <c r="R223" s="24"/>
      <c r="S223" s="28">
        <f>'[7]Monthly Prices'!$D384</f>
        <v>49.92887720140682</v>
      </c>
      <c r="T223" s="29">
        <f>'[6]Used Cooking Oil Complex'!$AN198</f>
        <v>40.5</v>
      </c>
      <c r="U223" s="25"/>
      <c r="V223" s="25"/>
      <c r="W223" s="25"/>
      <c r="X223" s="19"/>
    </row>
    <row r="224" spans="1:24" x14ac:dyDescent="0.2">
      <c r="A224" s="17">
        <v>48153</v>
      </c>
      <c r="B224" s="18">
        <f t="shared" si="19"/>
        <v>11</v>
      </c>
      <c r="C224" s="18">
        <f t="shared" si="20"/>
        <v>4</v>
      </c>
      <c r="D224" s="11">
        <f t="shared" si="21"/>
        <v>2031</v>
      </c>
      <c r="E224" s="19"/>
      <c r="F224" s="1"/>
      <c r="J224" s="26">
        <f>MultiRegressionD4RIN!$B$17+(Monthly!$S224*MultiRegressionD4RIN!$B$18)+(Monthly!$T224*MultiRegressionD4RIN!$B$19)</f>
        <v>67.597953736770819</v>
      </c>
      <c r="K224" s="26">
        <f>FORECAST($J224,K$107:K223,$J$107:$J223)</f>
        <v>66.726799536860554</v>
      </c>
      <c r="L224" s="27">
        <f t="shared" si="22"/>
        <v>59.597953736770819</v>
      </c>
      <c r="O224" s="22"/>
      <c r="P224" s="23">
        <f t="shared" si="18"/>
        <v>3.1874667215906309</v>
      </c>
      <c r="R224" s="24"/>
      <c r="S224" s="28">
        <f>'[7]Monthly Prices'!$D385</f>
        <v>41.940351599876728</v>
      </c>
      <c r="T224" s="29">
        <f>'[6]Used Cooking Oil Complex'!$AN199</f>
        <v>30.5</v>
      </c>
      <c r="U224" s="25"/>
      <c r="V224" s="25"/>
      <c r="W224" s="25"/>
      <c r="X224" s="19"/>
    </row>
    <row r="225" spans="1:24" x14ac:dyDescent="0.2">
      <c r="A225" s="17">
        <v>48183</v>
      </c>
      <c r="B225" s="18">
        <f t="shared" si="19"/>
        <v>12</v>
      </c>
      <c r="C225" s="18">
        <f t="shared" si="20"/>
        <v>4</v>
      </c>
      <c r="D225" s="11">
        <f t="shared" si="21"/>
        <v>2031</v>
      </c>
      <c r="E225" s="19"/>
      <c r="F225" s="1"/>
      <c r="J225" s="26">
        <f>MultiRegressionD4RIN!$B$17+(Monthly!$S225*MultiRegressionD4RIN!$B$18)+(Monthly!$T225*MultiRegressionD4RIN!$B$19)</f>
        <v>81.248926294780304</v>
      </c>
      <c r="K225" s="26">
        <f>FORECAST($J225,K$107:K224,$J$107:$J224)</f>
        <v>80.359184015758359</v>
      </c>
      <c r="L225" s="27">
        <f t="shared" si="22"/>
        <v>73.248926294780304</v>
      </c>
      <c r="O225" s="22"/>
      <c r="P225" s="23">
        <f t="shared" si="18"/>
        <v>3.7544228578042307</v>
      </c>
      <c r="R225" s="24"/>
      <c r="S225" s="28">
        <f>'[7]Monthly Prices'!$D386</f>
        <v>49.400300760581985</v>
      </c>
      <c r="T225" s="29">
        <f>'[6]Used Cooking Oil Complex'!$AN200</f>
        <v>33.25</v>
      </c>
      <c r="U225" s="25"/>
      <c r="V225" s="25"/>
      <c r="W225" s="25"/>
      <c r="X225" s="19"/>
    </row>
    <row r="226" spans="1:24" x14ac:dyDescent="0.2">
      <c r="A226" s="17">
        <v>48214</v>
      </c>
      <c r="B226" s="18">
        <f t="shared" si="19"/>
        <v>1</v>
      </c>
      <c r="C226" s="18">
        <f t="shared" si="20"/>
        <v>1</v>
      </c>
      <c r="D226" s="11">
        <f t="shared" si="21"/>
        <v>2032</v>
      </c>
      <c r="E226" s="19"/>
      <c r="F226" s="1"/>
      <c r="J226" s="26">
        <f>MultiRegressionD4RIN!$B$17+(Monthly!$S226*MultiRegressionD4RIN!$B$18)+(Monthly!$T226*MultiRegressionD4RIN!$B$19)</f>
        <v>63.404026128552012</v>
      </c>
      <c r="K226" s="26">
        <f>FORECAST($J226,K$107:K225,$J$107:$J225)</f>
        <v>62.538582661546606</v>
      </c>
      <c r="L226" s="27">
        <f t="shared" si="22"/>
        <v>55.404026128552012</v>
      </c>
      <c r="O226" s="22"/>
      <c r="P226" s="23">
        <f t="shared" si="18"/>
        <v>2.9646644741755388</v>
      </c>
      <c r="R226" s="24"/>
      <c r="S226" s="28">
        <f>'[7]Monthly Prices'!$D387</f>
        <v>39.008743081257087</v>
      </c>
      <c r="T226" s="29">
        <f>'[6]Used Cooking Oil Complex'!$AN201</f>
        <v>30.5</v>
      </c>
      <c r="U226" s="25"/>
      <c r="V226" s="25"/>
      <c r="W226" s="25"/>
      <c r="X226" s="19"/>
    </row>
    <row r="227" spans="1:24" x14ac:dyDescent="0.2">
      <c r="A227" s="17">
        <v>48245</v>
      </c>
      <c r="B227" s="18">
        <f t="shared" si="19"/>
        <v>2</v>
      </c>
      <c r="C227" s="18">
        <f t="shared" si="20"/>
        <v>1</v>
      </c>
      <c r="D227" s="11">
        <f t="shared" si="21"/>
        <v>2032</v>
      </c>
      <c r="E227" s="19"/>
      <c r="F227" s="1"/>
      <c r="J227" s="26">
        <f>MultiRegressionD4RIN!$B$17+(Monthly!$S227*MultiRegressionD4RIN!$B$18)+(Monthly!$T227*MultiRegressionD4RIN!$B$19)</f>
        <v>45.248167319913634</v>
      </c>
      <c r="K227" s="26">
        <f>FORECAST($J227,K$107:K226,$J$107:$J226)</f>
        <v>44.407446087052413</v>
      </c>
      <c r="L227" s="27">
        <f t="shared" si="22"/>
        <v>37.248167319913634</v>
      </c>
      <c r="O227" s="22"/>
      <c r="P227" s="23">
        <f t="shared" si="18"/>
        <v>2.2015458617423875</v>
      </c>
      <c r="R227" s="24"/>
      <c r="S227" s="28">
        <f>'[7]Monthly Prices'!$D388</f>
        <v>28.967708707136683</v>
      </c>
      <c r="T227" s="29">
        <f>'[6]Used Cooking Oil Complex'!$AN202</f>
        <v>27</v>
      </c>
      <c r="U227" s="25"/>
      <c r="V227" s="25"/>
      <c r="W227" s="25"/>
      <c r="X227" s="19"/>
    </row>
    <row r="228" spans="1:24" x14ac:dyDescent="0.2">
      <c r="A228" s="17">
        <v>48274</v>
      </c>
      <c r="B228" s="18">
        <f t="shared" si="19"/>
        <v>3</v>
      </c>
      <c r="C228" s="18">
        <f t="shared" si="20"/>
        <v>1</v>
      </c>
      <c r="D228" s="11">
        <f t="shared" si="21"/>
        <v>2032</v>
      </c>
      <c r="E228" s="19"/>
      <c r="F228" s="1"/>
      <c r="J228" s="26">
        <f>MultiRegressionD4RIN!$B$17+(Monthly!$S228*MultiRegressionD4RIN!$B$18)+(Monthly!$T228*MultiRegressionD4RIN!$B$19)</f>
        <v>69.127221721594921</v>
      </c>
      <c r="K228" s="26">
        <f>FORECAST($J228,K$107:K227,$J$107:$J227)</f>
        <v>68.253985167906279</v>
      </c>
      <c r="L228" s="27">
        <f t="shared" si="22"/>
        <v>61.127221721594921</v>
      </c>
      <c r="O228" s="22"/>
      <c r="P228" s="23">
        <f t="shared" si="18"/>
        <v>2.9665929639711646</v>
      </c>
      <c r="R228" s="24"/>
      <c r="S228" s="28">
        <f>'[7]Monthly Prices'!$D389</f>
        <v>39.034117946989006</v>
      </c>
      <c r="T228" s="29">
        <f>'[6]Used Cooking Oil Complex'!$AN203</f>
        <v>35.75</v>
      </c>
      <c r="U228" s="25"/>
      <c r="V228" s="25"/>
      <c r="W228" s="25"/>
      <c r="X228" s="19"/>
    </row>
    <row r="229" spans="1:24" x14ac:dyDescent="0.2">
      <c r="A229" s="17">
        <v>48305</v>
      </c>
      <c r="B229" s="18">
        <f t="shared" si="19"/>
        <v>4</v>
      </c>
      <c r="C229" s="18">
        <f t="shared" si="20"/>
        <v>2</v>
      </c>
      <c r="D229" s="11">
        <f t="shared" si="21"/>
        <v>2032</v>
      </c>
      <c r="E229" s="19"/>
      <c r="F229" s="1"/>
      <c r="J229" s="26">
        <f>MultiRegressionD4RIN!$B$17+(Monthly!$S229*MultiRegressionD4RIN!$B$18)+(Monthly!$T229*MultiRegressionD4RIN!$B$19)</f>
        <v>72.176005006358139</v>
      </c>
      <c r="K229" s="26">
        <f>FORECAST($J229,K$107:K228,$J$107:$J228)</f>
        <v>71.29861702502204</v>
      </c>
      <c r="L229" s="27">
        <f t="shared" si="22"/>
        <v>64.176005006358139</v>
      </c>
      <c r="O229" s="22"/>
      <c r="P229" s="23">
        <f t="shared" si="18"/>
        <v>3.0854000245591049</v>
      </c>
      <c r="R229" s="24"/>
      <c r="S229" s="28">
        <f>'[7]Monthly Prices'!$D390</f>
        <v>40.597368744198754</v>
      </c>
      <c r="T229" s="29">
        <f>'[6]Used Cooking Oil Complex'!$AN204</f>
        <v>36.5</v>
      </c>
      <c r="U229" s="25"/>
      <c r="V229" s="25"/>
      <c r="W229" s="25"/>
      <c r="X229" s="19"/>
    </row>
    <row r="230" spans="1:24" x14ac:dyDescent="0.2">
      <c r="A230" s="17">
        <v>48335</v>
      </c>
      <c r="B230" s="18">
        <f t="shared" si="19"/>
        <v>5</v>
      </c>
      <c r="C230" s="18">
        <f t="shared" si="20"/>
        <v>2</v>
      </c>
      <c r="D230" s="11">
        <f t="shared" si="21"/>
        <v>2032</v>
      </c>
      <c r="E230" s="19"/>
      <c r="F230" s="1"/>
      <c r="J230" s="26">
        <f>MultiRegressionD4RIN!$B$17+(Monthly!$S230*MultiRegressionD4RIN!$B$18)+(Monthly!$T230*MultiRegressionD4RIN!$B$19)</f>
        <v>73.742396176395644</v>
      </c>
      <c r="K230" s="26">
        <f>FORECAST($J230,K$107:K229,$J$107:$J229)</f>
        <v>72.862875291864242</v>
      </c>
      <c r="L230" s="27">
        <f t="shared" si="22"/>
        <v>65.742396176395644</v>
      </c>
      <c r="O230" s="22"/>
      <c r="P230" s="23">
        <f t="shared" si="18"/>
        <v>3.2261604135143798</v>
      </c>
      <c r="R230" s="24"/>
      <c r="S230" s="28">
        <f>'[7]Monthly Prices'!$D391</f>
        <v>42.449479125189207</v>
      </c>
      <c r="T230" s="29">
        <f>'[6]Used Cooking Oil Complex'!$AN205</f>
        <v>35.5</v>
      </c>
      <c r="U230" s="25"/>
      <c r="V230" s="25"/>
      <c r="W230" s="25"/>
      <c r="X230" s="19"/>
    </row>
    <row r="231" spans="1:24" x14ac:dyDescent="0.2">
      <c r="A231" s="17">
        <v>48366</v>
      </c>
      <c r="B231" s="18">
        <f t="shared" si="19"/>
        <v>6</v>
      </c>
      <c r="C231" s="18">
        <f t="shared" si="20"/>
        <v>2</v>
      </c>
      <c r="D231" s="11">
        <f t="shared" si="21"/>
        <v>2032</v>
      </c>
      <c r="E231" s="19"/>
      <c r="F231" s="1"/>
      <c r="J231" s="26">
        <f>MultiRegressionD4RIN!$B$17+(Monthly!$S231*MultiRegressionD4RIN!$B$18)+(Monthly!$T231*MultiRegressionD4RIN!$B$19)</f>
        <v>88.238590767910949</v>
      </c>
      <c r="K231" s="26">
        <f>FORECAST($J231,K$107:K230,$J$107:$J230)</f>
        <v>87.339330893300954</v>
      </c>
      <c r="L231" s="27">
        <f t="shared" si="22"/>
        <v>80.238590767910949</v>
      </c>
      <c r="O231" s="22"/>
      <c r="P231" s="23">
        <f t="shared" si="18"/>
        <v>3.6509947097141264</v>
      </c>
      <c r="R231" s="24"/>
      <c r="S231" s="28">
        <f>'[7]Monthly Prices'!$D392</f>
        <v>48.039404075185878</v>
      </c>
      <c r="T231" s="29">
        <f>'[6]Used Cooking Oil Complex'!$AN206</f>
        <v>41.5</v>
      </c>
      <c r="U231" s="25"/>
      <c r="V231" s="25"/>
      <c r="W231" s="25"/>
      <c r="X231" s="19"/>
    </row>
    <row r="232" spans="1:24" x14ac:dyDescent="0.2">
      <c r="A232" s="17">
        <v>48396</v>
      </c>
      <c r="B232" s="18">
        <f t="shared" si="19"/>
        <v>7</v>
      </c>
      <c r="C232" s="18">
        <f t="shared" si="20"/>
        <v>3</v>
      </c>
      <c r="D232" s="11">
        <f t="shared" si="21"/>
        <v>2032</v>
      </c>
      <c r="E232" s="19"/>
      <c r="F232" s="1"/>
      <c r="J232" s="26">
        <f>MultiRegressionD4RIN!$B$17+(Monthly!$S232*MultiRegressionD4RIN!$B$18)+(Monthly!$T232*MultiRegressionD4RIN!$B$19)</f>
        <v>105.85060216908384</v>
      </c>
      <c r="K232" s="26">
        <f>FORECAST($J232,K$107:K231,$J$107:$J231)</f>
        <v>104.92736059940783</v>
      </c>
      <c r="L232" s="27">
        <f t="shared" si="22"/>
        <v>97.850602169083842</v>
      </c>
      <c r="O232" s="22"/>
      <c r="P232" s="23">
        <f t="shared" si="18"/>
        <v>4.2125836991559922</v>
      </c>
      <c r="R232" s="24"/>
      <c r="S232" s="28">
        <f>'[7]Monthly Prices'!$D393</f>
        <v>55.428732883631476</v>
      </c>
      <c r="T232" s="29">
        <f>'[6]Used Cooking Oil Complex'!$AN207</f>
        <v>48</v>
      </c>
      <c r="U232" s="25"/>
      <c r="V232" s="25"/>
      <c r="W232" s="25"/>
      <c r="X232" s="19"/>
    </row>
    <row r="233" spans="1:24" x14ac:dyDescent="0.2">
      <c r="A233" s="17">
        <v>48427</v>
      </c>
      <c r="B233" s="18">
        <f t="shared" si="19"/>
        <v>8</v>
      </c>
      <c r="C233" s="18">
        <f t="shared" si="20"/>
        <v>3</v>
      </c>
      <c r="D233" s="11">
        <f t="shared" si="21"/>
        <v>2032</v>
      </c>
      <c r="E233" s="19"/>
      <c r="F233" s="1"/>
      <c r="J233" s="26">
        <f>MultiRegressionD4RIN!$B$17+(Monthly!$S233*MultiRegressionD4RIN!$B$18)+(Monthly!$T233*MultiRegressionD4RIN!$B$19)</f>
        <v>50.306227632751678</v>
      </c>
      <c r="K233" s="26">
        <f>FORECAST($J233,K$107:K232,$J$107:$J232)</f>
        <v>49.458619005981603</v>
      </c>
      <c r="L233" s="27">
        <f t="shared" si="22"/>
        <v>42.306227632751678</v>
      </c>
      <c r="O233" s="22"/>
      <c r="P233" s="23">
        <f t="shared" si="18"/>
        <v>2.499028085088415</v>
      </c>
      <c r="R233" s="24"/>
      <c r="S233" s="28">
        <f>'[7]Monthly Prices'!$D394</f>
        <v>32.881948488005463</v>
      </c>
      <c r="T233" s="29">
        <f>'[6]Used Cooking Oil Complex'!$AN208</f>
        <v>26.5</v>
      </c>
      <c r="U233" s="25"/>
      <c r="V233" s="25"/>
      <c r="W233" s="25"/>
      <c r="X233" s="19"/>
    </row>
    <row r="234" spans="1:24" x14ac:dyDescent="0.2">
      <c r="A234" s="17">
        <v>48458</v>
      </c>
      <c r="B234" s="18">
        <f t="shared" si="19"/>
        <v>9</v>
      </c>
      <c r="C234" s="18">
        <f t="shared" si="20"/>
        <v>3</v>
      </c>
      <c r="D234" s="11">
        <f t="shared" si="21"/>
        <v>2032</v>
      </c>
      <c r="E234" s="19"/>
      <c r="F234" s="1"/>
      <c r="J234" s="26">
        <f>MultiRegressionD4RIN!$B$17+(Monthly!$S234*MultiRegressionD4RIN!$B$18)+(Monthly!$T234*MultiRegressionD4RIN!$B$19)</f>
        <v>74.239554160293409</v>
      </c>
      <c r="K234" s="26">
        <f>FORECAST($J234,K$107:K233,$J$107:$J233)</f>
        <v>73.359356312132022</v>
      </c>
      <c r="L234" s="27">
        <f t="shared" si="22"/>
        <v>66.239554160293409</v>
      </c>
      <c r="O234" s="22"/>
      <c r="P234" s="23">
        <f t="shared" si="18"/>
        <v>3.2957313502746413</v>
      </c>
      <c r="R234" s="24"/>
      <c r="S234" s="28">
        <f>'[7]Monthly Prices'!$D395</f>
        <v>43.364886187824226</v>
      </c>
      <c r="T234" s="29">
        <f>'[6]Used Cooking Oil Complex'!$AN209</f>
        <v>34.75</v>
      </c>
      <c r="U234" s="25"/>
      <c r="V234" s="25"/>
      <c r="W234" s="25"/>
      <c r="X234" s="19"/>
    </row>
    <row r="235" spans="1:24" x14ac:dyDescent="0.2">
      <c r="A235" s="17">
        <v>48488</v>
      </c>
      <c r="B235" s="18">
        <f t="shared" si="19"/>
        <v>10</v>
      </c>
      <c r="C235" s="18">
        <f t="shared" si="20"/>
        <v>4</v>
      </c>
      <c r="D235" s="11">
        <f t="shared" si="21"/>
        <v>2032</v>
      </c>
      <c r="E235" s="19"/>
      <c r="F235" s="1"/>
      <c r="J235" s="26">
        <f>MultiRegressionD4RIN!$B$17+(Monthly!$S235*MultiRegressionD4RIN!$B$18)+(Monthly!$T235*MultiRegressionD4RIN!$B$19)</f>
        <v>88.931342383438889</v>
      </c>
      <c r="K235" s="26">
        <f>FORECAST($J235,K$107:K234,$J$107:$J234)</f>
        <v>88.031139211801573</v>
      </c>
      <c r="L235" s="27">
        <f t="shared" si="22"/>
        <v>80.931342383438889</v>
      </c>
      <c r="O235" s="22"/>
      <c r="P235" s="23">
        <f t="shared" si="18"/>
        <v>3.5007728844446349</v>
      </c>
      <c r="R235" s="24"/>
      <c r="S235" s="28">
        <f>'[7]Monthly Prices'!$D396</f>
        <v>46.062801111113615</v>
      </c>
      <c r="T235" s="29">
        <f>'[6]Used Cooking Oil Complex'!$AO198</f>
        <v>44.75</v>
      </c>
      <c r="U235" s="25"/>
      <c r="V235" s="25"/>
      <c r="W235" s="25"/>
      <c r="X235" s="19"/>
    </row>
    <row r="236" spans="1:24" x14ac:dyDescent="0.2">
      <c r="A236" s="17">
        <v>48519</v>
      </c>
      <c r="B236" s="18">
        <f t="shared" si="19"/>
        <v>11</v>
      </c>
      <c r="C236" s="18">
        <f t="shared" si="20"/>
        <v>4</v>
      </c>
      <c r="D236" s="11">
        <f t="shared" si="21"/>
        <v>2032</v>
      </c>
      <c r="E236" s="19"/>
      <c r="F236" s="1"/>
      <c r="J236" s="26">
        <f>MultiRegressionD4RIN!$B$17+(Monthly!$S236*MultiRegressionD4RIN!$B$18)+(Monthly!$T236*MultiRegressionD4RIN!$B$19)</f>
        <v>80.218991380801768</v>
      </c>
      <c r="K236" s="26">
        <f>FORECAST($J236,K$107:K235,$J$107:$J235)</f>
        <v>79.330651530184085</v>
      </c>
      <c r="L236" s="27">
        <f t="shared" si="22"/>
        <v>72.218991380801768</v>
      </c>
      <c r="O236" s="22"/>
      <c r="P236" s="23">
        <f t="shared" si="18"/>
        <v>3.3688185835505773</v>
      </c>
      <c r="R236" s="24"/>
      <c r="S236" s="28">
        <f>'[7]Monthly Prices'!$D397</f>
        <v>44.326560309876015</v>
      </c>
      <c r="T236" s="29">
        <f>'[6]Used Cooking Oil Complex'!$AO199</f>
        <v>39</v>
      </c>
      <c r="U236" s="25"/>
      <c r="V236" s="25"/>
      <c r="W236" s="25"/>
      <c r="X236" s="19"/>
    </row>
    <row r="237" spans="1:24" x14ac:dyDescent="0.2">
      <c r="A237" s="17">
        <v>48549</v>
      </c>
      <c r="B237" s="18">
        <f t="shared" si="19"/>
        <v>12</v>
      </c>
      <c r="C237" s="18">
        <f t="shared" si="20"/>
        <v>4</v>
      </c>
      <c r="D237" s="11">
        <f t="shared" si="21"/>
        <v>2032</v>
      </c>
      <c r="E237" s="19"/>
      <c r="F237" s="1"/>
      <c r="J237" s="26">
        <f>MultiRegressionD4RIN!$B$17+(Monthly!$S237*MultiRegressionD4RIN!$B$18)+(Monthly!$T237*MultiRegressionD4RIN!$B$19)</f>
        <v>88.927939657069004</v>
      </c>
      <c r="K237" s="26">
        <f>FORECAST($J237,K$107:K236,$J$107:$J236)</f>
        <v>88.027741118811974</v>
      </c>
      <c r="L237" s="27">
        <f t="shared" si="22"/>
        <v>80.927939657069004</v>
      </c>
      <c r="O237" s="22"/>
      <c r="P237" s="23">
        <f t="shared" si="18"/>
        <v>3.817094656031641</v>
      </c>
      <c r="R237" s="24"/>
      <c r="S237" s="28">
        <f>'[7]Monthly Prices'!$D398</f>
        <v>50.224929684626858</v>
      </c>
      <c r="T237" s="29">
        <f>'[6]Used Cooking Oil Complex'!$AO200</f>
        <v>39.25</v>
      </c>
      <c r="U237" s="25"/>
      <c r="V237" s="25"/>
      <c r="W237" s="25"/>
      <c r="X237" s="19"/>
    </row>
    <row r="238" spans="1:24" x14ac:dyDescent="0.2">
      <c r="A238" s="17">
        <v>48580</v>
      </c>
      <c r="B238" s="18">
        <f t="shared" si="19"/>
        <v>1</v>
      </c>
      <c r="C238" s="18">
        <f t="shared" si="20"/>
        <v>1</v>
      </c>
      <c r="D238" s="11">
        <f t="shared" si="21"/>
        <v>2033</v>
      </c>
      <c r="E238" s="19"/>
      <c r="F238" s="1"/>
      <c r="J238" s="26">
        <f>MultiRegressionD4RIN!$B$17+(Monthly!$S238*MultiRegressionD4RIN!$B$18)+(Monthly!$T238*MultiRegressionD4RIN!$B$19)</f>
        <v>93.287363628631539</v>
      </c>
      <c r="K238" s="26">
        <f>FORECAST($J238,K$107:K237,$J$107:$J237)</f>
        <v>92.381229006529892</v>
      </c>
      <c r="L238" s="27">
        <f t="shared" si="22"/>
        <v>85.287363628631539</v>
      </c>
      <c r="O238" s="22"/>
      <c r="P238" s="23">
        <f t="shared" si="18"/>
        <v>3.7321863502648047</v>
      </c>
      <c r="R238" s="24"/>
      <c r="S238" s="28">
        <f>'[7]Monthly Prices'!$D399</f>
        <v>49.107715135063223</v>
      </c>
      <c r="T238" s="29">
        <f>'[6]Used Cooking Oil Complex'!$AO201</f>
        <v>44.75</v>
      </c>
      <c r="U238" s="25"/>
      <c r="V238" s="25"/>
      <c r="W238" s="25"/>
      <c r="X238" s="19"/>
    </row>
    <row r="239" spans="1:24" x14ac:dyDescent="0.2">
      <c r="A239" s="17">
        <v>48611</v>
      </c>
      <c r="B239" s="18">
        <f t="shared" si="19"/>
        <v>2</v>
      </c>
      <c r="C239" s="18">
        <f t="shared" si="20"/>
        <v>1</v>
      </c>
      <c r="D239" s="11">
        <f t="shared" si="21"/>
        <v>2033</v>
      </c>
      <c r="E239" s="19"/>
      <c r="F239" s="1"/>
      <c r="J239" s="26">
        <f>MultiRegressionD4RIN!$B$17+(Monthly!$S239*MultiRegressionD4RIN!$B$18)+(Monthly!$T239*MultiRegressionD4RIN!$B$19)</f>
        <v>91.143860625733268</v>
      </c>
      <c r="K239" s="26">
        <f>FORECAST($J239,K$107:K238,$J$107:$J238)</f>
        <v>90.240644740976151</v>
      </c>
      <c r="L239" s="27">
        <f t="shared" si="22"/>
        <v>83.143860625733268</v>
      </c>
      <c r="O239" s="22"/>
      <c r="P239" s="23">
        <f t="shared" si="18"/>
        <v>3.4744480418620771</v>
      </c>
      <c r="R239" s="24"/>
      <c r="S239" s="28">
        <f>'[7]Monthly Prices'!$D400</f>
        <v>45.716421603448381</v>
      </c>
      <c r="T239" s="29">
        <f>'[6]Used Cooking Oil Complex'!$AO202</f>
        <v>47.25</v>
      </c>
      <c r="U239" s="25"/>
      <c r="V239" s="25"/>
      <c r="W239" s="25"/>
      <c r="X239" s="19"/>
    </row>
    <row r="240" spans="1:24" x14ac:dyDescent="0.2">
      <c r="A240" s="17">
        <v>48639</v>
      </c>
      <c r="B240" s="18">
        <f t="shared" si="19"/>
        <v>3</v>
      </c>
      <c r="C240" s="18">
        <f t="shared" si="20"/>
        <v>1</v>
      </c>
      <c r="D240" s="11">
        <f t="shared" si="21"/>
        <v>2033</v>
      </c>
      <c r="E240" s="19"/>
      <c r="F240" s="1"/>
      <c r="J240" s="26">
        <f>MultiRegressionD4RIN!$B$17+(Monthly!$S240*MultiRegressionD4RIN!$B$18)+(Monthly!$T240*MultiRegressionD4RIN!$B$19)</f>
        <v>124.9540383784601</v>
      </c>
      <c r="K240" s="26">
        <f>FORECAST($J240,K$107:K239,$J$107:$J239)</f>
        <v>124.00478428974523</v>
      </c>
      <c r="L240" s="27">
        <f t="shared" si="22"/>
        <v>116.9540383784601</v>
      </c>
      <c r="O240" s="22"/>
      <c r="P240" s="23">
        <f t="shared" si="18"/>
        <v>4.5656749927849338</v>
      </c>
      <c r="R240" s="24"/>
      <c r="S240" s="28">
        <f>'[7]Monthly Prices'!$D401</f>
        <v>60.074670957696497</v>
      </c>
      <c r="T240" s="29">
        <f>'[6]Used Cooking Oil Complex'!$AO203</f>
        <v>59.5</v>
      </c>
      <c r="U240" s="25"/>
      <c r="V240" s="25"/>
      <c r="W240" s="25"/>
      <c r="X240" s="19"/>
    </row>
    <row r="241" spans="1:24" x14ac:dyDescent="0.2">
      <c r="A241" s="17">
        <v>48670</v>
      </c>
      <c r="B241" s="18">
        <f t="shared" si="19"/>
        <v>4</v>
      </c>
      <c r="C241" s="18">
        <f t="shared" si="20"/>
        <v>2</v>
      </c>
      <c r="D241" s="11">
        <f t="shared" si="21"/>
        <v>2033</v>
      </c>
      <c r="E241" s="19"/>
      <c r="F241" s="1"/>
      <c r="J241" s="26">
        <f>MultiRegressionD4RIN!$B$17+(Monthly!$S241*MultiRegressionD4RIN!$B$18)+(Monthly!$T241*MultiRegressionD4RIN!$B$19)</f>
        <v>143.33560094365757</v>
      </c>
      <c r="K241" s="26">
        <f>FORECAST($J241,K$107:K240,$J$107:$J240)</f>
        <v>142.36131728743706</v>
      </c>
      <c r="L241" s="27">
        <f t="shared" si="22"/>
        <v>135.33560094365757</v>
      </c>
      <c r="O241" s="22"/>
      <c r="P241" s="23">
        <f t="shared" si="18"/>
        <v>5.182532838199239</v>
      </c>
      <c r="R241" s="24"/>
      <c r="S241" s="28">
        <f>'[7]Monthly Prices'!$D402</f>
        <v>68.191221555253151</v>
      </c>
      <c r="T241" s="29">
        <f>'[6]Used Cooking Oil Complex'!$AO204</f>
        <v>65.75</v>
      </c>
      <c r="U241" s="25"/>
      <c r="V241" s="25"/>
      <c r="W241" s="25"/>
      <c r="X241" s="19"/>
    </row>
    <row r="242" spans="1:24" x14ac:dyDescent="0.2">
      <c r="A242" s="17">
        <v>48700</v>
      </c>
      <c r="B242" s="18">
        <f t="shared" si="19"/>
        <v>5</v>
      </c>
      <c r="C242" s="18">
        <f t="shared" si="20"/>
        <v>2</v>
      </c>
      <c r="D242" s="11">
        <f t="shared" si="21"/>
        <v>2033</v>
      </c>
      <c r="E242" s="19"/>
      <c r="F242" s="1"/>
      <c r="J242" s="26">
        <f>MultiRegressionD4RIN!$B$17+(Monthly!$S242*MultiRegressionD4RIN!$B$18)+(Monthly!$T242*MultiRegressionD4RIN!$B$19)</f>
        <v>144.18155700925149</v>
      </c>
      <c r="K242" s="26">
        <f>FORECAST($J242,K$107:K241,$J$107:$J241)</f>
        <v>143.20612144255676</v>
      </c>
      <c r="L242" s="27">
        <f t="shared" si="22"/>
        <v>136.18155700925149</v>
      </c>
      <c r="O242" s="22"/>
      <c r="P242" s="23">
        <f t="shared" si="18"/>
        <v>5.3713390140607578</v>
      </c>
      <c r="R242" s="24"/>
      <c r="S242" s="28">
        <f>'[7]Monthly Prices'!$D403</f>
        <v>70.675513342904708</v>
      </c>
      <c r="T242" s="29">
        <f>'[6]Used Cooking Oil Complex'!$AO205</f>
        <v>63.25</v>
      </c>
      <c r="U242" s="25"/>
      <c r="V242" s="25"/>
      <c r="W242" s="25"/>
      <c r="X242" s="19"/>
    </row>
    <row r="243" spans="1:24" x14ac:dyDescent="0.2">
      <c r="A243" s="17">
        <v>48731</v>
      </c>
      <c r="B243" s="18">
        <f t="shared" si="19"/>
        <v>6</v>
      </c>
      <c r="C243" s="18">
        <f t="shared" si="20"/>
        <v>2</v>
      </c>
      <c r="D243" s="11">
        <f t="shared" si="21"/>
        <v>2033</v>
      </c>
      <c r="E243" s="19"/>
      <c r="F243" s="1"/>
      <c r="J243" s="26">
        <f>MultiRegressionD4RIN!$B$17+(Monthly!$S243*MultiRegressionD4RIN!$B$18)+(Monthly!$T243*MultiRegressionD4RIN!$B$19)</f>
        <v>147.47471361265352</v>
      </c>
      <c r="K243" s="26">
        <f>FORECAST($J243,K$107:K242,$J$107:$J242)</f>
        <v>146.49479386322298</v>
      </c>
      <c r="L243" s="27">
        <f t="shared" si="22"/>
        <v>139.47471361265352</v>
      </c>
      <c r="O243" s="22"/>
      <c r="P243" s="23">
        <f t="shared" si="18"/>
        <v>5.4168095231670508</v>
      </c>
      <c r="R243" s="24"/>
      <c r="S243" s="28">
        <f>'[7]Monthly Prices'!$D404</f>
        <v>71.273809515355936</v>
      </c>
      <c r="T243" s="29">
        <f>'[6]Used Cooking Oil Complex'!$AO206</f>
        <v>65.5</v>
      </c>
      <c r="U243" s="25"/>
      <c r="V243" s="25"/>
      <c r="W243" s="25"/>
      <c r="X243" s="19"/>
    </row>
    <row r="244" spans="1:24" x14ac:dyDescent="0.2">
      <c r="A244" s="17">
        <v>48761</v>
      </c>
      <c r="B244" s="18">
        <f t="shared" si="19"/>
        <v>7</v>
      </c>
      <c r="C244" s="18">
        <f t="shared" si="20"/>
        <v>3</v>
      </c>
      <c r="D244" s="11">
        <f t="shared" si="21"/>
        <v>2033</v>
      </c>
      <c r="E244" s="19"/>
      <c r="F244" s="1"/>
      <c r="J244" s="26">
        <f>MultiRegressionD4RIN!$B$17+(Monthly!$S244*MultiRegressionD4RIN!$B$18)+(Monthly!$T244*MultiRegressionD4RIN!$B$19)</f>
        <v>152.61301716046808</v>
      </c>
      <c r="K244" s="26">
        <f>FORECAST($J244,K$107:K243,$J$107:$J243)</f>
        <v>151.62610075256214</v>
      </c>
      <c r="L244" s="27">
        <f t="shared" si="22"/>
        <v>144.61301716046808</v>
      </c>
      <c r="O244" s="22"/>
      <c r="P244" s="23">
        <f t="shared" si="18"/>
        <v>5.6034628321723163</v>
      </c>
      <c r="R244" s="24"/>
      <c r="S244" s="28">
        <f>'[7]Monthly Prices'!$D405</f>
        <v>73.729774107530488</v>
      </c>
      <c r="T244" s="29">
        <f>'[6]Used Cooking Oil Complex'!$AO207</f>
        <v>67</v>
      </c>
      <c r="U244" s="25"/>
      <c r="V244" s="25"/>
      <c r="W244" s="25"/>
      <c r="X244" s="19"/>
    </row>
    <row r="245" spans="1:24" x14ac:dyDescent="0.2">
      <c r="A245" s="17">
        <v>48792</v>
      </c>
      <c r="B245" s="18">
        <f t="shared" si="19"/>
        <v>8</v>
      </c>
      <c r="C245" s="18">
        <f t="shared" si="20"/>
        <v>3</v>
      </c>
      <c r="D245" s="11">
        <f t="shared" si="21"/>
        <v>2033</v>
      </c>
      <c r="E245" s="19"/>
      <c r="F245" s="1"/>
      <c r="J245" s="26">
        <f>MultiRegressionD4RIN!$B$17+(Monthly!$S245*MultiRegressionD4RIN!$B$18)+(Monthly!$T245*MultiRegressionD4RIN!$B$19)</f>
        <v>56.095287045066904</v>
      </c>
      <c r="K245" s="26">
        <f>FORECAST($J245,K$107:K244,$J$107:$J244)</f>
        <v>55.239795647023165</v>
      </c>
      <c r="L245" s="27">
        <f t="shared" si="22"/>
        <v>48.095287045066904</v>
      </c>
      <c r="O245" s="22"/>
      <c r="P245" s="23">
        <f t="shared" si="18"/>
        <v>2.6195474210202025</v>
      </c>
      <c r="R245" s="24"/>
      <c r="S245" s="28">
        <f>'[7]Monthly Prices'!$D406</f>
        <v>34.467729223950037</v>
      </c>
      <c r="T245" s="29">
        <f>'[6]Used Cooking Oil Complex'!$AO208</f>
        <v>29.75</v>
      </c>
      <c r="U245" s="25"/>
      <c r="V245" s="25"/>
      <c r="W245" s="25"/>
      <c r="X245" s="19"/>
    </row>
    <row r="246" spans="1:24" x14ac:dyDescent="0.2">
      <c r="A246" s="17">
        <v>48823</v>
      </c>
      <c r="B246" s="18">
        <f t="shared" si="19"/>
        <v>9</v>
      </c>
      <c r="C246" s="18">
        <f t="shared" si="20"/>
        <v>3</v>
      </c>
      <c r="D246" s="11">
        <f t="shared" si="21"/>
        <v>2033</v>
      </c>
      <c r="E246" s="19"/>
      <c r="F246" s="1"/>
      <c r="J246" s="26">
        <f>MultiRegressionD4RIN!$B$17+(Monthly!$S246*MultiRegressionD4RIN!$B$18)+(Monthly!$T246*MultiRegressionD4RIN!$B$19)</f>
        <v>69.863955155154116</v>
      </c>
      <c r="K246" s="26">
        <f>FORECAST($J246,K$107:K245,$J$107:$J245)</f>
        <v>68.989715415847115</v>
      </c>
      <c r="L246" s="27">
        <f t="shared" si="22"/>
        <v>61.863955155154116</v>
      </c>
      <c r="O246" s="22"/>
      <c r="P246" s="23">
        <f t="shared" si="18"/>
        <v>3.0920507749889707</v>
      </c>
      <c r="R246" s="24"/>
      <c r="S246" s="28">
        <f>'[7]Monthly Prices'!$D407</f>
        <v>40.684878618275931</v>
      </c>
      <c r="T246" s="29">
        <f>'[6]Used Cooking Oil Complex'!$AO209</f>
        <v>34.25</v>
      </c>
      <c r="U246" s="25"/>
      <c r="V246" s="25"/>
      <c r="W246" s="25"/>
      <c r="X246" s="19"/>
    </row>
    <row r="247" spans="1:24" x14ac:dyDescent="0.2">
      <c r="A247" s="17">
        <v>48853</v>
      </c>
      <c r="B247" s="18">
        <f t="shared" si="19"/>
        <v>10</v>
      </c>
      <c r="C247" s="18">
        <f t="shared" si="20"/>
        <v>4</v>
      </c>
      <c r="D247" s="11">
        <f t="shared" si="21"/>
        <v>2033</v>
      </c>
      <c r="E247" s="19"/>
      <c r="F247" s="1"/>
      <c r="J247" s="26">
        <f>MultiRegressionD4RIN!$B$17+(Monthly!$S247*MultiRegressionD4RIN!$B$18)+(Monthly!$T247*MultiRegressionD4RIN!$B$19)</f>
        <v>73.562584925566568</v>
      </c>
      <c r="K247" s="26">
        <f>FORECAST($J247,K$107:K246,$J$107:$J246)</f>
        <v>72.68330888408515</v>
      </c>
      <c r="L247" s="27">
        <f t="shared" si="22"/>
        <v>65.562584925566568</v>
      </c>
      <c r="O247" s="22"/>
      <c r="P247" s="23">
        <f t="shared" si="18"/>
        <v>2.9576513228370014</v>
      </c>
      <c r="R247" s="24"/>
      <c r="S247" s="28">
        <f>'[7]Monthly Prices'!$D408</f>
        <v>38.916464774171075</v>
      </c>
      <c r="T247" s="29">
        <f>'[6]Used Cooking Oil Complex'!$AP198</f>
        <v>40</v>
      </c>
      <c r="U247" s="25"/>
      <c r="V247" s="25"/>
      <c r="W247" s="25"/>
      <c r="X247" s="19"/>
    </row>
    <row r="248" spans="1:24" x14ac:dyDescent="0.2">
      <c r="A248" s="17">
        <v>48884</v>
      </c>
      <c r="B248" s="18">
        <f t="shared" si="19"/>
        <v>11</v>
      </c>
      <c r="C248" s="18">
        <f t="shared" si="20"/>
        <v>4</v>
      </c>
      <c r="D248" s="11">
        <f t="shared" si="21"/>
        <v>2033</v>
      </c>
      <c r="E248" s="19"/>
      <c r="F248" s="1"/>
      <c r="J248" s="26">
        <f>MultiRegressionD4RIN!$B$17+(Monthly!$S248*MultiRegressionD4RIN!$B$18)+(Monthly!$T248*MultiRegressionD4RIN!$B$19)</f>
        <v>57.807303231776153</v>
      </c>
      <c r="K248" s="26">
        <f>FORECAST($J248,K$107:K247,$J$107:$J247)</f>
        <v>56.949480637754675</v>
      </c>
      <c r="L248" s="27">
        <f t="shared" si="22"/>
        <v>49.807303231776153</v>
      </c>
      <c r="O248" s="22"/>
      <c r="P248" s="23">
        <f t="shared" si="18"/>
        <v>2.5810199045936706</v>
      </c>
      <c r="R248" s="24"/>
      <c r="S248" s="28">
        <f>'[7]Monthly Prices'!$D409</f>
        <v>33.960788218337775</v>
      </c>
      <c r="T248" s="29">
        <f>'[6]Used Cooking Oil Complex'!$AP199</f>
        <v>32</v>
      </c>
      <c r="U248" s="25"/>
      <c r="V248" s="25"/>
      <c r="W248" s="25"/>
      <c r="X248" s="19"/>
    </row>
    <row r="249" spans="1:24" x14ac:dyDescent="0.2">
      <c r="A249" s="17">
        <v>48914</v>
      </c>
      <c r="B249" s="18">
        <f t="shared" si="19"/>
        <v>12</v>
      </c>
      <c r="C249" s="18">
        <f t="shared" si="20"/>
        <v>4</v>
      </c>
      <c r="D249" s="11">
        <f t="shared" si="21"/>
        <v>2033</v>
      </c>
      <c r="E249" s="19"/>
      <c r="F249" s="1"/>
      <c r="J249" s="26">
        <f>MultiRegressionD4RIN!$B$17+(Monthly!$S249*MultiRegressionD4RIN!$B$18)+(Monthly!$T249*MultiRegressionD4RIN!$B$19)</f>
        <v>124.20813949596777</v>
      </c>
      <c r="K249" s="26">
        <f>FORECAST($J249,K$107:K248,$J$107:$J248)</f>
        <v>123.25990107316082</v>
      </c>
      <c r="L249" s="27">
        <f t="shared" si="22"/>
        <v>116.20813949596777</v>
      </c>
      <c r="O249" s="22"/>
      <c r="P249" s="23">
        <f t="shared" si="18"/>
        <v>4.8137787255330498</v>
      </c>
      <c r="R249" s="24"/>
      <c r="S249" s="28">
        <f>'[7]Monthly Prices'!$D410</f>
        <v>63.33919375701381</v>
      </c>
      <c r="T249" s="29">
        <f>'[6]Used Cooking Oil Complex'!$AP200</f>
        <v>54.5</v>
      </c>
      <c r="U249" s="25"/>
      <c r="V249" s="25"/>
      <c r="W249" s="25"/>
      <c r="X249" s="19"/>
    </row>
    <row r="250" spans="1:24" x14ac:dyDescent="0.2">
      <c r="A250" s="17">
        <v>48945</v>
      </c>
      <c r="B250" s="18">
        <f t="shared" si="19"/>
        <v>1</v>
      </c>
      <c r="C250" s="18">
        <f t="shared" si="20"/>
        <v>1</v>
      </c>
      <c r="D250" s="11">
        <f t="shared" si="21"/>
        <v>2034</v>
      </c>
      <c r="E250" s="19"/>
      <c r="F250" s="1"/>
      <c r="J250" s="26">
        <f>MultiRegressionD4RIN!$B$17+(Monthly!$S250*MultiRegressionD4RIN!$B$18)+(Monthly!$T250*MultiRegressionD4RIN!$B$19)</f>
        <v>125.80765697572886</v>
      </c>
      <c r="K250" s="26">
        <f>FORECAST($J250,K$107:K249,$J$107:$J249)</f>
        <v>124.85724054272318</v>
      </c>
      <c r="L250" s="27">
        <f t="shared" si="22"/>
        <v>117.80765697572886</v>
      </c>
      <c r="O250" s="22"/>
      <c r="P250" s="23">
        <f t="shared" si="18"/>
        <v>4.8412071152547593</v>
      </c>
      <c r="R250" s="24"/>
      <c r="S250" s="28">
        <f>'[7]Monthly Prices'!$D411</f>
        <v>63.700093621773149</v>
      </c>
      <c r="T250" s="29">
        <f>'[6]Used Cooking Oil Complex'!$AP201</f>
        <v>55.5</v>
      </c>
      <c r="U250" s="25"/>
      <c r="V250" s="25"/>
      <c r="W250" s="25"/>
      <c r="X250" s="19"/>
    </row>
    <row r="251" spans="1:24" x14ac:dyDescent="0.2">
      <c r="A251" s="17">
        <v>48976</v>
      </c>
      <c r="B251" s="18">
        <f t="shared" si="19"/>
        <v>2</v>
      </c>
      <c r="C251" s="18">
        <f t="shared" si="20"/>
        <v>1</v>
      </c>
      <c r="D251" s="11">
        <f t="shared" si="21"/>
        <v>2034</v>
      </c>
      <c r="E251" s="19"/>
      <c r="F251" s="1"/>
      <c r="J251" s="26">
        <f>MultiRegressionD4RIN!$B$17+(Monthly!$S251*MultiRegressionD4RIN!$B$18)+(Monthly!$T251*MultiRegressionD4RIN!$B$19)</f>
        <v>118.0217206943834</v>
      </c>
      <c r="K251" s="26">
        <f>FORECAST($J251,K$107:K250,$J$107:$J250)</f>
        <v>117.08190611402526</v>
      </c>
      <c r="L251" s="27">
        <f t="shared" si="22"/>
        <v>110.0217206943834</v>
      </c>
      <c r="O251" s="22"/>
      <c r="P251" s="23">
        <f t="shared" ref="P251:P314" si="23">S251*7.6/100</f>
        <v>4.3844201039014985</v>
      </c>
      <c r="R251" s="24"/>
      <c r="S251" s="28">
        <f>'[7]Monthly Prices'!$D412</f>
        <v>57.689738209230242</v>
      </c>
      <c r="T251" s="29">
        <f>'[6]Used Cooking Oil Complex'!$AP202</f>
        <v>56.25</v>
      </c>
      <c r="U251" s="25"/>
      <c r="V251" s="25"/>
      <c r="W251" s="25"/>
      <c r="X251" s="19"/>
    </row>
    <row r="252" spans="1:24" x14ac:dyDescent="0.2">
      <c r="A252" s="17">
        <v>49004</v>
      </c>
      <c r="B252" s="18">
        <f t="shared" si="19"/>
        <v>3</v>
      </c>
      <c r="C252" s="18">
        <f t="shared" si="20"/>
        <v>1</v>
      </c>
      <c r="D252" s="11">
        <f t="shared" si="21"/>
        <v>2034</v>
      </c>
      <c r="E252" s="19"/>
      <c r="F252" s="1"/>
      <c r="J252" s="26">
        <f>MultiRegressionD4RIN!$B$17+(Monthly!$S252*MultiRegressionD4RIN!$B$18)+(Monthly!$T252*MultiRegressionD4RIN!$B$19)</f>
        <v>150.37096802240774</v>
      </c>
      <c r="K252" s="26">
        <f>FORECAST($J252,K$107:K251,$J$107:$J251)</f>
        <v>149.38710453886841</v>
      </c>
      <c r="L252" s="27">
        <f t="shared" si="22"/>
        <v>142.37096802240774</v>
      </c>
      <c r="O252" s="22"/>
      <c r="P252" s="23">
        <f t="shared" si="23"/>
        <v>5.3692622223226554</v>
      </c>
      <c r="R252" s="24"/>
      <c r="S252" s="28">
        <f>'[7]Monthly Prices'!$D413</f>
        <v>70.648187135824415</v>
      </c>
      <c r="T252" s="29">
        <f>'[6]Used Cooking Oil Complex'!$AP203</f>
        <v>69</v>
      </c>
      <c r="U252" s="25"/>
      <c r="V252" s="25"/>
      <c r="W252" s="25"/>
      <c r="X252" s="19"/>
    </row>
    <row r="253" spans="1:24" x14ac:dyDescent="0.2">
      <c r="A253" s="17">
        <v>49035</v>
      </c>
      <c r="B253" s="18">
        <f t="shared" si="19"/>
        <v>4</v>
      </c>
      <c r="C253" s="18">
        <f t="shared" si="20"/>
        <v>2</v>
      </c>
      <c r="D253" s="11">
        <f t="shared" si="21"/>
        <v>2034</v>
      </c>
      <c r="E253" s="19"/>
      <c r="F253" s="1"/>
      <c r="J253" s="26">
        <f>MultiRegressionD4RIN!$B$17+(Monthly!$S253*MultiRegressionD4RIN!$B$18)+(Monthly!$T253*MultiRegressionD4RIN!$B$19)</f>
        <v>167.55114746010804</v>
      </c>
      <c r="K253" s="26">
        <f>FORECAST($J253,K$107:K252,$J$107:$J252)</f>
        <v>166.54389029284528</v>
      </c>
      <c r="L253" s="27">
        <f t="shared" si="22"/>
        <v>159.55114746010804</v>
      </c>
      <c r="O253" s="22"/>
      <c r="P253" s="23">
        <f t="shared" si="23"/>
        <v>5.9510695922969319</v>
      </c>
      <c r="R253" s="24"/>
      <c r="S253" s="28">
        <f>'[7]Monthly Prices'!$D414</f>
        <v>78.3035472670649</v>
      </c>
      <c r="T253" s="29">
        <f>'[6]Used Cooking Oil Complex'!$AP204</f>
        <v>74.75</v>
      </c>
      <c r="U253" s="25"/>
      <c r="V253" s="25"/>
      <c r="W253" s="25"/>
      <c r="X253" s="19"/>
    </row>
    <row r="254" spans="1:24" x14ac:dyDescent="0.2">
      <c r="A254" s="17">
        <v>49065</v>
      </c>
      <c r="B254" s="18">
        <f t="shared" si="19"/>
        <v>5</v>
      </c>
      <c r="C254" s="18">
        <f t="shared" si="20"/>
        <v>2</v>
      </c>
      <c r="D254" s="11">
        <f t="shared" si="21"/>
        <v>2034</v>
      </c>
      <c r="E254" s="19"/>
      <c r="F254" s="1"/>
      <c r="J254" s="26">
        <f>MultiRegressionD4RIN!$B$17+(Monthly!$S254*MultiRegressionD4RIN!$B$18)+(Monthly!$T254*MultiRegressionD4RIN!$B$19)</f>
        <v>174.24712044192597</v>
      </c>
      <c r="K254" s="26">
        <f>FORECAST($J254,K$107:K253,$J$107:$J253)</f>
        <v>173.23074558909261</v>
      </c>
      <c r="L254" s="27">
        <f t="shared" si="22"/>
        <v>166.24712044192597</v>
      </c>
      <c r="O254" s="22"/>
      <c r="P254" s="23">
        <f t="shared" si="23"/>
        <v>6.3355658649563589</v>
      </c>
      <c r="R254" s="24"/>
      <c r="S254" s="28">
        <f>'[7]Monthly Prices'!$D415</f>
        <v>83.362708749425778</v>
      </c>
      <c r="T254" s="29">
        <f>'[6]Used Cooking Oil Complex'!$AP205</f>
        <v>74.25</v>
      </c>
      <c r="U254" s="25"/>
      <c r="V254" s="25"/>
      <c r="W254" s="25"/>
      <c r="X254" s="19"/>
    </row>
    <row r="255" spans="1:24" x14ac:dyDescent="0.2">
      <c r="A255" s="17">
        <v>49096</v>
      </c>
      <c r="B255" s="18">
        <f t="shared" si="19"/>
        <v>6</v>
      </c>
      <c r="C255" s="18">
        <f t="shared" si="20"/>
        <v>2</v>
      </c>
      <c r="D255" s="11">
        <f t="shared" si="21"/>
        <v>2034</v>
      </c>
      <c r="E255" s="19"/>
      <c r="F255" s="1"/>
      <c r="J255" s="26">
        <f>MultiRegressionD4RIN!$B$17+(Monthly!$S255*MultiRegressionD4RIN!$B$18)+(Monthly!$T255*MultiRegressionD4RIN!$B$19)</f>
        <v>184.13904614479293</v>
      </c>
      <c r="K255" s="26">
        <f>FORECAST($J255,K$107:K254,$J$107:$J254)</f>
        <v>183.10920178297388</v>
      </c>
      <c r="L255" s="27">
        <f t="shared" si="22"/>
        <v>176.13904614479293</v>
      </c>
      <c r="O255" s="22"/>
      <c r="P255" s="23">
        <f t="shared" si="23"/>
        <v>6.5733444651566693</v>
      </c>
      <c r="R255" s="24"/>
      <c r="S255" s="28">
        <f>'[7]Monthly Prices'!$D416</f>
        <v>86.491374541535137</v>
      </c>
      <c r="T255" s="29">
        <f>'[6]Used Cooking Oil Complex'!$AP206</f>
        <v>79.25</v>
      </c>
      <c r="U255" s="25"/>
      <c r="V255" s="25"/>
      <c r="W255" s="25"/>
      <c r="X255" s="19"/>
    </row>
    <row r="256" spans="1:24" x14ac:dyDescent="0.2">
      <c r="A256" s="17">
        <v>49126</v>
      </c>
      <c r="B256" s="18">
        <f t="shared" si="19"/>
        <v>7</v>
      </c>
      <c r="C256" s="18">
        <f t="shared" si="20"/>
        <v>3</v>
      </c>
      <c r="D256" s="11">
        <f t="shared" si="21"/>
        <v>2034</v>
      </c>
      <c r="E256" s="19"/>
      <c r="F256" s="1"/>
      <c r="J256" s="26">
        <f>MultiRegressionD4RIN!$B$17+(Monthly!$S256*MultiRegressionD4RIN!$B$18)+(Monthly!$T256*MultiRegressionD4RIN!$B$19)</f>
        <v>194.64301248949266</v>
      </c>
      <c r="K256" s="26">
        <f>FORECAST($J256,K$107:K255,$J$107:$J255)</f>
        <v>193.59886522313178</v>
      </c>
      <c r="L256" s="27">
        <f t="shared" si="22"/>
        <v>186.64301248949266</v>
      </c>
      <c r="O256" s="22"/>
      <c r="P256" s="23">
        <f t="shared" si="23"/>
        <v>6.929956576475413</v>
      </c>
      <c r="R256" s="24"/>
      <c r="S256" s="28">
        <f>'[7]Monthly Prices'!$D417</f>
        <v>91.183639164150179</v>
      </c>
      <c r="T256" s="29">
        <f>'[6]Used Cooking Oil Complex'!$AP207</f>
        <v>82.75</v>
      </c>
      <c r="U256" s="25"/>
      <c r="V256" s="25"/>
      <c r="W256" s="25"/>
      <c r="X256" s="19"/>
    </row>
    <row r="257" spans="1:24" x14ac:dyDescent="0.2">
      <c r="A257" s="17">
        <v>49157</v>
      </c>
      <c r="B257" s="18">
        <f t="shared" si="19"/>
        <v>8</v>
      </c>
      <c r="C257" s="18">
        <f t="shared" si="20"/>
        <v>3</v>
      </c>
      <c r="D257" s="11">
        <f t="shared" si="21"/>
        <v>2034</v>
      </c>
      <c r="E257" s="19"/>
      <c r="F257" s="1"/>
      <c r="J257" s="26">
        <f>MultiRegressionD4RIN!$B$17+(Monthly!$S257*MultiRegressionD4RIN!$B$18)+(Monthly!$T257*MultiRegressionD4RIN!$B$19)</f>
        <v>108.62318711873594</v>
      </c>
      <c r="K257" s="26">
        <f>FORECAST($J257,K$107:K256,$J$107:$J256)</f>
        <v>107.69617021157623</v>
      </c>
      <c r="L257" s="27">
        <f t="shared" si="22"/>
        <v>100.62318711873594</v>
      </c>
      <c r="O257" s="22"/>
      <c r="P257" s="23">
        <f t="shared" si="23"/>
        <v>4.3167177335156133</v>
      </c>
      <c r="R257" s="24"/>
      <c r="S257" s="28">
        <f>'[7]Monthly Prices'!$D418</f>
        <v>56.798917546258075</v>
      </c>
      <c r="T257" s="29">
        <f>'[6]Used Cooking Oil Complex'!$AP208</f>
        <v>48.75</v>
      </c>
      <c r="U257" s="25"/>
      <c r="V257" s="25"/>
      <c r="W257" s="25"/>
      <c r="X257" s="19"/>
    </row>
    <row r="258" spans="1:24" x14ac:dyDescent="0.2">
      <c r="A258" s="17">
        <v>49188</v>
      </c>
      <c r="B258" s="18">
        <f t="shared" si="19"/>
        <v>9</v>
      </c>
      <c r="C258" s="18">
        <f t="shared" si="20"/>
        <v>3</v>
      </c>
      <c r="D258" s="11">
        <f t="shared" si="21"/>
        <v>2034</v>
      </c>
      <c r="E258" s="19"/>
      <c r="F258" s="1"/>
      <c r="J258" s="26">
        <f>MultiRegressionD4RIN!$B$17+(Monthly!$S258*MultiRegressionD4RIN!$B$18)+(Monthly!$T258*MultiRegressionD4RIN!$B$19)</f>
        <v>69.947418149184102</v>
      </c>
      <c r="K258" s="26">
        <f>FORECAST($J258,K$107:K257,$J$107:$J257)</f>
        <v>69.073064761070825</v>
      </c>
      <c r="L258" s="27">
        <f t="shared" si="22"/>
        <v>61.947418149184102</v>
      </c>
      <c r="O258" s="22"/>
      <c r="P258" s="23">
        <f t="shared" si="23"/>
        <v>3.1252577017267544</v>
      </c>
      <c r="R258" s="24"/>
      <c r="S258" s="28">
        <f>'[7]Monthly Prices'!$D419</f>
        <v>41.121811864825716</v>
      </c>
      <c r="T258" s="29">
        <f>'[6]Used Cooking Oil Complex'!$AP209</f>
        <v>33.75</v>
      </c>
      <c r="U258" s="25"/>
      <c r="V258" s="25"/>
      <c r="W258" s="25"/>
      <c r="X258" s="19"/>
    </row>
    <row r="259" spans="1:24" x14ac:dyDescent="0.2">
      <c r="A259" s="17">
        <v>49218</v>
      </c>
      <c r="B259" s="18">
        <f t="shared" si="19"/>
        <v>10</v>
      </c>
      <c r="C259" s="18">
        <f t="shared" si="20"/>
        <v>4</v>
      </c>
      <c r="D259" s="11">
        <f t="shared" si="21"/>
        <v>2034</v>
      </c>
      <c r="E259" s="19"/>
      <c r="F259" s="1"/>
      <c r="J259" s="26">
        <f>MultiRegressionD4RIN!$B$17+(Monthly!$S259*MultiRegressionD4RIN!$B$18)+(Monthly!$T259*MultiRegressionD4RIN!$B$19)</f>
        <v>75.988711651340012</v>
      </c>
      <c r="K259" s="26">
        <f>FORECAST($J259,K$107:K258,$J$107:$J258)</f>
        <v>75.106132033111791</v>
      </c>
      <c r="L259" s="27">
        <f t="shared" si="22"/>
        <v>67.988711651340012</v>
      </c>
      <c r="O259" s="22"/>
      <c r="P259" s="23">
        <f t="shared" si="23"/>
        <v>3.0577662561538053</v>
      </c>
      <c r="R259" s="24"/>
      <c r="S259" s="28">
        <f>'[7]Monthly Prices'!$D420</f>
        <v>40.233766528339544</v>
      </c>
      <c r="T259" s="29">
        <f>'[6]Used Cooking Oil Complex'!$AQ198</f>
        <v>40.5</v>
      </c>
      <c r="U259" s="25"/>
      <c r="V259" s="25"/>
      <c r="W259" s="25"/>
      <c r="X259" s="19"/>
    </row>
    <row r="260" spans="1:24" x14ac:dyDescent="0.2">
      <c r="A260" s="17">
        <v>49249</v>
      </c>
      <c r="B260" s="18">
        <f t="shared" si="19"/>
        <v>11</v>
      </c>
      <c r="C260" s="18">
        <f t="shared" si="20"/>
        <v>4</v>
      </c>
      <c r="D260" s="11">
        <f t="shared" si="21"/>
        <v>2034</v>
      </c>
      <c r="E260" s="19"/>
      <c r="F260" s="1"/>
      <c r="J260" s="26">
        <f>MultiRegressionD4RIN!$B$17+(Monthly!$S260*MultiRegressionD4RIN!$B$18)+(Monthly!$T260*MultiRegressionD4RIN!$B$19)</f>
        <v>61.174665673487063</v>
      </c>
      <c r="K260" s="26">
        <f>FORECAST($J260,K$107:K259,$J$107:$J259)</f>
        <v>60.312257853087189</v>
      </c>
      <c r="L260" s="27">
        <f t="shared" si="22"/>
        <v>53.174665673487063</v>
      </c>
      <c r="O260" s="22"/>
      <c r="P260" s="23">
        <f t="shared" si="23"/>
        <v>2.7023649918358585</v>
      </c>
      <c r="R260" s="24"/>
      <c r="S260" s="28">
        <f>'[7]Monthly Prices'!$D421</f>
        <v>35.557434103103404</v>
      </c>
      <c r="T260" s="29">
        <f>'[6]Used Cooking Oil Complex'!$AQ199</f>
        <v>33</v>
      </c>
      <c r="U260" s="25"/>
      <c r="V260" s="25"/>
      <c r="W260" s="25"/>
      <c r="X260" s="19"/>
    </row>
    <row r="261" spans="1:24" x14ac:dyDescent="0.2">
      <c r="A261" s="17">
        <v>49279</v>
      </c>
      <c r="B261" s="18">
        <f t="shared" ref="B261:B324" si="24">MONTH(A261)</f>
        <v>12</v>
      </c>
      <c r="C261" s="18">
        <f t="shared" ref="C261:C324" si="25">ROUNDUP(MONTH(A261)/3,0)</f>
        <v>4</v>
      </c>
      <c r="D261" s="11">
        <f t="shared" ref="D261:D324" si="26">YEAR(A261)</f>
        <v>2034</v>
      </c>
      <c r="E261" s="19"/>
      <c r="F261" s="1"/>
      <c r="J261" s="26">
        <f>MultiRegressionD4RIN!$B$17+(Monthly!$S261*MultiRegressionD4RIN!$B$18)+(Monthly!$T261*MultiRegressionD4RIN!$B$19)</f>
        <v>154.6354956685505</v>
      </c>
      <c r="K261" s="26">
        <f>FORECAST($J261,K$107:K260,$J$107:$J260)</f>
        <v>153.64582531836317</v>
      </c>
      <c r="L261" s="27">
        <f t="shared" si="22"/>
        <v>146.6354956685505</v>
      </c>
      <c r="O261" s="22"/>
      <c r="P261" s="23">
        <f t="shared" si="23"/>
        <v>5.797225802212246</v>
      </c>
      <c r="R261" s="24"/>
      <c r="S261" s="28">
        <f>'[7]Monthly Prices'!$D422</f>
        <v>76.279286871213756</v>
      </c>
      <c r="T261" s="29">
        <f>'[6]Used Cooking Oil Complex'!$AQ200</f>
        <v>65.5</v>
      </c>
      <c r="U261" s="25"/>
      <c r="V261" s="25"/>
      <c r="W261" s="25"/>
      <c r="X261" s="19"/>
    </row>
    <row r="262" spans="1:24" x14ac:dyDescent="0.2">
      <c r="A262" s="17">
        <v>49310</v>
      </c>
      <c r="B262" s="18">
        <f t="shared" si="24"/>
        <v>1</v>
      </c>
      <c r="C262" s="18">
        <f t="shared" si="25"/>
        <v>1</v>
      </c>
      <c r="D262" s="11">
        <f t="shared" si="26"/>
        <v>2035</v>
      </c>
      <c r="E262" s="19"/>
      <c r="F262" s="1"/>
      <c r="J262" s="26">
        <f>MultiRegressionD4RIN!$B$17+(Monthly!$S262*MultiRegressionD4RIN!$B$18)+(Monthly!$T262*MultiRegressionD4RIN!$B$19)</f>
        <v>148.67369980218564</v>
      </c>
      <c r="K262" s="26">
        <f>FORECAST($J262,K$107:K261,$J$107:$J261)</f>
        <v>147.69214743280452</v>
      </c>
      <c r="L262" s="27">
        <f t="shared" si="22"/>
        <v>140.67369980218564</v>
      </c>
      <c r="O262" s="22"/>
      <c r="P262" s="23">
        <f t="shared" si="23"/>
        <v>5.3366408281679352</v>
      </c>
      <c r="R262" s="24"/>
      <c r="S262" s="28">
        <f>'[7]Monthly Prices'!$D423</f>
        <v>70.218958265367576</v>
      </c>
      <c r="T262" s="29">
        <f>'[6]Used Cooking Oil Complex'!$AQ201</f>
        <v>68</v>
      </c>
      <c r="U262" s="25"/>
      <c r="V262" s="25"/>
      <c r="W262" s="25"/>
      <c r="X262" s="19"/>
    </row>
    <row r="263" spans="1:24" x14ac:dyDescent="0.2">
      <c r="A263" s="17">
        <v>49341</v>
      </c>
      <c r="B263" s="18">
        <f t="shared" si="24"/>
        <v>2</v>
      </c>
      <c r="C263" s="18">
        <f t="shared" si="25"/>
        <v>1</v>
      </c>
      <c r="D263" s="11">
        <f t="shared" si="26"/>
        <v>2035</v>
      </c>
      <c r="E263" s="19"/>
      <c r="F263" s="1"/>
      <c r="J263" s="26">
        <f>MultiRegressionD4RIN!$B$17+(Monthly!$S263*MultiRegressionD4RIN!$B$18)+(Monthly!$T263*MultiRegressionD4RIN!$B$19)</f>
        <v>140.11996741563456</v>
      </c>
      <c r="K263" s="26">
        <f>FORECAST($J263,K$107:K262,$J$107:$J262)</f>
        <v>139.15006238153489</v>
      </c>
      <c r="L263" s="27">
        <f t="shared" si="22"/>
        <v>132.11996741563456</v>
      </c>
      <c r="O263" s="22"/>
      <c r="P263" s="23">
        <f t="shared" si="23"/>
        <v>4.8678376357261426</v>
      </c>
      <c r="R263" s="24"/>
      <c r="S263" s="28">
        <f>'[7]Monthly Prices'!$D424</f>
        <v>64.050495206922932</v>
      </c>
      <c r="T263" s="29">
        <f>'[6]Used Cooking Oil Complex'!$AQ202</f>
        <v>68.25</v>
      </c>
      <c r="U263" s="25"/>
      <c r="V263" s="25"/>
      <c r="W263" s="25"/>
      <c r="X263" s="19"/>
    </row>
    <row r="264" spans="1:24" x14ac:dyDescent="0.2">
      <c r="A264" s="17">
        <v>49369</v>
      </c>
      <c r="B264" s="18">
        <f t="shared" si="24"/>
        <v>3</v>
      </c>
      <c r="C264" s="18">
        <f t="shared" si="25"/>
        <v>1</v>
      </c>
      <c r="D264" s="11">
        <f t="shared" si="26"/>
        <v>2035</v>
      </c>
      <c r="E264" s="19"/>
      <c r="F264" s="1"/>
      <c r="J264" s="26">
        <f>MultiRegressionD4RIN!$B$17+(Monthly!$S264*MultiRegressionD4RIN!$B$18)+(Monthly!$T264*MultiRegressionD4RIN!$B$19)</f>
        <v>175.14222722758723</v>
      </c>
      <c r="K264" s="26">
        <f>FORECAST($J264,K$107:K263,$J$107:$J263)</f>
        <v>174.12463353736527</v>
      </c>
      <c r="L264" s="27">
        <f t="shared" si="22"/>
        <v>167.14222722758723</v>
      </c>
      <c r="O264" s="22"/>
      <c r="P264" s="23">
        <f t="shared" si="23"/>
        <v>5.9371375258375041</v>
      </c>
      <c r="R264" s="24"/>
      <c r="S264" s="28">
        <f>'[7]Monthly Prices'!$D425</f>
        <v>78.120230603125052</v>
      </c>
      <c r="T264" s="29">
        <f>'[6]Used Cooking Oil Complex'!$AQ203</f>
        <v>82</v>
      </c>
      <c r="U264" s="25"/>
      <c r="V264" s="25"/>
      <c r="W264" s="25"/>
      <c r="X264" s="19"/>
    </row>
    <row r="265" spans="1:24" x14ac:dyDescent="0.2">
      <c r="A265" s="17">
        <v>49400</v>
      </c>
      <c r="B265" s="18">
        <f t="shared" si="24"/>
        <v>4</v>
      </c>
      <c r="C265" s="18">
        <f t="shared" si="25"/>
        <v>2</v>
      </c>
      <c r="D265" s="11">
        <f t="shared" si="26"/>
        <v>2035</v>
      </c>
      <c r="E265" s="19"/>
      <c r="F265" s="1"/>
      <c r="J265" s="26">
        <f>MultiRegressionD4RIN!$B$17+(Monthly!$S265*MultiRegressionD4RIN!$B$18)+(Monthly!$T265*MultiRegressionD4RIN!$B$19)</f>
        <v>187.53592066737767</v>
      </c>
      <c r="K265" s="26">
        <f>FORECAST($J265,K$107:K264,$J$107:$J264)</f>
        <v>186.50145089355323</v>
      </c>
      <c r="L265" s="27">
        <f t="shared" si="22"/>
        <v>179.53592066737767</v>
      </c>
      <c r="O265" s="22"/>
      <c r="P265" s="23">
        <f t="shared" si="23"/>
        <v>6.3797548392938905</v>
      </c>
      <c r="R265" s="24"/>
      <c r="S265" s="28">
        <f>'[7]Monthly Prices'!$D426</f>
        <v>83.944142622288041</v>
      </c>
      <c r="T265" s="29">
        <f>'[6]Used Cooking Oil Complex'!$AQ204</f>
        <v>85.75</v>
      </c>
      <c r="U265" s="25"/>
      <c r="V265" s="25"/>
      <c r="W265" s="25"/>
      <c r="X265" s="19"/>
    </row>
    <row r="266" spans="1:24" x14ac:dyDescent="0.2">
      <c r="A266" s="17">
        <v>49430</v>
      </c>
      <c r="B266" s="18">
        <f t="shared" si="24"/>
        <v>5</v>
      </c>
      <c r="C266" s="18">
        <f t="shared" si="25"/>
        <v>2</v>
      </c>
      <c r="D266" s="11">
        <f t="shared" si="26"/>
        <v>2035</v>
      </c>
      <c r="E266" s="19"/>
      <c r="F266" s="1"/>
      <c r="J266" s="26">
        <f>MultiRegressionD4RIN!$B$17+(Monthly!$S266*MultiRegressionD4RIN!$B$18)+(Monthly!$T266*MultiRegressionD4RIN!$B$19)</f>
        <v>190.28214369431356</v>
      </c>
      <c r="K266" s="26">
        <f>FORECAST($J266,K$107:K265,$J$107:$J265)</f>
        <v>189.24393447916597</v>
      </c>
      <c r="L266" s="27">
        <f t="shared" si="22"/>
        <v>182.28214369431356</v>
      </c>
      <c r="O266" s="22"/>
      <c r="P266" s="23">
        <f t="shared" si="23"/>
        <v>6.6551261472936627</v>
      </c>
      <c r="R266" s="24"/>
      <c r="S266" s="28">
        <f>'[7]Monthly Prices'!$D427</f>
        <v>87.567449306495575</v>
      </c>
      <c r="T266" s="29">
        <f>'[6]Used Cooking Oil Complex'!$AQ205</f>
        <v>83.5</v>
      </c>
      <c r="U266" s="25"/>
      <c r="V266" s="25"/>
      <c r="W266" s="25"/>
      <c r="X266" s="19"/>
    </row>
    <row r="267" spans="1:24" x14ac:dyDescent="0.2">
      <c r="A267" s="17">
        <v>49461</v>
      </c>
      <c r="B267" s="18">
        <f t="shared" si="24"/>
        <v>6</v>
      </c>
      <c r="C267" s="18">
        <f t="shared" si="25"/>
        <v>2</v>
      </c>
      <c r="D267" s="11">
        <f t="shared" si="26"/>
        <v>2035</v>
      </c>
      <c r="E267" s="19"/>
      <c r="F267" s="1"/>
      <c r="J267" s="26">
        <f>MultiRegressionD4RIN!$B$17+(Monthly!$S267*MultiRegressionD4RIN!$B$18)+(Monthly!$T267*MultiRegressionD4RIN!$B$19)</f>
        <v>201.84549382963439</v>
      </c>
      <c r="K267" s="26">
        <f>FORECAST($J267,K$107:K266,$J$107:$J266)</f>
        <v>200.79153918197659</v>
      </c>
      <c r="L267" s="27">
        <f t="shared" si="22"/>
        <v>193.84549382963439</v>
      </c>
      <c r="O267" s="22"/>
      <c r="P267" s="23">
        <f t="shared" si="23"/>
        <v>6.9385396705394831</v>
      </c>
      <c r="R267" s="24"/>
      <c r="S267" s="28">
        <f>'[7]Monthly Prices'!$D428</f>
        <v>91.296574612361624</v>
      </c>
      <c r="T267" s="29">
        <f>'[6]Used Cooking Oil Complex'!$AQ206</f>
        <v>89.25</v>
      </c>
      <c r="U267" s="25"/>
      <c r="V267" s="25"/>
      <c r="W267" s="25"/>
      <c r="X267" s="19"/>
    </row>
    <row r="268" spans="1:24" x14ac:dyDescent="0.2">
      <c r="A268" s="17">
        <v>49491</v>
      </c>
      <c r="B268" s="18">
        <f t="shared" si="24"/>
        <v>7</v>
      </c>
      <c r="C268" s="18">
        <f t="shared" si="25"/>
        <v>3</v>
      </c>
      <c r="D268" s="11">
        <f t="shared" si="26"/>
        <v>2035</v>
      </c>
      <c r="E268" s="19"/>
      <c r="F268" s="1"/>
      <c r="J268" s="26">
        <f>MultiRegressionD4RIN!$B$17+(Monthly!$S268*MultiRegressionD4RIN!$B$18)+(Monthly!$T268*MultiRegressionD4RIN!$B$19)</f>
        <v>214.45926386806033</v>
      </c>
      <c r="K268" s="26">
        <f>FORECAST($J268,K$107:K267,$J$107:$J267)</f>
        <v>213.38813346575392</v>
      </c>
      <c r="L268" s="27">
        <f t="shared" si="22"/>
        <v>206.45926386806033</v>
      </c>
      <c r="O268" s="22"/>
      <c r="P268" s="23">
        <f t="shared" si="23"/>
        <v>7.3640755867719472</v>
      </c>
      <c r="R268" s="24"/>
      <c r="S268" s="28">
        <f>'[7]Monthly Prices'!$D429</f>
        <v>96.89573140489405</v>
      </c>
      <c r="T268" s="29">
        <f>'[6]Used Cooking Oil Complex'!$AQ207</f>
        <v>93.5</v>
      </c>
      <c r="U268" s="25"/>
      <c r="V268" s="25"/>
      <c r="W268" s="25"/>
      <c r="X268" s="19"/>
    </row>
    <row r="269" spans="1:24" x14ac:dyDescent="0.2">
      <c r="A269" s="17">
        <v>49522</v>
      </c>
      <c r="B269" s="18">
        <f t="shared" si="24"/>
        <v>8</v>
      </c>
      <c r="C269" s="18">
        <f t="shared" si="25"/>
        <v>3</v>
      </c>
      <c r="D269" s="11">
        <f t="shared" si="26"/>
        <v>2035</v>
      </c>
      <c r="E269" s="19"/>
      <c r="F269" s="1"/>
      <c r="J269" s="26">
        <f>MultiRegressionD4RIN!$B$17+(Monthly!$S269*MultiRegressionD4RIN!$B$18)+(Monthly!$T269*MultiRegressionD4RIN!$B$19)</f>
        <v>74.340721030523966</v>
      </c>
      <c r="K269" s="26">
        <f>FORECAST($J269,K$107:K268,$J$107:$J268)</f>
        <v>73.460385426771992</v>
      </c>
      <c r="L269" s="27">
        <f t="shared" si="22"/>
        <v>66.340721030523966</v>
      </c>
      <c r="O269" s="22"/>
      <c r="P269" s="23">
        <f t="shared" si="23"/>
        <v>3.0277627326255061</v>
      </c>
      <c r="R269" s="24"/>
      <c r="S269" s="28">
        <f>'[7]Monthly Prices'!$D430</f>
        <v>39.838983324019814</v>
      </c>
      <c r="T269" s="29">
        <f>'[6]Used Cooking Oil Complex'!$AQ208</f>
        <v>39.5</v>
      </c>
      <c r="U269" s="25"/>
      <c r="V269" s="25"/>
      <c r="W269" s="25"/>
      <c r="X269" s="19"/>
    </row>
    <row r="270" spans="1:24" x14ac:dyDescent="0.2">
      <c r="A270" s="17">
        <v>49553</v>
      </c>
      <c r="B270" s="18">
        <f t="shared" si="24"/>
        <v>9</v>
      </c>
      <c r="C270" s="18">
        <f t="shared" si="25"/>
        <v>3</v>
      </c>
      <c r="D270" s="11">
        <f t="shared" si="26"/>
        <v>2035</v>
      </c>
      <c r="E270" s="19"/>
      <c r="F270" s="1"/>
      <c r="J270" s="26">
        <f>MultiRegressionD4RIN!$B$17+(Monthly!$S270*MultiRegressionD4RIN!$B$18)+(Monthly!$T270*MultiRegressionD4RIN!$B$19)</f>
        <v>62.823418134187953</v>
      </c>
      <c r="K270" s="26">
        <f>FORECAST($J270,K$107:K269,$J$107:$J269)</f>
        <v>61.958765261939583</v>
      </c>
      <c r="L270" s="27">
        <f t="shared" si="22"/>
        <v>54.823418134187953</v>
      </c>
      <c r="O270" s="22"/>
      <c r="P270" s="23">
        <f t="shared" si="23"/>
        <v>2.7755684255293183</v>
      </c>
      <c r="R270" s="24"/>
      <c r="S270" s="28">
        <f>'[7]Monthly Prices'!$D431</f>
        <v>36.520637178017346</v>
      </c>
      <c r="T270" s="29">
        <f>'[6]Used Cooking Oil Complex'!$AQ209</f>
        <v>33.25</v>
      </c>
      <c r="U270" s="25"/>
      <c r="V270" s="25"/>
      <c r="W270" s="25"/>
    </row>
    <row r="271" spans="1:24" x14ac:dyDescent="0.2">
      <c r="A271" s="17">
        <v>49583</v>
      </c>
      <c r="B271" s="18">
        <f t="shared" si="24"/>
        <v>10</v>
      </c>
      <c r="C271" s="18">
        <f t="shared" si="25"/>
        <v>4</v>
      </c>
      <c r="D271" s="11">
        <f t="shared" si="26"/>
        <v>2035</v>
      </c>
      <c r="E271" s="19"/>
      <c r="F271" s="1"/>
      <c r="J271" s="26">
        <f>MultiRegressionD4RIN!$B$17+(Monthly!$S271*MultiRegressionD4RIN!$B$18)+(Monthly!$T271*MultiRegressionD4RIN!$B$19)</f>
        <v>76.446517767338918</v>
      </c>
      <c r="K271" s="26">
        <f>FORECAST($J271,K$107:K270,$J$107:$J270)</f>
        <v>75.563314769621357</v>
      </c>
      <c r="L271" s="27">
        <f t="shared" si="22"/>
        <v>68.446517767338918</v>
      </c>
      <c r="O271" s="22"/>
      <c r="P271" s="23">
        <f t="shared" si="23"/>
        <v>2.8950629600042368</v>
      </c>
      <c r="R271" s="24"/>
      <c r="S271" s="28">
        <f>'[7]Monthly Prices'!$D432</f>
        <v>38.092933684266278</v>
      </c>
      <c r="T271" s="29">
        <f>'[6]Used Cooking Oil Complex'!$AR198</f>
        <v>43.75</v>
      </c>
      <c r="U271" s="25"/>
      <c r="V271" s="25"/>
      <c r="W271" s="25"/>
    </row>
    <row r="272" spans="1:24" x14ac:dyDescent="0.2">
      <c r="A272" s="17">
        <v>49614</v>
      </c>
      <c r="B272" s="18">
        <f t="shared" si="24"/>
        <v>11</v>
      </c>
      <c r="C272" s="18">
        <f t="shared" si="25"/>
        <v>4</v>
      </c>
      <c r="D272" s="11">
        <f t="shared" si="26"/>
        <v>2035</v>
      </c>
      <c r="E272" s="19"/>
      <c r="F272" s="1"/>
      <c r="J272" s="26">
        <f>MultiRegressionD4RIN!$B$17+(Monthly!$S272*MultiRegressionD4RIN!$B$18)+(Monthly!$T272*MultiRegressionD4RIN!$B$19)</f>
        <v>63.175170833555093</v>
      </c>
      <c r="K272" s="26">
        <f>FORECAST($J272,K$107:K271,$J$107:$J271)</f>
        <v>62.310038991257116</v>
      </c>
      <c r="L272" s="27">
        <f t="shared" si="22"/>
        <v>55.175170833555093</v>
      </c>
      <c r="O272" s="22"/>
      <c r="P272" s="23">
        <f t="shared" si="23"/>
        <v>2.6216175247354467</v>
      </c>
      <c r="R272" s="24"/>
      <c r="S272" s="28">
        <f>'[7]Monthly Prices'!$D433</f>
        <v>34.49496743072956</v>
      </c>
      <c r="T272" s="29">
        <f>'[6]Used Cooking Oil Complex'!$AR199</f>
        <v>36.25</v>
      </c>
      <c r="U272" s="25"/>
      <c r="V272" s="25"/>
      <c r="W272" s="25"/>
    </row>
    <row r="273" spans="1:23" x14ac:dyDescent="0.2">
      <c r="A273" s="17">
        <v>49644</v>
      </c>
      <c r="B273" s="18">
        <f t="shared" si="24"/>
        <v>12</v>
      </c>
      <c r="C273" s="18">
        <f t="shared" si="25"/>
        <v>4</v>
      </c>
      <c r="D273" s="11">
        <f t="shared" si="26"/>
        <v>2035</v>
      </c>
      <c r="E273" s="19"/>
      <c r="F273" s="1"/>
      <c r="J273" s="26">
        <f>MultiRegressionD4RIN!$B$17+(Monthly!$S273*MultiRegressionD4RIN!$B$18)+(Monthly!$T273*MultiRegressionD4RIN!$B$19)</f>
        <v>148.56148668627952</v>
      </c>
      <c r="K273" s="26">
        <f>FORECAST($J273,K$107:K272,$J$107:$J272)</f>
        <v>147.58008711379745</v>
      </c>
      <c r="L273" s="27">
        <f t="shared" si="22"/>
        <v>140.56148668627952</v>
      </c>
      <c r="O273" s="22"/>
      <c r="P273" s="23">
        <f t="shared" si="23"/>
        <v>5.532090218678877</v>
      </c>
      <c r="R273" s="24"/>
      <c r="S273" s="28">
        <f>'[7]Monthly Prices'!$D434</f>
        <v>72.79066077209049</v>
      </c>
      <c r="T273" s="29">
        <f>'[6]Used Cooking Oil Complex'!$AR200</f>
        <v>64.5</v>
      </c>
      <c r="U273" s="25"/>
      <c r="V273" s="25"/>
      <c r="W273" s="25"/>
    </row>
    <row r="274" spans="1:23" x14ac:dyDescent="0.2">
      <c r="A274" s="17">
        <v>49675</v>
      </c>
      <c r="B274" s="18">
        <f t="shared" si="24"/>
        <v>1</v>
      </c>
      <c r="C274" s="18">
        <f t="shared" si="25"/>
        <v>1</v>
      </c>
      <c r="D274" s="11">
        <f t="shared" si="26"/>
        <v>2036</v>
      </c>
      <c r="J274" s="26">
        <f>MultiRegressionD4RIN!$B$17+(Monthly!$S274*MultiRegressionD4RIN!$B$18)+(Monthly!$T274*MultiRegressionD4RIN!$B$19)</f>
        <v>155.4981776128549</v>
      </c>
      <c r="K274" s="26">
        <f>FORECAST($J274,K$107:K273,$J$107:$J273)</f>
        <v>154.50733257711602</v>
      </c>
      <c r="L274" s="27">
        <f t="shared" si="22"/>
        <v>147.4981776128549</v>
      </c>
      <c r="O274" s="22"/>
      <c r="P274" s="23">
        <f t="shared" si="23"/>
        <v>5.5984856027072318</v>
      </c>
      <c r="R274" s="24"/>
      <c r="S274" s="28">
        <f>'[7]Monthly Prices'!$D435</f>
        <v>73.664284246147787</v>
      </c>
      <c r="T274" s="29">
        <f>'[6]Used Cooking Oil Complex'!$AR201</f>
        <v>69.75</v>
      </c>
    </row>
    <row r="275" spans="1:23" x14ac:dyDescent="0.2">
      <c r="A275" s="17">
        <v>49706</v>
      </c>
      <c r="B275" s="18">
        <f t="shared" si="24"/>
        <v>2</v>
      </c>
      <c r="C275" s="18">
        <f t="shared" si="25"/>
        <v>1</v>
      </c>
      <c r="D275" s="11">
        <f t="shared" si="26"/>
        <v>2036</v>
      </c>
      <c r="J275" s="26">
        <f>MultiRegressionD4RIN!$B$17+(Monthly!$S275*MultiRegressionD4RIN!$B$18)+(Monthly!$T275*MultiRegressionD4RIN!$B$19)</f>
        <v>149.20540286460323</v>
      </c>
      <c r="K275" s="26">
        <f>FORECAST($J275,K$107:K274,$J$107:$J274)</f>
        <v>148.22312649269804</v>
      </c>
      <c r="L275" s="27">
        <f t="shared" si="22"/>
        <v>141.20540286460323</v>
      </c>
      <c r="O275" s="22"/>
      <c r="P275" s="23">
        <f t="shared" si="23"/>
        <v>5.2354092211342218</v>
      </c>
      <c r="R275" s="24"/>
      <c r="S275" s="28">
        <f>'[7]Monthly Prices'!$D436</f>
        <v>68.886963435976611</v>
      </c>
      <c r="T275" s="29">
        <f>'[6]Used Cooking Oil Complex'!$AR202</f>
        <v>70.25</v>
      </c>
    </row>
    <row r="276" spans="1:23" x14ac:dyDescent="0.2">
      <c r="A276" s="17">
        <v>49735</v>
      </c>
      <c r="B276" s="18">
        <f t="shared" si="24"/>
        <v>3</v>
      </c>
      <c r="C276" s="18">
        <f t="shared" si="25"/>
        <v>1</v>
      </c>
      <c r="D276" s="11">
        <f t="shared" si="26"/>
        <v>2036</v>
      </c>
      <c r="J276" s="26">
        <f>MultiRegressionD4RIN!$B$17+(Monthly!$S276*MultiRegressionD4RIN!$B$18)+(Monthly!$T276*MultiRegressionD4RIN!$B$19)</f>
        <v>178.20397670443748</v>
      </c>
      <c r="K276" s="26">
        <f>FORECAST($J276,K$107:K275,$J$107:$J275)</f>
        <v>177.18221393093202</v>
      </c>
      <c r="L276" s="27">
        <f t="shared" si="22"/>
        <v>170.20397670443748</v>
      </c>
      <c r="O276" s="22"/>
      <c r="P276" s="23">
        <f t="shared" si="23"/>
        <v>6.2004982063945713</v>
      </c>
      <c r="R276" s="24"/>
      <c r="S276" s="28">
        <f>'[7]Monthly Prices'!$D437</f>
        <v>81.58550271571805</v>
      </c>
      <c r="T276" s="29">
        <f>'[6]Used Cooking Oil Complex'!$AR203</f>
        <v>80.25</v>
      </c>
    </row>
    <row r="277" spans="1:23" x14ac:dyDescent="0.2">
      <c r="A277" s="17">
        <v>49766</v>
      </c>
      <c r="B277" s="18">
        <f t="shared" si="24"/>
        <v>4</v>
      </c>
      <c r="C277" s="18">
        <f t="shared" si="25"/>
        <v>2</v>
      </c>
      <c r="D277" s="11">
        <f t="shared" si="26"/>
        <v>2036</v>
      </c>
      <c r="J277" s="26">
        <f>MultiRegressionD4RIN!$B$17+(Monthly!$S277*MultiRegressionD4RIN!$B$18)+(Monthly!$T277*MultiRegressionD4RIN!$B$19)</f>
        <v>194.07574813472129</v>
      </c>
      <c r="K277" s="26">
        <f>FORECAST($J277,K$107:K276,$J$107:$J276)</f>
        <v>193.03237329352365</v>
      </c>
      <c r="L277" s="27">
        <f t="shared" si="22"/>
        <v>186.07574813472129</v>
      </c>
      <c r="O277" s="22"/>
      <c r="P277" s="23">
        <f t="shared" si="23"/>
        <v>6.7703423664836011</v>
      </c>
      <c r="R277" s="24"/>
      <c r="S277" s="28">
        <f>'[7]Monthly Prices'!$D438</f>
        <v>89.083452190573695</v>
      </c>
      <c r="T277" s="29">
        <f>'[6]Used Cooking Oil Complex'!$AR204</f>
        <v>85</v>
      </c>
    </row>
    <row r="278" spans="1:23" x14ac:dyDescent="0.2">
      <c r="A278" s="17">
        <v>49796</v>
      </c>
      <c r="B278" s="18">
        <f t="shared" si="24"/>
        <v>5</v>
      </c>
      <c r="C278" s="18">
        <f t="shared" si="25"/>
        <v>2</v>
      </c>
      <c r="D278" s="11">
        <f t="shared" si="26"/>
        <v>2036</v>
      </c>
      <c r="J278" s="26">
        <f>MultiRegressionD4RIN!$B$17+(Monthly!$S278*MultiRegressionD4RIN!$B$18)+(Monthly!$T278*MultiRegressionD4RIN!$B$19)</f>
        <v>199.20222506313195</v>
      </c>
      <c r="K278" s="26">
        <f>FORECAST($J278,K$107:K277,$J$107:$J277)</f>
        <v>198.1518696673763</v>
      </c>
      <c r="L278" s="27">
        <f t="shared" si="22"/>
        <v>191.20222506313195</v>
      </c>
      <c r="O278" s="22"/>
      <c r="P278" s="23">
        <f t="shared" si="23"/>
        <v>7.1290051365741434</v>
      </c>
      <c r="R278" s="24"/>
      <c r="S278" s="28">
        <f>'[7]Monthly Prices'!$D439</f>
        <v>93.802699165449255</v>
      </c>
      <c r="T278" s="29">
        <f>'[6]Used Cooking Oil Complex'!$AR205</f>
        <v>83.5</v>
      </c>
    </row>
    <row r="279" spans="1:23" x14ac:dyDescent="0.2">
      <c r="A279" s="17">
        <v>49827</v>
      </c>
      <c r="B279" s="18">
        <f t="shared" si="24"/>
        <v>6</v>
      </c>
      <c r="C279" s="18">
        <f t="shared" si="25"/>
        <v>2</v>
      </c>
      <c r="D279" s="11">
        <f t="shared" si="26"/>
        <v>2036</v>
      </c>
      <c r="J279" s="26">
        <f>MultiRegressionD4RIN!$B$17+(Monthly!$S279*MultiRegressionD4RIN!$B$18)+(Monthly!$T279*MultiRegressionD4RIN!$B$19)</f>
        <v>214.11044762748401</v>
      </c>
      <c r="K279" s="26">
        <f>FORECAST($J279,K$107:K278,$J$107:$J278)</f>
        <v>213.03979219674838</v>
      </c>
      <c r="L279" s="27">
        <f t="shared" si="22"/>
        <v>206.11044762748401</v>
      </c>
      <c r="O279" s="22"/>
      <c r="P279" s="23">
        <f t="shared" si="23"/>
        <v>7.5181824868293141</v>
      </c>
      <c r="R279" s="24"/>
      <c r="S279" s="28">
        <f>'[7]Monthly Prices'!$D440</f>
        <v>98.923453774069927</v>
      </c>
      <c r="T279" s="29">
        <f>'[6]Used Cooking Oil Complex'!$AR206</f>
        <v>90.5</v>
      </c>
    </row>
    <row r="280" spans="1:23" x14ac:dyDescent="0.2">
      <c r="A280" s="17">
        <v>49857</v>
      </c>
      <c r="B280" s="18">
        <f t="shared" si="24"/>
        <v>7</v>
      </c>
      <c r="C280" s="18">
        <f t="shared" si="25"/>
        <v>3</v>
      </c>
      <c r="D280" s="11">
        <f t="shared" si="26"/>
        <v>2036</v>
      </c>
      <c r="J280" s="26">
        <f>MultiRegressionD4RIN!$B$17+(Monthly!$S280*MultiRegressionD4RIN!$B$18)+(Monthly!$T280*MultiRegressionD4RIN!$B$19)</f>
        <v>231.23650468374336</v>
      </c>
      <c r="K280" s="26">
        <f>FORECAST($J280,K$107:K279,$J$107:$J279)</f>
        <v>230.14252926594597</v>
      </c>
      <c r="L280" s="27">
        <f t="shared" si="22"/>
        <v>223.23650468374336</v>
      </c>
      <c r="O280" s="22"/>
      <c r="P280" s="23">
        <f t="shared" si="23"/>
        <v>8.0827281281627492</v>
      </c>
      <c r="R280" s="24"/>
      <c r="S280" s="28">
        <f>'[7]Monthly Prices'!$D441</f>
        <v>106.35168589687829</v>
      </c>
      <c r="T280" s="29">
        <f>'[6]Used Cooking Oil Complex'!$AR207</f>
        <v>96.5</v>
      </c>
    </row>
    <row r="281" spans="1:23" x14ac:dyDescent="0.2">
      <c r="A281" s="17">
        <v>49888</v>
      </c>
      <c r="B281" s="18">
        <f t="shared" si="24"/>
        <v>8</v>
      </c>
      <c r="C281" s="18">
        <f t="shared" si="25"/>
        <v>3</v>
      </c>
      <c r="D281" s="11">
        <f t="shared" si="26"/>
        <v>2036</v>
      </c>
      <c r="J281" s="26">
        <f>MultiRegressionD4RIN!$B$17+(Monthly!$S281*MultiRegressionD4RIN!$B$18)+(Monthly!$T281*MultiRegressionD4RIN!$B$19)</f>
        <v>95.835827676361291</v>
      </c>
      <c r="K281" s="26">
        <f>FORECAST($J281,K$107:K280,$J$107:$J280)</f>
        <v>94.926222894816448</v>
      </c>
      <c r="L281" s="27">
        <f t="shared" si="22"/>
        <v>87.835827676361291</v>
      </c>
      <c r="O281" s="22"/>
      <c r="P281" s="23">
        <f t="shared" si="23"/>
        <v>3.8675734075373311</v>
      </c>
      <c r="R281" s="24"/>
      <c r="S281" s="28">
        <f>'[7]Monthly Prices'!$D442</f>
        <v>50.889123783385941</v>
      </c>
      <c r="T281" s="29">
        <f>'[6]Used Cooking Oil Complex'!$AR208</f>
        <v>44.75</v>
      </c>
    </row>
    <row r="282" spans="1:23" x14ac:dyDescent="0.2">
      <c r="A282" s="17">
        <v>49919</v>
      </c>
      <c r="B282" s="18">
        <f t="shared" si="24"/>
        <v>9</v>
      </c>
      <c r="C282" s="18">
        <f t="shared" si="25"/>
        <v>3</v>
      </c>
      <c r="D282" s="11">
        <f t="shared" si="26"/>
        <v>2036</v>
      </c>
      <c r="J282" s="26">
        <f>MultiRegressionD4RIN!$B$17+(Monthly!$S282*MultiRegressionD4RIN!$B$18)+(Monthly!$T282*MultiRegressionD4RIN!$B$19)</f>
        <v>80.48040966970126</v>
      </c>
      <c r="K282" s="26">
        <f>FORECAST($J282,K$107:K281,$J$107:$J281)</f>
        <v>79.591713854421499</v>
      </c>
      <c r="L282" s="27">
        <f t="shared" si="22"/>
        <v>72.48040966970126</v>
      </c>
      <c r="O282" s="22"/>
      <c r="P282" s="23">
        <f t="shared" si="23"/>
        <v>3.3970928995263092</v>
      </c>
      <c r="R282" s="24"/>
      <c r="S282" s="28">
        <f>'[7]Monthly Prices'!$D443</f>
        <v>44.69859078324091</v>
      </c>
      <c r="T282" s="29">
        <f>'[6]Used Cooking Oil Complex'!$AR209</f>
        <v>38.75</v>
      </c>
    </row>
    <row r="283" spans="1:23" x14ac:dyDescent="0.2">
      <c r="A283" s="17">
        <v>49949</v>
      </c>
      <c r="B283" s="18">
        <f t="shared" si="24"/>
        <v>10</v>
      </c>
      <c r="C283" s="18">
        <f t="shared" si="25"/>
        <v>4</v>
      </c>
      <c r="D283" s="11">
        <f t="shared" si="26"/>
        <v>2036</v>
      </c>
      <c r="J283" s="26">
        <f>MultiRegressionD4RIN!$B$17+(Monthly!$S283*MultiRegressionD4RIN!$B$18)+(Monthly!$T283*MultiRegressionD4RIN!$B$19)</f>
        <v>94.707282541747617</v>
      </c>
      <c r="K283" s="26">
        <f>FORECAST($J283,K$107:K282,$J$107:$J282)</f>
        <v>93.799214462892209</v>
      </c>
      <c r="L283" s="27">
        <f t="shared" si="22"/>
        <v>86.707282541747617</v>
      </c>
      <c r="O283" s="22"/>
      <c r="P283" s="23">
        <f t="shared" si="23"/>
        <v>3.3040927191995224</v>
      </c>
      <c r="R283" s="24"/>
      <c r="S283" s="28">
        <f>'[7]Monthly Prices'!$D444</f>
        <v>43.474904199993716</v>
      </c>
      <c r="T283" s="29">
        <f>'[6]Used Cooking Oil Complex'!$AS198</f>
        <v>53.5</v>
      </c>
    </row>
    <row r="284" spans="1:23" x14ac:dyDescent="0.2">
      <c r="A284" s="17">
        <v>49980</v>
      </c>
      <c r="B284" s="18">
        <f t="shared" si="24"/>
        <v>11</v>
      </c>
      <c r="C284" s="18">
        <f t="shared" si="25"/>
        <v>4</v>
      </c>
      <c r="D284" s="11">
        <f t="shared" si="26"/>
        <v>2036</v>
      </c>
      <c r="J284" s="26">
        <f>MultiRegressionD4RIN!$B$17+(Monthly!$S284*MultiRegressionD4RIN!$B$18)+(Monthly!$T284*MultiRegressionD4RIN!$B$19)</f>
        <v>76.041039970940403</v>
      </c>
      <c r="K284" s="26">
        <f>FORECAST($J284,K$107:K283,$J$107:$J283)</f>
        <v>75.158389098965259</v>
      </c>
      <c r="L284" s="27">
        <f t="shared" si="22"/>
        <v>68.041039970940403</v>
      </c>
      <c r="O284" s="22"/>
      <c r="P284" s="23">
        <f t="shared" si="23"/>
        <v>2.6289518216789518</v>
      </c>
      <c r="R284" s="24"/>
      <c r="S284" s="28">
        <f>'[7]Monthly Prices'!$D445</f>
        <v>34.591471337880947</v>
      </c>
      <c r="T284" s="29">
        <f>'[6]Used Cooking Oil Complex'!$AS199</f>
        <v>48</v>
      </c>
    </row>
    <row r="285" spans="1:23" x14ac:dyDescent="0.2">
      <c r="A285" s="17">
        <v>50010</v>
      </c>
      <c r="B285" s="18">
        <f t="shared" si="24"/>
        <v>12</v>
      </c>
      <c r="C285" s="18">
        <f t="shared" si="25"/>
        <v>4</v>
      </c>
      <c r="D285" s="11">
        <f t="shared" si="26"/>
        <v>2036</v>
      </c>
      <c r="J285" s="26">
        <f>MultiRegressionD4RIN!$B$17+(Monthly!$S285*MultiRegressionD4RIN!$B$18)+(Monthly!$T285*MultiRegressionD4RIN!$B$19)</f>
        <v>113.68601148236856</v>
      </c>
      <c r="K285" s="26">
        <f>FORECAST($J285,K$107:K284,$J$107:$J284)</f>
        <v>112.75210069424918</v>
      </c>
      <c r="L285" s="27">
        <f t="shared" ref="L285:L348" si="27">J285-8</f>
        <v>105.68601148236856</v>
      </c>
      <c r="O285" s="22"/>
      <c r="P285" s="23">
        <f t="shared" si="23"/>
        <v>4.0389938808852737</v>
      </c>
      <c r="R285" s="24"/>
      <c r="S285" s="28">
        <f>'[7]Monthly Prices'!$D446</f>
        <v>53.144656327437815</v>
      </c>
      <c r="T285" s="29">
        <f>'[6]Used Cooking Oil Complex'!$AS200</f>
        <v>58.25</v>
      </c>
    </row>
    <row r="286" spans="1:23" x14ac:dyDescent="0.2">
      <c r="A286" s="17">
        <v>50041</v>
      </c>
      <c r="B286" s="18">
        <f t="shared" si="24"/>
        <v>1</v>
      </c>
      <c r="C286" s="18">
        <f t="shared" si="25"/>
        <v>1</v>
      </c>
      <c r="D286" s="11">
        <f t="shared" si="26"/>
        <v>2037</v>
      </c>
      <c r="J286" s="26">
        <f>MultiRegressionD4RIN!$B$17+(Monthly!$S286*MultiRegressionD4RIN!$B$18)+(Monthly!$T286*MultiRegressionD4RIN!$B$19)</f>
        <v>107.82672981176029</v>
      </c>
      <c r="K286" s="26">
        <f>FORECAST($J286,K$107:K285,$J$107:$J285)</f>
        <v>106.90079741424772</v>
      </c>
      <c r="L286" s="27">
        <f t="shared" si="27"/>
        <v>99.826729811760288</v>
      </c>
      <c r="O286" s="22"/>
      <c r="P286" s="23">
        <f t="shared" si="23"/>
        <v>3.742106240307594</v>
      </c>
      <c r="R286" s="24"/>
      <c r="S286" s="28">
        <f>'[7]Monthly Prices'!$D447</f>
        <v>49.238240004047292</v>
      </c>
      <c r="T286" s="29">
        <f>'[6]Used Cooking Oil Complex'!$AS201</f>
        <v>58</v>
      </c>
    </row>
    <row r="287" spans="1:23" x14ac:dyDescent="0.2">
      <c r="A287" s="17">
        <v>50072</v>
      </c>
      <c r="B287" s="18">
        <f t="shared" si="24"/>
        <v>2</v>
      </c>
      <c r="C287" s="18">
        <f t="shared" si="25"/>
        <v>1</v>
      </c>
      <c r="D287" s="11">
        <f t="shared" si="26"/>
        <v>2037</v>
      </c>
      <c r="J287" s="26">
        <f>MultiRegressionD4RIN!$B$17+(Monthly!$S287*MultiRegressionD4RIN!$B$18)+(Monthly!$T287*MultiRegressionD4RIN!$B$19)</f>
        <v>94.65717601420404</v>
      </c>
      <c r="K287" s="26">
        <f>FORECAST($J287,K$107:K286,$J$107:$J286)</f>
        <v>93.749176163754626</v>
      </c>
      <c r="L287" s="27">
        <f t="shared" si="27"/>
        <v>86.65717601420404</v>
      </c>
      <c r="O287" s="22"/>
      <c r="P287" s="23">
        <f t="shared" si="23"/>
        <v>3.1863389785974321</v>
      </c>
      <c r="R287" s="24"/>
      <c r="S287" s="28">
        <f>'[7]Monthly Prices'!$D448</f>
        <v>41.925512876282006</v>
      </c>
      <c r="T287" s="29">
        <f>'[6]Used Cooking Oil Complex'!$AS202</f>
        <v>55.5</v>
      </c>
    </row>
    <row r="288" spans="1:23" x14ac:dyDescent="0.2">
      <c r="A288" s="17">
        <v>50100</v>
      </c>
      <c r="B288" s="18">
        <f t="shared" si="24"/>
        <v>3</v>
      </c>
      <c r="C288" s="18">
        <f t="shared" si="25"/>
        <v>1</v>
      </c>
      <c r="D288" s="11">
        <f t="shared" si="26"/>
        <v>2037</v>
      </c>
      <c r="J288" s="26">
        <f>MultiRegressionD4RIN!$B$17+(Monthly!$S288*MultiRegressionD4RIN!$B$18)+(Monthly!$T288*MultiRegressionD4RIN!$B$19)</f>
        <v>123.88159942641032</v>
      </c>
      <c r="K288" s="26">
        <f>FORECAST($J288,K$107:K287,$J$107:$J287)</f>
        <v>122.93380564244657</v>
      </c>
      <c r="L288" s="27">
        <f t="shared" si="27"/>
        <v>115.88159942641032</v>
      </c>
      <c r="O288" s="22"/>
      <c r="P288" s="23">
        <f t="shared" si="23"/>
        <v>4.1634262139476528</v>
      </c>
      <c r="R288" s="24"/>
      <c r="S288" s="28">
        <f>'[7]Monthly Prices'!$D449</f>
        <v>54.781923867732274</v>
      </c>
      <c r="T288" s="29">
        <f>'[6]Used Cooking Oil Complex'!$AS203</f>
        <v>65.5</v>
      </c>
    </row>
    <row r="289" spans="1:20" x14ac:dyDescent="0.2">
      <c r="A289" s="17">
        <v>50131</v>
      </c>
      <c r="B289" s="18">
        <f t="shared" si="24"/>
        <v>4</v>
      </c>
      <c r="C289" s="18">
        <f t="shared" si="25"/>
        <v>2</v>
      </c>
      <c r="D289" s="11">
        <f t="shared" si="26"/>
        <v>2037</v>
      </c>
      <c r="J289" s="26">
        <f>MultiRegressionD4RIN!$B$17+(Monthly!$S289*MultiRegressionD4RIN!$B$18)+(Monthly!$T289*MultiRegressionD4RIN!$B$19)</f>
        <v>135.64236280080706</v>
      </c>
      <c r="K289" s="26">
        <f>FORECAST($J289,K$107:K288,$J$107:$J288)</f>
        <v>134.67855477323627</v>
      </c>
      <c r="L289" s="27">
        <f t="shared" si="27"/>
        <v>127.64236280080706</v>
      </c>
      <c r="O289" s="22"/>
      <c r="P289" s="23">
        <f t="shared" si="23"/>
        <v>4.6299650579389802</v>
      </c>
      <c r="R289" s="24"/>
      <c r="S289" s="28">
        <f>'[7]Monthly Prices'!$D450</f>
        <v>60.920592867618161</v>
      </c>
      <c r="T289" s="29">
        <f>'[6]Used Cooking Oil Complex'!$AS204</f>
        <v>68.25</v>
      </c>
    </row>
    <row r="290" spans="1:20" x14ac:dyDescent="0.2">
      <c r="A290" s="17">
        <v>50161</v>
      </c>
      <c r="B290" s="18">
        <f t="shared" si="24"/>
        <v>5</v>
      </c>
      <c r="C290" s="18">
        <f t="shared" si="25"/>
        <v>2</v>
      </c>
      <c r="D290" s="11">
        <f t="shared" si="26"/>
        <v>2037</v>
      </c>
      <c r="J290" s="26">
        <f>MultiRegressionD4RIN!$B$17+(Monthly!$S290*MultiRegressionD4RIN!$B$18)+(Monthly!$T290*MultiRegressionD4RIN!$B$19)</f>
        <v>138.25027244864845</v>
      </c>
      <c r="K290" s="26">
        <f>FORECAST($J290,K$107:K289,$J$107:$J289)</f>
        <v>137.28291331652125</v>
      </c>
      <c r="L290" s="27">
        <f t="shared" si="27"/>
        <v>130.25027244864845</v>
      </c>
      <c r="O290" s="22"/>
      <c r="P290" s="23">
        <f t="shared" si="23"/>
        <v>4.9123749519945132</v>
      </c>
      <c r="R290" s="24"/>
      <c r="S290" s="28">
        <f>'[7]Monthly Prices'!$D451</f>
        <v>64.636512526243592</v>
      </c>
      <c r="T290" s="29">
        <f>'[6]Used Cooking Oil Complex'!$AS205</f>
        <v>65.75</v>
      </c>
    </row>
    <row r="291" spans="1:20" x14ac:dyDescent="0.2">
      <c r="A291" s="17">
        <v>50192</v>
      </c>
      <c r="B291" s="18">
        <f t="shared" si="24"/>
        <v>6</v>
      </c>
      <c r="C291" s="18">
        <f t="shared" si="25"/>
        <v>2</v>
      </c>
      <c r="D291" s="11">
        <f t="shared" si="26"/>
        <v>2037</v>
      </c>
      <c r="J291" s="26">
        <f>MultiRegressionD4RIN!$B$17+(Monthly!$S291*MultiRegressionD4RIN!$B$18)+(Monthly!$T291*MultiRegressionD4RIN!$B$19)</f>
        <v>146.16085239519742</v>
      </c>
      <c r="K291" s="26">
        <f>FORECAST($J291,K$107:K290,$J$107:$J290)</f>
        <v>145.18272168725463</v>
      </c>
      <c r="L291" s="27">
        <f t="shared" si="27"/>
        <v>138.16085239519742</v>
      </c>
      <c r="O291" s="22"/>
      <c r="P291" s="23">
        <f t="shared" si="23"/>
        <v>5.1455999870037559</v>
      </c>
      <c r="R291" s="24"/>
      <c r="S291" s="28">
        <f>'[7]Monthly Prices'!$D452</f>
        <v>67.705262986891526</v>
      </c>
      <c r="T291" s="29">
        <f>'[6]Used Cooking Oil Complex'!$AS206</f>
        <v>69</v>
      </c>
    </row>
    <row r="292" spans="1:20" x14ac:dyDescent="0.2">
      <c r="A292" s="17">
        <v>50222</v>
      </c>
      <c r="B292" s="18">
        <f t="shared" si="24"/>
        <v>7</v>
      </c>
      <c r="C292" s="18">
        <f t="shared" si="25"/>
        <v>3</v>
      </c>
      <c r="D292" s="11">
        <f t="shared" si="26"/>
        <v>2037</v>
      </c>
      <c r="J292" s="26">
        <f>MultiRegressionD4RIN!$B$17+(Monthly!$S292*MultiRegressionD4RIN!$B$18)+(Monthly!$T292*MultiRegressionD4RIN!$B$19)</f>
        <v>157.15752215982735</v>
      </c>
      <c r="K292" s="26">
        <f>FORECAST($J292,K$107:K291,$J$107:$J291)</f>
        <v>156.16441764934544</v>
      </c>
      <c r="L292" s="27">
        <f t="shared" si="27"/>
        <v>149.15752215982735</v>
      </c>
      <c r="O292" s="22"/>
      <c r="P292" s="23">
        <f t="shared" si="23"/>
        <v>5.5571599073885798</v>
      </c>
      <c r="R292" s="24"/>
      <c r="S292" s="28">
        <f>'[7]Monthly Prices'!$D453</f>
        <v>73.120525097218149</v>
      </c>
      <c r="T292" s="29">
        <f>'[6]Used Cooking Oil Complex'!$AS207</f>
        <v>72</v>
      </c>
    </row>
    <row r="293" spans="1:20" x14ac:dyDescent="0.2">
      <c r="A293" s="17">
        <v>50253</v>
      </c>
      <c r="B293" s="18">
        <f t="shared" si="24"/>
        <v>8</v>
      </c>
      <c r="C293" s="18">
        <f t="shared" si="25"/>
        <v>3</v>
      </c>
      <c r="D293" s="11">
        <f t="shared" si="26"/>
        <v>2037</v>
      </c>
      <c r="J293" s="26">
        <f>MultiRegressionD4RIN!$B$17+(Monthly!$S293*MultiRegressionD4RIN!$B$18)+(Monthly!$T293*MultiRegressionD4RIN!$B$19)</f>
        <v>77.142954524293899</v>
      </c>
      <c r="K293" s="26">
        <f>FORECAST($J293,K$107:K292,$J$107:$J292)</f>
        <v>76.258803211613497</v>
      </c>
      <c r="L293" s="27">
        <f t="shared" si="27"/>
        <v>69.142954524293899</v>
      </c>
      <c r="O293" s="22"/>
      <c r="P293" s="23">
        <f t="shared" si="23"/>
        <v>3.147858323933026</v>
      </c>
      <c r="R293" s="24"/>
      <c r="S293" s="28">
        <f>'[7]Monthly Prices'!$D454</f>
        <v>41.419188472802979</v>
      </c>
      <c r="T293" s="29">
        <f>'[6]Used Cooking Oil Complex'!$AS208</f>
        <v>40</v>
      </c>
    </row>
    <row r="294" spans="1:20" x14ac:dyDescent="0.2">
      <c r="A294" s="17">
        <v>50284</v>
      </c>
      <c r="B294" s="18">
        <f t="shared" si="24"/>
        <v>9</v>
      </c>
      <c r="C294" s="18">
        <f t="shared" si="25"/>
        <v>3</v>
      </c>
      <c r="D294" s="11">
        <f t="shared" si="26"/>
        <v>2037</v>
      </c>
      <c r="J294" s="26">
        <f>MultiRegressionD4RIN!$B$17+(Monthly!$S294*MultiRegressionD4RIN!$B$18)+(Monthly!$T294*MultiRegressionD4RIN!$B$19)</f>
        <v>78.967976744934845</v>
      </c>
      <c r="K294" s="26">
        <f>FORECAST($J294,K$107:K293,$J$107:$J293)</f>
        <v>78.081340359687388</v>
      </c>
      <c r="L294" s="27">
        <f t="shared" si="27"/>
        <v>70.967976744934845</v>
      </c>
      <c r="O294" s="22"/>
      <c r="P294" s="23">
        <f t="shared" si="23"/>
        <v>3.2879719986339064</v>
      </c>
      <c r="R294" s="24"/>
      <c r="S294" s="28">
        <f>'[7]Monthly Prices'!$D455</f>
        <v>43.262789455709296</v>
      </c>
      <c r="T294" s="29">
        <f>'[6]Used Cooking Oil Complex'!$AS209</f>
        <v>39.25</v>
      </c>
    </row>
    <row r="295" spans="1:20" x14ac:dyDescent="0.2">
      <c r="A295" s="17">
        <v>50314</v>
      </c>
      <c r="B295" s="18">
        <f t="shared" si="24"/>
        <v>10</v>
      </c>
      <c r="C295" s="18">
        <f t="shared" si="25"/>
        <v>4</v>
      </c>
      <c r="D295" s="11">
        <f t="shared" si="26"/>
        <v>2037</v>
      </c>
      <c r="J295" s="26">
        <f>MultiRegressionD4RIN!$B$17+(Monthly!$S295*MultiRegressionD4RIN!$B$18)+(Monthly!$T295*MultiRegressionD4RIN!$B$19)</f>
        <v>87.577877813661047</v>
      </c>
      <c r="K295" s="26">
        <f>FORECAST($J295,K$107:K294,$J$107:$J294)</f>
        <v>86.679517610090087</v>
      </c>
      <c r="L295" s="27">
        <f t="shared" si="27"/>
        <v>79.577877813661047</v>
      </c>
      <c r="O295" s="22"/>
      <c r="P295" s="23">
        <f t="shared" si="23"/>
        <v>3.2130729425197249</v>
      </c>
      <c r="R295" s="24"/>
      <c r="S295" s="28">
        <f>'[7]Monthly Prices'!$D456</f>
        <v>42.27727555947007</v>
      </c>
      <c r="T295" s="29">
        <f>'[6]Used Cooking Oil Complex'!$AT198</f>
        <v>48.5</v>
      </c>
    </row>
    <row r="296" spans="1:20" x14ac:dyDescent="0.2">
      <c r="A296" s="17">
        <v>50345</v>
      </c>
      <c r="B296" s="18">
        <f t="shared" si="24"/>
        <v>11</v>
      </c>
      <c r="C296" s="18">
        <f t="shared" si="25"/>
        <v>4</v>
      </c>
      <c r="D296" s="11">
        <f t="shared" si="26"/>
        <v>2037</v>
      </c>
      <c r="J296" s="26">
        <f>MultiRegressionD4RIN!$B$17+(Monthly!$S296*MultiRegressionD4RIN!$B$18)+(Monthly!$T296*MultiRegressionD4RIN!$B$19)</f>
        <v>68.400341056234595</v>
      </c>
      <c r="K296" s="26">
        <f>FORECAST($J296,K$107:K295,$J$107:$J295)</f>
        <v>67.528094271974908</v>
      </c>
      <c r="L296" s="27">
        <f t="shared" si="27"/>
        <v>60.400341056234595</v>
      </c>
      <c r="O296" s="22"/>
      <c r="P296" s="23">
        <f t="shared" si="23"/>
        <v>2.7121802685463523</v>
      </c>
      <c r="R296" s="24"/>
      <c r="S296" s="28">
        <f>'[7]Monthly Prices'!$D457</f>
        <v>35.686582480873057</v>
      </c>
      <c r="T296" s="29">
        <f>'[6]Used Cooking Oil Complex'!$AT199</f>
        <v>39.5</v>
      </c>
    </row>
    <row r="297" spans="1:20" x14ac:dyDescent="0.2">
      <c r="A297" s="17">
        <v>50375</v>
      </c>
      <c r="B297" s="18">
        <f t="shared" si="24"/>
        <v>12</v>
      </c>
      <c r="C297" s="18">
        <f t="shared" si="25"/>
        <v>4</v>
      </c>
      <c r="D297" s="11">
        <f t="shared" si="26"/>
        <v>2037</v>
      </c>
      <c r="J297" s="26">
        <f>MultiRegressionD4RIN!$B$17+(Monthly!$S297*MultiRegressionD4RIN!$B$18)+(Monthly!$T297*MultiRegressionD4RIN!$B$19)</f>
        <v>119.14929747815131</v>
      </c>
      <c r="K297" s="26">
        <f>FORECAST($J297,K$107:K296,$J$107:$J296)</f>
        <v>118.20794751367521</v>
      </c>
      <c r="L297" s="27">
        <f t="shared" si="27"/>
        <v>111.14929747815131</v>
      </c>
      <c r="O297" s="22"/>
      <c r="P297" s="23">
        <f t="shared" si="23"/>
        <v>4.5162549741392644</v>
      </c>
      <c r="R297" s="24"/>
      <c r="S297" s="28">
        <f>'[7]Monthly Prices'!$D458</f>
        <v>59.424407554464011</v>
      </c>
      <c r="T297" s="29">
        <f>'[6]Used Cooking Oil Complex'!$AT200</f>
        <v>55</v>
      </c>
    </row>
    <row r="298" spans="1:20" x14ac:dyDescent="0.2">
      <c r="A298" s="17">
        <v>50406</v>
      </c>
      <c r="B298" s="18">
        <f t="shared" si="24"/>
        <v>1</v>
      </c>
      <c r="C298" s="18">
        <f t="shared" si="25"/>
        <v>1</v>
      </c>
      <c r="D298" s="11">
        <f t="shared" si="26"/>
        <v>2038</v>
      </c>
      <c r="J298" s="26">
        <f>MultiRegressionD4RIN!$B$17+(Monthly!$S298*MultiRegressionD4RIN!$B$18)+(Monthly!$T298*MultiRegressionD4RIN!$B$19)</f>
        <v>115.3499761848791</v>
      </c>
      <c r="K298" s="26">
        <f>FORECAST($J298,K$107:K297,$J$107:$J297)</f>
        <v>114.41379963090324</v>
      </c>
      <c r="L298" s="27">
        <f t="shared" si="27"/>
        <v>107.3499761848791</v>
      </c>
      <c r="O298" s="22"/>
      <c r="P298" s="23">
        <f t="shared" si="23"/>
        <v>4.2856432141552521</v>
      </c>
      <c r="R298" s="24"/>
      <c r="S298" s="28">
        <f>'[7]Monthly Prices'!$D459</f>
        <v>56.390042291516473</v>
      </c>
      <c r="T298" s="29">
        <f>'[6]Used Cooking Oil Complex'!$AT201</f>
        <v>55.5</v>
      </c>
    </row>
    <row r="299" spans="1:20" x14ac:dyDescent="0.2">
      <c r="A299" s="17">
        <v>50437</v>
      </c>
      <c r="B299" s="18">
        <f t="shared" si="24"/>
        <v>2</v>
      </c>
      <c r="C299" s="18">
        <f t="shared" si="25"/>
        <v>1</v>
      </c>
      <c r="D299" s="11">
        <f t="shared" si="26"/>
        <v>2038</v>
      </c>
      <c r="J299" s="26">
        <f>MultiRegressionD4RIN!$B$17+(Monthly!$S299*MultiRegressionD4RIN!$B$18)+(Monthly!$T299*MultiRegressionD4RIN!$B$19)</f>
        <v>104.27025851207128</v>
      </c>
      <c r="K299" s="26">
        <f>FORECAST($J299,K$107:K298,$J$107:$J298)</f>
        <v>103.34916884423204</v>
      </c>
      <c r="L299" s="27">
        <f t="shared" si="27"/>
        <v>96.27025851207128</v>
      </c>
      <c r="O299" s="22"/>
      <c r="P299" s="23">
        <f t="shared" si="23"/>
        <v>3.7401930644035901</v>
      </c>
      <c r="R299" s="24"/>
      <c r="S299" s="28">
        <f>'[7]Monthly Prices'!$D460</f>
        <v>49.213066636889344</v>
      </c>
      <c r="T299" s="29">
        <f>'[6]Used Cooking Oil Complex'!$AT202</f>
        <v>54.75</v>
      </c>
    </row>
    <row r="300" spans="1:20" x14ac:dyDescent="0.2">
      <c r="A300" s="17">
        <v>50465</v>
      </c>
      <c r="B300" s="18">
        <f t="shared" si="24"/>
        <v>3</v>
      </c>
      <c r="C300" s="18">
        <f t="shared" si="25"/>
        <v>1</v>
      </c>
      <c r="D300" s="11">
        <f t="shared" si="26"/>
        <v>2038</v>
      </c>
      <c r="J300" s="26">
        <f>MultiRegressionD4RIN!$B$17+(Monthly!$S300*MultiRegressionD4RIN!$B$18)+(Monthly!$T300*MultiRegressionD4RIN!$B$19)</f>
        <v>135.10508536602373</v>
      </c>
      <c r="K300" s="26">
        <f>FORECAST($J300,K$107:K299,$J$107:$J299)</f>
        <v>134.14200893141603</v>
      </c>
      <c r="L300" s="27">
        <f t="shared" si="27"/>
        <v>127.10508536602373</v>
      </c>
      <c r="O300" s="22"/>
      <c r="P300" s="23">
        <f t="shared" si="23"/>
        <v>4.7452870057990557</v>
      </c>
      <c r="R300" s="24"/>
      <c r="S300" s="28">
        <f>'[7]Monthly Prices'!$D461</f>
        <v>62.437986918408633</v>
      </c>
      <c r="T300" s="29">
        <f>'[6]Used Cooking Oil Complex'!$AT203</f>
        <v>65.75</v>
      </c>
    </row>
    <row r="301" spans="1:20" x14ac:dyDescent="0.2">
      <c r="A301" s="17">
        <v>50496</v>
      </c>
      <c r="B301" s="18">
        <f t="shared" si="24"/>
        <v>4</v>
      </c>
      <c r="C301" s="18">
        <f t="shared" si="25"/>
        <v>2</v>
      </c>
      <c r="D301" s="11">
        <f t="shared" si="26"/>
        <v>2038</v>
      </c>
      <c r="J301" s="26">
        <f>MultiRegressionD4RIN!$B$17+(Monthly!$S301*MultiRegressionD4RIN!$B$18)+(Monthly!$T301*MultiRegressionD4RIN!$B$19)</f>
        <v>148.71440796562433</v>
      </c>
      <c r="K301" s="26">
        <f>FORECAST($J301,K$107:K300,$J$107:$J300)</f>
        <v>147.73280016527968</v>
      </c>
      <c r="L301" s="27">
        <f t="shared" si="27"/>
        <v>140.71440796562433</v>
      </c>
      <c r="O301" s="22"/>
      <c r="P301" s="23">
        <f t="shared" si="23"/>
        <v>5.2524845729294087</v>
      </c>
      <c r="R301" s="24"/>
      <c r="S301" s="28">
        <f>'[7]Monthly Prices'!$D462</f>
        <v>69.111639117492231</v>
      </c>
      <c r="T301" s="29">
        <f>'[6]Used Cooking Oil Complex'!$AT204</f>
        <v>69.5</v>
      </c>
    </row>
    <row r="302" spans="1:20" x14ac:dyDescent="0.2">
      <c r="A302" s="17">
        <v>50526</v>
      </c>
      <c r="B302" s="18">
        <f t="shared" si="24"/>
        <v>5</v>
      </c>
      <c r="C302" s="18">
        <f t="shared" si="25"/>
        <v>2</v>
      </c>
      <c r="D302" s="11">
        <f t="shared" si="26"/>
        <v>2038</v>
      </c>
      <c r="J302" s="26">
        <f>MultiRegressionD4RIN!$B$17+(Monthly!$S302*MultiRegressionD4RIN!$B$18)+(Monthly!$T302*MultiRegressionD4RIN!$B$19)</f>
        <v>153.83187216339263</v>
      </c>
      <c r="K302" s="26">
        <f>FORECAST($J302,K$107:K301,$J$107:$J301)</f>
        <v>152.84329608082811</v>
      </c>
      <c r="L302" s="27">
        <f t="shared" si="27"/>
        <v>145.83187216339263</v>
      </c>
      <c r="O302" s="22"/>
      <c r="P302" s="23">
        <f t="shared" si="23"/>
        <v>5.6106685420414761</v>
      </c>
      <c r="R302" s="24"/>
      <c r="S302" s="28">
        <f>'[7]Monthly Prices'!$D463</f>
        <v>73.824586079493116</v>
      </c>
      <c r="T302" s="29">
        <f>'[6]Used Cooking Oil Complex'!$AT205</f>
        <v>68</v>
      </c>
    </row>
    <row r="303" spans="1:20" x14ac:dyDescent="0.2">
      <c r="A303" s="17">
        <v>50557</v>
      </c>
      <c r="B303" s="18">
        <f t="shared" si="24"/>
        <v>6</v>
      </c>
      <c r="C303" s="18">
        <f t="shared" si="25"/>
        <v>2</v>
      </c>
      <c r="D303" s="11">
        <f t="shared" si="26"/>
        <v>2038</v>
      </c>
      <c r="J303" s="26">
        <f>MultiRegressionD4RIN!$B$17+(Monthly!$S303*MultiRegressionD4RIN!$B$18)+(Monthly!$T303*MultiRegressionD4RIN!$B$19)</f>
        <v>165.24423336823233</v>
      </c>
      <c r="K303" s="26">
        <f>FORECAST($J303,K$107:K302,$J$107:$J302)</f>
        <v>164.24011744980447</v>
      </c>
      <c r="L303" s="27">
        <f t="shared" si="27"/>
        <v>157.24423336823233</v>
      </c>
      <c r="O303" s="22"/>
      <c r="P303" s="23">
        <f t="shared" si="23"/>
        <v>5.9436067005992186</v>
      </c>
      <c r="R303" s="24"/>
      <c r="S303" s="28">
        <f>'[7]Monthly Prices'!$D464</f>
        <v>78.205351323673938</v>
      </c>
      <c r="T303" s="29">
        <f>'[6]Used Cooking Oil Complex'!$AT206</f>
        <v>72.75</v>
      </c>
    </row>
    <row r="304" spans="1:20" x14ac:dyDescent="0.2">
      <c r="A304" s="17">
        <v>50587</v>
      </c>
      <c r="B304" s="18">
        <f t="shared" si="24"/>
        <v>7</v>
      </c>
      <c r="C304" s="18">
        <f t="shared" si="25"/>
        <v>3</v>
      </c>
      <c r="D304" s="11">
        <f t="shared" si="26"/>
        <v>2038</v>
      </c>
      <c r="J304" s="26">
        <f>MultiRegressionD4RIN!$B$17+(Monthly!$S304*MultiRegressionD4RIN!$B$18)+(Monthly!$T304*MultiRegressionD4RIN!$B$19)</f>
        <v>180.46978167871157</v>
      </c>
      <c r="K304" s="26">
        <f>FORECAST($J304,K$107:K303,$J$107:$J303)</f>
        <v>179.44493363330071</v>
      </c>
      <c r="L304" s="27">
        <f t="shared" si="27"/>
        <v>172.46978167871157</v>
      </c>
      <c r="O304" s="22"/>
      <c r="P304" s="23">
        <f t="shared" si="23"/>
        <v>6.4791202816048381</v>
      </c>
      <c r="R304" s="24"/>
      <c r="S304" s="28">
        <f>'[7]Monthly Prices'!$D465</f>
        <v>85.251582652695248</v>
      </c>
      <c r="T304" s="29">
        <f>'[6]Used Cooking Oil Complex'!$AT207</f>
        <v>77.5</v>
      </c>
    </row>
    <row r="305" spans="1:20" x14ac:dyDescent="0.2">
      <c r="A305" s="17">
        <v>50618</v>
      </c>
      <c r="B305" s="18">
        <f t="shared" si="24"/>
        <v>8</v>
      </c>
      <c r="C305" s="18">
        <f t="shared" si="25"/>
        <v>3</v>
      </c>
      <c r="D305" s="11">
        <f t="shared" si="26"/>
        <v>2038</v>
      </c>
      <c r="J305" s="26">
        <f>MultiRegressionD4RIN!$B$17+(Monthly!$S305*MultiRegressionD4RIN!$B$18)+(Monthly!$T305*MultiRegressionD4RIN!$B$19)</f>
        <v>79.048358425206146</v>
      </c>
      <c r="K305" s="26">
        <f>FORECAST($J305,K$107:K304,$J$107:$J304)</f>
        <v>78.161612586875691</v>
      </c>
      <c r="L305" s="27">
        <f t="shared" si="27"/>
        <v>71.048358425206146</v>
      </c>
      <c r="O305" s="22"/>
      <c r="P305" s="23">
        <f t="shared" si="23"/>
        <v>3.378561147293115</v>
      </c>
      <c r="R305" s="24"/>
      <c r="S305" s="28">
        <f>'[7]Monthly Prices'!$D466</f>
        <v>44.454751938067304</v>
      </c>
      <c r="T305" s="29">
        <f>'[6]Used Cooking Oil Complex'!$AT208</f>
        <v>37.75</v>
      </c>
    </row>
    <row r="306" spans="1:20" x14ac:dyDescent="0.2">
      <c r="A306" s="17">
        <v>50649</v>
      </c>
      <c r="B306" s="18">
        <f t="shared" si="24"/>
        <v>9</v>
      </c>
      <c r="C306" s="18">
        <f t="shared" si="25"/>
        <v>3</v>
      </c>
      <c r="D306" s="11">
        <f t="shared" si="26"/>
        <v>2038</v>
      </c>
      <c r="J306" s="26">
        <f>MultiRegressionD4RIN!$B$17+(Monthly!$S306*MultiRegressionD4RIN!$B$18)+(Monthly!$T306*MultiRegressionD4RIN!$B$19)</f>
        <v>71.054936051790833</v>
      </c>
      <c r="K306" s="26">
        <f>FORECAST($J306,K$107:K305,$J$107:$J305)</f>
        <v>70.179074593076493</v>
      </c>
      <c r="L306" s="27">
        <f t="shared" si="27"/>
        <v>63.054936051790833</v>
      </c>
      <c r="O306" s="22"/>
      <c r="P306" s="23">
        <f t="shared" si="23"/>
        <v>3.2128675072028892</v>
      </c>
      <c r="R306" s="24"/>
      <c r="S306" s="28">
        <f>'[7]Monthly Prices'!$D467</f>
        <v>42.274572463195916</v>
      </c>
      <c r="T306" s="29">
        <f>'[6]Used Cooking Oil Complex'!$AT209</f>
        <v>33.25</v>
      </c>
    </row>
    <row r="307" spans="1:20" x14ac:dyDescent="0.2">
      <c r="A307" s="17">
        <v>50679</v>
      </c>
      <c r="B307" s="18">
        <f t="shared" si="24"/>
        <v>10</v>
      </c>
      <c r="C307" s="18">
        <f t="shared" si="25"/>
        <v>4</v>
      </c>
      <c r="D307" s="11">
        <f t="shared" si="26"/>
        <v>2038</v>
      </c>
      <c r="J307" s="26">
        <f>MultiRegressionD4RIN!$B$17+(Monthly!$S307*MultiRegressionD4RIN!$B$18)+(Monthly!$T307*MultiRegressionD4RIN!$B$19)</f>
        <v>72.24642340299863</v>
      </c>
      <c r="K307" s="26">
        <f>FORECAST($J307,K$107:K306,$J$107:$J306)</f>
        <v>71.36893953525437</v>
      </c>
      <c r="L307" s="27">
        <f t="shared" si="27"/>
        <v>64.24642340299863</v>
      </c>
      <c r="O307" s="22"/>
      <c r="P307" s="23">
        <f t="shared" si="23"/>
        <v>2.8301843745498139</v>
      </c>
      <c r="R307" s="24"/>
      <c r="S307" s="28">
        <f>'[7]Monthly Prices'!$D468</f>
        <v>37.23926808618176</v>
      </c>
      <c r="T307" s="29">
        <f>'[6]Used Cooking Oil Complex'!$AU198</f>
        <v>41</v>
      </c>
    </row>
    <row r="308" spans="1:20" x14ac:dyDescent="0.2">
      <c r="A308" s="17">
        <v>50710</v>
      </c>
      <c r="B308" s="18">
        <f t="shared" si="24"/>
        <v>11</v>
      </c>
      <c r="C308" s="18">
        <f t="shared" si="25"/>
        <v>4</v>
      </c>
      <c r="D308" s="11">
        <f t="shared" si="26"/>
        <v>2038</v>
      </c>
      <c r="J308" s="26">
        <f>MultiRegressionD4RIN!$B$17+(Monthly!$S308*MultiRegressionD4RIN!$B$18)+(Monthly!$T308*MultiRegressionD4RIN!$B$19)</f>
        <v>38.54913118313474</v>
      </c>
      <c r="K308" s="26">
        <f>FORECAST($J308,K$107:K307,$J$107:$J307)</f>
        <v>37.717531806841208</v>
      </c>
      <c r="L308" s="27">
        <f t="shared" si="27"/>
        <v>30.54913118313474</v>
      </c>
      <c r="O308" s="22"/>
      <c r="P308" s="23">
        <f t="shared" si="23"/>
        <v>1.8312733382400825</v>
      </c>
      <c r="R308" s="24"/>
      <c r="S308" s="28">
        <f>'[7]Monthly Prices'!$D469</f>
        <v>24.095701818948456</v>
      </c>
      <c r="T308" s="29">
        <f>'[6]Used Cooking Oil Complex'!$AU199</f>
        <v>27.25</v>
      </c>
    </row>
    <row r="309" spans="1:20" x14ac:dyDescent="0.2">
      <c r="A309" s="17">
        <v>50740</v>
      </c>
      <c r="B309" s="18">
        <f t="shared" si="24"/>
        <v>12</v>
      </c>
      <c r="C309" s="18">
        <f t="shared" si="25"/>
        <v>4</v>
      </c>
      <c r="D309" s="11">
        <f t="shared" si="26"/>
        <v>2038</v>
      </c>
      <c r="J309" s="26">
        <f>MultiRegressionD4RIN!$B$17+(Monthly!$S309*MultiRegressionD4RIN!$B$18)+(Monthly!$T309*MultiRegressionD4RIN!$B$19)</f>
        <v>70.33110327554806</v>
      </c>
      <c r="K309" s="26">
        <f>FORECAST($J309,K$107:K308,$J$107:$J308)</f>
        <v>69.456227436052501</v>
      </c>
      <c r="L309" s="27">
        <f t="shared" si="27"/>
        <v>62.33110327554806</v>
      </c>
      <c r="O309" s="22"/>
      <c r="P309" s="23">
        <f t="shared" si="23"/>
        <v>3.0161626473731906</v>
      </c>
      <c r="R309" s="24"/>
      <c r="S309" s="28">
        <f>'[7]Monthly Prices'!$D470</f>
        <v>39.686350623331457</v>
      </c>
      <c r="T309" s="29">
        <f>'[6]Used Cooking Oil Complex'!$AU200</f>
        <v>36</v>
      </c>
    </row>
    <row r="310" spans="1:20" x14ac:dyDescent="0.2">
      <c r="A310" s="17">
        <v>50771</v>
      </c>
      <c r="B310" s="18">
        <f t="shared" si="24"/>
        <v>1</v>
      </c>
      <c r="C310" s="18">
        <f t="shared" si="25"/>
        <v>1</v>
      </c>
      <c r="D310" s="11">
        <f t="shared" si="26"/>
        <v>2039</v>
      </c>
      <c r="J310" s="26">
        <f>MultiRegressionD4RIN!$B$17+(Monthly!$S310*MultiRegressionD4RIN!$B$18)+(Monthly!$T310*MultiRegressionD4RIN!$B$19)</f>
        <v>61.42949354165863</v>
      </c>
      <c r="K310" s="26">
        <f>FORECAST($J310,K$107:K309,$J$107:$J309)</f>
        <v>60.566738730555123</v>
      </c>
      <c r="L310" s="27">
        <f t="shared" si="27"/>
        <v>53.42949354165863</v>
      </c>
      <c r="O310" s="22"/>
      <c r="P310" s="23">
        <f t="shared" si="23"/>
        <v>2.6008108796075051</v>
      </c>
      <c r="R310" s="24"/>
      <c r="S310" s="28">
        <f>'[7]Monthly Prices'!$D471</f>
        <v>34.22119578430928</v>
      </c>
      <c r="T310" s="29">
        <f>'[6]Used Cooking Oil Complex'!$AU201</f>
        <v>35</v>
      </c>
    </row>
    <row r="311" spans="1:20" x14ac:dyDescent="0.2">
      <c r="A311" s="17">
        <v>50802</v>
      </c>
      <c r="B311" s="18">
        <f t="shared" si="24"/>
        <v>2</v>
      </c>
      <c r="C311" s="18">
        <f t="shared" si="25"/>
        <v>1</v>
      </c>
      <c r="D311" s="11">
        <f t="shared" si="26"/>
        <v>2039</v>
      </c>
      <c r="J311" s="26">
        <f>MultiRegressionD4RIN!$B$17+(Monthly!$S311*MultiRegressionD4RIN!$B$18)+(Monthly!$T311*MultiRegressionD4RIN!$B$19)</f>
        <v>72.09097598729295</v>
      </c>
      <c r="K311" s="26">
        <f>FORECAST($J311,K$107:K310,$J$107:$J310)</f>
        <v>71.213703787167887</v>
      </c>
      <c r="L311" s="27">
        <f t="shared" si="27"/>
        <v>64.09097598729295</v>
      </c>
      <c r="O311" s="22"/>
      <c r="P311" s="23">
        <f t="shared" si="23"/>
        <v>2.7068344032018179</v>
      </c>
      <c r="R311" s="24"/>
      <c r="S311" s="28">
        <f>'[7]Monthly Prices'!$D472</f>
        <v>35.616242147392342</v>
      </c>
      <c r="T311" s="29">
        <f>'[6]Used Cooking Oil Complex'!$AU202</f>
        <v>43</v>
      </c>
    </row>
    <row r="312" spans="1:20" x14ac:dyDescent="0.2">
      <c r="A312" s="17">
        <v>50830</v>
      </c>
      <c r="B312" s="18">
        <f t="shared" si="24"/>
        <v>3</v>
      </c>
      <c r="C312" s="18">
        <f t="shared" si="25"/>
        <v>1</v>
      </c>
      <c r="D312" s="11">
        <f t="shared" si="26"/>
        <v>2039</v>
      </c>
      <c r="J312" s="26">
        <f>MultiRegressionD4RIN!$B$17+(Monthly!$S312*MultiRegressionD4RIN!$B$18)+(Monthly!$T312*MultiRegressionD4RIN!$B$19)</f>
        <v>115.75119548210921</v>
      </c>
      <c r="K312" s="26">
        <f>FORECAST($J312,K$107:K311,$J$107:$J311)</f>
        <v>114.81447260104886</v>
      </c>
      <c r="L312" s="27">
        <f t="shared" si="27"/>
        <v>107.75119548210921</v>
      </c>
      <c r="O312" s="22"/>
      <c r="P312" s="23">
        <f t="shared" si="23"/>
        <v>4.0911607870740037</v>
      </c>
      <c r="R312" s="24"/>
      <c r="S312" s="28">
        <f>'[7]Monthly Prices'!$D473</f>
        <v>53.831062987815841</v>
      </c>
      <c r="T312" s="29">
        <f>'[6]Used Cooking Oil Complex'!$AU203</f>
        <v>59.25</v>
      </c>
    </row>
    <row r="313" spans="1:20" x14ac:dyDescent="0.2">
      <c r="A313" s="17">
        <v>50861</v>
      </c>
      <c r="B313" s="18">
        <f t="shared" si="24"/>
        <v>4</v>
      </c>
      <c r="C313" s="18">
        <f t="shared" si="25"/>
        <v>2</v>
      </c>
      <c r="D313" s="11">
        <f t="shared" si="26"/>
        <v>2039</v>
      </c>
      <c r="J313" s="26">
        <f>MultiRegressionD4RIN!$B$17+(Monthly!$S313*MultiRegressionD4RIN!$B$18)+(Monthly!$T313*MultiRegressionD4RIN!$B$19)</f>
        <v>145.92902515127383</v>
      </c>
      <c r="K313" s="26">
        <f>FORECAST($J313,K$107:K312,$J$107:$J312)</f>
        <v>144.95121011484321</v>
      </c>
      <c r="L313" s="27">
        <f t="shared" si="27"/>
        <v>137.92902515127383</v>
      </c>
      <c r="O313" s="22"/>
      <c r="P313" s="23">
        <f t="shared" si="23"/>
        <v>5.0901247358864001</v>
      </c>
      <c r="R313" s="24"/>
      <c r="S313" s="28">
        <f>'[7]Monthly Prices'!$D474</f>
        <v>66.975325472189482</v>
      </c>
      <c r="T313" s="29">
        <f>'[6]Used Cooking Oil Complex'!$AU204</f>
        <v>69.75</v>
      </c>
    </row>
    <row r="314" spans="1:20" x14ac:dyDescent="0.2">
      <c r="A314" s="17">
        <v>50891</v>
      </c>
      <c r="B314" s="18">
        <f t="shared" si="24"/>
        <v>5</v>
      </c>
      <c r="C314" s="18">
        <f t="shared" si="25"/>
        <v>2</v>
      </c>
      <c r="D314" s="11">
        <f t="shared" si="26"/>
        <v>2039</v>
      </c>
      <c r="J314" s="26">
        <f>MultiRegressionD4RIN!$B$17+(Monthly!$S314*MultiRegressionD4RIN!$B$18)+(Monthly!$T314*MultiRegressionD4RIN!$B$19)</f>
        <v>169.14413929993282</v>
      </c>
      <c r="K314" s="26">
        <f>FORECAST($J314,K$107:K313,$J$107:$J313)</f>
        <v>168.13471300821996</v>
      </c>
      <c r="L314" s="27">
        <f t="shared" si="27"/>
        <v>161.14413929993282</v>
      </c>
      <c r="O314" s="22"/>
      <c r="P314" s="23">
        <f t="shared" si="23"/>
        <v>6.0069242659407953</v>
      </c>
      <c r="R314" s="24"/>
      <c r="S314" s="28">
        <f>'[7]Monthly Prices'!$D475</f>
        <v>79.038477183431525</v>
      </c>
      <c r="T314" s="29">
        <f>'[6]Used Cooking Oil Complex'!$AU205</f>
        <v>75.25</v>
      </c>
    </row>
    <row r="315" spans="1:20" x14ac:dyDescent="0.2">
      <c r="A315" s="17">
        <v>50922</v>
      </c>
      <c r="B315" s="18">
        <f t="shared" si="24"/>
        <v>6</v>
      </c>
      <c r="C315" s="18">
        <f t="shared" si="25"/>
        <v>2</v>
      </c>
      <c r="D315" s="11">
        <f t="shared" si="26"/>
        <v>2039</v>
      </c>
      <c r="J315" s="26">
        <f>MultiRegressionD4RIN!$B$17+(Monthly!$S315*MultiRegressionD4RIN!$B$18)+(Monthly!$T315*MultiRegressionD4RIN!$B$19)</f>
        <v>174.05228542632193</v>
      </c>
      <c r="K315" s="26">
        <f>FORECAST($J315,K$107:K314,$J$107:$J314)</f>
        <v>173.0361758739036</v>
      </c>
      <c r="L315" s="27">
        <f t="shared" si="27"/>
        <v>166.05228542632193</v>
      </c>
      <c r="O315" s="22"/>
      <c r="P315" s="23">
        <f t="shared" ref="P315:P378" si="28">S315*7.6/100</f>
        <v>6.0950315956367431</v>
      </c>
      <c r="R315" s="24"/>
      <c r="S315" s="28">
        <f>'[7]Monthly Prices'!$D476</f>
        <v>80.197784153115052</v>
      </c>
      <c r="T315" s="29">
        <f>'[6]Used Cooking Oil Complex'!$AU206</f>
        <v>78.25</v>
      </c>
    </row>
    <row r="316" spans="1:20" x14ac:dyDescent="0.2">
      <c r="A316" s="17">
        <v>50952</v>
      </c>
      <c r="B316" s="18">
        <f t="shared" si="24"/>
        <v>7</v>
      </c>
      <c r="C316" s="18">
        <f t="shared" si="25"/>
        <v>3</v>
      </c>
      <c r="D316" s="11">
        <f t="shared" si="26"/>
        <v>2039</v>
      </c>
      <c r="J316" s="26">
        <f>MultiRegressionD4RIN!$B$17+(Monthly!$S316*MultiRegressionD4RIN!$B$18)+(Monthly!$T316*MultiRegressionD4RIN!$B$19)</f>
        <v>182.54848324479647</v>
      </c>
      <c r="K316" s="26">
        <f>FORECAST($J316,K$107:K315,$J$107:$J315)</f>
        <v>181.52080470002045</v>
      </c>
      <c r="L316" s="27">
        <f t="shared" si="27"/>
        <v>174.54848324479647</v>
      </c>
      <c r="O316" s="22"/>
      <c r="P316" s="23">
        <f t="shared" si="28"/>
        <v>6.3881405165011245</v>
      </c>
      <c r="R316" s="24"/>
      <c r="S316" s="28">
        <f>'[7]Monthly Prices'!$D477</f>
        <v>84.054480480277959</v>
      </c>
      <c r="T316" s="29">
        <f>'[6]Used Cooking Oil Complex'!$AU207</f>
        <v>81</v>
      </c>
    </row>
    <row r="317" spans="1:20" x14ac:dyDescent="0.2">
      <c r="A317" s="17">
        <v>50983</v>
      </c>
      <c r="B317" s="18">
        <f t="shared" si="24"/>
        <v>8</v>
      </c>
      <c r="C317" s="18">
        <f t="shared" si="25"/>
        <v>3</v>
      </c>
      <c r="D317" s="11">
        <f t="shared" si="26"/>
        <v>2039</v>
      </c>
      <c r="J317" s="26">
        <f>MultiRegressionD4RIN!$B$17+(Monthly!$S317*MultiRegressionD4RIN!$B$18)+(Monthly!$T317*MultiRegressionD4RIN!$B$19)</f>
        <v>83.508504031168002</v>
      </c>
      <c r="K317" s="26">
        <f>FORECAST($J317,K$107:K316,$J$107:$J316)</f>
        <v>82.615684959665302</v>
      </c>
      <c r="L317" s="27">
        <f t="shared" si="27"/>
        <v>75.508504031168002</v>
      </c>
      <c r="O317" s="22"/>
      <c r="P317" s="23">
        <f t="shared" si="28"/>
        <v>3.3421631120384645</v>
      </c>
      <c r="R317" s="24"/>
      <c r="S317" s="28">
        <f>'[7]Monthly Prices'!$D478</f>
        <v>43.97583042155874</v>
      </c>
      <c r="T317" s="29">
        <f>'[6]Used Cooking Oil Complex'!$AU208</f>
        <v>42.5</v>
      </c>
    </row>
    <row r="318" spans="1:20" x14ac:dyDescent="0.2">
      <c r="A318" s="17">
        <v>51014</v>
      </c>
      <c r="B318" s="18">
        <f t="shared" si="24"/>
        <v>9</v>
      </c>
      <c r="C318" s="18">
        <f t="shared" si="25"/>
        <v>3</v>
      </c>
      <c r="D318" s="11">
        <f t="shared" si="26"/>
        <v>2039</v>
      </c>
      <c r="J318" s="26">
        <f>MultiRegressionD4RIN!$B$17+(Monthly!$S318*MultiRegressionD4RIN!$B$18)+(Monthly!$T318*MultiRegressionD4RIN!$B$19)</f>
        <v>68.018470737229904</v>
      </c>
      <c r="K318" s="26">
        <f>FORECAST($J318,K$107:K317,$J$107:$J317)</f>
        <v>67.1467439331892</v>
      </c>
      <c r="L318" s="27">
        <f t="shared" si="27"/>
        <v>60.018470737229904</v>
      </c>
      <c r="O318" s="22"/>
      <c r="P318" s="23">
        <f t="shared" si="28"/>
        <v>2.9076906093725499</v>
      </c>
      <c r="R318" s="24"/>
      <c r="S318" s="28">
        <f>'[7]Monthly Prices'!$D479</f>
        <v>38.259086965428288</v>
      </c>
      <c r="T318" s="29">
        <f>'[6]Used Cooking Oil Complex'!$AU209</f>
        <v>35.75</v>
      </c>
    </row>
    <row r="319" spans="1:20" x14ac:dyDescent="0.2">
      <c r="A319" s="17">
        <v>51044</v>
      </c>
      <c r="B319" s="18">
        <f t="shared" si="24"/>
        <v>10</v>
      </c>
      <c r="C319" s="18">
        <f t="shared" si="25"/>
        <v>4</v>
      </c>
      <c r="D319" s="11">
        <f t="shared" si="26"/>
        <v>2039</v>
      </c>
      <c r="J319" s="26">
        <f>MultiRegressionD4RIN!$B$17+(Monthly!$S319*MultiRegressionD4RIN!$B$18)+(Monthly!$T319*MultiRegressionD4RIN!$B$19)</f>
        <v>70.005853607414508</v>
      </c>
      <c r="K319" s="26">
        <f>FORECAST($J319,K$107:K318,$J$107:$J318)</f>
        <v>69.131420649665074</v>
      </c>
      <c r="L319" s="27">
        <f t="shared" si="27"/>
        <v>62.005853607414508</v>
      </c>
      <c r="O319" s="22"/>
      <c r="P319" s="23">
        <f t="shared" si="28"/>
        <v>2.552902917264146</v>
      </c>
      <c r="R319" s="24"/>
      <c r="S319" s="28">
        <f>'[7]Monthly Prices'!$D480</f>
        <v>33.590827858738763</v>
      </c>
      <c r="T319" s="29">
        <f>'[6]Used Cooking Oil Complex'!$AV198</f>
        <v>43.75</v>
      </c>
    </row>
    <row r="320" spans="1:20" x14ac:dyDescent="0.2">
      <c r="A320" s="17">
        <v>51075</v>
      </c>
      <c r="B320" s="18">
        <f t="shared" si="24"/>
        <v>11</v>
      </c>
      <c r="C320" s="18">
        <f t="shared" si="25"/>
        <v>4</v>
      </c>
      <c r="D320" s="11">
        <f t="shared" si="26"/>
        <v>2039</v>
      </c>
      <c r="J320" s="26">
        <f>MultiRegressionD4RIN!$B$17+(Monthly!$S320*MultiRegressionD4RIN!$B$18)+(Monthly!$T320*MultiRegressionD4RIN!$B$19)</f>
        <v>28.104664259960234</v>
      </c>
      <c r="K320" s="26">
        <f>FORECAST($J320,K$107:K319,$J$107:$J319)</f>
        <v>27.287286769808691</v>
      </c>
      <c r="L320" s="27">
        <f t="shared" si="27"/>
        <v>20.104664259960234</v>
      </c>
      <c r="O320" s="22"/>
      <c r="P320" s="23">
        <f t="shared" si="28"/>
        <v>1.0893871944179383</v>
      </c>
      <c r="R320" s="24"/>
      <c r="S320" s="28">
        <f>'[7]Monthly Prices'!$D481</f>
        <v>14.334042031814977</v>
      </c>
      <c r="T320" s="29">
        <f>'[6]Used Cooking Oil Complex'!$AV199</f>
        <v>30.5</v>
      </c>
    </row>
    <row r="321" spans="1:20" x14ac:dyDescent="0.2">
      <c r="A321" s="17">
        <v>51105</v>
      </c>
      <c r="B321" s="18">
        <f t="shared" si="24"/>
        <v>12</v>
      </c>
      <c r="C321" s="18">
        <f t="shared" si="25"/>
        <v>4</v>
      </c>
      <c r="D321" s="11">
        <f t="shared" si="26"/>
        <v>2039</v>
      </c>
      <c r="J321" s="26">
        <f>MultiRegressionD4RIN!$B$17+(Monthly!$S321*MultiRegressionD4RIN!$B$18)+(Monthly!$T321*MultiRegressionD4RIN!$B$19)</f>
        <v>53.683464209731852</v>
      </c>
      <c r="K321" s="26">
        <f>FORECAST($J321,K$107:K320,$J$107:$J320)</f>
        <v>52.8312569112991</v>
      </c>
      <c r="L321" s="27">
        <f t="shared" si="27"/>
        <v>45.683464209731852</v>
      </c>
      <c r="O321" s="22"/>
      <c r="P321" s="23">
        <f t="shared" si="28"/>
        <v>1.930346736201586</v>
      </c>
      <c r="R321" s="24"/>
      <c r="S321" s="28">
        <f>'[7]Monthly Prices'!$D482</f>
        <v>25.399299160547184</v>
      </c>
      <c r="T321" s="29">
        <f>'[6]Used Cooking Oil Complex'!$AV200</f>
        <v>39.5</v>
      </c>
    </row>
    <row r="322" spans="1:20" x14ac:dyDescent="0.2">
      <c r="A322" s="17">
        <v>51136</v>
      </c>
      <c r="B322" s="18">
        <f t="shared" si="24"/>
        <v>1</v>
      </c>
      <c r="C322" s="18">
        <f t="shared" si="25"/>
        <v>1</v>
      </c>
      <c r="D322" s="11">
        <f t="shared" si="26"/>
        <v>2040</v>
      </c>
      <c r="J322" s="26">
        <f>MultiRegressionD4RIN!$B$17+(Monthly!$S322*MultiRegressionD4RIN!$B$18)+(Monthly!$T322*MultiRegressionD4RIN!$B$19)</f>
        <v>44.572450337021095</v>
      </c>
      <c r="K322" s="26">
        <f>FORECAST($J322,K$107:K321,$J$107:$J321)</f>
        <v>43.732649205689896</v>
      </c>
      <c r="L322" s="27">
        <f t="shared" si="27"/>
        <v>36.572450337021095</v>
      </c>
      <c r="O322" s="22"/>
      <c r="P322" s="23">
        <f t="shared" si="28"/>
        <v>1.3743920690394023</v>
      </c>
      <c r="R322" s="24"/>
      <c r="S322" s="28">
        <f>'[7]Monthly Prices'!$D483</f>
        <v>18.084106171571083</v>
      </c>
      <c r="T322" s="29">
        <f>'[6]Used Cooking Oil Complex'!$AV201</f>
        <v>40.75</v>
      </c>
    </row>
    <row r="323" spans="1:20" x14ac:dyDescent="0.2">
      <c r="A323" s="17">
        <v>51167</v>
      </c>
      <c r="B323" s="18">
        <f t="shared" si="24"/>
        <v>2</v>
      </c>
      <c r="C323" s="18">
        <f t="shared" si="25"/>
        <v>1</v>
      </c>
      <c r="D323" s="11">
        <f t="shared" si="26"/>
        <v>2040</v>
      </c>
      <c r="J323" s="26">
        <f>MultiRegressionD4RIN!$B$17+(Monthly!$S323*MultiRegressionD4RIN!$B$18)+(Monthly!$T323*MultiRegressionD4RIN!$B$19)</f>
        <v>46.184428231030239</v>
      </c>
      <c r="K323" s="26">
        <f>FORECAST($J323,K$107:K322,$J$107:$J322)</f>
        <v>45.342432122565143</v>
      </c>
      <c r="L323" s="27">
        <f t="shared" si="27"/>
        <v>38.184428231030239</v>
      </c>
      <c r="O323" s="22"/>
      <c r="P323" s="23">
        <f t="shared" si="28"/>
        <v>1.3017770637528314</v>
      </c>
      <c r="R323" s="24"/>
      <c r="S323" s="28">
        <f>'[7]Monthly Prices'!$D484</f>
        <v>17.128645575695153</v>
      </c>
      <c r="T323" s="29">
        <f>'[6]Used Cooking Oil Complex'!$AV202</f>
        <v>43.5</v>
      </c>
    </row>
    <row r="324" spans="1:20" x14ac:dyDescent="0.2">
      <c r="A324" s="17">
        <v>51196</v>
      </c>
      <c r="B324" s="18">
        <f t="shared" si="24"/>
        <v>3</v>
      </c>
      <c r="C324" s="18">
        <f t="shared" si="25"/>
        <v>1</v>
      </c>
      <c r="D324" s="11">
        <f t="shared" si="26"/>
        <v>2040</v>
      </c>
      <c r="J324" s="26">
        <f>MultiRegressionD4RIN!$B$17+(Monthly!$S324*MultiRegressionD4RIN!$B$18)+(Monthly!$T324*MultiRegressionD4RIN!$B$19)</f>
        <v>88.006074933103946</v>
      </c>
      <c r="K324" s="26">
        <f>FORECAST($J324,K$107:K323,$J$107:$J323)</f>
        <v>87.107131667637759</v>
      </c>
      <c r="L324" s="27">
        <f t="shared" si="27"/>
        <v>80.006074933103946</v>
      </c>
      <c r="O324" s="22"/>
      <c r="P324" s="23">
        <f t="shared" si="28"/>
        <v>2.7322941282367106</v>
      </c>
      <c r="R324" s="24"/>
      <c r="S324" s="28">
        <f>'[7]Monthly Prices'!$D485</f>
        <v>35.951238529430405</v>
      </c>
      <c r="T324" s="29">
        <f>'[6]Used Cooking Oil Complex'!$AV203</f>
        <v>57.25</v>
      </c>
    </row>
    <row r="325" spans="1:20" x14ac:dyDescent="0.2">
      <c r="A325" s="17">
        <v>51227</v>
      </c>
      <c r="B325" s="18">
        <f t="shared" ref="B325:B388" si="29">MONTH(A325)</f>
        <v>4</v>
      </c>
      <c r="C325" s="18">
        <f t="shared" ref="C325:C388" si="30">ROUNDUP(MONTH(A325)/3,0)</f>
        <v>2</v>
      </c>
      <c r="D325" s="11">
        <f t="shared" ref="D325:D388" si="31">YEAR(A325)</f>
        <v>2040</v>
      </c>
      <c r="J325" s="26">
        <f>MultiRegressionD4RIN!$B$17+(Monthly!$S325*MultiRegressionD4RIN!$B$18)+(Monthly!$T325*MultiRegressionD4RIN!$B$19)</f>
        <v>114.69719312073789</v>
      </c>
      <c r="K325" s="26">
        <f>FORECAST($J325,K$107:K324,$J$107:$J324)</f>
        <v>113.76190543993117</v>
      </c>
      <c r="L325" s="27">
        <f t="shared" si="27"/>
        <v>106.69719312073789</v>
      </c>
      <c r="O325" s="22"/>
      <c r="P325" s="23">
        <f t="shared" si="28"/>
        <v>3.6898914514273455</v>
      </c>
      <c r="R325" s="24"/>
      <c r="S325" s="28">
        <f>'[7]Monthly Prices'!$D486</f>
        <v>48.55120330825455</v>
      </c>
      <c r="T325" s="29">
        <f>'[6]Used Cooking Oil Complex'!$AV204</f>
        <v>65.25</v>
      </c>
    </row>
    <row r="326" spans="1:20" x14ac:dyDescent="0.2">
      <c r="A326" s="17">
        <v>51257</v>
      </c>
      <c r="B326" s="18">
        <f t="shared" si="29"/>
        <v>5</v>
      </c>
      <c r="C326" s="18">
        <f t="shared" si="30"/>
        <v>2</v>
      </c>
      <c r="D326" s="11">
        <f t="shared" si="31"/>
        <v>2040</v>
      </c>
      <c r="J326" s="26">
        <f>MultiRegressionD4RIN!$B$17+(Monthly!$S326*MultiRegressionD4RIN!$B$18)+(Monthly!$T326*MultiRegressionD4RIN!$B$19)</f>
        <v>133.54779602710772</v>
      </c>
      <c r="K326" s="26">
        <f>FORECAST($J326,K$107:K325,$J$107:$J325)</f>
        <v>132.58684010203217</v>
      </c>
      <c r="L326" s="27">
        <f t="shared" si="27"/>
        <v>125.54779602710772</v>
      </c>
      <c r="O326" s="22"/>
      <c r="P326" s="23">
        <f t="shared" si="28"/>
        <v>4.5186912763823672</v>
      </c>
      <c r="R326" s="24"/>
      <c r="S326" s="28">
        <f>'[7]Monthly Prices'!$D487</f>
        <v>59.456464162925883</v>
      </c>
      <c r="T326" s="29">
        <f>'[6]Used Cooking Oil Complex'!$AV205</f>
        <v>68.25</v>
      </c>
    </row>
    <row r="327" spans="1:20" x14ac:dyDescent="0.2">
      <c r="A327" s="17">
        <v>51288</v>
      </c>
      <c r="B327" s="18">
        <f t="shared" si="29"/>
        <v>6</v>
      </c>
      <c r="C327" s="18">
        <f t="shared" si="30"/>
        <v>2</v>
      </c>
      <c r="D327" s="11">
        <f t="shared" si="31"/>
        <v>2040</v>
      </c>
      <c r="J327" s="26">
        <f>MultiRegressionD4RIN!$B$17+(Monthly!$S327*MultiRegressionD4RIN!$B$18)+(Monthly!$T327*MultiRegressionD4RIN!$B$19)</f>
        <v>151.31150237664073</v>
      </c>
      <c r="K327" s="26">
        <f>FORECAST($J327,K$107:K326,$J$107:$J326)</f>
        <v>150.32635819849099</v>
      </c>
      <c r="L327" s="27">
        <f t="shared" si="27"/>
        <v>143.31150237664073</v>
      </c>
      <c r="O327" s="22"/>
      <c r="P327" s="23">
        <f t="shared" si="28"/>
        <v>5.0883390542854148</v>
      </c>
      <c r="R327" s="24"/>
      <c r="S327" s="28">
        <f>'[7]Monthly Prices'!$D488</f>
        <v>66.951829661650194</v>
      </c>
      <c r="T327" s="29">
        <f>'[6]Used Cooking Oil Complex'!$AV206</f>
        <v>74.75</v>
      </c>
    </row>
    <row r="328" spans="1:20" x14ac:dyDescent="0.2">
      <c r="A328" s="17">
        <v>51318</v>
      </c>
      <c r="B328" s="18">
        <f t="shared" si="29"/>
        <v>7</v>
      </c>
      <c r="C328" s="18">
        <f t="shared" si="30"/>
        <v>3</v>
      </c>
      <c r="D328" s="11">
        <f t="shared" si="31"/>
        <v>2040</v>
      </c>
      <c r="J328" s="26">
        <f>MultiRegressionD4RIN!$B$17+(Monthly!$S328*MultiRegressionD4RIN!$B$18)+(Monthly!$T328*MultiRegressionD4RIN!$B$19)</f>
        <v>173.49252492536414</v>
      </c>
      <c r="K328" s="26">
        <f>FORECAST($J328,K$107:K327,$J$107:$J327)</f>
        <v>172.47717758035856</v>
      </c>
      <c r="L328" s="27">
        <f t="shared" si="27"/>
        <v>165.49252492536414</v>
      </c>
      <c r="O328" s="22"/>
      <c r="P328" s="23">
        <f t="shared" si="28"/>
        <v>5.878270110998602</v>
      </c>
      <c r="R328" s="24"/>
      <c r="S328" s="28">
        <f>'[7]Monthly Prices'!$D489</f>
        <v>77.345659355244763</v>
      </c>
      <c r="T328" s="29">
        <f>'[6]Used Cooking Oil Complex'!$AV207</f>
        <v>81.5</v>
      </c>
    </row>
    <row r="329" spans="1:20" x14ac:dyDescent="0.2">
      <c r="A329" s="17">
        <v>51349</v>
      </c>
      <c r="B329" s="18">
        <f t="shared" si="29"/>
        <v>8</v>
      </c>
      <c r="C329" s="18">
        <f t="shared" si="30"/>
        <v>3</v>
      </c>
      <c r="D329" s="11">
        <f t="shared" si="31"/>
        <v>2040</v>
      </c>
      <c r="J329" s="26">
        <f>MultiRegressionD4RIN!$B$17+(Monthly!$S329*MultiRegressionD4RIN!$B$18)+(Monthly!$T329*MultiRegressionD4RIN!$B$19)</f>
        <v>84.375219250079454</v>
      </c>
      <c r="K329" s="26">
        <f>FORECAST($J329,K$107:K328,$J$107:$J328)</f>
        <v>83.4812200010482</v>
      </c>
      <c r="L329" s="27">
        <f t="shared" si="27"/>
        <v>76.375219250079454</v>
      </c>
      <c r="O329" s="22"/>
      <c r="P329" s="23">
        <f t="shared" si="28"/>
        <v>3.2011830966958574</v>
      </c>
      <c r="R329" s="24"/>
      <c r="S329" s="28">
        <f>'[7]Monthly Prices'!$D490</f>
        <v>42.12083021968234</v>
      </c>
      <c r="T329" s="29">
        <f>'[6]Used Cooking Oil Complex'!$AV208</f>
        <v>45.75</v>
      </c>
    </row>
    <row r="330" spans="1:20" x14ac:dyDescent="0.2">
      <c r="A330" s="17">
        <v>51380</v>
      </c>
      <c r="B330" s="18">
        <f t="shared" si="29"/>
        <v>9</v>
      </c>
      <c r="C330" s="18">
        <f t="shared" si="30"/>
        <v>3</v>
      </c>
      <c r="D330" s="11">
        <f t="shared" si="31"/>
        <v>2040</v>
      </c>
      <c r="J330" s="26">
        <f>MultiRegressionD4RIN!$B$17+(Monthly!$S330*MultiRegressionD4RIN!$B$18)+(Monthly!$T330*MultiRegressionD4RIN!$B$19)</f>
        <v>77.549150288266958</v>
      </c>
      <c r="K330" s="26">
        <f>FORECAST($J330,K$107:K329,$J$107:$J329)</f>
        <v>76.664445872211488</v>
      </c>
      <c r="L330" s="27">
        <f t="shared" si="27"/>
        <v>69.549150288266958</v>
      </c>
      <c r="O330" s="22"/>
      <c r="P330" s="23">
        <f t="shared" si="28"/>
        <v>3.0687321046608229</v>
      </c>
      <c r="R330" s="24"/>
      <c r="S330" s="28">
        <f>'[7]Monthly Prices'!$D491</f>
        <v>40.378054008695038</v>
      </c>
      <c r="T330" s="29">
        <f>'[6]Used Cooking Oil Complex'!$AV209</f>
        <v>41.75</v>
      </c>
    </row>
    <row r="331" spans="1:20" x14ac:dyDescent="0.2">
      <c r="A331" s="17">
        <v>51410</v>
      </c>
      <c r="B331" s="18">
        <f t="shared" si="29"/>
        <v>10</v>
      </c>
      <c r="C331" s="18">
        <f t="shared" si="30"/>
        <v>4</v>
      </c>
      <c r="D331" s="11">
        <f t="shared" si="31"/>
        <v>2040</v>
      </c>
      <c r="J331" s="26">
        <f>MultiRegressionD4RIN!$B$17+(Monthly!$S331*MultiRegressionD4RIN!$B$18)+(Monthly!$T331*MultiRegressionD4RIN!$B$19)</f>
        <v>91.551615109885375</v>
      </c>
      <c r="K331" s="26">
        <f>FORECAST($J331,K$107:K330,$J$107:$J330)</f>
        <v>90.647843999295375</v>
      </c>
      <c r="L331" s="27">
        <f t="shared" si="27"/>
        <v>83.551615109885375</v>
      </c>
      <c r="O331" s="22"/>
      <c r="P331" s="23">
        <f t="shared" si="28"/>
        <v>3.0789020882429088</v>
      </c>
      <c r="R331" s="24"/>
      <c r="S331" s="28">
        <f>'[7]Monthly Prices'!$D492</f>
        <v>40.51186958214354</v>
      </c>
      <c r="T331" s="29">
        <f>'[6]Used Cooking Oil Complex'!$AW198</f>
        <v>54.5</v>
      </c>
    </row>
    <row r="332" spans="1:20" x14ac:dyDescent="0.2">
      <c r="A332" s="17">
        <v>51441</v>
      </c>
      <c r="B332" s="18">
        <f t="shared" si="29"/>
        <v>11</v>
      </c>
      <c r="C332" s="18">
        <f t="shared" si="30"/>
        <v>4</v>
      </c>
      <c r="D332" s="11">
        <f t="shared" si="31"/>
        <v>2040</v>
      </c>
      <c r="J332" s="26">
        <f>MultiRegressionD4RIN!$B$17+(Monthly!$S332*MultiRegressionD4RIN!$B$18)+(Monthly!$T332*MultiRegressionD4RIN!$B$19)</f>
        <v>71.901998880308469</v>
      </c>
      <c r="K332" s="26">
        <f>FORECAST($J332,K$107:K331,$J$107:$J331)</f>
        <v>71.024984004077396</v>
      </c>
      <c r="L332" s="27">
        <f t="shared" si="27"/>
        <v>63.901998880308469</v>
      </c>
      <c r="O332" s="22"/>
      <c r="P332" s="23">
        <f t="shared" si="28"/>
        <v>2.4953842933584838</v>
      </c>
      <c r="R332" s="24"/>
      <c r="S332" s="28">
        <f>'[7]Monthly Prices'!$D493</f>
        <v>32.834003859980051</v>
      </c>
      <c r="T332" s="29">
        <f>'[6]Used Cooking Oil Complex'!$AW199</f>
        <v>46.5</v>
      </c>
    </row>
    <row r="333" spans="1:20" x14ac:dyDescent="0.2">
      <c r="A333" s="17">
        <v>51471</v>
      </c>
      <c r="B333" s="18">
        <f t="shared" si="29"/>
        <v>12</v>
      </c>
      <c r="C333" s="18">
        <f t="shared" si="30"/>
        <v>4</v>
      </c>
      <c r="D333" s="11">
        <f t="shared" si="31"/>
        <v>2040</v>
      </c>
      <c r="J333" s="26">
        <f>MultiRegressionD4RIN!$B$17+(Monthly!$S333*MultiRegressionD4RIN!$B$18)+(Monthly!$T333*MultiRegressionD4RIN!$B$19)</f>
        <v>111.25677800440651</v>
      </c>
      <c r="K333" s="26">
        <f>FORECAST($J333,K$107:K332,$J$107:$J332)</f>
        <v>110.32617502339592</v>
      </c>
      <c r="L333" s="27">
        <f t="shared" si="27"/>
        <v>103.25677800440651</v>
      </c>
      <c r="O333" s="22"/>
      <c r="P333" s="23">
        <f t="shared" si="28"/>
        <v>3.981873338924339</v>
      </c>
      <c r="R333" s="24"/>
      <c r="S333" s="28">
        <f>'[7]Monthly Prices'!$D494</f>
        <v>52.393070249004467</v>
      </c>
      <c r="T333" s="29">
        <f>'[6]Used Cooking Oil Complex'!$AW200</f>
        <v>57</v>
      </c>
    </row>
    <row r="334" spans="1:20" x14ac:dyDescent="0.2">
      <c r="A334" s="17">
        <v>51502</v>
      </c>
      <c r="B334" s="18">
        <f t="shared" si="29"/>
        <v>1</v>
      </c>
      <c r="C334" s="18">
        <f t="shared" si="30"/>
        <v>1</v>
      </c>
      <c r="D334" s="11">
        <f t="shared" si="31"/>
        <v>2041</v>
      </c>
      <c r="J334" s="26">
        <f>MultiRegressionD4RIN!$B$17+(Monthly!$S334*MultiRegressionD4RIN!$B$18)+(Monthly!$T334*MultiRegressionD4RIN!$B$19)</f>
        <v>109.01648745942015</v>
      </c>
      <c r="K334" s="26">
        <f>FORECAST($J334,K$107:K333,$J$107:$J333)</f>
        <v>108.08893500815799</v>
      </c>
      <c r="L334" s="27">
        <f t="shared" si="27"/>
        <v>101.01648745942015</v>
      </c>
      <c r="O334" s="22"/>
      <c r="P334" s="23">
        <f t="shared" si="28"/>
        <v>3.819698550015588</v>
      </c>
      <c r="R334" s="24"/>
      <c r="S334" s="28">
        <f>'[7]Monthly Prices'!$D495</f>
        <v>50.259191447573528</v>
      </c>
      <c r="T334" s="29">
        <f>'[6]Used Cooking Oil Complex'!$AW201</f>
        <v>57.75</v>
      </c>
    </row>
    <row r="335" spans="1:20" x14ac:dyDescent="0.2">
      <c r="A335" s="17">
        <v>51533</v>
      </c>
      <c r="B335" s="18">
        <f t="shared" si="29"/>
        <v>2</v>
      </c>
      <c r="C335" s="18">
        <f t="shared" si="30"/>
        <v>1</v>
      </c>
      <c r="D335" s="11">
        <f t="shared" si="31"/>
        <v>2041</v>
      </c>
      <c r="J335" s="26">
        <f>MultiRegressionD4RIN!$B$17+(Monthly!$S335*MultiRegressionD4RIN!$B$18)+(Monthly!$T335*MultiRegressionD4RIN!$B$19)</f>
        <v>90.68141795353128</v>
      </c>
      <c r="K335" s="26">
        <f>FORECAST($J335,K$107:K334,$J$107:$J334)</f>
        <v>89.77883176170927</v>
      </c>
      <c r="L335" s="27">
        <f t="shared" si="27"/>
        <v>82.68141795353128</v>
      </c>
      <c r="O335" s="22"/>
      <c r="P335" s="23">
        <f t="shared" si="28"/>
        <v>2.8024892304413913</v>
      </c>
      <c r="R335" s="24"/>
      <c r="S335" s="28">
        <f>'[7]Monthly Prices'!$D496</f>
        <v>36.87485829528147</v>
      </c>
      <c r="T335" s="29">
        <f>'[6]Used Cooking Oil Complex'!$AW202</f>
        <v>58.5</v>
      </c>
    </row>
    <row r="336" spans="1:20" x14ac:dyDescent="0.2">
      <c r="A336" s="17">
        <v>51561</v>
      </c>
      <c r="B336" s="18">
        <f t="shared" si="29"/>
        <v>3</v>
      </c>
      <c r="C336" s="18">
        <f t="shared" si="30"/>
        <v>1</v>
      </c>
      <c r="D336" s="11">
        <f t="shared" si="31"/>
        <v>2041</v>
      </c>
      <c r="J336" s="26">
        <f>MultiRegressionD4RIN!$B$17+(Monthly!$S336*MultiRegressionD4RIN!$B$18)+(Monthly!$T336*MultiRegressionD4RIN!$B$19)</f>
        <v>119.42864266168742</v>
      </c>
      <c r="K336" s="26">
        <f>FORECAST($J336,K$107:K335,$J$107:$J335)</f>
        <v>118.48691232208799</v>
      </c>
      <c r="L336" s="27">
        <f t="shared" si="27"/>
        <v>111.42864266168742</v>
      </c>
      <c r="O336" s="22"/>
      <c r="P336" s="23">
        <f t="shared" si="28"/>
        <v>3.6103605109777357</v>
      </c>
      <c r="R336" s="24"/>
      <c r="S336" s="28">
        <f>'[7]Monthly Prices'!$D497</f>
        <v>47.504743565496526</v>
      </c>
      <c r="T336" s="29">
        <f>'[6]Used Cooking Oil Complex'!$AW203</f>
        <v>71</v>
      </c>
    </row>
    <row r="337" spans="1:20" x14ac:dyDescent="0.2">
      <c r="A337" s="17">
        <v>51592</v>
      </c>
      <c r="B337" s="18">
        <f t="shared" si="29"/>
        <v>4</v>
      </c>
      <c r="C337" s="18">
        <f t="shared" si="30"/>
        <v>2</v>
      </c>
      <c r="D337" s="11">
        <f t="shared" si="31"/>
        <v>2041</v>
      </c>
      <c r="J337" s="26">
        <f>MultiRegressionD4RIN!$B$17+(Monthly!$S337*MultiRegressionD4RIN!$B$18)+(Monthly!$T337*MultiRegressionD4RIN!$B$19)</f>
        <v>130.39147200701814</v>
      </c>
      <c r="K337" s="26">
        <f>FORECAST($J337,K$107:K336,$J$107:$J336)</f>
        <v>129.43481394426249</v>
      </c>
      <c r="L337" s="27">
        <f t="shared" si="27"/>
        <v>122.39147200701814</v>
      </c>
      <c r="O337" s="22"/>
      <c r="P337" s="23">
        <f t="shared" si="28"/>
        <v>3.8330984314033212</v>
      </c>
      <c r="R337" s="24"/>
      <c r="S337" s="28">
        <f>'[7]Monthly Prices'!$D498</f>
        <v>50.43550567635949</v>
      </c>
      <c r="T337" s="29">
        <f>'[6]Used Cooking Oil Complex'!$AW204</f>
        <v>77.25</v>
      </c>
    </row>
    <row r="338" spans="1:20" x14ac:dyDescent="0.2">
      <c r="A338" s="17">
        <v>51622</v>
      </c>
      <c r="B338" s="18">
        <f t="shared" si="29"/>
        <v>5</v>
      </c>
      <c r="C338" s="18">
        <f t="shared" si="30"/>
        <v>2</v>
      </c>
      <c r="D338" s="11">
        <f t="shared" si="31"/>
        <v>2041</v>
      </c>
      <c r="J338" s="26">
        <f>MultiRegressionD4RIN!$B$17+(Monthly!$S338*MultiRegressionD4RIN!$B$18)+(Monthly!$T338*MultiRegressionD4RIN!$B$19)</f>
        <v>144.67947694934804</v>
      </c>
      <c r="K338" s="26">
        <f>FORECAST($J338,K$107:K337,$J$107:$J337)</f>
        <v>143.70336338149286</v>
      </c>
      <c r="L338" s="27">
        <f t="shared" si="27"/>
        <v>136.67947694934804</v>
      </c>
      <c r="O338" s="22"/>
      <c r="P338" s="23">
        <f t="shared" si="28"/>
        <v>4.5489887224206402</v>
      </c>
      <c r="R338" s="24"/>
      <c r="S338" s="28">
        <f>'[7]Monthly Prices'!$D499</f>
        <v>59.855114768692637</v>
      </c>
      <c r="T338" s="29">
        <f>'[6]Used Cooking Oil Complex'!$AW205</f>
        <v>78</v>
      </c>
    </row>
    <row r="339" spans="1:20" x14ac:dyDescent="0.2">
      <c r="A339" s="17">
        <v>51653</v>
      </c>
      <c r="B339" s="18">
        <f t="shared" si="29"/>
        <v>6</v>
      </c>
      <c r="C339" s="18">
        <f t="shared" si="30"/>
        <v>2</v>
      </c>
      <c r="D339" s="11">
        <f t="shared" si="31"/>
        <v>2041</v>
      </c>
      <c r="J339" s="26">
        <f>MultiRegressionD4RIN!$B$17+(Monthly!$S339*MultiRegressionD4RIN!$B$18)+(Monthly!$T339*MultiRegressionD4RIN!$B$19)</f>
        <v>157.11769850596238</v>
      </c>
      <c r="K339" s="26">
        <f>FORECAST($J339,K$107:K338,$J$107:$J338)</f>
        <v>156.1246482220366</v>
      </c>
      <c r="L339" s="27">
        <f t="shared" si="27"/>
        <v>149.11769850596238</v>
      </c>
      <c r="O339" s="22"/>
      <c r="P339" s="23">
        <f t="shared" si="28"/>
        <v>4.9508121529690525</v>
      </c>
      <c r="R339" s="24"/>
      <c r="S339" s="28">
        <f>'[7]Monthly Prices'!$D500</f>
        <v>65.14226517064543</v>
      </c>
      <c r="T339" s="29">
        <f>'[6]Used Cooking Oil Complex'!$AW206</f>
        <v>82.5</v>
      </c>
    </row>
    <row r="340" spans="1:20" x14ac:dyDescent="0.2">
      <c r="A340" s="17">
        <v>51683</v>
      </c>
      <c r="B340" s="18">
        <f t="shared" si="29"/>
        <v>7</v>
      </c>
      <c r="C340" s="18">
        <f t="shared" si="30"/>
        <v>3</v>
      </c>
      <c r="D340" s="11">
        <f t="shared" si="31"/>
        <v>2041</v>
      </c>
      <c r="J340" s="26">
        <f>MultiRegressionD4RIN!$B$17+(Monthly!$S340*MultiRegressionD4RIN!$B$18)+(Monthly!$T340*MultiRegressionD4RIN!$B$19)</f>
        <v>173.90191201115903</v>
      </c>
      <c r="K340" s="26">
        <f>FORECAST($J340,K$107:K339,$J$107:$J339)</f>
        <v>172.88600721726067</v>
      </c>
      <c r="L340" s="27">
        <f t="shared" si="27"/>
        <v>165.90191201115903</v>
      </c>
      <c r="O340" s="22"/>
      <c r="P340" s="23">
        <f t="shared" si="28"/>
        <v>5.583516243330112</v>
      </c>
      <c r="R340" s="24"/>
      <c r="S340" s="28">
        <f>'[7]Monthly Prices'!$D501</f>
        <v>73.467318991185678</v>
      </c>
      <c r="T340" s="29">
        <f>'[6]Used Cooking Oil Complex'!$AW207</f>
        <v>87</v>
      </c>
    </row>
    <row r="341" spans="1:20" x14ac:dyDescent="0.2">
      <c r="A341" s="17">
        <v>51714</v>
      </c>
      <c r="B341" s="18">
        <f t="shared" si="29"/>
        <v>8</v>
      </c>
      <c r="C341" s="18">
        <f t="shared" si="30"/>
        <v>3</v>
      </c>
      <c r="D341" s="11">
        <f t="shared" si="31"/>
        <v>2041</v>
      </c>
      <c r="J341" s="26">
        <f>MultiRegressionD4RIN!$B$17+(Monthly!$S341*MultiRegressionD4RIN!$B$18)+(Monthly!$T341*MultiRegressionD4RIN!$B$19)</f>
        <v>86.147169413507754</v>
      </c>
      <c r="K341" s="26">
        <f>FORECAST($J341,K$107:K340,$J$107:$J340)</f>
        <v>85.25075735837936</v>
      </c>
      <c r="L341" s="27">
        <f t="shared" si="27"/>
        <v>78.147169413507754</v>
      </c>
      <c r="O341" s="22"/>
      <c r="P341" s="23">
        <f t="shared" si="28"/>
        <v>2.9644288624432962</v>
      </c>
      <c r="R341" s="24"/>
      <c r="S341" s="28">
        <f>'[7]Monthly Prices'!$D502</f>
        <v>39.005642926885479</v>
      </c>
      <c r="T341" s="29">
        <f>'[6]Used Cooking Oil Complex'!$AW208</f>
        <v>51.5</v>
      </c>
    </row>
    <row r="342" spans="1:20" x14ac:dyDescent="0.2">
      <c r="A342" s="17">
        <v>51745</v>
      </c>
      <c r="B342" s="18">
        <f t="shared" si="29"/>
        <v>9</v>
      </c>
      <c r="C342" s="18">
        <f t="shared" si="30"/>
        <v>3</v>
      </c>
      <c r="D342" s="11">
        <f t="shared" si="31"/>
        <v>2041</v>
      </c>
      <c r="J342" s="26">
        <f>MultiRegressionD4RIN!$B$17+(Monthly!$S342*MultiRegressionD4RIN!$B$18)+(Monthly!$T342*MultiRegressionD4RIN!$B$19)</f>
        <v>79.921721698041381</v>
      </c>
      <c r="K342" s="26">
        <f>FORECAST($J342,K$107:K341,$J$107:$J341)</f>
        <v>79.033786629746629</v>
      </c>
      <c r="L342" s="27">
        <f t="shared" si="27"/>
        <v>71.921721698041381</v>
      </c>
      <c r="O342" s="22"/>
      <c r="P342" s="23">
        <f t="shared" si="28"/>
        <v>2.8782723308187355</v>
      </c>
      <c r="R342" s="24"/>
      <c r="S342" s="28">
        <f>'[7]Monthly Prices'!$D503</f>
        <v>37.872004352878101</v>
      </c>
      <c r="T342" s="29">
        <f>'[6]Used Cooking Oil Complex'!$AW209</f>
        <v>47.25</v>
      </c>
    </row>
    <row r="343" spans="1:20" x14ac:dyDescent="0.2">
      <c r="A343" s="17">
        <v>51775</v>
      </c>
      <c r="B343" s="18">
        <f t="shared" si="29"/>
        <v>10</v>
      </c>
      <c r="C343" s="18">
        <f t="shared" si="30"/>
        <v>4</v>
      </c>
      <c r="D343" s="11">
        <f t="shared" si="31"/>
        <v>2041</v>
      </c>
      <c r="J343" s="26">
        <f>MultiRegressionD4RIN!$B$17+(Monthly!$S343*MultiRegressionD4RIN!$B$18)+(Monthly!$T343*MultiRegressionD4RIN!$B$19)</f>
        <v>111.58971160962076</v>
      </c>
      <c r="K343" s="26">
        <f>FORECAST($J343,K$107:K342,$J$107:$J342)</f>
        <v>110.6586552839004</v>
      </c>
      <c r="L343" s="27">
        <f t="shared" si="27"/>
        <v>103.58971160962076</v>
      </c>
      <c r="O343" s="22"/>
      <c r="P343" s="23">
        <f t="shared" si="28"/>
        <v>3.4672606957090983</v>
      </c>
      <c r="R343" s="24"/>
      <c r="S343" s="28">
        <f>'[7]Monthly Prices'!$D504</f>
        <v>45.621851259330242</v>
      </c>
      <c r="T343" s="29">
        <f>'[6]Used Cooking Oil Complex'!$AX198</f>
        <v>66.25</v>
      </c>
    </row>
    <row r="344" spans="1:20" x14ac:dyDescent="0.2">
      <c r="A344" s="17">
        <v>51806</v>
      </c>
      <c r="B344" s="18">
        <f t="shared" si="29"/>
        <v>11</v>
      </c>
      <c r="C344" s="18">
        <f t="shared" si="30"/>
        <v>4</v>
      </c>
      <c r="D344" s="11">
        <f t="shared" si="31"/>
        <v>2041</v>
      </c>
      <c r="J344" s="26">
        <f>MultiRegressionD4RIN!$B$17+(Monthly!$S344*MultiRegressionD4RIN!$B$18)+(Monthly!$T344*MultiRegressionD4RIN!$B$19)</f>
        <v>102.15351859451474</v>
      </c>
      <c r="K344" s="26">
        <f>FORECAST($J344,K$107:K343,$J$107:$J343)</f>
        <v>101.23531122160945</v>
      </c>
      <c r="L344" s="27">
        <f t="shared" si="27"/>
        <v>94.153518594514736</v>
      </c>
      <c r="O344" s="22"/>
      <c r="P344" s="23">
        <f t="shared" si="28"/>
        <v>3.2249199192106857</v>
      </c>
      <c r="R344" s="24"/>
      <c r="S344" s="28">
        <f>'[7]Monthly Prices'!$D505</f>
        <v>42.43315683171955</v>
      </c>
      <c r="T344" s="29">
        <f>'[6]Used Cooking Oil Complex'!$AX199</f>
        <v>61.75</v>
      </c>
    </row>
    <row r="345" spans="1:20" x14ac:dyDescent="0.2">
      <c r="A345" s="17">
        <v>51836</v>
      </c>
      <c r="B345" s="18">
        <f t="shared" si="29"/>
        <v>12</v>
      </c>
      <c r="C345" s="18">
        <f t="shared" si="30"/>
        <v>4</v>
      </c>
      <c r="D345" s="11">
        <f t="shared" si="31"/>
        <v>2041</v>
      </c>
      <c r="J345" s="26">
        <f>MultiRegressionD4RIN!$B$17+(Monthly!$S345*MultiRegressionD4RIN!$B$18)+(Monthly!$T345*MultiRegressionD4RIN!$B$19)</f>
        <v>129.68784887005373</v>
      </c>
      <c r="K345" s="26">
        <f>FORECAST($J345,K$107:K344,$J$107:$J344)</f>
        <v>128.7321489077176</v>
      </c>
      <c r="L345" s="27">
        <f t="shared" si="27"/>
        <v>121.68784887005373</v>
      </c>
      <c r="O345" s="22"/>
      <c r="P345" s="23">
        <f t="shared" si="28"/>
        <v>4.3424046862508519</v>
      </c>
      <c r="R345" s="24"/>
      <c r="S345" s="28">
        <f>'[7]Monthly Prices'!$D506</f>
        <v>57.136903766458573</v>
      </c>
      <c r="T345" s="29">
        <f>'[6]Used Cooking Oil Complex'!$AX200</f>
        <v>67.75</v>
      </c>
    </row>
    <row r="346" spans="1:20" x14ac:dyDescent="0.2">
      <c r="A346" s="17">
        <v>51867</v>
      </c>
      <c r="B346" s="18">
        <f t="shared" si="29"/>
        <v>1</v>
      </c>
      <c r="C346" s="18">
        <f t="shared" si="30"/>
        <v>1</v>
      </c>
      <c r="D346" s="11">
        <f t="shared" si="31"/>
        <v>2042</v>
      </c>
      <c r="J346" s="26">
        <f>MultiRegressionD4RIN!$B$17+(Monthly!$S346*MultiRegressionD4RIN!$B$18)+(Monthly!$T346*MultiRegressionD4RIN!$B$19)</f>
        <v>119.52741699339376</v>
      </c>
      <c r="K346" s="26">
        <f>FORECAST($J346,K$107:K345,$J$107:$J345)</f>
        <v>118.58555215604451</v>
      </c>
      <c r="L346" s="27">
        <f t="shared" si="27"/>
        <v>111.52741699339376</v>
      </c>
      <c r="O346" s="22"/>
      <c r="P346" s="23">
        <f t="shared" si="28"/>
        <v>3.8889509975058463</v>
      </c>
      <c r="R346" s="24"/>
      <c r="S346" s="28">
        <f>'[7]Monthly Prices'!$D507</f>
        <v>51.170407861919031</v>
      </c>
      <c r="T346" s="29">
        <f>'[6]Used Cooking Oil Complex'!$AX201</f>
        <v>66.25</v>
      </c>
    </row>
    <row r="347" spans="1:20" x14ac:dyDescent="0.2">
      <c r="A347" s="17">
        <v>51898</v>
      </c>
      <c r="B347" s="18">
        <f t="shared" si="29"/>
        <v>2</v>
      </c>
      <c r="C347" s="18">
        <f t="shared" si="30"/>
        <v>1</v>
      </c>
      <c r="D347" s="11">
        <f t="shared" si="31"/>
        <v>2042</v>
      </c>
      <c r="J347" s="26">
        <f>MultiRegressionD4RIN!$B$17+(Monthly!$S347*MultiRegressionD4RIN!$B$18)+(Monthly!$T347*MultiRegressionD4RIN!$B$19)</f>
        <v>108.66049969492514</v>
      </c>
      <c r="K347" s="26">
        <f>FORECAST($J347,K$107:K346,$J$107:$J346)</f>
        <v>107.73343198046113</v>
      </c>
      <c r="L347" s="27">
        <f t="shared" si="27"/>
        <v>100.66049969492514</v>
      </c>
      <c r="O347" s="22"/>
      <c r="P347" s="23">
        <f t="shared" si="28"/>
        <v>3.3404193805364302</v>
      </c>
      <c r="R347" s="24"/>
      <c r="S347" s="28">
        <f>'[7]Monthly Prices'!$D508</f>
        <v>43.952886586005668</v>
      </c>
      <c r="T347" s="29">
        <f>'[6]Used Cooking Oil Complex'!$AX202</f>
        <v>65.75</v>
      </c>
    </row>
    <row r="348" spans="1:20" x14ac:dyDescent="0.2">
      <c r="A348" s="17">
        <v>51926</v>
      </c>
      <c r="B348" s="18">
        <f t="shared" si="29"/>
        <v>3</v>
      </c>
      <c r="C348" s="18">
        <f t="shared" si="30"/>
        <v>1</v>
      </c>
      <c r="D348" s="11">
        <f t="shared" si="31"/>
        <v>2042</v>
      </c>
      <c r="J348" s="26">
        <f>MultiRegressionD4RIN!$B$17+(Monthly!$S348*MultiRegressionD4RIN!$B$18)+(Monthly!$T348*MultiRegressionD4RIN!$B$19)</f>
        <v>140.57403164351391</v>
      </c>
      <c r="K348" s="26">
        <f>FORECAST($J348,K$107:K347,$J$107:$J347)</f>
        <v>139.60350832513066</v>
      </c>
      <c r="L348" s="27">
        <f t="shared" si="27"/>
        <v>132.57403164351391</v>
      </c>
      <c r="O348" s="22"/>
      <c r="P348" s="23">
        <f t="shared" si="28"/>
        <v>4.4172059689117242</v>
      </c>
      <c r="R348" s="24"/>
      <c r="S348" s="28">
        <f>'[7]Monthly Prices'!$D509</f>
        <v>58.121131169891108</v>
      </c>
      <c r="T348" s="29">
        <f>'[6]Used Cooking Oil Complex'!$AX203</f>
        <v>76.5</v>
      </c>
    </row>
    <row r="349" spans="1:20" x14ac:dyDescent="0.2">
      <c r="A349" s="17">
        <v>51957</v>
      </c>
      <c r="B349" s="18">
        <f t="shared" si="29"/>
        <v>4</v>
      </c>
      <c r="C349" s="18">
        <f t="shared" si="30"/>
        <v>2</v>
      </c>
      <c r="D349" s="11">
        <f t="shared" si="31"/>
        <v>2042</v>
      </c>
      <c r="J349" s="26">
        <f>MultiRegressionD4RIN!$B$17+(Monthly!$S349*MultiRegressionD4RIN!$B$18)+(Monthly!$T349*MultiRegressionD4RIN!$B$19)</f>
        <v>156.59711162368734</v>
      </c>
      <c r="K349" s="26">
        <f>FORECAST($J349,K$107:K348,$J$107:$J348)</f>
        <v>155.60477020574979</v>
      </c>
      <c r="L349" s="27">
        <f t="shared" ref="L349:L412" si="32">J349-8</f>
        <v>148.59711162368734</v>
      </c>
      <c r="O349" s="22"/>
      <c r="P349" s="23">
        <f t="shared" si="28"/>
        <v>4.9950883900576342</v>
      </c>
      <c r="R349" s="24"/>
      <c r="S349" s="28">
        <f>'[7]Monthly Prices'!$D510</f>
        <v>65.724847237600457</v>
      </c>
      <c r="T349" s="29">
        <f>'[6]Used Cooking Oil Complex'!$AX204</f>
        <v>81.25</v>
      </c>
    </row>
    <row r="350" spans="1:20" x14ac:dyDescent="0.2">
      <c r="A350" s="17">
        <v>51987</v>
      </c>
      <c r="B350" s="18">
        <f t="shared" si="29"/>
        <v>5</v>
      </c>
      <c r="C350" s="18">
        <f t="shared" si="30"/>
        <v>2</v>
      </c>
      <c r="D350" s="11">
        <f t="shared" si="31"/>
        <v>2042</v>
      </c>
      <c r="J350" s="26">
        <f>MultiRegressionD4RIN!$B$17+(Monthly!$S350*MultiRegressionD4RIN!$B$18)+(Monthly!$T350*MultiRegressionD4RIN!$B$19)</f>
        <v>167.79561299734058</v>
      </c>
      <c r="K350" s="26">
        <f>FORECAST($J350,K$107:K349,$J$107:$J349)</f>
        <v>166.78802294941852</v>
      </c>
      <c r="L350" s="27">
        <f t="shared" si="32"/>
        <v>159.79561299734058</v>
      </c>
      <c r="O350" s="22"/>
      <c r="P350" s="23">
        <f t="shared" si="28"/>
        <v>5.6331677943760141</v>
      </c>
      <c r="R350" s="24"/>
      <c r="S350" s="28">
        <f>'[7]Monthly Prices'!$D511</f>
        <v>74.120628873368616</v>
      </c>
      <c r="T350" s="29">
        <f>'[6]Used Cooking Oil Complex'!$AX205</f>
        <v>80.5</v>
      </c>
    </row>
    <row r="351" spans="1:20" x14ac:dyDescent="0.2">
      <c r="A351" s="17">
        <v>52018</v>
      </c>
      <c r="B351" s="18">
        <f t="shared" si="29"/>
        <v>6</v>
      </c>
      <c r="C351" s="18">
        <f t="shared" si="30"/>
        <v>2</v>
      </c>
      <c r="D351" s="11">
        <f t="shared" si="31"/>
        <v>2042</v>
      </c>
      <c r="J351" s="26">
        <f>MultiRegressionD4RIN!$B$17+(Monthly!$S351*MultiRegressionD4RIN!$B$18)+(Monthly!$T351*MultiRegressionD4RIN!$B$19)</f>
        <v>176.12517245830102</v>
      </c>
      <c r="K351" s="26">
        <f>FORECAST($J351,K$107:K350,$J$107:$J350)</f>
        <v>175.10624032397686</v>
      </c>
      <c r="L351" s="27">
        <f t="shared" si="32"/>
        <v>168.12517245830102</v>
      </c>
      <c r="O351" s="22"/>
      <c r="P351" s="23">
        <f t="shared" si="28"/>
        <v>5.9030375795765799</v>
      </c>
      <c r="R351" s="24"/>
      <c r="S351" s="28">
        <f>'[7]Monthly Prices'!$D512</f>
        <v>77.67154709969185</v>
      </c>
      <c r="T351" s="29">
        <f>'[6]Used Cooking Oil Complex'!$AX206</f>
        <v>83.5</v>
      </c>
    </row>
    <row r="352" spans="1:20" x14ac:dyDescent="0.2">
      <c r="A352" s="17">
        <v>52048</v>
      </c>
      <c r="B352" s="18">
        <f t="shared" si="29"/>
        <v>7</v>
      </c>
      <c r="C352" s="18">
        <f t="shared" si="30"/>
        <v>3</v>
      </c>
      <c r="D352" s="11">
        <f t="shared" si="31"/>
        <v>2042</v>
      </c>
      <c r="J352" s="26">
        <f>MultiRegressionD4RIN!$B$17+(Monthly!$S352*MultiRegressionD4RIN!$B$18)+(Monthly!$T352*MultiRegressionD4RIN!$B$19)</f>
        <v>188.10168877589024</v>
      </c>
      <c r="K352" s="26">
        <f>FORECAST($J352,K$107:K351,$J$107:$J351)</f>
        <v>187.06644861429203</v>
      </c>
      <c r="L352" s="27">
        <f t="shared" si="32"/>
        <v>180.10168877589024</v>
      </c>
      <c r="O352" s="22"/>
      <c r="P352" s="23">
        <f t="shared" si="28"/>
        <v>6.3810382906100322</v>
      </c>
      <c r="R352" s="24"/>
      <c r="S352" s="28">
        <f>'[7]Monthly Prices'!$D513</f>
        <v>83.961030139605697</v>
      </c>
      <c r="T352" s="29">
        <f>'[6]Used Cooking Oil Complex'!$AX207</f>
        <v>86.25</v>
      </c>
    </row>
    <row r="353" spans="1:20" x14ac:dyDescent="0.2">
      <c r="A353" s="17">
        <v>52079</v>
      </c>
      <c r="B353" s="18">
        <f t="shared" si="29"/>
        <v>8</v>
      </c>
      <c r="C353" s="18">
        <f t="shared" si="30"/>
        <v>3</v>
      </c>
      <c r="D353" s="11">
        <f t="shared" si="31"/>
        <v>2042</v>
      </c>
      <c r="J353" s="26">
        <f>MultiRegressionD4RIN!$B$17+(Monthly!$S353*MultiRegressionD4RIN!$B$18)+(Monthly!$T353*MultiRegressionD4RIN!$B$19)</f>
        <v>101.3985623346602</v>
      </c>
      <c r="K353" s="26">
        <f>FORECAST($J353,K$107:K352,$J$107:$J352)</f>
        <v>100.48138296079487</v>
      </c>
      <c r="L353" s="27">
        <f t="shared" si="32"/>
        <v>93.398562334660198</v>
      </c>
      <c r="O353" s="22"/>
      <c r="P353" s="23">
        <f t="shared" si="28"/>
        <v>3.8034314995731338</v>
      </c>
      <c r="R353" s="24"/>
      <c r="S353" s="28">
        <f>'[7]Monthly Prices'!$D514</f>
        <v>50.045151310172812</v>
      </c>
      <c r="T353" s="29">
        <f>'[6]Used Cooking Oil Complex'!$AX208</f>
        <v>51</v>
      </c>
    </row>
    <row r="354" spans="1:20" x14ac:dyDescent="0.2">
      <c r="A354" s="17">
        <v>52110</v>
      </c>
      <c r="B354" s="18">
        <f t="shared" si="29"/>
        <v>9</v>
      </c>
      <c r="C354" s="18">
        <f t="shared" si="30"/>
        <v>3</v>
      </c>
      <c r="D354" s="11">
        <f t="shared" si="31"/>
        <v>2042</v>
      </c>
      <c r="J354" s="26">
        <f>MultiRegressionD4RIN!$B$17+(Monthly!$S354*MultiRegressionD4RIN!$B$18)+(Monthly!$T354*MultiRegressionD4RIN!$B$19)</f>
        <v>87.244779454747089</v>
      </c>
      <c r="K354" s="26">
        <f>FORECAST($J354,K$107:K353,$J$107:$J353)</f>
        <v>86.34687282022567</v>
      </c>
      <c r="L354" s="27">
        <f t="shared" si="32"/>
        <v>79.244779454747089</v>
      </c>
      <c r="O354" s="22"/>
      <c r="P354" s="23">
        <f t="shared" si="28"/>
        <v>3.4543337293523733</v>
      </c>
      <c r="R354" s="24"/>
      <c r="S354" s="28">
        <f>'[7]Monthly Prices'!$D515</f>
        <v>45.451759596741759</v>
      </c>
      <c r="T354" s="29">
        <f>'[6]Used Cooking Oil Complex'!$AX209</f>
        <v>44</v>
      </c>
    </row>
    <row r="355" spans="1:20" x14ac:dyDescent="0.2">
      <c r="A355" s="17">
        <v>52140</v>
      </c>
      <c r="B355" s="18">
        <f t="shared" si="29"/>
        <v>10</v>
      </c>
      <c r="C355" s="18">
        <f t="shared" si="30"/>
        <v>4</v>
      </c>
      <c r="D355" s="11">
        <f t="shared" si="31"/>
        <v>2042</v>
      </c>
      <c r="J355" s="26">
        <f>MultiRegressionD4RIN!$B$17+(Monthly!$S355*MultiRegressionD4RIN!$B$18)+(Monthly!$T355*MultiRegressionD4RIN!$B$19)</f>
        <v>121.304527238426</v>
      </c>
      <c r="K355" s="26">
        <f>FORECAST($J355,K$107:K354,$J$107:$J354)</f>
        <v>120.36024256866671</v>
      </c>
      <c r="L355" s="27">
        <f t="shared" si="32"/>
        <v>113.304527238426</v>
      </c>
      <c r="O355" s="22"/>
      <c r="P355" s="23">
        <f t="shared" si="28"/>
        <v>4.0984517460430849</v>
      </c>
      <c r="R355" s="24"/>
      <c r="S355" s="28">
        <f>'[7]Monthly Prices'!$D516</f>
        <v>53.926996658461647</v>
      </c>
      <c r="T355" s="29">
        <f>'[6]Used Cooking Oil Complex'!$AY198</f>
        <v>64.25</v>
      </c>
    </row>
    <row r="356" spans="1:20" x14ac:dyDescent="0.2">
      <c r="A356" s="17">
        <v>52171</v>
      </c>
      <c r="B356" s="18">
        <f t="shared" si="29"/>
        <v>11</v>
      </c>
      <c r="C356" s="18">
        <f t="shared" si="30"/>
        <v>4</v>
      </c>
      <c r="D356" s="11">
        <f t="shared" si="31"/>
        <v>2042</v>
      </c>
      <c r="J356" s="26">
        <f>MultiRegressionD4RIN!$B$17+(Monthly!$S356*MultiRegressionD4RIN!$B$18)+(Monthly!$T356*MultiRegressionD4RIN!$B$19)</f>
        <v>89.892976670451077</v>
      </c>
      <c r="K356" s="26">
        <f>FORECAST($J356,K$107:K355,$J$107:$J355)</f>
        <v>88.991464073120781</v>
      </c>
      <c r="L356" s="27">
        <f t="shared" si="32"/>
        <v>81.892976670451077</v>
      </c>
      <c r="O356" s="22"/>
      <c r="P356" s="23">
        <f t="shared" si="28"/>
        <v>3.1346517746480487</v>
      </c>
      <c r="R356" s="24"/>
      <c r="S356" s="28">
        <f>'[7]Monthly Prices'!$D517</f>
        <v>41.245418087474327</v>
      </c>
      <c r="T356" s="29">
        <f>'[6]Used Cooking Oil Complex'!$AY199</f>
        <v>52</v>
      </c>
    </row>
    <row r="357" spans="1:20" x14ac:dyDescent="0.2">
      <c r="A357" s="17">
        <v>52201</v>
      </c>
      <c r="B357" s="18">
        <f t="shared" si="29"/>
        <v>12</v>
      </c>
      <c r="C357" s="18">
        <f t="shared" si="30"/>
        <v>4</v>
      </c>
      <c r="D357" s="11">
        <f t="shared" si="31"/>
        <v>2042</v>
      </c>
      <c r="J357" s="26">
        <f>MultiRegressionD4RIN!$B$17+(Monthly!$S357*MultiRegressionD4RIN!$B$18)+(Monthly!$T357*MultiRegressionD4RIN!$B$19)</f>
        <v>128.4374256470237</v>
      </c>
      <c r="K357" s="26">
        <f>FORECAST($J357,K$107:K356,$J$107:$J356)</f>
        <v>127.48342834475042</v>
      </c>
      <c r="L357" s="27">
        <f t="shared" si="32"/>
        <v>120.4374256470237</v>
      </c>
      <c r="O357" s="22"/>
      <c r="P357" s="23">
        <f t="shared" si="28"/>
        <v>4.5637055822673247</v>
      </c>
      <c r="R357" s="24"/>
      <c r="S357" s="28">
        <f>'[7]Monthly Prices'!$D518</f>
        <v>60.048757661412168</v>
      </c>
      <c r="T357" s="29">
        <f>'[6]Used Cooking Oil Complex'!$AY200</f>
        <v>62.75</v>
      </c>
    </row>
    <row r="358" spans="1:20" x14ac:dyDescent="0.2">
      <c r="A358" s="17">
        <v>52232</v>
      </c>
      <c r="B358" s="18">
        <f t="shared" si="29"/>
        <v>1</v>
      </c>
      <c r="C358" s="18">
        <f t="shared" si="30"/>
        <v>1</v>
      </c>
      <c r="D358" s="11">
        <f t="shared" si="31"/>
        <v>2043</v>
      </c>
      <c r="J358" s="26">
        <f>MultiRegressionD4RIN!$B$17+(Monthly!$S358*MultiRegressionD4RIN!$B$18)+(Monthly!$T358*MultiRegressionD4RIN!$B$19)</f>
        <v>112.80029750479181</v>
      </c>
      <c r="K358" s="26">
        <f>FORECAST($J358,K$107:K357,$J$107:$J357)</f>
        <v>111.86759276418415</v>
      </c>
      <c r="L358" s="27">
        <f t="shared" si="32"/>
        <v>104.80029750479181</v>
      </c>
      <c r="O358" s="22"/>
      <c r="P358" s="23">
        <f t="shared" si="28"/>
        <v>3.905621484035517</v>
      </c>
      <c r="R358" s="24"/>
      <c r="S358" s="28">
        <f>'[7]Monthly Prices'!$D519</f>
        <v>51.389756368888385</v>
      </c>
      <c r="T358" s="29">
        <f>'[6]Used Cooking Oil Complex'!$AY201</f>
        <v>59.75</v>
      </c>
    </row>
    <row r="359" spans="1:20" x14ac:dyDescent="0.2">
      <c r="A359" s="17">
        <v>52263</v>
      </c>
      <c r="B359" s="18">
        <f t="shared" si="29"/>
        <v>2</v>
      </c>
      <c r="C359" s="18">
        <f t="shared" si="30"/>
        <v>1</v>
      </c>
      <c r="D359" s="11">
        <f t="shared" si="31"/>
        <v>2043</v>
      </c>
      <c r="J359" s="26">
        <f>MultiRegressionD4RIN!$B$17+(Monthly!$S359*MultiRegressionD4RIN!$B$18)+(Monthly!$T359*MultiRegressionD4RIN!$B$19)</f>
        <v>101.32877992000718</v>
      </c>
      <c r="K359" s="26">
        <f>FORECAST($J359,K$107:K358,$J$107:$J358)</f>
        <v>100.4116955665544</v>
      </c>
      <c r="L359" s="27">
        <f t="shared" si="32"/>
        <v>93.328779920007179</v>
      </c>
      <c r="O359" s="22"/>
      <c r="P359" s="23">
        <f t="shared" si="28"/>
        <v>3.2961975411560478</v>
      </c>
      <c r="R359" s="24"/>
      <c r="S359" s="28">
        <f>'[7]Monthly Prices'!$D520</f>
        <v>43.371020278369052</v>
      </c>
      <c r="T359" s="29">
        <f>'[6]Used Cooking Oil Complex'!$AY202</f>
        <v>59.75</v>
      </c>
    </row>
    <row r="360" spans="1:20" x14ac:dyDescent="0.2">
      <c r="A360" s="17">
        <v>52291</v>
      </c>
      <c r="B360" s="18">
        <f t="shared" si="29"/>
        <v>3</v>
      </c>
      <c r="C360" s="18">
        <f t="shared" si="30"/>
        <v>1</v>
      </c>
      <c r="D360" s="11">
        <f t="shared" si="31"/>
        <v>2043</v>
      </c>
      <c r="J360" s="26">
        <f>MultiRegressionD4RIN!$B$17+(Monthly!$S360*MultiRegressionD4RIN!$B$18)+(Monthly!$T360*MultiRegressionD4RIN!$B$19)</f>
        <v>132.22513220167053</v>
      </c>
      <c r="K360" s="26">
        <f>FORECAST($J360,K$107:K359,$J$107:$J359)</f>
        <v>131.26597730430356</v>
      </c>
      <c r="L360" s="27">
        <f t="shared" si="32"/>
        <v>124.22513220167053</v>
      </c>
      <c r="O360" s="22"/>
      <c r="P360" s="23">
        <f t="shared" si="28"/>
        <v>4.3189464977487155</v>
      </c>
      <c r="R360" s="24"/>
      <c r="S360" s="28">
        <f>'[7]Monthly Prices'!$D521</f>
        <v>56.828243391430476</v>
      </c>
      <c r="T360" s="29">
        <f>'[6]Used Cooking Oil Complex'!$AY203</f>
        <v>70.5</v>
      </c>
    </row>
    <row r="361" spans="1:20" x14ac:dyDescent="0.2">
      <c r="A361" s="17">
        <v>52322</v>
      </c>
      <c r="B361" s="18">
        <f t="shared" si="29"/>
        <v>4</v>
      </c>
      <c r="C361" s="18">
        <f t="shared" si="30"/>
        <v>2</v>
      </c>
      <c r="D361" s="11">
        <f t="shared" si="31"/>
        <v>2043</v>
      </c>
      <c r="J361" s="26">
        <f>MultiRegressionD4RIN!$B$17+(Monthly!$S361*MultiRegressionD4RIN!$B$18)+(Monthly!$T361*MultiRegressionD4RIN!$B$19)</f>
        <v>147.9830120462434</v>
      </c>
      <c r="K361" s="26">
        <f>FORECAST($J361,K$107:K360,$J$107:$J360)</f>
        <v>147.00240016360024</v>
      </c>
      <c r="L361" s="27">
        <f t="shared" si="32"/>
        <v>139.9830120462434</v>
      </c>
      <c r="O361" s="22"/>
      <c r="P361" s="23">
        <f t="shared" si="28"/>
        <v>4.8683536924542672</v>
      </c>
      <c r="R361" s="24"/>
      <c r="S361" s="28">
        <f>'[7]Monthly Prices'!$D522</f>
        <v>64.057285427029839</v>
      </c>
      <c r="T361" s="29">
        <f>'[6]Used Cooking Oil Complex'!$AY204</f>
        <v>75.5</v>
      </c>
    </row>
    <row r="362" spans="1:20" x14ac:dyDescent="0.2">
      <c r="A362" s="17">
        <v>52352</v>
      </c>
      <c r="B362" s="18">
        <f t="shared" si="29"/>
        <v>5</v>
      </c>
      <c r="C362" s="18">
        <f t="shared" si="30"/>
        <v>2</v>
      </c>
      <c r="D362" s="11">
        <f t="shared" si="31"/>
        <v>2043</v>
      </c>
      <c r="J362" s="26">
        <f>MultiRegressionD4RIN!$B$17+(Monthly!$S362*MultiRegressionD4RIN!$B$18)+(Monthly!$T362*MultiRegressionD4RIN!$B$19)</f>
        <v>161.18294835158423</v>
      </c>
      <c r="K362" s="26">
        <f>FORECAST($J362,K$107:K361,$J$107:$J361)</f>
        <v>160.18436255101909</v>
      </c>
      <c r="L362" s="27">
        <f t="shared" si="32"/>
        <v>153.18294835158423</v>
      </c>
      <c r="O362" s="22"/>
      <c r="P362" s="23">
        <f t="shared" si="28"/>
        <v>5.5552133361040354</v>
      </c>
      <c r="R362" s="24"/>
      <c r="S362" s="28">
        <f>'[7]Monthly Prices'!$D523</f>
        <v>73.094912317158361</v>
      </c>
      <c r="T362" s="29">
        <f>'[6]Used Cooking Oil Complex'!$AY205</f>
        <v>75.75</v>
      </c>
    </row>
    <row r="363" spans="1:20" x14ac:dyDescent="0.2">
      <c r="A363" s="17">
        <v>52383</v>
      </c>
      <c r="B363" s="18">
        <f t="shared" si="29"/>
        <v>6</v>
      </c>
      <c r="C363" s="18">
        <f t="shared" si="30"/>
        <v>2</v>
      </c>
      <c r="D363" s="11">
        <f t="shared" si="31"/>
        <v>2043</v>
      </c>
      <c r="J363" s="26">
        <f>MultiRegressionD4RIN!$B$17+(Monthly!$S363*MultiRegressionD4RIN!$B$18)+(Monthly!$T363*MultiRegressionD4RIN!$B$19)</f>
        <v>166.81136846959811</v>
      </c>
      <c r="K363" s="26">
        <f>FORECAST($J363,K$107:K362,$J$107:$J362)</f>
        <v>165.80511863498828</v>
      </c>
      <c r="L363" s="27">
        <f t="shared" si="32"/>
        <v>158.81136846959811</v>
      </c>
      <c r="O363" s="22"/>
      <c r="P363" s="23">
        <f t="shared" si="28"/>
        <v>5.7391311112804519</v>
      </c>
      <c r="R363" s="24"/>
      <c r="S363" s="28">
        <f>'[7]Monthly Prices'!$D524</f>
        <v>75.514883043163849</v>
      </c>
      <c r="T363" s="29">
        <f>'[6]Used Cooking Oil Complex'!$AY206</f>
        <v>77.75</v>
      </c>
    </row>
    <row r="364" spans="1:20" x14ac:dyDescent="0.2">
      <c r="A364" s="17">
        <v>52413</v>
      </c>
      <c r="B364" s="18">
        <f t="shared" si="29"/>
        <v>7</v>
      </c>
      <c r="C364" s="18">
        <f t="shared" si="30"/>
        <v>3</v>
      </c>
      <c r="D364" s="11">
        <f t="shared" si="31"/>
        <v>2043</v>
      </c>
      <c r="J364" s="26">
        <f>MultiRegressionD4RIN!$B$17+(Monthly!$S364*MultiRegressionD4RIN!$B$18)+(Monthly!$T364*MultiRegressionD4RIN!$B$19)</f>
        <v>177.0345021435221</v>
      </c>
      <c r="K364" s="26">
        <f>FORECAST($J364,K$107:K363,$J$107:$J363)</f>
        <v>176.01433180495604</v>
      </c>
      <c r="L364" s="27">
        <f t="shared" si="32"/>
        <v>169.0345021435221</v>
      </c>
      <c r="O364" s="22"/>
      <c r="P364" s="23">
        <f t="shared" si="28"/>
        <v>6.1671428723614419</v>
      </c>
      <c r="R364" s="24"/>
      <c r="S364" s="28">
        <f>'[7]Monthly Prices'!$D525</f>
        <v>81.146616741597924</v>
      </c>
      <c r="T364" s="29">
        <f>'[6]Used Cooking Oil Complex'!$AY207</f>
        <v>79.75</v>
      </c>
    </row>
    <row r="365" spans="1:20" x14ac:dyDescent="0.2">
      <c r="A365" s="17">
        <v>52444</v>
      </c>
      <c r="B365" s="18">
        <f t="shared" si="29"/>
        <v>8</v>
      </c>
      <c r="C365" s="18">
        <f t="shared" si="30"/>
        <v>3</v>
      </c>
      <c r="D365" s="11">
        <f t="shared" si="31"/>
        <v>2043</v>
      </c>
      <c r="J365" s="26">
        <f>MultiRegressionD4RIN!$B$17+(Monthly!$S365*MultiRegressionD4RIN!$B$18)+(Monthly!$T365*MultiRegressionD4RIN!$B$19)</f>
        <v>84.353619355686845</v>
      </c>
      <c r="K365" s="26">
        <f>FORECAST($J365,K$107:K364,$J$107:$J364)</f>
        <v>83.45964951851947</v>
      </c>
      <c r="L365" s="27">
        <f t="shared" si="32"/>
        <v>76.353619355686845</v>
      </c>
      <c r="O365" s="22"/>
      <c r="P365" s="23">
        <f t="shared" si="28"/>
        <v>3.3870598320626102</v>
      </c>
      <c r="R365" s="24"/>
      <c r="S365" s="28">
        <f>'[7]Monthly Prices'!$D526</f>
        <v>44.566576737665926</v>
      </c>
      <c r="T365" s="29">
        <f>'[6]Used Cooking Oil Complex'!$AY208</f>
        <v>42.5</v>
      </c>
    </row>
    <row r="366" spans="1:20" x14ac:dyDescent="0.2">
      <c r="A366" s="17">
        <v>52475</v>
      </c>
      <c r="B366" s="18">
        <f t="shared" si="29"/>
        <v>9</v>
      </c>
      <c r="C366" s="18">
        <f t="shared" si="30"/>
        <v>3</v>
      </c>
      <c r="D366" s="11">
        <f t="shared" si="31"/>
        <v>2043</v>
      </c>
      <c r="J366" s="26">
        <f>MultiRegressionD4RIN!$B$17+(Monthly!$S366*MultiRegressionD4RIN!$B$18)+(Monthly!$T366*MultiRegressionD4RIN!$B$19)</f>
        <v>71.702165438626281</v>
      </c>
      <c r="K366" s="26">
        <f>FORECAST($J366,K$107:K365,$J$107:$J365)</f>
        <v>70.825422669002123</v>
      </c>
      <c r="L366" s="27">
        <f t="shared" si="32"/>
        <v>63.702165438626281</v>
      </c>
      <c r="O366" s="22"/>
      <c r="P366" s="23">
        <f t="shared" si="28"/>
        <v>3.0890002735355937</v>
      </c>
      <c r="R366" s="24"/>
      <c r="S366" s="28">
        <f>'[7]Monthly Prices'!$D527</f>
        <v>40.644740441257817</v>
      </c>
      <c r="T366" s="29">
        <f>'[6]Used Cooking Oil Complex'!$AY209</f>
        <v>36</v>
      </c>
    </row>
    <row r="367" spans="1:20" x14ac:dyDescent="0.2">
      <c r="A367" s="17">
        <v>52505</v>
      </c>
      <c r="B367" s="18">
        <f t="shared" si="29"/>
        <v>10</v>
      </c>
      <c r="C367" s="18">
        <f t="shared" si="30"/>
        <v>4</v>
      </c>
      <c r="D367" s="11">
        <f t="shared" si="31"/>
        <v>2043</v>
      </c>
      <c r="J367" s="26">
        <f>MultiRegressionD4RIN!$B$17+(Monthly!$S367*MultiRegressionD4RIN!$B$18)+(Monthly!$T367*MultiRegressionD4RIN!$B$19)</f>
        <v>107.02303774126482</v>
      </c>
      <c r="K367" s="26">
        <f>FORECAST($J367,K$107:K366,$J$107:$J366)</f>
        <v>106.09819970473826</v>
      </c>
      <c r="L367" s="27">
        <f t="shared" si="32"/>
        <v>99.023037741264815</v>
      </c>
      <c r="O367" s="22"/>
      <c r="P367" s="23">
        <f t="shared" si="28"/>
        <v>3.7569560457046891</v>
      </c>
      <c r="R367" s="24"/>
      <c r="S367" s="28">
        <f>'[7]Monthly Prices'!$D528</f>
        <v>49.433632180324857</v>
      </c>
      <c r="T367" s="29">
        <f>'[6]Used Cooking Oil Complex'!$AZ198</f>
        <v>57</v>
      </c>
    </row>
    <row r="368" spans="1:20" x14ac:dyDescent="0.2">
      <c r="A368" s="17">
        <v>52536</v>
      </c>
      <c r="B368" s="18">
        <f t="shared" si="29"/>
        <v>11</v>
      </c>
      <c r="C368" s="18">
        <f t="shared" si="30"/>
        <v>4</v>
      </c>
      <c r="D368" s="11">
        <f t="shared" si="31"/>
        <v>2043</v>
      </c>
      <c r="J368" s="26">
        <f>MultiRegressionD4RIN!$B$17+(Monthly!$S368*MultiRegressionD4RIN!$B$18)+(Monthly!$T368*MultiRegressionD4RIN!$B$19)</f>
        <v>99.172249481467901</v>
      </c>
      <c r="K368" s="26">
        <f>FORECAST($J368,K$107:K367,$J$107:$J367)</f>
        <v>98.258101604389125</v>
      </c>
      <c r="L368" s="27">
        <f t="shared" si="32"/>
        <v>91.172249481467901</v>
      </c>
      <c r="O368" s="22"/>
      <c r="P368" s="23">
        <f t="shared" si="28"/>
        <v>3.4981344835192614</v>
      </c>
      <c r="R368" s="24"/>
      <c r="S368" s="28">
        <f>'[7]Monthly Prices'!$D529</f>
        <v>46.028085309463968</v>
      </c>
      <c r="T368" s="29">
        <f>'[6]Used Cooking Oil Complex'!$AZ199</f>
        <v>54.25</v>
      </c>
    </row>
    <row r="369" spans="1:20" x14ac:dyDescent="0.2">
      <c r="A369" s="17">
        <v>52566</v>
      </c>
      <c r="B369" s="18">
        <f t="shared" si="29"/>
        <v>12</v>
      </c>
      <c r="C369" s="18">
        <f t="shared" si="30"/>
        <v>4</v>
      </c>
      <c r="D369" s="11">
        <f t="shared" si="31"/>
        <v>2043</v>
      </c>
      <c r="J369" s="26">
        <f>MultiRegressionD4RIN!$B$17+(Monthly!$S369*MultiRegressionD4RIN!$B$18)+(Monthly!$T369*MultiRegressionD4RIN!$B$19)</f>
        <v>139.62866892995453</v>
      </c>
      <c r="K369" s="26">
        <f>FORECAST($J369,K$107:K368,$J$107:$J368)</f>
        <v>138.65943288079953</v>
      </c>
      <c r="L369" s="27">
        <f t="shared" si="32"/>
        <v>131.62866892995453</v>
      </c>
      <c r="O369" s="22"/>
      <c r="P369" s="23">
        <f t="shared" si="28"/>
        <v>4.9712157343886902</v>
      </c>
      <c r="R369" s="24"/>
      <c r="S369" s="28">
        <f>'[7]Monthly Prices'!$D530</f>
        <v>65.410733347219619</v>
      </c>
      <c r="T369" s="29">
        <f>'[6]Used Cooking Oil Complex'!$AZ200</f>
        <v>66</v>
      </c>
    </row>
    <row r="370" spans="1:20" x14ac:dyDescent="0.2">
      <c r="A370" s="17">
        <v>52597</v>
      </c>
      <c r="B370" s="18">
        <f t="shared" si="29"/>
        <v>1</v>
      </c>
      <c r="C370" s="18">
        <f t="shared" si="30"/>
        <v>1</v>
      </c>
      <c r="D370" s="11">
        <f t="shared" si="31"/>
        <v>2044</v>
      </c>
      <c r="J370" s="26">
        <f>MultiRegressionD4RIN!$B$17+(Monthly!$S370*MultiRegressionD4RIN!$B$18)+(Monthly!$T370*MultiRegressionD4RIN!$B$19)</f>
        <v>141.49435622464705</v>
      </c>
      <c r="K370" s="26">
        <f>FORECAST($J370,K$107:K369,$J$107:$J369)</f>
        <v>140.52257973063482</v>
      </c>
      <c r="L370" s="27">
        <f t="shared" si="32"/>
        <v>133.49435622464705</v>
      </c>
      <c r="O370" s="22"/>
      <c r="P370" s="23">
        <f t="shared" si="28"/>
        <v>4.8257601566301016</v>
      </c>
      <c r="R370" s="24"/>
      <c r="S370" s="28">
        <f>'[7]Monthly Prices'!$D531</f>
        <v>63.496844166185554</v>
      </c>
      <c r="T370" s="29">
        <f>'[6]Used Cooking Oil Complex'!$AZ201</f>
        <v>70.25</v>
      </c>
    </row>
    <row r="371" spans="1:20" x14ac:dyDescent="0.2">
      <c r="A371" s="17">
        <v>52628</v>
      </c>
      <c r="B371" s="18">
        <f t="shared" si="29"/>
        <v>2</v>
      </c>
      <c r="C371" s="18">
        <f t="shared" si="30"/>
        <v>1</v>
      </c>
      <c r="D371" s="11">
        <f t="shared" si="31"/>
        <v>2044</v>
      </c>
      <c r="J371" s="26">
        <f>MultiRegressionD4RIN!$B$17+(Monthly!$S371*MultiRegressionD4RIN!$B$18)+(Monthly!$T371*MultiRegressionD4RIN!$B$19)</f>
        <v>124.59538547568208</v>
      </c>
      <c r="K371" s="26">
        <f>FORECAST($J371,K$107:K370,$J$107:$J370)</f>
        <v>123.6466197527964</v>
      </c>
      <c r="L371" s="27">
        <f t="shared" si="32"/>
        <v>116.59538547568208</v>
      </c>
      <c r="O371" s="22"/>
      <c r="P371" s="23">
        <f t="shared" si="28"/>
        <v>4.0143218421845219</v>
      </c>
      <c r="R371" s="24"/>
      <c r="S371" s="28">
        <f>'[7]Monthly Prices'!$D532</f>
        <v>52.820024239270026</v>
      </c>
      <c r="T371" s="29">
        <f>'[6]Used Cooking Oil Complex'!$AZ202</f>
        <v>68.75</v>
      </c>
    </row>
    <row r="372" spans="1:20" x14ac:dyDescent="0.2">
      <c r="A372" s="17">
        <v>52657</v>
      </c>
      <c r="B372" s="18">
        <f t="shared" si="29"/>
        <v>3</v>
      </c>
      <c r="C372" s="18">
        <f t="shared" si="30"/>
        <v>1</v>
      </c>
      <c r="D372" s="11">
        <f t="shared" si="31"/>
        <v>2044</v>
      </c>
      <c r="J372" s="26">
        <f>MultiRegressionD4RIN!$B$17+(Monthly!$S372*MultiRegressionD4RIN!$B$18)+(Monthly!$T372*MultiRegressionD4RIN!$B$19)</f>
        <v>152.11667166504435</v>
      </c>
      <c r="K372" s="26">
        <f>FORECAST($J372,K$107:K371,$J$107:$J371)</f>
        <v>151.13043111442974</v>
      </c>
      <c r="L372" s="27">
        <f t="shared" si="32"/>
        <v>144.11667166504435</v>
      </c>
      <c r="O372" s="22"/>
      <c r="P372" s="23">
        <f t="shared" si="28"/>
        <v>4.9153164553853657</v>
      </c>
      <c r="R372" s="24"/>
      <c r="S372" s="28">
        <f>'[7]Monthly Prices'!$D533</f>
        <v>64.675216518228495</v>
      </c>
      <c r="T372" s="29">
        <f>'[6]Used Cooking Oil Complex'!$AZ203</f>
        <v>78.5</v>
      </c>
    </row>
    <row r="373" spans="1:20" x14ac:dyDescent="0.2">
      <c r="A373" s="17">
        <v>52688</v>
      </c>
      <c r="B373" s="18">
        <f t="shared" si="29"/>
        <v>4</v>
      </c>
      <c r="C373" s="18">
        <f t="shared" si="30"/>
        <v>2</v>
      </c>
      <c r="D373" s="11">
        <f t="shared" si="31"/>
        <v>2044</v>
      </c>
      <c r="J373" s="26">
        <f>MultiRegressionD4RIN!$B$17+(Monthly!$S373*MultiRegressionD4RIN!$B$18)+(Monthly!$T373*MultiRegressionD4RIN!$B$19)</f>
        <v>163.38773695149143</v>
      </c>
      <c r="K373" s="26">
        <f>FORECAST($J373,K$107:K372,$J$107:$J372)</f>
        <v>162.38614896300561</v>
      </c>
      <c r="L373" s="27">
        <f t="shared" si="32"/>
        <v>155.38773695149143</v>
      </c>
      <c r="O373" s="22"/>
      <c r="P373" s="23">
        <f t="shared" si="28"/>
        <v>5.2982941901599006</v>
      </c>
      <c r="R373" s="24"/>
      <c r="S373" s="28">
        <f>'[7]Monthly Prices'!$D534</f>
        <v>69.714397238946063</v>
      </c>
      <c r="T373" s="29">
        <f>'[6]Used Cooking Oil Complex'!$AZ204</f>
        <v>82.25</v>
      </c>
    </row>
    <row r="374" spans="1:20" x14ac:dyDescent="0.2">
      <c r="A374" s="17">
        <v>52718</v>
      </c>
      <c r="B374" s="18">
        <f t="shared" si="29"/>
        <v>5</v>
      </c>
      <c r="C374" s="18">
        <f t="shared" si="30"/>
        <v>2</v>
      </c>
      <c r="D374" s="11">
        <f t="shared" si="31"/>
        <v>2044</v>
      </c>
      <c r="J374" s="26">
        <f>MultiRegressionD4RIN!$B$17+(Monthly!$S374*MultiRegressionD4RIN!$B$18)+(Monthly!$T374*MultiRegressionD4RIN!$B$19)</f>
        <v>172.37469578454744</v>
      </c>
      <c r="K374" s="26">
        <f>FORECAST($J374,K$107:K373,$J$107:$J373)</f>
        <v>171.36087055061608</v>
      </c>
      <c r="L374" s="27">
        <f t="shared" si="32"/>
        <v>164.37469578454744</v>
      </c>
      <c r="O374" s="22"/>
      <c r="P374" s="23">
        <f t="shared" si="28"/>
        <v>5.862044917127597</v>
      </c>
      <c r="R374" s="24"/>
      <c r="S374" s="28">
        <f>'[7]Monthly Prices'!$D535</f>
        <v>77.132169962205225</v>
      </c>
      <c r="T374" s="29">
        <f>'[6]Used Cooking Oil Complex'!$AZ205</f>
        <v>80.75</v>
      </c>
    </row>
    <row r="375" spans="1:20" x14ac:dyDescent="0.2">
      <c r="A375" s="17">
        <v>52749</v>
      </c>
      <c r="B375" s="18">
        <f t="shared" si="29"/>
        <v>6</v>
      </c>
      <c r="C375" s="18">
        <f t="shared" si="30"/>
        <v>2</v>
      </c>
      <c r="D375" s="11">
        <f t="shared" si="31"/>
        <v>2044</v>
      </c>
      <c r="J375" s="26">
        <f>MultiRegressionD4RIN!$B$17+(Monthly!$S375*MultiRegressionD4RIN!$B$18)+(Monthly!$T375*MultiRegressionD4RIN!$B$19)</f>
        <v>178.27328704736487</v>
      </c>
      <c r="K375" s="26">
        <f>FORECAST($J375,K$107:K374,$J$107:$J374)</f>
        <v>177.25142989625138</v>
      </c>
      <c r="L375" s="27">
        <f t="shared" si="32"/>
        <v>170.27328704736487</v>
      </c>
      <c r="O375" s="22"/>
      <c r="P375" s="23">
        <f t="shared" si="28"/>
        <v>6.0459290451226204</v>
      </c>
      <c r="R375" s="24"/>
      <c r="S375" s="28">
        <f>'[7]Monthly Prices'!$D536</f>
        <v>79.551697962139755</v>
      </c>
      <c r="T375" s="29">
        <f>'[6]Used Cooking Oil Complex'!$AZ206</f>
        <v>83</v>
      </c>
    </row>
    <row r="376" spans="1:20" x14ac:dyDescent="0.2">
      <c r="A376" s="17">
        <v>52779</v>
      </c>
      <c r="B376" s="18">
        <f t="shared" si="29"/>
        <v>7</v>
      </c>
      <c r="C376" s="18">
        <f t="shared" si="30"/>
        <v>3</v>
      </c>
      <c r="D376" s="11">
        <f t="shared" si="31"/>
        <v>2044</v>
      </c>
      <c r="J376" s="26">
        <f>MultiRegressionD4RIN!$B$17+(Monthly!$S376*MultiRegressionD4RIN!$B$18)+(Monthly!$T376*MultiRegressionD4RIN!$B$19)</f>
        <v>187.69359776655841</v>
      </c>
      <c r="K376" s="26">
        <f>FORECAST($J376,K$107:K375,$J$107:$J375)</f>
        <v>186.65891328902842</v>
      </c>
      <c r="L376" s="27">
        <f t="shared" si="32"/>
        <v>179.69359776655841</v>
      </c>
      <c r="O376" s="22"/>
      <c r="P376" s="23">
        <f t="shared" si="28"/>
        <v>6.4456773458934764</v>
      </c>
      <c r="R376" s="24"/>
      <c r="S376" s="28">
        <f>'[7]Monthly Prices'!$D537</f>
        <v>84.81154402491417</v>
      </c>
      <c r="T376" s="29">
        <f>'[6]Used Cooking Oil Complex'!$AZ207</f>
        <v>84.75</v>
      </c>
    </row>
    <row r="377" spans="1:20" x14ac:dyDescent="0.2">
      <c r="A377" s="17">
        <v>52810</v>
      </c>
      <c r="B377" s="18">
        <f t="shared" si="29"/>
        <v>8</v>
      </c>
      <c r="C377" s="18">
        <f t="shared" si="30"/>
        <v>3</v>
      </c>
      <c r="D377" s="11">
        <f t="shared" si="31"/>
        <v>2044</v>
      </c>
      <c r="J377" s="26">
        <f>MultiRegressionD4RIN!$B$17+(Monthly!$S377*MultiRegressionD4RIN!$B$18)+(Monthly!$T377*MultiRegressionD4RIN!$B$19)</f>
        <v>89.01705803069575</v>
      </c>
      <c r="K377" s="26">
        <f>FORECAST($J377,K$107:K376,$J$107:$J376)</f>
        <v>88.116738142888721</v>
      </c>
      <c r="L377" s="27">
        <f t="shared" si="32"/>
        <v>81.01705803069575</v>
      </c>
      <c r="O377" s="22"/>
      <c r="P377" s="23">
        <f t="shared" si="28"/>
        <v>3.4765535667012153</v>
      </c>
      <c r="R377" s="24"/>
      <c r="S377" s="28">
        <f>'[7]Monthly Prices'!$D538</f>
        <v>45.744125877647569</v>
      </c>
      <c r="T377" s="29">
        <f>'[6]Used Cooking Oil Complex'!$AZ208</f>
        <v>45.25</v>
      </c>
    </row>
    <row r="378" spans="1:20" x14ac:dyDescent="0.2">
      <c r="A378" s="17">
        <v>52841</v>
      </c>
      <c r="B378" s="18">
        <f t="shared" si="29"/>
        <v>9</v>
      </c>
      <c r="C378" s="18">
        <f t="shared" si="30"/>
        <v>3</v>
      </c>
      <c r="D378" s="11">
        <f t="shared" si="31"/>
        <v>2044</v>
      </c>
      <c r="J378" s="26">
        <f>MultiRegressionD4RIN!$B$17+(Monthly!$S378*MultiRegressionD4RIN!$B$18)+(Monthly!$T378*MultiRegressionD4RIN!$B$19)</f>
        <v>72.627640714030235</v>
      </c>
      <c r="K378" s="26">
        <f>FORECAST($J378,K$107:K377,$J$107:$J377)</f>
        <v>71.749637755246496</v>
      </c>
      <c r="L378" s="27">
        <f t="shared" si="32"/>
        <v>64.627640714030235</v>
      </c>
      <c r="O378" s="22"/>
      <c r="P378" s="23">
        <f t="shared" si="28"/>
        <v>3.0518472380470962</v>
      </c>
      <c r="R378" s="24"/>
      <c r="S378" s="28">
        <f>'[7]Monthly Prices'!$D539</f>
        <v>40.155884711146001</v>
      </c>
      <c r="T378" s="29">
        <f>'[6]Used Cooking Oil Complex'!$AZ209</f>
        <v>37.5</v>
      </c>
    </row>
    <row r="379" spans="1:20" x14ac:dyDescent="0.2">
      <c r="A379" s="17">
        <v>52871</v>
      </c>
      <c r="B379" s="18">
        <f t="shared" si="29"/>
        <v>10</v>
      </c>
      <c r="C379" s="18">
        <f t="shared" si="30"/>
        <v>4</v>
      </c>
      <c r="D379" s="11">
        <f t="shared" si="31"/>
        <v>2044</v>
      </c>
      <c r="J379" s="26">
        <f>MultiRegressionD4RIN!$B$17+(Monthly!$S379*MultiRegressionD4RIN!$B$18)+(Monthly!$T379*MultiRegressionD4RIN!$B$19)</f>
        <v>117.18602834979198</v>
      </c>
      <c r="K379" s="26">
        <f>FORECAST($J379,K$107:K378,$J$107:$J378)</f>
        <v>116.2473517041378</v>
      </c>
      <c r="L379" s="27">
        <f t="shared" si="32"/>
        <v>109.18602834979198</v>
      </c>
      <c r="O379" s="22"/>
      <c r="P379" s="23">
        <f t="shared" ref="P379:P442" si="33">S379*7.6/100</f>
        <v>4.0091349588856318</v>
      </c>
      <c r="R379" s="24"/>
      <c r="S379" s="28">
        <f>'[7]Monthly Prices'!$D540</f>
        <v>52.751775774810952</v>
      </c>
      <c r="T379" s="29">
        <f>'[6]Used Cooking Oil Complex'!$BA198</f>
        <v>62</v>
      </c>
    </row>
    <row r="380" spans="1:20" x14ac:dyDescent="0.2">
      <c r="A380" s="17">
        <v>52902</v>
      </c>
      <c r="B380" s="18">
        <f t="shared" si="29"/>
        <v>11</v>
      </c>
      <c r="C380" s="18">
        <f t="shared" si="30"/>
        <v>4</v>
      </c>
      <c r="D380" s="11">
        <f t="shared" si="31"/>
        <v>2044</v>
      </c>
      <c r="J380" s="26">
        <f>MultiRegressionD4RIN!$B$17+(Monthly!$S380*MultiRegressionD4RIN!$B$18)+(Monthly!$T380*MultiRegressionD4RIN!$B$19)</f>
        <v>108.79948444601089</v>
      </c>
      <c r="K380" s="26">
        <f>FORECAST($J380,K$107:K379,$J$107:$J379)</f>
        <v>107.8722274805952</v>
      </c>
      <c r="L380" s="27">
        <f t="shared" si="32"/>
        <v>100.79948444601089</v>
      </c>
      <c r="O380" s="22"/>
      <c r="P380" s="23">
        <f t="shared" si="33"/>
        <v>3.7650108355901675</v>
      </c>
      <c r="R380" s="24"/>
      <c r="S380" s="28">
        <f>'[7]Monthly Prices'!$D541</f>
        <v>49.539616257765367</v>
      </c>
      <c r="T380" s="29">
        <f>'[6]Used Cooking Oil Complex'!$BA199</f>
        <v>58.5</v>
      </c>
    </row>
    <row r="381" spans="1:20" x14ac:dyDescent="0.2">
      <c r="A381" s="17">
        <v>52932</v>
      </c>
      <c r="B381" s="18">
        <f t="shared" si="29"/>
        <v>12</v>
      </c>
      <c r="C381" s="18">
        <f t="shared" si="30"/>
        <v>4</v>
      </c>
      <c r="D381" s="11">
        <f t="shared" si="31"/>
        <v>2044</v>
      </c>
      <c r="J381" s="26">
        <f>MultiRegressionD4RIN!$B$17+(Monthly!$S381*MultiRegressionD4RIN!$B$18)+(Monthly!$T381*MultiRegressionD4RIN!$B$19)</f>
        <v>150.66204034624195</v>
      </c>
      <c r="K381" s="26">
        <f>FORECAST($J381,K$107:K380,$J$107:$J380)</f>
        <v>149.67778051911927</v>
      </c>
      <c r="L381" s="27">
        <f t="shared" si="32"/>
        <v>142.66204034624195</v>
      </c>
      <c r="O381" s="22"/>
      <c r="P381" s="23">
        <f t="shared" si="33"/>
        <v>5.3271795120462135</v>
      </c>
      <c r="R381" s="24"/>
      <c r="S381" s="28">
        <f>'[7]Monthly Prices'!$D542</f>
        <v>70.094467263765978</v>
      </c>
      <c r="T381" s="29">
        <f>'[6]Used Cooking Oil Complex'!$BA200</f>
        <v>70</v>
      </c>
    </row>
    <row r="382" spans="1:20" x14ac:dyDescent="0.2">
      <c r="A382" s="17">
        <v>52963</v>
      </c>
      <c r="B382" s="18">
        <f t="shared" si="29"/>
        <v>1</v>
      </c>
      <c r="C382" s="18">
        <f t="shared" si="30"/>
        <v>1</v>
      </c>
      <c r="D382" s="11">
        <f t="shared" si="31"/>
        <v>2045</v>
      </c>
      <c r="J382" s="26">
        <f>MultiRegressionD4RIN!$B$17+(Monthly!$S382*MultiRegressionD4RIN!$B$18)+(Monthly!$T382*MultiRegressionD4RIN!$B$19)</f>
        <v>158.70788883388516</v>
      </c>
      <c r="K382" s="26">
        <f>FORECAST($J382,K$107:K381,$J$107:$J381)</f>
        <v>157.71267324023569</v>
      </c>
      <c r="L382" s="27">
        <f t="shared" si="32"/>
        <v>150.70788883388516</v>
      </c>
      <c r="O382" s="22"/>
      <c r="P382" s="23">
        <f t="shared" si="33"/>
        <v>5.4093394125955658</v>
      </c>
      <c r="R382" s="24"/>
      <c r="S382" s="28">
        <f>'[7]Monthly Prices'!$D543</f>
        <v>71.175518586783767</v>
      </c>
      <c r="T382" s="29">
        <f>'[6]Used Cooking Oil Complex'!$BA201</f>
        <v>76</v>
      </c>
    </row>
    <row r="383" spans="1:20" x14ac:dyDescent="0.2">
      <c r="A383" s="17">
        <v>52994</v>
      </c>
      <c r="B383" s="18">
        <f t="shared" si="29"/>
        <v>2</v>
      </c>
      <c r="C383" s="18">
        <f t="shared" si="30"/>
        <v>1</v>
      </c>
      <c r="D383" s="11">
        <f t="shared" si="31"/>
        <v>2045</v>
      </c>
      <c r="J383" s="26">
        <f>MultiRegressionD4RIN!$B$17+(Monthly!$S383*MultiRegressionD4RIN!$B$18)+(Monthly!$T383*MultiRegressionD4RIN!$B$19)</f>
        <v>139.28314338221881</v>
      </c>
      <c r="K383" s="26">
        <f>FORECAST($J383,K$107:K382,$J$107:$J382)</f>
        <v>138.31437782380644</v>
      </c>
      <c r="L383" s="27">
        <f t="shared" si="32"/>
        <v>131.28314338221881</v>
      </c>
      <c r="O383" s="22"/>
      <c r="P383" s="23">
        <f t="shared" si="33"/>
        <v>4.4781058906338673</v>
      </c>
      <c r="R383" s="24"/>
      <c r="S383" s="28">
        <f>'[7]Monthly Prices'!$D544</f>
        <v>58.922445929393</v>
      </c>
      <c r="T383" s="29">
        <f>'[6]Used Cooking Oil Complex'!$BA202</f>
        <v>74.25</v>
      </c>
    </row>
    <row r="384" spans="1:20" x14ac:dyDescent="0.2">
      <c r="A384" s="17">
        <v>53022</v>
      </c>
      <c r="B384" s="18">
        <f t="shared" si="29"/>
        <v>3</v>
      </c>
      <c r="C384" s="18">
        <f t="shared" si="30"/>
        <v>1</v>
      </c>
      <c r="D384" s="11">
        <f t="shared" si="31"/>
        <v>2045</v>
      </c>
      <c r="J384" s="26">
        <f>MultiRegressionD4RIN!$B$17+(Monthly!$S384*MultiRegressionD4RIN!$B$18)+(Monthly!$T384*MultiRegressionD4RIN!$B$19)</f>
        <v>165.55976015521503</v>
      </c>
      <c r="K384" s="26">
        <f>FORECAST($J384,K$107:K383,$J$107:$J383)</f>
        <v>164.55521459436784</v>
      </c>
      <c r="L384" s="27">
        <f t="shared" si="32"/>
        <v>157.55976015521503</v>
      </c>
      <c r="O384" s="22"/>
      <c r="P384" s="23">
        <f t="shared" si="33"/>
        <v>5.312977487616755</v>
      </c>
      <c r="R384" s="24"/>
      <c r="S384" s="28">
        <f>'[7]Monthly Prices'!$D545</f>
        <v>69.907598521273101</v>
      </c>
      <c r="T384" s="29">
        <f>'[6]Used Cooking Oil Complex'!$BA203</f>
        <v>84</v>
      </c>
    </row>
    <row r="385" spans="1:20" x14ac:dyDescent="0.2">
      <c r="A385" s="17">
        <v>53053</v>
      </c>
      <c r="B385" s="18">
        <f t="shared" si="29"/>
        <v>4</v>
      </c>
      <c r="C385" s="18">
        <f t="shared" si="30"/>
        <v>2</v>
      </c>
      <c r="D385" s="11">
        <f t="shared" si="31"/>
        <v>2045</v>
      </c>
      <c r="J385" s="26">
        <f>MultiRegressionD4RIN!$B$17+(Monthly!$S385*MultiRegressionD4RIN!$B$18)+(Monthly!$T385*MultiRegressionD4RIN!$B$19)</f>
        <v>175.71848811104627</v>
      </c>
      <c r="K385" s="26">
        <f>FORECAST($J385,K$107:K384,$J$107:$J384)</f>
        <v>174.70010974538496</v>
      </c>
      <c r="L385" s="27">
        <f t="shared" si="32"/>
        <v>167.71848811104627</v>
      </c>
      <c r="O385" s="22"/>
      <c r="P385" s="23">
        <f t="shared" si="33"/>
        <v>5.6368623432821598</v>
      </c>
      <c r="R385" s="24"/>
      <c r="S385" s="28">
        <f>'[7]Monthly Prices'!$D546</f>
        <v>74.169241358975782</v>
      </c>
      <c r="T385" s="29">
        <f>'[6]Used Cooking Oil Complex'!$BA204</f>
        <v>87.75</v>
      </c>
    </row>
    <row r="386" spans="1:20" x14ac:dyDescent="0.2">
      <c r="A386" s="17">
        <v>53083</v>
      </c>
      <c r="B386" s="18">
        <f t="shared" si="29"/>
        <v>5</v>
      </c>
      <c r="C386" s="18">
        <f t="shared" si="30"/>
        <v>2</v>
      </c>
      <c r="D386" s="11">
        <f t="shared" si="31"/>
        <v>2045</v>
      </c>
      <c r="J386" s="26">
        <f>MultiRegressionD4RIN!$B$17+(Monthly!$S386*MultiRegressionD4RIN!$B$18)+(Monthly!$T386*MultiRegressionD4RIN!$B$19)</f>
        <v>184.31968173063879</v>
      </c>
      <c r="K386" s="26">
        <f>FORECAST($J386,K$107:K385,$J$107:$J385)</f>
        <v>183.28959140330039</v>
      </c>
      <c r="L386" s="27">
        <f t="shared" si="32"/>
        <v>176.31968173063879</v>
      </c>
      <c r="O386" s="22"/>
      <c r="P386" s="23">
        <f t="shared" si="33"/>
        <v>6.1945057868546618</v>
      </c>
      <c r="R386" s="24"/>
      <c r="S386" s="28">
        <f>'[7]Monthly Prices'!$D547</f>
        <v>81.506655090192922</v>
      </c>
      <c r="T386" s="29">
        <f>'[6]Used Cooking Oil Complex'!$BA205</f>
        <v>86</v>
      </c>
    </row>
    <row r="387" spans="1:20" x14ac:dyDescent="0.2">
      <c r="A387" s="17">
        <v>53114</v>
      </c>
      <c r="B387" s="18">
        <f t="shared" si="29"/>
        <v>6</v>
      </c>
      <c r="C387" s="18">
        <f t="shared" si="30"/>
        <v>2</v>
      </c>
      <c r="D387" s="11">
        <f t="shared" si="31"/>
        <v>2045</v>
      </c>
      <c r="J387" s="26">
        <f>MultiRegressionD4RIN!$B$17+(Monthly!$S387*MultiRegressionD4RIN!$B$18)+(Monthly!$T387*MultiRegressionD4RIN!$B$19)</f>
        <v>188.59848869413753</v>
      </c>
      <c r="K387" s="26">
        <f>FORECAST($J387,K$107:K386,$J$107:$J386)</f>
        <v>187.56257205647552</v>
      </c>
      <c r="L387" s="27">
        <f t="shared" si="32"/>
        <v>180.59848869413753</v>
      </c>
      <c r="O387" s="22"/>
      <c r="P387" s="23">
        <f t="shared" si="33"/>
        <v>6.3354983719466471</v>
      </c>
      <c r="R387" s="24"/>
      <c r="S387" s="28">
        <f>'[7]Monthly Prices'!$D548</f>
        <v>83.361820683508526</v>
      </c>
      <c r="T387" s="29">
        <f>'[6]Used Cooking Oil Complex'!$BA206</f>
        <v>87.5</v>
      </c>
    </row>
    <row r="388" spans="1:20" x14ac:dyDescent="0.2">
      <c r="A388" s="17">
        <v>53144</v>
      </c>
      <c r="B388" s="18">
        <f t="shared" si="29"/>
        <v>7</v>
      </c>
      <c r="C388" s="18">
        <f t="shared" si="30"/>
        <v>3</v>
      </c>
      <c r="D388" s="11">
        <f t="shared" si="31"/>
        <v>2045</v>
      </c>
      <c r="J388" s="26">
        <f>MultiRegressionD4RIN!$B$17+(Monthly!$S388*MultiRegressionD4RIN!$B$18)+(Monthly!$T388*MultiRegressionD4RIN!$B$19)</f>
        <v>196.79994733924445</v>
      </c>
      <c r="K388" s="26">
        <f>FORECAST($J388,K$107:K387,$J$107:$J387)</f>
        <v>195.75286304583631</v>
      </c>
      <c r="L388" s="27">
        <f t="shared" si="32"/>
        <v>188.79994733924445</v>
      </c>
      <c r="O388" s="22"/>
      <c r="P388" s="23">
        <f t="shared" si="33"/>
        <v>6.6992681601429114</v>
      </c>
      <c r="R388" s="24"/>
      <c r="S388" s="28">
        <f>'[7]Monthly Prices'!$D549</f>
        <v>88.148265265038319</v>
      </c>
      <c r="T388" s="29">
        <f>'[6]Used Cooking Oil Complex'!$BA207</f>
        <v>88.75</v>
      </c>
    </row>
    <row r="389" spans="1:20" x14ac:dyDescent="0.2">
      <c r="A389" s="17">
        <v>53175</v>
      </c>
      <c r="B389" s="18">
        <f t="shared" ref="B389:B452" si="34">MONTH(A389)</f>
        <v>8</v>
      </c>
      <c r="C389" s="18">
        <f t="shared" ref="C389:C452" si="35">ROUNDUP(MONTH(A389)/3,0)</f>
        <v>3</v>
      </c>
      <c r="D389" s="11">
        <f t="shared" ref="D389:D452" si="36">YEAR(A389)</f>
        <v>2045</v>
      </c>
      <c r="J389" s="26">
        <f>MultiRegressionD4RIN!$B$17+(Monthly!$S389*MultiRegressionD4RIN!$B$18)+(Monthly!$T389*MultiRegressionD4RIN!$B$19)</f>
        <v>99.833552729055299</v>
      </c>
      <c r="K389" s="26">
        <f>FORECAST($J389,K$107:K388,$J$107:$J388)</f>
        <v>98.918504377154619</v>
      </c>
      <c r="L389" s="27">
        <f t="shared" si="32"/>
        <v>91.833552729055299</v>
      </c>
      <c r="O389" s="22"/>
      <c r="P389" s="23">
        <f t="shared" si="33"/>
        <v>3.792222818525965</v>
      </c>
      <c r="R389" s="24"/>
      <c r="S389" s="28">
        <f>'[7]Monthly Prices'!$D550</f>
        <v>49.897668664815328</v>
      </c>
      <c r="T389" s="29">
        <f>'[6]Used Cooking Oil Complex'!$BA208</f>
        <v>49.75</v>
      </c>
    </row>
    <row r="390" spans="1:20" x14ac:dyDescent="0.2">
      <c r="A390" s="17">
        <v>53206</v>
      </c>
      <c r="B390" s="18">
        <f t="shared" si="34"/>
        <v>9</v>
      </c>
      <c r="C390" s="18">
        <f t="shared" si="35"/>
        <v>3</v>
      </c>
      <c r="D390" s="11">
        <f t="shared" si="36"/>
        <v>2045</v>
      </c>
      <c r="J390" s="26">
        <f>MultiRegressionD4RIN!$B$17+(Monthly!$S390*MultiRegressionD4RIN!$B$18)+(Monthly!$T390*MultiRegressionD4RIN!$B$19)</f>
        <v>81.726596026516347</v>
      </c>
      <c r="K390" s="26">
        <f>FORECAST($J390,K$107:K389,$J$107:$J389)</f>
        <v>80.83620332037485</v>
      </c>
      <c r="L390" s="27">
        <f t="shared" si="32"/>
        <v>73.726596026516347</v>
      </c>
      <c r="O390" s="22"/>
      <c r="P390" s="23">
        <f t="shared" si="33"/>
        <v>3.3194317116497296</v>
      </c>
      <c r="R390" s="24"/>
      <c r="S390" s="28">
        <f>'[7]Monthly Prices'!$D551</f>
        <v>43.676733048022761</v>
      </c>
      <c r="T390" s="29">
        <f>'[6]Used Cooking Oil Complex'!$BA209</f>
        <v>41.25</v>
      </c>
    </row>
    <row r="391" spans="1:20" x14ac:dyDescent="0.2">
      <c r="A391" s="17">
        <v>53236</v>
      </c>
      <c r="B391" s="18">
        <f t="shared" si="34"/>
        <v>10</v>
      </c>
      <c r="C391" s="18">
        <f t="shared" si="35"/>
        <v>4</v>
      </c>
      <c r="D391" s="11">
        <f t="shared" si="36"/>
        <v>2045</v>
      </c>
      <c r="J391" s="26">
        <f>MultiRegressionD4RIN!$B$17+(Monthly!$S391*MultiRegressionD4RIN!$B$18)+(Monthly!$T391*MultiRegressionD4RIN!$B$19)</f>
        <v>84.015354086817609</v>
      </c>
      <c r="K391" s="26">
        <f>FORECAST($J391,K$107:K390,$J$107:$J390)</f>
        <v>83.121844854310567</v>
      </c>
      <c r="L391" s="27">
        <f t="shared" si="32"/>
        <v>76.015354086817609</v>
      </c>
      <c r="O391" s="22"/>
      <c r="P391" s="23">
        <f t="shared" si="33"/>
        <v>2.9374951278009309</v>
      </c>
      <c r="R391" s="24"/>
      <c r="S391" s="28">
        <f>'[7]Monthly Prices'!$D552</f>
        <v>38.651251681591198</v>
      </c>
      <c r="T391" s="29">
        <f>'[6]Used Cooking Oil Complex'!$BB198</f>
        <v>50</v>
      </c>
    </row>
    <row r="392" spans="1:20" x14ac:dyDescent="0.2">
      <c r="A392" s="17">
        <v>53267</v>
      </c>
      <c r="B392" s="18">
        <f t="shared" si="34"/>
        <v>11</v>
      </c>
      <c r="C392" s="18">
        <f t="shared" si="35"/>
        <v>4</v>
      </c>
      <c r="D392" s="11">
        <f t="shared" si="36"/>
        <v>2045</v>
      </c>
      <c r="J392" s="26">
        <f>MultiRegressionD4RIN!$B$17+(Monthly!$S392*MultiRegressionD4RIN!$B$18)+(Monthly!$T392*MultiRegressionD4RIN!$B$19)</f>
        <v>68.979944301068628</v>
      </c>
      <c r="K392" s="26">
        <f>FORECAST($J392,K$107:K391,$J$107:$J391)</f>
        <v>68.106908290186354</v>
      </c>
      <c r="L392" s="27">
        <f t="shared" si="32"/>
        <v>60.979944301068628</v>
      </c>
      <c r="O392" s="22"/>
      <c r="P392" s="23">
        <f t="shared" si="33"/>
        <v>2.4840150445637086</v>
      </c>
      <c r="R392" s="24"/>
      <c r="S392" s="28">
        <f>'[7]Monthly Prices'!$D553</f>
        <v>32.684408481101428</v>
      </c>
      <c r="T392" s="29">
        <f>'[6]Used Cooking Oil Complex'!$BB199</f>
        <v>44</v>
      </c>
    </row>
    <row r="393" spans="1:20" x14ac:dyDescent="0.2">
      <c r="A393" s="17">
        <v>53297</v>
      </c>
      <c r="B393" s="18">
        <f t="shared" si="34"/>
        <v>12</v>
      </c>
      <c r="C393" s="18">
        <f t="shared" si="35"/>
        <v>4</v>
      </c>
      <c r="D393" s="11">
        <f t="shared" si="36"/>
        <v>2045</v>
      </c>
      <c r="J393" s="26">
        <f>MultiRegressionD4RIN!$B$17+(Monthly!$S393*MultiRegressionD4RIN!$B$18)+(Monthly!$T393*MultiRegressionD4RIN!$B$19)</f>
        <v>115.9122722918322</v>
      </c>
      <c r="K393" s="26">
        <f>FORECAST($J393,K$107:K392,$J$107:$J392)</f>
        <v>114.97533007779259</v>
      </c>
      <c r="L393" s="27">
        <f t="shared" si="32"/>
        <v>107.9122722918322</v>
      </c>
      <c r="O393" s="22"/>
      <c r="P393" s="23">
        <f t="shared" si="33"/>
        <v>4.1860368614689012</v>
      </c>
      <c r="R393" s="24"/>
      <c r="S393" s="28">
        <f>'[7]Monthly Prices'!$D554</f>
        <v>55.079432387748703</v>
      </c>
      <c r="T393" s="29">
        <f>'[6]Used Cooking Oil Complex'!$BB200</f>
        <v>57.75</v>
      </c>
    </row>
    <row r="394" spans="1:20" x14ac:dyDescent="0.2">
      <c r="A394" s="17">
        <v>53328</v>
      </c>
      <c r="B394" s="18">
        <f t="shared" si="34"/>
        <v>1</v>
      </c>
      <c r="C394" s="18">
        <f t="shared" si="35"/>
        <v>1</v>
      </c>
      <c r="D394" s="11">
        <f t="shared" si="36"/>
        <v>2046</v>
      </c>
      <c r="J394" s="26">
        <f>MultiRegressionD4RIN!$B$17+(Monthly!$S394*MultiRegressionD4RIN!$B$18)+(Monthly!$T394*MultiRegressionD4RIN!$B$19)</f>
        <v>114.15859509794615</v>
      </c>
      <c r="K394" s="26">
        <f>FORECAST($J394,K$107:K393,$J$107:$J393)</f>
        <v>113.2240408083037</v>
      </c>
      <c r="L394" s="27">
        <f t="shared" si="32"/>
        <v>106.15859509794615</v>
      </c>
      <c r="O394" s="22"/>
      <c r="P394" s="23">
        <f t="shared" si="33"/>
        <v>3.9777809928978622</v>
      </c>
      <c r="R394" s="24"/>
      <c r="S394" s="28">
        <f>'[7]Monthly Prices'!$D555</f>
        <v>52.339223590761343</v>
      </c>
      <c r="T394" s="29">
        <f>'[6]Used Cooking Oil Complex'!$BB201</f>
        <v>59.75</v>
      </c>
    </row>
    <row r="395" spans="1:20" x14ac:dyDescent="0.2">
      <c r="A395" s="17">
        <v>53359</v>
      </c>
      <c r="B395" s="18">
        <f t="shared" si="34"/>
        <v>2</v>
      </c>
      <c r="C395" s="18">
        <f t="shared" si="35"/>
        <v>1</v>
      </c>
      <c r="D395" s="11">
        <f t="shared" si="36"/>
        <v>2046</v>
      </c>
      <c r="J395" s="26">
        <f>MultiRegressionD4RIN!$B$17+(Monthly!$S395*MultiRegressionD4RIN!$B$18)+(Monthly!$T395*MultiRegressionD4RIN!$B$19)</f>
        <v>101.81478834775497</v>
      </c>
      <c r="K395" s="26">
        <f>FORECAST($J395,K$107:K394,$J$107:$J394)</f>
        <v>100.89704221265512</v>
      </c>
      <c r="L395" s="27">
        <f t="shared" si="32"/>
        <v>93.81478834775497</v>
      </c>
      <c r="O395" s="22"/>
      <c r="P395" s="23">
        <f t="shared" si="33"/>
        <v>3.3076302415629435</v>
      </c>
      <c r="R395" s="24"/>
      <c r="S395" s="28">
        <f>'[7]Monthly Prices'!$D556</f>
        <v>43.521450546880843</v>
      </c>
      <c r="T395" s="29">
        <f>'[6]Used Cooking Oil Complex'!$BB202</f>
        <v>60</v>
      </c>
    </row>
    <row r="396" spans="1:20" x14ac:dyDescent="0.2">
      <c r="A396" s="17">
        <v>53387</v>
      </c>
      <c r="B396" s="18">
        <f t="shared" si="34"/>
        <v>3</v>
      </c>
      <c r="C396" s="18">
        <f t="shared" si="35"/>
        <v>1</v>
      </c>
      <c r="D396" s="11">
        <f t="shared" si="36"/>
        <v>2046</v>
      </c>
      <c r="J396" s="26">
        <f>MultiRegressionD4RIN!$B$17+(Monthly!$S396*MultiRegressionD4RIN!$B$18)+(Monthly!$T396*MultiRegressionD4RIN!$B$19)</f>
        <v>136.12537542300021</v>
      </c>
      <c r="K396" s="26">
        <f>FORECAST($J396,K$107:K395,$J$107:$J395)</f>
        <v>135.16090969307209</v>
      </c>
      <c r="L396" s="27">
        <f t="shared" si="32"/>
        <v>128.12537542300021</v>
      </c>
      <c r="O396" s="22"/>
      <c r="P396" s="23">
        <f t="shared" si="33"/>
        <v>4.4254414190389895</v>
      </c>
      <c r="R396" s="24"/>
      <c r="S396" s="28">
        <f>'[7]Monthly Prices'!$D557</f>
        <v>58.229492355776181</v>
      </c>
      <c r="T396" s="29">
        <f>'[6]Used Cooking Oil Complex'!$BB203</f>
        <v>72.25</v>
      </c>
    </row>
    <row r="397" spans="1:20" x14ac:dyDescent="0.2">
      <c r="A397" s="17">
        <v>53418</v>
      </c>
      <c r="B397" s="18">
        <f t="shared" si="34"/>
        <v>4</v>
      </c>
      <c r="C397" s="18">
        <f t="shared" si="35"/>
        <v>2</v>
      </c>
      <c r="D397" s="11">
        <f t="shared" si="36"/>
        <v>2046</v>
      </c>
      <c r="J397" s="26">
        <f>MultiRegressionD4RIN!$B$17+(Monthly!$S397*MultiRegressionD4RIN!$B$18)+(Monthly!$T397*MultiRegressionD4RIN!$B$19)</f>
        <v>153.28113301810143</v>
      </c>
      <c r="K397" s="26">
        <f>FORECAST($J397,K$107:K396,$J$107:$J396)</f>
        <v>152.29330685886734</v>
      </c>
      <c r="L397" s="27">
        <f t="shared" si="32"/>
        <v>145.28113301810143</v>
      </c>
      <c r="O397" s="22"/>
      <c r="P397" s="23">
        <f t="shared" si="33"/>
        <v>5.0059513795380957</v>
      </c>
      <c r="R397" s="24"/>
      <c r="S397" s="28">
        <f>'[7]Monthly Prices'!$D558</f>
        <v>65.867781309711788</v>
      </c>
      <c r="T397" s="29">
        <f>'[6]Used Cooking Oil Complex'!$BB204</f>
        <v>78</v>
      </c>
    </row>
    <row r="398" spans="1:20" x14ac:dyDescent="0.2">
      <c r="A398" s="17">
        <v>53448</v>
      </c>
      <c r="B398" s="18">
        <f t="shared" si="34"/>
        <v>5</v>
      </c>
      <c r="C398" s="18">
        <f t="shared" si="35"/>
        <v>2</v>
      </c>
      <c r="D398" s="11">
        <f t="shared" si="36"/>
        <v>2046</v>
      </c>
      <c r="J398" s="26">
        <f>MultiRegressionD4RIN!$B$17+(Monthly!$S398*MultiRegressionD4RIN!$B$18)+(Monthly!$T398*MultiRegressionD4RIN!$B$19)</f>
        <v>167.86983681419466</v>
      </c>
      <c r="K398" s="26">
        <f>FORECAST($J398,K$107:K397,$J$107:$J397)</f>
        <v>166.86214569814922</v>
      </c>
      <c r="L398" s="27">
        <f t="shared" si="32"/>
        <v>159.86983681419466</v>
      </c>
      <c r="O398" s="22"/>
      <c r="P398" s="23">
        <f t="shared" si="33"/>
        <v>5.7378162859212862</v>
      </c>
      <c r="R398" s="24"/>
      <c r="S398" s="28">
        <f>'[7]Monthly Prices'!$D559</f>
        <v>75.497582709490615</v>
      </c>
      <c r="T398" s="29">
        <f>'[6]Used Cooking Oil Complex'!$BB205</f>
        <v>78.75</v>
      </c>
    </row>
    <row r="399" spans="1:20" x14ac:dyDescent="0.2">
      <c r="A399" s="17">
        <v>53479</v>
      </c>
      <c r="B399" s="18">
        <f t="shared" si="34"/>
        <v>6</v>
      </c>
      <c r="C399" s="18">
        <f t="shared" si="35"/>
        <v>2</v>
      </c>
      <c r="D399" s="11">
        <f t="shared" si="36"/>
        <v>2046</v>
      </c>
      <c r="J399" s="26">
        <f>MultiRegressionD4RIN!$B$17+(Monthly!$S399*MultiRegressionD4RIN!$B$18)+(Monthly!$T399*MultiRegressionD4RIN!$B$19)</f>
        <v>177.70196203623357</v>
      </c>
      <c r="K399" s="26">
        <f>FORECAST($J399,K$107:K398,$J$107:$J398)</f>
        <v>176.68088283954501</v>
      </c>
      <c r="L399" s="27">
        <f t="shared" si="32"/>
        <v>169.70196203623357</v>
      </c>
      <c r="O399" s="22"/>
      <c r="P399" s="23">
        <f t="shared" si="33"/>
        <v>6.0587368627124984</v>
      </c>
      <c r="R399" s="24"/>
      <c r="S399" s="28">
        <f>'[7]Monthly Prices'!$D560</f>
        <v>79.720221877796035</v>
      </c>
      <c r="T399" s="29">
        <f>'[6]Used Cooking Oil Complex'!$BB206</f>
        <v>82.25</v>
      </c>
    </row>
    <row r="400" spans="1:20" x14ac:dyDescent="0.2">
      <c r="A400" s="17">
        <v>53509</v>
      </c>
      <c r="B400" s="18">
        <f t="shared" si="34"/>
        <v>7</v>
      </c>
      <c r="C400" s="18">
        <f t="shared" si="35"/>
        <v>3</v>
      </c>
      <c r="D400" s="11">
        <f t="shared" si="36"/>
        <v>2046</v>
      </c>
      <c r="J400" s="26">
        <f>MultiRegressionD4RIN!$B$17+(Monthly!$S400*MultiRegressionD4RIN!$B$18)+(Monthly!$T400*MultiRegressionD4RIN!$B$19)</f>
        <v>191.54777276518246</v>
      </c>
      <c r="K400" s="26">
        <f>FORECAST($J400,K$107:K399,$J$107:$J399)</f>
        <v>190.50784018467078</v>
      </c>
      <c r="L400" s="27">
        <f t="shared" si="32"/>
        <v>183.54777276518246</v>
      </c>
      <c r="O400" s="22"/>
      <c r="P400" s="23">
        <f t="shared" si="33"/>
        <v>6.6072708111742493</v>
      </c>
      <c r="R400" s="24"/>
      <c r="S400" s="28">
        <f>'[7]Monthly Prices'!$D561</f>
        <v>86.937773831240136</v>
      </c>
      <c r="T400" s="29">
        <f>'[6]Used Cooking Oil Complex'!$BB207</f>
        <v>85.5</v>
      </c>
    </row>
    <row r="401" spans="1:20" x14ac:dyDescent="0.2">
      <c r="A401" s="17">
        <v>53540</v>
      </c>
      <c r="B401" s="18">
        <f t="shared" si="34"/>
        <v>8</v>
      </c>
      <c r="C401" s="18">
        <f t="shared" si="35"/>
        <v>3</v>
      </c>
      <c r="D401" s="11">
        <f t="shared" si="36"/>
        <v>2046</v>
      </c>
      <c r="J401" s="26">
        <f>MultiRegressionD4RIN!$B$17+(Monthly!$S401*MultiRegressionD4RIN!$B$18)+(Monthly!$T401*MultiRegressionD4RIN!$B$19)</f>
        <v>89.250166273587041</v>
      </c>
      <c r="K401" s="26">
        <f>FORECAST($J401,K$107:K400,$J$107:$J400)</f>
        <v>88.349528969973775</v>
      </c>
      <c r="L401" s="27">
        <f t="shared" si="32"/>
        <v>81.250166273587041</v>
      </c>
      <c r="O401" s="22"/>
      <c r="P401" s="23">
        <f t="shared" si="33"/>
        <v>3.517710391690926</v>
      </c>
      <c r="R401" s="24"/>
      <c r="S401" s="28">
        <f>'[7]Monthly Prices'!$D562</f>
        <v>46.285663048564821</v>
      </c>
      <c r="T401" s="29">
        <f>'[6]Used Cooking Oil Complex'!$BB208</f>
        <v>44.75</v>
      </c>
    </row>
    <row r="402" spans="1:20" x14ac:dyDescent="0.2">
      <c r="A402" s="17">
        <v>53571</v>
      </c>
      <c r="B402" s="18">
        <f t="shared" si="34"/>
        <v>9</v>
      </c>
      <c r="C402" s="18">
        <f t="shared" si="35"/>
        <v>3</v>
      </c>
      <c r="D402" s="11">
        <f t="shared" si="36"/>
        <v>2046</v>
      </c>
      <c r="J402" s="26">
        <f>MultiRegressionD4RIN!$B$17+(Monthly!$S402*MultiRegressionD4RIN!$B$18)+(Monthly!$T402*MultiRegressionD4RIN!$B$19)</f>
        <v>75.280724954783878</v>
      </c>
      <c r="K402" s="26">
        <f>FORECAST($J402,K$107:K401,$J$107:$J401)</f>
        <v>74.399109378690468</v>
      </c>
      <c r="L402" s="27">
        <f t="shared" si="32"/>
        <v>67.280724954783878</v>
      </c>
      <c r="O402" s="22"/>
      <c r="P402" s="23">
        <f t="shared" si="33"/>
        <v>3.1784057600133337</v>
      </c>
      <c r="R402" s="24"/>
      <c r="S402" s="28">
        <f>'[7]Monthly Prices'!$D563</f>
        <v>41.821128421228075</v>
      </c>
      <c r="T402" s="29">
        <f>'[6]Used Cooking Oil Complex'!$BB209</f>
        <v>37.75</v>
      </c>
    </row>
    <row r="403" spans="1:20" x14ac:dyDescent="0.2">
      <c r="A403" s="17">
        <v>53601</v>
      </c>
      <c r="B403" s="18">
        <f t="shared" si="34"/>
        <v>10</v>
      </c>
      <c r="C403" s="18">
        <f t="shared" si="35"/>
        <v>4</v>
      </c>
      <c r="D403" s="11">
        <f t="shared" si="36"/>
        <v>2046</v>
      </c>
      <c r="J403" s="26">
        <f>MultiRegressionD4RIN!$B$17+(Monthly!$S403*MultiRegressionD4RIN!$B$18)+(Monthly!$T403*MultiRegressionD4RIN!$B$19)</f>
        <v>112.56226468076537</v>
      </c>
      <c r="K403" s="26">
        <f>FORECAST($J403,K$107:K402,$J$107:$J402)</f>
        <v>111.62988406160368</v>
      </c>
      <c r="L403" s="27">
        <f t="shared" si="32"/>
        <v>104.56226468076537</v>
      </c>
      <c r="O403" s="22"/>
      <c r="P403" s="23">
        <f t="shared" si="33"/>
        <v>3.8929759991569224</v>
      </c>
      <c r="R403" s="24"/>
      <c r="S403" s="28">
        <f>'[7]Monthly Prices'!$D564</f>
        <v>51.223368409959505</v>
      </c>
      <c r="T403" s="29">
        <f>'[6]Used Cooking Oil Complex'!$BC198</f>
        <v>59.75</v>
      </c>
    </row>
    <row r="404" spans="1:20" x14ac:dyDescent="0.2">
      <c r="A404" s="17">
        <v>53632</v>
      </c>
      <c r="B404" s="18">
        <f t="shared" si="34"/>
        <v>11</v>
      </c>
      <c r="C404" s="18">
        <f t="shared" si="35"/>
        <v>4</v>
      </c>
      <c r="D404" s="11">
        <f t="shared" si="36"/>
        <v>2046</v>
      </c>
      <c r="J404" s="26">
        <f>MultiRegressionD4RIN!$B$17+(Monthly!$S404*MultiRegressionD4RIN!$B$18)+(Monthly!$T404*MultiRegressionD4RIN!$B$19)</f>
        <v>104.08173561148587</v>
      </c>
      <c r="K404" s="26">
        <f>FORECAST($J404,K$107:K403,$J$107:$J403)</f>
        <v>103.16090264906281</v>
      </c>
      <c r="L404" s="27">
        <f t="shared" si="32"/>
        <v>96.081735611485868</v>
      </c>
      <c r="O404" s="22"/>
      <c r="P404" s="23">
        <f t="shared" si="33"/>
        <v>3.6438589174575777</v>
      </c>
      <c r="R404" s="24"/>
      <c r="S404" s="28">
        <f>'[7]Monthly Prices'!$D565</f>
        <v>47.945512071810235</v>
      </c>
      <c r="T404" s="29">
        <f>'[6]Used Cooking Oil Complex'!$BC199</f>
        <v>56.25</v>
      </c>
    </row>
    <row r="405" spans="1:20" x14ac:dyDescent="0.2">
      <c r="A405" s="17">
        <v>53662</v>
      </c>
      <c r="B405" s="18">
        <f t="shared" si="34"/>
        <v>12</v>
      </c>
      <c r="C405" s="18">
        <f t="shared" si="35"/>
        <v>4</v>
      </c>
      <c r="D405" s="11">
        <f t="shared" si="36"/>
        <v>2046</v>
      </c>
      <c r="J405" s="26">
        <f>MultiRegressionD4RIN!$B$17+(Monthly!$S405*MultiRegressionD4RIN!$B$18)+(Monthly!$T405*MultiRegressionD4RIN!$B$19)</f>
        <v>164.68504191826827</v>
      </c>
      <c r="K405" s="26">
        <f>FORECAST($J405,K$107:K404,$J$107:$J404)</f>
        <v>163.68168743239531</v>
      </c>
      <c r="L405" s="27">
        <f t="shared" si="32"/>
        <v>156.68504191826827</v>
      </c>
      <c r="O405" s="22"/>
      <c r="P405" s="23">
        <f t="shared" si="33"/>
        <v>5.7844213633735215</v>
      </c>
      <c r="R405" s="24"/>
      <c r="S405" s="28">
        <f>'[7]Monthly Prices'!$D566</f>
        <v>76.110807412809493</v>
      </c>
      <c r="T405" s="29">
        <f>'[6]Used Cooking Oil Complex'!$BC200</f>
        <v>75</v>
      </c>
    </row>
    <row r="406" spans="1:20" x14ac:dyDescent="0.2">
      <c r="A406" s="17">
        <v>53693</v>
      </c>
      <c r="B406" s="18">
        <f t="shared" si="34"/>
        <v>1</v>
      </c>
      <c r="C406" s="18">
        <f t="shared" si="35"/>
        <v>1</v>
      </c>
      <c r="D406" s="11">
        <f t="shared" si="36"/>
        <v>2047</v>
      </c>
      <c r="J406" s="26">
        <f>MultiRegressionD4RIN!$B$17+(Monthly!$S406*MultiRegressionD4RIN!$B$18)+(Monthly!$T406*MultiRegressionD4RIN!$B$19)</f>
        <v>169.89496490963637</v>
      </c>
      <c r="K406" s="26">
        <f>FORECAST($J406,K$107:K405,$J$107:$J405)</f>
        <v>168.88451624345379</v>
      </c>
      <c r="L406" s="27">
        <f t="shared" si="32"/>
        <v>161.89496490963637</v>
      </c>
      <c r="O406" s="22"/>
      <c r="P406" s="23">
        <f t="shared" si="33"/>
        <v>5.7446957862416932</v>
      </c>
      <c r="R406" s="24"/>
      <c r="S406" s="28">
        <f>'[7]Monthly Prices'!$D567</f>
        <v>75.588102450548604</v>
      </c>
      <c r="T406" s="29">
        <f>'[6]Used Cooking Oil Complex'!$BC201</f>
        <v>80.5</v>
      </c>
    </row>
    <row r="407" spans="1:20" x14ac:dyDescent="0.2">
      <c r="A407" s="17">
        <v>53724</v>
      </c>
      <c r="B407" s="18">
        <f t="shared" si="34"/>
        <v>2</v>
      </c>
      <c r="C407" s="18">
        <f t="shared" si="35"/>
        <v>1</v>
      </c>
      <c r="D407" s="11">
        <f t="shared" si="36"/>
        <v>2047</v>
      </c>
      <c r="J407" s="26">
        <f>MultiRegressionD4RIN!$B$17+(Monthly!$S407*MultiRegressionD4RIN!$B$18)+(Monthly!$T407*MultiRegressionD4RIN!$B$19)</f>
        <v>132.00619087391829</v>
      </c>
      <c r="K407" s="26">
        <f>FORECAST($J407,K$107:K406,$J$107:$J406)</f>
        <v>131.04733410173637</v>
      </c>
      <c r="L407" s="27">
        <f t="shared" si="32"/>
        <v>124.00619087391829</v>
      </c>
      <c r="O407" s="22"/>
      <c r="P407" s="23">
        <f t="shared" si="33"/>
        <v>4.2497693312963607</v>
      </c>
      <c r="R407" s="24"/>
      <c r="S407" s="28">
        <f>'[7]Monthly Prices'!$D568</f>
        <v>55.918017517057379</v>
      </c>
      <c r="T407" s="29">
        <f>'[6]Used Cooking Oil Complex'!$BC202</f>
        <v>71.5</v>
      </c>
    </row>
    <row r="408" spans="1:20" x14ac:dyDescent="0.2">
      <c r="A408" s="17">
        <v>53752</v>
      </c>
      <c r="B408" s="18">
        <f t="shared" si="34"/>
        <v>3</v>
      </c>
      <c r="C408" s="18">
        <f t="shared" si="35"/>
        <v>1</v>
      </c>
      <c r="D408" s="11">
        <f t="shared" si="36"/>
        <v>2047</v>
      </c>
      <c r="J408" s="26">
        <f>MultiRegressionD4RIN!$B$17+(Monthly!$S408*MultiRegressionD4RIN!$B$18)+(Monthly!$T408*MultiRegressionD4RIN!$B$19)</f>
        <v>152.17297757085984</v>
      </c>
      <c r="K408" s="26">
        <f>FORECAST($J408,K$107:K407,$J$107:$J407)</f>
        <v>151.18666035035034</v>
      </c>
      <c r="L408" s="27">
        <f t="shared" si="32"/>
        <v>144.17297757085984</v>
      </c>
      <c r="O408" s="22"/>
      <c r="P408" s="23">
        <f t="shared" si="33"/>
        <v>4.9183077045270656</v>
      </c>
      <c r="R408" s="24"/>
      <c r="S408" s="28">
        <f>'[7]Monthly Prices'!$D569</f>
        <v>64.714575059566656</v>
      </c>
      <c r="T408" s="29">
        <f>'[6]Used Cooking Oil Complex'!$BC203</f>
        <v>78.5</v>
      </c>
    </row>
    <row r="409" spans="1:20" x14ac:dyDescent="0.2">
      <c r="A409" s="17">
        <v>53783</v>
      </c>
      <c r="B409" s="18">
        <f t="shared" si="34"/>
        <v>4</v>
      </c>
      <c r="C409" s="18">
        <f t="shared" si="35"/>
        <v>2</v>
      </c>
      <c r="D409" s="11">
        <f t="shared" si="36"/>
        <v>2047</v>
      </c>
      <c r="J409" s="26">
        <f>MultiRegressionD4RIN!$B$17+(Monthly!$S409*MultiRegressionD4RIN!$B$18)+(Monthly!$T409*MultiRegressionD4RIN!$B$19)</f>
        <v>151.02693464047354</v>
      </c>
      <c r="K409" s="26">
        <f>FORECAST($J409,K$107:K408,$J$107:$J408)</f>
        <v>150.04217794882487</v>
      </c>
      <c r="L409" s="27">
        <f t="shared" si="32"/>
        <v>143.02693464047354</v>
      </c>
      <c r="O409" s="22"/>
      <c r="P409" s="23">
        <f t="shared" si="33"/>
        <v>4.9149701332897395</v>
      </c>
      <c r="R409" s="24"/>
      <c r="S409" s="28">
        <f>'[7]Monthly Prices'!$D570</f>
        <v>64.670659648549204</v>
      </c>
      <c r="T409" s="29">
        <f>'[6]Used Cooking Oil Complex'!$BC204</f>
        <v>77.5</v>
      </c>
    </row>
    <row r="410" spans="1:20" x14ac:dyDescent="0.2">
      <c r="A410" s="17">
        <v>53813</v>
      </c>
      <c r="B410" s="18">
        <f t="shared" si="34"/>
        <v>5</v>
      </c>
      <c r="C410" s="18">
        <f t="shared" si="35"/>
        <v>2</v>
      </c>
      <c r="D410" s="11">
        <f t="shared" si="36"/>
        <v>2047</v>
      </c>
      <c r="J410" s="26">
        <f>MultiRegressionD4RIN!$B$17+(Monthly!$S410*MultiRegressionD4RIN!$B$18)+(Monthly!$T410*MultiRegressionD4RIN!$B$19)</f>
        <v>168.72644186597688</v>
      </c>
      <c r="K410" s="26">
        <f>FORECAST($J410,K$107:K409,$J$107:$J409)</f>
        <v>167.717584339084</v>
      </c>
      <c r="L410" s="27">
        <f t="shared" si="32"/>
        <v>160.72644186597688</v>
      </c>
      <c r="O410" s="22"/>
      <c r="P410" s="23">
        <f t="shared" si="33"/>
        <v>5.7545504389769677</v>
      </c>
      <c r="R410" s="24"/>
      <c r="S410" s="28">
        <f>'[7]Monthly Prices'!$D571</f>
        <v>75.717768933907479</v>
      </c>
      <c r="T410" s="29">
        <f>'[6]Used Cooking Oil Complex'!$BC205</f>
        <v>79.25</v>
      </c>
    </row>
    <row r="411" spans="1:20" x14ac:dyDescent="0.2">
      <c r="A411" s="17">
        <v>53844</v>
      </c>
      <c r="B411" s="18">
        <f t="shared" si="34"/>
        <v>6</v>
      </c>
      <c r="C411" s="18">
        <f t="shared" si="35"/>
        <v>2</v>
      </c>
      <c r="D411" s="11">
        <f t="shared" si="36"/>
        <v>2047</v>
      </c>
      <c r="J411" s="26">
        <f>MultiRegressionD4RIN!$B$17+(Monthly!$S411*MultiRegressionD4RIN!$B$18)+(Monthly!$T411*MultiRegressionD4RIN!$B$19)</f>
        <v>180.94755102848029</v>
      </c>
      <c r="K411" s="26">
        <f>FORECAST($J411,K$107:K410,$J$107:$J410)</f>
        <v>179.9220524203032</v>
      </c>
      <c r="L411" s="27">
        <f t="shared" si="32"/>
        <v>172.94755102848029</v>
      </c>
      <c r="O411" s="22"/>
      <c r="P411" s="23">
        <f t="shared" si="33"/>
        <v>6.1448397817040306</v>
      </c>
      <c r="R411" s="24"/>
      <c r="S411" s="28">
        <f>'[7]Monthly Prices'!$D572</f>
        <v>80.853155022421447</v>
      </c>
      <c r="T411" s="29">
        <f>'[6]Used Cooking Oil Complex'!$BC206</f>
        <v>83.75</v>
      </c>
    </row>
    <row r="412" spans="1:20" x14ac:dyDescent="0.2">
      <c r="A412" s="17">
        <v>53874</v>
      </c>
      <c r="B412" s="18">
        <f t="shared" si="34"/>
        <v>7</v>
      </c>
      <c r="C412" s="18">
        <f t="shared" si="35"/>
        <v>3</v>
      </c>
      <c r="D412" s="11">
        <f t="shared" si="36"/>
        <v>2047</v>
      </c>
      <c r="J412" s="26">
        <f>MultiRegressionD4RIN!$B$17+(Monthly!$S412*MultiRegressionD4RIN!$B$18)+(Monthly!$T412*MultiRegressionD4RIN!$B$19)</f>
        <v>197.63296819450468</v>
      </c>
      <c r="K412" s="26">
        <f>FORECAST($J412,K$107:K411,$J$107:$J411)</f>
        <v>196.5847496040717</v>
      </c>
      <c r="L412" s="27">
        <f t="shared" si="32"/>
        <v>189.63296819450468</v>
      </c>
      <c r="O412" s="22"/>
      <c r="P412" s="23">
        <f t="shared" si="33"/>
        <v>6.7722953202396301</v>
      </c>
      <c r="R412" s="24"/>
      <c r="S412" s="28">
        <f>'[7]Monthly Prices'!$D573</f>
        <v>89.109148950521444</v>
      </c>
      <c r="T412" s="29">
        <f>'[6]Used Cooking Oil Complex'!$BC207</f>
        <v>88.25</v>
      </c>
    </row>
    <row r="413" spans="1:20" x14ac:dyDescent="0.2">
      <c r="A413" s="17">
        <v>53905</v>
      </c>
      <c r="B413" s="18">
        <f t="shared" si="34"/>
        <v>8</v>
      </c>
      <c r="C413" s="18">
        <f t="shared" si="35"/>
        <v>3</v>
      </c>
      <c r="D413" s="11">
        <f t="shared" si="36"/>
        <v>2047</v>
      </c>
      <c r="J413" s="26">
        <f>MultiRegressionD4RIN!$B$17+(Monthly!$S413*MultiRegressionD4RIN!$B$18)+(Monthly!$T413*MultiRegressionD4RIN!$B$19)</f>
        <v>91.293105419325883</v>
      </c>
      <c r="K413" s="26">
        <f>FORECAST($J413,K$107:K412,$J$107:$J412)</f>
        <v>90.389686312855716</v>
      </c>
      <c r="L413" s="27">
        <f t="shared" ref="L413:L464" si="37">J413-8</f>
        <v>83.293105419325883</v>
      </c>
      <c r="O413" s="22"/>
      <c r="P413" s="23">
        <f t="shared" si="33"/>
        <v>3.5686955408423353</v>
      </c>
      <c r="R413" s="24"/>
      <c r="S413" s="28">
        <f>'[7]Monthly Prices'!$D574</f>
        <v>46.956520274241257</v>
      </c>
      <c r="T413" s="29">
        <f>'[6]Used Cooking Oil Complex'!$BC208</f>
        <v>45.75</v>
      </c>
    </row>
    <row r="414" spans="1:20" x14ac:dyDescent="0.2">
      <c r="A414" s="17">
        <v>53936</v>
      </c>
      <c r="B414" s="18">
        <f t="shared" si="34"/>
        <v>9</v>
      </c>
      <c r="C414" s="18">
        <f t="shared" si="35"/>
        <v>3</v>
      </c>
      <c r="D414" s="11">
        <f t="shared" si="36"/>
        <v>2047</v>
      </c>
      <c r="J414" s="26">
        <f>MultiRegressionD4RIN!$B$17+(Monthly!$S414*MultiRegressionD4RIN!$B$18)+(Monthly!$T414*MultiRegressionD4RIN!$B$19)</f>
        <v>80.280724467106978</v>
      </c>
      <c r="K414" s="26">
        <f>FORECAST($J414,K$107:K413,$J$107:$J413)</f>
        <v>79.392300556581858</v>
      </c>
      <c r="L414" s="27">
        <f t="shared" si="37"/>
        <v>72.280724467106978</v>
      </c>
      <c r="O414" s="22"/>
      <c r="P414" s="23">
        <f t="shared" si="33"/>
        <v>3.3289387140031654</v>
      </c>
      <c r="R414" s="24"/>
      <c r="S414" s="28">
        <f>'[7]Monthly Prices'!$D575</f>
        <v>43.801825184252174</v>
      </c>
      <c r="T414" s="29">
        <f>'[6]Used Cooking Oil Complex'!$BC209</f>
        <v>39.75</v>
      </c>
    </row>
    <row r="415" spans="1:20" x14ac:dyDescent="0.2">
      <c r="A415" s="17">
        <v>53966</v>
      </c>
      <c r="B415" s="18">
        <f t="shared" si="34"/>
        <v>10</v>
      </c>
      <c r="C415" s="18">
        <f t="shared" si="35"/>
        <v>4</v>
      </c>
      <c r="D415" s="11">
        <f t="shared" si="36"/>
        <v>2047</v>
      </c>
      <c r="J415" s="26">
        <f>MultiRegressionD4RIN!$B$17+(Monthly!$S415*MultiRegressionD4RIN!$B$18)+(Monthly!$T415*MultiRegressionD4RIN!$B$19)</f>
        <v>87.557611614417993</v>
      </c>
      <c r="K415" s="26">
        <f>FORECAST($J415,K$107:K414,$J$107:$J414)</f>
        <v>86.659279006662217</v>
      </c>
      <c r="L415" s="27">
        <f t="shared" si="37"/>
        <v>79.557611614417993</v>
      </c>
      <c r="O415" s="22"/>
      <c r="P415" s="23">
        <f t="shared" si="33"/>
        <v>3.0825179890932328</v>
      </c>
      <c r="R415" s="24"/>
      <c r="S415" s="28">
        <f>'[7]Monthly Prices'!$D576</f>
        <v>40.559447224910961</v>
      </c>
      <c r="T415" s="29">
        <f>'[6]Used Cooking Oil Complex'!$BD198</f>
        <v>50.75</v>
      </c>
    </row>
    <row r="416" spans="1:20" x14ac:dyDescent="0.2">
      <c r="A416" s="17">
        <v>53997</v>
      </c>
      <c r="B416" s="18">
        <f t="shared" si="34"/>
        <v>11</v>
      </c>
      <c r="C416" s="18">
        <f t="shared" si="35"/>
        <v>4</v>
      </c>
      <c r="D416" s="11">
        <f t="shared" si="36"/>
        <v>2047</v>
      </c>
      <c r="J416" s="26">
        <f>MultiRegressionD4RIN!$B$17+(Monthly!$S416*MultiRegressionD4RIN!$B$18)+(Monthly!$T416*MultiRegressionD4RIN!$B$19)</f>
        <v>63.000736544786548</v>
      </c>
      <c r="K416" s="26">
        <f>FORECAST($J416,K$107:K415,$J$107:$J415)</f>
        <v>62.135842223906685</v>
      </c>
      <c r="L416" s="27">
        <f t="shared" si="37"/>
        <v>55.000736544786548</v>
      </c>
      <c r="O416" s="22"/>
      <c r="P416" s="23">
        <f t="shared" si="33"/>
        <v>2.3102346475167845</v>
      </c>
      <c r="R416" s="24"/>
      <c r="S416" s="28">
        <f>'[7]Monthly Prices'!$D577</f>
        <v>30.397824309431375</v>
      </c>
      <c r="T416" s="29">
        <f>'[6]Used Cooking Oil Complex'!$BD199</f>
        <v>41.5</v>
      </c>
    </row>
    <row r="417" spans="1:20" x14ac:dyDescent="0.2">
      <c r="A417" s="17">
        <v>54027</v>
      </c>
      <c r="B417" s="18">
        <f t="shared" si="34"/>
        <v>12</v>
      </c>
      <c r="C417" s="18">
        <f t="shared" si="35"/>
        <v>4</v>
      </c>
      <c r="D417" s="11">
        <f t="shared" si="36"/>
        <v>2047</v>
      </c>
      <c r="J417" s="26">
        <f>MultiRegressionD4RIN!$B$17+(Monthly!$S417*MultiRegressionD4RIN!$B$18)+(Monthly!$T417*MultiRegressionD4RIN!$B$19)</f>
        <v>100.68596489856395</v>
      </c>
      <c r="K417" s="26">
        <f>FORECAST($J417,K$107:K416,$J$107:$J416)</f>
        <v>99.769755845125289</v>
      </c>
      <c r="L417" s="27">
        <f t="shared" si="37"/>
        <v>92.685964898563952</v>
      </c>
      <c r="O417" s="22"/>
      <c r="P417" s="23">
        <f t="shared" si="33"/>
        <v>3.7080288708181657</v>
      </c>
      <c r="R417" s="24"/>
      <c r="S417" s="28">
        <f>'[7]Monthly Prices'!$D578</f>
        <v>48.789853563396917</v>
      </c>
      <c r="T417" s="29">
        <f>'[6]Used Cooking Oil Complex'!$BD200</f>
        <v>52</v>
      </c>
    </row>
    <row r="418" spans="1:20" x14ac:dyDescent="0.2">
      <c r="A418" s="17">
        <v>54058</v>
      </c>
      <c r="B418" s="18">
        <f t="shared" si="34"/>
        <v>1</v>
      </c>
      <c r="C418" s="18">
        <f t="shared" si="35"/>
        <v>1</v>
      </c>
      <c r="D418" s="11">
        <f t="shared" si="36"/>
        <v>2048</v>
      </c>
      <c r="J418" s="26">
        <f>MultiRegressionD4RIN!$B$17+(Monthly!$S418*MultiRegressionD4RIN!$B$18)+(Monthly!$T418*MultiRegressionD4RIN!$B$19)</f>
        <v>90.592435647695979</v>
      </c>
      <c r="K418" s="26">
        <f>FORECAST($J418,K$107:K417,$J$107:$J417)</f>
        <v>89.689970620145132</v>
      </c>
      <c r="L418" s="27">
        <f t="shared" si="37"/>
        <v>82.592435647695979</v>
      </c>
      <c r="O418" s="22"/>
      <c r="P418" s="23">
        <f t="shared" si="33"/>
        <v>3.2293564232676619</v>
      </c>
      <c r="R418" s="24"/>
      <c r="S418" s="28">
        <f>'[7]Monthly Prices'!$D579</f>
        <v>42.491531885100819</v>
      </c>
      <c r="T418" s="29">
        <f>'[6]Used Cooking Oil Complex'!$BD201</f>
        <v>51</v>
      </c>
    </row>
    <row r="419" spans="1:20" x14ac:dyDescent="0.2">
      <c r="A419" s="17">
        <v>54089</v>
      </c>
      <c r="B419" s="18">
        <f t="shared" si="34"/>
        <v>2</v>
      </c>
      <c r="C419" s="18">
        <f t="shared" si="35"/>
        <v>1</v>
      </c>
      <c r="D419" s="11">
        <f t="shared" si="36"/>
        <v>2048</v>
      </c>
      <c r="J419" s="26">
        <f>MultiRegressionD4RIN!$B$17+(Monthly!$S419*MultiRegressionD4RIN!$B$18)+(Monthly!$T419*MultiRegressionD4RIN!$B$19)</f>
        <v>75.023771692321503</v>
      </c>
      <c r="K419" s="26">
        <f>FORECAST($J419,K$107:K418,$J$107:$J418)</f>
        <v>74.142506001011029</v>
      </c>
      <c r="L419" s="27">
        <f t="shared" si="37"/>
        <v>67.023771692321503</v>
      </c>
      <c r="O419" s="22"/>
      <c r="P419" s="23">
        <f t="shared" si="33"/>
        <v>2.4166582117543176</v>
      </c>
      <c r="R419" s="24"/>
      <c r="S419" s="28">
        <f>'[7]Monthly Prices'!$D580</f>
        <v>31.798134365188393</v>
      </c>
      <c r="T419" s="29">
        <f>'[6]Used Cooking Oil Complex'!$BD202</f>
        <v>50.75</v>
      </c>
    </row>
    <row r="420" spans="1:20" x14ac:dyDescent="0.2">
      <c r="A420" s="17">
        <v>54118</v>
      </c>
      <c r="B420" s="18">
        <f t="shared" si="34"/>
        <v>3</v>
      </c>
      <c r="C420" s="18">
        <f t="shared" si="35"/>
        <v>1</v>
      </c>
      <c r="D420" s="11">
        <f t="shared" si="36"/>
        <v>2048</v>
      </c>
      <c r="J420" s="26">
        <f>MultiRegressionD4RIN!$B$17+(Monthly!$S420*MultiRegressionD4RIN!$B$18)+(Monthly!$T420*MultiRegressionD4RIN!$B$19)</f>
        <v>112.50486531138941</v>
      </c>
      <c r="K420" s="26">
        <f>FORECAST($J420,K$107:K419,$J$107:$J419)</f>
        <v>111.57256285105589</v>
      </c>
      <c r="L420" s="27">
        <f t="shared" si="37"/>
        <v>104.50486531138941</v>
      </c>
      <c r="O420" s="22"/>
      <c r="P420" s="23">
        <f t="shared" si="33"/>
        <v>3.6165835559559936</v>
      </c>
      <c r="R420" s="24"/>
      <c r="S420" s="28">
        <f>'[7]Monthly Prices'!$D581</f>
        <v>47.586625736263073</v>
      </c>
      <c r="T420" s="29">
        <f>'[6]Used Cooking Oil Complex'!$BD203</f>
        <v>64.5</v>
      </c>
    </row>
    <row r="421" spans="1:20" x14ac:dyDescent="0.2">
      <c r="A421" s="17">
        <v>54149</v>
      </c>
      <c r="B421" s="18">
        <f t="shared" si="34"/>
        <v>4</v>
      </c>
      <c r="C421" s="18">
        <f t="shared" si="35"/>
        <v>2</v>
      </c>
      <c r="D421" s="11">
        <f t="shared" si="36"/>
        <v>2048</v>
      </c>
      <c r="J421" s="26">
        <f>MultiRegressionD4RIN!$B$17+(Monthly!$S421*MultiRegressionD4RIN!$B$18)+(Monthly!$T421*MultiRegressionD4RIN!$B$19)</f>
        <v>130.43708723336277</v>
      </c>
      <c r="K421" s="26">
        <f>FORECAST($J421,K$107:K420,$J$107:$J420)</f>
        <v>129.4803670578579</v>
      </c>
      <c r="L421" s="27">
        <f t="shared" si="37"/>
        <v>122.43708723336277</v>
      </c>
      <c r="O421" s="22"/>
      <c r="P421" s="23">
        <f t="shared" si="33"/>
        <v>4.1951837173457216</v>
      </c>
      <c r="R421" s="24"/>
      <c r="S421" s="28">
        <f>'[7]Monthly Prices'!$D582</f>
        <v>55.199785754548969</v>
      </c>
      <c r="T421" s="29">
        <f>'[6]Used Cooking Oil Complex'!$BD204</f>
        <v>71</v>
      </c>
    </row>
    <row r="422" spans="1:20" x14ac:dyDescent="0.2">
      <c r="A422" s="17">
        <v>54179</v>
      </c>
      <c r="B422" s="18">
        <f t="shared" si="34"/>
        <v>5</v>
      </c>
      <c r="C422" s="18">
        <f t="shared" si="35"/>
        <v>2</v>
      </c>
      <c r="D422" s="11">
        <f t="shared" si="36"/>
        <v>2048</v>
      </c>
      <c r="J422" s="26">
        <f>MultiRegressionD4RIN!$B$17+(Monthly!$S422*MultiRegressionD4RIN!$B$18)+(Monthly!$T422*MultiRegressionD4RIN!$B$19)</f>
        <v>152.14935445812898</v>
      </c>
      <c r="K422" s="26">
        <f>FORECAST($J422,K$107:K421,$J$107:$J421)</f>
        <v>151.16306940443297</v>
      </c>
      <c r="L422" s="27">
        <f t="shared" si="37"/>
        <v>144.14935445812898</v>
      </c>
      <c r="O422" s="22"/>
      <c r="P422" s="23">
        <f t="shared" si="33"/>
        <v>5.1472363939449828</v>
      </c>
      <c r="R422" s="24"/>
      <c r="S422" s="28">
        <f>'[7]Monthly Prices'!$D583</f>
        <v>67.726794657170828</v>
      </c>
      <c r="T422" s="29">
        <f>'[6]Used Cooking Oil Complex'!$BD205</f>
        <v>74.5</v>
      </c>
    </row>
    <row r="423" spans="1:20" x14ac:dyDescent="0.2">
      <c r="A423" s="17">
        <v>54210</v>
      </c>
      <c r="B423" s="18">
        <f t="shared" si="34"/>
        <v>6</v>
      </c>
      <c r="C423" s="18">
        <f t="shared" si="35"/>
        <v>2</v>
      </c>
      <c r="D423" s="11">
        <f t="shared" si="36"/>
        <v>2048</v>
      </c>
      <c r="J423" s="26">
        <f>MultiRegressionD4RIN!$B$17+(Monthly!$S423*MultiRegressionD4RIN!$B$18)+(Monthly!$T423*MultiRegressionD4RIN!$B$19)</f>
        <v>167.06869302020061</v>
      </c>
      <c r="K423" s="26">
        <f>FORECAST($J423,K$107:K422,$J$107:$J422)</f>
        <v>166.06209279523694</v>
      </c>
      <c r="L423" s="27">
        <f t="shared" si="37"/>
        <v>159.06869302020061</v>
      </c>
      <c r="O423" s="22"/>
      <c r="P423" s="23">
        <f t="shared" si="33"/>
        <v>5.6377096352129135</v>
      </c>
      <c r="R423" s="24"/>
      <c r="S423" s="28">
        <f>'[7]Monthly Prices'!$D584</f>
        <v>74.180389937012023</v>
      </c>
      <c r="T423" s="29">
        <f>'[6]Used Cooking Oil Complex'!$BD206</f>
        <v>79.75</v>
      </c>
    </row>
    <row r="424" spans="1:20" x14ac:dyDescent="0.2">
      <c r="A424" s="17">
        <v>54240</v>
      </c>
      <c r="B424" s="18">
        <f t="shared" si="34"/>
        <v>7</v>
      </c>
      <c r="C424" s="18">
        <f t="shared" si="35"/>
        <v>3</v>
      </c>
      <c r="D424" s="11">
        <f t="shared" si="36"/>
        <v>2048</v>
      </c>
      <c r="J424" s="26">
        <f>MultiRegressionD4RIN!$B$17+(Monthly!$S424*MultiRegressionD4RIN!$B$18)+(Monthly!$T424*MultiRegressionD4RIN!$B$19)</f>
        <v>187.28019452208835</v>
      </c>
      <c r="K424" s="26">
        <f>FORECAST($J424,K$107:K423,$J$107:$J423)</f>
        <v>186.24607296212199</v>
      </c>
      <c r="L424" s="27">
        <f t="shared" si="37"/>
        <v>179.28019452208835</v>
      </c>
      <c r="O424" s="22"/>
      <c r="P424" s="23">
        <f t="shared" si="33"/>
        <v>6.3805558765345118</v>
      </c>
      <c r="R424" s="24"/>
      <c r="S424" s="28">
        <f>'[7]Monthly Prices'!$D585</f>
        <v>83.954682585980422</v>
      </c>
      <c r="T424" s="29">
        <f>'[6]Used Cooking Oil Complex'!$BD207</f>
        <v>85.5</v>
      </c>
    </row>
    <row r="425" spans="1:20" x14ac:dyDescent="0.2">
      <c r="A425" s="17">
        <v>54271</v>
      </c>
      <c r="B425" s="18">
        <f t="shared" si="34"/>
        <v>8</v>
      </c>
      <c r="C425" s="18">
        <f t="shared" si="35"/>
        <v>3</v>
      </c>
      <c r="D425" s="11">
        <f t="shared" si="36"/>
        <v>2048</v>
      </c>
      <c r="J425" s="26">
        <f>MultiRegressionD4RIN!$B$17+(Monthly!$S425*MultiRegressionD4RIN!$B$18)+(Monthly!$T425*MultiRegressionD4RIN!$B$19)</f>
        <v>91.594302525171997</v>
      </c>
      <c r="K425" s="26">
        <f>FORECAST($J425,K$107:K424,$J$107:$J424)</f>
        <v>90.690473288536538</v>
      </c>
      <c r="L425" s="27">
        <f t="shared" si="37"/>
        <v>83.594302525171997</v>
      </c>
      <c r="O425" s="22"/>
      <c r="P425" s="23">
        <f t="shared" si="33"/>
        <v>3.5271507092318073</v>
      </c>
      <c r="R425" s="24"/>
      <c r="S425" s="28">
        <f>'[7]Monthly Prices'!$D586</f>
        <v>46.409877753050104</v>
      </c>
      <c r="T425" s="29">
        <f>'[6]Used Cooking Oil Complex'!$BD208</f>
        <v>46.75</v>
      </c>
    </row>
    <row r="426" spans="1:20" x14ac:dyDescent="0.2">
      <c r="A426" s="17">
        <v>54302</v>
      </c>
      <c r="B426" s="18">
        <f t="shared" si="34"/>
        <v>9</v>
      </c>
      <c r="C426" s="18">
        <f t="shared" si="35"/>
        <v>3</v>
      </c>
      <c r="D426" s="11">
        <f t="shared" si="36"/>
        <v>2048</v>
      </c>
      <c r="J426" s="26">
        <f>MultiRegressionD4RIN!$B$17+(Monthly!$S426*MultiRegressionD4RIN!$B$18)+(Monthly!$T426*MultiRegressionD4RIN!$B$19)</f>
        <v>83.032757018770212</v>
      </c>
      <c r="K426" s="26">
        <f>FORECAST($J426,K$107:K425,$J$107:$J425)</f>
        <v>82.140585756283855</v>
      </c>
      <c r="L426" s="27">
        <f t="shared" si="37"/>
        <v>75.032757018770212</v>
      </c>
      <c r="O426" s="22"/>
      <c r="P426" s="23">
        <f t="shared" si="33"/>
        <v>3.3600485072382962</v>
      </c>
      <c r="R426" s="24"/>
      <c r="S426" s="28">
        <f>'[7]Monthly Prices'!$D587</f>
        <v>44.211164568924957</v>
      </c>
      <c r="T426" s="29">
        <f>'[6]Used Cooking Oil Complex'!$BD209</f>
        <v>41.75</v>
      </c>
    </row>
    <row r="427" spans="1:20" x14ac:dyDescent="0.2">
      <c r="A427" s="17">
        <v>54332</v>
      </c>
      <c r="B427" s="18">
        <f t="shared" si="34"/>
        <v>10</v>
      </c>
      <c r="C427" s="18">
        <f t="shared" si="35"/>
        <v>4</v>
      </c>
      <c r="D427" s="11">
        <f t="shared" si="36"/>
        <v>2048</v>
      </c>
      <c r="J427" s="26">
        <f>MultiRegressionD4RIN!$B$17+(Monthly!$S427*MultiRegressionD4RIN!$B$18)+(Monthly!$T427*MultiRegressionD4RIN!$B$19)</f>
        <v>141.08071344668613</v>
      </c>
      <c r="K427" s="26">
        <f>FORECAST($J427,K$107:K426,$J$107:$J426)</f>
        <v>140.10950019640231</v>
      </c>
      <c r="L427" s="27">
        <f t="shared" si="37"/>
        <v>133.08071344668613</v>
      </c>
      <c r="O427" s="22"/>
      <c r="P427" s="23">
        <f t="shared" si="33"/>
        <v>4.7030800454637127</v>
      </c>
      <c r="R427" s="24"/>
      <c r="S427" s="28">
        <f>'[7]Monthly Prices'!$D588</f>
        <v>61.882632177154122</v>
      </c>
      <c r="T427" s="29">
        <f>'[6]Used Cooking Oil Complex'!$BE198</f>
        <v>72</v>
      </c>
    </row>
    <row r="428" spans="1:20" x14ac:dyDescent="0.2">
      <c r="A428" s="17">
        <v>54363</v>
      </c>
      <c r="B428" s="18">
        <f t="shared" si="34"/>
        <v>11</v>
      </c>
      <c r="C428" s="18">
        <f t="shared" si="35"/>
        <v>4</v>
      </c>
      <c r="D428" s="11">
        <f t="shared" si="36"/>
        <v>2048</v>
      </c>
      <c r="J428" s="26">
        <f>MultiRegressionD4RIN!$B$17+(Monthly!$S428*MultiRegressionD4RIN!$B$18)+(Monthly!$T428*MultiRegressionD4RIN!$B$19)</f>
        <v>129.14020723014301</v>
      </c>
      <c r="K428" s="26">
        <f>FORECAST($J428,K$107:K427,$J$107:$J427)</f>
        <v>128.18525297336635</v>
      </c>
      <c r="L428" s="27">
        <f t="shared" si="37"/>
        <v>121.14020723014301</v>
      </c>
      <c r="O428" s="22"/>
      <c r="P428" s="23">
        <f t="shared" si="33"/>
        <v>4.3420842029016056</v>
      </c>
      <c r="R428" s="24"/>
      <c r="S428" s="28">
        <f>'[7]Monthly Prices'!$D589</f>
        <v>57.132686880284282</v>
      </c>
      <c r="T428" s="29">
        <f>'[6]Used Cooking Oil Complex'!$BE199</f>
        <v>67.25</v>
      </c>
    </row>
    <row r="429" spans="1:20" x14ac:dyDescent="0.2">
      <c r="A429" s="17">
        <v>54393</v>
      </c>
      <c r="B429" s="18">
        <f t="shared" si="34"/>
        <v>12</v>
      </c>
      <c r="C429" s="18">
        <f t="shared" si="35"/>
        <v>4</v>
      </c>
      <c r="D429" s="11">
        <f t="shared" si="36"/>
        <v>2048</v>
      </c>
      <c r="J429" s="26">
        <f>MultiRegressionD4RIN!$B$17+(Monthly!$S429*MultiRegressionD4RIN!$B$18)+(Monthly!$T429*MultiRegressionD4RIN!$B$19)</f>
        <v>181.9094084874059</v>
      </c>
      <c r="K429" s="26">
        <f>FORECAST($J429,K$107:K428,$J$107:$J428)</f>
        <v>180.88260014964996</v>
      </c>
      <c r="L429" s="27">
        <f t="shared" si="37"/>
        <v>173.9094084874059</v>
      </c>
      <c r="O429" s="22"/>
      <c r="P429" s="23">
        <f t="shared" si="33"/>
        <v>6.2534843398543174</v>
      </c>
      <c r="R429" s="24"/>
      <c r="S429" s="28">
        <f>'[7]Monthly Prices'!$D590</f>
        <v>82.282688682293653</v>
      </c>
      <c r="T429" s="29">
        <f>'[6]Used Cooking Oil Complex'!$BE200</f>
        <v>82.75</v>
      </c>
    </row>
    <row r="430" spans="1:20" x14ac:dyDescent="0.2">
      <c r="A430" s="17">
        <v>54424</v>
      </c>
      <c r="B430" s="18">
        <f t="shared" si="34"/>
        <v>1</v>
      </c>
      <c r="C430" s="18">
        <f t="shared" si="35"/>
        <v>1</v>
      </c>
      <c r="D430" s="11">
        <f t="shared" si="36"/>
        <v>2049</v>
      </c>
      <c r="J430" s="26">
        <f>MultiRegressionD4RIN!$B$17+(Monthly!$S430*MultiRegressionD4RIN!$B$18)+(Monthly!$T430*MultiRegressionD4RIN!$B$19)</f>
        <v>186.89234348620619</v>
      </c>
      <c r="K430" s="26">
        <f>FORECAST($J430,K$107:K429,$J$107:$J429)</f>
        <v>185.85875005020375</v>
      </c>
      <c r="L430" s="27">
        <f t="shared" si="37"/>
        <v>178.89234348620619</v>
      </c>
      <c r="O430" s="22"/>
      <c r="P430" s="23">
        <f t="shared" si="33"/>
        <v>6.1873135549523512</v>
      </c>
      <c r="R430" s="24"/>
      <c r="S430" s="28">
        <f>'[7]Monthly Prices'!$D591</f>
        <v>81.412020459899367</v>
      </c>
      <c r="T430" s="29">
        <f>'[6]Used Cooking Oil Complex'!$BE201</f>
        <v>88.5</v>
      </c>
    </row>
    <row r="431" spans="1:20" x14ac:dyDescent="0.2">
      <c r="A431" s="17">
        <v>54455</v>
      </c>
      <c r="B431" s="18">
        <f t="shared" si="34"/>
        <v>2</v>
      </c>
      <c r="C431" s="18">
        <f t="shared" si="35"/>
        <v>1</v>
      </c>
      <c r="D431" s="11">
        <f t="shared" si="36"/>
        <v>2049</v>
      </c>
      <c r="J431" s="26">
        <f>MultiRegressionD4RIN!$B$17+(Monthly!$S431*MultiRegressionD4RIN!$B$18)+(Monthly!$T431*MultiRegressionD4RIN!$B$19)</f>
        <v>167.83058296973479</v>
      </c>
      <c r="K431" s="26">
        <f>FORECAST($J431,K$107:K430,$J$107:$J430)</f>
        <v>166.82294530435473</v>
      </c>
      <c r="L431" s="27">
        <f t="shared" si="37"/>
        <v>159.83058296973479</v>
      </c>
      <c r="O431" s="22"/>
      <c r="P431" s="23">
        <f t="shared" si="33"/>
        <v>5.2609771149543727</v>
      </c>
      <c r="R431" s="24"/>
      <c r="S431" s="28">
        <f>'[7]Monthly Prices'!$D592</f>
        <v>69.2233830915049</v>
      </c>
      <c r="T431" s="29">
        <f>'[6]Used Cooking Oil Complex'!$BE202</f>
        <v>87</v>
      </c>
    </row>
    <row r="432" spans="1:20" x14ac:dyDescent="0.2">
      <c r="A432" s="17">
        <v>54483</v>
      </c>
      <c r="B432" s="18">
        <f t="shared" si="34"/>
        <v>3</v>
      </c>
      <c r="C432" s="18">
        <f t="shared" si="35"/>
        <v>1</v>
      </c>
      <c r="D432" s="11">
        <f t="shared" si="36"/>
        <v>2049</v>
      </c>
      <c r="J432" s="26">
        <f>MultiRegressionD4RIN!$B$17+(Monthly!$S432*MultiRegressionD4RIN!$B$18)+(Monthly!$T432*MultiRegressionD4RIN!$B$19)</f>
        <v>201.97808975272159</v>
      </c>
      <c r="K432" s="26">
        <f>FORECAST($J432,K$107:K431,$J$107:$J431)</f>
        <v>200.92395455356859</v>
      </c>
      <c r="L432" s="27">
        <f t="shared" si="37"/>
        <v>193.97808975272159</v>
      </c>
      <c r="O432" s="22"/>
      <c r="P432" s="23">
        <f t="shared" si="33"/>
        <v>6.3557381788503111</v>
      </c>
      <c r="R432" s="24"/>
      <c r="S432" s="28">
        <f>'[7]Monthly Prices'!$D593</f>
        <v>83.628133932240928</v>
      </c>
      <c r="T432" s="29">
        <f>'[6]Used Cooking Oil Complex'!$BE203</f>
        <v>99.5</v>
      </c>
    </row>
    <row r="433" spans="1:20" x14ac:dyDescent="0.2">
      <c r="A433" s="17">
        <v>54514</v>
      </c>
      <c r="B433" s="18">
        <f t="shared" si="34"/>
        <v>4</v>
      </c>
      <c r="C433" s="18">
        <f t="shared" si="35"/>
        <v>2</v>
      </c>
      <c r="D433" s="11">
        <f t="shared" si="36"/>
        <v>2049</v>
      </c>
      <c r="J433" s="26">
        <f>MultiRegressionD4RIN!$B$17+(Monthly!$S433*MultiRegressionD4RIN!$B$18)+(Monthly!$T433*MultiRegressionD4RIN!$B$19)</f>
        <v>216.65120498611572</v>
      </c>
      <c r="K433" s="26">
        <f>FORECAST($J433,K$107:K432,$J$107:$J432)</f>
        <v>215.57708988988114</v>
      </c>
      <c r="L433" s="27">
        <f t="shared" si="37"/>
        <v>208.65120498611572</v>
      </c>
      <c r="O433" s="22"/>
      <c r="P433" s="23">
        <f t="shared" si="33"/>
        <v>6.8475172941361437</v>
      </c>
      <c r="R433" s="24"/>
      <c r="S433" s="28">
        <f>'[7]Monthly Prices'!$D594</f>
        <v>90.098911764949264</v>
      </c>
      <c r="T433" s="29">
        <f>'[6]Used Cooking Oil Complex'!$BE204</f>
        <v>104.5</v>
      </c>
    </row>
    <row r="434" spans="1:20" x14ac:dyDescent="0.2">
      <c r="A434" s="17">
        <v>54544</v>
      </c>
      <c r="B434" s="18">
        <f t="shared" si="34"/>
        <v>5</v>
      </c>
      <c r="C434" s="18">
        <f t="shared" si="35"/>
        <v>2</v>
      </c>
      <c r="D434" s="11">
        <f t="shared" si="36"/>
        <v>2049</v>
      </c>
      <c r="J434" s="26">
        <f>MultiRegressionD4RIN!$B$17+(Monthly!$S434*MultiRegressionD4RIN!$B$18)+(Monthly!$T434*MultiRegressionD4RIN!$B$19)</f>
        <v>213.45575280338232</v>
      </c>
      <c r="K434" s="26">
        <f>FORECAST($J434,K$107:K433,$J$107:$J433)</f>
        <v>212.38598884899616</v>
      </c>
      <c r="L434" s="27">
        <f t="shared" si="37"/>
        <v>205.45575280338232</v>
      </c>
      <c r="O434" s="22"/>
      <c r="P434" s="23">
        <f t="shared" si="33"/>
        <v>7.0661939534241576</v>
      </c>
      <c r="R434" s="24"/>
      <c r="S434" s="28">
        <f>'[7]Monthly Prices'!$D595</f>
        <v>92.976236229265226</v>
      </c>
      <c r="T434" s="29">
        <f>'[6]Used Cooking Oil Complex'!$BE205</f>
        <v>97.75</v>
      </c>
    </row>
    <row r="435" spans="1:20" x14ac:dyDescent="0.2">
      <c r="A435" s="17">
        <v>54575</v>
      </c>
      <c r="B435" s="18">
        <f t="shared" si="34"/>
        <v>6</v>
      </c>
      <c r="C435" s="18">
        <f t="shared" si="35"/>
        <v>2</v>
      </c>
      <c r="D435" s="11">
        <f t="shared" si="36"/>
        <v>2049</v>
      </c>
      <c r="J435" s="26">
        <f>MultiRegressionD4RIN!$B$17+(Monthly!$S435*MultiRegressionD4RIN!$B$18)+(Monthly!$T435*MultiRegressionD4RIN!$B$19)</f>
        <v>206.78377656428273</v>
      </c>
      <c r="K435" s="26">
        <f>FORECAST($J435,K$107:K434,$J$107:$J434)</f>
        <v>205.72309761989405</v>
      </c>
      <c r="L435" s="27">
        <f t="shared" si="37"/>
        <v>198.78377656428273</v>
      </c>
      <c r="O435" s="22"/>
      <c r="P435" s="23">
        <f t="shared" si="33"/>
        <v>6.8412237774737381</v>
      </c>
      <c r="R435" s="24"/>
      <c r="S435" s="28">
        <f>'[7]Monthly Prices'!$D596</f>
        <v>90.016102335180761</v>
      </c>
      <c r="T435" s="29">
        <f>'[6]Used Cooking Oil Complex'!$BE206</f>
        <v>95.5</v>
      </c>
    </row>
    <row r="436" spans="1:20" x14ac:dyDescent="0.2">
      <c r="A436" s="17">
        <v>54605</v>
      </c>
      <c r="B436" s="18">
        <f t="shared" si="34"/>
        <v>7</v>
      </c>
      <c r="C436" s="18">
        <f t="shared" si="35"/>
        <v>3</v>
      </c>
      <c r="D436" s="11">
        <f t="shared" si="36"/>
        <v>2049</v>
      </c>
      <c r="J436" s="26">
        <f>MultiRegressionD4RIN!$B$17+(Monthly!$S436*MultiRegressionD4RIN!$B$18)+(Monthly!$T436*MultiRegressionD4RIN!$B$19)</f>
        <v>202.49661710560429</v>
      </c>
      <c r="K436" s="26">
        <f>FORECAST($J436,K$107:K435,$J$107:$J435)</f>
        <v>201.44177584485635</v>
      </c>
      <c r="L436" s="27">
        <f t="shared" si="37"/>
        <v>194.49661710560429</v>
      </c>
      <c r="O436" s="22"/>
      <c r="P436" s="23">
        <f t="shared" si="33"/>
        <v>6.8148792995868996</v>
      </c>
      <c r="R436" s="24"/>
      <c r="S436" s="28">
        <f>'[7]Monthly Prices'!$D597</f>
        <v>89.669464468248677</v>
      </c>
      <c r="T436" s="29">
        <f>'[6]Used Cooking Oil Complex'!$BE207</f>
        <v>92</v>
      </c>
    </row>
    <row r="437" spans="1:20" x14ac:dyDescent="0.2">
      <c r="A437" s="17">
        <v>54636</v>
      </c>
      <c r="B437" s="18">
        <f t="shared" si="34"/>
        <v>8</v>
      </c>
      <c r="C437" s="18">
        <f t="shared" si="35"/>
        <v>3</v>
      </c>
      <c r="D437" s="11">
        <f t="shared" si="36"/>
        <v>2049</v>
      </c>
      <c r="J437" s="26">
        <f>MultiRegressionD4RIN!$B$17+(Monthly!$S437*MultiRegressionD4RIN!$B$18)+(Monthly!$T437*MultiRegressionD4RIN!$B$19)</f>
        <v>99.633048610152571</v>
      </c>
      <c r="K437" s="26">
        <f>FORECAST($J437,K$107:K436,$J$107:$J436)</f>
        <v>98.718273278097769</v>
      </c>
      <c r="L437" s="27">
        <f t="shared" si="37"/>
        <v>91.633048610152571</v>
      </c>
      <c r="O437" s="22"/>
      <c r="P437" s="23">
        <f t="shared" si="33"/>
        <v>3.7240251281045484</v>
      </c>
      <c r="R437" s="24"/>
      <c r="S437" s="28">
        <f>'[7]Monthly Prices'!$D598</f>
        <v>49.000330632954586</v>
      </c>
      <c r="T437" s="29">
        <f>'[6]Used Cooking Oil Complex'!$BE208</f>
        <v>50.75</v>
      </c>
    </row>
    <row r="438" spans="1:20" x14ac:dyDescent="0.2">
      <c r="A438" s="17">
        <v>54667</v>
      </c>
      <c r="B438" s="18">
        <f t="shared" si="34"/>
        <v>9</v>
      </c>
      <c r="C438" s="18">
        <f t="shared" si="35"/>
        <v>3</v>
      </c>
      <c r="D438" s="11">
        <f t="shared" si="36"/>
        <v>2049</v>
      </c>
      <c r="J438" s="26">
        <f>MultiRegressionD4RIN!$B$17+(Monthly!$S438*MultiRegressionD4RIN!$B$18)+(Monthly!$T438*MultiRegressionD4RIN!$B$19)</f>
        <v>89.74204880966488</v>
      </c>
      <c r="K438" s="26">
        <f>FORECAST($J438,K$107:K437,$J$107:$J437)</f>
        <v>88.840741725824884</v>
      </c>
      <c r="L438" s="27">
        <f t="shared" si="37"/>
        <v>81.74204880966488</v>
      </c>
      <c r="O438" s="22"/>
      <c r="P438" s="23">
        <f t="shared" si="33"/>
        <v>3.5294551538832786</v>
      </c>
      <c r="R438" s="24"/>
      <c r="S438" s="28">
        <f>'[7]Monthly Prices'!$D599</f>
        <v>46.440199393201034</v>
      </c>
      <c r="T438" s="29">
        <f>'[6]Used Cooking Oil Complex'!$BE209</f>
        <v>45</v>
      </c>
    </row>
    <row r="439" spans="1:20" x14ac:dyDescent="0.2">
      <c r="A439" s="17">
        <v>54697</v>
      </c>
      <c r="B439" s="18">
        <f t="shared" si="34"/>
        <v>10</v>
      </c>
      <c r="C439" s="18">
        <f t="shared" si="35"/>
        <v>4</v>
      </c>
      <c r="D439" s="11">
        <f t="shared" si="36"/>
        <v>2049</v>
      </c>
      <c r="J439" s="26">
        <f>MultiRegressionD4RIN!$B$17+(Monthly!$S439*MultiRegressionD4RIN!$B$18)+(Monthly!$T439*MultiRegressionD4RIN!$B$19)</f>
        <v>115.59794782297554</v>
      </c>
      <c r="K439" s="26">
        <f>FORECAST($J439,K$107:K438,$J$107:$J438)</f>
        <v>114.66143361419849</v>
      </c>
      <c r="L439" s="27">
        <f t="shared" si="37"/>
        <v>107.59794782297554</v>
      </c>
      <c r="O439" s="22"/>
      <c r="P439" s="23">
        <f t="shared" si="33"/>
        <v>3.8384493653623997</v>
      </c>
      <c r="R439" s="24"/>
      <c r="S439" s="28">
        <f>'[7]Monthly Prices'!$D600</f>
        <v>50.50591270213684</v>
      </c>
      <c r="T439" s="29">
        <f>'[6]Used Cooking Oil Complex'!$BF198</f>
        <v>63.5</v>
      </c>
    </row>
    <row r="440" spans="1:20" x14ac:dyDescent="0.2">
      <c r="A440" s="17">
        <v>54728</v>
      </c>
      <c r="B440" s="18">
        <f t="shared" si="34"/>
        <v>11</v>
      </c>
      <c r="C440" s="18">
        <f t="shared" si="35"/>
        <v>4</v>
      </c>
      <c r="D440" s="11">
        <f t="shared" si="36"/>
        <v>2049</v>
      </c>
      <c r="J440" s="26">
        <f>MultiRegressionD4RIN!$B$17+(Monthly!$S440*MultiRegressionD4RIN!$B$18)+(Monthly!$T440*MultiRegressionD4RIN!$B$19)</f>
        <v>118.17468954067222</v>
      </c>
      <c r="K440" s="26">
        <f>FORECAST($J440,K$107:K439,$J$107:$J439)</f>
        <v>117.2346666676813</v>
      </c>
      <c r="L440" s="27">
        <f t="shared" si="37"/>
        <v>110.17468954067222</v>
      </c>
      <c r="O440" s="22"/>
      <c r="P440" s="23">
        <f t="shared" si="33"/>
        <v>3.9321792353451275</v>
      </c>
      <c r="R440" s="24"/>
      <c r="S440" s="28">
        <f>'[7]Monthly Prices'!$D601</f>
        <v>51.739200465067469</v>
      </c>
      <c r="T440" s="29">
        <f>'[6]Used Cooking Oil Complex'!$BF199</f>
        <v>64.25</v>
      </c>
    </row>
    <row r="441" spans="1:20" x14ac:dyDescent="0.2">
      <c r="A441" s="17">
        <v>54758</v>
      </c>
      <c r="B441" s="18">
        <f t="shared" si="34"/>
        <v>12</v>
      </c>
      <c r="C441" s="18">
        <f t="shared" si="35"/>
        <v>4</v>
      </c>
      <c r="D441" s="11">
        <f t="shared" si="36"/>
        <v>2049</v>
      </c>
      <c r="J441" s="26">
        <f>MultiRegressionD4RIN!$B$17+(Monthly!$S441*MultiRegressionD4RIN!$B$18)+(Monthly!$T441*MultiRegressionD4RIN!$B$19)</f>
        <v>163.73595322709417</v>
      </c>
      <c r="K441" s="26">
        <f>FORECAST($J441,K$107:K440,$J$107:$J440)</f>
        <v>162.7338910839903</v>
      </c>
      <c r="L441" s="27">
        <f t="shared" si="37"/>
        <v>155.73595322709417</v>
      </c>
      <c r="O441" s="22"/>
      <c r="P441" s="23">
        <f t="shared" si="33"/>
        <v>5.6189092289330524</v>
      </c>
      <c r="R441" s="24"/>
      <c r="S441" s="28">
        <f>'[7]Monthly Prices'!$D602</f>
        <v>73.933016170171754</v>
      </c>
      <c r="T441" s="29">
        <f>'[6]Used Cooking Oil Complex'!$BF200</f>
        <v>77</v>
      </c>
    </row>
    <row r="442" spans="1:20" x14ac:dyDescent="0.2">
      <c r="A442" s="17">
        <v>54789</v>
      </c>
      <c r="B442" s="18">
        <f t="shared" si="34"/>
        <v>1</v>
      </c>
      <c r="C442" s="18">
        <f t="shared" si="35"/>
        <v>1</v>
      </c>
      <c r="D442" s="11">
        <f t="shared" si="36"/>
        <v>2050</v>
      </c>
      <c r="J442" s="26">
        <f>MultiRegressionD4RIN!$B$17+(Monthly!$S442*MultiRegressionD4RIN!$B$18)+(Monthly!$T442*MultiRegressionD4RIN!$B$19)</f>
        <v>161.26292983076172</v>
      </c>
      <c r="K442" s="26">
        <f>FORECAST($J442,K$107:K441,$J$107:$J441)</f>
        <v>160.26423512205429</v>
      </c>
      <c r="L442" s="27">
        <f t="shared" si="37"/>
        <v>153.26292983076172</v>
      </c>
      <c r="O442" s="22"/>
      <c r="P442" s="23">
        <f t="shared" si="33"/>
        <v>5.3148922036469672</v>
      </c>
      <c r="R442" s="24"/>
      <c r="S442" s="28">
        <f>'[7]Monthly Prices'!$D603</f>
        <v>69.932792153249579</v>
      </c>
      <c r="T442" s="29">
        <f>'[6]Used Cooking Oil Complex'!$BF201</f>
        <v>80</v>
      </c>
    </row>
    <row r="443" spans="1:20" x14ac:dyDescent="0.2">
      <c r="A443" s="17">
        <v>54820</v>
      </c>
      <c r="B443" s="18">
        <f t="shared" si="34"/>
        <v>2</v>
      </c>
      <c r="C443" s="18">
        <f t="shared" si="35"/>
        <v>1</v>
      </c>
      <c r="D443" s="11">
        <f t="shared" si="36"/>
        <v>2050</v>
      </c>
      <c r="J443" s="26">
        <f>MultiRegressionD4RIN!$B$17+(Monthly!$S443*MultiRegressionD4RIN!$B$18)+(Monthly!$T443*MultiRegressionD4RIN!$B$19)</f>
        <v>136.65827382435802</v>
      </c>
      <c r="K443" s="26">
        <f>FORECAST($J443,K$107:K442,$J$107:$J442)</f>
        <v>135.6930824642522</v>
      </c>
      <c r="L443" s="27">
        <f t="shared" si="37"/>
        <v>128.65827382435802</v>
      </c>
      <c r="O443" s="22"/>
      <c r="P443" s="23">
        <f t="shared" ref="P443:P494" si="38">S443*7.6/100</f>
        <v>4.2091814811424459</v>
      </c>
      <c r="R443" s="24"/>
      <c r="S443" s="28">
        <f>'[7]Monthly Prices'!$D604</f>
        <v>55.383966857137445</v>
      </c>
      <c r="T443" s="29">
        <f>'[6]Used Cooking Oil Complex'!$BF202</f>
        <v>76.5</v>
      </c>
    </row>
    <row r="444" spans="1:20" x14ac:dyDescent="0.2">
      <c r="A444" s="17">
        <v>54848</v>
      </c>
      <c r="B444" s="18">
        <f t="shared" si="34"/>
        <v>3</v>
      </c>
      <c r="C444" s="18">
        <f t="shared" si="35"/>
        <v>1</v>
      </c>
      <c r="D444" s="11">
        <f t="shared" si="36"/>
        <v>2050</v>
      </c>
      <c r="J444" s="26">
        <f>MultiRegressionD4RIN!$B$17+(Monthly!$S444*MultiRegressionD4RIN!$B$18)+(Monthly!$T444*MultiRegressionD4RIN!$B$19)</f>
        <v>165.91169628315964</v>
      </c>
      <c r="K444" s="26">
        <f>FORECAST($J444,K$107:K443,$J$107:$J443)</f>
        <v>164.90667150249416</v>
      </c>
      <c r="L444" s="27">
        <f t="shared" si="37"/>
        <v>157.91169628315964</v>
      </c>
      <c r="O444" s="22"/>
      <c r="P444" s="23">
        <f t="shared" si="38"/>
        <v>5.1590363314592036</v>
      </c>
      <c r="R444" s="24"/>
      <c r="S444" s="28">
        <f>'[7]Monthly Prices'!$D605</f>
        <v>67.882056992884259</v>
      </c>
      <c r="T444" s="29">
        <f>'[6]Used Cooking Oil Complex'!$BF203</f>
        <v>87</v>
      </c>
    </row>
    <row r="445" spans="1:20" x14ac:dyDescent="0.2">
      <c r="A445" s="17">
        <v>54879</v>
      </c>
      <c r="B445" s="18">
        <f t="shared" si="34"/>
        <v>4</v>
      </c>
      <c r="C445" s="18">
        <f t="shared" si="35"/>
        <v>2</v>
      </c>
      <c r="D445" s="11">
        <f t="shared" si="36"/>
        <v>2050</v>
      </c>
      <c r="J445" s="26">
        <f>MultiRegressionD4RIN!$B$17+(Monthly!$S445*MultiRegressionD4RIN!$B$18)+(Monthly!$T445*MultiRegressionD4RIN!$B$19)</f>
        <v>175.72563958711464</v>
      </c>
      <c r="K445" s="26">
        <f>FORECAST($J445,K$107:K444,$J$107:$J444)</f>
        <v>174.70725148352432</v>
      </c>
      <c r="L445" s="27">
        <f t="shared" si="37"/>
        <v>167.72563958711464</v>
      </c>
      <c r="O445" s="22"/>
      <c r="P445" s="23">
        <f t="shared" si="38"/>
        <v>5.493377473681778</v>
      </c>
      <c r="R445" s="24"/>
      <c r="S445" s="28">
        <f>'[7]Monthly Prices'!$D606</f>
        <v>72.281282548444452</v>
      </c>
      <c r="T445" s="29">
        <f>'[6]Used Cooking Oil Complex'!$BF204</f>
        <v>90.25</v>
      </c>
    </row>
    <row r="446" spans="1:20" x14ac:dyDescent="0.2">
      <c r="A446" s="17">
        <v>54909</v>
      </c>
      <c r="B446" s="18">
        <f t="shared" si="34"/>
        <v>5</v>
      </c>
      <c r="C446" s="18">
        <f t="shared" si="35"/>
        <v>2</v>
      </c>
      <c r="D446" s="11">
        <f t="shared" si="36"/>
        <v>2050</v>
      </c>
      <c r="J446" s="26">
        <f>MultiRegressionD4RIN!$B$17+(Monthly!$S446*MultiRegressionD4RIN!$B$18)+(Monthly!$T446*MultiRegressionD4RIN!$B$19)</f>
        <v>186.80093107288442</v>
      </c>
      <c r="K446" s="26">
        <f>FORECAST($J446,K$107:K445,$J$107:$J445)</f>
        <v>185.76746211015035</v>
      </c>
      <c r="L446" s="27">
        <f t="shared" si="37"/>
        <v>178.80093107288442</v>
      </c>
      <c r="O446" s="22"/>
      <c r="P446" s="23">
        <f t="shared" si="38"/>
        <v>6.1392978364619282</v>
      </c>
      <c r="R446" s="24"/>
      <c r="S446" s="28">
        <f>'[7]Monthly Prices'!$D607</f>
        <v>80.780234690288538</v>
      </c>
      <c r="T446" s="29">
        <f>'[6]Used Cooking Oil Complex'!$BF205</f>
        <v>89.25</v>
      </c>
    </row>
    <row r="447" spans="1:20" x14ac:dyDescent="0.2">
      <c r="A447" s="17">
        <v>54940</v>
      </c>
      <c r="B447" s="18">
        <f t="shared" si="34"/>
        <v>6</v>
      </c>
      <c r="C447" s="18">
        <f t="shared" si="35"/>
        <v>2</v>
      </c>
      <c r="D447" s="11">
        <f t="shared" si="36"/>
        <v>2050</v>
      </c>
      <c r="J447" s="26">
        <f>MultiRegressionD4RIN!$B$17+(Monthly!$S447*MultiRegressionD4RIN!$B$18)+(Monthly!$T447*MultiRegressionD4RIN!$B$19)</f>
        <v>191.69072579135724</v>
      </c>
      <c r="K447" s="26">
        <f>FORECAST($J447,K$107:K446,$J$107:$J446)</f>
        <v>190.6505985564246</v>
      </c>
      <c r="L447" s="27">
        <f t="shared" si="37"/>
        <v>183.69072579135724</v>
      </c>
      <c r="O447" s="22"/>
      <c r="P447" s="23">
        <f t="shared" si="38"/>
        <v>6.2983626440479039</v>
      </c>
      <c r="R447" s="24"/>
      <c r="S447" s="28">
        <f>'[7]Monthly Prices'!$D608</f>
        <v>82.873192684840845</v>
      </c>
      <c r="T447" s="29">
        <f>'[6]Used Cooking Oil Complex'!$BF206</f>
        <v>91</v>
      </c>
    </row>
    <row r="448" spans="1:20" x14ac:dyDescent="0.2">
      <c r="A448" s="17">
        <v>54970</v>
      </c>
      <c r="B448" s="18">
        <f t="shared" si="34"/>
        <v>7</v>
      </c>
      <c r="C448" s="18">
        <f t="shared" si="35"/>
        <v>3</v>
      </c>
      <c r="D448" s="11">
        <f t="shared" si="36"/>
        <v>2050</v>
      </c>
      <c r="J448" s="26">
        <f>MultiRegressionD4RIN!$B$17+(Monthly!$S448*MultiRegressionD4RIN!$B$18)+(Monthly!$T448*MultiRegressionD4RIN!$B$19)</f>
        <v>201.26959331831529</v>
      </c>
      <c r="K448" s="26">
        <f>FORECAST($J448,K$107:K447,$J$107:$J447)</f>
        <v>200.21642285539025</v>
      </c>
      <c r="L448" s="27">
        <f t="shared" si="37"/>
        <v>193.26959331831529</v>
      </c>
      <c r="O448" s="22"/>
      <c r="P448" s="23">
        <f t="shared" si="38"/>
        <v>6.706534269304302</v>
      </c>
      <c r="R448" s="24"/>
      <c r="S448" s="28">
        <f>'[7]Monthly Prices'!$D609</f>
        <v>88.2438719645303</v>
      </c>
      <c r="T448" s="29">
        <f>'[6]Used Cooking Oil Complex'!$BF207</f>
        <v>92.75</v>
      </c>
    </row>
    <row r="449" spans="1:20" x14ac:dyDescent="0.2">
      <c r="A449" s="17">
        <v>55001</v>
      </c>
      <c r="B449" s="18">
        <f t="shared" si="34"/>
        <v>8</v>
      </c>
      <c r="C449" s="18">
        <f t="shared" si="35"/>
        <v>3</v>
      </c>
      <c r="D449" s="11">
        <f t="shared" si="36"/>
        <v>2050</v>
      </c>
      <c r="J449" s="26">
        <f>MultiRegressionD4RIN!$B$17+(Monthly!$S449*MultiRegressionD4RIN!$B$18)+(Monthly!$T449*MultiRegressionD4RIN!$B$19)</f>
        <v>96.721660742134844</v>
      </c>
      <c r="K449" s="26">
        <f>FORECAST($J449,K$107:K448,$J$107:$J448)</f>
        <v>95.810849750919971</v>
      </c>
      <c r="L449" s="27">
        <f t="shared" si="37"/>
        <v>88.721660742134844</v>
      </c>
      <c r="O449" s="22"/>
      <c r="P449" s="23">
        <f t="shared" si="38"/>
        <v>3.569357756445533</v>
      </c>
      <c r="R449" s="24"/>
      <c r="S449" s="28">
        <f>'[7]Monthly Prices'!$D610</f>
        <v>46.965233637441223</v>
      </c>
      <c r="T449" s="29">
        <f>'[6]Used Cooking Oil Complex'!$BF208</f>
        <v>50.75</v>
      </c>
    </row>
    <row r="450" spans="1:20" x14ac:dyDescent="0.2">
      <c r="A450" s="17">
        <v>55032</v>
      </c>
      <c r="B450" s="18">
        <f t="shared" si="34"/>
        <v>9</v>
      </c>
      <c r="C450" s="18">
        <f t="shared" si="35"/>
        <v>3</v>
      </c>
      <c r="D450" s="11">
        <f t="shared" si="36"/>
        <v>2050</v>
      </c>
      <c r="J450" s="26">
        <f>MultiRegressionD4RIN!$B$17+(Monthly!$S450*MultiRegressionD4RIN!$B$18)+(Monthly!$T450*MultiRegressionD4RIN!$B$19)</f>
        <v>82.564127014624319</v>
      </c>
      <c r="K450" s="26">
        <f>FORECAST($J450,K$107:K449,$J$107:$J449)</f>
        <v>81.672593870158735</v>
      </c>
      <c r="L450" s="27">
        <f t="shared" si="37"/>
        <v>74.564127014624319</v>
      </c>
      <c r="O450" s="22"/>
      <c r="P450" s="23">
        <f t="shared" si="38"/>
        <v>3.2344472017362862</v>
      </c>
      <c r="R450" s="24"/>
      <c r="S450" s="28">
        <f>'[7]Monthly Prices'!$D611</f>
        <v>42.558515812319563</v>
      </c>
      <c r="T450" s="29">
        <f>'[6]Used Cooking Oil Complex'!$BF209</f>
        <v>43.5</v>
      </c>
    </row>
    <row r="451" spans="1:20" x14ac:dyDescent="0.2">
      <c r="A451" s="17">
        <v>55062</v>
      </c>
      <c r="B451" s="18">
        <f t="shared" si="34"/>
        <v>10</v>
      </c>
      <c r="C451" s="18">
        <f t="shared" si="35"/>
        <v>4</v>
      </c>
      <c r="D451" s="11">
        <f t="shared" si="36"/>
        <v>2050</v>
      </c>
      <c r="J451" s="26">
        <f>MultiRegressionD4RIN!$B$17+(Monthly!$S451*MultiRegressionD4RIN!$B$18)+(Monthly!$T451*MultiRegressionD4RIN!$B$19)</f>
        <v>133.84899036459251</v>
      </c>
      <c r="K451" s="26">
        <f>FORECAST($J451,K$107:K450,$J$107:$J450)</f>
        <v>132.88762431312131</v>
      </c>
      <c r="L451" s="27">
        <f t="shared" si="37"/>
        <v>125.84899036459251</v>
      </c>
      <c r="O451" s="22"/>
      <c r="P451" s="23">
        <f t="shared" si="38"/>
        <v>4.3332815062035586</v>
      </c>
      <c r="R451" s="24"/>
      <c r="S451" s="28">
        <f>'[7]Monthly Prices'!$D612</f>
        <v>57.016861923731028</v>
      </c>
      <c r="T451" s="29">
        <f>'[6]Used Cooking Oil Complex'!$BG198</f>
        <v>71.75</v>
      </c>
    </row>
    <row r="452" spans="1:20" x14ac:dyDescent="0.2">
      <c r="A452" s="17">
        <v>55093</v>
      </c>
      <c r="B452" s="18">
        <f t="shared" si="34"/>
        <v>11</v>
      </c>
      <c r="C452" s="18">
        <f t="shared" si="35"/>
        <v>4</v>
      </c>
      <c r="D452" s="11">
        <f t="shared" si="36"/>
        <v>2050</v>
      </c>
      <c r="J452" s="26">
        <f>MultiRegressionD4RIN!$B$17+(Monthly!$S452*MultiRegressionD4RIN!$B$18)+(Monthly!$T452*MultiRegressionD4RIN!$B$19)</f>
        <v>135.14330025910772</v>
      </c>
      <c r="K452" s="26">
        <f>FORECAST($J452,K$107:K451,$J$107:$J451)</f>
        <v>134.18017178854063</v>
      </c>
      <c r="L452" s="27">
        <f t="shared" si="37"/>
        <v>127.14330025910772</v>
      </c>
      <c r="O452" s="22"/>
      <c r="P452" s="23">
        <f t="shared" si="38"/>
        <v>4.3876551918176787</v>
      </c>
      <c r="R452" s="24"/>
      <c r="S452" s="28">
        <f>'[7]Monthly Prices'!$D613</f>
        <v>57.73230515549578</v>
      </c>
      <c r="T452" s="29">
        <f>'[6]Used Cooking Oil Complex'!$BG199</f>
        <v>72</v>
      </c>
    </row>
    <row r="453" spans="1:20" x14ac:dyDescent="0.2">
      <c r="A453" s="17">
        <v>55123</v>
      </c>
      <c r="B453" s="18">
        <f t="shared" ref="B453:B504" si="39">MONTH(A453)</f>
        <v>12</v>
      </c>
      <c r="C453" s="18">
        <f t="shared" ref="C453:C504" si="40">ROUNDUP(MONTH(A453)/3,0)</f>
        <v>4</v>
      </c>
      <c r="D453" s="11">
        <f t="shared" ref="D453:D504" si="41">YEAR(A453)</f>
        <v>2050</v>
      </c>
      <c r="J453" s="26">
        <f>MultiRegressionD4RIN!$B$17+(Monthly!$S453*MultiRegressionD4RIN!$B$18)+(Monthly!$T453*MultiRegressionD4RIN!$B$19)</f>
        <v>175.00549294983995</v>
      </c>
      <c r="K453" s="26">
        <f>FORECAST($J453,K$107:K452,$J$107:$J452)</f>
        <v>173.98808544617447</v>
      </c>
      <c r="L453" s="27">
        <f t="shared" si="37"/>
        <v>167.00549294983995</v>
      </c>
      <c r="O453" s="22"/>
      <c r="P453" s="23">
        <f t="shared" si="38"/>
        <v>5.886714084993633</v>
      </c>
      <c r="R453" s="24"/>
      <c r="S453" s="28">
        <f>'[7]Monthly Prices'!$D614</f>
        <v>77.456764276232022</v>
      </c>
      <c r="T453" s="29">
        <f>'[6]Used Cooking Oil Complex'!$BG200</f>
        <v>82.75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BE7D-A5A8-42B5-806A-0336741C0F3B}">
  <dimension ref="A1:M155"/>
  <sheetViews>
    <sheetView workbookViewId="0">
      <pane xSplit="2" ySplit="2" topLeftCell="C130" activePane="bottomRight" state="frozen"/>
      <selection activeCell="G2945" sqref="G2945:H2949"/>
      <selection pane="topRight" activeCell="G2945" sqref="G2945:H2949"/>
      <selection pane="bottomLeft" activeCell="G2945" sqref="G2945:H2949"/>
      <selection pane="bottomRight" activeCell="G2945" sqref="G2945:H2949"/>
    </sheetView>
  </sheetViews>
  <sheetFormatPr defaultRowHeight="15" x14ac:dyDescent="0.25"/>
  <cols>
    <col min="5" max="5" width="16.85546875" bestFit="1" customWidth="1"/>
    <col min="10" max="10" width="16.5703125" bestFit="1" customWidth="1"/>
    <col min="11" max="11" width="11.42578125" bestFit="1" customWidth="1"/>
    <col min="13" max="13" width="16.28515625" bestFit="1" customWidth="1"/>
    <col min="22" max="22" width="16.28515625" bestFit="1" customWidth="1"/>
  </cols>
  <sheetData>
    <row r="1" spans="1:12" x14ac:dyDescent="0.25">
      <c r="C1" t="s">
        <v>41</v>
      </c>
      <c r="H1" t="s">
        <v>60</v>
      </c>
      <c r="I1" s="30" t="s">
        <v>61</v>
      </c>
      <c r="J1" t="s">
        <v>60</v>
      </c>
      <c r="K1" s="30" t="s">
        <v>62</v>
      </c>
      <c r="L1" t="s">
        <v>60</v>
      </c>
    </row>
    <row r="2" spans="1:12" x14ac:dyDescent="0.25">
      <c r="A2" t="s">
        <v>40</v>
      </c>
      <c r="B2" t="s">
        <v>6</v>
      </c>
      <c r="C2" t="s">
        <v>21</v>
      </c>
      <c r="D2" t="s">
        <v>21</v>
      </c>
      <c r="E2" t="s">
        <v>22</v>
      </c>
      <c r="F2" t="s">
        <v>63</v>
      </c>
      <c r="H2" t="s">
        <v>22</v>
      </c>
      <c r="I2" t="s">
        <v>64</v>
      </c>
      <c r="J2" t="s">
        <v>21</v>
      </c>
      <c r="K2" t="s">
        <v>65</v>
      </c>
      <c r="L2" t="s">
        <v>63</v>
      </c>
    </row>
    <row r="3" spans="1:12" x14ac:dyDescent="0.25">
      <c r="A3">
        <v>3</v>
      </c>
      <c r="B3">
        <v>2013</v>
      </c>
      <c r="C3" s="31"/>
      <c r="D3" s="31"/>
      <c r="E3" s="31">
        <f>AVERAGEIFS(Monthly!$F:$F,Monthly!$C:$C,Quarterly!$A3,Monthly!$D:$D,Quarterly!$B3)</f>
        <v>67.376599326599333</v>
      </c>
      <c r="F3" s="31"/>
      <c r="H3">
        <f>'[8]Fuel Vol and Credit Gen'!$M$61</f>
        <v>1106307</v>
      </c>
      <c r="I3">
        <f>'[8]Fuel Vol and Credit Gen'!$M$55</f>
        <v>586902</v>
      </c>
    </row>
    <row r="4" spans="1:12" x14ac:dyDescent="0.25">
      <c r="A4">
        <v>4</v>
      </c>
      <c r="B4">
        <v>2013</v>
      </c>
      <c r="C4" s="31"/>
      <c r="D4" s="31"/>
      <c r="E4" s="31">
        <f>AVERAGEIFS(Monthly!F:F,Monthly!C:C,Quarterly!A4,Monthly!D:D,Quarterly!B4)</f>
        <v>75.577536231884054</v>
      </c>
      <c r="F4" s="31"/>
      <c r="H4">
        <f>'[8]Fuel Vol and Credit Gen'!$N$61</f>
        <v>1128256</v>
      </c>
      <c r="I4">
        <f>'[8]Fuel Vol and Credit Gen'!$N$55</f>
        <v>510999</v>
      </c>
    </row>
    <row r="5" spans="1:12" x14ac:dyDescent="0.25">
      <c r="A5">
        <v>1</v>
      </c>
      <c r="B5">
        <v>2014</v>
      </c>
      <c r="C5" s="31"/>
      <c r="D5" s="31"/>
      <c r="E5" s="31">
        <f>AVERAGEIFS(Monthly!F:F,Monthly!C:C,Quarterly!A5,Monthly!D:D,Quarterly!B5)</f>
        <v>42.360066833751048</v>
      </c>
      <c r="F5" s="31"/>
      <c r="H5">
        <f>'[8]Fuel Vol and Credit Gen'!$O$61</f>
        <v>920243</v>
      </c>
      <c r="I5">
        <f>'[8]Fuel Vol and Credit Gen'!$O$55</f>
        <v>459238</v>
      </c>
    </row>
    <row r="6" spans="1:12" x14ac:dyDescent="0.25">
      <c r="A6">
        <v>2</v>
      </c>
      <c r="B6">
        <v>2014</v>
      </c>
      <c r="C6" s="31"/>
      <c r="D6" s="31"/>
      <c r="E6" s="31">
        <f>AVERAGEIFS(Monthly!F:F,Monthly!C:C,Quarterly!A6,Monthly!D:D,Quarterly!B6)</f>
        <v>24.468253968253965</v>
      </c>
      <c r="F6" s="31"/>
      <c r="H6">
        <f>'[8]Fuel Vol and Credit Gen'!$P$61</f>
        <v>1053893</v>
      </c>
      <c r="I6">
        <f>'[8]Fuel Vol and Credit Gen'!$P$55</f>
        <v>551332</v>
      </c>
    </row>
    <row r="7" spans="1:12" x14ac:dyDescent="0.25">
      <c r="A7">
        <v>3</v>
      </c>
      <c r="B7">
        <v>2014</v>
      </c>
      <c r="C7" s="31"/>
      <c r="D7" s="31"/>
      <c r="E7" s="31">
        <f>AVERAGEIFS(Monthly!F:F,Monthly!C:C,Quarterly!A7,Monthly!D:D,Quarterly!B7)</f>
        <v>28.182539682539684</v>
      </c>
      <c r="F7" s="31"/>
      <c r="H7">
        <f>'[8]Fuel Vol and Credit Gen'!$Q$61</f>
        <v>1077268</v>
      </c>
      <c r="I7">
        <f>'[8]Fuel Vol and Credit Gen'!$Q$55</f>
        <v>528433</v>
      </c>
    </row>
    <row r="8" spans="1:12" x14ac:dyDescent="0.25">
      <c r="A8">
        <v>4</v>
      </c>
      <c r="B8">
        <v>2014</v>
      </c>
      <c r="C8" s="31"/>
      <c r="D8" s="31"/>
      <c r="E8" s="31">
        <f>AVERAGEIFS(Monthly!F:F,Monthly!C:C,Quarterly!A8,Monthly!D:D,Quarterly!B8)</f>
        <v>26.365079365079367</v>
      </c>
      <c r="F8" s="31"/>
      <c r="H8">
        <f>'[8]Fuel Vol and Credit Gen'!$R$61</f>
        <v>1029032</v>
      </c>
      <c r="I8">
        <f>'[8]Fuel Vol and Credit Gen'!$R$55</f>
        <v>491880</v>
      </c>
    </row>
    <row r="9" spans="1:12" x14ac:dyDescent="0.25">
      <c r="A9">
        <v>1</v>
      </c>
      <c r="B9">
        <v>2015</v>
      </c>
      <c r="C9" s="31"/>
      <c r="D9" s="31"/>
      <c r="E9" s="31">
        <f>AVERAGEIFS(Monthly!F:F,Monthly!C:C,Quarterly!A9,Monthly!D:D,Quarterly!B9)</f>
        <v>22.842224880382776</v>
      </c>
      <c r="F9" s="31"/>
      <c r="H9">
        <f>'[8]Fuel Vol and Credit Gen'!$S$61</f>
        <v>1028883</v>
      </c>
      <c r="I9">
        <f>'[8]Fuel Vol and Credit Gen'!$S$55</f>
        <v>473209</v>
      </c>
    </row>
    <row r="10" spans="1:12" x14ac:dyDescent="0.25">
      <c r="A10">
        <v>2</v>
      </c>
      <c r="B10">
        <v>2015</v>
      </c>
      <c r="C10" s="31"/>
      <c r="D10" s="31"/>
      <c r="E10" s="31">
        <f>AVERAGEIFS(Monthly!F:F,Monthly!C:C,Quarterly!A10,Monthly!D:D,Quarterly!B10)</f>
        <v>25.550685425685426</v>
      </c>
      <c r="F10" s="31"/>
      <c r="H10">
        <f>'[8]Fuel Vol and Credit Gen'!$T$61</f>
        <v>1227191</v>
      </c>
      <c r="I10">
        <f>'[8]Fuel Vol and Credit Gen'!$T$55</f>
        <v>504542</v>
      </c>
    </row>
    <row r="11" spans="1:12" x14ac:dyDescent="0.25">
      <c r="A11">
        <v>3</v>
      </c>
      <c r="B11">
        <v>2015</v>
      </c>
      <c r="C11" s="31"/>
      <c r="D11" s="31"/>
      <c r="E11" s="31">
        <f>AVERAGEIFS(Monthly!F:F,Monthly!C:C,Quarterly!A11,Monthly!D:D,Quarterly!B11)</f>
        <v>59.843434343434346</v>
      </c>
      <c r="F11" s="31"/>
      <c r="H11">
        <f>'[8]Fuel Vol and Credit Gen'!$U$61</f>
        <v>1416627</v>
      </c>
      <c r="I11">
        <f>'[8]Fuel Vol and Credit Gen'!$U$55</f>
        <v>538519</v>
      </c>
    </row>
    <row r="12" spans="1:12" x14ac:dyDescent="0.25">
      <c r="A12">
        <v>4</v>
      </c>
      <c r="B12">
        <v>2015</v>
      </c>
      <c r="C12" s="31"/>
      <c r="D12" s="31"/>
      <c r="E12" s="31">
        <f>AVERAGEIFS(Monthly!F:F,Monthly!C:C,Quarterly!A12,Monthly!D:D,Quarterly!B12)</f>
        <v>99.120015948963314</v>
      </c>
      <c r="F12" s="31"/>
      <c r="H12">
        <f>'[8]Fuel Vol and Credit Gen'!$V$61</f>
        <v>1485751</v>
      </c>
      <c r="I12">
        <f>'[8]Fuel Vol and Credit Gen'!$V$55</f>
        <v>608484</v>
      </c>
    </row>
    <row r="13" spans="1:12" x14ac:dyDescent="0.25">
      <c r="A13">
        <v>1</v>
      </c>
      <c r="B13">
        <v>2016</v>
      </c>
      <c r="C13" s="31"/>
      <c r="D13" s="31"/>
      <c r="E13" s="31">
        <f>AVERAGEIFS(Monthly!F:F,Monthly!C:C,Quarterly!A13,Monthly!D:D,Quarterly!B13)</f>
        <v>123.89206539074958</v>
      </c>
      <c r="F13" s="31"/>
      <c r="H13">
        <f>'[8]Fuel Vol and Credit Gen'!$W$61</f>
        <v>1664272</v>
      </c>
      <c r="I13">
        <f>'[8]Fuel Vol and Credit Gen'!$W$55</f>
        <v>836629</v>
      </c>
      <c r="J13">
        <v>207355</v>
      </c>
      <c r="K13">
        <v>138659</v>
      </c>
    </row>
    <row r="14" spans="1:12" x14ac:dyDescent="0.25">
      <c r="A14">
        <v>2</v>
      </c>
      <c r="B14">
        <v>2016</v>
      </c>
      <c r="C14" s="31"/>
      <c r="D14" s="31"/>
      <c r="E14" s="31">
        <f>AVERAGEIFS(Monthly!F:F,Monthly!C:C,Quarterly!A14,Monthly!D:D,Quarterly!B14)</f>
        <v>112.06962481962482</v>
      </c>
      <c r="F14" s="31"/>
      <c r="H14">
        <f>'[8]Fuel Vol and Credit Gen'!$X$61</f>
        <v>2158313</v>
      </c>
      <c r="I14">
        <f>'[8]Fuel Vol and Credit Gen'!$X$55</f>
        <v>857168</v>
      </c>
      <c r="J14">
        <v>199577</v>
      </c>
      <c r="K14">
        <v>122599</v>
      </c>
    </row>
    <row r="15" spans="1:12" x14ac:dyDescent="0.25">
      <c r="A15">
        <v>3</v>
      </c>
      <c r="B15">
        <v>2016</v>
      </c>
      <c r="C15" s="31"/>
      <c r="D15" s="31"/>
      <c r="E15" s="31">
        <f>AVERAGEIFS(Monthly!F:F,Monthly!C:C,Quarterly!A15,Monthly!D:D,Quarterly!B15)</f>
        <v>76.903364389233957</v>
      </c>
      <c r="F15" s="31"/>
      <c r="H15">
        <f>'[8]Fuel Vol and Credit Gen'!$Y$61</f>
        <v>2163707</v>
      </c>
      <c r="I15">
        <f>'[8]Fuel Vol and Credit Gen'!$Y$55</f>
        <v>919750</v>
      </c>
      <c r="J15">
        <v>230019</v>
      </c>
      <c r="K15">
        <v>140990</v>
      </c>
    </row>
    <row r="16" spans="1:12" x14ac:dyDescent="0.25">
      <c r="A16">
        <v>4</v>
      </c>
      <c r="B16">
        <v>2016</v>
      </c>
      <c r="C16" s="31"/>
      <c r="D16" s="31"/>
      <c r="E16" s="31">
        <f>AVERAGEIFS(Monthly!F:F,Monthly!C:C,Quarterly!A16,Monthly!D:D,Quarterly!B16)</f>
        <v>89.24722222222222</v>
      </c>
      <c r="F16" s="31"/>
      <c r="H16">
        <f>'[8]Fuel Vol and Credit Gen'!$Z$61</f>
        <v>2364004</v>
      </c>
      <c r="I16">
        <f>'[8]Fuel Vol and Credit Gen'!$Z$55</f>
        <v>905839</v>
      </c>
      <c r="J16">
        <v>194238</v>
      </c>
      <c r="K16">
        <v>111682</v>
      </c>
    </row>
    <row r="17" spans="1:13" x14ac:dyDescent="0.25">
      <c r="A17">
        <v>1</v>
      </c>
      <c r="B17">
        <v>2017</v>
      </c>
      <c r="C17" s="31"/>
      <c r="D17" s="31"/>
      <c r="E17" s="31">
        <f>AVERAGEIFS(Monthly!F:F,Monthly!C:C,Quarterly!A17,Monthly!D:D,Quarterly!B17)</f>
        <v>92.3600114416476</v>
      </c>
      <c r="F17" s="31"/>
      <c r="H17">
        <f>'[8]Fuel Vol and Credit Gen'!$AA$61</f>
        <v>1853645</v>
      </c>
      <c r="I17">
        <f>'[8]Fuel Vol and Credit Gen'!$AA$55</f>
        <v>783039</v>
      </c>
      <c r="J17">
        <v>192703</v>
      </c>
      <c r="K17">
        <v>121131</v>
      </c>
    </row>
    <row r="18" spans="1:13" x14ac:dyDescent="0.25">
      <c r="A18">
        <v>2</v>
      </c>
      <c r="B18">
        <v>2017</v>
      </c>
      <c r="C18" s="31"/>
      <c r="D18" s="31">
        <f>AVERAGEIFS(Monthly!$H:$H,Monthly!$C:$C,Quarterly!$A18,Monthly!$D:$D,Quarterly!$B18)</f>
        <v>47.800000000000004</v>
      </c>
      <c r="E18" s="31">
        <f>AVERAGEIFS(Monthly!F:F,Monthly!C:C,Quarterly!A18,Monthly!D:D,Quarterly!B18)</f>
        <v>75.248405103668276</v>
      </c>
      <c r="F18" s="31"/>
      <c r="H18">
        <f>'[8]Fuel Vol and Credit Gen'!$AB$61</f>
        <v>2203124</v>
      </c>
      <c r="I18">
        <f>'[8]Fuel Vol and Credit Gen'!$AB$55</f>
        <v>856950</v>
      </c>
      <c r="J18">
        <v>230045</v>
      </c>
      <c r="K18">
        <v>130499</v>
      </c>
    </row>
    <row r="19" spans="1:13" x14ac:dyDescent="0.25">
      <c r="A19">
        <v>3</v>
      </c>
      <c r="B19">
        <v>2017</v>
      </c>
      <c r="C19" s="31"/>
      <c r="D19" s="31">
        <f>AVERAGEIFS(Monthly!$H:$H,Monthly!$C:$C,Quarterly!$A19,Monthly!$D:$D,Quarterly!$B19)</f>
        <v>44</v>
      </c>
      <c r="E19" s="31">
        <f>AVERAGEIFS(Monthly!F:F,Monthly!C:C,Quarterly!A19,Monthly!D:D,Quarterly!B19)</f>
        <v>86.653514492753629</v>
      </c>
      <c r="F19" s="31"/>
      <c r="H19">
        <f>'[8]Fuel Vol and Credit Gen'!$AC$61</f>
        <v>2369643</v>
      </c>
      <c r="I19">
        <f>'[8]Fuel Vol and Credit Gen'!$AC$55</f>
        <v>931601</v>
      </c>
      <c r="J19">
        <v>254757</v>
      </c>
      <c r="K19">
        <v>146591</v>
      </c>
      <c r="M19" s="31"/>
    </row>
    <row r="20" spans="1:13" x14ac:dyDescent="0.25">
      <c r="A20">
        <v>4</v>
      </c>
      <c r="B20">
        <v>2017</v>
      </c>
      <c r="C20" s="31"/>
      <c r="D20" s="31">
        <f>AVERAGEIFS(Monthly!$H:$H,Monthly!$C:$C,Quarterly!$A20,Monthly!$D:$D,Quarterly!$B20)</f>
        <v>49.07</v>
      </c>
      <c r="E20" s="31">
        <f>AVERAGEIFS(Monthly!F:F,Monthly!C:C,Quarterly!A20,Monthly!D:D,Quarterly!B20)</f>
        <v>102.36477272727272</v>
      </c>
      <c r="F20" s="31"/>
      <c r="H20">
        <f>'[8]Fuel Vol and Credit Gen'!$AD$61</f>
        <v>2151196</v>
      </c>
      <c r="I20">
        <f>'[8]Fuel Vol and Credit Gen'!$AD$55</f>
        <v>916634</v>
      </c>
      <c r="J20">
        <v>248866</v>
      </c>
      <c r="K20">
        <v>142386</v>
      </c>
      <c r="M20" s="31"/>
    </row>
    <row r="21" spans="1:13" x14ac:dyDescent="0.25">
      <c r="A21">
        <v>1</v>
      </c>
      <c r="B21">
        <v>2018</v>
      </c>
      <c r="C21" s="31"/>
      <c r="D21" s="31">
        <f>AVERAGEIFS(Monthly!$H:$H,Monthly!$C:$C,Quarterly!$A21,Monthly!$D:$D,Quarterly!$B21)</f>
        <v>53.973333333333336</v>
      </c>
      <c r="E21" s="31">
        <f>AVERAGEIFS(Monthly!F:F,Monthly!C:C,Quarterly!A21,Monthly!D:D,Quarterly!B21)</f>
        <v>134.77046783625732</v>
      </c>
      <c r="F21" s="31"/>
      <c r="H21">
        <f>'[8]Fuel Vol and Credit Gen'!$AE$61</f>
        <v>2101591</v>
      </c>
      <c r="I21">
        <f>'[8]Fuel Vol and Credit Gen'!$AE$55</f>
        <v>776336</v>
      </c>
      <c r="J21">
        <v>218794</v>
      </c>
      <c r="K21">
        <v>121074</v>
      </c>
      <c r="M21" s="31"/>
    </row>
    <row r="22" spans="1:13" x14ac:dyDescent="0.25">
      <c r="A22">
        <v>2</v>
      </c>
      <c r="B22">
        <v>2018</v>
      </c>
      <c r="C22" s="31"/>
      <c r="D22" s="31">
        <f>AVERAGEIFS(Monthly!$H:$H,Monthly!$C:$C,Quarterly!$A22,Monthly!$D:$D,Quarterly!$B22)</f>
        <v>63.56</v>
      </c>
      <c r="E22" s="31">
        <f>AVERAGEIFS(Monthly!F:F,Monthly!C:C,Quarterly!A22,Monthly!D:D,Quarterly!B22)</f>
        <v>161.74801587301587</v>
      </c>
      <c r="F22" s="31"/>
      <c r="H22">
        <f>'[8]Fuel Vol and Credit Gen'!$AF$61</f>
        <v>2226698</v>
      </c>
      <c r="I22">
        <f>'[8]Fuel Vol and Credit Gen'!$AF$55</f>
        <v>775942</v>
      </c>
      <c r="J22">
        <v>232133</v>
      </c>
      <c r="K22">
        <v>116762</v>
      </c>
      <c r="M22" s="31"/>
    </row>
    <row r="23" spans="1:13" x14ac:dyDescent="0.25">
      <c r="A23">
        <v>3</v>
      </c>
      <c r="B23">
        <v>2018</v>
      </c>
      <c r="C23" s="31"/>
      <c r="D23" s="31">
        <f>AVERAGEIFS(Monthly!$H:$H,Monthly!$C:$C,Quarterly!$A23,Monthly!$D:$D,Quarterly!$B23)</f>
        <v>89.643333333333331</v>
      </c>
      <c r="E23" s="31">
        <f>AVERAGEIFS(Monthly!F:F,Monthly!C:C,Quarterly!A23,Monthly!D:D,Quarterly!B23)</f>
        <v>184.56060440957467</v>
      </c>
      <c r="F23" s="31"/>
      <c r="H23">
        <f>'[8]Fuel Vol and Credit Gen'!$AG$61</f>
        <v>2291380</v>
      </c>
      <c r="I23">
        <f>'[8]Fuel Vol and Credit Gen'!$AG$55</f>
        <v>949941</v>
      </c>
      <c r="J23">
        <v>268015</v>
      </c>
      <c r="K23">
        <v>140350</v>
      </c>
      <c r="M23" s="31"/>
    </row>
    <row r="24" spans="1:13" x14ac:dyDescent="0.25">
      <c r="A24">
        <v>4</v>
      </c>
      <c r="B24">
        <v>2018</v>
      </c>
      <c r="C24" s="31"/>
      <c r="D24" s="31">
        <f>AVERAGEIFS(Monthly!$H:$H,Monthly!$C:$C,Quarterly!$A24,Monthly!$D:$D,Quarterly!$B24)</f>
        <v>95.666666666666671</v>
      </c>
      <c r="E24" s="31">
        <f>AVERAGEIFS(Monthly!F:F,Monthly!C:C,Quarterly!A24,Monthly!D:D,Quarterly!B24)</f>
        <v>191.39274499654937</v>
      </c>
      <c r="F24" s="31"/>
      <c r="H24">
        <f>'[8]Fuel Vol and Credit Gen'!$AH$61</f>
        <v>2748934</v>
      </c>
      <c r="I24">
        <f>'[8]Fuel Vol and Credit Gen'!$AH$55</f>
        <v>956310</v>
      </c>
      <c r="J24">
        <v>259798</v>
      </c>
      <c r="K24">
        <v>137630</v>
      </c>
      <c r="M24" s="31"/>
    </row>
    <row r="25" spans="1:13" x14ac:dyDescent="0.25">
      <c r="A25">
        <v>1</v>
      </c>
      <c r="B25">
        <v>2019</v>
      </c>
      <c r="C25" s="31"/>
      <c r="D25" s="31">
        <f>AVERAGEIFS(Monthly!$H:$H,Monthly!$C:$C,Quarterly!$A25,Monthly!$D:$D,Quarterly!$B25)</f>
        <v>135.07</v>
      </c>
      <c r="E25" s="31">
        <f>AVERAGEIFS(Monthly!F:F,Monthly!C:C,Quarterly!A25,Monthly!D:D,Quarterly!B25)</f>
        <v>193.90055973266499</v>
      </c>
      <c r="F25" s="31"/>
      <c r="H25">
        <f>'[8]Fuel Vol and Credit Gen'!$AI$61</f>
        <v>2682648</v>
      </c>
      <c r="I25">
        <f>'[8]Fuel Vol and Credit Gen'!$AI$55</f>
        <v>946616</v>
      </c>
      <c r="J25">
        <v>229304</v>
      </c>
      <c r="K25">
        <v>113165</v>
      </c>
      <c r="M25" s="31"/>
    </row>
    <row r="26" spans="1:13" x14ac:dyDescent="0.25">
      <c r="A26">
        <v>2</v>
      </c>
      <c r="B26">
        <v>2019</v>
      </c>
      <c r="C26" s="31"/>
      <c r="D26" s="31">
        <f>AVERAGEIFS(Monthly!$H:$H,Monthly!$C:$C,Quarterly!$A26,Monthly!$D:$D,Quarterly!$B26)</f>
        <v>148.18333333333337</v>
      </c>
      <c r="E26" s="31">
        <f>AVERAGEIFS(Monthly!F:F,Monthly!C:C,Quarterly!A26,Monthly!D:D,Quarterly!B26)</f>
        <v>188.31017316017315</v>
      </c>
      <c r="F26" s="31"/>
      <c r="H26">
        <f>'[8]Fuel Vol and Credit Gen'!$AJ$61</f>
        <v>3040996</v>
      </c>
      <c r="I26">
        <f>'[8]Fuel Vol and Credit Gen'!$AJ$55</f>
        <v>1086445</v>
      </c>
      <c r="J26">
        <v>293687</v>
      </c>
      <c r="K26">
        <v>136516</v>
      </c>
      <c r="M26" s="31"/>
    </row>
    <row r="27" spans="1:13" x14ac:dyDescent="0.25">
      <c r="A27">
        <v>3</v>
      </c>
      <c r="B27">
        <v>2019</v>
      </c>
      <c r="C27" s="31"/>
      <c r="D27" s="31">
        <f>AVERAGEIFS(Monthly!$H:$H,Monthly!$C:$C,Quarterly!$A27,Monthly!$D:$D,Quarterly!$B27)</f>
        <v>160.97666666666666</v>
      </c>
      <c r="E27" s="31">
        <f>AVERAGEIFS(Monthly!F:F,Monthly!C:C,Quarterly!A27,Monthly!D:D,Quarterly!B27)</f>
        <v>197.744</v>
      </c>
      <c r="F27" s="31"/>
      <c r="H27">
        <f>'[8]Fuel Vol and Credit Gen'!$AK$61</f>
        <v>3002255</v>
      </c>
      <c r="I27">
        <f>'[8]Fuel Vol and Credit Gen'!$AK$55</f>
        <v>1169325</v>
      </c>
      <c r="J27">
        <v>416371</v>
      </c>
      <c r="K27">
        <v>158158</v>
      </c>
      <c r="M27" s="31"/>
    </row>
    <row r="28" spans="1:13" x14ac:dyDescent="0.25">
      <c r="A28">
        <v>4</v>
      </c>
      <c r="B28">
        <v>2019</v>
      </c>
      <c r="C28" s="31"/>
      <c r="D28" s="31">
        <f>AVERAGEIFS(Monthly!$H:$H,Monthly!$C:$C,Quarterly!$A28,Monthly!$D:$D,Quarterly!$B28)</f>
        <v>159.97</v>
      </c>
      <c r="E28" s="31">
        <f>AVERAGEIFS(Monthly!F:F,Monthly!C:C,Quarterly!A28,Monthly!D:D,Quarterly!B28)</f>
        <v>205.75659256837744</v>
      </c>
      <c r="F28" s="31"/>
      <c r="H28">
        <f>'[8]Fuel Vol and Credit Gen'!$AL$61</f>
        <v>3232130</v>
      </c>
      <c r="I28">
        <f>'[8]Fuel Vol and Credit Gen'!$AL$55</f>
        <v>1139746</v>
      </c>
      <c r="J28">
        <v>332060</v>
      </c>
      <c r="K28">
        <v>145929</v>
      </c>
      <c r="M28" s="31"/>
    </row>
    <row r="29" spans="1:13" x14ac:dyDescent="0.25">
      <c r="A29">
        <v>1</v>
      </c>
      <c r="B29">
        <v>2020</v>
      </c>
      <c r="C29" s="31"/>
      <c r="D29" s="31">
        <f>AVERAGEIFS(Monthly!$H:$H,Monthly!$C:$C,Quarterly!$A29,Monthly!$D:$D,Quarterly!$B29)</f>
        <v>151.91666666666666</v>
      </c>
      <c r="E29" s="31">
        <f>AVERAGEIFS(Monthly!F:F,Monthly!C:C,Quarterly!A29,Monthly!D:D,Quarterly!B29)</f>
        <v>206.33417065390748</v>
      </c>
      <c r="F29" s="31"/>
      <c r="H29">
        <f>'[8]Fuel Vol and Credit Gen'!$AM$61</f>
        <v>2871617</v>
      </c>
      <c r="I29">
        <f>'[8]Fuel Vol and Credit Gen'!$AM$55</f>
        <v>1045797</v>
      </c>
      <c r="J29">
        <v>347147</v>
      </c>
      <c r="K29">
        <v>124417</v>
      </c>
      <c r="M29" s="31"/>
    </row>
    <row r="30" spans="1:13" x14ac:dyDescent="0.25">
      <c r="A30">
        <v>2</v>
      </c>
      <c r="B30">
        <v>2020</v>
      </c>
      <c r="C30" s="31"/>
      <c r="D30" s="31">
        <f>AVERAGEIFS(Monthly!$H:$H,Monthly!$C:$C,Quarterly!$A30,Monthly!$D:$D,Quarterly!$B30)</f>
        <v>118.71</v>
      </c>
      <c r="E30" s="31">
        <f>AVERAGEIFS(Monthly!F:F,Monthly!C:C,Quarterly!A30,Monthly!D:D,Quarterly!B30)</f>
        <v>201.31991341991341</v>
      </c>
      <c r="F30" s="31"/>
      <c r="H30">
        <f>'[8]Fuel Vol and Credit Gen'!$AN$61</f>
        <v>2625886</v>
      </c>
      <c r="I30">
        <f>'[8]Fuel Vol and Credit Gen'!$AN$55</f>
        <v>648935</v>
      </c>
      <c r="J30">
        <v>317691</v>
      </c>
      <c r="K30">
        <v>108641</v>
      </c>
      <c r="M30" s="31"/>
    </row>
    <row r="31" spans="1:13" x14ac:dyDescent="0.25">
      <c r="A31">
        <v>3</v>
      </c>
      <c r="B31">
        <v>2020</v>
      </c>
      <c r="C31" s="31"/>
      <c r="D31" s="31">
        <f>AVERAGEIFS(Monthly!$H:$H,Monthly!$C:$C,Quarterly!$A31,Monthly!$D:$D,Quarterly!$B31)</f>
        <v>132.79999999999998</v>
      </c>
      <c r="E31" s="31">
        <f>AVERAGEIFS(Monthly!F:F,Monthly!C:C,Quarterly!A31,Monthly!D:D,Quarterly!B31)</f>
        <v>195.78318903318905</v>
      </c>
      <c r="F31" s="31"/>
      <c r="H31">
        <f>'[8]Fuel Vol and Credit Gen'!$AO$61</f>
        <v>3271414</v>
      </c>
      <c r="I31">
        <f>'[8]Fuel Vol and Credit Gen'!$AO$55</f>
        <v>1052908</v>
      </c>
      <c r="J31">
        <v>317788</v>
      </c>
      <c r="K31">
        <v>145807</v>
      </c>
      <c r="M31" s="31"/>
    </row>
    <row r="32" spans="1:13" x14ac:dyDescent="0.25">
      <c r="A32">
        <v>4</v>
      </c>
      <c r="B32">
        <v>2020</v>
      </c>
      <c r="C32" s="31"/>
      <c r="D32" s="31">
        <f>AVERAGEIFS(Monthly!$H:$H,Monthly!$C:$C,Quarterly!$A32,Monthly!$D:$D,Quarterly!$B32)</f>
        <v>125.00333333333333</v>
      </c>
      <c r="E32" s="31">
        <f>AVERAGEIFS(Monthly!F:F,Monthly!C:C,Quarterly!A32,Monthly!D:D,Quarterly!B32)</f>
        <v>197.8245614035088</v>
      </c>
      <c r="F32" s="31"/>
      <c r="H32">
        <f>'[8]Fuel Vol and Credit Gen'!$AP$61</f>
        <v>3508149</v>
      </c>
      <c r="I32">
        <f>'[8]Fuel Vol and Credit Gen'!$AP$55</f>
        <v>989015</v>
      </c>
      <c r="J32">
        <v>328585</v>
      </c>
      <c r="K32">
        <v>128476</v>
      </c>
      <c r="M32" s="31"/>
    </row>
    <row r="33" spans="1:13" x14ac:dyDescent="0.25">
      <c r="A33">
        <v>1</v>
      </c>
      <c r="B33">
        <v>2021</v>
      </c>
      <c r="C33" s="31"/>
      <c r="D33" s="31">
        <f>AVERAGEIFS(Monthly!$H:$H,Monthly!$C:$C,Quarterly!$A33,Monthly!$D:$D,Quarterly!$B33)</f>
        <v>125.24</v>
      </c>
      <c r="E33" s="31">
        <f>AVERAGEIFS(Monthly!F:F,Monthly!C:C,Quarterly!A33,Monthly!D:D,Quarterly!B33)</f>
        <v>195.26369946605647</v>
      </c>
      <c r="F33" s="31"/>
      <c r="H33">
        <f>'[8]Fuel Vol and Credit Gen'!$AQ$61</f>
        <v>3164286</v>
      </c>
      <c r="I33">
        <f>'[8]Fuel Vol and Credit Gen'!$AQ$55</f>
        <v>747150</v>
      </c>
      <c r="J33">
        <v>321206.5</v>
      </c>
      <c r="K33">
        <v>110343</v>
      </c>
      <c r="M33" s="31"/>
    </row>
    <row r="34" spans="1:13" x14ac:dyDescent="0.25">
      <c r="A34">
        <v>2</v>
      </c>
      <c r="B34">
        <v>2021</v>
      </c>
      <c r="C34" s="31"/>
      <c r="D34" s="31">
        <f>AVERAGEIFS(Monthly!$H:$H,Monthly!$C:$C,Quarterly!$A34,Monthly!$D:$D,Quarterly!$B34)</f>
        <v>125.79333333333334</v>
      </c>
      <c r="E34" s="31">
        <f>AVERAGEIFS(Monthly!F:F,Monthly!C:C,Quarterly!A34,Monthly!D:D,Quarterly!B34)</f>
        <v>184.92104978354976</v>
      </c>
      <c r="F34" s="31"/>
      <c r="H34">
        <f>'[8]Fuel Vol and Credit Gen'!$AR$61</f>
        <v>3828242</v>
      </c>
      <c r="I34">
        <f>'[8]Fuel Vol and Credit Gen'!$AR$55</f>
        <v>1006898</v>
      </c>
      <c r="J34">
        <v>418283.5</v>
      </c>
      <c r="K34">
        <v>150829</v>
      </c>
      <c r="M34" s="31"/>
    </row>
    <row r="35" spans="1:13" x14ac:dyDescent="0.25">
      <c r="A35">
        <v>3</v>
      </c>
      <c r="B35">
        <v>2021</v>
      </c>
      <c r="C35" s="31"/>
      <c r="D35" s="31">
        <f>AVERAGEIFS(Monthly!$H:$H,Monthly!$C:$C,Quarterly!$A35,Monthly!$D:$D,Quarterly!$B35)</f>
        <v>125.39666666666666</v>
      </c>
      <c r="E35" s="31">
        <f>AVERAGEIFS(Monthly!F:F,Monthly!C:C,Quarterly!A35,Monthly!D:D,Quarterly!B35)</f>
        <v>175.56347041847042</v>
      </c>
      <c r="F35" s="31"/>
      <c r="H35">
        <f>'[8]Fuel Vol and Credit Gen'!$AS$61</f>
        <v>4345435</v>
      </c>
      <c r="I35">
        <f>'[8]Fuel Vol and Credit Gen'!$AS$55</f>
        <v>1113796</v>
      </c>
      <c r="J35">
        <v>417755</v>
      </c>
      <c r="K35">
        <v>155906</v>
      </c>
      <c r="M35" s="31"/>
    </row>
    <row r="36" spans="1:13" x14ac:dyDescent="0.25">
      <c r="A36">
        <v>4</v>
      </c>
      <c r="B36">
        <v>2021</v>
      </c>
      <c r="C36" s="31"/>
      <c r="D36" s="31">
        <f>AVERAGEIFS(Monthly!$H:$H,Monthly!$C:$C,Quarterly!$A36,Monthly!$D:$D,Quarterly!$B36)</f>
        <v>124.58</v>
      </c>
      <c r="E36" s="31">
        <f>AVERAGEIFS(Monthly!F:F,Monthly!C:C,Quarterly!A36,Monthly!D:D,Quarterly!B36)</f>
        <v>155.20674603174601</v>
      </c>
      <c r="F36" s="31"/>
      <c r="H36">
        <f>'[8]Fuel Vol and Credit Gen'!$AT$61</f>
        <v>4322446</v>
      </c>
      <c r="I36">
        <f>'[8]Fuel Vol and Credit Gen'!$AT$55</f>
        <v>957708</v>
      </c>
      <c r="J36">
        <v>395400</v>
      </c>
      <c r="K36">
        <v>132872</v>
      </c>
      <c r="M36" s="31"/>
    </row>
    <row r="37" spans="1:13" x14ac:dyDescent="0.25">
      <c r="A37">
        <v>1</v>
      </c>
      <c r="B37">
        <v>2022</v>
      </c>
      <c r="C37" s="31"/>
      <c r="D37" s="31">
        <f>AVERAGEIFS(Monthly!$H:$H,Monthly!$C:$C,Quarterly!$A37,Monthly!$D:$D,Quarterly!$B37)</f>
        <v>124.28666666666668</v>
      </c>
      <c r="E37" s="31">
        <f>AVERAGEIFS(Monthly!F:F,Monthly!C:C,Quarterly!A37,Monthly!D:D,Quarterly!B37)</f>
        <v>138.98328565980168</v>
      </c>
      <c r="F37" s="31"/>
      <c r="H37">
        <f>'[8]Fuel Vol and Credit Gen'!$AU$61</f>
        <v>4576664</v>
      </c>
      <c r="I37">
        <f>'[8]Fuel Vol and Credit Gen'!$AU$55</f>
        <v>917950</v>
      </c>
      <c r="J37">
        <v>467000</v>
      </c>
      <c r="K37">
        <v>121410</v>
      </c>
      <c r="M37" s="31"/>
    </row>
    <row r="38" spans="1:13" x14ac:dyDescent="0.25">
      <c r="A38">
        <v>2</v>
      </c>
      <c r="B38">
        <v>2022</v>
      </c>
      <c r="C38" s="31"/>
      <c r="D38" s="31">
        <f>AVERAGEIFS(Monthly!$H:$H,Monthly!$C:$C,Quarterly!$A38,Monthly!$D:$D,Quarterly!$B38)</f>
        <v>120.33999999999999</v>
      </c>
      <c r="E38" s="31">
        <f>AVERAGEIFS(Monthly!F:F,Monthly!C:C,Quarterly!A38,Monthly!D:D,Quarterly!B38)</f>
        <v>104.92738095238094</v>
      </c>
      <c r="F38" s="31"/>
      <c r="H38">
        <f>'[8]Fuel Vol and Credit Gen'!$AV$61</f>
        <v>5081972</v>
      </c>
      <c r="I38">
        <f>'[8]Fuel Vol and Credit Gen'!$AV$55</f>
        <v>919767</v>
      </c>
      <c r="J38">
        <v>475145</v>
      </c>
      <c r="K38">
        <v>137863</v>
      </c>
      <c r="M38" s="31"/>
    </row>
    <row r="39" spans="1:13" x14ac:dyDescent="0.25">
      <c r="A39">
        <v>3</v>
      </c>
      <c r="B39">
        <v>2022</v>
      </c>
      <c r="C39" s="31"/>
      <c r="D39" s="31">
        <f>AVERAGEIFS(Monthly!$H:$H,Monthly!$C:$C,Quarterly!$A39,Monthly!$D:$D,Quarterly!$B39)</f>
        <v>114.33666666666666</v>
      </c>
      <c r="E39" s="31">
        <f>AVERAGEIFS(Monthly!F:F,Monthly!C:C,Quarterly!A39,Monthly!D:D,Quarterly!B39)</f>
        <v>86.084515182884743</v>
      </c>
      <c r="F39" s="31"/>
      <c r="H39">
        <f>'[8]Fuel Vol and Credit Gen'!$AW$61</f>
        <v>5195611</v>
      </c>
      <c r="I39">
        <f>'[8]Fuel Vol and Credit Gen'!$AW$55</f>
        <v>975746</v>
      </c>
      <c r="J39">
        <v>496488</v>
      </c>
      <c r="K39">
        <v>142410</v>
      </c>
      <c r="M39" s="31"/>
    </row>
    <row r="40" spans="1:13" x14ac:dyDescent="0.25">
      <c r="A40">
        <v>4</v>
      </c>
      <c r="B40">
        <v>2022</v>
      </c>
      <c r="C40" s="31"/>
      <c r="D40" s="31">
        <f>AVERAGEIFS(Monthly!$H:$H,Monthly!$C:$C,Quarterly!$A40,Monthly!$D:$D,Quarterly!$B40)</f>
        <v>117.12333333333333</v>
      </c>
      <c r="E40" s="31">
        <f>AVERAGEIFS(Monthly!F:F,Monthly!C:C,Quarterly!A40,Monthly!D:D,Quarterly!B40)</f>
        <v>65.437103174603166</v>
      </c>
      <c r="F40" s="31"/>
      <c r="H40">
        <f>'[8]Fuel Vol and Credit Gen'!$AX$61</f>
        <v>5296993</v>
      </c>
      <c r="I40">
        <f>'[8]Fuel Vol and Credit Gen'!$AX$55</f>
        <v>927177</v>
      </c>
      <c r="J40">
        <v>534577</v>
      </c>
      <c r="K40">
        <v>121762</v>
      </c>
      <c r="M40" s="31"/>
    </row>
    <row r="41" spans="1:13" x14ac:dyDescent="0.25">
      <c r="A41">
        <v>1</v>
      </c>
      <c r="B41">
        <v>2023</v>
      </c>
      <c r="C41" s="31"/>
      <c r="D41" s="31">
        <f>AVERAGEIFS(Monthly!$H:$H,Monthly!$C:$C,Quarterly!$A41,Monthly!$D:$D,Quarterly!$B41)</f>
        <v>118.52</v>
      </c>
      <c r="E41" s="31">
        <f>AVERAGEIFS(Monthly!F:F,Monthly!C:C,Quarterly!A41,Monthly!D:D,Quarterly!B41)</f>
        <v>65.608361937452329</v>
      </c>
      <c r="F41" s="31"/>
      <c r="H41">
        <f>'[8]Fuel Vol and Credit Gen'!$AY$61</f>
        <v>4960158</v>
      </c>
      <c r="I41">
        <f>'[8]Fuel Vol and Credit Gen'!$AY$55</f>
        <v>827472</v>
      </c>
      <c r="J41">
        <v>527468</v>
      </c>
      <c r="K41">
        <v>135090</v>
      </c>
      <c r="L41">
        <v>238334</v>
      </c>
      <c r="M41" s="31"/>
    </row>
    <row r="42" spans="1:13" x14ac:dyDescent="0.25">
      <c r="A42">
        <v>2</v>
      </c>
      <c r="B42">
        <v>2023</v>
      </c>
      <c r="C42" s="31"/>
      <c r="D42" s="31">
        <f>AVERAGEIFS(Monthly!$H:$H,Monthly!$C:$C,Quarterly!$A42,Monthly!$D:$D,Quarterly!$B42)</f>
        <v>127.66000000000001</v>
      </c>
      <c r="E42" s="31">
        <f>AVERAGEIFS(Monthly!F:F,Monthly!C:C,Quarterly!A42,Monthly!D:D,Quarterly!B42)</f>
        <v>80.969212804739129</v>
      </c>
      <c r="F42" s="31"/>
      <c r="H42">
        <f>'[8]Fuel Vol and Credit Gen'!$AZ$61</f>
        <v>5496033</v>
      </c>
      <c r="I42">
        <f>'[8]Fuel Vol and Credit Gen'!$AZ$55</f>
        <v>736436</v>
      </c>
      <c r="J42">
        <v>702915</v>
      </c>
      <c r="K42">
        <v>142813</v>
      </c>
      <c r="L42">
        <v>273796</v>
      </c>
      <c r="M42" s="31"/>
    </row>
    <row r="43" spans="1:13" x14ac:dyDescent="0.25">
      <c r="A43">
        <v>3</v>
      </c>
      <c r="B43">
        <v>2023</v>
      </c>
      <c r="C43" s="31">
        <f>AVERAGEIFS(Monthly!$E:$E,Monthly!$C:$C,Quarterly!$A43,Monthly!$D:$D,Quarterly!$B43)</f>
        <v>161.82916666666665</v>
      </c>
      <c r="D43" s="31">
        <f>AVERAGEIFS(Monthly!$H:$H,Monthly!$C:$C,Quarterly!$A43,Monthly!$D:$D,Quarterly!$B43)</f>
        <v>139.06666666666666</v>
      </c>
      <c r="E43" s="31">
        <f>AVERAGEIFS(Monthly!F:F,Monthly!C:C,Quarterly!A43,Monthly!D:D,Quarterly!B43)</f>
        <v>74.499094202898561</v>
      </c>
      <c r="F43" s="31">
        <f>AVERAGEIFS(Monthly!$G:$G,Monthly!$C:$C,Quarterly!$A43,Monthly!$D:$D,Quarterly!$B43)</f>
        <v>101.46000000000001</v>
      </c>
      <c r="H43">
        <f>'[8]Fuel Vol and Credit Gen'!$BA$61</f>
        <v>6058457</v>
      </c>
      <c r="I43">
        <f>'[8]Fuel Vol and Credit Gen'!$BA$55</f>
        <v>882062</v>
      </c>
      <c r="J43">
        <v>765653</v>
      </c>
      <c r="K43">
        <v>131590</v>
      </c>
      <c r="L43">
        <v>322507</v>
      </c>
      <c r="M43" s="31"/>
    </row>
    <row r="44" spans="1:13" x14ac:dyDescent="0.25">
      <c r="A44">
        <v>4</v>
      </c>
      <c r="B44">
        <v>2023</v>
      </c>
      <c r="C44" s="31">
        <f>AVERAGEIFS(Monthly!$E:$E,Monthly!$C:$C,Quarterly!$A44,Monthly!$D:$D,Quarterly!$B44)</f>
        <v>116.24242424242425</v>
      </c>
      <c r="D44" s="31">
        <f>AVERAGEIFS(Monthly!$H:$H,Monthly!$C:$C,Quarterly!$A44,Monthly!$D:$D,Quarterly!$B44)</f>
        <v>137.28666666666666</v>
      </c>
      <c r="E44" s="31">
        <f>AVERAGEIFS(Monthly!F:F,Monthly!C:C,Quarterly!A44,Monthly!D:D,Quarterly!B44)</f>
        <v>69.588257575757567</v>
      </c>
      <c r="F44" s="31">
        <f>AVERAGEIFS(Monthly!$G:$G,Monthly!$C:$C,Quarterly!$A44,Monthly!$D:$D,Quarterly!$B44)</f>
        <v>86.09</v>
      </c>
      <c r="H44">
        <f>'[8]Fuel Vol and Credit Gen'!$BB$61</f>
        <v>6400234</v>
      </c>
      <c r="I44">
        <f>'[8]Fuel Vol and Credit Gen'!$BB$55</f>
        <v>916926</v>
      </c>
      <c r="J44">
        <v>806156</v>
      </c>
      <c r="K44">
        <v>141913</v>
      </c>
      <c r="L44">
        <v>342058</v>
      </c>
      <c r="M44" s="31"/>
    </row>
    <row r="45" spans="1:13" x14ac:dyDescent="0.25">
      <c r="A45">
        <v>1</v>
      </c>
      <c r="B45">
        <v>2024</v>
      </c>
      <c r="C45" s="31">
        <f>AVERAGEIFS(Monthly!$E:$E,Monthly!$C:$C,Quarterly!$A45,Monthly!$D:$D,Quarterly!$B45)</f>
        <v>79.898214285714289</v>
      </c>
      <c r="D45" s="31">
        <f>AVERAGEIFS(Monthly!$H:$H,Monthly!$C:$C,Quarterly!$A45,Monthly!$D:$D,Quarterly!$B45)</f>
        <v>116.3</v>
      </c>
      <c r="E45" s="31">
        <f>AVERAGEIFS(Monthly!F:F,Monthly!C:C,Quarterly!A45,Monthly!D:D,Quarterly!B45)</f>
        <v>64.151071428571427</v>
      </c>
      <c r="F45" s="31">
        <f>AVERAGEIFS(Monthly!$G:$G,Monthly!$C:$C,Quarterly!$A45,Monthly!$D:$D,Quarterly!$B45)</f>
        <v>75.09</v>
      </c>
      <c r="H45">
        <f>'[8]Fuel Vol and Credit Gen'!$BC$61</f>
        <v>6065553</v>
      </c>
      <c r="I45">
        <f>'[8]Fuel Vol and Credit Gen'!$BC$55</f>
        <v>810581</v>
      </c>
      <c r="J45">
        <v>819692</v>
      </c>
      <c r="K45">
        <v>116055</v>
      </c>
      <c r="L45">
        <v>417595</v>
      </c>
      <c r="M45" s="31"/>
    </row>
    <row r="46" spans="1:13" x14ac:dyDescent="0.25">
      <c r="A46">
        <v>2</v>
      </c>
      <c r="B46">
        <v>2024</v>
      </c>
      <c r="C46" s="31">
        <f>AVERAGEIFS(Monthly!$E:$E,Monthly!$C:$C,Quarterly!$A46,Monthly!$D:$D,Quarterly!$B46)</f>
        <v>56.020334928229666</v>
      </c>
      <c r="D46" s="31">
        <f>AVERAGEIFS(Monthly!$H:$H,Monthly!$C:$C,Quarterly!$A46,Monthly!$D:$D,Quarterly!$B46)</f>
        <v>81.63000000000001</v>
      </c>
      <c r="E46" s="31">
        <f>AVERAGEIFS(Monthly!F:F,Monthly!C:C,Quarterly!A46,Monthly!D:D,Quarterly!B46)</f>
        <v>51.696858054226475</v>
      </c>
      <c r="F46" s="31">
        <f>AVERAGEIFS(Monthly!$G:$G,Monthly!$C:$C,Quarterly!$A46,Monthly!$D:$D,Quarterly!$B46)</f>
        <v>53.986666666666672</v>
      </c>
      <c r="H46">
        <f>'[8]Fuel Vol and Credit Gen'!$BD$61</f>
        <v>6873607</v>
      </c>
      <c r="I46">
        <f>'[8]Fuel Vol and Credit Gen'!$BD$55</f>
        <v>910853</v>
      </c>
      <c r="J46">
        <v>797737</v>
      </c>
      <c r="K46">
        <v>145746</v>
      </c>
      <c r="L46">
        <v>467302</v>
      </c>
      <c r="M46" s="31"/>
    </row>
    <row r="47" spans="1:13" x14ac:dyDescent="0.25">
      <c r="A47">
        <v>3</v>
      </c>
      <c r="B47">
        <v>2024</v>
      </c>
      <c r="C47" s="31">
        <f>AVERAGEIFS(Monthly!$E:$E,Monthly!$C:$C,Quarterly!$A47,Monthly!$D:$D,Quarterly!$B47)</f>
        <v>29.072727272727274</v>
      </c>
      <c r="D47" s="31">
        <f>AVERAGEIFS(Monthly!$H:$H,Monthly!$C:$C,Quarterly!$A47,Monthly!$D:$D,Quarterly!$B47)</f>
        <v>58.466666666666669</v>
      </c>
      <c r="E47" s="31">
        <f>AVERAGEIFS(Monthly!F:F,Monthly!C:C,Quarterly!A47,Monthly!D:D,Quarterly!B47)</f>
        <v>53.511636363636363</v>
      </c>
      <c r="F47" s="31">
        <f>AVERAGEIFS(Monthly!$G:$G,Monthly!$C:$C,Quarterly!$A47,Monthly!$D:$D,Quarterly!$B47)</f>
        <v>35.15</v>
      </c>
      <c r="H47">
        <f>'[8]Fuel Vol and Credit Gen'!BD$61</f>
        <v>6873607</v>
      </c>
      <c r="I47">
        <f>'[8]Fuel Vol and Credit Gen'!BE$55</f>
        <v>866406</v>
      </c>
      <c r="J47">
        <v>672441</v>
      </c>
      <c r="K47">
        <v>153226</v>
      </c>
      <c r="L47" s="32">
        <f>FORECAST(H47,L$41:L46,H$41:H46)</f>
        <v>445069.21906771354</v>
      </c>
      <c r="M47" s="31">
        <f t="shared" ref="M47:M48" si="0">E47-E46</f>
        <v>1.8147783094098884</v>
      </c>
    </row>
    <row r="48" spans="1:13" x14ac:dyDescent="0.25">
      <c r="A48">
        <v>4</v>
      </c>
      <c r="B48">
        <v>2024</v>
      </c>
      <c r="C48" s="31">
        <f>AVERAGEIFS(Monthly!$E:$E,Monthly!$C:$C,Quarterly!$A48,Monthly!$D:$D,Quarterly!$B48)</f>
        <v>40.351285369220157</v>
      </c>
      <c r="D48" s="31">
        <f>AVERAGEIFS(Monthly!$H:$H,Monthly!$C:$C,Quarterly!$A48,Monthly!$D:$D,Quarterly!$B48)</f>
        <v>63.103333333333332</v>
      </c>
      <c r="E48" s="31">
        <f>AVERAGEIFS(Monthly!F:F,Monthly!C:C,Quarterly!A48,Monthly!D:D,Quarterly!B48)</f>
        <v>72.325874051069704</v>
      </c>
      <c r="F48" s="31">
        <f>AVERAGEIFS(Monthly!$G:$G,Monthly!$C:$C,Quarterly!$A48,Monthly!$D:$D,Quarterly!$B48)</f>
        <v>28.856666666666666</v>
      </c>
      <c r="H48" s="32">
        <f>'[8]Fuel Vol and Credit Gen'!BE$61</f>
        <v>7465821.0000000009</v>
      </c>
      <c r="I48" s="32">
        <f>'[8]Fuel Vol and Credit Gen'!BF$55</f>
        <v>906093.05235575559</v>
      </c>
      <c r="J48" s="32">
        <f t="shared" ref="J48:J111" si="1">FORECAST(H48,J14:J47,H14:H47)</f>
        <v>847805.61022113077</v>
      </c>
      <c r="K48" s="32"/>
      <c r="L48" s="32">
        <f>FORECAST(H48,L$41:L47,H$41:H47)</f>
        <v>511992.09573223972</v>
      </c>
      <c r="M48" s="31">
        <f t="shared" si="0"/>
        <v>18.814237687433341</v>
      </c>
    </row>
    <row r="49" spans="1:13" x14ac:dyDescent="0.25">
      <c r="A49">
        <v>1</v>
      </c>
      <c r="B49">
        <v>2025</v>
      </c>
      <c r="C49" s="33">
        <f>AVERAGEIFS(Monthly!$E:$E,Monthly!$C:$C,Quarterly!$A49,Monthly!$D:$D,Quarterly!$B49)</f>
        <v>59.745196324143684</v>
      </c>
      <c r="D49" s="33">
        <f>AVERAGEIFS(Monthly!$H:$H,Monthly!$C:$C,Quarterly!$A49,Monthly!$D:$D,Quarterly!$B49)</f>
        <v>43.73</v>
      </c>
      <c r="E49" s="33">
        <f>AVERAGEIFS(Monthly!F:F,Monthly!C:C,Quarterly!A49,Monthly!D:D,Quarterly!B49)</f>
        <v>66.6186299081036</v>
      </c>
      <c r="F49" s="33">
        <f>AVERAGEIFS(Monthly!$G:$G,Monthly!$C:$C,Quarterly!$A49,Monthly!$D:$D,Quarterly!$B49)</f>
        <v>22.93</v>
      </c>
      <c r="H49" s="32">
        <f>'[8]Fuel Vol and Credit Gen'!BF$61</f>
        <v>6085410.5408846326</v>
      </c>
      <c r="I49" s="32">
        <f>'[8]Fuel Vol and Credit Gen'!BG$55</f>
        <v>900355.84559094883</v>
      </c>
      <c r="J49" s="32">
        <f t="shared" si="1"/>
        <v>682801.29030850017</v>
      </c>
      <c r="K49" s="32"/>
      <c r="L49" s="32">
        <f>FORECAST(H49,L$41:L48,H$41:H48)</f>
        <v>355999.43277290452</v>
      </c>
      <c r="M49" s="31">
        <f>E49-E48</f>
        <v>-5.7072441429661041</v>
      </c>
    </row>
    <row r="50" spans="1:13" x14ac:dyDescent="0.25">
      <c r="A50">
        <v>2</v>
      </c>
      <c r="B50">
        <f>B49</f>
        <v>2025</v>
      </c>
      <c r="C50" s="34">
        <f>FORECAST(E50,$C$45:C49,$E$45:E49)*0.9</f>
        <v>56.544304993319649</v>
      </c>
      <c r="D50" s="35">
        <f>FORECAST(E50,$D$18:D49,$E$18:E49)*0.5</f>
        <v>46.54379506677472</v>
      </c>
      <c r="E50" s="34">
        <f>MultiRegLCFS!$B$17+(MultiRegLCFS!$B$18*Quarterly!$H50)+(MultiRegLCFS!$B$19*Quarterly!$I50)*0.9</f>
        <v>84.993607309900739</v>
      </c>
      <c r="F50" s="34">
        <f>FORECAST(E50,F$44:F49,E$44:E49)*0.75</f>
        <v>40.831323014879565</v>
      </c>
      <c r="H50" s="32">
        <f>'[8]Fuel Vol and Credit Gen'!BG$61</f>
        <v>5464138.8101690123</v>
      </c>
      <c r="I50" s="32">
        <f>'[8]Fuel Vol and Credit Gen'!BH$55</f>
        <v>933213.05483336234</v>
      </c>
      <c r="J50" s="32">
        <f t="shared" si="1"/>
        <v>608791.99818210723</v>
      </c>
      <c r="K50" s="32"/>
      <c r="L50" s="32">
        <f>FORECAST(H50,L$41:L49,H$41:H49)</f>
        <v>285792.90032038203</v>
      </c>
      <c r="M50" s="31">
        <f t="shared" ref="M50:M91" si="2">E50-E49</f>
        <v>18.374977401797139</v>
      </c>
    </row>
    <row r="51" spans="1:13" x14ac:dyDescent="0.25">
      <c r="A51">
        <v>3</v>
      </c>
      <c r="B51">
        <f>B50</f>
        <v>2025</v>
      </c>
      <c r="C51" s="34">
        <f>FORECAST(E51,$C$45:C50,$E$45:E50)</f>
        <v>57.59509520650532</v>
      </c>
      <c r="D51" s="35">
        <f>FORECAST(E51,$D$18:D50,$E$18:E50)*0.55</f>
        <v>49.183290017800964</v>
      </c>
      <c r="E51" s="34">
        <f>MultiRegLCFS!$B$17+(MultiRegLCFS!$B$18*Quarterly!$H51)+(MultiRegLCFS!$B$19*Quarterly!$I51)*0.85</f>
        <v>80.865532263725925</v>
      </c>
      <c r="F51" s="34">
        <f>FORECAST(E51,F$44:F50,E$44:E50)*0.85</f>
        <v>39.834905375666551</v>
      </c>
      <c r="H51" s="32">
        <f>'[8]Fuel Vol and Credit Gen'!BH$61</f>
        <v>5465161.5701585319</v>
      </c>
      <c r="I51" s="32">
        <f>'[8]Fuel Vol and Credit Gen'!BI$55</f>
        <v>970209.57344730967</v>
      </c>
      <c r="J51" s="32">
        <f t="shared" si="1"/>
        <v>609064.39365633647</v>
      </c>
      <c r="K51" s="32"/>
      <c r="L51" s="32">
        <f>FORECAST(H51,L$41:L50,H$41:H50)</f>
        <v>285908.47685291257</v>
      </c>
      <c r="M51" s="31">
        <f t="shared" si="2"/>
        <v>-4.1280750461748141</v>
      </c>
    </row>
    <row r="52" spans="1:13" x14ac:dyDescent="0.25">
      <c r="A52">
        <v>4</v>
      </c>
      <c r="B52">
        <f>B51</f>
        <v>2025</v>
      </c>
      <c r="C52" s="34">
        <f>FORECAST(E52,$C$45:C51,$E$45:E51)*1.05</f>
        <v>57.126662296875054</v>
      </c>
      <c r="D52" s="35">
        <f>FORECAST(E52,$D$18:D51,$E$18:E51)*0.6</f>
        <v>49.908813657785231</v>
      </c>
      <c r="E52" s="34">
        <f>MultiRegLCFS!$B$17+(MultiRegLCFS!$B$18*Quarterly!$H52)+(MultiRegLCFS!$B$19*Quarterly!$I52)*0.9</f>
        <v>68.624508629164694</v>
      </c>
      <c r="F52" s="34">
        <f>FORECAST(E52,F$44:F51,E$44:E51)*0.95</f>
        <v>45.305717075695433</v>
      </c>
      <c r="H52" s="32">
        <f>'[8]Fuel Vol and Credit Gen'!BI$61</f>
        <v>6448196.4490094678</v>
      </c>
      <c r="I52" s="32">
        <f>'[8]Fuel Vol and Credit Gen'!BJ$55</f>
        <v>918982.74506998109</v>
      </c>
      <c r="J52" s="32">
        <f t="shared" si="1"/>
        <v>725978.09302955365</v>
      </c>
      <c r="K52" s="32"/>
      <c r="L52" s="32">
        <f>FORECAST(H52,L$41:L51,H$41:H51)</f>
        <v>396995.89112253243</v>
      </c>
      <c r="M52" s="31">
        <f t="shared" si="2"/>
        <v>-12.24102363456123</v>
      </c>
    </row>
    <row r="53" spans="1:13" x14ac:dyDescent="0.25">
      <c r="A53">
        <v>1</v>
      </c>
      <c r="B53">
        <f>B52+1</f>
        <v>2026</v>
      </c>
      <c r="C53" s="34">
        <f>FORECAST(E53,$C$45:C52,$E$45:E52)*1.05</f>
        <v>61.690119323774027</v>
      </c>
      <c r="D53" s="35">
        <f>FORECAST(E53,$D$18:D52,$E$18:E52)*0.65</f>
        <v>56.353648346868901</v>
      </c>
      <c r="E53" s="34">
        <f>MultiRegLCFS!$B$17+(MultiRegLCFS!$B$18*Quarterly!$H53)+(MultiRegLCFS!$B$19*Quarterly!$I53)*0.94</f>
        <v>83.868777727192651</v>
      </c>
      <c r="F53" s="34">
        <f>FORECAST(E53,F$44:F52,E$44:E52)</f>
        <v>43.775835363914823</v>
      </c>
      <c r="H53" s="32">
        <f>'[8]Fuel Vol and Credit Gen'!BJ$61</f>
        <v>5956156.456241345</v>
      </c>
      <c r="I53" s="32">
        <f>'[8]Fuel Vol and Credit Gen'!BK$55</f>
        <v>914457.74311546865</v>
      </c>
      <c r="J53" s="32">
        <f t="shared" si="1"/>
        <v>667571.97820005473</v>
      </c>
      <c r="K53" s="32"/>
      <c r="L53" s="32">
        <f>FORECAST(H53,L$41:L52,H$41:H52)</f>
        <v>341393.13308230479</v>
      </c>
      <c r="M53" s="31">
        <f t="shared" si="2"/>
        <v>15.244269098027956</v>
      </c>
    </row>
    <row r="54" spans="1:13" x14ac:dyDescent="0.25">
      <c r="A54">
        <v>2</v>
      </c>
      <c r="B54">
        <f>B53</f>
        <v>2026</v>
      </c>
      <c r="C54" s="34">
        <f>FORECAST(E54,$C$45:C53,$E$45:E53)*1.05</f>
        <v>64.204715238658906</v>
      </c>
      <c r="D54" s="35">
        <f>FORECAST(E54,$D$18:D53,$E$18:E53)*0.7</f>
        <v>61.135228658440958</v>
      </c>
      <c r="E54" s="34">
        <f>MultiRegLCFS!$B$17+(MultiRegLCFS!$B$18*Quarterly!$H54)+(MultiRegLCFS!$B$19*Quarterly!$I54)*0.9</f>
        <v>89.140226856505564</v>
      </c>
      <c r="F54" s="34">
        <f>FORECAST(E54,F$44:F53,E$44:E53)*1.05</f>
        <v>44.639857689745767</v>
      </c>
      <c r="H54" s="32">
        <f>'[8]Fuel Vol and Credit Gen'!BK$61</f>
        <v>5564261.0067813965</v>
      </c>
      <c r="I54" s="32">
        <f>'[8]Fuel Vol and Credit Gen'!BL$55</f>
        <v>955642.61710095417</v>
      </c>
      <c r="J54" s="32">
        <f t="shared" si="1"/>
        <v>620866.036954451</v>
      </c>
      <c r="K54" s="32"/>
      <c r="L54" s="32">
        <f>FORECAST(H54,L$41:L53,H$41:H53)</f>
        <v>297107.16410893161</v>
      </c>
      <c r="M54" s="31">
        <f t="shared" si="2"/>
        <v>5.2714491293129129</v>
      </c>
    </row>
    <row r="55" spans="1:13" x14ac:dyDescent="0.25">
      <c r="A55">
        <v>3</v>
      </c>
      <c r="B55">
        <f>B54</f>
        <v>2026</v>
      </c>
      <c r="C55" s="34">
        <f>FORECAST(E55,$C$45:C54,$E$45:E54)*1.05</f>
        <v>62.936675584429373</v>
      </c>
      <c r="D55" s="35">
        <f>FORECAST(E55,$D$18:D54,$E$18:E54)*0.8</f>
        <v>67.124273028638356</v>
      </c>
      <c r="E55" s="34">
        <f>MultiRegLCFS!$B$17+(MultiRegLCFS!$B$18*Quarterly!$H55)+(MultiRegLCFS!$B$19*Quarterly!$I55)*0.85</f>
        <v>82.746391193558594</v>
      </c>
      <c r="F55" s="34">
        <f>FORECAST(E55,F$44:F54,E$44:E54)*1.05</f>
        <v>46.741390570991918</v>
      </c>
      <c r="H55" s="32">
        <f>'[8]Fuel Vol and Credit Gen'!BL$61</f>
        <v>5929369.0703080744</v>
      </c>
      <c r="I55" s="32">
        <f>'[8]Fuel Vol and Credit Gen'!BM$55</f>
        <v>1004872.2990071601</v>
      </c>
      <c r="J55" s="32">
        <f t="shared" si="1"/>
        <v>664870.47550143395</v>
      </c>
      <c r="K55" s="32"/>
      <c r="L55" s="32">
        <f>FORECAST(H55,L$41:L54,H$41:H54)</f>
        <v>338366.03658513096</v>
      </c>
      <c r="M55" s="31">
        <f t="shared" si="2"/>
        <v>-6.3938356629469695</v>
      </c>
    </row>
    <row r="56" spans="1:13" x14ac:dyDescent="0.25">
      <c r="A56">
        <v>4</v>
      </c>
      <c r="B56">
        <f>B55</f>
        <v>2026</v>
      </c>
      <c r="C56" s="34">
        <f>FORECAST(E56,$C$45:C55,$E$45:E55)*1.05</f>
        <v>64.088225451634372</v>
      </c>
      <c r="D56" s="35">
        <f>FORECAST(E56,$D$18:D55,$E$18:E55)*0.8</f>
        <v>67.134711016155265</v>
      </c>
      <c r="E56" s="34">
        <f>MultiRegLCFS!$B$17+(MultiRegLCFS!$B$18*Quarterly!$H56)+(MultiRegLCFS!$B$19*Quarterly!$I56)*0.95</f>
        <v>84.560785782701458</v>
      </c>
      <c r="F56" s="34">
        <f>FORECAST(E56,F$44:F55,E$44:E55)*1.05</f>
        <v>46.705941686497681</v>
      </c>
      <c r="H56" s="32">
        <f>'[8]Fuel Vol and Credit Gen'!BM$61</f>
        <v>6425694.2013823502</v>
      </c>
      <c r="I56" s="32">
        <f>'[8]Fuel Vol and Credit Gen'!BN$55</f>
        <v>931490.92581322638</v>
      </c>
      <c r="J56" s="32">
        <f t="shared" si="1"/>
        <v>725108.71958591149</v>
      </c>
      <c r="K56" s="32"/>
      <c r="L56" s="32">
        <f>FORECAST(H56,L$41:L55,H$41:H55)</f>
        <v>394453.03475199046</v>
      </c>
      <c r="M56" s="31">
        <f t="shared" si="2"/>
        <v>1.8143945891428643</v>
      </c>
    </row>
    <row r="57" spans="1:13" x14ac:dyDescent="0.25">
      <c r="A57">
        <v>1</v>
      </c>
      <c r="B57">
        <v>2027</v>
      </c>
      <c r="C57" s="34">
        <f>FORECAST(E57,$C$45:C56,$E$45:E56)*1.1</f>
        <v>68.190478076643544</v>
      </c>
      <c r="D57" s="35">
        <f>FORECAST(E57,$D$18:D56,$E$18:E56)*0.85</f>
        <v>71.230680801964056</v>
      </c>
      <c r="E57" s="34">
        <f>MultiRegLCFS!$B$17+(MultiRegLCFS!$B$18*Quarterly!$H57)+(MultiRegLCFS!$B$19*Quarterly!$I57)*0.97</f>
        <v>85.897504735258906</v>
      </c>
      <c r="F57" s="34">
        <f>FORECAST(E57,F$44:F56,E$44:E56)*1.05</f>
        <v>46.788587094556426</v>
      </c>
      <c r="H57" s="32">
        <f>'[8]Fuel Vol and Credit Gen'!BN$61</f>
        <v>6456901.6836422076</v>
      </c>
      <c r="I57" s="32">
        <f>'[8]Fuel Vol and Credit Gen'!BO$55</f>
        <v>918940.21254059952</v>
      </c>
      <c r="J57" s="32">
        <f t="shared" si="1"/>
        <v>729313.0986902134</v>
      </c>
      <c r="K57" s="32"/>
      <c r="L57" s="32">
        <f>FORECAST(H57,L$41:L56,H$41:H56)</f>
        <v>397979.62224618474</v>
      </c>
      <c r="M57" s="31">
        <f t="shared" si="2"/>
        <v>1.3367189525574474</v>
      </c>
    </row>
    <row r="58" spans="1:13" x14ac:dyDescent="0.25">
      <c r="A58">
        <v>2</v>
      </c>
      <c r="B58">
        <f>B57</f>
        <v>2027</v>
      </c>
      <c r="C58" s="34">
        <f>FORECAST(E58,$C$45:C57,$E$45:E57)*1.1</f>
        <v>76.825354005198122</v>
      </c>
      <c r="D58" s="35">
        <f>FORECAST(E58,$D$18:D57,$E$18:E57)*0.85</f>
        <v>76.587339482440356</v>
      </c>
      <c r="E58" s="34">
        <f>MultiRegLCFS!$B$17+(MultiRegLCFS!$B$18*Quarterly!$H58)+(MultiRegLCFS!$B$19*Quarterly!$I58)</f>
        <v>103.00822237500648</v>
      </c>
      <c r="F58" s="34">
        <f>FORECAST(E58,F$44:F57,E$44:E57)*1.05</f>
        <v>44.003708177208885</v>
      </c>
      <c r="H58" s="32">
        <f>'[8]Fuel Vol and Credit Gen'!BO$61</f>
        <v>6411728.3912375113</v>
      </c>
      <c r="I58" s="32">
        <f>'[8]Fuel Vol and Credit Gen'!BP$55</f>
        <v>952447.00998822832</v>
      </c>
      <c r="J58" s="32">
        <f t="shared" si="1"/>
        <v>725029.83613139589</v>
      </c>
      <c r="K58" s="32"/>
      <c r="L58" s="32">
        <f>FORECAST(H58,L$41:L57,H$41:H57)</f>
        <v>392874.8346590455</v>
      </c>
      <c r="M58" s="31">
        <f t="shared" si="2"/>
        <v>17.110717639747577</v>
      </c>
    </row>
    <row r="59" spans="1:13" x14ac:dyDescent="0.25">
      <c r="A59">
        <v>3</v>
      </c>
      <c r="B59">
        <f>B58</f>
        <v>2027</v>
      </c>
      <c r="C59" s="34">
        <f>FORECAST(E59,$C$45:C58,$E$45:E58)*1.1</f>
        <v>67.560303328667828</v>
      </c>
      <c r="D59" s="35">
        <f>FORECAST(E59,$D$18:D58,$E$18:E58)*0.85</f>
        <v>68.652252758175678</v>
      </c>
      <c r="E59" s="34">
        <f>MultiRegLCFS!$B$17+(MultiRegLCFS!$B$18*Quarterly!$H59)+(MultiRegLCFS!$B$19*Quarterly!$I59)*0.9</f>
        <v>80.412011828386085</v>
      </c>
      <c r="F59" s="34">
        <f>FORECAST(E59,F$44:F58,E$44:E58)*1.05</f>
        <v>48.360525499921643</v>
      </c>
      <c r="H59" s="32">
        <f>'[8]Fuel Vol and Credit Gen'!BP$61</f>
        <v>6809270.1097229812</v>
      </c>
      <c r="I59" s="32">
        <f>'[8]Fuel Vol and Credit Gen'!BQ$55</f>
        <v>986862.10126249609</v>
      </c>
      <c r="J59" s="32">
        <f t="shared" si="1"/>
        <v>773560.6276355217</v>
      </c>
      <c r="K59" s="32"/>
      <c r="L59" s="32">
        <f>FORECAST(H59,L$41:L58,H$41:H58)</f>
        <v>437798.85772369261</v>
      </c>
      <c r="M59" s="31">
        <f t="shared" si="2"/>
        <v>-22.596210546620398</v>
      </c>
    </row>
    <row r="60" spans="1:13" x14ac:dyDescent="0.25">
      <c r="A60">
        <v>4</v>
      </c>
      <c r="B60">
        <f>B59</f>
        <v>2027</v>
      </c>
      <c r="C60" s="34">
        <f>FORECAST(E60,$C$45:C59,$E$45:E59)*1.1</f>
        <v>67.480314439139363</v>
      </c>
      <c r="D60" s="35">
        <f>FORECAST(E60,$D$18:D59,$E$18:E59)*0.85</f>
        <v>67.910014498238496</v>
      </c>
      <c r="E60" s="34">
        <f>MultiRegLCFS!$B$17+(MultiRegLCFS!$B$18*Quarterly!$H60)+(MultiRegLCFS!$B$19*Quarterly!$I60)</f>
        <v>79.354733947913786</v>
      </c>
      <c r="F60" s="34">
        <f>FORECAST(E60,F$44:F59,E$44:E59)*1.05</f>
        <v>48.691869608136408</v>
      </c>
      <c r="H60" s="32">
        <f>'[8]Fuel Vol and Credit Gen'!BQ$61</f>
        <v>7540995.1058069402</v>
      </c>
      <c r="I60" s="32">
        <f>'[8]Fuel Vol and Credit Gen'!BR$55</f>
        <v>919747.37944165384</v>
      </c>
      <c r="J60" s="32">
        <f t="shared" si="1"/>
        <v>860991.51747980865</v>
      </c>
      <c r="K60" s="32"/>
      <c r="L60" s="32">
        <f>FORECAST(H60,L$41:L59,H$41:H59)</f>
        <v>520487.11174213461</v>
      </c>
      <c r="M60" s="31">
        <f t="shared" si="2"/>
        <v>-1.0572778804722986</v>
      </c>
    </row>
    <row r="61" spans="1:13" x14ac:dyDescent="0.25">
      <c r="A61">
        <v>1</v>
      </c>
      <c r="B61">
        <f>B60+1</f>
        <v>2028</v>
      </c>
      <c r="C61" s="34">
        <f>FORECAST(E61,$C$45:C60,$E$45:E60)*1.15</f>
        <v>73.441864738770917</v>
      </c>
      <c r="D61" s="35">
        <f>FORECAST(E61,$D$18:D60,$E$18:E60)*0.9</f>
        <v>73.090618294185745</v>
      </c>
      <c r="E61" s="34">
        <f>MultiRegLCFS!$B$17+(MultiRegLCFS!$B$18*Quarterly!$H61)+(MultiRegLCFS!$B$19*Quarterly!$I61)</f>
        <v>83.689360131890538</v>
      </c>
      <c r="F61" s="34">
        <f>FORECAST(E61,F$44:F60,E$44:E60)*1.05</f>
        <v>48.173005395476068</v>
      </c>
      <c r="H61" s="32">
        <f>'[8]Fuel Vol and Credit Gen'!BR$61</f>
        <v>6958032.4189959876</v>
      </c>
      <c r="I61" s="32">
        <f>'[8]Fuel Vol and Credit Gen'!BS$55</f>
        <v>907506.95610542526</v>
      </c>
      <c r="J61" s="32">
        <f t="shared" si="1"/>
        <v>789688.75280702894</v>
      </c>
      <c r="K61" s="32"/>
      <c r="L61" s="32">
        <f>FORECAST(H61,L$41:L60,H$41:H60)</f>
        <v>454609.67556286469</v>
      </c>
      <c r="M61" s="31">
        <f t="shared" si="2"/>
        <v>4.3346261839767521</v>
      </c>
    </row>
    <row r="62" spans="1:13" x14ac:dyDescent="0.25">
      <c r="A62">
        <v>2</v>
      </c>
      <c r="B62">
        <f>B61</f>
        <v>2028</v>
      </c>
      <c r="C62" s="34">
        <f>FORECAST(E62,$C$45:C61,$E$45:E61)*1.15</f>
        <v>97.436859100445574</v>
      </c>
      <c r="D62" s="35">
        <f>FORECAST(E62,$D$18:D61,$E$18:E61)*0.9</f>
        <v>87.295548772997492</v>
      </c>
      <c r="E62" s="34">
        <f>MultiRegLCFS!$B$17+(MultiRegLCFS!$B$18*Quarterly!$H62)+(MultiRegLCFS!$B$19*Quarterly!$I62)*1.1</f>
        <v>123.12224673751558</v>
      </c>
      <c r="F62" s="34">
        <f>FORECAST(E62,F$44:F61,E$44:E61)*1.05</f>
        <v>42.48884211772527</v>
      </c>
      <c r="H62" s="32">
        <f>'[8]Fuel Vol and Credit Gen'!BS$61</f>
        <v>6552368.8934044987</v>
      </c>
      <c r="I62" s="32">
        <f>'[8]Fuel Vol and Credit Gen'!BT$55</f>
        <v>939669.47859426192</v>
      </c>
      <c r="J62" s="32">
        <f t="shared" si="1"/>
        <v>742358.43839529168</v>
      </c>
      <c r="K62" s="32"/>
      <c r="L62" s="32">
        <f>FORECAST(H62,L$41:L61,H$41:H61)</f>
        <v>408767.85133976955</v>
      </c>
      <c r="M62" s="31">
        <f t="shared" si="2"/>
        <v>39.432886605625043</v>
      </c>
    </row>
    <row r="63" spans="1:13" x14ac:dyDescent="0.25">
      <c r="A63">
        <v>3</v>
      </c>
      <c r="B63">
        <f>B62</f>
        <v>2028</v>
      </c>
      <c r="C63" s="34">
        <f>FORECAST(E63,$C$45:C62,$E$45:E62)*1.15</f>
        <v>73.11512158025316</v>
      </c>
      <c r="D63" s="35">
        <f>FORECAST(E63,$D$18:D62,$E$18:E62)*0.9</f>
        <v>71.424907696023297</v>
      </c>
      <c r="E63" s="34">
        <f>MultiRegLCFS!$B$17+(MultiRegLCFS!$B$18*Quarterly!$H63)+(MultiRegLCFS!$B$19*Quarterly!$I63)*0.9</f>
        <v>80.293365011995434</v>
      </c>
      <c r="F63" s="34">
        <f>FORECAST(E63,F$44:F62,E$44:E62)*1.05</f>
        <v>48.979939861952765</v>
      </c>
      <c r="H63" s="32">
        <f>'[8]Fuel Vol and Credit Gen'!BT$61</f>
        <v>6726177.7234967584</v>
      </c>
      <c r="I63" s="32">
        <f>'[8]Fuel Vol and Credit Gen'!BU$55</f>
        <v>981897.92228836112</v>
      </c>
      <c r="J63" s="32">
        <f t="shared" si="1"/>
        <v>764044.77640832227</v>
      </c>
      <c r="K63" s="32"/>
      <c r="L63" s="32">
        <f>FORECAST(H63,L$41:L62,H$41:H62)</f>
        <v>428409.0399970283</v>
      </c>
      <c r="M63" s="31">
        <f t="shared" si="2"/>
        <v>-42.828881725520148</v>
      </c>
    </row>
    <row r="64" spans="1:13" x14ac:dyDescent="0.25">
      <c r="A64">
        <v>4</v>
      </c>
      <c r="B64">
        <f>B63</f>
        <v>2028</v>
      </c>
      <c r="C64" s="34">
        <f>FORECAST(E64,$C$45:C63,$E$45:E63)*1.15</f>
        <v>78.051305861626616</v>
      </c>
      <c r="D64" s="35">
        <f>FORECAST(E64,$D$18:D63,$E$18:E63)*0.9</f>
        <v>73.408525134581751</v>
      </c>
      <c r="E64" s="34">
        <f>MultiRegLCFS!$B$17+(MultiRegLCFS!$B$18*Quarterly!$H64)+(MultiRegLCFS!$B$19*Quarterly!$I64)*1.05</f>
        <v>86.323334845022032</v>
      </c>
      <c r="F64" s="34">
        <f>FORECAST(E64,F$44:F63,E$44:E63)*1.05</f>
        <v>48.326217395896364</v>
      </c>
      <c r="H64" s="32">
        <f>'[8]Fuel Vol and Credit Gen'!BU$61</f>
        <v>7716734.1313639116</v>
      </c>
      <c r="I64" s="32">
        <f>'[8]Fuel Vol and Credit Gen'!BV$55</f>
        <v>908604.3923023286</v>
      </c>
      <c r="J64" s="32">
        <f t="shared" si="1"/>
        <v>892450.86915000831</v>
      </c>
      <c r="K64" s="32"/>
      <c r="L64" s="32">
        <f>FORECAST(H64,L$41:L63,H$41:H63)</f>
        <v>540346.42126959108</v>
      </c>
      <c r="M64" s="31">
        <f t="shared" si="2"/>
        <v>6.0299698330265983</v>
      </c>
    </row>
    <row r="65" spans="1:13" x14ac:dyDescent="0.25">
      <c r="A65">
        <v>1</v>
      </c>
      <c r="B65">
        <f>B64+1</f>
        <v>2029</v>
      </c>
      <c r="C65" s="34">
        <f>FORECAST(E65,$C$45:C64,$E$45:E64)*1.1</f>
        <v>105.8436999795728</v>
      </c>
      <c r="D65" s="35">
        <f>FORECAST(E65,$D$18:D64,$E$18:E64)</f>
        <v>99.116726331295126</v>
      </c>
      <c r="E65" s="34">
        <f>MultiRegLCFS!$B$17+(MultiRegLCFS!$B$18*Quarterly!$H65)+(MultiRegLCFS!$B$19*Quarterly!$I65)*1.2</f>
        <v>129.59855272245969</v>
      </c>
      <c r="F65" s="34">
        <f>FORECAST(E65,F$44:F64,E$44:E64)*1.05</f>
        <v>43.031063330811619</v>
      </c>
      <c r="H65" s="32">
        <f>'[8]Fuel Vol and Credit Gen'!BV$61</f>
        <v>6896742.9296329394</v>
      </c>
      <c r="I65" s="32">
        <f>'[8]Fuel Vol and Credit Gen'!BW$55</f>
        <v>895233.66636269761</v>
      </c>
      <c r="J65" s="32">
        <f t="shared" si="1"/>
        <v>791075.72473146149</v>
      </c>
      <c r="K65" s="32"/>
      <c r="L65" s="32">
        <f>FORECAST(H65,L$41:L64,H$41:H64)</f>
        <v>447683.68438826379</v>
      </c>
      <c r="M65" s="31">
        <f t="shared" si="2"/>
        <v>43.275217877437655</v>
      </c>
    </row>
    <row r="66" spans="1:13" x14ac:dyDescent="0.25">
      <c r="A66">
        <v>2</v>
      </c>
      <c r="B66">
        <f>B65</f>
        <v>2029</v>
      </c>
      <c r="C66" s="34">
        <f>FORECAST(E66,$C$45:C65,$E$45:E65)*1.1</f>
        <v>118.58304539556512</v>
      </c>
      <c r="D66" s="35">
        <f>FORECAST(E66,$D$18:D65,$E$18:E65)</f>
        <v>103.84599205841101</v>
      </c>
      <c r="E66" s="34">
        <f>MultiRegLCFS!$B$17+(MultiRegLCFS!$B$18*Quarterly!$H66)+(MultiRegLCFS!$B$19*Quarterly!$I66)*1.2</f>
        <v>141.10444066176908</v>
      </c>
      <c r="F66" s="34">
        <f>FORECAST(E66,F$44:F65,E$44:E65)</f>
        <v>40.496441117047929</v>
      </c>
      <c r="H66" s="32">
        <f>'[8]Fuel Vol and Credit Gen'!BW$61</f>
        <v>6924929.9408243904</v>
      </c>
      <c r="I66" s="32">
        <f>'[8]Fuel Vol and Credit Gen'!BX$55</f>
        <v>931824.33288568794</v>
      </c>
      <c r="J66" s="32">
        <f t="shared" si="1"/>
        <v>795092.67326255701</v>
      </c>
      <c r="K66" s="32"/>
      <c r="L66" s="32">
        <f>FORECAST(H66,L$41:L65,H$41:H65)</f>
        <v>450868.94490812166</v>
      </c>
      <c r="M66" s="31">
        <f t="shared" si="2"/>
        <v>11.505887939309389</v>
      </c>
    </row>
    <row r="67" spans="1:13" x14ac:dyDescent="0.25">
      <c r="A67">
        <v>3</v>
      </c>
      <c r="B67">
        <f>B66</f>
        <v>2029</v>
      </c>
      <c r="C67" s="34">
        <f>FORECAST(E67,$C$45:C66,$E$45:E66)*1.1</f>
        <v>86.298563250113276</v>
      </c>
      <c r="D67" s="35">
        <f>FORECAST(E67,$D$18:D66,$E$18:E66)</f>
        <v>86.037004679152943</v>
      </c>
      <c r="E67" s="34">
        <f>MultiRegLCFS!$B$17+(MultiRegLCFS!$B$18*Quarterly!$H67)+(MultiRegLCFS!$B$19*Quarterly!$I67)</f>
        <v>97.776739297168206</v>
      </c>
      <c r="F67" s="34">
        <f>FORECAST(E67,F$44:F66,E$44:E66)</f>
        <v>45.091520668828601</v>
      </c>
      <c r="H67" s="32">
        <f>'[8]Fuel Vol and Credit Gen'!BX$61</f>
        <v>7270744.7583916616</v>
      </c>
      <c r="I67" s="32">
        <f>'[8]Fuel Vol and Credit Gen'!BY$55</f>
        <v>974756.97476904455</v>
      </c>
      <c r="J67" s="32">
        <f t="shared" si="1"/>
        <v>840530.59281518625</v>
      </c>
      <c r="K67" s="32"/>
      <c r="L67" s="32">
        <f>FORECAST(H67,L$41:L66,H$41:H66)</f>
        <v>489947.59280367976</v>
      </c>
      <c r="M67" s="31">
        <f t="shared" si="2"/>
        <v>-43.32770136460087</v>
      </c>
    </row>
    <row r="68" spans="1:13" x14ac:dyDescent="0.25">
      <c r="A68">
        <v>4</v>
      </c>
      <c r="B68">
        <f>B67</f>
        <v>2029</v>
      </c>
      <c r="C68" s="34">
        <f>FORECAST(E68,$C$45:C67,$E$45:E67)*1.1</f>
        <v>67.751823989857115</v>
      </c>
      <c r="D68" s="35">
        <f>FORECAST(E68,$D$18:D67,$E$18:E67)</f>
        <v>76.829755329520736</v>
      </c>
      <c r="E68" s="34">
        <f>MultiRegLCFS!$B$17+(MultiRegLCFS!$B$18*Quarterly!$H68)+(MultiRegLCFS!$B$19*Quarterly!$I68)*1.05</f>
        <v>75.376310698127952</v>
      </c>
      <c r="F68" s="34">
        <f>FORECAST(E68,F$44:F67,E$44:E67)</f>
        <v>47.467177538792839</v>
      </c>
      <c r="H68" s="32">
        <f>'[8]Fuel Vol and Credit Gen'!BY$61</f>
        <v>8416144.1967598237</v>
      </c>
      <c r="I68" s="32">
        <f>'[8]Fuel Vol and Credit Gen'!BZ$55</f>
        <v>902354.94000601803</v>
      </c>
      <c r="J68" s="32">
        <f t="shared" si="1"/>
        <v>996818.66643958061</v>
      </c>
      <c r="K68" s="32"/>
      <c r="L68" s="32">
        <f>FORECAST(H68,L$41:L67,H$41:H67)</f>
        <v>619382.94108239352</v>
      </c>
      <c r="M68" s="31">
        <f t="shared" si="2"/>
        <v>-22.400428599040254</v>
      </c>
    </row>
    <row r="69" spans="1:13" x14ac:dyDescent="0.25">
      <c r="A69">
        <v>1</v>
      </c>
      <c r="B69">
        <f>B68+1</f>
        <v>2030</v>
      </c>
      <c r="C69" s="34">
        <f>FORECAST(E69,$C$45:C68,$E$45:E68)*1.1</f>
        <v>95.368829463178457</v>
      </c>
      <c r="D69" s="35">
        <f>FORECAST(E69,$D$18:D68,$E$18:E68)*1.05</f>
        <v>94.623222223886927</v>
      </c>
      <c r="E69" s="34">
        <f>MultiRegLCFS!$B$17+(MultiRegLCFS!$B$18*Quarterly!$H69)+(MultiRegLCFS!$B$19*Quarterly!$I69)*1.12</f>
        <v>107.70387185613345</v>
      </c>
      <c r="F69" s="34">
        <f>FORECAST(E69,F$44:F68,E$44:E68)</f>
        <v>44.038707747929323</v>
      </c>
      <c r="H69" s="32">
        <f>'[8]Fuel Vol and Credit Gen'!BZ$61</f>
        <v>6971414.9454460833</v>
      </c>
      <c r="I69" s="32">
        <f>'[8]Fuel Vol and Credit Gen'!CA$55</f>
        <v>890131.66705836786</v>
      </c>
      <c r="J69" s="32">
        <f t="shared" si="1"/>
        <v>803288.7772740107</v>
      </c>
      <c r="K69" s="32"/>
      <c r="L69" s="32">
        <f>FORECAST(H69,L$41:L68,H$41:H68)</f>
        <v>456121.96194427338</v>
      </c>
      <c r="M69" s="31">
        <f t="shared" si="2"/>
        <v>32.327561158005494</v>
      </c>
    </row>
    <row r="70" spans="1:13" x14ac:dyDescent="0.25">
      <c r="A70">
        <v>2</v>
      </c>
      <c r="B70">
        <f>B69</f>
        <v>2030</v>
      </c>
      <c r="C70" s="34">
        <f>FORECAST(E70,$C$45:C69,$E$45:E69)*1.1</f>
        <v>127.01537528580951</v>
      </c>
      <c r="D70" s="35">
        <f>FORECAST(E70,$D$18:D69,$E$18:E69)*1.05</f>
        <v>110.16003456461631</v>
      </c>
      <c r="E70" s="34">
        <f>MultiRegLCFS!$B$17+(MultiRegLCFS!$B$18*Quarterly!$H70)+(MultiRegLCFS!$B$19*Quarterly!$I70)*1.25</f>
        <v>143.51320553719131</v>
      </c>
      <c r="F70" s="34">
        <f>FORECAST(E70,F$44:F69,E$44:E69)</f>
        <v>40.240981771744579</v>
      </c>
      <c r="H70" s="32">
        <f>'[8]Fuel Vol and Credit Gen'!CA$61</f>
        <v>7648565.6639145557</v>
      </c>
      <c r="I70" s="32">
        <f>'[8]Fuel Vol and Credit Gen'!CB$55</f>
        <v>929747.07445015619</v>
      </c>
      <c r="J70" s="32">
        <f t="shared" si="1"/>
        <v>895016.99979399517</v>
      </c>
      <c r="K70" s="32"/>
      <c r="L70" s="32">
        <f>FORECAST(H70,L$41:L69,H$41:H69)</f>
        <v>532643.07427083235</v>
      </c>
      <c r="M70" s="31">
        <f t="shared" si="2"/>
        <v>35.809333681057865</v>
      </c>
    </row>
    <row r="71" spans="1:13" x14ac:dyDescent="0.25">
      <c r="A71">
        <v>3</v>
      </c>
      <c r="B71">
        <f>B70</f>
        <v>2030</v>
      </c>
      <c r="C71" s="34">
        <f>FORECAST(E71,$C$45:C70,$E$45:E70)*1.1</f>
        <v>79.285562370036473</v>
      </c>
      <c r="D71" s="35">
        <f>FORECAST(E71,$D$18:D70,$E$18:E70)*1.05</f>
        <v>86.130303658252444</v>
      </c>
      <c r="E71" s="34">
        <f>MultiRegLCFS!$B$17+(MultiRegLCFS!$B$18*Quarterly!$H71)+(MultiRegLCFS!$B$19*Quarterly!$I71)</f>
        <v>87.626541257997417</v>
      </c>
      <c r="F71" s="34">
        <f>FORECAST(E71,F$44:F70,E$44:E70)</f>
        <v>46.167990594242738</v>
      </c>
      <c r="H71" s="32">
        <f>'[8]Fuel Vol and Credit Gen'!CB$61</f>
        <v>8037917.0040072259</v>
      </c>
      <c r="I71" s="32">
        <f>'[8]Fuel Vol and Credit Gen'!CC$55</f>
        <v>974426.97307896183</v>
      </c>
      <c r="J71" s="32">
        <f t="shared" si="1"/>
        <v>943273.59049419628</v>
      </c>
      <c r="K71" s="32"/>
      <c r="L71" s="32">
        <f>FORECAST(H71,L$41:L70,H$41:H70)</f>
        <v>576641.54730961542</v>
      </c>
      <c r="M71" s="31">
        <f t="shared" si="2"/>
        <v>-55.886664279193894</v>
      </c>
    </row>
    <row r="72" spans="1:13" x14ac:dyDescent="0.25">
      <c r="A72">
        <v>4</v>
      </c>
      <c r="B72">
        <f>B71</f>
        <v>2030</v>
      </c>
      <c r="C72" s="34">
        <f>FORECAST(E72,$C$45:C71,$E$45:E71)*1.1</f>
        <v>69.175046512223815</v>
      </c>
      <c r="D72" s="35">
        <f>FORECAST(E72,$D$18:D71,$E$18:E71)*1.05</f>
        <v>81.309479297964231</v>
      </c>
      <c r="E72" s="34">
        <f>MultiRegLCFS!$B$17+(MultiRegLCFS!$B$18*Quarterly!$H72)+(MultiRegLCFS!$B$19*Quarterly!$I72)*1.1</f>
        <v>76.202523765360127</v>
      </c>
      <c r="F72" s="34">
        <f>FORECAST(E72,F$44:F71,E$44:E71)</f>
        <v>47.379554271204626</v>
      </c>
      <c r="H72" s="32">
        <f>'[8]Fuel Vol and Credit Gen'!CC$61</f>
        <v>9321989.4461584333</v>
      </c>
      <c r="I72" s="32">
        <f>'[8]Fuel Vol and Credit Gen'!CD$55</f>
        <v>904046.50510032207</v>
      </c>
      <c r="J72" s="32">
        <f t="shared" si="1"/>
        <v>1109946.4427578421</v>
      </c>
      <c r="K72" s="32"/>
      <c r="L72" s="32">
        <f>FORECAST(H72,L$41:L71,H$41:H71)</f>
        <v>721747.57599924784</v>
      </c>
      <c r="M72" s="31">
        <f t="shared" si="2"/>
        <v>-11.42401749263729</v>
      </c>
    </row>
    <row r="73" spans="1:13" x14ac:dyDescent="0.25">
      <c r="A73">
        <v>1</v>
      </c>
      <c r="B73">
        <f>B72+1</f>
        <v>2031</v>
      </c>
      <c r="C73" s="34">
        <f>FORECAST(E73,$C$45:C72,$E$45:E72)*1.15</f>
        <v>104.91191593325989</v>
      </c>
      <c r="D73" s="35">
        <f>FORECAST(E73,$D$18:D72,$E$18:E72)*1.05</f>
        <v>96.100121682185261</v>
      </c>
      <c r="E73" s="34">
        <f>MultiRegLCFS!$B$17+(MultiRegLCFS!$B$18*Quarterly!$H73)+(MultiRegLCFS!$B$19*Quarterly!$I73)*1.15</f>
        <v>110.30059795244358</v>
      </c>
      <c r="F73" s="34">
        <f>FORECAST(E73,F$44:F72,E$44:E72)</f>
        <v>43.763314348073621</v>
      </c>
      <c r="H73" s="32">
        <f>'[8]Fuel Vol and Credit Gen'!CD$61</f>
        <v>7463129.3669214081</v>
      </c>
      <c r="I73" s="32">
        <f>'[8]Fuel Vol and Credit Gen'!CE$55</f>
        <v>895992.54540165141</v>
      </c>
      <c r="J73" s="32">
        <f t="shared" si="1"/>
        <v>865375.63697683194</v>
      </c>
      <c r="K73" s="32"/>
      <c r="L73" s="32">
        <f>FORECAST(H73,L$41:L72,H$41:H72)</f>
        <v>511687.92894701555</v>
      </c>
      <c r="M73" s="31">
        <f t="shared" si="2"/>
        <v>34.098074187083455</v>
      </c>
    </row>
    <row r="74" spans="1:13" x14ac:dyDescent="0.25">
      <c r="A74">
        <v>2</v>
      </c>
      <c r="B74">
        <f>B73</f>
        <v>2031</v>
      </c>
      <c r="C74" s="34">
        <f>FORECAST(E74,$C$45:C73,$E$45:E73)*1.15</f>
        <v>120.66872287167001</v>
      </c>
      <c r="D74" s="35">
        <f>FORECAST(E74,$D$18:D73,$E$18:E73)*1.05</f>
        <v>102.71990297301465</v>
      </c>
      <c r="E74" s="34">
        <f>MultiRegLCFS!$B$17+(MultiRegLCFS!$B$18*Quarterly!$H74)+(MultiRegLCFS!$B$19*Quarterly!$I74)*1.2</f>
        <v>125.49378776458559</v>
      </c>
      <c r="F74" s="34">
        <f>FORECAST(E74,F$44:F73,E$44:E73)</f>
        <v>42.152014564486791</v>
      </c>
      <c r="H74" s="32">
        <f>'[8]Fuel Vol and Credit Gen'!CE$61</f>
        <v>8182216.0075507034</v>
      </c>
      <c r="I74" s="32">
        <f>'[8]Fuel Vol and Credit Gen'!CF$55</f>
        <v>934529.00695348624</v>
      </c>
      <c r="J74" s="32">
        <f t="shared" si="1"/>
        <v>953072.81837708026</v>
      </c>
      <c r="K74" s="32"/>
      <c r="L74" s="32">
        <f>FORECAST(H74,L$41:L73,H$41:H73)</f>
        <v>592947.9912926252</v>
      </c>
      <c r="M74" s="31">
        <f t="shared" si="2"/>
        <v>15.193189812142009</v>
      </c>
    </row>
    <row r="75" spans="1:13" x14ac:dyDescent="0.25">
      <c r="A75">
        <v>3</v>
      </c>
      <c r="B75">
        <f>B74</f>
        <v>2031</v>
      </c>
      <c r="C75" s="34">
        <f>FORECAST(E75,$C$45:C74,$E$45:E74)*1.15</f>
        <v>90.927497234140702</v>
      </c>
      <c r="D75" s="35">
        <f>FORECAST(E75,$D$18:D74,$E$18:E74)*1.05</f>
        <v>89.266631203126991</v>
      </c>
      <c r="E75" s="34">
        <f>MultiRegLCFS!$B$17+(MultiRegLCFS!$B$18*Quarterly!$H75)+(MultiRegLCFS!$B$19*Quarterly!$I75)*1.05</f>
        <v>94.014738981198434</v>
      </c>
      <c r="F75" s="34">
        <f>FORECAST(E75,F$44:F74,E$44:E74)</f>
        <v>45.490496155209442</v>
      </c>
      <c r="H75" s="32">
        <f>'[8]Fuel Vol and Credit Gen'!CF$61</f>
        <v>8682903.5914830975</v>
      </c>
      <c r="I75" s="32">
        <f>'[8]Fuel Vol and Credit Gen'!CG$55</f>
        <v>980306.28958909877</v>
      </c>
      <c r="J75" s="32">
        <f t="shared" si="1"/>
        <v>1010554.8003066154</v>
      </c>
      <c r="K75" s="32"/>
      <c r="L75" s="32">
        <f>FORECAST(H75,L$41:L74,H$41:H74)</f>
        <v>649527.96648228157</v>
      </c>
      <c r="M75" s="31">
        <f t="shared" si="2"/>
        <v>-31.479048783387157</v>
      </c>
    </row>
    <row r="76" spans="1:13" x14ac:dyDescent="0.25">
      <c r="A76">
        <v>4</v>
      </c>
      <c r="B76">
        <f>B75</f>
        <v>2031</v>
      </c>
      <c r="C76" s="34">
        <f>FORECAST(E76,$C$45:C75,$E$45:E75)*1.15</f>
        <v>68.644956659773158</v>
      </c>
      <c r="D76" s="35">
        <f>FORECAST(E76,$D$18:D75,$E$18:E75)*1.05</f>
        <v>79.708611909248191</v>
      </c>
      <c r="E76" s="34">
        <f>MultiRegLCFS!$B$17+(MultiRegLCFS!$B$18*Quarterly!$H76)+(MultiRegLCFS!$B$19*Quarterly!$I76)*1.1</f>
        <v>71.551567774217943</v>
      </c>
      <c r="F76" s="34">
        <f>FORECAST(E76,F$44:F75,E$44:E75)</f>
        <v>47.872807134800802</v>
      </c>
      <c r="H76" s="32">
        <f>'[8]Fuel Vol and Credit Gen'!CG$61</f>
        <v>9839828.0350842718</v>
      </c>
      <c r="I76" s="32">
        <f>'[8]Fuel Vol and Credit Gen'!CH$55</f>
        <v>911240.15268217155</v>
      </c>
      <c r="J76" s="32">
        <f t="shared" si="1"/>
        <v>1143445.7621207</v>
      </c>
      <c r="K76" s="32"/>
      <c r="L76" s="32">
        <f>FORECAST(H76,L$41:L75,H$41:H75)</f>
        <v>780265.69279286684</v>
      </c>
      <c r="M76" s="31">
        <f t="shared" si="2"/>
        <v>-22.463171206980491</v>
      </c>
    </row>
    <row r="77" spans="1:13" x14ac:dyDescent="0.25">
      <c r="A77">
        <v>1</v>
      </c>
      <c r="B77">
        <f>B76+1</f>
        <v>2032</v>
      </c>
      <c r="C77" s="34">
        <f>FORECAST(E77,$C$45:C76,$E$45:E76)*1.15</f>
        <v>116.22631876835297</v>
      </c>
      <c r="D77" s="35">
        <f>FORECAST(E77,$D$18:D76,$E$18:E76)*1.05</f>
        <v>99.970722286954143</v>
      </c>
      <c r="E77" s="34">
        <f>MultiRegLCFS!$B$17+(MultiRegLCFS!$B$18*Quarterly!$H77)+(MultiRegLCFS!$B$19*Quarterly!$I77)*1.2</f>
        <v>118.5676031192981</v>
      </c>
      <c r="F77" s="34">
        <f>FORECAST(E77,F$44:F76,E$44:E76)</f>
        <v>42.886564712153294</v>
      </c>
      <c r="H77" s="32">
        <f>'[8]Fuel Vol and Credit Gen'!CH$61</f>
        <v>7870165.7015759144</v>
      </c>
      <c r="I77" s="32">
        <f>'[8]Fuel Vol and Credit Gen'!CI$55</f>
        <v>900578.99641627283</v>
      </c>
      <c r="J77" s="32">
        <f t="shared" si="1"/>
        <v>912270.92197136965</v>
      </c>
      <c r="K77" s="32"/>
      <c r="L77" s="32">
        <f>FORECAST(H77,L$41:L76,H$41:H76)</f>
        <v>557684.88684072345</v>
      </c>
      <c r="M77" s="31">
        <f t="shared" si="2"/>
        <v>47.016035345080155</v>
      </c>
    </row>
    <row r="78" spans="1:13" x14ac:dyDescent="0.25">
      <c r="A78">
        <v>2</v>
      </c>
      <c r="B78">
        <f>B77</f>
        <v>2032</v>
      </c>
      <c r="C78" s="34">
        <f>FORECAST(E78,$C$45:C77,$E$45:E77)*1.15</f>
        <v>110.92561077001604</v>
      </c>
      <c r="D78" s="35">
        <f>FORECAST(E78,$D$18:D77,$E$18:E77)*1.05</f>
        <v>97.295747174890096</v>
      </c>
      <c r="E78" s="34">
        <f>MultiRegLCFS!$B$17+(MultiRegLCFS!$B$18*Quarterly!$H78)+(MultiRegLCFS!$B$19*Quarterly!$I78)*1.2</f>
        <v>112.12921573179693</v>
      </c>
      <c r="F78" s="34">
        <f>FORECAST(E78,F$44:F77,E$44:E77)</f>
        <v>43.569381969911646</v>
      </c>
      <c r="H78" s="32">
        <f>'[8]Fuel Vol and Credit Gen'!CI$61</f>
        <v>9320791.2034986466</v>
      </c>
      <c r="I78" s="32">
        <f>'[8]Fuel Vol and Credit Gen'!CJ$55</f>
        <v>939357.43877861323</v>
      </c>
      <c r="J78" s="32">
        <f t="shared" si="1"/>
        <v>1089520.36397945</v>
      </c>
      <c r="K78" s="32"/>
      <c r="L78" s="32">
        <f>FORECAST(H78,L$41:L77,H$41:H77)</f>
        <v>721612.16912650422</v>
      </c>
      <c r="M78" s="31">
        <f t="shared" si="2"/>
        <v>-6.4383873875011659</v>
      </c>
    </row>
    <row r="79" spans="1:13" x14ac:dyDescent="0.25">
      <c r="A79">
        <v>3</v>
      </c>
      <c r="B79">
        <f>B78</f>
        <v>2032</v>
      </c>
      <c r="C79" s="34">
        <f>FORECAST(E79,$C$45:C78,$E$45:E78)*1.15</f>
        <v>75.804538551109431</v>
      </c>
      <c r="D79" s="35">
        <f>FORECAST(E79,$D$18:D78,$E$18:E78)*1.05</f>
        <v>82.663166825189393</v>
      </c>
      <c r="E79" s="34">
        <f>MultiRegLCFS!$B$17+(MultiRegLCFS!$B$18*Quarterly!$H79)+(MultiRegLCFS!$B$19*Quarterly!$I79)*1.05</f>
        <v>77.784249239994011</v>
      </c>
      <c r="F79" s="34">
        <f>FORECAST(E79,F$44:F78,E$44:E78)</f>
        <v>47.211805829535422</v>
      </c>
      <c r="H79" s="32">
        <f>'[8]Fuel Vol and Credit Gen'!CJ$61</f>
        <v>9953334.5853914805</v>
      </c>
      <c r="I79" s="32">
        <f>'[8]Fuel Vol and Credit Gen'!CK$55</f>
        <v>981821.71888086142</v>
      </c>
      <c r="J79" s="32">
        <f t="shared" si="1"/>
        <v>1168656.0318717225</v>
      </c>
      <c r="K79" s="32"/>
      <c r="L79" s="32">
        <f>FORECAST(H79,L$41:L78,H$41:H78)</f>
        <v>793092.44944979355</v>
      </c>
      <c r="M79" s="31">
        <f t="shared" si="2"/>
        <v>-34.344966491802921</v>
      </c>
    </row>
    <row r="80" spans="1:13" x14ac:dyDescent="0.25">
      <c r="A80">
        <v>4</v>
      </c>
      <c r="B80">
        <f>B79</f>
        <v>2032</v>
      </c>
      <c r="C80" s="34">
        <f>FORECAST(E80,$C$45:C79,$E$45:E79)*1.15</f>
        <v>85.471951305662429</v>
      </c>
      <c r="D80" s="35">
        <f>FORECAST(E80,$D$18:D79,$E$18:E79)*1.05</f>
        <v>86.562236380391738</v>
      </c>
      <c r="E80" s="34">
        <f>MultiRegLCFS!$B$17+(MultiRegLCFS!$B$18*Quarterly!$H80)+(MultiRegLCFS!$B$19*Quarterly!$I80)*1.2</f>
        <v>86.659491115219623</v>
      </c>
      <c r="F80" s="34">
        <f>FORECAST(E80,F$44:F79,E$44:E79)</f>
        <v>46.270550208454253</v>
      </c>
      <c r="H80" s="32">
        <f>'[8]Fuel Vol and Credit Gen'!CK$61</f>
        <v>10644461.738715284</v>
      </c>
      <c r="I80" s="32">
        <f>'[8]Fuel Vol and Credit Gen'!CL$55</f>
        <v>914366.9860535328</v>
      </c>
      <c r="J80" s="32">
        <f t="shared" si="1"/>
        <v>1261793.1203001263</v>
      </c>
      <c r="K80" s="32"/>
      <c r="L80" s="32">
        <f>FORECAST(H80,L$41:L79,H$41:H79)</f>
        <v>871192.96250992722</v>
      </c>
      <c r="M80" s="31">
        <f t="shared" si="2"/>
        <v>8.8752418752256119</v>
      </c>
    </row>
    <row r="81" spans="1:13" x14ac:dyDescent="0.25">
      <c r="A81">
        <v>1</v>
      </c>
      <c r="B81">
        <f>B80+1</f>
        <v>2033</v>
      </c>
      <c r="C81" s="34">
        <f>FORECAST(E81,$C$45:C80,$E$45:E80)*1.15</f>
        <v>108.05411829634673</v>
      </c>
      <c r="D81" s="35">
        <f>FORECAST(E81,$D$18:D80,$E$18:E80)*1.05</f>
        <v>95.780817276999016</v>
      </c>
      <c r="E81" s="34">
        <f>MultiRegLCFS!$B$17+(MultiRegLCFS!$B$18*Quarterly!$H81)+(MultiRegLCFS!$B$19*Quarterly!$I81)*1.2</f>
        <v>108.06183980006011</v>
      </c>
      <c r="F81" s="34">
        <f>FORECAST(E81,F$44:F80,E$44:E80)</f>
        <v>44.000743786594548</v>
      </c>
      <c r="H81" s="32">
        <f>'[8]Fuel Vol and Credit Gen'!CL$61</f>
        <v>8728452.660628181</v>
      </c>
      <c r="I81" s="32">
        <f>'[8]Fuel Vol and Credit Gen'!CM$55</f>
        <v>902890.15981721552</v>
      </c>
      <c r="J81" s="32">
        <f t="shared" si="1"/>
        <v>1017707.4463467442</v>
      </c>
      <c r="K81" s="32"/>
      <c r="L81" s="32">
        <f>FORECAST(H81,L$41:L80,H$41:H80)</f>
        <v>654675.21855092631</v>
      </c>
      <c r="M81" s="31">
        <f t="shared" si="2"/>
        <v>21.40234868484049</v>
      </c>
    </row>
    <row r="82" spans="1:13" x14ac:dyDescent="0.25">
      <c r="A82">
        <v>2</v>
      </c>
      <c r="B82">
        <f>B81</f>
        <v>2033</v>
      </c>
      <c r="C82" s="34">
        <f>FORECAST(E82,$C$45:C81,$E$45:E81)*1.15</f>
        <v>111.05436856534054</v>
      </c>
      <c r="D82" s="35">
        <f>FORECAST(E82,$D$18:D81,$E$18:E81)*1.05</f>
        <v>96.789793075875977</v>
      </c>
      <c r="E82" s="34">
        <f>MultiRegLCFS!$B$17+(MultiRegLCFS!$B$18*Quarterly!$H82)+(MultiRegLCFS!$B$19*Quarterly!$I82)*1.2</f>
        <v>110.25074094408086</v>
      </c>
      <c r="F82" s="34">
        <f>FORECAST(E82,F$44:F81,E$44:E81)</f>
        <v>43.768601887278919</v>
      </c>
      <c r="H82" s="32">
        <f>'[8]Fuel Vol and Credit Gen'!CM$61</f>
        <v>9489939.3046371881</v>
      </c>
      <c r="I82" s="32">
        <f>'[8]Fuel Vol and Credit Gen'!CN$55</f>
        <v>940404.38744142069</v>
      </c>
      <c r="J82" s="32">
        <f t="shared" si="1"/>
        <v>1115839.3071749141</v>
      </c>
      <c r="K82" s="32"/>
      <c r="L82" s="32">
        <f>FORECAST(H82,L$41:L81,H$41:H81)</f>
        <v>740726.67420496163</v>
      </c>
      <c r="M82" s="31">
        <f t="shared" si="2"/>
        <v>2.1889011440207469</v>
      </c>
    </row>
    <row r="83" spans="1:13" x14ac:dyDescent="0.25">
      <c r="A83">
        <v>3</v>
      </c>
      <c r="B83">
        <f>B82</f>
        <v>2033</v>
      </c>
      <c r="C83" s="34">
        <f>FORECAST(E83,$C$45:C82,$E$45:E82)*1.15</f>
        <v>118.7513743333564</v>
      </c>
      <c r="D83" s="35">
        <f>FORECAST(E83,$D$18:D82,$E$18:E82)*1.05</f>
        <v>99.631131940408025</v>
      </c>
      <c r="E83" s="34">
        <f>MultiRegLCFS!$B$17+(MultiRegLCFS!$B$18*Quarterly!$H83)+(MultiRegLCFS!$B$19*Quarterly!$I83)*1.2</f>
        <v>116.74313692511819</v>
      </c>
      <c r="F83" s="34">
        <f>FORECAST(E83,F$44:F82,E$44:E82)</f>
        <v>43.080056797764854</v>
      </c>
      <c r="H83" s="32">
        <f>'[8]Fuel Vol and Credit Gen'!CN$61</f>
        <v>10060819.740933744</v>
      </c>
      <c r="I83" s="32">
        <f>'[8]Fuel Vol and Credit Gen'!CO$55</f>
        <v>983476.51655146957</v>
      </c>
      <c r="J83" s="32">
        <f t="shared" si="1"/>
        <v>1188342.0055579254</v>
      </c>
      <c r="K83" s="32"/>
      <c r="L83" s="32">
        <f>FORECAST(H83,L$41:L82,H$41:H82)</f>
        <v>805238.76110001188</v>
      </c>
      <c r="M83" s="31">
        <f t="shared" si="2"/>
        <v>6.4923959810373333</v>
      </c>
    </row>
    <row r="84" spans="1:13" x14ac:dyDescent="0.25">
      <c r="A84">
        <v>4</v>
      </c>
      <c r="B84">
        <f>B83</f>
        <v>2033</v>
      </c>
      <c r="C84" s="34">
        <f>FORECAST(E84,$C$45:C83,$E$45:E83)*1.15</f>
        <v>82.559126726832915</v>
      </c>
      <c r="D84" s="35">
        <f>FORECAST(E84,$D$18:D83,$E$18:E83)*1.05</f>
        <v>85.192382955238969</v>
      </c>
      <c r="E84" s="34">
        <f>MultiRegLCFS!$B$17+(MultiRegLCFS!$B$18*Quarterly!$H84)+(MultiRegLCFS!$B$19*Quarterly!$I84)*1.2</f>
        <v>82.688001114695197</v>
      </c>
      <c r="F84" s="34">
        <f>FORECAST(E84,F$44:F83,E$44:E83)</f>
        <v>46.691742930817803</v>
      </c>
      <c r="H84" s="32">
        <f>'[8]Fuel Vol and Credit Gen'!CO$61</f>
        <v>10929031.73359571</v>
      </c>
      <c r="I84" s="32">
        <f>'[8]Fuel Vol and Credit Gen'!CP$55</f>
        <v>913628.89999476739</v>
      </c>
      <c r="J84" s="32">
        <f t="shared" si="1"/>
        <v>1297924.5239195633</v>
      </c>
      <c r="K84" s="32"/>
      <c r="L84" s="32">
        <f>FORECAST(H84,L$41:L83,H$41:H83)</f>
        <v>903350.66676853597</v>
      </c>
      <c r="M84" s="31">
        <f t="shared" si="2"/>
        <v>-34.055135810422996</v>
      </c>
    </row>
    <row r="85" spans="1:13" x14ac:dyDescent="0.25">
      <c r="A85">
        <v>1</v>
      </c>
      <c r="B85">
        <f>B84+1</f>
        <v>2034</v>
      </c>
      <c r="C85" s="34">
        <f>FORECAST(E85,$C$45:C84,$E$45:E84)*1.15</f>
        <v>122.18902402302319</v>
      </c>
      <c r="D85" s="35">
        <f>FORECAST(E85,$D$18:D84,$E$18:E84)*1.05</f>
        <v>100.65208654424826</v>
      </c>
      <c r="E85" s="34">
        <f>MultiRegLCFS!$B$17+(MultiRegLCFS!$B$18*Quarterly!$H85)+(MultiRegLCFS!$B$19*Quarterly!$I85)*1.25</f>
        <v>118.82349616950341</v>
      </c>
      <c r="F85" s="34">
        <f>FORECAST(E85,F$44:F84,E$44:E84)</f>
        <v>42.859426209869355</v>
      </c>
      <c r="H85" s="32">
        <f>'[8]Fuel Vol and Credit Gen'!CP$61</f>
        <v>8791502.230352927</v>
      </c>
      <c r="I85" s="32">
        <f>'[8]Fuel Vol and Credit Gen'!CQ$55</f>
        <v>901052.57032679743</v>
      </c>
      <c r="J85" s="32">
        <f t="shared" si="1"/>
        <v>1027939.4672851105</v>
      </c>
      <c r="K85" s="32"/>
      <c r="L85" s="32">
        <f>FORECAST(H85,L$41:L84,H$41:H84)</f>
        <v>661800.10681503476</v>
      </c>
      <c r="M85" s="31">
        <f t="shared" si="2"/>
        <v>36.135495054808217</v>
      </c>
    </row>
    <row r="86" spans="1:13" x14ac:dyDescent="0.25">
      <c r="A86">
        <v>2</v>
      </c>
      <c r="B86">
        <f>B85</f>
        <v>2034</v>
      </c>
      <c r="C86" s="34">
        <f>FORECAST(E86,$C$45:C85,$E$45:E85)*1.15</f>
        <v>137.42176272258988</v>
      </c>
      <c r="D86" s="35">
        <f>FORECAST(E86,$D$18:D85,$E$18:E85)*1.05</f>
        <v>106.1505456012116</v>
      </c>
      <c r="E86" s="34">
        <f>MultiRegLCFS!$B$17+(MultiRegLCFS!$B$18*Quarterly!$H86)+(MultiRegLCFS!$B$19*Quarterly!$I86)*1.3</f>
        <v>131.57063967351411</v>
      </c>
      <c r="F86" s="34">
        <f>FORECAST(E86,F$44:F85,E$44:E85)</f>
        <v>41.507539619671682</v>
      </c>
      <c r="H86" s="32">
        <f>'[8]Fuel Vol and Credit Gen'!CQ$61</f>
        <v>9749833.7116461508</v>
      </c>
      <c r="I86" s="32">
        <f>'[8]Fuel Vol and Credit Gen'!CR$55</f>
        <v>938396.77901569114</v>
      </c>
      <c r="J86" s="32">
        <f t="shared" si="1"/>
        <v>1149069.2259922225</v>
      </c>
      <c r="K86" s="32"/>
      <c r="L86" s="32">
        <f>FORECAST(H86,L$41:L85,H$41:H85)</f>
        <v>770095.92475638562</v>
      </c>
      <c r="M86" s="31">
        <f t="shared" si="2"/>
        <v>12.747143504010694</v>
      </c>
    </row>
    <row r="87" spans="1:13" x14ac:dyDescent="0.25">
      <c r="A87">
        <v>3</v>
      </c>
      <c r="B87">
        <f>B86</f>
        <v>2034</v>
      </c>
      <c r="C87" s="34">
        <f>FORECAST(E87,$C$45:C86,$E$45:E86)*1.15</f>
        <v>148.1697343865475</v>
      </c>
      <c r="D87" s="35">
        <f>FORECAST(E87,$D$18:D86,$E$18:E86)*1.05</f>
        <v>109.53511373995495</v>
      </c>
      <c r="E87" s="34">
        <f>MultiRegLCFS!$B$17+(MultiRegLCFS!$B$18*Quarterly!$H87)+(MultiRegLCFS!$B$19*Quarterly!$I87)*1.3</f>
        <v>139.30442607171807</v>
      </c>
      <c r="F87" s="34">
        <f>FORECAST(E87,F$44:F86,E$44:E86)</f>
        <v>40.687340010253656</v>
      </c>
      <c r="H87" s="32">
        <f>'[8]Fuel Vol and Credit Gen'!CR$61</f>
        <v>10288497.847463692</v>
      </c>
      <c r="I87" s="32">
        <f>'[8]Fuel Vol and Credit Gen'!CS$55</f>
        <v>980484.74104047555</v>
      </c>
      <c r="J87" s="32">
        <f t="shared" si="1"/>
        <v>1217032.8463541188</v>
      </c>
      <c r="K87" s="32"/>
      <c r="L87" s="32">
        <f>FORECAST(H87,L$41:L86,H$41:H86)</f>
        <v>830967.42310819891</v>
      </c>
      <c r="M87" s="31">
        <f t="shared" si="2"/>
        <v>7.7337863982039607</v>
      </c>
    </row>
    <row r="88" spans="1:13" x14ac:dyDescent="0.25">
      <c r="A88">
        <v>4</v>
      </c>
      <c r="B88">
        <f>B87</f>
        <v>2034</v>
      </c>
      <c r="C88" s="34">
        <f>FORECAST(E88,$C$45:C87,$E$45:E87)*1.15</f>
        <v>104.76761457203008</v>
      </c>
      <c r="D88" s="35">
        <f>FORECAST(E88,$D$18:D87,$E$18:E87)*1.05</f>
        <v>93.187224881860686</v>
      </c>
      <c r="E88" s="34">
        <f>MultiRegLCFS!$B$17+(MultiRegLCFS!$B$18*Quarterly!$H88)+(MultiRegLCFS!$B$19*Quarterly!$I88)*1.3</f>
        <v>100.7883960696517</v>
      </c>
      <c r="F88" s="34">
        <f>FORECAST(E88,F$44:F87,E$44:E87)</f>
        <v>44.7721221774162</v>
      </c>
      <c r="H88" s="32">
        <f>'[8]Fuel Vol and Credit Gen'!CS$61</f>
        <v>11367447.085090116</v>
      </c>
      <c r="I88" s="32">
        <f>'[8]Fuel Vol and Credit Gen'!CT$55</f>
        <v>911182.85140072752</v>
      </c>
      <c r="J88" s="32">
        <f t="shared" si="1"/>
        <v>1353103.5610422492</v>
      </c>
      <c r="K88" s="32"/>
      <c r="L88" s="32">
        <f>FORECAST(H88,L$41:L87,H$41:H87)</f>
        <v>952893.5963444917</v>
      </c>
      <c r="M88" s="31">
        <f t="shared" si="2"/>
        <v>-38.516030002066373</v>
      </c>
    </row>
    <row r="89" spans="1:13" x14ac:dyDescent="0.25">
      <c r="A89">
        <v>1</v>
      </c>
      <c r="B89">
        <f>B88+1</f>
        <v>2035</v>
      </c>
      <c r="C89" s="34">
        <f>FORECAST(E89,$C$45:C88,$E$45:E88)*1.15</f>
        <v>125.809076233263</v>
      </c>
      <c r="D89" s="35">
        <f>FORECAST(E89,$D$18:D88,$E$18:E88)*1.05</f>
        <v>100.64609107611092</v>
      </c>
      <c r="E89" s="34">
        <f>MultiRegLCFS!$B$17+(MultiRegLCFS!$B$18*Quarterly!$H89)+(MultiRegLCFS!$B$19*Quarterly!$I89)*1.25</f>
        <v>118.10235929357265</v>
      </c>
      <c r="F89" s="34">
        <f>FORECAST(E89,F$44:F88,E$44:E88)</f>
        <v>42.935905718549954</v>
      </c>
      <c r="H89" s="32">
        <f>'[8]Fuel Vol and Credit Gen'!CT$61</f>
        <v>8785695.848155167</v>
      </c>
      <c r="I89" s="32">
        <f>'[8]Fuel Vol and Credit Gen'!CU$55</f>
        <v>898694.25978582213</v>
      </c>
      <c r="J89" s="32">
        <f t="shared" si="1"/>
        <v>1027295.7004301896</v>
      </c>
      <c r="K89" s="32"/>
      <c r="L89" s="32">
        <f>FORECAST(H89,L$41:L88,H$41:H88)</f>
        <v>661143.95920675853</v>
      </c>
      <c r="M89" s="31">
        <f t="shared" si="2"/>
        <v>17.31396322392095</v>
      </c>
    </row>
    <row r="90" spans="1:13" x14ac:dyDescent="0.25">
      <c r="A90">
        <v>2</v>
      </c>
      <c r="B90">
        <f>B89</f>
        <v>2035</v>
      </c>
      <c r="C90" s="34">
        <f>FORECAST(E90,$C$45:C89,$E$45:E89)*1.15</f>
        <v>135.43623768602239</v>
      </c>
      <c r="D90" s="35">
        <f>FORECAST(E90,$D$18:D89,$E$18:E89)*1.05</f>
        <v>103.81783956204288</v>
      </c>
      <c r="E90" s="34">
        <f>MultiRegLCFS!$B$17+(MultiRegLCFS!$B$18*Quarterly!$H90)+(MultiRegLCFS!$B$19*Quarterly!$I90)*1.3</f>
        <v>125.36819312611746</v>
      </c>
      <c r="F90" s="34">
        <f>FORECAST(E90,F$44:F89,E$44:E89)</f>
        <v>42.165334388453019</v>
      </c>
      <c r="H90" s="32">
        <f>'[8]Fuel Vol and Credit Gen'!CU$61</f>
        <v>10172173.026559263</v>
      </c>
      <c r="I90" s="32">
        <f>'[8]Fuel Vol and Credit Gen'!CV$55</f>
        <v>936508.9599769112</v>
      </c>
      <c r="J90" s="32">
        <f t="shared" si="1"/>
        <v>1202201.549404629</v>
      </c>
      <c r="K90" s="32"/>
      <c r="L90" s="32">
        <f>FORECAST(H90,L$41:L89,H$41:H89)</f>
        <v>817822.18905022333</v>
      </c>
      <c r="M90" s="31">
        <f t="shared" si="2"/>
        <v>7.2658338325448142</v>
      </c>
    </row>
    <row r="91" spans="1:13" x14ac:dyDescent="0.25">
      <c r="A91">
        <v>3</v>
      </c>
      <c r="B91">
        <f>B90</f>
        <v>2035</v>
      </c>
      <c r="C91" s="34">
        <f>FORECAST(E91,$C$45:C90,$E$45:E90)*1.15</f>
        <v>145.45391804571042</v>
      </c>
      <c r="D91" s="35">
        <f>FORECAST(E91,$D$18:D90,$E$18:E90)*1.05</f>
        <v>106.9625278960382</v>
      </c>
      <c r="E91" s="34">
        <f>MultiRegLCFS!$B$17+(MultiRegLCFS!$B$18*Quarterly!$H91)+(MultiRegLCFS!$B$19*Quarterly!$I91)*1.3</f>
        <v>132.55142083465594</v>
      </c>
      <c r="F91" s="34">
        <f>FORECAST(E91,F$44:F90,E$44:E90)</f>
        <v>41.40352377492583</v>
      </c>
      <c r="H91" s="32">
        <f>'[8]Fuel Vol and Credit Gen'!CV$61</f>
        <v>10776662.395750999</v>
      </c>
      <c r="I91" s="32">
        <f>'[8]Fuel Vol and Credit Gen'!CW$55</f>
        <v>979486.27762008493</v>
      </c>
      <c r="J91" s="32">
        <f t="shared" si="1"/>
        <v>1278269.5856348872</v>
      </c>
      <c r="K91" s="32"/>
      <c r="L91" s="32">
        <f>FORECAST(H91,L$41:L90,H$41:H90)</f>
        <v>886132.23828822805</v>
      </c>
      <c r="M91" s="31">
        <f t="shared" si="2"/>
        <v>7.1832277085384817</v>
      </c>
    </row>
    <row r="92" spans="1:13" x14ac:dyDescent="0.25">
      <c r="A92">
        <v>4</v>
      </c>
      <c r="B92">
        <f>B91</f>
        <v>2035</v>
      </c>
      <c r="C92" s="34">
        <f>FORECAST(E92,$C$45:C91,$E$45:E91)*1.15</f>
        <v>103.66648128488214</v>
      </c>
      <c r="D92" s="35">
        <f>FORECAST(E92,$D$18:D91,$E$18:E91)*1.05</f>
        <v>92.391134591437677</v>
      </c>
      <c r="E92" s="34">
        <f>MultiRegLCFS!$B$17+(MultiRegLCFS!$B$18*Quarterly!$H92)+(MultiRegLCFS!$B$19*Quarterly!$I92)*1.3</f>
        <v>98.302159663281685</v>
      </c>
      <c r="F92" s="34">
        <f>FORECAST(E92,F$44:F91,E$44:E91)</f>
        <v>45.03579769474095</v>
      </c>
      <c r="H92" s="32">
        <f>'[8]Fuel Vol and Credit Gen'!CW$61</f>
        <v>11518599.380779345</v>
      </c>
      <c r="I92" s="32">
        <f>'[8]Fuel Vol and Credit Gen'!CX$55</f>
        <v>909749.46020003711</v>
      </c>
      <c r="J92" s="32">
        <f t="shared" si="1"/>
        <v>1371472.8237085203</v>
      </c>
      <c r="K92" s="32"/>
      <c r="L92" s="32">
        <f>FORECAST(H92,L$41:L91,H$41:H91)</f>
        <v>969974.49352350191</v>
      </c>
      <c r="M92" s="31">
        <f>E92-E91</f>
        <v>-34.249261171374258</v>
      </c>
    </row>
    <row r="93" spans="1:13" x14ac:dyDescent="0.25">
      <c r="A93">
        <v>1</v>
      </c>
      <c r="B93">
        <f t="shared" ref="B93" si="3">B92+1</f>
        <v>2036</v>
      </c>
      <c r="C93" s="34">
        <f>FORECAST(E93,$C$45:C92,$E$45:E92)*1.15</f>
        <v>136.38112730116256</v>
      </c>
      <c r="D93" s="35">
        <f>FORECAST(E93,$D$18:D92,$E$18:E92)*1.05</f>
        <v>103.39841114763135</v>
      </c>
      <c r="E93" s="34">
        <f>MultiRegLCFS!$B$17+(MultiRegLCFS!$B$18*Quarterly!$H93)+(MultiRegLCFS!$B$19*Quarterly!$I93)*1.3</f>
        <v>123.8924086503304</v>
      </c>
      <c r="F93" s="34">
        <f>FORECAST(E93,F$44:F92,E$44:E92)</f>
        <v>42.321847354845119</v>
      </c>
      <c r="H93" s="32">
        <f>'[8]Fuel Vol and Credit Gen'!CX$61</f>
        <v>9240116.245389523</v>
      </c>
      <c r="I93" s="32">
        <f>'[8]Fuel Vol and Credit Gen'!CY$55</f>
        <v>897546.51626975765</v>
      </c>
      <c r="J93" s="32">
        <f t="shared" si="1"/>
        <v>1084756.6865297758</v>
      </c>
      <c r="K93" s="32"/>
      <c r="L93" s="32">
        <f>FORECAST(H93,L$41:L92,H$41:H92)</f>
        <v>712495.53177674138</v>
      </c>
      <c r="M93" s="31">
        <f t="shared" ref="M93:M152" si="4">E93-E92</f>
        <v>25.59024898704871</v>
      </c>
    </row>
    <row r="94" spans="1:13" x14ac:dyDescent="0.25">
      <c r="A94">
        <v>2</v>
      </c>
      <c r="B94">
        <f t="shared" ref="B94:B96" si="5">B93</f>
        <v>2036</v>
      </c>
      <c r="C94" s="34">
        <f>FORECAST(E94,$C$45:C93,$E$45:E93)*1.15</f>
        <v>151.98552314723611</v>
      </c>
      <c r="D94" s="35">
        <f>FORECAST(E94,$D$18:D93,$E$18:E93)*1.05</f>
        <v>108.34397307744891</v>
      </c>
      <c r="E94" s="34">
        <f>MultiRegLCFS!$B$17+(MultiRegLCFS!$B$18*Quarterly!$H94)+(MultiRegLCFS!$B$19*Quarterly!$I94)*1.3</f>
        <v>135.28719646606481</v>
      </c>
      <c r="F94" s="34">
        <f>FORECAST(E94,F$44:F93,E$44:E93)</f>
        <v>41.113383604406238</v>
      </c>
      <c r="H94" s="32">
        <f>'[8]Fuel Vol and Credit Gen'!CY$61</f>
        <v>9395327.9064084534</v>
      </c>
      <c r="I94" s="32">
        <f>'[8]Fuel Vol and Credit Gen'!CZ$55</f>
        <v>935744.46006825753</v>
      </c>
      <c r="J94" s="32">
        <f t="shared" si="1"/>
        <v>1104340.3173553748</v>
      </c>
      <c r="K94" s="32"/>
      <c r="L94" s="32">
        <f>FORECAST(H94,L$41:L93,H$41:H93)</f>
        <v>730035.15570874256</v>
      </c>
      <c r="M94" s="31">
        <f t="shared" si="4"/>
        <v>11.394787815734418</v>
      </c>
    </row>
    <row r="95" spans="1:13" x14ac:dyDescent="0.25">
      <c r="A95">
        <v>3</v>
      </c>
      <c r="B95">
        <f t="shared" si="5"/>
        <v>2036</v>
      </c>
      <c r="C95" s="34">
        <f>FORECAST(E95,$C$45:C94,$E$45:E94)*1.15</f>
        <v>165.65893190996937</v>
      </c>
      <c r="D95" s="35">
        <f>FORECAST(E95,$D$18:D94,$E$18:E94)*1.05</f>
        <v>112.37414165088927</v>
      </c>
      <c r="E95" s="34">
        <f>MultiRegLCFS!$B$17+(MultiRegLCFS!$B$18*Quarterly!$H95)+(MultiRegLCFS!$B$19*Quarterly!$I95)*1.3</f>
        <v>144.4892995604088</v>
      </c>
      <c r="F95" s="34">
        <f>FORECAST(E95,F$44:F94,E$44:E94)</f>
        <v>40.137463017103997</v>
      </c>
      <c r="H95" s="32">
        <f>'[8]Fuel Vol and Credit Gen'!CZ$61</f>
        <v>9859937.8734479845</v>
      </c>
      <c r="I95" s="32">
        <f>'[8]Fuel Vol and Credit Gen'!DA$55</f>
        <v>979246.38812874688</v>
      </c>
      <c r="J95" s="32">
        <f t="shared" si="1"/>
        <v>1162791.8818259654</v>
      </c>
      <c r="K95" s="32"/>
      <c r="L95" s="32">
        <f>FORECAST(H95,L$41:L94,H$41:H94)</f>
        <v>782538.1960308156</v>
      </c>
      <c r="M95" s="31">
        <f t="shared" si="4"/>
        <v>9.2021030943439825</v>
      </c>
    </row>
    <row r="96" spans="1:13" x14ac:dyDescent="0.25">
      <c r="A96">
        <v>4</v>
      </c>
      <c r="B96">
        <f t="shared" si="5"/>
        <v>2036</v>
      </c>
      <c r="C96" s="34">
        <f>FORECAST(E96,$C$45:C95,$E$45:E95)*1.15</f>
        <v>130.64592398382638</v>
      </c>
      <c r="D96" s="35">
        <f>FORECAST(E96,$D$18:D95,$E$18:E95)*1.05</f>
        <v>100.66754930817748</v>
      </c>
      <c r="E96" s="34">
        <f>MultiRegLCFS!$B$17+(MultiRegLCFS!$B$18*Quarterly!$H96)+(MultiRegLCFS!$B$19*Quarterly!$I96)*1.3</f>
        <v>116.99860759116697</v>
      </c>
      <c r="F96" s="34">
        <f>FORECAST(E96,F$44:F95,E$44:E95)</f>
        <v>43.052963091044461</v>
      </c>
      <c r="H96" s="32">
        <f>'[8]Fuel Vol and Credit Gen'!DA$61</f>
        <v>10095156.801769339</v>
      </c>
      <c r="I96" s="32">
        <f>'[8]Fuel Vol and Credit Gen'!DB$55</f>
        <v>909831.82601504319</v>
      </c>
      <c r="J96" s="32">
        <f t="shared" si="1"/>
        <v>1192231.1323232562</v>
      </c>
      <c r="K96" s="32"/>
      <c r="L96" s="32">
        <f>FORECAST(H96,L$41:L95,H$41:H95)</f>
        <v>809119.00521332712</v>
      </c>
      <c r="M96" s="31">
        <f t="shared" si="4"/>
        <v>-27.490691969241823</v>
      </c>
    </row>
    <row r="97" spans="1:13" x14ac:dyDescent="0.25">
      <c r="A97">
        <v>1</v>
      </c>
      <c r="B97">
        <f t="shared" ref="B97" si="6">B96+1</f>
        <v>2037</v>
      </c>
      <c r="C97" s="34">
        <f>FORECAST(E97,$C$45:C96,$E$45:E96)*1.15</f>
        <v>140.8887747273883</v>
      </c>
      <c r="D97" s="35">
        <f>FORECAST(E97,$D$18:D96,$E$18:E96)*1.05</f>
        <v>103.7777426462293</v>
      </c>
      <c r="E97" s="34">
        <f>MultiRegLCFS!$B$17+(MultiRegLCFS!$B$18*Quarterly!$H97)+(MultiRegLCFS!$B$19*Quarterly!$I97)*1.3</f>
        <v>124.08686556009656</v>
      </c>
      <c r="F97" s="34">
        <f>FORECAST(E97,F$44:F96,E$44:E96)</f>
        <v>42.301224405978068</v>
      </c>
      <c r="H97" s="32">
        <f>'[8]Fuel Vol and Credit Gen'!DB$61</f>
        <v>9236050.1685669031</v>
      </c>
      <c r="I97" s="32">
        <f>'[8]Fuel Vol and Credit Gen'!DC$55</f>
        <v>897947.92197483964</v>
      </c>
      <c r="J97" s="32">
        <f t="shared" si="1"/>
        <v>1084894.8399669805</v>
      </c>
      <c r="K97" s="32"/>
      <c r="L97" s="32">
        <f>FORECAST(H97,L$41:L96,H$41:H96)</f>
        <v>712036.0465945123</v>
      </c>
      <c r="M97" s="31">
        <f t="shared" si="4"/>
        <v>7.0882579689295824</v>
      </c>
    </row>
    <row r="98" spans="1:13" x14ac:dyDescent="0.25">
      <c r="A98">
        <v>2</v>
      </c>
      <c r="B98">
        <f t="shared" ref="B98:B100" si="7">B97</f>
        <v>2037</v>
      </c>
      <c r="C98" s="34">
        <f>FORECAST(E98,$C$45:C97,$E$45:E97)*1.15</f>
        <v>144.63335328020966</v>
      </c>
      <c r="D98" s="35">
        <f>FORECAST(E98,$D$18:D97,$E$18:E97)*1.05</f>
        <v>104.76456232937578</v>
      </c>
      <c r="E98" s="34">
        <f>MultiRegLCFS!$B$17+(MultiRegLCFS!$B$18*Quarterly!$H98)+(MultiRegLCFS!$B$19*Quarterly!$I98)*1.3</f>
        <v>126.22368365551299</v>
      </c>
      <c r="F98" s="34">
        <f>FORECAST(E98,F$44:F97,E$44:E97)</f>
        <v>42.074606126519903</v>
      </c>
      <c r="H98" s="32">
        <f>'[8]Fuel Vol and Credit Gen'!DC$61</f>
        <v>10098427.736731889</v>
      </c>
      <c r="I98" s="32">
        <f>'[8]Fuel Vol and Credit Gen'!DD$55</f>
        <v>936191.46823726268</v>
      </c>
      <c r="J98" s="32">
        <f t="shared" si="1"/>
        <v>1192446.3820561189</v>
      </c>
      <c r="K98" s="32"/>
      <c r="L98" s="32">
        <f>FORECAST(H98,L$41:L97,H$41:H97)</f>
        <v>809488.63574735122</v>
      </c>
      <c r="M98" s="31">
        <f t="shared" si="4"/>
        <v>2.1368180954164302</v>
      </c>
    </row>
    <row r="99" spans="1:13" x14ac:dyDescent="0.25">
      <c r="A99">
        <v>3</v>
      </c>
      <c r="B99">
        <f t="shared" si="7"/>
        <v>2037</v>
      </c>
      <c r="C99" s="34">
        <f>FORECAST(E99,$C$45:C98,$E$45:E98)*1.15</f>
        <v>159.14710715163673</v>
      </c>
      <c r="D99" s="35">
        <f>FORECAST(E99,$D$18:D98,$E$18:E98)*1.05</f>
        <v>109.04033787750174</v>
      </c>
      <c r="E99" s="34">
        <f>MultiRegLCFS!$B$17+(MultiRegLCFS!$B$18*Quarterly!$H99)+(MultiRegLCFS!$B$19*Quarterly!$I99)*1.3</f>
        <v>135.99539233151586</v>
      </c>
      <c r="F99" s="34">
        <f>FORECAST(E99,F$44:F98,E$44:E98)</f>
        <v>41.038276542699805</v>
      </c>
      <c r="H99" s="32">
        <f>'[8]Fuel Vol and Credit Gen'!DD$61</f>
        <v>10525248.492760165</v>
      </c>
      <c r="I99" s="32">
        <f>'[8]Fuel Vol and Credit Gen'!DE$55</f>
        <v>979903.93730137264</v>
      </c>
      <c r="J99" s="32">
        <f t="shared" si="1"/>
        <v>1245564.333348427</v>
      </c>
      <c r="K99" s="32"/>
      <c r="L99" s="32">
        <f>FORECAST(H99,L$41:L98,H$41:H98)</f>
        <v>857721.3232784468</v>
      </c>
      <c r="M99" s="31">
        <f t="shared" si="4"/>
        <v>9.7717086760028735</v>
      </c>
    </row>
    <row r="100" spans="1:13" x14ac:dyDescent="0.25">
      <c r="A100">
        <v>4</v>
      </c>
      <c r="B100">
        <f t="shared" si="7"/>
        <v>2037</v>
      </c>
      <c r="C100" s="34">
        <f>FORECAST(E100,$C$45:C99,$E$45:E99)*1.15</f>
        <v>130.13020726537542</v>
      </c>
      <c r="D100" s="35">
        <f>FORECAST(E100,$D$18:D99,$E$18:E99)*1.05</f>
        <v>99.928798364157785</v>
      </c>
      <c r="E100" s="34">
        <f>MultiRegLCFS!$B$17+(MultiRegLCFS!$B$18*Quarterly!$H100)+(MultiRegLCFS!$B$19*Quarterly!$I100)*1.3</f>
        <v>114.67733728894214</v>
      </c>
      <c r="F100" s="34">
        <f>FORECAST(E100,F$44:F99,E$44:E99)</f>
        <v>43.299143279791416</v>
      </c>
      <c r="H100" s="32">
        <f>'[8]Fuel Vol and Credit Gen'!DE$61</f>
        <v>10298122.073981419</v>
      </c>
      <c r="I100" s="32">
        <f>'[8]Fuel Vol and Credit Gen'!DF$55</f>
        <v>910800.21359383001</v>
      </c>
      <c r="J100" s="32">
        <f t="shared" si="1"/>
        <v>1217249.8827206467</v>
      </c>
      <c r="K100" s="32"/>
      <c r="L100" s="32">
        <f>FORECAST(H100,L$41:L99,H$41:H99)</f>
        <v>832055.00449640921</v>
      </c>
      <c r="M100" s="31">
        <f t="shared" si="4"/>
        <v>-21.318055042573718</v>
      </c>
    </row>
    <row r="101" spans="1:13" x14ac:dyDescent="0.25">
      <c r="A101">
        <v>1</v>
      </c>
      <c r="B101">
        <f t="shared" ref="B101" si="8">B100+1</f>
        <v>2038</v>
      </c>
      <c r="C101" s="34">
        <f>FORECAST(E101,$C$45:C100,$E$45:E100)*1.15</f>
        <v>130.52187178042303</v>
      </c>
      <c r="D101" s="35">
        <f>FORECAST(E101,$D$18:D100,$E$18:E100)*1.05</f>
        <v>99.970025929396002</v>
      </c>
      <c r="E101" s="34">
        <f>MultiRegLCFS!$B$17+(MultiRegLCFS!$B$18*Quarterly!$H101)+(MultiRegLCFS!$B$19*Quarterly!$I101)*1.3</f>
        <v>114.63329436262453</v>
      </c>
      <c r="F101" s="34">
        <f>FORECAST(E101,F$44:F100,E$44:E100)</f>
        <v>43.303814211868328</v>
      </c>
      <c r="H101" s="32">
        <f>'[8]Fuel Vol and Credit Gen'!DF$61</f>
        <v>9987089.255361272</v>
      </c>
      <c r="I101" s="32">
        <f>'[8]Fuel Vol and Credit Gen'!DG$55</f>
        <v>899073.64062061661</v>
      </c>
      <c r="J101" s="32">
        <f t="shared" si="1"/>
        <v>1178588.7747957332</v>
      </c>
      <c r="K101" s="32"/>
      <c r="L101" s="32">
        <f>FORECAST(H101,L$41:L100,H$41:H100)</f>
        <v>796906.88074530568</v>
      </c>
      <c r="M101" s="31">
        <f t="shared" si="4"/>
        <v>-4.4042926317615638E-2</v>
      </c>
    </row>
    <row r="102" spans="1:13" x14ac:dyDescent="0.25">
      <c r="A102">
        <v>2</v>
      </c>
      <c r="B102">
        <f t="shared" ref="B102:B104" si="9">B101</f>
        <v>2038</v>
      </c>
      <c r="C102" s="34">
        <f>FORECAST(E102,$C$45:C101,$E$45:E101)*1.15</f>
        <v>133.42269970042713</v>
      </c>
      <c r="D102" s="35">
        <f>FORECAST(E102,$D$18:D101,$E$18:E101)*1.05</f>
        <v>100.76587297282187</v>
      </c>
      <c r="E102" s="34">
        <f>MultiRegLCFS!$B$17+(MultiRegLCFS!$B$18*Quarterly!$H102)+(MultiRegLCFS!$B$19*Quarterly!$I102)*1.3</f>
        <v>116.34082271684244</v>
      </c>
      <c r="F102" s="34">
        <f>FORECAST(E102,F$44:F101,E$44:E101)</f>
        <v>43.122723861412695</v>
      </c>
      <c r="H102" s="32">
        <f>'[8]Fuel Vol and Credit Gen'!DG$61</f>
        <v>10877443.603092223</v>
      </c>
      <c r="I102" s="32">
        <f>'[8]Fuel Vol and Credit Gen'!DH$55</f>
        <v>937139.73042181972</v>
      </c>
      <c r="J102" s="32">
        <f t="shared" si="1"/>
        <v>1289045.6214005742</v>
      </c>
      <c r="K102" s="32"/>
      <c r="L102" s="32">
        <f>FORECAST(H102,L$41:L101,H$41:H101)</f>
        <v>897520.97328773665</v>
      </c>
      <c r="M102" s="31">
        <f t="shared" si="4"/>
        <v>1.7075283542179136</v>
      </c>
    </row>
    <row r="103" spans="1:13" x14ac:dyDescent="0.25">
      <c r="A103">
        <v>3</v>
      </c>
      <c r="B103">
        <f t="shared" si="9"/>
        <v>2038</v>
      </c>
      <c r="C103" s="34">
        <f>FORECAST(E103,$C$45:C102,$E$45:E102)*1.15</f>
        <v>146.56431122567653</v>
      </c>
      <c r="D103" s="35">
        <f>FORECAST(E103,$D$18:D102,$E$18:E102)*1.05</f>
        <v>104.60140425391189</v>
      </c>
      <c r="E103" s="34">
        <f>MultiRegLCFS!$B$17+(MultiRegLCFS!$B$18*Quarterly!$H103)+(MultiRegLCFS!$B$19*Quarterly!$I103)*1.3</f>
        <v>125.09735479197155</v>
      </c>
      <c r="F103" s="34">
        <f>FORECAST(E103,F$44:F102,E$44:E102)</f>
        <v>42.194057899091156</v>
      </c>
      <c r="H103" s="32">
        <f>'[8]Fuel Vol and Credit Gen'!DH$61</f>
        <v>11376906.751092818</v>
      </c>
      <c r="I103" s="32">
        <f>'[8]Fuel Vol and Credit Gen'!DI$55</f>
        <v>980674.38036505389</v>
      </c>
      <c r="J103" s="32">
        <f t="shared" si="1"/>
        <v>1351267.0059337502</v>
      </c>
      <c r="K103" s="32"/>
      <c r="L103" s="32">
        <f>FORECAST(H103,L$41:L102,H$41:H102)</f>
        <v>953962.58164572844</v>
      </c>
      <c r="M103" s="31">
        <f t="shared" si="4"/>
        <v>8.7565320751291154</v>
      </c>
    </row>
    <row r="104" spans="1:13" x14ac:dyDescent="0.25">
      <c r="A104">
        <v>4</v>
      </c>
      <c r="B104">
        <f t="shared" si="9"/>
        <v>2038</v>
      </c>
      <c r="C104" s="34">
        <f>FORECAST(E104,$C$45:C103,$E$45:E103)*1.15</f>
        <v>123.21432651648098</v>
      </c>
      <c r="D104" s="35">
        <f>FORECAST(E104,$D$18:D103,$E$18:E103)*1.05</f>
        <v>97.560424416502585</v>
      </c>
      <c r="E104" s="34">
        <f>MultiRegLCFS!$B$17+(MultiRegLCFS!$B$18*Quarterly!$H104)+(MultiRegLCFS!$B$19*Quarterly!$I104)*1.3</f>
        <v>108.63489901288631</v>
      </c>
      <c r="F104" s="34">
        <f>FORECAST(E104,F$44:F103,E$44:E103)</f>
        <v>43.939968518396988</v>
      </c>
      <c r="H104" s="32">
        <f>'[8]Fuel Vol and Credit Gen'!DI$61</f>
        <v>10778673.915058469</v>
      </c>
      <c r="I104" s="32">
        <f>'[8]Fuel Vol and Credit Gen'!DJ$55</f>
        <v>911538.77118675457</v>
      </c>
      <c r="J104" s="32">
        <f t="shared" si="1"/>
        <v>1276846.9762729963</v>
      </c>
      <c r="K104" s="32"/>
      <c r="L104" s="32">
        <f>FORECAST(H104,L$41:L103,H$41:H103)</f>
        <v>886359.54912269406</v>
      </c>
      <c r="M104" s="31">
        <f t="shared" si="4"/>
        <v>-16.462455779085246</v>
      </c>
    </row>
    <row r="105" spans="1:13" x14ac:dyDescent="0.25">
      <c r="A105">
        <v>1</v>
      </c>
      <c r="B105">
        <f t="shared" ref="B105:B129" si="10">B104+1</f>
        <v>2039</v>
      </c>
      <c r="C105" s="34">
        <f>FORECAST(E105,$C$45:C104,$E$45:E104)*1.15</f>
        <v>119.03168125799719</v>
      </c>
      <c r="D105" s="35">
        <f>FORECAST(E105,$D$18:D104,$E$18:E104)*1.05</f>
        <v>96.289250583765934</v>
      </c>
      <c r="E105" s="34">
        <f>MultiRegLCFS!$B$17+(MultiRegLCFS!$B$18*Quarterly!$H105)+(MultiRegLCFS!$B$19*Quarterly!$I105)*1.3</f>
        <v>105.55429020430262</v>
      </c>
      <c r="F105" s="34">
        <f>FORECAST(E105,F$44:F104,E$44:E104)</f>
        <v>44.266679654633812</v>
      </c>
      <c r="H105" s="32">
        <f>'[8]Fuel Vol and Credit Gen'!DJ$61</f>
        <v>10695505.376046048</v>
      </c>
      <c r="I105" s="32">
        <f>'[8]Fuel Vol and Credit Gen'!DK$55</f>
        <v>899674.88277000142</v>
      </c>
      <c r="J105" s="32">
        <f t="shared" si="1"/>
        <v>1266705.0494747867</v>
      </c>
      <c r="K105" s="32"/>
      <c r="L105" s="32">
        <f>FORECAST(H105,L$41:L104,H$41:H104)</f>
        <v>876961.12578468223</v>
      </c>
      <c r="M105" s="31">
        <f t="shared" si="4"/>
        <v>-3.0806088085836905</v>
      </c>
    </row>
    <row r="106" spans="1:13" x14ac:dyDescent="0.25">
      <c r="A106">
        <v>2</v>
      </c>
      <c r="B106">
        <f t="shared" ref="B106:B132" si="11">B105</f>
        <v>2039</v>
      </c>
      <c r="C106" s="34">
        <f>FORECAST(E106,$C$45:C105,$E$45:E105)*1.15</f>
        <v>134.70146132967463</v>
      </c>
      <c r="D106" s="35">
        <f>FORECAST(E106,$D$18:D105,$E$18:E105)*1.05</f>
        <v>100.8644310336819</v>
      </c>
      <c r="E106" s="34">
        <f>MultiRegLCFS!$B$17+(MultiRegLCFS!$B$18*Quarterly!$H106)+(MultiRegLCFS!$B$19*Quarterly!$I106)*1.3</f>
        <v>116.03436620891918</v>
      </c>
      <c r="F106" s="34">
        <f>FORECAST(E106,F$44:F105,E$44:E105)</f>
        <v>43.155224824739101</v>
      </c>
      <c r="H106" s="32">
        <f>'[8]Fuel Vol and Credit Gen'!DK$61</f>
        <v>10912025.973836839</v>
      </c>
      <c r="I106" s="32">
        <f>'[8]Fuel Vol and Credit Gen'!DL$55</f>
        <v>937558.0158984313</v>
      </c>
      <c r="J106" s="32">
        <f t="shared" si="1"/>
        <v>1293992.2954199943</v>
      </c>
      <c r="K106" s="32"/>
      <c r="L106" s="32">
        <f>FORECAST(H106,L$41:L105,H$41:H105)</f>
        <v>901428.93853696855</v>
      </c>
      <c r="M106" s="31">
        <f t="shared" si="4"/>
        <v>10.480076004616564</v>
      </c>
    </row>
    <row r="107" spans="1:13" x14ac:dyDescent="0.25">
      <c r="A107">
        <v>3</v>
      </c>
      <c r="B107">
        <f t="shared" si="11"/>
        <v>2039</v>
      </c>
      <c r="C107" s="34">
        <f>FORECAST(E107,$C$45:C106,$E$45:E106)*1.15</f>
        <v>149.77982471373906</v>
      </c>
      <c r="D107" s="35">
        <f>FORECAST(E107,$D$18:D106,$E$18:E106)*1.05</f>
        <v>105.20211073734352</v>
      </c>
      <c r="E107" s="34">
        <f>MultiRegLCFS!$B$17+(MultiRegLCFS!$B$18*Quarterly!$H107)+(MultiRegLCFS!$B$19*Quarterly!$I107)*1.3</f>
        <v>125.9658907471279</v>
      </c>
      <c r="F107" s="34">
        <f>FORECAST(E107,F$44:F106,E$44:E106)</f>
        <v>42.101946116517212</v>
      </c>
      <c r="H107" s="32">
        <f>'[8]Fuel Vol and Credit Gen'!DL$61</f>
        <v>11313210.162289619</v>
      </c>
      <c r="I107" s="32">
        <f>'[8]Fuel Vol and Credit Gen'!DM$55</f>
        <v>980768.80152223818</v>
      </c>
      <c r="J107" s="32">
        <f t="shared" si="1"/>
        <v>1344189.9676709129</v>
      </c>
      <c r="K107" s="32"/>
      <c r="L107" s="32">
        <f>FORECAST(H107,L$41:L106,H$41:H106)</f>
        <v>946764.57728171896</v>
      </c>
      <c r="M107" s="31">
        <f t="shared" si="4"/>
        <v>9.9315245382087198</v>
      </c>
    </row>
    <row r="108" spans="1:13" x14ac:dyDescent="0.25">
      <c r="A108">
        <v>4</v>
      </c>
      <c r="B108">
        <f t="shared" si="11"/>
        <v>2039</v>
      </c>
      <c r="C108" s="34">
        <f>FORECAST(E108,$C$45:C107,$E$45:E107)*1.15</f>
        <v>125.524833976205</v>
      </c>
      <c r="D108" s="35">
        <f>FORECAST(E108,$D$18:D107,$E$18:E107)*1.05</f>
        <v>98.036265088801343</v>
      </c>
      <c r="E108" s="34">
        <f>MultiRegLCFS!$B$17+(MultiRegLCFS!$B$18*Quarterly!$H108)+(MultiRegLCFS!$B$19*Quarterly!$I108)*1.3</f>
        <v>109.21178499961411</v>
      </c>
      <c r="F108" s="34">
        <f>FORECAST(E108,F$44:F107,E$44:E107)</f>
        <v>43.878787405209948</v>
      </c>
      <c r="H108" s="32">
        <f>'[8]Fuel Vol and Credit Gen'!DM$61</f>
        <v>10736105.509057604</v>
      </c>
      <c r="I108" s="32">
        <f>'[8]Fuel Vol and Credit Gen'!DN$55</f>
        <v>911591.75821749563</v>
      </c>
      <c r="J108" s="32">
        <f t="shared" si="1"/>
        <v>1271874.6475337634</v>
      </c>
      <c r="K108" s="32"/>
      <c r="L108" s="32">
        <f>FORECAST(H108,L$41:L107,H$41:H107)</f>
        <v>881549.12555182003</v>
      </c>
      <c r="M108" s="31">
        <f t="shared" si="4"/>
        <v>-16.75410574751379</v>
      </c>
    </row>
    <row r="109" spans="1:13" x14ac:dyDescent="0.25">
      <c r="A109">
        <v>1</v>
      </c>
      <c r="B109">
        <f t="shared" ref="B109" si="12">B108+1</f>
        <v>2040</v>
      </c>
      <c r="C109" s="34">
        <f>FORECAST(E109,$C$45:C108,$E$45:E108)*1.15</f>
        <v>119.59802931777558</v>
      </c>
      <c r="D109" s="35">
        <f>FORECAST(E109,$D$18:D108,$E$18:E108)*1.05</f>
        <v>96.28817307639919</v>
      </c>
      <c r="E109" s="34">
        <f>MultiRegLCFS!$B$17+(MultiRegLCFS!$B$18*Quarterly!$H109)+(MultiRegLCFS!$B$19*Quarterly!$I109)*1.3</f>
        <v>105.02996171993007</v>
      </c>
      <c r="F109" s="34">
        <f>FORECAST(E109,F$44:F108,E$44:E108)</f>
        <v>44.322286830206814</v>
      </c>
      <c r="H109" s="32">
        <f>'[8]Fuel Vol and Credit Gen'!DN$61</f>
        <v>10732675.050830647</v>
      </c>
      <c r="I109" s="32">
        <f>'[8]Fuel Vol and Credit Gen'!DO$55</f>
        <v>899570.00903258007</v>
      </c>
      <c r="J109" s="32">
        <f t="shared" si="1"/>
        <v>1271495.7275459163</v>
      </c>
      <c r="K109" s="32"/>
      <c r="L109" s="32">
        <f>FORECAST(H109,L$41:L108,H$41:H108)</f>
        <v>881161.46816306293</v>
      </c>
      <c r="M109" s="31">
        <f t="shared" si="4"/>
        <v>-4.1818232796840391</v>
      </c>
    </row>
    <row r="110" spans="1:13" x14ac:dyDescent="0.25">
      <c r="A110">
        <v>2</v>
      </c>
      <c r="B110">
        <f t="shared" ref="B110:B112" si="13">B109</f>
        <v>2040</v>
      </c>
      <c r="C110" s="34">
        <f>FORECAST(E110,$C$45:C109,$E$45:E109)*1.15</f>
        <v>143.94890442235697</v>
      </c>
      <c r="D110" s="35">
        <f>FORECAST(E110,$D$18:D109,$E$18:E109)*1.05</f>
        <v>103.28793027560978</v>
      </c>
      <c r="E110" s="34">
        <f>MultiRegLCFS!$B$17+(MultiRegLCFS!$B$18*Quarterly!$H110)+(MultiRegLCFS!$B$19*Quarterly!$I110)*1.3</f>
        <v>121.1456864260432</v>
      </c>
      <c r="F110" s="34">
        <f>FORECAST(E110,F$44:F109,E$44:E109)</f>
        <v>42.613148456212926</v>
      </c>
      <c r="H110" s="32">
        <f>'[8]Fuel Vol and Credit Gen'!DO$61</f>
        <v>10518872.66087937</v>
      </c>
      <c r="I110" s="32">
        <f>'[8]Fuel Vol and Credit Gen'!DP$55</f>
        <v>937431.10915550299</v>
      </c>
      <c r="J110" s="32">
        <f t="shared" si="1"/>
        <v>1244527.350240597</v>
      </c>
      <c r="K110" s="32"/>
      <c r="L110" s="32">
        <f>FORECAST(H110,L$41:L109,H$41:H109)</f>
        <v>857000.82526490395</v>
      </c>
      <c r="M110" s="31">
        <f t="shared" si="4"/>
        <v>16.115724706113127</v>
      </c>
    </row>
    <row r="111" spans="1:13" x14ac:dyDescent="0.25">
      <c r="A111">
        <v>3</v>
      </c>
      <c r="B111">
        <f t="shared" si="13"/>
        <v>2040</v>
      </c>
      <c r="C111" s="34">
        <f>FORECAST(E111,$C$45:C110,$E$45:E110)*1.15</f>
        <v>162.54015664144961</v>
      </c>
      <c r="D111" s="35">
        <f>FORECAST(E111,$D$18:D110,$E$18:E110)*1.05</f>
        <v>108.52189414735452</v>
      </c>
      <c r="E111" s="34">
        <f>MultiRegLCFS!$B$17+(MultiRegLCFS!$B$18*Quarterly!$H111)+(MultiRegLCFS!$B$19*Quarterly!$I111)*1.3</f>
        <v>133.15562839967046</v>
      </c>
      <c r="F111" s="34">
        <f>FORECAST(E111,F$44:F110,E$44:E110)</f>
        <v>41.339445096861049</v>
      </c>
      <c r="H111" s="32">
        <f>'[8]Fuel Vol and Credit Gen'!DP$61</f>
        <v>10760039.184018085</v>
      </c>
      <c r="I111" s="32">
        <f>'[8]Fuel Vol and Credit Gen'!DQ$55</f>
        <v>980584.70941361459</v>
      </c>
      <c r="J111" s="32">
        <f t="shared" si="1"/>
        <v>1275270.0478427969</v>
      </c>
      <c r="K111" s="32"/>
      <c r="L111" s="32">
        <f>FORECAST(H111,L$41:L110,H$41:H110)</f>
        <v>884253.73972424609</v>
      </c>
      <c r="M111" s="31">
        <f t="shared" si="4"/>
        <v>12.009941973627264</v>
      </c>
    </row>
    <row r="112" spans="1:13" x14ac:dyDescent="0.25">
      <c r="A112">
        <v>4</v>
      </c>
      <c r="B112">
        <f t="shared" si="13"/>
        <v>2040</v>
      </c>
      <c r="C112" s="34">
        <f>FORECAST(E112,$C$45:C111,$E$45:E111)*1.15</f>
        <v>124.72266392443497</v>
      </c>
      <c r="D112" s="35">
        <f>FORECAST(E112,$D$18:D111,$E$18:E111)*1.05</f>
        <v>97.612101247313916</v>
      </c>
      <c r="E112" s="34">
        <f>MultiRegLCFS!$B$17+(MultiRegLCFS!$B$18*Quarterly!$H112)+(MultiRegLCFS!$B$19*Quarterly!$I112)*1.3</f>
        <v>107.72575144650887</v>
      </c>
      <c r="F112" s="34">
        <f>FORECAST(E112,F$44:F111,E$44:E111)</f>
        <v>44.036387328078533</v>
      </c>
      <c r="H112" s="32">
        <f>'[8]Fuel Vol and Credit Gen'!DQ$61</f>
        <v>10838813.907053715</v>
      </c>
      <c r="I112" s="32">
        <f>'[8]Fuel Vol and Credit Gen'!DR$55</f>
        <v>911196.18532046443</v>
      </c>
      <c r="J112" s="32">
        <f t="shared" ref="J112:J152" si="14">FORECAST(H112,J78:J111,H78:H111)</f>
        <v>1285220.1463819989</v>
      </c>
      <c r="K112" s="32"/>
      <c r="L112" s="32">
        <f>FORECAST(H112,L$41:L111,H$41:H111)</f>
        <v>893155.64186434355</v>
      </c>
      <c r="M112" s="31">
        <f t="shared" si="4"/>
        <v>-25.429876953161596</v>
      </c>
    </row>
    <row r="113" spans="1:13" x14ac:dyDescent="0.25">
      <c r="A113">
        <v>1</v>
      </c>
      <c r="B113">
        <f t="shared" si="10"/>
        <v>2041</v>
      </c>
      <c r="C113" s="34">
        <f>FORECAST(E113,$C$45:C112,$E$45:E112)*1.15</f>
        <v>134.62718882357234</v>
      </c>
      <c r="D113" s="35">
        <f>FORECAST(E113,$D$18:D112,$E$18:E112)*1.05</f>
        <v>100.38546174266631</v>
      </c>
      <c r="E113" s="34">
        <f>MultiRegLCFS!$B$17+(MultiRegLCFS!$B$18*Quarterly!$H113)+(MultiRegLCFS!$B$19*Quarterly!$I113)*1.3</f>
        <v>114.02954648977976</v>
      </c>
      <c r="F113" s="34">
        <f>FORECAST(E113,F$44:F112,E$44:E112)</f>
        <v>43.367844137702491</v>
      </c>
      <c r="H113" s="32">
        <f>'[8]Fuel Vol and Credit Gen'!DR$61</f>
        <v>10033565.213683803</v>
      </c>
      <c r="I113" s="32">
        <f>'[8]Fuel Vol and Credit Gen'!DS$55</f>
        <v>899090.00293461035</v>
      </c>
      <c r="J113" s="32">
        <f t="shared" si="14"/>
        <v>1183962.7871432647</v>
      </c>
      <c r="K113" s="32"/>
      <c r="L113" s="32">
        <f>FORECAST(H113,L$41:L112,H$41:H112)</f>
        <v>802158.87550849002</v>
      </c>
      <c r="M113" s="31">
        <f t="shared" si="4"/>
        <v>6.3037950432708953</v>
      </c>
    </row>
    <row r="114" spans="1:13" x14ac:dyDescent="0.25">
      <c r="A114">
        <v>2</v>
      </c>
      <c r="B114">
        <f t="shared" si="11"/>
        <v>2041</v>
      </c>
      <c r="C114" s="34">
        <f>FORECAST(E114,$C$45:C113,$E$45:E113)*1.15</f>
        <v>160.95944464241222</v>
      </c>
      <c r="D114" s="35">
        <f>FORECAST(E114,$D$18:D113,$E$18:E113)*1.05</f>
        <v>107.75559366471474</v>
      </c>
      <c r="E114" s="34">
        <f>MultiRegLCFS!$B$17+(MultiRegLCFS!$B$18*Quarterly!$H114)+(MultiRegLCFS!$B$19*Quarterly!$I114)*1.3</f>
        <v>130.99139324893082</v>
      </c>
      <c r="F114" s="34">
        <f>FORECAST(E114,F$44:F113,E$44:E113)</f>
        <v>41.568971066926331</v>
      </c>
      <c r="H114" s="32">
        <f>'[8]Fuel Vol and Credit Gen'!DS$61</f>
        <v>9756721.4776653796</v>
      </c>
      <c r="I114" s="32">
        <f>'[8]Fuel Vol and Credit Gen'!DT$55</f>
        <v>937006.21547634597</v>
      </c>
      <c r="J114" s="32">
        <f t="shared" si="14"/>
        <v>1149348.7097192574</v>
      </c>
      <c r="K114" s="32"/>
      <c r="L114" s="32">
        <f>FORECAST(H114,L$41:L113,H$41:H113)</f>
        <v>770874.27365695033</v>
      </c>
      <c r="M114" s="31">
        <f t="shared" si="4"/>
        <v>16.961846759151058</v>
      </c>
    </row>
    <row r="115" spans="1:13" x14ac:dyDescent="0.25">
      <c r="A115">
        <v>3</v>
      </c>
      <c r="B115">
        <f t="shared" si="11"/>
        <v>2041</v>
      </c>
      <c r="C115" s="34">
        <f>FORECAST(E115,$C$45:C114,$E$45:E114)*1.15</f>
        <v>181.39377370055649</v>
      </c>
      <c r="D115" s="35">
        <f>FORECAST(E115,$D$18:D114,$E$18:E114)*1.05</f>
        <v>113.29381495161468</v>
      </c>
      <c r="E115" s="34">
        <f>MultiRegLCFS!$B$17+(MultiRegLCFS!$B$18*Quarterly!$H115)+(MultiRegLCFS!$B$19*Quarterly!$I115)*1.3</f>
        <v>143.66271013152647</v>
      </c>
      <c r="F115" s="34">
        <f>FORECAST(E115,F$44:F114,E$44:E114)</f>
        <v>40.225126199381158</v>
      </c>
      <c r="H115" s="32">
        <f>'[8]Fuel Vol and Credit Gen'!DT$61</f>
        <v>9947941.7222725116</v>
      </c>
      <c r="I115" s="32">
        <f>'[8]Fuel Vol and Credit Gen'!DU$55</f>
        <v>980177.91369257367</v>
      </c>
      <c r="J115" s="32">
        <f t="shared" si="14"/>
        <v>1173358.0150357313</v>
      </c>
      <c r="K115" s="32"/>
      <c r="L115" s="32">
        <f>FORECAST(H115,L$41:L114,H$41:H114)</f>
        <v>792483.03137899609</v>
      </c>
      <c r="M115" s="31">
        <f t="shared" si="4"/>
        <v>12.671316882595647</v>
      </c>
    </row>
    <row r="116" spans="1:13" x14ac:dyDescent="0.25">
      <c r="A116">
        <v>4</v>
      </c>
      <c r="B116">
        <f t="shared" si="11"/>
        <v>2041</v>
      </c>
      <c r="C116" s="34">
        <f>FORECAST(E116,$C$45:C115,$E$45:E115)*1.15</f>
        <v>139.21554576833418</v>
      </c>
      <c r="D116" s="35">
        <f>FORECAST(E116,$D$18:D115,$E$18:E115)*1.05</f>
        <v>101.39793588324889</v>
      </c>
      <c r="E116" s="34">
        <f>MultiRegLCFS!$B$17+(MultiRegLCFS!$B$18*Quarterly!$H116)+(MultiRegLCFS!$B$19*Quarterly!$I116)*1.3</f>
        <v>115.99171908871529</v>
      </c>
      <c r="F116" s="34">
        <f>FORECAST(E116,F$44:F115,E$44:E115)</f>
        <v>43.159747725881317</v>
      </c>
      <c r="H116" s="32">
        <f>'[8]Fuel Vol and Credit Gen'!DU$61</f>
        <v>10199475.48861891</v>
      </c>
      <c r="I116" s="32">
        <f>'[8]Fuel Vol and Credit Gen'!DV$55</f>
        <v>910859.08336264291</v>
      </c>
      <c r="J116" s="32">
        <f t="shared" si="14"/>
        <v>1205054.7509376276</v>
      </c>
      <c r="K116" s="32"/>
      <c r="L116" s="32">
        <f>FORECAST(H116,L$41:L115,H$41:H115)</f>
        <v>820907.49149335315</v>
      </c>
      <c r="M116" s="31">
        <f t="shared" si="4"/>
        <v>-27.670991042811181</v>
      </c>
    </row>
    <row r="117" spans="1:13" x14ac:dyDescent="0.25">
      <c r="A117">
        <v>1</v>
      </c>
      <c r="B117">
        <f t="shared" ref="B117:B145" si="15">B116+1</f>
        <v>2042</v>
      </c>
      <c r="C117" s="34">
        <f>FORECAST(E117,$C$45:C116,$E$45:E116)*1.15</f>
        <v>136.27674249641555</v>
      </c>
      <c r="D117" s="35">
        <f>FORECAST(E117,$D$18:D116,$E$18:E116)*1.05</f>
        <v>100.54754292084539</v>
      </c>
      <c r="E117" s="34">
        <f>MultiRegLCFS!$B$17+(MultiRegLCFS!$B$18*Quarterly!$H117)+(MultiRegLCFS!$B$19*Quarterly!$I117)*1.3</f>
        <v>113.90984553500357</v>
      </c>
      <c r="F117" s="34">
        <f>FORECAST(E117,F$44:F116,E$44:E116)</f>
        <v>43.380538912460842</v>
      </c>
      <c r="H117" s="32">
        <f>'[8]Fuel Vol and Credit Gen'!DV$61</f>
        <v>10035368.996174872</v>
      </c>
      <c r="I117" s="32">
        <f>'[8]Fuel Vol and Credit Gen'!DW$55</f>
        <v>898816.83349778131</v>
      </c>
      <c r="J117" s="32">
        <f t="shared" si="14"/>
        <v>1184481.1824018257</v>
      </c>
      <c r="K117" s="32"/>
      <c r="L117" s="32">
        <f>FORECAST(H117,L$41:L116,H$41:H116)</f>
        <v>802362.71113746788</v>
      </c>
      <c r="M117" s="31">
        <f t="shared" si="4"/>
        <v>-2.0818735537117163</v>
      </c>
    </row>
    <row r="118" spans="1:13" x14ac:dyDescent="0.25">
      <c r="A118">
        <v>2</v>
      </c>
      <c r="B118">
        <f t="shared" ref="B118:B128" si="16">B117</f>
        <v>2042</v>
      </c>
      <c r="C118" s="34">
        <f>FORECAST(E118,$C$45:C117,$E$45:E117)*1.15</f>
        <v>163.56476637824855</v>
      </c>
      <c r="D118" s="35">
        <f>FORECAST(E118,$D$18:D117,$E$18:E117)*1.05</f>
        <v>107.95739295861588</v>
      </c>
      <c r="E118" s="34">
        <f>MultiRegLCFS!$B$17+(MultiRegLCFS!$B$18*Quarterly!$H118)+(MultiRegLCFS!$B$19*Quarterly!$I118)*1.3</f>
        <v>130.90608143637007</v>
      </c>
      <c r="F118" s="34">
        <f>FORECAST(E118,F$44:F117,E$44:E117)</f>
        <v>41.578018732809269</v>
      </c>
      <c r="H118" s="32">
        <f>'[8]Fuel Vol and Credit Gen'!DW$61</f>
        <v>9757868.2214422803</v>
      </c>
      <c r="I118" s="32">
        <f>'[8]Fuel Vol and Credit Gen'!DX$55</f>
        <v>936806.34734811389</v>
      </c>
      <c r="J118" s="32">
        <f t="shared" si="14"/>
        <v>1149653.1718550671</v>
      </c>
      <c r="K118" s="32"/>
      <c r="L118" s="32">
        <f>FORECAST(H118,L$41:L117,H$41:H117)</f>
        <v>771003.86092160048</v>
      </c>
      <c r="M118" s="31">
        <f t="shared" si="4"/>
        <v>16.996235901366504</v>
      </c>
    </row>
    <row r="119" spans="1:13" x14ac:dyDescent="0.25">
      <c r="A119">
        <v>3</v>
      </c>
      <c r="B119">
        <f t="shared" si="16"/>
        <v>2042</v>
      </c>
      <c r="C119" s="34">
        <f>FORECAST(E119,$C$45:C118,$E$45:E118)*1.15</f>
        <v>184.66956859394966</v>
      </c>
      <c r="D119" s="35">
        <f>FORECAST(E119,$D$18:D118,$E$18:E118)*1.05</f>
        <v>113.5316010312949</v>
      </c>
      <c r="E119" s="34">
        <f>MultiRegLCFS!$B$17+(MultiRegLCFS!$B$18*Quarterly!$H119)+(MultiRegLCFS!$B$19*Quarterly!$I119)*1.3</f>
        <v>143.6211226993974</v>
      </c>
      <c r="F119" s="34">
        <f>FORECAST(E119,F$44:F118,E$44:E118)</f>
        <v>40.229536716278403</v>
      </c>
      <c r="H119" s="32">
        <f>'[8]Fuel Vol and Credit Gen'!DX$61</f>
        <v>9949607.1706754044</v>
      </c>
      <c r="I119" s="32">
        <f>'[8]Fuel Vol and Credit Gen'!DY$55</f>
        <v>980121.75223904895</v>
      </c>
      <c r="J119" s="32">
        <f t="shared" si="14"/>
        <v>1173679.5493852794</v>
      </c>
      <c r="K119" s="32"/>
      <c r="L119" s="32">
        <f>FORECAST(H119,L$41:L118,H$41:H118)</f>
        <v>792671.23462656885</v>
      </c>
      <c r="M119" s="31">
        <f t="shared" si="4"/>
        <v>12.715041263027331</v>
      </c>
    </row>
    <row r="120" spans="1:13" x14ac:dyDescent="0.25">
      <c r="A120">
        <v>4</v>
      </c>
      <c r="B120">
        <f t="shared" si="16"/>
        <v>2042</v>
      </c>
      <c r="C120" s="34">
        <f>FORECAST(E120,$C$45:C119,$E$45:E119)*1.15</f>
        <v>180.60274736225901</v>
      </c>
      <c r="D120" s="35">
        <f>FORECAST(E120,$D$18:D119,$E$18:E119)*1.05</f>
        <v>112.1772420832187</v>
      </c>
      <c r="E120" s="34">
        <f>MultiRegLCFS!$B$17+(MultiRegLCFS!$B$18*Quarterly!$H120)+(MultiRegLCFS!$B$19*Quarterly!$I120)*1.3</f>
        <v>140.3105795092504</v>
      </c>
      <c r="F120" s="34">
        <f>FORECAST(E120,F$44:F119,E$44:E119)</f>
        <v>40.58063333205132</v>
      </c>
      <c r="H120" s="32">
        <f>'[8]Fuel Vol and Credit Gen'!DY$61</f>
        <v>10201981.789748762</v>
      </c>
      <c r="I120" s="32">
        <f>'[8]Fuel Vol and Credit Gen'!DZ$55</f>
        <v>980119.41872116318</v>
      </c>
      <c r="J120" s="32">
        <f t="shared" si="14"/>
        <v>1205342.3377833895</v>
      </c>
      <c r="K120" s="32"/>
      <c r="L120" s="32">
        <f>FORECAST(H120,L$41:L119,H$41:H119)</f>
        <v>821190.71492508112</v>
      </c>
      <c r="M120" s="31">
        <f t="shared" si="4"/>
        <v>-3.3105431901470013</v>
      </c>
    </row>
    <row r="121" spans="1:13" x14ac:dyDescent="0.25">
      <c r="A121">
        <v>1</v>
      </c>
      <c r="B121">
        <f t="shared" si="10"/>
        <v>2043</v>
      </c>
      <c r="C121" s="34">
        <f>FORECAST(E121,$C$45:C120,$E$45:E120)*1.15</f>
        <v>134.53866812166703</v>
      </c>
      <c r="D121" s="35">
        <f>FORECAST(E121,$D$18:D120,$E$18:E120)*1.05</f>
        <v>99.801474192435535</v>
      </c>
      <c r="E121" s="34">
        <f>MultiRegLCFS!$B$17+(MultiRegLCFS!$B$18*Quarterly!$H121)+(MultiRegLCFS!$B$19*Quarterly!$I121)*1.3</f>
        <v>111.7196156985778</v>
      </c>
      <c r="F121" s="34">
        <f>FORECAST(E121,F$44:F120,E$44:E120)</f>
        <v>43.612821725028482</v>
      </c>
      <c r="H121" s="32">
        <f>'[8]Fuel Vol and Credit Gen'!DZ$61</f>
        <v>10202467.766216233</v>
      </c>
      <c r="I121" s="32">
        <f>'[8]Fuel Vol and Credit Gen'!EA$55</f>
        <v>898820.126221154</v>
      </c>
      <c r="J121" s="32">
        <f t="shared" si="14"/>
        <v>1205389.9099985494</v>
      </c>
      <c r="K121" s="32"/>
      <c r="L121" s="32">
        <f>FORECAST(H121,L$41:L120,H$41:H120)</f>
        <v>821245.632477173</v>
      </c>
      <c r="M121" s="31">
        <f t="shared" si="4"/>
        <v>-28.590963810672605</v>
      </c>
    </row>
    <row r="122" spans="1:13" x14ac:dyDescent="0.25">
      <c r="A122">
        <v>2</v>
      </c>
      <c r="B122">
        <f t="shared" si="11"/>
        <v>2043</v>
      </c>
      <c r="C122" s="34">
        <f>FORECAST(E122,$C$45:C121,$E$45:E121)*1.15</f>
        <v>166.4687513132761</v>
      </c>
      <c r="D122" s="35">
        <f>FORECAST(E122,$D$18:D121,$E$18:E121)*1.05</f>
        <v>108.19336834015738</v>
      </c>
      <c r="E122" s="34">
        <f>MultiRegLCFS!$B$17+(MultiRegLCFS!$B$18*Quarterly!$H122)+(MultiRegLCFS!$B$19*Quarterly!$I122)*1.3</f>
        <v>130.88391164545737</v>
      </c>
      <c r="F122" s="34">
        <f>FORECAST(E122,F$44:F121,E$44:E121)</f>
        <v>41.580369929611365</v>
      </c>
      <c r="H122" s="32">
        <f>'[8]Fuel Vol and Credit Gen'!EA$61</f>
        <v>9760316.8853889648</v>
      </c>
      <c r="I122" s="32">
        <f>'[8]Fuel Vol and Credit Gen'!EB$55</f>
        <v>936834.62626504025</v>
      </c>
      <c r="J122" s="32">
        <f t="shared" si="14"/>
        <v>1149949.9961790256</v>
      </c>
      <c r="K122" s="32"/>
      <c r="L122" s="32">
        <f>FORECAST(H122,L$41:L121,H$41:H121)</f>
        <v>771280.57108937216</v>
      </c>
      <c r="M122" s="31">
        <f t="shared" si="4"/>
        <v>19.164295946879577</v>
      </c>
    </row>
    <row r="123" spans="1:13" x14ac:dyDescent="0.25">
      <c r="A123">
        <v>3</v>
      </c>
      <c r="B123">
        <f t="shared" si="11"/>
        <v>2043</v>
      </c>
      <c r="C123" s="34">
        <f>FORECAST(E123,$C$45:C122,$E$45:E122)*1.15</f>
        <v>188.33322164861207</v>
      </c>
      <c r="D123" s="35">
        <f>FORECAST(E123,$D$18:D122,$E$18:E122)*1.05</f>
        <v>113.80162231293589</v>
      </c>
      <c r="E123" s="34">
        <f>MultiRegLCFS!$B$17+(MultiRegLCFS!$B$18*Quarterly!$H123)+(MultiRegLCFS!$B$19*Quarterly!$I123)*1.3</f>
        <v>143.61555647069201</v>
      </c>
      <c r="F123" s="34">
        <f>FORECAST(E123,F$44:F122,E$44:E122)</f>
        <v>40.230127037548613</v>
      </c>
      <c r="H123" s="32">
        <f>'[8]Fuel Vol and Credit Gen'!EB$61</f>
        <v>9952082.2326880805</v>
      </c>
      <c r="I123" s="32">
        <f>'[8]Fuel Vol and Credit Gen'!EC$55</f>
        <v>980198.23905625509</v>
      </c>
      <c r="J123" s="32">
        <f t="shared" si="14"/>
        <v>1173979.8677051971</v>
      </c>
      <c r="K123" s="32"/>
      <c r="L123" s="32">
        <f>FORECAST(H123,L$41:L122,H$41:H122)</f>
        <v>792950.92789591302</v>
      </c>
      <c r="M123" s="31">
        <f t="shared" si="4"/>
        <v>12.731644825234639</v>
      </c>
    </row>
    <row r="124" spans="1:13" x14ac:dyDescent="0.25">
      <c r="A124">
        <v>4</v>
      </c>
      <c r="B124">
        <f t="shared" si="11"/>
        <v>2043</v>
      </c>
      <c r="C124" s="34">
        <f>FORECAST(E124,$C$45:C123,$E$45:E123)*1.15</f>
        <v>183.92467935629637</v>
      </c>
      <c r="D124" s="35">
        <f>FORECAST(E124,$D$18:D123,$E$18:E123)*1.05</f>
        <v>112.43205882389904</v>
      </c>
      <c r="E124" s="34">
        <f>MultiRegLCFS!$B$17+(MultiRegLCFS!$B$18*Quarterly!$H124)+(MultiRegLCFS!$B$19*Quarterly!$I124)*1.3</f>
        <v>140.29532724726261</v>
      </c>
      <c r="F124" s="34">
        <f>FORECAST(E124,F$44:F123,E$44:E123)</f>
        <v>40.582250896680215</v>
      </c>
      <c r="H124" s="32">
        <f>'[8]Fuel Vol and Credit Gen'!EC$61</f>
        <v>10204565.640196629</v>
      </c>
      <c r="I124" s="32">
        <f>'[8]Fuel Vol and Credit Gen'!ED$55</f>
        <v>980172.41459425469</v>
      </c>
      <c r="J124" s="32">
        <f t="shared" si="14"/>
        <v>1205616.3335122215</v>
      </c>
      <c r="K124" s="32"/>
      <c r="L124" s="32">
        <f>FORECAST(H124,L$41:L123,H$41:H123)</f>
        <v>821482.70178260573</v>
      </c>
      <c r="M124" s="31">
        <f t="shared" si="4"/>
        <v>-3.3202292234294077</v>
      </c>
    </row>
    <row r="125" spans="1:13" x14ac:dyDescent="0.25">
      <c r="A125">
        <v>1</v>
      </c>
      <c r="B125">
        <f t="shared" si="15"/>
        <v>2044</v>
      </c>
      <c r="C125" s="34">
        <f>FORECAST(E125,$C$45:C124,$E$45:E124)*1.15</f>
        <v>136.14724140809844</v>
      </c>
      <c r="D125" s="35">
        <f>FORECAST(E125,$D$18:D124,$E$18:E124)*1.05</f>
        <v>100.01026833655233</v>
      </c>
      <c r="E125" s="34">
        <f>MultiRegLCFS!$B$17+(MultiRegLCFS!$B$18*Quarterly!$H125)+(MultiRegLCFS!$B$19*Quarterly!$I125)*1.3</f>
        <v>111.75373978544093</v>
      </c>
      <c r="F125" s="34">
        <f>FORECAST(E125,F$44:F124,E$44:E124)</f>
        <v>43.609202726354887</v>
      </c>
      <c r="H125" s="32">
        <f>'[8]Fuel Vol and Credit Gen'!ED$61</f>
        <v>10205003.474308208</v>
      </c>
      <c r="I125" s="32">
        <f>'[8]Fuel Vol and Credit Gen'!EE$55</f>
        <v>899011.76090197137</v>
      </c>
      <c r="J125" s="32">
        <f t="shared" si="14"/>
        <v>1205651.4968260236</v>
      </c>
      <c r="K125" s="32"/>
      <c r="L125" s="32">
        <f>FORECAST(H125,L$41:L124,H$41:H124)</f>
        <v>821532.17902942654</v>
      </c>
      <c r="M125" s="31">
        <f t="shared" si="4"/>
        <v>-28.541587461821678</v>
      </c>
    </row>
    <row r="126" spans="1:13" x14ac:dyDescent="0.25">
      <c r="A126">
        <v>2</v>
      </c>
      <c r="B126">
        <f t="shared" si="16"/>
        <v>2044</v>
      </c>
      <c r="C126" s="34">
        <f>FORECAST(E126,$C$45:C125,$E$45:E125)*1.15</f>
        <v>169.15061840987778</v>
      </c>
      <c r="D126" s="35">
        <f>FORECAST(E126,$D$18:D125,$E$18:E125)*1.05</f>
        <v>108.43431568238471</v>
      </c>
      <c r="E126" s="34">
        <f>MultiRegLCFS!$B$17+(MultiRegLCFS!$B$18*Quarterly!$H126)+(MultiRegLCFS!$B$19*Quarterly!$I126)*1.3</f>
        <v>130.89682631645482</v>
      </c>
      <c r="F126" s="34">
        <f>FORECAST(E126,F$44:F125,E$44:E125)</f>
        <v>41.579000276046798</v>
      </c>
      <c r="H126" s="32">
        <f>'[8]Fuel Vol and Credit Gen'!EE$61</f>
        <v>9763327.8367648721</v>
      </c>
      <c r="I126" s="32">
        <f>'[8]Fuel Vol and Credit Gen'!EF$55</f>
        <v>936983.6641108843</v>
      </c>
      <c r="J126" s="32">
        <f t="shared" si="14"/>
        <v>1150393.228489913</v>
      </c>
      <c r="K126" s="32"/>
      <c r="L126" s="32">
        <f>FORECAST(H126,L$41:L125,H$41:H125)</f>
        <v>771620.82229514001</v>
      </c>
      <c r="M126" s="31">
        <f t="shared" si="4"/>
        <v>19.143086531013893</v>
      </c>
    </row>
    <row r="127" spans="1:13" x14ac:dyDescent="0.25">
      <c r="A127">
        <v>3</v>
      </c>
      <c r="B127">
        <f t="shared" si="16"/>
        <v>2044</v>
      </c>
      <c r="C127" s="34">
        <f>FORECAST(E127,$C$45:C126,$E$45:E126)*1.15</f>
        <v>191.66650241160852</v>
      </c>
      <c r="D127" s="35">
        <f>FORECAST(E127,$D$18:D126,$E$18:E126)*1.05</f>
        <v>114.06318700825844</v>
      </c>
      <c r="E127" s="34">
        <f>MultiRegLCFS!$B$17+(MultiRegLCFS!$B$18*Quarterly!$H127)+(MultiRegLCFS!$B$19*Quarterly!$I127)*1.3</f>
        <v>143.6165344303725</v>
      </c>
      <c r="F127" s="34">
        <f>FORECAST(E127,F$44:F126,E$44:E126)</f>
        <v>40.230023320933405</v>
      </c>
      <c r="H127" s="32">
        <f>'[8]Fuel Vol and Credit Gen'!EF$61</f>
        <v>9954830.4240334518</v>
      </c>
      <c r="I127" s="32">
        <f>'[8]Fuel Vol and Credit Gen'!EG$55</f>
        <v>980303.52615911863</v>
      </c>
      <c r="J127" s="32">
        <f t="shared" si="14"/>
        <v>1174355.9243896815</v>
      </c>
      <c r="K127" s="32"/>
      <c r="L127" s="32">
        <f>FORECAST(H127,L$41:L126,H$41:H126)</f>
        <v>793261.48602263187</v>
      </c>
      <c r="M127" s="31">
        <f t="shared" si="4"/>
        <v>12.719708113917676</v>
      </c>
    </row>
    <row r="128" spans="1:13" x14ac:dyDescent="0.25">
      <c r="A128">
        <v>4</v>
      </c>
      <c r="B128">
        <f t="shared" si="16"/>
        <v>2044</v>
      </c>
      <c r="C128" s="34">
        <f>FORECAST(E128,$C$45:C127,$E$45:E127)*1.15</f>
        <v>186.98850261527639</v>
      </c>
      <c r="D128" s="35">
        <f>FORECAST(E128,$D$18:D127,$E$18:E127)*1.05</f>
        <v>112.68696756846924</v>
      </c>
      <c r="E128" s="34">
        <f>MultiRegLCFS!$B$17+(MultiRegLCFS!$B$18*Quarterly!$H128)+(MultiRegLCFS!$B$19*Quarterly!$I128)*1.3</f>
        <v>140.30478611253389</v>
      </c>
      <c r="F128" s="34">
        <f>FORECAST(E128,F$44:F127,E$44:E127)</f>
        <v>40.581247745416199</v>
      </c>
      <c r="H128" s="32">
        <f>'[8]Fuel Vol and Credit Gen'!EG$61</f>
        <v>10206821.826584363</v>
      </c>
      <c r="I128" s="32">
        <f>'[8]Fuel Vol and Credit Gen'!EH$55</f>
        <v>980283.47134968243</v>
      </c>
      <c r="J128" s="32">
        <f t="shared" si="14"/>
        <v>1205825.7778418683</v>
      </c>
      <c r="K128" s="32"/>
      <c r="L128" s="32">
        <f>FORECAST(H128,L$41:L127,H$41:H127)</f>
        <v>821737.66111041361</v>
      </c>
      <c r="M128" s="31">
        <f t="shared" si="4"/>
        <v>-3.3117483178386067</v>
      </c>
    </row>
    <row r="129" spans="1:13" x14ac:dyDescent="0.25">
      <c r="A129">
        <v>1</v>
      </c>
      <c r="B129">
        <f t="shared" si="10"/>
        <v>2045</v>
      </c>
      <c r="C129" s="34">
        <f>FORECAST(E129,$C$45:C128,$E$45:E128)*1.15</f>
        <v>137.62543666090477</v>
      </c>
      <c r="D129" s="35">
        <f>FORECAST(E129,$D$18:D128,$E$18:E128)*1.05</f>
        <v>100.21057478358678</v>
      </c>
      <c r="E129" s="34">
        <f>MultiRegLCFS!$B$17+(MultiRegLCFS!$B$18*Quarterly!$H129)+(MultiRegLCFS!$B$19*Quarterly!$I129)*1.3</f>
        <v>111.78583566654345</v>
      </c>
      <c r="F129" s="34">
        <f>FORECAST(E129,F$44:F128,E$44:E128)</f>
        <v>43.605798827179399</v>
      </c>
      <c r="H129" s="32">
        <f>'[8]Fuel Vol and Credit Gen'!EH$61</f>
        <v>10207305.304794215</v>
      </c>
      <c r="I129" s="32">
        <f>'[8]Fuel Vol and Credit Gen'!EI$55</f>
        <v>899188.90355901711</v>
      </c>
      <c r="J129" s="32">
        <f t="shared" si="14"/>
        <v>1205894.8322867486</v>
      </c>
      <c r="K129" s="32"/>
      <c r="L129" s="32">
        <f>FORECAST(H129,L$41:L128,H$41:H128)</f>
        <v>821792.29634802684</v>
      </c>
      <c r="M129" s="31">
        <f t="shared" si="4"/>
        <v>-28.518950445990441</v>
      </c>
    </row>
    <row r="130" spans="1:13" x14ac:dyDescent="0.25">
      <c r="A130">
        <v>2</v>
      </c>
      <c r="B130">
        <f t="shared" si="11"/>
        <v>2045</v>
      </c>
      <c r="C130" s="34">
        <f>FORECAST(E130,$C$45:C129,$E$45:E129)*1.15</f>
        <v>171.60319425460466</v>
      </c>
      <c r="D130" s="35">
        <f>FORECAST(E130,$D$18:D129,$E$18:E129)*1.05</f>
        <v>108.66479542718029</v>
      </c>
      <c r="E130" s="34">
        <f>MultiRegLCFS!$B$17+(MultiRegLCFS!$B$18*Quarterly!$H130)+(MultiRegLCFS!$B$19*Quarterly!$I130)*1.3</f>
        <v>130.90715746963102</v>
      </c>
      <c r="F130" s="34">
        <f>FORECAST(E130,F$44:F129,E$44:E129)</f>
        <v>41.577904615090624</v>
      </c>
      <c r="H130" s="32">
        <f>'[8]Fuel Vol and Credit Gen'!EI$61</f>
        <v>9765725.6871340591</v>
      </c>
      <c r="I130" s="32">
        <f>'[8]Fuel Vol and Credit Gen'!EJ$55</f>
        <v>937102.48576495156</v>
      </c>
      <c r="J130" s="32">
        <f t="shared" si="14"/>
        <v>1150790.6804948607</v>
      </c>
      <c r="K130" s="32"/>
      <c r="L130" s="32">
        <f>FORECAST(H130,L$41:L129,H$41:H129)</f>
        <v>771891.79029744514</v>
      </c>
      <c r="M130" s="31">
        <f t="shared" si="4"/>
        <v>19.121321803087568</v>
      </c>
    </row>
    <row r="131" spans="1:13" x14ac:dyDescent="0.25">
      <c r="A131">
        <v>3</v>
      </c>
      <c r="B131">
        <f t="shared" si="11"/>
        <v>2045</v>
      </c>
      <c r="C131" s="34">
        <f>FORECAST(E131,$C$45:C130,$E$45:E130)*1.15</f>
        <v>194.69365672709085</v>
      </c>
      <c r="D131" s="35">
        <f>FORECAST(E131,$D$18:D130,$E$18:E130)*1.05</f>
        <v>114.30747152373833</v>
      </c>
      <c r="E131" s="34">
        <f>MultiRegLCFS!$B$17+(MultiRegLCFS!$B$18*Quarterly!$H131)+(MultiRegLCFS!$B$19*Quarterly!$I131)*1.3</f>
        <v>143.60174944574484</v>
      </c>
      <c r="F131" s="34">
        <f>FORECAST(E131,F$44:F130,E$44:E130)</f>
        <v>40.231591328891277</v>
      </c>
      <c r="H131" s="32">
        <f>'[8]Fuel Vol and Credit Gen'!EJ$61</f>
        <v>9957078.6874321252</v>
      </c>
      <c r="I131" s="32">
        <f>'[8]Fuel Vol and Credit Gen'!EK$55</f>
        <v>980345.33388280007</v>
      </c>
      <c r="J131" s="32">
        <f t="shared" si="14"/>
        <v>1174653.1390022547</v>
      </c>
      <c r="K131" s="32"/>
      <c r="L131" s="32">
        <f>FORECAST(H131,L$41:L130,H$41:H130)</f>
        <v>793515.5500166252</v>
      </c>
      <c r="M131" s="31">
        <f t="shared" si="4"/>
        <v>12.694591976113827</v>
      </c>
    </row>
    <row r="132" spans="1:13" x14ac:dyDescent="0.25">
      <c r="A132">
        <v>4</v>
      </c>
      <c r="B132">
        <f t="shared" si="11"/>
        <v>2045</v>
      </c>
      <c r="C132" s="34">
        <f>FORECAST(E132,$C$45:C131,$E$45:E131)*1.15</f>
        <v>189.78291197854503</v>
      </c>
      <c r="D132" s="35">
        <f>FORECAST(E132,$D$18:D131,$E$18:E131)*1.05</f>
        <v>112.92624597258812</v>
      </c>
      <c r="E132" s="34">
        <f>MultiRegLCFS!$B$17+(MultiRegLCFS!$B$18*Quarterly!$H132)+(MultiRegLCFS!$B$19*Quarterly!$I132)*1.3</f>
        <v>140.30099804943148</v>
      </c>
      <c r="F132" s="34">
        <f>FORECAST(E132,F$44:F131,E$44:E131)</f>
        <v>40.581649484967443</v>
      </c>
      <c r="H132" s="32">
        <f>'[8]Fuel Vol and Credit Gen'!EK$61</f>
        <v>10208710.478102118</v>
      </c>
      <c r="I132" s="32">
        <f>'[8]Fuel Vol and Credit Gen'!EL$55</f>
        <v>980343.14286003483</v>
      </c>
      <c r="J132" s="32">
        <f t="shared" si="14"/>
        <v>1206041.8463311531</v>
      </c>
      <c r="K132" s="32"/>
      <c r="L132" s="32">
        <f>FORECAST(H132,L$41:L131,H$41:H131)</f>
        <v>821951.08732557413</v>
      </c>
      <c r="M132" s="31">
        <f t="shared" si="4"/>
        <v>-3.300751396313359</v>
      </c>
    </row>
    <row r="133" spans="1:13" x14ac:dyDescent="0.25">
      <c r="A133">
        <v>1</v>
      </c>
      <c r="B133">
        <f t="shared" si="15"/>
        <v>2046</v>
      </c>
      <c r="C133" s="34">
        <f>FORECAST(E133,$C$45:C132,$E$45:E132)*1.15</f>
        <v>138.91183448451358</v>
      </c>
      <c r="D133" s="35">
        <f>FORECAST(E133,$D$18:D132,$E$18:E132)*1.05</f>
        <v>100.38279835734436</v>
      </c>
      <c r="E133" s="34">
        <f>MultiRegLCFS!$B$17+(MultiRegLCFS!$B$18*Quarterly!$H133)+(MultiRegLCFS!$B$19*Quarterly!$I133)*1.3</f>
        <v>111.77022901737024</v>
      </c>
      <c r="F133" s="34">
        <f>FORECAST(E133,F$44:F132,E$44:E132)</f>
        <v>43.607453976015577</v>
      </c>
      <c r="H133" s="32">
        <f>'[8]Fuel Vol and Credit Gen'!EL$61</f>
        <v>10209219.902798748</v>
      </c>
      <c r="I133" s="32">
        <f>'[8]Fuel Vol and Credit Gen'!EM$55</f>
        <v>899215.92884620698</v>
      </c>
      <c r="J133" s="32">
        <f t="shared" si="14"/>
        <v>1206099.8874563926</v>
      </c>
      <c r="K133" s="32"/>
      <c r="L133" s="32">
        <f>FORECAST(H133,L$41:L132,H$41:H132)</f>
        <v>822008.6546342537</v>
      </c>
      <c r="M133" s="31">
        <f t="shared" si="4"/>
        <v>-28.530769032061244</v>
      </c>
    </row>
    <row r="134" spans="1:13" x14ac:dyDescent="0.25">
      <c r="A134">
        <v>2</v>
      </c>
      <c r="B134">
        <v>2046</v>
      </c>
      <c r="C134" s="34">
        <f>FORECAST(E134,$C$45:C133,$E$45:E133)*1.15</f>
        <v>173.80568634502745</v>
      </c>
      <c r="D134" s="35">
        <f>FORECAST(E134,$D$18:D133,$E$18:E133)*1.05</f>
        <v>108.87150361243042</v>
      </c>
      <c r="E134" s="34">
        <f>MultiRegLCFS!$B$17+(MultiRegLCFS!$B$18*Quarterly!$H134)+(MultiRegLCFS!$B$19*Quarterly!$I134)*1.3</f>
        <v>130.88327668359253</v>
      </c>
      <c r="F134" s="34">
        <f>FORECAST(E134,F$44:F133,E$44:E133)</f>
        <v>41.580437269908437</v>
      </c>
      <c r="H134" s="32">
        <f>'[8]Fuel Vol and Credit Gen'!EM$61</f>
        <v>9767710.1940645594</v>
      </c>
      <c r="I134" s="32">
        <f>'[8]Fuel Vol and Credit Gen'!EN$55</f>
        <v>937108.58559579472</v>
      </c>
      <c r="J134" s="32">
        <f t="shared" si="14"/>
        <v>1150991.2003932833</v>
      </c>
      <c r="K134" s="32"/>
      <c r="L134" s="32">
        <f>FORECAST(H134,L$41:L133,H$41:H133)</f>
        <v>772116.04861040239</v>
      </c>
      <c r="M134" s="31">
        <f t="shared" si="4"/>
        <v>19.113047666222286</v>
      </c>
    </row>
    <row r="135" spans="1:13" x14ac:dyDescent="0.25">
      <c r="A135">
        <v>3</v>
      </c>
      <c r="B135">
        <v>2046</v>
      </c>
      <c r="C135" s="34">
        <f>FORECAST(E135,$C$45:C134,$E$45:E134)*1.15</f>
        <v>197.44475279131242</v>
      </c>
      <c r="D135" s="35">
        <f>FORECAST(E135,$D$18:D134,$E$18:E134)*1.05</f>
        <v>114.53232382556037</v>
      </c>
      <c r="E135" s="34">
        <f>MultiRegLCFS!$B$17+(MultiRegLCFS!$B$18*Quarterly!$H135)+(MultiRegLCFS!$B$19*Quarterly!$I135)*1.3</f>
        <v>143.56500041037384</v>
      </c>
      <c r="F135" s="34">
        <f>FORECAST(E135,F$44:F134,E$44:E134)</f>
        <v>40.235488714066648</v>
      </c>
      <c r="H135" s="32">
        <f>'[8]Fuel Vol and Credit Gen'!EN$61</f>
        <v>9959090.7446433306</v>
      </c>
      <c r="I135" s="32">
        <f>'[8]Fuel Vol and Credit Gen'!EO$55</f>
        <v>980315.86189534888</v>
      </c>
      <c r="J135" s="32">
        <f t="shared" si="14"/>
        <v>1174877.3136761764</v>
      </c>
      <c r="K135" s="32"/>
      <c r="L135" s="32">
        <f>FORECAST(H135,L$41:L134,H$41:H134)</f>
        <v>793742.92163666023</v>
      </c>
      <c r="M135" s="31">
        <f t="shared" si="4"/>
        <v>12.681723726781314</v>
      </c>
    </row>
    <row r="136" spans="1:13" x14ac:dyDescent="0.25">
      <c r="A136">
        <v>4</v>
      </c>
      <c r="B136">
        <v>2046</v>
      </c>
      <c r="C136" s="34">
        <f>FORECAST(E136,$C$45:C135,$E$45:E135)*1.15</f>
        <v>192.31551169917037</v>
      </c>
      <c r="D136" s="35">
        <f>FORECAST(E136,$D$18:D135,$E$18:E135)*1.05</f>
        <v>113.14376423539626</v>
      </c>
      <c r="E136" s="34">
        <f>MultiRegLCFS!$B$17+(MultiRegLCFS!$B$18*Quarterly!$H136)+(MultiRegLCFS!$B$19*Quarterly!$I136)*1.3</f>
        <v>140.26886086325064</v>
      </c>
      <c r="F136" s="34">
        <f>FORECAST(E136,F$44:F135,E$44:E135)</f>
        <v>40.585057764715046</v>
      </c>
      <c r="H136" s="32">
        <f>'[8]Fuel Vol and Credit Gen'!EO$61</f>
        <v>10210628.94939689</v>
      </c>
      <c r="I136" s="32">
        <f>'[8]Fuel Vol and Credit Gen'!EP$55</f>
        <v>980323.29704317858</v>
      </c>
      <c r="J136" s="32">
        <f t="shared" si="14"/>
        <v>1206266.6088442507</v>
      </c>
      <c r="K136" s="32"/>
      <c r="L136" s="32">
        <f>FORECAST(H136,L$41:L135,H$41:H135)</f>
        <v>822167.88331122196</v>
      </c>
      <c r="M136" s="31">
        <f t="shared" si="4"/>
        <v>-3.2961395471232038</v>
      </c>
    </row>
    <row r="137" spans="1:13" x14ac:dyDescent="0.25">
      <c r="A137">
        <v>1</v>
      </c>
      <c r="B137">
        <f>B133+1</f>
        <v>2047</v>
      </c>
      <c r="C137" s="34">
        <f>FORECAST(E137,$C$45:C136,$E$45:E136)*1.15</f>
        <v>140.03261011147185</v>
      </c>
      <c r="D137" s="35">
        <f>FORECAST(E137,$D$18:D136,$E$18:E136)*1.05</f>
        <v>100.53116442029089</v>
      </c>
      <c r="E137" s="34">
        <f>MultiRegLCFS!$B$17+(MultiRegLCFS!$B$18*Quarterly!$H137)+(MultiRegLCFS!$B$19*Quarterly!$I137)*1.3</f>
        <v>111.71585441299013</v>
      </c>
      <c r="F137" s="34">
        <f>FORECAST(E137,F$44:F136,E$44:E136)</f>
        <v>43.613220624715012</v>
      </c>
      <c r="H137" s="32">
        <f>'[8]Fuel Vol and Credit Gen'!EP$61</f>
        <v>10211116.610103052</v>
      </c>
      <c r="I137" s="32">
        <f>'[8]Fuel Vol and Credit Gen'!EQ$55</f>
        <v>899132.02436073683</v>
      </c>
      <c r="J137" s="32">
        <f t="shared" si="14"/>
        <v>1206338.5426492251</v>
      </c>
      <c r="K137" s="32"/>
      <c r="L137" s="32">
        <f>FORECAST(H137,L$41:L136,H$41:H136)</f>
        <v>822222.99118994921</v>
      </c>
      <c r="M137" s="31">
        <f t="shared" si="4"/>
        <v>-28.553006450260511</v>
      </c>
    </row>
    <row r="138" spans="1:13" x14ac:dyDescent="0.25">
      <c r="A138">
        <v>2</v>
      </c>
      <c r="B138">
        <f t="shared" ref="B138:B148" si="17">B137</f>
        <v>2047</v>
      </c>
      <c r="C138" s="34">
        <f>FORECAST(E138,$C$45:C137,$E$45:E137)*1.15</f>
        <v>175.80502068711178</v>
      </c>
      <c r="D138" s="35">
        <f>FORECAST(E138,$D$18:D137,$E$18:E137)*1.05</f>
        <v>109.06057297178896</v>
      </c>
      <c r="E138" s="34">
        <f>MultiRegLCFS!$B$17+(MultiRegLCFS!$B$18*Quarterly!$H138)+(MultiRegLCFS!$B$19*Quarterly!$I138)*1.3</f>
        <v>130.83815157955445</v>
      </c>
      <c r="F138" s="34">
        <f>FORECAST(E138,F$44:F137,E$44:E137)</f>
        <v>41.585222971349012</v>
      </c>
      <c r="H138" s="32">
        <f>'[8]Fuel Vol and Credit Gen'!EQ$61</f>
        <v>9769480.2027914599</v>
      </c>
      <c r="I138" s="32">
        <f>'[8]Fuel Vol and Credit Gen'!ER$55</f>
        <v>937046.26244688407</v>
      </c>
      <c r="J138" s="32">
        <f t="shared" si="14"/>
        <v>1151145.5223073598</v>
      </c>
      <c r="K138" s="32"/>
      <c r="L138" s="32">
        <f>FORECAST(H138,L$41:L137,H$41:H137)</f>
        <v>772316.06765035365</v>
      </c>
      <c r="M138" s="31">
        <f t="shared" si="4"/>
        <v>19.122297166564323</v>
      </c>
    </row>
    <row r="139" spans="1:13" x14ac:dyDescent="0.25">
      <c r="A139">
        <v>3</v>
      </c>
      <c r="B139">
        <f t="shared" si="17"/>
        <v>2047</v>
      </c>
      <c r="C139" s="34">
        <f>FORECAST(E139,$C$45:C138,$E$45:E138)*1.15</f>
        <v>199.9850380644198</v>
      </c>
      <c r="D139" s="35">
        <f>FORECAST(E139,$D$18:D138,$E$18:E138)*1.05</f>
        <v>114.7464555394602</v>
      </c>
      <c r="E139" s="34">
        <f>MultiRegLCFS!$B$17+(MultiRegLCFS!$B$18*Quarterly!$H139)+(MultiRegLCFS!$B$19*Quarterly!$I139)*1.3</f>
        <v>143.52481044978569</v>
      </c>
      <c r="F139" s="34">
        <f>FORECAST(E139,F$44:F138,E$44:E138)</f>
        <v>40.239751023403841</v>
      </c>
      <c r="H139" s="32">
        <f>'[8]Fuel Vol and Credit Gen'!ER$61</f>
        <v>9961108.1805678271</v>
      </c>
      <c r="I139" s="32">
        <f>'[8]Fuel Vol and Credit Gen'!ES$55</f>
        <v>980276.80397102935</v>
      </c>
      <c r="J139" s="32">
        <f t="shared" si="14"/>
        <v>1175101.9787068379</v>
      </c>
      <c r="K139" s="32"/>
      <c r="L139" s="32">
        <f>FORECAST(H139,L$41:L138,H$41:H138)</f>
        <v>793970.90107577154</v>
      </c>
      <c r="M139" s="31">
        <f t="shared" si="4"/>
        <v>12.686658870231241</v>
      </c>
    </row>
    <row r="140" spans="1:13" x14ac:dyDescent="0.25">
      <c r="A140">
        <v>4</v>
      </c>
      <c r="B140">
        <f t="shared" si="17"/>
        <v>2047</v>
      </c>
      <c r="C140" s="34">
        <f>FORECAST(E140,$C$45:C139,$E$45:E139)*1.15</f>
        <v>194.64514797646316</v>
      </c>
      <c r="D140" s="35">
        <f>FORECAST(E140,$D$18:D139,$E$18:E139)*1.05</f>
        <v>113.3477682583343</v>
      </c>
      <c r="E140" s="34">
        <f>MultiRegLCFS!$B$17+(MultiRegLCFS!$B$18*Quarterly!$H140)+(MultiRegLCFS!$B$19*Quarterly!$I140)*1.3</f>
        <v>140.22591968164497</v>
      </c>
      <c r="F140" s="34">
        <f>FORECAST(E140,F$44:F139,E$44:E139)</f>
        <v>40.589611852269002</v>
      </c>
      <c r="H140" s="32">
        <f>'[8]Fuel Vol and Credit Gen'!ES$61</f>
        <v>10212839.885842238</v>
      </c>
      <c r="I140" s="32">
        <f>'[8]Fuel Vol and Credit Gen'!ET$55</f>
        <v>980283.6316270167</v>
      </c>
      <c r="J140" s="32">
        <f t="shared" si="14"/>
        <v>1206591.7123321015</v>
      </c>
      <c r="K140" s="32"/>
      <c r="L140" s="32">
        <f>FORECAST(H140,L$41:L139,H$41:H139)</f>
        <v>822417.7291896462</v>
      </c>
      <c r="M140" s="31">
        <f t="shared" si="4"/>
        <v>-3.2988907681407227</v>
      </c>
    </row>
    <row r="141" spans="1:13" x14ac:dyDescent="0.25">
      <c r="A141">
        <v>1</v>
      </c>
      <c r="B141">
        <f t="shared" ref="B141" si="18">B140+1</f>
        <v>2048</v>
      </c>
      <c r="C141" s="34">
        <f>FORECAST(E141,$C$45:C140,$E$45:E140)*1.15</f>
        <v>141.05595927844027</v>
      </c>
      <c r="D141" s="35">
        <f>FORECAST(E141,$D$18:D140,$E$18:E140)*1.05</f>
        <v>100.66998179583535</v>
      </c>
      <c r="E141" s="34">
        <f>MultiRegLCFS!$B$17+(MultiRegLCFS!$B$18*Quarterly!$H141)+(MultiRegLCFS!$B$19*Quarterly!$I141)*1.3</f>
        <v>111.65418331198063</v>
      </c>
      <c r="F141" s="34">
        <f>FORECAST(E141,F$44:F140,E$44:E140)</f>
        <v>43.619761096659275</v>
      </c>
      <c r="H141" s="32">
        <f>'[8]Fuel Vol and Credit Gen'!ET$61</f>
        <v>10213291.551098648</v>
      </c>
      <c r="I141" s="32">
        <f>'[8]Fuel Vol and Credit Gen'!EU$55</f>
        <v>899037.74535780889</v>
      </c>
      <c r="J141" s="32">
        <f t="shared" si="14"/>
        <v>1206650.4324752772</v>
      </c>
      <c r="K141" s="32"/>
      <c r="L141" s="32">
        <f>FORECAST(H141,L$41:L140,H$41:H140)</f>
        <v>822468.76941876684</v>
      </c>
      <c r="M141" s="31">
        <f t="shared" si="4"/>
        <v>-28.571736369664336</v>
      </c>
    </row>
    <row r="142" spans="1:13" x14ac:dyDescent="0.25">
      <c r="A142">
        <v>2</v>
      </c>
      <c r="B142">
        <f t="shared" ref="B142:B144" si="19">B141</f>
        <v>2048</v>
      </c>
      <c r="C142" s="34">
        <f>FORECAST(E142,$C$45:C141,$E$45:E141)*1.15</f>
        <v>177.63948016806907</v>
      </c>
      <c r="D142" s="35">
        <f>FORECAST(E142,$D$18:D141,$E$18:E141)*1.05</f>
        <v>109.23670066349963</v>
      </c>
      <c r="E142" s="34">
        <f>MultiRegLCFS!$B$17+(MultiRegLCFS!$B$18*Quarterly!$H142)+(MultiRegLCFS!$B$19*Quarterly!$I142)*1.3</f>
        <v>130.78129744735426</v>
      </c>
      <c r="F142" s="34">
        <f>FORECAST(E142,F$44:F141,E$44:E141)</f>
        <v>41.591252584092814</v>
      </c>
      <c r="H142" s="32">
        <f>'[8]Fuel Vol and Credit Gen'!EU$61</f>
        <v>9772127.7386357281</v>
      </c>
      <c r="I142" s="32">
        <f>'[8]Fuel Vol and Credit Gen'!EV$55</f>
        <v>936983.31115701306</v>
      </c>
      <c r="J142" s="32">
        <f t="shared" si="14"/>
        <v>1151456.4103123615</v>
      </c>
      <c r="K142" s="32"/>
      <c r="L142" s="32">
        <f>FORECAST(H142,L$41:L141,H$41:H141)</f>
        <v>772615.25124745001</v>
      </c>
      <c r="M142" s="31">
        <f t="shared" si="4"/>
        <v>19.127114135373631</v>
      </c>
    </row>
    <row r="143" spans="1:13" x14ac:dyDescent="0.25">
      <c r="A143">
        <v>3</v>
      </c>
      <c r="B143">
        <f t="shared" si="19"/>
        <v>2048</v>
      </c>
      <c r="C143" s="34">
        <f>FORECAST(E143,$C$45:C142,$E$45:E142)*1.15</f>
        <v>202.35050627362975</v>
      </c>
      <c r="D143" s="35">
        <f>FORECAST(E143,$D$18:D142,$E$18:E142)*1.05</f>
        <v>114.95243386431557</v>
      </c>
      <c r="E143" s="34">
        <f>MultiRegLCFS!$B$17+(MultiRegLCFS!$B$18*Quarterly!$H143)+(MultiRegLCFS!$B$19*Quarterly!$I143)*1.3</f>
        <v>143.48556077951491</v>
      </c>
      <c r="F143" s="34">
        <f>FORECAST(E143,F$44:F142,E$44:E142)</f>
        <v>40.243913611115516</v>
      </c>
      <c r="H143" s="32">
        <f>'[8]Fuel Vol and Credit Gen'!EV$61</f>
        <v>9963429.2270629853</v>
      </c>
      <c r="I143" s="32">
        <f>'[8]Fuel Vol and Credit Gen'!EW$55</f>
        <v>980251.74485047732</v>
      </c>
      <c r="J143" s="32">
        <f t="shared" si="14"/>
        <v>1175391.272207537</v>
      </c>
      <c r="K143" s="32"/>
      <c r="L143" s="32">
        <f>FORECAST(H143,L$41:L142,H$41:H142)</f>
        <v>794233.18989084172</v>
      </c>
      <c r="M143" s="31">
        <f t="shared" si="4"/>
        <v>12.70426333216065</v>
      </c>
    </row>
    <row r="144" spans="1:13" x14ac:dyDescent="0.25">
      <c r="A144">
        <v>4</v>
      </c>
      <c r="B144">
        <f t="shared" si="19"/>
        <v>2048</v>
      </c>
      <c r="C144" s="34">
        <f>FORECAST(E144,$C$45:C143,$E$45:E143)*1.15</f>
        <v>196.80817162495615</v>
      </c>
      <c r="D144" s="35">
        <f>FORECAST(E144,$D$18:D143,$E$18:E143)*1.05</f>
        <v>113.54184059820614</v>
      </c>
      <c r="E144" s="34">
        <f>MultiRegLCFS!$B$17+(MultiRegLCFS!$B$18*Quarterly!$H144)+(MultiRegLCFS!$B$19*Quarterly!$I144)*1.3</f>
        <v>140.17898256704893</v>
      </c>
      <c r="F144" s="34">
        <f>FORECAST(E144,F$44:F143,E$44:E143)</f>
        <v>40.594589724824132</v>
      </c>
      <c r="H144" s="32">
        <f>'[8]Fuel Vol and Credit Gen'!EW$61</f>
        <v>10215587.155732695</v>
      </c>
      <c r="I144" s="32">
        <f>'[8]Fuel Vol and Credit Gen'!EX$55</f>
        <v>980252.60598219</v>
      </c>
      <c r="J144" s="32">
        <f t="shared" si="14"/>
        <v>1206963.8331635115</v>
      </c>
      <c r="K144" s="32"/>
      <c r="L144" s="32">
        <f>FORECAST(H144,L$41:L143,H$41:H143)</f>
        <v>822728.1831877674</v>
      </c>
      <c r="M144" s="31">
        <f t="shared" si="4"/>
        <v>-3.306578212465979</v>
      </c>
    </row>
    <row r="145" spans="1:13" x14ac:dyDescent="0.25">
      <c r="A145">
        <v>1</v>
      </c>
      <c r="B145">
        <f t="shared" si="15"/>
        <v>2049</v>
      </c>
      <c r="C145" s="34">
        <f>FORECAST(E145,$C$45:C144,$E$45:E144)*1.15</f>
        <v>142.04103829254714</v>
      </c>
      <c r="D145" s="35">
        <f>FORECAST(E145,$D$18:D144,$E$18:E144)*1.05</f>
        <v>100.81094933956443</v>
      </c>
      <c r="E145" s="34">
        <f>MultiRegLCFS!$B$17+(MultiRegLCFS!$B$18*Quarterly!$H145)+(MultiRegLCFS!$B$19*Quarterly!$I145)*1.3</f>
        <v>111.61042145906524</v>
      </c>
      <c r="F145" s="34">
        <f>FORECAST(E145,F$44:F144,E$44:E144)</f>
        <v>43.624402219754806</v>
      </c>
      <c r="H145" s="32">
        <f>'[8]Fuel Vol and Credit Gen'!EX$61</f>
        <v>10216142.39017099</v>
      </c>
      <c r="I145" s="32">
        <f>'[8]Fuel Vol and Credit Gen'!EY$55</f>
        <v>899019.61373956432</v>
      </c>
      <c r="J145" s="32">
        <f t="shared" si="14"/>
        <v>1207057.915905908</v>
      </c>
      <c r="K145" s="32"/>
      <c r="L145" s="32">
        <f>FORECAST(H145,L$41:L144,H$41:H144)</f>
        <v>822790.92720569647</v>
      </c>
      <c r="M145" s="31">
        <f t="shared" si="4"/>
        <v>-28.568561107983697</v>
      </c>
    </row>
    <row r="146" spans="1:13" x14ac:dyDescent="0.25">
      <c r="A146">
        <v>2</v>
      </c>
      <c r="B146">
        <f t="shared" si="17"/>
        <v>2049</v>
      </c>
      <c r="C146" s="34">
        <f>FORECAST(E146,$C$45:C145,$E$45:E145)*1.15</f>
        <v>179.39670984617689</v>
      </c>
      <c r="D146" s="35">
        <f>FORECAST(E146,$D$18:D145,$E$18:E145)*1.05</f>
        <v>109.41653821359863</v>
      </c>
      <c r="E146" s="34">
        <f>MultiRegLCFS!$B$17+(MultiRegLCFS!$B$18*Quarterly!$H146)+(MultiRegLCFS!$B$19*Quarterly!$I146)*1.3</f>
        <v>130.74884492368435</v>
      </c>
      <c r="F146" s="34">
        <f>FORECAST(E146,F$44:F145,E$44:E145)</f>
        <v>41.594694306668039</v>
      </c>
      <c r="H146" s="32">
        <f>'[8]Fuel Vol and Credit Gen'!EY$61</f>
        <v>9774341.5897020977</v>
      </c>
      <c r="I146" s="32">
        <f>'[8]Fuel Vol and Credit Gen'!EZ$55</f>
        <v>936973.58592816675</v>
      </c>
      <c r="J146" s="32">
        <f t="shared" si="14"/>
        <v>1151707.6926120666</v>
      </c>
      <c r="K146" s="32"/>
      <c r="L146" s="32">
        <f>FORECAST(H146,L$41:L145,H$41:H145)</f>
        <v>772865.42649131163</v>
      </c>
      <c r="M146" s="31">
        <f t="shared" si="4"/>
        <v>19.138423464619109</v>
      </c>
    </row>
    <row r="147" spans="1:13" x14ac:dyDescent="0.25">
      <c r="A147">
        <v>3</v>
      </c>
      <c r="B147">
        <f t="shared" si="17"/>
        <v>2049</v>
      </c>
      <c r="C147" s="34">
        <f>FORECAST(E147,$C$45:C146,$E$45:E146)*1.15</f>
        <v>204.58580389646579</v>
      </c>
      <c r="D147" s="35">
        <f>FORECAST(E147,$D$18:D146,$E$18:E146)*1.05</f>
        <v>115.15568360493432</v>
      </c>
      <c r="E147" s="34">
        <f>MultiRegLCFS!$B$17+(MultiRegLCFS!$B$18*Quarterly!$H147)+(MultiRegLCFS!$B$19*Quarterly!$I147)*1.3</f>
        <v>143.45792467091155</v>
      </c>
      <c r="F147" s="34">
        <f>FORECAST(E147,F$44:F146,E$44:E146)</f>
        <v>40.246844533216951</v>
      </c>
      <c r="H147" s="32">
        <f>'[8]Fuel Vol and Credit Gen'!EZ$61</f>
        <v>9965665.4404041171</v>
      </c>
      <c r="I147" s="32">
        <f>'[8]Fuel Vol and Credit Gen'!FA$55</f>
        <v>980256.55239815498</v>
      </c>
      <c r="J147" s="32">
        <f t="shared" si="14"/>
        <v>1175676.3720552642</v>
      </c>
      <c r="K147" s="32"/>
      <c r="L147" s="32">
        <f>FORECAST(H147,L$41:L146,H$41:H146)</f>
        <v>794485.89217350329</v>
      </c>
      <c r="M147" s="31">
        <f t="shared" si="4"/>
        <v>12.709079747227207</v>
      </c>
    </row>
    <row r="148" spans="1:13" x14ac:dyDescent="0.25">
      <c r="A148">
        <v>4</v>
      </c>
      <c r="B148">
        <f t="shared" si="17"/>
        <v>2049</v>
      </c>
      <c r="C148" s="34">
        <f>FORECAST(E148,$C$45:C147,$E$45:E147)*1.15</f>
        <v>198.86762539482976</v>
      </c>
      <c r="D148" s="35">
        <f>FORECAST(E148,$D$18:D147,$E$18:E147)*1.05</f>
        <v>113.73625572945127</v>
      </c>
      <c r="E148" s="34">
        <f>MultiRegLCFS!$B$17+(MultiRegLCFS!$B$18*Quarterly!$H148)+(MultiRegLCFS!$B$19*Quarterly!$I148)*1.3</f>
        <v>140.1496341895278</v>
      </c>
      <c r="F148" s="34">
        <f>FORECAST(E148,F$44:F147,E$44:E147)</f>
        <v>40.597702240032149</v>
      </c>
      <c r="H148" s="32">
        <f>'[8]Fuel Vol and Credit Gen'!FA$61</f>
        <v>10217855.466094771</v>
      </c>
      <c r="I148" s="32">
        <f>'[8]Fuel Vol and Credit Gen'!FB$55</f>
        <v>980253.74075104936</v>
      </c>
      <c r="J148" s="32">
        <f t="shared" si="14"/>
        <v>1207244.8318756805</v>
      </c>
      <c r="K148" s="32"/>
      <c r="L148" s="32">
        <f>FORECAST(H148,L$41:L147,H$41:H147)</f>
        <v>822984.512579842</v>
      </c>
      <c r="M148" s="31">
        <f t="shared" si="4"/>
        <v>-3.3082904813837501</v>
      </c>
    </row>
    <row r="149" spans="1:13" x14ac:dyDescent="0.25">
      <c r="A149">
        <v>1</v>
      </c>
      <c r="B149">
        <f t="shared" ref="B149" si="20">B148+1</f>
        <v>2050</v>
      </c>
      <c r="C149" s="34">
        <f>FORECAST(E149,$C$45:C148,$E$45:E148)*1.15</f>
        <v>143.02250418779164</v>
      </c>
      <c r="D149" s="35">
        <f>FORECAST(E149,$D$18:D148,$E$18:E148)*1.05</f>
        <v>100.95988133012602</v>
      </c>
      <c r="E149" s="34">
        <f>MultiRegLCFS!$B$17+(MultiRegLCFS!$B$18*Quarterly!$H149)+(MultiRegLCFS!$B$19*Quarterly!$I149)*1.3</f>
        <v>111.59640789744554</v>
      </c>
      <c r="F149" s="34">
        <f>FORECAST(E149,F$44:F148,E$44:E148)</f>
        <v>43.625888415154471</v>
      </c>
      <c r="H149" s="32">
        <f>'[8]Fuel Vol and Credit Gen'!FB$61</f>
        <v>10218408.215353247</v>
      </c>
      <c r="I149" s="32">
        <f>'[8]Fuel Vol and Credit Gen'!FC$55</f>
        <v>899064.27055988158</v>
      </c>
      <c r="J149" s="32">
        <f t="shared" si="14"/>
        <v>1207310.9899195277</v>
      </c>
      <c r="K149" s="32"/>
      <c r="L149" s="32">
        <f>FORECAST(H149,L$41:L148,H$41:H148)</f>
        <v>823046.97576114349</v>
      </c>
      <c r="M149" s="31">
        <f t="shared" si="4"/>
        <v>-28.553226292082257</v>
      </c>
    </row>
    <row r="150" spans="1:13" x14ac:dyDescent="0.25">
      <c r="A150">
        <v>2</v>
      </c>
      <c r="B150">
        <f t="shared" ref="B150:B152" si="21">B149</f>
        <v>2050</v>
      </c>
      <c r="C150" s="34">
        <f>FORECAST(E150,$C$45:C149,$E$45:E149)*1.15</f>
        <v>181.06946591842728</v>
      </c>
      <c r="D150" s="35">
        <f>FORECAST(E150,$D$18:D149,$E$18:E149)*1.05</f>
        <v>109.59477638384465</v>
      </c>
      <c r="E150" s="34">
        <f>MultiRegLCFS!$B$17+(MultiRegLCFS!$B$18*Quarterly!$H150)+(MultiRegLCFS!$B$19*Quarterly!$I150)*1.3</f>
        <v>130.72749155842757</v>
      </c>
      <c r="F150" s="34">
        <f>FORECAST(E150,F$44:F149,E$44:E149)</f>
        <v>41.596958918197451</v>
      </c>
      <c r="H150" s="32">
        <f>'[8]Fuel Vol and Credit Gen'!FC$61</f>
        <v>9776715.5825113319</v>
      </c>
      <c r="I150" s="32">
        <f>'[8]Fuel Vol and Credit Gen'!FD$55</f>
        <v>937001.40171293519</v>
      </c>
      <c r="J150" s="32">
        <f t="shared" si="14"/>
        <v>1152057.693316137</v>
      </c>
      <c r="K150" s="32"/>
      <c r="L150" s="32">
        <f>FORECAST(H150,L$41:L149,H$41:H149)</f>
        <v>773133.69848078652</v>
      </c>
      <c r="M150" s="31">
        <f t="shared" si="4"/>
        <v>19.131083660982029</v>
      </c>
    </row>
    <row r="151" spans="1:13" x14ac:dyDescent="0.25">
      <c r="A151">
        <v>3</v>
      </c>
      <c r="B151">
        <f t="shared" si="21"/>
        <v>2050</v>
      </c>
      <c r="C151" s="34">
        <f>FORECAST(E151,$C$45:C150,$E$45:E150)*1.15</f>
        <v>206.6964580598495</v>
      </c>
      <c r="D151" s="35">
        <f>FORECAST(E151,$D$18:D150,$E$18:E150)*1.05</f>
        <v>115.35334569041662</v>
      </c>
      <c r="E151" s="34">
        <f>MultiRegLCFS!$B$17+(MultiRegLCFS!$B$18*Quarterly!$H151)+(MultiRegLCFS!$B$19*Quarterly!$I151)*1.3</f>
        <v>143.43406407281117</v>
      </c>
      <c r="F151" s="34">
        <f>FORECAST(E151,F$44:F150,E$44:E150)</f>
        <v>40.249375047021552</v>
      </c>
      <c r="H151" s="32">
        <f>'[8]Fuel Vol and Credit Gen'!FD$61</f>
        <v>9967994.7625201698</v>
      </c>
      <c r="I151" s="32">
        <f>'[8]Fuel Vol and Credit Gen'!FE$55</f>
        <v>980275.57101321872</v>
      </c>
      <c r="J151" s="32">
        <f t="shared" si="14"/>
        <v>1175984.1229783534</v>
      </c>
      <c r="K151" s="32"/>
      <c r="L151" s="32">
        <f>FORECAST(H151,L$41:L150,H$41:H150)</f>
        <v>794749.11617139017</v>
      </c>
      <c r="M151" s="31">
        <f t="shared" si="4"/>
        <v>12.706572514383595</v>
      </c>
    </row>
    <row r="152" spans="1:13" x14ac:dyDescent="0.25">
      <c r="A152">
        <v>4</v>
      </c>
      <c r="B152">
        <f t="shared" si="21"/>
        <v>2050</v>
      </c>
      <c r="C152" s="34">
        <f>FORECAST(E152,$C$45:C151,$E$45:E151)*1.15</f>
        <v>200.82016380234941</v>
      </c>
      <c r="D152" s="35">
        <f>FORECAST(E152,$D$18:D151,$E$18:E151)*1.05</f>
        <v>113.92657450104377</v>
      </c>
      <c r="E152" s="34">
        <f>MultiRegLCFS!$B$17+(MultiRegLCFS!$B$18*Quarterly!$H152)+(MultiRegLCFS!$B$19*Quarterly!$I152)*1.3</f>
        <v>140.12658196323213</v>
      </c>
      <c r="F152" s="34">
        <f>FORECAST(E152,F$44:F151,E$44:E151)</f>
        <v>40.600147022707844</v>
      </c>
      <c r="H152" s="32">
        <f>'[8]Fuel Vol and Credit Gen'!FE$61</f>
        <v>10220113.538720645</v>
      </c>
      <c r="I152" s="32">
        <f>'[8]Fuel Vol and Credit Gen'!FF$55</f>
        <v>980272.40095253475</v>
      </c>
      <c r="J152" s="32">
        <f t="shared" si="14"/>
        <v>1207517.5861886726</v>
      </c>
      <c r="K152" s="32"/>
      <c r="L152" s="32">
        <f>FORECAST(H152,L$41:L151,H$41:H151)</f>
        <v>823239.68506114255</v>
      </c>
      <c r="M152" s="31">
        <f t="shared" si="4"/>
        <v>-3.3074821095790412</v>
      </c>
    </row>
    <row r="153" spans="1:13" x14ac:dyDescent="0.25">
      <c r="I153" s="32"/>
    </row>
    <row r="154" spans="1:13" x14ac:dyDescent="0.25">
      <c r="I154" s="32"/>
    </row>
    <row r="155" spans="1:13" x14ac:dyDescent="0.25">
      <c r="I155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CFBB-35EC-4627-980E-C29689B09346}">
  <dimension ref="A1:AA40"/>
  <sheetViews>
    <sheetView workbookViewId="0">
      <selection activeCell="G2945" sqref="G2945:H2949"/>
    </sheetView>
  </sheetViews>
  <sheetFormatPr defaultRowHeight="15" x14ac:dyDescent="0.25"/>
  <cols>
    <col min="3" max="3" width="9" style="5" customWidth="1"/>
    <col min="4" max="4" width="9" customWidth="1"/>
    <col min="5" max="5" width="9" style="6" customWidth="1"/>
    <col min="6" max="6" width="9.140625" style="5"/>
    <col min="8" max="8" width="9.140625" style="6"/>
    <col min="9" max="9" width="9.140625" style="5"/>
    <col min="11" max="11" width="9.140625" style="6"/>
    <col min="12" max="12" width="9.140625" style="5"/>
    <col min="14" max="14" width="9.140625" style="6"/>
    <col min="16" max="16" width="9.140625" style="5"/>
    <col min="18" max="18" width="9.140625" style="6"/>
    <col min="20" max="20" width="9.140625" style="5"/>
    <col min="22" max="22" width="9.140625" style="6"/>
    <col min="24" max="24" width="9.140625" style="5"/>
    <col min="26" max="26" width="9.140625" style="6"/>
    <col min="27" max="27" width="9.140625" style="36"/>
  </cols>
  <sheetData>
    <row r="1" spans="1:27" x14ac:dyDescent="0.25">
      <c r="C1" s="5" t="s">
        <v>21</v>
      </c>
      <c r="F1" s="5" t="s">
        <v>22</v>
      </c>
      <c r="I1" s="5" t="s">
        <v>23</v>
      </c>
      <c r="L1" s="5" t="s">
        <v>43</v>
      </c>
      <c r="O1" s="5" t="s">
        <v>43</v>
      </c>
      <c r="P1" s="5" t="s">
        <v>44</v>
      </c>
      <c r="S1" s="5" t="s">
        <v>44</v>
      </c>
      <c r="T1" s="5" t="s">
        <v>45</v>
      </c>
      <c r="W1" s="5" t="s">
        <v>45</v>
      </c>
      <c r="X1" s="5" t="s">
        <v>46</v>
      </c>
      <c r="AA1" s="36" t="s">
        <v>46</v>
      </c>
    </row>
    <row r="2" spans="1:27" x14ac:dyDescent="0.25">
      <c r="C2" s="5" t="s">
        <v>41</v>
      </c>
      <c r="F2" s="5" t="s">
        <v>41</v>
      </c>
      <c r="I2" s="5" t="s">
        <v>42</v>
      </c>
      <c r="L2" s="5" t="s">
        <v>24</v>
      </c>
      <c r="P2" s="5" t="s">
        <v>24</v>
      </c>
      <c r="T2" s="5" t="s">
        <v>24</v>
      </c>
      <c r="X2" s="5" t="s">
        <v>24</v>
      </c>
    </row>
    <row r="3" spans="1:27" s="37" customFormat="1" x14ac:dyDescent="0.25">
      <c r="C3" s="38" t="s">
        <v>4</v>
      </c>
      <c r="D3" s="37" t="s">
        <v>66</v>
      </c>
      <c r="E3" s="39" t="s">
        <v>67</v>
      </c>
      <c r="F3" s="38" t="s">
        <v>4</v>
      </c>
      <c r="G3" s="37" t="s">
        <v>66</v>
      </c>
      <c r="H3" s="39" t="s">
        <v>67</v>
      </c>
      <c r="I3" s="38" t="s">
        <v>4</v>
      </c>
      <c r="J3" s="37" t="s">
        <v>66</v>
      </c>
      <c r="K3" s="39" t="s">
        <v>67</v>
      </c>
      <c r="L3" s="38" t="s">
        <v>4</v>
      </c>
      <c r="M3" s="37" t="s">
        <v>66</v>
      </c>
      <c r="N3" s="39" t="s">
        <v>67</v>
      </c>
      <c r="O3" s="37" t="s">
        <v>68</v>
      </c>
      <c r="P3" s="38" t="s">
        <v>4</v>
      </c>
      <c r="Q3" s="37" t="s">
        <v>66</v>
      </c>
      <c r="R3" s="39" t="s">
        <v>67</v>
      </c>
      <c r="S3" s="37" t="s">
        <v>68</v>
      </c>
      <c r="T3" s="38" t="s">
        <v>4</v>
      </c>
      <c r="U3" s="37" t="s">
        <v>66</v>
      </c>
      <c r="V3" s="39" t="s">
        <v>67</v>
      </c>
      <c r="W3" s="37" t="s">
        <v>68</v>
      </c>
      <c r="X3" s="38" t="s">
        <v>4</v>
      </c>
      <c r="Y3" s="37" t="s">
        <v>66</v>
      </c>
      <c r="Z3" s="39" t="s">
        <v>67</v>
      </c>
      <c r="AA3" s="40" t="s">
        <v>68</v>
      </c>
    </row>
    <row r="4" spans="1:27" x14ac:dyDescent="0.25">
      <c r="A4">
        <v>2014</v>
      </c>
      <c r="B4">
        <v>2014</v>
      </c>
      <c r="C4" s="5" t="e">
        <f ca="1">AVERAGEIF(Quarterly!$B$3:$B$1003,Annual!$B4,Quarterly!$D$3:$D$1000)</f>
        <v>#DIV/0!</v>
      </c>
      <c r="D4" t="e">
        <f>_xlfn.MAXIFS(Quarterly!$D$3:$D$1000,Quarterly!$B$3:$B$1003,$B4)</f>
        <v>#VALUE!</v>
      </c>
      <c r="E4" s="6" t="e">
        <f>_xlfn.MINIFS(Quarterly!$D$3:$D$1000,Quarterly!$B$3:$B$1003,$B4)</f>
        <v>#VALUE!</v>
      </c>
      <c r="F4" s="41">
        <f ca="1">AVERAGEIF(Quarterly!$B$3:$B$1003,Annual!$B4,Quarterly!$E$3:$E$1000)</f>
        <v>30.343984962406015</v>
      </c>
      <c r="G4" s="42" t="e">
        <f>_xlfn.MAXIFS(Quarterly!$E$3:$E$1000,Quarterly!$B$3:$B$1003,$B4)</f>
        <v>#VALUE!</v>
      </c>
      <c r="H4" s="43" t="e">
        <f>_xlfn.MINIFS(Quarterly!$E$3:$E$1000,Quarterly!$B$3:$B$1003,$B4)</f>
        <v>#VALUE!</v>
      </c>
      <c r="L4" s="41" t="e">
        <f>AVERAGEIF(Monthly!$D$4:$D$1000,Annual!$B4,Monthly!$I$4:$I$1000)</f>
        <v>#DIV/0!</v>
      </c>
      <c r="M4" s="42">
        <f>_xlfn.MAXIFS(Monthly!$I$4:$I$1000,Monthly!$D$4:$D$1000,$B4)</f>
        <v>0</v>
      </c>
      <c r="N4" s="43">
        <f>_xlfn.MINIFS(Monthly!$I$4:$I$1000,Monthly!$D$4:$D$1000,$B4)</f>
        <v>0</v>
      </c>
      <c r="O4" s="42">
        <f>M4-N4</f>
        <v>0</v>
      </c>
      <c r="P4" s="41" t="e">
        <f>AVERAGEIF(Monthly!$D$4:$D$1000,Annual!$B4,Monthly!$J$4:$J$1000)</f>
        <v>#DIV/0!</v>
      </c>
      <c r="Q4" s="42">
        <f>_xlfn.MAXIFS(Monthly!$J$4:$J$1000,Monthly!$D$4:$D$1000,$B4)</f>
        <v>0</v>
      </c>
      <c r="R4" s="43">
        <f>_xlfn.MINIFS(Monthly!$J$4:$J$1000,Monthly!$D$4:$D$1000,$B4)</f>
        <v>0</v>
      </c>
      <c r="S4" s="42">
        <f>Q4-R4</f>
        <v>0</v>
      </c>
      <c r="T4" s="41" t="e">
        <f>AVERAGEIF(Monthly!$D$4:$D$1000,Annual!$B4,Monthly!$K$4:$K$1000)</f>
        <v>#DIV/0!</v>
      </c>
      <c r="U4" s="42">
        <f>_xlfn.MAXIFS(Monthly!$K$4:$K$1000,Monthly!$D$4:$D$1000,$B4)</f>
        <v>0</v>
      </c>
      <c r="V4" s="43">
        <f>_xlfn.MINIFS(Monthly!$K$4:$K$1000,Monthly!$D$4:$D$1000,$B4)</f>
        <v>0</v>
      </c>
      <c r="W4" s="42">
        <f>U4-V4</f>
        <v>0</v>
      </c>
      <c r="X4" s="41" t="e">
        <f>AVERAGEIF(Monthly!$D$4:$D$1000,Annual!$B4,Monthly!$L$4:$L$1000)</f>
        <v>#DIV/0!</v>
      </c>
      <c r="Y4" s="42">
        <f>_xlfn.MAXIFS(Monthly!$L$4:$L$1000,Monthly!$D$4:$D$1000,$B4)</f>
        <v>0</v>
      </c>
      <c r="Z4" s="43">
        <f>_xlfn.MINIFS(Monthly!$L$4:$L$1000,Monthly!$D$4:$D$1000,$B4)</f>
        <v>0</v>
      </c>
      <c r="AA4" s="44">
        <f>Y4-Z4</f>
        <v>0</v>
      </c>
    </row>
    <row r="5" spans="1:27" x14ac:dyDescent="0.25">
      <c r="A5">
        <v>2015</v>
      </c>
      <c r="B5">
        <v>2015</v>
      </c>
      <c r="C5" s="5" t="e">
        <f ca="1">AVERAGEIF(Quarterly!$B$3:$B$1003,Annual!$B5,Quarterly!$D$3:$D$1000)</f>
        <v>#DIV/0!</v>
      </c>
      <c r="D5" t="e">
        <f>_xlfn.MAXIFS(Quarterly!$D$3:$D$1000,Quarterly!$B$3:$B$1003,$B5)</f>
        <v>#VALUE!</v>
      </c>
      <c r="E5" s="6" t="e">
        <f>_xlfn.MINIFS(Quarterly!$D$3:$D$1000,Quarterly!$B$3:$B$1003,$B5)</f>
        <v>#VALUE!</v>
      </c>
      <c r="F5" s="41">
        <f ca="1">AVERAGEIF(Quarterly!$B$3:$B$1003,Annual!$B5,Quarterly!$E$3:$E$1000)</f>
        <v>51.839090149616467</v>
      </c>
      <c r="G5" s="42" t="e">
        <f>_xlfn.MAXIFS(Quarterly!$E$3:$E$1000,Quarterly!$B$3:$B$1003,$B5)</f>
        <v>#VALUE!</v>
      </c>
      <c r="H5" s="43" t="e">
        <f>_xlfn.MINIFS(Quarterly!$E$3:$E$1000,Quarterly!$B$3:$B$1003,$B5)</f>
        <v>#VALUE!</v>
      </c>
      <c r="L5" s="41" t="e">
        <f>AVERAGEIF(Monthly!$D$4:$D$1000,Annual!$B5,Monthly!$I$4:$I$1000)</f>
        <v>#DIV/0!</v>
      </c>
      <c r="M5" s="42">
        <f>_xlfn.MAXIFS(Monthly!$I$4:$I$1000,Monthly!$D$4:$D$1000,$B5)</f>
        <v>0</v>
      </c>
      <c r="N5" s="43">
        <f>_xlfn.MINIFS(Monthly!$I$4:$I$1000,Monthly!$D$4:$D$1000,$B5)</f>
        <v>0</v>
      </c>
      <c r="O5" s="42">
        <f t="shared" ref="O5:O25" si="0">M5-N5</f>
        <v>0</v>
      </c>
      <c r="P5" s="41" t="e">
        <f>AVERAGEIF(Monthly!$D$4:$D$1000,Annual!$B5,Monthly!$J$4:$J$1000)</f>
        <v>#DIV/0!</v>
      </c>
      <c r="Q5" s="42">
        <f>_xlfn.MAXIFS(Monthly!$J$4:$J$1000,Monthly!$D$4:$D$1000,$B5)</f>
        <v>0</v>
      </c>
      <c r="R5" s="43">
        <f>_xlfn.MINIFS(Monthly!$J$4:$J$1000,Monthly!$D$4:$D$1000,$B5)</f>
        <v>0</v>
      </c>
      <c r="S5" s="42">
        <f t="shared" ref="S5:S40" si="1">Q5-R5</f>
        <v>0</v>
      </c>
      <c r="T5" s="41" t="e">
        <f>AVERAGEIF(Monthly!$D$4:$D$1000,Annual!$B5,Monthly!$K$4:$K$1000)</f>
        <v>#DIV/0!</v>
      </c>
      <c r="U5" s="42">
        <f>_xlfn.MAXIFS(Monthly!$K$4:$K$1000,Monthly!$D$4:$D$1000,$B5)</f>
        <v>0</v>
      </c>
      <c r="V5" s="43">
        <f>_xlfn.MINIFS(Monthly!$K$4:$K$1000,Monthly!$D$4:$D$1000,$B5)</f>
        <v>0</v>
      </c>
      <c r="W5" s="42">
        <f t="shared" ref="W5:W25" si="2">U5-V5</f>
        <v>0</v>
      </c>
      <c r="X5" s="41" t="e">
        <f>AVERAGEIF(Monthly!$D$4:$D$1000,Annual!$B5,Monthly!$L$4:$L$1000)</f>
        <v>#DIV/0!</v>
      </c>
      <c r="Y5" s="42">
        <f>_xlfn.MAXIFS(Monthly!$L$4:$L$1000,Monthly!$D$4:$D$1000,$B5)</f>
        <v>0</v>
      </c>
      <c r="Z5" s="43">
        <f>_xlfn.MINIFS(Monthly!$L$4:$L$1000,Monthly!$D$4:$D$1000,$B5)</f>
        <v>0</v>
      </c>
      <c r="AA5" s="44">
        <f t="shared" ref="AA5:AA25" si="3">Y5-Z5</f>
        <v>0</v>
      </c>
    </row>
    <row r="6" spans="1:27" x14ac:dyDescent="0.25">
      <c r="A6">
        <v>2016</v>
      </c>
      <c r="B6">
        <v>2016</v>
      </c>
      <c r="C6" s="5" t="e">
        <f ca="1">AVERAGEIF(Quarterly!$B$3:$B$1003,Annual!$B6,Quarterly!$D$3:$D$1000)</f>
        <v>#DIV/0!</v>
      </c>
      <c r="D6" t="e">
        <f>_xlfn.MAXIFS(Quarterly!$D$3:$D$1000,Quarterly!$B$3:$B$1003,$B6)</f>
        <v>#VALUE!</v>
      </c>
      <c r="E6" s="6" t="e">
        <f>_xlfn.MINIFS(Quarterly!$D$3:$D$1000,Quarterly!$B$3:$B$1003,$B6)</f>
        <v>#VALUE!</v>
      </c>
      <c r="F6" s="41">
        <f ca="1">AVERAGEIF(Quarterly!$B$3:$B$1003,Annual!$B6,Quarterly!$E$3:$E$1000)</f>
        <v>100.52806920545764</v>
      </c>
      <c r="G6" s="42" t="e">
        <f>_xlfn.MAXIFS(Quarterly!$E$3:$E$1000,Quarterly!$B$3:$B$1003,$B6)</f>
        <v>#VALUE!</v>
      </c>
      <c r="H6" s="43" t="e">
        <f>_xlfn.MINIFS(Quarterly!$E$3:$E$1000,Quarterly!$B$3:$B$1003,$B6)</f>
        <v>#VALUE!</v>
      </c>
      <c r="L6" s="41" t="e">
        <f>AVERAGEIF(Monthly!$D$4:$D$1000,Annual!$B6,Monthly!$I$4:$I$1000)</f>
        <v>#DIV/0!</v>
      </c>
      <c r="M6" s="42">
        <f>_xlfn.MAXIFS(Monthly!$I$4:$I$1000,Monthly!$D$4:$D$1000,$B6)</f>
        <v>0</v>
      </c>
      <c r="N6" s="43">
        <f>_xlfn.MINIFS(Monthly!$I$4:$I$1000,Monthly!$D$4:$D$1000,$B6)</f>
        <v>0</v>
      </c>
      <c r="O6" s="42">
        <f t="shared" si="0"/>
        <v>0</v>
      </c>
      <c r="P6" s="41" t="e">
        <f>AVERAGEIF(Monthly!$D$4:$D$1000,Annual!$B6,Monthly!$J$4:$J$1000)</f>
        <v>#DIV/0!</v>
      </c>
      <c r="Q6" s="42">
        <f>_xlfn.MAXIFS(Monthly!$J$4:$J$1000,Monthly!$D$4:$D$1000,$B6)</f>
        <v>0</v>
      </c>
      <c r="R6" s="43">
        <f>_xlfn.MINIFS(Monthly!$J$4:$J$1000,Monthly!$D$4:$D$1000,$B6)</f>
        <v>0</v>
      </c>
      <c r="S6" s="42">
        <f t="shared" si="1"/>
        <v>0</v>
      </c>
      <c r="T6" s="41" t="e">
        <f>AVERAGEIF(Monthly!$D$4:$D$1000,Annual!$B6,Monthly!$K$4:$K$1000)</f>
        <v>#DIV/0!</v>
      </c>
      <c r="U6" s="42">
        <f>_xlfn.MAXIFS(Monthly!$K$4:$K$1000,Monthly!$D$4:$D$1000,$B6)</f>
        <v>0</v>
      </c>
      <c r="V6" s="43">
        <f>_xlfn.MINIFS(Monthly!$K$4:$K$1000,Monthly!$D$4:$D$1000,$B6)</f>
        <v>0</v>
      </c>
      <c r="W6" s="42">
        <f t="shared" si="2"/>
        <v>0</v>
      </c>
      <c r="X6" s="41" t="e">
        <f>AVERAGEIF(Monthly!$D$4:$D$1000,Annual!$B6,Monthly!$L$4:$L$1000)</f>
        <v>#DIV/0!</v>
      </c>
      <c r="Y6" s="42">
        <f>_xlfn.MAXIFS(Monthly!$L$4:$L$1000,Monthly!$D$4:$D$1000,$B6)</f>
        <v>0</v>
      </c>
      <c r="Z6" s="43">
        <f>_xlfn.MINIFS(Monthly!$L$4:$L$1000,Monthly!$D$4:$D$1000,$B6)</f>
        <v>0</v>
      </c>
      <c r="AA6" s="44">
        <f t="shared" si="3"/>
        <v>0</v>
      </c>
    </row>
    <row r="7" spans="1:27" x14ac:dyDescent="0.25">
      <c r="A7">
        <v>2017</v>
      </c>
      <c r="B7">
        <v>2017</v>
      </c>
      <c r="C7" s="41">
        <f ca="1">AVERAGEIF(Quarterly!$B$3:$B$1003,Annual!$B7,Quarterly!$D$3:$D$1000)</f>
        <v>46.956666666666671</v>
      </c>
      <c r="D7" s="42" t="e">
        <f>_xlfn.MAXIFS(Quarterly!$D$3:$D$1000,Quarterly!$B$3:$B$1003,$B7)</f>
        <v>#VALUE!</v>
      </c>
      <c r="E7" s="43" t="e">
        <f>_xlfn.MINIFS(Quarterly!$D$3:$D$1000,Quarterly!$B$3:$B$1003,$B7)</f>
        <v>#VALUE!</v>
      </c>
      <c r="F7" s="41">
        <f ca="1">AVERAGEIF(Quarterly!$B$3:$B$1003,Annual!$B7,Quarterly!$E$3:$E$1000)</f>
        <v>89.156675941335564</v>
      </c>
      <c r="G7" s="42" t="e">
        <f>_xlfn.MAXIFS(Quarterly!$E$3:$E$1000,Quarterly!$B$3:$B$1003,$B7)</f>
        <v>#VALUE!</v>
      </c>
      <c r="H7" s="43" t="e">
        <f>_xlfn.MINIFS(Quarterly!$E$3:$E$1000,Quarterly!$B$3:$B$1003,$B7)</f>
        <v>#VALUE!</v>
      </c>
      <c r="L7" s="41" t="e">
        <f>AVERAGEIF(Monthly!$D$4:$D$1000,Annual!$B7,Monthly!$I$4:$I$1000)</f>
        <v>#DIV/0!</v>
      </c>
      <c r="M7" s="42">
        <f>_xlfn.MAXIFS(Monthly!$I$4:$I$1000,Monthly!$D$4:$D$1000,$B7)</f>
        <v>0</v>
      </c>
      <c r="N7" s="43">
        <f>_xlfn.MINIFS(Monthly!$I$4:$I$1000,Monthly!$D$4:$D$1000,$B7)</f>
        <v>0</v>
      </c>
      <c r="O7" s="42">
        <f t="shared" si="0"/>
        <v>0</v>
      </c>
      <c r="P7" s="41" t="e">
        <f>AVERAGEIF(Monthly!$D$4:$D$1000,Annual!$B7,Monthly!$J$4:$J$1000)</f>
        <v>#DIV/0!</v>
      </c>
      <c r="Q7" s="42">
        <f>_xlfn.MAXIFS(Monthly!$J$4:$J$1000,Monthly!$D$4:$D$1000,$B7)</f>
        <v>0</v>
      </c>
      <c r="R7" s="43">
        <f>_xlfn.MINIFS(Monthly!$J$4:$J$1000,Monthly!$D$4:$D$1000,$B7)</f>
        <v>0</v>
      </c>
      <c r="S7" s="42">
        <f t="shared" si="1"/>
        <v>0</v>
      </c>
      <c r="T7" s="41" t="e">
        <f>AVERAGEIF(Monthly!$D$4:$D$1000,Annual!$B7,Monthly!$K$4:$K$1000)</f>
        <v>#DIV/0!</v>
      </c>
      <c r="U7" s="42">
        <f>_xlfn.MAXIFS(Monthly!$K$4:$K$1000,Monthly!$D$4:$D$1000,$B7)</f>
        <v>0</v>
      </c>
      <c r="V7" s="43">
        <f>_xlfn.MINIFS(Monthly!$K$4:$K$1000,Monthly!$D$4:$D$1000,$B7)</f>
        <v>0</v>
      </c>
      <c r="W7" s="42">
        <f t="shared" si="2"/>
        <v>0</v>
      </c>
      <c r="X7" s="41" t="e">
        <f>AVERAGEIF(Monthly!$D$4:$D$1000,Annual!$B7,Monthly!$L$4:$L$1000)</f>
        <v>#DIV/0!</v>
      </c>
      <c r="Y7" s="42">
        <f>_xlfn.MAXIFS(Monthly!$L$4:$L$1000,Monthly!$D$4:$D$1000,$B7)</f>
        <v>0</v>
      </c>
      <c r="Z7" s="43">
        <f>_xlfn.MINIFS(Monthly!$L$4:$L$1000,Monthly!$D$4:$D$1000,$B7)</f>
        <v>0</v>
      </c>
      <c r="AA7" s="44">
        <f t="shared" si="3"/>
        <v>0</v>
      </c>
    </row>
    <row r="8" spans="1:27" x14ac:dyDescent="0.25">
      <c r="A8">
        <v>2018</v>
      </c>
      <c r="B8">
        <v>2018</v>
      </c>
      <c r="C8" s="41">
        <f ca="1">AVERAGEIF(Quarterly!$B$3:$B$1003,Annual!$B8,Quarterly!$D$3:$D$1000)</f>
        <v>75.710833333333341</v>
      </c>
      <c r="D8" s="42" t="e">
        <f>_xlfn.MAXIFS(Quarterly!$D$3:$D$1000,Quarterly!$B$3:$B$1003,$B8)</f>
        <v>#VALUE!</v>
      </c>
      <c r="E8" s="43" t="e">
        <f>_xlfn.MINIFS(Quarterly!$D$3:$D$1000,Quarterly!$B$3:$B$1003,$B8)</f>
        <v>#VALUE!</v>
      </c>
      <c r="F8" s="41">
        <f ca="1">AVERAGEIF(Quarterly!$B$3:$B$1003,Annual!$B8,Quarterly!$E$3:$E$1000)</f>
        <v>168.1179582788493</v>
      </c>
      <c r="G8" s="42" t="e">
        <f>_xlfn.MAXIFS(Quarterly!$E$3:$E$1000,Quarterly!$B$3:$B$1003,$B8)</f>
        <v>#VALUE!</v>
      </c>
      <c r="H8" s="43" t="e">
        <f>_xlfn.MINIFS(Quarterly!$E$3:$E$1000,Quarterly!$B$3:$B$1003,$B8)</f>
        <v>#VALUE!</v>
      </c>
      <c r="L8" s="41" t="e">
        <f>AVERAGEIF(Monthly!$D$4:$D$1000,Annual!$B8,Monthly!$I$4:$I$1000)</f>
        <v>#DIV/0!</v>
      </c>
      <c r="M8" s="42">
        <f>_xlfn.MAXIFS(Monthly!$I$4:$I$1000,Monthly!$D$4:$D$1000,$B8)</f>
        <v>0</v>
      </c>
      <c r="N8" s="43">
        <f>_xlfn.MINIFS(Monthly!$I$4:$I$1000,Monthly!$D$4:$D$1000,$B8)</f>
        <v>0</v>
      </c>
      <c r="O8" s="42">
        <f t="shared" si="0"/>
        <v>0</v>
      </c>
      <c r="P8" s="41" t="e">
        <f>AVERAGEIF(Monthly!$D$4:$D$1000,Annual!$B8,Monthly!$J$4:$J$1000)</f>
        <v>#DIV/0!</v>
      </c>
      <c r="Q8" s="42">
        <f>_xlfn.MAXIFS(Monthly!$J$4:$J$1000,Monthly!$D$4:$D$1000,$B8)</f>
        <v>0</v>
      </c>
      <c r="R8" s="43">
        <f>_xlfn.MINIFS(Monthly!$J$4:$J$1000,Monthly!$D$4:$D$1000,$B8)</f>
        <v>0</v>
      </c>
      <c r="S8" s="42">
        <f t="shared" si="1"/>
        <v>0</v>
      </c>
      <c r="T8" s="41" t="e">
        <f>AVERAGEIF(Monthly!$D$4:$D$1000,Annual!$B8,Monthly!$K$4:$K$1000)</f>
        <v>#DIV/0!</v>
      </c>
      <c r="U8" s="42">
        <f>_xlfn.MAXIFS(Monthly!$K$4:$K$1000,Monthly!$D$4:$D$1000,$B8)</f>
        <v>0</v>
      </c>
      <c r="V8" s="43">
        <f>_xlfn.MINIFS(Monthly!$K$4:$K$1000,Monthly!$D$4:$D$1000,$B8)</f>
        <v>0</v>
      </c>
      <c r="W8" s="42">
        <f t="shared" si="2"/>
        <v>0</v>
      </c>
      <c r="X8" s="41" t="e">
        <f>AVERAGEIF(Monthly!$D$4:$D$1000,Annual!$B8,Monthly!$L$4:$L$1000)</f>
        <v>#DIV/0!</v>
      </c>
      <c r="Y8" s="42">
        <f>_xlfn.MAXIFS(Monthly!$L$4:$L$1000,Monthly!$D$4:$D$1000,$B8)</f>
        <v>0</v>
      </c>
      <c r="Z8" s="43">
        <f>_xlfn.MINIFS(Monthly!$L$4:$L$1000,Monthly!$D$4:$D$1000,$B8)</f>
        <v>0</v>
      </c>
      <c r="AA8" s="44">
        <f t="shared" si="3"/>
        <v>0</v>
      </c>
    </row>
    <row r="9" spans="1:27" x14ac:dyDescent="0.25">
      <c r="A9">
        <v>2019</v>
      </c>
      <c r="B9">
        <v>2019</v>
      </c>
      <c r="C9" s="41">
        <f ca="1">AVERAGEIF(Quarterly!$B$3:$B$1003,Annual!$B9,Quarterly!$D$3:$D$1000)</f>
        <v>151.05000000000001</v>
      </c>
      <c r="D9" s="42" t="e">
        <f>_xlfn.MAXIFS(Quarterly!$D$3:$D$1000,Quarterly!$B$3:$B$1003,$B9)</f>
        <v>#VALUE!</v>
      </c>
      <c r="E9" s="43" t="e">
        <f>_xlfn.MINIFS(Quarterly!$D$3:$D$1000,Quarterly!$B$3:$B$1003,$B9)</f>
        <v>#VALUE!</v>
      </c>
      <c r="F9" s="41">
        <f ca="1">AVERAGEIF(Quarterly!$B$3:$B$1003,Annual!$B9,Quarterly!$E$3:$E$1000)</f>
        <v>196.42783136530389</v>
      </c>
      <c r="G9" s="42" t="e">
        <f>_xlfn.MAXIFS(Quarterly!$E$3:$E$1000,Quarterly!$B$3:$B$1003,$B9)</f>
        <v>#VALUE!</v>
      </c>
      <c r="H9" s="43" t="e">
        <f>_xlfn.MINIFS(Quarterly!$E$3:$E$1000,Quarterly!$B$3:$B$1003,$B9)</f>
        <v>#VALUE!</v>
      </c>
      <c r="L9" s="41" t="e">
        <f>AVERAGEIF(Monthly!$D$4:$D$1000,Annual!$B9,Monthly!$I$4:$I$1000)</f>
        <v>#DIV/0!</v>
      </c>
      <c r="M9" s="42">
        <f>_xlfn.MAXIFS(Monthly!$I$4:$I$1000,Monthly!$D$4:$D$1000,$B9)</f>
        <v>0</v>
      </c>
      <c r="N9" s="43">
        <f>_xlfn.MINIFS(Monthly!$I$4:$I$1000,Monthly!$D$4:$D$1000,$B9)</f>
        <v>0</v>
      </c>
      <c r="O9" s="42">
        <f t="shared" si="0"/>
        <v>0</v>
      </c>
      <c r="P9" s="41" t="e">
        <f>AVERAGEIF(Monthly!$D$4:$D$1000,Annual!$B9,Monthly!$J$4:$J$1000)</f>
        <v>#DIV/0!</v>
      </c>
      <c r="Q9" s="42">
        <f>_xlfn.MAXIFS(Monthly!$J$4:$J$1000,Monthly!$D$4:$D$1000,$B9)</f>
        <v>0</v>
      </c>
      <c r="R9" s="43">
        <f>_xlfn.MINIFS(Monthly!$J$4:$J$1000,Monthly!$D$4:$D$1000,$B9)</f>
        <v>0</v>
      </c>
      <c r="S9" s="42">
        <f t="shared" si="1"/>
        <v>0</v>
      </c>
      <c r="T9" s="41" t="e">
        <f>AVERAGEIF(Monthly!$D$4:$D$1000,Annual!$B9,Monthly!$K$4:$K$1000)</f>
        <v>#DIV/0!</v>
      </c>
      <c r="U9" s="42">
        <f>_xlfn.MAXIFS(Monthly!$K$4:$K$1000,Monthly!$D$4:$D$1000,$B9)</f>
        <v>0</v>
      </c>
      <c r="V9" s="43">
        <f>_xlfn.MINIFS(Monthly!$K$4:$K$1000,Monthly!$D$4:$D$1000,$B9)</f>
        <v>0</v>
      </c>
      <c r="W9" s="42">
        <f t="shared" si="2"/>
        <v>0</v>
      </c>
      <c r="X9" s="41" t="e">
        <f>AVERAGEIF(Monthly!$D$4:$D$1000,Annual!$B9,Monthly!$L$4:$L$1000)</f>
        <v>#DIV/0!</v>
      </c>
      <c r="Y9" s="42">
        <f>_xlfn.MAXIFS(Monthly!$L$4:$L$1000,Monthly!$D$4:$D$1000,$B9)</f>
        <v>0</v>
      </c>
      <c r="Z9" s="43">
        <f>_xlfn.MINIFS(Monthly!$L$4:$L$1000,Monthly!$D$4:$D$1000,$B9)</f>
        <v>0</v>
      </c>
      <c r="AA9" s="44">
        <f t="shared" si="3"/>
        <v>0</v>
      </c>
    </row>
    <row r="10" spans="1:27" x14ac:dyDescent="0.25">
      <c r="A10">
        <v>2020</v>
      </c>
      <c r="B10">
        <v>2020</v>
      </c>
      <c r="C10" s="41">
        <f ca="1">AVERAGEIF(Quarterly!$B$3:$B$1003,Annual!$B10,Quarterly!$D$3:$D$1000)</f>
        <v>132.10749999999999</v>
      </c>
      <c r="D10" s="42" t="e">
        <f>_xlfn.MAXIFS(Quarterly!$D$3:$D$1000,Quarterly!$B$3:$B$1003,$B10)</f>
        <v>#VALUE!</v>
      </c>
      <c r="E10" s="43" t="e">
        <f>_xlfn.MINIFS(Quarterly!$D$3:$D$1000,Quarterly!$B$3:$B$1003,$B10)</f>
        <v>#VALUE!</v>
      </c>
      <c r="F10" s="41">
        <f ca="1">AVERAGEIF(Quarterly!$B$3:$B$1003,Annual!$B10,Quarterly!$E$3:$E$1000)</f>
        <v>200.31545862762968</v>
      </c>
      <c r="G10" s="42" t="e">
        <f>_xlfn.MAXIFS(Quarterly!$E$3:$E$1000,Quarterly!$B$3:$B$1003,$B10)</f>
        <v>#VALUE!</v>
      </c>
      <c r="H10" s="43" t="e">
        <f>_xlfn.MINIFS(Quarterly!$E$3:$E$1000,Quarterly!$B$3:$B$1003,$B10)</f>
        <v>#VALUE!</v>
      </c>
      <c r="L10" s="41" t="e">
        <f>AVERAGEIF(Monthly!$D$4:$D$1000,Annual!$B10,Monthly!$I$4:$I$1000)</f>
        <v>#DIV/0!</v>
      </c>
      <c r="M10" s="42">
        <f>_xlfn.MAXIFS(Monthly!$I$4:$I$1000,Monthly!$D$4:$D$1000,$B10)</f>
        <v>0</v>
      </c>
      <c r="N10" s="43">
        <f>_xlfn.MINIFS(Monthly!$I$4:$I$1000,Monthly!$D$4:$D$1000,$B10)</f>
        <v>0</v>
      </c>
      <c r="O10" s="42">
        <f t="shared" si="0"/>
        <v>0</v>
      </c>
      <c r="P10" s="41">
        <f>AVERAGEIF(Monthly!$D$4:$D$1000,Annual!$B10,Monthly!$J$4:$J$1000)</f>
        <v>63.756697615250253</v>
      </c>
      <c r="Q10" s="42">
        <f>_xlfn.MAXIFS(Monthly!$J$4:$J$1000,Monthly!$D$4:$D$1000,$B10)</f>
        <v>97.181818181818187</v>
      </c>
      <c r="R10" s="43">
        <f>_xlfn.MINIFS(Monthly!$J$4:$J$1000,Monthly!$D$4:$D$1000,$B10)</f>
        <v>40.352272727272727</v>
      </c>
      <c r="S10" s="42">
        <f t="shared" si="1"/>
        <v>56.82954545454546</v>
      </c>
      <c r="T10" s="41">
        <f>AVERAGEIF(Monthly!$D$4:$D$1000,Annual!$B10,Monthly!$K$4:$K$1000)</f>
        <v>63.163052042986259</v>
      </c>
      <c r="U10" s="42">
        <f>_xlfn.MAXIFS(Monthly!$K$4:$K$1000,Monthly!$D$4:$D$1000,$B10)</f>
        <v>96.590909090909093</v>
      </c>
      <c r="V10" s="43">
        <f>_xlfn.MINIFS(Monthly!$K$4:$K$1000,Monthly!$D$4:$D$1000,$B10)</f>
        <v>39.840909090909093</v>
      </c>
      <c r="W10" s="42">
        <f t="shared" si="2"/>
        <v>56.75</v>
      </c>
      <c r="X10" s="41">
        <f>AVERAGEIF(Monthly!$D$4:$D$1000,Annual!$B10,Monthly!$L$4:$L$1000)</f>
        <v>43.655279059390899</v>
      </c>
      <c r="Y10" s="42">
        <f>_xlfn.MAXIFS(Monthly!$L$4:$L$1000,Monthly!$D$4:$D$1000,$B10)</f>
        <v>71.568181818181813</v>
      </c>
      <c r="Z10" s="43">
        <f>_xlfn.MINIFS(Monthly!$L$4:$L$1000,Monthly!$D$4:$D$1000,$B10)</f>
        <v>15.909090909090908</v>
      </c>
      <c r="AA10" s="44">
        <f t="shared" si="3"/>
        <v>55.659090909090907</v>
      </c>
    </row>
    <row r="11" spans="1:27" x14ac:dyDescent="0.25">
      <c r="A11">
        <v>2021</v>
      </c>
      <c r="B11">
        <v>2021</v>
      </c>
      <c r="C11" s="41">
        <f ca="1">AVERAGEIF(Quarterly!$B$3:$B$1003,Annual!$B11,Quarterly!$D$3:$D$1000)</f>
        <v>125.2525</v>
      </c>
      <c r="D11" s="42" t="e">
        <f>_xlfn.MAXIFS(Quarterly!$D$3:$D$1000,Quarterly!$B$3:$B$1003,$B11)</f>
        <v>#VALUE!</v>
      </c>
      <c r="E11" s="43" t="e">
        <f>_xlfn.MINIFS(Quarterly!$D$3:$D$1000,Quarterly!$B$3:$B$1003,$B11)</f>
        <v>#VALUE!</v>
      </c>
      <c r="F11" s="41">
        <f ca="1">AVERAGEIF(Quarterly!$B$3:$B$1003,Annual!$B11,Quarterly!$E$3:$E$1000)</f>
        <v>177.73874142495566</v>
      </c>
      <c r="G11" s="42" t="e">
        <f>_xlfn.MAXIFS(Quarterly!$E$3:$E$1000,Quarterly!$B$3:$B$1003,$B11)</f>
        <v>#VALUE!</v>
      </c>
      <c r="H11" s="43" t="e">
        <f>_xlfn.MINIFS(Quarterly!$E$3:$E$1000,Quarterly!$B$3:$B$1003,$B11)</f>
        <v>#VALUE!</v>
      </c>
      <c r="L11" s="41" t="e">
        <f>AVERAGEIF(Monthly!$D$4:$D$1000,Annual!$B11,Monthly!$I$4:$I$1000)</f>
        <v>#DIV/0!</v>
      </c>
      <c r="M11" s="42">
        <f>_xlfn.MAXIFS(Monthly!$I$4:$I$1000,Monthly!$D$4:$D$1000,$B11)</f>
        <v>0</v>
      </c>
      <c r="N11" s="43">
        <f>_xlfn.MINIFS(Monthly!$I$4:$I$1000,Monthly!$D$4:$D$1000,$B11)</f>
        <v>0</v>
      </c>
      <c r="O11" s="42">
        <f t="shared" si="0"/>
        <v>0</v>
      </c>
      <c r="P11" s="41">
        <f>AVERAGEIF(Monthly!$D$4:$D$1000,Annual!$B11,Monthly!$J$4:$J$1000)</f>
        <v>149.18310936060507</v>
      </c>
      <c r="Q11" s="42">
        <f>_xlfn.MAXIFS(Monthly!$J$4:$J$1000,Monthly!$D$4:$D$1000,$B11)</f>
        <v>188.3125</v>
      </c>
      <c r="R11" s="43">
        <f>_xlfn.MINIFS(Monthly!$J$4:$J$1000,Monthly!$D$4:$D$1000,$B11)</f>
        <v>102.61842105263158</v>
      </c>
      <c r="S11" s="42">
        <f t="shared" si="1"/>
        <v>85.694078947368425</v>
      </c>
      <c r="T11" s="41">
        <f>AVERAGEIF(Monthly!$D$4:$D$1000,Annual!$B11,Monthly!$K$4:$K$1000)</f>
        <v>148.09308906117403</v>
      </c>
      <c r="U11" s="42">
        <f>_xlfn.MAXIFS(Monthly!$K$4:$K$1000,Monthly!$D$4:$D$1000,$B11)</f>
        <v>187.5625</v>
      </c>
      <c r="V11" s="43">
        <f>_xlfn.MINIFS(Monthly!$K$4:$K$1000,Monthly!$D$4:$D$1000,$B11)</f>
        <v>101.14473684210526</v>
      </c>
      <c r="W11" s="42">
        <f t="shared" si="2"/>
        <v>86.41776315789474</v>
      </c>
      <c r="X11" s="41">
        <f>AVERAGEIF(Monthly!$D$4:$D$1000,Annual!$B11,Monthly!$L$4:$L$1000)</f>
        <v>130.62386376019097</v>
      </c>
      <c r="Y11" s="42">
        <f>_xlfn.MAXIFS(Monthly!$L$4:$L$1000,Monthly!$D$4:$D$1000,$B11)</f>
        <v>179.98750000000001</v>
      </c>
      <c r="Z11" s="43">
        <f>_xlfn.MINIFS(Monthly!$L$4:$L$1000,Monthly!$D$4:$D$1000,$B11)</f>
        <v>90.65789473684211</v>
      </c>
      <c r="AA11" s="44">
        <f t="shared" si="3"/>
        <v>89.329605263157902</v>
      </c>
    </row>
    <row r="12" spans="1:27" x14ac:dyDescent="0.25">
      <c r="A12">
        <v>2022</v>
      </c>
      <c r="B12">
        <v>2022</v>
      </c>
      <c r="C12" s="41">
        <f ca="1">AVERAGEIF(Quarterly!$B$3:$B$1003,Annual!$B12,Quarterly!$D$3:$D$1000)</f>
        <v>119.02166666666666</v>
      </c>
      <c r="D12" s="42" t="e">
        <f>_xlfn.MAXIFS(Quarterly!$D$3:$D$1000,Quarterly!$B$3:$B$1003,$B12)</f>
        <v>#VALUE!</v>
      </c>
      <c r="E12" s="43" t="e">
        <f>_xlfn.MINIFS(Quarterly!$D$3:$D$1000,Quarterly!$B$3:$B$1003,$B12)</f>
        <v>#VALUE!</v>
      </c>
      <c r="F12" s="41">
        <f ca="1">AVERAGEIF(Quarterly!$B$3:$B$1003,Annual!$B12,Quarterly!$E$3:$E$1000)</f>
        <v>98.858071242417637</v>
      </c>
      <c r="G12" s="42" t="e">
        <f>_xlfn.MAXIFS(Quarterly!$E$3:$E$1000,Quarterly!$B$3:$B$1003,$B12)</f>
        <v>#VALUE!</v>
      </c>
      <c r="H12" s="43" t="e">
        <f>_xlfn.MINIFS(Quarterly!$E$3:$E$1000,Quarterly!$B$3:$B$1003,$B12)</f>
        <v>#VALUE!</v>
      </c>
      <c r="L12" s="41" t="e">
        <f>AVERAGEIF(Monthly!$D$4:$D$1000,Annual!$B12,Monthly!$I$4:$I$1000)</f>
        <v>#DIV/0!</v>
      </c>
      <c r="M12" s="42">
        <f>_xlfn.MAXIFS(Monthly!$I$4:$I$1000,Monthly!$D$4:$D$1000,$B12)</f>
        <v>0</v>
      </c>
      <c r="N12" s="43">
        <f>_xlfn.MINIFS(Monthly!$I$4:$I$1000,Monthly!$D$4:$D$1000,$B12)</f>
        <v>0</v>
      </c>
      <c r="O12" s="42">
        <f t="shared" si="0"/>
        <v>0</v>
      </c>
      <c r="P12" s="41">
        <f>AVERAGEIF(Monthly!$D$4:$D$1000,Annual!$B12,Monthly!$J$4:$J$1000)</f>
        <v>166.45650499664018</v>
      </c>
      <c r="Q12" s="42">
        <f>_xlfn.MAXIFS(Monthly!$J$4:$J$1000,Monthly!$D$4:$D$1000,$B12)</f>
        <v>191.47499999999999</v>
      </c>
      <c r="R12" s="43">
        <f>_xlfn.MINIFS(Monthly!$J$4:$J$1000,Monthly!$D$4:$D$1000,$B12)</f>
        <v>135.71250000000001</v>
      </c>
      <c r="S12" s="42">
        <f t="shared" si="1"/>
        <v>55.762499999999989</v>
      </c>
      <c r="T12" s="41">
        <f>AVERAGEIF(Monthly!$D$4:$D$1000,Annual!$B12,Monthly!$K$4:$K$1000)</f>
        <v>165.42778475854493</v>
      </c>
      <c r="U12" s="42">
        <f>_xlfn.MAXIFS(Monthly!$K$4:$K$1000,Monthly!$D$4:$D$1000,$B12)</f>
        <v>190.47499999999999</v>
      </c>
      <c r="V12" s="43">
        <f>_xlfn.MINIFS(Monthly!$K$4:$K$1000,Monthly!$D$4:$D$1000,$B12)</f>
        <v>134.72499999999999</v>
      </c>
      <c r="W12" s="42">
        <f t="shared" si="2"/>
        <v>55.75</v>
      </c>
      <c r="X12" s="41">
        <f>AVERAGEIF(Monthly!$D$4:$D$1000,Annual!$B12,Monthly!$L$4:$L$1000)</f>
        <v>146.02076846327776</v>
      </c>
      <c r="Y12" s="42">
        <f>_xlfn.MAXIFS(Monthly!$L$4:$L$1000,Monthly!$D$4:$D$1000,$B12)</f>
        <v>177.98750000000001</v>
      </c>
      <c r="Z12" s="43">
        <f>_xlfn.MINIFS(Monthly!$L$4:$L$1000,Monthly!$D$4:$D$1000,$B12)</f>
        <v>113.02631578947368</v>
      </c>
      <c r="AA12" s="44">
        <f t="shared" si="3"/>
        <v>64.961184210526326</v>
      </c>
    </row>
    <row r="13" spans="1:27" x14ac:dyDescent="0.25">
      <c r="A13">
        <v>2023</v>
      </c>
      <c r="B13">
        <v>2023</v>
      </c>
      <c r="C13" s="41">
        <f ca="1">AVERAGEIF(Quarterly!$B$3:$B$1003,Annual!$B13,Quarterly!$D$3:$D$1000)</f>
        <v>130.63333333333333</v>
      </c>
      <c r="D13" s="42" t="e">
        <f>_xlfn.MAXIFS(Quarterly!$D$3:$D$1000,Quarterly!$B$3:$B$1003,$B13)</f>
        <v>#VALUE!</v>
      </c>
      <c r="E13" s="43" t="e">
        <f>_xlfn.MINIFS(Quarterly!$D$3:$D$1000,Quarterly!$B$3:$B$1003,$B13)</f>
        <v>#VALUE!</v>
      </c>
      <c r="F13" s="41">
        <f ca="1">AVERAGEIF(Quarterly!$B$3:$B$1003,Annual!$B13,Quarterly!$E$3:$E$1000)</f>
        <v>72.666231630211897</v>
      </c>
      <c r="G13" s="42" t="e">
        <f>_xlfn.MAXIFS(Quarterly!$E$3:$E$1000,Quarterly!$B$3:$B$1003,$B13)</f>
        <v>#VALUE!</v>
      </c>
      <c r="H13" s="43" t="e">
        <f>_xlfn.MINIFS(Quarterly!$E$3:$E$1000,Quarterly!$B$3:$B$1003,$B13)</f>
        <v>#VALUE!</v>
      </c>
      <c r="I13" s="41">
        <f ca="1">AVERAGEIF(Quarterly!$B$3:$B$1003,Annual!$B13,Quarterly!$F$3:$F$1000)</f>
        <v>93.775000000000006</v>
      </c>
      <c r="J13" s="42" t="e">
        <f>_xlfn.MAXIFS(Quarterly!$F$3:$F$1000,Quarterly!$B$3:$B$1003,$B13)</f>
        <v>#VALUE!</v>
      </c>
      <c r="K13" s="43" t="e">
        <f>_xlfn.MINIFS(Quarterly!$F$3:$F$1000,Quarterly!$B$3:$B$1003,$B13)</f>
        <v>#VALUE!</v>
      </c>
      <c r="L13" s="41">
        <f>AVERAGEIF(Monthly!$D$4:$D$1000,Annual!$B13,Monthly!$I$4:$I$1000)</f>
        <v>315.48659090909098</v>
      </c>
      <c r="M13" s="42">
        <f>_xlfn.MAXIFS(Monthly!$I$4:$I$1000,Monthly!$D$4:$D$1000,$B13)</f>
        <v>345.32499999999999</v>
      </c>
      <c r="N13" s="43">
        <f>_xlfn.MINIFS(Monthly!$I$4:$I$1000,Monthly!$D$4:$D$1000,$B13)</f>
        <v>294.60000000000002</v>
      </c>
      <c r="O13" s="42">
        <f t="shared" si="0"/>
        <v>50.724999999999966</v>
      </c>
      <c r="P13" s="41">
        <f>AVERAGEIF(Monthly!$D$4:$D$1000,Annual!$B13,Monthly!$J$4:$J$1000)</f>
        <v>134.65751817269623</v>
      </c>
      <c r="Q13" s="42">
        <f>_xlfn.MAXIFS(Monthly!$J$4:$J$1000,Monthly!$D$4:$D$1000,$B13)</f>
        <v>169.125</v>
      </c>
      <c r="R13" s="43">
        <f>_xlfn.MINIFS(Monthly!$J$4:$J$1000,Monthly!$D$4:$D$1000,$B13)</f>
        <v>81.231250000000003</v>
      </c>
      <c r="S13" s="42">
        <f t="shared" si="1"/>
        <v>87.893749999999997</v>
      </c>
      <c r="T13" s="41">
        <f>AVERAGEIF(Monthly!$D$4:$D$1000,Annual!$B13,Monthly!$K$4:$K$1000)</f>
        <v>133.78881993253063</v>
      </c>
      <c r="U13" s="42">
        <f>_xlfn.MAXIFS(Monthly!$K$4:$K$1000,Monthly!$D$4:$D$1000,$B13)</f>
        <v>168.47499999999999</v>
      </c>
      <c r="V13" s="43">
        <f>_xlfn.MINIFS(Monthly!$K$4:$K$1000,Monthly!$D$4:$D$1000,$B13)</f>
        <v>80.556250000000006</v>
      </c>
      <c r="W13" s="42">
        <f t="shared" si="2"/>
        <v>87.918749999999989</v>
      </c>
      <c r="X13" s="41">
        <f>AVERAGEIF(Monthly!$D$4:$D$1000,Annual!$B13,Monthly!$L$4:$L$1000)</f>
        <v>132.94936411041604</v>
      </c>
      <c r="Y13" s="42">
        <f>_xlfn.MAXIFS(Monthly!$L$4:$L$1000,Monthly!$D$4:$D$1000,$B13)</f>
        <v>166.33750000000001</v>
      </c>
      <c r="Z13" s="43">
        <f>_xlfn.MINIFS(Monthly!$L$4:$L$1000,Monthly!$D$4:$D$1000,$B13)</f>
        <v>81.15625</v>
      </c>
      <c r="AA13" s="44">
        <f t="shared" si="3"/>
        <v>85.181250000000006</v>
      </c>
    </row>
    <row r="14" spans="1:27" x14ac:dyDescent="0.25">
      <c r="A14">
        <v>2024</v>
      </c>
      <c r="B14">
        <v>2024</v>
      </c>
      <c r="C14" s="41">
        <f ca="1">AVERAGEIF(Quarterly!$B$3:$B$1003,Annual!$B14,Quarterly!$D$3:$D$1000)</f>
        <v>79.875</v>
      </c>
      <c r="D14" s="42" t="e">
        <f>_xlfn.MAXIFS(Quarterly!$D$3:$D$1000,Quarterly!$B$3:$B$1003,$B14)</f>
        <v>#VALUE!</v>
      </c>
      <c r="E14" s="43" t="e">
        <f>_xlfn.MINIFS(Quarterly!$D$3:$D$1000,Quarterly!$B$3:$B$1003,$B14)</f>
        <v>#VALUE!</v>
      </c>
      <c r="F14" s="41">
        <f ca="1">AVERAGEIF(Quarterly!$B$3:$B$1003,Annual!$B14,Quarterly!$E$3:$E$1000)</f>
        <v>60.421359974375989</v>
      </c>
      <c r="G14" s="42" t="e">
        <f>_xlfn.MAXIFS(Quarterly!$E$3:$E$1000,Quarterly!$B$3:$B$1003,$B14)</f>
        <v>#VALUE!</v>
      </c>
      <c r="H14" s="43" t="e">
        <f>_xlfn.MINIFS(Quarterly!$E$3:$E$1000,Quarterly!$B$3:$B$1003,$B14)</f>
        <v>#VALUE!</v>
      </c>
      <c r="I14" s="41">
        <f ca="1">AVERAGEIF(Quarterly!$B$3:$B$1003,Annual!$B14,Quarterly!$F$3:$F$1000)</f>
        <v>48.270833333333336</v>
      </c>
      <c r="J14" s="42" t="e">
        <f>_xlfn.MAXIFS(Quarterly!$F$3:$F$1000,Quarterly!$B$3:$B$1003,$B14)</f>
        <v>#VALUE!</v>
      </c>
      <c r="K14" s="43" t="e">
        <f>_xlfn.MINIFS(Quarterly!$F$3:$F$1000,Quarterly!$B$3:$B$1003,$B14)</f>
        <v>#VALUE!</v>
      </c>
      <c r="L14" s="41">
        <f>AVERAGEIF(Monthly!$D$4:$D$1000,Annual!$B14,Monthly!$I$4:$I$1000)</f>
        <v>316.46376861579176</v>
      </c>
      <c r="M14" s="42">
        <f>_xlfn.MAXIFS(Monthly!$I$4:$I$1000,Monthly!$D$4:$D$1000,$B14)</f>
        <v>398.77499999999998</v>
      </c>
      <c r="N14" s="43">
        <f>_xlfn.MINIFS(Monthly!$I$4:$I$1000,Monthly!$D$4:$D$1000,$B14)</f>
        <v>226.26190476190476</v>
      </c>
      <c r="O14" s="42">
        <f t="shared" si="0"/>
        <v>172.51309523809522</v>
      </c>
      <c r="P14" s="41">
        <f>AVERAGEIF(Monthly!$D$4:$D$1000,Annual!$B14,Monthly!$J$4:$J$1000)</f>
        <v>58.821842395019182</v>
      </c>
      <c r="Q14" s="42">
        <f>_xlfn.MAXIFS(Monthly!$J$4:$J$1000,Monthly!$D$4:$D$1000,$B14)</f>
        <v>72.583333333333329</v>
      </c>
      <c r="R14" s="43">
        <f>_xlfn.MINIFS(Monthly!$J$4:$J$1000,Monthly!$D$4:$D$1000,$B14)</f>
        <v>47.987499999999997</v>
      </c>
      <c r="S14" s="42">
        <f t="shared" si="1"/>
        <v>24.595833333333331</v>
      </c>
      <c r="T14" s="41">
        <f>AVERAGEIF(Monthly!$D$4:$D$1000,Annual!$B14,Monthly!$K$4:$K$1000)</f>
        <v>58.033903044419354</v>
      </c>
      <c r="U14" s="42">
        <f>_xlfn.MAXIFS(Monthly!$K$4:$K$1000,Monthly!$D$4:$D$1000,$B14)</f>
        <v>71.511904761904759</v>
      </c>
      <c r="V14" s="43">
        <f>_xlfn.MINIFS(Monthly!$K$4:$K$1000,Monthly!$D$4:$D$1000,$B14)</f>
        <v>47.25</v>
      </c>
      <c r="W14" s="42">
        <f t="shared" si="2"/>
        <v>24.261904761904759</v>
      </c>
      <c r="X14" s="41">
        <f>AVERAGEIF(Monthly!$D$4:$D$1000,Annual!$B14,Monthly!$L$4:$L$1000)</f>
        <v>58.537995876549083</v>
      </c>
      <c r="Y14" s="42">
        <f>_xlfn.MAXIFS(Monthly!$L$4:$L$1000,Monthly!$D$4:$D$1000,$B14)</f>
        <v>71.666666666666671</v>
      </c>
      <c r="Z14" s="43">
        <f>_xlfn.MINIFS(Monthly!$L$4:$L$1000,Monthly!$D$4:$D$1000,$B14)</f>
        <v>47.35</v>
      </c>
      <c r="AA14" s="44">
        <f t="shared" si="3"/>
        <v>24.31666666666667</v>
      </c>
    </row>
    <row r="15" spans="1:27" x14ac:dyDescent="0.25">
      <c r="A15" t="s">
        <v>69</v>
      </c>
      <c r="B15">
        <v>2025</v>
      </c>
      <c r="C15" s="45">
        <f ca="1">AVERAGEIF(Quarterly!$B$3:$B$1003,Annual!$B15,Quarterly!$D$3:$D$1000)</f>
        <v>47.341474685590228</v>
      </c>
      <c r="D15" s="46" t="e">
        <f>_xlfn.MAXIFS(Quarterly!$D$3:$D$1000,Quarterly!$B$3:$B$1003,$B15)</f>
        <v>#VALUE!</v>
      </c>
      <c r="E15" s="47" t="e">
        <f>_xlfn.MINIFS(Quarterly!$D$3:$D$1000,Quarterly!$B$3:$B$1003,$B15)</f>
        <v>#VALUE!</v>
      </c>
      <c r="F15" s="45">
        <f ca="1">AVERAGEIF(Quarterly!$B$3:$B$1003,Annual!$B15,Quarterly!$E$3:$E$1000)</f>
        <v>75.275569527723746</v>
      </c>
      <c r="G15" s="46" t="e">
        <f>_xlfn.MAXIFS(Quarterly!$E$3:$E$1000,Quarterly!$B$3:$B$1003,$B15)</f>
        <v>#VALUE!</v>
      </c>
      <c r="H15" s="47" t="e">
        <f>_xlfn.MINIFS(Quarterly!$E$3:$E$1000,Quarterly!$B$3:$B$1003,$B15)</f>
        <v>#VALUE!</v>
      </c>
      <c r="I15" s="45">
        <f ca="1">AVERAGEIF(Quarterly!$B$3:$B$1003,Annual!$B15,Quarterly!$F$3:$F$1000)</f>
        <v>37.225486366560389</v>
      </c>
      <c r="J15" s="46" t="e">
        <f>_xlfn.MAXIFS(Quarterly!$F$3:$F$1000,Quarterly!$B$3:$B$1003,$B15)</f>
        <v>#VALUE!</v>
      </c>
      <c r="K15" s="47" t="e">
        <f>_xlfn.MINIFS(Quarterly!$F$3:$F$1000,Quarterly!$B$3:$B$1003,$B15)</f>
        <v>#VALUE!</v>
      </c>
      <c r="L15" s="45">
        <f>AVERAGEIF(Monthly!$D$4:$D$1000,Annual!$B15,Monthly!$I$4:$I$1000)</f>
        <v>242.41384711779449</v>
      </c>
      <c r="M15" s="46">
        <f>_xlfn.MAXIFS(Monthly!$I$4:$I$1000,Monthly!$D$4:$D$1000,$B15)</f>
        <v>247.06578947368422</v>
      </c>
      <c r="N15" s="47">
        <f>_xlfn.MINIFS(Monthly!$I$4:$I$1000,Monthly!$D$4:$D$1000,$B15)</f>
        <v>237.76190476190476</v>
      </c>
      <c r="O15" s="46">
        <f t="shared" si="0"/>
        <v>9.3038847117794603</v>
      </c>
      <c r="P15" s="45">
        <f>AVERAGEIF(Monthly!$D$4:$D$1000,Annual!$B15,Monthly!$J$4:$J$1000)</f>
        <v>90.868780780435074</v>
      </c>
      <c r="Q15" s="46">
        <f>_xlfn.MAXIFS(Monthly!$J$4:$J$1000,Monthly!$D$4:$D$1000,$B15)</f>
        <v>105.76821901270222</v>
      </c>
      <c r="R15" s="47">
        <f>_xlfn.MINIFS(Monthly!$J$4:$J$1000,Monthly!$D$4:$D$1000,$B15)</f>
        <v>71.86904761904762</v>
      </c>
      <c r="S15" s="46">
        <f t="shared" si="1"/>
        <v>33.899171393654598</v>
      </c>
      <c r="T15" s="45">
        <f>AVERAGEIF(Monthly!$D$4:$D$1000,Annual!$B15,Monthly!$K$4:$K$1000)</f>
        <v>89.821893234897743</v>
      </c>
      <c r="U15" s="46">
        <f>_xlfn.MAXIFS(Monthly!$K$4:$K$1000,Monthly!$D$4:$D$1000,$B15)</f>
        <v>104.84508962145321</v>
      </c>
      <c r="V15" s="47">
        <f>_xlfn.MINIFS(Monthly!$K$4:$K$1000,Monthly!$D$4:$D$1000,$B15)</f>
        <v>71.142857142857139</v>
      </c>
      <c r="W15" s="46">
        <f t="shared" si="2"/>
        <v>33.702232478596073</v>
      </c>
      <c r="X15" s="45">
        <f>AVERAGEIF(Monthly!$D$4:$D$1000,Annual!$B15,Monthly!$L$4:$L$1000)</f>
        <v>84.82646144041837</v>
      </c>
      <c r="Y15" s="46">
        <f>_xlfn.MAXIFS(Monthly!$L$4:$L$1000,Monthly!$D$4:$D$1000,$B15)</f>
        <v>96.768219012702218</v>
      </c>
      <c r="Z15" s="47">
        <f>_xlfn.MINIFS(Monthly!$L$4:$L$1000,Monthly!$D$4:$D$1000,$B15)</f>
        <v>69.142857142857139</v>
      </c>
      <c r="AA15" s="48">
        <f t="shared" si="3"/>
        <v>27.625361869845079</v>
      </c>
    </row>
    <row r="16" spans="1:27" x14ac:dyDescent="0.25">
      <c r="A16" t="s">
        <v>70</v>
      </c>
      <c r="B16">
        <v>2026</v>
      </c>
      <c r="C16" s="45">
        <f ca="1">AVERAGEIF(Quarterly!$B$3:$B$1003,Annual!$B16,Quarterly!$D$3:$D$1000)</f>
        <v>62.936965262525874</v>
      </c>
      <c r="D16" s="46" t="e">
        <f>_xlfn.MAXIFS(Quarterly!$D$3:$D$1000,Quarterly!$B$3:$B$1003,$B16)</f>
        <v>#VALUE!</v>
      </c>
      <c r="E16" s="47" t="e">
        <f>_xlfn.MINIFS(Quarterly!$D$3:$D$1000,Quarterly!$B$3:$B$1003,$B16)</f>
        <v>#VALUE!</v>
      </c>
      <c r="F16" s="45">
        <f ca="1">AVERAGEIF(Quarterly!$B$3:$B$1003,Annual!$B16,Quarterly!$E$3:$E$1000)</f>
        <v>85.079045389989574</v>
      </c>
      <c r="G16" s="46" t="e">
        <f>_xlfn.MAXIFS(Quarterly!$E$3:$E$1000,Quarterly!$B$3:$B$1003,$B16)</f>
        <v>#VALUE!</v>
      </c>
      <c r="H16" s="47" t="e">
        <f>_xlfn.MINIFS(Quarterly!$E$3:$E$1000,Quarterly!$B$3:$B$1003,$B16)</f>
        <v>#VALUE!</v>
      </c>
      <c r="I16" s="45">
        <f ca="1">AVERAGEIF(Quarterly!$B$3:$B$1003,Annual!$B16,Quarterly!$F$3:$F$1000)</f>
        <v>45.465756327787545</v>
      </c>
      <c r="J16" s="46" t="e">
        <f>_xlfn.MAXIFS(Quarterly!$F$3:$F$1000,Quarterly!$B$3:$B$1003,$B16)</f>
        <v>#VALUE!</v>
      </c>
      <c r="K16" s="47" t="e">
        <f>_xlfn.MINIFS(Quarterly!$F$3:$F$1000,Quarterly!$B$3:$B$1003,$B16)</f>
        <v>#VALUE!</v>
      </c>
      <c r="L16" s="45" t="e">
        <f>AVERAGEIF(Monthly!$D$4:$D$1000,Annual!$B16,Monthly!$I$4:$I$1000)</f>
        <v>#DIV/0!</v>
      </c>
      <c r="M16" s="46">
        <f>_xlfn.MAXIFS(Monthly!$I$4:$I$1000,Monthly!$D$4:$D$1000,$B16)</f>
        <v>0</v>
      </c>
      <c r="N16" s="47">
        <f>_xlfn.MINIFS(Monthly!$I$4:$I$1000,Monthly!$D$4:$D$1000,$B16)</f>
        <v>0</v>
      </c>
      <c r="O16" s="46">
        <f t="shared" si="0"/>
        <v>0</v>
      </c>
      <c r="P16" s="45">
        <f>AVERAGEIF(Monthly!$D$4:$D$1000,Annual!$B16,Monthly!$J$4:$J$1000)</f>
        <v>89.753674676187572</v>
      </c>
      <c r="Q16" s="46">
        <f>_xlfn.MAXIFS(Monthly!$J$4:$J$1000,Monthly!$D$4:$D$1000,$B16)</f>
        <v>97.918813238184796</v>
      </c>
      <c r="R16" s="47">
        <f>_xlfn.MINIFS(Monthly!$J$4:$J$1000,Monthly!$D$4:$D$1000,$B16)</f>
        <v>73.797761728515056</v>
      </c>
      <c r="S16" s="46">
        <f t="shared" si="1"/>
        <v>24.121051509669741</v>
      </c>
      <c r="T16" s="45">
        <f>AVERAGEIF(Monthly!$D$4:$D$1000,Annual!$B16,Monthly!$K$4:$K$1000)</f>
        <v>88.852351761788455</v>
      </c>
      <c r="U16" s="46">
        <f>_xlfn.MAXIFS(Monthly!$K$4:$K$1000,Monthly!$D$4:$D$1000,$B16)</f>
        <v>97.006372123898956</v>
      </c>
      <c r="V16" s="47">
        <f>_xlfn.MINIFS(Monthly!$K$4:$K$1000,Monthly!$D$4:$D$1000,$B16)</f>
        <v>72.918165454537373</v>
      </c>
      <c r="W16" s="46">
        <f t="shared" si="2"/>
        <v>24.088206669361583</v>
      </c>
      <c r="X16" s="45">
        <f>AVERAGEIF(Monthly!$D$4:$D$1000,Annual!$B16,Monthly!$L$4:$L$1000)</f>
        <v>82.253674676187572</v>
      </c>
      <c r="Y16" s="46">
        <f>_xlfn.MAXIFS(Monthly!$L$4:$L$1000,Monthly!$D$4:$D$1000,$B16)</f>
        <v>92.607071833507177</v>
      </c>
      <c r="Z16" s="47">
        <f>_xlfn.MINIFS(Monthly!$L$4:$L$1000,Monthly!$D$4:$D$1000,$B16)</f>
        <v>65.797761728515056</v>
      </c>
      <c r="AA16" s="48">
        <f t="shared" si="3"/>
        <v>26.809310104992122</v>
      </c>
    </row>
    <row r="17" spans="1:27" x14ac:dyDescent="0.25">
      <c r="A17" t="s">
        <v>71</v>
      </c>
      <c r="B17">
        <v>2027</v>
      </c>
      <c r="C17" s="45">
        <f ca="1">AVERAGEIF(Quarterly!$B$3:$B$1003,Annual!$B17,Quarterly!$D$3:$D$1000)</f>
        <v>71.095071885204646</v>
      </c>
      <c r="D17" s="46" t="e">
        <f>_xlfn.MAXIFS(Quarterly!$D$3:$D$1000,Quarterly!$B$3:$B$1003,$B17)</f>
        <v>#VALUE!</v>
      </c>
      <c r="E17" s="47" t="e">
        <f>_xlfn.MINIFS(Quarterly!$D$3:$D$1000,Quarterly!$B$3:$B$1003,$B17)</f>
        <v>#VALUE!</v>
      </c>
      <c r="F17" s="45">
        <f ca="1">AVERAGEIF(Quarterly!$B$3:$B$1003,Annual!$B17,Quarterly!$E$3:$E$1000)</f>
        <v>87.168118221641322</v>
      </c>
      <c r="G17" s="46" t="e">
        <f>_xlfn.MAXIFS(Quarterly!$E$3:$E$1000,Quarterly!$B$3:$B$1003,$B17)</f>
        <v>#VALUE!</v>
      </c>
      <c r="H17" s="47" t="e">
        <f>_xlfn.MINIFS(Quarterly!$E$3:$E$1000,Quarterly!$B$3:$B$1003,$B17)</f>
        <v>#VALUE!</v>
      </c>
      <c r="I17" s="45">
        <f ca="1">AVERAGEIF(Quarterly!$B$3:$B$1003,Annual!$B17,Quarterly!$F$3:$F$1000)</f>
        <v>46.961172594955841</v>
      </c>
      <c r="J17" s="46" t="e">
        <f>_xlfn.MAXIFS(Quarterly!$F$3:$F$1000,Quarterly!$B$3:$B$1003,$B17)</f>
        <v>#VALUE!</v>
      </c>
      <c r="K17" s="47" t="e">
        <f>_xlfn.MINIFS(Quarterly!$F$3:$F$1000,Quarterly!$B$3:$B$1003,$B17)</f>
        <v>#VALUE!</v>
      </c>
      <c r="L17" s="45" t="e">
        <f>AVERAGEIF(Monthly!$D$4:$D$1000,Annual!$B17,Monthly!$I$4:$I$1000)</f>
        <v>#DIV/0!</v>
      </c>
      <c r="M17" s="46">
        <f>_xlfn.MAXIFS(Monthly!$I$4:$I$1000,Monthly!$D$4:$D$1000,$B17)</f>
        <v>0</v>
      </c>
      <c r="N17" s="47">
        <f>_xlfn.MINIFS(Monthly!$I$4:$I$1000,Monthly!$D$4:$D$1000,$B17)</f>
        <v>0</v>
      </c>
      <c r="O17" s="46">
        <f t="shared" si="0"/>
        <v>0</v>
      </c>
      <c r="P17" s="45">
        <f>AVERAGEIF(Monthly!$D$4:$D$1000,Annual!$B17,Monthly!$J$4:$J$1000)</f>
        <v>77.489782840411436</v>
      </c>
      <c r="Q17" s="46">
        <f>_xlfn.MAXIFS(Monthly!$J$4:$J$1000,Monthly!$D$4:$D$1000,$B17)</f>
        <v>94.011931220559433</v>
      </c>
      <c r="R17" s="47">
        <f>_xlfn.MINIFS(Monthly!$J$4:$J$1000,Monthly!$D$4:$D$1000,$B17)</f>
        <v>55.746091419186698</v>
      </c>
      <c r="S17" s="46">
        <f t="shared" si="1"/>
        <v>38.265839801372735</v>
      </c>
      <c r="T17" s="45">
        <f>AVERAGEIF(Monthly!$D$4:$D$1000,Annual!$B17,Monthly!$K$4:$K$1000)</f>
        <v>76.605159263051647</v>
      </c>
      <c r="U17" s="46">
        <f>_xlfn.MAXIFS(Monthly!$K$4:$K$1000,Monthly!$D$4:$D$1000,$B17)</f>
        <v>93.104809978664761</v>
      </c>
      <c r="V17" s="47">
        <f>_xlfn.MINIFS(Monthly!$K$4:$K$1000,Monthly!$D$4:$D$1000,$B17)</f>
        <v>54.891075509309935</v>
      </c>
      <c r="W17" s="46">
        <f t="shared" si="2"/>
        <v>38.213734469354826</v>
      </c>
      <c r="X17" s="45">
        <f>AVERAGEIF(Monthly!$D$4:$D$1000,Annual!$B17,Monthly!$L$4:$L$1000)</f>
        <v>69.489782840411436</v>
      </c>
      <c r="Y17" s="46">
        <f>_xlfn.MAXIFS(Monthly!$L$4:$L$1000,Monthly!$D$4:$D$1000,$B17)</f>
        <v>86.011931220559433</v>
      </c>
      <c r="Z17" s="47">
        <f>_xlfn.MINIFS(Monthly!$L$4:$L$1000,Monthly!$D$4:$D$1000,$B17)</f>
        <v>47.746091419186698</v>
      </c>
      <c r="AA17" s="48">
        <f t="shared" si="3"/>
        <v>38.265839801372735</v>
      </c>
    </row>
    <row r="18" spans="1:27" x14ac:dyDescent="0.25">
      <c r="A18" t="s">
        <v>72</v>
      </c>
      <c r="B18">
        <v>2028</v>
      </c>
      <c r="C18" s="45">
        <f ca="1">AVERAGEIF(Quarterly!$B$3:$B$1003,Annual!$B18,Quarterly!$D$3:$D$1000)</f>
        <v>76.304899974447068</v>
      </c>
      <c r="D18" s="46" t="e">
        <f>_xlfn.MAXIFS(Quarterly!$D$3:$D$1000,Quarterly!$B$3:$B$1003,$B18)</f>
        <v>#VALUE!</v>
      </c>
      <c r="E18" s="47" t="e">
        <f>_xlfn.MINIFS(Quarterly!$D$3:$D$1000,Quarterly!$B$3:$B$1003,$B18)</f>
        <v>#VALUE!</v>
      </c>
      <c r="F18" s="45">
        <f ca="1">AVERAGEIF(Quarterly!$B$3:$B$1003,Annual!$B18,Quarterly!$E$3:$E$1000)</f>
        <v>93.357076681605889</v>
      </c>
      <c r="G18" s="46" t="e">
        <f>_xlfn.MAXIFS(Quarterly!$E$3:$E$1000,Quarterly!$B$3:$B$1003,$B18)</f>
        <v>#VALUE!</v>
      </c>
      <c r="H18" s="47" t="e">
        <f>_xlfn.MINIFS(Quarterly!$E$3:$E$1000,Quarterly!$B$3:$B$1003,$B18)</f>
        <v>#VALUE!</v>
      </c>
      <c r="I18" s="45">
        <f ca="1">AVERAGEIF(Quarterly!$B$3:$B$1003,Annual!$B18,Quarterly!$F$3:$F$1000)</f>
        <v>46.992001192762615</v>
      </c>
      <c r="J18" s="46" t="e">
        <f>_xlfn.MAXIFS(Quarterly!$F$3:$F$1000,Quarterly!$B$3:$B$1003,$B18)</f>
        <v>#VALUE!</v>
      </c>
      <c r="K18" s="47" t="e">
        <f>_xlfn.MINIFS(Quarterly!$F$3:$F$1000,Quarterly!$B$3:$B$1003,$B18)</f>
        <v>#VALUE!</v>
      </c>
      <c r="L18" s="45" t="e">
        <f>AVERAGEIF(Monthly!$D$4:$D$1000,Annual!$B18,Monthly!$I$4:$I$1000)</f>
        <v>#DIV/0!</v>
      </c>
      <c r="M18" s="46">
        <f>_xlfn.MAXIFS(Monthly!$I$4:$I$1000,Monthly!$D$4:$D$1000,$B18)</f>
        <v>0</v>
      </c>
      <c r="N18" s="47">
        <f>_xlfn.MINIFS(Monthly!$I$4:$I$1000,Monthly!$D$4:$D$1000,$B18)</f>
        <v>0</v>
      </c>
      <c r="O18" s="46">
        <f t="shared" si="0"/>
        <v>0</v>
      </c>
      <c r="P18" s="45">
        <f>AVERAGEIF(Monthly!$D$4:$D$1000,Annual!$B18,Monthly!$J$4:$J$1000)</f>
        <v>75.081233025460008</v>
      </c>
      <c r="Q18" s="46">
        <f>_xlfn.MAXIFS(Monthly!$J$4:$J$1000,Monthly!$D$4:$D$1000,$B18)</f>
        <v>106.45919453695095</v>
      </c>
      <c r="R18" s="47">
        <f>_xlfn.MINIFS(Monthly!$J$4:$J$1000,Monthly!$D$4:$D$1000,$B18)</f>
        <v>57.73630151882309</v>
      </c>
      <c r="S18" s="46">
        <f t="shared" si="1"/>
        <v>48.722893018127856</v>
      </c>
      <c r="T18" s="45">
        <f>AVERAGEIF(Monthly!$D$4:$D$1000,Annual!$B18,Monthly!$K$4:$K$1000)</f>
        <v>74.199889090947181</v>
      </c>
      <c r="U18" s="46">
        <f>_xlfn.MAXIFS(Monthly!$K$4:$K$1000,Monthly!$D$4:$D$1000,$B18)</f>
        <v>105.53512426711951</v>
      </c>
      <c r="V18" s="47">
        <f>_xlfn.MINIFS(Monthly!$K$4:$K$1000,Monthly!$D$4:$D$1000,$B18)</f>
        <v>56.878575605492422</v>
      </c>
      <c r="W18" s="46">
        <f t="shared" si="2"/>
        <v>48.656548661627092</v>
      </c>
      <c r="X18" s="45">
        <f>AVERAGEIF(Monthly!$D$4:$D$1000,Annual!$B18,Monthly!$L$4:$L$1000)</f>
        <v>67.081233025460008</v>
      </c>
      <c r="Y18" s="46">
        <f>_xlfn.MAXIFS(Monthly!$L$4:$L$1000,Monthly!$D$4:$D$1000,$B18)</f>
        <v>98.459194536950946</v>
      </c>
      <c r="Z18" s="47">
        <f>_xlfn.MINIFS(Monthly!$L$4:$L$1000,Monthly!$D$4:$D$1000,$B18)</f>
        <v>49.73630151882309</v>
      </c>
      <c r="AA18" s="48">
        <f t="shared" si="3"/>
        <v>48.722893018127856</v>
      </c>
    </row>
    <row r="19" spans="1:27" x14ac:dyDescent="0.25">
      <c r="A19" t="s">
        <v>73</v>
      </c>
      <c r="B19">
        <v>2029</v>
      </c>
      <c r="C19" s="45">
        <f ca="1">AVERAGEIF(Quarterly!$B$3:$B$1003,Annual!$B19,Quarterly!$D$3:$D$1000)</f>
        <v>91.457369599594955</v>
      </c>
      <c r="D19" s="46" t="e">
        <f>_xlfn.MAXIFS(Quarterly!$D$3:$D$1000,Quarterly!$B$3:$B$1003,$B19)</f>
        <v>#VALUE!</v>
      </c>
      <c r="E19" s="47" t="e">
        <f>_xlfn.MINIFS(Quarterly!$D$3:$D$1000,Quarterly!$B$3:$B$1003,$B19)</f>
        <v>#VALUE!</v>
      </c>
      <c r="F19" s="45">
        <f ca="1">AVERAGEIF(Quarterly!$B$3:$B$1003,Annual!$B19,Quarterly!$E$3:$E$1000)</f>
        <v>110.96401084488123</v>
      </c>
      <c r="G19" s="46" t="e">
        <f>_xlfn.MAXIFS(Quarterly!$E$3:$E$1000,Quarterly!$B$3:$B$1003,$B19)</f>
        <v>#VALUE!</v>
      </c>
      <c r="H19" s="47" t="e">
        <f>_xlfn.MINIFS(Quarterly!$E$3:$E$1000,Quarterly!$B$3:$B$1003,$B19)</f>
        <v>#VALUE!</v>
      </c>
      <c r="I19" s="45">
        <f ca="1">AVERAGEIF(Quarterly!$B$3:$B$1003,Annual!$B19,Quarterly!$F$3:$F$1000)</f>
        <v>44.021550663870244</v>
      </c>
      <c r="J19" s="46" t="e">
        <f>_xlfn.MAXIFS(Quarterly!$F$3:$F$1000,Quarterly!$B$3:$B$1003,$B19)</f>
        <v>#VALUE!</v>
      </c>
      <c r="K19" s="47" t="e">
        <f>_xlfn.MINIFS(Quarterly!$F$3:$F$1000,Quarterly!$B$3:$B$1003,$B19)</f>
        <v>#VALUE!</v>
      </c>
      <c r="L19" s="45" t="e">
        <f>AVERAGEIF(Monthly!$D$4:$D$1000,Annual!$B19,Monthly!$I$4:$I$1000)</f>
        <v>#DIV/0!</v>
      </c>
      <c r="M19" s="46">
        <f>_xlfn.MAXIFS(Monthly!$I$4:$I$1000,Monthly!$D$4:$D$1000,$B19)</f>
        <v>0</v>
      </c>
      <c r="N19" s="47">
        <f>_xlfn.MINIFS(Monthly!$I$4:$I$1000,Monthly!$D$4:$D$1000,$B19)</f>
        <v>0</v>
      </c>
      <c r="O19" s="46">
        <f t="shared" si="0"/>
        <v>0</v>
      </c>
      <c r="P19" s="45">
        <f>AVERAGEIF(Monthly!$D$4:$D$1000,Annual!$B19,Monthly!$J$4:$J$1000)</f>
        <v>76.658824640769936</v>
      </c>
      <c r="Q19" s="46">
        <f>_xlfn.MAXIFS(Monthly!$J$4:$J$1000,Monthly!$D$4:$D$1000,$B19)</f>
        <v>110.40501638724217</v>
      </c>
      <c r="R19" s="47">
        <f>_xlfn.MINIFS(Monthly!$J$4:$J$1000,Monthly!$D$4:$D$1000,$B19)</f>
        <v>52.071090732749845</v>
      </c>
      <c r="S19" s="46">
        <f t="shared" si="1"/>
        <v>58.333925654492326</v>
      </c>
      <c r="T19" s="45">
        <f>AVERAGEIF(Monthly!$D$4:$D$1000,Annual!$B19,Monthly!$K$4:$K$1000)</f>
        <v>75.775332551784899</v>
      </c>
      <c r="U19" s="46">
        <f>_xlfn.MAXIFS(Monthly!$K$4:$K$1000,Monthly!$D$4:$D$1000,$B19)</f>
        <v>109.47557322193373</v>
      </c>
      <c r="V19" s="47">
        <f>_xlfn.MINIFS(Monthly!$K$4:$K$1000,Monthly!$D$4:$D$1000,$B19)</f>
        <v>51.221078950103163</v>
      </c>
      <c r="W19" s="46">
        <f t="shared" si="2"/>
        <v>58.254494271830566</v>
      </c>
      <c r="X19" s="45">
        <f>AVERAGEIF(Monthly!$D$4:$D$1000,Annual!$B19,Monthly!$L$4:$L$1000)</f>
        <v>68.658824640769936</v>
      </c>
      <c r="Y19" s="46">
        <f>_xlfn.MAXIFS(Monthly!$L$4:$L$1000,Monthly!$D$4:$D$1000,$B19)</f>
        <v>102.40501638724217</v>
      </c>
      <c r="Z19" s="47">
        <f>_xlfn.MINIFS(Monthly!$L$4:$L$1000,Monthly!$D$4:$D$1000,$B19)</f>
        <v>44.071090732749845</v>
      </c>
      <c r="AA19" s="48">
        <f t="shared" si="3"/>
        <v>58.333925654492326</v>
      </c>
    </row>
    <row r="20" spans="1:27" x14ac:dyDescent="0.25">
      <c r="A20" t="s">
        <v>74</v>
      </c>
      <c r="B20">
        <v>2030</v>
      </c>
      <c r="C20" s="45">
        <f ca="1">AVERAGEIF(Quarterly!$B$3:$B$1003,Annual!$B20,Quarterly!$D$3:$D$1000)</f>
        <v>93.055759936179982</v>
      </c>
      <c r="D20" s="46" t="e">
        <f>_xlfn.MAXIFS(Quarterly!$D$3:$D$1000,Quarterly!$B$3:$B$1003,$B20)</f>
        <v>#VALUE!</v>
      </c>
      <c r="E20" s="47" t="e">
        <f>_xlfn.MINIFS(Quarterly!$D$3:$D$1000,Quarterly!$B$3:$B$1003,$B20)</f>
        <v>#VALUE!</v>
      </c>
      <c r="F20" s="45">
        <f ca="1">AVERAGEIF(Quarterly!$B$3:$B$1003,Annual!$B20,Quarterly!$E$3:$E$1000)</f>
        <v>103.76153560417058</v>
      </c>
      <c r="G20" s="46" t="e">
        <f>_xlfn.MAXIFS(Quarterly!$E$3:$E$1000,Quarterly!$B$3:$B$1003,$B20)</f>
        <v>#VALUE!</v>
      </c>
      <c r="H20" s="47" t="e">
        <f>_xlfn.MINIFS(Quarterly!$E$3:$E$1000,Quarterly!$B$3:$B$1003,$B20)</f>
        <v>#VALUE!</v>
      </c>
      <c r="I20" s="45">
        <f ca="1">AVERAGEIF(Quarterly!$B$3:$B$1003,Annual!$B20,Quarterly!$F$3:$F$1000)</f>
        <v>44.456808596280318</v>
      </c>
      <c r="J20" s="46" t="e">
        <f>_xlfn.MAXIFS(Quarterly!$F$3:$F$1000,Quarterly!$B$3:$B$1003,$B20)</f>
        <v>#VALUE!</v>
      </c>
      <c r="K20" s="47" t="e">
        <f>_xlfn.MINIFS(Quarterly!$F$3:$F$1000,Quarterly!$B$3:$B$1003,$B20)</f>
        <v>#VALUE!</v>
      </c>
      <c r="L20" s="45" t="e">
        <f>AVERAGEIF(Monthly!$D$4:$D$1000,Annual!$B20,Monthly!$I$4:$I$1000)</f>
        <v>#DIV/0!</v>
      </c>
      <c r="M20" s="46">
        <f>_xlfn.MAXIFS(Monthly!$I$4:$I$1000,Monthly!$D$4:$D$1000,$B20)</f>
        <v>0</v>
      </c>
      <c r="N20" s="47">
        <f>_xlfn.MINIFS(Monthly!$I$4:$I$1000,Monthly!$D$4:$D$1000,$B20)</f>
        <v>0</v>
      </c>
      <c r="O20" s="46">
        <f t="shared" si="0"/>
        <v>0</v>
      </c>
      <c r="P20" s="45">
        <f>AVERAGEIF(Monthly!$D$4:$D$1000,Annual!$B20,Monthly!$J$4:$J$1000)</f>
        <v>96.856580346883518</v>
      </c>
      <c r="Q20" s="46">
        <f>_xlfn.MAXIFS(Monthly!$J$4:$J$1000,Monthly!$D$4:$D$1000,$B20)</f>
        <v>130.30950868013343</v>
      </c>
      <c r="R20" s="47">
        <f>_xlfn.MINIFS(Monthly!$J$4:$J$1000,Monthly!$D$4:$D$1000,$B20)</f>
        <v>71.284880026867583</v>
      </c>
      <c r="S20" s="46">
        <f t="shared" si="1"/>
        <v>59.02462865326585</v>
      </c>
      <c r="T20" s="45">
        <f>AVERAGEIF(Monthly!$D$4:$D$1000,Annual!$B20,Monthly!$K$4:$K$1000)</f>
        <v>95.945585640092432</v>
      </c>
      <c r="U20" s="46">
        <f>_xlfn.MAXIFS(Monthly!$K$4:$K$1000,Monthly!$D$4:$D$1000,$B20)</f>
        <v>129.35296222413666</v>
      </c>
      <c r="V20" s="47">
        <f>_xlfn.MINIFS(Monthly!$K$4:$K$1000,Monthly!$D$4:$D$1000,$B20)</f>
        <v>70.408705461026059</v>
      </c>
      <c r="W20" s="46">
        <f t="shared" si="2"/>
        <v>58.944256763110602</v>
      </c>
      <c r="X20" s="45">
        <f>AVERAGEIF(Monthly!$D$4:$D$1000,Annual!$B20,Monthly!$L$4:$L$1000)</f>
        <v>88.856580346883518</v>
      </c>
      <c r="Y20" s="46">
        <f>_xlfn.MAXIFS(Monthly!$L$4:$L$1000,Monthly!$D$4:$D$1000,$B20)</f>
        <v>122.30950868013343</v>
      </c>
      <c r="Z20" s="47">
        <f>_xlfn.MINIFS(Monthly!$L$4:$L$1000,Monthly!$D$4:$D$1000,$B20)</f>
        <v>63.284880026867583</v>
      </c>
      <c r="AA20" s="48">
        <f t="shared" si="3"/>
        <v>59.02462865326585</v>
      </c>
    </row>
    <row r="21" spans="1:27" x14ac:dyDescent="0.25">
      <c r="A21" t="s">
        <v>75</v>
      </c>
      <c r="B21">
        <v>2031</v>
      </c>
      <c r="C21" s="45">
        <f ca="1">AVERAGEIF(Quarterly!$B$3:$B$1003,Annual!$B21,Quarterly!$D$3:$D$1000)</f>
        <v>91.948816941893782</v>
      </c>
      <c r="D21" s="46" t="e">
        <f>_xlfn.MAXIFS(Quarterly!$D$3:$D$1000,Quarterly!$B$3:$B$1003,$B21)</f>
        <v>#VALUE!</v>
      </c>
      <c r="E21" s="47" t="e">
        <f>_xlfn.MINIFS(Quarterly!$D$3:$D$1000,Quarterly!$B$3:$B$1003,$B21)</f>
        <v>#VALUE!</v>
      </c>
      <c r="F21" s="45">
        <f ca="1">AVERAGEIF(Quarterly!$B$3:$B$1003,Annual!$B21,Quarterly!$E$3:$E$1000)</f>
        <v>100.34017311811138</v>
      </c>
      <c r="G21" s="46" t="e">
        <f>_xlfn.MAXIFS(Quarterly!$E$3:$E$1000,Quarterly!$B$3:$B$1003,$B21)</f>
        <v>#VALUE!</v>
      </c>
      <c r="H21" s="47" t="e">
        <f>_xlfn.MINIFS(Quarterly!$E$3:$E$1000,Quarterly!$B$3:$B$1003,$B21)</f>
        <v>#VALUE!</v>
      </c>
      <c r="I21" s="45">
        <f ca="1">AVERAGEIF(Quarterly!$B$3:$B$1003,Annual!$B21,Quarterly!$F$3:$F$1000)</f>
        <v>44.819658050642666</v>
      </c>
      <c r="J21" s="46" t="e">
        <f>_xlfn.MAXIFS(Quarterly!$F$3:$F$1000,Quarterly!$B$3:$B$1003,$B21)</f>
        <v>#VALUE!</v>
      </c>
      <c r="K21" s="47" t="e">
        <f>_xlfn.MINIFS(Quarterly!$F$3:$F$1000,Quarterly!$B$3:$B$1003,$B21)</f>
        <v>#VALUE!</v>
      </c>
      <c r="L21" s="45" t="e">
        <f>AVERAGEIF(Monthly!$D$4:$D$1000,Annual!$B21,Monthly!$I$4:$I$1000)</f>
        <v>#DIV/0!</v>
      </c>
      <c r="M21" s="46">
        <f>_xlfn.MAXIFS(Monthly!$I$4:$I$1000,Monthly!$D$4:$D$1000,$B21)</f>
        <v>0</v>
      </c>
      <c r="N21" s="47">
        <f>_xlfn.MINIFS(Monthly!$I$4:$I$1000,Monthly!$D$4:$D$1000,$B21)</f>
        <v>0</v>
      </c>
      <c r="O21" s="46">
        <f t="shared" si="0"/>
        <v>0</v>
      </c>
      <c r="P21" s="45">
        <f>AVERAGEIF(Monthly!$D$4:$D$1000,Annual!$B21,Monthly!$J$4:$J$1000)</f>
        <v>88.143785861530446</v>
      </c>
      <c r="Q21" s="46">
        <f>_xlfn.MAXIFS(Monthly!$J$4:$J$1000,Monthly!$D$4:$D$1000,$B21)</f>
        <v>130.33953317008726</v>
      </c>
      <c r="R21" s="47">
        <f>_xlfn.MINIFS(Monthly!$J$4:$J$1000,Monthly!$D$4:$D$1000,$B21)</f>
        <v>58.149157406989929</v>
      </c>
      <c r="S21" s="46">
        <f t="shared" si="1"/>
        <v>72.190375763097336</v>
      </c>
      <c r="T21" s="45">
        <f>AVERAGEIF(Monthly!$D$4:$D$1000,Annual!$B21,Monthly!$K$4:$K$1000)</f>
        <v>87.244655079634754</v>
      </c>
      <c r="U21" s="46">
        <f>_xlfn.MAXIFS(Monthly!$K$4:$K$1000,Monthly!$D$4:$D$1000,$B21)</f>
        <v>129.38294583073272</v>
      </c>
      <c r="V21" s="47">
        <f>_xlfn.MINIFS(Monthly!$K$4:$K$1000,Monthly!$D$4:$D$1000,$B21)</f>
        <v>57.2908693214127</v>
      </c>
      <c r="W21" s="46">
        <f t="shared" si="2"/>
        <v>72.092076509320023</v>
      </c>
      <c r="X21" s="45">
        <f>AVERAGEIF(Monthly!$D$4:$D$1000,Annual!$B21,Monthly!$L$4:$L$1000)</f>
        <v>80.143785861530446</v>
      </c>
      <c r="Y21" s="46">
        <f>_xlfn.MAXIFS(Monthly!$L$4:$L$1000,Monthly!$D$4:$D$1000,$B21)</f>
        <v>122.33953317008726</v>
      </c>
      <c r="Z21" s="47">
        <f>_xlfn.MINIFS(Monthly!$L$4:$L$1000,Monthly!$D$4:$D$1000,$B21)</f>
        <v>50.149157406989929</v>
      </c>
      <c r="AA21" s="48">
        <f t="shared" si="3"/>
        <v>72.190375763097336</v>
      </c>
    </row>
    <row r="22" spans="1:27" x14ac:dyDescent="0.25">
      <c r="A22" t="s">
        <v>76</v>
      </c>
      <c r="B22">
        <v>2032</v>
      </c>
      <c r="C22" s="45">
        <f ca="1">AVERAGEIF(Quarterly!$B$3:$B$1003,Annual!$B22,Quarterly!$D$3:$D$1000)</f>
        <v>91.622968166856339</v>
      </c>
      <c r="D22" s="46" t="e">
        <f>_xlfn.MAXIFS(Quarterly!$D$3:$D$1000,Quarterly!$B$3:$B$1003,$B22)</f>
        <v>#VALUE!</v>
      </c>
      <c r="E22" s="47" t="e">
        <f>_xlfn.MINIFS(Quarterly!$D$3:$D$1000,Quarterly!$B$3:$B$1003,$B22)</f>
        <v>#VALUE!</v>
      </c>
      <c r="F22" s="45">
        <f ca="1">AVERAGEIF(Quarterly!$B$3:$B$1003,Annual!$B22,Quarterly!$E$3:$E$1000)</f>
        <v>98.785139801577159</v>
      </c>
      <c r="G22" s="46" t="e">
        <f>_xlfn.MAXIFS(Quarterly!$E$3:$E$1000,Quarterly!$B$3:$B$1003,$B22)</f>
        <v>#VALUE!</v>
      </c>
      <c r="H22" s="47" t="e">
        <f>_xlfn.MINIFS(Quarterly!$E$3:$E$1000,Quarterly!$B$3:$B$1003,$B22)</f>
        <v>#VALUE!</v>
      </c>
      <c r="I22" s="45">
        <f ca="1">AVERAGEIF(Quarterly!$B$3:$B$1003,Annual!$B22,Quarterly!$F$3:$F$1000)</f>
        <v>44.984575680013648</v>
      </c>
      <c r="J22" s="46" t="e">
        <f>_xlfn.MAXIFS(Quarterly!$F$3:$F$1000,Quarterly!$B$3:$B$1003,$B22)</f>
        <v>#VALUE!</v>
      </c>
      <c r="K22" s="47" t="e">
        <f>_xlfn.MINIFS(Quarterly!$F$3:$F$1000,Quarterly!$B$3:$B$1003,$B22)</f>
        <v>#VALUE!</v>
      </c>
      <c r="L22" s="45" t="e">
        <f>AVERAGEIF(Monthly!$D$4:$D$1000,Annual!$B22,Monthly!$I$4:$I$1000)</f>
        <v>#DIV/0!</v>
      </c>
      <c r="M22" s="46">
        <f>_xlfn.MAXIFS(Monthly!$I$4:$I$1000,Monthly!$D$4:$D$1000,$B22)</f>
        <v>0</v>
      </c>
      <c r="N22" s="47">
        <f>_xlfn.MINIFS(Monthly!$I$4:$I$1000,Monthly!$D$4:$D$1000,$B22)</f>
        <v>0</v>
      </c>
      <c r="O22" s="46">
        <f t="shared" si="0"/>
        <v>0</v>
      </c>
      <c r="P22" s="45">
        <f>AVERAGEIF(Monthly!$D$4:$D$1000,Annual!$B22,Monthly!$J$4:$J$1000)</f>
        <v>75.034255375346987</v>
      </c>
      <c r="Q22" s="46">
        <f>_xlfn.MAXIFS(Monthly!$J$4:$J$1000,Monthly!$D$4:$D$1000,$B22)</f>
        <v>105.85060216908384</v>
      </c>
      <c r="R22" s="47">
        <f>_xlfn.MINIFS(Monthly!$J$4:$J$1000,Monthly!$D$4:$D$1000,$B22)</f>
        <v>45.248167319913634</v>
      </c>
      <c r="S22" s="46">
        <f t="shared" si="1"/>
        <v>60.602434849170209</v>
      </c>
      <c r="T22" s="45">
        <f>AVERAGEIF(Monthly!$D$4:$D$1000,Annual!$B22,Monthly!$K$4:$K$1000)</f>
        <v>74.152975408750976</v>
      </c>
      <c r="U22" s="46">
        <f>_xlfn.MAXIFS(Monthly!$K$4:$K$1000,Monthly!$D$4:$D$1000,$B22)</f>
        <v>104.92736059940783</v>
      </c>
      <c r="V22" s="47">
        <f>_xlfn.MINIFS(Monthly!$K$4:$K$1000,Monthly!$D$4:$D$1000,$B22)</f>
        <v>44.407446087052413</v>
      </c>
      <c r="W22" s="46">
        <f t="shared" si="2"/>
        <v>60.51991451235542</v>
      </c>
      <c r="X22" s="45">
        <f>AVERAGEIF(Monthly!$D$4:$D$1000,Annual!$B22,Monthly!$L$4:$L$1000)</f>
        <v>67.034255375347001</v>
      </c>
      <c r="Y22" s="46">
        <f>_xlfn.MAXIFS(Monthly!$L$4:$L$1000,Monthly!$D$4:$D$1000,$B22)</f>
        <v>97.850602169083842</v>
      </c>
      <c r="Z22" s="47">
        <f>_xlfn.MINIFS(Monthly!$L$4:$L$1000,Monthly!$D$4:$D$1000,$B22)</f>
        <v>37.248167319913634</v>
      </c>
      <c r="AA22" s="48">
        <f t="shared" si="3"/>
        <v>60.602434849170209</v>
      </c>
    </row>
    <row r="23" spans="1:27" x14ac:dyDescent="0.25">
      <c r="A23" t="s">
        <v>77</v>
      </c>
      <c r="B23">
        <v>2033</v>
      </c>
      <c r="C23" s="45">
        <f ca="1">AVERAGEIF(Quarterly!$B$3:$B$1003,Annual!$B23,Quarterly!$D$3:$D$1000)</f>
        <v>94.34853131213049</v>
      </c>
      <c r="D23" s="46" t="e">
        <f>_xlfn.MAXIFS(Quarterly!$D$3:$D$1000,Quarterly!$B$3:$B$1003,$B23)</f>
        <v>#VALUE!</v>
      </c>
      <c r="E23" s="47" t="e">
        <f>_xlfn.MINIFS(Quarterly!$D$3:$D$1000,Quarterly!$B$3:$B$1003,$B23)</f>
        <v>#VALUE!</v>
      </c>
      <c r="F23" s="45">
        <f ca="1">AVERAGEIF(Quarterly!$B$3:$B$1003,Annual!$B23,Quarterly!$E$3:$E$1000)</f>
        <v>104.43592969598859</v>
      </c>
      <c r="G23" s="46" t="e">
        <f>_xlfn.MAXIFS(Quarterly!$E$3:$E$1000,Quarterly!$B$3:$B$1003,$B23)</f>
        <v>#VALUE!</v>
      </c>
      <c r="H23" s="47" t="e">
        <f>_xlfn.MINIFS(Quarterly!$E$3:$E$1000,Quarterly!$B$3:$B$1003,$B23)</f>
        <v>#VALUE!</v>
      </c>
      <c r="I23" s="45">
        <f ca="1">AVERAGEIF(Quarterly!$B$3:$B$1003,Annual!$B23,Quarterly!$F$3:$F$1000)</f>
        <v>44.385286350614031</v>
      </c>
      <c r="J23" s="46" t="e">
        <f>_xlfn.MAXIFS(Quarterly!$F$3:$F$1000,Quarterly!$B$3:$B$1003,$B23)</f>
        <v>#VALUE!</v>
      </c>
      <c r="K23" s="47" t="e">
        <f>_xlfn.MINIFS(Quarterly!$F$3:$F$1000,Quarterly!$B$3:$B$1003,$B23)</f>
        <v>#VALUE!</v>
      </c>
      <c r="L23" s="45" t="e">
        <f>AVERAGEIF(Monthly!$D$4:$D$1000,Annual!$B23,Monthly!$I$4:$I$1000)</f>
        <v>#DIV/0!</v>
      </c>
      <c r="M23" s="46">
        <f>_xlfn.MAXIFS(Monthly!$I$4:$I$1000,Monthly!$D$4:$D$1000,$B23)</f>
        <v>0</v>
      </c>
      <c r="N23" s="47">
        <f>_xlfn.MINIFS(Monthly!$I$4:$I$1000,Monthly!$D$4:$D$1000,$B23)</f>
        <v>0</v>
      </c>
      <c r="O23" s="46">
        <f t="shared" si="0"/>
        <v>0</v>
      </c>
      <c r="P23" s="45">
        <f>AVERAGEIF(Monthly!$D$4:$D$1000,Annual!$B23,Monthly!$J$4:$J$1000)</f>
        <v>106.54395176769891</v>
      </c>
      <c r="Q23" s="46">
        <f>_xlfn.MAXIFS(Monthly!$J$4:$J$1000,Monthly!$D$4:$D$1000,$B23)</f>
        <v>152.61301716046808</v>
      </c>
      <c r="R23" s="47">
        <f>_xlfn.MINIFS(Monthly!$J$4:$J$1000,Monthly!$D$4:$D$1000,$B23)</f>
        <v>56.095287045066904</v>
      </c>
      <c r="S23" s="46">
        <f t="shared" si="1"/>
        <v>96.517730115401179</v>
      </c>
      <c r="T23" s="45">
        <f>AVERAGEIF(Monthly!$D$4:$D$1000,Annual!$B23,Monthly!$K$4:$K$1000)</f>
        <v>105.61976608674176</v>
      </c>
      <c r="U23" s="46">
        <f>_xlfn.MAXIFS(Monthly!$K$4:$K$1000,Monthly!$D$4:$D$1000,$B23)</f>
        <v>151.62610075256214</v>
      </c>
      <c r="V23" s="47">
        <f>_xlfn.MINIFS(Monthly!$K$4:$K$1000,Monthly!$D$4:$D$1000,$B23)</f>
        <v>55.239795647023165</v>
      </c>
      <c r="W23" s="46">
        <f t="shared" si="2"/>
        <v>96.38630510553898</v>
      </c>
      <c r="X23" s="45">
        <f>AVERAGEIF(Monthly!$D$4:$D$1000,Annual!$B23,Monthly!$L$4:$L$1000)</f>
        <v>98.543951767698914</v>
      </c>
      <c r="Y23" s="46">
        <f>_xlfn.MAXIFS(Monthly!$L$4:$L$1000,Monthly!$D$4:$D$1000,$B23)</f>
        <v>144.61301716046808</v>
      </c>
      <c r="Z23" s="47">
        <f>_xlfn.MINIFS(Monthly!$L$4:$L$1000,Monthly!$D$4:$D$1000,$B23)</f>
        <v>48.095287045066904</v>
      </c>
      <c r="AA23" s="48">
        <f t="shared" si="3"/>
        <v>96.517730115401179</v>
      </c>
    </row>
    <row r="24" spans="1:27" x14ac:dyDescent="0.25">
      <c r="A24" t="s">
        <v>78</v>
      </c>
      <c r="B24">
        <v>2034</v>
      </c>
      <c r="C24" s="45">
        <f ca="1">AVERAGEIF(Quarterly!$B$3:$B$1003,Annual!$B24,Quarterly!$D$3:$D$1000)</f>
        <v>102.38124269181888</v>
      </c>
      <c r="D24" s="46" t="e">
        <f>_xlfn.MAXIFS(Quarterly!$D$3:$D$1000,Quarterly!$B$3:$B$1003,$B24)</f>
        <v>#VALUE!</v>
      </c>
      <c r="E24" s="47" t="e">
        <f>_xlfn.MINIFS(Quarterly!$D$3:$D$1000,Quarterly!$B$3:$B$1003,$B24)</f>
        <v>#VALUE!</v>
      </c>
      <c r="F24" s="45">
        <f ca="1">AVERAGEIF(Quarterly!$B$3:$B$1003,Annual!$B24,Quarterly!$E$3:$E$1000)</f>
        <v>122.62173949609682</v>
      </c>
      <c r="G24" s="46" t="e">
        <f>_xlfn.MAXIFS(Quarterly!$E$3:$E$1000,Quarterly!$B$3:$B$1003,$B24)</f>
        <v>#VALUE!</v>
      </c>
      <c r="H24" s="47" t="e">
        <f>_xlfn.MINIFS(Quarterly!$E$3:$E$1000,Quarterly!$B$3:$B$1003,$B24)</f>
        <v>#VALUE!</v>
      </c>
      <c r="I24" s="45">
        <f ca="1">AVERAGEIF(Quarterly!$B$3:$B$1003,Annual!$B24,Quarterly!$F$3:$F$1000)</f>
        <v>42.456607004302725</v>
      </c>
      <c r="J24" s="46" t="e">
        <f>_xlfn.MAXIFS(Quarterly!$F$3:$F$1000,Quarterly!$B$3:$B$1003,$B24)</f>
        <v>#VALUE!</v>
      </c>
      <c r="K24" s="47" t="e">
        <f>_xlfn.MINIFS(Quarterly!$F$3:$F$1000,Quarterly!$B$3:$B$1003,$B24)</f>
        <v>#VALUE!</v>
      </c>
      <c r="L24" s="45" t="e">
        <f>AVERAGEIF(Monthly!$D$4:$D$1000,Annual!$B24,Monthly!$I$4:$I$1000)</f>
        <v>#DIV/0!</v>
      </c>
      <c r="M24" s="46">
        <f>_xlfn.MAXIFS(Monthly!$I$4:$I$1000,Monthly!$D$4:$D$1000,$B24)</f>
        <v>0</v>
      </c>
      <c r="N24" s="47">
        <f>_xlfn.MINIFS(Monthly!$I$4:$I$1000,Monthly!$D$4:$D$1000,$B24)</f>
        <v>0</v>
      </c>
      <c r="O24" s="46">
        <f t="shared" si="0"/>
        <v>0</v>
      </c>
      <c r="P24" s="45">
        <f>AVERAGEIF(Monthly!$D$4:$D$1000,Annual!$B24,Monthly!$J$4:$J$1000)</f>
        <v>132.09584587417811</v>
      </c>
      <c r="Q24" s="46">
        <f>_xlfn.MAXIFS(Monthly!$J$4:$J$1000,Monthly!$D$4:$D$1000,$B24)</f>
        <v>194.64301248949266</v>
      </c>
      <c r="R24" s="47">
        <f>_xlfn.MINIFS(Monthly!$J$4:$J$1000,Monthly!$D$4:$D$1000,$B24)</f>
        <v>61.174665673487063</v>
      </c>
      <c r="S24" s="46">
        <f t="shared" si="1"/>
        <v>133.46834681600561</v>
      </c>
      <c r="T24" s="45">
        <f>AVERAGEIF(Monthly!$D$4:$D$1000,Annual!$B24,Monthly!$K$4:$K$1000)</f>
        <v>131.13686702173914</v>
      </c>
      <c r="U24" s="46">
        <f>_xlfn.MAXIFS(Monthly!$K$4:$K$1000,Monthly!$D$4:$D$1000,$B24)</f>
        <v>193.59886522313178</v>
      </c>
      <c r="V24" s="47">
        <f>_xlfn.MINIFS(Monthly!$K$4:$K$1000,Monthly!$D$4:$D$1000,$B24)</f>
        <v>60.312257853087189</v>
      </c>
      <c r="W24" s="46">
        <f t="shared" si="2"/>
        <v>133.28660737004458</v>
      </c>
      <c r="X24" s="45">
        <f>AVERAGEIF(Monthly!$D$4:$D$1000,Annual!$B24,Monthly!$L$4:$L$1000)</f>
        <v>124.09584587417811</v>
      </c>
      <c r="Y24" s="46">
        <f>_xlfn.MAXIFS(Monthly!$L$4:$L$1000,Monthly!$D$4:$D$1000,$B24)</f>
        <v>186.64301248949266</v>
      </c>
      <c r="Z24" s="47">
        <f>_xlfn.MINIFS(Monthly!$L$4:$L$1000,Monthly!$D$4:$D$1000,$B24)</f>
        <v>53.174665673487063</v>
      </c>
      <c r="AA24" s="48">
        <f t="shared" si="3"/>
        <v>133.46834681600561</v>
      </c>
    </row>
    <row r="25" spans="1:27" x14ac:dyDescent="0.25">
      <c r="A25" t="s">
        <v>79</v>
      </c>
      <c r="B25">
        <v>2035</v>
      </c>
      <c r="C25" s="45">
        <f ca="1">AVERAGEIF(Quarterly!$B$3:$B$1003,Annual!$B25,Quarterly!$D$3:$D$1000)</f>
        <v>100.95439828140741</v>
      </c>
      <c r="D25" s="46" t="e">
        <f>_xlfn.MAXIFS(Quarterly!$D$3:$D$1000,Quarterly!$B$3:$B$1003,$B25)</f>
        <v>#VALUE!</v>
      </c>
      <c r="E25" s="47" t="e">
        <f>_xlfn.MINIFS(Quarterly!$D$3:$D$1000,Quarterly!$B$3:$B$1003,$B25)</f>
        <v>#VALUE!</v>
      </c>
      <c r="F25" s="45">
        <f ca="1">AVERAGEIF(Quarterly!$B$3:$B$1003,Annual!$B25,Quarterly!$E$3:$E$1000)</f>
        <v>118.58103322940693</v>
      </c>
      <c r="G25" s="46" t="e">
        <f>_xlfn.MAXIFS(Quarterly!$E$3:$E$1000,Quarterly!$B$3:$B$1003,$B25)</f>
        <v>#VALUE!</v>
      </c>
      <c r="H25" s="47" t="e">
        <f>_xlfn.MINIFS(Quarterly!$E$3:$E$1000,Quarterly!$B$3:$B$1003,$B25)</f>
        <v>#VALUE!</v>
      </c>
      <c r="I25" s="45">
        <f ca="1">AVERAGEIF(Quarterly!$B$3:$B$1003,Annual!$B25,Quarterly!$F$3:$F$1000)</f>
        <v>42.885140394167436</v>
      </c>
      <c r="J25" s="46" t="e">
        <f>_xlfn.MAXIFS(Quarterly!$F$3:$F$1000,Quarterly!$B$3:$B$1003,$B25)</f>
        <v>#VALUE!</v>
      </c>
      <c r="K25" s="47" t="e">
        <f>_xlfn.MINIFS(Quarterly!$F$3:$F$1000,Quarterly!$B$3:$B$1003,$B25)</f>
        <v>#VALUE!</v>
      </c>
      <c r="L25" s="45" t="e">
        <f>AVERAGEIF(Monthly!$D$4:$D$1000,Annual!$B25,Monthly!$I$4:$I$1000)</f>
        <v>#DIV/0!</v>
      </c>
      <c r="M25" s="46">
        <f>_xlfn.MAXIFS(Monthly!$I$4:$I$1000,Monthly!$D$4:$D$1000,$B25)</f>
        <v>0</v>
      </c>
      <c r="N25" s="47">
        <f>_xlfn.MINIFS(Monthly!$I$4:$I$1000,Monthly!$D$4:$D$1000,$B25)</f>
        <v>0</v>
      </c>
      <c r="O25" s="46">
        <f t="shared" si="0"/>
        <v>0</v>
      </c>
      <c r="P25" s="45">
        <f>AVERAGEIF(Monthly!$D$4:$D$1000,Annual!$B25,Monthly!$J$4:$J$1000)</f>
        <v>140.28383591305658</v>
      </c>
      <c r="Q25" s="46">
        <f>_xlfn.MAXIFS(Monthly!$J$4:$J$1000,Monthly!$D$4:$D$1000,$B25)</f>
        <v>214.45926386806033</v>
      </c>
      <c r="R25" s="47">
        <f>_xlfn.MINIFS(Monthly!$J$4:$J$1000,Monthly!$D$4:$D$1000,$B25)</f>
        <v>62.823418134187953</v>
      </c>
      <c r="S25" s="46">
        <f t="shared" si="1"/>
        <v>151.63584573387237</v>
      </c>
      <c r="T25" s="45">
        <f>AVERAGEIF(Monthly!$D$4:$D$1000,Annual!$B25,Monthly!$K$4:$K$1000)</f>
        <v>139.31370774462852</v>
      </c>
      <c r="U25" s="46">
        <f>_xlfn.MAXIFS(Monthly!$K$4:$K$1000,Monthly!$D$4:$D$1000,$B25)</f>
        <v>213.38813346575392</v>
      </c>
      <c r="V25" s="47">
        <f>_xlfn.MINIFS(Monthly!$K$4:$K$1000,Monthly!$D$4:$D$1000,$B25)</f>
        <v>61.958765261939583</v>
      </c>
      <c r="W25" s="46">
        <f t="shared" si="2"/>
        <v>151.42936820381433</v>
      </c>
      <c r="X25" s="45">
        <f>AVERAGEIF(Monthly!$D$4:$D$1000,Annual!$B25,Monthly!$L$4:$L$1000)</f>
        <v>132.28383591305655</v>
      </c>
      <c r="Y25" s="46">
        <f>_xlfn.MAXIFS(Monthly!$L$4:$L$1000,Monthly!$D$4:$D$1000,$B25)</f>
        <v>206.45926386806033</v>
      </c>
      <c r="Z25" s="47">
        <f>_xlfn.MINIFS(Monthly!$L$4:$L$1000,Monthly!$D$4:$D$1000,$B25)</f>
        <v>54.823418134187953</v>
      </c>
      <c r="AA25" s="48">
        <f t="shared" si="3"/>
        <v>151.63584573387237</v>
      </c>
    </row>
    <row r="26" spans="1:27" x14ac:dyDescent="0.25">
      <c r="A26" t="s">
        <v>80</v>
      </c>
      <c r="B26">
        <v>2036</v>
      </c>
      <c r="C26" s="45">
        <f ca="1">AVERAGEIF(Quarterly!$B$3:$B$1003,Annual!$B26,Quarterly!$D$3:$D$1000)</f>
        <v>106.19601879603675</v>
      </c>
      <c r="F26" s="45">
        <f ca="1">AVERAGEIF(Quarterly!$B$3:$B$1003,Annual!$B26,Quarterly!$E$3:$E$1000)</f>
        <v>130.16687806699275</v>
      </c>
      <c r="I26" s="45">
        <f ca="1">AVERAGEIF(Quarterly!$B$3:$B$1003,Annual!$B26,Quarterly!$F$3:$F$1000)</f>
        <v>41.65641426684995</v>
      </c>
      <c r="O26" s="42"/>
      <c r="P26" s="45">
        <f>AVERAGEIF(Monthly!$D$4:$D$1000,Annual!$B26,Monthly!$J$4:$J$1000)</f>
        <v>148.52358783600792</v>
      </c>
      <c r="Q26" s="46">
        <f>_xlfn.MAXIFS(Monthly!$J$4:$J$1000,Monthly!$D$4:$D$1000,$B26)</f>
        <v>231.23650468374336</v>
      </c>
      <c r="R26" s="47">
        <f>_xlfn.MINIFS(Monthly!$J$4:$J$1000,Monthly!$D$4:$D$1000,$B26)</f>
        <v>76.041039970940403</v>
      </c>
      <c r="S26" s="46">
        <f t="shared" si="1"/>
        <v>155.19546471280296</v>
      </c>
    </row>
    <row r="27" spans="1:27" x14ac:dyDescent="0.25">
      <c r="A27" t="s">
        <v>81</v>
      </c>
      <c r="B27">
        <v>2037</v>
      </c>
      <c r="C27" s="45">
        <f ca="1">AVERAGEIF(Quarterly!$B$3:$B$1003,Annual!$B27,Quarterly!$D$3:$D$1000)</f>
        <v>104.37786030431614</v>
      </c>
      <c r="F27" s="45">
        <f ca="1">AVERAGEIF(Quarterly!$B$3:$B$1003,Annual!$B27,Quarterly!$E$3:$E$1000)</f>
        <v>125.24581970901687</v>
      </c>
      <c r="I27" s="45">
        <f ca="1">AVERAGEIF(Quarterly!$B$3:$B$1003,Annual!$B27,Quarterly!$F$3:$F$1000)</f>
        <v>42.178312588747296</v>
      </c>
      <c r="O27" s="42"/>
      <c r="P27" s="45">
        <f>AVERAGEIF(Monthly!$D$4:$D$1000,Annual!$B27,Monthly!$J$4:$J$1000)</f>
        <v>111.23458022284422</v>
      </c>
      <c r="Q27" s="46">
        <f>_xlfn.MAXIFS(Monthly!$J$4:$J$1000,Monthly!$D$4:$D$1000,$B27)</f>
        <v>157.15752215982735</v>
      </c>
      <c r="R27" s="47">
        <f>_xlfn.MINIFS(Monthly!$J$4:$J$1000,Monthly!$D$4:$D$1000,$B27)</f>
        <v>68.400341056234595</v>
      </c>
      <c r="S27" s="46">
        <f t="shared" si="1"/>
        <v>88.757181103592757</v>
      </c>
    </row>
    <row r="28" spans="1:27" x14ac:dyDescent="0.25">
      <c r="A28" t="s">
        <v>82</v>
      </c>
      <c r="B28">
        <v>2038</v>
      </c>
      <c r="C28" s="45">
        <f ca="1">AVERAGEIF(Quarterly!$B$3:$B$1003,Annual!$B28,Quarterly!$D$3:$D$1000)</f>
        <v>100.72443189315808</v>
      </c>
      <c r="F28" s="45">
        <f ca="1">AVERAGEIF(Quarterly!$B$3:$B$1003,Annual!$B28,Quarterly!$E$3:$E$1000)</f>
        <v>116.17659272108121</v>
      </c>
      <c r="I28" s="45">
        <f ca="1">AVERAGEIF(Quarterly!$B$3:$B$1003,Annual!$B28,Quarterly!$F$3:$F$1000)</f>
        <v>43.140141122692292</v>
      </c>
      <c r="O28" s="42"/>
      <c r="P28" s="45">
        <f>AVERAGEIF(Monthly!$D$4:$D$1000,Annual!$B28,Monthly!$J$4:$J$1000)</f>
        <v>111.18463063146777</v>
      </c>
      <c r="Q28" s="46">
        <f>_xlfn.MAXIFS(Monthly!$J$4:$J$1000,Monthly!$D$4:$D$1000,$B28)</f>
        <v>180.46978167871157</v>
      </c>
      <c r="R28" s="47">
        <f>_xlfn.MINIFS(Monthly!$J$4:$J$1000,Monthly!$D$4:$D$1000,$B28)</f>
        <v>38.54913118313474</v>
      </c>
      <c r="S28" s="46">
        <f t="shared" si="1"/>
        <v>141.92065049557684</v>
      </c>
    </row>
    <row r="29" spans="1:27" x14ac:dyDescent="0.25">
      <c r="A29" t="s">
        <v>83</v>
      </c>
      <c r="B29">
        <v>2039</v>
      </c>
      <c r="C29" s="45">
        <f ca="1">AVERAGEIF(Quarterly!$B$3:$B$1003,Annual!$B29,Quarterly!$D$3:$D$1000)</f>
        <v>100.09801436089816</v>
      </c>
      <c r="F29" s="45">
        <f ca="1">AVERAGEIF(Quarterly!$B$3:$B$1003,Annual!$B29,Quarterly!$E$3:$E$1000)</f>
        <v>114.19158303999095</v>
      </c>
      <c r="I29" s="45">
        <f ca="1">AVERAGEIF(Quarterly!$B$3:$B$1003,Annual!$B29,Quarterly!$F$3:$F$1000)</f>
        <v>43.350659500275015</v>
      </c>
      <c r="O29" s="42"/>
      <c r="P29" s="45">
        <f>AVERAGEIF(Monthly!$D$4:$D$1000,Annual!$B29,Monthly!$J$4:$J$1000)</f>
        <v>102.02221291490753</v>
      </c>
      <c r="Q29" s="46">
        <f>_xlfn.MAXIFS(Monthly!$J$4:$J$1000,Monthly!$D$4:$D$1000,$B29)</f>
        <v>182.54848324479647</v>
      </c>
      <c r="R29" s="47">
        <f>_xlfn.MINIFS(Monthly!$J$4:$J$1000,Monthly!$D$4:$D$1000,$B29)</f>
        <v>28.104664259960234</v>
      </c>
      <c r="S29" s="46">
        <f t="shared" si="1"/>
        <v>154.44381898483624</v>
      </c>
    </row>
    <row r="30" spans="1:27" x14ac:dyDescent="0.25">
      <c r="A30" t="s">
        <v>84</v>
      </c>
      <c r="B30">
        <v>2040</v>
      </c>
      <c r="C30" s="45">
        <f ca="1">AVERAGEIF(Quarterly!$B$3:$B$1003,Annual!$B30,Quarterly!$D$3:$D$1000)</f>
        <v>101.42752468666936</v>
      </c>
      <c r="F30" s="45">
        <f ca="1">AVERAGEIF(Quarterly!$B$3:$B$1003,Annual!$B30,Quarterly!$E$3:$E$1000)</f>
        <v>116.76425699803815</v>
      </c>
      <c r="I30" s="45">
        <f ca="1">AVERAGEIF(Quarterly!$B$3:$B$1003,Annual!$B30,Quarterly!$F$3:$F$1000)</f>
        <v>43.077816927839834</v>
      </c>
      <c r="O30" s="42"/>
      <c r="P30" s="45">
        <f>AVERAGEIF(Monthly!$D$4:$D$1000,Annual!$B30,Monthly!$J$4:$J$1000)</f>
        <v>99.037227623662702</v>
      </c>
      <c r="Q30" s="46">
        <f>_xlfn.MAXIFS(Monthly!$J$4:$J$1000,Monthly!$D$4:$D$1000,$B30)</f>
        <v>173.49252492536414</v>
      </c>
      <c r="R30" s="47">
        <f>_xlfn.MINIFS(Monthly!$J$4:$J$1000,Monthly!$D$4:$D$1000,$B30)</f>
        <v>44.572450337021095</v>
      </c>
      <c r="S30" s="46">
        <f t="shared" si="1"/>
        <v>128.92007458834303</v>
      </c>
    </row>
    <row r="31" spans="1:27" x14ac:dyDescent="0.25">
      <c r="B31">
        <v>2041</v>
      </c>
      <c r="C31" s="45">
        <f ca="1">AVERAGEIF(Quarterly!$B$3:$B$1003,Annual!$B31,Quarterly!$D$3:$D$1000)</f>
        <v>105.70820156056115</v>
      </c>
      <c r="F31" s="45">
        <f ca="1">AVERAGEIF(Quarterly!$B$3:$B$1003,Annual!$B31,Quarterly!$E$3:$E$1000)</f>
        <v>126.16884223973808</v>
      </c>
      <c r="I31" s="45">
        <f ca="1">AVERAGEIF(Quarterly!$B$3:$B$1003,Annual!$B31,Quarterly!$F$3:$F$1000)</f>
        <v>42.080422282472824</v>
      </c>
      <c r="P31" s="45">
        <f>AVERAGEIF(Monthly!$D$4:$D$1000,Annual!$B31,Monthly!$J$4:$J$1000)</f>
        <v>119.55975647782208</v>
      </c>
      <c r="Q31" s="46">
        <f>_xlfn.MAXIFS(Monthly!$J$4:$J$1000,Monthly!$D$4:$D$1000,$B31)</f>
        <v>173.90191201115903</v>
      </c>
      <c r="R31" s="47">
        <f>_xlfn.MINIFS(Monthly!$J$4:$J$1000,Monthly!$D$4:$D$1000,$B31)</f>
        <v>79.921721698041381</v>
      </c>
      <c r="S31" s="46">
        <f t="shared" si="1"/>
        <v>93.980190313117646</v>
      </c>
    </row>
    <row r="32" spans="1:27" x14ac:dyDescent="0.25">
      <c r="B32">
        <v>2042</v>
      </c>
      <c r="C32" s="45">
        <f ca="1">AVERAGEIF(Quarterly!$B$3:$B$1003,Annual!$B32,Quarterly!$D$3:$D$1000)</f>
        <v>108.55344474849372</v>
      </c>
      <c r="F32" s="45">
        <f ca="1">AVERAGEIF(Quarterly!$B$3:$B$1003,Annual!$B32,Quarterly!$E$3:$E$1000)</f>
        <v>132.18690729500537</v>
      </c>
      <c r="I32" s="45">
        <f ca="1">AVERAGEIF(Quarterly!$B$3:$B$1003,Annual!$B32,Quarterly!$F$3:$F$1000)</f>
        <v>41.442181923399957</v>
      </c>
      <c r="P32" s="45">
        <f>AVERAGEIF(Monthly!$D$4:$D$1000,Annual!$B32,Monthly!$J$4:$J$1000)</f>
        <v>132.13831712769667</v>
      </c>
      <c r="Q32" s="46">
        <f>_xlfn.MAXIFS(Monthly!$J$4:$J$1000,Monthly!$D$4:$D$1000,$B32)</f>
        <v>188.10168877589024</v>
      </c>
      <c r="R32" s="47">
        <f>_xlfn.MINIFS(Monthly!$J$4:$J$1000,Monthly!$D$4:$D$1000,$B32)</f>
        <v>87.244779454747089</v>
      </c>
      <c r="S32" s="46">
        <f t="shared" si="1"/>
        <v>100.85690932114315</v>
      </c>
    </row>
    <row r="33" spans="2:19" x14ac:dyDescent="0.25">
      <c r="B33">
        <v>2043</v>
      </c>
      <c r="C33" s="45">
        <f ca="1">AVERAGEIF(Quarterly!$B$3:$B$1003,Annual!$B33,Quarterly!$D$3:$D$1000)</f>
        <v>108.55713091735697</v>
      </c>
      <c r="F33" s="45">
        <f ca="1">AVERAGEIF(Quarterly!$B$3:$B$1003,Annual!$B33,Quarterly!$E$3:$E$1000)</f>
        <v>131.62860276549745</v>
      </c>
      <c r="I33" s="45">
        <f ca="1">AVERAGEIF(Quarterly!$B$3:$B$1003,Annual!$B33,Quarterly!$F$3:$F$1000)</f>
        <v>41.501392397217167</v>
      </c>
      <c r="P33" s="45">
        <f>AVERAGEIF(Monthly!$D$4:$D$1000,Annual!$B33,Monthly!$J$4:$J$1000)</f>
        <v>125.1038151320348</v>
      </c>
      <c r="Q33" s="46">
        <f>_xlfn.MAXIFS(Monthly!$J$4:$J$1000,Monthly!$D$4:$D$1000,$B33)</f>
        <v>177.0345021435221</v>
      </c>
      <c r="R33" s="47">
        <f>_xlfn.MINIFS(Monthly!$J$4:$J$1000,Monthly!$D$4:$D$1000,$B33)</f>
        <v>71.702165438626281</v>
      </c>
      <c r="S33" s="46">
        <f t="shared" si="1"/>
        <v>105.33233670489582</v>
      </c>
    </row>
    <row r="34" spans="2:19" x14ac:dyDescent="0.25">
      <c r="B34">
        <v>2044</v>
      </c>
      <c r="C34" s="45">
        <f ca="1">AVERAGEIF(Quarterly!$B$3:$B$1003,Annual!$B34,Quarterly!$D$3:$D$1000)</f>
        <v>108.79868464891618</v>
      </c>
      <c r="F34" s="45">
        <f ca="1">AVERAGEIF(Quarterly!$B$3:$B$1003,Annual!$B34,Quarterly!$E$3:$E$1000)</f>
        <v>131.64297166120053</v>
      </c>
      <c r="I34" s="45">
        <f ca="1">AVERAGEIF(Quarterly!$B$3:$B$1003,Annual!$B34,Quarterly!$F$3:$F$1000)</f>
        <v>41.499868517187821</v>
      </c>
      <c r="P34" s="45">
        <f>AVERAGEIF(Monthly!$D$4:$D$1000,Annual!$B34,Monthly!$J$4:$J$1000)</f>
        <v>138.18566523350887</v>
      </c>
      <c r="Q34" s="46">
        <f>_xlfn.MAXIFS(Monthly!$J$4:$J$1000,Monthly!$D$4:$D$1000,$B34)</f>
        <v>187.69359776655841</v>
      </c>
      <c r="R34" s="47">
        <f>_xlfn.MINIFS(Monthly!$J$4:$J$1000,Monthly!$D$4:$D$1000,$B34)</f>
        <v>72.627640714030235</v>
      </c>
      <c r="S34" s="46">
        <f t="shared" si="1"/>
        <v>115.06595705252818</v>
      </c>
    </row>
    <row r="35" spans="2:19" x14ac:dyDescent="0.25">
      <c r="B35">
        <v>2045</v>
      </c>
      <c r="C35" s="45">
        <f ca="1">AVERAGEIF(Quarterly!$B$3:$B$1003,Annual!$B35,Quarterly!$D$3:$D$1000)</f>
        <v>109.02727192677338</v>
      </c>
      <c r="F35" s="45">
        <f ca="1">AVERAGEIF(Quarterly!$B$3:$B$1003,Annual!$B35,Quarterly!$E$3:$E$1000)</f>
        <v>131.64893515783768</v>
      </c>
      <c r="I35" s="45">
        <f ca="1">AVERAGEIF(Quarterly!$B$3:$B$1003,Annual!$B35,Quarterly!$F$3:$F$1000)</f>
        <v>41.499236064032189</v>
      </c>
      <c r="P35" s="45">
        <f>AVERAGEIF(Monthly!$D$4:$D$1000,Annual!$B35,Monthly!$J$4:$J$1000)</f>
        <v>138.28792647347299</v>
      </c>
      <c r="Q35" s="46">
        <f>_xlfn.MAXIFS(Monthly!$J$4:$J$1000,Monthly!$D$4:$D$1000,$B35)</f>
        <v>196.79994733924445</v>
      </c>
      <c r="R35" s="47">
        <f>_xlfn.MINIFS(Monthly!$J$4:$J$1000,Monthly!$D$4:$D$1000,$B35)</f>
        <v>68.979944301068628</v>
      </c>
      <c r="S35" s="46">
        <f t="shared" si="1"/>
        <v>127.82000303817583</v>
      </c>
    </row>
    <row r="36" spans="2:19" x14ac:dyDescent="0.25">
      <c r="B36">
        <v>2046</v>
      </c>
      <c r="C36" s="45">
        <f ca="1">AVERAGEIF(Quarterly!$B$3:$B$1003,Annual!$B36,Quarterly!$D$3:$D$1000)</f>
        <v>109.23259750768284</v>
      </c>
      <c r="F36" s="45">
        <f ca="1">AVERAGEIF(Quarterly!$B$3:$B$1003,Annual!$B36,Quarterly!$E$3:$E$1000)</f>
        <v>131.62184174364683</v>
      </c>
      <c r="I36" s="45">
        <f ca="1">AVERAGEIF(Quarterly!$B$3:$B$1003,Annual!$B36,Quarterly!$F$3:$F$1000)</f>
        <v>41.502109431176429</v>
      </c>
      <c r="P36" s="45">
        <f>AVERAGEIF(Monthly!$D$4:$D$1000,Annual!$B36,Monthly!$J$4:$J$1000)</f>
        <v>132.36328307844198</v>
      </c>
      <c r="Q36" s="46">
        <f>_xlfn.MAXIFS(Monthly!$J$4:$J$1000,Monthly!$D$4:$D$1000,$B36)</f>
        <v>191.54777276518246</v>
      </c>
      <c r="R36" s="47">
        <f>_xlfn.MINIFS(Monthly!$J$4:$J$1000,Monthly!$D$4:$D$1000,$B36)</f>
        <v>75.280724954783878</v>
      </c>
      <c r="S36" s="46">
        <f t="shared" si="1"/>
        <v>116.26704781039858</v>
      </c>
    </row>
    <row r="37" spans="2:19" x14ac:dyDescent="0.25">
      <c r="B37">
        <v>2047</v>
      </c>
      <c r="C37" s="45">
        <f ca="1">AVERAGEIF(Quarterly!$B$3:$B$1003,Annual!$B37,Quarterly!$D$3:$D$1000)</f>
        <v>109.42149029746858</v>
      </c>
      <c r="F37" s="45">
        <f ca="1">AVERAGEIF(Quarterly!$B$3:$B$1003,Annual!$B37,Quarterly!$E$3:$E$1000)</f>
        <v>131.5761840309938</v>
      </c>
      <c r="I37" s="45">
        <f ca="1">AVERAGEIF(Quarterly!$B$3:$B$1003,Annual!$B37,Quarterly!$F$3:$F$1000)</f>
        <v>41.50695161793422</v>
      </c>
      <c r="P37" s="45">
        <f>AVERAGEIF(Monthly!$D$4:$D$1000,Annual!$B37,Monthly!$J$4:$J$1000)</f>
        <v>131.26884766900426</v>
      </c>
      <c r="Q37" s="46">
        <f>_xlfn.MAXIFS(Monthly!$J$4:$J$1000,Monthly!$D$4:$D$1000,$B37)</f>
        <v>197.63296819450468</v>
      </c>
      <c r="R37" s="47">
        <f>_xlfn.MINIFS(Monthly!$J$4:$J$1000,Monthly!$D$4:$D$1000,$B37)</f>
        <v>63.000736544786548</v>
      </c>
      <c r="S37" s="46">
        <f t="shared" si="1"/>
        <v>134.63223164971814</v>
      </c>
    </row>
    <row r="38" spans="2:19" x14ac:dyDescent="0.25">
      <c r="B38">
        <v>2048</v>
      </c>
      <c r="C38" s="45">
        <f ca="1">AVERAGEIF(Quarterly!$B$3:$B$1003,Annual!$B38,Quarterly!$D$3:$D$1000)</f>
        <v>109.60023923046418</v>
      </c>
      <c r="F38" s="45">
        <f ca="1">AVERAGEIF(Quarterly!$B$3:$B$1003,Annual!$B38,Quarterly!$E$3:$E$1000)</f>
        <v>131.52500602647467</v>
      </c>
      <c r="I38" s="45">
        <f ca="1">AVERAGEIF(Quarterly!$B$3:$B$1003,Annual!$B38,Quarterly!$F$3:$F$1000)</f>
        <v>41.512379254172934</v>
      </c>
      <c r="P38" s="45">
        <f>AVERAGEIF(Monthly!$D$4:$D$1000,Annual!$B38,Monthly!$J$4:$J$1000)</f>
        <v>128.48448254944705</v>
      </c>
      <c r="Q38" s="46">
        <f>_xlfn.MAXIFS(Monthly!$J$4:$J$1000,Monthly!$D$4:$D$1000,$B38)</f>
        <v>187.28019452208835</v>
      </c>
      <c r="R38" s="47">
        <f>_xlfn.MINIFS(Monthly!$J$4:$J$1000,Monthly!$D$4:$D$1000,$B38)</f>
        <v>75.023771692321503</v>
      </c>
      <c r="S38" s="46">
        <f t="shared" si="1"/>
        <v>112.25642282976685</v>
      </c>
    </row>
    <row r="39" spans="2:19" x14ac:dyDescent="0.25">
      <c r="B39">
        <v>2049</v>
      </c>
      <c r="C39" s="45">
        <f ca="1">AVERAGEIF(Quarterly!$B$3:$B$1003,Annual!$B39,Quarterly!$D$3:$D$1000)</f>
        <v>109.77985672188717</v>
      </c>
      <c r="F39" s="45">
        <f ca="1">AVERAGEIF(Quarterly!$B$3:$B$1003,Annual!$B39,Quarterly!$E$3:$E$1000)</f>
        <v>131.49170631079724</v>
      </c>
      <c r="I39" s="45">
        <f ca="1">AVERAGEIF(Quarterly!$B$3:$B$1003,Annual!$B39,Quarterly!$F$3:$F$1000)</f>
        <v>41.515910824917981</v>
      </c>
      <c r="P39" s="45">
        <f>AVERAGEIF(Monthly!$D$4:$D$1000,Annual!$B39,Monthly!$J$4:$J$1000)</f>
        <v>165.24767130655059</v>
      </c>
      <c r="Q39" s="46">
        <f>_xlfn.MAXIFS(Monthly!$J$4:$J$1000,Monthly!$D$4:$D$1000,$B39)</f>
        <v>216.65120498611572</v>
      </c>
      <c r="R39" s="47">
        <f>_xlfn.MINIFS(Monthly!$J$4:$J$1000,Monthly!$D$4:$D$1000,$B39)</f>
        <v>89.74204880966488</v>
      </c>
      <c r="S39" s="46">
        <f t="shared" si="1"/>
        <v>126.90915617645084</v>
      </c>
    </row>
    <row r="40" spans="2:19" x14ac:dyDescent="0.25">
      <c r="B40">
        <v>2050</v>
      </c>
      <c r="C40" s="45">
        <f ca="1">AVERAGEIF(Quarterly!$B$3:$B$1003,Annual!$B40,Quarterly!$D$3:$D$1000)</f>
        <v>109.95864447635776</v>
      </c>
      <c r="F40" s="45">
        <f ca="1">AVERAGEIF(Quarterly!$B$3:$B$1003,Annual!$B40,Quarterly!$E$3:$E$1000)</f>
        <v>131.47113637297912</v>
      </c>
      <c r="I40" s="45">
        <f ca="1">AVERAGEIF(Quarterly!$B$3:$B$1003,Annual!$B40,Quarterly!$F$3:$F$1000)</f>
        <v>41.518092350770331</v>
      </c>
      <c r="P40" s="45">
        <f>AVERAGEIF(Monthly!$D$4:$D$1000,Annual!$B40,Monthly!$J$4:$J$1000)</f>
        <v>153.55028008652084</v>
      </c>
      <c r="Q40" s="46">
        <f>_xlfn.MAXIFS(Monthly!$J$4:$J$1000,Monthly!$D$4:$D$1000,$B40)</f>
        <v>201.26959331831529</v>
      </c>
      <c r="R40" s="47">
        <f>_xlfn.MINIFS(Monthly!$J$4:$J$1000,Monthly!$D$4:$D$1000,$B40)</f>
        <v>82.564127014624319</v>
      </c>
      <c r="S40" s="46">
        <f t="shared" si="1"/>
        <v>118.70546630369097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5DAE-CC7D-4571-9CCF-901D2DD5DBB1}">
  <dimension ref="A1:I19"/>
  <sheetViews>
    <sheetView topLeftCell="A3" workbookViewId="0">
      <selection activeCell="G2945" sqref="G2945:H2949"/>
    </sheetView>
  </sheetViews>
  <sheetFormatPr defaultRowHeight="15" x14ac:dyDescent="0.25"/>
  <cols>
    <col min="1" max="1" width="17.5703125" bestFit="1" customWidth="1"/>
    <col min="5" max="6" width="12" bestFit="1" customWidth="1"/>
  </cols>
  <sheetData>
    <row r="1" spans="1:9" x14ac:dyDescent="0.25">
      <c r="A1" t="s">
        <v>85</v>
      </c>
    </row>
    <row r="2" spans="1:9" ht="15.75" thickBot="1" x14ac:dyDescent="0.3"/>
    <row r="3" spans="1:9" x14ac:dyDescent="0.25">
      <c r="A3" s="49" t="s">
        <v>86</v>
      </c>
      <c r="B3" s="49"/>
    </row>
    <row r="4" spans="1:9" x14ac:dyDescent="0.25">
      <c r="A4" t="s">
        <v>87</v>
      </c>
      <c r="B4">
        <v>0.74158389452736928</v>
      </c>
    </row>
    <row r="5" spans="1:9" x14ac:dyDescent="0.25">
      <c r="A5" s="50" t="s">
        <v>88</v>
      </c>
      <c r="B5" s="50">
        <v>0.54994667262238028</v>
      </c>
    </row>
    <row r="6" spans="1:9" x14ac:dyDescent="0.25">
      <c r="A6" s="50" t="s">
        <v>89</v>
      </c>
      <c r="B6" s="50">
        <v>0.52799285177469157</v>
      </c>
    </row>
    <row r="7" spans="1:9" x14ac:dyDescent="0.25">
      <c r="A7" t="s">
        <v>90</v>
      </c>
      <c r="B7">
        <v>42.071841673725224</v>
      </c>
    </row>
    <row r="8" spans="1:9" ht="15.75" thickBot="1" x14ac:dyDescent="0.3">
      <c r="A8" s="51" t="s">
        <v>91</v>
      </c>
      <c r="B8" s="51">
        <v>44</v>
      </c>
    </row>
    <row r="10" spans="1:9" ht="15.75" thickBot="1" x14ac:dyDescent="0.3">
      <c r="A10" t="s">
        <v>92</v>
      </c>
    </row>
    <row r="11" spans="1:9" x14ac:dyDescent="0.25">
      <c r="A11" s="52"/>
      <c r="B11" s="52" t="s">
        <v>93</v>
      </c>
      <c r="C11" s="52" t="s">
        <v>94</v>
      </c>
      <c r="D11" s="52" t="s">
        <v>95</v>
      </c>
      <c r="E11" s="52" t="s">
        <v>96</v>
      </c>
      <c r="F11" s="53" t="s">
        <v>97</v>
      </c>
    </row>
    <row r="12" spans="1:9" x14ac:dyDescent="0.25">
      <c r="A12" t="s">
        <v>98</v>
      </c>
      <c r="B12">
        <v>2</v>
      </c>
      <c r="C12">
        <v>88679.555068776826</v>
      </c>
      <c r="D12">
        <v>44339.777534388413</v>
      </c>
      <c r="E12">
        <v>25.050157621208658</v>
      </c>
      <c r="F12" s="54">
        <v>7.7967126198823904E-8</v>
      </c>
    </row>
    <row r="13" spans="1:9" x14ac:dyDescent="0.25">
      <c r="A13" t="s">
        <v>99</v>
      </c>
      <c r="B13">
        <v>41</v>
      </c>
      <c r="C13">
        <v>72571.63433457911</v>
      </c>
      <c r="D13">
        <v>1770.0398618190027</v>
      </c>
    </row>
    <row r="14" spans="1:9" ht="15.75" thickBot="1" x14ac:dyDescent="0.3">
      <c r="A14" s="51" t="s">
        <v>100</v>
      </c>
      <c r="B14" s="51">
        <v>43</v>
      </c>
      <c r="C14" s="51">
        <v>161251.18940335594</v>
      </c>
      <c r="D14" s="51"/>
      <c r="E14" s="51"/>
      <c r="F14" s="51"/>
    </row>
    <row r="15" spans="1:9" ht="15.75" thickBot="1" x14ac:dyDescent="0.3"/>
    <row r="16" spans="1:9" x14ac:dyDescent="0.25">
      <c r="A16" s="52"/>
      <c r="B16" s="55" t="s">
        <v>101</v>
      </c>
      <c r="C16" s="52" t="s">
        <v>90</v>
      </c>
      <c r="D16" s="52" t="s">
        <v>102</v>
      </c>
      <c r="E16" s="53" t="s">
        <v>103</v>
      </c>
      <c r="F16" s="52" t="s">
        <v>104</v>
      </c>
      <c r="G16" s="52" t="s">
        <v>105</v>
      </c>
      <c r="H16" s="52" t="s">
        <v>106</v>
      </c>
      <c r="I16" s="52" t="s">
        <v>107</v>
      </c>
    </row>
    <row r="17" spans="1:9" x14ac:dyDescent="0.25">
      <c r="A17" s="56" t="s">
        <v>108</v>
      </c>
      <c r="B17" s="56">
        <v>-70.504403429656634</v>
      </c>
      <c r="C17">
        <v>27.902394304839127</v>
      </c>
      <c r="D17">
        <v>-2.5268227041515581</v>
      </c>
      <c r="E17" s="54">
        <v>1.5463391788515914E-2</v>
      </c>
      <c r="F17">
        <v>-126.8544319016894</v>
      </c>
      <c r="G17">
        <v>-14.15437495762388</v>
      </c>
      <c r="H17">
        <v>-126.8544319016894</v>
      </c>
      <c r="I17">
        <v>-14.15437495762388</v>
      </c>
    </row>
    <row r="18" spans="1:9" x14ac:dyDescent="0.25">
      <c r="A18" s="56" t="s">
        <v>109</v>
      </c>
      <c r="B18" s="56">
        <v>-1.3114324825210192E-5</v>
      </c>
      <c r="C18">
        <v>4.5548777902633446E-6</v>
      </c>
      <c r="D18">
        <v>-2.8791825882230695</v>
      </c>
      <c r="E18" s="54">
        <v>6.309314354747712E-3</v>
      </c>
      <c r="F18">
        <v>-2.2313087138000498E-5</v>
      </c>
      <c r="G18">
        <v>-3.9155625124198842E-6</v>
      </c>
      <c r="H18">
        <v>-2.2313087138000498E-5</v>
      </c>
      <c r="I18">
        <v>-3.9155625124198842E-6</v>
      </c>
    </row>
    <row r="19" spans="1:9" ht="15.75" thickBot="1" x14ac:dyDescent="0.3">
      <c r="A19" s="57" t="s">
        <v>110</v>
      </c>
      <c r="B19" s="57">
        <v>2.7045926116305198E-4</v>
      </c>
      <c r="C19" s="51">
        <v>3.8652217012725859E-5</v>
      </c>
      <c r="D19" s="51">
        <v>6.9972509228644233</v>
      </c>
      <c r="E19" s="58">
        <v>1.662677546322405E-8</v>
      </c>
      <c r="F19" s="51">
        <v>1.9239952530746091E-4</v>
      </c>
      <c r="G19" s="51">
        <v>3.4851899701864302E-4</v>
      </c>
      <c r="H19" s="51">
        <v>1.9239952530746091E-4</v>
      </c>
      <c r="I19" s="51">
        <v>3.4851899701864302E-4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49BE-FB02-4F49-AE4D-A26154919D9A}">
  <dimension ref="A1"/>
  <sheetViews>
    <sheetView topLeftCell="A13" zoomScale="110" zoomScaleNormal="110" workbookViewId="0">
      <selection activeCell="G2945" sqref="G2945:H294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72ED-DD51-4BD0-B47E-D7003526A342}">
  <dimension ref="A1:I20"/>
  <sheetViews>
    <sheetView workbookViewId="0">
      <selection activeCell="G2945" sqref="G2945:H2949"/>
    </sheetView>
  </sheetViews>
  <sheetFormatPr defaultRowHeight="15" x14ac:dyDescent="0.25"/>
  <cols>
    <col min="5" max="6" width="12" bestFit="1" customWidth="1"/>
  </cols>
  <sheetData>
    <row r="1" spans="1:9" x14ac:dyDescent="0.25">
      <c r="A1" t="s">
        <v>85</v>
      </c>
    </row>
    <row r="2" spans="1:9" ht="15.75" thickBot="1" x14ac:dyDescent="0.3"/>
    <row r="3" spans="1:9" x14ac:dyDescent="0.25">
      <c r="A3" s="49" t="s">
        <v>86</v>
      </c>
      <c r="B3" s="49"/>
    </row>
    <row r="4" spans="1:9" x14ac:dyDescent="0.25">
      <c r="A4" t="s">
        <v>87</v>
      </c>
      <c r="B4">
        <v>0.90315290841551954</v>
      </c>
    </row>
    <row r="5" spans="1:9" x14ac:dyDescent="0.25">
      <c r="A5" t="s">
        <v>88</v>
      </c>
      <c r="B5" s="59">
        <v>0.81568517597941181</v>
      </c>
      <c r="C5" s="59" t="s">
        <v>111</v>
      </c>
    </row>
    <row r="6" spans="1:9" x14ac:dyDescent="0.25">
      <c r="A6" t="s">
        <v>89</v>
      </c>
      <c r="B6" s="59">
        <v>0.80885870101568635</v>
      </c>
    </row>
    <row r="7" spans="1:9" x14ac:dyDescent="0.25">
      <c r="A7" t="s">
        <v>90</v>
      </c>
      <c r="B7">
        <v>21.723831239005644</v>
      </c>
    </row>
    <row r="8" spans="1:9" ht="15.75" thickBot="1" x14ac:dyDescent="0.3">
      <c r="A8" s="51" t="s">
        <v>91</v>
      </c>
      <c r="B8" s="51">
        <v>57</v>
      </c>
    </row>
    <row r="10" spans="1:9" ht="15.75" thickBot="1" x14ac:dyDescent="0.3">
      <c r="A10" t="s">
        <v>92</v>
      </c>
    </row>
    <row r="11" spans="1:9" x14ac:dyDescent="0.25">
      <c r="A11" s="52"/>
      <c r="B11" s="52" t="s">
        <v>93</v>
      </c>
      <c r="C11" s="52" t="s">
        <v>94</v>
      </c>
      <c r="D11" s="52" t="s">
        <v>95</v>
      </c>
      <c r="E11" s="52" t="s">
        <v>96</v>
      </c>
      <c r="F11" s="53" t="s">
        <v>97</v>
      </c>
    </row>
    <row r="12" spans="1:9" x14ac:dyDescent="0.25">
      <c r="A12" t="s">
        <v>98</v>
      </c>
      <c r="B12">
        <v>2</v>
      </c>
      <c r="C12">
        <v>112779.17262676453</v>
      </c>
      <c r="D12">
        <v>56389.586313382264</v>
      </c>
      <c r="E12">
        <v>119.48848861437249</v>
      </c>
      <c r="F12" s="54">
        <v>1.4795415988773889E-20</v>
      </c>
      <c r="G12" s="54" t="s">
        <v>112</v>
      </c>
    </row>
    <row r="13" spans="1:9" x14ac:dyDescent="0.25">
      <c r="A13" t="s">
        <v>99</v>
      </c>
      <c r="B13">
        <v>54</v>
      </c>
      <c r="C13">
        <v>25483.941559843068</v>
      </c>
      <c r="D13">
        <v>471.92484370079757</v>
      </c>
    </row>
    <row r="14" spans="1:9" ht="15.75" thickBot="1" x14ac:dyDescent="0.3">
      <c r="A14" s="51" t="s">
        <v>100</v>
      </c>
      <c r="B14" s="51">
        <v>56</v>
      </c>
      <c r="C14" s="51">
        <v>138263.11418660759</v>
      </c>
      <c r="D14" s="51"/>
      <c r="E14" s="51"/>
      <c r="F14" s="51"/>
    </row>
    <row r="15" spans="1:9" ht="15.75" thickBot="1" x14ac:dyDescent="0.3"/>
    <row r="16" spans="1:9" x14ac:dyDescent="0.25">
      <c r="A16" s="52"/>
      <c r="B16" s="52" t="s">
        <v>101</v>
      </c>
      <c r="C16" s="52" t="s">
        <v>90</v>
      </c>
      <c r="D16" s="52" t="s">
        <v>102</v>
      </c>
      <c r="E16" s="53" t="s">
        <v>103</v>
      </c>
      <c r="F16" s="52" t="s">
        <v>104</v>
      </c>
      <c r="G16" s="52" t="s">
        <v>105</v>
      </c>
      <c r="H16" s="52" t="s">
        <v>106</v>
      </c>
      <c r="I16" s="52" t="s">
        <v>107</v>
      </c>
    </row>
    <row r="17" spans="1:9" x14ac:dyDescent="0.25">
      <c r="A17" s="56" t="s">
        <v>108</v>
      </c>
      <c r="B17" s="56">
        <v>-25.439611546631539</v>
      </c>
      <c r="C17">
        <v>9.763165105975899</v>
      </c>
      <c r="D17">
        <v>-2.6056725734424284</v>
      </c>
      <c r="E17" s="54">
        <v>1.1824110734985188E-2</v>
      </c>
      <c r="F17">
        <v>-45.013579054762985</v>
      </c>
      <c r="G17">
        <v>-5.865644038500097</v>
      </c>
      <c r="H17">
        <v>-45.013579054762985</v>
      </c>
      <c r="I17">
        <v>-5.865644038500097</v>
      </c>
    </row>
    <row r="18" spans="1:9" x14ac:dyDescent="0.25">
      <c r="A18" s="56" t="s">
        <v>109</v>
      </c>
      <c r="B18" s="56">
        <v>1.4305892419065354</v>
      </c>
      <c r="C18">
        <v>0.30813646873154454</v>
      </c>
      <c r="D18">
        <v>4.6427131711984959</v>
      </c>
      <c r="E18" s="54">
        <v>2.2385630331606067E-5</v>
      </c>
      <c r="F18">
        <v>0.81281281781125458</v>
      </c>
      <c r="G18">
        <v>2.0483656660018159</v>
      </c>
      <c r="H18">
        <v>0.81281281781125458</v>
      </c>
      <c r="I18">
        <v>2.0483656660018159</v>
      </c>
    </row>
    <row r="19" spans="1:9" ht="15.75" thickBot="1" x14ac:dyDescent="0.3">
      <c r="A19" s="57" t="s">
        <v>110</v>
      </c>
      <c r="B19" s="57">
        <v>1.083218015830858</v>
      </c>
      <c r="C19" s="51">
        <v>0.44465869156910115</v>
      </c>
      <c r="D19" s="51">
        <v>2.4360662152097459</v>
      </c>
      <c r="E19" s="58">
        <v>1.8177355778063689E-2</v>
      </c>
      <c r="F19" s="51">
        <v>0.19173101479116539</v>
      </c>
      <c r="G19" s="51">
        <v>1.9747050168705504</v>
      </c>
      <c r="H19" s="51">
        <v>0.19173101479116539</v>
      </c>
      <c r="I19" s="51">
        <v>1.9747050168705504</v>
      </c>
    </row>
    <row r="20" spans="1:9" x14ac:dyDescent="0.25">
      <c r="A20" s="56" t="s">
        <v>113</v>
      </c>
      <c r="B20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5</vt:i4>
      </vt:variant>
    </vt:vector>
  </HeadingPairs>
  <TitlesOfParts>
    <vt:vector size="13" baseType="lpstr">
      <vt:lpstr>Daily Prices</vt:lpstr>
      <vt:lpstr>RIN Daily Prices</vt:lpstr>
      <vt:lpstr>Monthly</vt:lpstr>
      <vt:lpstr>Quarterly</vt:lpstr>
      <vt:lpstr>Annual</vt:lpstr>
      <vt:lpstr>MultiRegLCFS</vt:lpstr>
      <vt:lpstr>Regression RINs</vt:lpstr>
      <vt:lpstr>MultiRegressionD4RIN</vt:lpstr>
      <vt:lpstr>Chart2</vt:lpstr>
      <vt:lpstr>Chart7</vt:lpstr>
      <vt:lpstr>Chart8</vt:lpstr>
      <vt:lpstr>Chart9</vt:lpstr>
      <vt:lpstr>Chart10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2025-07-09T11:58:52Z</dcterms:created>
  <dcterms:modified xsi:type="dcterms:W3CDTF">2025-07-09T11:59:22Z</dcterms:modified>
</cp:coreProperties>
</file>