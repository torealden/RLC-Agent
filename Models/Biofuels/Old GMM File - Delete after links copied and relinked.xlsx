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1972A352-72F1-4D94-B29E-844B7AF6C570}" xr6:coauthVersionLast="47" xr6:coauthVersionMax="47" xr10:uidLastSave="{00000000-0000-0000-0000-000000000000}"/>
  <bookViews>
    <workbookView xWindow="4140" yWindow="555" windowWidth="24165" windowHeight="14550" xr2:uid="{684C68C3-1C6F-4540-BF3C-99C173A450AD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2" i="1" l="1"/>
  <c r="L332" i="1"/>
  <c r="J332" i="1"/>
  <c r="H332" i="1"/>
  <c r="G332" i="1"/>
  <c r="F332" i="1"/>
  <c r="E332" i="1"/>
  <c r="D332" i="1"/>
  <c r="C332" i="1"/>
  <c r="B332" i="1"/>
  <c r="M331" i="1"/>
  <c r="L331" i="1"/>
  <c r="J331" i="1"/>
  <c r="H331" i="1"/>
  <c r="G331" i="1"/>
  <c r="F331" i="1"/>
  <c r="E331" i="1"/>
  <c r="D331" i="1"/>
  <c r="C331" i="1"/>
  <c r="B331" i="1"/>
  <c r="M330" i="1"/>
  <c r="L330" i="1"/>
  <c r="J330" i="1"/>
  <c r="H330" i="1"/>
  <c r="G330" i="1"/>
  <c r="F330" i="1"/>
  <c r="E330" i="1"/>
  <c r="D330" i="1"/>
  <c r="C330" i="1"/>
  <c r="B330" i="1"/>
  <c r="M329" i="1"/>
  <c r="L329" i="1"/>
  <c r="J329" i="1"/>
  <c r="H329" i="1"/>
  <c r="G329" i="1"/>
  <c r="F329" i="1"/>
  <c r="E329" i="1"/>
  <c r="D329" i="1"/>
  <c r="C329" i="1"/>
  <c r="B329" i="1"/>
  <c r="M328" i="1"/>
  <c r="L328" i="1"/>
  <c r="J328" i="1"/>
  <c r="H328" i="1"/>
  <c r="G328" i="1"/>
  <c r="F328" i="1"/>
  <c r="E328" i="1"/>
  <c r="D328" i="1"/>
  <c r="C328" i="1"/>
  <c r="B328" i="1"/>
  <c r="M327" i="1"/>
  <c r="L327" i="1"/>
  <c r="J327" i="1"/>
  <c r="H327" i="1"/>
  <c r="G327" i="1"/>
  <c r="F327" i="1"/>
  <c r="E327" i="1"/>
  <c r="D327" i="1"/>
  <c r="C327" i="1"/>
  <c r="B327" i="1"/>
  <c r="M326" i="1"/>
  <c r="L326" i="1"/>
  <c r="J326" i="1"/>
  <c r="H326" i="1"/>
  <c r="G326" i="1"/>
  <c r="F326" i="1"/>
  <c r="E326" i="1"/>
  <c r="D326" i="1"/>
  <c r="C326" i="1"/>
  <c r="B326" i="1"/>
  <c r="M325" i="1"/>
  <c r="L325" i="1"/>
  <c r="J325" i="1"/>
  <c r="H325" i="1"/>
  <c r="G325" i="1"/>
  <c r="F325" i="1"/>
  <c r="E325" i="1"/>
  <c r="D325" i="1"/>
  <c r="C325" i="1"/>
  <c r="B325" i="1"/>
  <c r="M324" i="1"/>
  <c r="L324" i="1"/>
  <c r="J324" i="1"/>
  <c r="H324" i="1"/>
  <c r="G324" i="1"/>
  <c r="F324" i="1"/>
  <c r="E324" i="1"/>
  <c r="D324" i="1"/>
  <c r="C324" i="1"/>
  <c r="B324" i="1"/>
  <c r="M323" i="1"/>
  <c r="L323" i="1"/>
  <c r="J323" i="1"/>
  <c r="H323" i="1"/>
  <c r="G323" i="1"/>
  <c r="F323" i="1"/>
  <c r="E323" i="1"/>
  <c r="D323" i="1"/>
  <c r="C323" i="1"/>
  <c r="B323" i="1"/>
  <c r="M322" i="1"/>
  <c r="L322" i="1"/>
  <c r="J322" i="1"/>
  <c r="H322" i="1"/>
  <c r="G322" i="1"/>
  <c r="F322" i="1"/>
  <c r="E322" i="1"/>
  <c r="D322" i="1"/>
  <c r="C322" i="1"/>
  <c r="B322" i="1"/>
  <c r="M321" i="1"/>
  <c r="L321" i="1"/>
  <c r="J321" i="1"/>
  <c r="H321" i="1"/>
  <c r="G321" i="1"/>
  <c r="F321" i="1"/>
  <c r="E321" i="1"/>
  <c r="D321" i="1"/>
  <c r="C321" i="1"/>
  <c r="B321" i="1"/>
  <c r="M320" i="1"/>
  <c r="L320" i="1"/>
  <c r="J320" i="1"/>
  <c r="H320" i="1"/>
  <c r="G320" i="1"/>
  <c r="F320" i="1"/>
  <c r="E320" i="1"/>
  <c r="D320" i="1"/>
  <c r="C320" i="1"/>
  <c r="B320" i="1"/>
  <c r="M319" i="1"/>
  <c r="L319" i="1"/>
  <c r="J319" i="1"/>
  <c r="H319" i="1"/>
  <c r="G319" i="1"/>
  <c r="F319" i="1"/>
  <c r="E319" i="1"/>
  <c r="D319" i="1"/>
  <c r="C319" i="1"/>
  <c r="B319" i="1"/>
  <c r="M318" i="1"/>
  <c r="L318" i="1"/>
  <c r="J318" i="1"/>
  <c r="H318" i="1"/>
  <c r="G318" i="1"/>
  <c r="F318" i="1"/>
  <c r="E318" i="1"/>
  <c r="D318" i="1"/>
  <c r="C318" i="1"/>
  <c r="B318" i="1"/>
  <c r="M317" i="1"/>
  <c r="L317" i="1"/>
  <c r="J317" i="1"/>
  <c r="H317" i="1"/>
  <c r="G317" i="1"/>
  <c r="F317" i="1"/>
  <c r="E317" i="1"/>
  <c r="D317" i="1"/>
  <c r="C317" i="1"/>
  <c r="B317" i="1"/>
  <c r="M316" i="1"/>
  <c r="L316" i="1"/>
  <c r="J316" i="1"/>
  <c r="H316" i="1"/>
  <c r="G316" i="1"/>
  <c r="F316" i="1"/>
  <c r="E316" i="1"/>
  <c r="D316" i="1"/>
  <c r="C316" i="1"/>
  <c r="B316" i="1"/>
  <c r="M315" i="1"/>
  <c r="L315" i="1"/>
  <c r="J315" i="1"/>
  <c r="H315" i="1"/>
  <c r="G315" i="1"/>
  <c r="F315" i="1"/>
  <c r="E315" i="1"/>
  <c r="D315" i="1"/>
  <c r="C315" i="1"/>
  <c r="B315" i="1"/>
  <c r="M314" i="1"/>
  <c r="L314" i="1"/>
  <c r="J314" i="1"/>
  <c r="H314" i="1"/>
  <c r="G314" i="1"/>
  <c r="F314" i="1"/>
  <c r="E314" i="1"/>
  <c r="D314" i="1"/>
  <c r="C314" i="1"/>
  <c r="B314" i="1"/>
  <c r="M313" i="1"/>
  <c r="L313" i="1"/>
  <c r="J313" i="1"/>
  <c r="H313" i="1"/>
  <c r="G313" i="1"/>
  <c r="F313" i="1"/>
  <c r="E313" i="1"/>
  <c r="D313" i="1"/>
  <c r="C313" i="1"/>
  <c r="B313" i="1"/>
  <c r="M312" i="1"/>
  <c r="L312" i="1"/>
  <c r="J312" i="1"/>
  <c r="H312" i="1"/>
  <c r="G312" i="1"/>
  <c r="F312" i="1"/>
  <c r="E312" i="1"/>
  <c r="D312" i="1"/>
  <c r="C312" i="1"/>
  <c r="B312" i="1"/>
  <c r="M311" i="1"/>
  <c r="L311" i="1"/>
  <c r="K311" i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J311" i="1"/>
  <c r="H311" i="1"/>
  <c r="G311" i="1"/>
  <c r="F311" i="1"/>
  <c r="E311" i="1"/>
  <c r="D311" i="1"/>
  <c r="C311" i="1"/>
  <c r="B311" i="1"/>
  <c r="M310" i="1"/>
  <c r="L310" i="1"/>
  <c r="K310" i="1"/>
  <c r="J310" i="1"/>
  <c r="H310" i="1"/>
  <c r="G310" i="1"/>
  <c r="F310" i="1"/>
  <c r="E310" i="1"/>
  <c r="D310" i="1"/>
  <c r="C310" i="1"/>
  <c r="B310" i="1"/>
  <c r="M309" i="1"/>
  <c r="L309" i="1"/>
  <c r="K309" i="1"/>
  <c r="J309" i="1"/>
  <c r="H309" i="1"/>
  <c r="G309" i="1"/>
  <c r="F309" i="1"/>
  <c r="E309" i="1"/>
  <c r="D309" i="1"/>
  <c r="C309" i="1"/>
  <c r="B309" i="1"/>
  <c r="M308" i="1"/>
  <c r="L308" i="1"/>
  <c r="K308" i="1"/>
  <c r="J308" i="1"/>
  <c r="H308" i="1"/>
  <c r="G308" i="1"/>
  <c r="F308" i="1"/>
  <c r="E308" i="1"/>
  <c r="D308" i="1"/>
  <c r="C308" i="1"/>
  <c r="B308" i="1"/>
  <c r="M307" i="1"/>
  <c r="L307" i="1"/>
  <c r="K307" i="1"/>
  <c r="J307" i="1"/>
  <c r="H307" i="1"/>
  <c r="G307" i="1"/>
  <c r="F307" i="1"/>
  <c r="E307" i="1"/>
  <c r="D307" i="1"/>
  <c r="C307" i="1"/>
  <c r="B307" i="1"/>
  <c r="M306" i="1"/>
  <c r="L306" i="1"/>
  <c r="K306" i="1"/>
  <c r="J306" i="1"/>
  <c r="H306" i="1"/>
  <c r="G306" i="1"/>
  <c r="F306" i="1"/>
  <c r="E306" i="1"/>
  <c r="D306" i="1"/>
  <c r="C306" i="1"/>
  <c r="B306" i="1"/>
  <c r="M305" i="1"/>
  <c r="L305" i="1"/>
  <c r="K305" i="1"/>
  <c r="J305" i="1"/>
  <c r="H305" i="1"/>
  <c r="G305" i="1"/>
  <c r="F305" i="1"/>
  <c r="E305" i="1"/>
  <c r="D305" i="1"/>
  <c r="C305" i="1"/>
  <c r="B305" i="1"/>
  <c r="M304" i="1"/>
  <c r="L304" i="1"/>
  <c r="K304" i="1"/>
  <c r="J304" i="1"/>
  <c r="H304" i="1"/>
  <c r="G304" i="1"/>
  <c r="F304" i="1"/>
  <c r="E304" i="1"/>
  <c r="D304" i="1"/>
  <c r="C304" i="1"/>
  <c r="B304" i="1"/>
  <c r="M303" i="1"/>
  <c r="L303" i="1"/>
  <c r="K303" i="1"/>
  <c r="J303" i="1"/>
  <c r="H303" i="1"/>
  <c r="G303" i="1"/>
  <c r="F303" i="1"/>
  <c r="E303" i="1"/>
  <c r="D303" i="1"/>
  <c r="C303" i="1"/>
  <c r="B303" i="1"/>
  <c r="M302" i="1"/>
  <c r="L302" i="1"/>
  <c r="K302" i="1"/>
  <c r="J302" i="1"/>
  <c r="H302" i="1"/>
  <c r="G302" i="1"/>
  <c r="F302" i="1"/>
  <c r="E302" i="1"/>
  <c r="D302" i="1"/>
  <c r="C302" i="1"/>
  <c r="B302" i="1"/>
  <c r="M301" i="1"/>
  <c r="L301" i="1"/>
  <c r="K301" i="1"/>
  <c r="J301" i="1"/>
  <c r="H301" i="1"/>
  <c r="G301" i="1"/>
  <c r="F301" i="1"/>
  <c r="E301" i="1"/>
  <c r="D301" i="1"/>
  <c r="C301" i="1"/>
  <c r="B301" i="1"/>
  <c r="M300" i="1"/>
  <c r="L300" i="1"/>
  <c r="K300" i="1"/>
  <c r="J300" i="1"/>
  <c r="H300" i="1"/>
  <c r="G300" i="1"/>
  <c r="F300" i="1"/>
  <c r="E300" i="1"/>
  <c r="D300" i="1"/>
  <c r="C300" i="1"/>
  <c r="B300" i="1"/>
  <c r="M299" i="1"/>
  <c r="L299" i="1"/>
  <c r="K299" i="1"/>
  <c r="J299" i="1"/>
  <c r="H299" i="1"/>
  <c r="G299" i="1"/>
  <c r="F299" i="1"/>
  <c r="E299" i="1"/>
  <c r="D299" i="1"/>
  <c r="C299" i="1"/>
  <c r="B299" i="1"/>
  <c r="M298" i="1"/>
  <c r="L298" i="1"/>
  <c r="K298" i="1"/>
  <c r="J298" i="1"/>
  <c r="H298" i="1"/>
  <c r="G298" i="1"/>
  <c r="F298" i="1"/>
  <c r="E298" i="1"/>
  <c r="D298" i="1"/>
  <c r="C298" i="1"/>
  <c r="B298" i="1"/>
  <c r="M297" i="1"/>
  <c r="L297" i="1"/>
  <c r="K297" i="1"/>
  <c r="J297" i="1"/>
  <c r="H297" i="1"/>
  <c r="G297" i="1"/>
  <c r="F297" i="1"/>
  <c r="E297" i="1"/>
  <c r="D297" i="1"/>
  <c r="C297" i="1"/>
  <c r="B297" i="1"/>
  <c r="M296" i="1"/>
  <c r="L296" i="1"/>
  <c r="K296" i="1"/>
  <c r="J296" i="1"/>
  <c r="H296" i="1"/>
  <c r="G296" i="1"/>
  <c r="F296" i="1"/>
  <c r="E296" i="1"/>
  <c r="D296" i="1"/>
  <c r="C296" i="1"/>
  <c r="B296" i="1"/>
  <c r="M295" i="1"/>
  <c r="L295" i="1"/>
  <c r="K295" i="1"/>
  <c r="J295" i="1"/>
  <c r="H295" i="1"/>
  <c r="G295" i="1"/>
  <c r="F295" i="1"/>
  <c r="E295" i="1"/>
  <c r="D295" i="1"/>
  <c r="C295" i="1"/>
  <c r="B295" i="1"/>
  <c r="M294" i="1"/>
  <c r="L294" i="1"/>
  <c r="K294" i="1"/>
  <c r="J294" i="1"/>
  <c r="H294" i="1"/>
  <c r="G294" i="1"/>
  <c r="F294" i="1"/>
  <c r="E294" i="1"/>
  <c r="D294" i="1"/>
  <c r="C294" i="1"/>
  <c r="B294" i="1"/>
  <c r="M293" i="1"/>
  <c r="L293" i="1"/>
  <c r="K293" i="1"/>
  <c r="J293" i="1"/>
  <c r="H293" i="1"/>
  <c r="G293" i="1"/>
  <c r="F293" i="1"/>
  <c r="E293" i="1"/>
  <c r="D293" i="1"/>
  <c r="C293" i="1"/>
  <c r="B293" i="1"/>
  <c r="M292" i="1"/>
  <c r="L292" i="1"/>
  <c r="K292" i="1"/>
  <c r="J292" i="1"/>
  <c r="H292" i="1"/>
  <c r="G292" i="1"/>
  <c r="F292" i="1"/>
  <c r="E292" i="1"/>
  <c r="D292" i="1"/>
  <c r="C292" i="1"/>
  <c r="B292" i="1"/>
  <c r="M291" i="1"/>
  <c r="L291" i="1"/>
  <c r="K291" i="1"/>
  <c r="J291" i="1"/>
  <c r="H291" i="1"/>
  <c r="G291" i="1"/>
  <c r="F291" i="1"/>
  <c r="E291" i="1"/>
  <c r="D291" i="1"/>
  <c r="C291" i="1"/>
  <c r="B291" i="1"/>
  <c r="M290" i="1"/>
  <c r="L290" i="1"/>
  <c r="K290" i="1"/>
  <c r="J290" i="1"/>
  <c r="H290" i="1"/>
  <c r="G290" i="1"/>
  <c r="F290" i="1"/>
  <c r="E290" i="1"/>
  <c r="D290" i="1"/>
  <c r="C290" i="1"/>
  <c r="B290" i="1"/>
  <c r="M289" i="1"/>
  <c r="L289" i="1"/>
  <c r="K289" i="1"/>
  <c r="J289" i="1"/>
  <c r="H289" i="1"/>
  <c r="G289" i="1"/>
  <c r="F289" i="1"/>
  <c r="E289" i="1"/>
  <c r="D289" i="1"/>
  <c r="C289" i="1"/>
  <c r="B289" i="1"/>
  <c r="A289" i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M288" i="1"/>
  <c r="L288" i="1"/>
  <c r="K288" i="1"/>
  <c r="J288" i="1"/>
  <c r="H288" i="1"/>
  <c r="G288" i="1"/>
  <c r="F288" i="1"/>
  <c r="E288" i="1"/>
  <c r="D288" i="1"/>
  <c r="C288" i="1"/>
  <c r="B288" i="1"/>
  <c r="M287" i="1"/>
  <c r="L287" i="1"/>
  <c r="K287" i="1"/>
  <c r="J287" i="1"/>
  <c r="H287" i="1"/>
  <c r="G287" i="1"/>
  <c r="F287" i="1"/>
  <c r="E287" i="1"/>
  <c r="D287" i="1"/>
  <c r="C287" i="1"/>
  <c r="B287" i="1"/>
  <c r="M286" i="1"/>
  <c r="L286" i="1"/>
  <c r="K286" i="1"/>
  <c r="J286" i="1"/>
  <c r="H286" i="1"/>
  <c r="G286" i="1"/>
  <c r="F286" i="1"/>
  <c r="E286" i="1"/>
  <c r="D286" i="1"/>
  <c r="C286" i="1"/>
  <c r="B286" i="1"/>
  <c r="M285" i="1"/>
  <c r="L285" i="1"/>
  <c r="K285" i="1"/>
  <c r="J285" i="1"/>
  <c r="H285" i="1"/>
  <c r="G285" i="1"/>
  <c r="F285" i="1"/>
  <c r="E285" i="1"/>
  <c r="D285" i="1"/>
  <c r="C285" i="1"/>
  <c r="B285" i="1"/>
  <c r="M284" i="1"/>
  <c r="L284" i="1"/>
  <c r="K284" i="1"/>
  <c r="J284" i="1"/>
  <c r="H284" i="1"/>
  <c r="G284" i="1"/>
  <c r="F284" i="1"/>
  <c r="E284" i="1"/>
  <c r="D284" i="1"/>
  <c r="C284" i="1"/>
  <c r="B284" i="1"/>
  <c r="M283" i="1"/>
  <c r="L283" i="1"/>
  <c r="K283" i="1"/>
  <c r="J283" i="1"/>
  <c r="H283" i="1"/>
  <c r="G283" i="1"/>
  <c r="F283" i="1"/>
  <c r="E283" i="1"/>
  <c r="D283" i="1"/>
  <c r="C283" i="1"/>
  <c r="B283" i="1"/>
  <c r="M282" i="1"/>
  <c r="L282" i="1"/>
  <c r="K282" i="1"/>
  <c r="J282" i="1"/>
  <c r="H282" i="1"/>
  <c r="G282" i="1"/>
  <c r="F282" i="1"/>
  <c r="E282" i="1"/>
  <c r="D282" i="1"/>
  <c r="C282" i="1"/>
  <c r="B282" i="1"/>
  <c r="M281" i="1"/>
  <c r="L281" i="1"/>
  <c r="K281" i="1"/>
  <c r="J281" i="1"/>
  <c r="H281" i="1"/>
  <c r="G281" i="1"/>
  <c r="F281" i="1"/>
  <c r="E281" i="1"/>
  <c r="D281" i="1"/>
  <c r="C281" i="1"/>
  <c r="B281" i="1"/>
  <c r="M280" i="1"/>
  <c r="L280" i="1"/>
  <c r="K280" i="1"/>
  <c r="J280" i="1"/>
  <c r="H280" i="1"/>
  <c r="G280" i="1"/>
  <c r="F280" i="1"/>
  <c r="E280" i="1"/>
  <c r="D280" i="1"/>
  <c r="C280" i="1"/>
  <c r="B280" i="1"/>
  <c r="M279" i="1"/>
  <c r="L279" i="1"/>
  <c r="K279" i="1"/>
  <c r="J279" i="1"/>
  <c r="H279" i="1"/>
  <c r="G279" i="1"/>
  <c r="F279" i="1"/>
  <c r="E279" i="1"/>
  <c r="D279" i="1"/>
  <c r="C279" i="1"/>
  <c r="B279" i="1"/>
  <c r="M278" i="1"/>
  <c r="L278" i="1"/>
  <c r="K278" i="1"/>
  <c r="J278" i="1"/>
  <c r="H278" i="1"/>
  <c r="G278" i="1"/>
  <c r="F278" i="1"/>
  <c r="E278" i="1"/>
  <c r="D278" i="1"/>
  <c r="C278" i="1"/>
  <c r="B278" i="1"/>
  <c r="M277" i="1"/>
  <c r="L277" i="1"/>
  <c r="K277" i="1"/>
  <c r="J277" i="1"/>
  <c r="H277" i="1"/>
  <c r="G277" i="1"/>
  <c r="F277" i="1"/>
  <c r="E277" i="1"/>
  <c r="D277" i="1"/>
  <c r="C277" i="1"/>
  <c r="B277" i="1"/>
  <c r="M276" i="1"/>
  <c r="L276" i="1"/>
  <c r="K276" i="1"/>
  <c r="J276" i="1"/>
  <c r="H276" i="1"/>
  <c r="G276" i="1"/>
  <c r="F276" i="1"/>
  <c r="E276" i="1"/>
  <c r="D276" i="1"/>
  <c r="C276" i="1"/>
  <c r="B276" i="1"/>
  <c r="M275" i="1"/>
  <c r="L275" i="1"/>
  <c r="K275" i="1"/>
  <c r="J275" i="1"/>
  <c r="H275" i="1"/>
  <c r="G275" i="1"/>
  <c r="F275" i="1"/>
  <c r="E275" i="1"/>
  <c r="D275" i="1"/>
  <c r="C275" i="1"/>
  <c r="B275" i="1"/>
  <c r="M274" i="1"/>
  <c r="L274" i="1"/>
  <c r="K274" i="1"/>
  <c r="J274" i="1"/>
  <c r="H274" i="1"/>
  <c r="G274" i="1"/>
  <c r="F274" i="1"/>
  <c r="E274" i="1"/>
  <c r="D274" i="1"/>
  <c r="C274" i="1"/>
  <c r="B274" i="1"/>
  <c r="M273" i="1"/>
  <c r="L273" i="1"/>
  <c r="K273" i="1"/>
  <c r="J273" i="1"/>
  <c r="H273" i="1"/>
  <c r="G273" i="1"/>
  <c r="F273" i="1"/>
  <c r="E273" i="1"/>
  <c r="D273" i="1"/>
  <c r="C273" i="1"/>
  <c r="B273" i="1"/>
  <c r="M272" i="1"/>
  <c r="L272" i="1"/>
  <c r="K272" i="1"/>
  <c r="J272" i="1"/>
  <c r="H272" i="1"/>
  <c r="G272" i="1"/>
  <c r="F272" i="1"/>
  <c r="E272" i="1"/>
  <c r="D272" i="1"/>
  <c r="C272" i="1"/>
  <c r="B272" i="1"/>
  <c r="M271" i="1"/>
  <c r="L271" i="1"/>
  <c r="K271" i="1"/>
  <c r="J271" i="1"/>
  <c r="H271" i="1"/>
  <c r="G271" i="1"/>
  <c r="F271" i="1"/>
  <c r="E271" i="1"/>
  <c r="D271" i="1"/>
  <c r="C271" i="1"/>
  <c r="B271" i="1"/>
  <c r="M270" i="1"/>
  <c r="L270" i="1"/>
  <c r="K270" i="1"/>
  <c r="J270" i="1"/>
  <c r="H270" i="1"/>
  <c r="G270" i="1"/>
  <c r="F270" i="1"/>
  <c r="E270" i="1"/>
  <c r="D270" i="1"/>
  <c r="C270" i="1"/>
  <c r="B270" i="1"/>
  <c r="M269" i="1"/>
  <c r="L269" i="1"/>
  <c r="K269" i="1"/>
  <c r="J269" i="1"/>
  <c r="H269" i="1"/>
  <c r="G269" i="1"/>
  <c r="F269" i="1"/>
  <c r="E269" i="1"/>
  <c r="D269" i="1"/>
  <c r="C269" i="1"/>
  <c r="B269" i="1"/>
  <c r="M268" i="1"/>
  <c r="L268" i="1"/>
  <c r="K268" i="1"/>
  <c r="J268" i="1"/>
  <c r="H268" i="1"/>
  <c r="G268" i="1"/>
  <c r="F268" i="1"/>
  <c r="E268" i="1"/>
  <c r="D268" i="1"/>
  <c r="C268" i="1"/>
  <c r="B268" i="1"/>
  <c r="M267" i="1"/>
  <c r="L267" i="1"/>
  <c r="K267" i="1"/>
  <c r="J267" i="1"/>
  <c r="H267" i="1"/>
  <c r="G267" i="1"/>
  <c r="F267" i="1"/>
  <c r="E267" i="1"/>
  <c r="D267" i="1"/>
  <c r="C267" i="1"/>
  <c r="B267" i="1"/>
  <c r="M266" i="1"/>
  <c r="L266" i="1"/>
  <c r="K266" i="1"/>
  <c r="J266" i="1"/>
  <c r="H266" i="1"/>
  <c r="G266" i="1"/>
  <c r="F266" i="1"/>
  <c r="E266" i="1"/>
  <c r="D266" i="1"/>
  <c r="C266" i="1"/>
  <c r="B266" i="1"/>
  <c r="M265" i="1"/>
  <c r="L265" i="1"/>
  <c r="K265" i="1"/>
  <c r="J265" i="1"/>
  <c r="H265" i="1"/>
  <c r="G265" i="1"/>
  <c r="F265" i="1"/>
  <c r="E265" i="1"/>
  <c r="D265" i="1"/>
  <c r="C265" i="1"/>
  <c r="B265" i="1"/>
  <c r="M264" i="1"/>
  <c r="L264" i="1"/>
  <c r="K264" i="1"/>
  <c r="J264" i="1"/>
  <c r="H264" i="1"/>
  <c r="G264" i="1"/>
  <c r="F264" i="1"/>
  <c r="E264" i="1"/>
  <c r="D264" i="1"/>
  <c r="C264" i="1"/>
  <c r="B264" i="1"/>
  <c r="M263" i="1"/>
  <c r="L263" i="1"/>
  <c r="K263" i="1"/>
  <c r="J263" i="1"/>
  <c r="H263" i="1"/>
  <c r="G263" i="1"/>
  <c r="F263" i="1"/>
  <c r="E263" i="1"/>
  <c r="D263" i="1"/>
  <c r="C263" i="1"/>
  <c r="B263" i="1"/>
  <c r="M262" i="1"/>
  <c r="L262" i="1"/>
  <c r="K262" i="1"/>
  <c r="J262" i="1"/>
  <c r="H262" i="1"/>
  <c r="G262" i="1"/>
  <c r="F262" i="1"/>
  <c r="E262" i="1"/>
  <c r="D262" i="1"/>
  <c r="C262" i="1"/>
  <c r="B262" i="1"/>
  <c r="M261" i="1"/>
  <c r="L261" i="1"/>
  <c r="K261" i="1"/>
  <c r="J261" i="1"/>
  <c r="H261" i="1"/>
  <c r="G261" i="1"/>
  <c r="F261" i="1"/>
  <c r="E261" i="1"/>
  <c r="D261" i="1"/>
  <c r="C261" i="1"/>
  <c r="B261" i="1"/>
  <c r="M260" i="1"/>
  <c r="L260" i="1"/>
  <c r="K260" i="1"/>
  <c r="J260" i="1"/>
  <c r="H260" i="1"/>
  <c r="G260" i="1"/>
  <c r="F260" i="1"/>
  <c r="E260" i="1"/>
  <c r="D260" i="1"/>
  <c r="C260" i="1"/>
  <c r="B260" i="1"/>
  <c r="M259" i="1"/>
  <c r="L259" i="1"/>
  <c r="K259" i="1"/>
  <c r="J259" i="1"/>
  <c r="H259" i="1"/>
  <c r="G259" i="1"/>
  <c r="F259" i="1"/>
  <c r="E259" i="1"/>
  <c r="D259" i="1"/>
  <c r="C259" i="1"/>
  <c r="B259" i="1"/>
  <c r="M258" i="1"/>
  <c r="L258" i="1"/>
  <c r="K258" i="1"/>
  <c r="J258" i="1"/>
  <c r="H258" i="1"/>
  <c r="G258" i="1"/>
  <c r="F258" i="1"/>
  <c r="E258" i="1"/>
  <c r="D258" i="1"/>
  <c r="C258" i="1"/>
  <c r="B258" i="1"/>
  <c r="M257" i="1"/>
  <c r="L257" i="1"/>
  <c r="K257" i="1"/>
  <c r="J257" i="1"/>
  <c r="H257" i="1"/>
  <c r="G257" i="1"/>
  <c r="F257" i="1"/>
  <c r="E257" i="1"/>
  <c r="D257" i="1"/>
  <c r="C257" i="1"/>
  <c r="B257" i="1"/>
  <c r="M256" i="1"/>
  <c r="L256" i="1"/>
  <c r="K256" i="1"/>
  <c r="J256" i="1"/>
  <c r="H256" i="1"/>
  <c r="G256" i="1"/>
  <c r="F256" i="1"/>
  <c r="E256" i="1"/>
  <c r="D256" i="1"/>
  <c r="C256" i="1"/>
  <c r="B256" i="1"/>
  <c r="M255" i="1"/>
  <c r="L255" i="1"/>
  <c r="K255" i="1"/>
  <c r="J255" i="1"/>
  <c r="H255" i="1"/>
  <c r="G255" i="1"/>
  <c r="F255" i="1"/>
  <c r="E255" i="1"/>
  <c r="D255" i="1"/>
  <c r="C255" i="1"/>
  <c r="B255" i="1"/>
  <c r="M254" i="1"/>
  <c r="L254" i="1"/>
  <c r="K254" i="1"/>
  <c r="J254" i="1"/>
  <c r="H254" i="1"/>
  <c r="G254" i="1"/>
  <c r="F254" i="1"/>
  <c r="E254" i="1"/>
  <c r="D254" i="1"/>
  <c r="C254" i="1"/>
  <c r="B254" i="1"/>
  <c r="M253" i="1"/>
  <c r="L253" i="1"/>
  <c r="K253" i="1"/>
  <c r="J253" i="1"/>
  <c r="H253" i="1"/>
  <c r="G253" i="1"/>
  <c r="F253" i="1"/>
  <c r="E253" i="1"/>
  <c r="D253" i="1"/>
  <c r="C253" i="1"/>
  <c r="B253" i="1"/>
  <c r="M252" i="1"/>
  <c r="L252" i="1"/>
  <c r="K252" i="1"/>
  <c r="J252" i="1"/>
  <c r="H252" i="1"/>
  <c r="G252" i="1"/>
  <c r="F252" i="1"/>
  <c r="E252" i="1"/>
  <c r="D252" i="1"/>
  <c r="C252" i="1"/>
  <c r="B252" i="1"/>
  <c r="M251" i="1"/>
  <c r="L251" i="1"/>
  <c r="K251" i="1"/>
  <c r="J251" i="1"/>
  <c r="H251" i="1"/>
  <c r="G251" i="1"/>
  <c r="F251" i="1"/>
  <c r="E251" i="1"/>
  <c r="D251" i="1"/>
  <c r="C251" i="1"/>
  <c r="B251" i="1"/>
  <c r="M250" i="1"/>
  <c r="L250" i="1"/>
  <c r="K250" i="1"/>
  <c r="J250" i="1"/>
  <c r="H250" i="1"/>
  <c r="G250" i="1"/>
  <c r="F250" i="1"/>
  <c r="E250" i="1"/>
  <c r="D250" i="1"/>
  <c r="C250" i="1"/>
  <c r="B250" i="1"/>
  <c r="M249" i="1"/>
  <c r="L249" i="1"/>
  <c r="K249" i="1"/>
  <c r="J249" i="1"/>
  <c r="H249" i="1"/>
  <c r="G249" i="1"/>
  <c r="F249" i="1"/>
  <c r="E249" i="1"/>
  <c r="D249" i="1"/>
  <c r="C249" i="1"/>
  <c r="B249" i="1"/>
  <c r="M248" i="1"/>
  <c r="L248" i="1"/>
  <c r="K248" i="1"/>
  <c r="J248" i="1"/>
  <c r="H248" i="1"/>
  <c r="G248" i="1"/>
  <c r="F248" i="1"/>
  <c r="E248" i="1"/>
  <c r="D248" i="1"/>
  <c r="C248" i="1"/>
  <c r="B248" i="1"/>
  <c r="M247" i="1"/>
  <c r="L247" i="1"/>
  <c r="K247" i="1"/>
  <c r="J247" i="1"/>
  <c r="H247" i="1"/>
  <c r="G247" i="1"/>
  <c r="F247" i="1"/>
  <c r="E247" i="1"/>
  <c r="D247" i="1"/>
  <c r="C247" i="1"/>
  <c r="B247" i="1"/>
  <c r="M246" i="1"/>
  <c r="L246" i="1"/>
  <c r="K246" i="1"/>
  <c r="J246" i="1"/>
  <c r="H246" i="1"/>
  <c r="G246" i="1"/>
  <c r="F246" i="1"/>
  <c r="E246" i="1"/>
  <c r="D246" i="1"/>
  <c r="C246" i="1"/>
  <c r="B246" i="1"/>
  <c r="M245" i="1"/>
  <c r="L245" i="1"/>
  <c r="K245" i="1"/>
  <c r="J245" i="1"/>
  <c r="H245" i="1"/>
  <c r="G245" i="1"/>
  <c r="F245" i="1"/>
  <c r="E245" i="1"/>
  <c r="D245" i="1"/>
  <c r="C245" i="1"/>
  <c r="B245" i="1"/>
  <c r="M244" i="1"/>
  <c r="L244" i="1"/>
  <c r="K244" i="1"/>
  <c r="J244" i="1"/>
  <c r="H244" i="1"/>
  <c r="G244" i="1"/>
  <c r="F244" i="1"/>
  <c r="E244" i="1"/>
  <c r="D244" i="1"/>
  <c r="C244" i="1"/>
  <c r="B244" i="1"/>
  <c r="M243" i="1"/>
  <c r="L243" i="1"/>
  <c r="K243" i="1"/>
  <c r="J243" i="1"/>
  <c r="H243" i="1"/>
  <c r="G243" i="1"/>
  <c r="F243" i="1"/>
  <c r="E243" i="1"/>
  <c r="D243" i="1"/>
  <c r="C243" i="1"/>
  <c r="B243" i="1"/>
  <c r="M242" i="1"/>
  <c r="L242" i="1"/>
  <c r="K242" i="1"/>
  <c r="J242" i="1"/>
  <c r="H242" i="1"/>
  <c r="G242" i="1"/>
  <c r="F242" i="1"/>
  <c r="E242" i="1"/>
  <c r="D242" i="1"/>
  <c r="C242" i="1"/>
  <c r="B242" i="1"/>
  <c r="M241" i="1"/>
  <c r="L241" i="1"/>
  <c r="K241" i="1"/>
  <c r="J241" i="1"/>
  <c r="H241" i="1"/>
  <c r="G241" i="1"/>
  <c r="F241" i="1"/>
  <c r="E241" i="1"/>
  <c r="D241" i="1"/>
  <c r="C241" i="1"/>
  <c r="B241" i="1"/>
  <c r="M240" i="1"/>
  <c r="L240" i="1"/>
  <c r="K240" i="1"/>
  <c r="J240" i="1"/>
  <c r="H240" i="1"/>
  <c r="G240" i="1"/>
  <c r="F240" i="1"/>
  <c r="E240" i="1"/>
  <c r="D240" i="1"/>
  <c r="C240" i="1"/>
  <c r="B240" i="1"/>
  <c r="M239" i="1"/>
  <c r="L239" i="1"/>
  <c r="K239" i="1"/>
  <c r="J239" i="1"/>
  <c r="H239" i="1"/>
  <c r="G239" i="1"/>
  <c r="F239" i="1"/>
  <c r="E239" i="1"/>
  <c r="D239" i="1"/>
  <c r="C239" i="1"/>
  <c r="B239" i="1"/>
  <c r="M238" i="1"/>
  <c r="L238" i="1"/>
  <c r="K238" i="1"/>
  <c r="J238" i="1"/>
  <c r="H238" i="1"/>
  <c r="G238" i="1"/>
  <c r="F238" i="1"/>
  <c r="E238" i="1"/>
  <c r="D238" i="1"/>
  <c r="C238" i="1"/>
  <c r="B238" i="1"/>
  <c r="M237" i="1"/>
  <c r="L237" i="1"/>
  <c r="K237" i="1"/>
  <c r="J237" i="1"/>
  <c r="H237" i="1"/>
  <c r="G237" i="1"/>
  <c r="F237" i="1"/>
  <c r="E237" i="1"/>
  <c r="D237" i="1"/>
  <c r="C237" i="1"/>
  <c r="B237" i="1"/>
  <c r="M236" i="1"/>
  <c r="L236" i="1"/>
  <c r="K236" i="1"/>
  <c r="J236" i="1"/>
  <c r="H236" i="1"/>
  <c r="G236" i="1"/>
  <c r="F236" i="1"/>
  <c r="E236" i="1"/>
  <c r="D236" i="1"/>
  <c r="C236" i="1"/>
  <c r="B236" i="1"/>
  <c r="M235" i="1"/>
  <c r="L235" i="1"/>
  <c r="K235" i="1"/>
  <c r="J235" i="1"/>
  <c r="H235" i="1"/>
  <c r="G235" i="1"/>
  <c r="F235" i="1"/>
  <c r="E235" i="1"/>
  <c r="D235" i="1"/>
  <c r="C235" i="1"/>
  <c r="B235" i="1"/>
  <c r="M234" i="1"/>
  <c r="L234" i="1"/>
  <c r="K234" i="1"/>
  <c r="J234" i="1"/>
  <c r="H234" i="1"/>
  <c r="G234" i="1"/>
  <c r="F234" i="1"/>
  <c r="E234" i="1"/>
  <c r="D234" i="1"/>
  <c r="C234" i="1"/>
  <c r="B234" i="1"/>
  <c r="M233" i="1"/>
  <c r="L233" i="1"/>
  <c r="K233" i="1"/>
  <c r="J233" i="1"/>
  <c r="H233" i="1"/>
  <c r="G233" i="1"/>
  <c r="F233" i="1"/>
  <c r="E233" i="1"/>
  <c r="D233" i="1"/>
  <c r="C233" i="1"/>
  <c r="B233" i="1"/>
  <c r="M232" i="1"/>
  <c r="L232" i="1"/>
  <c r="K232" i="1"/>
  <c r="J232" i="1"/>
  <c r="H232" i="1"/>
  <c r="G232" i="1"/>
  <c r="F232" i="1"/>
  <c r="E232" i="1"/>
  <c r="D232" i="1"/>
  <c r="C232" i="1"/>
  <c r="B232" i="1"/>
  <c r="M231" i="1"/>
  <c r="L231" i="1"/>
  <c r="K231" i="1"/>
  <c r="J231" i="1"/>
  <c r="H231" i="1"/>
  <c r="G231" i="1"/>
  <c r="F231" i="1"/>
  <c r="E231" i="1"/>
  <c r="D231" i="1"/>
  <c r="C231" i="1"/>
  <c r="B231" i="1"/>
  <c r="M230" i="1"/>
  <c r="L230" i="1"/>
  <c r="K230" i="1"/>
  <c r="J230" i="1"/>
  <c r="H230" i="1"/>
  <c r="G230" i="1"/>
  <c r="F230" i="1"/>
  <c r="E230" i="1"/>
  <c r="D230" i="1"/>
  <c r="C230" i="1"/>
  <c r="B230" i="1"/>
  <c r="M229" i="1"/>
  <c r="L229" i="1"/>
  <c r="K229" i="1"/>
  <c r="J229" i="1"/>
  <c r="H229" i="1"/>
  <c r="G229" i="1"/>
  <c r="F229" i="1"/>
  <c r="E229" i="1"/>
  <c r="D229" i="1"/>
  <c r="C229" i="1"/>
  <c r="B229" i="1"/>
  <c r="M228" i="1"/>
  <c r="L228" i="1"/>
  <c r="K228" i="1"/>
  <c r="J228" i="1"/>
  <c r="H228" i="1"/>
  <c r="G228" i="1"/>
  <c r="F228" i="1"/>
  <c r="E228" i="1"/>
  <c r="D228" i="1"/>
  <c r="C228" i="1"/>
  <c r="B228" i="1"/>
  <c r="M227" i="1"/>
  <c r="L227" i="1"/>
  <c r="K227" i="1"/>
  <c r="J227" i="1"/>
  <c r="H227" i="1"/>
  <c r="G227" i="1"/>
  <c r="F227" i="1"/>
  <c r="E227" i="1"/>
  <c r="D227" i="1"/>
  <c r="C227" i="1"/>
  <c r="B227" i="1"/>
  <c r="M226" i="1"/>
  <c r="L226" i="1"/>
  <c r="K226" i="1"/>
  <c r="J226" i="1"/>
  <c r="H226" i="1"/>
  <c r="G226" i="1"/>
  <c r="F226" i="1"/>
  <c r="E226" i="1"/>
  <c r="D226" i="1"/>
  <c r="C226" i="1"/>
  <c r="B226" i="1"/>
  <c r="M225" i="1"/>
  <c r="L225" i="1"/>
  <c r="K225" i="1"/>
  <c r="J225" i="1"/>
  <c r="H225" i="1"/>
  <c r="G225" i="1"/>
  <c r="F225" i="1"/>
  <c r="E225" i="1"/>
  <c r="D225" i="1"/>
  <c r="C225" i="1"/>
  <c r="B225" i="1"/>
  <c r="M224" i="1"/>
  <c r="L224" i="1"/>
  <c r="K224" i="1"/>
  <c r="J224" i="1"/>
  <c r="H224" i="1"/>
  <c r="G224" i="1"/>
  <c r="F224" i="1"/>
  <c r="E224" i="1"/>
  <c r="D224" i="1"/>
  <c r="C224" i="1"/>
  <c r="B224" i="1"/>
  <c r="M223" i="1"/>
  <c r="L223" i="1"/>
  <c r="K223" i="1"/>
  <c r="J223" i="1"/>
  <c r="H223" i="1"/>
  <c r="G223" i="1"/>
  <c r="F223" i="1"/>
  <c r="E223" i="1"/>
  <c r="D223" i="1"/>
  <c r="C223" i="1"/>
  <c r="B223" i="1"/>
  <c r="M222" i="1"/>
  <c r="L222" i="1"/>
  <c r="K222" i="1"/>
  <c r="J222" i="1"/>
  <c r="H222" i="1"/>
  <c r="G222" i="1"/>
  <c r="F222" i="1"/>
  <c r="E222" i="1"/>
  <c r="D222" i="1"/>
  <c r="C222" i="1"/>
  <c r="B222" i="1"/>
  <c r="M221" i="1"/>
  <c r="L221" i="1"/>
  <c r="K221" i="1"/>
  <c r="J221" i="1"/>
  <c r="H221" i="1"/>
  <c r="G221" i="1"/>
  <c r="F221" i="1"/>
  <c r="E221" i="1"/>
  <c r="D221" i="1"/>
  <c r="C221" i="1"/>
  <c r="B221" i="1"/>
  <c r="M220" i="1"/>
  <c r="L220" i="1"/>
  <c r="K220" i="1"/>
  <c r="J220" i="1"/>
  <c r="H220" i="1"/>
  <c r="G220" i="1"/>
  <c r="F220" i="1"/>
  <c r="E220" i="1"/>
  <c r="D220" i="1"/>
  <c r="C220" i="1"/>
  <c r="B220" i="1"/>
  <c r="M219" i="1"/>
  <c r="L219" i="1"/>
  <c r="K219" i="1"/>
  <c r="J219" i="1"/>
  <c r="H219" i="1"/>
  <c r="G219" i="1"/>
  <c r="F219" i="1"/>
  <c r="E219" i="1"/>
  <c r="D219" i="1"/>
  <c r="C219" i="1"/>
  <c r="B219" i="1"/>
  <c r="M218" i="1"/>
  <c r="L218" i="1"/>
  <c r="K218" i="1"/>
  <c r="J218" i="1"/>
  <c r="H218" i="1"/>
  <c r="G218" i="1"/>
  <c r="F218" i="1"/>
  <c r="E218" i="1"/>
  <c r="D218" i="1"/>
  <c r="C218" i="1"/>
  <c r="B218" i="1"/>
  <c r="M217" i="1"/>
  <c r="L217" i="1"/>
  <c r="K217" i="1"/>
  <c r="J217" i="1"/>
  <c r="H217" i="1"/>
  <c r="G217" i="1"/>
  <c r="F217" i="1"/>
  <c r="E217" i="1"/>
  <c r="D217" i="1"/>
  <c r="C217" i="1"/>
  <c r="B217" i="1"/>
  <c r="M216" i="1"/>
  <c r="L216" i="1"/>
  <c r="K216" i="1"/>
  <c r="J216" i="1"/>
  <c r="H216" i="1"/>
  <c r="G216" i="1"/>
  <c r="F216" i="1"/>
  <c r="E216" i="1"/>
  <c r="D216" i="1"/>
  <c r="C216" i="1"/>
  <c r="B216" i="1"/>
  <c r="M215" i="1"/>
  <c r="L215" i="1"/>
  <c r="K215" i="1"/>
  <c r="J215" i="1"/>
  <c r="H215" i="1"/>
  <c r="G215" i="1"/>
  <c r="F215" i="1"/>
  <c r="E215" i="1"/>
  <c r="D215" i="1"/>
  <c r="C215" i="1"/>
  <c r="B215" i="1"/>
  <c r="M214" i="1"/>
  <c r="L214" i="1"/>
  <c r="K214" i="1"/>
  <c r="J214" i="1"/>
  <c r="H214" i="1"/>
  <c r="G214" i="1"/>
  <c r="F214" i="1"/>
  <c r="E214" i="1"/>
  <c r="D214" i="1"/>
  <c r="C214" i="1"/>
  <c r="B214" i="1"/>
  <c r="M213" i="1"/>
  <c r="L213" i="1"/>
  <c r="K213" i="1"/>
  <c r="J213" i="1"/>
  <c r="H213" i="1"/>
  <c r="G213" i="1"/>
  <c r="F213" i="1"/>
  <c r="E213" i="1"/>
  <c r="D213" i="1"/>
  <c r="C213" i="1"/>
  <c r="B213" i="1"/>
  <c r="M212" i="1"/>
  <c r="L212" i="1"/>
  <c r="K212" i="1"/>
  <c r="J212" i="1"/>
  <c r="H212" i="1"/>
  <c r="G212" i="1"/>
  <c r="F212" i="1"/>
  <c r="E212" i="1"/>
  <c r="D212" i="1"/>
  <c r="C212" i="1"/>
  <c r="B212" i="1"/>
  <c r="M211" i="1"/>
  <c r="L211" i="1"/>
  <c r="K211" i="1"/>
  <c r="J211" i="1"/>
  <c r="H211" i="1"/>
  <c r="G211" i="1"/>
  <c r="F211" i="1"/>
  <c r="E211" i="1"/>
  <c r="D211" i="1"/>
  <c r="C211" i="1"/>
  <c r="B211" i="1"/>
  <c r="M210" i="1"/>
  <c r="L210" i="1"/>
  <c r="K210" i="1"/>
  <c r="J210" i="1"/>
  <c r="H210" i="1"/>
  <c r="G210" i="1"/>
  <c r="F210" i="1"/>
  <c r="E210" i="1"/>
  <c r="D210" i="1"/>
  <c r="C210" i="1"/>
  <c r="B210" i="1"/>
  <c r="M209" i="1"/>
  <c r="L209" i="1"/>
  <c r="K209" i="1"/>
  <c r="J209" i="1"/>
  <c r="H209" i="1"/>
  <c r="G209" i="1"/>
  <c r="F209" i="1"/>
  <c r="E209" i="1"/>
  <c r="D209" i="1"/>
  <c r="C209" i="1"/>
  <c r="B209" i="1"/>
  <c r="M208" i="1"/>
  <c r="L208" i="1"/>
  <c r="K208" i="1"/>
  <c r="J208" i="1"/>
  <c r="H208" i="1"/>
  <c r="G208" i="1"/>
  <c r="F208" i="1"/>
  <c r="E208" i="1"/>
  <c r="D208" i="1"/>
  <c r="C208" i="1"/>
  <c r="B208" i="1"/>
  <c r="M207" i="1"/>
  <c r="L207" i="1"/>
  <c r="K207" i="1"/>
  <c r="J207" i="1"/>
  <c r="H207" i="1"/>
  <c r="G207" i="1"/>
  <c r="F207" i="1"/>
  <c r="E207" i="1"/>
  <c r="D207" i="1"/>
  <c r="C207" i="1"/>
  <c r="B207" i="1"/>
  <c r="M206" i="1"/>
  <c r="L206" i="1"/>
  <c r="K206" i="1"/>
  <c r="J206" i="1"/>
  <c r="H206" i="1"/>
  <c r="G206" i="1"/>
  <c r="F206" i="1"/>
  <c r="E206" i="1"/>
  <c r="D206" i="1"/>
  <c r="C206" i="1"/>
  <c r="B206" i="1"/>
  <c r="M205" i="1"/>
  <c r="L205" i="1"/>
  <c r="K205" i="1"/>
  <c r="J205" i="1"/>
  <c r="H205" i="1"/>
  <c r="G205" i="1"/>
  <c r="F205" i="1"/>
  <c r="E205" i="1"/>
  <c r="D205" i="1"/>
  <c r="C205" i="1"/>
  <c r="B205" i="1"/>
  <c r="M204" i="1"/>
  <c r="L204" i="1"/>
  <c r="K204" i="1"/>
  <c r="J204" i="1"/>
  <c r="H204" i="1"/>
  <c r="G204" i="1"/>
  <c r="F204" i="1"/>
  <c r="E204" i="1"/>
  <c r="D204" i="1"/>
  <c r="C204" i="1"/>
  <c r="B204" i="1"/>
  <c r="M203" i="1"/>
  <c r="L203" i="1"/>
  <c r="K203" i="1"/>
  <c r="J203" i="1"/>
  <c r="H203" i="1"/>
  <c r="G203" i="1"/>
  <c r="F203" i="1"/>
  <c r="E203" i="1"/>
  <c r="D203" i="1"/>
  <c r="C203" i="1"/>
  <c r="B203" i="1"/>
  <c r="M202" i="1"/>
  <c r="L202" i="1"/>
  <c r="K202" i="1"/>
  <c r="J202" i="1"/>
  <c r="H202" i="1"/>
  <c r="G202" i="1"/>
  <c r="F202" i="1"/>
  <c r="E202" i="1"/>
  <c r="D202" i="1"/>
  <c r="C202" i="1"/>
  <c r="B202" i="1"/>
  <c r="M201" i="1"/>
  <c r="L201" i="1"/>
  <c r="K201" i="1"/>
  <c r="J201" i="1"/>
  <c r="H201" i="1"/>
  <c r="G201" i="1"/>
  <c r="F201" i="1"/>
  <c r="E201" i="1"/>
  <c r="D201" i="1"/>
  <c r="C201" i="1"/>
  <c r="B201" i="1"/>
  <c r="M200" i="1"/>
  <c r="L200" i="1"/>
  <c r="K200" i="1"/>
  <c r="J200" i="1"/>
  <c r="H200" i="1"/>
  <c r="G200" i="1"/>
  <c r="F200" i="1"/>
  <c r="E200" i="1"/>
  <c r="D200" i="1"/>
  <c r="C200" i="1"/>
  <c r="B200" i="1"/>
  <c r="M199" i="1"/>
  <c r="L199" i="1"/>
  <c r="K199" i="1"/>
  <c r="J199" i="1"/>
  <c r="H199" i="1"/>
  <c r="G199" i="1"/>
  <c r="F199" i="1"/>
  <c r="E199" i="1"/>
  <c r="D199" i="1"/>
  <c r="C199" i="1"/>
  <c r="B199" i="1"/>
  <c r="M198" i="1"/>
  <c r="L198" i="1"/>
  <c r="K198" i="1"/>
  <c r="J198" i="1"/>
  <c r="H198" i="1"/>
  <c r="G198" i="1"/>
  <c r="F198" i="1"/>
  <c r="E198" i="1"/>
  <c r="D198" i="1"/>
  <c r="C198" i="1"/>
  <c r="B198" i="1"/>
  <c r="M197" i="1"/>
  <c r="L197" i="1"/>
  <c r="K197" i="1"/>
  <c r="J197" i="1"/>
  <c r="H197" i="1"/>
  <c r="G197" i="1"/>
  <c r="F197" i="1"/>
  <c r="E197" i="1"/>
  <c r="D197" i="1"/>
  <c r="C197" i="1"/>
  <c r="B197" i="1"/>
  <c r="M196" i="1"/>
  <c r="L196" i="1"/>
  <c r="K196" i="1"/>
  <c r="J196" i="1"/>
  <c r="H196" i="1"/>
  <c r="G196" i="1"/>
  <c r="F196" i="1"/>
  <c r="E196" i="1"/>
  <c r="D196" i="1"/>
  <c r="C196" i="1"/>
  <c r="B196" i="1"/>
  <c r="M195" i="1"/>
  <c r="L195" i="1"/>
  <c r="K195" i="1"/>
  <c r="J195" i="1"/>
  <c r="H195" i="1"/>
  <c r="G195" i="1"/>
  <c r="F195" i="1"/>
  <c r="E195" i="1"/>
  <c r="D195" i="1"/>
  <c r="C195" i="1"/>
  <c r="B195" i="1"/>
  <c r="M194" i="1"/>
  <c r="L194" i="1"/>
  <c r="K194" i="1"/>
  <c r="J194" i="1"/>
  <c r="H194" i="1"/>
  <c r="G194" i="1"/>
  <c r="F194" i="1"/>
  <c r="E194" i="1"/>
  <c r="D194" i="1"/>
  <c r="C194" i="1"/>
  <c r="B194" i="1"/>
  <c r="M193" i="1"/>
  <c r="L193" i="1"/>
  <c r="K193" i="1"/>
  <c r="J193" i="1"/>
  <c r="H193" i="1"/>
  <c r="G193" i="1"/>
  <c r="F193" i="1"/>
  <c r="E193" i="1"/>
  <c r="D193" i="1"/>
  <c r="C193" i="1"/>
  <c r="B193" i="1"/>
  <c r="M192" i="1"/>
  <c r="L192" i="1"/>
  <c r="K192" i="1"/>
  <c r="J192" i="1"/>
  <c r="H192" i="1"/>
  <c r="G192" i="1"/>
  <c r="F192" i="1"/>
  <c r="E192" i="1"/>
  <c r="D192" i="1"/>
  <c r="C192" i="1"/>
  <c r="B192" i="1"/>
  <c r="M191" i="1"/>
  <c r="L191" i="1"/>
  <c r="K191" i="1"/>
  <c r="J191" i="1"/>
  <c r="H191" i="1"/>
  <c r="G191" i="1"/>
  <c r="F191" i="1"/>
  <c r="E191" i="1"/>
  <c r="D191" i="1"/>
  <c r="C191" i="1"/>
  <c r="B191" i="1"/>
  <c r="M190" i="1"/>
  <c r="L190" i="1"/>
  <c r="K190" i="1"/>
  <c r="J190" i="1"/>
  <c r="H190" i="1"/>
  <c r="G190" i="1"/>
  <c r="F190" i="1"/>
  <c r="E190" i="1"/>
  <c r="D190" i="1"/>
  <c r="C190" i="1"/>
  <c r="B190" i="1"/>
  <c r="M189" i="1"/>
  <c r="L189" i="1"/>
  <c r="K189" i="1"/>
  <c r="J189" i="1"/>
  <c r="H189" i="1"/>
  <c r="G189" i="1"/>
  <c r="F189" i="1"/>
  <c r="E189" i="1"/>
  <c r="D189" i="1"/>
  <c r="C189" i="1"/>
  <c r="B189" i="1"/>
  <c r="M188" i="1"/>
  <c r="L188" i="1"/>
  <c r="K188" i="1"/>
  <c r="J188" i="1"/>
  <c r="H188" i="1"/>
  <c r="G188" i="1"/>
  <c r="F188" i="1"/>
  <c r="E188" i="1"/>
  <c r="D188" i="1"/>
  <c r="C188" i="1"/>
  <c r="B188" i="1"/>
  <c r="M187" i="1"/>
  <c r="L187" i="1"/>
  <c r="K187" i="1"/>
  <c r="J187" i="1"/>
  <c r="H187" i="1"/>
  <c r="G187" i="1"/>
  <c r="F187" i="1"/>
  <c r="E187" i="1"/>
  <c r="D187" i="1"/>
  <c r="C187" i="1"/>
  <c r="B187" i="1"/>
  <c r="M186" i="1"/>
  <c r="L186" i="1"/>
  <c r="K186" i="1"/>
  <c r="J186" i="1"/>
  <c r="H186" i="1"/>
  <c r="G186" i="1"/>
  <c r="F186" i="1"/>
  <c r="E186" i="1"/>
  <c r="D186" i="1"/>
  <c r="C186" i="1"/>
  <c r="B186" i="1"/>
  <c r="M185" i="1"/>
  <c r="L185" i="1"/>
  <c r="K185" i="1"/>
  <c r="J185" i="1"/>
  <c r="H185" i="1"/>
  <c r="G185" i="1"/>
  <c r="F185" i="1"/>
  <c r="E185" i="1"/>
  <c r="D185" i="1"/>
  <c r="C185" i="1"/>
  <c r="B185" i="1"/>
  <c r="M184" i="1"/>
  <c r="L184" i="1"/>
  <c r="K184" i="1"/>
  <c r="J184" i="1"/>
  <c r="H184" i="1"/>
  <c r="G184" i="1"/>
  <c r="F184" i="1"/>
  <c r="E184" i="1"/>
  <c r="D184" i="1"/>
  <c r="C184" i="1"/>
  <c r="B184" i="1"/>
  <c r="M183" i="1"/>
  <c r="L183" i="1"/>
  <c r="K183" i="1"/>
  <c r="J183" i="1"/>
  <c r="H183" i="1"/>
  <c r="G183" i="1"/>
  <c r="F183" i="1"/>
  <c r="E183" i="1"/>
  <c r="D183" i="1"/>
  <c r="C183" i="1"/>
  <c r="B183" i="1"/>
  <c r="M182" i="1"/>
  <c r="L182" i="1"/>
  <c r="K182" i="1"/>
  <c r="J182" i="1"/>
  <c r="H182" i="1"/>
  <c r="G182" i="1"/>
  <c r="F182" i="1"/>
  <c r="E182" i="1"/>
  <c r="D182" i="1"/>
  <c r="C182" i="1"/>
  <c r="B182" i="1"/>
  <c r="M181" i="1"/>
  <c r="L181" i="1"/>
  <c r="K181" i="1"/>
  <c r="J181" i="1"/>
  <c r="H181" i="1"/>
  <c r="G181" i="1"/>
  <c r="F181" i="1"/>
  <c r="E181" i="1"/>
  <c r="D181" i="1"/>
  <c r="C181" i="1"/>
  <c r="B181" i="1"/>
  <c r="M180" i="1"/>
  <c r="L180" i="1"/>
  <c r="K180" i="1"/>
  <c r="J180" i="1"/>
  <c r="H180" i="1"/>
  <c r="G180" i="1"/>
  <c r="F180" i="1"/>
  <c r="E180" i="1"/>
  <c r="D180" i="1"/>
  <c r="C180" i="1"/>
  <c r="B180" i="1"/>
  <c r="M179" i="1"/>
  <c r="L179" i="1"/>
  <c r="K179" i="1"/>
  <c r="J179" i="1"/>
  <c r="H179" i="1"/>
  <c r="G179" i="1"/>
  <c r="F179" i="1"/>
  <c r="E179" i="1"/>
  <c r="D179" i="1"/>
  <c r="C179" i="1"/>
  <c r="B179" i="1"/>
  <c r="M178" i="1"/>
  <c r="L178" i="1"/>
  <c r="K178" i="1"/>
  <c r="J178" i="1"/>
  <c r="H178" i="1"/>
  <c r="G178" i="1"/>
  <c r="F178" i="1"/>
  <c r="E178" i="1"/>
  <c r="D178" i="1"/>
  <c r="C178" i="1"/>
  <c r="B178" i="1"/>
  <c r="M177" i="1"/>
  <c r="L177" i="1"/>
  <c r="K177" i="1"/>
  <c r="J177" i="1"/>
  <c r="H177" i="1"/>
  <c r="G177" i="1"/>
  <c r="F177" i="1"/>
  <c r="E177" i="1"/>
  <c r="D177" i="1"/>
  <c r="C177" i="1"/>
  <c r="B177" i="1"/>
  <c r="M176" i="1"/>
  <c r="L176" i="1"/>
  <c r="K176" i="1"/>
  <c r="J176" i="1"/>
  <c r="H176" i="1"/>
  <c r="G176" i="1"/>
  <c r="F176" i="1"/>
  <c r="E176" i="1"/>
  <c r="D176" i="1"/>
  <c r="C176" i="1"/>
  <c r="B176" i="1"/>
  <c r="M175" i="1"/>
  <c r="L175" i="1"/>
  <c r="K175" i="1"/>
  <c r="J175" i="1"/>
  <c r="H175" i="1"/>
  <c r="G175" i="1"/>
  <c r="F175" i="1"/>
  <c r="E175" i="1"/>
  <c r="D175" i="1"/>
  <c r="C175" i="1"/>
  <c r="B175" i="1"/>
  <c r="M174" i="1"/>
  <c r="L174" i="1"/>
  <c r="K174" i="1"/>
  <c r="J174" i="1"/>
  <c r="H174" i="1"/>
  <c r="G174" i="1"/>
  <c r="F174" i="1"/>
  <c r="E174" i="1"/>
  <c r="D174" i="1"/>
  <c r="C174" i="1"/>
  <c r="B174" i="1"/>
  <c r="M173" i="1"/>
  <c r="L173" i="1"/>
  <c r="K173" i="1"/>
  <c r="J173" i="1"/>
  <c r="H173" i="1"/>
  <c r="G173" i="1"/>
  <c r="F173" i="1"/>
  <c r="E173" i="1"/>
  <c r="D173" i="1"/>
  <c r="C173" i="1"/>
  <c r="B173" i="1"/>
  <c r="M172" i="1"/>
  <c r="L172" i="1"/>
  <c r="K172" i="1"/>
  <c r="J172" i="1"/>
  <c r="H172" i="1"/>
  <c r="G172" i="1"/>
  <c r="F172" i="1"/>
  <c r="E172" i="1"/>
  <c r="D172" i="1"/>
  <c r="C172" i="1"/>
  <c r="B172" i="1"/>
  <c r="M171" i="1"/>
  <c r="L171" i="1"/>
  <c r="K171" i="1"/>
  <c r="J171" i="1"/>
  <c r="H171" i="1"/>
  <c r="G171" i="1"/>
  <c r="F171" i="1"/>
  <c r="E171" i="1"/>
  <c r="D171" i="1"/>
  <c r="C171" i="1"/>
  <c r="B171" i="1"/>
  <c r="M170" i="1"/>
  <c r="L170" i="1"/>
  <c r="K170" i="1"/>
  <c r="J170" i="1"/>
  <c r="H170" i="1"/>
  <c r="G170" i="1"/>
  <c r="F170" i="1"/>
  <c r="E170" i="1"/>
  <c r="D170" i="1"/>
  <c r="C170" i="1"/>
  <c r="B170" i="1"/>
  <c r="M169" i="1"/>
  <c r="L169" i="1"/>
  <c r="K169" i="1"/>
  <c r="J169" i="1"/>
  <c r="H169" i="1"/>
  <c r="G169" i="1"/>
  <c r="F169" i="1"/>
  <c r="E169" i="1"/>
  <c r="D169" i="1"/>
  <c r="C169" i="1"/>
  <c r="B169" i="1"/>
  <c r="M168" i="1"/>
  <c r="L168" i="1"/>
  <c r="K168" i="1"/>
  <c r="J168" i="1"/>
  <c r="H168" i="1"/>
  <c r="G168" i="1"/>
  <c r="F168" i="1"/>
  <c r="E168" i="1"/>
  <c r="D168" i="1"/>
  <c r="C168" i="1"/>
  <c r="B168" i="1"/>
  <c r="M167" i="1"/>
  <c r="L167" i="1"/>
  <c r="K167" i="1"/>
  <c r="J167" i="1"/>
  <c r="H167" i="1"/>
  <c r="G167" i="1"/>
  <c r="F167" i="1"/>
  <c r="E167" i="1"/>
  <c r="D167" i="1"/>
  <c r="C167" i="1"/>
  <c r="B167" i="1"/>
  <c r="M166" i="1"/>
  <c r="L166" i="1"/>
  <c r="K166" i="1"/>
  <c r="J166" i="1"/>
  <c r="H166" i="1"/>
  <c r="G166" i="1"/>
  <c r="F166" i="1"/>
  <c r="E166" i="1"/>
  <c r="D166" i="1"/>
  <c r="C166" i="1"/>
  <c r="B166" i="1"/>
  <c r="M165" i="1"/>
  <c r="L165" i="1"/>
  <c r="K165" i="1"/>
  <c r="J165" i="1"/>
  <c r="H165" i="1"/>
  <c r="G165" i="1"/>
  <c r="F165" i="1"/>
  <c r="E165" i="1"/>
  <c r="D165" i="1"/>
  <c r="C165" i="1"/>
  <c r="B165" i="1"/>
  <c r="M164" i="1"/>
  <c r="L164" i="1"/>
  <c r="K164" i="1"/>
  <c r="J164" i="1"/>
  <c r="H164" i="1"/>
  <c r="G164" i="1"/>
  <c r="F164" i="1"/>
  <c r="E164" i="1"/>
  <c r="D164" i="1"/>
  <c r="C164" i="1"/>
  <c r="B164" i="1"/>
  <c r="M163" i="1"/>
  <c r="L163" i="1"/>
  <c r="K163" i="1"/>
  <c r="J163" i="1"/>
  <c r="H163" i="1"/>
  <c r="G163" i="1"/>
  <c r="F163" i="1"/>
  <c r="E163" i="1"/>
  <c r="D163" i="1"/>
  <c r="C163" i="1"/>
  <c r="B163" i="1"/>
  <c r="M162" i="1"/>
  <c r="L162" i="1"/>
  <c r="K162" i="1"/>
  <c r="J162" i="1"/>
  <c r="H162" i="1"/>
  <c r="G162" i="1"/>
  <c r="F162" i="1"/>
  <c r="E162" i="1"/>
  <c r="D162" i="1"/>
  <c r="C162" i="1"/>
  <c r="B162" i="1"/>
  <c r="M161" i="1"/>
  <c r="L161" i="1"/>
  <c r="K161" i="1"/>
  <c r="J161" i="1"/>
  <c r="H161" i="1"/>
  <c r="G161" i="1"/>
  <c r="F161" i="1"/>
  <c r="E161" i="1"/>
  <c r="D161" i="1"/>
  <c r="C161" i="1"/>
  <c r="B161" i="1"/>
  <c r="M160" i="1"/>
  <c r="L160" i="1"/>
  <c r="K160" i="1"/>
  <c r="J160" i="1"/>
  <c r="H160" i="1"/>
  <c r="G160" i="1"/>
  <c r="F160" i="1"/>
  <c r="E160" i="1"/>
  <c r="D160" i="1"/>
  <c r="C160" i="1"/>
  <c r="B160" i="1"/>
  <c r="M159" i="1"/>
  <c r="L159" i="1"/>
  <c r="K159" i="1"/>
  <c r="J159" i="1"/>
  <c r="H159" i="1"/>
  <c r="G159" i="1"/>
  <c r="F159" i="1"/>
  <c r="E159" i="1"/>
  <c r="D159" i="1"/>
  <c r="C159" i="1"/>
  <c r="B159" i="1"/>
  <c r="M158" i="1"/>
  <c r="L158" i="1"/>
  <c r="K158" i="1"/>
  <c r="J158" i="1"/>
  <c r="H158" i="1"/>
  <c r="G158" i="1"/>
  <c r="F158" i="1"/>
  <c r="E158" i="1"/>
  <c r="D158" i="1"/>
  <c r="C158" i="1"/>
  <c r="B158" i="1"/>
  <c r="M157" i="1"/>
  <c r="L157" i="1"/>
  <c r="K157" i="1"/>
  <c r="J157" i="1"/>
  <c r="H157" i="1"/>
  <c r="G157" i="1"/>
  <c r="F157" i="1"/>
  <c r="E157" i="1"/>
  <c r="D157" i="1"/>
  <c r="C157" i="1"/>
  <c r="B157" i="1"/>
  <c r="M156" i="1"/>
  <c r="L156" i="1"/>
  <c r="K156" i="1"/>
  <c r="J156" i="1"/>
  <c r="H156" i="1"/>
  <c r="G156" i="1"/>
  <c r="F156" i="1"/>
  <c r="E156" i="1"/>
  <c r="D156" i="1"/>
  <c r="C156" i="1"/>
  <c r="B156" i="1"/>
  <c r="M155" i="1"/>
  <c r="L155" i="1"/>
  <c r="K155" i="1"/>
  <c r="J155" i="1"/>
  <c r="H155" i="1"/>
  <c r="G155" i="1"/>
  <c r="F155" i="1"/>
  <c r="E155" i="1"/>
  <c r="D155" i="1"/>
  <c r="C155" i="1"/>
  <c r="B155" i="1"/>
  <c r="M154" i="1"/>
  <c r="L154" i="1"/>
  <c r="K154" i="1"/>
  <c r="J154" i="1"/>
  <c r="H154" i="1"/>
  <c r="G154" i="1"/>
  <c r="F154" i="1"/>
  <c r="E154" i="1"/>
  <c r="D154" i="1"/>
  <c r="C154" i="1"/>
  <c r="B154" i="1"/>
  <c r="M153" i="1"/>
  <c r="L153" i="1"/>
  <c r="K153" i="1"/>
  <c r="J153" i="1"/>
  <c r="H153" i="1"/>
  <c r="G153" i="1"/>
  <c r="F153" i="1"/>
  <c r="E153" i="1"/>
  <c r="D153" i="1"/>
  <c r="C153" i="1"/>
  <c r="B153" i="1"/>
  <c r="M152" i="1"/>
  <c r="L152" i="1"/>
  <c r="K152" i="1"/>
  <c r="J152" i="1"/>
  <c r="H152" i="1"/>
  <c r="G152" i="1"/>
  <c r="F152" i="1"/>
  <c r="E152" i="1"/>
  <c r="D152" i="1"/>
  <c r="C152" i="1"/>
  <c r="B152" i="1"/>
  <c r="M151" i="1"/>
  <c r="L151" i="1"/>
  <c r="K151" i="1"/>
  <c r="J151" i="1"/>
  <c r="H151" i="1"/>
  <c r="G151" i="1"/>
  <c r="F151" i="1"/>
  <c r="E151" i="1"/>
  <c r="D151" i="1"/>
  <c r="C151" i="1"/>
  <c r="B151" i="1"/>
  <c r="M150" i="1"/>
  <c r="L150" i="1"/>
  <c r="K150" i="1"/>
  <c r="J150" i="1"/>
  <c r="H150" i="1"/>
  <c r="G150" i="1"/>
  <c r="F150" i="1"/>
  <c r="E150" i="1"/>
  <c r="D150" i="1"/>
  <c r="C150" i="1"/>
  <c r="B150" i="1"/>
  <c r="M149" i="1"/>
  <c r="L149" i="1"/>
  <c r="K149" i="1"/>
  <c r="J149" i="1"/>
  <c r="H149" i="1"/>
  <c r="G149" i="1"/>
  <c r="F149" i="1"/>
  <c r="E149" i="1"/>
  <c r="D149" i="1"/>
  <c r="C149" i="1"/>
  <c r="B149" i="1"/>
  <c r="M148" i="1"/>
  <c r="L148" i="1"/>
  <c r="K148" i="1"/>
  <c r="J148" i="1"/>
  <c r="H148" i="1"/>
  <c r="G148" i="1"/>
  <c r="F148" i="1"/>
  <c r="E148" i="1"/>
  <c r="D148" i="1"/>
  <c r="C148" i="1"/>
  <c r="B148" i="1"/>
  <c r="M147" i="1"/>
  <c r="L147" i="1"/>
  <c r="K147" i="1"/>
  <c r="J147" i="1"/>
  <c r="H147" i="1"/>
  <c r="G147" i="1"/>
  <c r="F147" i="1"/>
  <c r="E147" i="1"/>
  <c r="D147" i="1"/>
  <c r="C147" i="1"/>
  <c r="B147" i="1"/>
  <c r="M146" i="1"/>
  <c r="L146" i="1"/>
  <c r="K146" i="1"/>
  <c r="J146" i="1"/>
  <c r="H146" i="1"/>
  <c r="G146" i="1"/>
  <c r="F146" i="1"/>
  <c r="E146" i="1"/>
  <c r="D146" i="1"/>
  <c r="C146" i="1"/>
  <c r="B146" i="1"/>
  <c r="M145" i="1"/>
  <c r="L145" i="1"/>
  <c r="K145" i="1"/>
  <c r="J145" i="1"/>
  <c r="H145" i="1"/>
  <c r="G145" i="1"/>
  <c r="F145" i="1"/>
  <c r="E145" i="1"/>
  <c r="D145" i="1"/>
  <c r="C145" i="1"/>
  <c r="B145" i="1"/>
  <c r="M144" i="1"/>
  <c r="L144" i="1"/>
  <c r="K144" i="1"/>
  <c r="J144" i="1"/>
  <c r="H144" i="1"/>
  <c r="G144" i="1"/>
  <c r="F144" i="1"/>
  <c r="E144" i="1"/>
  <c r="D144" i="1"/>
  <c r="C144" i="1"/>
  <c r="B144" i="1"/>
  <c r="M143" i="1"/>
  <c r="L143" i="1"/>
  <c r="K143" i="1"/>
  <c r="J143" i="1"/>
  <c r="H143" i="1"/>
  <c r="G143" i="1"/>
  <c r="F143" i="1"/>
  <c r="E143" i="1"/>
  <c r="D143" i="1"/>
  <c r="C143" i="1"/>
  <c r="B143" i="1"/>
  <c r="M142" i="1"/>
  <c r="L142" i="1"/>
  <c r="K142" i="1"/>
  <c r="J142" i="1"/>
  <c r="H142" i="1"/>
  <c r="G142" i="1"/>
  <c r="F142" i="1"/>
  <c r="E142" i="1"/>
  <c r="D142" i="1"/>
  <c r="C142" i="1"/>
  <c r="B142" i="1"/>
  <c r="M141" i="1"/>
  <c r="L141" i="1"/>
  <c r="K141" i="1"/>
  <c r="J141" i="1"/>
  <c r="H141" i="1"/>
  <c r="G141" i="1"/>
  <c r="F141" i="1"/>
  <c r="E141" i="1"/>
  <c r="D141" i="1"/>
  <c r="C141" i="1"/>
  <c r="B141" i="1"/>
  <c r="M140" i="1"/>
  <c r="L140" i="1"/>
  <c r="K140" i="1"/>
  <c r="J140" i="1"/>
  <c r="H140" i="1"/>
  <c r="G140" i="1"/>
  <c r="F140" i="1"/>
  <c r="E140" i="1"/>
  <c r="D140" i="1"/>
  <c r="C140" i="1"/>
  <c r="B140" i="1"/>
  <c r="M139" i="1"/>
  <c r="L139" i="1"/>
  <c r="K139" i="1"/>
  <c r="J139" i="1"/>
  <c r="H139" i="1"/>
  <c r="G139" i="1"/>
  <c r="F139" i="1"/>
  <c r="E139" i="1"/>
  <c r="D139" i="1"/>
  <c r="C139" i="1"/>
  <c r="B139" i="1"/>
  <c r="M138" i="1"/>
  <c r="L138" i="1"/>
  <c r="K138" i="1"/>
  <c r="J138" i="1"/>
  <c r="H138" i="1"/>
  <c r="G138" i="1"/>
  <c r="F138" i="1"/>
  <c r="E138" i="1"/>
  <c r="D138" i="1"/>
  <c r="C138" i="1"/>
  <c r="B138" i="1"/>
  <c r="M137" i="1"/>
  <c r="L137" i="1"/>
  <c r="K137" i="1"/>
  <c r="J137" i="1"/>
  <c r="H137" i="1"/>
  <c r="G137" i="1"/>
  <c r="F137" i="1"/>
  <c r="E137" i="1"/>
  <c r="D137" i="1"/>
  <c r="C137" i="1"/>
  <c r="B137" i="1"/>
  <c r="M136" i="1"/>
  <c r="L136" i="1"/>
  <c r="K136" i="1"/>
  <c r="J136" i="1"/>
  <c r="H136" i="1"/>
  <c r="G136" i="1"/>
  <c r="F136" i="1"/>
  <c r="E136" i="1"/>
  <c r="D136" i="1"/>
  <c r="C136" i="1"/>
  <c r="B136" i="1"/>
  <c r="M135" i="1"/>
  <c r="L135" i="1"/>
  <c r="K135" i="1"/>
  <c r="J135" i="1"/>
  <c r="H135" i="1"/>
  <c r="G135" i="1"/>
  <c r="F135" i="1"/>
  <c r="E135" i="1"/>
  <c r="D135" i="1"/>
  <c r="C135" i="1"/>
  <c r="B135" i="1"/>
  <c r="M134" i="1"/>
  <c r="L134" i="1"/>
  <c r="K134" i="1"/>
  <c r="J134" i="1"/>
  <c r="H134" i="1"/>
  <c r="G134" i="1"/>
  <c r="F134" i="1"/>
  <c r="E134" i="1"/>
  <c r="D134" i="1"/>
  <c r="C134" i="1"/>
  <c r="B134" i="1"/>
  <c r="M133" i="1"/>
  <c r="L133" i="1"/>
  <c r="K133" i="1"/>
  <c r="J133" i="1"/>
  <c r="H133" i="1"/>
  <c r="G133" i="1"/>
  <c r="F133" i="1"/>
  <c r="E133" i="1"/>
  <c r="D133" i="1"/>
  <c r="C133" i="1"/>
  <c r="B133" i="1"/>
  <c r="M132" i="1"/>
  <c r="L132" i="1"/>
  <c r="K132" i="1"/>
  <c r="J132" i="1"/>
  <c r="H132" i="1"/>
  <c r="G132" i="1"/>
  <c r="F132" i="1"/>
  <c r="E132" i="1"/>
  <c r="D132" i="1"/>
  <c r="C132" i="1"/>
  <c r="B132" i="1"/>
  <c r="M131" i="1"/>
  <c r="L131" i="1"/>
  <c r="K131" i="1"/>
  <c r="J131" i="1"/>
  <c r="H131" i="1"/>
  <c r="G131" i="1"/>
  <c r="F131" i="1"/>
  <c r="E131" i="1"/>
  <c r="D131" i="1"/>
  <c r="C131" i="1"/>
  <c r="B131" i="1"/>
  <c r="M130" i="1"/>
  <c r="L130" i="1"/>
  <c r="K130" i="1"/>
  <c r="J130" i="1"/>
  <c r="H130" i="1"/>
  <c r="G130" i="1"/>
  <c r="F130" i="1"/>
  <c r="E130" i="1"/>
  <c r="D130" i="1"/>
  <c r="C130" i="1"/>
  <c r="B130" i="1"/>
  <c r="M129" i="1"/>
  <c r="L129" i="1"/>
  <c r="K129" i="1"/>
  <c r="J129" i="1"/>
  <c r="H129" i="1"/>
  <c r="G129" i="1"/>
  <c r="F129" i="1"/>
  <c r="E129" i="1"/>
  <c r="D129" i="1"/>
  <c r="C129" i="1"/>
  <c r="B129" i="1"/>
  <c r="M128" i="1"/>
  <c r="L128" i="1"/>
  <c r="K128" i="1"/>
  <c r="J128" i="1"/>
  <c r="H128" i="1"/>
  <c r="G128" i="1"/>
  <c r="F128" i="1"/>
  <c r="E128" i="1"/>
  <c r="D128" i="1"/>
  <c r="C128" i="1"/>
  <c r="B128" i="1"/>
  <c r="M127" i="1"/>
  <c r="L127" i="1"/>
  <c r="K127" i="1"/>
  <c r="J127" i="1"/>
  <c r="H127" i="1"/>
  <c r="G127" i="1"/>
  <c r="F127" i="1"/>
  <c r="E127" i="1"/>
  <c r="D127" i="1"/>
  <c r="C127" i="1"/>
  <c r="B127" i="1"/>
  <c r="M126" i="1"/>
  <c r="L126" i="1"/>
  <c r="K126" i="1"/>
  <c r="J126" i="1"/>
  <c r="H126" i="1"/>
  <c r="G126" i="1"/>
  <c r="F126" i="1"/>
  <c r="E126" i="1"/>
  <c r="D126" i="1"/>
  <c r="C126" i="1"/>
  <c r="B126" i="1"/>
  <c r="M125" i="1"/>
  <c r="L125" i="1"/>
  <c r="K125" i="1"/>
  <c r="J125" i="1"/>
  <c r="H125" i="1"/>
  <c r="G125" i="1"/>
  <c r="F125" i="1"/>
  <c r="E125" i="1"/>
  <c r="D125" i="1"/>
  <c r="C125" i="1"/>
  <c r="B125" i="1"/>
  <c r="M124" i="1"/>
  <c r="L124" i="1"/>
  <c r="K124" i="1"/>
  <c r="J124" i="1"/>
  <c r="H124" i="1"/>
  <c r="G124" i="1"/>
  <c r="F124" i="1"/>
  <c r="E124" i="1"/>
  <c r="D124" i="1"/>
  <c r="C124" i="1"/>
  <c r="B124" i="1"/>
  <c r="M123" i="1"/>
  <c r="L123" i="1"/>
  <c r="K123" i="1"/>
  <c r="J123" i="1"/>
  <c r="H123" i="1"/>
  <c r="G123" i="1"/>
  <c r="F123" i="1"/>
  <c r="E123" i="1"/>
  <c r="D123" i="1"/>
  <c r="C123" i="1"/>
  <c r="B123" i="1"/>
  <c r="M122" i="1"/>
  <c r="L122" i="1"/>
  <c r="K122" i="1"/>
  <c r="J122" i="1"/>
  <c r="H122" i="1"/>
  <c r="G122" i="1"/>
  <c r="F122" i="1"/>
  <c r="E122" i="1"/>
  <c r="D122" i="1"/>
  <c r="C122" i="1"/>
  <c r="B122" i="1"/>
  <c r="M121" i="1"/>
  <c r="L121" i="1"/>
  <c r="K121" i="1"/>
  <c r="J121" i="1"/>
  <c r="H121" i="1"/>
  <c r="G121" i="1"/>
  <c r="F121" i="1"/>
  <c r="E121" i="1"/>
  <c r="D121" i="1"/>
  <c r="C121" i="1"/>
  <c r="B121" i="1"/>
  <c r="M120" i="1"/>
  <c r="L120" i="1"/>
  <c r="K120" i="1"/>
  <c r="J120" i="1"/>
  <c r="H120" i="1"/>
  <c r="G120" i="1"/>
  <c r="F120" i="1"/>
  <c r="E120" i="1"/>
  <c r="D120" i="1"/>
  <c r="C120" i="1"/>
  <c r="B120" i="1"/>
  <c r="M119" i="1"/>
  <c r="L119" i="1"/>
  <c r="K119" i="1"/>
  <c r="J119" i="1"/>
  <c r="H119" i="1"/>
  <c r="G119" i="1"/>
  <c r="F119" i="1"/>
  <c r="E119" i="1"/>
  <c r="D119" i="1"/>
  <c r="C119" i="1"/>
  <c r="B119" i="1"/>
  <c r="M118" i="1"/>
  <c r="L118" i="1"/>
  <c r="K118" i="1"/>
  <c r="J118" i="1"/>
  <c r="H118" i="1"/>
  <c r="G118" i="1"/>
  <c r="F118" i="1"/>
  <c r="E118" i="1"/>
  <c r="D118" i="1"/>
  <c r="C118" i="1"/>
  <c r="B118" i="1"/>
  <c r="M117" i="1"/>
  <c r="L117" i="1"/>
  <c r="K117" i="1"/>
  <c r="J117" i="1"/>
  <c r="H117" i="1"/>
  <c r="G117" i="1"/>
  <c r="F117" i="1"/>
  <c r="E117" i="1"/>
  <c r="D117" i="1"/>
  <c r="C117" i="1"/>
  <c r="B117" i="1"/>
  <c r="M116" i="1"/>
  <c r="L116" i="1"/>
  <c r="K116" i="1"/>
  <c r="J116" i="1"/>
  <c r="H116" i="1"/>
  <c r="G116" i="1"/>
  <c r="F116" i="1"/>
  <c r="E116" i="1"/>
  <c r="D116" i="1"/>
  <c r="C116" i="1"/>
  <c r="B116" i="1"/>
  <c r="M115" i="1"/>
  <c r="L115" i="1"/>
  <c r="K115" i="1"/>
  <c r="J115" i="1"/>
  <c r="H115" i="1"/>
  <c r="G115" i="1"/>
  <c r="F115" i="1"/>
  <c r="E115" i="1"/>
  <c r="D115" i="1"/>
  <c r="C115" i="1"/>
  <c r="B115" i="1"/>
  <c r="M114" i="1"/>
  <c r="L114" i="1"/>
  <c r="K114" i="1"/>
  <c r="J114" i="1"/>
  <c r="H114" i="1"/>
  <c r="G114" i="1"/>
  <c r="F114" i="1"/>
  <c r="E114" i="1"/>
  <c r="D114" i="1"/>
  <c r="C114" i="1"/>
  <c r="B114" i="1"/>
  <c r="M113" i="1"/>
  <c r="L113" i="1"/>
  <c r="K113" i="1"/>
  <c r="J113" i="1"/>
  <c r="H113" i="1"/>
  <c r="G113" i="1"/>
  <c r="F113" i="1"/>
  <c r="E113" i="1"/>
  <c r="D113" i="1"/>
  <c r="C113" i="1"/>
  <c r="B113" i="1"/>
  <c r="M112" i="1"/>
  <c r="L112" i="1"/>
  <c r="K112" i="1"/>
  <c r="J112" i="1"/>
  <c r="H112" i="1"/>
  <c r="G112" i="1"/>
  <c r="F112" i="1"/>
  <c r="E112" i="1"/>
  <c r="D112" i="1"/>
  <c r="C112" i="1"/>
  <c r="B112" i="1"/>
  <c r="M111" i="1"/>
  <c r="L111" i="1"/>
  <c r="K111" i="1"/>
  <c r="J111" i="1"/>
  <c r="H111" i="1"/>
  <c r="G111" i="1"/>
  <c r="F111" i="1"/>
  <c r="E111" i="1"/>
  <c r="D111" i="1"/>
  <c r="C111" i="1"/>
  <c r="B111" i="1"/>
  <c r="M110" i="1"/>
  <c r="L110" i="1"/>
  <c r="K110" i="1"/>
  <c r="J110" i="1"/>
  <c r="H110" i="1"/>
  <c r="G110" i="1"/>
  <c r="F110" i="1"/>
  <c r="E110" i="1"/>
  <c r="D110" i="1"/>
  <c r="C110" i="1"/>
  <c r="B110" i="1"/>
  <c r="M109" i="1"/>
  <c r="L109" i="1"/>
  <c r="K109" i="1"/>
  <c r="J109" i="1"/>
  <c r="H109" i="1"/>
  <c r="G109" i="1"/>
  <c r="F109" i="1"/>
  <c r="E109" i="1"/>
  <c r="D109" i="1"/>
  <c r="C109" i="1"/>
  <c r="B109" i="1"/>
  <c r="M108" i="1"/>
  <c r="L108" i="1"/>
  <c r="K108" i="1"/>
  <c r="J108" i="1"/>
  <c r="H108" i="1"/>
  <c r="G108" i="1"/>
  <c r="F108" i="1"/>
  <c r="E108" i="1"/>
  <c r="D108" i="1"/>
  <c r="C108" i="1"/>
  <c r="B108" i="1"/>
  <c r="M107" i="1"/>
  <c r="L107" i="1"/>
  <c r="K107" i="1"/>
  <c r="J107" i="1"/>
  <c r="H107" i="1"/>
  <c r="G107" i="1"/>
  <c r="F107" i="1"/>
  <c r="E107" i="1"/>
  <c r="D107" i="1"/>
  <c r="C107" i="1"/>
  <c r="B107" i="1"/>
  <c r="M106" i="1"/>
  <c r="L106" i="1"/>
  <c r="K106" i="1"/>
  <c r="J106" i="1"/>
  <c r="H106" i="1"/>
  <c r="G106" i="1"/>
  <c r="F106" i="1"/>
  <c r="E106" i="1"/>
  <c r="D106" i="1"/>
  <c r="C106" i="1"/>
  <c r="B106" i="1"/>
  <c r="M105" i="1"/>
  <c r="L105" i="1"/>
  <c r="K105" i="1"/>
  <c r="J105" i="1"/>
  <c r="H105" i="1"/>
  <c r="G105" i="1"/>
  <c r="F105" i="1"/>
  <c r="E105" i="1"/>
  <c r="D105" i="1"/>
  <c r="C105" i="1"/>
  <c r="B105" i="1"/>
  <c r="M104" i="1"/>
  <c r="L104" i="1"/>
  <c r="K104" i="1"/>
  <c r="J104" i="1"/>
  <c r="H104" i="1"/>
  <c r="G104" i="1"/>
  <c r="F104" i="1"/>
  <c r="E104" i="1"/>
  <c r="D104" i="1"/>
  <c r="C104" i="1"/>
  <c r="B104" i="1"/>
  <c r="M103" i="1"/>
  <c r="L103" i="1"/>
  <c r="K103" i="1"/>
  <c r="J103" i="1"/>
  <c r="H103" i="1"/>
  <c r="G103" i="1"/>
  <c r="F103" i="1"/>
  <c r="E103" i="1"/>
  <c r="D103" i="1"/>
  <c r="C103" i="1"/>
  <c r="B103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M99" i="1"/>
  <c r="L99" i="1"/>
  <c r="K99" i="1"/>
  <c r="J99" i="1"/>
  <c r="I99" i="1"/>
  <c r="H99" i="1"/>
  <c r="G99" i="1"/>
  <c r="F99" i="1"/>
  <c r="E99" i="1"/>
  <c r="D99" i="1"/>
  <c r="C99" i="1"/>
  <c r="B99" i="1"/>
  <c r="M98" i="1"/>
  <c r="L98" i="1"/>
  <c r="K98" i="1"/>
  <c r="J98" i="1"/>
  <c r="I98" i="1"/>
  <c r="H98" i="1"/>
  <c r="G98" i="1"/>
  <c r="F98" i="1"/>
  <c r="E98" i="1"/>
  <c r="D98" i="1"/>
  <c r="C98" i="1"/>
  <c r="B98" i="1"/>
  <c r="M97" i="1"/>
  <c r="L97" i="1"/>
  <c r="K97" i="1"/>
  <c r="J97" i="1"/>
  <c r="I97" i="1"/>
  <c r="H97" i="1"/>
  <c r="G97" i="1"/>
  <c r="F97" i="1"/>
  <c r="E97" i="1"/>
  <c r="D97" i="1"/>
  <c r="C97" i="1"/>
  <c r="B97" i="1"/>
  <c r="M96" i="1"/>
  <c r="L96" i="1"/>
  <c r="K96" i="1"/>
  <c r="J96" i="1"/>
  <c r="I96" i="1"/>
  <c r="H96" i="1"/>
  <c r="G96" i="1"/>
  <c r="F96" i="1"/>
  <c r="E96" i="1"/>
  <c r="D96" i="1"/>
  <c r="C96" i="1"/>
  <c r="B96" i="1"/>
  <c r="M95" i="1"/>
  <c r="L95" i="1"/>
  <c r="K95" i="1"/>
  <c r="J95" i="1"/>
  <c r="I95" i="1"/>
  <c r="H95" i="1"/>
  <c r="G95" i="1"/>
  <c r="F95" i="1"/>
  <c r="E95" i="1"/>
  <c r="D95" i="1"/>
  <c r="C95" i="1"/>
  <c r="B95" i="1"/>
  <c r="M94" i="1"/>
  <c r="L94" i="1"/>
  <c r="K94" i="1"/>
  <c r="J94" i="1"/>
  <c r="I94" i="1"/>
  <c r="H94" i="1"/>
  <c r="G94" i="1"/>
  <c r="F94" i="1"/>
  <c r="E94" i="1"/>
  <c r="D94" i="1"/>
  <c r="C94" i="1"/>
  <c r="B94" i="1"/>
  <c r="M93" i="1"/>
  <c r="L93" i="1"/>
  <c r="K93" i="1"/>
  <c r="J93" i="1"/>
  <c r="I93" i="1"/>
  <c r="H93" i="1"/>
  <c r="G93" i="1"/>
  <c r="F93" i="1"/>
  <c r="E93" i="1"/>
  <c r="D93" i="1"/>
  <c r="C93" i="1"/>
  <c r="B93" i="1"/>
  <c r="M92" i="1"/>
  <c r="L92" i="1"/>
  <c r="K92" i="1"/>
  <c r="J92" i="1"/>
  <c r="I92" i="1"/>
  <c r="H92" i="1"/>
  <c r="G92" i="1"/>
  <c r="F92" i="1"/>
  <c r="E92" i="1"/>
  <c r="D92" i="1"/>
  <c r="C92" i="1"/>
  <c r="B92" i="1"/>
  <c r="M91" i="1"/>
  <c r="L91" i="1"/>
  <c r="K91" i="1"/>
  <c r="J91" i="1"/>
  <c r="I91" i="1"/>
  <c r="H91" i="1"/>
  <c r="G91" i="1"/>
  <c r="F91" i="1"/>
  <c r="E91" i="1"/>
  <c r="D91" i="1"/>
  <c r="C91" i="1"/>
  <c r="B91" i="1"/>
  <c r="M90" i="1"/>
  <c r="L90" i="1"/>
  <c r="K90" i="1"/>
  <c r="J90" i="1"/>
  <c r="I90" i="1"/>
  <c r="H90" i="1"/>
  <c r="G90" i="1"/>
  <c r="F90" i="1"/>
  <c r="E90" i="1"/>
  <c r="D90" i="1"/>
  <c r="C90" i="1"/>
  <c r="B90" i="1"/>
  <c r="M89" i="1"/>
  <c r="L89" i="1"/>
  <c r="K89" i="1"/>
  <c r="J89" i="1"/>
  <c r="I89" i="1"/>
  <c r="H89" i="1"/>
  <c r="G89" i="1"/>
  <c r="F89" i="1"/>
  <c r="E89" i="1"/>
  <c r="D89" i="1"/>
  <c r="C89" i="1"/>
  <c r="B89" i="1"/>
  <c r="M88" i="1"/>
  <c r="L88" i="1"/>
  <c r="K88" i="1"/>
  <c r="J88" i="1"/>
  <c r="I88" i="1"/>
  <c r="H88" i="1"/>
  <c r="G88" i="1"/>
  <c r="F88" i="1"/>
  <c r="E88" i="1"/>
  <c r="D88" i="1"/>
  <c r="C88" i="1"/>
  <c r="B88" i="1"/>
  <c r="M87" i="1"/>
  <c r="L87" i="1"/>
  <c r="K87" i="1"/>
  <c r="J87" i="1"/>
  <c r="I87" i="1"/>
  <c r="H87" i="1"/>
  <c r="G87" i="1"/>
  <c r="F87" i="1"/>
  <c r="E87" i="1"/>
  <c r="D87" i="1"/>
  <c r="C87" i="1"/>
  <c r="B87" i="1"/>
  <c r="M86" i="1"/>
  <c r="L86" i="1"/>
  <c r="K86" i="1"/>
  <c r="J86" i="1"/>
  <c r="I86" i="1"/>
  <c r="H86" i="1"/>
  <c r="G86" i="1"/>
  <c r="F86" i="1"/>
  <c r="E86" i="1"/>
  <c r="D86" i="1"/>
  <c r="C86" i="1"/>
  <c r="B86" i="1"/>
  <c r="M85" i="1"/>
  <c r="L85" i="1"/>
  <c r="K85" i="1"/>
  <c r="J85" i="1"/>
  <c r="I85" i="1"/>
  <c r="H85" i="1"/>
  <c r="G85" i="1"/>
  <c r="F85" i="1"/>
  <c r="E85" i="1"/>
  <c r="D85" i="1"/>
  <c r="C85" i="1"/>
  <c r="B85" i="1"/>
  <c r="M84" i="1"/>
  <c r="L84" i="1"/>
  <c r="K84" i="1"/>
  <c r="J84" i="1"/>
  <c r="I84" i="1"/>
  <c r="H84" i="1"/>
  <c r="G84" i="1"/>
  <c r="F84" i="1"/>
  <c r="E84" i="1"/>
  <c r="D84" i="1"/>
  <c r="C84" i="1"/>
  <c r="B84" i="1"/>
  <c r="M83" i="1"/>
  <c r="L83" i="1"/>
  <c r="K83" i="1"/>
  <c r="J83" i="1"/>
  <c r="I83" i="1"/>
  <c r="H83" i="1"/>
  <c r="G83" i="1"/>
  <c r="F83" i="1"/>
  <c r="E83" i="1"/>
  <c r="D83" i="1"/>
  <c r="C83" i="1"/>
  <c r="B83" i="1"/>
  <c r="M82" i="1"/>
  <c r="L82" i="1"/>
  <c r="K82" i="1"/>
  <c r="J82" i="1"/>
  <c r="I82" i="1"/>
  <c r="H82" i="1"/>
  <c r="G82" i="1"/>
  <c r="F82" i="1"/>
  <c r="E82" i="1"/>
  <c r="D82" i="1"/>
  <c r="C82" i="1"/>
  <c r="B82" i="1"/>
  <c r="M81" i="1"/>
  <c r="L81" i="1"/>
  <c r="K81" i="1"/>
  <c r="J81" i="1"/>
  <c r="I81" i="1"/>
  <c r="H81" i="1"/>
  <c r="G81" i="1"/>
  <c r="F81" i="1"/>
  <c r="E81" i="1"/>
  <c r="D81" i="1"/>
  <c r="C81" i="1"/>
  <c r="B81" i="1"/>
  <c r="M80" i="1"/>
  <c r="L80" i="1"/>
  <c r="K80" i="1"/>
  <c r="J80" i="1"/>
  <c r="I80" i="1"/>
  <c r="H80" i="1"/>
  <c r="G80" i="1"/>
  <c r="F80" i="1"/>
  <c r="E80" i="1"/>
  <c r="D80" i="1"/>
  <c r="C80" i="1"/>
  <c r="B80" i="1"/>
  <c r="M79" i="1"/>
  <c r="L79" i="1"/>
  <c r="K79" i="1"/>
  <c r="J79" i="1"/>
  <c r="I79" i="1"/>
  <c r="H79" i="1"/>
  <c r="G79" i="1"/>
  <c r="F79" i="1"/>
  <c r="E79" i="1"/>
  <c r="D79" i="1"/>
  <c r="C79" i="1"/>
  <c r="B79" i="1"/>
  <c r="M78" i="1"/>
  <c r="L78" i="1"/>
  <c r="J78" i="1"/>
  <c r="I78" i="1"/>
  <c r="H78" i="1"/>
  <c r="G78" i="1"/>
  <c r="F78" i="1"/>
  <c r="E78" i="1"/>
  <c r="D78" i="1"/>
  <c r="C78" i="1"/>
  <c r="B78" i="1"/>
  <c r="M77" i="1"/>
  <c r="L77" i="1"/>
  <c r="J77" i="1"/>
  <c r="I77" i="1"/>
  <c r="H77" i="1"/>
  <c r="G77" i="1"/>
  <c r="F77" i="1"/>
  <c r="E77" i="1"/>
  <c r="D77" i="1"/>
  <c r="C77" i="1"/>
  <c r="B77" i="1"/>
  <c r="M76" i="1"/>
  <c r="L76" i="1"/>
  <c r="J76" i="1"/>
  <c r="I76" i="1"/>
  <c r="H76" i="1"/>
  <c r="G76" i="1"/>
  <c r="F76" i="1"/>
  <c r="E76" i="1"/>
  <c r="D76" i="1"/>
  <c r="C76" i="1"/>
  <c r="B76" i="1"/>
  <c r="M75" i="1"/>
  <c r="L75" i="1"/>
  <c r="J75" i="1"/>
  <c r="I75" i="1"/>
  <c r="H75" i="1"/>
  <c r="G75" i="1"/>
  <c r="F75" i="1"/>
  <c r="E75" i="1"/>
  <c r="D75" i="1"/>
  <c r="C75" i="1"/>
  <c r="B75" i="1"/>
  <c r="M74" i="1"/>
  <c r="L74" i="1"/>
  <c r="J74" i="1"/>
  <c r="I74" i="1"/>
  <c r="H74" i="1"/>
  <c r="G74" i="1"/>
  <c r="F74" i="1"/>
  <c r="E74" i="1"/>
  <c r="D74" i="1"/>
  <c r="C74" i="1"/>
  <c r="B74" i="1"/>
  <c r="M73" i="1"/>
  <c r="L73" i="1"/>
  <c r="J73" i="1"/>
  <c r="I73" i="1"/>
  <c r="H73" i="1"/>
  <c r="G73" i="1"/>
  <c r="F73" i="1"/>
  <c r="E73" i="1"/>
  <c r="D73" i="1"/>
  <c r="C73" i="1"/>
  <c r="B73" i="1"/>
  <c r="M72" i="1"/>
  <c r="L72" i="1"/>
  <c r="J72" i="1"/>
  <c r="I72" i="1"/>
  <c r="H72" i="1"/>
  <c r="G72" i="1"/>
  <c r="F72" i="1"/>
  <c r="E72" i="1"/>
  <c r="D72" i="1"/>
  <c r="C72" i="1"/>
  <c r="B72" i="1"/>
  <c r="M71" i="1"/>
  <c r="L71" i="1"/>
  <c r="K71" i="1"/>
  <c r="J71" i="1"/>
  <c r="I71" i="1"/>
  <c r="H71" i="1"/>
  <c r="G71" i="1"/>
  <c r="F71" i="1"/>
  <c r="E71" i="1"/>
  <c r="D71" i="1"/>
  <c r="C71" i="1"/>
  <c r="B71" i="1"/>
  <c r="M70" i="1"/>
  <c r="L70" i="1"/>
  <c r="K70" i="1"/>
  <c r="J70" i="1"/>
  <c r="I70" i="1"/>
  <c r="H70" i="1"/>
  <c r="G70" i="1"/>
  <c r="F70" i="1"/>
  <c r="E70" i="1"/>
  <c r="D70" i="1"/>
  <c r="C70" i="1"/>
  <c r="B70" i="1"/>
  <c r="M69" i="1"/>
  <c r="L69" i="1"/>
  <c r="K69" i="1"/>
  <c r="J69" i="1"/>
  <c r="I69" i="1"/>
  <c r="H69" i="1"/>
  <c r="G69" i="1"/>
  <c r="F69" i="1"/>
  <c r="E69" i="1"/>
  <c r="D69" i="1"/>
  <c r="C69" i="1"/>
  <c r="B69" i="1"/>
  <c r="M68" i="1"/>
  <c r="L68" i="1"/>
  <c r="K68" i="1"/>
  <c r="J68" i="1"/>
  <c r="I68" i="1"/>
  <c r="H68" i="1"/>
  <c r="G68" i="1"/>
  <c r="F68" i="1"/>
  <c r="E68" i="1"/>
  <c r="D68" i="1"/>
  <c r="C68" i="1"/>
  <c r="B68" i="1"/>
  <c r="M67" i="1"/>
  <c r="L67" i="1"/>
  <c r="K67" i="1"/>
  <c r="J67" i="1"/>
  <c r="I67" i="1"/>
  <c r="H67" i="1"/>
  <c r="G67" i="1"/>
  <c r="F67" i="1"/>
  <c r="E67" i="1"/>
  <c r="D67" i="1"/>
  <c r="C67" i="1"/>
  <c r="B67" i="1"/>
  <c r="M66" i="1"/>
  <c r="L66" i="1"/>
  <c r="K66" i="1"/>
  <c r="J66" i="1"/>
  <c r="I66" i="1"/>
  <c r="H66" i="1"/>
  <c r="G66" i="1"/>
  <c r="F66" i="1"/>
  <c r="E66" i="1"/>
  <c r="D66" i="1"/>
  <c r="C66" i="1"/>
  <c r="B66" i="1"/>
  <c r="M65" i="1"/>
  <c r="L65" i="1"/>
  <c r="K65" i="1"/>
  <c r="J65" i="1"/>
  <c r="I65" i="1"/>
  <c r="H65" i="1"/>
  <c r="G65" i="1"/>
  <c r="F65" i="1"/>
  <c r="E65" i="1"/>
  <c r="D65" i="1"/>
  <c r="C65" i="1"/>
  <c r="B65" i="1"/>
  <c r="M64" i="1"/>
  <c r="L64" i="1"/>
  <c r="K64" i="1"/>
  <c r="J64" i="1"/>
  <c r="I64" i="1"/>
  <c r="H64" i="1"/>
  <c r="G64" i="1"/>
  <c r="F64" i="1"/>
  <c r="E64" i="1"/>
  <c r="D64" i="1"/>
  <c r="C64" i="1"/>
  <c r="B64" i="1"/>
  <c r="M63" i="1"/>
  <c r="L63" i="1"/>
  <c r="K63" i="1"/>
  <c r="J63" i="1"/>
  <c r="I63" i="1"/>
  <c r="H63" i="1"/>
  <c r="G63" i="1"/>
  <c r="F63" i="1"/>
  <c r="E63" i="1"/>
  <c r="D63" i="1"/>
  <c r="C63" i="1"/>
  <c r="B63" i="1"/>
  <c r="M62" i="1"/>
  <c r="L62" i="1"/>
  <c r="K62" i="1"/>
  <c r="J62" i="1"/>
  <c r="I62" i="1"/>
  <c r="H62" i="1"/>
  <c r="G62" i="1"/>
  <c r="F62" i="1"/>
  <c r="E62" i="1"/>
  <c r="D62" i="1"/>
  <c r="C62" i="1"/>
  <c r="B62" i="1"/>
  <c r="M61" i="1"/>
  <c r="L61" i="1"/>
  <c r="K61" i="1"/>
  <c r="J61" i="1"/>
  <c r="I61" i="1"/>
  <c r="H61" i="1"/>
  <c r="G61" i="1"/>
  <c r="F61" i="1"/>
  <c r="E61" i="1"/>
  <c r="D61" i="1"/>
  <c r="C61" i="1"/>
  <c r="B61" i="1"/>
  <c r="M60" i="1"/>
  <c r="L60" i="1"/>
  <c r="K60" i="1"/>
  <c r="J60" i="1"/>
  <c r="I60" i="1"/>
  <c r="H60" i="1"/>
  <c r="G60" i="1"/>
  <c r="F60" i="1"/>
  <c r="E60" i="1"/>
  <c r="D60" i="1"/>
  <c r="C60" i="1"/>
  <c r="B60" i="1"/>
  <c r="M59" i="1"/>
  <c r="L59" i="1"/>
  <c r="K59" i="1"/>
  <c r="J59" i="1"/>
  <c r="I59" i="1"/>
  <c r="H59" i="1"/>
  <c r="G59" i="1"/>
  <c r="F59" i="1"/>
  <c r="E59" i="1"/>
  <c r="D59" i="1"/>
  <c r="C59" i="1"/>
  <c r="B59" i="1"/>
  <c r="M58" i="1"/>
  <c r="L58" i="1"/>
  <c r="K58" i="1"/>
  <c r="J58" i="1"/>
  <c r="I58" i="1"/>
  <c r="H58" i="1"/>
  <c r="G58" i="1"/>
  <c r="F58" i="1"/>
  <c r="E58" i="1"/>
  <c r="D58" i="1"/>
  <c r="C58" i="1"/>
  <c r="B58" i="1"/>
  <c r="M57" i="1"/>
  <c r="L57" i="1"/>
  <c r="K57" i="1"/>
  <c r="J57" i="1"/>
  <c r="I57" i="1"/>
  <c r="H57" i="1"/>
  <c r="G57" i="1"/>
  <c r="F57" i="1"/>
  <c r="E57" i="1"/>
  <c r="D57" i="1"/>
  <c r="C57" i="1"/>
  <c r="B57" i="1"/>
  <c r="M56" i="1"/>
  <c r="L56" i="1"/>
  <c r="K56" i="1"/>
  <c r="J56" i="1"/>
  <c r="I56" i="1"/>
  <c r="H56" i="1"/>
  <c r="G56" i="1"/>
  <c r="F56" i="1"/>
  <c r="E56" i="1"/>
  <c r="D56" i="1"/>
  <c r="C56" i="1"/>
  <c r="B56" i="1"/>
  <c r="M55" i="1"/>
  <c r="L55" i="1"/>
  <c r="K55" i="1"/>
  <c r="J55" i="1"/>
  <c r="I55" i="1"/>
  <c r="H55" i="1"/>
  <c r="G55" i="1"/>
  <c r="F55" i="1"/>
  <c r="E55" i="1"/>
  <c r="D55" i="1"/>
  <c r="C55" i="1"/>
  <c r="B55" i="1"/>
  <c r="M54" i="1"/>
  <c r="L54" i="1"/>
  <c r="K54" i="1"/>
  <c r="J54" i="1"/>
  <c r="I54" i="1"/>
  <c r="H54" i="1"/>
  <c r="G54" i="1"/>
  <c r="F54" i="1"/>
  <c r="E54" i="1"/>
  <c r="D54" i="1"/>
  <c r="C54" i="1"/>
  <c r="B54" i="1"/>
  <c r="M53" i="1"/>
  <c r="L53" i="1"/>
  <c r="K53" i="1"/>
  <c r="J53" i="1"/>
  <c r="I53" i="1"/>
  <c r="H53" i="1"/>
  <c r="G53" i="1"/>
  <c r="F53" i="1"/>
  <c r="E53" i="1"/>
  <c r="D53" i="1"/>
  <c r="C53" i="1"/>
  <c r="B53" i="1"/>
  <c r="M52" i="1"/>
  <c r="L52" i="1"/>
  <c r="K52" i="1"/>
  <c r="J52" i="1"/>
  <c r="I52" i="1"/>
  <c r="H52" i="1"/>
  <c r="G52" i="1"/>
  <c r="F52" i="1"/>
  <c r="E52" i="1"/>
  <c r="D52" i="1"/>
  <c r="C52" i="1"/>
  <c r="B52" i="1"/>
  <c r="M51" i="1"/>
  <c r="L51" i="1"/>
  <c r="K51" i="1"/>
  <c r="J51" i="1"/>
  <c r="I51" i="1"/>
  <c r="H51" i="1"/>
  <c r="G51" i="1"/>
  <c r="F51" i="1"/>
  <c r="E51" i="1"/>
  <c r="D51" i="1"/>
  <c r="C51" i="1"/>
  <c r="B51" i="1"/>
  <c r="M50" i="1"/>
  <c r="L50" i="1"/>
  <c r="K50" i="1"/>
  <c r="J50" i="1"/>
  <c r="I50" i="1"/>
  <c r="H50" i="1"/>
  <c r="G50" i="1"/>
  <c r="F50" i="1"/>
  <c r="E50" i="1"/>
  <c r="D50" i="1"/>
  <c r="C50" i="1"/>
  <c r="B50" i="1"/>
  <c r="M49" i="1"/>
  <c r="L49" i="1"/>
  <c r="K49" i="1"/>
  <c r="J49" i="1"/>
  <c r="I49" i="1"/>
  <c r="H49" i="1"/>
  <c r="G49" i="1"/>
  <c r="F49" i="1"/>
  <c r="E49" i="1"/>
  <c r="D49" i="1"/>
  <c r="C49" i="1"/>
  <c r="B49" i="1"/>
  <c r="M48" i="1"/>
  <c r="L48" i="1"/>
  <c r="K48" i="1"/>
  <c r="J48" i="1"/>
  <c r="I48" i="1"/>
  <c r="H48" i="1"/>
  <c r="G48" i="1"/>
  <c r="F48" i="1"/>
  <c r="E48" i="1"/>
  <c r="D48" i="1"/>
  <c r="C48" i="1"/>
  <c r="B48" i="1"/>
  <c r="M47" i="1"/>
  <c r="L47" i="1"/>
  <c r="K47" i="1"/>
  <c r="J47" i="1"/>
  <c r="I47" i="1"/>
  <c r="H47" i="1"/>
  <c r="G47" i="1"/>
  <c r="F47" i="1"/>
  <c r="E47" i="1"/>
  <c r="D47" i="1"/>
  <c r="C47" i="1"/>
  <c r="B47" i="1"/>
  <c r="M46" i="1"/>
  <c r="L46" i="1"/>
  <c r="K46" i="1"/>
  <c r="J46" i="1"/>
  <c r="I46" i="1"/>
  <c r="H46" i="1"/>
  <c r="G46" i="1"/>
  <c r="F46" i="1"/>
  <c r="E46" i="1"/>
  <c r="D46" i="1"/>
  <c r="C46" i="1"/>
  <c r="B46" i="1"/>
  <c r="M45" i="1"/>
  <c r="L45" i="1"/>
  <c r="K45" i="1"/>
  <c r="J45" i="1"/>
  <c r="I45" i="1"/>
  <c r="H45" i="1"/>
  <c r="G45" i="1"/>
  <c r="F45" i="1"/>
  <c r="E45" i="1"/>
  <c r="D45" i="1"/>
  <c r="C45" i="1"/>
  <c r="B45" i="1"/>
  <c r="M44" i="1"/>
  <c r="L44" i="1"/>
  <c r="K44" i="1"/>
  <c r="J44" i="1"/>
  <c r="I44" i="1"/>
  <c r="H44" i="1"/>
  <c r="G44" i="1"/>
  <c r="F44" i="1"/>
  <c r="E44" i="1"/>
  <c r="D44" i="1"/>
  <c r="C44" i="1"/>
  <c r="B44" i="1"/>
  <c r="M43" i="1"/>
  <c r="L43" i="1"/>
  <c r="K43" i="1"/>
  <c r="J43" i="1"/>
  <c r="I43" i="1"/>
  <c r="H43" i="1"/>
  <c r="G43" i="1"/>
  <c r="F43" i="1"/>
  <c r="E43" i="1"/>
  <c r="D43" i="1"/>
  <c r="C43" i="1"/>
  <c r="B43" i="1"/>
  <c r="M42" i="1"/>
  <c r="L42" i="1"/>
  <c r="K42" i="1"/>
  <c r="J42" i="1"/>
  <c r="I42" i="1"/>
  <c r="H42" i="1"/>
  <c r="G42" i="1"/>
  <c r="F42" i="1"/>
  <c r="E42" i="1"/>
  <c r="D42" i="1"/>
  <c r="C42" i="1"/>
  <c r="B42" i="1"/>
  <c r="M41" i="1"/>
  <c r="L41" i="1"/>
  <c r="K41" i="1"/>
  <c r="J41" i="1"/>
  <c r="I41" i="1"/>
  <c r="H41" i="1"/>
  <c r="G41" i="1"/>
  <c r="F41" i="1"/>
  <c r="E41" i="1"/>
  <c r="D41" i="1"/>
  <c r="C41" i="1"/>
  <c r="B41" i="1"/>
  <c r="M40" i="1"/>
  <c r="L40" i="1"/>
  <c r="K40" i="1"/>
  <c r="J40" i="1"/>
  <c r="I40" i="1"/>
  <c r="H40" i="1"/>
  <c r="G40" i="1"/>
  <c r="F40" i="1"/>
  <c r="E40" i="1"/>
  <c r="D40" i="1"/>
  <c r="C40" i="1"/>
  <c r="B40" i="1"/>
  <c r="M39" i="1"/>
  <c r="L39" i="1"/>
  <c r="K39" i="1"/>
  <c r="J39" i="1"/>
  <c r="I39" i="1"/>
  <c r="H39" i="1"/>
  <c r="G39" i="1"/>
  <c r="F39" i="1"/>
  <c r="E39" i="1"/>
  <c r="D39" i="1"/>
  <c r="C39" i="1"/>
  <c r="B39" i="1"/>
  <c r="M38" i="1"/>
  <c r="L38" i="1"/>
  <c r="K38" i="1"/>
  <c r="J38" i="1"/>
  <c r="I38" i="1"/>
  <c r="H38" i="1"/>
  <c r="G38" i="1"/>
  <c r="F38" i="1"/>
  <c r="E38" i="1"/>
  <c r="D38" i="1"/>
  <c r="C38" i="1"/>
  <c r="B38" i="1"/>
  <c r="M37" i="1"/>
  <c r="L37" i="1"/>
  <c r="K37" i="1"/>
  <c r="J37" i="1"/>
  <c r="I37" i="1"/>
  <c r="H37" i="1"/>
  <c r="G37" i="1"/>
  <c r="F37" i="1"/>
  <c r="E37" i="1"/>
  <c r="D37" i="1"/>
  <c r="C37" i="1"/>
  <c r="B37" i="1"/>
  <c r="M36" i="1"/>
  <c r="L36" i="1"/>
  <c r="K36" i="1"/>
  <c r="J36" i="1"/>
  <c r="I36" i="1"/>
  <c r="H36" i="1"/>
  <c r="G36" i="1"/>
  <c r="F36" i="1"/>
  <c r="E36" i="1"/>
  <c r="D36" i="1"/>
  <c r="C36" i="1"/>
  <c r="B36" i="1"/>
  <c r="M35" i="1"/>
  <c r="L35" i="1"/>
  <c r="K35" i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C34" i="1"/>
  <c r="B34" i="1"/>
  <c r="M33" i="1"/>
  <c r="L33" i="1"/>
  <c r="K33" i="1"/>
  <c r="J33" i="1"/>
  <c r="I33" i="1"/>
  <c r="H33" i="1"/>
  <c r="G33" i="1"/>
  <c r="F33" i="1"/>
  <c r="E33" i="1"/>
  <c r="D33" i="1"/>
  <c r="C33" i="1"/>
  <c r="B33" i="1"/>
  <c r="M32" i="1"/>
  <c r="L32" i="1"/>
  <c r="K32" i="1"/>
  <c r="J32" i="1"/>
  <c r="I32" i="1"/>
  <c r="H32" i="1"/>
  <c r="G32" i="1"/>
  <c r="F32" i="1"/>
  <c r="E32" i="1"/>
  <c r="D32" i="1"/>
  <c r="C32" i="1"/>
  <c r="B32" i="1"/>
  <c r="M31" i="1"/>
  <c r="L31" i="1"/>
  <c r="K31" i="1"/>
  <c r="J31" i="1"/>
  <c r="I31" i="1"/>
  <c r="H31" i="1"/>
  <c r="G31" i="1"/>
  <c r="F31" i="1"/>
  <c r="E31" i="1"/>
  <c r="D31" i="1"/>
  <c r="C31" i="1"/>
  <c r="B31" i="1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H28" i="1"/>
  <c r="G28" i="1"/>
  <c r="F28" i="1"/>
  <c r="E28" i="1"/>
  <c r="D28" i="1"/>
  <c r="C28" i="1"/>
  <c r="B28" i="1"/>
  <c r="M27" i="1"/>
  <c r="L27" i="1"/>
  <c r="K27" i="1"/>
  <c r="J27" i="1"/>
  <c r="H27" i="1"/>
  <c r="G27" i="1"/>
  <c r="F27" i="1"/>
  <c r="E27" i="1"/>
  <c r="D27" i="1"/>
  <c r="C27" i="1"/>
  <c r="B27" i="1"/>
  <c r="M26" i="1"/>
  <c r="L26" i="1"/>
  <c r="K26" i="1"/>
  <c r="J26" i="1"/>
  <c r="H26" i="1"/>
  <c r="G26" i="1"/>
  <c r="F26" i="1"/>
  <c r="E26" i="1"/>
  <c r="D26" i="1"/>
  <c r="C26" i="1"/>
  <c r="B26" i="1"/>
  <c r="M25" i="1"/>
  <c r="L25" i="1"/>
  <c r="K25" i="1"/>
  <c r="J25" i="1"/>
  <c r="H25" i="1"/>
  <c r="G25" i="1"/>
  <c r="F25" i="1"/>
  <c r="E25" i="1"/>
  <c r="D25" i="1"/>
  <c r="C25" i="1"/>
  <c r="B25" i="1"/>
  <c r="M24" i="1"/>
  <c r="L24" i="1"/>
  <c r="K24" i="1"/>
  <c r="J24" i="1"/>
  <c r="H24" i="1"/>
  <c r="G24" i="1"/>
  <c r="F24" i="1"/>
  <c r="E24" i="1"/>
  <c r="D24" i="1"/>
  <c r="C24" i="1"/>
  <c r="B24" i="1"/>
  <c r="M23" i="1"/>
  <c r="L23" i="1"/>
  <c r="K23" i="1"/>
  <c r="J23" i="1"/>
  <c r="H23" i="1"/>
  <c r="G23" i="1"/>
  <c r="F23" i="1"/>
  <c r="E23" i="1"/>
  <c r="D23" i="1"/>
  <c r="C23" i="1"/>
  <c r="B23" i="1"/>
  <c r="M22" i="1"/>
  <c r="L22" i="1"/>
  <c r="K22" i="1"/>
  <c r="J22" i="1"/>
  <c r="H22" i="1"/>
  <c r="G22" i="1"/>
  <c r="F22" i="1"/>
  <c r="E22" i="1"/>
  <c r="D22" i="1"/>
  <c r="C22" i="1"/>
  <c r="B22" i="1"/>
  <c r="M21" i="1"/>
  <c r="L21" i="1"/>
  <c r="K21" i="1"/>
  <c r="J21" i="1"/>
  <c r="H21" i="1"/>
  <c r="G21" i="1"/>
  <c r="F21" i="1"/>
  <c r="E21" i="1"/>
  <c r="D21" i="1"/>
  <c r="C21" i="1"/>
  <c r="B21" i="1"/>
  <c r="M20" i="1"/>
  <c r="L20" i="1"/>
  <c r="K20" i="1"/>
  <c r="J20" i="1"/>
  <c r="H20" i="1"/>
  <c r="G20" i="1"/>
  <c r="F20" i="1"/>
  <c r="E20" i="1"/>
  <c r="D20" i="1"/>
  <c r="C20" i="1"/>
  <c r="B20" i="1"/>
  <c r="K19" i="1"/>
  <c r="J19" i="1"/>
  <c r="H19" i="1"/>
  <c r="G19" i="1"/>
  <c r="F19" i="1"/>
  <c r="E19" i="1"/>
  <c r="D19" i="1"/>
  <c r="C19" i="1"/>
  <c r="B19" i="1"/>
  <c r="K18" i="1"/>
  <c r="J18" i="1"/>
  <c r="H18" i="1"/>
  <c r="G18" i="1"/>
  <c r="F18" i="1"/>
  <c r="E18" i="1"/>
  <c r="D18" i="1"/>
  <c r="C18" i="1"/>
  <c r="B18" i="1"/>
  <c r="K17" i="1"/>
  <c r="J17" i="1"/>
  <c r="H17" i="1"/>
  <c r="G17" i="1"/>
  <c r="F17" i="1"/>
  <c r="E17" i="1"/>
  <c r="D17" i="1"/>
  <c r="C17" i="1"/>
  <c r="B17" i="1"/>
  <c r="K16" i="1"/>
  <c r="J16" i="1"/>
  <c r="H16" i="1"/>
  <c r="G16" i="1"/>
  <c r="F16" i="1"/>
  <c r="E16" i="1"/>
  <c r="D16" i="1"/>
  <c r="C16" i="1"/>
  <c r="B16" i="1"/>
  <c r="K15" i="1"/>
  <c r="J15" i="1"/>
  <c r="H15" i="1"/>
  <c r="G15" i="1"/>
  <c r="F15" i="1"/>
  <c r="E15" i="1"/>
  <c r="D15" i="1"/>
  <c r="C15" i="1"/>
  <c r="B15" i="1"/>
  <c r="K14" i="1"/>
  <c r="J14" i="1"/>
  <c r="H14" i="1"/>
  <c r="G14" i="1"/>
  <c r="F14" i="1"/>
  <c r="E14" i="1"/>
  <c r="D14" i="1"/>
  <c r="C14" i="1"/>
  <c r="B14" i="1"/>
  <c r="K13" i="1"/>
  <c r="J13" i="1"/>
  <c r="H13" i="1"/>
  <c r="G13" i="1"/>
  <c r="F13" i="1"/>
  <c r="E13" i="1"/>
  <c r="D13" i="1"/>
  <c r="C13" i="1"/>
  <c r="B13" i="1"/>
  <c r="K12" i="1"/>
  <c r="J12" i="1"/>
  <c r="H12" i="1"/>
  <c r="G12" i="1"/>
  <c r="F12" i="1"/>
  <c r="E12" i="1"/>
  <c r="D12" i="1"/>
  <c r="C12" i="1"/>
  <c r="B12" i="1"/>
  <c r="K11" i="1"/>
  <c r="J11" i="1"/>
  <c r="H11" i="1"/>
  <c r="G11" i="1"/>
  <c r="F11" i="1"/>
  <c r="E11" i="1"/>
  <c r="D11" i="1"/>
  <c r="C11" i="1"/>
  <c r="B11" i="1"/>
  <c r="K10" i="1"/>
  <c r="J10" i="1"/>
  <c r="H10" i="1"/>
  <c r="G10" i="1"/>
  <c r="F10" i="1"/>
  <c r="E10" i="1"/>
  <c r="D10" i="1"/>
  <c r="C10" i="1"/>
  <c r="B10" i="1"/>
  <c r="K9" i="1"/>
  <c r="J9" i="1"/>
  <c r="H9" i="1"/>
  <c r="G9" i="1"/>
  <c r="F9" i="1"/>
  <c r="E9" i="1"/>
  <c r="D9" i="1"/>
  <c r="C9" i="1"/>
  <c r="B9" i="1"/>
  <c r="K8" i="1"/>
  <c r="J8" i="1"/>
  <c r="H8" i="1"/>
  <c r="G8" i="1"/>
  <c r="F8" i="1"/>
  <c r="E8" i="1"/>
  <c r="D8" i="1"/>
  <c r="C8" i="1"/>
  <c r="B8" i="1"/>
  <c r="K7" i="1"/>
  <c r="J7" i="1"/>
  <c r="H7" i="1"/>
  <c r="G7" i="1"/>
  <c r="F7" i="1"/>
  <c r="E7" i="1"/>
  <c r="D7" i="1"/>
  <c r="C7" i="1"/>
  <c r="B7" i="1"/>
  <c r="K6" i="1"/>
  <c r="H6" i="1"/>
  <c r="G6" i="1"/>
  <c r="F6" i="1"/>
  <c r="E6" i="1"/>
  <c r="D6" i="1"/>
  <c r="C6" i="1"/>
  <c r="B6" i="1"/>
  <c r="K5" i="1"/>
  <c r="H5" i="1"/>
  <c r="G5" i="1"/>
  <c r="F5" i="1"/>
  <c r="E5" i="1"/>
  <c r="D5" i="1"/>
  <c r="C5" i="1"/>
  <c r="B5" i="1"/>
  <c r="K4" i="1"/>
  <c r="H4" i="1"/>
  <c r="G4" i="1"/>
  <c r="F4" i="1"/>
  <c r="E4" i="1"/>
  <c r="D4" i="1"/>
  <c r="C4" i="1"/>
  <c r="B4" i="1"/>
  <c r="K3" i="1"/>
  <c r="H3" i="1"/>
  <c r="G3" i="1"/>
  <c r="F3" i="1"/>
  <c r="E3" i="1"/>
  <c r="D3" i="1"/>
  <c r="C3" i="1"/>
  <c r="B3" i="1"/>
  <c r="K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<sst xmlns="http://schemas.openxmlformats.org/spreadsheetml/2006/main" count="14" uniqueCount="14">
  <si>
    <t>Week-Start</t>
  </si>
  <si>
    <t>Yellow Grease - Illinois</t>
  </si>
  <si>
    <t>Used Cooking Oil - Illinois</t>
  </si>
  <si>
    <t>Poultry Fat - Mid South</t>
  </si>
  <si>
    <t>Choice White Grease - Chicago</t>
  </si>
  <si>
    <t>Bleachable Fancy Tallow - Packer Chicago</t>
  </si>
  <si>
    <t>Distillers' Corn Oil - Illinois/Wisconsin</t>
  </si>
  <si>
    <t>Soybean Oil Central Il</t>
  </si>
  <si>
    <t>Palm Oil</t>
  </si>
  <si>
    <t>D4 RINs</t>
  </si>
  <si>
    <t>LCFS Credits</t>
  </si>
  <si>
    <t>Biodiesel incl credit values</t>
  </si>
  <si>
    <t>Renewable Diesel not incl credit prices</t>
  </si>
  <si>
    <t>RBD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</si>
</sst>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4" tint="-0.249977111117893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40" fontId="0" fillId="0" borderId="0" xfId="0" applyNumberFormat="1"/>
    <xf numFmtId="40" fontId="2" fillId="0" borderId="0" xfId="0" applyNumberFormat="1" applyFont="1"/>
    <xf numFmtId="40" fontId="3" fillId="0" borderId="0" xfId="0" applyNumberFormat="1" applyFont="1"/>
    <xf numFmtId="16" fontId="0" fillId="0" borderId="0" xfId="0" applyNumberFormat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8" formatCode="#,##0.00_);[Red]\(#,##0.00\)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  <numFmt numFmtId="164" formatCode="m/d/yy"/>
    </dxf>
    <dxf>
      <numFmt numFmtId="19" formatCode="m/d/yyyy"/>
    </dxf>
    <dxf>
      <numFmt numFmtId="8" formatCode="#,##0.00_);[Red]\(#,##0.00\)"/>
    </dxf>
    <dxf>
      <font>
        <strike val="0"/>
        <outline val="0"/>
        <shadow val="0"/>
        <u val="none"/>
        <vertAlign val="baseline"/>
        <sz val="10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Biofuels/Biodiesel%20Production%20Data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Biofuels/Biodiesel%20Production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Biofuels/D4%20Forecast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Biofuels/D4%20Forecas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Relationship Id="rId1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lau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lauba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Credit%20Price%20Forecasts.xlsx" TargetMode="External"/><Relationship Id="rId1" Type="http://schemas.openxmlformats.org/officeDocument/2006/relationships/externalLinkPath" Target="https://fmpra-my.sharepoint.com/personal/svc-tjteamreader_fmpra_com/Documents/TJTeam%20-%20Documents/Biomass-Based%20Diesel/Credit%20Price%20Foreca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JWNLYO763DVDJFFAQRKSQ7NEE">
      <xxl21:absoluteUrl r:id="rId2"/>
    </xxl21:alternateUrls>
    <sheetNames>
      <sheetName val="Futures Price Forecasts"/>
      <sheetName val="Forecasts"/>
      <sheetName val="Sheet1"/>
      <sheetName val="Prices"/>
      <sheetName val="Chart1"/>
      <sheetName val="Chart2"/>
      <sheetName val="Chart3"/>
      <sheetName val="Chart4"/>
      <sheetName val="Chart5"/>
      <sheetName val="Monthly Oil Share Change (2)"/>
      <sheetName val="Monthly Oil Share Change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0"/>
      <sheetData sheetId="1">
        <row r="74">
          <cell r="B74" t="e">
            <v>#REF!</v>
          </cell>
        </row>
      </sheetData>
      <sheetData sheetId="2"/>
      <sheetData sheetId="3">
        <row r="525">
          <cell r="D525">
            <v>45.387300000000003</v>
          </cell>
        </row>
        <row r="602">
          <cell r="L602">
            <v>32.270000000000003</v>
          </cell>
        </row>
        <row r="603">
          <cell r="L603">
            <v>33.04</v>
          </cell>
        </row>
        <row r="604">
          <cell r="L604">
            <v>30.26</v>
          </cell>
        </row>
        <row r="605">
          <cell r="L605">
            <v>27.04</v>
          </cell>
        </row>
        <row r="606">
          <cell r="L606">
            <v>25.69</v>
          </cell>
        </row>
        <row r="607">
          <cell r="L607">
            <v>25.27</v>
          </cell>
        </row>
        <row r="608">
          <cell r="L608">
            <v>26.61</v>
          </cell>
        </row>
        <row r="609">
          <cell r="L609">
            <v>28.71</v>
          </cell>
        </row>
        <row r="610">
          <cell r="L610">
            <v>32.130000000000003</v>
          </cell>
        </row>
        <row r="611">
          <cell r="L611">
            <v>34.200000000000003</v>
          </cell>
        </row>
        <row r="612">
          <cell r="L612">
            <v>33.909999999999997</v>
          </cell>
        </row>
        <row r="613">
          <cell r="L613">
            <v>37.79</v>
          </cell>
        </row>
        <row r="614">
          <cell r="L614">
            <v>40.85</v>
          </cell>
        </row>
        <row r="615">
          <cell r="L615">
            <v>44.31</v>
          </cell>
        </row>
        <row r="616">
          <cell r="L616">
            <v>48.37</v>
          </cell>
        </row>
        <row r="617">
          <cell r="L617">
            <v>56</v>
          </cell>
        </row>
        <row r="618">
          <cell r="L618">
            <v>62.88</v>
          </cell>
        </row>
        <row r="619">
          <cell r="L619">
            <v>74.75</v>
          </cell>
        </row>
        <row r="620">
          <cell r="L620">
            <v>74.75</v>
          </cell>
        </row>
        <row r="621">
          <cell r="L621">
            <v>72.930000000000007</v>
          </cell>
        </row>
        <row r="622">
          <cell r="L622">
            <v>70.010000000000005</v>
          </cell>
        </row>
        <row r="623">
          <cell r="L623">
            <v>65.930000000000007</v>
          </cell>
        </row>
        <row r="624">
          <cell r="L624">
            <v>70.42</v>
          </cell>
        </row>
        <row r="625">
          <cell r="D625">
            <v>59.234761904761896</v>
          </cell>
        </row>
        <row r="626">
          <cell r="D626">
            <v>55.209545454545463</v>
          </cell>
        </row>
        <row r="627">
          <cell r="D627">
            <v>60.679999999999993</v>
          </cell>
        </row>
        <row r="628">
          <cell r="D628">
            <v>67.012631578947364</v>
          </cell>
        </row>
        <row r="629">
          <cell r="D629">
            <v>74.006521739130449</v>
          </cell>
        </row>
        <row r="630">
          <cell r="D630">
            <v>79.201999999999998</v>
          </cell>
        </row>
        <row r="631">
          <cell r="D631">
            <v>81.004761904761907</v>
          </cell>
        </row>
        <row r="632">
          <cell r="D632">
            <v>76.33</v>
          </cell>
        </row>
        <row r="633">
          <cell r="AB633">
            <v>81.498000000000005</v>
          </cell>
        </row>
        <row r="634">
          <cell r="AB634">
            <v>85.409099999999995</v>
          </cell>
        </row>
        <row r="635">
          <cell r="AB635">
            <v>83.801900000000003</v>
          </cell>
        </row>
        <row r="636">
          <cell r="AB636">
            <v>84.172857142857154</v>
          </cell>
        </row>
        <row r="637">
          <cell r="AB637">
            <v>91.439047619047614</v>
          </cell>
        </row>
        <row r="638">
          <cell r="AB638">
            <v>78.703809523809525</v>
          </cell>
        </row>
        <row r="639">
          <cell r="AB639">
            <v>74.771500000000003</v>
          </cell>
        </row>
        <row r="640">
          <cell r="AB640">
            <v>71.927894736842092</v>
          </cell>
        </row>
        <row r="641">
          <cell r="AB641">
            <v>68.043478260869549</v>
          </cell>
        </row>
        <row r="642">
          <cell r="AB642">
            <v>66.049473684210511</v>
          </cell>
        </row>
        <row r="643">
          <cell r="AB643">
            <v>63.129090909090912</v>
          </cell>
        </row>
        <row r="644">
          <cell r="AB644">
            <v>71.920476190476194</v>
          </cell>
        </row>
        <row r="645">
          <cell r="AB645">
            <v>83.214999999999989</v>
          </cell>
        </row>
        <row r="646">
          <cell r="AB646">
            <v>79.824782608695656</v>
          </cell>
        </row>
        <row r="647">
          <cell r="AB647">
            <v>74.341499999999982</v>
          </cell>
        </row>
        <row r="648">
          <cell r="AB648">
            <v>65.709090909090918</v>
          </cell>
        </row>
        <row r="649">
          <cell r="AB649">
            <v>63.272619047619052</v>
          </cell>
        </row>
        <row r="650">
          <cell r="AB650">
            <v>60.323</v>
          </cell>
        </row>
        <row r="651">
          <cell r="AB651">
            <v>56.135714285714279</v>
          </cell>
        </row>
        <row r="652">
          <cell r="AB652">
            <v>53.089999999999996</v>
          </cell>
        </row>
        <row r="653">
          <cell r="AB653">
            <v>53.306499999999993</v>
          </cell>
        </row>
        <row r="654">
          <cell r="AB654">
            <v>50.796818181818168</v>
          </cell>
        </row>
        <row r="655">
          <cell r="AB655">
            <v>48.589545454545451</v>
          </cell>
        </row>
        <row r="656">
          <cell r="AB656">
            <v>48.601578947368424</v>
          </cell>
        </row>
        <row r="657">
          <cell r="AB657">
            <v>53.729090909090907</v>
          </cell>
        </row>
        <row r="658">
          <cell r="AB658">
            <v>48.688571428571422</v>
          </cell>
        </row>
        <row r="659">
          <cell r="AB659">
            <v>48.549300000000002</v>
          </cell>
        </row>
        <row r="660">
          <cell r="AB660">
            <v>49.915900000000001</v>
          </cell>
        </row>
        <row r="661">
          <cell r="AB661">
            <v>50.918500000000002</v>
          </cell>
        </row>
        <row r="662">
          <cell r="AB662">
            <v>46.616199999999999</v>
          </cell>
        </row>
        <row r="663">
          <cell r="AB663">
            <v>48.43</v>
          </cell>
        </row>
        <row r="664">
          <cell r="AB664">
            <v>50.17</v>
          </cell>
        </row>
        <row r="665">
          <cell r="AB665">
            <v>46.75</v>
          </cell>
        </row>
        <row r="666">
          <cell r="AB666">
            <v>50.5</v>
          </cell>
        </row>
        <row r="667">
          <cell r="AB667">
            <v>50.25</v>
          </cell>
        </row>
        <row r="668">
          <cell r="AB668">
            <v>51</v>
          </cell>
        </row>
        <row r="669">
          <cell r="AB669">
            <v>52.25</v>
          </cell>
        </row>
        <row r="670">
          <cell r="AB670">
            <v>51</v>
          </cell>
        </row>
        <row r="671">
          <cell r="AB671">
            <v>50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Data"/>
      <sheetName val="Trumps Plan"/>
      <sheetName val="EPA Prelim 2020 RVO"/>
      <sheetName val="Quarterly Data"/>
      <sheetName val="Annual Data"/>
      <sheetName val="SRE Table"/>
      <sheetName val="SRE Data"/>
      <sheetName val="LCFS Feedstocks"/>
      <sheetName val="LCFS Production"/>
      <sheetName val="Tables"/>
      <sheetName val="LCFS Credit Price Forecast"/>
      <sheetName val="D6 Data"/>
      <sheetName val="Annual Category Data"/>
      <sheetName val="EIA Feedstocks"/>
      <sheetName val="Yield"/>
      <sheetName val="Capacity Utilization"/>
      <sheetName val="Stocks"/>
      <sheetName val="D4 Data"/>
      <sheetName val="Biofuel Chang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9">
          <cell r="B79">
            <v>206.46430000000001</v>
          </cell>
        </row>
        <row r="80">
          <cell r="B80">
            <v>209.13300000000001</v>
          </cell>
        </row>
        <row r="81">
          <cell r="B81">
            <v>210.36840000000001</v>
          </cell>
        </row>
        <row r="82">
          <cell r="B82">
            <v>199.5</v>
          </cell>
        </row>
        <row r="83">
          <cell r="B83">
            <v>193.21430000000001</v>
          </cell>
        </row>
        <row r="84">
          <cell r="B84">
            <v>201.95</v>
          </cell>
        </row>
        <row r="85">
          <cell r="B85">
            <v>208.7955</v>
          </cell>
        </row>
        <row r="86">
          <cell r="B86">
            <v>197.6591</v>
          </cell>
        </row>
        <row r="87">
          <cell r="B87">
            <v>192.42859999999999</v>
          </cell>
        </row>
        <row r="88">
          <cell r="B88">
            <v>197.2619</v>
          </cell>
        </row>
        <row r="89">
          <cell r="B89">
            <v>195.77269999999999</v>
          </cell>
        </row>
        <row r="90">
          <cell r="B90">
            <v>198.72370000000001</v>
          </cell>
        </row>
        <row r="91">
          <cell r="B91">
            <v>198.97730000000001</v>
          </cell>
        </row>
        <row r="92">
          <cell r="B92">
            <v>199.8355</v>
          </cell>
        </row>
        <row r="93">
          <cell r="B93">
            <v>192.9605</v>
          </cell>
        </row>
        <row r="94">
          <cell r="B94">
            <v>192.99459999999999</v>
          </cell>
        </row>
        <row r="96">
          <cell r="B96">
            <v>187.78749999999999</v>
          </cell>
        </row>
        <row r="97">
          <cell r="B97">
            <v>189.01140000000001</v>
          </cell>
        </row>
        <row r="98">
          <cell r="B98">
            <v>179.2619</v>
          </cell>
        </row>
        <row r="99">
          <cell r="B99">
            <v>180.51140000000001</v>
          </cell>
        </row>
        <row r="100">
          <cell r="B100">
            <v>166.91669999999999</v>
          </cell>
        </row>
        <row r="101">
          <cell r="B101">
            <v>167.67859999999999</v>
          </cell>
        </row>
        <row r="102">
          <cell r="B102">
            <v>149.52500000000001</v>
          </cell>
        </row>
        <row r="103">
          <cell r="B103">
            <v>148.41669999999999</v>
          </cell>
        </row>
        <row r="104">
          <cell r="B104">
            <v>149.88749999999999</v>
          </cell>
        </row>
        <row r="105">
          <cell r="B105">
            <v>141.1711</v>
          </cell>
        </row>
        <row r="106">
          <cell r="B106">
            <v>125.8913</v>
          </cell>
        </row>
        <row r="107">
          <cell r="B107">
            <v>117.675</v>
          </cell>
        </row>
        <row r="108">
          <cell r="B108">
            <v>108.58329999999999</v>
          </cell>
        </row>
        <row r="109">
          <cell r="B109">
            <v>88.523799999999994</v>
          </cell>
        </row>
        <row r="110">
          <cell r="B110">
            <v>92.987499999999997</v>
          </cell>
        </row>
        <row r="111">
          <cell r="B111">
            <v>87.956500000000005</v>
          </cell>
        </row>
        <row r="112">
          <cell r="B112">
            <v>77.3095</v>
          </cell>
        </row>
        <row r="113">
          <cell r="B113">
            <v>66.142857142857139</v>
          </cell>
        </row>
        <row r="114">
          <cell r="B114">
            <v>63.287500000000001</v>
          </cell>
        </row>
        <row r="115">
          <cell r="B115">
            <v>66.881</v>
          </cell>
        </row>
        <row r="116">
          <cell r="B116">
            <v>64.5625</v>
          </cell>
        </row>
        <row r="117">
          <cell r="B117">
            <v>63.947400000000002</v>
          </cell>
        </row>
        <row r="118">
          <cell r="B118">
            <v>68.315200000000004</v>
          </cell>
        </row>
        <row r="119">
          <cell r="B119">
            <v>78.013199999999998</v>
          </cell>
        </row>
        <row r="120">
          <cell r="B120">
            <v>84.465900000000005</v>
          </cell>
        </row>
        <row r="121">
          <cell r="B121">
            <v>80.428600000000003</v>
          </cell>
        </row>
        <row r="122">
          <cell r="B122">
            <v>73.262500000000003</v>
          </cell>
        </row>
        <row r="123">
          <cell r="B123">
            <v>78.184799999999996</v>
          </cell>
        </row>
        <row r="124">
          <cell r="B124">
            <v>72.05</v>
          </cell>
        </row>
        <row r="125">
          <cell r="B125">
            <v>70.2273</v>
          </cell>
        </row>
        <row r="126">
          <cell r="B126">
            <v>67.612499999999997</v>
          </cell>
        </row>
        <row r="127">
          <cell r="B127">
            <v>70.924999999999997</v>
          </cell>
        </row>
        <row r="128">
          <cell r="B128">
            <v>62.8155</v>
          </cell>
        </row>
        <row r="129">
          <cell r="B129">
            <v>62.612499999999997</v>
          </cell>
        </row>
        <row r="130">
          <cell r="B130">
            <v>67.025000000000006</v>
          </cell>
        </row>
        <row r="131">
          <cell r="B131">
            <v>61.909100000000002</v>
          </cell>
        </row>
        <row r="132">
          <cell r="B132">
            <v>48.4773</v>
          </cell>
        </row>
        <row r="133">
          <cell r="B133">
            <v>44.703899999999997</v>
          </cell>
        </row>
        <row r="134">
          <cell r="B134">
            <v>47.18</v>
          </cell>
        </row>
        <row r="135">
          <cell r="B135">
            <v>51.83</v>
          </cell>
        </row>
        <row r="136">
          <cell r="B136">
            <v>60.694000000000003</v>
          </cell>
        </row>
        <row r="137">
          <cell r="B137">
            <v>66.565217391304344</v>
          </cell>
        </row>
        <row r="138">
          <cell r="B138">
            <v>73.900499999999994</v>
          </cell>
        </row>
        <row r="139">
          <cell r="B139">
            <v>76.511904761904759</v>
          </cell>
        </row>
        <row r="140">
          <cell r="B140">
            <v>66.6186299081036</v>
          </cell>
        </row>
        <row r="141">
          <cell r="B141">
            <v>66.6186299081036</v>
          </cell>
        </row>
        <row r="142">
          <cell r="B142">
            <v>66.6186299081036</v>
          </cell>
        </row>
        <row r="143">
          <cell r="B143">
            <v>57.735294117647058</v>
          </cell>
        </row>
        <row r="144">
          <cell r="B144">
            <v>57.735294117647058</v>
          </cell>
        </row>
        <row r="145">
          <cell r="B145">
            <v>57.735294117647058</v>
          </cell>
        </row>
        <row r="146">
          <cell r="B146">
            <v>55.860693450930654</v>
          </cell>
        </row>
        <row r="147">
          <cell r="B147">
            <v>55.860693450930654</v>
          </cell>
        </row>
        <row r="148">
          <cell r="B148">
            <v>55.860693450930654</v>
          </cell>
        </row>
        <row r="149">
          <cell r="B149">
            <v>53.495231635143625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2CJ3ZL4A6LZFIMUGWYEWNU6IT">
      <xxl21:absoluteUrl r:id="rId2"/>
    </xxl21:alternateUrls>
    <sheetNames>
      <sheetName val="Dashboard"/>
      <sheetName val="RINs and HOBO Forecast"/>
      <sheetName val="HOBO History"/>
      <sheetName val="HOBO vs Production"/>
      <sheetName val="Chart2"/>
      <sheetName val="Chart3"/>
      <sheetName val="Chart4"/>
      <sheetName val="Chart5"/>
      <sheetName val="Chart6"/>
    </sheetNames>
    <sheetDataSet>
      <sheetData sheetId="0"/>
      <sheetData sheetId="1">
        <row r="38">
          <cell r="C38">
            <v>40.3523</v>
          </cell>
        </row>
        <row r="39">
          <cell r="C39">
            <v>48.539499999999997</v>
          </cell>
        </row>
        <row r="40">
          <cell r="C40">
            <v>48.568199999999997</v>
          </cell>
        </row>
        <row r="41">
          <cell r="C41">
            <v>52.107100000000003</v>
          </cell>
        </row>
        <row r="42">
          <cell r="C42">
            <v>53.625</v>
          </cell>
        </row>
        <row r="43">
          <cell r="C43">
            <v>56.51</v>
          </cell>
        </row>
        <row r="44">
          <cell r="C44">
            <v>59.840899999999998</v>
          </cell>
        </row>
        <row r="45">
          <cell r="C45">
            <v>64.964299999999994</v>
          </cell>
        </row>
        <row r="46">
          <cell r="C46">
            <v>76.381</v>
          </cell>
        </row>
        <row r="47">
          <cell r="C47">
            <v>79.693200000000004</v>
          </cell>
        </row>
        <row r="49">
          <cell r="C49">
            <v>97.181799999999996</v>
          </cell>
        </row>
        <row r="50">
          <cell r="C50">
            <v>102.61839999999999</v>
          </cell>
        </row>
        <row r="51">
          <cell r="C51">
            <v>109.8947</v>
          </cell>
        </row>
        <row r="52">
          <cell r="C52">
            <v>138.40219999999999</v>
          </cell>
        </row>
        <row r="53">
          <cell r="C53">
            <v>145.82140000000001</v>
          </cell>
        </row>
        <row r="54">
          <cell r="B54">
            <v>179.98750000000001</v>
          </cell>
        </row>
        <row r="56">
          <cell r="C56">
            <v>165.6071</v>
          </cell>
        </row>
        <row r="58">
          <cell r="C58">
            <v>143.66669999999999</v>
          </cell>
        </row>
        <row r="60">
          <cell r="C60">
            <v>142.94999999999999</v>
          </cell>
        </row>
        <row r="61">
          <cell r="C61">
            <v>151.05950000000001</v>
          </cell>
        </row>
        <row r="62">
          <cell r="C62">
            <v>135.71250000000001</v>
          </cell>
        </row>
        <row r="63">
          <cell r="C63">
            <v>146.4605</v>
          </cell>
        </row>
        <row r="64">
          <cell r="C64">
            <v>148.36959999999999</v>
          </cell>
        </row>
        <row r="65">
          <cell r="C65">
            <v>164.1688</v>
          </cell>
        </row>
        <row r="66">
          <cell r="C66">
            <v>178.381</v>
          </cell>
        </row>
        <row r="67">
          <cell r="C67">
            <v>163.25</v>
          </cell>
        </row>
        <row r="68">
          <cell r="C68">
            <v>161.42500000000001</v>
          </cell>
        </row>
        <row r="69">
          <cell r="C69">
            <v>176.58699999999999</v>
          </cell>
        </row>
        <row r="70">
          <cell r="C70">
            <v>174.81549999999999</v>
          </cell>
        </row>
        <row r="71">
          <cell r="C71">
            <v>181.3095238095238</v>
          </cell>
        </row>
        <row r="72">
          <cell r="C72">
            <v>191.47499999999999</v>
          </cell>
        </row>
        <row r="73">
          <cell r="C73">
            <v>173.02379999999999</v>
          </cell>
        </row>
        <row r="74">
          <cell r="C74">
            <v>169.125</v>
          </cell>
        </row>
        <row r="75">
          <cell r="C75">
            <v>161.97368421052633</v>
          </cell>
        </row>
        <row r="76">
          <cell r="C76">
            <v>157.40217391304347</v>
          </cell>
        </row>
        <row r="77">
          <cell r="C77">
            <v>156.70526315789473</v>
          </cell>
        </row>
        <row r="78">
          <cell r="C78">
            <v>153.39772727272728</v>
          </cell>
        </row>
        <row r="79">
          <cell r="C79">
            <v>144.4702380952381</v>
          </cell>
        </row>
        <row r="80">
          <cell r="C80">
            <v>155.63749999999999</v>
          </cell>
        </row>
        <row r="81">
          <cell r="C81">
            <v>145.03260869565219</v>
          </cell>
        </row>
        <row r="82">
          <cell r="C82">
            <v>119.4</v>
          </cell>
        </row>
        <row r="83">
          <cell r="C83">
            <v>88.602272727272734</v>
          </cell>
        </row>
        <row r="84">
          <cell r="C84">
            <v>82.912499999999994</v>
          </cell>
        </row>
        <row r="85">
          <cell r="C85">
            <v>81.231250000000003</v>
          </cell>
        </row>
        <row r="86">
          <cell r="C86">
            <v>72.583333333333329</v>
          </cell>
        </row>
        <row r="87">
          <cell r="C87">
            <v>47.987499999999997</v>
          </cell>
        </row>
        <row r="88">
          <cell r="C88">
            <v>52.475000000000001</v>
          </cell>
        </row>
        <row r="90">
          <cell r="C90">
            <v>49.738636363636367</v>
          </cell>
        </row>
        <row r="91">
          <cell r="C91">
            <v>55.157894736842103</v>
          </cell>
        </row>
        <row r="92">
          <cell r="C92">
            <v>64.045909090909106</v>
          </cell>
        </row>
        <row r="93">
          <cell r="C93">
            <v>56.591818181818191</v>
          </cell>
        </row>
        <row r="94">
          <cell r="C94">
            <v>60.412500000000001</v>
          </cell>
        </row>
        <row r="95">
          <cell r="C95">
            <v>69.870434782608697</v>
          </cell>
        </row>
        <row r="96">
          <cell r="C96">
            <v>68.287999999999997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377OPMYC5WNHJVK7FJDNQZ4BY">
      <xxl21:absoluteUrl r:id="rId2"/>
    </xxl21:alternateUrls>
    <sheetNames>
      <sheetName val="Dashboard"/>
      <sheetName val="Forecasts"/>
      <sheetName val="AnnualForecast"/>
      <sheetName val="Sheet2"/>
      <sheetName val="Chart1"/>
      <sheetName val="Chart2"/>
      <sheetName val="Historical Comp"/>
    </sheetNames>
    <sheetDataSet>
      <sheetData sheetId="0"/>
      <sheetData sheetId="1">
        <row r="5">
          <cell r="B5">
            <v>3.395</v>
          </cell>
          <cell r="C5">
            <v>0.87690000000000001</v>
          </cell>
        </row>
        <row r="6">
          <cell r="B6">
            <v>3.39</v>
          </cell>
          <cell r="C6">
            <v>0.92020000000000002</v>
          </cell>
        </row>
        <row r="7">
          <cell r="B7">
            <v>3.5049999999999999</v>
          </cell>
          <cell r="C7">
            <v>1.1539999999999999</v>
          </cell>
        </row>
        <row r="8">
          <cell r="B8">
            <v>3.5668000000000002</v>
          </cell>
          <cell r="C8">
            <v>1.2476</v>
          </cell>
        </row>
        <row r="9">
          <cell r="B9">
            <v>3.625238</v>
          </cell>
          <cell r="C9">
            <v>1.2482</v>
          </cell>
        </row>
        <row r="10">
          <cell r="B10">
            <v>3.891429</v>
          </cell>
          <cell r="C10">
            <v>1.1354</v>
          </cell>
        </row>
        <row r="11">
          <cell r="B11">
            <v>3.9488639999999999</v>
          </cell>
          <cell r="C11">
            <v>1.1605000000000001</v>
          </cell>
        </row>
        <row r="12">
          <cell r="B12">
            <v>4.0789470000000003</v>
          </cell>
          <cell r="C12">
            <v>1.2509999999999999</v>
          </cell>
        </row>
        <row r="13">
          <cell r="B13">
            <v>438.97730000000001</v>
          </cell>
          <cell r="C13">
            <v>1.4568000000000001</v>
          </cell>
        </row>
        <row r="14">
          <cell r="B14">
            <v>463.47370000000001</v>
          </cell>
          <cell r="C14">
            <v>1.5874999999999999</v>
          </cell>
        </row>
        <row r="15">
          <cell r="B15">
            <v>497.57889999999998</v>
          </cell>
          <cell r="C15">
            <v>1.7950999999999999</v>
          </cell>
        </row>
        <row r="16">
          <cell r="B16">
            <v>541.52170000000001</v>
          </cell>
          <cell r="C16">
            <v>1.8698999999999999</v>
          </cell>
        </row>
        <row r="17">
          <cell r="B17">
            <v>574.28570000000002</v>
          </cell>
          <cell r="C17">
            <v>1.8716999999999999</v>
          </cell>
        </row>
        <row r="18">
          <cell r="B18">
            <v>606</v>
          </cell>
          <cell r="C18">
            <v>2.0308999999999999</v>
          </cell>
        </row>
        <row r="19">
          <cell r="B19">
            <v>642.27269999999999</v>
          </cell>
          <cell r="C19">
            <v>2.1303999999999998</v>
          </cell>
        </row>
        <row r="20">
          <cell r="B20">
            <v>636.19050000000004</v>
          </cell>
          <cell r="C20">
            <v>2.1139999999999999</v>
          </cell>
        </row>
        <row r="21">
          <cell r="B21">
            <v>635</v>
          </cell>
          <cell r="C21">
            <v>2.0815000000000001</v>
          </cell>
        </row>
        <row r="22">
          <cell r="B22">
            <v>599.04759999999999</v>
          </cell>
          <cell r="C22">
            <v>2.2090999999999998</v>
          </cell>
        </row>
        <row r="23">
          <cell r="B23">
            <v>608.80949999999996</v>
          </cell>
          <cell r="C23">
            <v>2.5255999999999998</v>
          </cell>
        </row>
        <row r="24">
          <cell r="B24">
            <v>637</v>
          </cell>
          <cell r="C24">
            <v>2.3986000000000001</v>
          </cell>
        </row>
        <row r="25">
          <cell r="B25">
            <v>610.95240000000001</v>
          </cell>
          <cell r="C25">
            <v>2.2559</v>
          </cell>
        </row>
        <row r="26">
          <cell r="B26">
            <v>614.5</v>
          </cell>
          <cell r="C26">
            <v>2.6183000000000001</v>
          </cell>
        </row>
        <row r="27">
          <cell r="B27">
            <v>660.78949999999998</v>
          </cell>
          <cell r="C27">
            <v>2.8553999999999999</v>
          </cell>
        </row>
        <row r="28">
          <cell r="B28">
            <v>724.7826</v>
          </cell>
          <cell r="C28">
            <v>3.6623000000000001</v>
          </cell>
        </row>
        <row r="29">
          <cell r="B29">
            <v>787.75</v>
          </cell>
          <cell r="C29">
            <v>3.8795000000000002</v>
          </cell>
        </row>
        <row r="30">
          <cell r="B30">
            <v>798.09519999999998</v>
          </cell>
          <cell r="C30">
            <v>3.9176000000000002</v>
          </cell>
        </row>
        <row r="31">
          <cell r="B31">
            <v>791.90480000000002</v>
          </cell>
          <cell r="C31">
            <v>4.3010999999999999</v>
          </cell>
        </row>
        <row r="32">
          <cell r="B32">
            <v>757.55</v>
          </cell>
          <cell r="C32">
            <v>3.6501999999999999</v>
          </cell>
        </row>
        <row r="33">
          <cell r="B33">
            <v>749.95650000000001</v>
          </cell>
          <cell r="C33">
            <v>3.6059999999999999</v>
          </cell>
        </row>
        <row r="34">
          <cell r="B34">
            <v>770</v>
          </cell>
          <cell r="C34">
            <v>3.4216000000000002</v>
          </cell>
        </row>
        <row r="35">
          <cell r="B35">
            <v>796.54761904761904</v>
          </cell>
          <cell r="C35">
            <v>3.9615785714285709</v>
          </cell>
        </row>
        <row r="36">
          <cell r="B36">
            <v>804.6</v>
          </cell>
          <cell r="C36">
            <v>3.5769000000000002</v>
          </cell>
        </row>
        <row r="37">
          <cell r="B37">
            <v>770</v>
          </cell>
          <cell r="C37">
            <v>2.9495</v>
          </cell>
        </row>
        <row r="38">
          <cell r="B38">
            <v>745.25</v>
          </cell>
          <cell r="C38">
            <v>2.9518</v>
          </cell>
        </row>
        <row r="39">
          <cell r="B39">
            <v>707.63160000000005</v>
          </cell>
          <cell r="C39">
            <v>2.8294000000000001</v>
          </cell>
        </row>
        <row r="40">
          <cell r="B40">
            <v>636.52170000000001</v>
          </cell>
          <cell r="C40">
            <v>2.6103000000000001</v>
          </cell>
        </row>
        <row r="41">
          <cell r="B41">
            <v>605</v>
          </cell>
          <cell r="C41">
            <v>2.3999000000000001</v>
          </cell>
        </row>
        <row r="42">
          <cell r="B42">
            <v>594.5</v>
          </cell>
        </row>
        <row r="43">
          <cell r="B43">
            <v>580.23810000000003</v>
          </cell>
        </row>
        <row r="44">
          <cell r="B44">
            <v>595</v>
          </cell>
        </row>
        <row r="45">
          <cell r="B45">
            <v>658.04349999999999</v>
          </cell>
        </row>
        <row r="46">
          <cell r="B46">
            <v>641</v>
          </cell>
        </row>
        <row r="47">
          <cell r="B47">
            <v>592.27269999999999</v>
          </cell>
          <cell r="C47">
            <v>3.2168000000000001</v>
          </cell>
        </row>
        <row r="48">
          <cell r="B48">
            <v>560.75</v>
          </cell>
          <cell r="C48">
            <v>2.944</v>
          </cell>
        </row>
        <row r="49">
          <cell r="B49">
            <v>546.125</v>
          </cell>
          <cell r="C49">
            <v>2.5878999999999999</v>
          </cell>
        </row>
        <row r="50">
          <cell r="B50">
            <v>521.42859999999996</v>
          </cell>
          <cell r="C50">
            <v>2.5011000000000001</v>
          </cell>
        </row>
        <row r="51">
          <cell r="B51">
            <v>493.875</v>
          </cell>
          <cell r="C51">
            <v>2.5948000000000002</v>
          </cell>
        </row>
        <row r="52">
          <cell r="B52">
            <v>466.5</v>
          </cell>
          <cell r="C52">
            <v>2.6656</v>
          </cell>
        </row>
        <row r="53">
          <cell r="B53">
            <v>466.7045</v>
          </cell>
          <cell r="C53">
            <v>2.6368</v>
          </cell>
        </row>
        <row r="54">
          <cell r="B54">
            <v>440.34</v>
          </cell>
          <cell r="C54">
            <v>2.4277000000000002</v>
          </cell>
        </row>
        <row r="55">
          <cell r="B55">
            <v>441.58</v>
          </cell>
          <cell r="C55">
            <v>2.4277000000000002</v>
          </cell>
        </row>
        <row r="56">
          <cell r="B56">
            <v>471.82</v>
          </cell>
          <cell r="C56">
            <v>2.3199999999999998</v>
          </cell>
        </row>
        <row r="57">
          <cell r="B57">
            <v>445.43</v>
          </cell>
          <cell r="C57">
            <v>2.11</v>
          </cell>
        </row>
        <row r="58">
          <cell r="B58">
            <v>434.63</v>
          </cell>
          <cell r="C58">
            <v>2.02</v>
          </cell>
        </row>
        <row r="59">
          <cell r="B59">
            <v>470.17</v>
          </cell>
          <cell r="C59">
            <v>2.17</v>
          </cell>
        </row>
        <row r="60">
          <cell r="B60">
            <v>483.9</v>
          </cell>
          <cell r="C60">
            <v>2.29</v>
          </cell>
        </row>
        <row r="61">
          <cell r="B61">
            <v>483.64</v>
          </cell>
          <cell r="C61">
            <v>2.5099999999999998</v>
          </cell>
        </row>
        <row r="62">
          <cell r="B62">
            <v>433.45</v>
          </cell>
          <cell r="C62">
            <v>2.76</v>
          </cell>
        </row>
        <row r="63">
          <cell r="B63">
            <v>429.14</v>
          </cell>
          <cell r="C63">
            <v>2.7</v>
          </cell>
        </row>
        <row r="64">
          <cell r="B64">
            <v>394.3</v>
          </cell>
          <cell r="C64">
            <v>2.27</v>
          </cell>
        </row>
        <row r="65">
          <cell r="B65">
            <v>440</v>
          </cell>
          <cell r="C65">
            <v>2.2000000000000002</v>
          </cell>
        </row>
        <row r="66">
          <cell r="B66">
            <v>443.47000000000008</v>
          </cell>
          <cell r="C66">
            <v>2.3047</v>
          </cell>
        </row>
        <row r="67">
          <cell r="B67">
            <v>451.37000000000018</v>
          </cell>
          <cell r="C67">
            <v>2.3437000000000001</v>
          </cell>
        </row>
        <row r="68">
          <cell r="B68">
            <v>446.2200000000002</v>
          </cell>
          <cell r="C68">
            <v>2.4321999999999999</v>
          </cell>
        </row>
        <row r="69">
          <cell r="B69">
            <v>441.88000000000017</v>
          </cell>
          <cell r="C69">
            <v>2.3988</v>
          </cell>
        </row>
        <row r="70">
          <cell r="B70">
            <v>432.65000000000015</v>
          </cell>
          <cell r="C70">
            <v>2.3765000000000001</v>
          </cell>
        </row>
        <row r="71">
          <cell r="B71">
            <v>423.02000000000015</v>
          </cell>
          <cell r="C71">
            <v>2.3502000000000001</v>
          </cell>
        </row>
        <row r="72">
          <cell r="B72">
            <v>418.27000000000021</v>
          </cell>
          <cell r="C72">
            <v>2.3327</v>
          </cell>
        </row>
        <row r="73">
          <cell r="B73">
            <v>413.63000000000017</v>
          </cell>
          <cell r="C73">
            <v>2.2863000000000002</v>
          </cell>
        </row>
        <row r="74">
          <cell r="B74">
            <v>405.88000000000011</v>
          </cell>
          <cell r="C74">
            <v>2.2445904000000003</v>
          </cell>
        </row>
        <row r="75">
          <cell r="B75">
            <v>401.88000000000017</v>
          </cell>
          <cell r="C75">
            <v>2.2347917136000004</v>
          </cell>
        </row>
        <row r="76">
          <cell r="B76">
            <v>405</v>
          </cell>
          <cell r="C76">
            <v>2.2571396307360003</v>
          </cell>
        </row>
      </sheetData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ure Planted Area"/>
      <sheetName val="Oil Yield"/>
      <sheetName val="Malaysia PO Extraction Rates"/>
      <sheetName val="Malaysian Palm USDA Comp"/>
      <sheetName val="SE Asia Palm Complex"/>
      <sheetName val="Malaysian BD Exports"/>
      <sheetName val="Malaysian PO Imports"/>
      <sheetName val="Indo PO Exports to Malaysia"/>
      <sheetName val="Malaysian Export Chart"/>
      <sheetName val="Malaysian Stocks Chart"/>
      <sheetName val="Malaysian Production Chart"/>
      <sheetName val="Malaysia Domestic Usage Chart"/>
      <sheetName val="Chart2"/>
      <sheetName val="Malaysia Palm Complex"/>
      <sheetName val="Malaysian Cargo Surveys"/>
      <sheetName val="Indonesia Domestic Use chart"/>
      <sheetName val="Indonesia Palm Complex"/>
      <sheetName val="Philippines Copra Complex"/>
      <sheetName val="Indonesia Copra Complex"/>
      <sheetName val="Indonesia Monthly Dom Use"/>
      <sheetName val="SE Asia Monthly Production"/>
      <sheetName val="Indonesia Monthly Production"/>
      <sheetName val="SE Asia Monthly Exports"/>
      <sheetName val="Indonesia Monthly Exports"/>
      <sheetName val="Indonesia Exports by Region"/>
      <sheetName val="SE Asian PO Exports by Country"/>
      <sheetName val="Indonesia Mth Exp to W Hemi"/>
      <sheetName val="Malaysia Monthly Production"/>
      <sheetName val="Malaysia Monthly Exports"/>
      <sheetName val="Malaysia Monthly Stocks"/>
      <sheetName val="Malaysia PO Monthly Bal"/>
      <sheetName val="Malaysia PKO Monthly Bal"/>
      <sheetName val="MPOB Report Breakdown"/>
      <sheetName val="Chart3"/>
      <sheetName val="SBO-PO spread"/>
      <sheetName val="Chart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2">
          <cell r="BK182" t="str">
            <v xml:space="preserve">21/22  </v>
          </cell>
        </row>
        <row r="183">
          <cell r="BJ183">
            <v>2260.8636363636365</v>
          </cell>
        </row>
        <row r="184">
          <cell r="BJ184">
            <v>2615.8000000000002</v>
          </cell>
        </row>
        <row r="185">
          <cell r="BJ185">
            <v>2896.5238095238096</v>
          </cell>
        </row>
        <row r="186">
          <cell r="BJ186">
            <v>2930.1</v>
          </cell>
        </row>
        <row r="187">
          <cell r="BJ187">
            <v>2620.8421052631579</v>
          </cell>
        </row>
        <row r="188">
          <cell r="BJ188">
            <v>2343.5454545454545</v>
          </cell>
        </row>
        <row r="189">
          <cell r="BJ189">
            <v>2192</v>
          </cell>
        </row>
        <row r="190">
          <cell r="BI190">
            <v>2037.7368421052631</v>
          </cell>
          <cell r="BJ190">
            <v>2111.6875</v>
          </cell>
        </row>
        <row r="191">
          <cell r="BI191">
            <v>2005.7777777777778</v>
          </cell>
          <cell r="BJ191">
            <v>2371.7619047619046</v>
          </cell>
        </row>
        <row r="192">
          <cell r="BI192">
            <v>1985.7619047619048</v>
          </cell>
          <cell r="BJ192">
            <v>2539.8571428571427</v>
          </cell>
        </row>
        <row r="193">
          <cell r="BJ193">
            <v>2701.7368421052633</v>
          </cell>
        </row>
        <row r="194">
          <cell r="BI194">
            <v>2195</v>
          </cell>
        </row>
      </sheetData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36">
          <cell r="DZ436">
            <v>531.24151557377047</v>
          </cell>
        </row>
        <row r="514">
          <cell r="BO514">
            <v>43.5</v>
          </cell>
        </row>
        <row r="515">
          <cell r="BO515">
            <v>44.75</v>
          </cell>
        </row>
        <row r="516">
          <cell r="BO516">
            <v>45</v>
          </cell>
        </row>
        <row r="517">
          <cell r="BO517">
            <v>45</v>
          </cell>
        </row>
        <row r="518">
          <cell r="BO518">
            <v>44</v>
          </cell>
        </row>
        <row r="519">
          <cell r="BO519">
            <v>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23">
          <cell r="BA323">
            <v>69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87">
          <cell r="T87">
            <v>48.831926520020431</v>
          </cell>
        </row>
        <row r="198">
          <cell r="AF198">
            <v>58.68181818181818</v>
          </cell>
          <cell r="AG198">
            <v>43.311739130434781</v>
          </cell>
          <cell r="AH198">
            <v>43.25</v>
          </cell>
        </row>
        <row r="199">
          <cell r="AF199">
            <v>53.65</v>
          </cell>
          <cell r="AG199">
            <v>45.473684210526315</v>
          </cell>
          <cell r="AH199">
            <v>43.75</v>
          </cell>
        </row>
        <row r="200">
          <cell r="AF200">
            <v>48.625</v>
          </cell>
          <cell r="AG200">
            <v>42.553809523809527</v>
          </cell>
          <cell r="AH200">
            <v>43.5</v>
          </cell>
        </row>
        <row r="201">
          <cell r="AF201">
            <v>45.642857142857146</v>
          </cell>
          <cell r="AG201">
            <v>44.083333333333336</v>
          </cell>
          <cell r="AH201">
            <v>43.75</v>
          </cell>
        </row>
        <row r="202">
          <cell r="AF202">
            <v>43.625</v>
          </cell>
          <cell r="AG202">
            <v>49.882105263157897</v>
          </cell>
          <cell r="AH202">
            <v>43.25</v>
          </cell>
        </row>
        <row r="203">
          <cell r="AF203">
            <v>42.708500000000001</v>
          </cell>
          <cell r="AG203">
            <v>47.952380952380949</v>
          </cell>
          <cell r="AH203">
            <v>43.25</v>
          </cell>
        </row>
        <row r="204">
          <cell r="AF204">
            <v>41.295454545454547</v>
          </cell>
          <cell r="AG204">
            <v>52.05</v>
          </cell>
        </row>
        <row r="205">
          <cell r="AE205">
            <v>55.636363636363633</v>
          </cell>
          <cell r="AF205">
            <v>40.954545454545453</v>
          </cell>
          <cell r="AG205">
            <v>53.5</v>
          </cell>
        </row>
        <row r="206">
          <cell r="AE206">
            <v>58.75</v>
          </cell>
          <cell r="AF206">
            <v>44.60526315789474</v>
          </cell>
          <cell r="AG206">
            <v>53.25</v>
          </cell>
        </row>
        <row r="207">
          <cell r="AE207">
            <v>67.137500000000003</v>
          </cell>
          <cell r="AF207">
            <v>47.108181818181826</v>
          </cell>
          <cell r="AG207">
            <v>53.5</v>
          </cell>
        </row>
        <row r="208">
          <cell r="AE208">
            <v>68.260869565217391</v>
          </cell>
          <cell r="AF208">
            <v>43.097272727272724</v>
          </cell>
          <cell r="AG208">
            <v>52.5</v>
          </cell>
        </row>
        <row r="209">
          <cell r="AE209">
            <v>66.4375</v>
          </cell>
          <cell r="AF209">
            <v>42.219000000000001</v>
          </cell>
          <cell r="AG209">
            <v>47.25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86">
          <cell r="T86">
            <v>43.528996073770493</v>
          </cell>
        </row>
        <row r="213">
          <cell r="AF213">
            <v>58.904761904761905</v>
          </cell>
          <cell r="AG213">
            <v>47.210526315789473</v>
          </cell>
          <cell r="AH213">
            <v>49.75</v>
          </cell>
        </row>
        <row r="214">
          <cell r="AF214">
            <v>65.7</v>
          </cell>
          <cell r="AG214">
            <v>51</v>
          </cell>
          <cell r="AH214">
            <v>53</v>
          </cell>
        </row>
        <row r="215">
          <cell r="AF215">
            <v>68.304347826086953</v>
          </cell>
          <cell r="AG215">
            <v>46.68181818181818</v>
          </cell>
          <cell r="AH215">
            <v>54.5</v>
          </cell>
        </row>
        <row r="216">
          <cell r="AF216">
            <v>68.95</v>
          </cell>
          <cell r="AG216">
            <v>45.75</v>
          </cell>
          <cell r="AH216">
            <v>56</v>
          </cell>
        </row>
        <row r="217">
          <cell r="AF217">
            <v>59.43181818181818</v>
          </cell>
          <cell r="AG217">
            <v>44.586956521739133</v>
          </cell>
          <cell r="AH217">
            <v>53.5</v>
          </cell>
        </row>
        <row r="218">
          <cell r="AF218">
            <v>50.875</v>
          </cell>
          <cell r="AG218">
            <v>42.815789473684212</v>
          </cell>
          <cell r="AH218">
            <v>52.25</v>
          </cell>
        </row>
        <row r="219">
          <cell r="AF219">
            <v>45.05</v>
          </cell>
          <cell r="AG219">
            <v>43.357142857142854</v>
          </cell>
        </row>
        <row r="220">
          <cell r="AE220">
            <v>66.900000000000006</v>
          </cell>
          <cell r="AF220">
            <v>41.428571428571431</v>
          </cell>
          <cell r="AG220">
            <v>46.261904761904759</v>
          </cell>
        </row>
        <row r="221">
          <cell r="AE221">
            <v>59.289473684210527</v>
          </cell>
          <cell r="AF221">
            <v>40.6</v>
          </cell>
          <cell r="AG221">
            <v>51.94736842105263</v>
          </cell>
        </row>
        <row r="222">
          <cell r="AE222">
            <v>53.978260869565219</v>
          </cell>
          <cell r="AF222">
            <v>41.65</v>
          </cell>
          <cell r="AG222">
            <v>49.452380952380949</v>
          </cell>
        </row>
        <row r="223">
          <cell r="AE223">
            <v>52.368421052631582</v>
          </cell>
          <cell r="AF223">
            <v>41.727272727272727</v>
          </cell>
          <cell r="AG223">
            <v>51.4</v>
          </cell>
        </row>
        <row r="224">
          <cell r="AE224">
            <v>56.31818181818182</v>
          </cell>
          <cell r="AF224">
            <v>41.795454545454547</v>
          </cell>
          <cell r="AG224">
            <v>62</v>
          </cell>
        </row>
      </sheetData>
      <sheetData sheetId="43">
        <row r="102">
          <cell r="T102">
            <v>67.301100571359115</v>
          </cell>
        </row>
      </sheetData>
      <sheetData sheetId="44" refreshError="1"/>
      <sheetData sheetId="45" refreshError="1"/>
      <sheetData sheetId="46" refreshError="1"/>
      <sheetData sheetId="47">
        <row r="87">
          <cell r="T87">
            <v>29.882404302594828</v>
          </cell>
        </row>
        <row r="214">
          <cell r="AE214">
            <v>54.5</v>
          </cell>
          <cell r="AF214">
            <v>46.795499999999997</v>
          </cell>
          <cell r="AG214">
            <v>31</v>
          </cell>
          <cell r="AH214">
            <v>32</v>
          </cell>
        </row>
        <row r="215">
          <cell r="AE215">
            <v>54.95</v>
          </cell>
          <cell r="AF215">
            <v>37.225000000000001</v>
          </cell>
          <cell r="AG215">
            <v>30.25</v>
          </cell>
          <cell r="AH215">
            <v>31.5</v>
          </cell>
        </row>
        <row r="216">
          <cell r="AE216">
            <v>54.476199999999999</v>
          </cell>
          <cell r="AF216">
            <v>34.4</v>
          </cell>
          <cell r="AG216">
            <v>28.75</v>
          </cell>
          <cell r="AH216">
            <v>33</v>
          </cell>
        </row>
        <row r="217">
          <cell r="AE217">
            <v>52.8</v>
          </cell>
          <cell r="AF217">
            <v>31</v>
          </cell>
          <cell r="AG217">
            <v>29</v>
          </cell>
          <cell r="AH217">
            <v>32.5</v>
          </cell>
        </row>
        <row r="218">
          <cell r="AE218">
            <v>50.5</v>
          </cell>
          <cell r="AF218">
            <v>30</v>
          </cell>
          <cell r="AG218">
            <v>34</v>
          </cell>
          <cell r="AH218">
            <v>33.25</v>
          </cell>
        </row>
        <row r="219">
          <cell r="AD219">
            <v>62.934800000000003</v>
          </cell>
          <cell r="AE219">
            <v>42.902200000000001</v>
          </cell>
          <cell r="AF219">
            <v>30</v>
          </cell>
          <cell r="AG219">
            <v>30.75</v>
          </cell>
          <cell r="AH219">
            <v>32.25</v>
          </cell>
        </row>
        <row r="220">
          <cell r="AD220">
            <v>60.524999999999999</v>
          </cell>
          <cell r="AE220">
            <v>41.5</v>
          </cell>
          <cell r="AF220">
            <v>30.2273</v>
          </cell>
          <cell r="AG220">
            <v>32.75</v>
          </cell>
        </row>
        <row r="221">
          <cell r="AD221">
            <v>62.5</v>
          </cell>
          <cell r="AE221">
            <v>42.409100000000002</v>
          </cell>
          <cell r="AF221">
            <v>29.5</v>
          </cell>
          <cell r="AG221">
            <v>33.25</v>
          </cell>
        </row>
        <row r="222">
          <cell r="AD222">
            <v>62.357100000000003</v>
          </cell>
          <cell r="AE222">
            <v>43.547600000000003</v>
          </cell>
          <cell r="AF222">
            <v>29.5</v>
          </cell>
          <cell r="AG222">
            <v>34.25</v>
          </cell>
        </row>
        <row r="223">
          <cell r="AD223">
            <v>57.625</v>
          </cell>
          <cell r="AE223">
            <v>46.125</v>
          </cell>
          <cell r="AF223">
            <v>29.86</v>
          </cell>
          <cell r="AG223">
            <v>34.5</v>
          </cell>
        </row>
        <row r="224">
          <cell r="AD224">
            <v>55.75</v>
          </cell>
          <cell r="AE224">
            <v>47</v>
          </cell>
          <cell r="AF224">
            <v>31.5</v>
          </cell>
          <cell r="AG224">
            <v>35.25</v>
          </cell>
        </row>
        <row r="225">
          <cell r="AD225">
            <v>54.5</v>
          </cell>
          <cell r="AE225">
            <v>48.6</v>
          </cell>
          <cell r="AF225">
            <v>30.75</v>
          </cell>
          <cell r="AG225">
            <v>36.5</v>
          </cell>
        </row>
      </sheetData>
      <sheetData sheetId="48">
        <row r="87">
          <cell r="T87">
            <v>37.418696268764279</v>
          </cell>
        </row>
        <row r="198">
          <cell r="AE198">
            <v>65.5</v>
          </cell>
          <cell r="AF198">
            <v>51.2273</v>
          </cell>
          <cell r="AG198">
            <v>36.75</v>
          </cell>
          <cell r="AH198">
            <v>51.25</v>
          </cell>
        </row>
        <row r="199">
          <cell r="AE199">
            <v>67</v>
          </cell>
          <cell r="AF199">
            <v>39</v>
          </cell>
          <cell r="AG199">
            <v>38</v>
          </cell>
          <cell r="AH199">
            <v>45.75</v>
          </cell>
        </row>
        <row r="200">
          <cell r="AE200">
            <v>66.452399999999997</v>
          </cell>
          <cell r="AF200">
            <v>35.762500000000003</v>
          </cell>
          <cell r="AG200">
            <v>37.5</v>
          </cell>
          <cell r="AH200">
            <v>48.75</v>
          </cell>
        </row>
        <row r="201">
          <cell r="AE201">
            <v>63.9</v>
          </cell>
          <cell r="AF201">
            <v>33.011899999999997</v>
          </cell>
          <cell r="AG201">
            <v>41.25</v>
          </cell>
          <cell r="AH201">
            <v>46.75</v>
          </cell>
        </row>
        <row r="202">
          <cell r="AE202">
            <v>56.631599999999999</v>
          </cell>
          <cell r="AF202">
            <v>32.674999999999997</v>
          </cell>
          <cell r="AG202">
            <v>43.25</v>
          </cell>
          <cell r="AH202">
            <v>46.5</v>
          </cell>
        </row>
        <row r="203">
          <cell r="AD203">
            <v>69.021699999999996</v>
          </cell>
          <cell r="AE203">
            <v>44.847799999999999</v>
          </cell>
          <cell r="AF203">
            <v>32</v>
          </cell>
          <cell r="AG203">
            <v>44.25</v>
          </cell>
          <cell r="AH203">
            <v>44.75</v>
          </cell>
        </row>
        <row r="204">
          <cell r="AD204">
            <v>70.650000000000006</v>
          </cell>
          <cell r="AE204">
            <v>42.368400000000001</v>
          </cell>
          <cell r="AF204">
            <v>32.2273</v>
          </cell>
          <cell r="AG204">
            <v>43.5</v>
          </cell>
        </row>
        <row r="205">
          <cell r="AD205">
            <v>70.5</v>
          </cell>
          <cell r="AE205">
            <v>45.2727</v>
          </cell>
          <cell r="AF205">
            <v>32.68</v>
          </cell>
          <cell r="AG205">
            <v>39.25</v>
          </cell>
        </row>
        <row r="206">
          <cell r="AD206">
            <v>71.785700000000006</v>
          </cell>
          <cell r="AE206">
            <v>50.166699999999999</v>
          </cell>
          <cell r="AF206">
            <v>33</v>
          </cell>
          <cell r="AG206">
            <v>42.75</v>
          </cell>
        </row>
        <row r="207">
          <cell r="AD207">
            <v>70.137500000000003</v>
          </cell>
          <cell r="AE207">
            <v>52.05</v>
          </cell>
          <cell r="AF207">
            <v>33.979999999999997</v>
          </cell>
          <cell r="AG207">
            <v>40.75</v>
          </cell>
        </row>
        <row r="208">
          <cell r="AD208">
            <v>67.673900000000003</v>
          </cell>
          <cell r="AE208">
            <v>53</v>
          </cell>
          <cell r="AF208">
            <v>35.409999999999997</v>
          </cell>
          <cell r="AG208">
            <v>40.25</v>
          </cell>
        </row>
        <row r="209">
          <cell r="AD209">
            <v>66.321399999999997</v>
          </cell>
          <cell r="AE209">
            <v>54.274999999999999</v>
          </cell>
          <cell r="AF209">
            <v>42</v>
          </cell>
          <cell r="AG209">
            <v>40.75</v>
          </cell>
        </row>
      </sheetData>
      <sheetData sheetId="49">
        <row r="89">
          <cell r="T89">
            <v>34.8724241436569</v>
          </cell>
        </row>
        <row r="216">
          <cell r="AF216">
            <v>55.909090909090907</v>
          </cell>
          <cell r="AG216">
            <v>43.086956521739133</v>
          </cell>
          <cell r="AH216">
            <v>46.5</v>
          </cell>
        </row>
        <row r="217">
          <cell r="AF217">
            <v>45.25</v>
          </cell>
          <cell r="AG217">
            <v>40.473684210526315</v>
          </cell>
          <cell r="AH217">
            <v>49.5</v>
          </cell>
        </row>
        <row r="218">
          <cell r="AF218">
            <v>39.85</v>
          </cell>
          <cell r="AG218">
            <v>40.571428571428569</v>
          </cell>
          <cell r="AH218">
            <v>50</v>
          </cell>
        </row>
        <row r="219">
          <cell r="AF219">
            <v>36.642857142857146</v>
          </cell>
          <cell r="AG219">
            <v>42</v>
          </cell>
          <cell r="AH219">
            <v>48.5</v>
          </cell>
        </row>
        <row r="220">
          <cell r="AF220">
            <v>35.825000000000003</v>
          </cell>
          <cell r="AG220">
            <v>49</v>
          </cell>
          <cell r="AH220">
            <v>47.5</v>
          </cell>
        </row>
        <row r="221">
          <cell r="AF221">
            <v>38.200000000000003</v>
          </cell>
          <cell r="AG221">
            <v>48.047619047619051</v>
          </cell>
          <cell r="AH221">
            <v>48.25</v>
          </cell>
        </row>
        <row r="222">
          <cell r="AE222">
            <v>49.210526315789473</v>
          </cell>
          <cell r="AF222">
            <v>40.636363636363633</v>
          </cell>
          <cell r="AG222">
            <v>48.9</v>
          </cell>
        </row>
        <row r="223">
          <cell r="AE223">
            <v>53.761904761904759</v>
          </cell>
          <cell r="AF223">
            <v>40.295454545454547</v>
          </cell>
          <cell r="AG223">
            <v>52.75</v>
          </cell>
        </row>
        <row r="224">
          <cell r="AE224">
            <v>55.904761904761905</v>
          </cell>
          <cell r="AF224">
            <v>43.911764705882355</v>
          </cell>
          <cell r="AG224">
            <v>53.5</v>
          </cell>
        </row>
        <row r="225">
          <cell r="AE225">
            <v>61.222222222222221</v>
          </cell>
          <cell r="AF225">
            <v>48.772727272727273</v>
          </cell>
          <cell r="AG225">
            <v>53.5</v>
          </cell>
        </row>
        <row r="226">
          <cell r="AE226">
            <v>65.318181818181813</v>
          </cell>
          <cell r="AF226">
            <v>45.852272727272727</v>
          </cell>
          <cell r="AG226">
            <v>51</v>
          </cell>
        </row>
        <row r="227">
          <cell r="AF227">
            <v>45</v>
          </cell>
          <cell r="AG227">
            <v>46.5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>
        <row r="226">
          <cell r="T226">
            <v>31</v>
          </cell>
        </row>
        <row r="321">
          <cell r="AF321">
            <v>49.329500000000003</v>
          </cell>
          <cell r="AG321">
            <v>35.89</v>
          </cell>
          <cell r="AH321">
            <v>35.25</v>
          </cell>
        </row>
        <row r="322">
          <cell r="AF322">
            <v>38.637500000000003</v>
          </cell>
          <cell r="AG322">
            <v>36</v>
          </cell>
          <cell r="AH322">
            <v>35.25</v>
          </cell>
        </row>
        <row r="323">
          <cell r="AF323">
            <v>37.700000000000003</v>
          </cell>
          <cell r="AG323">
            <v>35.64</v>
          </cell>
          <cell r="AH323">
            <v>37.75</v>
          </cell>
        </row>
        <row r="324">
          <cell r="AF324">
            <v>35.857100000000003</v>
          </cell>
          <cell r="AG324">
            <v>35.5</v>
          </cell>
          <cell r="AH324">
            <v>36.5</v>
          </cell>
        </row>
        <row r="325">
          <cell r="AF325">
            <v>34.65</v>
          </cell>
          <cell r="AG325">
            <v>37.92</v>
          </cell>
          <cell r="AH325">
            <v>35.75</v>
          </cell>
        </row>
        <row r="326">
          <cell r="AF326">
            <v>34.575000000000003</v>
          </cell>
          <cell r="AG326">
            <v>35.5</v>
          </cell>
          <cell r="AH326">
            <v>35.5</v>
          </cell>
        </row>
        <row r="327">
          <cell r="AF327">
            <v>35</v>
          </cell>
          <cell r="AG327">
            <v>38</v>
          </cell>
        </row>
        <row r="328">
          <cell r="AF328">
            <v>35</v>
          </cell>
          <cell r="AG328">
            <v>37.75</v>
          </cell>
        </row>
        <row r="329">
          <cell r="AE329">
            <v>49.238100000000003</v>
          </cell>
          <cell r="AF329">
            <v>35.210500000000003</v>
          </cell>
          <cell r="AG329">
            <v>39</v>
          </cell>
        </row>
        <row r="330">
          <cell r="AE330">
            <v>51.774999999999999</v>
          </cell>
          <cell r="AF330">
            <v>36.64</v>
          </cell>
          <cell r="AG330">
            <v>38.5</v>
          </cell>
        </row>
        <row r="331">
          <cell r="AE331">
            <v>53.543500000000002</v>
          </cell>
          <cell r="AF331">
            <v>38.68</v>
          </cell>
          <cell r="AG331">
            <v>37.75</v>
          </cell>
        </row>
        <row r="332">
          <cell r="AF332">
            <v>37</v>
          </cell>
          <cell r="AG332">
            <v>37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Prices"/>
      <sheetName val="RIN Daily Prices"/>
      <sheetName val="Monthly"/>
      <sheetName val="Quarterly"/>
      <sheetName val="Annual"/>
      <sheetName val="Chart2"/>
      <sheetName val="Chart7"/>
      <sheetName val="Chart8"/>
      <sheetName val="Chart9"/>
      <sheetName val="Chart10"/>
      <sheetName val="MultiRegLCFS"/>
      <sheetName val="Regression RINs"/>
      <sheetName val="MultiRegressionD4RIN"/>
    </sheetNames>
    <sheetDataSet>
      <sheetData sheetId="0"/>
      <sheetData sheetId="1"/>
      <sheetData sheetId="2">
        <row r="141">
          <cell r="J141">
            <v>60.233809523809541</v>
          </cell>
        </row>
        <row r="142">
          <cell r="J142">
            <v>71.86904761904762</v>
          </cell>
        </row>
        <row r="143">
          <cell r="J143">
            <v>84.94736842105263</v>
          </cell>
        </row>
        <row r="144">
          <cell r="J144">
            <v>79.571428571428569</v>
          </cell>
        </row>
        <row r="145">
          <cell r="J145">
            <v>104.67647058823529</v>
          </cell>
        </row>
        <row r="146">
          <cell r="J146">
            <v>114.38026952909382</v>
          </cell>
        </row>
        <row r="147">
          <cell r="J147">
            <v>117.88682720545509</v>
          </cell>
        </row>
        <row r="148">
          <cell r="J148">
            <v>120.86345009798404</v>
          </cell>
        </row>
        <row r="149">
          <cell r="J149">
            <v>112.60513399978076</v>
          </cell>
        </row>
        <row r="150">
          <cell r="J150">
            <v>106.4272109787392</v>
          </cell>
        </row>
        <row r="151">
          <cell r="J151">
            <v>103.87252960705854</v>
          </cell>
        </row>
        <row r="152">
          <cell r="J152">
            <v>109.84612599656265</v>
          </cell>
        </row>
        <row r="153">
          <cell r="J153">
            <v>112.81107466500848</v>
          </cell>
        </row>
        <row r="154">
          <cell r="J154">
            <v>120.9293440123935</v>
          </cell>
        </row>
        <row r="155">
          <cell r="J155">
            <v>113.22653779719468</v>
          </cell>
        </row>
        <row r="156">
          <cell r="J156">
            <v>109.83302497349253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1928A-BF64-46F5-9A91-1A988B40D56E}" name="GMM_Forecast_Table" displayName="GMM_Forecast_Table" ref="A1:M324" totalsRowCount="1" headerRowDxfId="28" dataDxfId="27" totalsRowDxfId="26">
  <autoFilter ref="A1:M323" xr:uid="{589D8923-82EB-764E-A0F4-79BC5A2C3F89}"/>
  <tableColumns count="13">
    <tableColumn id="1" xr3:uid="{7224C2ED-E03E-4AB3-9A01-DD7F5E8B1AF2}" name="Week-Start" totalsRowFunction="custom" dataDxfId="24" totalsRowDxfId="25">
      <totalsRowFormula>A323+7</totalsRowFormula>
    </tableColumn>
    <tableColumn id="2" xr3:uid="{E860B0AE-9B37-47CC-ACAC-54F5CDDD6881}" name="Yellow Grease - Illinois" totalsRowFunction="custom" dataDxfId="22" totalsRowDxfId="23">
      <totalsRowFormula>'[6]Yellow Grease Complex'!$AH$218</totalsRowFormula>
    </tableColumn>
    <tableColumn id="3" xr3:uid="{090C15BD-2714-4A68-9183-74240A3CEB09}" name="Used Cooking Oil - Illinois" totalsRowFunction="custom" dataDxfId="20" totalsRowDxfId="21">
      <totalsRowFormula>'[6]Used Cooking Oil Complex'!$AH$202</totalsRowFormula>
    </tableColumn>
    <tableColumn id="4" xr3:uid="{F7DCFF71-B9A9-4C29-91B1-29DF07F1AC28}" name="Poultry Fat - Mid South" totalsRowFunction="custom" dataDxfId="18" totalsRowDxfId="19">
      <totalsRowFormula>'[6]Poultry Byproduct Complex'!$AH$325</totalsRowFormula>
    </tableColumn>
    <tableColumn id="5" xr3:uid="{27955C20-4873-4559-913E-BC991CEF204E}" name="Choice White Grease - Chicago" totalsRowFunction="custom" dataDxfId="16" totalsRowDxfId="17">
      <totalsRowFormula>'[6]CWG Complex'!$AH$220</totalsRowFormula>
    </tableColumn>
    <tableColumn id="6" xr3:uid="{2A5450EA-AFFD-4528-9705-EC4F721D2951}" name="Bleachable Fancy Tallow - Packer Chicago" totalsRowFunction="custom" dataDxfId="14" totalsRowDxfId="15">
      <totalsRowFormula>'[6]Inedible Tallow Complex'!$AH$217</totalsRowFormula>
    </tableColumn>
    <tableColumn id="7" xr3:uid="{3337F1D2-A5DE-4343-8ACC-89175D8AB259}" name="Distillers' Corn Oil - Illinois/Wisconsin" totalsRowFunction="custom" dataDxfId="12" totalsRowDxfId="13">
      <totalsRowFormula>'[6]Distillers'' Corn Oil Complex'!$AH$202</totalsRowFormula>
    </tableColumn>
    <tableColumn id="8" xr3:uid="{B2676EF4-A693-49DB-B2D5-E9F54DF94B77}" name="Soybean Oil Central Il" totalsRowFunction="custom" dataDxfId="10" totalsRowDxfId="11">
      <calculatedColumnFormula>[1]Prices!$D$616</calculatedColumnFormula>
      <totalsRowFormula>'[6]Soy Complex'!$BO$518</totalsRowFormula>
    </tableColumn>
    <tableColumn id="9" xr3:uid="{51CC4CF7-594D-4D67-BD1A-0C105C0ED01C}" name="Palm Oil" dataDxfId="8" totalsRowDxfId="9"/>
    <tableColumn id="10" xr3:uid="{02D68B95-978B-4398-8D33-8D771E1B9C25}" name="D4 RINs" totalsRowFunction="custom" dataDxfId="6" totalsRowDxfId="7">
      <calculatedColumnFormula>#REF!</calculatedColumnFormula>
      <totalsRowFormula>[7]Monthly!$J$155</totalsRowFormula>
    </tableColumn>
    <tableColumn id="11" xr3:uid="{84330522-609D-4E39-8E52-35182E2475F2}" name="LCFS Credits" totalsRowFunction="custom" dataDxfId="4" totalsRowDxfId="5">
      <totalsRowFormula>K323</totalsRowFormula>
    </tableColumn>
    <tableColumn id="12" xr3:uid="{62121F97-EC25-4D99-8615-1C98E0058432}" name="Biodiesel incl credit values" totalsRowFunction="custom" dataDxfId="2" totalsRowDxfId="3">
      <calculatedColumnFormula>[4]Forecasts!B$16</calculatedColumnFormula>
      <totalsRowFormula>[4]Forecasts!B$75</totalsRowFormula>
    </tableColumn>
    <tableColumn id="13" xr3:uid="{E90B2DFA-92A4-4502-8193-2DA574124959}" name="Renewable Diesel not incl credit prices" totalsRowFunction="custom" dataDxfId="0" totalsRowDxfId="1">
      <calculatedColumnFormula>[4]Forecasts!C$16</calculatedColumnFormula>
      <totalsRowFormula>[4]Forecasts!C$75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264B-EB73-4BAE-AE62-7E986E034171}">
  <dimension ref="A1:R332"/>
  <sheetViews>
    <sheetView tabSelected="1" zoomScaleNormal="100" workbookViewId="0">
      <pane xSplit="1" ySplit="1" topLeftCell="B256" activePane="bottomRight" state="frozen"/>
      <selection pane="topRight" activeCell="B1" sqref="B1"/>
      <selection pane="bottomLeft" activeCell="A2" sqref="A2"/>
      <selection pane="bottomRight" activeCell="F283" sqref="F283"/>
    </sheetView>
  </sheetViews>
  <sheetFormatPr defaultColWidth="9" defaultRowHeight="12.75" x14ac:dyDescent="0.2"/>
  <cols>
    <col min="1" max="1" width="12.33203125" customWidth="1"/>
    <col min="2" max="13" width="11.83203125" customWidth="1"/>
  </cols>
  <sheetData>
    <row r="1" spans="1:17" s="1" customFormat="1" ht="29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2" t="s">
        <v>13</v>
      </c>
      <c r="Q1">
        <v>20</v>
      </c>
    </row>
    <row r="2" spans="1:17" x14ac:dyDescent="0.2">
      <c r="A2" s="3">
        <v>43800</v>
      </c>
      <c r="B2" s="4" t="e">
        <f>#REF!</f>
        <v>#REF!</v>
      </c>
      <c r="C2" s="4" t="e">
        <f>#REF!</f>
        <v>#REF!</v>
      </c>
      <c r="D2" s="4" t="e">
        <f>#REF!</f>
        <v>#REF!</v>
      </c>
      <c r="E2" s="4" t="e">
        <f>#REF!</f>
        <v>#REF!</v>
      </c>
      <c r="F2" s="4" t="e">
        <f>#REF!</f>
        <v>#REF!</v>
      </c>
      <c r="G2" s="4" t="e">
        <f>#REF!</f>
        <v>#REF!</v>
      </c>
      <c r="H2" s="4">
        <f>[1]Prices!$L$602+6</f>
        <v>38.270000000000003</v>
      </c>
      <c r="I2" s="4">
        <v>2873.05</v>
      </c>
      <c r="J2" s="4">
        <v>50.631</v>
      </c>
      <c r="K2" s="4">
        <f>'[2]LCFS Credit Price Forecast'!$B$79</f>
        <v>206.46430000000001</v>
      </c>
      <c r="L2" s="5">
        <v>3.44</v>
      </c>
      <c r="M2" s="5">
        <v>1.9915</v>
      </c>
    </row>
    <row r="3" spans="1:17" x14ac:dyDescent="0.2">
      <c r="A3" s="3">
        <v>43807</v>
      </c>
      <c r="B3" s="4" t="e">
        <f>#REF!</f>
        <v>#REF!</v>
      </c>
      <c r="C3" s="4" t="e">
        <f>#REF!</f>
        <v>#REF!</v>
      </c>
      <c r="D3" s="4" t="e">
        <f>#REF!</f>
        <v>#REF!</v>
      </c>
      <c r="E3" s="4" t="e">
        <f>#REF!</f>
        <v>#REF!</v>
      </c>
      <c r="F3" s="4" t="e">
        <f>#REF!</f>
        <v>#REF!</v>
      </c>
      <c r="G3" s="4" t="e">
        <f>#REF!</f>
        <v>#REF!</v>
      </c>
      <c r="H3" s="4">
        <f>[1]Prices!$L$602+6</f>
        <v>38.270000000000003</v>
      </c>
      <c r="I3" s="4">
        <v>2873.05</v>
      </c>
      <c r="J3" s="4">
        <v>50.631</v>
      </c>
      <c r="K3" s="4">
        <f>'[2]LCFS Credit Price Forecast'!$B$79</f>
        <v>206.46430000000001</v>
      </c>
      <c r="L3" s="5">
        <v>3.44</v>
      </c>
      <c r="M3" s="5">
        <v>1.9915</v>
      </c>
    </row>
    <row r="4" spans="1:17" x14ac:dyDescent="0.2">
      <c r="A4" s="3">
        <v>43814</v>
      </c>
      <c r="B4" s="4" t="e">
        <f>#REF!</f>
        <v>#REF!</v>
      </c>
      <c r="C4" s="4" t="e">
        <f>#REF!</f>
        <v>#REF!</v>
      </c>
      <c r="D4" s="4" t="e">
        <f>#REF!</f>
        <v>#REF!</v>
      </c>
      <c r="E4" s="4" t="e">
        <f>#REF!</f>
        <v>#REF!</v>
      </c>
      <c r="F4" s="4" t="e">
        <f>#REF!</f>
        <v>#REF!</v>
      </c>
      <c r="G4" s="4" t="e">
        <f>#REF!</f>
        <v>#REF!</v>
      </c>
      <c r="H4" s="4">
        <f>[1]Prices!$L$602+6</f>
        <v>38.270000000000003</v>
      </c>
      <c r="I4" s="4">
        <v>2873.05</v>
      </c>
      <c r="J4" s="4">
        <v>50.631</v>
      </c>
      <c r="K4" s="4">
        <f>'[2]LCFS Credit Price Forecast'!$B$79</f>
        <v>206.46430000000001</v>
      </c>
      <c r="L4" s="5">
        <v>3.44</v>
      </c>
      <c r="M4" s="5">
        <v>1.9915</v>
      </c>
    </row>
    <row r="5" spans="1:17" x14ac:dyDescent="0.2">
      <c r="A5" s="3">
        <v>43821</v>
      </c>
      <c r="B5" s="4" t="e">
        <f>#REF!</f>
        <v>#REF!</v>
      </c>
      <c r="C5" s="4" t="e">
        <f>#REF!</f>
        <v>#REF!</v>
      </c>
      <c r="D5" s="4" t="e">
        <f>#REF!</f>
        <v>#REF!</v>
      </c>
      <c r="E5" s="4" t="e">
        <f>#REF!</f>
        <v>#REF!</v>
      </c>
      <c r="F5" s="4" t="e">
        <f>#REF!</f>
        <v>#REF!</v>
      </c>
      <c r="G5" s="4" t="e">
        <f>#REF!</f>
        <v>#REF!</v>
      </c>
      <c r="H5" s="4">
        <f>[1]Prices!$L$602+6</f>
        <v>38.270000000000003</v>
      </c>
      <c r="I5" s="4">
        <v>2873.05</v>
      </c>
      <c r="J5" s="4">
        <v>50.631</v>
      </c>
      <c r="K5" s="4">
        <f>'[2]LCFS Credit Price Forecast'!$B$79</f>
        <v>206.46430000000001</v>
      </c>
      <c r="L5" s="5">
        <v>3.44</v>
      </c>
      <c r="M5" s="5">
        <v>1.9915</v>
      </c>
    </row>
    <row r="6" spans="1:17" x14ac:dyDescent="0.2">
      <c r="A6" s="3">
        <v>43828</v>
      </c>
      <c r="B6" s="4" t="e">
        <f>#REF!</f>
        <v>#REF!</v>
      </c>
      <c r="C6" s="4" t="e">
        <f>#REF!</f>
        <v>#REF!</v>
      </c>
      <c r="D6" s="4" t="e">
        <f>#REF!</f>
        <v>#REF!</v>
      </c>
      <c r="E6" s="4" t="e">
        <f>#REF!</f>
        <v>#REF!</v>
      </c>
      <c r="F6" s="4" t="e">
        <f>#REF!</f>
        <v>#REF!</v>
      </c>
      <c r="G6" s="4" t="e">
        <f>#REF!</f>
        <v>#REF!</v>
      </c>
      <c r="H6" s="4">
        <f>[1]Prices!$L$602+6</f>
        <v>38.270000000000003</v>
      </c>
      <c r="I6" s="4">
        <v>2873.05</v>
      </c>
      <c r="J6" s="4">
        <v>50.631</v>
      </c>
      <c r="K6" s="4">
        <f>'[2]LCFS Credit Price Forecast'!$B$79</f>
        <v>206.46430000000001</v>
      </c>
      <c r="L6" s="5">
        <v>3.44</v>
      </c>
      <c r="M6" s="5">
        <v>1.9915</v>
      </c>
    </row>
    <row r="7" spans="1:17" x14ac:dyDescent="0.2">
      <c r="A7" s="3">
        <v>43835</v>
      </c>
      <c r="B7" s="4" t="e">
        <f>#REF!</f>
        <v>#REF!</v>
      </c>
      <c r="C7" s="4" t="e">
        <f>#REF!</f>
        <v>#REF!</v>
      </c>
      <c r="D7" s="4" t="e">
        <f>#REF!</f>
        <v>#REF!</v>
      </c>
      <c r="E7" s="4" t="e">
        <f>#REF!</f>
        <v>#REF!</v>
      </c>
      <c r="F7" s="4" t="e">
        <f>#REF!</f>
        <v>#REF!</v>
      </c>
      <c r="G7" s="4" t="e">
        <f>#REF!</f>
        <v>#REF!</v>
      </c>
      <c r="H7" s="4">
        <f>[1]Prices!$L$603+6</f>
        <v>39.04</v>
      </c>
      <c r="I7" s="4">
        <v>2929.4761904761904</v>
      </c>
      <c r="J7" s="4">
        <f>'[3]RINs and HOBO Forecast'!$C$38</f>
        <v>40.3523</v>
      </c>
      <c r="K7" s="4">
        <f>'[2]LCFS Credit Price Forecast'!$B$80</f>
        <v>209.13300000000001</v>
      </c>
      <c r="L7" s="5">
        <v>3.4350000000000001</v>
      </c>
      <c r="M7" s="5">
        <v>1.8632</v>
      </c>
    </row>
    <row r="8" spans="1:17" x14ac:dyDescent="0.2">
      <c r="A8" s="3">
        <v>43842</v>
      </c>
      <c r="B8" s="4" t="e">
        <f>#REF!</f>
        <v>#REF!</v>
      </c>
      <c r="C8" s="4" t="e">
        <f>#REF!</f>
        <v>#REF!</v>
      </c>
      <c r="D8" s="4" t="e">
        <f>#REF!</f>
        <v>#REF!</v>
      </c>
      <c r="E8" s="4" t="e">
        <f>#REF!</f>
        <v>#REF!</v>
      </c>
      <c r="F8" s="4" t="e">
        <f>#REF!</f>
        <v>#REF!</v>
      </c>
      <c r="G8" s="4" t="e">
        <f>#REF!</f>
        <v>#REF!</v>
      </c>
      <c r="H8" s="4">
        <f>[1]Prices!$L$603+6</f>
        <v>39.04</v>
      </c>
      <c r="I8" s="4">
        <v>2929.4761904761904</v>
      </c>
      <c r="J8" s="4">
        <f>'[3]RINs and HOBO Forecast'!$C$38</f>
        <v>40.3523</v>
      </c>
      <c r="K8" s="4">
        <f>'[2]LCFS Credit Price Forecast'!$B$80</f>
        <v>209.13300000000001</v>
      </c>
      <c r="L8" s="5">
        <v>3.4350000000000001</v>
      </c>
      <c r="M8" s="5">
        <v>1.8632</v>
      </c>
    </row>
    <row r="9" spans="1:17" x14ac:dyDescent="0.2">
      <c r="A9" s="3">
        <v>43849</v>
      </c>
      <c r="B9" s="4" t="e">
        <f>#REF!</f>
        <v>#REF!</v>
      </c>
      <c r="C9" s="4" t="e">
        <f>#REF!</f>
        <v>#REF!</v>
      </c>
      <c r="D9" s="4" t="e">
        <f>#REF!</f>
        <v>#REF!</v>
      </c>
      <c r="E9" s="4" t="e">
        <f>#REF!</f>
        <v>#REF!</v>
      </c>
      <c r="F9" s="4" t="e">
        <f>#REF!</f>
        <v>#REF!</v>
      </c>
      <c r="G9" s="4" t="e">
        <f>#REF!</f>
        <v>#REF!</v>
      </c>
      <c r="H9" s="4">
        <f>[1]Prices!$L$603+6</f>
        <v>39.04</v>
      </c>
      <c r="I9" s="4">
        <v>2929.4761904761904</v>
      </c>
      <c r="J9" s="4">
        <f>'[3]RINs and HOBO Forecast'!$C$38</f>
        <v>40.3523</v>
      </c>
      <c r="K9" s="4">
        <f>'[2]LCFS Credit Price Forecast'!$B$80</f>
        <v>209.13300000000001</v>
      </c>
      <c r="L9" s="5">
        <v>3.4350000000000001</v>
      </c>
      <c r="M9" s="5">
        <v>1.8632</v>
      </c>
    </row>
    <row r="10" spans="1:17" x14ac:dyDescent="0.2">
      <c r="A10" s="3">
        <v>43856</v>
      </c>
      <c r="B10" s="4" t="e">
        <f>#REF!</f>
        <v>#REF!</v>
      </c>
      <c r="C10" s="4" t="e">
        <f>#REF!</f>
        <v>#REF!</v>
      </c>
      <c r="D10" s="4" t="e">
        <f>#REF!</f>
        <v>#REF!</v>
      </c>
      <c r="E10" s="4" t="e">
        <f>#REF!</f>
        <v>#REF!</v>
      </c>
      <c r="F10" s="4" t="e">
        <f>#REF!</f>
        <v>#REF!</v>
      </c>
      <c r="G10" s="4" t="e">
        <f>#REF!</f>
        <v>#REF!</v>
      </c>
      <c r="H10" s="4">
        <f>[1]Prices!$L$603+6</f>
        <v>39.04</v>
      </c>
      <c r="I10" s="4">
        <v>2929.4761904761904</v>
      </c>
      <c r="J10" s="4">
        <f>'[3]RINs and HOBO Forecast'!$C$38</f>
        <v>40.3523</v>
      </c>
      <c r="K10" s="4">
        <f>'[2]LCFS Credit Price Forecast'!$B$80</f>
        <v>209.13300000000001</v>
      </c>
      <c r="L10" s="5">
        <v>3.4350000000000001</v>
      </c>
      <c r="M10" s="5">
        <v>1.8632</v>
      </c>
    </row>
    <row r="11" spans="1:17" x14ac:dyDescent="0.2">
      <c r="A11" s="3">
        <v>43863</v>
      </c>
      <c r="B11" s="4" t="e">
        <f>#REF!</f>
        <v>#REF!</v>
      </c>
      <c r="C11" s="4" t="e">
        <f>#REF!</f>
        <v>#REF!</v>
      </c>
      <c r="D11" s="4" t="e">
        <f>#REF!</f>
        <v>#REF!</v>
      </c>
      <c r="E11" s="4" t="e">
        <f>#REF!</f>
        <v>#REF!</v>
      </c>
      <c r="F11" s="4" t="e">
        <f>#REF!</f>
        <v>#REF!</v>
      </c>
      <c r="G11" s="4" t="e">
        <f>#REF!</f>
        <v>#REF!</v>
      </c>
      <c r="H11" s="4">
        <f>[1]Prices!$L$604+6</f>
        <v>36.260000000000005</v>
      </c>
      <c r="I11" s="4">
        <v>2622.4</v>
      </c>
      <c r="J11" s="4">
        <f>'[3]RINs and HOBO Forecast'!$C$39</f>
        <v>48.539499999999997</v>
      </c>
      <c r="K11" s="4">
        <f>'[2]LCFS Credit Price Forecast'!$B$81</f>
        <v>210.36840000000001</v>
      </c>
      <c r="L11" s="5">
        <v>3.3096999999999999</v>
      </c>
      <c r="M11" s="5">
        <v>1.6326000000000001</v>
      </c>
    </row>
    <row r="12" spans="1:17" x14ac:dyDescent="0.2">
      <c r="A12" s="3">
        <v>43870</v>
      </c>
      <c r="B12" s="4" t="e">
        <f>#REF!</f>
        <v>#REF!</v>
      </c>
      <c r="C12" s="4" t="e">
        <f>#REF!</f>
        <v>#REF!</v>
      </c>
      <c r="D12" s="4" t="e">
        <f>#REF!</f>
        <v>#REF!</v>
      </c>
      <c r="E12" s="4" t="e">
        <f>#REF!</f>
        <v>#REF!</v>
      </c>
      <c r="F12" s="4" t="e">
        <f>#REF!</f>
        <v>#REF!</v>
      </c>
      <c r="G12" s="4" t="e">
        <f>#REF!</f>
        <v>#REF!</v>
      </c>
      <c r="H12" s="4">
        <f>[1]Prices!$L$604+6</f>
        <v>36.260000000000005</v>
      </c>
      <c r="I12" s="4">
        <v>2622.4</v>
      </c>
      <c r="J12" s="4">
        <f>'[3]RINs and HOBO Forecast'!$C$39</f>
        <v>48.539499999999997</v>
      </c>
      <c r="K12" s="4">
        <f>'[2]LCFS Credit Price Forecast'!$B$81</f>
        <v>210.36840000000001</v>
      </c>
      <c r="L12" s="5">
        <v>3.3096999999999999</v>
      </c>
      <c r="M12" s="5">
        <v>1.6326000000000001</v>
      </c>
    </row>
    <row r="13" spans="1:17" x14ac:dyDescent="0.2">
      <c r="A13" s="3">
        <v>43877</v>
      </c>
      <c r="B13" s="4" t="e">
        <f>#REF!</f>
        <v>#REF!</v>
      </c>
      <c r="C13" s="4" t="e">
        <f>#REF!</f>
        <v>#REF!</v>
      </c>
      <c r="D13" s="4" t="e">
        <f>#REF!</f>
        <v>#REF!</v>
      </c>
      <c r="E13" s="4" t="e">
        <f>#REF!</f>
        <v>#REF!</v>
      </c>
      <c r="F13" s="4" t="e">
        <f>#REF!</f>
        <v>#REF!</v>
      </c>
      <c r="G13" s="4" t="e">
        <f>#REF!</f>
        <v>#REF!</v>
      </c>
      <c r="H13" s="4">
        <f>[1]Prices!$L$604+6</f>
        <v>36.260000000000005</v>
      </c>
      <c r="I13" s="4">
        <v>2622.4</v>
      </c>
      <c r="J13" s="4">
        <f>'[3]RINs and HOBO Forecast'!$C$39</f>
        <v>48.539499999999997</v>
      </c>
      <c r="K13" s="4">
        <f>'[2]LCFS Credit Price Forecast'!$B$81</f>
        <v>210.36840000000001</v>
      </c>
      <c r="L13" s="5">
        <v>3.3096999999999999</v>
      </c>
      <c r="M13" s="5">
        <v>1.6326000000000001</v>
      </c>
    </row>
    <row r="14" spans="1:17" x14ac:dyDescent="0.2">
      <c r="A14" s="3">
        <v>43884</v>
      </c>
      <c r="B14" s="4" t="e">
        <f>#REF!</f>
        <v>#REF!</v>
      </c>
      <c r="C14" s="4" t="e">
        <f>#REF!</f>
        <v>#REF!</v>
      </c>
      <c r="D14" s="4" t="e">
        <f>#REF!</f>
        <v>#REF!</v>
      </c>
      <c r="E14" s="4" t="e">
        <f>#REF!</f>
        <v>#REF!</v>
      </c>
      <c r="F14" s="4" t="e">
        <f>#REF!</f>
        <v>#REF!</v>
      </c>
      <c r="G14" s="4" t="e">
        <f>#REF!</f>
        <v>#REF!</v>
      </c>
      <c r="H14" s="4">
        <f>[1]Prices!$L$604+6</f>
        <v>36.260000000000005</v>
      </c>
      <c r="I14" s="4">
        <v>2622.4</v>
      </c>
      <c r="J14" s="4">
        <f>'[3]RINs and HOBO Forecast'!$C$39</f>
        <v>48.539499999999997</v>
      </c>
      <c r="K14" s="4">
        <f>'[2]LCFS Credit Price Forecast'!$B$81</f>
        <v>210.36840000000001</v>
      </c>
      <c r="L14" s="5">
        <v>3.3096999999999999</v>
      </c>
      <c r="M14" s="5">
        <v>1.6326000000000001</v>
      </c>
    </row>
    <row r="15" spans="1:17" x14ac:dyDescent="0.2">
      <c r="A15" s="3">
        <v>43891</v>
      </c>
      <c r="B15" s="4" t="e">
        <f>#REF!</f>
        <v>#REF!</v>
      </c>
      <c r="C15" s="4" t="e">
        <f>#REF!</f>
        <v>#REF!</v>
      </c>
      <c r="D15" s="4" t="e">
        <f>#REF!</f>
        <v>#REF!</v>
      </c>
      <c r="E15" s="4" t="e">
        <f>#REF!</f>
        <v>#REF!</v>
      </c>
      <c r="F15" s="4" t="e">
        <f>#REF!</f>
        <v>#REF!</v>
      </c>
      <c r="G15" s="4" t="e">
        <f>#REF!</f>
        <v>#REF!</v>
      </c>
      <c r="H15" s="4">
        <f>[1]Prices!$L$605+6</f>
        <v>33.04</v>
      </c>
      <c r="I15" s="4">
        <v>2345.7272727272725</v>
      </c>
      <c r="J15" s="4">
        <f>'[3]RINs and HOBO Forecast'!$C$40</f>
        <v>48.568199999999997</v>
      </c>
      <c r="K15" s="4">
        <f>'[2]LCFS Credit Price Forecast'!$B$82</f>
        <v>199.5</v>
      </c>
      <c r="L15" s="5">
        <v>3.3431820000000001</v>
      </c>
      <c r="M15" s="5">
        <v>1.1818</v>
      </c>
    </row>
    <row r="16" spans="1:17" x14ac:dyDescent="0.2">
      <c r="A16" s="3">
        <v>43898</v>
      </c>
      <c r="B16" s="4" t="e">
        <f>#REF!</f>
        <v>#REF!</v>
      </c>
      <c r="C16" s="4" t="e">
        <f>#REF!</f>
        <v>#REF!</v>
      </c>
      <c r="D16" s="4" t="e">
        <f>#REF!</f>
        <v>#REF!</v>
      </c>
      <c r="E16" s="4" t="e">
        <f>#REF!</f>
        <v>#REF!</v>
      </c>
      <c r="F16" s="4" t="e">
        <f>#REF!</f>
        <v>#REF!</v>
      </c>
      <c r="G16" s="4" t="e">
        <f>#REF!</f>
        <v>#REF!</v>
      </c>
      <c r="H16" s="4">
        <f>[1]Prices!$L$605+6</f>
        <v>33.04</v>
      </c>
      <c r="I16" s="4">
        <v>2345.7272727272725</v>
      </c>
      <c r="J16" s="4">
        <f>'[3]RINs and HOBO Forecast'!$C$40</f>
        <v>48.568199999999997</v>
      </c>
      <c r="K16" s="4">
        <f>'[2]LCFS Credit Price Forecast'!$B$82</f>
        <v>199.5</v>
      </c>
      <c r="L16" s="5">
        <v>3.3431820000000001</v>
      </c>
      <c r="M16" s="5">
        <v>1.1818</v>
      </c>
    </row>
    <row r="17" spans="1:13" x14ac:dyDescent="0.2">
      <c r="A17" s="3">
        <v>43905</v>
      </c>
      <c r="B17" s="4" t="e">
        <f>#REF!</f>
        <v>#REF!</v>
      </c>
      <c r="C17" s="4" t="e">
        <f>#REF!</f>
        <v>#REF!</v>
      </c>
      <c r="D17" s="4" t="e">
        <f>#REF!</f>
        <v>#REF!</v>
      </c>
      <c r="E17" s="4" t="e">
        <f>#REF!</f>
        <v>#REF!</v>
      </c>
      <c r="F17" s="4" t="e">
        <f>#REF!</f>
        <v>#REF!</v>
      </c>
      <c r="G17" s="4" t="e">
        <f>#REF!</f>
        <v>#REF!</v>
      </c>
      <c r="H17" s="4">
        <f>[1]Prices!$L$605+6</f>
        <v>33.04</v>
      </c>
      <c r="I17" s="4">
        <v>2345.7272727272725</v>
      </c>
      <c r="J17" s="4">
        <f>'[3]RINs and HOBO Forecast'!$C$40</f>
        <v>48.568199999999997</v>
      </c>
      <c r="K17" s="4">
        <f>'[2]LCFS Credit Price Forecast'!$B$82</f>
        <v>199.5</v>
      </c>
      <c r="L17" s="5">
        <v>3.3431820000000001</v>
      </c>
      <c r="M17" s="5">
        <v>1.1818</v>
      </c>
    </row>
    <row r="18" spans="1:13" x14ac:dyDescent="0.2">
      <c r="A18" s="3">
        <v>43912</v>
      </c>
      <c r="B18" s="4" t="e">
        <f>#REF!</f>
        <v>#REF!</v>
      </c>
      <c r="C18" s="4" t="e">
        <f>#REF!</f>
        <v>#REF!</v>
      </c>
      <c r="D18" s="4" t="e">
        <f>#REF!</f>
        <v>#REF!</v>
      </c>
      <c r="E18" s="4" t="e">
        <f>#REF!</f>
        <v>#REF!</v>
      </c>
      <c r="F18" s="4" t="e">
        <f>#REF!</f>
        <v>#REF!</v>
      </c>
      <c r="G18" s="4" t="e">
        <f>#REF!</f>
        <v>#REF!</v>
      </c>
      <c r="H18" s="4">
        <f>[1]Prices!$L$605+6</f>
        <v>33.04</v>
      </c>
      <c r="I18" s="4">
        <v>2345.7272727272725</v>
      </c>
      <c r="J18" s="4">
        <f>'[3]RINs and HOBO Forecast'!$C$40</f>
        <v>48.568199999999997</v>
      </c>
      <c r="K18" s="4">
        <f>'[2]LCFS Credit Price Forecast'!$B$82</f>
        <v>199.5</v>
      </c>
      <c r="L18" s="5">
        <v>3.3431820000000001</v>
      </c>
      <c r="M18" s="5">
        <v>1.1818</v>
      </c>
    </row>
    <row r="19" spans="1:13" x14ac:dyDescent="0.2">
      <c r="A19" s="3">
        <v>43919</v>
      </c>
      <c r="B19" s="4" t="e">
        <f>#REF!</f>
        <v>#REF!</v>
      </c>
      <c r="C19" s="4" t="e">
        <f>#REF!</f>
        <v>#REF!</v>
      </c>
      <c r="D19" s="4" t="e">
        <f>#REF!</f>
        <v>#REF!</v>
      </c>
      <c r="E19" s="4" t="e">
        <f>#REF!</f>
        <v>#REF!</v>
      </c>
      <c r="F19" s="4" t="e">
        <f>#REF!</f>
        <v>#REF!</v>
      </c>
      <c r="G19" s="4" t="e">
        <f>#REF!</f>
        <v>#REF!</v>
      </c>
      <c r="H19" s="4">
        <f>[1]Prices!$L$605+6</f>
        <v>33.04</v>
      </c>
      <c r="I19" s="4">
        <v>2345.7272727272725</v>
      </c>
      <c r="J19" s="4">
        <f>'[3]RINs and HOBO Forecast'!$C$40</f>
        <v>48.568199999999997</v>
      </c>
      <c r="K19" s="4">
        <f>'[2]LCFS Credit Price Forecast'!$B$82</f>
        <v>199.5</v>
      </c>
      <c r="L19" s="5">
        <v>3.3431820000000001</v>
      </c>
      <c r="M19" s="5">
        <v>1.1818</v>
      </c>
    </row>
    <row r="20" spans="1:13" x14ac:dyDescent="0.2">
      <c r="A20" s="3">
        <v>43926</v>
      </c>
      <c r="B20" s="4" t="e">
        <f>#REF!</f>
        <v>#REF!</v>
      </c>
      <c r="C20" s="4" t="e">
        <f>#REF!</f>
        <v>#REF!</v>
      </c>
      <c r="D20" s="4" t="e">
        <f>#REF!</f>
        <v>#REF!</v>
      </c>
      <c r="E20" s="4" t="e">
        <f>#REF!</f>
        <v>#REF!</v>
      </c>
      <c r="F20" s="4" t="e">
        <f>#REF!</f>
        <v>#REF!</v>
      </c>
      <c r="G20" s="4" t="e">
        <f>#REF!</f>
        <v>#REF!</v>
      </c>
      <c r="H20" s="4">
        <f>[1]Prices!$L$606+6</f>
        <v>31.69</v>
      </c>
      <c r="I20" s="4">
        <v>2244.0454545454545</v>
      </c>
      <c r="J20" s="4">
        <f>'[3]RINs and HOBO Forecast'!$C$41</f>
        <v>52.107100000000003</v>
      </c>
      <c r="K20" s="4">
        <f>'[2]LCFS Credit Price Forecast'!$B$83</f>
        <v>193.21430000000001</v>
      </c>
      <c r="L20" s="5">
        <f>[4]Forecasts!$B$5</f>
        <v>3.395</v>
      </c>
      <c r="M20" s="5">
        <f>[4]Forecasts!$C$5</f>
        <v>0.87690000000000001</v>
      </c>
    </row>
    <row r="21" spans="1:13" x14ac:dyDescent="0.2">
      <c r="A21" s="3">
        <v>43933</v>
      </c>
      <c r="B21" s="4" t="e">
        <f>#REF!</f>
        <v>#REF!</v>
      </c>
      <c r="C21" s="4" t="e">
        <f>#REF!</f>
        <v>#REF!</v>
      </c>
      <c r="D21" s="4" t="e">
        <f>#REF!</f>
        <v>#REF!</v>
      </c>
      <c r="E21" s="4" t="e">
        <f>#REF!</f>
        <v>#REF!</v>
      </c>
      <c r="F21" s="4" t="e">
        <f>#REF!</f>
        <v>#REF!</v>
      </c>
      <c r="G21" s="4" t="e">
        <f>#REF!</f>
        <v>#REF!</v>
      </c>
      <c r="H21" s="4">
        <f>[1]Prices!$L$606+6</f>
        <v>31.69</v>
      </c>
      <c r="I21" s="4">
        <v>2244.0454545454545</v>
      </c>
      <c r="J21" s="4">
        <f>'[3]RINs and HOBO Forecast'!$C$41</f>
        <v>52.107100000000003</v>
      </c>
      <c r="K21" s="4">
        <f>'[2]LCFS Credit Price Forecast'!$B$83</f>
        <v>193.21430000000001</v>
      </c>
      <c r="L21" s="5">
        <f>[4]Forecasts!$B$5</f>
        <v>3.395</v>
      </c>
      <c r="M21" s="5">
        <f>[4]Forecasts!$C$5</f>
        <v>0.87690000000000001</v>
      </c>
    </row>
    <row r="22" spans="1:13" x14ac:dyDescent="0.2">
      <c r="A22" s="3">
        <v>43940</v>
      </c>
      <c r="B22" s="4" t="e">
        <f>#REF!</f>
        <v>#REF!</v>
      </c>
      <c r="C22" s="4" t="e">
        <f>#REF!</f>
        <v>#REF!</v>
      </c>
      <c r="D22" s="4" t="e">
        <f>#REF!</f>
        <v>#REF!</v>
      </c>
      <c r="E22" s="4" t="e">
        <f>#REF!</f>
        <v>#REF!</v>
      </c>
      <c r="F22" s="4" t="e">
        <f>#REF!</f>
        <v>#REF!</v>
      </c>
      <c r="G22" s="4" t="e">
        <f>#REF!</f>
        <v>#REF!</v>
      </c>
      <c r="H22" s="4">
        <f>[1]Prices!$L$606+6</f>
        <v>31.69</v>
      </c>
      <c r="I22" s="4">
        <v>2244.0454545454545</v>
      </c>
      <c r="J22" s="4">
        <f>'[3]RINs and HOBO Forecast'!$C$41</f>
        <v>52.107100000000003</v>
      </c>
      <c r="K22" s="4">
        <f>'[2]LCFS Credit Price Forecast'!$B$83</f>
        <v>193.21430000000001</v>
      </c>
      <c r="L22" s="5">
        <f>[4]Forecasts!$B$5</f>
        <v>3.395</v>
      </c>
      <c r="M22" s="5">
        <f>[4]Forecasts!$C$5</f>
        <v>0.87690000000000001</v>
      </c>
    </row>
    <row r="23" spans="1:13" x14ac:dyDescent="0.2">
      <c r="A23" s="3">
        <v>43947</v>
      </c>
      <c r="B23" s="4" t="e">
        <f>#REF!</f>
        <v>#REF!</v>
      </c>
      <c r="C23" s="4" t="e">
        <f>#REF!</f>
        <v>#REF!</v>
      </c>
      <c r="D23" s="4" t="e">
        <f>#REF!</f>
        <v>#REF!</v>
      </c>
      <c r="E23" s="4" t="e">
        <f>#REF!</f>
        <v>#REF!</v>
      </c>
      <c r="F23" s="4" t="e">
        <f>#REF!</f>
        <v>#REF!</v>
      </c>
      <c r="G23" s="4" t="e">
        <f>#REF!</f>
        <v>#REF!</v>
      </c>
      <c r="H23" s="4">
        <f>[1]Prices!$L$606+6</f>
        <v>31.69</v>
      </c>
      <c r="I23" s="4">
        <v>2244.0454545454545</v>
      </c>
      <c r="J23" s="4">
        <f>'[3]RINs and HOBO Forecast'!$C$41</f>
        <v>52.107100000000003</v>
      </c>
      <c r="K23" s="4">
        <f>'[2]LCFS Credit Price Forecast'!$B$83</f>
        <v>193.21430000000001</v>
      </c>
      <c r="L23" s="5">
        <f>[4]Forecasts!$B$5</f>
        <v>3.395</v>
      </c>
      <c r="M23" s="5">
        <f>[4]Forecasts!$C$5</f>
        <v>0.87690000000000001</v>
      </c>
    </row>
    <row r="24" spans="1:13" x14ac:dyDescent="0.2">
      <c r="A24" s="3">
        <v>43954</v>
      </c>
      <c r="B24" s="4" t="e">
        <f>#REF!</f>
        <v>#REF!</v>
      </c>
      <c r="C24" s="4" t="e">
        <f>#REF!</f>
        <v>#REF!</v>
      </c>
      <c r="D24" s="4" t="e">
        <f>#REF!</f>
        <v>#REF!</v>
      </c>
      <c r="E24" s="4" t="e">
        <f>#REF!</f>
        <v>#REF!</v>
      </c>
      <c r="F24" s="4" t="e">
        <f>#REF!</f>
        <v>#REF!</v>
      </c>
      <c r="G24" s="4" t="e">
        <f>#REF!</f>
        <v>#REF!</v>
      </c>
      <c r="H24" s="4">
        <f>[1]Prices!$L$607+6</f>
        <v>31.27</v>
      </c>
      <c r="I24" s="4">
        <v>2120.5625</v>
      </c>
      <c r="J24" s="4">
        <f>'[3]RINs and HOBO Forecast'!$C$42</f>
        <v>53.625</v>
      </c>
      <c r="K24" s="4">
        <f>'[2]LCFS Credit Price Forecast'!$B$84</f>
        <v>201.95</v>
      </c>
      <c r="L24" s="5">
        <f>[4]Forecasts!$B$6</f>
        <v>3.39</v>
      </c>
      <c r="M24" s="5">
        <f>[4]Forecasts!$C$6</f>
        <v>0.92020000000000002</v>
      </c>
    </row>
    <row r="25" spans="1:13" x14ac:dyDescent="0.2">
      <c r="A25" s="3">
        <v>43961</v>
      </c>
      <c r="B25" s="4" t="e">
        <f>#REF!</f>
        <v>#REF!</v>
      </c>
      <c r="C25" s="4" t="e">
        <f>#REF!</f>
        <v>#REF!</v>
      </c>
      <c r="D25" s="4" t="e">
        <f>#REF!</f>
        <v>#REF!</v>
      </c>
      <c r="E25" s="4" t="e">
        <f>#REF!</f>
        <v>#REF!</v>
      </c>
      <c r="F25" s="4" t="e">
        <f>#REF!</f>
        <v>#REF!</v>
      </c>
      <c r="G25" s="4" t="e">
        <f>#REF!</f>
        <v>#REF!</v>
      </c>
      <c r="H25" s="4">
        <f>[1]Prices!$L$607+6</f>
        <v>31.27</v>
      </c>
      <c r="I25" s="4">
        <v>2120.5625</v>
      </c>
      <c r="J25" s="4">
        <f>'[3]RINs and HOBO Forecast'!$C$42</f>
        <v>53.625</v>
      </c>
      <c r="K25" s="4">
        <f>'[2]LCFS Credit Price Forecast'!$B$84</f>
        <v>201.95</v>
      </c>
      <c r="L25" s="5">
        <f>[4]Forecasts!$B$6</f>
        <v>3.39</v>
      </c>
      <c r="M25" s="5">
        <f>[4]Forecasts!$C$6</f>
        <v>0.92020000000000002</v>
      </c>
    </row>
    <row r="26" spans="1:13" x14ac:dyDescent="0.2">
      <c r="A26" s="3">
        <v>43968</v>
      </c>
      <c r="B26" s="4" t="e">
        <f>#REF!</f>
        <v>#REF!</v>
      </c>
      <c r="C26" s="4" t="e">
        <f>#REF!</f>
        <v>#REF!</v>
      </c>
      <c r="D26" s="4" t="e">
        <f>#REF!</f>
        <v>#REF!</v>
      </c>
      <c r="E26" s="4" t="e">
        <f>#REF!</f>
        <v>#REF!</v>
      </c>
      <c r="F26" s="4" t="e">
        <f>#REF!</f>
        <v>#REF!</v>
      </c>
      <c r="G26" s="4" t="e">
        <f>#REF!</f>
        <v>#REF!</v>
      </c>
      <c r="H26" s="4">
        <f>[1]Prices!$L$607+6</f>
        <v>31.27</v>
      </c>
      <c r="I26" s="4">
        <v>2120.5625</v>
      </c>
      <c r="J26" s="4">
        <f>'[3]RINs and HOBO Forecast'!$C$42</f>
        <v>53.625</v>
      </c>
      <c r="K26" s="4">
        <f>'[2]LCFS Credit Price Forecast'!$B$84</f>
        <v>201.95</v>
      </c>
      <c r="L26" s="5">
        <f>[4]Forecasts!$B$6</f>
        <v>3.39</v>
      </c>
      <c r="M26" s="5">
        <f>[4]Forecasts!$C$6</f>
        <v>0.92020000000000002</v>
      </c>
    </row>
    <row r="27" spans="1:13" x14ac:dyDescent="0.2">
      <c r="A27" s="3">
        <v>43975</v>
      </c>
      <c r="B27" s="4" t="e">
        <f>#REF!</f>
        <v>#REF!</v>
      </c>
      <c r="C27" s="4" t="e">
        <f>#REF!</f>
        <v>#REF!</v>
      </c>
      <c r="D27" s="4" t="e">
        <f>#REF!</f>
        <v>#REF!</v>
      </c>
      <c r="E27" s="4" t="e">
        <f>#REF!</f>
        <v>#REF!</v>
      </c>
      <c r="F27" s="4" t="e">
        <f>#REF!</f>
        <v>#REF!</v>
      </c>
      <c r="G27" s="4" t="e">
        <f>#REF!</f>
        <v>#REF!</v>
      </c>
      <c r="H27" s="4">
        <f>[1]Prices!$L$607+6</f>
        <v>31.27</v>
      </c>
      <c r="I27" s="4">
        <v>2120.5625</v>
      </c>
      <c r="J27" s="4">
        <f>'[3]RINs and HOBO Forecast'!$C$42</f>
        <v>53.625</v>
      </c>
      <c r="K27" s="4">
        <f>'[2]LCFS Credit Price Forecast'!$B$84</f>
        <v>201.95</v>
      </c>
      <c r="L27" s="5">
        <f>[4]Forecasts!$B$6</f>
        <v>3.39</v>
      </c>
      <c r="M27" s="5">
        <f>[4]Forecasts!$C$6</f>
        <v>0.92020000000000002</v>
      </c>
    </row>
    <row r="28" spans="1:13" x14ac:dyDescent="0.2">
      <c r="A28" s="3">
        <v>43982</v>
      </c>
      <c r="B28" s="4" t="e">
        <f>#REF!</f>
        <v>#REF!</v>
      </c>
      <c r="C28" s="4" t="e">
        <f>#REF!</f>
        <v>#REF!</v>
      </c>
      <c r="D28" s="4" t="e">
        <f>#REF!</f>
        <v>#REF!</v>
      </c>
      <c r="E28" s="4" t="e">
        <f>#REF!</f>
        <v>#REF!</v>
      </c>
      <c r="F28" s="4" t="e">
        <f>#REF!</f>
        <v>#REF!</v>
      </c>
      <c r="G28" s="4" t="e">
        <f>#REF!</f>
        <v>#REF!</v>
      </c>
      <c r="H28" s="4">
        <f>[1]Prices!$L$607+6</f>
        <v>31.27</v>
      </c>
      <c r="I28" s="4">
        <v>2120.5625</v>
      </c>
      <c r="J28" s="4">
        <f>'[3]RINs and HOBO Forecast'!$C$42</f>
        <v>53.625</v>
      </c>
      <c r="K28" s="4">
        <f>'[2]LCFS Credit Price Forecast'!$B$84</f>
        <v>201.95</v>
      </c>
      <c r="L28" s="5">
        <f>[4]Forecasts!$B$6</f>
        <v>3.39</v>
      </c>
      <c r="M28" s="5">
        <f>[4]Forecasts!$C$6</f>
        <v>0.92020000000000002</v>
      </c>
    </row>
    <row r="29" spans="1:13" x14ac:dyDescent="0.2">
      <c r="A29" s="3">
        <v>43989</v>
      </c>
      <c r="B29" s="4" t="e">
        <f>#REF!</f>
        <v>#REF!</v>
      </c>
      <c r="C29" s="4" t="e">
        <f>#REF!</f>
        <v>#REF!</v>
      </c>
      <c r="D29" s="4" t="e">
        <f>#REF!</f>
        <v>#REF!</v>
      </c>
      <c r="E29" s="4" t="e">
        <f>#REF!</f>
        <v>#REF!</v>
      </c>
      <c r="F29" s="4" t="e">
        <f>#REF!</f>
        <v>#REF!</v>
      </c>
      <c r="G29" s="4" t="e">
        <f>#REF!</f>
        <v>#REF!</v>
      </c>
      <c r="H29" s="4">
        <f>[1]Prices!$L$608+6</f>
        <v>32.61</v>
      </c>
      <c r="I29" s="4">
        <f>'[5]Malaysia Palm Complex'!$BI$190</f>
        <v>2037.7368421052631</v>
      </c>
      <c r="J29" s="4">
        <f>'[3]RINs and HOBO Forecast'!$C$43</f>
        <v>56.51</v>
      </c>
      <c r="K29" s="4">
        <f>'[2]LCFS Credit Price Forecast'!$B$85</f>
        <v>208.7955</v>
      </c>
      <c r="L29" s="5">
        <f>[4]Forecasts!$B$7</f>
        <v>3.5049999999999999</v>
      </c>
      <c r="M29" s="5">
        <f>[4]Forecasts!$C$7</f>
        <v>1.1539999999999999</v>
      </c>
    </row>
    <row r="30" spans="1:13" x14ac:dyDescent="0.2">
      <c r="A30" s="3">
        <v>43996</v>
      </c>
      <c r="B30" s="4" t="e">
        <f>#REF!</f>
        <v>#REF!</v>
      </c>
      <c r="C30" s="4" t="e">
        <f>#REF!</f>
        <v>#REF!</v>
      </c>
      <c r="D30" s="4" t="e">
        <f>#REF!</f>
        <v>#REF!</v>
      </c>
      <c r="E30" s="4" t="e">
        <f>#REF!</f>
        <v>#REF!</v>
      </c>
      <c r="F30" s="4" t="e">
        <f>#REF!</f>
        <v>#REF!</v>
      </c>
      <c r="G30" s="4" t="e">
        <f>#REF!</f>
        <v>#REF!</v>
      </c>
      <c r="H30" s="4">
        <f>[1]Prices!$L$608+6</f>
        <v>32.61</v>
      </c>
      <c r="I30" s="4">
        <f>'[5]Malaysia Palm Complex'!$BI$190</f>
        <v>2037.7368421052631</v>
      </c>
      <c r="J30" s="4">
        <f>'[3]RINs and HOBO Forecast'!$C$43</f>
        <v>56.51</v>
      </c>
      <c r="K30" s="4">
        <f>'[2]LCFS Credit Price Forecast'!$B$85</f>
        <v>208.7955</v>
      </c>
      <c r="L30" s="5">
        <f>[4]Forecasts!$B$7</f>
        <v>3.5049999999999999</v>
      </c>
      <c r="M30" s="5">
        <f>[4]Forecasts!$C$7</f>
        <v>1.1539999999999999</v>
      </c>
    </row>
    <row r="31" spans="1:13" x14ac:dyDescent="0.2">
      <c r="A31" s="3">
        <v>44003</v>
      </c>
      <c r="B31" s="4" t="e">
        <f>#REF!</f>
        <v>#REF!</v>
      </c>
      <c r="C31" s="4" t="e">
        <f>#REF!</f>
        <v>#REF!</v>
      </c>
      <c r="D31" s="4" t="e">
        <f>#REF!</f>
        <v>#REF!</v>
      </c>
      <c r="E31" s="4" t="e">
        <f>#REF!</f>
        <v>#REF!</v>
      </c>
      <c r="F31" s="4" t="e">
        <f>#REF!</f>
        <v>#REF!</v>
      </c>
      <c r="G31" s="4" t="e">
        <f>#REF!</f>
        <v>#REF!</v>
      </c>
      <c r="H31" s="4">
        <f>[1]Prices!$L$608+6</f>
        <v>32.61</v>
      </c>
      <c r="I31" s="4">
        <f>'[5]Malaysia Palm Complex'!$BI$190</f>
        <v>2037.7368421052631</v>
      </c>
      <c r="J31" s="4">
        <f>'[3]RINs and HOBO Forecast'!$C$43</f>
        <v>56.51</v>
      </c>
      <c r="K31" s="4">
        <f>'[2]LCFS Credit Price Forecast'!$B$85</f>
        <v>208.7955</v>
      </c>
      <c r="L31" s="5">
        <f>[4]Forecasts!$B$7</f>
        <v>3.5049999999999999</v>
      </c>
      <c r="M31" s="5">
        <f>[4]Forecasts!$C$7</f>
        <v>1.1539999999999999</v>
      </c>
    </row>
    <row r="32" spans="1:13" x14ac:dyDescent="0.2">
      <c r="A32" s="3">
        <v>44010</v>
      </c>
      <c r="B32" s="4" t="e">
        <f>#REF!</f>
        <v>#REF!</v>
      </c>
      <c r="C32" s="4" t="e">
        <f>#REF!</f>
        <v>#REF!</v>
      </c>
      <c r="D32" s="4" t="e">
        <f>#REF!</f>
        <v>#REF!</v>
      </c>
      <c r="E32" s="4" t="e">
        <f>#REF!</f>
        <v>#REF!</v>
      </c>
      <c r="F32" s="4" t="e">
        <f>#REF!</f>
        <v>#REF!</v>
      </c>
      <c r="G32" s="4" t="e">
        <f>#REF!</f>
        <v>#REF!</v>
      </c>
      <c r="H32" s="4">
        <f>[1]Prices!$L$608+6</f>
        <v>32.61</v>
      </c>
      <c r="I32" s="4">
        <f>'[5]Malaysia Palm Complex'!$BI$190</f>
        <v>2037.7368421052631</v>
      </c>
      <c r="J32" s="4">
        <f>'[3]RINs and HOBO Forecast'!$C$43</f>
        <v>56.51</v>
      </c>
      <c r="K32" s="4">
        <f>'[2]LCFS Credit Price Forecast'!$B$85</f>
        <v>208.7955</v>
      </c>
      <c r="L32" s="5">
        <f>[4]Forecasts!$B$7</f>
        <v>3.5049999999999999</v>
      </c>
      <c r="M32" s="5">
        <f>[4]Forecasts!$C$7</f>
        <v>1.1539999999999999</v>
      </c>
    </row>
    <row r="33" spans="1:13" x14ac:dyDescent="0.2">
      <c r="A33" s="3">
        <v>44017</v>
      </c>
      <c r="B33" s="4" t="e">
        <f>#REF!</f>
        <v>#REF!</v>
      </c>
      <c r="C33" s="4" t="e">
        <f>#REF!</f>
        <v>#REF!</v>
      </c>
      <c r="D33" s="4" t="e">
        <f>#REF!</f>
        <v>#REF!</v>
      </c>
      <c r="E33" s="4" t="e">
        <f>#REF!</f>
        <v>#REF!</v>
      </c>
      <c r="F33" s="4" t="e">
        <f>#REF!</f>
        <v>#REF!</v>
      </c>
      <c r="G33" s="4" t="e">
        <f>#REF!</f>
        <v>#REF!</v>
      </c>
      <c r="H33" s="4">
        <f>[1]Prices!$L$609+6</f>
        <v>34.71</v>
      </c>
      <c r="I33" s="4">
        <f>'[5]Malaysia Palm Complex'!$BI$191</f>
        <v>2005.7777777777778</v>
      </c>
      <c r="J33" s="4">
        <f>'[3]RINs and HOBO Forecast'!$C$44</f>
        <v>59.840899999999998</v>
      </c>
      <c r="K33" s="4">
        <f>'[2]LCFS Credit Price Forecast'!$B$86</f>
        <v>197.6591</v>
      </c>
      <c r="L33" s="5">
        <f>[4]Forecasts!$B$8</f>
        <v>3.5668000000000002</v>
      </c>
      <c r="M33" s="5">
        <f>[4]Forecasts!$C$8</f>
        <v>1.2476</v>
      </c>
    </row>
    <row r="34" spans="1:13" x14ac:dyDescent="0.2">
      <c r="A34" s="3">
        <v>44024</v>
      </c>
      <c r="B34" s="4" t="e">
        <f>#REF!</f>
        <v>#REF!</v>
      </c>
      <c r="C34" s="4" t="e">
        <f>#REF!</f>
        <v>#REF!</v>
      </c>
      <c r="D34" s="4" t="e">
        <f>#REF!</f>
        <v>#REF!</v>
      </c>
      <c r="E34" s="4" t="e">
        <f>#REF!</f>
        <v>#REF!</v>
      </c>
      <c r="F34" s="4" t="e">
        <f>#REF!</f>
        <v>#REF!</v>
      </c>
      <c r="G34" s="4" t="e">
        <f>#REF!</f>
        <v>#REF!</v>
      </c>
      <c r="H34" s="4">
        <f>[1]Prices!$L$609+6</f>
        <v>34.71</v>
      </c>
      <c r="I34" s="4">
        <f>'[5]Malaysia Palm Complex'!$BI$191</f>
        <v>2005.7777777777778</v>
      </c>
      <c r="J34" s="4">
        <f>'[3]RINs and HOBO Forecast'!$C$44</f>
        <v>59.840899999999998</v>
      </c>
      <c r="K34" s="4">
        <f>'[2]LCFS Credit Price Forecast'!$B$86</f>
        <v>197.6591</v>
      </c>
      <c r="L34" s="5">
        <f>[4]Forecasts!$B$8</f>
        <v>3.5668000000000002</v>
      </c>
      <c r="M34" s="5">
        <f>[4]Forecasts!$C$8</f>
        <v>1.2476</v>
      </c>
    </row>
    <row r="35" spans="1:13" x14ac:dyDescent="0.2">
      <c r="A35" s="3">
        <v>44031</v>
      </c>
      <c r="B35" s="4" t="e">
        <f>#REF!</f>
        <v>#REF!</v>
      </c>
      <c r="C35" s="4" t="e">
        <f>#REF!</f>
        <v>#REF!</v>
      </c>
      <c r="D35" s="4" t="e">
        <f>#REF!</f>
        <v>#REF!</v>
      </c>
      <c r="E35" s="4" t="e">
        <f>#REF!</f>
        <v>#REF!</v>
      </c>
      <c r="F35" s="4" t="e">
        <f>#REF!</f>
        <v>#REF!</v>
      </c>
      <c r="G35" s="4" t="e">
        <f>#REF!</f>
        <v>#REF!</v>
      </c>
      <c r="H35" s="4">
        <f>[1]Prices!$L$609+6</f>
        <v>34.71</v>
      </c>
      <c r="I35" s="4">
        <f>'[5]Malaysia Palm Complex'!$BI$191</f>
        <v>2005.7777777777778</v>
      </c>
      <c r="J35" s="4">
        <f>'[3]RINs and HOBO Forecast'!$C$44</f>
        <v>59.840899999999998</v>
      </c>
      <c r="K35" s="4">
        <f>'[2]LCFS Credit Price Forecast'!$B$86</f>
        <v>197.6591</v>
      </c>
      <c r="L35" s="5">
        <f>[4]Forecasts!$B$8</f>
        <v>3.5668000000000002</v>
      </c>
      <c r="M35" s="5">
        <f>[4]Forecasts!$C$8</f>
        <v>1.2476</v>
      </c>
    </row>
    <row r="36" spans="1:13" x14ac:dyDescent="0.2">
      <c r="A36" s="3">
        <v>44038</v>
      </c>
      <c r="B36" s="4" t="e">
        <f>#REF!</f>
        <v>#REF!</v>
      </c>
      <c r="C36" s="4" t="e">
        <f>#REF!</f>
        <v>#REF!</v>
      </c>
      <c r="D36" s="4" t="e">
        <f>#REF!</f>
        <v>#REF!</v>
      </c>
      <c r="E36" s="4" t="e">
        <f>#REF!</f>
        <v>#REF!</v>
      </c>
      <c r="F36" s="4" t="e">
        <f>#REF!</f>
        <v>#REF!</v>
      </c>
      <c r="G36" s="4" t="e">
        <f>#REF!</f>
        <v>#REF!</v>
      </c>
      <c r="H36" s="4">
        <f>[1]Prices!$L$609+6</f>
        <v>34.71</v>
      </c>
      <c r="I36" s="4">
        <f>'[5]Malaysia Palm Complex'!$BI$191</f>
        <v>2005.7777777777778</v>
      </c>
      <c r="J36" s="4">
        <f>'[3]RINs and HOBO Forecast'!$C$44</f>
        <v>59.840899999999998</v>
      </c>
      <c r="K36" s="4">
        <f>'[2]LCFS Credit Price Forecast'!$B$86</f>
        <v>197.6591</v>
      </c>
      <c r="L36" s="5">
        <f>[4]Forecasts!$B$8</f>
        <v>3.5668000000000002</v>
      </c>
      <c r="M36" s="5">
        <f>[4]Forecasts!$C$8</f>
        <v>1.2476</v>
      </c>
    </row>
    <row r="37" spans="1:13" x14ac:dyDescent="0.2">
      <c r="A37" s="3">
        <v>44045</v>
      </c>
      <c r="B37" s="4" t="e">
        <f>#REF!</f>
        <v>#REF!</v>
      </c>
      <c r="C37" s="4" t="e">
        <f>#REF!</f>
        <v>#REF!</v>
      </c>
      <c r="D37" s="4" t="e">
        <f>#REF!</f>
        <v>#REF!</v>
      </c>
      <c r="E37" s="4" t="e">
        <f>#REF!</f>
        <v>#REF!</v>
      </c>
      <c r="F37" s="4" t="e">
        <f>#REF!</f>
        <v>#REF!</v>
      </c>
      <c r="G37" s="4" t="e">
        <f>#REF!</f>
        <v>#REF!</v>
      </c>
      <c r="H37" s="4">
        <f>[1]Prices!$L$610+6</f>
        <v>38.130000000000003</v>
      </c>
      <c r="I37" s="4">
        <f>'[5]Malaysia Palm Complex'!$BI$192</f>
        <v>1985.7619047619048</v>
      </c>
      <c r="J37" s="4">
        <f>'[3]RINs and HOBO Forecast'!$C$45</f>
        <v>64.964299999999994</v>
      </c>
      <c r="K37" s="4">
        <f>'[2]LCFS Credit Price Forecast'!$B$87</f>
        <v>192.42859999999999</v>
      </c>
      <c r="L37" s="5">
        <f>[4]Forecasts!$B$9</f>
        <v>3.625238</v>
      </c>
      <c r="M37" s="5">
        <f>[4]Forecasts!$C$9</f>
        <v>1.2482</v>
      </c>
    </row>
    <row r="38" spans="1:13" x14ac:dyDescent="0.2">
      <c r="A38" s="3">
        <v>44052</v>
      </c>
      <c r="B38" s="4" t="e">
        <f>#REF!</f>
        <v>#REF!</v>
      </c>
      <c r="C38" s="4" t="e">
        <f>#REF!</f>
        <v>#REF!</v>
      </c>
      <c r="D38" s="4" t="e">
        <f>#REF!</f>
        <v>#REF!</v>
      </c>
      <c r="E38" s="4" t="e">
        <f>#REF!</f>
        <v>#REF!</v>
      </c>
      <c r="F38" s="4" t="e">
        <f>#REF!</f>
        <v>#REF!</v>
      </c>
      <c r="G38" s="4" t="e">
        <f>#REF!</f>
        <v>#REF!</v>
      </c>
      <c r="H38" s="4">
        <f>[1]Prices!$L$610+6</f>
        <v>38.130000000000003</v>
      </c>
      <c r="I38" s="4">
        <f>'[5]Malaysia Palm Complex'!$BI$192</f>
        <v>1985.7619047619048</v>
      </c>
      <c r="J38" s="4">
        <f>'[3]RINs and HOBO Forecast'!$C$45</f>
        <v>64.964299999999994</v>
      </c>
      <c r="K38" s="4">
        <f>'[2]LCFS Credit Price Forecast'!$B$87</f>
        <v>192.42859999999999</v>
      </c>
      <c r="L38" s="5">
        <f>[4]Forecasts!$B$9</f>
        <v>3.625238</v>
      </c>
      <c r="M38" s="5">
        <f>[4]Forecasts!$C$9</f>
        <v>1.2482</v>
      </c>
    </row>
    <row r="39" spans="1:13" x14ac:dyDescent="0.2">
      <c r="A39" s="3">
        <v>44059</v>
      </c>
      <c r="B39" s="4" t="e">
        <f>#REF!</f>
        <v>#REF!</v>
      </c>
      <c r="C39" s="4" t="e">
        <f>#REF!</f>
        <v>#REF!</v>
      </c>
      <c r="D39" s="4" t="e">
        <f>#REF!</f>
        <v>#REF!</v>
      </c>
      <c r="E39" s="4" t="e">
        <f>#REF!</f>
        <v>#REF!</v>
      </c>
      <c r="F39" s="4" t="e">
        <f>#REF!</f>
        <v>#REF!</v>
      </c>
      <c r="G39" s="4" t="e">
        <f>#REF!</f>
        <v>#REF!</v>
      </c>
      <c r="H39" s="4">
        <f>[1]Prices!$L$610+6</f>
        <v>38.130000000000003</v>
      </c>
      <c r="I39" s="4">
        <f>'[5]Malaysia Palm Complex'!$BI$192</f>
        <v>1985.7619047619048</v>
      </c>
      <c r="J39" s="4">
        <f>'[3]RINs and HOBO Forecast'!$C$45</f>
        <v>64.964299999999994</v>
      </c>
      <c r="K39" s="4">
        <f>'[2]LCFS Credit Price Forecast'!$B$87</f>
        <v>192.42859999999999</v>
      </c>
      <c r="L39" s="5">
        <f>[4]Forecasts!$B$9</f>
        <v>3.625238</v>
      </c>
      <c r="M39" s="5">
        <f>[4]Forecasts!$C$9</f>
        <v>1.2482</v>
      </c>
    </row>
    <row r="40" spans="1:13" x14ac:dyDescent="0.2">
      <c r="A40" s="3">
        <v>44066</v>
      </c>
      <c r="B40" s="4" t="e">
        <f>#REF!</f>
        <v>#REF!</v>
      </c>
      <c r="C40" s="4" t="e">
        <f>#REF!</f>
        <v>#REF!</v>
      </c>
      <c r="D40" s="4" t="e">
        <f>#REF!</f>
        <v>#REF!</v>
      </c>
      <c r="E40" s="4" t="e">
        <f>#REF!</f>
        <v>#REF!</v>
      </c>
      <c r="F40" s="4" t="e">
        <f>#REF!</f>
        <v>#REF!</v>
      </c>
      <c r="G40" s="4" t="e">
        <f>#REF!</f>
        <v>#REF!</v>
      </c>
      <c r="H40" s="4">
        <f>[1]Prices!$L$610+6</f>
        <v>38.130000000000003</v>
      </c>
      <c r="I40" s="4">
        <f>'[5]Malaysia Palm Complex'!$BI$192</f>
        <v>1985.7619047619048</v>
      </c>
      <c r="J40" s="4">
        <f>'[3]RINs and HOBO Forecast'!$C$45</f>
        <v>64.964299999999994</v>
      </c>
      <c r="K40" s="4">
        <f>'[2]LCFS Credit Price Forecast'!$B$87</f>
        <v>192.42859999999999</v>
      </c>
      <c r="L40" s="5">
        <f>[4]Forecasts!$B$9</f>
        <v>3.625238</v>
      </c>
      <c r="M40" s="5">
        <f>[4]Forecasts!$C$9</f>
        <v>1.2482</v>
      </c>
    </row>
    <row r="41" spans="1:13" x14ac:dyDescent="0.2">
      <c r="A41" s="3">
        <v>44073</v>
      </c>
      <c r="B41" s="4" t="e">
        <f>#REF!</f>
        <v>#REF!</v>
      </c>
      <c r="C41" s="4" t="e">
        <f>#REF!</f>
        <v>#REF!</v>
      </c>
      <c r="D41" s="4" t="e">
        <f>#REF!</f>
        <v>#REF!</v>
      </c>
      <c r="E41" s="4" t="e">
        <f>#REF!</f>
        <v>#REF!</v>
      </c>
      <c r="F41" s="4" t="e">
        <f>#REF!</f>
        <v>#REF!</v>
      </c>
      <c r="G41" s="4" t="e">
        <f>#REF!</f>
        <v>#REF!</v>
      </c>
      <c r="H41" s="4">
        <f>[1]Prices!$L$610+6</f>
        <v>38.130000000000003</v>
      </c>
      <c r="I41" s="4">
        <f>'[5]Malaysia Palm Complex'!$BI$192</f>
        <v>1985.7619047619048</v>
      </c>
      <c r="J41" s="4">
        <f>'[3]RINs and HOBO Forecast'!$C$45</f>
        <v>64.964299999999994</v>
      </c>
      <c r="K41" s="4">
        <f>'[2]LCFS Credit Price Forecast'!$B$87</f>
        <v>192.42859999999999</v>
      </c>
      <c r="L41" s="5">
        <f>[4]Forecasts!$B$9</f>
        <v>3.625238</v>
      </c>
      <c r="M41" s="5">
        <f>[4]Forecasts!$C$9</f>
        <v>1.2482</v>
      </c>
    </row>
    <row r="42" spans="1:13" x14ac:dyDescent="0.2">
      <c r="A42" s="3">
        <v>44080</v>
      </c>
      <c r="B42" s="4" t="e">
        <f>#REF!</f>
        <v>#REF!</v>
      </c>
      <c r="C42" s="4" t="e">
        <f>#REF!</f>
        <v>#REF!</v>
      </c>
      <c r="D42" s="4" t="e">
        <f>#REF!</f>
        <v>#REF!</v>
      </c>
      <c r="E42" s="4" t="e">
        <f>#REF!</f>
        <v>#REF!</v>
      </c>
      <c r="F42" s="4" t="e">
        <f>#REF!</f>
        <v>#REF!</v>
      </c>
      <c r="G42" s="4" t="e">
        <f>#REF!</f>
        <v>#REF!</v>
      </c>
      <c r="H42" s="4">
        <f>[1]Prices!$L$611+6</f>
        <v>40.200000000000003</v>
      </c>
      <c r="I42" s="4">
        <f>'[5]Malaysia Palm Complex'!$BI$194</f>
        <v>2195</v>
      </c>
      <c r="J42" s="4">
        <f>'[3]RINs and HOBO Forecast'!$C$46</f>
        <v>76.381</v>
      </c>
      <c r="K42" s="4">
        <f>'[2]LCFS Credit Price Forecast'!$B$88</f>
        <v>197.2619</v>
      </c>
      <c r="L42" s="5">
        <f>[4]Forecasts!$B$10</f>
        <v>3.891429</v>
      </c>
      <c r="M42" s="5">
        <f>[4]Forecasts!$C$10</f>
        <v>1.1354</v>
      </c>
    </row>
    <row r="43" spans="1:13" x14ac:dyDescent="0.2">
      <c r="A43" s="3">
        <v>44087</v>
      </c>
      <c r="B43" s="4" t="e">
        <f>#REF!</f>
        <v>#REF!</v>
      </c>
      <c r="C43" s="4" t="e">
        <f>#REF!</f>
        <v>#REF!</v>
      </c>
      <c r="D43" s="4" t="e">
        <f>#REF!</f>
        <v>#REF!</v>
      </c>
      <c r="E43" s="4" t="e">
        <f>#REF!</f>
        <v>#REF!</v>
      </c>
      <c r="F43" s="4" t="e">
        <f>#REF!</f>
        <v>#REF!</v>
      </c>
      <c r="G43" s="4" t="e">
        <f>#REF!</f>
        <v>#REF!</v>
      </c>
      <c r="H43" s="4">
        <f>[1]Prices!$L$611+6</f>
        <v>40.200000000000003</v>
      </c>
      <c r="I43" s="4">
        <f>'[5]Malaysia Palm Complex'!$BI$194</f>
        <v>2195</v>
      </c>
      <c r="J43" s="4">
        <f>'[3]RINs and HOBO Forecast'!$C$46</f>
        <v>76.381</v>
      </c>
      <c r="K43" s="4">
        <f>'[2]LCFS Credit Price Forecast'!$B$88</f>
        <v>197.2619</v>
      </c>
      <c r="L43" s="5">
        <f>[4]Forecasts!$B$10</f>
        <v>3.891429</v>
      </c>
      <c r="M43" s="5">
        <f>[4]Forecasts!$C$10</f>
        <v>1.1354</v>
      </c>
    </row>
    <row r="44" spans="1:13" x14ac:dyDescent="0.2">
      <c r="A44" s="3">
        <v>44094</v>
      </c>
      <c r="B44" s="4" t="e">
        <f>#REF!</f>
        <v>#REF!</v>
      </c>
      <c r="C44" s="4" t="e">
        <f>#REF!</f>
        <v>#REF!</v>
      </c>
      <c r="D44" s="4" t="e">
        <f>#REF!</f>
        <v>#REF!</v>
      </c>
      <c r="E44" s="4" t="e">
        <f>#REF!</f>
        <v>#REF!</v>
      </c>
      <c r="F44" s="4" t="e">
        <f>#REF!</f>
        <v>#REF!</v>
      </c>
      <c r="G44" s="4" t="e">
        <f>#REF!</f>
        <v>#REF!</v>
      </c>
      <c r="H44" s="4">
        <f>[1]Prices!$L$611+6</f>
        <v>40.200000000000003</v>
      </c>
      <c r="I44" s="4">
        <f>'[5]Malaysia Palm Complex'!$BI$194</f>
        <v>2195</v>
      </c>
      <c r="J44" s="4">
        <f>'[3]RINs and HOBO Forecast'!$C$46</f>
        <v>76.381</v>
      </c>
      <c r="K44" s="4">
        <f>'[2]LCFS Credit Price Forecast'!$B$88</f>
        <v>197.2619</v>
      </c>
      <c r="L44" s="5">
        <f>[4]Forecasts!$B$10</f>
        <v>3.891429</v>
      </c>
      <c r="M44" s="5">
        <f>[4]Forecasts!$C$10</f>
        <v>1.1354</v>
      </c>
    </row>
    <row r="45" spans="1:13" x14ac:dyDescent="0.2">
      <c r="A45" s="3">
        <v>44101</v>
      </c>
      <c r="B45" s="4" t="e">
        <f>#REF!</f>
        <v>#REF!</v>
      </c>
      <c r="C45" s="4" t="e">
        <f>#REF!</f>
        <v>#REF!</v>
      </c>
      <c r="D45" s="4" t="e">
        <f>#REF!</f>
        <v>#REF!</v>
      </c>
      <c r="E45" s="4" t="e">
        <f>#REF!</f>
        <v>#REF!</v>
      </c>
      <c r="F45" s="4" t="e">
        <f>#REF!</f>
        <v>#REF!</v>
      </c>
      <c r="G45" s="4" t="e">
        <f>#REF!</f>
        <v>#REF!</v>
      </c>
      <c r="H45" s="4">
        <f>[1]Prices!$L$611+6</f>
        <v>40.200000000000003</v>
      </c>
      <c r="I45" s="4">
        <f>'[5]Malaysia Palm Complex'!$BI$194</f>
        <v>2195</v>
      </c>
      <c r="J45" s="4">
        <f>'[3]RINs and HOBO Forecast'!$C$46</f>
        <v>76.381</v>
      </c>
      <c r="K45" s="4">
        <f>'[2]LCFS Credit Price Forecast'!$B$88</f>
        <v>197.2619</v>
      </c>
      <c r="L45" s="5">
        <f>[4]Forecasts!$B$10</f>
        <v>3.891429</v>
      </c>
      <c r="M45" s="5">
        <f>[4]Forecasts!$C$10</f>
        <v>1.1354</v>
      </c>
    </row>
    <row r="46" spans="1:13" x14ac:dyDescent="0.2">
      <c r="A46" s="3">
        <v>44108</v>
      </c>
      <c r="B46" s="4" t="e">
        <f>#REF!</f>
        <v>#REF!</v>
      </c>
      <c r="C46" s="4" t="e">
        <f>#REF!</f>
        <v>#REF!</v>
      </c>
      <c r="D46" s="4" t="e">
        <f>#REF!</f>
        <v>#REF!</v>
      </c>
      <c r="E46" s="4" t="e">
        <f>#REF!</f>
        <v>#REF!</v>
      </c>
      <c r="F46" s="4" t="e">
        <f>#REF!</f>
        <v>#REF!</v>
      </c>
      <c r="G46" s="4" t="e">
        <f>#REF!</f>
        <v>#REF!</v>
      </c>
      <c r="H46" s="4">
        <f>[1]Prices!$L$612+6</f>
        <v>39.909999999999997</v>
      </c>
      <c r="I46" s="4">
        <f>'[5]Malaysia Palm Complex'!$BJ$183</f>
        <v>2260.8636363636365</v>
      </c>
      <c r="J46" s="4">
        <f>'[3]RINs and HOBO Forecast'!$C$47</f>
        <v>79.693200000000004</v>
      </c>
      <c r="K46" s="4">
        <f>'[2]LCFS Credit Price Forecast'!$B$89</f>
        <v>195.77269999999999</v>
      </c>
      <c r="L46" s="5">
        <f>[4]Forecasts!$B$11</f>
        <v>3.9488639999999999</v>
      </c>
      <c r="M46" s="5">
        <f>[4]Forecasts!$C$11</f>
        <v>1.1605000000000001</v>
      </c>
    </row>
    <row r="47" spans="1:13" x14ac:dyDescent="0.2">
      <c r="A47" s="3">
        <v>44115</v>
      </c>
      <c r="B47" s="4" t="e">
        <f>#REF!</f>
        <v>#REF!</v>
      </c>
      <c r="C47" s="4" t="e">
        <f>#REF!</f>
        <v>#REF!</v>
      </c>
      <c r="D47" s="4" t="e">
        <f>#REF!</f>
        <v>#REF!</v>
      </c>
      <c r="E47" s="4" t="e">
        <f>#REF!</f>
        <v>#REF!</v>
      </c>
      <c r="F47" s="4" t="e">
        <f>#REF!</f>
        <v>#REF!</v>
      </c>
      <c r="G47" s="4" t="e">
        <f>#REF!</f>
        <v>#REF!</v>
      </c>
      <c r="H47" s="4">
        <f>[1]Prices!$L$612+6</f>
        <v>39.909999999999997</v>
      </c>
      <c r="I47" s="4">
        <f>'[5]Malaysia Palm Complex'!$BJ$183</f>
        <v>2260.8636363636365</v>
      </c>
      <c r="J47" s="4">
        <f>'[3]RINs and HOBO Forecast'!$C$47</f>
        <v>79.693200000000004</v>
      </c>
      <c r="K47" s="4">
        <f>'[2]LCFS Credit Price Forecast'!$B$89</f>
        <v>195.77269999999999</v>
      </c>
      <c r="L47" s="5">
        <f>[4]Forecasts!$B$11</f>
        <v>3.9488639999999999</v>
      </c>
      <c r="M47" s="5">
        <f>[4]Forecasts!$C$11</f>
        <v>1.1605000000000001</v>
      </c>
    </row>
    <row r="48" spans="1:13" x14ac:dyDescent="0.2">
      <c r="A48" s="3">
        <v>44122</v>
      </c>
      <c r="B48" s="4" t="e">
        <f>#REF!</f>
        <v>#REF!</v>
      </c>
      <c r="C48" s="4" t="e">
        <f>#REF!</f>
        <v>#REF!</v>
      </c>
      <c r="D48" s="4" t="e">
        <f>#REF!</f>
        <v>#REF!</v>
      </c>
      <c r="E48" s="4" t="e">
        <f>#REF!</f>
        <v>#REF!</v>
      </c>
      <c r="F48" s="4" t="e">
        <f>#REF!</f>
        <v>#REF!</v>
      </c>
      <c r="G48" s="4" t="e">
        <f>#REF!</f>
        <v>#REF!</v>
      </c>
      <c r="H48" s="4">
        <f>[1]Prices!$L$612+6</f>
        <v>39.909999999999997</v>
      </c>
      <c r="I48" s="4">
        <f>'[5]Malaysia Palm Complex'!$BJ$183</f>
        <v>2260.8636363636365</v>
      </c>
      <c r="J48" s="4">
        <f>'[3]RINs and HOBO Forecast'!$C$47</f>
        <v>79.693200000000004</v>
      </c>
      <c r="K48" s="4">
        <f>'[2]LCFS Credit Price Forecast'!$B$89</f>
        <v>195.77269999999999</v>
      </c>
      <c r="L48" s="5">
        <f>[4]Forecasts!$B$11</f>
        <v>3.9488639999999999</v>
      </c>
      <c r="M48" s="5">
        <f>[4]Forecasts!$C$11</f>
        <v>1.1605000000000001</v>
      </c>
    </row>
    <row r="49" spans="1:13" x14ac:dyDescent="0.2">
      <c r="A49" s="3">
        <v>44129</v>
      </c>
      <c r="B49" s="4" t="e">
        <f>#REF!</f>
        <v>#REF!</v>
      </c>
      <c r="C49" s="4" t="e">
        <f>#REF!</f>
        <v>#REF!</v>
      </c>
      <c r="D49" s="4" t="e">
        <f>#REF!</f>
        <v>#REF!</v>
      </c>
      <c r="E49" s="4" t="e">
        <f>#REF!</f>
        <v>#REF!</v>
      </c>
      <c r="F49" s="4" t="e">
        <f>#REF!</f>
        <v>#REF!</v>
      </c>
      <c r="G49" s="4" t="e">
        <f>#REF!</f>
        <v>#REF!</v>
      </c>
      <c r="H49" s="4">
        <f>[1]Prices!$L$612+6</f>
        <v>39.909999999999997</v>
      </c>
      <c r="I49" s="4">
        <f>'[5]Malaysia Palm Complex'!$BJ$183</f>
        <v>2260.8636363636365</v>
      </c>
      <c r="J49" s="4">
        <f>'[3]RINs and HOBO Forecast'!$C$47</f>
        <v>79.693200000000004</v>
      </c>
      <c r="K49" s="4">
        <f>'[2]LCFS Credit Price Forecast'!$B$89</f>
        <v>195.77269999999999</v>
      </c>
      <c r="L49" s="5">
        <f>[4]Forecasts!$B$11</f>
        <v>3.9488639999999999</v>
      </c>
      <c r="M49" s="5">
        <f>[4]Forecasts!$C$11</f>
        <v>1.1605000000000001</v>
      </c>
    </row>
    <row r="50" spans="1:13" x14ac:dyDescent="0.2">
      <c r="A50" s="3">
        <v>44136</v>
      </c>
      <c r="B50" s="4" t="e">
        <f>#REF!</f>
        <v>#REF!</v>
      </c>
      <c r="C50" s="4" t="e">
        <f>#REF!</f>
        <v>#REF!</v>
      </c>
      <c r="D50" s="4" t="e">
        <f>#REF!</f>
        <v>#REF!</v>
      </c>
      <c r="E50" s="4" t="e">
        <f>#REF!</f>
        <v>#REF!</v>
      </c>
      <c r="F50" s="4" t="e">
        <f>#REF!</f>
        <v>#REF!</v>
      </c>
      <c r="G50" s="4" t="e">
        <f>#REF!</f>
        <v>#REF!</v>
      </c>
      <c r="H50" s="4">
        <f>[1]Prices!$L$613+6</f>
        <v>43.79</v>
      </c>
      <c r="I50" s="4">
        <f>'[5]Malaysia Palm Complex'!$BJ$183</f>
        <v>2260.8636363636365</v>
      </c>
      <c r="J50" s="4">
        <f>'[3]RINs and HOBO Forecast'!$C$47</f>
        <v>79.693200000000004</v>
      </c>
      <c r="K50" s="4">
        <f>'[2]LCFS Credit Price Forecast'!$B$90</f>
        <v>198.72370000000001</v>
      </c>
      <c r="L50" s="5">
        <f>[4]Forecasts!$B$12</f>
        <v>4.0789470000000003</v>
      </c>
      <c r="M50" s="5">
        <f>[4]Forecasts!$C$12</f>
        <v>1.2509999999999999</v>
      </c>
    </row>
    <row r="51" spans="1:13" x14ac:dyDescent="0.2">
      <c r="A51" s="3">
        <v>44143</v>
      </c>
      <c r="B51" s="4" t="e">
        <f>#REF!</f>
        <v>#REF!</v>
      </c>
      <c r="C51" s="4" t="e">
        <f>#REF!</f>
        <v>#REF!</v>
      </c>
      <c r="D51" s="4" t="e">
        <f>#REF!</f>
        <v>#REF!</v>
      </c>
      <c r="E51" s="4" t="e">
        <f>#REF!</f>
        <v>#REF!</v>
      </c>
      <c r="F51" s="4" t="e">
        <f>#REF!</f>
        <v>#REF!</v>
      </c>
      <c r="G51" s="4" t="e">
        <f>#REF!</f>
        <v>#REF!</v>
      </c>
      <c r="H51" s="4">
        <f>[1]Prices!$L$613+6</f>
        <v>43.79</v>
      </c>
      <c r="I51" s="4">
        <f>'[5]Malaysia Palm Complex'!$BJ$183</f>
        <v>2260.8636363636365</v>
      </c>
      <c r="J51" s="4">
        <f>'[3]RINs and HOBO Forecast'!$C$49</f>
        <v>97.181799999999996</v>
      </c>
      <c r="K51" s="4">
        <f>'[2]LCFS Credit Price Forecast'!$B$90</f>
        <v>198.72370000000001</v>
      </c>
      <c r="L51" s="5">
        <f>[4]Forecasts!$B$12</f>
        <v>4.0789470000000003</v>
      </c>
      <c r="M51" s="5">
        <f>[4]Forecasts!$C$12</f>
        <v>1.2509999999999999</v>
      </c>
    </row>
    <row r="52" spans="1:13" x14ac:dyDescent="0.2">
      <c r="A52" s="3">
        <v>44150</v>
      </c>
      <c r="B52" s="4" t="e">
        <f>#REF!</f>
        <v>#REF!</v>
      </c>
      <c r="C52" s="4" t="e">
        <f>#REF!</f>
        <v>#REF!</v>
      </c>
      <c r="D52" s="4" t="e">
        <f>#REF!</f>
        <v>#REF!</v>
      </c>
      <c r="E52" s="4" t="e">
        <f>#REF!</f>
        <v>#REF!</v>
      </c>
      <c r="F52" s="4" t="e">
        <f>#REF!</f>
        <v>#REF!</v>
      </c>
      <c r="G52" s="4" t="e">
        <f>#REF!</f>
        <v>#REF!</v>
      </c>
      <c r="H52" s="4">
        <f>[1]Prices!$L$613+6</f>
        <v>43.79</v>
      </c>
      <c r="I52" s="4">
        <f>'[5]Malaysia Palm Complex'!$BJ$183</f>
        <v>2260.8636363636365</v>
      </c>
      <c r="J52" s="4">
        <f>'[3]RINs and HOBO Forecast'!$C$49</f>
        <v>97.181799999999996</v>
      </c>
      <c r="K52" s="4">
        <f>'[2]LCFS Credit Price Forecast'!$B$90</f>
        <v>198.72370000000001</v>
      </c>
      <c r="L52" s="5">
        <f>[4]Forecasts!$B$12</f>
        <v>4.0789470000000003</v>
      </c>
      <c r="M52" s="5">
        <f>[4]Forecasts!$C$12</f>
        <v>1.2509999999999999</v>
      </c>
    </row>
    <row r="53" spans="1:13" x14ac:dyDescent="0.2">
      <c r="A53" s="3">
        <v>44157</v>
      </c>
      <c r="B53" s="4" t="e">
        <f>#REF!</f>
        <v>#REF!</v>
      </c>
      <c r="C53" s="4" t="e">
        <f>#REF!</f>
        <v>#REF!</v>
      </c>
      <c r="D53" s="4" t="e">
        <f>#REF!</f>
        <v>#REF!</v>
      </c>
      <c r="E53" s="4" t="e">
        <f>#REF!</f>
        <v>#REF!</v>
      </c>
      <c r="F53" s="4" t="e">
        <f>#REF!</f>
        <v>#REF!</v>
      </c>
      <c r="G53" s="4" t="e">
        <f>#REF!</f>
        <v>#REF!</v>
      </c>
      <c r="H53" s="4">
        <f>[1]Prices!$L$613+6</f>
        <v>43.79</v>
      </c>
      <c r="I53" s="4">
        <f>'[5]Malaysia Palm Complex'!$BJ$183</f>
        <v>2260.8636363636365</v>
      </c>
      <c r="J53" s="4">
        <f>'[3]RINs and HOBO Forecast'!$C$49</f>
        <v>97.181799999999996</v>
      </c>
      <c r="K53" s="4">
        <f>'[2]LCFS Credit Price Forecast'!$B$90</f>
        <v>198.72370000000001</v>
      </c>
      <c r="L53" s="5">
        <f>[4]Forecasts!$B$12</f>
        <v>4.0789470000000003</v>
      </c>
      <c r="M53" s="5">
        <f>[4]Forecasts!$C$12</f>
        <v>1.2509999999999999</v>
      </c>
    </row>
    <row r="54" spans="1:13" x14ac:dyDescent="0.2">
      <c r="A54" s="3">
        <v>44164</v>
      </c>
      <c r="B54" s="4" t="e">
        <f>#REF!</f>
        <v>#REF!</v>
      </c>
      <c r="C54" s="4" t="e">
        <f>#REF!</f>
        <v>#REF!</v>
      </c>
      <c r="D54" s="4" t="e">
        <f>#REF!</f>
        <v>#REF!</v>
      </c>
      <c r="E54" s="4" t="e">
        <f>#REF!</f>
        <v>#REF!</v>
      </c>
      <c r="F54" s="4" t="e">
        <f>#REF!</f>
        <v>#REF!</v>
      </c>
      <c r="G54" s="4" t="e">
        <f>#REF!</f>
        <v>#REF!</v>
      </c>
      <c r="H54" s="4">
        <f>[1]Prices!$L$613+6</f>
        <v>43.79</v>
      </c>
      <c r="I54" s="4">
        <f>'[5]Malaysia Palm Complex'!$BJ$183</f>
        <v>2260.8636363636365</v>
      </c>
      <c r="J54" s="4">
        <f>'[3]RINs and HOBO Forecast'!$C$49</f>
        <v>97.181799999999996</v>
      </c>
      <c r="K54" s="4">
        <f>'[2]LCFS Credit Price Forecast'!$B$90</f>
        <v>198.72370000000001</v>
      </c>
      <c r="L54" s="5">
        <f>[4]Forecasts!$B$12</f>
        <v>4.0789470000000003</v>
      </c>
      <c r="M54" s="5">
        <f>[4]Forecasts!$C$12</f>
        <v>1.2509999999999999</v>
      </c>
    </row>
    <row r="55" spans="1:13" x14ac:dyDescent="0.2">
      <c r="A55" s="3">
        <v>44171</v>
      </c>
      <c r="B55" s="4" t="e">
        <f>#REF!</f>
        <v>#REF!</v>
      </c>
      <c r="C55" s="4" t="e">
        <f>#REF!</f>
        <v>#REF!</v>
      </c>
      <c r="D55" s="4" t="e">
        <f>#REF!</f>
        <v>#REF!</v>
      </c>
      <c r="E55" s="4" t="e">
        <f>#REF!</f>
        <v>#REF!</v>
      </c>
      <c r="F55" s="4" t="e">
        <f>#REF!</f>
        <v>#REF!</v>
      </c>
      <c r="G55" s="4" t="e">
        <f>#REF!</f>
        <v>#REF!</v>
      </c>
      <c r="H55" s="4">
        <f>[1]Prices!$L$614+6</f>
        <v>46.85</v>
      </c>
      <c r="I55" s="4">
        <f>'[5]Malaysia Palm Complex'!$BJ$184</f>
        <v>2615.8000000000002</v>
      </c>
      <c r="J55" s="4">
        <f>'[3]RINs and HOBO Forecast'!$C$49</f>
        <v>97.181799999999996</v>
      </c>
      <c r="K55" s="4">
        <f>'[2]LCFS Credit Price Forecast'!$B$91</f>
        <v>198.97730000000001</v>
      </c>
      <c r="L55" s="5">
        <f>[4]Forecasts!$B$13</f>
        <v>438.97730000000001</v>
      </c>
      <c r="M55" s="5">
        <f>[4]Forecasts!$C$13</f>
        <v>1.4568000000000001</v>
      </c>
    </row>
    <row r="56" spans="1:13" x14ac:dyDescent="0.2">
      <c r="A56" s="3">
        <v>44178</v>
      </c>
      <c r="B56" s="4" t="e">
        <f>#REF!</f>
        <v>#REF!</v>
      </c>
      <c r="C56" s="4" t="e">
        <f>#REF!</f>
        <v>#REF!</v>
      </c>
      <c r="D56" s="4" t="e">
        <f>#REF!</f>
        <v>#REF!</v>
      </c>
      <c r="E56" s="4" t="e">
        <f>#REF!</f>
        <v>#REF!</v>
      </c>
      <c r="F56" s="4" t="e">
        <f>#REF!</f>
        <v>#REF!</v>
      </c>
      <c r="G56" s="4" t="e">
        <f>#REF!</f>
        <v>#REF!</v>
      </c>
      <c r="H56" s="4">
        <f>[1]Prices!$L$614+6</f>
        <v>46.85</v>
      </c>
      <c r="I56" s="4">
        <f>'[5]Malaysia Palm Complex'!$BJ$184</f>
        <v>2615.8000000000002</v>
      </c>
      <c r="J56" s="4">
        <f>'[3]RINs and HOBO Forecast'!$C$49</f>
        <v>97.181799999999996</v>
      </c>
      <c r="K56" s="4">
        <f>'[2]LCFS Credit Price Forecast'!$B$91</f>
        <v>198.97730000000001</v>
      </c>
      <c r="L56" s="5">
        <f>[4]Forecasts!$B$13</f>
        <v>438.97730000000001</v>
      </c>
      <c r="M56" s="5">
        <f>[4]Forecasts!$C$13</f>
        <v>1.4568000000000001</v>
      </c>
    </row>
    <row r="57" spans="1:13" x14ac:dyDescent="0.2">
      <c r="A57" s="3">
        <v>44185</v>
      </c>
      <c r="B57" s="4" t="e">
        <f>#REF!</f>
        <v>#REF!</v>
      </c>
      <c r="C57" s="4" t="e">
        <f>#REF!</f>
        <v>#REF!</v>
      </c>
      <c r="D57" s="4" t="e">
        <f>#REF!</f>
        <v>#REF!</v>
      </c>
      <c r="E57" s="4" t="e">
        <f>#REF!</f>
        <v>#REF!</v>
      </c>
      <c r="F57" s="4" t="e">
        <f>#REF!</f>
        <v>#REF!</v>
      </c>
      <c r="G57" s="4" t="e">
        <f>#REF!</f>
        <v>#REF!</v>
      </c>
      <c r="H57" s="4">
        <f>[1]Prices!$L$614+6</f>
        <v>46.85</v>
      </c>
      <c r="I57" s="4">
        <f>'[5]Malaysia Palm Complex'!$BJ$184</f>
        <v>2615.8000000000002</v>
      </c>
      <c r="J57" s="4">
        <f>'[3]RINs and HOBO Forecast'!$C$49</f>
        <v>97.181799999999996</v>
      </c>
      <c r="K57" s="4">
        <f>'[2]LCFS Credit Price Forecast'!$B$91</f>
        <v>198.97730000000001</v>
      </c>
      <c r="L57" s="5">
        <f>[4]Forecasts!$B$13</f>
        <v>438.97730000000001</v>
      </c>
      <c r="M57" s="5">
        <f>[4]Forecasts!$C$13</f>
        <v>1.4568000000000001</v>
      </c>
    </row>
    <row r="58" spans="1:13" x14ac:dyDescent="0.2">
      <c r="A58" s="3">
        <v>44192</v>
      </c>
      <c r="B58" s="4" t="e">
        <f>#REF!</f>
        <v>#REF!</v>
      </c>
      <c r="C58" s="4" t="e">
        <f>#REF!</f>
        <v>#REF!</v>
      </c>
      <c r="D58" s="4" t="e">
        <f>#REF!</f>
        <v>#REF!</v>
      </c>
      <c r="E58" s="4" t="e">
        <f>#REF!</f>
        <v>#REF!</v>
      </c>
      <c r="F58" s="4" t="e">
        <f>#REF!</f>
        <v>#REF!</v>
      </c>
      <c r="G58" s="4" t="e">
        <f>#REF!</f>
        <v>#REF!</v>
      </c>
      <c r="H58" s="4">
        <f>[1]Prices!$L$614+6</f>
        <v>46.85</v>
      </c>
      <c r="I58" s="4">
        <f>'[5]Malaysia Palm Complex'!$BJ$184</f>
        <v>2615.8000000000002</v>
      </c>
      <c r="J58" s="4">
        <f>'[3]RINs and HOBO Forecast'!$C$49</f>
        <v>97.181799999999996</v>
      </c>
      <c r="K58" s="4">
        <f>'[2]LCFS Credit Price Forecast'!$B$91</f>
        <v>198.97730000000001</v>
      </c>
      <c r="L58" s="5">
        <f>[4]Forecasts!$B$13</f>
        <v>438.97730000000001</v>
      </c>
      <c r="M58" s="5">
        <f>[4]Forecasts!$C$13</f>
        <v>1.4568000000000001</v>
      </c>
    </row>
    <row r="59" spans="1:13" x14ac:dyDescent="0.2">
      <c r="A59" s="3">
        <v>44199</v>
      </c>
      <c r="B59" s="4" t="e">
        <f>#REF!</f>
        <v>#REF!</v>
      </c>
      <c r="C59" s="4" t="e">
        <f>#REF!</f>
        <v>#REF!</v>
      </c>
      <c r="D59" s="4" t="e">
        <f>#REF!</f>
        <v>#REF!</v>
      </c>
      <c r="E59" s="4" t="e">
        <f>#REF!</f>
        <v>#REF!</v>
      </c>
      <c r="F59" s="4" t="e">
        <f>#REF!</f>
        <v>#REF!</v>
      </c>
      <c r="G59" s="4" t="e">
        <f>#REF!</f>
        <v>#REF!</v>
      </c>
      <c r="H59" s="4">
        <f>[1]Prices!$L$615+6</f>
        <v>50.31</v>
      </c>
      <c r="I59" s="4">
        <f>'[5]Malaysia Palm Complex'!$BJ$185</f>
        <v>2896.5238095238096</v>
      </c>
      <c r="J59" s="4">
        <f>'[3]RINs and HOBO Forecast'!$C$50</f>
        <v>102.61839999999999</v>
      </c>
      <c r="K59" s="4">
        <f>'[2]LCFS Credit Price Forecast'!$B$92</f>
        <v>199.8355</v>
      </c>
      <c r="L59" s="5">
        <f>[4]Forecasts!$B$14</f>
        <v>463.47370000000001</v>
      </c>
      <c r="M59" s="5">
        <f>[4]Forecasts!$C$14</f>
        <v>1.5874999999999999</v>
      </c>
    </row>
    <row r="60" spans="1:13" x14ac:dyDescent="0.2">
      <c r="A60" s="3">
        <v>44206</v>
      </c>
      <c r="B60" s="4" t="e">
        <f>#REF!</f>
        <v>#REF!</v>
      </c>
      <c r="C60" s="4" t="e">
        <f>#REF!</f>
        <v>#REF!</v>
      </c>
      <c r="D60" s="4" t="e">
        <f>#REF!</f>
        <v>#REF!</v>
      </c>
      <c r="E60" s="4" t="e">
        <f>#REF!</f>
        <v>#REF!</v>
      </c>
      <c r="F60" s="4" t="e">
        <f>#REF!</f>
        <v>#REF!</v>
      </c>
      <c r="G60" s="4" t="e">
        <f>#REF!</f>
        <v>#REF!</v>
      </c>
      <c r="H60" s="4">
        <f>[1]Prices!$L$615+6</f>
        <v>50.31</v>
      </c>
      <c r="I60" s="4">
        <f>'[5]Malaysia Palm Complex'!$BJ$185</f>
        <v>2896.5238095238096</v>
      </c>
      <c r="J60" s="4">
        <f>'[3]RINs and HOBO Forecast'!$C$50</f>
        <v>102.61839999999999</v>
      </c>
      <c r="K60" s="4">
        <f>'[2]LCFS Credit Price Forecast'!$B$92</f>
        <v>199.8355</v>
      </c>
      <c r="L60" s="5">
        <f>[4]Forecasts!$B$14</f>
        <v>463.47370000000001</v>
      </c>
      <c r="M60" s="5">
        <f>[4]Forecasts!$C$14</f>
        <v>1.5874999999999999</v>
      </c>
    </row>
    <row r="61" spans="1:13" x14ac:dyDescent="0.2">
      <c r="A61" s="3">
        <v>44213</v>
      </c>
      <c r="B61" s="4" t="e">
        <f>#REF!</f>
        <v>#REF!</v>
      </c>
      <c r="C61" s="4" t="e">
        <f>#REF!</f>
        <v>#REF!</v>
      </c>
      <c r="D61" s="4" t="e">
        <f>#REF!</f>
        <v>#REF!</v>
      </c>
      <c r="E61" s="4" t="e">
        <f>#REF!</f>
        <v>#REF!</v>
      </c>
      <c r="F61" s="4" t="e">
        <f>#REF!</f>
        <v>#REF!</v>
      </c>
      <c r="G61" s="4" t="e">
        <f>#REF!</f>
        <v>#REF!</v>
      </c>
      <c r="H61" s="4">
        <f>[1]Prices!$L$615+6</f>
        <v>50.31</v>
      </c>
      <c r="I61" s="4">
        <f>'[5]Malaysia Palm Complex'!$BJ$185</f>
        <v>2896.5238095238096</v>
      </c>
      <c r="J61" s="4">
        <f>'[3]RINs and HOBO Forecast'!$C$50</f>
        <v>102.61839999999999</v>
      </c>
      <c r="K61" s="4">
        <f>'[2]LCFS Credit Price Forecast'!$B$92</f>
        <v>199.8355</v>
      </c>
      <c r="L61" s="5">
        <f>[4]Forecasts!$B$14</f>
        <v>463.47370000000001</v>
      </c>
      <c r="M61" s="5">
        <f>[4]Forecasts!$C$14</f>
        <v>1.5874999999999999</v>
      </c>
    </row>
    <row r="62" spans="1:13" x14ac:dyDescent="0.2">
      <c r="A62" s="3">
        <v>44220</v>
      </c>
      <c r="B62" s="4" t="e">
        <f>#REF!</f>
        <v>#REF!</v>
      </c>
      <c r="C62" s="4" t="e">
        <f>#REF!</f>
        <v>#REF!</v>
      </c>
      <c r="D62" s="4" t="e">
        <f>#REF!</f>
        <v>#REF!</v>
      </c>
      <c r="E62" s="4" t="e">
        <f>#REF!</f>
        <v>#REF!</v>
      </c>
      <c r="F62" s="4" t="e">
        <f>#REF!</f>
        <v>#REF!</v>
      </c>
      <c r="G62" s="4" t="e">
        <f>#REF!</f>
        <v>#REF!</v>
      </c>
      <c r="H62" s="4">
        <f>[1]Prices!$L$615+6</f>
        <v>50.31</v>
      </c>
      <c r="I62" s="4">
        <f>'[5]Malaysia Palm Complex'!$BJ$185</f>
        <v>2896.5238095238096</v>
      </c>
      <c r="J62" s="4">
        <f>'[3]RINs and HOBO Forecast'!$C$50</f>
        <v>102.61839999999999</v>
      </c>
      <c r="K62" s="4">
        <f>'[2]LCFS Credit Price Forecast'!$B$92</f>
        <v>199.8355</v>
      </c>
      <c r="L62" s="5">
        <f>[4]Forecasts!$B$14</f>
        <v>463.47370000000001</v>
      </c>
      <c r="M62" s="5">
        <f>[4]Forecasts!$C$14</f>
        <v>1.5874999999999999</v>
      </c>
    </row>
    <row r="63" spans="1:13" x14ac:dyDescent="0.2">
      <c r="A63" s="3">
        <v>44227</v>
      </c>
      <c r="B63" s="4" t="e">
        <f>#REF!</f>
        <v>#REF!</v>
      </c>
      <c r="C63" s="4" t="e">
        <f>#REF!</f>
        <v>#REF!</v>
      </c>
      <c r="D63" s="4" t="e">
        <f>#REF!</f>
        <v>#REF!</v>
      </c>
      <c r="E63" s="4" t="e">
        <f>#REF!</f>
        <v>#REF!</v>
      </c>
      <c r="F63" s="4" t="e">
        <f>#REF!</f>
        <v>#REF!</v>
      </c>
      <c r="G63" s="4" t="e">
        <f>#REF!</f>
        <v>#REF!</v>
      </c>
      <c r="H63" s="4">
        <f>[1]Prices!$L$615+6</f>
        <v>50.31</v>
      </c>
      <c r="I63" s="4">
        <f>'[5]Malaysia Palm Complex'!$BJ$185</f>
        <v>2896.5238095238096</v>
      </c>
      <c r="J63" s="4">
        <f>'[3]RINs and HOBO Forecast'!$C$50</f>
        <v>102.61839999999999</v>
      </c>
      <c r="K63" s="4">
        <f>'[2]LCFS Credit Price Forecast'!$B$92</f>
        <v>199.8355</v>
      </c>
      <c r="L63" s="5">
        <f>[4]Forecasts!$B$14</f>
        <v>463.47370000000001</v>
      </c>
      <c r="M63" s="5">
        <f>[4]Forecasts!$C$14</f>
        <v>1.5874999999999999</v>
      </c>
    </row>
    <row r="64" spans="1:13" x14ac:dyDescent="0.2">
      <c r="A64" s="3">
        <v>44234</v>
      </c>
      <c r="B64" s="4" t="e">
        <f>#REF!</f>
        <v>#REF!</v>
      </c>
      <c r="C64" s="4" t="e">
        <f>#REF!</f>
        <v>#REF!</v>
      </c>
      <c r="D64" s="4" t="e">
        <f>#REF!</f>
        <v>#REF!</v>
      </c>
      <c r="E64" s="4" t="e">
        <f>#REF!</f>
        <v>#REF!</v>
      </c>
      <c r="F64" s="4" t="e">
        <f>#REF!</f>
        <v>#REF!</v>
      </c>
      <c r="G64" s="4" t="e">
        <f>#REF!</f>
        <v>#REF!</v>
      </c>
      <c r="H64" s="4">
        <f>[1]Prices!$L$616+6</f>
        <v>54.37</v>
      </c>
      <c r="I64" s="4">
        <f>'[5]Malaysia Palm Complex'!$BJ$186</f>
        <v>2930.1</v>
      </c>
      <c r="J64" s="4">
        <f>'[3]RINs and HOBO Forecast'!$C$51</f>
        <v>109.8947</v>
      </c>
      <c r="K64" s="4">
        <f>'[2]LCFS Credit Price Forecast'!$B$93</f>
        <v>192.9605</v>
      </c>
      <c r="L64" s="5">
        <f>[4]Forecasts!$B$15</f>
        <v>497.57889999999998</v>
      </c>
      <c r="M64" s="5">
        <f>[4]Forecasts!$C$15</f>
        <v>1.7950999999999999</v>
      </c>
    </row>
    <row r="65" spans="1:13" x14ac:dyDescent="0.2">
      <c r="A65" s="3">
        <v>44241</v>
      </c>
      <c r="B65" s="4" t="e">
        <f>#REF!</f>
        <v>#REF!</v>
      </c>
      <c r="C65" s="4" t="e">
        <f>#REF!</f>
        <v>#REF!</v>
      </c>
      <c r="D65" s="4" t="e">
        <f>#REF!</f>
        <v>#REF!</v>
      </c>
      <c r="E65" s="4" t="e">
        <f>#REF!</f>
        <v>#REF!</v>
      </c>
      <c r="F65" s="4" t="e">
        <f>#REF!</f>
        <v>#REF!</v>
      </c>
      <c r="G65" s="4" t="e">
        <f>#REF!</f>
        <v>#REF!</v>
      </c>
      <c r="H65" s="4">
        <f>[1]Prices!$L$616+6</f>
        <v>54.37</v>
      </c>
      <c r="I65" s="4">
        <f>'[5]Malaysia Palm Complex'!$BJ$186</f>
        <v>2930.1</v>
      </c>
      <c r="J65" s="4">
        <f>'[3]RINs and HOBO Forecast'!$C$51</f>
        <v>109.8947</v>
      </c>
      <c r="K65" s="4">
        <f>'[2]LCFS Credit Price Forecast'!$B$93</f>
        <v>192.9605</v>
      </c>
      <c r="L65" s="5">
        <f>[4]Forecasts!$B$15</f>
        <v>497.57889999999998</v>
      </c>
      <c r="M65" s="5">
        <f>[4]Forecasts!$C$15</f>
        <v>1.7950999999999999</v>
      </c>
    </row>
    <row r="66" spans="1:13" x14ac:dyDescent="0.2">
      <c r="A66" s="3">
        <v>44248</v>
      </c>
      <c r="B66" s="4" t="e">
        <f>#REF!</f>
        <v>#REF!</v>
      </c>
      <c r="C66" s="4" t="e">
        <f>#REF!</f>
        <v>#REF!</v>
      </c>
      <c r="D66" s="4" t="e">
        <f>#REF!</f>
        <v>#REF!</v>
      </c>
      <c r="E66" s="4" t="e">
        <f>#REF!</f>
        <v>#REF!</v>
      </c>
      <c r="F66" s="4" t="e">
        <f>#REF!</f>
        <v>#REF!</v>
      </c>
      <c r="G66" s="4" t="e">
        <f>#REF!</f>
        <v>#REF!</v>
      </c>
      <c r="H66" s="4">
        <f>[1]Prices!$L$616+6</f>
        <v>54.37</v>
      </c>
      <c r="I66" s="4">
        <f>'[5]Malaysia Palm Complex'!$BJ$186</f>
        <v>2930.1</v>
      </c>
      <c r="J66" s="4">
        <f>'[3]RINs and HOBO Forecast'!$C$51</f>
        <v>109.8947</v>
      </c>
      <c r="K66" s="4">
        <f>'[2]LCFS Credit Price Forecast'!$B$93</f>
        <v>192.9605</v>
      </c>
      <c r="L66" s="5">
        <f>[4]Forecasts!$B$15</f>
        <v>497.57889999999998</v>
      </c>
      <c r="M66" s="5">
        <f>[4]Forecasts!$C$15</f>
        <v>1.7950999999999999</v>
      </c>
    </row>
    <row r="67" spans="1:13" x14ac:dyDescent="0.2">
      <c r="A67" s="3">
        <v>44255</v>
      </c>
      <c r="B67" s="4" t="e">
        <f>#REF!</f>
        <v>#REF!</v>
      </c>
      <c r="C67" s="4" t="e">
        <f>#REF!</f>
        <v>#REF!</v>
      </c>
      <c r="D67" s="4" t="e">
        <f>#REF!</f>
        <v>#REF!</v>
      </c>
      <c r="E67" s="4" t="e">
        <f>#REF!</f>
        <v>#REF!</v>
      </c>
      <c r="F67" s="4" t="e">
        <f>#REF!</f>
        <v>#REF!</v>
      </c>
      <c r="G67" s="4" t="e">
        <f>#REF!</f>
        <v>#REF!</v>
      </c>
      <c r="H67" s="4">
        <f>[1]Prices!$L$616+6</f>
        <v>54.37</v>
      </c>
      <c r="I67" s="4">
        <f>'[5]Malaysia Palm Complex'!$BJ$186</f>
        <v>2930.1</v>
      </c>
      <c r="J67" s="4">
        <f>'[3]RINs and HOBO Forecast'!$C$51</f>
        <v>109.8947</v>
      </c>
      <c r="K67" s="4">
        <f>'[2]LCFS Credit Price Forecast'!$B$93</f>
        <v>192.9605</v>
      </c>
      <c r="L67" s="5">
        <f>[4]Forecasts!$B$15</f>
        <v>497.57889999999998</v>
      </c>
      <c r="M67" s="5">
        <f>[4]Forecasts!$C$15</f>
        <v>1.7950999999999999</v>
      </c>
    </row>
    <row r="68" spans="1:13" x14ac:dyDescent="0.2">
      <c r="A68" s="3">
        <v>44262</v>
      </c>
      <c r="B68" s="4" t="e">
        <f>#REF!</f>
        <v>#REF!</v>
      </c>
      <c r="C68" s="4" t="e">
        <f>#REF!</f>
        <v>#REF!</v>
      </c>
      <c r="D68" s="4" t="e">
        <f>#REF!</f>
        <v>#REF!</v>
      </c>
      <c r="E68" s="4" t="e">
        <f>#REF!</f>
        <v>#REF!</v>
      </c>
      <c r="F68" s="4" t="e">
        <f>#REF!</f>
        <v>#REF!</v>
      </c>
      <c r="G68" s="4" t="e">
        <f>#REF!</f>
        <v>#REF!</v>
      </c>
      <c r="H68" s="4">
        <f>[1]Prices!$L$617+6</f>
        <v>62</v>
      </c>
      <c r="I68" s="4">
        <f>'[5]Malaysia Palm Complex'!$BJ$187</f>
        <v>2620.8421052631579</v>
      </c>
      <c r="J68" s="4">
        <f>'[3]RINs and HOBO Forecast'!$C$52</f>
        <v>138.40219999999999</v>
      </c>
      <c r="K68" s="4">
        <f>'[2]LCFS Credit Price Forecast'!$B$94</f>
        <v>192.99459999999999</v>
      </c>
      <c r="L68" s="5">
        <f>[4]Forecasts!B$16</f>
        <v>541.52170000000001</v>
      </c>
      <c r="M68" s="5">
        <f>[4]Forecasts!C$16</f>
        <v>1.8698999999999999</v>
      </c>
    </row>
    <row r="69" spans="1:13" x14ac:dyDescent="0.2">
      <c r="A69" s="3">
        <v>44269</v>
      </c>
      <c r="B69" s="4" t="e">
        <f>#REF!</f>
        <v>#REF!</v>
      </c>
      <c r="C69" s="4" t="e">
        <f>#REF!</f>
        <v>#REF!</v>
      </c>
      <c r="D69" s="4" t="e">
        <f>#REF!</f>
        <v>#REF!</v>
      </c>
      <c r="E69" s="4" t="e">
        <f>#REF!</f>
        <v>#REF!</v>
      </c>
      <c r="F69" s="4" t="e">
        <f>#REF!</f>
        <v>#REF!</v>
      </c>
      <c r="G69" s="4" t="e">
        <f>#REF!</f>
        <v>#REF!</v>
      </c>
      <c r="H69" s="4">
        <f>[1]Prices!$L$617+6</f>
        <v>62</v>
      </c>
      <c r="I69" s="4">
        <f>'[5]Malaysia Palm Complex'!$BJ$187</f>
        <v>2620.8421052631579</v>
      </c>
      <c r="J69" s="4">
        <f>'[3]RINs and HOBO Forecast'!$C$52</f>
        <v>138.40219999999999</v>
      </c>
      <c r="K69" s="4">
        <f>'[2]LCFS Credit Price Forecast'!$B$94</f>
        <v>192.99459999999999</v>
      </c>
      <c r="L69" s="5">
        <f>[4]Forecasts!B$16</f>
        <v>541.52170000000001</v>
      </c>
      <c r="M69" s="5">
        <f>[4]Forecasts!C$16</f>
        <v>1.8698999999999999</v>
      </c>
    </row>
    <row r="70" spans="1:13" x14ac:dyDescent="0.2">
      <c r="A70" s="3">
        <v>44276</v>
      </c>
      <c r="B70" s="4" t="e">
        <f>#REF!</f>
        <v>#REF!</v>
      </c>
      <c r="C70" s="4" t="e">
        <f>#REF!</f>
        <v>#REF!</v>
      </c>
      <c r="D70" s="4" t="e">
        <f>#REF!</f>
        <v>#REF!</v>
      </c>
      <c r="E70" s="4" t="e">
        <f>#REF!</f>
        <v>#REF!</v>
      </c>
      <c r="F70" s="4" t="e">
        <f>#REF!</f>
        <v>#REF!</v>
      </c>
      <c r="G70" s="4" t="e">
        <f>#REF!</f>
        <v>#REF!</v>
      </c>
      <c r="H70" s="4">
        <f>[1]Prices!$L$617+6</f>
        <v>62</v>
      </c>
      <c r="I70" s="4">
        <f>'[5]Malaysia Palm Complex'!$BJ$187</f>
        <v>2620.8421052631579</v>
      </c>
      <c r="J70" s="4">
        <f>'[3]RINs and HOBO Forecast'!$C$52</f>
        <v>138.40219999999999</v>
      </c>
      <c r="K70" s="4">
        <f>'[2]LCFS Credit Price Forecast'!$B$94</f>
        <v>192.99459999999999</v>
      </c>
      <c r="L70" s="5">
        <f>[4]Forecasts!B$16</f>
        <v>541.52170000000001</v>
      </c>
      <c r="M70" s="5">
        <f>[4]Forecasts!C$16</f>
        <v>1.8698999999999999</v>
      </c>
    </row>
    <row r="71" spans="1:13" x14ac:dyDescent="0.2">
      <c r="A71" s="3">
        <v>44283</v>
      </c>
      <c r="B71" s="4" t="e">
        <f>#REF!</f>
        <v>#REF!</v>
      </c>
      <c r="C71" s="4" t="e">
        <f>#REF!</f>
        <v>#REF!</v>
      </c>
      <c r="D71" s="4" t="e">
        <f>#REF!</f>
        <v>#REF!</v>
      </c>
      <c r="E71" s="4" t="e">
        <f>#REF!</f>
        <v>#REF!</v>
      </c>
      <c r="F71" s="4" t="e">
        <f>#REF!</f>
        <v>#REF!</v>
      </c>
      <c r="G71" s="4" t="e">
        <f>#REF!</f>
        <v>#REF!</v>
      </c>
      <c r="H71" s="4">
        <f>[1]Prices!$L$617+6</f>
        <v>62</v>
      </c>
      <c r="I71" s="4">
        <f>'[5]Malaysia Palm Complex'!$BJ$187</f>
        <v>2620.8421052631579</v>
      </c>
      <c r="J71" s="4">
        <f>'[3]RINs and HOBO Forecast'!$C$52</f>
        <v>138.40219999999999</v>
      </c>
      <c r="K71" s="4">
        <f>'[2]LCFS Credit Price Forecast'!$B$94</f>
        <v>192.99459999999999</v>
      </c>
      <c r="L71" s="5">
        <f>[4]Forecasts!B$16</f>
        <v>541.52170000000001</v>
      </c>
      <c r="M71" s="5">
        <f>[4]Forecasts!C$16</f>
        <v>1.8698999999999999</v>
      </c>
    </row>
    <row r="72" spans="1:13" x14ac:dyDescent="0.2">
      <c r="A72" s="3">
        <v>44290</v>
      </c>
      <c r="B72" s="4" t="e">
        <f>#REF!</f>
        <v>#REF!</v>
      </c>
      <c r="C72" s="4" t="e">
        <f>#REF!</f>
        <v>#REF!</v>
      </c>
      <c r="D72" s="4" t="e">
        <f>#REF!</f>
        <v>#REF!</v>
      </c>
      <c r="E72" s="4" t="e">
        <f>#REF!</f>
        <v>#REF!</v>
      </c>
      <c r="F72" s="4" t="e">
        <f>#REF!</f>
        <v>#REF!</v>
      </c>
      <c r="G72" s="4" t="e">
        <f>#REF!</f>
        <v>#REF!</v>
      </c>
      <c r="H72" s="4">
        <f>[1]Prices!$L$618</f>
        <v>62.88</v>
      </c>
      <c r="I72" s="4">
        <f>'[5]Malaysia Palm Complex'!$BJ$188</f>
        <v>2343.5454545454545</v>
      </c>
      <c r="J72" s="4">
        <f>'[3]RINs and HOBO Forecast'!$C$53</f>
        <v>145.82140000000001</v>
      </c>
      <c r="K72" s="4">
        <v>185.75</v>
      </c>
      <c r="L72" s="5">
        <f>[4]Forecasts!B$17</f>
        <v>574.28570000000002</v>
      </c>
      <c r="M72" s="5">
        <f>[4]Forecasts!C$17</f>
        <v>1.8716999999999999</v>
      </c>
    </row>
    <row r="73" spans="1:13" x14ac:dyDescent="0.2">
      <c r="A73" s="3">
        <v>44297</v>
      </c>
      <c r="B73" s="4" t="e">
        <f>#REF!</f>
        <v>#REF!</v>
      </c>
      <c r="C73" s="4" t="e">
        <f>#REF!</f>
        <v>#REF!</v>
      </c>
      <c r="D73" s="4" t="e">
        <f>#REF!</f>
        <v>#REF!</v>
      </c>
      <c r="E73" s="4" t="e">
        <f>#REF!</f>
        <v>#REF!</v>
      </c>
      <c r="F73" s="4" t="e">
        <f>#REF!</f>
        <v>#REF!</v>
      </c>
      <c r="G73" s="4" t="e">
        <f>#REF!</f>
        <v>#REF!</v>
      </c>
      <c r="H73" s="4">
        <f>[1]Prices!$L$618</f>
        <v>62.88</v>
      </c>
      <c r="I73" s="4">
        <f>'[5]Malaysia Palm Complex'!$BJ$188</f>
        <v>2343.5454545454545</v>
      </c>
      <c r="J73" s="4">
        <f>'[3]RINs and HOBO Forecast'!$C$53</f>
        <v>145.82140000000001</v>
      </c>
      <c r="K73" s="4">
        <v>178.45</v>
      </c>
      <c r="L73" s="5">
        <f>[4]Forecasts!B$17</f>
        <v>574.28570000000002</v>
      </c>
      <c r="M73" s="5">
        <f>[4]Forecasts!C$17</f>
        <v>1.8716999999999999</v>
      </c>
    </row>
    <row r="74" spans="1:13" x14ac:dyDescent="0.2">
      <c r="A74" s="3">
        <v>44304</v>
      </c>
      <c r="B74" s="4" t="e">
        <f>#REF!</f>
        <v>#REF!</v>
      </c>
      <c r="C74" s="4" t="e">
        <f>#REF!</f>
        <v>#REF!</v>
      </c>
      <c r="D74" s="4" t="e">
        <f>#REF!</f>
        <v>#REF!</v>
      </c>
      <c r="E74" s="4" t="e">
        <f>#REF!</f>
        <v>#REF!</v>
      </c>
      <c r="F74" s="4" t="e">
        <f>#REF!</f>
        <v>#REF!</v>
      </c>
      <c r="G74" s="4" t="e">
        <f>#REF!</f>
        <v>#REF!</v>
      </c>
      <c r="H74" s="4">
        <f>[1]Prices!$L$618</f>
        <v>62.88</v>
      </c>
      <c r="I74" s="4">
        <f>'[5]Malaysia Palm Complex'!$BJ$188</f>
        <v>2343.5454545454545</v>
      </c>
      <c r="J74" s="4">
        <f>'[3]RINs and HOBO Forecast'!$C$53</f>
        <v>145.82140000000001</v>
      </c>
      <c r="K74" s="4">
        <v>180.55</v>
      </c>
      <c r="L74" s="5">
        <f>[4]Forecasts!B$17</f>
        <v>574.28570000000002</v>
      </c>
      <c r="M74" s="5">
        <f>[4]Forecasts!C$17</f>
        <v>1.8716999999999999</v>
      </c>
    </row>
    <row r="75" spans="1:13" x14ac:dyDescent="0.2">
      <c r="A75" s="3">
        <v>44311</v>
      </c>
      <c r="B75" s="4" t="e">
        <f>#REF!</f>
        <v>#REF!</v>
      </c>
      <c r="C75" s="4" t="e">
        <f>#REF!</f>
        <v>#REF!</v>
      </c>
      <c r="D75" s="4" t="e">
        <f>#REF!</f>
        <v>#REF!</v>
      </c>
      <c r="E75" s="4" t="e">
        <f>#REF!</f>
        <v>#REF!</v>
      </c>
      <c r="F75" s="4" t="e">
        <f>#REF!</f>
        <v>#REF!</v>
      </c>
      <c r="G75" s="4" t="e">
        <f>#REF!</f>
        <v>#REF!</v>
      </c>
      <c r="H75" s="4">
        <f>[1]Prices!$L$618</f>
        <v>62.88</v>
      </c>
      <c r="I75" s="4">
        <f>'[5]Malaysia Palm Complex'!$BJ$188</f>
        <v>2343.5454545454545</v>
      </c>
      <c r="J75" s="4">
        <f>'[3]RINs and HOBO Forecast'!$C$53</f>
        <v>145.82140000000001</v>
      </c>
      <c r="K75" s="4">
        <v>175.6</v>
      </c>
      <c r="L75" s="5">
        <f>[4]Forecasts!B$17</f>
        <v>574.28570000000002</v>
      </c>
      <c r="M75" s="5">
        <f>[4]Forecasts!C$17</f>
        <v>1.8716999999999999</v>
      </c>
    </row>
    <row r="76" spans="1:13" x14ac:dyDescent="0.2">
      <c r="A76" s="3">
        <v>44318</v>
      </c>
      <c r="B76" s="4" t="e">
        <f>#REF!</f>
        <v>#REF!</v>
      </c>
      <c r="C76" s="4" t="e">
        <f>#REF!</f>
        <v>#REF!</v>
      </c>
      <c r="D76" s="4" t="e">
        <f>#REF!</f>
        <v>#REF!</v>
      </c>
      <c r="E76" s="4" t="e">
        <f>#REF!</f>
        <v>#REF!</v>
      </c>
      <c r="F76" s="4" t="e">
        <f>#REF!</f>
        <v>#REF!</v>
      </c>
      <c r="G76" s="4" t="e">
        <f>#REF!</f>
        <v>#REF!</v>
      </c>
      <c r="H76" s="4">
        <f>[1]Prices!$L$619+14</f>
        <v>88.75</v>
      </c>
      <c r="I76" s="4">
        <f>'[5]Malaysia Palm Complex'!$BJ$189</f>
        <v>2192</v>
      </c>
      <c r="J76" s="4">
        <f>'[3]RINs and HOBO Forecast'!$B$54</f>
        <v>179.98750000000001</v>
      </c>
      <c r="K76" s="4">
        <v>175.55</v>
      </c>
      <c r="L76" s="5">
        <f>[4]Forecasts!B$18</f>
        <v>606</v>
      </c>
      <c r="M76" s="5">
        <f>[4]Forecasts!C$18</f>
        <v>2.0308999999999999</v>
      </c>
    </row>
    <row r="77" spans="1:13" x14ac:dyDescent="0.2">
      <c r="A77" s="3">
        <v>44325</v>
      </c>
      <c r="B77" s="4" t="e">
        <f>#REF!</f>
        <v>#REF!</v>
      </c>
      <c r="C77" s="4" t="e">
        <f>#REF!</f>
        <v>#REF!</v>
      </c>
      <c r="D77" s="4" t="e">
        <f>#REF!</f>
        <v>#REF!</v>
      </c>
      <c r="E77" s="4" t="e">
        <f>#REF!</f>
        <v>#REF!</v>
      </c>
      <c r="F77" s="4" t="e">
        <f>#REF!</f>
        <v>#REF!</v>
      </c>
      <c r="G77" s="4" t="e">
        <f>#REF!</f>
        <v>#REF!</v>
      </c>
      <c r="H77" s="4">
        <f>[1]Prices!$L$619+14</f>
        <v>88.75</v>
      </c>
      <c r="I77" s="4">
        <f>'[5]Malaysia Palm Complex'!$BJ$189</f>
        <v>2192</v>
      </c>
      <c r="J77" s="4">
        <f>'[3]RINs and HOBO Forecast'!$B$54</f>
        <v>179.98750000000001</v>
      </c>
      <c r="K77" s="4">
        <v>184.05</v>
      </c>
      <c r="L77" s="5">
        <f>[4]Forecasts!$B$18</f>
        <v>606</v>
      </c>
      <c r="M77" s="5">
        <f>[4]Forecasts!$C$18</f>
        <v>2.0308999999999999</v>
      </c>
    </row>
    <row r="78" spans="1:13" x14ac:dyDescent="0.2">
      <c r="A78" s="3">
        <v>44332</v>
      </c>
      <c r="B78" s="4" t="e">
        <f>#REF!</f>
        <v>#REF!</v>
      </c>
      <c r="C78" s="4" t="e">
        <f>#REF!</f>
        <v>#REF!</v>
      </c>
      <c r="D78" s="4" t="e">
        <f>#REF!</f>
        <v>#REF!</v>
      </c>
      <c r="E78" s="4" t="e">
        <f>#REF!</f>
        <v>#REF!</v>
      </c>
      <c r="F78" s="4" t="e">
        <f>#REF!</f>
        <v>#REF!</v>
      </c>
      <c r="G78" s="4" t="e">
        <f>#REF!</f>
        <v>#REF!</v>
      </c>
      <c r="H78" s="4">
        <f>[1]Prices!$L$619+14</f>
        <v>88.75</v>
      </c>
      <c r="I78" s="4">
        <f>'[5]Malaysia Palm Complex'!$BJ$189</f>
        <v>2192</v>
      </c>
      <c r="J78" s="4">
        <f>'[3]RINs and HOBO Forecast'!$B$54</f>
        <v>179.98750000000001</v>
      </c>
      <c r="K78" s="4">
        <v>189</v>
      </c>
      <c r="L78" s="5">
        <f>[4]Forecasts!$B$18</f>
        <v>606</v>
      </c>
      <c r="M78" s="5">
        <f>[4]Forecasts!$C$18</f>
        <v>2.0308999999999999</v>
      </c>
    </row>
    <row r="79" spans="1:13" x14ac:dyDescent="0.2">
      <c r="A79" s="3">
        <v>44339</v>
      </c>
      <c r="B79" s="4" t="e">
        <f>#REF!</f>
        <v>#REF!</v>
      </c>
      <c r="C79" s="4" t="e">
        <f>#REF!</f>
        <v>#REF!</v>
      </c>
      <c r="D79" s="4" t="e">
        <f>#REF!</f>
        <v>#REF!</v>
      </c>
      <c r="E79" s="4" t="e">
        <f>#REF!</f>
        <v>#REF!</v>
      </c>
      <c r="F79" s="4" t="e">
        <f>#REF!</f>
        <v>#REF!</v>
      </c>
      <c r="G79" s="4" t="e">
        <f>#REF!</f>
        <v>#REF!</v>
      </c>
      <c r="H79" s="4">
        <f>[1]Prices!$L$619+14</f>
        <v>88.75</v>
      </c>
      <c r="I79" s="4">
        <f>'[5]Malaysia Palm Complex'!$BJ$189</f>
        <v>2192</v>
      </c>
      <c r="J79" s="4">
        <f>'[3]RINs and HOBO Forecast'!$B$54</f>
        <v>179.98750000000001</v>
      </c>
      <c r="K79" s="4">
        <f>'[2]LCFS Credit Price Forecast'!$B$96</f>
        <v>187.78749999999999</v>
      </c>
      <c r="L79" s="5">
        <f>[4]Forecasts!$B$18</f>
        <v>606</v>
      </c>
      <c r="M79" s="5">
        <f>[4]Forecasts!$C$18</f>
        <v>2.0308999999999999</v>
      </c>
    </row>
    <row r="80" spans="1:13" x14ac:dyDescent="0.2">
      <c r="A80" s="3">
        <v>44346</v>
      </c>
      <c r="B80" s="4" t="e">
        <f>#REF!</f>
        <v>#REF!</v>
      </c>
      <c r="C80" s="4" t="e">
        <f>#REF!</f>
        <v>#REF!</v>
      </c>
      <c r="D80" s="4" t="e">
        <f>#REF!</f>
        <v>#REF!</v>
      </c>
      <c r="E80" s="4" t="e">
        <f>#REF!</f>
        <v>#REF!</v>
      </c>
      <c r="F80" s="4" t="e">
        <f>#REF!</f>
        <v>#REF!</v>
      </c>
      <c r="G80" s="4" t="e">
        <f>#REF!</f>
        <v>#REF!</v>
      </c>
      <c r="H80" s="4">
        <f>[1]Prices!$L$619+14</f>
        <v>88.75</v>
      </c>
      <c r="I80" s="4">
        <f>'[5]Malaysia Palm Complex'!$BJ$189</f>
        <v>2192</v>
      </c>
      <c r="J80" s="4">
        <f>'[3]RINs and HOBO Forecast'!$B$54</f>
        <v>179.98750000000001</v>
      </c>
      <c r="K80" s="4">
        <f>'[2]LCFS Credit Price Forecast'!$B$96</f>
        <v>187.78749999999999</v>
      </c>
      <c r="L80" s="5">
        <f>[4]Forecasts!$B$18</f>
        <v>606</v>
      </c>
      <c r="M80" s="5">
        <f>[4]Forecasts!$C$18</f>
        <v>2.0308999999999999</v>
      </c>
    </row>
    <row r="81" spans="1:13" x14ac:dyDescent="0.2">
      <c r="A81" s="3">
        <v>44353</v>
      </c>
      <c r="B81" s="4" t="e">
        <f>#REF!</f>
        <v>#REF!</v>
      </c>
      <c r="C81" s="4" t="e">
        <f>#REF!</f>
        <v>#REF!</v>
      </c>
      <c r="D81" s="4" t="e">
        <f>#REF!</f>
        <v>#REF!</v>
      </c>
      <c r="E81" s="4" t="e">
        <f>#REF!</f>
        <v>#REF!</v>
      </c>
      <c r="F81" s="4" t="e">
        <f>#REF!</f>
        <v>#REF!</v>
      </c>
      <c r="G81" s="4" t="e">
        <f>#REF!</f>
        <v>#REF!</v>
      </c>
      <c r="H81" s="4">
        <f>[1]Prices!$L$620+14</f>
        <v>88.75</v>
      </c>
      <c r="I81" s="4">
        <f>'[5]Malaysia Palm Complex'!$BJ$190</f>
        <v>2111.6875</v>
      </c>
      <c r="J81" s="4">
        <f>'[3]RINs and HOBO Forecast'!$C$56</f>
        <v>165.6071</v>
      </c>
      <c r="K81" s="4">
        <f>'[2]LCFS Credit Price Forecast'!$B$97</f>
        <v>189.01140000000001</v>
      </c>
      <c r="L81" s="5">
        <f>[4]Forecasts!$B$19</f>
        <v>642.27269999999999</v>
      </c>
      <c r="M81" s="5">
        <f>[4]Forecasts!$C$19</f>
        <v>2.1303999999999998</v>
      </c>
    </row>
    <row r="82" spans="1:13" x14ac:dyDescent="0.2">
      <c r="A82" s="3">
        <v>44360</v>
      </c>
      <c r="B82" s="4" t="e">
        <f>#REF!</f>
        <v>#REF!</v>
      </c>
      <c r="C82" s="4" t="e">
        <f>#REF!</f>
        <v>#REF!</v>
      </c>
      <c r="D82" s="4" t="e">
        <f>#REF!</f>
        <v>#REF!</v>
      </c>
      <c r="E82" s="4" t="e">
        <f>#REF!</f>
        <v>#REF!</v>
      </c>
      <c r="F82" s="4" t="e">
        <f>#REF!</f>
        <v>#REF!</v>
      </c>
      <c r="G82" s="4" t="e">
        <f>#REF!</f>
        <v>#REF!</v>
      </c>
      <c r="H82" s="4">
        <f>[1]Prices!$L$620+14</f>
        <v>88.75</v>
      </c>
      <c r="I82" s="4">
        <f>'[5]Malaysia Palm Complex'!$BJ$190</f>
        <v>2111.6875</v>
      </c>
      <c r="J82" s="4">
        <f>'[3]RINs and HOBO Forecast'!$C$56</f>
        <v>165.6071</v>
      </c>
      <c r="K82" s="4">
        <f>'[2]LCFS Credit Price Forecast'!$B$97</f>
        <v>189.01140000000001</v>
      </c>
      <c r="L82" s="5">
        <f>[4]Forecasts!$B$19</f>
        <v>642.27269999999999</v>
      </c>
      <c r="M82" s="5">
        <f>[4]Forecasts!$C$19</f>
        <v>2.1303999999999998</v>
      </c>
    </row>
    <row r="83" spans="1:13" x14ac:dyDescent="0.2">
      <c r="A83" s="3">
        <v>44367</v>
      </c>
      <c r="B83" s="4" t="e">
        <f>#REF!</f>
        <v>#REF!</v>
      </c>
      <c r="C83" s="4" t="e">
        <f>#REF!</f>
        <v>#REF!</v>
      </c>
      <c r="D83" s="4" t="e">
        <f>#REF!</f>
        <v>#REF!</v>
      </c>
      <c r="E83" s="4" t="e">
        <f>#REF!</f>
        <v>#REF!</v>
      </c>
      <c r="F83" s="4" t="e">
        <f>#REF!</f>
        <v>#REF!</v>
      </c>
      <c r="G83" s="4" t="e">
        <f>#REF!</f>
        <v>#REF!</v>
      </c>
      <c r="H83" s="4">
        <f>[1]Prices!$L$620+14</f>
        <v>88.75</v>
      </c>
      <c r="I83" s="4">
        <f>'[5]Malaysia Palm Complex'!$BJ$190</f>
        <v>2111.6875</v>
      </c>
      <c r="J83" s="4">
        <f>'[3]RINs and HOBO Forecast'!$C$56</f>
        <v>165.6071</v>
      </c>
      <c r="K83" s="4">
        <f>'[2]LCFS Credit Price Forecast'!$B$97</f>
        <v>189.01140000000001</v>
      </c>
      <c r="L83" s="5">
        <f>[4]Forecasts!$B$19</f>
        <v>642.27269999999999</v>
      </c>
      <c r="M83" s="5">
        <f>[4]Forecasts!$C$19</f>
        <v>2.1303999999999998</v>
      </c>
    </row>
    <row r="84" spans="1:13" x14ac:dyDescent="0.2">
      <c r="A84" s="3">
        <v>44374</v>
      </c>
      <c r="B84" s="4" t="e">
        <f>#REF!</f>
        <v>#REF!</v>
      </c>
      <c r="C84" s="4" t="e">
        <f>#REF!</f>
        <v>#REF!</v>
      </c>
      <c r="D84" s="4" t="e">
        <f>#REF!</f>
        <v>#REF!</v>
      </c>
      <c r="E84" s="4" t="e">
        <f>#REF!</f>
        <v>#REF!</v>
      </c>
      <c r="F84" s="4" t="e">
        <f>#REF!</f>
        <v>#REF!</v>
      </c>
      <c r="G84" s="4" t="e">
        <f>#REF!</f>
        <v>#REF!</v>
      </c>
      <c r="H84" s="4">
        <f>[1]Prices!$L$620+14</f>
        <v>88.75</v>
      </c>
      <c r="I84" s="4">
        <f>'[5]Malaysia Palm Complex'!$BJ$190</f>
        <v>2111.6875</v>
      </c>
      <c r="J84" s="4">
        <f>'[3]RINs and HOBO Forecast'!$C$56</f>
        <v>165.6071</v>
      </c>
      <c r="K84" s="4">
        <f>'[2]LCFS Credit Price Forecast'!$B$97</f>
        <v>189.01140000000001</v>
      </c>
      <c r="L84" s="5">
        <f>[4]Forecasts!$B$19</f>
        <v>642.27269999999999</v>
      </c>
      <c r="M84" s="5">
        <f>[4]Forecasts!$C$19</f>
        <v>2.1303999999999998</v>
      </c>
    </row>
    <row r="85" spans="1:13" x14ac:dyDescent="0.2">
      <c r="A85" s="3">
        <v>44381</v>
      </c>
      <c r="B85" s="4" t="e">
        <f>#REF!</f>
        <v>#REF!</v>
      </c>
      <c r="C85" s="4" t="e">
        <f>#REF!</f>
        <v>#REF!</v>
      </c>
      <c r="D85" s="4" t="e">
        <f>#REF!</f>
        <v>#REF!</v>
      </c>
      <c r="E85" s="4" t="e">
        <f>#REF!</f>
        <v>#REF!</v>
      </c>
      <c r="F85" s="4" t="e">
        <f>#REF!</f>
        <v>#REF!</v>
      </c>
      <c r="G85" s="4" t="e">
        <f>#REF!</f>
        <v>#REF!</v>
      </c>
      <c r="H85" s="4">
        <f>[1]Prices!$L$621+14</f>
        <v>86.93</v>
      </c>
      <c r="I85" s="4">
        <f>'[5]Malaysia Palm Complex'!$BJ$191</f>
        <v>2371.7619047619046</v>
      </c>
      <c r="J85" s="4">
        <f>'[3]RINs and HOBO Forecast'!$C$58</f>
        <v>143.66669999999999</v>
      </c>
      <c r="K85" s="4">
        <f>'[2]LCFS Credit Price Forecast'!$B$98</f>
        <v>179.2619</v>
      </c>
      <c r="L85" s="5">
        <f>[4]Forecasts!$B$20</f>
        <v>636.19050000000004</v>
      </c>
      <c r="M85" s="5">
        <f>[4]Forecasts!$C$20</f>
        <v>2.1139999999999999</v>
      </c>
    </row>
    <row r="86" spans="1:13" x14ac:dyDescent="0.2">
      <c r="A86" s="3">
        <v>44388</v>
      </c>
      <c r="B86" s="4" t="e">
        <f>#REF!</f>
        <v>#REF!</v>
      </c>
      <c r="C86" s="4" t="e">
        <f>#REF!</f>
        <v>#REF!</v>
      </c>
      <c r="D86" s="4" t="e">
        <f>#REF!</f>
        <v>#REF!</v>
      </c>
      <c r="E86" s="4" t="e">
        <f>#REF!</f>
        <v>#REF!</v>
      </c>
      <c r="F86" s="4" t="e">
        <f>#REF!</f>
        <v>#REF!</v>
      </c>
      <c r="G86" s="4" t="e">
        <f>#REF!</f>
        <v>#REF!</v>
      </c>
      <c r="H86" s="4">
        <f>[1]Prices!$L$621+14</f>
        <v>86.93</v>
      </c>
      <c r="I86" s="4">
        <f>'[5]Malaysia Palm Complex'!$BJ$191</f>
        <v>2371.7619047619046</v>
      </c>
      <c r="J86" s="4">
        <f>'[3]RINs and HOBO Forecast'!$C$58</f>
        <v>143.66669999999999</v>
      </c>
      <c r="K86" s="4">
        <f>'[2]LCFS Credit Price Forecast'!$B$98</f>
        <v>179.2619</v>
      </c>
      <c r="L86" s="5">
        <f>[4]Forecasts!$B$20</f>
        <v>636.19050000000004</v>
      </c>
      <c r="M86" s="5">
        <f>[4]Forecasts!$C$20</f>
        <v>2.1139999999999999</v>
      </c>
    </row>
    <row r="87" spans="1:13" x14ac:dyDescent="0.2">
      <c r="A87" s="3">
        <v>44395</v>
      </c>
      <c r="B87" s="4" t="e">
        <f>#REF!</f>
        <v>#REF!</v>
      </c>
      <c r="C87" s="4" t="e">
        <f>#REF!</f>
        <v>#REF!</v>
      </c>
      <c r="D87" s="4" t="e">
        <f>#REF!</f>
        <v>#REF!</v>
      </c>
      <c r="E87" s="4" t="e">
        <f>#REF!</f>
        <v>#REF!</v>
      </c>
      <c r="F87" s="4" t="e">
        <f>#REF!</f>
        <v>#REF!</v>
      </c>
      <c r="G87" s="4" t="e">
        <f>#REF!</f>
        <v>#REF!</v>
      </c>
      <c r="H87" s="4">
        <f>[1]Prices!$L$621+14</f>
        <v>86.93</v>
      </c>
      <c r="I87" s="4">
        <f>'[5]Malaysia Palm Complex'!$BJ$191</f>
        <v>2371.7619047619046</v>
      </c>
      <c r="J87" s="4">
        <f>'[3]RINs and HOBO Forecast'!$C$58</f>
        <v>143.66669999999999</v>
      </c>
      <c r="K87" s="4">
        <f>'[2]LCFS Credit Price Forecast'!$B$98</f>
        <v>179.2619</v>
      </c>
      <c r="L87" s="5">
        <f>[4]Forecasts!$B$20</f>
        <v>636.19050000000004</v>
      </c>
      <c r="M87" s="5">
        <f>[4]Forecasts!$C$20</f>
        <v>2.1139999999999999</v>
      </c>
    </row>
    <row r="88" spans="1:13" x14ac:dyDescent="0.2">
      <c r="A88" s="3">
        <v>44402</v>
      </c>
      <c r="B88" s="4" t="e">
        <f>#REF!</f>
        <v>#REF!</v>
      </c>
      <c r="C88" s="4" t="e">
        <f>#REF!</f>
        <v>#REF!</v>
      </c>
      <c r="D88" s="4" t="e">
        <f>#REF!</f>
        <v>#REF!</v>
      </c>
      <c r="E88" s="4" t="e">
        <f>#REF!</f>
        <v>#REF!</v>
      </c>
      <c r="F88" s="4" t="e">
        <f>#REF!</f>
        <v>#REF!</v>
      </c>
      <c r="G88" s="4" t="e">
        <f>#REF!</f>
        <v>#REF!</v>
      </c>
      <c r="H88" s="4">
        <f>[1]Prices!$L$621+14</f>
        <v>86.93</v>
      </c>
      <c r="I88" s="4">
        <f>'[5]Malaysia Palm Complex'!$BJ$191</f>
        <v>2371.7619047619046</v>
      </c>
      <c r="J88" s="4">
        <f>'[3]RINs and HOBO Forecast'!$C$58</f>
        <v>143.66669999999999</v>
      </c>
      <c r="K88" s="4">
        <f>'[2]LCFS Credit Price Forecast'!$B$98</f>
        <v>179.2619</v>
      </c>
      <c r="L88" s="5">
        <f>[4]Forecasts!$B$20</f>
        <v>636.19050000000004</v>
      </c>
      <c r="M88" s="5">
        <f>[4]Forecasts!$C$20</f>
        <v>2.1139999999999999</v>
      </c>
    </row>
    <row r="89" spans="1:13" x14ac:dyDescent="0.2">
      <c r="A89" s="3">
        <v>44409</v>
      </c>
      <c r="B89" s="4" t="e">
        <f>#REF!</f>
        <v>#REF!</v>
      </c>
      <c r="C89" s="4" t="e">
        <f>#REF!</f>
        <v>#REF!</v>
      </c>
      <c r="D89" s="4" t="e">
        <f>#REF!</f>
        <v>#REF!</v>
      </c>
      <c r="E89" s="4" t="e">
        <f>#REF!</f>
        <v>#REF!</v>
      </c>
      <c r="F89" s="4" t="e">
        <f>#REF!</f>
        <v>#REF!</v>
      </c>
      <c r="G89" s="4" t="e">
        <f>#REF!</f>
        <v>#REF!</v>
      </c>
      <c r="H89" s="4">
        <f>[1]Prices!$L$622+14</f>
        <v>84.01</v>
      </c>
      <c r="I89" s="4">
        <f>'[5]Malaysia Palm Complex'!$BJ$192</f>
        <v>2539.8571428571427</v>
      </c>
      <c r="J89" s="4">
        <f>'[3]RINs and HOBO Forecast'!$C$58</f>
        <v>143.66669999999999</v>
      </c>
      <c r="K89" s="4">
        <f>'[2]LCFS Credit Price Forecast'!$B$99</f>
        <v>180.51140000000001</v>
      </c>
      <c r="L89" s="5">
        <f>[4]Forecasts!$B$21</f>
        <v>635</v>
      </c>
      <c r="M89" s="5">
        <f>[4]Forecasts!$C$21</f>
        <v>2.0815000000000001</v>
      </c>
    </row>
    <row r="90" spans="1:13" x14ac:dyDescent="0.2">
      <c r="A90" s="3">
        <v>44416</v>
      </c>
      <c r="B90" s="4" t="e">
        <f>#REF!</f>
        <v>#REF!</v>
      </c>
      <c r="C90" s="4" t="e">
        <f>#REF!</f>
        <v>#REF!</v>
      </c>
      <c r="D90" s="4" t="e">
        <f>#REF!</f>
        <v>#REF!</v>
      </c>
      <c r="E90" s="4" t="e">
        <f>#REF!</f>
        <v>#REF!</v>
      </c>
      <c r="F90" s="4" t="e">
        <f>#REF!</f>
        <v>#REF!</v>
      </c>
      <c r="G90" s="4" t="e">
        <f>#REF!</f>
        <v>#REF!</v>
      </c>
      <c r="H90" s="4">
        <f>[1]Prices!$L$622+14</f>
        <v>84.01</v>
      </c>
      <c r="I90" s="4">
        <f>'[5]Malaysia Palm Complex'!$BJ$192</f>
        <v>2539.8571428571427</v>
      </c>
      <c r="J90" s="4">
        <f>'[3]RINs and HOBO Forecast'!$C$58</f>
        <v>143.66669999999999</v>
      </c>
      <c r="K90" s="4">
        <f>'[2]LCFS Credit Price Forecast'!$B$99</f>
        <v>180.51140000000001</v>
      </c>
      <c r="L90" s="5">
        <f>[4]Forecasts!$B$21</f>
        <v>635</v>
      </c>
      <c r="M90" s="5">
        <f>[4]Forecasts!$C$21</f>
        <v>2.0815000000000001</v>
      </c>
    </row>
    <row r="91" spans="1:13" x14ac:dyDescent="0.2">
      <c r="A91" s="3">
        <v>44423</v>
      </c>
      <c r="B91" s="4" t="e">
        <f>#REF!</f>
        <v>#REF!</v>
      </c>
      <c r="C91" s="4" t="e">
        <f>#REF!</f>
        <v>#REF!</v>
      </c>
      <c r="D91" s="4" t="e">
        <f>#REF!</f>
        <v>#REF!</v>
      </c>
      <c r="E91" s="4" t="e">
        <f>#REF!</f>
        <v>#REF!</v>
      </c>
      <c r="F91" s="4" t="e">
        <f>#REF!</f>
        <v>#REF!</v>
      </c>
      <c r="G91" s="4" t="e">
        <f>#REF!</f>
        <v>#REF!</v>
      </c>
      <c r="H91" s="4">
        <f>[1]Prices!$L$622+14</f>
        <v>84.01</v>
      </c>
      <c r="I91" s="4">
        <f>'[5]Malaysia Palm Complex'!$BJ$192</f>
        <v>2539.8571428571427</v>
      </c>
      <c r="J91" s="4">
        <f>'[3]RINs and HOBO Forecast'!$C$58</f>
        <v>143.66669999999999</v>
      </c>
      <c r="K91" s="4">
        <f>'[2]LCFS Credit Price Forecast'!$B$99</f>
        <v>180.51140000000001</v>
      </c>
      <c r="L91" s="5">
        <f>[4]Forecasts!$B$21</f>
        <v>635</v>
      </c>
      <c r="M91" s="5">
        <f>[4]Forecasts!$C$21</f>
        <v>2.0815000000000001</v>
      </c>
    </row>
    <row r="92" spans="1:13" x14ac:dyDescent="0.2">
      <c r="A92" s="3">
        <v>44430</v>
      </c>
      <c r="B92" s="4" t="e">
        <f>#REF!</f>
        <v>#REF!</v>
      </c>
      <c r="C92" s="4" t="e">
        <f>#REF!</f>
        <v>#REF!</v>
      </c>
      <c r="D92" s="4" t="e">
        <f>#REF!</f>
        <v>#REF!</v>
      </c>
      <c r="E92" s="4" t="e">
        <f>#REF!</f>
        <v>#REF!</v>
      </c>
      <c r="F92" s="4" t="e">
        <f>#REF!</f>
        <v>#REF!</v>
      </c>
      <c r="G92" s="4" t="e">
        <f>#REF!</f>
        <v>#REF!</v>
      </c>
      <c r="H92" s="4">
        <f>[1]Prices!$L$622+14</f>
        <v>84.01</v>
      </c>
      <c r="I92" s="4">
        <f>'[5]Malaysia Palm Complex'!$BJ$192</f>
        <v>2539.8571428571427</v>
      </c>
      <c r="J92" s="4">
        <f>'[3]RINs and HOBO Forecast'!$C$58</f>
        <v>143.66669999999999</v>
      </c>
      <c r="K92" s="4">
        <f>'[2]LCFS Credit Price Forecast'!$B$99</f>
        <v>180.51140000000001</v>
      </c>
      <c r="L92" s="5">
        <f>[4]Forecasts!$B$21</f>
        <v>635</v>
      </c>
      <c r="M92" s="5">
        <f>[4]Forecasts!$C$21</f>
        <v>2.0815000000000001</v>
      </c>
    </row>
    <row r="93" spans="1:13" x14ac:dyDescent="0.2">
      <c r="A93" s="3">
        <v>44437</v>
      </c>
      <c r="B93" s="4" t="e">
        <f>#REF!</f>
        <v>#REF!</v>
      </c>
      <c r="C93" s="4" t="e">
        <f>#REF!</f>
        <v>#REF!</v>
      </c>
      <c r="D93" s="4" t="e">
        <f>#REF!</f>
        <v>#REF!</v>
      </c>
      <c r="E93" s="4" t="e">
        <f>#REF!</f>
        <v>#REF!</v>
      </c>
      <c r="F93" s="4" t="e">
        <f>#REF!</f>
        <v>#REF!</v>
      </c>
      <c r="G93" s="4" t="e">
        <f>#REF!</f>
        <v>#REF!</v>
      </c>
      <c r="H93" s="4">
        <f>[1]Prices!$L$622+14</f>
        <v>84.01</v>
      </c>
      <c r="I93" s="4">
        <f>'[5]Malaysia Palm Complex'!$BJ$192</f>
        <v>2539.8571428571427</v>
      </c>
      <c r="J93" s="4">
        <f>'[3]RINs and HOBO Forecast'!$C$58</f>
        <v>143.66669999999999</v>
      </c>
      <c r="K93" s="4">
        <f>'[2]LCFS Credit Price Forecast'!$B$99</f>
        <v>180.51140000000001</v>
      </c>
      <c r="L93" s="5">
        <f>[4]Forecasts!$B$21</f>
        <v>635</v>
      </c>
      <c r="M93" s="5">
        <f>[4]Forecasts!$C$21</f>
        <v>2.0815000000000001</v>
      </c>
    </row>
    <row r="94" spans="1:13" x14ac:dyDescent="0.2">
      <c r="A94" s="3">
        <v>44444</v>
      </c>
      <c r="B94" s="4" t="e">
        <f>#REF!</f>
        <v>#REF!</v>
      </c>
      <c r="C94" s="4" t="e">
        <f>#REF!</f>
        <v>#REF!</v>
      </c>
      <c r="D94" s="4" t="e">
        <f>#REF!</f>
        <v>#REF!</v>
      </c>
      <c r="E94" s="4" t="e">
        <f>#REF!</f>
        <v>#REF!</v>
      </c>
      <c r="F94" s="4" t="e">
        <f>#REF!</f>
        <v>#REF!</v>
      </c>
      <c r="G94" s="4" t="e">
        <f>#REF!</f>
        <v>#REF!</v>
      </c>
      <c r="H94" s="4">
        <f>[1]Prices!$L$623+14</f>
        <v>79.930000000000007</v>
      </c>
      <c r="I94" s="4">
        <f>'[5]Malaysia Palm Complex'!$BJ$193</f>
        <v>2701.7368421052633</v>
      </c>
      <c r="J94" s="4">
        <f>'[3]RINs and HOBO Forecast'!$C$60</f>
        <v>142.94999999999999</v>
      </c>
      <c r="K94" s="4">
        <f>'[2]LCFS Credit Price Forecast'!$B$100</f>
        <v>166.91669999999999</v>
      </c>
      <c r="L94" s="5">
        <f>[4]Forecasts!$B$22</f>
        <v>599.04759999999999</v>
      </c>
      <c r="M94" s="5">
        <f>[4]Forecasts!$C$22</f>
        <v>2.2090999999999998</v>
      </c>
    </row>
    <row r="95" spans="1:13" x14ac:dyDescent="0.2">
      <c r="A95" s="3">
        <v>44451</v>
      </c>
      <c r="B95" s="4" t="e">
        <f>#REF!</f>
        <v>#REF!</v>
      </c>
      <c r="C95" s="4" t="e">
        <f>#REF!</f>
        <v>#REF!</v>
      </c>
      <c r="D95" s="4" t="e">
        <f>#REF!</f>
        <v>#REF!</v>
      </c>
      <c r="E95" s="4" t="e">
        <f>#REF!</f>
        <v>#REF!</v>
      </c>
      <c r="F95" s="4" t="e">
        <f>#REF!</f>
        <v>#REF!</v>
      </c>
      <c r="G95" s="4" t="e">
        <f>#REF!</f>
        <v>#REF!</v>
      </c>
      <c r="H95" s="4">
        <f>[1]Prices!$L$623+14</f>
        <v>79.930000000000007</v>
      </c>
      <c r="I95" s="4">
        <f>'[5]Malaysia Palm Complex'!$BJ$193</f>
        <v>2701.7368421052633</v>
      </c>
      <c r="J95" s="4">
        <f>'[3]RINs and HOBO Forecast'!$C$60</f>
        <v>142.94999999999999</v>
      </c>
      <c r="K95" s="4">
        <f>'[2]LCFS Credit Price Forecast'!$B$100</f>
        <v>166.91669999999999</v>
      </c>
      <c r="L95" s="5">
        <f>[4]Forecasts!$B$22</f>
        <v>599.04759999999999</v>
      </c>
      <c r="M95" s="5">
        <f>[4]Forecasts!$C$22</f>
        <v>2.2090999999999998</v>
      </c>
    </row>
    <row r="96" spans="1:13" x14ac:dyDescent="0.2">
      <c r="A96" s="3">
        <v>44458</v>
      </c>
      <c r="B96" s="4" t="e">
        <f>#REF!</f>
        <v>#REF!</v>
      </c>
      <c r="C96" s="4" t="e">
        <f>#REF!</f>
        <v>#REF!</v>
      </c>
      <c r="D96" s="4" t="e">
        <f>#REF!</f>
        <v>#REF!</v>
      </c>
      <c r="E96" s="4" t="e">
        <f>#REF!</f>
        <v>#REF!</v>
      </c>
      <c r="F96" s="4" t="e">
        <f>#REF!</f>
        <v>#REF!</v>
      </c>
      <c r="G96" s="4" t="e">
        <f>#REF!</f>
        <v>#REF!</v>
      </c>
      <c r="H96" s="4">
        <f>[1]Prices!$L$623+14</f>
        <v>79.930000000000007</v>
      </c>
      <c r="I96" s="4">
        <f>'[5]Malaysia Palm Complex'!$BJ$193</f>
        <v>2701.7368421052633</v>
      </c>
      <c r="J96" s="4">
        <f>'[3]RINs and HOBO Forecast'!$C$60</f>
        <v>142.94999999999999</v>
      </c>
      <c r="K96" s="4">
        <f>'[2]LCFS Credit Price Forecast'!$B$100</f>
        <v>166.91669999999999</v>
      </c>
      <c r="L96" s="5">
        <f>[4]Forecasts!$B$22</f>
        <v>599.04759999999999</v>
      </c>
      <c r="M96" s="5">
        <f>[4]Forecasts!$C$22</f>
        <v>2.2090999999999998</v>
      </c>
    </row>
    <row r="97" spans="1:13" x14ac:dyDescent="0.2">
      <c r="A97" s="3">
        <v>44465</v>
      </c>
      <c r="B97" s="4" t="e">
        <f>#REF!</f>
        <v>#REF!</v>
      </c>
      <c r="C97" s="4" t="e">
        <f>#REF!</f>
        <v>#REF!</v>
      </c>
      <c r="D97" s="4" t="e">
        <f>#REF!</f>
        <v>#REF!</v>
      </c>
      <c r="E97" s="4" t="e">
        <f>#REF!</f>
        <v>#REF!</v>
      </c>
      <c r="F97" s="4" t="e">
        <f>#REF!</f>
        <v>#REF!</v>
      </c>
      <c r="G97" s="4" t="e">
        <f>#REF!</f>
        <v>#REF!</v>
      </c>
      <c r="H97" s="4">
        <f>[1]Prices!$L$623+14</f>
        <v>79.930000000000007</v>
      </c>
      <c r="I97" s="4">
        <f>'[5]Malaysia Palm Complex'!$BJ$193</f>
        <v>2701.7368421052633</v>
      </c>
      <c r="J97" s="4">
        <f>'[3]RINs and HOBO Forecast'!$C$60</f>
        <v>142.94999999999999</v>
      </c>
      <c r="K97" s="4">
        <f>'[2]LCFS Credit Price Forecast'!$B$100</f>
        <v>166.91669999999999</v>
      </c>
      <c r="L97" s="5">
        <f>[4]Forecasts!$B$22</f>
        <v>599.04759999999999</v>
      </c>
      <c r="M97" s="5">
        <f>[4]Forecasts!$C$22</f>
        <v>2.2090999999999998</v>
      </c>
    </row>
    <row r="98" spans="1:13" x14ac:dyDescent="0.2">
      <c r="A98" s="3">
        <v>44472</v>
      </c>
      <c r="B98" s="4" t="e">
        <f>#REF!</f>
        <v>#REF!</v>
      </c>
      <c r="C98" s="4" t="e">
        <f>#REF!</f>
        <v>#REF!</v>
      </c>
      <c r="D98" s="4" t="e">
        <f>#REF!</f>
        <v>#REF!</v>
      </c>
      <c r="E98" s="4" t="e">
        <f>#REF!</f>
        <v>#REF!</v>
      </c>
      <c r="F98" s="4" t="e">
        <f>#REF!</f>
        <v>#REF!</v>
      </c>
      <c r="G98" s="4" t="e">
        <f>#REF!</f>
        <v>#REF!</v>
      </c>
      <c r="H98" s="4">
        <f>[1]Prices!$L$624+14</f>
        <v>84.42</v>
      </c>
      <c r="I98" s="4" t="str">
        <f>'[5]Malaysia Palm Complex'!$BK$182</f>
        <v xml:space="preserve">21/22  </v>
      </c>
      <c r="J98" s="4">
        <f>'[3]RINs and HOBO Forecast'!$C$60</f>
        <v>142.94999999999999</v>
      </c>
      <c r="K98" s="4">
        <f>'[2]LCFS Credit Price Forecast'!$B$101</f>
        <v>167.67859999999999</v>
      </c>
      <c r="L98" s="5">
        <f>[4]Forecasts!$B$23</f>
        <v>608.80949999999996</v>
      </c>
      <c r="M98" s="5">
        <f>[4]Forecasts!$C$23</f>
        <v>2.5255999999999998</v>
      </c>
    </row>
    <row r="99" spans="1:13" x14ac:dyDescent="0.2">
      <c r="A99" s="3">
        <v>44479</v>
      </c>
      <c r="B99" s="4" t="e">
        <f>#REF!</f>
        <v>#REF!</v>
      </c>
      <c r="C99" s="4" t="e">
        <f>#REF!</f>
        <v>#REF!</v>
      </c>
      <c r="D99" s="4" t="e">
        <f>#REF!</f>
        <v>#REF!</v>
      </c>
      <c r="E99" s="4" t="e">
        <f>#REF!</f>
        <v>#REF!</v>
      </c>
      <c r="F99" s="4" t="e">
        <f>#REF!</f>
        <v>#REF!</v>
      </c>
      <c r="G99" s="4" t="e">
        <f>#REF!</f>
        <v>#REF!</v>
      </c>
      <c r="H99" s="4">
        <f>[1]Prices!$L$624+14</f>
        <v>84.42</v>
      </c>
      <c r="I99" s="4" t="str">
        <f>'[5]Malaysia Palm Complex'!$BK$182</f>
        <v xml:space="preserve">21/22  </v>
      </c>
      <c r="J99" s="4">
        <f>'[3]RINs and HOBO Forecast'!$C$60</f>
        <v>142.94999999999999</v>
      </c>
      <c r="K99" s="4">
        <f>'[2]LCFS Credit Price Forecast'!$B$101</f>
        <v>167.67859999999999</v>
      </c>
      <c r="L99" s="5">
        <f>[4]Forecasts!$B$23</f>
        <v>608.80949999999996</v>
      </c>
      <c r="M99" s="5">
        <f>[4]Forecasts!$C$23</f>
        <v>2.5255999999999998</v>
      </c>
    </row>
    <row r="100" spans="1:13" x14ac:dyDescent="0.2">
      <c r="A100" s="3">
        <v>44486</v>
      </c>
      <c r="B100" s="4" t="e">
        <f>#REF!</f>
        <v>#REF!</v>
      </c>
      <c r="C100" s="4" t="e">
        <f>#REF!</f>
        <v>#REF!</v>
      </c>
      <c r="D100" s="4" t="e">
        <f>#REF!</f>
        <v>#REF!</v>
      </c>
      <c r="E100" s="4" t="e">
        <f>#REF!</f>
        <v>#REF!</v>
      </c>
      <c r="F100" s="4" t="e">
        <f>#REF!</f>
        <v>#REF!</v>
      </c>
      <c r="G100" s="4" t="e">
        <f>#REF!</f>
        <v>#REF!</v>
      </c>
      <c r="H100" s="4">
        <f>[1]Prices!$L$624+14</f>
        <v>84.42</v>
      </c>
      <c r="I100" s="4" t="str">
        <f>'[5]Malaysia Palm Complex'!$BK$182</f>
        <v xml:space="preserve">21/22  </v>
      </c>
      <c r="J100" s="4">
        <f>'[3]RINs and HOBO Forecast'!$C$60</f>
        <v>142.94999999999999</v>
      </c>
      <c r="K100" s="4">
        <f>'[2]LCFS Credit Price Forecast'!$B$101</f>
        <v>167.67859999999999</v>
      </c>
      <c r="L100" s="5">
        <f>[4]Forecasts!$B$23</f>
        <v>608.80949999999996</v>
      </c>
      <c r="M100" s="5">
        <f>[4]Forecasts!$C$23</f>
        <v>2.5255999999999998</v>
      </c>
    </row>
    <row r="101" spans="1:13" x14ac:dyDescent="0.2">
      <c r="A101" s="3">
        <v>44493</v>
      </c>
      <c r="B101" s="4" t="e">
        <f>#REF!</f>
        <v>#REF!</v>
      </c>
      <c r="C101" s="4" t="e">
        <f>#REF!</f>
        <v>#REF!</v>
      </c>
      <c r="D101" s="4" t="e">
        <f>#REF!</f>
        <v>#REF!</v>
      </c>
      <c r="E101" s="4" t="e">
        <f>#REF!</f>
        <v>#REF!</v>
      </c>
      <c r="F101" s="4" t="e">
        <f>#REF!</f>
        <v>#REF!</v>
      </c>
      <c r="G101" s="4" t="e">
        <f>#REF!+2</f>
        <v>#REF!</v>
      </c>
      <c r="H101" s="4">
        <f>[1]Prices!$L$624+14+1.5</f>
        <v>85.92</v>
      </c>
      <c r="I101" s="4" t="str">
        <f>'[5]Malaysia Palm Complex'!$BK$182</f>
        <v xml:space="preserve">21/22  </v>
      </c>
      <c r="J101" s="4">
        <f>'[3]RINs and HOBO Forecast'!$C$60</f>
        <v>142.94999999999999</v>
      </c>
      <c r="K101" s="4">
        <f>'[2]LCFS Credit Price Forecast'!$B$101</f>
        <v>167.67859999999999</v>
      </c>
      <c r="L101" s="5">
        <f>[4]Forecasts!$B$23</f>
        <v>608.80949999999996</v>
      </c>
      <c r="M101" s="5">
        <f>[4]Forecasts!$C$23</f>
        <v>2.5255999999999998</v>
      </c>
    </row>
    <row r="102" spans="1:13" x14ac:dyDescent="0.2">
      <c r="A102" s="3">
        <v>44500</v>
      </c>
      <c r="B102" s="4" t="e">
        <f>#REF!+5</f>
        <v>#REF!</v>
      </c>
      <c r="C102" s="4" t="e">
        <f>#REF!+1.5</f>
        <v>#REF!</v>
      </c>
      <c r="D102" s="4" t="e">
        <f>#REF!</f>
        <v>#REF!</v>
      </c>
      <c r="E102" s="4" t="e">
        <f>#REF!</f>
        <v>#REF!</v>
      </c>
      <c r="F102" s="4" t="e">
        <f>#REF!+2</f>
        <v>#REF!</v>
      </c>
      <c r="G102" s="4" t="e">
        <f>#REF!+4</f>
        <v>#REF!</v>
      </c>
      <c r="H102" s="4">
        <f>[1]Prices!$L$624+14+1.5</f>
        <v>85.92</v>
      </c>
      <c r="I102" s="4" t="str">
        <f>'[5]Malaysia Palm Complex'!$BK$182</f>
        <v xml:space="preserve">21/22  </v>
      </c>
      <c r="J102" s="4">
        <f>'[3]RINs and HOBO Forecast'!$C$60</f>
        <v>142.94999999999999</v>
      </c>
      <c r="K102" s="4">
        <f>'[2]LCFS Credit Price Forecast'!$B$101</f>
        <v>167.67859999999999</v>
      </c>
      <c r="L102" s="5">
        <f>[4]Forecasts!$B$23</f>
        <v>608.80949999999996</v>
      </c>
      <c r="M102" s="5">
        <f>[4]Forecasts!$C$23</f>
        <v>2.5255999999999998</v>
      </c>
    </row>
    <row r="103" spans="1:13" x14ac:dyDescent="0.2">
      <c r="A103" s="3">
        <v>44507</v>
      </c>
      <c r="B103" s="4" t="e">
        <f>#REF!+5+1.5</f>
        <v>#REF!</v>
      </c>
      <c r="C103" s="4" t="e">
        <f>#REF!</f>
        <v>#REF!</v>
      </c>
      <c r="D103" s="4" t="e">
        <f>#REF!</f>
        <v>#REF!</v>
      </c>
      <c r="E103" s="4" t="e">
        <f>#REF!</f>
        <v>#REF!</v>
      </c>
      <c r="F103" s="4" t="e">
        <f>#REF!+2-8</f>
        <v>#REF!</v>
      </c>
      <c r="G103" s="4" t="e">
        <f>#REF!+4-3</f>
        <v>#REF!</v>
      </c>
      <c r="H103" s="4">
        <f>[1]Prices!$D$625+18-2</f>
        <v>75.234761904761896</v>
      </c>
      <c r="I103" s="4"/>
      <c r="J103" s="4">
        <f>'[3]RINs and HOBO Forecast'!$C$60</f>
        <v>142.94999999999999</v>
      </c>
      <c r="K103" s="4">
        <f>'[2]LCFS Credit Price Forecast'!$B$102</f>
        <v>149.52500000000001</v>
      </c>
      <c r="L103" s="5">
        <f>[4]Forecasts!$B$24</f>
        <v>637</v>
      </c>
      <c r="M103" s="5">
        <f>[4]Forecasts!$C$24</f>
        <v>2.3986000000000001</v>
      </c>
    </row>
    <row r="104" spans="1:13" x14ac:dyDescent="0.2">
      <c r="A104" s="3">
        <v>44514</v>
      </c>
      <c r="B104" s="4" t="e">
        <f>#REF!+5+1.5+1</f>
        <v>#REF!</v>
      </c>
      <c r="C104" s="4" t="e">
        <f>#REF!+0.95</f>
        <v>#REF!</v>
      </c>
      <c r="D104" s="4" t="e">
        <f>#REF!</f>
        <v>#REF!</v>
      </c>
      <c r="E104" s="4" t="e">
        <f>#REF!</f>
        <v>#REF!</v>
      </c>
      <c r="F104" s="4" t="e">
        <f>#REF!+2-8</f>
        <v>#REF!</v>
      </c>
      <c r="G104" s="4" t="e">
        <f>#REF!+4-3-1.5</f>
        <v>#REF!</v>
      </c>
      <c r="H104" s="4">
        <f>[1]Prices!$D$625+18-2</f>
        <v>75.234761904761896</v>
      </c>
      <c r="I104" s="4"/>
      <c r="J104" s="4">
        <f>'[3]RINs and HOBO Forecast'!$C$60</f>
        <v>142.94999999999999</v>
      </c>
      <c r="K104" s="4">
        <f>'[2]LCFS Credit Price Forecast'!$B$102</f>
        <v>149.52500000000001</v>
      </c>
      <c r="L104" s="5">
        <f>[4]Forecasts!$B$24</f>
        <v>637</v>
      </c>
      <c r="M104" s="5">
        <f>[4]Forecasts!$C$24</f>
        <v>2.3986000000000001</v>
      </c>
    </row>
    <row r="105" spans="1:13" x14ac:dyDescent="0.2">
      <c r="A105" s="3">
        <v>44521</v>
      </c>
      <c r="B105" s="4" t="e">
        <f>#REF!+5+1.5+1</f>
        <v>#REF!</v>
      </c>
      <c r="C105" s="4" t="e">
        <f>#REF!+0.95</f>
        <v>#REF!</v>
      </c>
      <c r="D105" s="4" t="e">
        <f>#REF!</f>
        <v>#REF!</v>
      </c>
      <c r="E105" s="4" t="e">
        <f>#REF!</f>
        <v>#REF!</v>
      </c>
      <c r="F105" s="4" t="e">
        <f>#REF!+2-8</f>
        <v>#REF!</v>
      </c>
      <c r="G105" s="4" t="e">
        <f>#REF!+4-3-1.5</f>
        <v>#REF!</v>
      </c>
      <c r="H105" s="4">
        <f>[1]Prices!$D$625+18-2</f>
        <v>75.234761904761896</v>
      </c>
      <c r="I105" s="4"/>
      <c r="J105" s="4">
        <f>'[3]RINs and HOBO Forecast'!$C$60</f>
        <v>142.94999999999999</v>
      </c>
      <c r="K105" s="4">
        <f>'[2]LCFS Credit Price Forecast'!$B$102</f>
        <v>149.52500000000001</v>
      </c>
      <c r="L105" s="5">
        <f>[4]Forecasts!$B$24</f>
        <v>637</v>
      </c>
      <c r="M105" s="5">
        <f>[4]Forecasts!$C$24</f>
        <v>2.3986000000000001</v>
      </c>
    </row>
    <row r="106" spans="1:13" x14ac:dyDescent="0.2">
      <c r="A106" s="3">
        <v>44528</v>
      </c>
      <c r="B106" s="4" t="e">
        <f>#REF!+5+1.5+1</f>
        <v>#REF!</v>
      </c>
      <c r="C106" s="4" t="e">
        <f>#REF!+0.95</f>
        <v>#REF!</v>
      </c>
      <c r="D106" s="4" t="e">
        <f>#REF!</f>
        <v>#REF!</v>
      </c>
      <c r="E106" s="4" t="e">
        <f>#REF!</f>
        <v>#REF!</v>
      </c>
      <c r="F106" s="4" t="e">
        <f>#REF!+2-8</f>
        <v>#REF!</v>
      </c>
      <c r="G106" s="4" t="e">
        <f>#REF!+4-3-1.5-3</f>
        <v>#REF!</v>
      </c>
      <c r="H106" s="4">
        <f>[1]Prices!$D$625+18-2</f>
        <v>75.234761904761896</v>
      </c>
      <c r="I106" s="4"/>
      <c r="J106" s="4">
        <f>'[3]RINs and HOBO Forecast'!$C$60</f>
        <v>142.94999999999999</v>
      </c>
      <c r="K106" s="4">
        <f>'[2]LCFS Credit Price Forecast'!$B$102</f>
        <v>149.52500000000001</v>
      </c>
      <c r="L106" s="5">
        <f>[4]Forecasts!$B$24</f>
        <v>637</v>
      </c>
      <c r="M106" s="5">
        <f>[4]Forecasts!$C$24</f>
        <v>2.3986000000000001</v>
      </c>
    </row>
    <row r="107" spans="1:13" x14ac:dyDescent="0.2">
      <c r="A107" s="3">
        <v>44535</v>
      </c>
      <c r="B107" s="4" t="e">
        <f>#REF!+4</f>
        <v>#REF!</v>
      </c>
      <c r="C107" s="4" t="e">
        <f>#REF!+6.5</f>
        <v>#REF!</v>
      </c>
      <c r="D107" s="4" t="e">
        <f>#REF!</f>
        <v>#REF!</v>
      </c>
      <c r="E107" s="4" t="e">
        <f>#REF!</f>
        <v>#REF!</v>
      </c>
      <c r="F107" s="4" t="e">
        <f>#REF!</f>
        <v>#REF!</v>
      </c>
      <c r="G107" s="4" t="e">
        <f>#REF!</f>
        <v>#REF!</v>
      </c>
      <c r="H107" s="4">
        <f>[1]Prices!$D$626+18-2</f>
        <v>71.209545454545463</v>
      </c>
      <c r="I107" s="4"/>
      <c r="J107" s="4">
        <f>'[3]RINs and HOBO Forecast'!$C$61</f>
        <v>151.05950000000001</v>
      </c>
      <c r="K107" s="4">
        <f>'[2]LCFS Credit Price Forecast'!$B$103</f>
        <v>148.41669999999999</v>
      </c>
      <c r="L107" s="5">
        <f>[4]Forecasts!$B$25</f>
        <v>610.95240000000001</v>
      </c>
      <c r="M107" s="5">
        <f>[4]Forecasts!$C$25</f>
        <v>2.2559</v>
      </c>
    </row>
    <row r="108" spans="1:13" x14ac:dyDescent="0.2">
      <c r="A108" s="3">
        <v>44542</v>
      </c>
      <c r="B108" s="4" t="e">
        <f>#REF!+4</f>
        <v>#REF!</v>
      </c>
      <c r="C108" s="4" t="e">
        <f>#REF!+6.5</f>
        <v>#REF!</v>
      </c>
      <c r="D108" s="4" t="e">
        <f>#REF!</f>
        <v>#REF!</v>
      </c>
      <c r="E108" s="4" t="e">
        <f>#REF!</f>
        <v>#REF!</v>
      </c>
      <c r="F108" s="4" t="e">
        <f>#REF!</f>
        <v>#REF!</v>
      </c>
      <c r="G108" s="4" t="e">
        <f>#REF!</f>
        <v>#REF!</v>
      </c>
      <c r="H108" s="4">
        <f>[1]Prices!$D$626+18-2</f>
        <v>71.209545454545463</v>
      </c>
      <c r="I108" s="4"/>
      <c r="J108" s="4">
        <f>'[3]RINs and HOBO Forecast'!$C$61</f>
        <v>151.05950000000001</v>
      </c>
      <c r="K108" s="4">
        <f>'[2]LCFS Credit Price Forecast'!$B$103</f>
        <v>148.41669999999999</v>
      </c>
      <c r="L108" s="5">
        <f>[4]Forecasts!$B$25</f>
        <v>610.95240000000001</v>
      </c>
      <c r="M108" s="5">
        <f>[4]Forecasts!$C$25</f>
        <v>2.2559</v>
      </c>
    </row>
    <row r="109" spans="1:13" x14ac:dyDescent="0.2">
      <c r="A109" s="3">
        <v>44549</v>
      </c>
      <c r="B109" s="4" t="e">
        <f>#REF!+4-1+6</f>
        <v>#REF!</v>
      </c>
      <c r="C109" s="4" t="e">
        <f>#REF!+6.5-2</f>
        <v>#REF!</v>
      </c>
      <c r="D109" s="4" t="e">
        <f>#REF!</f>
        <v>#REF!</v>
      </c>
      <c r="E109" s="4" t="e">
        <f>#REF!</f>
        <v>#REF!</v>
      </c>
      <c r="F109" s="4" t="e">
        <f>#REF!</f>
        <v>#REF!</v>
      </c>
      <c r="G109" s="4" t="e">
        <f>#REF!</f>
        <v>#REF!</v>
      </c>
      <c r="H109" s="4">
        <f>[1]Prices!$D$626+18-2</f>
        <v>71.209545454545463</v>
      </c>
      <c r="I109" s="4"/>
      <c r="J109" s="4">
        <f>'[3]RINs and HOBO Forecast'!$C$61</f>
        <v>151.05950000000001</v>
      </c>
      <c r="K109" s="4">
        <f>'[2]LCFS Credit Price Forecast'!$B$103</f>
        <v>148.41669999999999</v>
      </c>
      <c r="L109" s="5">
        <f>[4]Forecasts!$B$25-7</f>
        <v>603.95240000000001</v>
      </c>
      <c r="M109" s="5">
        <f>[4]Forecasts!$C$25+0.04</f>
        <v>2.2959000000000001</v>
      </c>
    </row>
    <row r="110" spans="1:13" x14ac:dyDescent="0.2">
      <c r="A110" s="3">
        <v>44556</v>
      </c>
      <c r="B110" s="4" t="e">
        <f>#REF!+4-1+6</f>
        <v>#REF!</v>
      </c>
      <c r="C110" s="4" t="e">
        <f>#REF!+6.5-2</f>
        <v>#REF!</v>
      </c>
      <c r="D110" s="4" t="e">
        <f>#REF!</f>
        <v>#REF!</v>
      </c>
      <c r="E110" s="4" t="e">
        <f>#REF!</f>
        <v>#REF!</v>
      </c>
      <c r="F110" s="4" t="e">
        <f>#REF!</f>
        <v>#REF!</v>
      </c>
      <c r="G110" s="4" t="e">
        <f>#REF!</f>
        <v>#REF!</v>
      </c>
      <c r="H110" s="4">
        <f>[1]Prices!$D$626+18-2</f>
        <v>71.209545454545463</v>
      </c>
      <c r="I110" s="4"/>
      <c r="J110" s="4">
        <f>'[3]RINs and HOBO Forecast'!$C$61</f>
        <v>151.05950000000001</v>
      </c>
      <c r="K110" s="4">
        <f>'[2]LCFS Credit Price Forecast'!$B$103</f>
        <v>148.41669999999999</v>
      </c>
      <c r="L110" s="5">
        <f>[4]Forecasts!$B$25-7</f>
        <v>603.95240000000001</v>
      </c>
      <c r="M110" s="5">
        <f>[4]Forecasts!$C$25+0.04</f>
        <v>2.2959000000000001</v>
      </c>
    </row>
    <row r="111" spans="1:13" x14ac:dyDescent="0.2">
      <c r="A111" s="3">
        <v>44563</v>
      </c>
      <c r="B111" s="4" t="e">
        <f>#REF!+3</f>
        <v>#REF!</v>
      </c>
      <c r="C111" s="4" t="e">
        <f>#REF!+4</f>
        <v>#REF!</v>
      </c>
      <c r="D111" s="4" t="e">
        <f>#REF!</f>
        <v>#REF!</v>
      </c>
      <c r="E111" s="4" t="e">
        <f>#REF!</f>
        <v>#REF!</v>
      </c>
      <c r="F111" s="4" t="e">
        <f>#REF!</f>
        <v>#REF!</v>
      </c>
      <c r="G111" s="4" t="e">
        <f>#REF!-3</f>
        <v>#REF!</v>
      </c>
      <c r="H111" s="4">
        <f>[1]Prices!$D$627+18-2</f>
        <v>76.679999999999993</v>
      </c>
      <c r="I111" s="4"/>
      <c r="J111" s="4">
        <f>'[3]RINs and HOBO Forecast'!$C$62</f>
        <v>135.71250000000001</v>
      </c>
      <c r="K111" s="4">
        <f>'[2]LCFS Credit Price Forecast'!$B$104</f>
        <v>149.88749999999999</v>
      </c>
      <c r="L111" s="5">
        <f>[4]Forecasts!$B$26</f>
        <v>614.5</v>
      </c>
      <c r="M111" s="5">
        <f>[4]Forecasts!$C$26</f>
        <v>2.6183000000000001</v>
      </c>
    </row>
    <row r="112" spans="1:13" x14ac:dyDescent="0.2">
      <c r="A112" s="3">
        <v>44570</v>
      </c>
      <c r="B112" s="4" t="e">
        <f>#REF!+3+5</f>
        <v>#REF!</v>
      </c>
      <c r="C112" s="4" t="e">
        <f>#REF!+4</f>
        <v>#REF!</v>
      </c>
      <c r="D112" s="4" t="e">
        <f>#REF!</f>
        <v>#REF!</v>
      </c>
      <c r="E112" s="4" t="e">
        <f>#REF!</f>
        <v>#REF!</v>
      </c>
      <c r="F112" s="4" t="e">
        <f>#REF!</f>
        <v>#REF!</v>
      </c>
      <c r="G112" s="4" t="e">
        <f>#REF!-3</f>
        <v>#REF!</v>
      </c>
      <c r="H112" s="4">
        <f>[1]Prices!$D$627+18-2+2</f>
        <v>78.679999999999993</v>
      </c>
      <c r="I112" s="4"/>
      <c r="J112" s="4">
        <f>'[3]RINs and HOBO Forecast'!$C$62</f>
        <v>135.71250000000001</v>
      </c>
      <c r="K112" s="4">
        <f>'[2]LCFS Credit Price Forecast'!$B$104</f>
        <v>149.88749999999999</v>
      </c>
      <c r="L112" s="5">
        <f>[4]Forecasts!$B$26</f>
        <v>614.5</v>
      </c>
      <c r="M112" s="5">
        <f>[4]Forecasts!$C$26</f>
        <v>2.6183000000000001</v>
      </c>
    </row>
    <row r="113" spans="1:13" x14ac:dyDescent="0.2">
      <c r="A113" s="3">
        <v>44577</v>
      </c>
      <c r="B113" s="4" t="e">
        <f>#REF!+3+5</f>
        <v>#REF!</v>
      </c>
      <c r="C113" s="4" t="e">
        <f>#REF!+4</f>
        <v>#REF!</v>
      </c>
      <c r="D113" s="4" t="e">
        <f>#REF!</f>
        <v>#REF!</v>
      </c>
      <c r="E113" s="4" t="e">
        <f>#REF!</f>
        <v>#REF!</v>
      </c>
      <c r="F113" s="4" t="e">
        <f>#REF!</f>
        <v>#REF!</v>
      </c>
      <c r="G113" s="4" t="e">
        <f>#REF!</f>
        <v>#REF!</v>
      </c>
      <c r="H113" s="4">
        <f>[1]Prices!$D$627+18-2+2-1</f>
        <v>77.679999999999993</v>
      </c>
      <c r="I113" s="4"/>
      <c r="J113" s="4">
        <f>'[3]RINs and HOBO Forecast'!$C$62</f>
        <v>135.71250000000001</v>
      </c>
      <c r="K113" s="4">
        <f>'[2]LCFS Credit Price Forecast'!$B$104</f>
        <v>149.88749999999999</v>
      </c>
      <c r="L113" s="5">
        <f>[4]Forecasts!$B$26</f>
        <v>614.5</v>
      </c>
      <c r="M113" s="5">
        <f>[4]Forecasts!$C$26</f>
        <v>2.6183000000000001</v>
      </c>
    </row>
    <row r="114" spans="1:13" x14ac:dyDescent="0.2">
      <c r="A114" s="3">
        <v>44584</v>
      </c>
      <c r="B114" s="4" t="e">
        <f>#REF!+3+5</f>
        <v>#REF!</v>
      </c>
      <c r="C114" s="4" t="e">
        <f>#REF!+4</f>
        <v>#REF!</v>
      </c>
      <c r="D114" s="4" t="e">
        <f>#REF!</f>
        <v>#REF!</v>
      </c>
      <c r="E114" s="4" t="e">
        <f>#REF!</f>
        <v>#REF!</v>
      </c>
      <c r="F114" s="4" t="e">
        <f>#REF!</f>
        <v>#REF!</v>
      </c>
      <c r="G114" s="4" t="e">
        <f>#REF!</f>
        <v>#REF!</v>
      </c>
      <c r="H114" s="4">
        <f>[1]Prices!$D$627+18-2+2-1+1</f>
        <v>78.679999999999993</v>
      </c>
      <c r="I114" s="4"/>
      <c r="J114" s="4">
        <f>'[3]RINs and HOBO Forecast'!$C$62</f>
        <v>135.71250000000001</v>
      </c>
      <c r="K114" s="4">
        <f>'[2]LCFS Credit Price Forecast'!$B$104</f>
        <v>149.88749999999999</v>
      </c>
      <c r="L114" s="5">
        <f>[4]Forecasts!$B$26</f>
        <v>614.5</v>
      </c>
      <c r="M114" s="5">
        <f>[4]Forecasts!$C$26</f>
        <v>2.6183000000000001</v>
      </c>
    </row>
    <row r="115" spans="1:13" x14ac:dyDescent="0.2">
      <c r="A115" s="3">
        <v>44591</v>
      </c>
      <c r="B115" s="4" t="e">
        <f>#REF!+3+5</f>
        <v>#REF!</v>
      </c>
      <c r="C115" s="4" t="e">
        <f>#REF!+4</f>
        <v>#REF!</v>
      </c>
      <c r="D115" s="4" t="e">
        <f>#REF!</f>
        <v>#REF!</v>
      </c>
      <c r="E115" s="4" t="e">
        <f>#REF!</f>
        <v>#REF!</v>
      </c>
      <c r="F115" s="4" t="e">
        <f>#REF!</f>
        <v>#REF!</v>
      </c>
      <c r="G115" s="4" t="e">
        <f>#REF!</f>
        <v>#REF!</v>
      </c>
      <c r="H115" s="4">
        <f>[1]Prices!$D$627+18-2+2-0.51</f>
        <v>78.169999999999987</v>
      </c>
      <c r="I115" s="4"/>
      <c r="J115" s="4">
        <f>'[3]RINs and HOBO Forecast'!$C$62</f>
        <v>135.71250000000001</v>
      </c>
      <c r="K115" s="4">
        <f>'[2]LCFS Credit Price Forecast'!$B$104</f>
        <v>149.88749999999999</v>
      </c>
      <c r="L115" s="5">
        <f>[4]Forecasts!$B$26</f>
        <v>614.5</v>
      </c>
      <c r="M115" s="5">
        <f>[4]Forecasts!$C$26</f>
        <v>2.6183000000000001</v>
      </c>
    </row>
    <row r="116" spans="1:13" x14ac:dyDescent="0.2">
      <c r="A116" s="3">
        <v>44598</v>
      </c>
      <c r="B116" s="4" t="e">
        <f>#REF!</f>
        <v>#REF!</v>
      </c>
      <c r="C116" s="4" t="e">
        <f>#REF!</f>
        <v>#REF!</v>
      </c>
      <c r="D116" s="4" t="e">
        <f>#REF!</f>
        <v>#REF!</v>
      </c>
      <c r="E116" s="4" t="e">
        <f>#REF!</f>
        <v>#REF!</v>
      </c>
      <c r="F116" s="4" t="e">
        <f>#REF!</f>
        <v>#REF!</v>
      </c>
      <c r="G116" s="4" t="e">
        <f>#REF!</f>
        <v>#REF!</v>
      </c>
      <c r="H116" s="4">
        <f>[1]Prices!$D$628+18-2+2-5</f>
        <v>80.012631578947364</v>
      </c>
      <c r="I116" s="4"/>
      <c r="J116" s="4">
        <f>'[3]RINs and HOBO Forecast'!$C$63</f>
        <v>146.4605</v>
      </c>
      <c r="K116" s="4">
        <f>'[2]LCFS Credit Price Forecast'!$B$105</f>
        <v>141.1711</v>
      </c>
      <c r="L116" s="5">
        <f>[4]Forecasts!$B$27</f>
        <v>660.78949999999998</v>
      </c>
      <c r="M116" s="5">
        <f>[4]Forecasts!$C$27</f>
        <v>2.8553999999999999</v>
      </c>
    </row>
    <row r="117" spans="1:13" x14ac:dyDescent="0.2">
      <c r="A117" s="3">
        <v>44605</v>
      </c>
      <c r="B117" s="4" t="e">
        <f>#REF!</f>
        <v>#REF!</v>
      </c>
      <c r="C117" s="4" t="e">
        <f>#REF!</f>
        <v>#REF!</v>
      </c>
      <c r="D117" s="4" t="e">
        <f>#REF!</f>
        <v>#REF!</v>
      </c>
      <c r="E117" s="4" t="e">
        <f>#REF!</f>
        <v>#REF!</v>
      </c>
      <c r="F117" s="4" t="e">
        <f>#REF!</f>
        <v>#REF!</v>
      </c>
      <c r="G117" s="4" t="e">
        <f>#REF!</f>
        <v>#REF!</v>
      </c>
      <c r="H117" s="4">
        <f>[1]Prices!$D$628+18-2+2-5</f>
        <v>80.012631578947364</v>
      </c>
      <c r="I117" s="4"/>
      <c r="J117" s="4">
        <f>'[3]RINs and HOBO Forecast'!$C$63</f>
        <v>146.4605</v>
      </c>
      <c r="K117" s="4">
        <f>'[2]LCFS Credit Price Forecast'!$B$105</f>
        <v>141.1711</v>
      </c>
      <c r="L117" s="5">
        <f>[4]Forecasts!$B$27</f>
        <v>660.78949999999998</v>
      </c>
      <c r="M117" s="5">
        <f>[4]Forecasts!$C$27</f>
        <v>2.8553999999999999</v>
      </c>
    </row>
    <row r="118" spans="1:13" x14ac:dyDescent="0.2">
      <c r="A118" s="3">
        <v>44612</v>
      </c>
      <c r="B118" s="4" t="e">
        <f>#REF!</f>
        <v>#REF!</v>
      </c>
      <c r="C118" s="4" t="e">
        <f>#REF!</f>
        <v>#REF!</v>
      </c>
      <c r="D118" s="4" t="e">
        <f>#REF!</f>
        <v>#REF!</v>
      </c>
      <c r="E118" s="4" t="e">
        <f>#REF!</f>
        <v>#REF!</v>
      </c>
      <c r="F118" s="4" t="e">
        <f>#REF!</f>
        <v>#REF!</v>
      </c>
      <c r="G118" s="4" t="e">
        <f>#REF!</f>
        <v>#REF!</v>
      </c>
      <c r="H118" s="4">
        <f>[1]Prices!$D$628+18-2+2-5</f>
        <v>80.012631578947364</v>
      </c>
      <c r="I118" s="4"/>
      <c r="J118" s="4">
        <f>'[3]RINs and HOBO Forecast'!$C$63</f>
        <v>146.4605</v>
      </c>
      <c r="K118" s="4">
        <f>'[2]LCFS Credit Price Forecast'!$B$105</f>
        <v>141.1711</v>
      </c>
      <c r="L118" s="5">
        <f>[4]Forecasts!$B$27</f>
        <v>660.78949999999998</v>
      </c>
      <c r="M118" s="5">
        <f>[4]Forecasts!$C$27</f>
        <v>2.8553999999999999</v>
      </c>
    </row>
    <row r="119" spans="1:13" x14ac:dyDescent="0.2">
      <c r="A119" s="3">
        <v>44619</v>
      </c>
      <c r="B119" s="4" t="e">
        <f>#REF!</f>
        <v>#REF!</v>
      </c>
      <c r="C119" s="4" t="e">
        <f>#REF!</f>
        <v>#REF!</v>
      </c>
      <c r="D119" s="4" t="e">
        <f>#REF!</f>
        <v>#REF!</v>
      </c>
      <c r="E119" s="4" t="e">
        <f>#REF!</f>
        <v>#REF!</v>
      </c>
      <c r="F119" s="4" t="e">
        <f>#REF!</f>
        <v>#REF!</v>
      </c>
      <c r="G119" s="4" t="e">
        <f>#REF!</f>
        <v>#REF!</v>
      </c>
      <c r="H119" s="4">
        <f>[1]Prices!$D$628+18-2+2-5</f>
        <v>80.012631578947364</v>
      </c>
      <c r="I119" s="4"/>
      <c r="J119" s="4">
        <f>'[3]RINs and HOBO Forecast'!$C$63</f>
        <v>146.4605</v>
      </c>
      <c r="K119" s="4">
        <f>'[2]LCFS Credit Price Forecast'!$B$105</f>
        <v>141.1711</v>
      </c>
      <c r="L119" s="5">
        <f>[4]Forecasts!$B$27</f>
        <v>660.78949999999998</v>
      </c>
      <c r="M119" s="5">
        <f>[4]Forecasts!$C$27</f>
        <v>2.8553999999999999</v>
      </c>
    </row>
    <row r="120" spans="1:13" x14ac:dyDescent="0.2">
      <c r="A120" s="3">
        <v>44626</v>
      </c>
      <c r="B120" s="4">
        <f>'[6]Yellow Grease Complex'!$AD$219</f>
        <v>62.934800000000003</v>
      </c>
      <c r="C120" s="4">
        <f>'[6]Used Cooking Oil Complex'!$AD$203</f>
        <v>69.021699999999996</v>
      </c>
      <c r="D120" s="4" t="e">
        <f>#REF!</f>
        <v>#REF!</v>
      </c>
      <c r="E120" s="4" t="e">
        <f>#REF!</f>
        <v>#REF!</v>
      </c>
      <c r="F120" s="4" t="e">
        <f>#REF!</f>
        <v>#REF!</v>
      </c>
      <c r="G120" s="4" t="e">
        <f>#REF!</f>
        <v>#REF!</v>
      </c>
      <c r="H120" s="4">
        <f>[1]Prices!$D$629+18-2+2-5</f>
        <v>87.006521739130449</v>
      </c>
      <c r="I120" s="4"/>
      <c r="J120" s="4">
        <f>'[3]RINs and HOBO Forecast'!$C$64</f>
        <v>148.36959999999999</v>
      </c>
      <c r="K120" s="4">
        <f>'[2]LCFS Credit Price Forecast'!$B$106</f>
        <v>125.8913</v>
      </c>
      <c r="L120" s="5">
        <f>[4]Forecasts!$B$28</f>
        <v>724.7826</v>
      </c>
      <c r="M120" s="5">
        <f>[4]Forecasts!$C$28</f>
        <v>3.6623000000000001</v>
      </c>
    </row>
    <row r="121" spans="1:13" x14ac:dyDescent="0.2">
      <c r="A121" s="3">
        <v>44633</v>
      </c>
      <c r="B121" s="4">
        <f>'[6]Yellow Grease Complex'!$AD$219</f>
        <v>62.934800000000003</v>
      </c>
      <c r="C121" s="4">
        <f>'[6]Used Cooking Oil Complex'!$AD$203</f>
        <v>69.021699999999996</v>
      </c>
      <c r="D121" s="4" t="e">
        <f>#REF!</f>
        <v>#REF!</v>
      </c>
      <c r="E121" s="4" t="e">
        <f>#REF!</f>
        <v>#REF!</v>
      </c>
      <c r="F121" s="4" t="e">
        <f>#REF!</f>
        <v>#REF!</v>
      </c>
      <c r="G121" s="4" t="e">
        <f>#REF!</f>
        <v>#REF!</v>
      </c>
      <c r="H121" s="4">
        <f>[1]Prices!$D$629+18-2+2-5</f>
        <v>87.006521739130449</v>
      </c>
      <c r="I121" s="4"/>
      <c r="J121" s="4">
        <f>'[3]RINs and HOBO Forecast'!$C$64</f>
        <v>148.36959999999999</v>
      </c>
      <c r="K121" s="4">
        <f>'[2]LCFS Credit Price Forecast'!$B$106</f>
        <v>125.8913</v>
      </c>
      <c r="L121" s="5">
        <f>[4]Forecasts!$B$28</f>
        <v>724.7826</v>
      </c>
      <c r="M121" s="5">
        <f>[4]Forecasts!$C$28</f>
        <v>3.6623000000000001</v>
      </c>
    </row>
    <row r="122" spans="1:13" x14ac:dyDescent="0.2">
      <c r="A122" s="3">
        <v>44640</v>
      </c>
      <c r="B122" s="4">
        <f>'[6]Yellow Grease Complex'!$AD$219</f>
        <v>62.934800000000003</v>
      </c>
      <c r="C122" s="4">
        <f>'[6]Used Cooking Oil Complex'!$AD$203</f>
        <v>69.021699999999996</v>
      </c>
      <c r="D122" s="4" t="e">
        <f>#REF!</f>
        <v>#REF!</v>
      </c>
      <c r="E122" s="4" t="e">
        <f>#REF!</f>
        <v>#REF!</v>
      </c>
      <c r="F122" s="4" t="e">
        <f>#REF!</f>
        <v>#REF!</v>
      </c>
      <c r="G122" s="4" t="e">
        <f>#REF!</f>
        <v>#REF!</v>
      </c>
      <c r="H122" s="4">
        <f>[1]Prices!$D$629+Q$1</f>
        <v>94.006521739130449</v>
      </c>
      <c r="I122" s="4"/>
      <c r="J122" s="4">
        <f>'[3]RINs and HOBO Forecast'!$C$64</f>
        <v>148.36959999999999</v>
      </c>
      <c r="K122" s="4">
        <f>'[2]LCFS Credit Price Forecast'!$B$106</f>
        <v>125.8913</v>
      </c>
      <c r="L122" s="5">
        <f>[4]Forecasts!$B$28</f>
        <v>724.7826</v>
      </c>
      <c r="M122" s="5">
        <f>[4]Forecasts!$C$28</f>
        <v>3.6623000000000001</v>
      </c>
    </row>
    <row r="123" spans="1:13" x14ac:dyDescent="0.2">
      <c r="A123" s="3">
        <v>44647</v>
      </c>
      <c r="B123" s="4">
        <f>'[6]Yellow Grease Complex'!$AD$219</f>
        <v>62.934800000000003</v>
      </c>
      <c r="C123" s="4">
        <f>'[6]Used Cooking Oil Complex'!$AD$203</f>
        <v>69.021699999999996</v>
      </c>
      <c r="D123" s="4" t="e">
        <f>#REF!</f>
        <v>#REF!</v>
      </c>
      <c r="E123" s="4" t="e">
        <f>#REF!</f>
        <v>#REF!</v>
      </c>
      <c r="F123" s="4" t="e">
        <f>#REF!</f>
        <v>#REF!</v>
      </c>
      <c r="G123" s="4" t="e">
        <f>#REF!</f>
        <v>#REF!</v>
      </c>
      <c r="H123" s="4">
        <f>[1]Prices!$D$629+Q$1</f>
        <v>94.006521739130449</v>
      </c>
      <c r="I123" s="4"/>
      <c r="J123" s="4">
        <f>'[3]RINs and HOBO Forecast'!$C$64</f>
        <v>148.36959999999999</v>
      </c>
      <c r="K123" s="4">
        <f>'[2]LCFS Credit Price Forecast'!$B$106</f>
        <v>125.8913</v>
      </c>
      <c r="L123" s="5">
        <f>[4]Forecasts!$B$28</f>
        <v>724.7826</v>
      </c>
      <c r="M123" s="5">
        <f>[4]Forecasts!$C$28</f>
        <v>3.6623000000000001</v>
      </c>
    </row>
    <row r="124" spans="1:13" x14ac:dyDescent="0.2">
      <c r="A124" s="3">
        <v>44654</v>
      </c>
      <c r="B124" s="4">
        <f>'[6]Yellow Grease Complex'!$AD$220</f>
        <v>60.524999999999999</v>
      </c>
      <c r="C124" s="4">
        <f>'[6]Used Cooking Oil Complex'!$AD$204</f>
        <v>70.650000000000006</v>
      </c>
      <c r="D124" s="4" t="e">
        <f>#REF!</f>
        <v>#REF!</v>
      </c>
      <c r="E124" s="4" t="e">
        <f>#REF!</f>
        <v>#REF!</v>
      </c>
      <c r="F124" s="4" t="e">
        <f>#REF!</f>
        <v>#REF!</v>
      </c>
      <c r="G124" s="4" t="e">
        <f>#REF!</f>
        <v>#REF!</v>
      </c>
      <c r="H124" s="4">
        <f>[1]Prices!$D$630+Q$1</f>
        <v>99.201999999999998</v>
      </c>
      <c r="I124" s="4"/>
      <c r="J124" s="4">
        <f>'[3]RINs and HOBO Forecast'!$C$65</f>
        <v>164.1688</v>
      </c>
      <c r="K124" s="4">
        <f>'[2]LCFS Credit Price Forecast'!$B$107</f>
        <v>117.675</v>
      </c>
      <c r="L124" s="5">
        <f>[4]Forecasts!$B$29</f>
        <v>787.75</v>
      </c>
      <c r="M124" s="5">
        <f>[4]Forecasts!$C$29</f>
        <v>3.8795000000000002</v>
      </c>
    </row>
    <row r="125" spans="1:13" x14ac:dyDescent="0.2">
      <c r="A125" s="3">
        <v>44661</v>
      </c>
      <c r="B125" s="4">
        <f>'[6]Yellow Grease Complex'!$AD$220</f>
        <v>60.524999999999999</v>
      </c>
      <c r="C125" s="4">
        <f>'[6]Used Cooking Oil Complex'!$AD$204</f>
        <v>70.650000000000006</v>
      </c>
      <c r="D125" s="4" t="e">
        <f>#REF!</f>
        <v>#REF!</v>
      </c>
      <c r="E125" s="4" t="e">
        <f>#REF!</f>
        <v>#REF!</v>
      </c>
      <c r="F125" s="4" t="e">
        <f>#REF!</f>
        <v>#REF!</v>
      </c>
      <c r="G125" s="4" t="e">
        <f>#REF!</f>
        <v>#REF!</v>
      </c>
      <c r="H125" s="4">
        <f>[1]Prices!$D$630+Q$1</f>
        <v>99.201999999999998</v>
      </c>
      <c r="I125" s="4"/>
      <c r="J125" s="4">
        <f>'[3]RINs and HOBO Forecast'!$C$65</f>
        <v>164.1688</v>
      </c>
      <c r="K125" s="4">
        <f>'[2]LCFS Credit Price Forecast'!$B$107</f>
        <v>117.675</v>
      </c>
      <c r="L125" s="5">
        <f>[4]Forecasts!$B$29</f>
        <v>787.75</v>
      </c>
      <c r="M125" s="5">
        <f>[4]Forecasts!$C$29</f>
        <v>3.8795000000000002</v>
      </c>
    </row>
    <row r="126" spans="1:13" x14ac:dyDescent="0.2">
      <c r="A126" s="3">
        <v>44668</v>
      </c>
      <c r="B126" s="4">
        <f>'[6]Yellow Grease Complex'!$AD$220</f>
        <v>60.524999999999999</v>
      </c>
      <c r="C126" s="4">
        <f>'[6]Used Cooking Oil Complex'!$AD$204</f>
        <v>70.650000000000006</v>
      </c>
      <c r="D126" s="4" t="e">
        <f>#REF!</f>
        <v>#REF!</v>
      </c>
      <c r="E126" s="4" t="e">
        <f>#REF!</f>
        <v>#REF!</v>
      </c>
      <c r="F126" s="4" t="e">
        <f>#REF!</f>
        <v>#REF!</v>
      </c>
      <c r="G126" s="4" t="e">
        <f>#REF!</f>
        <v>#REF!</v>
      </c>
      <c r="H126" s="4">
        <f>[1]Prices!$D$630+Q$1</f>
        <v>99.201999999999998</v>
      </c>
      <c r="I126" s="4"/>
      <c r="J126" s="4">
        <f>'[3]RINs and HOBO Forecast'!$C$65</f>
        <v>164.1688</v>
      </c>
      <c r="K126" s="4">
        <f>'[2]LCFS Credit Price Forecast'!$B$107</f>
        <v>117.675</v>
      </c>
      <c r="L126" s="5">
        <f>[4]Forecasts!$B$29</f>
        <v>787.75</v>
      </c>
      <c r="M126" s="5">
        <f>[4]Forecasts!$C$29</f>
        <v>3.8795000000000002</v>
      </c>
    </row>
    <row r="127" spans="1:13" x14ac:dyDescent="0.2">
      <c r="A127" s="3">
        <v>44675</v>
      </c>
      <c r="B127" s="4">
        <f>'[6]Yellow Grease Complex'!$AD$220</f>
        <v>60.524999999999999</v>
      </c>
      <c r="C127" s="4">
        <f>'[6]Used Cooking Oil Complex'!$AD$204</f>
        <v>70.650000000000006</v>
      </c>
      <c r="D127" s="4" t="e">
        <f>#REF!</f>
        <v>#REF!</v>
      </c>
      <c r="E127" s="4" t="e">
        <f>#REF!</f>
        <v>#REF!</v>
      </c>
      <c r="F127" s="4" t="e">
        <f>#REF!</f>
        <v>#REF!</v>
      </c>
      <c r="G127" s="4" t="e">
        <f>#REF!</f>
        <v>#REF!</v>
      </c>
      <c r="H127" s="4">
        <f>[1]Prices!$D$630+Q$1</f>
        <v>99.201999999999998</v>
      </c>
      <c r="I127" s="4"/>
      <c r="J127" s="4">
        <f>'[3]RINs and HOBO Forecast'!$C$65</f>
        <v>164.1688</v>
      </c>
      <c r="K127" s="4">
        <f>'[2]LCFS Credit Price Forecast'!$B$107</f>
        <v>117.675</v>
      </c>
      <c r="L127" s="5">
        <f>[4]Forecasts!$B$29+35</f>
        <v>822.75</v>
      </c>
      <c r="M127" s="5">
        <f>[4]Forecasts!$C$29+0.825</f>
        <v>4.7045000000000003</v>
      </c>
    </row>
    <row r="128" spans="1:13" x14ac:dyDescent="0.2">
      <c r="A128" s="3">
        <v>44682</v>
      </c>
      <c r="B128" s="4">
        <f>'[6]Yellow Grease Complex'!$AD$221</f>
        <v>62.5</v>
      </c>
      <c r="C128" s="4">
        <f>'[6]Used Cooking Oil Complex'!$AD$205</f>
        <v>70.5</v>
      </c>
      <c r="D128" s="4" t="e">
        <f>#REF!</f>
        <v>#REF!</v>
      </c>
      <c r="E128" s="4" t="e">
        <f>#REF!</f>
        <v>#REF!</v>
      </c>
      <c r="F128" s="4" t="e">
        <f>#REF!</f>
        <v>#REF!</v>
      </c>
      <c r="G128" s="4" t="e">
        <f>#REF!</f>
        <v>#REF!</v>
      </c>
      <c r="H128" s="4">
        <f>[1]Prices!$D$631+Q$1</f>
        <v>101.00476190476191</v>
      </c>
      <c r="I128" s="4"/>
      <c r="J128" s="4">
        <f>'[3]RINs and HOBO Forecast'!$C$66</f>
        <v>178.381</v>
      </c>
      <c r="K128" s="4">
        <f>'[2]LCFS Credit Price Forecast'!$B$108</f>
        <v>108.58329999999999</v>
      </c>
      <c r="L128" s="5">
        <f>[4]Forecasts!$B$30</f>
        <v>798.09519999999998</v>
      </c>
      <c r="M128" s="5">
        <f>[4]Forecasts!$C$30</f>
        <v>3.9176000000000002</v>
      </c>
    </row>
    <row r="129" spans="1:13" x14ac:dyDescent="0.2">
      <c r="A129" s="3">
        <v>44689</v>
      </c>
      <c r="B129" s="4">
        <f>'[6]Yellow Grease Complex'!$AD$221</f>
        <v>62.5</v>
      </c>
      <c r="C129" s="4">
        <f>'[6]Used Cooking Oil Complex'!$AD$205</f>
        <v>70.5</v>
      </c>
      <c r="D129" s="4" t="e">
        <f>#REF!</f>
        <v>#REF!</v>
      </c>
      <c r="E129" s="4" t="e">
        <f>#REF!</f>
        <v>#REF!</v>
      </c>
      <c r="F129" s="4" t="e">
        <f>#REF!</f>
        <v>#REF!</v>
      </c>
      <c r="G129" s="4" t="e">
        <f>#REF!</f>
        <v>#REF!</v>
      </c>
      <c r="H129" s="4">
        <f>[1]Prices!$D$631+Q$1</f>
        <v>101.00476190476191</v>
      </c>
      <c r="I129" s="4"/>
      <c r="J129" s="4">
        <f>'[3]RINs and HOBO Forecast'!$C$66</f>
        <v>178.381</v>
      </c>
      <c r="K129" s="4">
        <f>'[2]LCFS Credit Price Forecast'!$B$108</f>
        <v>108.58329999999999</v>
      </c>
      <c r="L129" s="5">
        <f>[4]Forecasts!$B$30</f>
        <v>798.09519999999998</v>
      </c>
      <c r="M129" s="5">
        <f>[4]Forecasts!$C$30</f>
        <v>3.9176000000000002</v>
      </c>
    </row>
    <row r="130" spans="1:13" x14ac:dyDescent="0.2">
      <c r="A130" s="3">
        <v>44696</v>
      </c>
      <c r="B130" s="4">
        <f>'[6]Yellow Grease Complex'!$AD$221</f>
        <v>62.5</v>
      </c>
      <c r="C130" s="4">
        <f>'[6]Used Cooking Oil Complex'!$AD$205</f>
        <v>70.5</v>
      </c>
      <c r="D130" s="4" t="e">
        <f>#REF!</f>
        <v>#REF!</v>
      </c>
      <c r="E130" s="4" t="e">
        <f>#REF!</f>
        <v>#REF!</v>
      </c>
      <c r="F130" s="4" t="e">
        <f>#REF!</f>
        <v>#REF!</v>
      </c>
      <c r="G130" s="4" t="e">
        <f>#REF!</f>
        <v>#REF!</v>
      </c>
      <c r="H130" s="4">
        <f>[1]Prices!$D$631+Q$1</f>
        <v>101.00476190476191</v>
      </c>
      <c r="I130" s="4"/>
      <c r="J130" s="4">
        <f>'[3]RINs and HOBO Forecast'!$C$66</f>
        <v>178.381</v>
      </c>
      <c r="K130" s="4">
        <f>'[2]LCFS Credit Price Forecast'!$B$108</f>
        <v>108.58329999999999</v>
      </c>
      <c r="L130" s="5">
        <f>[4]Forecasts!$B$30</f>
        <v>798.09519999999998</v>
      </c>
      <c r="M130" s="5">
        <f>[4]Forecasts!$C$30</f>
        <v>3.9176000000000002</v>
      </c>
    </row>
    <row r="131" spans="1:13" x14ac:dyDescent="0.2">
      <c r="A131" s="3">
        <v>44703</v>
      </c>
      <c r="B131" s="4">
        <f>'[6]Yellow Grease Complex'!$AD$221</f>
        <v>62.5</v>
      </c>
      <c r="C131" s="4">
        <f>'[6]Used Cooking Oil Complex'!$AD$205</f>
        <v>70.5</v>
      </c>
      <c r="D131" s="4" t="e">
        <f>#REF!</f>
        <v>#REF!</v>
      </c>
      <c r="E131" s="4" t="e">
        <f>#REF!</f>
        <v>#REF!</v>
      </c>
      <c r="F131" s="4" t="e">
        <f>#REF!</f>
        <v>#REF!</v>
      </c>
      <c r="G131" s="4" t="e">
        <f>#REF!</f>
        <v>#REF!</v>
      </c>
      <c r="H131" s="4">
        <f>[1]Prices!$D$631+Q$1</f>
        <v>101.00476190476191</v>
      </c>
      <c r="I131" s="4"/>
      <c r="J131" s="4">
        <f>'[3]RINs and HOBO Forecast'!$C$66</f>
        <v>178.381</v>
      </c>
      <c r="K131" s="4">
        <f>'[2]LCFS Credit Price Forecast'!$B$108-20</f>
        <v>88.583299999999994</v>
      </c>
      <c r="L131" s="5">
        <f>[4]Forecasts!$B$30</f>
        <v>798.09519999999998</v>
      </c>
      <c r="M131" s="5">
        <f>[4]Forecasts!$C$30</f>
        <v>3.9176000000000002</v>
      </c>
    </row>
    <row r="132" spans="1:13" x14ac:dyDescent="0.2">
      <c r="A132" s="3">
        <v>44710</v>
      </c>
      <c r="B132" s="4">
        <f>'[6]Yellow Grease Complex'!$AD$221-2.4</f>
        <v>60.1</v>
      </c>
      <c r="C132" s="4">
        <f>'[6]Used Cooking Oil Complex'!$AD$205-1.35</f>
        <v>69.150000000000006</v>
      </c>
      <c r="D132" s="4" t="e">
        <f>#REF!</f>
        <v>#REF!</v>
      </c>
      <c r="E132" s="4" t="e">
        <f>#REF!</f>
        <v>#REF!</v>
      </c>
      <c r="F132" s="4" t="e">
        <f>#REF!-0.94</f>
        <v>#REF!</v>
      </c>
      <c r="G132" s="4" t="e">
        <f>#REF!-0.14</f>
        <v>#REF!</v>
      </c>
      <c r="H132" s="4">
        <f>[1]Prices!$D$631+Q$1</f>
        <v>101.00476190476191</v>
      </c>
      <c r="I132" s="4"/>
      <c r="J132" s="4">
        <f>'[3]RINs and HOBO Forecast'!$C$66</f>
        <v>178.381</v>
      </c>
      <c r="K132" s="4">
        <f>'[2]LCFS Credit Price Forecast'!$B$108-15</f>
        <v>93.583299999999994</v>
      </c>
      <c r="L132" s="5">
        <f>[4]Forecasts!$B$30</f>
        <v>798.09519999999998</v>
      </c>
      <c r="M132" s="5">
        <f>[4]Forecasts!$C$30+0.52</f>
        <v>4.4375999999999998</v>
      </c>
    </row>
    <row r="133" spans="1:13" x14ac:dyDescent="0.2">
      <c r="A133" s="3">
        <v>44717</v>
      </c>
      <c r="B133" s="4">
        <f>'[6]Yellow Grease Complex'!$AD$222</f>
        <v>62.357100000000003</v>
      </c>
      <c r="C133" s="4">
        <f>'[6]Used Cooking Oil Complex'!$AD$206</f>
        <v>71.785700000000006</v>
      </c>
      <c r="D133" s="4" t="e">
        <f>#REF!</f>
        <v>#REF!</v>
      </c>
      <c r="E133" s="4" t="e">
        <f>#REF!</f>
        <v>#REF!</v>
      </c>
      <c r="F133" s="4" t="e">
        <f>#REF!</f>
        <v>#REF!</v>
      </c>
      <c r="G133" s="4" t="e">
        <f>#REF!</f>
        <v>#REF!</v>
      </c>
      <c r="H133" s="4">
        <f>[1]Prices!$D$632+Q$1</f>
        <v>96.33</v>
      </c>
      <c r="I133" s="4"/>
      <c r="J133" s="4">
        <f>'[3]RINs and HOBO Forecast'!$C$67</f>
        <v>163.25</v>
      </c>
      <c r="K133" s="4">
        <f>'[2]LCFS Credit Price Forecast'!$B$109</f>
        <v>88.523799999999994</v>
      </c>
      <c r="L133" s="5">
        <f>[4]Forecasts!$B$31</f>
        <v>791.90480000000002</v>
      </c>
      <c r="M133" s="5">
        <f>[4]Forecasts!$C$31</f>
        <v>4.3010999999999999</v>
      </c>
    </row>
    <row r="134" spans="1:13" x14ac:dyDescent="0.2">
      <c r="A134" s="3">
        <v>44724</v>
      </c>
      <c r="B134" s="4">
        <f>'[6]Yellow Grease Complex'!$AD$222</f>
        <v>62.357100000000003</v>
      </c>
      <c r="C134" s="4">
        <f>'[6]Used Cooking Oil Complex'!$AD$206</f>
        <v>71.785700000000006</v>
      </c>
      <c r="D134" s="4" t="e">
        <f>#REF!</f>
        <v>#REF!</v>
      </c>
      <c r="E134" s="4" t="e">
        <f>#REF!</f>
        <v>#REF!</v>
      </c>
      <c r="F134" s="4" t="e">
        <f>#REF!</f>
        <v>#REF!</v>
      </c>
      <c r="G134" s="4" t="e">
        <f>#REF!</f>
        <v>#REF!</v>
      </c>
      <c r="H134" s="4">
        <f>[1]Prices!$D$632+Q$1</f>
        <v>96.33</v>
      </c>
      <c r="I134" s="4"/>
      <c r="J134" s="4">
        <f>'[3]RINs and HOBO Forecast'!$C$67</f>
        <v>163.25</v>
      </c>
      <c r="K134" s="4">
        <f>'[2]LCFS Credit Price Forecast'!$B$109</f>
        <v>88.523799999999994</v>
      </c>
      <c r="L134" s="5">
        <f>[4]Forecasts!$B$31</f>
        <v>791.90480000000002</v>
      </c>
      <c r="M134" s="5">
        <f>[4]Forecasts!$C$31</f>
        <v>4.3010999999999999</v>
      </c>
    </row>
    <row r="135" spans="1:13" x14ac:dyDescent="0.2">
      <c r="A135" s="3">
        <v>44731</v>
      </c>
      <c r="B135" s="4">
        <f>'[6]Yellow Grease Complex'!$AD$222</f>
        <v>62.357100000000003</v>
      </c>
      <c r="C135" s="4">
        <f>'[6]Used Cooking Oil Complex'!$AD$206</f>
        <v>71.785700000000006</v>
      </c>
      <c r="D135" s="4" t="e">
        <f>#REF!</f>
        <v>#REF!</v>
      </c>
      <c r="E135" s="4" t="e">
        <f>#REF!</f>
        <v>#REF!</v>
      </c>
      <c r="F135" s="4" t="e">
        <f>#REF!</f>
        <v>#REF!</v>
      </c>
      <c r="G135" s="4" t="e">
        <f>#REF!</f>
        <v>#REF!</v>
      </c>
      <c r="H135" s="4">
        <f>[1]Prices!$D$632+Q$1</f>
        <v>96.33</v>
      </c>
      <c r="I135" s="4"/>
      <c r="J135" s="4">
        <f>'[3]RINs and HOBO Forecast'!$C$67</f>
        <v>163.25</v>
      </c>
      <c r="K135" s="4">
        <f>'[2]LCFS Credit Price Forecast'!$B$109</f>
        <v>88.523799999999994</v>
      </c>
      <c r="L135" s="5">
        <f>[4]Forecasts!$B$31</f>
        <v>791.90480000000002</v>
      </c>
      <c r="M135" s="5">
        <f>[4]Forecasts!$C$31</f>
        <v>4.3010999999999999</v>
      </c>
    </row>
    <row r="136" spans="1:13" x14ac:dyDescent="0.2">
      <c r="A136" s="3">
        <v>44738</v>
      </c>
      <c r="B136" s="4">
        <f>'[6]Yellow Grease Complex'!$AD$222</f>
        <v>62.357100000000003</v>
      </c>
      <c r="C136" s="4">
        <f>'[6]Used Cooking Oil Complex'!$AD$206</f>
        <v>71.785700000000006</v>
      </c>
      <c r="D136" s="4" t="e">
        <f>#REF!</f>
        <v>#REF!</v>
      </c>
      <c r="E136" s="4" t="e">
        <f>#REF!</f>
        <v>#REF!</v>
      </c>
      <c r="F136" s="4" t="e">
        <f>#REF!</f>
        <v>#REF!</v>
      </c>
      <c r="G136" s="4" t="e">
        <f>#REF!</f>
        <v>#REF!</v>
      </c>
      <c r="H136" s="4">
        <f>[1]Prices!$D$632+Q$1</f>
        <v>96.33</v>
      </c>
      <c r="I136" s="4"/>
      <c r="J136" s="4">
        <f>'[3]RINs and HOBO Forecast'!$C$67</f>
        <v>163.25</v>
      </c>
      <c r="K136" s="4">
        <f>'[2]LCFS Credit Price Forecast'!$B$109</f>
        <v>88.523799999999994</v>
      </c>
      <c r="L136" s="5">
        <f>[4]Forecasts!$B$31</f>
        <v>791.90480000000002</v>
      </c>
      <c r="M136" s="5">
        <f>[4]Forecasts!$C$31</f>
        <v>4.3010999999999999</v>
      </c>
    </row>
    <row r="137" spans="1:13" x14ac:dyDescent="0.2">
      <c r="A137" s="3">
        <v>44745</v>
      </c>
      <c r="B137" s="4">
        <f>'[6]Yellow Grease Complex'!$AD$223</f>
        <v>57.625</v>
      </c>
      <c r="C137" s="4">
        <f>'[6]Used Cooking Oil Complex'!$AD$207</f>
        <v>70.137500000000003</v>
      </c>
      <c r="D137" s="4" t="e">
        <f>#REF!</f>
        <v>#REF!</v>
      </c>
      <c r="E137" s="4" t="e">
        <f>#REF!</f>
        <v>#REF!</v>
      </c>
      <c r="F137" s="4" t="e">
        <f>#REF!</f>
        <v>#REF!</v>
      </c>
      <c r="G137" s="4" t="e">
        <f>#REF!</f>
        <v>#REF!</v>
      </c>
      <c r="H137" s="4">
        <f>[1]Prices!$AB$633</f>
        <v>81.498000000000005</v>
      </c>
      <c r="I137" s="4"/>
      <c r="J137" s="4">
        <f>'[3]RINs and HOBO Forecast'!$C$68</f>
        <v>161.42500000000001</v>
      </c>
      <c r="K137" s="4">
        <f>'[2]LCFS Credit Price Forecast'!$B$110</f>
        <v>92.987499999999997</v>
      </c>
      <c r="L137" s="5">
        <f>[4]Forecasts!$B$32</f>
        <v>757.55</v>
      </c>
      <c r="M137" s="5">
        <f>[4]Forecasts!$C$32</f>
        <v>3.6501999999999999</v>
      </c>
    </row>
    <row r="138" spans="1:13" x14ac:dyDescent="0.2">
      <c r="A138" s="3">
        <v>44752</v>
      </c>
      <c r="B138" s="4">
        <f>'[6]Yellow Grease Complex'!$AD$223</f>
        <v>57.625</v>
      </c>
      <c r="C138" s="4">
        <f>'[6]Used Cooking Oil Complex'!$AD$207</f>
        <v>70.137500000000003</v>
      </c>
      <c r="D138" s="4" t="e">
        <f>#REF!</f>
        <v>#REF!</v>
      </c>
      <c r="E138" s="4" t="e">
        <f>#REF!</f>
        <v>#REF!</v>
      </c>
      <c r="F138" s="4" t="e">
        <f>#REF!</f>
        <v>#REF!</v>
      </c>
      <c r="G138" s="4" t="e">
        <f>#REF!</f>
        <v>#REF!</v>
      </c>
      <c r="H138" s="4">
        <f>[1]Prices!$AB$633</f>
        <v>81.498000000000005</v>
      </c>
      <c r="I138" s="4"/>
      <c r="J138" s="4">
        <f>'[3]RINs and HOBO Forecast'!$C$68</f>
        <v>161.42500000000001</v>
      </c>
      <c r="K138" s="4">
        <f>'[2]LCFS Credit Price Forecast'!$B$110</f>
        <v>92.987499999999997</v>
      </c>
      <c r="L138" s="5">
        <f>[4]Forecasts!$B$32</f>
        <v>757.55</v>
      </c>
      <c r="M138" s="5">
        <f>[4]Forecasts!$C$32</f>
        <v>3.6501999999999999</v>
      </c>
    </row>
    <row r="139" spans="1:13" x14ac:dyDescent="0.2">
      <c r="A139" s="3">
        <v>44759</v>
      </c>
      <c r="B139" s="4">
        <f>'[6]Yellow Grease Complex'!$AD$223</f>
        <v>57.625</v>
      </c>
      <c r="C139" s="4">
        <f>'[6]Used Cooking Oil Complex'!$AD$207</f>
        <v>70.137500000000003</v>
      </c>
      <c r="D139" s="4" t="e">
        <f>#REF!</f>
        <v>#REF!</v>
      </c>
      <c r="E139" s="4" t="e">
        <f>#REF!</f>
        <v>#REF!</v>
      </c>
      <c r="F139" s="4" t="e">
        <f>#REF!</f>
        <v>#REF!</v>
      </c>
      <c r="G139" s="4" t="e">
        <f>#REF!</f>
        <v>#REF!</v>
      </c>
      <c r="H139" s="4">
        <f>[1]Prices!$AB$633</f>
        <v>81.498000000000005</v>
      </c>
      <c r="I139" s="4"/>
      <c r="J139" s="4">
        <f>'[3]RINs and HOBO Forecast'!$C$68</f>
        <v>161.42500000000001</v>
      </c>
      <c r="K139" s="4">
        <f>'[2]LCFS Credit Price Forecast'!$B$110</f>
        <v>92.987499999999997</v>
      </c>
      <c r="L139" s="5">
        <f>[4]Forecasts!$B$32</f>
        <v>757.55</v>
      </c>
      <c r="M139" s="5">
        <f>[4]Forecasts!$C$32</f>
        <v>3.6501999999999999</v>
      </c>
    </row>
    <row r="140" spans="1:13" x14ac:dyDescent="0.2">
      <c r="A140" s="3">
        <v>44766</v>
      </c>
      <c r="B140" s="4">
        <f>'[6]Yellow Grease Complex'!$AD$223</f>
        <v>57.625</v>
      </c>
      <c r="C140" s="4">
        <f>'[6]Used Cooking Oil Complex'!$AD$207</f>
        <v>70.137500000000003</v>
      </c>
      <c r="D140" s="4" t="e">
        <f>#REF!</f>
        <v>#REF!</v>
      </c>
      <c r="E140" s="4" t="e">
        <f>#REF!</f>
        <v>#REF!</v>
      </c>
      <c r="F140" s="4" t="e">
        <f>#REF!</f>
        <v>#REF!</v>
      </c>
      <c r="G140" s="4" t="e">
        <f>#REF!</f>
        <v>#REF!</v>
      </c>
      <c r="H140" s="4">
        <f>[1]Prices!$AB$633+3</f>
        <v>84.498000000000005</v>
      </c>
      <c r="I140" s="4"/>
      <c r="J140" s="4">
        <f>'[3]RINs and HOBO Forecast'!$C$68</f>
        <v>161.42500000000001</v>
      </c>
      <c r="K140" s="4">
        <f>'[2]LCFS Credit Price Forecast'!$B$110</f>
        <v>92.987499999999997</v>
      </c>
      <c r="L140" s="5">
        <f>[4]Forecasts!$B$32</f>
        <v>757.55</v>
      </c>
      <c r="M140" s="5">
        <f>[4]Forecasts!$C$32</f>
        <v>3.6501999999999999</v>
      </c>
    </row>
    <row r="141" spans="1:13" x14ac:dyDescent="0.2">
      <c r="A141" s="3">
        <v>44773</v>
      </c>
      <c r="B141" s="4">
        <f>'[6]Yellow Grease Complex'!$AD$223</f>
        <v>57.625</v>
      </c>
      <c r="C141" s="4">
        <f>'[6]Used Cooking Oil Complex'!$AD$207</f>
        <v>70.137500000000003</v>
      </c>
      <c r="D141" s="4" t="e">
        <f>#REF!</f>
        <v>#REF!</v>
      </c>
      <c r="E141" s="4" t="e">
        <f>#REF!</f>
        <v>#REF!</v>
      </c>
      <c r="F141" s="4" t="e">
        <f>#REF!</f>
        <v>#REF!</v>
      </c>
      <c r="G141" s="4" t="e">
        <f>#REF!</f>
        <v>#REF!</v>
      </c>
      <c r="H141" s="4">
        <f>[1]Prices!$AB$633+3</f>
        <v>84.498000000000005</v>
      </c>
      <c r="I141" s="4"/>
      <c r="J141" s="4">
        <f>'[3]RINs and HOBO Forecast'!$C$68</f>
        <v>161.42500000000001</v>
      </c>
      <c r="K141" s="4">
        <f>'[2]LCFS Credit Price Forecast'!$B$110</f>
        <v>92.987499999999997</v>
      </c>
      <c r="L141" s="5">
        <f>[4]Forecasts!$B$32</f>
        <v>757.55</v>
      </c>
      <c r="M141" s="5">
        <f>[4]Forecasts!$C$32</f>
        <v>3.6501999999999999</v>
      </c>
    </row>
    <row r="142" spans="1:13" x14ac:dyDescent="0.2">
      <c r="A142" s="3">
        <v>44780</v>
      </c>
      <c r="B142" s="4">
        <f>'[6]Yellow Grease Complex'!$AD$224</f>
        <v>55.75</v>
      </c>
      <c r="C142" s="4">
        <f>'[6]Used Cooking Oil Complex'!$AD$208</f>
        <v>67.673900000000003</v>
      </c>
      <c r="D142" s="4" t="e">
        <f>#REF!</f>
        <v>#REF!</v>
      </c>
      <c r="E142" s="4" t="e">
        <f>#REF!</f>
        <v>#REF!</v>
      </c>
      <c r="F142" s="4" t="e">
        <f>#REF!</f>
        <v>#REF!</v>
      </c>
      <c r="G142" s="4" t="e">
        <f>#REF!</f>
        <v>#REF!</v>
      </c>
      <c r="H142" s="4">
        <f>[1]Prices!$AB$634</f>
        <v>85.409099999999995</v>
      </c>
      <c r="I142" s="4"/>
      <c r="J142" s="4">
        <f>'[3]RINs and HOBO Forecast'!$C$69</f>
        <v>176.58699999999999</v>
      </c>
      <c r="K142" s="4">
        <f>'[2]LCFS Credit Price Forecast'!$B$111</f>
        <v>87.956500000000005</v>
      </c>
      <c r="L142" s="5">
        <f>[4]Forecasts!$B$33</f>
        <v>749.95650000000001</v>
      </c>
      <c r="M142" s="5">
        <f>[4]Forecasts!$C$33</f>
        <v>3.6059999999999999</v>
      </c>
    </row>
    <row r="143" spans="1:13" x14ac:dyDescent="0.2">
      <c r="A143" s="3">
        <v>44787</v>
      </c>
      <c r="B143" s="4">
        <f>'[6]Yellow Grease Complex'!$AD$224</f>
        <v>55.75</v>
      </c>
      <c r="C143" s="4">
        <f>'[6]Used Cooking Oil Complex'!$AD$208</f>
        <v>67.673900000000003</v>
      </c>
      <c r="D143" s="4" t="e">
        <f>#REF!</f>
        <v>#REF!</v>
      </c>
      <c r="E143" s="4" t="e">
        <f>#REF!</f>
        <v>#REF!</v>
      </c>
      <c r="F143" s="4" t="e">
        <f>#REF!</f>
        <v>#REF!</v>
      </c>
      <c r="G143" s="4" t="e">
        <f>#REF!</f>
        <v>#REF!</v>
      </c>
      <c r="H143" s="4">
        <f>[1]Prices!$AB$634</f>
        <v>85.409099999999995</v>
      </c>
      <c r="I143" s="4"/>
      <c r="J143" s="4">
        <f>'[3]RINs and HOBO Forecast'!$C$69</f>
        <v>176.58699999999999</v>
      </c>
      <c r="K143" s="4">
        <f>'[2]LCFS Credit Price Forecast'!$B$111</f>
        <v>87.956500000000005</v>
      </c>
      <c r="L143" s="5">
        <f>[4]Forecasts!$B$33</f>
        <v>749.95650000000001</v>
      </c>
      <c r="M143" s="5">
        <f>[4]Forecasts!$C$33</f>
        <v>3.6059999999999999</v>
      </c>
    </row>
    <row r="144" spans="1:13" x14ac:dyDescent="0.2">
      <c r="A144" s="3">
        <v>44794</v>
      </c>
      <c r="B144" s="4">
        <f>'[6]Yellow Grease Complex'!$AD$224</f>
        <v>55.75</v>
      </c>
      <c r="C144" s="4">
        <f>'[6]Used Cooking Oil Complex'!$AD$208</f>
        <v>67.673900000000003</v>
      </c>
      <c r="D144" s="4" t="e">
        <f>#REF!</f>
        <v>#REF!</v>
      </c>
      <c r="E144" s="4" t="e">
        <f>#REF!</f>
        <v>#REF!</v>
      </c>
      <c r="F144" s="4" t="e">
        <f>#REF!</f>
        <v>#REF!</v>
      </c>
      <c r="G144" s="4" t="e">
        <f>#REF!+2</f>
        <v>#REF!</v>
      </c>
      <c r="H144" s="4">
        <f>[1]Prices!$AB$634</f>
        <v>85.409099999999995</v>
      </c>
      <c r="I144" s="4"/>
      <c r="J144" s="4">
        <f>'[3]RINs and HOBO Forecast'!$C$69</f>
        <v>176.58699999999999</v>
      </c>
      <c r="K144" s="4">
        <f>'[2]LCFS Credit Price Forecast'!$B$111</f>
        <v>87.956500000000005</v>
      </c>
      <c r="L144" s="5">
        <f>[4]Forecasts!$B$33</f>
        <v>749.95650000000001</v>
      </c>
      <c r="M144" s="5">
        <f>[4]Forecasts!$C$33</f>
        <v>3.6059999999999999</v>
      </c>
    </row>
    <row r="145" spans="1:13" x14ac:dyDescent="0.2">
      <c r="A145" s="3">
        <v>44801</v>
      </c>
      <c r="B145" s="4">
        <f>'[6]Yellow Grease Complex'!$AD$224</f>
        <v>55.75</v>
      </c>
      <c r="C145" s="4">
        <f>'[6]Used Cooking Oil Complex'!$AD$208</f>
        <v>67.673900000000003</v>
      </c>
      <c r="D145" s="4" t="e">
        <f>#REF!</f>
        <v>#REF!</v>
      </c>
      <c r="E145" s="4" t="e">
        <f>#REF!</f>
        <v>#REF!</v>
      </c>
      <c r="F145" s="4" t="e">
        <f>#REF!</f>
        <v>#REF!</v>
      </c>
      <c r="G145" s="4" t="e">
        <f>#REF!+2</f>
        <v>#REF!</v>
      </c>
      <c r="H145" s="4">
        <f>[1]Prices!$AB$634</f>
        <v>85.409099999999995</v>
      </c>
      <c r="I145" s="4"/>
      <c r="J145" s="4">
        <f>'[3]RINs and HOBO Forecast'!$C$69</f>
        <v>176.58699999999999</v>
      </c>
      <c r="K145" s="4">
        <f>'[2]LCFS Credit Price Forecast'!$B$111</f>
        <v>87.956500000000005</v>
      </c>
      <c r="L145" s="5">
        <f>[4]Forecasts!$B$33</f>
        <v>749.95650000000001</v>
      </c>
      <c r="M145" s="5">
        <f>[4]Forecasts!$C$33</f>
        <v>3.6059999999999999</v>
      </c>
    </row>
    <row r="146" spans="1:13" x14ac:dyDescent="0.2">
      <c r="A146" s="3">
        <v>44808</v>
      </c>
      <c r="B146" s="4">
        <f>'[6]Yellow Grease Complex'!$AD$225</f>
        <v>54.5</v>
      </c>
      <c r="C146" s="4">
        <f>'[6]Used Cooking Oil Complex'!$AD$209</f>
        <v>66.321399999999997</v>
      </c>
      <c r="D146" s="4" t="e">
        <f>#REF!</f>
        <v>#REF!</v>
      </c>
      <c r="E146" s="4" t="e">
        <f>#REF!</f>
        <v>#REF!</v>
      </c>
      <c r="F146" s="4" t="e">
        <f>#REF!</f>
        <v>#REF!</v>
      </c>
      <c r="G146" s="4" t="e">
        <f>#REF!</f>
        <v>#REF!</v>
      </c>
      <c r="H146" s="4">
        <f>[1]Prices!$AB$635</f>
        <v>83.801900000000003</v>
      </c>
      <c r="I146" s="4"/>
      <c r="J146" s="4">
        <f>'[3]RINs and HOBO Forecast'!$C$70</f>
        <v>174.81549999999999</v>
      </c>
      <c r="K146" s="4">
        <f>'[2]LCFS Credit Price Forecast'!$B$112</f>
        <v>77.3095</v>
      </c>
      <c r="L146" s="5">
        <f>[4]Forecasts!$B$34</f>
        <v>770</v>
      </c>
      <c r="M146" s="5">
        <f>[4]Forecasts!$C$34</f>
        <v>3.4216000000000002</v>
      </c>
    </row>
    <row r="147" spans="1:13" x14ac:dyDescent="0.2">
      <c r="A147" s="3">
        <v>44815</v>
      </c>
      <c r="B147" s="4">
        <f>'[6]Yellow Grease Complex'!$AD$225</f>
        <v>54.5</v>
      </c>
      <c r="C147" s="4">
        <f>'[6]Used Cooking Oil Complex'!$AD$209</f>
        <v>66.321399999999997</v>
      </c>
      <c r="D147" s="4" t="e">
        <f>#REF!</f>
        <v>#REF!</v>
      </c>
      <c r="E147" s="4" t="e">
        <f>#REF!</f>
        <v>#REF!</v>
      </c>
      <c r="F147" s="4" t="e">
        <f>#REF!</f>
        <v>#REF!</v>
      </c>
      <c r="G147" s="4" t="e">
        <f>#REF!</f>
        <v>#REF!</v>
      </c>
      <c r="H147" s="4">
        <f>[1]Prices!$AB$635</f>
        <v>83.801900000000003</v>
      </c>
      <c r="I147" s="4"/>
      <c r="J147" s="4">
        <f>'[3]RINs and HOBO Forecast'!$C$70</f>
        <v>174.81549999999999</v>
      </c>
      <c r="K147" s="4">
        <f>'[2]LCFS Credit Price Forecast'!$B$112</f>
        <v>77.3095</v>
      </c>
      <c r="L147" s="5">
        <f>[4]Forecasts!$B$34</f>
        <v>770</v>
      </c>
      <c r="M147" s="5">
        <f>[4]Forecasts!$C$34</f>
        <v>3.4216000000000002</v>
      </c>
    </row>
    <row r="148" spans="1:13" x14ac:dyDescent="0.2">
      <c r="A148" s="3">
        <v>44822</v>
      </c>
      <c r="B148" s="4">
        <f>'[6]Yellow Grease Complex'!$AD$225</f>
        <v>54.5</v>
      </c>
      <c r="C148" s="4">
        <f>'[6]Used Cooking Oil Complex'!$AD$209</f>
        <v>66.321399999999997</v>
      </c>
      <c r="D148" s="4" t="e">
        <f>#REF!</f>
        <v>#REF!</v>
      </c>
      <c r="E148" s="4" t="e">
        <f>#REF!</f>
        <v>#REF!</v>
      </c>
      <c r="F148" s="4" t="e">
        <f>#REF!</f>
        <v>#REF!</v>
      </c>
      <c r="G148" s="4" t="e">
        <f>#REF!</f>
        <v>#REF!</v>
      </c>
      <c r="H148" s="4">
        <f>[1]Prices!$AB$635</f>
        <v>83.801900000000003</v>
      </c>
      <c r="I148" s="4"/>
      <c r="J148" s="4">
        <f>'[3]RINs and HOBO Forecast'!$C$70</f>
        <v>174.81549999999999</v>
      </c>
      <c r="K148" s="4">
        <f>'[2]LCFS Credit Price Forecast'!$B$112</f>
        <v>77.3095</v>
      </c>
      <c r="L148" s="5">
        <f>[4]Forecasts!$B$34</f>
        <v>770</v>
      </c>
      <c r="M148" s="5">
        <f>[4]Forecasts!$C$34</f>
        <v>3.4216000000000002</v>
      </c>
    </row>
    <row r="149" spans="1:13" x14ac:dyDescent="0.2">
      <c r="A149" s="3">
        <v>44829</v>
      </c>
      <c r="B149" s="4">
        <f>'[6]Yellow Grease Complex'!$AD$225</f>
        <v>54.5</v>
      </c>
      <c r="C149" s="4">
        <f>'[6]Used Cooking Oil Complex'!$AD$209</f>
        <v>66.321399999999997</v>
      </c>
      <c r="D149" s="4" t="e">
        <f>#REF!</f>
        <v>#REF!</v>
      </c>
      <c r="E149" s="4" t="e">
        <f>#REF!</f>
        <v>#REF!</v>
      </c>
      <c r="F149" s="4" t="e">
        <f>#REF!</f>
        <v>#REF!</v>
      </c>
      <c r="G149" s="4" t="e">
        <f>#REF!</f>
        <v>#REF!</v>
      </c>
      <c r="H149" s="4">
        <f>[1]Prices!$AB$635</f>
        <v>83.801900000000003</v>
      </c>
      <c r="I149" s="4"/>
      <c r="J149" s="4">
        <f>'[3]RINs and HOBO Forecast'!$C$70</f>
        <v>174.81549999999999</v>
      </c>
      <c r="K149" s="4">
        <f>'[2]LCFS Credit Price Forecast'!$B$112</f>
        <v>77.3095</v>
      </c>
      <c r="L149" s="5">
        <f>[4]Forecasts!$B$34</f>
        <v>770</v>
      </c>
      <c r="M149" s="5">
        <f>[4]Forecasts!$C$34</f>
        <v>3.4216000000000002</v>
      </c>
    </row>
    <row r="150" spans="1:13" x14ac:dyDescent="0.2">
      <c r="A150" s="3">
        <v>44836</v>
      </c>
      <c r="B150" s="4">
        <f>'[6]Yellow Grease Complex'!$AE$214</f>
        <v>54.5</v>
      </c>
      <c r="C150" s="4">
        <f>'[6]Used Cooking Oil Complex'!$AE$198</f>
        <v>65.5</v>
      </c>
      <c r="D150" s="4" t="e">
        <f>#REF!</f>
        <v>#REF!</v>
      </c>
      <c r="E150" s="4" t="e">
        <f>#REF!</f>
        <v>#REF!</v>
      </c>
      <c r="F150" s="4" t="e">
        <f>#REF!</f>
        <v>#REF!</v>
      </c>
      <c r="G150" s="4" t="e">
        <f>#REF!</f>
        <v>#REF!</v>
      </c>
      <c r="H150" s="4">
        <f>[1]Prices!$AB$636</f>
        <v>84.172857142857154</v>
      </c>
      <c r="I150" s="4"/>
      <c r="J150" s="4">
        <f>'[3]RINs and HOBO Forecast'!$C$71</f>
        <v>181.3095238095238</v>
      </c>
      <c r="K150" s="4">
        <f>'[2]LCFS Credit Price Forecast'!$B$113</f>
        <v>66.142857142857139</v>
      </c>
      <c r="L150" s="5">
        <f>[4]Forecasts!$B$35</f>
        <v>796.54761904761904</v>
      </c>
      <c r="M150" s="5">
        <f>[4]Forecasts!$C$35</f>
        <v>3.9615785714285709</v>
      </c>
    </row>
    <row r="151" spans="1:13" x14ac:dyDescent="0.2">
      <c r="A151" s="3">
        <v>44843</v>
      </c>
      <c r="B151" s="4">
        <f>'[6]Yellow Grease Complex'!$AE$214</f>
        <v>54.5</v>
      </c>
      <c r="C151" s="4">
        <f>'[6]Used Cooking Oil Complex'!$AE$198</f>
        <v>65.5</v>
      </c>
      <c r="D151" s="4" t="e">
        <f>#REF!</f>
        <v>#REF!</v>
      </c>
      <c r="E151" s="4" t="e">
        <f>#REF!</f>
        <v>#REF!</v>
      </c>
      <c r="F151" s="4" t="e">
        <f>#REF!</f>
        <v>#REF!</v>
      </c>
      <c r="G151" s="4" t="e">
        <f>#REF!</f>
        <v>#REF!</v>
      </c>
      <c r="H151" s="4">
        <f>[1]Prices!$AB$636</f>
        <v>84.172857142857154</v>
      </c>
      <c r="I151" s="4"/>
      <c r="J151" s="4">
        <f>'[3]RINs and HOBO Forecast'!$C$71</f>
        <v>181.3095238095238</v>
      </c>
      <c r="K151" s="4">
        <f>'[2]LCFS Credit Price Forecast'!$B$113</f>
        <v>66.142857142857139</v>
      </c>
      <c r="L151" s="5">
        <f>[4]Forecasts!$B$35</f>
        <v>796.54761904761904</v>
      </c>
      <c r="M151" s="5">
        <f>[4]Forecasts!$C$35</f>
        <v>3.9615785714285709</v>
      </c>
    </row>
    <row r="152" spans="1:13" x14ac:dyDescent="0.2">
      <c r="A152" s="3">
        <v>44850</v>
      </c>
      <c r="B152" s="4">
        <f>'[6]Yellow Grease Complex'!$AE$214</f>
        <v>54.5</v>
      </c>
      <c r="C152" s="4">
        <f>'[6]Used Cooking Oil Complex'!$AE$198</f>
        <v>65.5</v>
      </c>
      <c r="D152" s="4" t="e">
        <f>#REF!</f>
        <v>#REF!</v>
      </c>
      <c r="E152" s="4" t="e">
        <f>#REF!</f>
        <v>#REF!</v>
      </c>
      <c r="F152" s="4" t="e">
        <f>#REF!</f>
        <v>#REF!</v>
      </c>
      <c r="G152" s="4" t="e">
        <f>#REF!</f>
        <v>#REF!</v>
      </c>
      <c r="H152" s="4">
        <f>[1]Prices!$AB$636</f>
        <v>84.172857142857154</v>
      </c>
      <c r="I152" s="4"/>
      <c r="J152" s="4">
        <f>'[3]RINs and HOBO Forecast'!$C$71</f>
        <v>181.3095238095238</v>
      </c>
      <c r="K152" s="4">
        <f>'[2]LCFS Credit Price Forecast'!$B$113</f>
        <v>66.142857142857139</v>
      </c>
      <c r="L152" s="5">
        <f>[4]Forecasts!$B$35</f>
        <v>796.54761904761904</v>
      </c>
      <c r="M152" s="5">
        <f>[4]Forecasts!$C$35</f>
        <v>3.9615785714285709</v>
      </c>
    </row>
    <row r="153" spans="1:13" x14ac:dyDescent="0.2">
      <c r="A153" s="3">
        <v>44857</v>
      </c>
      <c r="B153" s="4">
        <f>'[6]Yellow Grease Complex'!$AE$214</f>
        <v>54.5</v>
      </c>
      <c r="C153" s="4">
        <f>'[6]Used Cooking Oil Complex'!$AE$198</f>
        <v>65.5</v>
      </c>
      <c r="D153" s="4" t="e">
        <f>#REF!</f>
        <v>#REF!</v>
      </c>
      <c r="E153" s="4" t="e">
        <f>#REF!</f>
        <v>#REF!</v>
      </c>
      <c r="F153" s="4" t="e">
        <f>#REF!</f>
        <v>#REF!</v>
      </c>
      <c r="G153" s="4" t="e">
        <f>#REF!</f>
        <v>#REF!</v>
      </c>
      <c r="H153" s="4">
        <f>[1]Prices!$AB$636</f>
        <v>84.172857142857154</v>
      </c>
      <c r="I153" s="4"/>
      <c r="J153" s="4">
        <f>'[3]RINs and HOBO Forecast'!$C$71</f>
        <v>181.3095238095238</v>
      </c>
      <c r="K153" s="4">
        <f>'[2]LCFS Credit Price Forecast'!$B$113</f>
        <v>66.142857142857139</v>
      </c>
      <c r="L153" s="5">
        <f>[4]Forecasts!$B$35</f>
        <v>796.54761904761904</v>
      </c>
      <c r="M153" s="5">
        <f>[4]Forecasts!$C$35</f>
        <v>3.9615785714285709</v>
      </c>
    </row>
    <row r="154" spans="1:13" x14ac:dyDescent="0.2">
      <c r="A154" s="3">
        <v>44864</v>
      </c>
      <c r="B154" s="4">
        <f>'[6]Yellow Grease Complex'!$AE$214</f>
        <v>54.5</v>
      </c>
      <c r="C154" s="4">
        <f>'[6]Used Cooking Oil Complex'!$AE$198</f>
        <v>65.5</v>
      </c>
      <c r="D154" s="4" t="e">
        <f>#REF!</f>
        <v>#REF!</v>
      </c>
      <c r="E154" s="4" t="e">
        <f>#REF!</f>
        <v>#REF!</v>
      </c>
      <c r="F154" s="4" t="e">
        <f>#REF!</f>
        <v>#REF!</v>
      </c>
      <c r="G154" s="4" t="e">
        <f>#REF!</f>
        <v>#REF!</v>
      </c>
      <c r="H154" s="4">
        <f>[1]Prices!$AB$636</f>
        <v>84.172857142857154</v>
      </c>
      <c r="I154" s="4"/>
      <c r="J154" s="4">
        <f>'[3]RINs and HOBO Forecast'!$C$71</f>
        <v>181.3095238095238</v>
      </c>
      <c r="K154" s="4">
        <f>'[2]LCFS Credit Price Forecast'!$B$113</f>
        <v>66.142857142857139</v>
      </c>
      <c r="L154" s="5">
        <f>[4]Forecasts!$B$35</f>
        <v>796.54761904761904</v>
      </c>
      <c r="M154" s="5">
        <f>[4]Forecasts!$C$35</f>
        <v>3.9615785714285709</v>
      </c>
    </row>
    <row r="155" spans="1:13" x14ac:dyDescent="0.2">
      <c r="A155" s="3">
        <v>44871</v>
      </c>
      <c r="B155" s="4">
        <f>'[6]Yellow Grease Complex'!$AE$215</f>
        <v>54.95</v>
      </c>
      <c r="C155" s="4">
        <f>'[6]Used Cooking Oil Complex'!$AE$199</f>
        <v>67</v>
      </c>
      <c r="D155" s="4" t="e">
        <f>#REF!</f>
        <v>#REF!</v>
      </c>
      <c r="E155" s="4" t="e">
        <f>#REF!</f>
        <v>#REF!</v>
      </c>
      <c r="F155" s="4" t="e">
        <f>#REF!</f>
        <v>#REF!</v>
      </c>
      <c r="G155" s="4" t="e">
        <f>#REF!</f>
        <v>#REF!</v>
      </c>
      <c r="H155" s="4">
        <f>[1]Prices!$AB$637</f>
        <v>91.439047619047614</v>
      </c>
      <c r="I155" s="4"/>
      <c r="J155" s="4">
        <f>'[3]RINs and HOBO Forecast'!$C$72</f>
        <v>191.47499999999999</v>
      </c>
      <c r="K155" s="4">
        <f>'[2]LCFS Credit Price Forecast'!$B$114</f>
        <v>63.287500000000001</v>
      </c>
      <c r="L155" s="5">
        <f>[4]Forecasts!$B$36</f>
        <v>804.6</v>
      </c>
      <c r="M155" s="5">
        <f>[4]Forecasts!$C$36</f>
        <v>3.5769000000000002</v>
      </c>
    </row>
    <row r="156" spans="1:13" x14ac:dyDescent="0.2">
      <c r="A156" s="3">
        <v>44878</v>
      </c>
      <c r="B156" s="4">
        <f>'[6]Yellow Grease Complex'!$AE$215</f>
        <v>54.95</v>
      </c>
      <c r="C156" s="4">
        <f>'[6]Used Cooking Oil Complex'!$AE$199</f>
        <v>67</v>
      </c>
      <c r="D156" s="4" t="e">
        <f>#REF!</f>
        <v>#REF!</v>
      </c>
      <c r="E156" s="4" t="e">
        <f>#REF!</f>
        <v>#REF!</v>
      </c>
      <c r="F156" s="4" t="e">
        <f>#REF!</f>
        <v>#REF!</v>
      </c>
      <c r="G156" s="4" t="e">
        <f>#REF!</f>
        <v>#REF!</v>
      </c>
      <c r="H156" s="4">
        <f>[1]Prices!$AB$637</f>
        <v>91.439047619047614</v>
      </c>
      <c r="I156" s="4"/>
      <c r="J156" s="4">
        <f>'[3]RINs and HOBO Forecast'!$C$72</f>
        <v>191.47499999999999</v>
      </c>
      <c r="K156" s="4">
        <f>'[2]LCFS Credit Price Forecast'!$B$114</f>
        <v>63.287500000000001</v>
      </c>
      <c r="L156" s="5">
        <f>[4]Forecasts!$B$36</f>
        <v>804.6</v>
      </c>
      <c r="M156" s="5">
        <f>[4]Forecasts!$C$36</f>
        <v>3.5769000000000002</v>
      </c>
    </row>
    <row r="157" spans="1:13" x14ac:dyDescent="0.2">
      <c r="A157" s="3">
        <v>44885</v>
      </c>
      <c r="B157" s="4">
        <f>'[6]Yellow Grease Complex'!$AE$215</f>
        <v>54.95</v>
      </c>
      <c r="C157" s="4">
        <f>'[6]Used Cooking Oil Complex'!$AE$199</f>
        <v>67</v>
      </c>
      <c r="D157" s="4" t="e">
        <f>#REF!</f>
        <v>#REF!</v>
      </c>
      <c r="E157" s="4" t="e">
        <f>#REF!</f>
        <v>#REF!</v>
      </c>
      <c r="F157" s="4" t="e">
        <f>#REF!</f>
        <v>#REF!</v>
      </c>
      <c r="G157" s="4" t="e">
        <f>#REF!</f>
        <v>#REF!</v>
      </c>
      <c r="H157" s="4">
        <f>[1]Prices!$AB$637</f>
        <v>91.439047619047614</v>
      </c>
      <c r="I157" s="4"/>
      <c r="J157" s="4">
        <f>'[3]RINs and HOBO Forecast'!$C$72</f>
        <v>191.47499999999999</v>
      </c>
      <c r="K157" s="4">
        <f>'[2]LCFS Credit Price Forecast'!$B$114</f>
        <v>63.287500000000001</v>
      </c>
      <c r="L157" s="5">
        <f>[4]Forecasts!$B$36</f>
        <v>804.6</v>
      </c>
      <c r="M157" s="5">
        <f>[4]Forecasts!$C$36</f>
        <v>3.5769000000000002</v>
      </c>
    </row>
    <row r="158" spans="1:13" x14ac:dyDescent="0.2">
      <c r="A158" s="3">
        <v>44892</v>
      </c>
      <c r="B158" s="4">
        <f>'[6]Yellow Grease Complex'!$AE$215</f>
        <v>54.95</v>
      </c>
      <c r="C158" s="4">
        <f>'[6]Used Cooking Oil Complex'!$AE$199</f>
        <v>67</v>
      </c>
      <c r="D158" s="4" t="e">
        <f>#REF!</f>
        <v>#REF!</v>
      </c>
      <c r="E158" s="4" t="e">
        <f>#REF!</f>
        <v>#REF!</v>
      </c>
      <c r="F158" s="4" t="e">
        <f>#REF!</f>
        <v>#REF!</v>
      </c>
      <c r="G158" s="4" t="e">
        <f>#REF!</f>
        <v>#REF!</v>
      </c>
      <c r="H158" s="4">
        <f>[1]Prices!$AB$637</f>
        <v>91.439047619047614</v>
      </c>
      <c r="I158" s="4"/>
      <c r="J158" s="4">
        <f>'[3]RINs and HOBO Forecast'!$C$72</f>
        <v>191.47499999999999</v>
      </c>
      <c r="K158" s="4">
        <f>'[2]LCFS Credit Price Forecast'!$B$114</f>
        <v>63.287500000000001</v>
      </c>
      <c r="L158" s="5">
        <f>[4]Forecasts!$B$36</f>
        <v>804.6</v>
      </c>
      <c r="M158" s="5">
        <f>[4]Forecasts!$C$36</f>
        <v>3.5769000000000002</v>
      </c>
    </row>
    <row r="159" spans="1:13" x14ac:dyDescent="0.2">
      <c r="A159" s="3">
        <v>44899</v>
      </c>
      <c r="B159" s="4">
        <f>'[6]Yellow Grease Complex'!$AE$216</f>
        <v>54.476199999999999</v>
      </c>
      <c r="C159" s="4">
        <f>'[6]Used Cooking Oil Complex'!$AE$200</f>
        <v>66.452399999999997</v>
      </c>
      <c r="D159" s="4" t="e">
        <f>#REF!</f>
        <v>#REF!</v>
      </c>
      <c r="E159" s="4" t="e">
        <f>#REF!</f>
        <v>#REF!</v>
      </c>
      <c r="F159" s="4" t="e">
        <f>#REF!</f>
        <v>#REF!</v>
      </c>
      <c r="G159" s="4" t="e">
        <f>#REF!</f>
        <v>#REF!</v>
      </c>
      <c r="H159" s="4">
        <f>[1]Prices!$AB$638</f>
        <v>78.703809523809525</v>
      </c>
      <c r="I159" s="4"/>
      <c r="J159" s="4">
        <f>'[3]RINs and HOBO Forecast'!$C$73</f>
        <v>173.02379999999999</v>
      </c>
      <c r="K159" s="4">
        <f>'[2]LCFS Credit Price Forecast'!$B$115</f>
        <v>66.881</v>
      </c>
      <c r="L159" s="5">
        <f>[4]Forecasts!$B$37</f>
        <v>770</v>
      </c>
      <c r="M159" s="5">
        <f>[4]Forecasts!$C$37</f>
        <v>2.9495</v>
      </c>
    </row>
    <row r="160" spans="1:13" x14ac:dyDescent="0.2">
      <c r="A160" s="3">
        <v>44906</v>
      </c>
      <c r="B160" s="4">
        <f>'[6]Yellow Grease Complex'!$AE$216</f>
        <v>54.476199999999999</v>
      </c>
      <c r="C160" s="4">
        <f>'[6]Used Cooking Oil Complex'!$AE$200</f>
        <v>66.452399999999997</v>
      </c>
      <c r="D160" s="4" t="e">
        <f>#REF!</f>
        <v>#REF!</v>
      </c>
      <c r="E160" s="4" t="e">
        <f>#REF!</f>
        <v>#REF!</v>
      </c>
      <c r="F160" s="4" t="e">
        <f>#REF!</f>
        <v>#REF!</v>
      </c>
      <c r="G160" s="4" t="e">
        <f>#REF!</f>
        <v>#REF!</v>
      </c>
      <c r="H160" s="4">
        <f>[1]Prices!$AB$638</f>
        <v>78.703809523809525</v>
      </c>
      <c r="I160" s="4"/>
      <c r="J160" s="4">
        <f>'[3]RINs and HOBO Forecast'!$C$73</f>
        <v>173.02379999999999</v>
      </c>
      <c r="K160" s="4">
        <f>'[2]LCFS Credit Price Forecast'!$B$115</f>
        <v>66.881</v>
      </c>
      <c r="L160" s="5">
        <f>[4]Forecasts!$B$37</f>
        <v>770</v>
      </c>
      <c r="M160" s="5">
        <f>[4]Forecasts!$C$37</f>
        <v>2.9495</v>
      </c>
    </row>
    <row r="161" spans="1:13" x14ac:dyDescent="0.2">
      <c r="A161" s="3">
        <v>44913</v>
      </c>
      <c r="B161" s="4">
        <f>'[6]Yellow Grease Complex'!$AE$216</f>
        <v>54.476199999999999</v>
      </c>
      <c r="C161" s="4">
        <f>'[6]Used Cooking Oil Complex'!$AE$200</f>
        <v>66.452399999999997</v>
      </c>
      <c r="D161" s="4" t="e">
        <f>#REF!</f>
        <v>#REF!</v>
      </c>
      <c r="E161" s="4" t="e">
        <f>#REF!</f>
        <v>#REF!</v>
      </c>
      <c r="F161" s="4" t="e">
        <f>#REF!</f>
        <v>#REF!</v>
      </c>
      <c r="G161" s="4" t="e">
        <f>#REF!</f>
        <v>#REF!</v>
      </c>
      <c r="H161" s="4">
        <f>[1]Prices!$AB$638</f>
        <v>78.703809523809525</v>
      </c>
      <c r="I161" s="4"/>
      <c r="J161" s="4">
        <f>'[3]RINs and HOBO Forecast'!$C$73</f>
        <v>173.02379999999999</v>
      </c>
      <c r="K161" s="4">
        <f>'[2]LCFS Credit Price Forecast'!$B$115</f>
        <v>66.881</v>
      </c>
      <c r="L161" s="5">
        <f>[4]Forecasts!$B$37</f>
        <v>770</v>
      </c>
      <c r="M161" s="5">
        <f>[4]Forecasts!$C$37</f>
        <v>2.9495</v>
      </c>
    </row>
    <row r="162" spans="1:13" x14ac:dyDescent="0.2">
      <c r="A162" s="3">
        <v>44920</v>
      </c>
      <c r="B162" s="4">
        <f>'[6]Yellow Grease Complex'!$AE$216</f>
        <v>54.476199999999999</v>
      </c>
      <c r="C162" s="4">
        <f>'[6]Used Cooking Oil Complex'!$AE$200</f>
        <v>66.452399999999997</v>
      </c>
      <c r="D162" s="4" t="e">
        <f>#REF!</f>
        <v>#REF!</v>
      </c>
      <c r="E162" s="4" t="e">
        <f>#REF!</f>
        <v>#REF!</v>
      </c>
      <c r="F162" s="4" t="e">
        <f>#REF!</f>
        <v>#REF!</v>
      </c>
      <c r="G162" s="4" t="e">
        <f>#REF!</f>
        <v>#REF!</v>
      </c>
      <c r="H162" s="4">
        <f>[1]Prices!$AB$638</f>
        <v>78.703809523809525</v>
      </c>
      <c r="I162" s="4"/>
      <c r="J162" s="4">
        <f>'[3]RINs and HOBO Forecast'!$C$73</f>
        <v>173.02379999999999</v>
      </c>
      <c r="K162" s="4">
        <f>'[2]LCFS Credit Price Forecast'!$B$115</f>
        <v>66.881</v>
      </c>
      <c r="L162" s="5">
        <f>[4]Forecasts!$B$37</f>
        <v>770</v>
      </c>
      <c r="M162" s="5">
        <f>[4]Forecasts!$C$37</f>
        <v>2.9495</v>
      </c>
    </row>
    <row r="163" spans="1:13" x14ac:dyDescent="0.2">
      <c r="A163" s="3">
        <v>44927</v>
      </c>
      <c r="B163" s="4">
        <f>'[6]Yellow Grease Complex'!$AE$217</f>
        <v>52.8</v>
      </c>
      <c r="C163" s="4">
        <f>'[6]Used Cooking Oil Complex'!$AE$201</f>
        <v>63.9</v>
      </c>
      <c r="D163" s="4" t="e">
        <f>#REF!</f>
        <v>#REF!</v>
      </c>
      <c r="E163" s="4" t="e">
        <f>#REF!</f>
        <v>#REF!</v>
      </c>
      <c r="F163" s="4" t="e">
        <f>#REF!</f>
        <v>#REF!</v>
      </c>
      <c r="G163" s="4" t="e">
        <f>#REF!</f>
        <v>#REF!</v>
      </c>
      <c r="H163" s="4">
        <f>[1]Prices!$AB$639</f>
        <v>74.771500000000003</v>
      </c>
      <c r="I163" s="4"/>
      <c r="J163" s="4">
        <f>'[3]RINs and HOBO Forecast'!$C$74</f>
        <v>169.125</v>
      </c>
      <c r="K163" s="4">
        <f>'[2]LCFS Credit Price Forecast'!$B$116</f>
        <v>64.5625</v>
      </c>
      <c r="L163" s="5">
        <f>[4]Forecasts!$B$38</f>
        <v>745.25</v>
      </c>
      <c r="M163" s="5">
        <f>[4]Forecasts!$C$38</f>
        <v>2.9518</v>
      </c>
    </row>
    <row r="164" spans="1:13" x14ac:dyDescent="0.2">
      <c r="A164" s="3">
        <v>44934</v>
      </c>
      <c r="B164" s="4">
        <f>'[6]Yellow Grease Complex'!$AE$217</f>
        <v>52.8</v>
      </c>
      <c r="C164" s="4">
        <f>'[6]Used Cooking Oil Complex'!$AE$201</f>
        <v>63.9</v>
      </c>
      <c r="D164" s="4" t="e">
        <f>#REF!</f>
        <v>#REF!</v>
      </c>
      <c r="E164" s="4" t="e">
        <f>#REF!</f>
        <v>#REF!</v>
      </c>
      <c r="F164" s="4" t="e">
        <f>#REF!</f>
        <v>#REF!</v>
      </c>
      <c r="G164" s="4" t="e">
        <f>#REF!</f>
        <v>#REF!</v>
      </c>
      <c r="H164" s="4">
        <f>[1]Prices!$AB$639</f>
        <v>74.771500000000003</v>
      </c>
      <c r="I164" s="4"/>
      <c r="J164" s="4">
        <f>'[3]RINs and HOBO Forecast'!$C$74</f>
        <v>169.125</v>
      </c>
      <c r="K164" s="4">
        <f>'[2]LCFS Credit Price Forecast'!$B$116</f>
        <v>64.5625</v>
      </c>
      <c r="L164" s="5">
        <f>[4]Forecasts!$B$38</f>
        <v>745.25</v>
      </c>
      <c r="M164" s="5">
        <f>[4]Forecasts!$C$38</f>
        <v>2.9518</v>
      </c>
    </row>
    <row r="165" spans="1:13" x14ac:dyDescent="0.2">
      <c r="A165" s="3">
        <v>44941</v>
      </c>
      <c r="B165" s="4">
        <f>'[6]Yellow Grease Complex'!$AE$217</f>
        <v>52.8</v>
      </c>
      <c r="C165" s="4">
        <f>'[6]Used Cooking Oil Complex'!$AE$201</f>
        <v>63.9</v>
      </c>
      <c r="D165" s="4" t="e">
        <f>#REF!</f>
        <v>#REF!</v>
      </c>
      <c r="E165" s="4" t="e">
        <f>#REF!</f>
        <v>#REF!</v>
      </c>
      <c r="F165" s="4" t="e">
        <f>#REF!</f>
        <v>#REF!</v>
      </c>
      <c r="G165" s="4" t="e">
        <f>#REF!</f>
        <v>#REF!</v>
      </c>
      <c r="H165" s="4">
        <f>[1]Prices!$AB$639</f>
        <v>74.771500000000003</v>
      </c>
      <c r="I165" s="4"/>
      <c r="J165" s="4">
        <f>'[3]RINs and HOBO Forecast'!$C$74</f>
        <v>169.125</v>
      </c>
      <c r="K165" s="4">
        <f>'[2]LCFS Credit Price Forecast'!$B$116</f>
        <v>64.5625</v>
      </c>
      <c r="L165" s="5">
        <f>[4]Forecasts!$B$38</f>
        <v>745.25</v>
      </c>
      <c r="M165" s="5">
        <f>[4]Forecasts!$C$38</f>
        <v>2.9518</v>
      </c>
    </row>
    <row r="166" spans="1:13" x14ac:dyDescent="0.2">
      <c r="A166" s="3">
        <v>44948</v>
      </c>
      <c r="B166" s="4">
        <f>'[6]Yellow Grease Complex'!$AE$217</f>
        <v>52.8</v>
      </c>
      <c r="C166" s="4">
        <f>'[6]Used Cooking Oil Complex'!$AE$201</f>
        <v>63.9</v>
      </c>
      <c r="D166" s="4" t="e">
        <f>#REF!</f>
        <v>#REF!</v>
      </c>
      <c r="E166" s="4" t="e">
        <f>#REF!</f>
        <v>#REF!</v>
      </c>
      <c r="F166" s="4" t="e">
        <f>#REF!</f>
        <v>#REF!</v>
      </c>
      <c r="G166" s="4" t="e">
        <f>#REF!</f>
        <v>#REF!</v>
      </c>
      <c r="H166" s="4">
        <f>[1]Prices!$AB$639</f>
        <v>74.771500000000003</v>
      </c>
      <c r="I166" s="4"/>
      <c r="J166" s="4">
        <f>'[3]RINs and HOBO Forecast'!$C$74</f>
        <v>169.125</v>
      </c>
      <c r="K166" s="4">
        <f>'[2]LCFS Credit Price Forecast'!$B$116</f>
        <v>64.5625</v>
      </c>
      <c r="L166" s="5">
        <f>[4]Forecasts!$B$38</f>
        <v>745.25</v>
      </c>
      <c r="M166" s="5">
        <f>[4]Forecasts!$C$38</f>
        <v>2.9518</v>
      </c>
    </row>
    <row r="167" spans="1:13" x14ac:dyDescent="0.2">
      <c r="A167" s="3">
        <v>44955</v>
      </c>
      <c r="B167" s="4">
        <f>'[6]Yellow Grease Complex'!$AE$217</f>
        <v>52.8</v>
      </c>
      <c r="C167" s="4">
        <f>'[6]Used Cooking Oil Complex'!$AE$201</f>
        <v>63.9</v>
      </c>
      <c r="D167" s="4" t="e">
        <f>#REF!</f>
        <v>#REF!</v>
      </c>
      <c r="E167" s="4" t="e">
        <f>#REF!</f>
        <v>#REF!</v>
      </c>
      <c r="F167" s="4" t="e">
        <f>#REF!</f>
        <v>#REF!</v>
      </c>
      <c r="G167" s="4" t="e">
        <f>#REF!</f>
        <v>#REF!</v>
      </c>
      <c r="H167" s="4">
        <f>[1]Prices!$AB$639</f>
        <v>74.771500000000003</v>
      </c>
      <c r="I167" s="4"/>
      <c r="J167" s="4">
        <f>'[3]RINs and HOBO Forecast'!$C$74</f>
        <v>169.125</v>
      </c>
      <c r="K167" s="4">
        <f>'[2]LCFS Credit Price Forecast'!$B$116</f>
        <v>64.5625</v>
      </c>
      <c r="L167" s="5">
        <f>[4]Forecasts!$B$38</f>
        <v>745.25</v>
      </c>
      <c r="M167" s="5">
        <f>[4]Forecasts!$C$38</f>
        <v>2.9518</v>
      </c>
    </row>
    <row r="168" spans="1:13" x14ac:dyDescent="0.2">
      <c r="A168" s="3">
        <v>44962</v>
      </c>
      <c r="B168" s="4">
        <f>'[6]Yellow Grease Complex'!$AE$218</f>
        <v>50.5</v>
      </c>
      <c r="C168" s="4">
        <f>'[6]Used Cooking Oil Complex'!$AE$202</f>
        <v>56.631599999999999</v>
      </c>
      <c r="D168" s="4" t="e">
        <f>#REF!</f>
        <v>#REF!</v>
      </c>
      <c r="E168" s="4" t="e">
        <f>#REF!</f>
        <v>#REF!</v>
      </c>
      <c r="F168" s="4" t="e">
        <f>#REF!</f>
        <v>#REF!</v>
      </c>
      <c r="G168" s="4" t="e">
        <f>#REF!</f>
        <v>#REF!</v>
      </c>
      <c r="H168" s="4">
        <f>[1]Prices!$AB$640</f>
        <v>71.927894736842092</v>
      </c>
      <c r="I168" s="4"/>
      <c r="J168" s="4">
        <f>'[3]RINs and HOBO Forecast'!$C$75</f>
        <v>161.97368421052633</v>
      </c>
      <c r="K168" s="4">
        <f>'[2]LCFS Credit Price Forecast'!$B$117</f>
        <v>63.947400000000002</v>
      </c>
      <c r="L168" s="5">
        <f>[4]Forecasts!$B$39</f>
        <v>707.63160000000005</v>
      </c>
      <c r="M168" s="5">
        <f>[4]Forecasts!$C$39</f>
        <v>2.8294000000000001</v>
      </c>
    </row>
    <row r="169" spans="1:13" x14ac:dyDescent="0.2">
      <c r="A169" s="3">
        <v>44969</v>
      </c>
      <c r="B169" s="4">
        <f>'[6]Yellow Grease Complex'!$AE$218</f>
        <v>50.5</v>
      </c>
      <c r="C169" s="4">
        <f>'[6]Used Cooking Oil Complex'!$AE$202</f>
        <v>56.631599999999999</v>
      </c>
      <c r="D169" s="4" t="e">
        <f>#REF!</f>
        <v>#REF!</v>
      </c>
      <c r="E169" s="4" t="e">
        <f>#REF!</f>
        <v>#REF!</v>
      </c>
      <c r="F169" s="4" t="e">
        <f>#REF!</f>
        <v>#REF!</v>
      </c>
      <c r="G169" s="4" t="e">
        <f>#REF!</f>
        <v>#REF!</v>
      </c>
      <c r="H169" s="4">
        <f>[1]Prices!$AB$640</f>
        <v>71.927894736842092</v>
      </c>
      <c r="I169" s="4"/>
      <c r="J169" s="4">
        <f>'[3]RINs and HOBO Forecast'!$C$75</f>
        <v>161.97368421052633</v>
      </c>
      <c r="K169" s="4">
        <f>'[2]LCFS Credit Price Forecast'!$B$117</f>
        <v>63.947400000000002</v>
      </c>
      <c r="L169" s="5">
        <f>[4]Forecasts!$B$39</f>
        <v>707.63160000000005</v>
      </c>
      <c r="M169" s="5">
        <f>[4]Forecasts!$C$39</f>
        <v>2.8294000000000001</v>
      </c>
    </row>
    <row r="170" spans="1:13" x14ac:dyDescent="0.2">
      <c r="A170" s="3">
        <v>44976</v>
      </c>
      <c r="B170" s="4">
        <f>'[6]Yellow Grease Complex'!$AE$218</f>
        <v>50.5</v>
      </c>
      <c r="C170" s="4">
        <f>'[6]Used Cooking Oil Complex'!$AE$202</f>
        <v>56.631599999999999</v>
      </c>
      <c r="D170" s="4" t="e">
        <f>#REF!</f>
        <v>#REF!</v>
      </c>
      <c r="E170" s="4" t="e">
        <f>#REF!</f>
        <v>#REF!</v>
      </c>
      <c r="F170" s="4" t="e">
        <f>#REF!</f>
        <v>#REF!</v>
      </c>
      <c r="G170" s="4" t="e">
        <f>#REF!</f>
        <v>#REF!</v>
      </c>
      <c r="H170" s="4">
        <f>[1]Prices!$AB$640</f>
        <v>71.927894736842092</v>
      </c>
      <c r="I170" s="4"/>
      <c r="J170" s="4">
        <f>'[3]RINs and HOBO Forecast'!$C$75</f>
        <v>161.97368421052633</v>
      </c>
      <c r="K170" s="4">
        <f>'[2]LCFS Credit Price Forecast'!$B$117</f>
        <v>63.947400000000002</v>
      </c>
      <c r="L170" s="5">
        <f>[4]Forecasts!$B$39</f>
        <v>707.63160000000005</v>
      </c>
      <c r="M170" s="5">
        <f>[4]Forecasts!$C$39</f>
        <v>2.8294000000000001</v>
      </c>
    </row>
    <row r="171" spans="1:13" x14ac:dyDescent="0.2">
      <c r="A171" s="3">
        <v>44983</v>
      </c>
      <c r="B171" s="4">
        <f>'[6]Yellow Grease Complex'!$AE$218</f>
        <v>50.5</v>
      </c>
      <c r="C171" s="4">
        <f>'[6]Used Cooking Oil Complex'!$AE$202</f>
        <v>56.631599999999999</v>
      </c>
      <c r="D171" s="4" t="e">
        <f>#REF!</f>
        <v>#REF!</v>
      </c>
      <c r="E171" s="4" t="e">
        <f>#REF!</f>
        <v>#REF!</v>
      </c>
      <c r="F171" s="4" t="e">
        <f>#REF!</f>
        <v>#REF!</v>
      </c>
      <c r="G171" s="4" t="e">
        <f>#REF!</f>
        <v>#REF!</v>
      </c>
      <c r="H171" s="4">
        <f>[1]Prices!$AB$640</f>
        <v>71.927894736842092</v>
      </c>
      <c r="I171" s="4"/>
      <c r="J171" s="4">
        <f>'[3]RINs and HOBO Forecast'!$C$75</f>
        <v>161.97368421052633</v>
      </c>
      <c r="K171" s="4">
        <f>'[2]LCFS Credit Price Forecast'!$B$117</f>
        <v>63.947400000000002</v>
      </c>
      <c r="L171" s="5">
        <f>[4]Forecasts!$B$39</f>
        <v>707.63160000000005</v>
      </c>
      <c r="M171" s="5">
        <f>[4]Forecasts!$C$39</f>
        <v>2.8294000000000001</v>
      </c>
    </row>
    <row r="172" spans="1:13" x14ac:dyDescent="0.2">
      <c r="A172" s="3">
        <v>44990</v>
      </c>
      <c r="B172" s="4">
        <f>'[6]Yellow Grease Complex'!$AE$219</f>
        <v>42.902200000000001</v>
      </c>
      <c r="C172" s="4">
        <f>'[6]Used Cooking Oil Complex'!$AE$203</f>
        <v>44.847799999999999</v>
      </c>
      <c r="D172" s="4" t="e">
        <f>#REF!</f>
        <v>#REF!</v>
      </c>
      <c r="E172" s="4" t="e">
        <f>#REF!</f>
        <v>#REF!</v>
      </c>
      <c r="F172" s="4" t="e">
        <f>#REF!</f>
        <v>#REF!</v>
      </c>
      <c r="G172" s="4" t="e">
        <f>#REF!</f>
        <v>#REF!</v>
      </c>
      <c r="H172" s="4">
        <f>[1]Prices!$AB$641</f>
        <v>68.043478260869549</v>
      </c>
      <c r="I172" s="4"/>
      <c r="J172" s="4">
        <f>'[3]RINs and HOBO Forecast'!$C$76</f>
        <v>157.40217391304347</v>
      </c>
      <c r="K172" s="4">
        <f>'[2]LCFS Credit Price Forecast'!$B$118</f>
        <v>68.315200000000004</v>
      </c>
      <c r="L172" s="5">
        <f>[4]Forecasts!$B$40</f>
        <v>636.52170000000001</v>
      </c>
      <c r="M172" s="5">
        <f>[4]Forecasts!$C$40</f>
        <v>2.6103000000000001</v>
      </c>
    </row>
    <row r="173" spans="1:13" x14ac:dyDescent="0.2">
      <c r="A173" s="3">
        <v>44997</v>
      </c>
      <c r="B173" s="4">
        <f>'[6]Yellow Grease Complex'!$AE$219</f>
        <v>42.902200000000001</v>
      </c>
      <c r="C173" s="4">
        <f>'[6]Used Cooking Oil Complex'!$AE$203</f>
        <v>44.847799999999999</v>
      </c>
      <c r="D173" s="4" t="e">
        <f>#REF!</f>
        <v>#REF!</v>
      </c>
      <c r="E173" s="4" t="e">
        <f>#REF!</f>
        <v>#REF!</v>
      </c>
      <c r="F173" s="4" t="e">
        <f>#REF!</f>
        <v>#REF!</v>
      </c>
      <c r="G173" s="4" t="e">
        <f>#REF!</f>
        <v>#REF!</v>
      </c>
      <c r="H173" s="4">
        <f>[1]Prices!$AB$641</f>
        <v>68.043478260869549</v>
      </c>
      <c r="I173" s="4"/>
      <c r="J173" s="4">
        <f>'[3]RINs and HOBO Forecast'!$C$76</f>
        <v>157.40217391304347</v>
      </c>
      <c r="K173" s="4">
        <f>'[2]LCFS Credit Price Forecast'!$B$118</f>
        <v>68.315200000000004</v>
      </c>
      <c r="L173" s="5">
        <f>[4]Forecasts!$B$40</f>
        <v>636.52170000000001</v>
      </c>
      <c r="M173" s="5">
        <f>[4]Forecasts!$C$40</f>
        <v>2.6103000000000001</v>
      </c>
    </row>
    <row r="174" spans="1:13" x14ac:dyDescent="0.2">
      <c r="A174" s="3">
        <v>45004</v>
      </c>
      <c r="B174" s="4">
        <f>'[6]Yellow Grease Complex'!$AE$219</f>
        <v>42.902200000000001</v>
      </c>
      <c r="C174" s="4">
        <f>'[6]Used Cooking Oil Complex'!$AE$203</f>
        <v>44.847799999999999</v>
      </c>
      <c r="D174" s="4" t="e">
        <f>#REF!</f>
        <v>#REF!</v>
      </c>
      <c r="E174" s="4" t="e">
        <f>#REF!</f>
        <v>#REF!</v>
      </c>
      <c r="F174" s="4" t="e">
        <f>#REF!</f>
        <v>#REF!</v>
      </c>
      <c r="G174" s="4" t="e">
        <f>#REF!</f>
        <v>#REF!</v>
      </c>
      <c r="H174" s="4">
        <f>[1]Prices!$AB$641</f>
        <v>68.043478260869549</v>
      </c>
      <c r="I174" s="4"/>
      <c r="J174" s="4">
        <f>'[3]RINs and HOBO Forecast'!$C$76</f>
        <v>157.40217391304347</v>
      </c>
      <c r="K174" s="4">
        <f>'[2]LCFS Credit Price Forecast'!$B$118</f>
        <v>68.315200000000004</v>
      </c>
      <c r="L174" s="5">
        <f>[4]Forecasts!$B$40</f>
        <v>636.52170000000001</v>
      </c>
      <c r="M174" s="5">
        <f>[4]Forecasts!$C$40</f>
        <v>2.6103000000000001</v>
      </c>
    </row>
    <row r="175" spans="1:13" x14ac:dyDescent="0.2">
      <c r="A175" s="3">
        <v>45011</v>
      </c>
      <c r="B175" s="4">
        <f>'[6]Yellow Grease Complex'!$AE$219+1.25</f>
        <v>44.152200000000001</v>
      </c>
      <c r="C175" s="4">
        <f>'[6]Used Cooking Oil Complex'!$AE$203-3</f>
        <v>41.847799999999999</v>
      </c>
      <c r="D175" s="4" t="e">
        <f>#REF!</f>
        <v>#REF!</v>
      </c>
      <c r="E175" s="4" t="e">
        <f>#REF!</f>
        <v>#REF!</v>
      </c>
      <c r="F175" s="4" t="e">
        <f>#REF!</f>
        <v>#REF!</v>
      </c>
      <c r="G175" s="4" t="e">
        <f>#REF!</f>
        <v>#REF!</v>
      </c>
      <c r="H175" s="4">
        <f>[1]Prices!$AB$641</f>
        <v>68.043478260869549</v>
      </c>
      <c r="I175" s="4"/>
      <c r="J175" s="4">
        <f>'[3]RINs and HOBO Forecast'!$C$76</f>
        <v>157.40217391304347</v>
      </c>
      <c r="K175" s="4">
        <f>'[2]LCFS Credit Price Forecast'!$B$118+2.5</f>
        <v>70.815200000000004</v>
      </c>
      <c r="L175" s="5">
        <f>[4]Forecasts!$B$40-20</f>
        <v>616.52170000000001</v>
      </c>
      <c r="M175" s="5">
        <f>[4]Forecasts!$C$40-0.07</f>
        <v>2.5403000000000002</v>
      </c>
    </row>
    <row r="176" spans="1:13" x14ac:dyDescent="0.2">
      <c r="A176" s="3">
        <v>45018</v>
      </c>
      <c r="B176" s="4">
        <f>'[6]Yellow Grease Complex'!$AE$220</f>
        <v>41.5</v>
      </c>
      <c r="C176" s="4">
        <f>'[6]Used Cooking Oil Complex'!$AE$204</f>
        <v>42.368400000000001</v>
      </c>
      <c r="D176" s="4" t="e">
        <f>#REF!</f>
        <v>#REF!</v>
      </c>
      <c r="E176" s="4" t="e">
        <f>#REF!</f>
        <v>#REF!</v>
      </c>
      <c r="F176" s="4" t="e">
        <f>#REF!</f>
        <v>#REF!</v>
      </c>
      <c r="G176" s="4" t="e">
        <f>#REF!</f>
        <v>#REF!</v>
      </c>
      <c r="H176" s="4">
        <f>[1]Prices!$AB$642</f>
        <v>66.049473684210511</v>
      </c>
      <c r="I176" s="4"/>
      <c r="J176" s="4">
        <f>'[3]RINs and HOBO Forecast'!$C$77</f>
        <v>156.70526315789473</v>
      </c>
      <c r="K176" s="4">
        <f>'[2]LCFS Credit Price Forecast'!$B$119</f>
        <v>78.013199999999998</v>
      </c>
      <c r="L176" s="5">
        <f>[4]Forecasts!$B$41</f>
        <v>605</v>
      </c>
      <c r="M176" s="5">
        <f>[4]Forecasts!$C$41</f>
        <v>2.3999000000000001</v>
      </c>
    </row>
    <row r="177" spans="1:13" x14ac:dyDescent="0.2">
      <c r="A177" s="3">
        <v>45025</v>
      </c>
      <c r="B177" s="4">
        <f>'[6]Yellow Grease Complex'!$AE$220</f>
        <v>41.5</v>
      </c>
      <c r="C177" s="4">
        <f>'[6]Used Cooking Oil Complex'!$AE$204</f>
        <v>42.368400000000001</v>
      </c>
      <c r="D177" s="4" t="e">
        <f>#REF!</f>
        <v>#REF!</v>
      </c>
      <c r="E177" s="4" t="e">
        <f>#REF!</f>
        <v>#REF!</v>
      </c>
      <c r="F177" s="4" t="e">
        <f>#REF!</f>
        <v>#REF!</v>
      </c>
      <c r="G177" s="4" t="e">
        <f>#REF!</f>
        <v>#REF!</v>
      </c>
      <c r="H177" s="4">
        <f>[1]Prices!$AB$642</f>
        <v>66.049473684210511</v>
      </c>
      <c r="I177" s="4"/>
      <c r="J177" s="4">
        <f>'[3]RINs and HOBO Forecast'!$C$77</f>
        <v>156.70526315789473</v>
      </c>
      <c r="K177" s="4">
        <f>'[2]LCFS Credit Price Forecast'!$B$119</f>
        <v>78.013199999999998</v>
      </c>
      <c r="L177" s="5">
        <f>[4]Forecasts!$B$41</f>
        <v>605</v>
      </c>
      <c r="M177" s="5">
        <f>[4]Forecasts!$C$41</f>
        <v>2.3999000000000001</v>
      </c>
    </row>
    <row r="178" spans="1:13" x14ac:dyDescent="0.2">
      <c r="A178" s="3">
        <v>45032</v>
      </c>
      <c r="B178" s="4">
        <f>'[6]Yellow Grease Complex'!$AE$220</f>
        <v>41.5</v>
      </c>
      <c r="C178" s="4">
        <f>'[6]Used Cooking Oil Complex'!$AE$204</f>
        <v>42.368400000000001</v>
      </c>
      <c r="D178" s="4" t="e">
        <f>#REF!</f>
        <v>#REF!</v>
      </c>
      <c r="E178" s="4" t="e">
        <f>#REF!</f>
        <v>#REF!</v>
      </c>
      <c r="F178" s="4" t="e">
        <f>#REF!</f>
        <v>#REF!</v>
      </c>
      <c r="G178" s="4" t="e">
        <f>#REF!</f>
        <v>#REF!</v>
      </c>
      <c r="H178" s="4">
        <f>[1]Prices!$AB$642</f>
        <v>66.049473684210511</v>
      </c>
      <c r="I178" s="4"/>
      <c r="J178" s="4">
        <f>'[3]RINs and HOBO Forecast'!$C$77</f>
        <v>156.70526315789473</v>
      </c>
      <c r="K178" s="4">
        <f>'[2]LCFS Credit Price Forecast'!$B$119</f>
        <v>78.013199999999998</v>
      </c>
      <c r="L178" s="5">
        <f>[4]Forecasts!$B$41</f>
        <v>605</v>
      </c>
      <c r="M178" s="5">
        <f>[4]Forecasts!$C$41</f>
        <v>2.3999000000000001</v>
      </c>
    </row>
    <row r="179" spans="1:13" x14ac:dyDescent="0.2">
      <c r="A179" s="3">
        <v>45039</v>
      </c>
      <c r="B179" s="4">
        <f>'[6]Yellow Grease Complex'!$AE$220</f>
        <v>41.5</v>
      </c>
      <c r="C179" s="4">
        <f>'[6]Used Cooking Oil Complex'!$AE$204</f>
        <v>42.368400000000001</v>
      </c>
      <c r="D179" s="4" t="e">
        <f>#REF!</f>
        <v>#REF!</v>
      </c>
      <c r="E179" s="4" t="e">
        <f>#REF!</f>
        <v>#REF!</v>
      </c>
      <c r="F179" s="4" t="e">
        <f>#REF!</f>
        <v>#REF!</v>
      </c>
      <c r="G179" s="4" t="e">
        <f>#REF!</f>
        <v>#REF!</v>
      </c>
      <c r="H179" s="4">
        <f>[1]Prices!$AB$642</f>
        <v>66.049473684210511</v>
      </c>
      <c r="I179" s="4"/>
      <c r="J179" s="4">
        <f>'[3]RINs and HOBO Forecast'!$C$77</f>
        <v>156.70526315789473</v>
      </c>
      <c r="K179" s="4">
        <f>'[2]LCFS Credit Price Forecast'!$B$119</f>
        <v>78.013199999999998</v>
      </c>
      <c r="L179" s="5">
        <f>[4]Forecasts!$B$41</f>
        <v>605</v>
      </c>
      <c r="M179" s="5">
        <f>[4]Forecasts!$C$41</f>
        <v>2.3999000000000001</v>
      </c>
    </row>
    <row r="180" spans="1:13" x14ac:dyDescent="0.2">
      <c r="A180" s="3">
        <v>45046</v>
      </c>
      <c r="B180" s="4">
        <f>'[6]Yellow Grease Complex'!$AE$220</f>
        <v>41.5</v>
      </c>
      <c r="C180" s="4">
        <f>'[6]Used Cooking Oil Complex'!$AE$204+0.63</f>
        <v>42.998400000000004</v>
      </c>
      <c r="D180" s="4" t="e">
        <f>#REF!</f>
        <v>#REF!</v>
      </c>
      <c r="E180" s="4" t="e">
        <f>#REF!</f>
        <v>#REF!</v>
      </c>
      <c r="F180" s="4" t="e">
        <f>#REF!+3.63</f>
        <v>#REF!</v>
      </c>
      <c r="G180" s="4" t="e">
        <f>#REF!+1.66</f>
        <v>#REF!</v>
      </c>
      <c r="H180" s="4">
        <f>[1]Prices!$AB$642+3</f>
        <v>69.049473684210511</v>
      </c>
      <c r="I180" s="4"/>
      <c r="J180" s="4">
        <f>'[3]RINs and HOBO Forecast'!$C$77</f>
        <v>156.70526315789473</v>
      </c>
      <c r="K180" s="4">
        <f>'[2]LCFS Credit Price Forecast'!$B$119</f>
        <v>78.013199999999998</v>
      </c>
      <c r="L180" s="5">
        <f>[4]Forecasts!$B$41</f>
        <v>605</v>
      </c>
      <c r="M180" s="5">
        <f>[4]Forecasts!$C$41</f>
        <v>2.3999000000000001</v>
      </c>
    </row>
    <row r="181" spans="1:13" x14ac:dyDescent="0.2">
      <c r="A181" s="3">
        <v>45053</v>
      </c>
      <c r="B181" s="4">
        <f>'[6]Yellow Grease Complex'!$AE$221</f>
        <v>42.409100000000002</v>
      </c>
      <c r="C181" s="4">
        <f>'[6]Used Cooking Oil Complex'!$AE$205</f>
        <v>45.2727</v>
      </c>
      <c r="D181" s="4" t="e">
        <f>#REF!</f>
        <v>#REF!</v>
      </c>
      <c r="E181" s="4">
        <f>'[6]CWG Complex'!$AE$222</f>
        <v>49.210526315789473</v>
      </c>
      <c r="F181" s="4">
        <f>'[6]Inedible Tallow Complex'!$AE$220</f>
        <v>66.900000000000006</v>
      </c>
      <c r="G181" s="4">
        <f>'[6]Distillers'' Corn Oil Complex'!$AE$205</f>
        <v>55.636363636363633</v>
      </c>
      <c r="H181" s="4">
        <f>[1]Prices!$AB$643</f>
        <v>63.129090909090912</v>
      </c>
      <c r="I181" s="4"/>
      <c r="J181" s="4">
        <f>'[3]RINs and HOBO Forecast'!$C$78</f>
        <v>153.39772727272728</v>
      </c>
      <c r="K181" s="4">
        <f>'[2]LCFS Credit Price Forecast'!$B$120</f>
        <v>84.465900000000005</v>
      </c>
      <c r="L181" s="5">
        <f>[4]Forecasts!$B$42</f>
        <v>594.5</v>
      </c>
      <c r="M181" s="5">
        <f>[4]Forecasts!$C$41</f>
        <v>2.3999000000000001</v>
      </c>
    </row>
    <row r="182" spans="1:13" x14ac:dyDescent="0.2">
      <c r="A182" s="3">
        <v>45060</v>
      </c>
      <c r="B182" s="4">
        <f>'[6]Yellow Grease Complex'!$AE$221</f>
        <v>42.409100000000002</v>
      </c>
      <c r="C182" s="4">
        <f>'[6]Used Cooking Oil Complex'!$AE$205</f>
        <v>45.2727</v>
      </c>
      <c r="D182" s="4" t="e">
        <f>#REF!</f>
        <v>#REF!</v>
      </c>
      <c r="E182" s="4">
        <f>'[6]CWG Complex'!$AE$222</f>
        <v>49.210526315789473</v>
      </c>
      <c r="F182" s="4">
        <f>'[6]Inedible Tallow Complex'!$AE$220</f>
        <v>66.900000000000006</v>
      </c>
      <c r="G182" s="4">
        <f>'[6]Distillers'' Corn Oil Complex'!$AE$205</f>
        <v>55.636363636363633</v>
      </c>
      <c r="H182" s="4">
        <f>[1]Prices!$AB$643</f>
        <v>63.129090909090912</v>
      </c>
      <c r="I182" s="4"/>
      <c r="J182" s="4">
        <f>'[3]RINs and HOBO Forecast'!$C$78</f>
        <v>153.39772727272728</v>
      </c>
      <c r="K182" s="4">
        <f>'[2]LCFS Credit Price Forecast'!$B$120</f>
        <v>84.465900000000005</v>
      </c>
      <c r="L182" s="5">
        <f>[4]Forecasts!$B$42</f>
        <v>594.5</v>
      </c>
      <c r="M182" s="5">
        <f>[4]Forecasts!$C$41</f>
        <v>2.3999000000000001</v>
      </c>
    </row>
    <row r="183" spans="1:13" x14ac:dyDescent="0.2">
      <c r="A183" s="3">
        <v>45067</v>
      </c>
      <c r="B183" s="4">
        <f>'[6]Yellow Grease Complex'!$AE$221</f>
        <v>42.409100000000002</v>
      </c>
      <c r="C183" s="4">
        <f>'[6]Used Cooking Oil Complex'!$AE$205</f>
        <v>45.2727</v>
      </c>
      <c r="D183" s="4" t="e">
        <f>#REF!</f>
        <v>#REF!</v>
      </c>
      <c r="E183" s="4">
        <f>'[6]CWG Complex'!$AE$222</f>
        <v>49.210526315789473</v>
      </c>
      <c r="F183" s="4">
        <f>'[6]Inedible Tallow Complex'!$AE$220</f>
        <v>66.900000000000006</v>
      </c>
      <c r="G183" s="4">
        <f>'[6]Distillers'' Corn Oil Complex'!$AE$205</f>
        <v>55.636363636363633</v>
      </c>
      <c r="H183" s="4">
        <f>[1]Prices!$AB$643</f>
        <v>63.129090909090912</v>
      </c>
      <c r="I183" s="4"/>
      <c r="J183" s="4">
        <f>'[3]RINs and HOBO Forecast'!$C$78</f>
        <v>153.39772727272728</v>
      </c>
      <c r="K183" s="4">
        <f>'[2]LCFS Credit Price Forecast'!$B$120</f>
        <v>84.465900000000005</v>
      </c>
      <c r="L183" s="5">
        <f>[4]Forecasts!$B$42</f>
        <v>594.5</v>
      </c>
      <c r="M183" s="5">
        <f>[4]Forecasts!$C$41</f>
        <v>2.3999000000000001</v>
      </c>
    </row>
    <row r="184" spans="1:13" x14ac:dyDescent="0.2">
      <c r="A184" s="3">
        <v>45074</v>
      </c>
      <c r="B184" s="4">
        <f>'[6]Yellow Grease Complex'!$AE$221</f>
        <v>42.409100000000002</v>
      </c>
      <c r="C184" s="4">
        <f>'[6]Used Cooking Oil Complex'!$AE$205</f>
        <v>45.2727</v>
      </c>
      <c r="D184" s="4" t="e">
        <f>#REF!</f>
        <v>#REF!</v>
      </c>
      <c r="E184" s="4">
        <f>'[6]CWG Complex'!$AE$222</f>
        <v>49.210526315789473</v>
      </c>
      <c r="F184" s="4">
        <f>'[6]Inedible Tallow Complex'!$AE$220</f>
        <v>66.900000000000006</v>
      </c>
      <c r="G184" s="4">
        <f>'[6]Distillers'' Corn Oil Complex'!$AE$205</f>
        <v>55.636363636363633</v>
      </c>
      <c r="H184" s="4">
        <f>[1]Prices!$AB$643</f>
        <v>63.129090909090912</v>
      </c>
      <c r="I184" s="4"/>
      <c r="J184" s="4">
        <f>'[3]RINs and HOBO Forecast'!$C$78</f>
        <v>153.39772727272728</v>
      </c>
      <c r="K184" s="4">
        <f>'[2]LCFS Credit Price Forecast'!$B$120</f>
        <v>84.465900000000005</v>
      </c>
      <c r="L184" s="5">
        <f>[4]Forecasts!$B$42</f>
        <v>594.5</v>
      </c>
      <c r="M184" s="5">
        <f>[4]Forecasts!$C$41</f>
        <v>2.3999000000000001</v>
      </c>
    </row>
    <row r="185" spans="1:13" x14ac:dyDescent="0.2">
      <c r="A185" s="3">
        <v>45081</v>
      </c>
      <c r="B185" s="4">
        <f>'[6]Yellow Grease Complex'!$AE$222</f>
        <v>43.547600000000003</v>
      </c>
      <c r="C185" s="4">
        <f>'[6]Used Cooking Oil Complex'!$AE$206</f>
        <v>50.166699999999999</v>
      </c>
      <c r="D185" s="4" t="e">
        <f>#REF!</f>
        <v>#REF!</v>
      </c>
      <c r="E185" s="4">
        <f>'[6]CWG Complex'!$AE$223</f>
        <v>53.761904761904759</v>
      </c>
      <c r="F185" s="4">
        <f>'[6]Inedible Tallow Complex'!$AE$221</f>
        <v>59.289473684210527</v>
      </c>
      <c r="G185" s="4">
        <f>'[6]Distillers'' Corn Oil Complex'!$AE$206</f>
        <v>58.75</v>
      </c>
      <c r="H185" s="4">
        <f>[1]Prices!$AB$644</f>
        <v>71.920476190476194</v>
      </c>
      <c r="I185" s="4"/>
      <c r="J185" s="4">
        <f>'[3]RINs and HOBO Forecast'!$C$79</f>
        <v>144.4702380952381</v>
      </c>
      <c r="K185" s="4">
        <f>'[2]LCFS Credit Price Forecast'!$B$121</f>
        <v>80.428600000000003</v>
      </c>
      <c r="L185" s="5">
        <f>[4]Forecasts!$B$43</f>
        <v>580.23810000000003</v>
      </c>
      <c r="M185" s="5">
        <f>[4]Forecasts!$C$41</f>
        <v>2.3999000000000001</v>
      </c>
    </row>
    <row r="186" spans="1:13" x14ac:dyDescent="0.2">
      <c r="A186" s="3">
        <v>45088</v>
      </c>
      <c r="B186" s="4">
        <f>'[6]Yellow Grease Complex'!$AE$222</f>
        <v>43.547600000000003</v>
      </c>
      <c r="C186" s="4">
        <f>'[6]Used Cooking Oil Complex'!$AE$206</f>
        <v>50.166699999999999</v>
      </c>
      <c r="D186" s="4" t="e">
        <f>#REF!</f>
        <v>#REF!</v>
      </c>
      <c r="E186" s="4">
        <f>'[6]CWG Complex'!$AE$223</f>
        <v>53.761904761904759</v>
      </c>
      <c r="F186" s="4">
        <f>'[6]Inedible Tallow Complex'!$AE$221</f>
        <v>59.289473684210527</v>
      </c>
      <c r="G186" s="4">
        <f>'[6]Distillers'' Corn Oil Complex'!$AE$206</f>
        <v>58.75</v>
      </c>
      <c r="H186" s="4">
        <f>[1]Prices!$AB$644</f>
        <v>71.920476190476194</v>
      </c>
      <c r="I186" s="4"/>
      <c r="J186" s="4">
        <f>'[3]RINs and HOBO Forecast'!$C$79</f>
        <v>144.4702380952381</v>
      </c>
      <c r="K186" s="4">
        <f>'[2]LCFS Credit Price Forecast'!$B$121</f>
        <v>80.428600000000003</v>
      </c>
      <c r="L186" s="5">
        <f>[4]Forecasts!$B$43</f>
        <v>580.23810000000003</v>
      </c>
      <c r="M186" s="5">
        <f>[4]Forecasts!$C$41</f>
        <v>2.3999000000000001</v>
      </c>
    </row>
    <row r="187" spans="1:13" x14ac:dyDescent="0.2">
      <c r="A187" s="3">
        <v>45095</v>
      </c>
      <c r="B187" s="4">
        <f>'[6]Yellow Grease Complex'!$AE$222</f>
        <v>43.547600000000003</v>
      </c>
      <c r="C187" s="4">
        <f>'[6]Used Cooking Oil Complex'!$AE$206</f>
        <v>50.166699999999999</v>
      </c>
      <c r="D187" s="4" t="e">
        <f>#REF!</f>
        <v>#REF!</v>
      </c>
      <c r="E187" s="4">
        <f>'[6]CWG Complex'!$AE$223</f>
        <v>53.761904761904759</v>
      </c>
      <c r="F187" s="4">
        <f>'[6]Inedible Tallow Complex'!$AE$221</f>
        <v>59.289473684210527</v>
      </c>
      <c r="G187" s="4">
        <f>'[6]Distillers'' Corn Oil Complex'!$AE$206</f>
        <v>58.75</v>
      </c>
      <c r="H187" s="4">
        <f>[1]Prices!$AB$644</f>
        <v>71.920476190476194</v>
      </c>
      <c r="I187" s="4"/>
      <c r="J187" s="4">
        <f>'[3]RINs and HOBO Forecast'!$C$79</f>
        <v>144.4702380952381</v>
      </c>
      <c r="K187" s="4">
        <f>'[2]LCFS Credit Price Forecast'!$B$121</f>
        <v>80.428600000000003</v>
      </c>
      <c r="L187" s="5">
        <f>[4]Forecasts!$B$43</f>
        <v>580.23810000000003</v>
      </c>
      <c r="M187" s="5">
        <f>[4]Forecasts!$C$41</f>
        <v>2.3999000000000001</v>
      </c>
    </row>
    <row r="188" spans="1:13" x14ac:dyDescent="0.2">
      <c r="A188" s="3">
        <v>45102</v>
      </c>
      <c r="B188" s="4">
        <f>'[6]Yellow Grease Complex'!$AE$222</f>
        <v>43.547600000000003</v>
      </c>
      <c r="C188" s="4">
        <f>'[6]Used Cooking Oil Complex'!$AE$206</f>
        <v>50.166699999999999</v>
      </c>
      <c r="D188" s="4" t="e">
        <f>#REF!</f>
        <v>#REF!</v>
      </c>
      <c r="E188" s="4">
        <f>'[6]CWG Complex'!$AE$223</f>
        <v>53.761904761904759</v>
      </c>
      <c r="F188" s="4">
        <f>'[6]Inedible Tallow Complex'!$AE$221</f>
        <v>59.289473684210527</v>
      </c>
      <c r="G188" s="4">
        <f>'[6]Distillers'' Corn Oil Complex'!$AE$206</f>
        <v>58.75</v>
      </c>
      <c r="H188" s="4">
        <f>[1]Prices!$AB$644</f>
        <v>71.920476190476194</v>
      </c>
      <c r="I188" s="4"/>
      <c r="J188" s="4">
        <f>'[3]RINs and HOBO Forecast'!$C$79</f>
        <v>144.4702380952381</v>
      </c>
      <c r="K188" s="4">
        <f>'[2]LCFS Credit Price Forecast'!$B$121</f>
        <v>80.428600000000003</v>
      </c>
      <c r="L188" s="5">
        <f>[4]Forecasts!$B$43</f>
        <v>580.23810000000003</v>
      </c>
      <c r="M188" s="5">
        <f>[4]Forecasts!$C$41</f>
        <v>2.3999000000000001</v>
      </c>
    </row>
    <row r="189" spans="1:13" x14ac:dyDescent="0.2">
      <c r="A189" s="3">
        <v>45109</v>
      </c>
      <c r="B189" s="4">
        <f>'[6]Yellow Grease Complex'!$AE$223</f>
        <v>46.125</v>
      </c>
      <c r="C189" s="4">
        <f>'[6]Used Cooking Oil Complex'!$AE$207</f>
        <v>52.05</v>
      </c>
      <c r="D189" s="4">
        <f>'[6]Poultry Byproduct Complex'!$AE$329</f>
        <v>49.238100000000003</v>
      </c>
      <c r="E189" s="4">
        <f>'[6]CWG Complex'!$AE$224</f>
        <v>55.904761904761905</v>
      </c>
      <c r="F189" s="4">
        <f>'[6]Inedible Tallow Complex'!$AE$222</f>
        <v>53.978260869565219</v>
      </c>
      <c r="G189" s="4">
        <f>'[6]Distillers'' Corn Oil Complex'!$AE$207</f>
        <v>67.137500000000003</v>
      </c>
      <c r="H189" s="4">
        <f>[1]Prices!$AB$645</f>
        <v>83.214999999999989</v>
      </c>
      <c r="I189" s="4"/>
      <c r="J189" s="4">
        <f>'[3]RINs and HOBO Forecast'!$C$80</f>
        <v>155.63749999999999</v>
      </c>
      <c r="K189" s="4">
        <f>'[2]LCFS Credit Price Forecast'!$B$122</f>
        <v>73.262500000000003</v>
      </c>
      <c r="L189" s="5">
        <f>[4]Forecasts!$B$44</f>
        <v>595</v>
      </c>
      <c r="M189" s="5">
        <f>[4]Forecasts!$C$41</f>
        <v>2.3999000000000001</v>
      </c>
    </row>
    <row r="190" spans="1:13" x14ac:dyDescent="0.2">
      <c r="A190" s="3">
        <v>45116</v>
      </c>
      <c r="B190" s="4">
        <f>'[6]Yellow Grease Complex'!$AE$223</f>
        <v>46.125</v>
      </c>
      <c r="C190" s="4">
        <f>'[6]Used Cooking Oil Complex'!$AE$207</f>
        <v>52.05</v>
      </c>
      <c r="D190" s="4">
        <f>'[6]Poultry Byproduct Complex'!$AE$329</f>
        <v>49.238100000000003</v>
      </c>
      <c r="E190" s="4">
        <f>'[6]CWG Complex'!$AE$224</f>
        <v>55.904761904761905</v>
      </c>
      <c r="F190" s="4">
        <f>'[6]Inedible Tallow Complex'!$AE$222</f>
        <v>53.978260869565219</v>
      </c>
      <c r="G190" s="4">
        <f>'[6]Distillers'' Corn Oil Complex'!$AE$207</f>
        <v>67.137500000000003</v>
      </c>
      <c r="H190" s="4">
        <f>[1]Prices!$AB$645</f>
        <v>83.214999999999989</v>
      </c>
      <c r="I190" s="4"/>
      <c r="J190" s="4">
        <f>'[3]RINs and HOBO Forecast'!$C$80</f>
        <v>155.63749999999999</v>
      </c>
      <c r="K190" s="4">
        <f>'[2]LCFS Credit Price Forecast'!$B$122</f>
        <v>73.262500000000003</v>
      </c>
      <c r="L190" s="5">
        <f>[4]Forecasts!$B$44</f>
        <v>595</v>
      </c>
      <c r="M190" s="5">
        <f>[4]Forecasts!$C$41</f>
        <v>2.3999000000000001</v>
      </c>
    </row>
    <row r="191" spans="1:13" x14ac:dyDescent="0.2">
      <c r="A191" s="3">
        <v>45123</v>
      </c>
      <c r="B191" s="4">
        <f>'[6]Yellow Grease Complex'!$AE$223</f>
        <v>46.125</v>
      </c>
      <c r="C191" s="4">
        <f>'[6]Used Cooking Oil Complex'!$AE$207</f>
        <v>52.05</v>
      </c>
      <c r="D191" s="4">
        <f>'[6]Poultry Byproduct Complex'!$AE$329</f>
        <v>49.238100000000003</v>
      </c>
      <c r="E191" s="4">
        <f>'[6]CWG Complex'!$AE$224</f>
        <v>55.904761904761905</v>
      </c>
      <c r="F191" s="4">
        <f>'[6]Inedible Tallow Complex'!$AE$222</f>
        <v>53.978260869565219</v>
      </c>
      <c r="G191" s="4">
        <f>'[6]Distillers'' Corn Oil Complex'!$AE$207</f>
        <v>67.137500000000003</v>
      </c>
      <c r="H191" s="4">
        <f>[1]Prices!$AB$645</f>
        <v>83.214999999999989</v>
      </c>
      <c r="I191" s="4"/>
      <c r="J191" s="4">
        <f>'[3]RINs and HOBO Forecast'!$C$80</f>
        <v>155.63749999999999</v>
      </c>
      <c r="K191" s="4">
        <f>'[2]LCFS Credit Price Forecast'!$B$122</f>
        <v>73.262500000000003</v>
      </c>
      <c r="L191" s="5">
        <f>[4]Forecasts!$B$44</f>
        <v>595</v>
      </c>
      <c r="M191" s="5">
        <f>[4]Forecasts!$C$41</f>
        <v>2.3999000000000001</v>
      </c>
    </row>
    <row r="192" spans="1:13" x14ac:dyDescent="0.2">
      <c r="A192" s="3">
        <v>45130</v>
      </c>
      <c r="B192" s="4">
        <f>'[6]Yellow Grease Complex'!$AE$223</f>
        <v>46.125</v>
      </c>
      <c r="C192" s="4">
        <f>'[6]Used Cooking Oil Complex'!$AE$207</f>
        <v>52.05</v>
      </c>
      <c r="D192" s="4">
        <f>'[6]Poultry Byproduct Complex'!$AE$329</f>
        <v>49.238100000000003</v>
      </c>
      <c r="E192" s="4">
        <f>'[6]CWG Complex'!$AE$224</f>
        <v>55.904761904761905</v>
      </c>
      <c r="F192" s="4">
        <f>'[6]Inedible Tallow Complex'!$AE$222</f>
        <v>53.978260869565219</v>
      </c>
      <c r="G192" s="4">
        <f>'[6]Distillers'' Corn Oil Complex'!$AE$207</f>
        <v>67.137500000000003</v>
      </c>
      <c r="H192" s="4">
        <f>[1]Prices!$AB$645</f>
        <v>83.214999999999989</v>
      </c>
      <c r="I192" s="4"/>
      <c r="J192" s="4">
        <f>'[3]RINs and HOBO Forecast'!$C$80</f>
        <v>155.63749999999999</v>
      </c>
      <c r="K192" s="4">
        <f>'[2]LCFS Credit Price Forecast'!$B$122</f>
        <v>73.262500000000003</v>
      </c>
      <c r="L192" s="5">
        <f>[4]Forecasts!$B$44</f>
        <v>595</v>
      </c>
      <c r="M192" s="5">
        <f>[4]Forecasts!$C$41</f>
        <v>2.3999000000000001</v>
      </c>
    </row>
    <row r="193" spans="1:13" x14ac:dyDescent="0.2">
      <c r="A193" s="3">
        <v>45137</v>
      </c>
      <c r="B193" s="4">
        <f>'[6]Yellow Grease Complex'!$AE$223</f>
        <v>46.125</v>
      </c>
      <c r="C193" s="4">
        <f>'[6]Used Cooking Oil Complex'!$AE$207</f>
        <v>52.05</v>
      </c>
      <c r="D193" s="4">
        <f>'[6]Poultry Byproduct Complex'!$AE$329</f>
        <v>49.238100000000003</v>
      </c>
      <c r="E193" s="4">
        <f>'[6]CWG Complex'!$AE$224</f>
        <v>55.904761904761905</v>
      </c>
      <c r="F193" s="4">
        <f>'[6]Inedible Tallow Complex'!$AE$222</f>
        <v>53.978260869565219</v>
      </c>
      <c r="G193" s="4">
        <f>'[6]Distillers'' Corn Oil Complex'!$AE$207</f>
        <v>67.137500000000003</v>
      </c>
      <c r="H193" s="4">
        <f>[1]Prices!$AB$645-2.75</f>
        <v>80.464999999999989</v>
      </c>
      <c r="I193" s="4"/>
      <c r="J193" s="4">
        <f>'[3]RINs and HOBO Forecast'!$C$80</f>
        <v>155.63749999999999</v>
      </c>
      <c r="K193" s="4">
        <f>'[2]LCFS Credit Price Forecast'!$B$122</f>
        <v>73.262500000000003</v>
      </c>
      <c r="L193" s="5">
        <f>[4]Forecasts!$B$44</f>
        <v>595</v>
      </c>
      <c r="M193" s="5">
        <f>[4]Forecasts!$C$41</f>
        <v>2.3999000000000001</v>
      </c>
    </row>
    <row r="194" spans="1:13" x14ac:dyDescent="0.2">
      <c r="A194" s="3">
        <v>45144</v>
      </c>
      <c r="B194" s="4">
        <f>'[6]Yellow Grease Complex'!$AE$224</f>
        <v>47</v>
      </c>
      <c r="C194" s="4">
        <f>'[6]Used Cooking Oil Complex'!$AE$208</f>
        <v>53</v>
      </c>
      <c r="D194" s="4">
        <f>'[6]Poultry Byproduct Complex'!$AE$330</f>
        <v>51.774999999999999</v>
      </c>
      <c r="E194" s="4">
        <f>'[6]CWG Complex'!$AE$225</f>
        <v>61.222222222222221</v>
      </c>
      <c r="F194" s="4">
        <f>'[6]Inedible Tallow Complex'!$AE$223</f>
        <v>52.368421052631582</v>
      </c>
      <c r="G194" s="4">
        <f>'[6]Distillers'' Corn Oil Complex'!$AE$208</f>
        <v>68.260869565217391</v>
      </c>
      <c r="H194" s="4">
        <f>[1]Prices!$AB$646</f>
        <v>79.824782608695656</v>
      </c>
      <c r="I194" s="4"/>
      <c r="J194" s="4">
        <f>'[3]RINs and HOBO Forecast'!$C$81</f>
        <v>145.03260869565219</v>
      </c>
      <c r="K194" s="4">
        <f>'[2]LCFS Credit Price Forecast'!$B$123</f>
        <v>78.184799999999996</v>
      </c>
      <c r="L194" s="5">
        <f>[4]Forecasts!$B$45</f>
        <v>658.04349999999999</v>
      </c>
      <c r="M194" s="5">
        <f>[4]Forecasts!$C$41</f>
        <v>2.3999000000000001</v>
      </c>
    </row>
    <row r="195" spans="1:13" x14ac:dyDescent="0.2">
      <c r="A195" s="3">
        <v>45151</v>
      </c>
      <c r="B195" s="4">
        <f>'[6]Yellow Grease Complex'!$AE$224</f>
        <v>47</v>
      </c>
      <c r="C195" s="4">
        <f>'[6]Used Cooking Oil Complex'!$AE$208</f>
        <v>53</v>
      </c>
      <c r="D195" s="4">
        <f>'[6]Poultry Byproduct Complex'!$AE$330</f>
        <v>51.774999999999999</v>
      </c>
      <c r="E195" s="4">
        <f>'[6]CWG Complex'!$AE$225</f>
        <v>61.222222222222221</v>
      </c>
      <c r="F195" s="4">
        <f>'[6]Inedible Tallow Complex'!$AE$223</f>
        <v>52.368421052631582</v>
      </c>
      <c r="G195" s="4">
        <f>'[6]Distillers'' Corn Oil Complex'!$AE$208</f>
        <v>68.260869565217391</v>
      </c>
      <c r="H195" s="4">
        <f>[1]Prices!$AB$646</f>
        <v>79.824782608695656</v>
      </c>
      <c r="I195" s="4"/>
      <c r="J195" s="4">
        <f>'[3]RINs and HOBO Forecast'!$C$81</f>
        <v>145.03260869565219</v>
      </c>
      <c r="K195" s="4">
        <f>'[2]LCFS Credit Price Forecast'!$B$123</f>
        <v>78.184799999999996</v>
      </c>
      <c r="L195" s="5">
        <f>[4]Forecasts!$B$45</f>
        <v>658.04349999999999</v>
      </c>
      <c r="M195" s="5">
        <f>[4]Forecasts!$C$41</f>
        <v>2.3999000000000001</v>
      </c>
    </row>
    <row r="196" spans="1:13" x14ac:dyDescent="0.2">
      <c r="A196" s="3">
        <v>45158</v>
      </c>
      <c r="B196" s="4">
        <f>'[6]Yellow Grease Complex'!$AE$224</f>
        <v>47</v>
      </c>
      <c r="C196" s="4">
        <f>'[6]Used Cooking Oil Complex'!$AE$208</f>
        <v>53</v>
      </c>
      <c r="D196" s="4">
        <f>'[6]Poultry Byproduct Complex'!$AE$330</f>
        <v>51.774999999999999</v>
      </c>
      <c r="E196" s="4">
        <f>'[6]CWG Complex'!$AE$225</f>
        <v>61.222222222222221</v>
      </c>
      <c r="F196" s="4">
        <f>'[6]Inedible Tallow Complex'!$AE$223</f>
        <v>52.368421052631582</v>
      </c>
      <c r="G196" s="4">
        <f>'[6]Distillers'' Corn Oil Complex'!$AE$208</f>
        <v>68.260869565217391</v>
      </c>
      <c r="H196" s="4">
        <f>[1]Prices!$AB$646</f>
        <v>79.824782608695656</v>
      </c>
      <c r="I196" s="4"/>
      <c r="J196" s="4">
        <f>'[3]RINs and HOBO Forecast'!$C$81</f>
        <v>145.03260869565219</v>
      </c>
      <c r="K196" s="4">
        <f>'[2]LCFS Credit Price Forecast'!$B$123</f>
        <v>78.184799999999996</v>
      </c>
      <c r="L196" s="5">
        <f>[4]Forecasts!$B$45</f>
        <v>658.04349999999999</v>
      </c>
      <c r="M196" s="5">
        <f>[4]Forecasts!$C$41</f>
        <v>2.3999000000000001</v>
      </c>
    </row>
    <row r="197" spans="1:13" x14ac:dyDescent="0.2">
      <c r="A197" s="3">
        <v>45165</v>
      </c>
      <c r="B197" s="4">
        <f>'[6]Yellow Grease Complex'!$AE$224</f>
        <v>47</v>
      </c>
      <c r="C197" s="4">
        <f>'[6]Used Cooking Oil Complex'!$AE$208</f>
        <v>53</v>
      </c>
      <c r="D197" s="4">
        <f>'[6]Poultry Byproduct Complex'!$AE$330</f>
        <v>51.774999999999999</v>
      </c>
      <c r="E197" s="4">
        <f>'[6]CWG Complex'!$AE$225</f>
        <v>61.222222222222221</v>
      </c>
      <c r="F197" s="4">
        <f>'[6]Inedible Tallow Complex'!$AE$223</f>
        <v>52.368421052631582</v>
      </c>
      <c r="G197" s="4">
        <f>'[6]Distillers'' Corn Oil Complex'!$AE$208</f>
        <v>68.260869565217391</v>
      </c>
      <c r="H197" s="4">
        <f>[1]Prices!$AB$646</f>
        <v>79.824782608695656</v>
      </c>
      <c r="I197" s="4"/>
      <c r="J197" s="4">
        <f>'[3]RINs and HOBO Forecast'!$C$81</f>
        <v>145.03260869565219</v>
      </c>
      <c r="K197" s="4">
        <f>'[2]LCFS Credit Price Forecast'!$B$123</f>
        <v>78.184799999999996</v>
      </c>
      <c r="L197" s="5">
        <f>[4]Forecasts!$B$45</f>
        <v>658.04349999999999</v>
      </c>
      <c r="M197" s="5">
        <f>[4]Forecasts!$C$41</f>
        <v>2.3999000000000001</v>
      </c>
    </row>
    <row r="198" spans="1:13" x14ac:dyDescent="0.2">
      <c r="A198" s="3">
        <v>45172</v>
      </c>
      <c r="B198" s="4">
        <f>'[6]Yellow Grease Complex'!$AE$225</f>
        <v>48.6</v>
      </c>
      <c r="C198" s="4">
        <f>'[6]Used Cooking Oil Complex'!$AE$209</f>
        <v>54.274999999999999</v>
      </c>
      <c r="D198" s="4">
        <f>'[6]Poultry Byproduct Complex'!$AE$331</f>
        <v>53.543500000000002</v>
      </c>
      <c r="E198" s="4">
        <f>'[6]CWG Complex'!$AE$226</f>
        <v>65.318181818181813</v>
      </c>
      <c r="F198" s="4">
        <f>'[6]Inedible Tallow Complex'!$AE$224</f>
        <v>56.31818181818182</v>
      </c>
      <c r="G198" s="4">
        <f>'[6]Distillers'' Corn Oil Complex'!$AE$209</f>
        <v>66.4375</v>
      </c>
      <c r="H198" s="4">
        <f>[1]Prices!$AB$647</f>
        <v>74.341499999999982</v>
      </c>
      <c r="I198" s="4"/>
      <c r="J198" s="4">
        <f>'[3]RINs and HOBO Forecast'!$C$82</f>
        <v>119.4</v>
      </c>
      <c r="K198" s="4">
        <f>'[2]LCFS Credit Price Forecast'!$B$124</f>
        <v>72.05</v>
      </c>
      <c r="L198" s="5">
        <f>[4]Forecasts!$B$46</f>
        <v>641</v>
      </c>
      <c r="M198" s="5">
        <f>[4]Forecasts!$C$41</f>
        <v>2.3999000000000001</v>
      </c>
    </row>
    <row r="199" spans="1:13" x14ac:dyDescent="0.2">
      <c r="A199" s="3">
        <v>45179</v>
      </c>
      <c r="B199" s="4">
        <f>'[6]Yellow Grease Complex'!$AE$225</f>
        <v>48.6</v>
      </c>
      <c r="C199" s="4">
        <f>'[6]Used Cooking Oil Complex'!$AE$209</f>
        <v>54.274999999999999</v>
      </c>
      <c r="D199" s="4">
        <f>'[6]Poultry Byproduct Complex'!$AE$331</f>
        <v>53.543500000000002</v>
      </c>
      <c r="E199" s="4">
        <f>'[6]CWG Complex'!$AE$226</f>
        <v>65.318181818181813</v>
      </c>
      <c r="F199" s="4">
        <f>'[6]Inedible Tallow Complex'!$AE$224</f>
        <v>56.31818181818182</v>
      </c>
      <c r="G199" s="4">
        <f>'[6]Distillers'' Corn Oil Complex'!$AE$209</f>
        <v>66.4375</v>
      </c>
      <c r="H199" s="4">
        <f>[1]Prices!$AB$647</f>
        <v>74.341499999999982</v>
      </c>
      <c r="I199" s="4"/>
      <c r="J199" s="4">
        <f>'[3]RINs and HOBO Forecast'!$C$82</f>
        <v>119.4</v>
      </c>
      <c r="K199" s="4">
        <f>'[2]LCFS Credit Price Forecast'!$B$124</f>
        <v>72.05</v>
      </c>
      <c r="L199" s="5">
        <f>[4]Forecasts!$B$46</f>
        <v>641</v>
      </c>
      <c r="M199" s="5">
        <f>[4]Forecasts!$C$41</f>
        <v>2.3999000000000001</v>
      </c>
    </row>
    <row r="200" spans="1:13" x14ac:dyDescent="0.2">
      <c r="A200" s="3">
        <v>45186</v>
      </c>
      <c r="B200" s="4">
        <f>'[6]Yellow Grease Complex'!$AE$225</f>
        <v>48.6</v>
      </c>
      <c r="C200" s="4">
        <f>'[6]Used Cooking Oil Complex'!$AE$209</f>
        <v>54.274999999999999</v>
      </c>
      <c r="D200" s="4">
        <f>'[6]Poultry Byproduct Complex'!$AE$331</f>
        <v>53.543500000000002</v>
      </c>
      <c r="E200" s="4">
        <f>'[6]CWG Complex'!$AE$226</f>
        <v>65.318181818181813</v>
      </c>
      <c r="F200" s="4">
        <f>'[6]Inedible Tallow Complex'!$AE$224</f>
        <v>56.31818181818182</v>
      </c>
      <c r="G200" s="4">
        <f>'[6]Distillers'' Corn Oil Complex'!$AE$209</f>
        <v>66.4375</v>
      </c>
      <c r="H200" s="4">
        <f>[1]Prices!$AB$647</f>
        <v>74.341499999999982</v>
      </c>
      <c r="I200" s="4"/>
      <c r="J200" s="4">
        <f>'[3]RINs and HOBO Forecast'!$C$82</f>
        <v>119.4</v>
      </c>
      <c r="K200" s="4">
        <f>'[2]LCFS Credit Price Forecast'!$B$124</f>
        <v>72.05</v>
      </c>
      <c r="L200" s="5">
        <f>[4]Forecasts!$B$46</f>
        <v>641</v>
      </c>
      <c r="M200" s="5">
        <f>[4]Forecasts!$C$41</f>
        <v>2.3999000000000001</v>
      </c>
    </row>
    <row r="201" spans="1:13" x14ac:dyDescent="0.2">
      <c r="A201" s="3">
        <v>45193</v>
      </c>
      <c r="B201" s="4">
        <f>'[6]Yellow Grease Complex'!$AE$225</f>
        <v>48.6</v>
      </c>
      <c r="C201" s="4">
        <f>'[6]Used Cooking Oil Complex'!$AE$209+2</f>
        <v>56.274999999999999</v>
      </c>
      <c r="D201" s="4">
        <f>'[6]Poultry Byproduct Complex'!$AE$331</f>
        <v>53.543500000000002</v>
      </c>
      <c r="E201" s="4">
        <f>'[6]CWG Complex'!$AE$226</f>
        <v>65.318181818181813</v>
      </c>
      <c r="F201" s="4">
        <f>'[6]Inedible Tallow Complex'!$AE$224+0.23</f>
        <v>56.548181818181817</v>
      </c>
      <c r="G201" s="4">
        <f>'[6]Distillers'' Corn Oil Complex'!$AE$209-0.22</f>
        <v>66.217500000000001</v>
      </c>
      <c r="H201" s="4">
        <f>[1]Prices!$AB$647</f>
        <v>74.341499999999982</v>
      </c>
      <c r="I201" s="4"/>
      <c r="J201" s="4">
        <f>'[3]RINs and HOBO Forecast'!$C$82</f>
        <v>119.4</v>
      </c>
      <c r="K201" s="4">
        <f>'[2]LCFS Credit Price Forecast'!$B$124</f>
        <v>72.05</v>
      </c>
      <c r="L201" s="5">
        <f>[4]Forecasts!$B$46</f>
        <v>641</v>
      </c>
      <c r="M201" s="5">
        <f>[4]Forecasts!$C$41</f>
        <v>2.3999000000000001</v>
      </c>
    </row>
    <row r="202" spans="1:13" x14ac:dyDescent="0.2">
      <c r="A202" s="3">
        <v>45200</v>
      </c>
      <c r="B202" s="4">
        <f>'[6]Yellow Grease Complex'!$AF$214</f>
        <v>46.795499999999997</v>
      </c>
      <c r="C202" s="4">
        <f>'[6]Used Cooking Oil Complex'!$AF$198</f>
        <v>51.2273</v>
      </c>
      <c r="D202" s="4">
        <f>'[6]Poultry Byproduct Complex'!$AF$321</f>
        <v>49.329500000000003</v>
      </c>
      <c r="E202" s="4">
        <f>'[6]CWG Complex'!$AF$216</f>
        <v>55.909090909090907</v>
      </c>
      <c r="F202" s="4">
        <f>'[6]Inedible Tallow Complex'!$AF$213</f>
        <v>58.904761904761905</v>
      </c>
      <c r="G202" s="4">
        <f>'[6]Distillers'' Corn Oil Complex'!$AF$198</f>
        <v>58.68181818181818</v>
      </c>
      <c r="H202" s="4">
        <f>[1]Prices!$AB$648</f>
        <v>65.709090909090918</v>
      </c>
      <c r="I202" s="4"/>
      <c r="J202" s="4">
        <f>'[3]RINs and HOBO Forecast'!$C$83</f>
        <v>88.602272727272734</v>
      </c>
      <c r="K202" s="4">
        <f>'[2]LCFS Credit Price Forecast'!$B$125</f>
        <v>70.2273</v>
      </c>
      <c r="L202" s="5">
        <f>[4]Forecasts!$B$47</f>
        <v>592.27269999999999</v>
      </c>
      <c r="M202" s="5">
        <f>[4]Forecasts!$C$47</f>
        <v>3.2168000000000001</v>
      </c>
    </row>
    <row r="203" spans="1:13" x14ac:dyDescent="0.2">
      <c r="A203" s="3">
        <v>45207</v>
      </c>
      <c r="B203" s="4">
        <f>'[6]Yellow Grease Complex'!$AF$214</f>
        <v>46.795499999999997</v>
      </c>
      <c r="C203" s="4">
        <f>'[6]Used Cooking Oil Complex'!$AF$198</f>
        <v>51.2273</v>
      </c>
      <c r="D203" s="4">
        <f>'[6]Poultry Byproduct Complex'!$AF$321</f>
        <v>49.329500000000003</v>
      </c>
      <c r="E203" s="4">
        <f>'[6]CWG Complex'!$AF$216</f>
        <v>55.909090909090907</v>
      </c>
      <c r="F203" s="4">
        <f>'[6]Inedible Tallow Complex'!$AF$213</f>
        <v>58.904761904761905</v>
      </c>
      <c r="G203" s="4">
        <f>'[6]Distillers'' Corn Oil Complex'!$AF$198</f>
        <v>58.68181818181818</v>
      </c>
      <c r="H203" s="4">
        <f>[1]Prices!$AB$648</f>
        <v>65.709090909090918</v>
      </c>
      <c r="I203" s="4"/>
      <c r="J203" s="4">
        <f>'[3]RINs and HOBO Forecast'!$C$83</f>
        <v>88.602272727272734</v>
      </c>
      <c r="K203" s="4">
        <f>'[2]LCFS Credit Price Forecast'!$B$125</f>
        <v>70.2273</v>
      </c>
      <c r="L203" s="5">
        <f>[4]Forecasts!$B$47</f>
        <v>592.27269999999999</v>
      </c>
      <c r="M203" s="5">
        <f>[4]Forecasts!$C$47</f>
        <v>3.2168000000000001</v>
      </c>
    </row>
    <row r="204" spans="1:13" x14ac:dyDescent="0.2">
      <c r="A204" s="3">
        <v>45214</v>
      </c>
      <c r="B204" s="4">
        <f>'[6]Yellow Grease Complex'!$AF$214</f>
        <v>46.795499999999997</v>
      </c>
      <c r="C204" s="4">
        <f>'[6]Used Cooking Oil Complex'!$AF$198</f>
        <v>51.2273</v>
      </c>
      <c r="D204" s="4">
        <f>'[6]Poultry Byproduct Complex'!$AF$321</f>
        <v>49.329500000000003</v>
      </c>
      <c r="E204" s="4">
        <f>'[6]CWG Complex'!$AF$216</f>
        <v>55.909090909090907</v>
      </c>
      <c r="F204" s="4">
        <f>'[6]Inedible Tallow Complex'!$AF$213</f>
        <v>58.904761904761905</v>
      </c>
      <c r="G204" s="4">
        <f>'[6]Distillers'' Corn Oil Complex'!$AF$198</f>
        <v>58.68181818181818</v>
      </c>
      <c r="H204" s="4">
        <f>[1]Prices!$AB$648</f>
        <v>65.709090909090918</v>
      </c>
      <c r="I204" s="4"/>
      <c r="J204" s="4">
        <f>'[3]RINs and HOBO Forecast'!$C$83</f>
        <v>88.602272727272734</v>
      </c>
      <c r="K204" s="4">
        <f>'[2]LCFS Credit Price Forecast'!$B$125</f>
        <v>70.2273</v>
      </c>
      <c r="L204" s="5">
        <f>[4]Forecasts!$B$47</f>
        <v>592.27269999999999</v>
      </c>
      <c r="M204" s="5">
        <f>[4]Forecasts!$C$47</f>
        <v>3.2168000000000001</v>
      </c>
    </row>
    <row r="205" spans="1:13" x14ac:dyDescent="0.2">
      <c r="A205" s="3">
        <v>45221</v>
      </c>
      <c r="B205" s="4">
        <f>'[6]Yellow Grease Complex'!$AF$214</f>
        <v>46.795499999999997</v>
      </c>
      <c r="C205" s="4">
        <f>'[6]Used Cooking Oil Complex'!$AF$198</f>
        <v>51.2273</v>
      </c>
      <c r="D205" s="4">
        <f>'[6]Poultry Byproduct Complex'!$AF$321</f>
        <v>49.329500000000003</v>
      </c>
      <c r="E205" s="4">
        <f>'[6]CWG Complex'!$AF$216</f>
        <v>55.909090909090907</v>
      </c>
      <c r="F205" s="4">
        <f>'[6]Inedible Tallow Complex'!$AF$213</f>
        <v>58.904761904761905</v>
      </c>
      <c r="G205" s="4">
        <f>'[6]Distillers'' Corn Oil Complex'!$AF$198</f>
        <v>58.68181818181818</v>
      </c>
      <c r="H205" s="4">
        <f>[1]Prices!$AB$648</f>
        <v>65.709090909090918</v>
      </c>
      <c r="I205" s="4"/>
      <c r="J205" s="4">
        <f>'[3]RINs and HOBO Forecast'!$C$83</f>
        <v>88.602272727272734</v>
      </c>
      <c r="K205" s="4">
        <f>'[2]LCFS Credit Price Forecast'!$B$125</f>
        <v>70.2273</v>
      </c>
      <c r="L205" s="5">
        <f>[4]Forecasts!$B$47</f>
        <v>592.27269999999999</v>
      </c>
      <c r="M205" s="5">
        <f>[4]Forecasts!$C$47</f>
        <v>3.2168000000000001</v>
      </c>
    </row>
    <row r="206" spans="1:13" x14ac:dyDescent="0.2">
      <c r="A206" s="3">
        <v>45228</v>
      </c>
      <c r="B206" s="4">
        <f>'[6]Yellow Grease Complex'!$AF$214</f>
        <v>46.795499999999997</v>
      </c>
      <c r="C206" s="4">
        <f>'[6]Used Cooking Oil Complex'!$AF$198</f>
        <v>51.2273</v>
      </c>
      <c r="D206" s="4">
        <f>'[6]Poultry Byproduct Complex'!$AF$321</f>
        <v>49.329500000000003</v>
      </c>
      <c r="E206" s="4">
        <f>'[6]CWG Complex'!$AF$216</f>
        <v>55.909090909090907</v>
      </c>
      <c r="F206" s="4">
        <f>'[6]Inedible Tallow Complex'!$AF$213</f>
        <v>58.904761904761905</v>
      </c>
      <c r="G206" s="4">
        <f>'[6]Distillers'' Corn Oil Complex'!$AF$198</f>
        <v>58.68181818181818</v>
      </c>
      <c r="H206" s="4">
        <f>[1]Prices!$AB$648-2.5</f>
        <v>63.209090909090918</v>
      </c>
      <c r="I206" s="4"/>
      <c r="J206" s="4">
        <f>'[3]RINs and HOBO Forecast'!$C$83</f>
        <v>88.602272727272734</v>
      </c>
      <c r="K206" s="4">
        <f>'[2]LCFS Credit Price Forecast'!$B$125-7.5</f>
        <v>62.7273</v>
      </c>
      <c r="L206" s="5">
        <f>[4]Forecasts!$B$47</f>
        <v>592.27269999999999</v>
      </c>
      <c r="M206" s="5">
        <f>[4]Forecasts!$C$47</f>
        <v>3.2168000000000001</v>
      </c>
    </row>
    <row r="207" spans="1:13" x14ac:dyDescent="0.2">
      <c r="A207" s="3">
        <v>45235</v>
      </c>
      <c r="B207" s="4">
        <f>'[6]Yellow Grease Complex'!$AF$215</f>
        <v>37.225000000000001</v>
      </c>
      <c r="C207" s="4">
        <f>'[6]Used Cooking Oil Complex'!$AF$199</f>
        <v>39</v>
      </c>
      <c r="D207" s="4">
        <f>'[6]Poultry Byproduct Complex'!$AF$322</f>
        <v>38.637500000000003</v>
      </c>
      <c r="E207" s="4">
        <f>'[6]CWG Complex'!$AF$217</f>
        <v>45.25</v>
      </c>
      <c r="F207" s="4">
        <f>'[6]Inedible Tallow Complex'!$AF$214</f>
        <v>65.7</v>
      </c>
      <c r="G207" s="4">
        <f>'[6]Distillers'' Corn Oil Complex'!$AF$199</f>
        <v>53.65</v>
      </c>
      <c r="H207" s="4">
        <f>[1]Prices!$AB$649</f>
        <v>63.272619047619052</v>
      </c>
      <c r="I207" s="4"/>
      <c r="J207" s="4">
        <f>'[3]RINs and HOBO Forecast'!$C$84</f>
        <v>82.912499999999994</v>
      </c>
      <c r="K207" s="4">
        <f>'[2]LCFS Credit Price Forecast'!$B$126</f>
        <v>67.612499999999997</v>
      </c>
      <c r="L207" s="5">
        <f>[4]Forecasts!$B$48</f>
        <v>560.75</v>
      </c>
      <c r="M207" s="5">
        <f>[4]Forecasts!$C$48</f>
        <v>2.944</v>
      </c>
    </row>
    <row r="208" spans="1:13" x14ac:dyDescent="0.2">
      <c r="A208" s="3">
        <v>45242</v>
      </c>
      <c r="B208" s="4">
        <f>'[6]Yellow Grease Complex'!$AF$215</f>
        <v>37.225000000000001</v>
      </c>
      <c r="C208" s="4">
        <f>'[6]Used Cooking Oil Complex'!$AF$199</f>
        <v>39</v>
      </c>
      <c r="D208" s="4">
        <f>'[6]Poultry Byproduct Complex'!$AF$322</f>
        <v>38.637500000000003</v>
      </c>
      <c r="E208" s="4">
        <f>'[6]CWG Complex'!$AF$217</f>
        <v>45.25</v>
      </c>
      <c r="F208" s="4">
        <f>'[6]Inedible Tallow Complex'!$AF$214</f>
        <v>65.7</v>
      </c>
      <c r="G208" s="4">
        <f>'[6]Distillers'' Corn Oil Complex'!$AF$199</f>
        <v>53.65</v>
      </c>
      <c r="H208" s="4">
        <f>[1]Prices!$AB$649</f>
        <v>63.272619047619052</v>
      </c>
      <c r="I208" s="4"/>
      <c r="J208" s="4">
        <f>'[3]RINs and HOBO Forecast'!$C$84</f>
        <v>82.912499999999994</v>
      </c>
      <c r="K208" s="4">
        <f>'[2]LCFS Credit Price Forecast'!$B$126</f>
        <v>67.612499999999997</v>
      </c>
      <c r="L208" s="5">
        <f>[4]Forecasts!$B$48</f>
        <v>560.75</v>
      </c>
      <c r="M208" s="5">
        <f>[4]Forecasts!$C$48</f>
        <v>2.944</v>
      </c>
    </row>
    <row r="209" spans="1:13" x14ac:dyDescent="0.2">
      <c r="A209" s="3">
        <v>45249</v>
      </c>
      <c r="B209" s="4">
        <f>'[6]Yellow Grease Complex'!$AF$215</f>
        <v>37.225000000000001</v>
      </c>
      <c r="C209" s="4">
        <f>'[6]Used Cooking Oil Complex'!$AF$199</f>
        <v>39</v>
      </c>
      <c r="D209" s="4">
        <f>'[6]Poultry Byproduct Complex'!$AF$322</f>
        <v>38.637500000000003</v>
      </c>
      <c r="E209" s="4">
        <f>'[6]CWG Complex'!$AF$217</f>
        <v>45.25</v>
      </c>
      <c r="F209" s="4">
        <f>'[6]Inedible Tallow Complex'!$AF$214</f>
        <v>65.7</v>
      </c>
      <c r="G209" s="4">
        <f>'[6]Distillers'' Corn Oil Complex'!$AF$199</f>
        <v>53.65</v>
      </c>
      <c r="H209" s="4">
        <f>[1]Prices!$AB$649</f>
        <v>63.272619047619052</v>
      </c>
      <c r="I209" s="4"/>
      <c r="J209" s="4">
        <f>'[3]RINs and HOBO Forecast'!$C$84</f>
        <v>82.912499999999994</v>
      </c>
      <c r="K209" s="4">
        <f>'[2]LCFS Credit Price Forecast'!$B$126</f>
        <v>67.612499999999997</v>
      </c>
      <c r="L209" s="5">
        <f>[4]Forecasts!$B$48</f>
        <v>560.75</v>
      </c>
      <c r="M209" s="5">
        <f>[4]Forecasts!$C$48</f>
        <v>2.944</v>
      </c>
    </row>
    <row r="210" spans="1:13" x14ac:dyDescent="0.2">
      <c r="A210" s="3">
        <v>45256</v>
      </c>
      <c r="B210" s="4">
        <f>'[6]Yellow Grease Complex'!$AF$215</f>
        <v>37.225000000000001</v>
      </c>
      <c r="C210" s="4">
        <f>'[6]Used Cooking Oil Complex'!$AF$199</f>
        <v>39</v>
      </c>
      <c r="D210" s="4">
        <f>'[6]Poultry Byproduct Complex'!$AF$322</f>
        <v>38.637500000000003</v>
      </c>
      <c r="E210" s="4">
        <f>'[6]CWG Complex'!$AF$217</f>
        <v>45.25</v>
      </c>
      <c r="F210" s="4">
        <f>'[6]Inedible Tallow Complex'!$AF$214</f>
        <v>65.7</v>
      </c>
      <c r="G210" s="4">
        <f>'[6]Distillers'' Corn Oil Complex'!$AF$199</f>
        <v>53.65</v>
      </c>
      <c r="H210" s="4">
        <f>[1]Prices!$AB$649</f>
        <v>63.272619047619052</v>
      </c>
      <c r="I210" s="4"/>
      <c r="J210" s="4">
        <f>'[3]RINs and HOBO Forecast'!$C$84</f>
        <v>82.912499999999994</v>
      </c>
      <c r="K210" s="4">
        <f>'[2]LCFS Credit Price Forecast'!$B$126</f>
        <v>67.612499999999997</v>
      </c>
      <c r="L210" s="5">
        <f>[4]Forecasts!$B$48</f>
        <v>560.75</v>
      </c>
      <c r="M210" s="5">
        <f>[4]Forecasts!$C$48</f>
        <v>2.944</v>
      </c>
    </row>
    <row r="211" spans="1:13" x14ac:dyDescent="0.2">
      <c r="A211" s="3">
        <v>45263</v>
      </c>
      <c r="B211" s="4">
        <f>'[6]Yellow Grease Complex'!$AF$216</f>
        <v>34.4</v>
      </c>
      <c r="C211" s="4">
        <f>'[6]Used Cooking Oil Complex'!$AF$200</f>
        <v>35.762500000000003</v>
      </c>
      <c r="D211" s="4">
        <f>'[6]Poultry Byproduct Complex'!$AF$323</f>
        <v>37.700000000000003</v>
      </c>
      <c r="E211" s="4">
        <f>'[6]CWG Complex'!$AF$218</f>
        <v>39.85</v>
      </c>
      <c r="F211" s="4">
        <f>'[6]Inedible Tallow Complex'!$AF$215</f>
        <v>68.304347826086953</v>
      </c>
      <c r="G211" s="4">
        <f>'[6]Distillers'' Corn Oil Complex'!$AF$200</f>
        <v>48.625</v>
      </c>
      <c r="H211" s="4">
        <f>[1]Prices!$AB$650</f>
        <v>60.323</v>
      </c>
      <c r="I211" s="4"/>
      <c r="J211" s="4">
        <f>'[3]RINs and HOBO Forecast'!$C$85</f>
        <v>81.231250000000003</v>
      </c>
      <c r="K211" s="4">
        <f>'[2]LCFS Credit Price Forecast'!$B$127</f>
        <v>70.924999999999997</v>
      </c>
      <c r="L211" s="5">
        <f>[4]Forecasts!$B$49</f>
        <v>546.125</v>
      </c>
      <c r="M211" s="5">
        <f>[4]Forecasts!$C$49</f>
        <v>2.5878999999999999</v>
      </c>
    </row>
    <row r="212" spans="1:13" x14ac:dyDescent="0.2">
      <c r="A212" s="3">
        <v>45270</v>
      </c>
      <c r="B212" s="4">
        <f>'[6]Yellow Grease Complex'!$AF$216</f>
        <v>34.4</v>
      </c>
      <c r="C212" s="4">
        <f>'[6]Used Cooking Oil Complex'!$AF$200</f>
        <v>35.762500000000003</v>
      </c>
      <c r="D212" s="4">
        <f>'[6]Poultry Byproduct Complex'!$AF$323</f>
        <v>37.700000000000003</v>
      </c>
      <c r="E212" s="4">
        <f>'[6]CWG Complex'!$AF$218</f>
        <v>39.85</v>
      </c>
      <c r="F212" s="4">
        <f>'[6]Inedible Tallow Complex'!$AF$215</f>
        <v>68.304347826086953</v>
      </c>
      <c r="G212" s="4">
        <f>'[6]Distillers'' Corn Oil Complex'!$AF$200</f>
        <v>48.625</v>
      </c>
      <c r="H212" s="4">
        <f>[1]Prices!$AB$650</f>
        <v>60.323</v>
      </c>
      <c r="I212" s="4"/>
      <c r="J212" s="4">
        <f>'[3]RINs and HOBO Forecast'!$C$85</f>
        <v>81.231250000000003</v>
      </c>
      <c r="K212" s="4">
        <f>'[2]LCFS Credit Price Forecast'!$B$127</f>
        <v>70.924999999999997</v>
      </c>
      <c r="L212" s="5">
        <f>[4]Forecasts!$B$49</f>
        <v>546.125</v>
      </c>
      <c r="M212" s="5">
        <f>[4]Forecasts!$C$49</f>
        <v>2.5878999999999999</v>
      </c>
    </row>
    <row r="213" spans="1:13" x14ac:dyDescent="0.2">
      <c r="A213" s="3">
        <v>45277</v>
      </c>
      <c r="B213" s="4">
        <f>'[6]Yellow Grease Complex'!$AF$216</f>
        <v>34.4</v>
      </c>
      <c r="C213" s="4">
        <f>'[6]Used Cooking Oil Complex'!$AF$200</f>
        <v>35.762500000000003</v>
      </c>
      <c r="D213" s="4">
        <f>'[6]Poultry Byproduct Complex'!$AF$323</f>
        <v>37.700000000000003</v>
      </c>
      <c r="E213" s="4">
        <f>'[6]CWG Complex'!$AF$218</f>
        <v>39.85</v>
      </c>
      <c r="F213" s="4">
        <f>'[6]Inedible Tallow Complex'!$AF$215</f>
        <v>68.304347826086953</v>
      </c>
      <c r="G213" s="4">
        <f>'[6]Distillers'' Corn Oil Complex'!$AF$200</f>
        <v>48.625</v>
      </c>
      <c r="H213" s="4">
        <f>[1]Prices!$AB$650</f>
        <v>60.323</v>
      </c>
      <c r="I213" s="4"/>
      <c r="J213" s="4">
        <f>'[3]RINs and HOBO Forecast'!$C$85</f>
        <v>81.231250000000003</v>
      </c>
      <c r="K213" s="4">
        <f>'[2]LCFS Credit Price Forecast'!$B$127</f>
        <v>70.924999999999997</v>
      </c>
      <c r="L213" s="5">
        <f>[4]Forecasts!$B$49</f>
        <v>546.125</v>
      </c>
      <c r="M213" s="5">
        <f>[4]Forecasts!$C$49</f>
        <v>2.5878999999999999</v>
      </c>
    </row>
    <row r="214" spans="1:13" x14ac:dyDescent="0.2">
      <c r="A214" s="3">
        <v>45284</v>
      </c>
      <c r="B214" s="4">
        <f>'[6]Yellow Grease Complex'!$AF$216</f>
        <v>34.4</v>
      </c>
      <c r="C214" s="4">
        <f>'[6]Used Cooking Oil Complex'!$AF$200</f>
        <v>35.762500000000003</v>
      </c>
      <c r="D214" s="4">
        <f>'[6]Poultry Byproduct Complex'!$AF$323</f>
        <v>37.700000000000003</v>
      </c>
      <c r="E214" s="4">
        <f>'[6]CWG Complex'!$AF$218</f>
        <v>39.85</v>
      </c>
      <c r="F214" s="4">
        <f>'[6]Inedible Tallow Complex'!$AF$215</f>
        <v>68.304347826086953</v>
      </c>
      <c r="G214" s="4">
        <f>'[6]Distillers'' Corn Oil Complex'!$AF$200</f>
        <v>48.625</v>
      </c>
      <c r="H214" s="4">
        <f>[1]Prices!$AB$650</f>
        <v>60.323</v>
      </c>
      <c r="I214" s="4"/>
      <c r="J214" s="4">
        <f>'[3]RINs and HOBO Forecast'!$C$85</f>
        <v>81.231250000000003</v>
      </c>
      <c r="K214" s="4">
        <f>'[2]LCFS Credit Price Forecast'!$B$127</f>
        <v>70.924999999999997</v>
      </c>
      <c r="L214" s="5">
        <f>[4]Forecasts!$B$49</f>
        <v>546.125</v>
      </c>
      <c r="M214" s="5">
        <f>[4]Forecasts!$C$49</f>
        <v>2.5878999999999999</v>
      </c>
    </row>
    <row r="215" spans="1:13" x14ac:dyDescent="0.2">
      <c r="A215" s="3">
        <v>45291</v>
      </c>
      <c r="B215" s="4">
        <f>'[6]Yellow Grease Complex'!$AF$216</f>
        <v>34.4</v>
      </c>
      <c r="C215" s="4">
        <f>'[6]Used Cooking Oil Complex'!$AF$200</f>
        <v>35.762500000000003</v>
      </c>
      <c r="D215" s="4">
        <f>'[6]Poultry Byproduct Complex'!$AF$323</f>
        <v>37.700000000000003</v>
      </c>
      <c r="E215" s="4">
        <f>'[6]CWG Complex'!$AF$218</f>
        <v>39.85</v>
      </c>
      <c r="F215" s="4">
        <f>'[6]Inedible Tallow Complex'!$AF$215</f>
        <v>68.304347826086953</v>
      </c>
      <c r="G215" s="4">
        <f>'[6]Distillers'' Corn Oil Complex'!$AF$200</f>
        <v>48.625</v>
      </c>
      <c r="H215" s="4">
        <f>[1]Prices!$AB$650</f>
        <v>60.323</v>
      </c>
      <c r="I215" s="4"/>
      <c r="J215" s="4">
        <f>'[3]RINs and HOBO Forecast'!$C$85</f>
        <v>81.231250000000003</v>
      </c>
      <c r="K215" s="4">
        <f>'[2]LCFS Credit Price Forecast'!$B$127</f>
        <v>70.924999999999997</v>
      </c>
      <c r="L215" s="5">
        <f>[4]Forecasts!$B$49</f>
        <v>546.125</v>
      </c>
      <c r="M215" s="5">
        <f>[4]Forecasts!$C$49</f>
        <v>2.5878999999999999</v>
      </c>
    </row>
    <row r="216" spans="1:13" x14ac:dyDescent="0.2">
      <c r="A216" s="3">
        <v>45298</v>
      </c>
      <c r="B216" s="4">
        <f>'[6]Yellow Grease Complex'!$AF$217</f>
        <v>31</v>
      </c>
      <c r="C216" s="4">
        <f>'[6]Used Cooking Oil Complex'!$AF$201</f>
        <v>33.011899999999997</v>
      </c>
      <c r="D216" s="4">
        <f>'[6]Poultry Byproduct Complex'!$AF$324</f>
        <v>35.857100000000003</v>
      </c>
      <c r="E216" s="4">
        <f>'[6]CWG Complex'!$AF$219</f>
        <v>36.642857142857146</v>
      </c>
      <c r="F216" s="4">
        <f>'[6]Inedible Tallow Complex'!$AF$216</f>
        <v>68.95</v>
      </c>
      <c r="G216" s="4">
        <f>'[6]Distillers'' Corn Oil Complex'!$AF$201</f>
        <v>45.642857142857146</v>
      </c>
      <c r="H216" s="4">
        <f>[1]Prices!$AB$651</f>
        <v>56.135714285714279</v>
      </c>
      <c r="I216" s="4"/>
      <c r="J216" s="4">
        <f>'[3]RINs and HOBO Forecast'!$C$86</f>
        <v>72.583333333333329</v>
      </c>
      <c r="K216" s="4">
        <f>'[2]LCFS Credit Price Forecast'!$B$128</f>
        <v>62.8155</v>
      </c>
      <c r="L216" s="5">
        <f>[4]Forecasts!$B$50</f>
        <v>521.42859999999996</v>
      </c>
      <c r="M216" s="5">
        <f>[4]Forecasts!$C$50</f>
        <v>2.5011000000000001</v>
      </c>
    </row>
    <row r="217" spans="1:13" x14ac:dyDescent="0.2">
      <c r="A217" s="3">
        <v>45305</v>
      </c>
      <c r="B217" s="4">
        <f>'[6]Yellow Grease Complex'!$AF$217</f>
        <v>31</v>
      </c>
      <c r="C217" s="4">
        <f>'[6]Used Cooking Oil Complex'!$AF$201</f>
        <v>33.011899999999997</v>
      </c>
      <c r="D217" s="4">
        <f>'[6]Poultry Byproduct Complex'!$AF$324</f>
        <v>35.857100000000003</v>
      </c>
      <c r="E217" s="4">
        <f>'[6]CWG Complex'!$AF$219</f>
        <v>36.642857142857146</v>
      </c>
      <c r="F217" s="4">
        <f>'[6]Inedible Tallow Complex'!$AF$216</f>
        <v>68.95</v>
      </c>
      <c r="G217" s="4">
        <f>'[6]Distillers'' Corn Oil Complex'!$AF$201</f>
        <v>45.642857142857146</v>
      </c>
      <c r="H217" s="4">
        <f>[1]Prices!$AB$651</f>
        <v>56.135714285714279</v>
      </c>
      <c r="I217" s="4"/>
      <c r="J217" s="4">
        <f>'[3]RINs and HOBO Forecast'!$C$86</f>
        <v>72.583333333333329</v>
      </c>
      <c r="K217" s="4">
        <f>'[2]LCFS Credit Price Forecast'!$B$128</f>
        <v>62.8155</v>
      </c>
      <c r="L217" s="5">
        <f>[4]Forecasts!$B$50</f>
        <v>521.42859999999996</v>
      </c>
      <c r="M217" s="5">
        <f>[4]Forecasts!$C$50</f>
        <v>2.5011000000000001</v>
      </c>
    </row>
    <row r="218" spans="1:13" x14ac:dyDescent="0.2">
      <c r="A218" s="3">
        <v>45312</v>
      </c>
      <c r="B218" s="4">
        <f>'[6]Yellow Grease Complex'!$AF$217</f>
        <v>31</v>
      </c>
      <c r="C218" s="4">
        <f>'[6]Used Cooking Oil Complex'!$AF$201</f>
        <v>33.011899999999997</v>
      </c>
      <c r="D218" s="4">
        <f>'[6]Poultry Byproduct Complex'!$AF$324</f>
        <v>35.857100000000003</v>
      </c>
      <c r="E218" s="4">
        <f>'[6]CWG Complex'!$AF$219</f>
        <v>36.642857142857146</v>
      </c>
      <c r="F218" s="4">
        <f>'[6]Inedible Tallow Complex'!$AF$216</f>
        <v>68.95</v>
      </c>
      <c r="G218" s="4">
        <f>'[6]Distillers'' Corn Oil Complex'!$AF$201</f>
        <v>45.642857142857146</v>
      </c>
      <c r="H218" s="4">
        <f>[1]Prices!$AB$651</f>
        <v>56.135714285714279</v>
      </c>
      <c r="I218" s="4"/>
      <c r="J218" s="4">
        <f>'[3]RINs and HOBO Forecast'!$C$86</f>
        <v>72.583333333333329</v>
      </c>
      <c r="K218" s="4">
        <f>'[2]LCFS Credit Price Forecast'!$B$128</f>
        <v>62.8155</v>
      </c>
      <c r="L218" s="5">
        <f>[4]Forecasts!$B$50</f>
        <v>521.42859999999996</v>
      </c>
      <c r="M218" s="5">
        <f>[4]Forecasts!$C$50</f>
        <v>2.5011000000000001</v>
      </c>
    </row>
    <row r="219" spans="1:13" x14ac:dyDescent="0.2">
      <c r="A219" s="3">
        <v>45319</v>
      </c>
      <c r="B219" s="4">
        <f>'[6]Yellow Grease Complex'!$AF$217</f>
        <v>31</v>
      </c>
      <c r="C219" s="4">
        <f>'[6]Used Cooking Oil Complex'!$AF$201</f>
        <v>33.011899999999997</v>
      </c>
      <c r="D219" s="4">
        <f>'[6]Poultry Byproduct Complex'!$AF$324</f>
        <v>35.857100000000003</v>
      </c>
      <c r="E219" s="4">
        <f>'[6]CWG Complex'!$AF$219</f>
        <v>36.642857142857146</v>
      </c>
      <c r="F219" s="4">
        <f>'[6]Inedible Tallow Complex'!$AF$216</f>
        <v>68.95</v>
      </c>
      <c r="G219" s="4">
        <f>'[6]Distillers'' Corn Oil Complex'!$AF$201</f>
        <v>45.642857142857146</v>
      </c>
      <c r="H219" s="4">
        <f>[1]Prices!$AB$651</f>
        <v>56.135714285714279</v>
      </c>
      <c r="I219" s="4"/>
      <c r="J219" s="4">
        <f>'[3]RINs and HOBO Forecast'!$C$86</f>
        <v>72.583333333333329</v>
      </c>
      <c r="K219" s="4">
        <f>'[2]LCFS Credit Price Forecast'!$B$128</f>
        <v>62.8155</v>
      </c>
      <c r="L219" s="5">
        <f>[4]Forecasts!$B$50</f>
        <v>521.42859999999996</v>
      </c>
      <c r="M219" s="5">
        <f>[4]Forecasts!$C$50</f>
        <v>2.5011000000000001</v>
      </c>
    </row>
    <row r="220" spans="1:13" x14ac:dyDescent="0.2">
      <c r="A220" s="3">
        <v>45326</v>
      </c>
      <c r="B220" s="4">
        <f>'[6]Yellow Grease Complex'!$AF$218</f>
        <v>30</v>
      </c>
      <c r="C220" s="4">
        <f>'[6]Used Cooking Oil Complex'!$AF$202</f>
        <v>32.674999999999997</v>
      </c>
      <c r="D220" s="4">
        <f>'[6]Poultry Byproduct Complex'!$AF$325</f>
        <v>34.65</v>
      </c>
      <c r="E220" s="4">
        <f>'[6]CWG Complex'!$AF$220</f>
        <v>35.825000000000003</v>
      </c>
      <c r="F220" s="4">
        <f>'[6]Inedible Tallow Complex'!$AF$217</f>
        <v>59.43181818181818</v>
      </c>
      <c r="G220" s="4">
        <f>'[6]Distillers'' Corn Oil Complex'!$AF$202</f>
        <v>43.625</v>
      </c>
      <c r="H220" s="4">
        <f>[1]Prices!$AB$652</f>
        <v>53.089999999999996</v>
      </c>
      <c r="I220" s="4"/>
      <c r="J220" s="4">
        <f>'[3]RINs and HOBO Forecast'!$C$87</f>
        <v>47.987499999999997</v>
      </c>
      <c r="K220" s="4">
        <f>'[2]LCFS Credit Price Forecast'!$B$129</f>
        <v>62.612499999999997</v>
      </c>
      <c r="L220" s="5">
        <f>[4]Forecasts!$B$51</f>
        <v>493.875</v>
      </c>
      <c r="M220" s="5">
        <f>[4]Forecasts!$C$51</f>
        <v>2.5948000000000002</v>
      </c>
    </row>
    <row r="221" spans="1:13" x14ac:dyDescent="0.2">
      <c r="A221" s="3">
        <v>45333</v>
      </c>
      <c r="B221" s="4">
        <f>'[6]Yellow Grease Complex'!$AF$218</f>
        <v>30</v>
      </c>
      <c r="C221" s="4">
        <f>'[6]Used Cooking Oil Complex'!$AF$202</f>
        <v>32.674999999999997</v>
      </c>
      <c r="D221" s="4">
        <f>'[6]Poultry Byproduct Complex'!$AF$325</f>
        <v>34.65</v>
      </c>
      <c r="E221" s="4">
        <f>'[6]CWG Complex'!$AF$220</f>
        <v>35.825000000000003</v>
      </c>
      <c r="F221" s="4">
        <f>'[6]Inedible Tallow Complex'!$AF$217</f>
        <v>59.43181818181818</v>
      </c>
      <c r="G221" s="4">
        <f>'[6]Distillers'' Corn Oil Complex'!$AF$202</f>
        <v>43.625</v>
      </c>
      <c r="H221" s="4">
        <f>[1]Prices!$AB$652</f>
        <v>53.089999999999996</v>
      </c>
      <c r="I221" s="4"/>
      <c r="J221" s="4">
        <f>'[3]RINs and HOBO Forecast'!$C$87</f>
        <v>47.987499999999997</v>
      </c>
      <c r="K221" s="4">
        <f>'[2]LCFS Credit Price Forecast'!$B$129</f>
        <v>62.612499999999997</v>
      </c>
      <c r="L221" s="5">
        <f>[4]Forecasts!$B$51</f>
        <v>493.875</v>
      </c>
      <c r="M221" s="5">
        <f>[4]Forecasts!$C$51</f>
        <v>2.5948000000000002</v>
      </c>
    </row>
    <row r="222" spans="1:13" x14ac:dyDescent="0.2">
      <c r="A222" s="3">
        <v>45340</v>
      </c>
      <c r="B222" s="4">
        <f>'[6]Yellow Grease Complex'!$AF$218</f>
        <v>30</v>
      </c>
      <c r="C222" s="4">
        <f>'[6]Used Cooking Oil Complex'!$AF$202</f>
        <v>32.674999999999997</v>
      </c>
      <c r="D222" s="4">
        <f>'[6]Poultry Byproduct Complex'!$AF$325</f>
        <v>34.65</v>
      </c>
      <c r="E222" s="4">
        <f>'[6]CWG Complex'!$AF$220</f>
        <v>35.825000000000003</v>
      </c>
      <c r="F222" s="4">
        <f>'[6]Inedible Tallow Complex'!$AF$217</f>
        <v>59.43181818181818</v>
      </c>
      <c r="G222" s="4">
        <f>'[6]Distillers'' Corn Oil Complex'!$AF$202</f>
        <v>43.625</v>
      </c>
      <c r="H222" s="4">
        <f>[1]Prices!$AB$652</f>
        <v>53.089999999999996</v>
      </c>
      <c r="I222" s="4"/>
      <c r="J222" s="4">
        <f>'[3]RINs and HOBO Forecast'!$C$87</f>
        <v>47.987499999999997</v>
      </c>
      <c r="K222" s="4">
        <f>'[2]LCFS Credit Price Forecast'!$B$129</f>
        <v>62.612499999999997</v>
      </c>
      <c r="L222" s="5">
        <f>[4]Forecasts!$B$51</f>
        <v>493.875</v>
      </c>
      <c r="M222" s="5">
        <f>[4]Forecasts!$C$51</f>
        <v>2.5948000000000002</v>
      </c>
    </row>
    <row r="223" spans="1:13" x14ac:dyDescent="0.2">
      <c r="A223" s="3">
        <v>45347</v>
      </c>
      <c r="B223" s="4">
        <f>'[6]Yellow Grease Complex'!$AF$218</f>
        <v>30</v>
      </c>
      <c r="C223" s="4">
        <f>'[6]Used Cooking Oil Complex'!$AF$202</f>
        <v>32.674999999999997</v>
      </c>
      <c r="D223" s="4">
        <f>'[6]Poultry Byproduct Complex'!$AF$325</f>
        <v>34.65</v>
      </c>
      <c r="E223" s="4">
        <f>'[6]CWG Complex'!$AF$220</f>
        <v>35.825000000000003</v>
      </c>
      <c r="F223" s="4">
        <f>'[6]Inedible Tallow Complex'!$AF$217</f>
        <v>59.43181818181818</v>
      </c>
      <c r="G223" s="4">
        <f>'[6]Distillers'' Corn Oil Complex'!$AF$202</f>
        <v>43.625</v>
      </c>
      <c r="H223" s="4">
        <f>[1]Prices!$AB$652</f>
        <v>53.089999999999996</v>
      </c>
      <c r="I223" s="4"/>
      <c r="J223" s="4">
        <f>'[3]RINs and HOBO Forecast'!$C$87</f>
        <v>47.987499999999997</v>
      </c>
      <c r="K223" s="4">
        <f>'[2]LCFS Credit Price Forecast'!$B$129</f>
        <v>62.612499999999997</v>
      </c>
      <c r="L223" s="5">
        <f>[4]Forecasts!$B$51</f>
        <v>493.875</v>
      </c>
      <c r="M223" s="5">
        <f>[4]Forecasts!$C$51</f>
        <v>2.5948000000000002</v>
      </c>
    </row>
    <row r="224" spans="1:13" x14ac:dyDescent="0.2">
      <c r="A224" s="3">
        <v>45354</v>
      </c>
      <c r="B224" s="4">
        <f>'[6]Yellow Grease Complex'!$AF$219</f>
        <v>30</v>
      </c>
      <c r="C224" s="4">
        <f>'[6]Used Cooking Oil Complex'!$AF$203</f>
        <v>32</v>
      </c>
      <c r="D224" s="4">
        <f>'[6]Poultry Byproduct Complex'!$AF$326</f>
        <v>34.575000000000003</v>
      </c>
      <c r="E224" s="4">
        <f>'[6]CWG Complex'!$AF$221</f>
        <v>38.200000000000003</v>
      </c>
      <c r="F224" s="4">
        <f>'[6]Inedible Tallow Complex'!$AF$218</f>
        <v>50.875</v>
      </c>
      <c r="G224" s="4">
        <f>'[6]Distillers'' Corn Oil Complex'!$AF$203</f>
        <v>42.708500000000001</v>
      </c>
      <c r="H224" s="4">
        <f>[1]Prices!$AB$653</f>
        <v>53.306499999999993</v>
      </c>
      <c r="I224" s="4"/>
      <c r="J224" s="4">
        <f>'[3]RINs and HOBO Forecast'!$C$88</f>
        <v>52.475000000000001</v>
      </c>
      <c r="K224" s="4">
        <f>'[2]LCFS Credit Price Forecast'!$B$130</f>
        <v>67.025000000000006</v>
      </c>
      <c r="L224" s="5">
        <f>[4]Forecasts!$B$52</f>
        <v>466.5</v>
      </c>
      <c r="M224" s="5">
        <f>[4]Forecasts!$C$52</f>
        <v>2.6656</v>
      </c>
    </row>
    <row r="225" spans="1:13" x14ac:dyDescent="0.2">
      <c r="A225" s="3">
        <v>45361</v>
      </c>
      <c r="B225" s="4">
        <f>'[6]Yellow Grease Complex'!$AF$219</f>
        <v>30</v>
      </c>
      <c r="C225" s="4">
        <f>'[6]Used Cooking Oil Complex'!$AF$203</f>
        <v>32</v>
      </c>
      <c r="D225" s="4">
        <f>'[6]Poultry Byproduct Complex'!$AF$326</f>
        <v>34.575000000000003</v>
      </c>
      <c r="E225" s="4">
        <f>'[6]CWG Complex'!$AF$221</f>
        <v>38.200000000000003</v>
      </c>
      <c r="F225" s="4">
        <f>'[6]Inedible Tallow Complex'!$AF$218</f>
        <v>50.875</v>
      </c>
      <c r="G225" s="4">
        <f>'[6]Distillers'' Corn Oil Complex'!$AF$203</f>
        <v>42.708500000000001</v>
      </c>
      <c r="H225" s="4">
        <f>[1]Prices!$AB$653</f>
        <v>53.306499999999993</v>
      </c>
      <c r="I225" s="4"/>
      <c r="J225" s="4">
        <f>'[3]RINs and HOBO Forecast'!$C$88</f>
        <v>52.475000000000001</v>
      </c>
      <c r="K225" s="4">
        <f>'[2]LCFS Credit Price Forecast'!$B$130</f>
        <v>67.025000000000006</v>
      </c>
      <c r="L225" s="5">
        <f>[4]Forecasts!$B$52</f>
        <v>466.5</v>
      </c>
      <c r="M225" s="5">
        <f>[4]Forecasts!$C$52</f>
        <v>2.6656</v>
      </c>
    </row>
    <row r="226" spans="1:13" x14ac:dyDescent="0.2">
      <c r="A226" s="3">
        <v>45368</v>
      </c>
      <c r="B226" s="4">
        <f>'[6]Yellow Grease Complex'!$AF$219</f>
        <v>30</v>
      </c>
      <c r="C226" s="4">
        <f>'[6]Used Cooking Oil Complex'!$AF$203</f>
        <v>32</v>
      </c>
      <c r="D226" s="4">
        <f>'[6]Poultry Byproduct Complex'!$AF$326</f>
        <v>34.575000000000003</v>
      </c>
      <c r="E226" s="4">
        <f>'[6]CWG Complex'!$AF$221</f>
        <v>38.200000000000003</v>
      </c>
      <c r="F226" s="4">
        <f>'[6]Inedible Tallow Complex'!$AF$218</f>
        <v>50.875</v>
      </c>
      <c r="G226" s="4">
        <f>'[6]Distillers'' Corn Oil Complex'!$AF$203</f>
        <v>42.708500000000001</v>
      </c>
      <c r="H226" s="4">
        <f>[1]Prices!$AB$653</f>
        <v>53.306499999999993</v>
      </c>
      <c r="I226" s="4"/>
      <c r="J226" s="4">
        <f>'[3]RINs and HOBO Forecast'!$C$88</f>
        <v>52.475000000000001</v>
      </c>
      <c r="K226" s="4">
        <f>'[2]LCFS Credit Price Forecast'!$B$130</f>
        <v>67.025000000000006</v>
      </c>
      <c r="L226" s="5">
        <f>[4]Forecasts!$B$52</f>
        <v>466.5</v>
      </c>
      <c r="M226" s="5">
        <f>[4]Forecasts!$C$52</f>
        <v>2.6656</v>
      </c>
    </row>
    <row r="227" spans="1:13" x14ac:dyDescent="0.2">
      <c r="A227" s="3">
        <v>45375</v>
      </c>
      <c r="B227" s="4">
        <f>'[6]Yellow Grease Complex'!$AF$219</f>
        <v>30</v>
      </c>
      <c r="C227" s="4">
        <f>'[6]Used Cooking Oil Complex'!$AF$203</f>
        <v>32</v>
      </c>
      <c r="D227" s="4">
        <f>'[6]Poultry Byproduct Complex'!$AF$326</f>
        <v>34.575000000000003</v>
      </c>
      <c r="E227" s="4">
        <f>'[6]CWG Complex'!$AF$221</f>
        <v>38.200000000000003</v>
      </c>
      <c r="F227" s="4">
        <f>'[6]Inedible Tallow Complex'!$AF$218</f>
        <v>50.875</v>
      </c>
      <c r="G227" s="4">
        <f>'[6]Distillers'' Corn Oil Complex'!$AF$203</f>
        <v>42.708500000000001</v>
      </c>
      <c r="H227" s="4">
        <f>[1]Prices!$AB$653</f>
        <v>53.306499999999993</v>
      </c>
      <c r="I227" s="4"/>
      <c r="J227" s="4">
        <f>'[3]RINs and HOBO Forecast'!$C$88</f>
        <v>52.475000000000001</v>
      </c>
      <c r="K227" s="4">
        <f>'[2]LCFS Credit Price Forecast'!$B$130</f>
        <v>67.025000000000006</v>
      </c>
      <c r="L227" s="5">
        <f>[4]Forecasts!$B$52</f>
        <v>466.5</v>
      </c>
      <c r="M227" s="5">
        <f>[4]Forecasts!$C$52</f>
        <v>2.6656</v>
      </c>
    </row>
    <row r="228" spans="1:13" x14ac:dyDescent="0.2">
      <c r="A228" s="3">
        <v>45382</v>
      </c>
      <c r="B228" s="4">
        <f>'[6]Yellow Grease Complex'!$AF$219</f>
        <v>30</v>
      </c>
      <c r="C228" s="4">
        <f>'[6]Used Cooking Oil Complex'!$AF$203</f>
        <v>32</v>
      </c>
      <c r="D228" s="4">
        <f>'[6]Poultry Byproduct Complex'!$AF$326</f>
        <v>34.575000000000003</v>
      </c>
      <c r="E228" s="4">
        <f>'[6]CWG Complex'!$AF$221</f>
        <v>38.200000000000003</v>
      </c>
      <c r="F228" s="4">
        <f>'[6]Inedible Tallow Complex'!$AF$218</f>
        <v>50.875</v>
      </c>
      <c r="G228" s="4">
        <f>'[6]Distillers'' Corn Oil Complex'!$AF$203</f>
        <v>42.708500000000001</v>
      </c>
      <c r="H228" s="4">
        <f>[1]Prices!$AB$653</f>
        <v>53.306499999999993</v>
      </c>
      <c r="I228" s="4"/>
      <c r="J228" s="4">
        <f>'[3]RINs and HOBO Forecast'!$C$88</f>
        <v>52.475000000000001</v>
      </c>
      <c r="K228" s="4">
        <f>'[2]LCFS Credit Price Forecast'!$B$130</f>
        <v>67.025000000000006</v>
      </c>
      <c r="L228" s="5">
        <f>[4]Forecasts!$B$52</f>
        <v>466.5</v>
      </c>
      <c r="M228" s="5">
        <f>[4]Forecasts!$C$52</f>
        <v>2.6656</v>
      </c>
    </row>
    <row r="229" spans="1:13" x14ac:dyDescent="0.2">
      <c r="A229" s="3">
        <v>45389</v>
      </c>
      <c r="B229" s="4">
        <f>'[6]Yellow Grease Complex'!$AF$220</f>
        <v>30.2273</v>
      </c>
      <c r="C229" s="4">
        <f>'[6]Used Cooking Oil Complex'!$AF$204</f>
        <v>32.2273</v>
      </c>
      <c r="D229" s="4">
        <f>'[6]Poultry Byproduct Complex'!$AF$327</f>
        <v>35</v>
      </c>
      <c r="E229" s="4">
        <f>'[6]CWG Complex'!$AF$222</f>
        <v>40.636363636363633</v>
      </c>
      <c r="F229" s="4">
        <f>'[6]Inedible Tallow Complex'!$AF$219</f>
        <v>45.05</v>
      </c>
      <c r="G229" s="4">
        <f>'[6]Distillers'' Corn Oil Complex'!$AF$204</f>
        <v>41.295454545454547</v>
      </c>
      <c r="H229" s="4">
        <f>[1]Prices!$AB$654</f>
        <v>50.796818181818168</v>
      </c>
      <c r="I229" s="4"/>
      <c r="J229" s="4">
        <f>'[3]RINs and HOBO Forecast'!$C$90</f>
        <v>49.738636363636367</v>
      </c>
      <c r="K229" s="4">
        <f>'[2]LCFS Credit Price Forecast'!$B$131</f>
        <v>61.909100000000002</v>
      </c>
      <c r="L229" s="5">
        <f>[4]Forecasts!$B$53</f>
        <v>466.7045</v>
      </c>
      <c r="M229" s="5">
        <f>[4]Forecasts!$C$53</f>
        <v>2.6368</v>
      </c>
    </row>
    <row r="230" spans="1:13" x14ac:dyDescent="0.2">
      <c r="A230" s="3">
        <v>45396</v>
      </c>
      <c r="B230" s="4">
        <f>'[6]Yellow Grease Complex'!$AF$220</f>
        <v>30.2273</v>
      </c>
      <c r="C230" s="4">
        <f>'[6]Used Cooking Oil Complex'!$AF$204</f>
        <v>32.2273</v>
      </c>
      <c r="D230" s="4">
        <f>'[6]Poultry Byproduct Complex'!$AF$327</f>
        <v>35</v>
      </c>
      <c r="E230" s="4">
        <f>'[6]CWG Complex'!$AF$222</f>
        <v>40.636363636363633</v>
      </c>
      <c r="F230" s="4">
        <f>'[6]Inedible Tallow Complex'!$AF$219</f>
        <v>45.05</v>
      </c>
      <c r="G230" s="4">
        <f>'[6]Distillers'' Corn Oil Complex'!$AF$204</f>
        <v>41.295454545454547</v>
      </c>
      <c r="H230" s="4">
        <f>[1]Prices!$AB$654</f>
        <v>50.796818181818168</v>
      </c>
      <c r="I230" s="4"/>
      <c r="J230" s="4">
        <f>'[3]RINs and HOBO Forecast'!$C$90</f>
        <v>49.738636363636367</v>
      </c>
      <c r="K230" s="4">
        <f>'[2]LCFS Credit Price Forecast'!$B$131</f>
        <v>61.909100000000002</v>
      </c>
      <c r="L230" s="5">
        <f>[4]Forecasts!$B$53</f>
        <v>466.7045</v>
      </c>
      <c r="M230" s="5">
        <f>[4]Forecasts!$C$53</f>
        <v>2.6368</v>
      </c>
    </row>
    <row r="231" spans="1:13" x14ac:dyDescent="0.2">
      <c r="A231" s="3">
        <v>45403</v>
      </c>
      <c r="B231" s="4">
        <f>'[6]Yellow Grease Complex'!$AF$220</f>
        <v>30.2273</v>
      </c>
      <c r="C231" s="4">
        <f>'[6]Used Cooking Oil Complex'!$AF$204</f>
        <v>32.2273</v>
      </c>
      <c r="D231" s="4">
        <f>'[6]Poultry Byproduct Complex'!$AF$327</f>
        <v>35</v>
      </c>
      <c r="E231" s="4">
        <f>'[6]CWG Complex'!$AF$222</f>
        <v>40.636363636363633</v>
      </c>
      <c r="F231" s="4">
        <f>'[6]Inedible Tallow Complex'!$AF$219</f>
        <v>45.05</v>
      </c>
      <c r="G231" s="4">
        <f>'[6]Distillers'' Corn Oil Complex'!$AF$204</f>
        <v>41.295454545454547</v>
      </c>
      <c r="H231" s="4">
        <f>[1]Prices!$AB$654</f>
        <v>50.796818181818168</v>
      </c>
      <c r="I231" s="4"/>
      <c r="J231" s="4">
        <f>'[3]RINs and HOBO Forecast'!$C$90</f>
        <v>49.738636363636367</v>
      </c>
      <c r="K231" s="4">
        <f>'[2]LCFS Credit Price Forecast'!$B$131</f>
        <v>61.909100000000002</v>
      </c>
      <c r="L231" s="5">
        <f>[4]Forecasts!$B$53</f>
        <v>466.7045</v>
      </c>
      <c r="M231" s="5">
        <f>[4]Forecasts!$C$53</f>
        <v>2.6368</v>
      </c>
    </row>
    <row r="232" spans="1:13" x14ac:dyDescent="0.2">
      <c r="A232" s="3">
        <v>45410</v>
      </c>
      <c r="B232" s="4">
        <f>'[6]Yellow Grease Complex'!$AF$220</f>
        <v>30.2273</v>
      </c>
      <c r="C232" s="4">
        <f>'[6]Used Cooking Oil Complex'!$AF$204</f>
        <v>32.2273</v>
      </c>
      <c r="D232" s="4">
        <f>'[6]Poultry Byproduct Complex'!$AF$327</f>
        <v>35</v>
      </c>
      <c r="E232" s="4">
        <f>'[6]CWG Complex'!$AF$222</f>
        <v>40.636363636363633</v>
      </c>
      <c r="F232" s="4">
        <f>'[6]Inedible Tallow Complex'!$AF$219</f>
        <v>45.05</v>
      </c>
      <c r="G232" s="4">
        <f>'[6]Distillers'' Corn Oil Complex'!$AF$204</f>
        <v>41.295454545454547</v>
      </c>
      <c r="H232" s="4">
        <f>[1]Prices!$AB$654</f>
        <v>50.796818181818168</v>
      </c>
      <c r="I232" s="4"/>
      <c r="J232" s="4">
        <f>'[3]RINs and HOBO Forecast'!$C$90</f>
        <v>49.738636363636367</v>
      </c>
      <c r="K232" s="4">
        <f>'[2]LCFS Credit Price Forecast'!$B$131</f>
        <v>61.909100000000002</v>
      </c>
      <c r="L232" s="5">
        <f>[4]Forecasts!$B$53</f>
        <v>466.7045</v>
      </c>
      <c r="M232" s="5">
        <f>[4]Forecasts!$C$53</f>
        <v>2.6368</v>
      </c>
    </row>
    <row r="233" spans="1:13" x14ac:dyDescent="0.2">
      <c r="A233" s="3">
        <v>45417</v>
      </c>
      <c r="B233" s="4">
        <f>'[6]Yellow Grease Complex'!$AF$221</f>
        <v>29.5</v>
      </c>
      <c r="C233" s="4">
        <f>'[6]Used Cooking Oil Complex'!$AF$205</f>
        <v>32.68</v>
      </c>
      <c r="D233" s="4">
        <f>'[6]Poultry Byproduct Complex'!$AF$328</f>
        <v>35</v>
      </c>
      <c r="E233" s="4">
        <f>'[6]CWG Complex'!$AF$223</f>
        <v>40.295454545454547</v>
      </c>
      <c r="F233" s="4">
        <f>'[6]Inedible Tallow Complex'!$AF$220</f>
        <v>41.428571428571431</v>
      </c>
      <c r="G233" s="4">
        <f>'[6]Distillers'' Corn Oil Complex'!$AF$205</f>
        <v>40.954545454545453</v>
      </c>
      <c r="H233" s="4">
        <f>[1]Prices!$AB$655</f>
        <v>48.589545454545451</v>
      </c>
      <c r="I233" s="4"/>
      <c r="J233" s="4">
        <f>'[3]RINs and HOBO Forecast'!$C$90</f>
        <v>49.738636363636367</v>
      </c>
      <c r="K233" s="4">
        <f>'[2]LCFS Credit Price Forecast'!$B$132</f>
        <v>48.4773</v>
      </c>
      <c r="L233" s="5">
        <f>[4]Forecasts!$B$54</f>
        <v>440.34</v>
      </c>
      <c r="M233" s="5">
        <f>[4]Forecasts!$C$54</f>
        <v>2.4277000000000002</v>
      </c>
    </row>
    <row r="234" spans="1:13" x14ac:dyDescent="0.2">
      <c r="A234" s="3">
        <v>45424</v>
      </c>
      <c r="B234" s="4">
        <f>'[6]Yellow Grease Complex'!$AF$221</f>
        <v>29.5</v>
      </c>
      <c r="C234" s="4">
        <f>'[6]Used Cooking Oil Complex'!$AF$205</f>
        <v>32.68</v>
      </c>
      <c r="D234" s="4">
        <f>'[6]Poultry Byproduct Complex'!$AF$328</f>
        <v>35</v>
      </c>
      <c r="E234" s="4">
        <f>'[6]CWG Complex'!$AF$223</f>
        <v>40.295454545454547</v>
      </c>
      <c r="F234" s="4">
        <f>'[6]Inedible Tallow Complex'!$AF$220</f>
        <v>41.428571428571431</v>
      </c>
      <c r="G234" s="4">
        <f>'[6]Distillers'' Corn Oil Complex'!$AF$205</f>
        <v>40.954545454545453</v>
      </c>
      <c r="H234" s="4">
        <f>[1]Prices!$AB$655</f>
        <v>48.589545454545451</v>
      </c>
      <c r="I234" s="4"/>
      <c r="J234" s="4">
        <f>'[3]RINs and HOBO Forecast'!$C$90</f>
        <v>49.738636363636367</v>
      </c>
      <c r="K234" s="4">
        <f>'[2]LCFS Credit Price Forecast'!$B$132</f>
        <v>48.4773</v>
      </c>
      <c r="L234" s="5">
        <f>[4]Forecasts!$B$54</f>
        <v>440.34</v>
      </c>
      <c r="M234" s="5">
        <f>[4]Forecasts!$C$54</f>
        <v>2.4277000000000002</v>
      </c>
    </row>
    <row r="235" spans="1:13" x14ac:dyDescent="0.2">
      <c r="A235" s="3">
        <v>45431</v>
      </c>
      <c r="B235" s="4">
        <f>'[6]Yellow Grease Complex'!$AF$221</f>
        <v>29.5</v>
      </c>
      <c r="C235" s="4">
        <f>'[6]Used Cooking Oil Complex'!$AF$205</f>
        <v>32.68</v>
      </c>
      <c r="D235" s="4">
        <f>'[6]Poultry Byproduct Complex'!$AF$328</f>
        <v>35</v>
      </c>
      <c r="E235" s="4">
        <f>'[6]CWG Complex'!$AF$223</f>
        <v>40.295454545454547</v>
      </c>
      <c r="F235" s="4">
        <f>'[6]Inedible Tallow Complex'!$AF$220</f>
        <v>41.428571428571431</v>
      </c>
      <c r="G235" s="4">
        <f>'[6]Distillers'' Corn Oil Complex'!$AF$205</f>
        <v>40.954545454545453</v>
      </c>
      <c r="H235" s="4">
        <f>[1]Prices!$AB$655</f>
        <v>48.589545454545451</v>
      </c>
      <c r="I235" s="4"/>
      <c r="J235" s="4">
        <f>'[3]RINs and HOBO Forecast'!$C$90</f>
        <v>49.738636363636367</v>
      </c>
      <c r="K235" s="4">
        <f>'[2]LCFS Credit Price Forecast'!$B$132</f>
        <v>48.4773</v>
      </c>
      <c r="L235" s="5">
        <f>[4]Forecasts!$B$54</f>
        <v>440.34</v>
      </c>
      <c r="M235" s="5">
        <f>[4]Forecasts!$C$54</f>
        <v>2.4277000000000002</v>
      </c>
    </row>
    <row r="236" spans="1:13" x14ac:dyDescent="0.2">
      <c r="A236" s="3">
        <v>45438</v>
      </c>
      <c r="B236" s="4">
        <f>'[6]Yellow Grease Complex'!$AF$221</f>
        <v>29.5</v>
      </c>
      <c r="C236" s="4">
        <f>'[6]Used Cooking Oil Complex'!$AF$205</f>
        <v>32.68</v>
      </c>
      <c r="D236" s="4">
        <f>'[6]Poultry Byproduct Complex'!$AF$328</f>
        <v>35</v>
      </c>
      <c r="E236" s="4">
        <f>'[6]CWG Complex'!$AF$223</f>
        <v>40.295454545454547</v>
      </c>
      <c r="F236" s="4">
        <f>'[6]Inedible Tallow Complex'!$AF$220</f>
        <v>41.428571428571431</v>
      </c>
      <c r="G236" s="4">
        <f>'[6]Distillers'' Corn Oil Complex'!$AF$205</f>
        <v>40.954545454545453</v>
      </c>
      <c r="H236" s="4">
        <f>[1]Prices!$AB$655</f>
        <v>48.589545454545451</v>
      </c>
      <c r="I236" s="4"/>
      <c r="J236" s="4">
        <f>'[3]RINs and HOBO Forecast'!$C$90</f>
        <v>49.738636363636367</v>
      </c>
      <c r="K236" s="4">
        <f>'[2]LCFS Credit Price Forecast'!$B$132</f>
        <v>48.4773</v>
      </c>
      <c r="L236" s="5">
        <f>[4]Forecasts!$B$54</f>
        <v>440.34</v>
      </c>
      <c r="M236" s="5">
        <f>[4]Forecasts!$C$54</f>
        <v>2.4277000000000002</v>
      </c>
    </row>
    <row r="237" spans="1:13" x14ac:dyDescent="0.2">
      <c r="A237" s="3">
        <v>45445</v>
      </c>
      <c r="B237" s="4">
        <f>'[6]Yellow Grease Complex'!$AF$222</f>
        <v>29.5</v>
      </c>
      <c r="C237" s="4">
        <f>'[6]Used Cooking Oil Complex'!$AF$206</f>
        <v>33</v>
      </c>
      <c r="D237" s="4">
        <f>'[6]Poultry Byproduct Complex'!$AF$329</f>
        <v>35.210500000000003</v>
      </c>
      <c r="E237" s="4">
        <f>'[6]CWG Complex'!$AF$224</f>
        <v>43.911764705882355</v>
      </c>
      <c r="F237" s="4">
        <f>'[6]Inedible Tallow Complex'!$AF$221</f>
        <v>40.6</v>
      </c>
      <c r="G237" s="4">
        <f>'[6]Distillers'' Corn Oil Complex'!$AF$206</f>
        <v>44.60526315789474</v>
      </c>
      <c r="H237" s="4">
        <f>[1]Prices!$AB$656</f>
        <v>48.601578947368424</v>
      </c>
      <c r="I237" s="4"/>
      <c r="J237" s="4">
        <f>'[3]RINs and HOBO Forecast'!$C$91</f>
        <v>55.157894736842103</v>
      </c>
      <c r="K237" s="4">
        <f>'[2]LCFS Credit Price Forecast'!$B$133</f>
        <v>44.703899999999997</v>
      </c>
      <c r="L237" s="5">
        <f>[4]Forecasts!$B$55</f>
        <v>441.58</v>
      </c>
      <c r="M237" s="5">
        <f>[4]Forecasts!$C$55</f>
        <v>2.4277000000000002</v>
      </c>
    </row>
    <row r="238" spans="1:13" x14ac:dyDescent="0.2">
      <c r="A238" s="3">
        <v>45452</v>
      </c>
      <c r="B238" s="4">
        <f>'[6]Yellow Grease Complex'!$AF$222</f>
        <v>29.5</v>
      </c>
      <c r="C238" s="4">
        <f>'[6]Used Cooking Oil Complex'!$AF$206</f>
        <v>33</v>
      </c>
      <c r="D238" s="4">
        <f>'[6]Poultry Byproduct Complex'!$AF$329</f>
        <v>35.210500000000003</v>
      </c>
      <c r="E238" s="4">
        <f>'[6]CWG Complex'!$AF$224</f>
        <v>43.911764705882355</v>
      </c>
      <c r="F238" s="4">
        <f>'[6]Inedible Tallow Complex'!$AF$221</f>
        <v>40.6</v>
      </c>
      <c r="G238" s="4">
        <f>'[6]Distillers'' Corn Oil Complex'!$AF$206</f>
        <v>44.60526315789474</v>
      </c>
      <c r="H238" s="4">
        <f>[1]Prices!$AB$656</f>
        <v>48.601578947368424</v>
      </c>
      <c r="I238" s="4"/>
      <c r="J238" s="4">
        <f>'[3]RINs and HOBO Forecast'!$C$91</f>
        <v>55.157894736842103</v>
      </c>
      <c r="K238" s="4">
        <f>'[2]LCFS Credit Price Forecast'!$B$133</f>
        <v>44.703899999999997</v>
      </c>
      <c r="L238" s="5">
        <f>[4]Forecasts!$B$55</f>
        <v>441.58</v>
      </c>
      <c r="M238" s="5">
        <f>[4]Forecasts!$C$55</f>
        <v>2.4277000000000002</v>
      </c>
    </row>
    <row r="239" spans="1:13" x14ac:dyDescent="0.2">
      <c r="A239" s="3">
        <v>45459</v>
      </c>
      <c r="B239" s="4">
        <f>'[6]Yellow Grease Complex'!$AF$222</f>
        <v>29.5</v>
      </c>
      <c r="C239" s="4">
        <f>'[6]Used Cooking Oil Complex'!$AF$206</f>
        <v>33</v>
      </c>
      <c r="D239" s="4">
        <f>'[6]Poultry Byproduct Complex'!$AF$329</f>
        <v>35.210500000000003</v>
      </c>
      <c r="E239" s="4">
        <f>'[6]CWG Complex'!$AF$224</f>
        <v>43.911764705882355</v>
      </c>
      <c r="F239" s="4">
        <f>'[6]Inedible Tallow Complex'!$AF$221</f>
        <v>40.6</v>
      </c>
      <c r="G239" s="4">
        <f>'[6]Distillers'' Corn Oil Complex'!$AF$206</f>
        <v>44.60526315789474</v>
      </c>
      <c r="H239" s="4">
        <f>[1]Prices!$AB$656</f>
        <v>48.601578947368424</v>
      </c>
      <c r="I239" s="4"/>
      <c r="J239" s="4">
        <f>'[3]RINs and HOBO Forecast'!$C$91</f>
        <v>55.157894736842103</v>
      </c>
      <c r="K239" s="4">
        <f>'[2]LCFS Credit Price Forecast'!$B$133</f>
        <v>44.703899999999997</v>
      </c>
      <c r="L239" s="5">
        <f>[4]Forecasts!$B$55</f>
        <v>441.58</v>
      </c>
      <c r="M239" s="5">
        <f>[4]Forecasts!$C$55</f>
        <v>2.4277000000000002</v>
      </c>
    </row>
    <row r="240" spans="1:13" x14ac:dyDescent="0.2">
      <c r="A240" s="3">
        <v>45466</v>
      </c>
      <c r="B240" s="4">
        <f>'[6]Yellow Grease Complex'!$AF$222</f>
        <v>29.5</v>
      </c>
      <c r="C240" s="4">
        <f>'[6]Used Cooking Oil Complex'!$AF$206</f>
        <v>33</v>
      </c>
      <c r="D240" s="4">
        <f>'[6]Poultry Byproduct Complex'!$AF$329</f>
        <v>35.210500000000003</v>
      </c>
      <c r="E240" s="4">
        <f>'[6]CWG Complex'!$AF$224</f>
        <v>43.911764705882355</v>
      </c>
      <c r="F240" s="4">
        <f>'[6]Inedible Tallow Complex'!$AF$221</f>
        <v>40.6</v>
      </c>
      <c r="G240" s="4">
        <f>'[6]Distillers'' Corn Oil Complex'!$AF$206</f>
        <v>44.60526315789474</v>
      </c>
      <c r="H240" s="4">
        <f>[1]Prices!$AB$656</f>
        <v>48.601578947368424</v>
      </c>
      <c r="I240" s="4"/>
      <c r="J240" s="4">
        <f>'[3]RINs and HOBO Forecast'!$C$91</f>
        <v>55.157894736842103</v>
      </c>
      <c r="K240" s="4">
        <f>'[2]LCFS Credit Price Forecast'!$B$133</f>
        <v>44.703899999999997</v>
      </c>
      <c r="L240" s="5">
        <f>[4]Forecasts!$B$55</f>
        <v>441.58</v>
      </c>
      <c r="M240" s="5">
        <f>[4]Forecasts!$C$55</f>
        <v>2.4277000000000002</v>
      </c>
    </row>
    <row r="241" spans="1:15" x14ac:dyDescent="0.2">
      <c r="A241" s="3">
        <v>45473</v>
      </c>
      <c r="B241" s="4">
        <f>'[6]Yellow Grease Complex'!$AF$222</f>
        <v>29.5</v>
      </c>
      <c r="C241" s="4">
        <f>'[6]Used Cooking Oil Complex'!$AF$206</f>
        <v>33</v>
      </c>
      <c r="D241" s="4">
        <f>'[6]Poultry Byproduct Complex'!$AF$329</f>
        <v>35.210500000000003</v>
      </c>
      <c r="E241" s="4">
        <f>'[6]CWG Complex'!$AF$224</f>
        <v>43.911764705882355</v>
      </c>
      <c r="F241" s="4">
        <f>'[6]Inedible Tallow Complex'!$AF$221</f>
        <v>40.6</v>
      </c>
      <c r="G241" s="4">
        <f>'[6]Distillers'' Corn Oil Complex'!$AF$206</f>
        <v>44.60526315789474</v>
      </c>
      <c r="H241" s="4">
        <f>[1]Prices!$AB$656</f>
        <v>48.601578947368424</v>
      </c>
      <c r="I241" s="4"/>
      <c r="J241" s="4">
        <f>'[3]RINs and HOBO Forecast'!$C$91</f>
        <v>55.157894736842103</v>
      </c>
      <c r="K241" s="4">
        <f>'[2]LCFS Credit Price Forecast'!$B$133</f>
        <v>44.703899999999997</v>
      </c>
      <c r="L241" s="5">
        <f>[4]Forecasts!$B$55</f>
        <v>441.58</v>
      </c>
      <c r="M241" s="5">
        <f>[4]Forecasts!$C$55</f>
        <v>2.4277000000000002</v>
      </c>
    </row>
    <row r="242" spans="1:15" x14ac:dyDescent="0.2">
      <c r="A242" s="3">
        <v>45480</v>
      </c>
      <c r="B242" s="4">
        <f>'[6]Yellow Grease Complex'!$AF$223</f>
        <v>29.86</v>
      </c>
      <c r="C242" s="4">
        <f>'[6]Used Cooking Oil Complex'!$AF$207</f>
        <v>33.979999999999997</v>
      </c>
      <c r="D242" s="4">
        <f>'[6]Poultry Byproduct Complex'!$AF$330</f>
        <v>36.64</v>
      </c>
      <c r="E242" s="4">
        <f>'[6]CWG Complex'!$AF$225</f>
        <v>48.772727272727273</v>
      </c>
      <c r="F242" s="4">
        <f>'[6]Inedible Tallow Complex'!$AF$222</f>
        <v>41.65</v>
      </c>
      <c r="G242" s="4">
        <f>'[6]Distillers'' Corn Oil Complex'!$AF$207</f>
        <v>47.108181818181826</v>
      </c>
      <c r="H242" s="4">
        <f>[1]Prices!$AB$657</f>
        <v>53.729090909090907</v>
      </c>
      <c r="I242" s="4"/>
      <c r="J242" s="4">
        <f>'[3]RINs and HOBO Forecast'!$C$92</f>
        <v>64.045909090909106</v>
      </c>
      <c r="K242" s="4">
        <f>'[2]LCFS Credit Price Forecast'!$B$134</f>
        <v>47.18</v>
      </c>
      <c r="L242" s="5">
        <f>[4]Forecasts!$B$56</f>
        <v>471.82</v>
      </c>
      <c r="M242" s="5">
        <f>[4]Forecasts!$C$56</f>
        <v>2.3199999999999998</v>
      </c>
    </row>
    <row r="243" spans="1:15" x14ac:dyDescent="0.2">
      <c r="A243" s="3">
        <v>45487</v>
      </c>
      <c r="B243" s="4">
        <f>'[6]Yellow Grease Complex'!$AF$223</f>
        <v>29.86</v>
      </c>
      <c r="C243" s="4">
        <f>'[6]Used Cooking Oil Complex'!$AF$207</f>
        <v>33.979999999999997</v>
      </c>
      <c r="D243" s="4">
        <f>'[6]Poultry Byproduct Complex'!$AF$330</f>
        <v>36.64</v>
      </c>
      <c r="E243" s="4">
        <f>'[6]CWG Complex'!$AF$225</f>
        <v>48.772727272727273</v>
      </c>
      <c r="F243" s="4">
        <f>'[6]Inedible Tallow Complex'!$AF$222</f>
        <v>41.65</v>
      </c>
      <c r="G243" s="4">
        <f>'[6]Distillers'' Corn Oil Complex'!$AF$207</f>
        <v>47.108181818181826</v>
      </c>
      <c r="H243" s="4">
        <f>[1]Prices!$AB$657</f>
        <v>53.729090909090907</v>
      </c>
      <c r="I243" s="4"/>
      <c r="J243" s="4">
        <f>'[3]RINs and HOBO Forecast'!$C$92</f>
        <v>64.045909090909106</v>
      </c>
      <c r="K243" s="4">
        <f>'[2]LCFS Credit Price Forecast'!$B$134</f>
        <v>47.18</v>
      </c>
      <c r="L243" s="5">
        <f>[4]Forecasts!$B$56</f>
        <v>471.82</v>
      </c>
      <c r="M243" s="5">
        <f>[4]Forecasts!$C$56</f>
        <v>2.3199999999999998</v>
      </c>
    </row>
    <row r="244" spans="1:15" x14ac:dyDescent="0.2">
      <c r="A244" s="3">
        <v>45494</v>
      </c>
      <c r="B244" s="4">
        <f>'[6]Yellow Grease Complex'!$AF$223</f>
        <v>29.86</v>
      </c>
      <c r="C244" s="4">
        <f>'[6]Used Cooking Oil Complex'!$AF$207</f>
        <v>33.979999999999997</v>
      </c>
      <c r="D244" s="4">
        <f>'[6]Poultry Byproduct Complex'!$AF$330</f>
        <v>36.64</v>
      </c>
      <c r="E244" s="4">
        <f>'[6]CWG Complex'!$AF$225</f>
        <v>48.772727272727273</v>
      </c>
      <c r="F244" s="4">
        <f>'[6]Inedible Tallow Complex'!$AF$222</f>
        <v>41.65</v>
      </c>
      <c r="G244" s="4">
        <f>'[6]Distillers'' Corn Oil Complex'!$AF$207</f>
        <v>47.108181818181826</v>
      </c>
      <c r="H244" s="4">
        <f>[1]Prices!$AB$657</f>
        <v>53.729090909090907</v>
      </c>
      <c r="I244" s="4"/>
      <c r="J244" s="4">
        <f>'[3]RINs and HOBO Forecast'!$C$92</f>
        <v>64.045909090909106</v>
      </c>
      <c r="K244" s="4">
        <f>'[2]LCFS Credit Price Forecast'!$B$134</f>
        <v>47.18</v>
      </c>
      <c r="L244" s="5">
        <f>[4]Forecasts!$B$56</f>
        <v>471.82</v>
      </c>
      <c r="M244" s="5">
        <f>[4]Forecasts!$C$56</f>
        <v>2.3199999999999998</v>
      </c>
    </row>
    <row r="245" spans="1:15" x14ac:dyDescent="0.2">
      <c r="A245" s="3">
        <v>45501</v>
      </c>
      <c r="B245" s="4">
        <f>'[6]Yellow Grease Complex'!$AF$223</f>
        <v>29.86</v>
      </c>
      <c r="C245" s="4">
        <f>'[6]Used Cooking Oil Complex'!$AF$207</f>
        <v>33.979999999999997</v>
      </c>
      <c r="D245" s="4">
        <f>'[6]Poultry Byproduct Complex'!$AF$330</f>
        <v>36.64</v>
      </c>
      <c r="E245" s="4">
        <f>'[6]CWG Complex'!$AF$225</f>
        <v>48.772727272727273</v>
      </c>
      <c r="F245" s="4">
        <f>'[6]Inedible Tallow Complex'!$AF$222</f>
        <v>41.65</v>
      </c>
      <c r="G245" s="4">
        <f>'[6]Distillers'' Corn Oil Complex'!$AF$207</f>
        <v>47.108181818181826</v>
      </c>
      <c r="H245" s="4">
        <f>[1]Prices!$AB$657</f>
        <v>53.729090909090907</v>
      </c>
      <c r="I245" s="4"/>
      <c r="J245" s="4">
        <f>'[3]RINs and HOBO Forecast'!$C$92</f>
        <v>64.045909090909106</v>
      </c>
      <c r="K245" s="4">
        <f>'[2]LCFS Credit Price Forecast'!$B$134</f>
        <v>47.18</v>
      </c>
      <c r="L245" s="5">
        <f>[4]Forecasts!$B$56</f>
        <v>471.82</v>
      </c>
      <c r="M245" s="5">
        <f>[4]Forecasts!$C$56</f>
        <v>2.3199999999999998</v>
      </c>
    </row>
    <row r="246" spans="1:15" x14ac:dyDescent="0.2">
      <c r="A246" s="3">
        <v>45508</v>
      </c>
      <c r="B246" s="4">
        <f>'[6]Yellow Grease Complex'!$AF$224</f>
        <v>31.5</v>
      </c>
      <c r="C246" s="4">
        <f>'[6]Used Cooking Oil Complex'!$AF$208</f>
        <v>35.409999999999997</v>
      </c>
      <c r="D246" s="4">
        <f>'[6]Poultry Byproduct Complex'!$AF$331</f>
        <v>38.68</v>
      </c>
      <c r="E246" s="4">
        <f>'[6]CWG Complex'!$AF$226</f>
        <v>45.852272727272727</v>
      </c>
      <c r="F246" s="4">
        <f>'[6]Inedible Tallow Complex'!$AF$223</f>
        <v>41.727272727272727</v>
      </c>
      <c r="G246" s="4">
        <f>'[6]Distillers'' Corn Oil Complex'!$AF$208</f>
        <v>43.097272727272724</v>
      </c>
      <c r="H246" s="4">
        <f>[1]Prices!$AB$658</f>
        <v>48.688571428571422</v>
      </c>
      <c r="I246" s="4"/>
      <c r="J246" s="4">
        <f>'[3]RINs and HOBO Forecast'!$C$93</f>
        <v>56.591818181818191</v>
      </c>
      <c r="K246" s="4">
        <f>'[2]LCFS Credit Price Forecast'!$B$135</f>
        <v>51.83</v>
      </c>
      <c r="L246" s="5">
        <f>[4]Forecasts!$B$57</f>
        <v>445.43</v>
      </c>
      <c r="M246" s="5">
        <f>[4]Forecasts!$C$57</f>
        <v>2.11</v>
      </c>
    </row>
    <row r="247" spans="1:15" x14ac:dyDescent="0.2">
      <c r="A247" s="3">
        <v>45515</v>
      </c>
      <c r="B247" s="4">
        <f>'[6]Yellow Grease Complex'!$AF$224</f>
        <v>31.5</v>
      </c>
      <c r="C247" s="4">
        <f>'[6]Used Cooking Oil Complex'!$AF$208</f>
        <v>35.409999999999997</v>
      </c>
      <c r="D247" s="4">
        <f>'[6]Poultry Byproduct Complex'!$AF$331</f>
        <v>38.68</v>
      </c>
      <c r="E247" s="4">
        <f>'[6]CWG Complex'!$AF$226</f>
        <v>45.852272727272727</v>
      </c>
      <c r="F247" s="4">
        <f>'[6]Inedible Tallow Complex'!$AF$223</f>
        <v>41.727272727272727</v>
      </c>
      <c r="G247" s="4">
        <f>'[6]Distillers'' Corn Oil Complex'!$AF$208</f>
        <v>43.097272727272724</v>
      </c>
      <c r="H247" s="4">
        <f>[1]Prices!$AB$658</f>
        <v>48.688571428571422</v>
      </c>
      <c r="I247" s="4"/>
      <c r="J247" s="4">
        <f>'[3]RINs and HOBO Forecast'!$C$93</f>
        <v>56.591818181818191</v>
      </c>
      <c r="K247" s="4">
        <f>'[2]LCFS Credit Price Forecast'!$B$135</f>
        <v>51.83</v>
      </c>
      <c r="L247" s="5">
        <f>[4]Forecasts!$B$57</f>
        <v>445.43</v>
      </c>
      <c r="M247" s="5">
        <f>[4]Forecasts!$C$57</f>
        <v>2.11</v>
      </c>
    </row>
    <row r="248" spans="1:15" x14ac:dyDescent="0.2">
      <c r="A248" s="3">
        <v>45522</v>
      </c>
      <c r="B248" s="4">
        <f>'[6]Yellow Grease Complex'!$AF$224</f>
        <v>31.5</v>
      </c>
      <c r="C248" s="4">
        <f>'[6]Used Cooking Oil Complex'!$AF$208</f>
        <v>35.409999999999997</v>
      </c>
      <c r="D248" s="4">
        <f>'[6]Poultry Byproduct Complex'!$AF$331</f>
        <v>38.68</v>
      </c>
      <c r="E248" s="4">
        <f>'[6]CWG Complex'!$AF$226</f>
        <v>45.852272727272727</v>
      </c>
      <c r="F248" s="4">
        <f>'[6]Inedible Tallow Complex'!$AF$223</f>
        <v>41.727272727272727</v>
      </c>
      <c r="G248" s="4">
        <f>'[6]Distillers'' Corn Oil Complex'!$AF$208</f>
        <v>43.097272727272724</v>
      </c>
      <c r="H248" s="4">
        <f>[1]Prices!$AB$658</f>
        <v>48.688571428571422</v>
      </c>
      <c r="I248" s="4"/>
      <c r="J248" s="4">
        <f>'[3]RINs and HOBO Forecast'!$C$93</f>
        <v>56.591818181818191</v>
      </c>
      <c r="K248" s="4">
        <f>'[2]LCFS Credit Price Forecast'!$B$135</f>
        <v>51.83</v>
      </c>
      <c r="L248" s="5">
        <f>[4]Forecasts!$B$57</f>
        <v>445.43</v>
      </c>
      <c r="M248" s="5">
        <f>[4]Forecasts!$C$57</f>
        <v>2.11</v>
      </c>
    </row>
    <row r="249" spans="1:15" x14ac:dyDescent="0.2">
      <c r="A249" s="3">
        <v>45529</v>
      </c>
      <c r="B249" s="4">
        <f>'[6]Yellow Grease Complex'!$AF$224</f>
        <v>31.5</v>
      </c>
      <c r="C249" s="4">
        <f>'[6]Used Cooking Oil Complex'!$AF$208</f>
        <v>35.409999999999997</v>
      </c>
      <c r="D249" s="4">
        <f>'[6]Poultry Byproduct Complex'!$AF$331</f>
        <v>38.68</v>
      </c>
      <c r="E249" s="4">
        <f>'[6]CWG Complex'!$AF$226</f>
        <v>45.852272727272727</v>
      </c>
      <c r="F249" s="4">
        <f>'[6]Inedible Tallow Complex'!$AF$223</f>
        <v>41.727272727272727</v>
      </c>
      <c r="G249" s="4">
        <f>'[6]Distillers'' Corn Oil Complex'!$AF$208</f>
        <v>43.097272727272724</v>
      </c>
      <c r="H249" s="4">
        <f>[1]Prices!$AB$658</f>
        <v>48.688571428571422</v>
      </c>
      <c r="I249" s="4"/>
      <c r="J249" s="4">
        <f>'[3]RINs and HOBO Forecast'!$C$93</f>
        <v>56.591818181818191</v>
      </c>
      <c r="K249" s="4">
        <f>'[2]LCFS Credit Price Forecast'!$B$135</f>
        <v>51.83</v>
      </c>
      <c r="L249" s="5">
        <f>[4]Forecasts!$B$57</f>
        <v>445.43</v>
      </c>
      <c r="M249" s="5">
        <f>[4]Forecasts!$C$57</f>
        <v>2.11</v>
      </c>
    </row>
    <row r="250" spans="1:15" x14ac:dyDescent="0.2">
      <c r="A250" s="3">
        <v>45536</v>
      </c>
      <c r="B250" s="4">
        <f>'[6]Yellow Grease Complex'!$AF$225</f>
        <v>30.75</v>
      </c>
      <c r="C250" s="4">
        <f>'[6]Used Cooking Oil Complex'!$AF$209</f>
        <v>42</v>
      </c>
      <c r="D250" s="4">
        <f>'[6]Poultry Byproduct Complex'!$AF$332</f>
        <v>37</v>
      </c>
      <c r="E250" s="4">
        <f>'[6]CWG Complex'!$AF$227</f>
        <v>45</v>
      </c>
      <c r="F250" s="4">
        <f>'[6]Inedible Tallow Complex'!$AF$224</f>
        <v>41.795454545454547</v>
      </c>
      <c r="G250" s="4">
        <f>'[6]Distillers'' Corn Oil Complex'!$AF$209</f>
        <v>42.219000000000001</v>
      </c>
      <c r="H250" s="4">
        <f>[1]Prices!$AB$659</f>
        <v>48.549300000000002</v>
      </c>
      <c r="I250" s="4"/>
      <c r="J250" s="4">
        <f>'[3]RINs and HOBO Forecast'!$C$94</f>
        <v>60.412500000000001</v>
      </c>
      <c r="K250" s="4">
        <f>'[2]LCFS Credit Price Forecast'!$B$136</f>
        <v>60.694000000000003</v>
      </c>
      <c r="L250" s="5">
        <f>[4]Forecasts!$B$58</f>
        <v>434.63</v>
      </c>
      <c r="M250" s="5">
        <f>[4]Forecasts!$C$58</f>
        <v>2.02</v>
      </c>
    </row>
    <row r="251" spans="1:15" x14ac:dyDescent="0.2">
      <c r="A251" s="3">
        <v>45543</v>
      </c>
      <c r="B251" s="4">
        <f>'[6]Yellow Grease Complex'!$AF$225</f>
        <v>30.75</v>
      </c>
      <c r="C251" s="4">
        <f>'[6]Used Cooking Oil Complex'!$AF$209</f>
        <v>42</v>
      </c>
      <c r="D251" s="4">
        <f>'[6]Poultry Byproduct Complex'!$AF$332</f>
        <v>37</v>
      </c>
      <c r="E251" s="4">
        <f>'[6]CWG Complex'!$AF$227</f>
        <v>45</v>
      </c>
      <c r="F251" s="4">
        <f>'[6]Inedible Tallow Complex'!$AF$224</f>
        <v>41.795454545454547</v>
      </c>
      <c r="G251" s="4">
        <f>'[6]Distillers'' Corn Oil Complex'!$AF$209</f>
        <v>42.219000000000001</v>
      </c>
      <c r="H251" s="4">
        <f>[1]Prices!$AB$659</f>
        <v>48.549300000000002</v>
      </c>
      <c r="I251" s="4"/>
      <c r="J251" s="4">
        <f>'[3]RINs and HOBO Forecast'!$C$94</f>
        <v>60.412500000000001</v>
      </c>
      <c r="K251" s="4">
        <f>'[2]LCFS Credit Price Forecast'!$B$136</f>
        <v>60.694000000000003</v>
      </c>
      <c r="L251" s="5">
        <f>[4]Forecasts!$B$58</f>
        <v>434.63</v>
      </c>
      <c r="M251" s="5">
        <f>[4]Forecasts!$C$58</f>
        <v>2.02</v>
      </c>
    </row>
    <row r="252" spans="1:15" x14ac:dyDescent="0.2">
      <c r="A252" s="3">
        <v>45550</v>
      </c>
      <c r="B252" s="4">
        <f>'[6]Yellow Grease Complex'!$AF$225</f>
        <v>30.75</v>
      </c>
      <c r="C252" s="4">
        <f>'[6]Used Cooking Oil Complex'!$AF$209</f>
        <v>42</v>
      </c>
      <c r="D252" s="4">
        <f>'[6]Poultry Byproduct Complex'!$AF$332</f>
        <v>37</v>
      </c>
      <c r="E252" s="4">
        <f>'[6]CWG Complex'!$AF$227</f>
        <v>45</v>
      </c>
      <c r="F252" s="4">
        <f>'[6]Inedible Tallow Complex'!$AF$224</f>
        <v>41.795454545454547</v>
      </c>
      <c r="G252" s="4">
        <f>'[6]Distillers'' Corn Oil Complex'!$AF$209</f>
        <v>42.219000000000001</v>
      </c>
      <c r="H252" s="4">
        <f>[1]Prices!$AB$659</f>
        <v>48.549300000000002</v>
      </c>
      <c r="I252" s="4"/>
      <c r="J252" s="4">
        <f>'[3]RINs and HOBO Forecast'!$C$94</f>
        <v>60.412500000000001</v>
      </c>
      <c r="K252" s="4">
        <f>'[2]LCFS Credit Price Forecast'!$B$136</f>
        <v>60.694000000000003</v>
      </c>
      <c r="L252" s="5">
        <f>[4]Forecasts!$B$58</f>
        <v>434.63</v>
      </c>
      <c r="M252" s="5">
        <f>[4]Forecasts!$C$58</f>
        <v>2.02</v>
      </c>
    </row>
    <row r="253" spans="1:15" x14ac:dyDescent="0.2">
      <c r="A253" s="3">
        <v>45557</v>
      </c>
      <c r="B253" s="4">
        <f>'[6]Yellow Grease Complex'!$AF$225</f>
        <v>30.75</v>
      </c>
      <c r="C253" s="4">
        <f>'[6]Used Cooking Oil Complex'!$AF$209</f>
        <v>42</v>
      </c>
      <c r="D253" s="4">
        <f>'[6]Poultry Byproduct Complex'!$AF$332</f>
        <v>37</v>
      </c>
      <c r="E253" s="4">
        <f>'[6]CWG Complex'!$AF$227</f>
        <v>45</v>
      </c>
      <c r="F253" s="4">
        <f>'[6]Inedible Tallow Complex'!$AF$224</f>
        <v>41.795454545454547</v>
      </c>
      <c r="G253" s="4">
        <f>'[6]Distillers'' Corn Oil Complex'!$AF$209</f>
        <v>42.219000000000001</v>
      </c>
      <c r="H253" s="4">
        <f>[1]Prices!$AB$659</f>
        <v>48.549300000000002</v>
      </c>
      <c r="I253" s="4"/>
      <c r="J253" s="4">
        <f>'[3]RINs and HOBO Forecast'!$C$94</f>
        <v>60.412500000000001</v>
      </c>
      <c r="K253" s="4">
        <f>'[2]LCFS Credit Price Forecast'!$B$136</f>
        <v>60.694000000000003</v>
      </c>
      <c r="L253" s="5">
        <f>[4]Forecasts!$B$58</f>
        <v>434.63</v>
      </c>
      <c r="M253" s="5">
        <f>[4]Forecasts!$C$58</f>
        <v>2.02</v>
      </c>
    </row>
    <row r="254" spans="1:15" x14ac:dyDescent="0.2">
      <c r="A254" s="3">
        <v>45564</v>
      </c>
      <c r="B254" s="4">
        <f>'[6]Yellow Grease Complex'!$AF$225</f>
        <v>30.75</v>
      </c>
      <c r="C254" s="4">
        <f>'[6]Used Cooking Oil Complex'!$AF$209</f>
        <v>42</v>
      </c>
      <c r="D254" s="4">
        <f>'[6]Poultry Byproduct Complex'!$AF$332</f>
        <v>37</v>
      </c>
      <c r="E254" s="4">
        <f>'[6]CWG Complex'!$AF$227</f>
        <v>45</v>
      </c>
      <c r="F254" s="4">
        <f>'[6]Inedible Tallow Complex'!$AF$224</f>
        <v>41.795454545454547</v>
      </c>
      <c r="G254" s="4">
        <f>'[6]Distillers'' Corn Oil Complex'!$AF$209</f>
        <v>42.219000000000001</v>
      </c>
      <c r="H254" s="4">
        <f>[1]Prices!$AB$659</f>
        <v>48.549300000000002</v>
      </c>
      <c r="I254" s="4"/>
      <c r="J254" s="4">
        <f>'[3]RINs and HOBO Forecast'!$C$94</f>
        <v>60.412500000000001</v>
      </c>
      <c r="K254" s="4">
        <f>'[2]LCFS Credit Price Forecast'!$B$136</f>
        <v>60.694000000000003</v>
      </c>
      <c r="L254" s="5">
        <f>[4]Forecasts!$B$58</f>
        <v>434.63</v>
      </c>
      <c r="M254" s="5">
        <f>[4]Forecasts!$C$58</f>
        <v>2.02</v>
      </c>
      <c r="O254" s="4"/>
    </row>
    <row r="255" spans="1:15" x14ac:dyDescent="0.2">
      <c r="A255" s="3">
        <v>45571</v>
      </c>
      <c r="B255" s="4">
        <f>'[6]Yellow Grease Complex'!$AG$214</f>
        <v>31</v>
      </c>
      <c r="C255" s="4">
        <f>'[6]Used Cooking Oil Complex'!$AG$198</f>
        <v>36.75</v>
      </c>
      <c r="D255" s="4">
        <f>'[6]Poultry Byproduct Complex'!$AG$321</f>
        <v>35.89</v>
      </c>
      <c r="E255" s="4">
        <f>'[6]CWG Complex'!$AG$216</f>
        <v>43.086956521739133</v>
      </c>
      <c r="F255" s="4">
        <f>'[6]Inedible Tallow Complex'!$AG$213</f>
        <v>47.210526315789473</v>
      </c>
      <c r="G255" s="4">
        <f>'[6]Distillers'' Corn Oil Complex'!$AG$198</f>
        <v>43.311739130434781</v>
      </c>
      <c r="H255" s="4">
        <f>[1]Prices!$AB$660</f>
        <v>49.915900000000001</v>
      </c>
      <c r="I255" s="4"/>
      <c r="J255" s="4">
        <f>'[3]RINs and HOBO Forecast'!$C$95</f>
        <v>69.870434782608697</v>
      </c>
      <c r="K255" s="4">
        <f>'[2]LCFS Credit Price Forecast'!$B$137</f>
        <v>66.565217391304344</v>
      </c>
      <c r="L255" s="5">
        <f>[4]Forecasts!$B$59</f>
        <v>470.17</v>
      </c>
      <c r="M255" s="5">
        <f>[4]Forecasts!$C$59</f>
        <v>2.17</v>
      </c>
    </row>
    <row r="256" spans="1:15" x14ac:dyDescent="0.2">
      <c r="A256" s="3">
        <v>45578</v>
      </c>
      <c r="B256" s="4">
        <f>'[6]Yellow Grease Complex'!$AG$214</f>
        <v>31</v>
      </c>
      <c r="C256" s="4">
        <f>'[6]Used Cooking Oil Complex'!$AG$198</f>
        <v>36.75</v>
      </c>
      <c r="D256" s="4">
        <f>'[6]Poultry Byproduct Complex'!$AG$321</f>
        <v>35.89</v>
      </c>
      <c r="E256" s="4">
        <f>'[6]CWG Complex'!$AG$216</f>
        <v>43.086956521739133</v>
      </c>
      <c r="F256" s="4">
        <f>'[6]Inedible Tallow Complex'!$AG$213</f>
        <v>47.210526315789473</v>
      </c>
      <c r="G256" s="4">
        <f>'[6]Distillers'' Corn Oil Complex'!$AG$198</f>
        <v>43.311739130434781</v>
      </c>
      <c r="H256" s="4">
        <f>[1]Prices!$AB$660</f>
        <v>49.915900000000001</v>
      </c>
      <c r="I256" s="4"/>
      <c r="J256" s="4">
        <f>'[3]RINs and HOBO Forecast'!$C$95</f>
        <v>69.870434782608697</v>
      </c>
      <c r="K256" s="4">
        <f>'[2]LCFS Credit Price Forecast'!$B$137</f>
        <v>66.565217391304344</v>
      </c>
      <c r="L256" s="5">
        <f>[4]Forecasts!$B$59</f>
        <v>470.17</v>
      </c>
      <c r="M256" s="5">
        <f>[4]Forecasts!C$59</f>
        <v>2.17</v>
      </c>
    </row>
    <row r="257" spans="1:13" x14ac:dyDescent="0.2">
      <c r="A257" s="3">
        <v>45585</v>
      </c>
      <c r="B257" s="4">
        <f>'[6]Yellow Grease Complex'!$AG$214</f>
        <v>31</v>
      </c>
      <c r="C257" s="4">
        <f>'[6]Used Cooking Oil Complex'!$AG$198</f>
        <v>36.75</v>
      </c>
      <c r="D257" s="4">
        <f>'[6]Poultry Byproduct Complex'!$AG$321</f>
        <v>35.89</v>
      </c>
      <c r="E257" s="4">
        <f>'[6]CWG Complex'!$AG$216</f>
        <v>43.086956521739133</v>
      </c>
      <c r="F257" s="4">
        <f>'[6]Inedible Tallow Complex'!$AG$213</f>
        <v>47.210526315789473</v>
      </c>
      <c r="G257" s="4">
        <f>'[6]Distillers'' Corn Oil Complex'!$AG$198</f>
        <v>43.311739130434781</v>
      </c>
      <c r="H257" s="4">
        <f>[1]Prices!$AB$660</f>
        <v>49.915900000000001</v>
      </c>
      <c r="I257" s="4"/>
      <c r="J257" s="4">
        <f>'[3]RINs and HOBO Forecast'!$C$95</f>
        <v>69.870434782608697</v>
      </c>
      <c r="K257" s="4">
        <f>'[2]LCFS Credit Price Forecast'!$B$137</f>
        <v>66.565217391304344</v>
      </c>
      <c r="L257" s="5">
        <f>[4]Forecasts!$B$59</f>
        <v>470.17</v>
      </c>
      <c r="M257" s="5">
        <f>[4]Forecasts!C$59</f>
        <v>2.17</v>
      </c>
    </row>
    <row r="258" spans="1:13" x14ac:dyDescent="0.2">
      <c r="A258" s="3">
        <v>45592</v>
      </c>
      <c r="B258" s="4">
        <f>'[6]Yellow Grease Complex'!$AG$214</f>
        <v>31</v>
      </c>
      <c r="C258" s="4">
        <f>'[6]Used Cooking Oil Complex'!$AG$198</f>
        <v>36.75</v>
      </c>
      <c r="D258" s="4">
        <f>'[6]Poultry Byproduct Complex'!$AG$321</f>
        <v>35.89</v>
      </c>
      <c r="E258" s="4">
        <f>'[6]CWG Complex'!$AG$216</f>
        <v>43.086956521739133</v>
      </c>
      <c r="F258" s="4">
        <f>'[6]Inedible Tallow Complex'!$AG$213</f>
        <v>47.210526315789473</v>
      </c>
      <c r="G258" s="4">
        <f>'[6]Distillers'' Corn Oil Complex'!$AG$198</f>
        <v>43.311739130434781</v>
      </c>
      <c r="H258" s="4">
        <f>[1]Prices!$AB$660</f>
        <v>49.915900000000001</v>
      </c>
      <c r="I258" s="4"/>
      <c r="J258" s="4">
        <f>'[3]RINs and HOBO Forecast'!$C$95</f>
        <v>69.870434782608697</v>
      </c>
      <c r="K258" s="4">
        <f>'[2]LCFS Credit Price Forecast'!$B$137</f>
        <v>66.565217391304344</v>
      </c>
      <c r="L258" s="5">
        <f>[4]Forecasts!$B$59</f>
        <v>470.17</v>
      </c>
      <c r="M258" s="5">
        <f>[4]Forecasts!C$59</f>
        <v>2.17</v>
      </c>
    </row>
    <row r="259" spans="1:13" x14ac:dyDescent="0.2">
      <c r="A259" s="3">
        <v>45599</v>
      </c>
      <c r="B259" s="4">
        <f>'[6]Yellow Grease Complex'!$AG$215</f>
        <v>30.25</v>
      </c>
      <c r="C259" s="4">
        <f>'[6]Used Cooking Oil Complex'!$AG$199</f>
        <v>38</v>
      </c>
      <c r="D259" s="4">
        <f>'[6]Poultry Byproduct Complex'!$AG$322</f>
        <v>36</v>
      </c>
      <c r="E259" s="4">
        <f>'[6]CWG Complex'!$AG$217</f>
        <v>40.473684210526315</v>
      </c>
      <c r="F259" s="4">
        <f>'[6]Inedible Tallow Complex'!$AG$214</f>
        <v>51</v>
      </c>
      <c r="G259" s="4">
        <f>'[6]Distillers'' Corn Oil Complex'!$AG$199</f>
        <v>45.473684210526315</v>
      </c>
      <c r="H259" s="4">
        <f>[1]Prices!$AB$661</f>
        <v>50.918500000000002</v>
      </c>
      <c r="I259" s="4"/>
      <c r="J259" s="4">
        <f>'[3]RINs and HOBO Forecast'!$C$96</f>
        <v>68.287999999999997</v>
      </c>
      <c r="K259" s="4">
        <f>'[2]LCFS Credit Price Forecast'!$B$138</f>
        <v>73.900499999999994</v>
      </c>
      <c r="L259" s="5">
        <f>[4]Forecasts!$B$60</f>
        <v>483.9</v>
      </c>
      <c r="M259" s="5">
        <f>[4]Forecasts!C$60</f>
        <v>2.29</v>
      </c>
    </row>
    <row r="260" spans="1:13" x14ac:dyDescent="0.2">
      <c r="A260" s="3">
        <v>45606</v>
      </c>
      <c r="B260" s="4">
        <f>'[6]Yellow Grease Complex'!$AG$215</f>
        <v>30.25</v>
      </c>
      <c r="C260" s="4">
        <f>'[6]Used Cooking Oil Complex'!$AG$199</f>
        <v>38</v>
      </c>
      <c r="D260" s="4">
        <f>'[6]Poultry Byproduct Complex'!$AG$322</f>
        <v>36</v>
      </c>
      <c r="E260" s="4">
        <f>'[6]CWG Complex'!$AG$217</f>
        <v>40.473684210526315</v>
      </c>
      <c r="F260" s="4">
        <f>'[6]Inedible Tallow Complex'!$AG$214</f>
        <v>51</v>
      </c>
      <c r="G260" s="4">
        <f>'[6]Distillers'' Corn Oil Complex'!$AG$199</f>
        <v>45.473684210526315</v>
      </c>
      <c r="H260" s="4">
        <f>[1]Prices!$AB$661</f>
        <v>50.918500000000002</v>
      </c>
      <c r="I260" s="4"/>
      <c r="J260" s="4">
        <f>'[3]RINs and HOBO Forecast'!$C$96</f>
        <v>68.287999999999997</v>
      </c>
      <c r="K260" s="4">
        <f>'[2]LCFS Credit Price Forecast'!$B$138</f>
        <v>73.900499999999994</v>
      </c>
      <c r="L260" s="5">
        <f>[4]Forecasts!$B$60</f>
        <v>483.9</v>
      </c>
      <c r="M260" s="5">
        <f>[4]Forecasts!C$60</f>
        <v>2.29</v>
      </c>
    </row>
    <row r="261" spans="1:13" x14ac:dyDescent="0.2">
      <c r="A261" s="3">
        <v>45613</v>
      </c>
      <c r="B261" s="4">
        <f>'[6]Yellow Grease Complex'!$AG$215</f>
        <v>30.25</v>
      </c>
      <c r="C261" s="4">
        <f>'[6]Used Cooking Oil Complex'!$AG$199</f>
        <v>38</v>
      </c>
      <c r="D261" s="4">
        <f>'[6]Poultry Byproduct Complex'!$AG$322</f>
        <v>36</v>
      </c>
      <c r="E261" s="4">
        <f>'[6]CWG Complex'!$AG$217</f>
        <v>40.473684210526315</v>
      </c>
      <c r="F261" s="4">
        <f>'[6]Inedible Tallow Complex'!$AG$214</f>
        <v>51</v>
      </c>
      <c r="G261" s="4">
        <f>'[6]Distillers'' Corn Oil Complex'!$AG$199</f>
        <v>45.473684210526315</v>
      </c>
      <c r="H261" s="4">
        <f>[1]Prices!$AB$661</f>
        <v>50.918500000000002</v>
      </c>
      <c r="I261" s="4"/>
      <c r="J261" s="4">
        <f>'[3]RINs and HOBO Forecast'!$C$96</f>
        <v>68.287999999999997</v>
      </c>
      <c r="K261" s="4">
        <f>'[2]LCFS Credit Price Forecast'!$B$138</f>
        <v>73.900499999999994</v>
      </c>
      <c r="L261" s="5">
        <f>[4]Forecasts!$B$60</f>
        <v>483.9</v>
      </c>
      <c r="M261" s="5">
        <f>[4]Forecasts!C$60</f>
        <v>2.29</v>
      </c>
    </row>
    <row r="262" spans="1:13" x14ac:dyDescent="0.2">
      <c r="A262" s="3">
        <v>45620</v>
      </c>
      <c r="B262" s="4">
        <f>'[6]Yellow Grease Complex'!$AG$215</f>
        <v>30.25</v>
      </c>
      <c r="C262" s="4">
        <f>'[6]Used Cooking Oil Complex'!$AG$199</f>
        <v>38</v>
      </c>
      <c r="D262" s="4">
        <f>'[6]Poultry Byproduct Complex'!$AG$322</f>
        <v>36</v>
      </c>
      <c r="E262" s="4">
        <f>'[6]CWG Complex'!$AG$217</f>
        <v>40.473684210526315</v>
      </c>
      <c r="F262" s="4">
        <f>'[6]Inedible Tallow Complex'!$AG$214</f>
        <v>51</v>
      </c>
      <c r="G262" s="4">
        <f>'[6]Distillers'' Corn Oil Complex'!$AG$199</f>
        <v>45.473684210526315</v>
      </c>
      <c r="H262" s="4">
        <f>[1]Prices!$AB$661</f>
        <v>50.918500000000002</v>
      </c>
      <c r="I262" s="4"/>
      <c r="J262" s="4">
        <f>'[3]RINs and HOBO Forecast'!$C$96</f>
        <v>68.287999999999997</v>
      </c>
      <c r="K262" s="4">
        <f>'[2]LCFS Credit Price Forecast'!$B$138</f>
        <v>73.900499999999994</v>
      </c>
      <c r="L262" s="5">
        <f>[4]Forecasts!$B$60</f>
        <v>483.9</v>
      </c>
      <c r="M262" s="5">
        <f>[4]Forecasts!C$60</f>
        <v>2.29</v>
      </c>
    </row>
    <row r="263" spans="1:13" x14ac:dyDescent="0.2">
      <c r="A263" s="3">
        <v>45627</v>
      </c>
      <c r="B263" s="4">
        <f>'[6]Yellow Grease Complex'!$AG$216</f>
        <v>28.75</v>
      </c>
      <c r="C263" s="4">
        <f>'[6]Used Cooking Oil Complex'!$AG$200</f>
        <v>37.5</v>
      </c>
      <c r="D263" s="4">
        <f>'[6]Poultry Byproduct Complex'!$AG$323</f>
        <v>35.64</v>
      </c>
      <c r="E263" s="4">
        <f>'[6]CWG Complex'!$AG$218</f>
        <v>40.571428571428569</v>
      </c>
      <c r="F263" s="4">
        <f>'[6]Inedible Tallow Complex'!$AG$215</f>
        <v>46.68181818181818</v>
      </c>
      <c r="G263" s="4">
        <f>'[6]Distillers'' Corn Oil Complex'!$AG$200</f>
        <v>42.553809523809527</v>
      </c>
      <c r="H263" s="4">
        <f>[1]Prices!$AB$662</f>
        <v>46.616199999999999</v>
      </c>
      <c r="I263" s="4"/>
      <c r="J263" s="4">
        <f>[7]Monthly!$J$141</f>
        <v>60.233809523809541</v>
      </c>
      <c r="K263" s="4">
        <f>'[2]LCFS Credit Price Forecast'!$B$139</f>
        <v>76.511904761904759</v>
      </c>
      <c r="L263" s="5">
        <f>[4]Forecasts!B$61</f>
        <v>483.64</v>
      </c>
      <c r="M263" s="5">
        <f>[4]Forecasts!C$61</f>
        <v>2.5099999999999998</v>
      </c>
    </row>
    <row r="264" spans="1:13" x14ac:dyDescent="0.2">
      <c r="A264" s="3">
        <v>45634</v>
      </c>
      <c r="B264" s="4">
        <f>'[6]Yellow Grease Complex'!$AG$216</f>
        <v>28.75</v>
      </c>
      <c r="C264" s="4">
        <f>'[6]Used Cooking Oil Complex'!$AG$200</f>
        <v>37.5</v>
      </c>
      <c r="D264" s="4">
        <f>'[6]Poultry Byproduct Complex'!$AG$323</f>
        <v>35.64</v>
      </c>
      <c r="E264" s="4">
        <f>'[6]CWG Complex'!$AG$218</f>
        <v>40.571428571428569</v>
      </c>
      <c r="F264" s="4">
        <f>'[6]Inedible Tallow Complex'!$AG$215</f>
        <v>46.68181818181818</v>
      </c>
      <c r="G264" s="4">
        <f>'[6]Distillers'' Corn Oil Complex'!$AG$200</f>
        <v>42.553809523809527</v>
      </c>
      <c r="H264" s="4">
        <f>[1]Prices!$AB$662</f>
        <v>46.616199999999999</v>
      </c>
      <c r="I264" s="4"/>
      <c r="J264" s="4">
        <f>[7]Monthly!$J$141</f>
        <v>60.233809523809541</v>
      </c>
      <c r="K264" s="4">
        <f>'[2]LCFS Credit Price Forecast'!$B$139</f>
        <v>76.511904761904759</v>
      </c>
      <c r="L264" s="5">
        <f>[4]Forecasts!B$61</f>
        <v>483.64</v>
      </c>
      <c r="M264" s="5">
        <f>[4]Forecasts!C$61</f>
        <v>2.5099999999999998</v>
      </c>
    </row>
    <row r="265" spans="1:13" x14ac:dyDescent="0.2">
      <c r="A265" s="3">
        <v>45641</v>
      </c>
      <c r="B265" s="4">
        <f>'[6]Yellow Grease Complex'!$AG$216</f>
        <v>28.75</v>
      </c>
      <c r="C265" s="4">
        <f>'[6]Used Cooking Oil Complex'!$AG$200</f>
        <v>37.5</v>
      </c>
      <c r="D265" s="4">
        <f>'[6]Poultry Byproduct Complex'!$AG$323</f>
        <v>35.64</v>
      </c>
      <c r="E265" s="4">
        <f>'[6]CWG Complex'!$AG$218</f>
        <v>40.571428571428569</v>
      </c>
      <c r="F265" s="4">
        <f>'[6]Inedible Tallow Complex'!$AG$215</f>
        <v>46.68181818181818</v>
      </c>
      <c r="G265" s="4">
        <f>'[6]Distillers'' Corn Oil Complex'!$AG$200</f>
        <v>42.553809523809527</v>
      </c>
      <c r="H265" s="4">
        <f>[1]Prices!$AB$662</f>
        <v>46.616199999999999</v>
      </c>
      <c r="I265" s="4"/>
      <c r="J265" s="4">
        <f>[7]Monthly!$J$141</f>
        <v>60.233809523809541</v>
      </c>
      <c r="K265" s="4">
        <f>'[2]LCFS Credit Price Forecast'!$B$139</f>
        <v>76.511904761904759</v>
      </c>
      <c r="L265" s="5">
        <f>[4]Forecasts!B$61</f>
        <v>483.64</v>
      </c>
      <c r="M265" s="5">
        <f>[4]Forecasts!C$61</f>
        <v>2.5099999999999998</v>
      </c>
    </row>
    <row r="266" spans="1:13" x14ac:dyDescent="0.2">
      <c r="A266" s="3">
        <v>45648</v>
      </c>
      <c r="B266" s="4">
        <f>'[6]Yellow Grease Complex'!$AG$216</f>
        <v>28.75</v>
      </c>
      <c r="C266" s="4">
        <f>'[6]Used Cooking Oil Complex'!$AG$200</f>
        <v>37.5</v>
      </c>
      <c r="D266" s="4">
        <f>'[6]Poultry Byproduct Complex'!$AG$323</f>
        <v>35.64</v>
      </c>
      <c r="E266" s="4">
        <f>'[6]CWG Complex'!$AG$218</f>
        <v>40.571428571428569</v>
      </c>
      <c r="F266" s="4">
        <f>'[6]Inedible Tallow Complex'!$AG$215</f>
        <v>46.68181818181818</v>
      </c>
      <c r="G266" s="4">
        <f>'[6]Distillers'' Corn Oil Complex'!$AG$200</f>
        <v>42.553809523809527</v>
      </c>
      <c r="H266" s="4">
        <f>[1]Prices!$AB$662</f>
        <v>46.616199999999999</v>
      </c>
      <c r="I266" s="4"/>
      <c r="J266" s="4">
        <f>[7]Monthly!$J$141</f>
        <v>60.233809523809541</v>
      </c>
      <c r="K266" s="4">
        <f>'[2]LCFS Credit Price Forecast'!$B$139</f>
        <v>76.511904761904759</v>
      </c>
      <c r="L266" s="5">
        <f>[4]Forecasts!B$61</f>
        <v>483.64</v>
      </c>
      <c r="M266" s="5">
        <f>[4]Forecasts!C$61</f>
        <v>2.5099999999999998</v>
      </c>
    </row>
    <row r="267" spans="1:13" x14ac:dyDescent="0.2">
      <c r="A267" s="3">
        <v>45655</v>
      </c>
      <c r="B267" s="4">
        <f>'[6]Yellow Grease Complex'!$AG$216</f>
        <v>28.75</v>
      </c>
      <c r="C267" s="4">
        <f>'[6]Used Cooking Oil Complex'!$AG$200</f>
        <v>37.5</v>
      </c>
      <c r="D267" s="4">
        <f>'[6]Poultry Byproduct Complex'!$AG$323</f>
        <v>35.64</v>
      </c>
      <c r="E267" s="4">
        <f>'[6]CWG Complex'!$AG$218</f>
        <v>40.571428571428569</v>
      </c>
      <c r="F267" s="4">
        <f>'[6]Inedible Tallow Complex'!$AG$215</f>
        <v>46.68181818181818</v>
      </c>
      <c r="G267" s="4">
        <f>'[6]Distillers'' Corn Oil Complex'!$AG$200</f>
        <v>42.553809523809527</v>
      </c>
      <c r="H267" s="4">
        <f>[1]Prices!$AB$662</f>
        <v>46.616199999999999</v>
      </c>
      <c r="I267" s="4"/>
      <c r="J267" s="4">
        <f>[7]Monthly!$J$141</f>
        <v>60.233809523809541</v>
      </c>
      <c r="K267" s="4">
        <f>'[2]LCFS Credit Price Forecast'!$B$139</f>
        <v>76.511904761904759</v>
      </c>
      <c r="L267" s="5">
        <f>[4]Forecasts!B$61</f>
        <v>483.64</v>
      </c>
      <c r="M267" s="5">
        <f>[4]Forecasts!C$61</f>
        <v>2.5099999999999998</v>
      </c>
    </row>
    <row r="268" spans="1:13" x14ac:dyDescent="0.2">
      <c r="A268" s="3">
        <v>45662</v>
      </c>
      <c r="B268" s="4">
        <f>'[6]Yellow Grease Complex'!$AG$217</f>
        <v>29</v>
      </c>
      <c r="C268" s="4">
        <f>'[6]Used Cooking Oil Complex'!$AG$201</f>
        <v>41.25</v>
      </c>
      <c r="D268" s="4">
        <f>'[6]Poultry Byproduct Complex'!$AG$324</f>
        <v>35.5</v>
      </c>
      <c r="E268" s="4">
        <f>'[6]CWG Complex'!$AG$219</f>
        <v>42</v>
      </c>
      <c r="F268" s="4">
        <f>'[6]Inedible Tallow Complex'!$AG$216</f>
        <v>45.75</v>
      </c>
      <c r="G268" s="4">
        <f>'[6]Distillers'' Corn Oil Complex'!$AG$201</f>
        <v>44.083333333333336</v>
      </c>
      <c r="H268" s="4">
        <f>[1]Prices!$AB$663</f>
        <v>48.43</v>
      </c>
      <c r="I268" s="4"/>
      <c r="J268" s="4">
        <f>[7]Monthly!$J$142</f>
        <v>71.86904761904762</v>
      </c>
      <c r="K268" s="6">
        <f>'[2]LCFS Credit Price Forecast'!$B$140</f>
        <v>66.6186299081036</v>
      </c>
      <c r="L268" s="5">
        <f>[4]Forecasts!B$62</f>
        <v>433.45</v>
      </c>
      <c r="M268" s="5">
        <f>[4]Forecasts!C$62</f>
        <v>2.76</v>
      </c>
    </row>
    <row r="269" spans="1:13" x14ac:dyDescent="0.2">
      <c r="A269" s="3">
        <v>45669</v>
      </c>
      <c r="B269" s="4">
        <f>'[6]Yellow Grease Complex'!$AG$217</f>
        <v>29</v>
      </c>
      <c r="C269" s="4">
        <f>'[6]Used Cooking Oil Complex'!$AG$201</f>
        <v>41.25</v>
      </c>
      <c r="D269" s="4">
        <f>'[6]Poultry Byproduct Complex'!$AG$324</f>
        <v>35.5</v>
      </c>
      <c r="E269" s="4">
        <f>'[6]CWG Complex'!$AG$219</f>
        <v>42</v>
      </c>
      <c r="F269" s="4">
        <f>'[6]Inedible Tallow Complex'!$AG$216</f>
        <v>45.75</v>
      </c>
      <c r="G269" s="4">
        <f>'[6]Distillers'' Corn Oil Complex'!$AG$201</f>
        <v>44.083333333333336</v>
      </c>
      <c r="H269" s="4">
        <f>[1]Prices!$AB$663</f>
        <v>48.43</v>
      </c>
      <c r="I269" s="4"/>
      <c r="J269" s="4">
        <f>[7]Monthly!$J$142</f>
        <v>71.86904761904762</v>
      </c>
      <c r="K269" s="4">
        <f>'[2]LCFS Credit Price Forecast'!$B$140</f>
        <v>66.6186299081036</v>
      </c>
      <c r="L269" s="5">
        <f>[4]Forecasts!B$62</f>
        <v>433.45</v>
      </c>
      <c r="M269" s="5">
        <f>[4]Forecasts!C$62</f>
        <v>2.76</v>
      </c>
    </row>
    <row r="270" spans="1:13" x14ac:dyDescent="0.2">
      <c r="A270" s="3">
        <v>45676</v>
      </c>
      <c r="B270" s="4">
        <f>'[6]Yellow Grease Complex'!$AG$217</f>
        <v>29</v>
      </c>
      <c r="C270" s="4">
        <f>'[6]Used Cooking Oil Complex'!$AG$201</f>
        <v>41.25</v>
      </c>
      <c r="D270" s="4">
        <f>'[6]Poultry Byproduct Complex'!$AG$324</f>
        <v>35.5</v>
      </c>
      <c r="E270" s="4">
        <f>'[6]CWG Complex'!$AG$219</f>
        <v>42</v>
      </c>
      <c r="F270" s="4">
        <f>'[6]Inedible Tallow Complex'!$AG$216</f>
        <v>45.75</v>
      </c>
      <c r="G270" s="4">
        <f>'[6]Distillers'' Corn Oil Complex'!$AG$201</f>
        <v>44.083333333333336</v>
      </c>
      <c r="H270" s="4">
        <f>[1]Prices!$AB$663</f>
        <v>48.43</v>
      </c>
      <c r="I270" s="4"/>
      <c r="J270" s="4">
        <f>[7]Monthly!$J$142</f>
        <v>71.86904761904762</v>
      </c>
      <c r="K270" s="6">
        <f>'[2]LCFS Credit Price Forecast'!$B$140</f>
        <v>66.6186299081036</v>
      </c>
      <c r="L270" s="5">
        <f>[4]Forecasts!B$62</f>
        <v>433.45</v>
      </c>
      <c r="M270" s="5">
        <f>[4]Forecasts!C$62</f>
        <v>2.76</v>
      </c>
    </row>
    <row r="271" spans="1:13" x14ac:dyDescent="0.2">
      <c r="A271" s="3">
        <v>45683</v>
      </c>
      <c r="B271" s="4">
        <f>'[6]Yellow Grease Complex'!$AG$217</f>
        <v>29</v>
      </c>
      <c r="C271" s="4">
        <f>'[6]Used Cooking Oil Complex'!$AG$201</f>
        <v>41.25</v>
      </c>
      <c r="D271" s="4">
        <f>'[6]Poultry Byproduct Complex'!$AG$324</f>
        <v>35.5</v>
      </c>
      <c r="E271" s="4">
        <f>'[6]CWG Complex'!$AG$219</f>
        <v>42</v>
      </c>
      <c r="F271" s="4">
        <f>'[6]Inedible Tallow Complex'!$AG$216</f>
        <v>45.75</v>
      </c>
      <c r="G271" s="4">
        <f>'[6]Distillers'' Corn Oil Complex'!$AG$201</f>
        <v>44.083333333333336</v>
      </c>
      <c r="H271" s="4">
        <f>[1]Prices!$AB$663</f>
        <v>48.43</v>
      </c>
      <c r="I271" s="4"/>
      <c r="J271" s="4">
        <f>[7]Monthly!$J$142</f>
        <v>71.86904761904762</v>
      </c>
      <c r="K271" s="4">
        <f>'[2]LCFS Credit Price Forecast'!$B$140</f>
        <v>66.6186299081036</v>
      </c>
      <c r="L271" s="5">
        <f>[4]Forecasts!B$62</f>
        <v>433.45</v>
      </c>
      <c r="M271" s="5">
        <f>[4]Forecasts!C$62</f>
        <v>2.76</v>
      </c>
    </row>
    <row r="272" spans="1:13" x14ac:dyDescent="0.2">
      <c r="A272" s="3">
        <v>45690</v>
      </c>
      <c r="B272" s="4">
        <f>'[6]Yellow Grease Complex'!$AG$218</f>
        <v>34</v>
      </c>
      <c r="C272" s="4">
        <f>'[6]Used Cooking Oil Complex'!$AG$202</f>
        <v>43.25</v>
      </c>
      <c r="D272" s="4">
        <f>'[6]Poultry Byproduct Complex'!$AG$325</f>
        <v>37.92</v>
      </c>
      <c r="E272" s="4">
        <f>'[6]CWG Complex'!$AG$220</f>
        <v>49</v>
      </c>
      <c r="F272" s="4">
        <f>'[6]Inedible Tallow Complex'!$AG$217</f>
        <v>44.586956521739133</v>
      </c>
      <c r="G272" s="4">
        <f>'[6]Distillers'' Corn Oil Complex'!$AG$202</f>
        <v>49.882105263157897</v>
      </c>
      <c r="H272" s="4">
        <f>[1]Prices!$AB$664</f>
        <v>50.17</v>
      </c>
      <c r="I272" s="4"/>
      <c r="J272" s="4">
        <f>[7]Monthly!$J$143</f>
        <v>84.94736842105263</v>
      </c>
      <c r="K272" s="6">
        <f>'[2]LCFS Credit Price Forecast'!$B$141</f>
        <v>66.6186299081036</v>
      </c>
      <c r="L272" s="5">
        <f>[4]Forecasts!B$63</f>
        <v>429.14</v>
      </c>
      <c r="M272" s="5">
        <f>[4]Forecasts!C$63</f>
        <v>2.7</v>
      </c>
    </row>
    <row r="273" spans="1:18" x14ac:dyDescent="0.2">
      <c r="A273" s="3">
        <v>45697</v>
      </c>
      <c r="B273" s="4">
        <f>'[6]Yellow Grease Complex'!$AG$218</f>
        <v>34</v>
      </c>
      <c r="C273" s="4">
        <f>'[6]Used Cooking Oil Complex'!$AG$202</f>
        <v>43.25</v>
      </c>
      <c r="D273" s="4">
        <f>'[6]Poultry Byproduct Complex'!$AG$325</f>
        <v>37.92</v>
      </c>
      <c r="E273" s="4">
        <f>'[6]CWG Complex'!$AG$220</f>
        <v>49</v>
      </c>
      <c r="F273" s="4">
        <f>'[6]Inedible Tallow Complex'!$AG$217</f>
        <v>44.586956521739133</v>
      </c>
      <c r="G273" s="4">
        <f>'[6]Distillers'' Corn Oil Complex'!$AG$202</f>
        <v>49.882105263157897</v>
      </c>
      <c r="H273" s="4">
        <f>[1]Prices!$AB$664</f>
        <v>50.17</v>
      </c>
      <c r="I273" s="4"/>
      <c r="J273" s="4">
        <f>[7]Monthly!$J$143</f>
        <v>84.94736842105263</v>
      </c>
      <c r="K273" s="4">
        <f>'[2]LCFS Credit Price Forecast'!$B$141</f>
        <v>66.6186299081036</v>
      </c>
      <c r="L273" s="5">
        <f>[4]Forecasts!B$63</f>
        <v>429.14</v>
      </c>
      <c r="M273" s="5">
        <f>[4]Forecasts!C$63</f>
        <v>2.7</v>
      </c>
    </row>
    <row r="274" spans="1:18" x14ac:dyDescent="0.2">
      <c r="A274" s="3">
        <v>45704</v>
      </c>
      <c r="B274" s="4">
        <f>'[6]Yellow Grease Complex'!$AG$218</f>
        <v>34</v>
      </c>
      <c r="C274" s="4">
        <f>'[6]Used Cooking Oil Complex'!$AG$202</f>
        <v>43.25</v>
      </c>
      <c r="D274" s="4">
        <f>'[6]Poultry Byproduct Complex'!$AG$325</f>
        <v>37.92</v>
      </c>
      <c r="E274" s="4">
        <f>'[6]CWG Complex'!$AG$220</f>
        <v>49</v>
      </c>
      <c r="F274" s="4">
        <f>'[6]Inedible Tallow Complex'!$AG$217</f>
        <v>44.586956521739133</v>
      </c>
      <c r="G274" s="4">
        <f>'[6]Distillers'' Corn Oil Complex'!$AG$202</f>
        <v>49.882105263157897</v>
      </c>
      <c r="H274" s="4">
        <f>[1]Prices!$AB$664</f>
        <v>50.17</v>
      </c>
      <c r="I274" s="4"/>
      <c r="J274" s="4">
        <f>[7]Monthly!$J$143</f>
        <v>84.94736842105263</v>
      </c>
      <c r="K274" s="6">
        <f>'[2]LCFS Credit Price Forecast'!$B$141</f>
        <v>66.6186299081036</v>
      </c>
      <c r="L274" s="5">
        <f>[4]Forecasts!B$63</f>
        <v>429.14</v>
      </c>
      <c r="M274" s="5">
        <f>[4]Forecasts!C$63</f>
        <v>2.7</v>
      </c>
    </row>
    <row r="275" spans="1:18" x14ac:dyDescent="0.2">
      <c r="A275" s="3">
        <v>45711</v>
      </c>
      <c r="B275" s="4">
        <f>'[6]Yellow Grease Complex'!$AG$218</f>
        <v>34</v>
      </c>
      <c r="C275" s="4">
        <f>'[6]Used Cooking Oil Complex'!$AG$202</f>
        <v>43.25</v>
      </c>
      <c r="D275" s="4">
        <f>'[6]Poultry Byproduct Complex'!$AG$325</f>
        <v>37.92</v>
      </c>
      <c r="E275" s="4">
        <f>'[6]CWG Complex'!$AG$220</f>
        <v>49</v>
      </c>
      <c r="F275" s="4">
        <f>'[6]Inedible Tallow Complex'!$AG$217</f>
        <v>44.586956521739133</v>
      </c>
      <c r="G275" s="4">
        <f>'[6]Distillers'' Corn Oil Complex'!$AG$202</f>
        <v>49.882105263157897</v>
      </c>
      <c r="H275" s="4">
        <f>[1]Prices!$AB$664</f>
        <v>50.17</v>
      </c>
      <c r="I275" s="4"/>
      <c r="J275" s="4">
        <f>[7]Monthly!$J$143</f>
        <v>84.94736842105263</v>
      </c>
      <c r="K275" s="4">
        <f>'[2]LCFS Credit Price Forecast'!$B$141</f>
        <v>66.6186299081036</v>
      </c>
      <c r="L275" s="5">
        <f>[4]Forecasts!B$63</f>
        <v>429.14</v>
      </c>
      <c r="M275" s="5">
        <f>[4]Forecasts!C$63</f>
        <v>2.7</v>
      </c>
    </row>
    <row r="276" spans="1:18" x14ac:dyDescent="0.2">
      <c r="A276" s="3">
        <v>45718</v>
      </c>
      <c r="B276" s="4">
        <f>'[6]Yellow Grease Complex'!$AG$219</f>
        <v>30.75</v>
      </c>
      <c r="C276" s="4">
        <f>'[6]Used Cooking Oil Complex'!$AG$203</f>
        <v>44.25</v>
      </c>
      <c r="D276" s="4">
        <f>'[6]Poultry Byproduct Complex'!$AG$326</f>
        <v>35.5</v>
      </c>
      <c r="E276" s="4">
        <f>'[6]CWG Complex'!$AG$221</f>
        <v>48.047619047619051</v>
      </c>
      <c r="F276" s="4">
        <f>'[6]Inedible Tallow Complex'!$AG$218</f>
        <v>42.815789473684212</v>
      </c>
      <c r="G276" s="4">
        <f>'[6]Distillers'' Corn Oil Complex'!$AG$203</f>
        <v>47.952380952380949</v>
      </c>
      <c r="H276" s="4">
        <f>[1]Prices!$AB$665</f>
        <v>46.75</v>
      </c>
      <c r="I276" s="4"/>
      <c r="J276" s="4">
        <f>[7]Monthly!$J$144</f>
        <v>79.571428571428569</v>
      </c>
      <c r="K276" s="6">
        <f>'[2]LCFS Credit Price Forecast'!$B$142</f>
        <v>66.6186299081036</v>
      </c>
      <c r="L276" s="5">
        <f>[4]Forecasts!B$64</f>
        <v>394.3</v>
      </c>
      <c r="M276" s="5">
        <f>[4]Forecasts!C$64</f>
        <v>2.27</v>
      </c>
    </row>
    <row r="277" spans="1:18" x14ac:dyDescent="0.2">
      <c r="A277" s="3">
        <v>45725</v>
      </c>
      <c r="B277" s="4">
        <f>'[6]Yellow Grease Complex'!$AG$219</f>
        <v>30.75</v>
      </c>
      <c r="C277" s="4">
        <f>'[6]Used Cooking Oil Complex'!$AG$203</f>
        <v>44.25</v>
      </c>
      <c r="D277" s="4">
        <f>'[6]Poultry Byproduct Complex'!$AG$326</f>
        <v>35.5</v>
      </c>
      <c r="E277" s="4">
        <f>'[6]CWG Complex'!$AG$221</f>
        <v>48.047619047619051</v>
      </c>
      <c r="F277" s="4">
        <f>'[6]Inedible Tallow Complex'!$AG$218</f>
        <v>42.815789473684212</v>
      </c>
      <c r="G277" s="4">
        <f>'[6]Distillers'' Corn Oil Complex'!$AG$203</f>
        <v>47.952380952380949</v>
      </c>
      <c r="H277" s="4">
        <f>[1]Prices!$AB$665</f>
        <v>46.75</v>
      </c>
      <c r="I277" s="4"/>
      <c r="J277" s="4">
        <f>[7]Monthly!$J$144</f>
        <v>79.571428571428569</v>
      </c>
      <c r="K277" s="4">
        <f>'[2]LCFS Credit Price Forecast'!$B$142</f>
        <v>66.6186299081036</v>
      </c>
      <c r="L277" s="5">
        <f>[4]Forecasts!B$64</f>
        <v>394.3</v>
      </c>
      <c r="M277" s="5">
        <f>[4]Forecasts!C$64</f>
        <v>2.27</v>
      </c>
    </row>
    <row r="278" spans="1:18" x14ac:dyDescent="0.2">
      <c r="A278" s="3">
        <v>45732</v>
      </c>
      <c r="B278" s="4">
        <f>'[6]Yellow Grease Complex'!$AG$219</f>
        <v>30.75</v>
      </c>
      <c r="C278" s="4">
        <f>'[6]Used Cooking Oil Complex'!$AG$203</f>
        <v>44.25</v>
      </c>
      <c r="D278" s="4">
        <f>'[6]Poultry Byproduct Complex'!$AG$326</f>
        <v>35.5</v>
      </c>
      <c r="E278" s="4">
        <f>'[6]CWG Complex'!$AG$221</f>
        <v>48.047619047619051</v>
      </c>
      <c r="F278" s="4">
        <f>'[6]Inedible Tallow Complex'!$AG$218</f>
        <v>42.815789473684212</v>
      </c>
      <c r="G278" s="4">
        <f>'[6]Distillers'' Corn Oil Complex'!$AG$203</f>
        <v>47.952380952380949</v>
      </c>
      <c r="H278" s="4">
        <f>[1]Prices!$AB$665</f>
        <v>46.75</v>
      </c>
      <c r="I278" s="4"/>
      <c r="J278" s="4">
        <f>[7]Monthly!$J$144</f>
        <v>79.571428571428569</v>
      </c>
      <c r="K278" s="6">
        <f>'[2]LCFS Credit Price Forecast'!$B$142</f>
        <v>66.6186299081036</v>
      </c>
      <c r="L278" s="5">
        <f>[4]Forecasts!B$64</f>
        <v>394.3</v>
      </c>
      <c r="M278" s="5">
        <f>[4]Forecasts!C$64</f>
        <v>2.27</v>
      </c>
    </row>
    <row r="279" spans="1:18" x14ac:dyDescent="0.2">
      <c r="A279" s="3">
        <v>45739</v>
      </c>
      <c r="B279" s="4">
        <f>'[6]Yellow Grease Complex'!$AG$219</f>
        <v>30.75</v>
      </c>
      <c r="C279" s="4">
        <f>'[6]Used Cooking Oil Complex'!$AG$203</f>
        <v>44.25</v>
      </c>
      <c r="D279" s="4">
        <f>'[6]Poultry Byproduct Complex'!$AG$326</f>
        <v>35.5</v>
      </c>
      <c r="E279" s="4">
        <f>'[6]CWG Complex'!$AG$221</f>
        <v>48.047619047619051</v>
      </c>
      <c r="F279" s="4">
        <f>'[6]Inedible Tallow Complex'!$AG$218</f>
        <v>42.815789473684212</v>
      </c>
      <c r="G279" s="4">
        <f>'[6]Distillers'' Corn Oil Complex'!$AG$203</f>
        <v>47.952380952380949</v>
      </c>
      <c r="H279" s="4">
        <f>[1]Prices!$AB$665</f>
        <v>46.75</v>
      </c>
      <c r="I279" s="4"/>
      <c r="J279" s="4">
        <f>[7]Monthly!$J$144</f>
        <v>79.571428571428569</v>
      </c>
      <c r="K279" s="4">
        <f>'[2]LCFS Credit Price Forecast'!$B$142</f>
        <v>66.6186299081036</v>
      </c>
      <c r="L279" s="5">
        <f>[4]Forecasts!B$64</f>
        <v>394.3</v>
      </c>
      <c r="M279" s="5">
        <f>[4]Forecasts!C$64</f>
        <v>2.27</v>
      </c>
    </row>
    <row r="280" spans="1:18" x14ac:dyDescent="0.2">
      <c r="A280" s="3">
        <v>45746</v>
      </c>
      <c r="B280" s="4">
        <f>'[6]Yellow Grease Complex'!$AG$219</f>
        <v>30.75</v>
      </c>
      <c r="C280" s="4">
        <f>'[6]Used Cooking Oil Complex'!$AG$203</f>
        <v>44.25</v>
      </c>
      <c r="D280" s="4">
        <f>'[6]Poultry Byproduct Complex'!$AG$326</f>
        <v>35.5</v>
      </c>
      <c r="E280" s="4">
        <f>'[6]CWG Complex'!$AG$221</f>
        <v>48.047619047619051</v>
      </c>
      <c r="F280" s="4">
        <f>'[6]Inedible Tallow Complex'!$AG$218</f>
        <v>42.815789473684212</v>
      </c>
      <c r="G280" s="4">
        <f>'[6]Distillers'' Corn Oil Complex'!$AG$203</f>
        <v>47.952380952380949</v>
      </c>
      <c r="H280" s="4">
        <f>[1]Prices!$AB$665</f>
        <v>46.75</v>
      </c>
      <c r="I280" s="4"/>
      <c r="J280" s="4">
        <f>[7]Monthly!$J$144</f>
        <v>79.571428571428569</v>
      </c>
      <c r="K280" s="6">
        <f>'[2]LCFS Credit Price Forecast'!$B$142</f>
        <v>66.6186299081036</v>
      </c>
      <c r="L280" s="5">
        <f>[4]Forecasts!B$64</f>
        <v>394.3</v>
      </c>
      <c r="M280" s="5">
        <f>[4]Forecasts!C$64</f>
        <v>2.27</v>
      </c>
    </row>
    <row r="281" spans="1:18" x14ac:dyDescent="0.2">
      <c r="A281" s="3">
        <v>45753</v>
      </c>
      <c r="B281" s="4">
        <f>'[6]Yellow Grease Complex'!$AG$220</f>
        <v>32.75</v>
      </c>
      <c r="C281" s="4">
        <f>'[6]Used Cooking Oil Complex'!$AG$204</f>
        <v>43.5</v>
      </c>
      <c r="D281" s="4">
        <f>'[6]Poultry Byproduct Complex'!$AG$327</f>
        <v>38</v>
      </c>
      <c r="E281" s="4">
        <f>'[6]CWG Complex'!$AG$222</f>
        <v>48.9</v>
      </c>
      <c r="F281" s="4">
        <f>'[6]Inedible Tallow Complex'!$AG$219</f>
        <v>43.357142857142854</v>
      </c>
      <c r="G281" s="4">
        <f>'[6]Distillers'' Corn Oil Complex'!$AG$204</f>
        <v>52.05</v>
      </c>
      <c r="H281" s="4">
        <f>[1]Prices!$AB$666</f>
        <v>50.5</v>
      </c>
      <c r="I281" s="4"/>
      <c r="J281" s="4">
        <f>[7]Monthly!$J$145</f>
        <v>104.67647058823529</v>
      </c>
      <c r="K281" s="4">
        <f>'[2]LCFS Credit Price Forecast'!$B$143</f>
        <v>57.735294117647058</v>
      </c>
      <c r="L281" s="5">
        <f>[4]Forecasts!B$65</f>
        <v>440</v>
      </c>
      <c r="M281" s="5">
        <f>[4]Forecasts!C$65</f>
        <v>2.2000000000000002</v>
      </c>
    </row>
    <row r="282" spans="1:18" x14ac:dyDescent="0.2">
      <c r="A282" s="3">
        <v>45760</v>
      </c>
      <c r="B282" s="4">
        <f>'[6]Yellow Grease Complex'!$AG$220</f>
        <v>32.75</v>
      </c>
      <c r="C282" s="4">
        <f>'[6]Used Cooking Oil Complex'!$AG$204</f>
        <v>43.5</v>
      </c>
      <c r="D282" s="4">
        <f>'[6]Poultry Byproduct Complex'!$AG$327</f>
        <v>38</v>
      </c>
      <c r="E282" s="4">
        <f>'[6]CWG Complex'!$AG$222</f>
        <v>48.9</v>
      </c>
      <c r="F282" s="4">
        <f>'[6]Inedible Tallow Complex'!$AG$219</f>
        <v>43.357142857142854</v>
      </c>
      <c r="G282" s="4">
        <f>'[6]Distillers'' Corn Oil Complex'!$AG$204</f>
        <v>52.05</v>
      </c>
      <c r="H282" s="4">
        <f>[1]Prices!$AB$666</f>
        <v>50.5</v>
      </c>
      <c r="I282" s="4"/>
      <c r="J282" s="4">
        <f>[7]Monthly!$J$145</f>
        <v>104.67647058823529</v>
      </c>
      <c r="K282" s="6">
        <f>'[2]LCFS Credit Price Forecast'!$B$143</f>
        <v>57.735294117647058</v>
      </c>
      <c r="L282" s="5">
        <f>[4]Forecasts!B$65</f>
        <v>440</v>
      </c>
      <c r="M282" s="5">
        <f>[4]Forecasts!C$65</f>
        <v>2.2000000000000002</v>
      </c>
    </row>
    <row r="283" spans="1:18" x14ac:dyDescent="0.2">
      <c r="A283" s="3">
        <v>45767</v>
      </c>
      <c r="B283" s="4">
        <f>'[6]Yellow Grease Complex'!$AG$220</f>
        <v>32.75</v>
      </c>
      <c r="C283" s="4">
        <f>'[6]Used Cooking Oil Complex'!$AG$204</f>
        <v>43.5</v>
      </c>
      <c r="D283" s="4">
        <f>'[6]Poultry Byproduct Complex'!$AG$327</f>
        <v>38</v>
      </c>
      <c r="E283" s="4">
        <f>'[6]CWG Complex'!$AG$222</f>
        <v>48.9</v>
      </c>
      <c r="F283" s="4">
        <f>'[6]Inedible Tallow Complex'!$AG$219</f>
        <v>43.357142857142854</v>
      </c>
      <c r="G283" s="4">
        <f>'[6]Distillers'' Corn Oil Complex'!$AG$204</f>
        <v>52.05</v>
      </c>
      <c r="H283" s="4">
        <f>[1]Prices!$AB$666</f>
        <v>50.5</v>
      </c>
      <c r="I283" s="4"/>
      <c r="J283" s="4">
        <f>[7]Monthly!$J$145</f>
        <v>104.67647058823529</v>
      </c>
      <c r="K283" s="4">
        <f>'[2]LCFS Credit Price Forecast'!$B$143</f>
        <v>57.735294117647058</v>
      </c>
      <c r="L283" s="5">
        <f>[4]Forecasts!B$65</f>
        <v>440</v>
      </c>
      <c r="M283" s="5">
        <f>[4]Forecasts!C$65</f>
        <v>2.2000000000000002</v>
      </c>
    </row>
    <row r="284" spans="1:18" x14ac:dyDescent="0.2">
      <c r="A284" s="3">
        <v>45774</v>
      </c>
      <c r="B284" s="4">
        <f>'[6]Yellow Grease Complex'!$AG$220</f>
        <v>32.75</v>
      </c>
      <c r="C284" s="4">
        <f>'[6]Used Cooking Oil Complex'!$AG$204</f>
        <v>43.5</v>
      </c>
      <c r="D284" s="4">
        <f>'[6]Poultry Byproduct Complex'!$AG$327</f>
        <v>38</v>
      </c>
      <c r="E284" s="4">
        <f>'[6]CWG Complex'!$AG$222</f>
        <v>48.9</v>
      </c>
      <c r="F284" s="4">
        <f>'[6]Inedible Tallow Complex'!$AG$219</f>
        <v>43.357142857142854</v>
      </c>
      <c r="G284" s="4">
        <f>'[6]Distillers'' Corn Oil Complex'!$AG$204</f>
        <v>52.05</v>
      </c>
      <c r="H284" s="4">
        <f>[1]Prices!$AB$666</f>
        <v>50.5</v>
      </c>
      <c r="I284" s="4"/>
      <c r="J284" s="4">
        <f>[7]Monthly!$J$145</f>
        <v>104.67647058823529</v>
      </c>
      <c r="K284" s="6">
        <f>'[2]LCFS Credit Price Forecast'!$B$143</f>
        <v>57.735294117647058</v>
      </c>
      <c r="L284" s="5">
        <f>[4]Forecasts!B$65</f>
        <v>440</v>
      </c>
      <c r="M284" s="5">
        <f>[4]Forecasts!C$65</f>
        <v>2.2000000000000002</v>
      </c>
      <c r="R284" s="7"/>
    </row>
    <row r="285" spans="1:18" x14ac:dyDescent="0.2">
      <c r="A285" s="3">
        <v>45781</v>
      </c>
      <c r="B285" s="4">
        <f>'[6]Yellow Grease Complex'!$AG$221</f>
        <v>33.25</v>
      </c>
      <c r="C285" s="4">
        <f>'[6]Used Cooking Oil Complex'!$AG$205</f>
        <v>39.25</v>
      </c>
      <c r="D285" s="4">
        <f>'[6]Poultry Byproduct Complex'!$AG$328</f>
        <v>37.75</v>
      </c>
      <c r="E285" s="4">
        <f>'[6]CWG Complex'!$AG$223</f>
        <v>52.75</v>
      </c>
      <c r="F285" s="4">
        <f>'[6]Inedible Tallow Complex'!$AG$220</f>
        <v>46.261904761904759</v>
      </c>
      <c r="G285" s="4">
        <f>'[6]Distillers'' Corn Oil Complex'!$AG$205</f>
        <v>53.5</v>
      </c>
      <c r="H285" s="4">
        <f>[1]Prices!$AB$667</f>
        <v>50.25</v>
      </c>
      <c r="I285" s="4"/>
      <c r="J285" s="4">
        <f>[7]Monthly!$J$146</f>
        <v>114.38026952909382</v>
      </c>
      <c r="K285" s="4">
        <f>'[2]LCFS Credit Price Forecast'!$B$144</f>
        <v>57.735294117647058</v>
      </c>
      <c r="L285" s="5">
        <f>[4]Forecasts!B$66</f>
        <v>443.47000000000008</v>
      </c>
      <c r="M285" s="5">
        <f>[4]Forecasts!C$66</f>
        <v>2.3047</v>
      </c>
      <c r="R285" s="7"/>
    </row>
    <row r="286" spans="1:18" x14ac:dyDescent="0.2">
      <c r="A286" s="3">
        <v>45788</v>
      </c>
      <c r="B286" s="4">
        <f>'[6]Yellow Grease Complex'!$AG$221</f>
        <v>33.25</v>
      </c>
      <c r="C286" s="4">
        <f>'[6]Used Cooking Oil Complex'!$AG$205</f>
        <v>39.25</v>
      </c>
      <c r="D286" s="4">
        <f>'[6]Poultry Byproduct Complex'!$AG$328</f>
        <v>37.75</v>
      </c>
      <c r="E286" s="4">
        <f>'[6]CWG Complex'!$AG$223</f>
        <v>52.75</v>
      </c>
      <c r="F286" s="4">
        <f>'[6]Inedible Tallow Complex'!$AG$220</f>
        <v>46.261904761904759</v>
      </c>
      <c r="G286" s="4">
        <f>'[6]Distillers'' Corn Oil Complex'!$AG$205</f>
        <v>53.5</v>
      </c>
      <c r="H286" s="4">
        <f>[1]Prices!$AB$667</f>
        <v>50.25</v>
      </c>
      <c r="I286" s="4"/>
      <c r="J286" s="4">
        <f>[7]Monthly!$J$146</f>
        <v>114.38026952909382</v>
      </c>
      <c r="K286" s="6">
        <f>'[2]LCFS Credit Price Forecast'!$B$144</f>
        <v>57.735294117647058</v>
      </c>
      <c r="L286" s="5">
        <f>[4]Forecasts!B$66</f>
        <v>443.47000000000008</v>
      </c>
      <c r="M286" s="5">
        <f>[4]Forecasts!C$66</f>
        <v>2.3047</v>
      </c>
    </row>
    <row r="287" spans="1:18" x14ac:dyDescent="0.2">
      <c r="A287" s="3">
        <v>45795</v>
      </c>
      <c r="B287" s="4">
        <f>'[6]Yellow Grease Complex'!$AG$221</f>
        <v>33.25</v>
      </c>
      <c r="C287" s="4">
        <f>'[6]Used Cooking Oil Complex'!$AG$205</f>
        <v>39.25</v>
      </c>
      <c r="D287" s="4">
        <f>'[6]Poultry Byproduct Complex'!$AG$328</f>
        <v>37.75</v>
      </c>
      <c r="E287" s="4">
        <f>'[6]CWG Complex'!$AG$223</f>
        <v>52.75</v>
      </c>
      <c r="F287" s="4">
        <f>'[6]Inedible Tallow Complex'!$AG$220</f>
        <v>46.261904761904759</v>
      </c>
      <c r="G287" s="4">
        <f>'[6]Distillers'' Corn Oil Complex'!$AG$205</f>
        <v>53.5</v>
      </c>
      <c r="H287" s="4">
        <f>[1]Prices!$AB$667</f>
        <v>50.25</v>
      </c>
      <c r="I287" s="4"/>
      <c r="J287" s="4">
        <f>[7]Monthly!$J$146</f>
        <v>114.38026952909382</v>
      </c>
      <c r="K287" s="4">
        <f>'[2]LCFS Credit Price Forecast'!$B$144</f>
        <v>57.735294117647058</v>
      </c>
      <c r="L287" s="5">
        <f>[4]Forecasts!B$66</f>
        <v>443.47000000000008</v>
      </c>
      <c r="M287" s="5">
        <f>[4]Forecasts!C$66</f>
        <v>2.3047</v>
      </c>
    </row>
    <row r="288" spans="1:18" x14ac:dyDescent="0.2">
      <c r="A288" s="3">
        <v>45802</v>
      </c>
      <c r="B288" s="4">
        <f>'[6]Yellow Grease Complex'!$AG$221</f>
        <v>33.25</v>
      </c>
      <c r="C288" s="4">
        <f>'[6]Used Cooking Oil Complex'!$AG$205</f>
        <v>39.25</v>
      </c>
      <c r="D288" s="4">
        <f>'[6]Poultry Byproduct Complex'!$AG$328</f>
        <v>37.75</v>
      </c>
      <c r="E288" s="4">
        <f>'[6]CWG Complex'!$AG$223</f>
        <v>52.75</v>
      </c>
      <c r="F288" s="4">
        <f>'[6]Inedible Tallow Complex'!$AG$220</f>
        <v>46.261904761904759</v>
      </c>
      <c r="G288" s="4">
        <f>'[6]Distillers'' Corn Oil Complex'!$AG$205</f>
        <v>53.5</v>
      </c>
      <c r="H288" s="4">
        <f>[1]Prices!$AB$667</f>
        <v>50.25</v>
      </c>
      <c r="I288" s="4"/>
      <c r="J288" s="4">
        <f>[7]Monthly!$J$146</f>
        <v>114.38026952909382</v>
      </c>
      <c r="K288" s="6">
        <f>'[2]LCFS Credit Price Forecast'!$B$144</f>
        <v>57.735294117647058</v>
      </c>
      <c r="L288" s="5">
        <f>[4]Forecasts!B$66</f>
        <v>443.47000000000008</v>
      </c>
      <c r="M288" s="5">
        <f>[4]Forecasts!C$66</f>
        <v>2.3047</v>
      </c>
    </row>
    <row r="289" spans="1:13" x14ac:dyDescent="0.2">
      <c r="A289" s="3">
        <f t="shared" ref="A289:A332" si="0">A288+7</f>
        <v>45809</v>
      </c>
      <c r="B289" s="4">
        <f>'[6]Yellow Grease Complex'!$AG$222</f>
        <v>34.25</v>
      </c>
      <c r="C289" s="4">
        <f>'[6]Used Cooking Oil Complex'!$AG$206</f>
        <v>42.75</v>
      </c>
      <c r="D289" s="4">
        <f>'[6]Poultry Byproduct Complex'!$AG$329</f>
        <v>39</v>
      </c>
      <c r="E289" s="4">
        <f>'[6]CWG Complex'!$AG$224</f>
        <v>53.5</v>
      </c>
      <c r="F289" s="4">
        <f>'[6]Inedible Tallow Complex'!$AG$221</f>
        <v>51.94736842105263</v>
      </c>
      <c r="G289" s="4">
        <f>'[6]Distillers'' Corn Oil Complex'!$AG$206</f>
        <v>53.25</v>
      </c>
      <c r="H289" s="4">
        <f>[1]Prices!$AB$668</f>
        <v>51</v>
      </c>
      <c r="I289" s="4"/>
      <c r="J289" s="4">
        <f>[7]Monthly!$J$147</f>
        <v>117.88682720545509</v>
      </c>
      <c r="K289" s="4">
        <f>'[2]LCFS Credit Price Forecast'!$B$145</f>
        <v>57.735294117647058</v>
      </c>
      <c r="L289" s="5">
        <f>[4]Forecasts!B$67</f>
        <v>451.37000000000018</v>
      </c>
      <c r="M289" s="5">
        <f>[4]Forecasts!C$67</f>
        <v>2.3437000000000001</v>
      </c>
    </row>
    <row r="290" spans="1:13" x14ac:dyDescent="0.2">
      <c r="A290" s="3">
        <f t="shared" si="0"/>
        <v>45816</v>
      </c>
      <c r="B290" s="4">
        <f>'[6]Yellow Grease Complex'!$AG$222</f>
        <v>34.25</v>
      </c>
      <c r="C290" s="4">
        <f>'[6]Used Cooking Oil Complex'!$AG$206</f>
        <v>42.75</v>
      </c>
      <c r="D290" s="4">
        <f>'[6]Poultry Byproduct Complex'!$AG$329</f>
        <v>39</v>
      </c>
      <c r="E290" s="4">
        <f>'[6]CWG Complex'!$AG$224</f>
        <v>53.5</v>
      </c>
      <c r="F290" s="4">
        <f>'[6]Inedible Tallow Complex'!$AG$221</f>
        <v>51.94736842105263</v>
      </c>
      <c r="G290" s="4">
        <f>'[6]Distillers'' Corn Oil Complex'!$AG$206</f>
        <v>53.25</v>
      </c>
      <c r="H290" s="4">
        <f>[1]Prices!$AB$668</f>
        <v>51</v>
      </c>
      <c r="I290" s="4"/>
      <c r="J290" s="4">
        <f>[7]Monthly!$J$147</f>
        <v>117.88682720545509</v>
      </c>
      <c r="K290" s="4">
        <f>'[2]LCFS Credit Price Forecast'!$B$145</f>
        <v>57.735294117647058</v>
      </c>
      <c r="L290" s="5">
        <f>[4]Forecasts!B$67</f>
        <v>451.37000000000018</v>
      </c>
      <c r="M290" s="5">
        <f>[4]Forecasts!C$67</f>
        <v>2.3437000000000001</v>
      </c>
    </row>
    <row r="291" spans="1:13" x14ac:dyDescent="0.2">
      <c r="A291" s="3">
        <f t="shared" si="0"/>
        <v>45823</v>
      </c>
      <c r="B291" s="4">
        <f>'[6]Yellow Grease Complex'!$AG$222</f>
        <v>34.25</v>
      </c>
      <c r="C291" s="4">
        <f>'[6]Used Cooking Oil Complex'!$AG$206</f>
        <v>42.75</v>
      </c>
      <c r="D291" s="4">
        <f>'[6]Poultry Byproduct Complex'!$AG$329</f>
        <v>39</v>
      </c>
      <c r="E291" s="4">
        <f>'[6]CWG Complex'!$AG$224</f>
        <v>53.5</v>
      </c>
      <c r="F291" s="4">
        <f>'[6]Inedible Tallow Complex'!$AG$221</f>
        <v>51.94736842105263</v>
      </c>
      <c r="G291" s="4">
        <f>'[6]Distillers'' Corn Oil Complex'!$AG$206</f>
        <v>53.25</v>
      </c>
      <c r="H291" s="4">
        <f>[1]Prices!$AB$668</f>
        <v>51</v>
      </c>
      <c r="I291" s="4"/>
      <c r="J291" s="4">
        <f>[7]Monthly!$J$147</f>
        <v>117.88682720545509</v>
      </c>
      <c r="K291" s="4">
        <f>'[2]LCFS Credit Price Forecast'!$B$145</f>
        <v>57.735294117647058</v>
      </c>
      <c r="L291" s="5">
        <f>[4]Forecasts!B$67</f>
        <v>451.37000000000018</v>
      </c>
      <c r="M291" s="5">
        <f>[4]Forecasts!C$67</f>
        <v>2.3437000000000001</v>
      </c>
    </row>
    <row r="292" spans="1:13" x14ac:dyDescent="0.2">
      <c r="A292" s="3">
        <f t="shared" si="0"/>
        <v>45830</v>
      </c>
      <c r="B292" s="4">
        <f>'[6]Yellow Grease Complex'!$AG$222</f>
        <v>34.25</v>
      </c>
      <c r="C292" s="4">
        <f>'[6]Used Cooking Oil Complex'!$AG$206</f>
        <v>42.75</v>
      </c>
      <c r="D292" s="4">
        <f>'[6]Poultry Byproduct Complex'!$AG$329</f>
        <v>39</v>
      </c>
      <c r="E292" s="4">
        <f>'[6]CWG Complex'!$AG$224</f>
        <v>53.5</v>
      </c>
      <c r="F292" s="4">
        <f>'[6]Inedible Tallow Complex'!$AG$221</f>
        <v>51.94736842105263</v>
      </c>
      <c r="G292" s="4">
        <f>'[6]Distillers'' Corn Oil Complex'!$AG$206</f>
        <v>53.25</v>
      </c>
      <c r="H292" s="4">
        <f>[1]Prices!$AB$668</f>
        <v>51</v>
      </c>
      <c r="I292" s="4"/>
      <c r="J292" s="4">
        <f>[7]Monthly!$J$147</f>
        <v>117.88682720545509</v>
      </c>
      <c r="K292" s="4">
        <f>'[2]LCFS Credit Price Forecast'!$B$145</f>
        <v>57.735294117647058</v>
      </c>
      <c r="L292" s="5">
        <f>[4]Forecasts!B$67</f>
        <v>451.37000000000018</v>
      </c>
      <c r="M292" s="5">
        <f>[4]Forecasts!C$67</f>
        <v>2.3437000000000001</v>
      </c>
    </row>
    <row r="293" spans="1:13" x14ac:dyDescent="0.2">
      <c r="A293" s="3">
        <f t="shared" si="0"/>
        <v>45837</v>
      </c>
      <c r="B293" s="4">
        <f>'[6]Yellow Grease Complex'!$AG$222</f>
        <v>34.25</v>
      </c>
      <c r="C293" s="4">
        <f>'[6]Used Cooking Oil Complex'!$AG$206</f>
        <v>42.75</v>
      </c>
      <c r="D293" s="4">
        <f>'[6]Poultry Byproduct Complex'!$AG$329</f>
        <v>39</v>
      </c>
      <c r="E293" s="4">
        <f>'[6]CWG Complex'!$AG$224</f>
        <v>53.5</v>
      </c>
      <c r="F293" s="4">
        <f>'[6]Inedible Tallow Complex'!$AG$221</f>
        <v>51.94736842105263</v>
      </c>
      <c r="G293" s="4">
        <f>'[6]Distillers'' Corn Oil Complex'!$AG$206</f>
        <v>53.25</v>
      </c>
      <c r="H293" s="4">
        <f>[1]Prices!$AB$668</f>
        <v>51</v>
      </c>
      <c r="I293" s="4"/>
      <c r="J293" s="4">
        <f>[7]Monthly!$J$147</f>
        <v>117.88682720545509</v>
      </c>
      <c r="K293" s="4">
        <f>'[2]LCFS Credit Price Forecast'!$B$145</f>
        <v>57.735294117647058</v>
      </c>
      <c r="L293" s="5">
        <f>[4]Forecasts!B$67</f>
        <v>451.37000000000018</v>
      </c>
      <c r="M293" s="5">
        <f>[4]Forecasts!C$67</f>
        <v>2.3437000000000001</v>
      </c>
    </row>
    <row r="294" spans="1:13" x14ac:dyDescent="0.2">
      <c r="A294" s="3">
        <f t="shared" si="0"/>
        <v>45844</v>
      </c>
      <c r="B294" s="4">
        <f>'[6]Yellow Grease Complex'!$AG$223</f>
        <v>34.5</v>
      </c>
      <c r="C294" s="4">
        <f>'[6]Used Cooking Oil Complex'!$AG$207</f>
        <v>40.75</v>
      </c>
      <c r="D294" s="4">
        <f>'[6]Poultry Byproduct Complex'!$AG$330</f>
        <v>38.5</v>
      </c>
      <c r="E294" s="4">
        <f>'[6]CWG Complex'!$AG$225</f>
        <v>53.5</v>
      </c>
      <c r="F294" s="4">
        <f>'[6]Inedible Tallow Complex'!$AG$222</f>
        <v>49.452380952380949</v>
      </c>
      <c r="G294" s="4">
        <f>'[6]Distillers'' Corn Oil Complex'!$AG$207</f>
        <v>53.5</v>
      </c>
      <c r="H294" s="4">
        <f>[1]Prices!$AB$669</f>
        <v>52.25</v>
      </c>
      <c r="I294" s="4"/>
      <c r="J294" s="4">
        <f>[7]Monthly!$J$148</f>
        <v>120.86345009798404</v>
      </c>
      <c r="K294" s="4">
        <f>'[2]LCFS Credit Price Forecast'!$B$146</f>
        <v>55.860693450930654</v>
      </c>
      <c r="L294" s="5">
        <f>[4]Forecasts!B$68</f>
        <v>446.2200000000002</v>
      </c>
      <c r="M294" s="5">
        <f>[4]Forecasts!C$68</f>
        <v>2.4321999999999999</v>
      </c>
    </row>
    <row r="295" spans="1:13" x14ac:dyDescent="0.2">
      <c r="A295" s="3">
        <f t="shared" si="0"/>
        <v>45851</v>
      </c>
      <c r="B295" s="4">
        <f>'[6]Yellow Grease Complex'!$AG$223</f>
        <v>34.5</v>
      </c>
      <c r="C295" s="4">
        <f>'[6]Used Cooking Oil Complex'!$AG$207</f>
        <v>40.75</v>
      </c>
      <c r="D295" s="4">
        <f>'[6]Poultry Byproduct Complex'!$AG$330</f>
        <v>38.5</v>
      </c>
      <c r="E295" s="4">
        <f>'[6]CWG Complex'!$AG$225</f>
        <v>53.5</v>
      </c>
      <c r="F295" s="4">
        <f>'[6]Inedible Tallow Complex'!$AG$222</f>
        <v>49.452380952380949</v>
      </c>
      <c r="G295" s="4">
        <f>'[6]Distillers'' Corn Oil Complex'!$AG$207</f>
        <v>53.5</v>
      </c>
      <c r="H295" s="4">
        <f>[1]Prices!$AB$669</f>
        <v>52.25</v>
      </c>
      <c r="I295" s="4"/>
      <c r="J295" s="4">
        <f>[7]Monthly!$J$148</f>
        <v>120.86345009798404</v>
      </c>
      <c r="K295" s="4">
        <f>'[2]LCFS Credit Price Forecast'!$B$146</f>
        <v>55.860693450930654</v>
      </c>
      <c r="L295" s="5">
        <f>[4]Forecasts!B$68</f>
        <v>446.2200000000002</v>
      </c>
      <c r="M295" s="5">
        <f>[4]Forecasts!C$68</f>
        <v>2.4321999999999999</v>
      </c>
    </row>
    <row r="296" spans="1:13" x14ac:dyDescent="0.2">
      <c r="A296" s="3">
        <f t="shared" si="0"/>
        <v>45858</v>
      </c>
      <c r="B296" s="4">
        <f>'[6]Yellow Grease Complex'!$AG$223</f>
        <v>34.5</v>
      </c>
      <c r="C296" s="4">
        <f>'[6]Used Cooking Oil Complex'!$AG$207</f>
        <v>40.75</v>
      </c>
      <c r="D296" s="4">
        <f>'[6]Poultry Byproduct Complex'!$AG$330</f>
        <v>38.5</v>
      </c>
      <c r="E296" s="4">
        <f>'[6]CWG Complex'!$AG$225</f>
        <v>53.5</v>
      </c>
      <c r="F296" s="4">
        <f>'[6]Inedible Tallow Complex'!$AG$222</f>
        <v>49.452380952380949</v>
      </c>
      <c r="G296" s="4">
        <f>'[6]Distillers'' Corn Oil Complex'!$AG$207</f>
        <v>53.5</v>
      </c>
      <c r="H296" s="4">
        <f>[1]Prices!$AB$669</f>
        <v>52.25</v>
      </c>
      <c r="I296" s="4"/>
      <c r="J296" s="4">
        <f>[7]Monthly!$J$148</f>
        <v>120.86345009798404</v>
      </c>
      <c r="K296" s="4">
        <f>'[2]LCFS Credit Price Forecast'!$B$146</f>
        <v>55.860693450930654</v>
      </c>
      <c r="L296" s="5">
        <f>[4]Forecasts!B$68</f>
        <v>446.2200000000002</v>
      </c>
      <c r="M296" s="5">
        <f>[4]Forecasts!C$68</f>
        <v>2.4321999999999999</v>
      </c>
    </row>
    <row r="297" spans="1:13" x14ac:dyDescent="0.2">
      <c r="A297" s="3">
        <f t="shared" si="0"/>
        <v>45865</v>
      </c>
      <c r="B297" s="4">
        <f>'[6]Yellow Grease Complex'!$AG$223</f>
        <v>34.5</v>
      </c>
      <c r="C297" s="4">
        <f>'[6]Used Cooking Oil Complex'!$AG$207</f>
        <v>40.75</v>
      </c>
      <c r="D297" s="4">
        <f>'[6]Poultry Byproduct Complex'!$AG$330</f>
        <v>38.5</v>
      </c>
      <c r="E297" s="4">
        <f>'[6]CWG Complex'!$AG$225</f>
        <v>53.5</v>
      </c>
      <c r="F297" s="4">
        <f>'[6]Inedible Tallow Complex'!$AG$222</f>
        <v>49.452380952380949</v>
      </c>
      <c r="G297" s="4">
        <f>'[6]Distillers'' Corn Oil Complex'!$AG$207</f>
        <v>53.5</v>
      </c>
      <c r="H297" s="4">
        <f>[1]Prices!$AB$669</f>
        <v>52.25</v>
      </c>
      <c r="I297" s="4"/>
      <c r="J297" s="4">
        <f>[7]Monthly!$J$148</f>
        <v>120.86345009798404</v>
      </c>
      <c r="K297" s="4">
        <f>'[2]LCFS Credit Price Forecast'!$B$146</f>
        <v>55.860693450930654</v>
      </c>
      <c r="L297" s="5">
        <f>[4]Forecasts!B$68</f>
        <v>446.2200000000002</v>
      </c>
      <c r="M297" s="5">
        <f>[4]Forecasts!C$68</f>
        <v>2.4321999999999999</v>
      </c>
    </row>
    <row r="298" spans="1:13" x14ac:dyDescent="0.2">
      <c r="A298" s="3">
        <f t="shared" si="0"/>
        <v>45872</v>
      </c>
      <c r="B298" s="4">
        <f>'[6]Yellow Grease Complex'!$AG$224</f>
        <v>35.25</v>
      </c>
      <c r="C298" s="4">
        <f>'[6]Used Cooking Oil Complex'!$AG$208</f>
        <v>40.25</v>
      </c>
      <c r="D298" s="4">
        <f>'[6]Poultry Byproduct Complex'!$AG$331</f>
        <v>37.75</v>
      </c>
      <c r="E298" s="4">
        <f>'[6]CWG Complex'!$AG$226</f>
        <v>51</v>
      </c>
      <c r="F298" s="4">
        <f>'[6]Inedible Tallow Complex'!$AG$223</f>
        <v>51.4</v>
      </c>
      <c r="G298" s="4">
        <f>'[6]Distillers'' Corn Oil Complex'!$AG$208</f>
        <v>52.5</v>
      </c>
      <c r="H298" s="4">
        <f>[1]Prices!$AB$670</f>
        <v>51</v>
      </c>
      <c r="I298" s="4"/>
      <c r="J298" s="4">
        <f>[7]Monthly!$J$149</f>
        <v>112.60513399978076</v>
      </c>
      <c r="K298" s="4">
        <f>'[2]LCFS Credit Price Forecast'!$B$147</f>
        <v>55.860693450930654</v>
      </c>
      <c r="L298" s="5">
        <f>[4]Forecasts!B$69</f>
        <v>441.88000000000017</v>
      </c>
      <c r="M298" s="5">
        <f>[4]Forecasts!C$69</f>
        <v>2.3988</v>
      </c>
    </row>
    <row r="299" spans="1:13" x14ac:dyDescent="0.2">
      <c r="A299" s="3">
        <f t="shared" si="0"/>
        <v>45879</v>
      </c>
      <c r="B299" s="4">
        <f>'[6]Yellow Grease Complex'!$AG$224</f>
        <v>35.25</v>
      </c>
      <c r="C299" s="4">
        <f>'[6]Used Cooking Oil Complex'!$AG$208</f>
        <v>40.25</v>
      </c>
      <c r="D299" s="4">
        <f>'[6]Poultry Byproduct Complex'!$AG$331</f>
        <v>37.75</v>
      </c>
      <c r="E299" s="4">
        <f>'[6]CWG Complex'!$AG$226</f>
        <v>51</v>
      </c>
      <c r="F299" s="4">
        <f>'[6]Inedible Tallow Complex'!$AG$223</f>
        <v>51.4</v>
      </c>
      <c r="G299" s="4">
        <f>'[6]Distillers'' Corn Oil Complex'!$AG$208</f>
        <v>52.5</v>
      </c>
      <c r="H299" s="4">
        <f>[1]Prices!$AB$670</f>
        <v>51</v>
      </c>
      <c r="I299" s="4"/>
      <c r="J299" s="4">
        <f>[7]Monthly!$J$149</f>
        <v>112.60513399978076</v>
      </c>
      <c r="K299" s="4">
        <f>'[2]LCFS Credit Price Forecast'!$B$147</f>
        <v>55.860693450930654</v>
      </c>
      <c r="L299" s="5">
        <f>[4]Forecasts!B$69</f>
        <v>441.88000000000017</v>
      </c>
      <c r="M299" s="5">
        <f>[4]Forecasts!C$69</f>
        <v>2.3988</v>
      </c>
    </row>
    <row r="300" spans="1:13" x14ac:dyDescent="0.2">
      <c r="A300" s="3">
        <f t="shared" si="0"/>
        <v>45886</v>
      </c>
      <c r="B300" s="4">
        <f>'[6]Yellow Grease Complex'!$AG$224</f>
        <v>35.25</v>
      </c>
      <c r="C300" s="4">
        <f>'[6]Used Cooking Oil Complex'!$AG$208</f>
        <v>40.25</v>
      </c>
      <c r="D300" s="4">
        <f>'[6]Poultry Byproduct Complex'!$AG$331</f>
        <v>37.75</v>
      </c>
      <c r="E300" s="4">
        <f>'[6]CWG Complex'!$AG$226</f>
        <v>51</v>
      </c>
      <c r="F300" s="4">
        <f>'[6]Inedible Tallow Complex'!$AG$223</f>
        <v>51.4</v>
      </c>
      <c r="G300" s="4">
        <f>'[6]Distillers'' Corn Oil Complex'!$AG$208</f>
        <v>52.5</v>
      </c>
      <c r="H300" s="4">
        <f>[1]Prices!$AB$670</f>
        <v>51</v>
      </c>
      <c r="I300" s="4"/>
      <c r="J300" s="4">
        <f>[7]Monthly!$J$149</f>
        <v>112.60513399978076</v>
      </c>
      <c r="K300" s="4">
        <f>'[2]LCFS Credit Price Forecast'!$B$147</f>
        <v>55.860693450930654</v>
      </c>
      <c r="L300" s="5">
        <f>[4]Forecasts!B$69</f>
        <v>441.88000000000017</v>
      </c>
      <c r="M300" s="5">
        <f>[4]Forecasts!C$69</f>
        <v>2.3988</v>
      </c>
    </row>
    <row r="301" spans="1:13" x14ac:dyDescent="0.2">
      <c r="A301" s="3">
        <f t="shared" si="0"/>
        <v>45893</v>
      </c>
      <c r="B301" s="4">
        <f>'[6]Yellow Grease Complex'!$AG$224</f>
        <v>35.25</v>
      </c>
      <c r="C301" s="4">
        <f>'[6]Used Cooking Oil Complex'!$AG$208</f>
        <v>40.25</v>
      </c>
      <c r="D301" s="4">
        <f>'[6]Poultry Byproduct Complex'!$AG$331</f>
        <v>37.75</v>
      </c>
      <c r="E301" s="4">
        <f>'[6]CWG Complex'!$AG$226</f>
        <v>51</v>
      </c>
      <c r="F301" s="4">
        <f>'[6]Inedible Tallow Complex'!$AG$223</f>
        <v>51.4</v>
      </c>
      <c r="G301" s="4">
        <f>'[6]Distillers'' Corn Oil Complex'!$AG$208</f>
        <v>52.5</v>
      </c>
      <c r="H301" s="4">
        <f>[1]Prices!$AB$670</f>
        <v>51</v>
      </c>
      <c r="I301" s="4"/>
      <c r="J301" s="4">
        <f>[7]Monthly!$J$149</f>
        <v>112.60513399978076</v>
      </c>
      <c r="K301" s="4">
        <f>'[2]LCFS Credit Price Forecast'!$B$147</f>
        <v>55.860693450930654</v>
      </c>
      <c r="L301" s="5">
        <f>[4]Forecasts!B$69</f>
        <v>441.88000000000017</v>
      </c>
      <c r="M301" s="5">
        <f>[4]Forecasts!C$69</f>
        <v>2.3988</v>
      </c>
    </row>
    <row r="302" spans="1:13" x14ac:dyDescent="0.2">
      <c r="A302" s="3">
        <f t="shared" si="0"/>
        <v>45900</v>
      </c>
      <c r="B302" s="4">
        <f>'[6]Yellow Grease Complex'!$AG$224</f>
        <v>35.25</v>
      </c>
      <c r="C302" s="4">
        <f>'[6]Used Cooking Oil Complex'!$AG$208</f>
        <v>40.25</v>
      </c>
      <c r="D302" s="4">
        <f>'[6]Poultry Byproduct Complex'!$AG$331</f>
        <v>37.75</v>
      </c>
      <c r="E302" s="4">
        <f>'[6]CWG Complex'!$AG$226</f>
        <v>51</v>
      </c>
      <c r="F302" s="4">
        <f>'[6]Inedible Tallow Complex'!$AG$223</f>
        <v>51.4</v>
      </c>
      <c r="G302" s="4">
        <f>'[6]Distillers'' Corn Oil Complex'!$AG$208</f>
        <v>52.5</v>
      </c>
      <c r="H302" s="4">
        <f>[1]Prices!$AB$670</f>
        <v>51</v>
      </c>
      <c r="I302" s="4"/>
      <c r="J302" s="4">
        <f>[7]Monthly!$J$149</f>
        <v>112.60513399978076</v>
      </c>
      <c r="K302" s="4">
        <f>'[2]LCFS Credit Price Forecast'!$B$147</f>
        <v>55.860693450930654</v>
      </c>
      <c r="L302" s="5">
        <f>[4]Forecasts!B$69</f>
        <v>441.88000000000017</v>
      </c>
      <c r="M302" s="5">
        <f>[4]Forecasts!C$69</f>
        <v>2.3988</v>
      </c>
    </row>
    <row r="303" spans="1:13" x14ac:dyDescent="0.2">
      <c r="A303" s="3">
        <f t="shared" si="0"/>
        <v>45907</v>
      </c>
      <c r="B303" s="4">
        <f>'[6]Yellow Grease Complex'!$AG$225</f>
        <v>36.5</v>
      </c>
      <c r="C303" s="4">
        <f>'[6]Used Cooking Oil Complex'!$AG$209</f>
        <v>40.75</v>
      </c>
      <c r="D303" s="4">
        <f>'[6]Poultry Byproduct Complex'!$AG$332</f>
        <v>37</v>
      </c>
      <c r="E303" s="4">
        <f>'[6]CWG Complex'!$AG$227</f>
        <v>46.5</v>
      </c>
      <c r="F303" s="4">
        <f>'[6]Inedible Tallow Complex'!$AG$224</f>
        <v>62</v>
      </c>
      <c r="G303" s="4">
        <f>'[6]Distillers'' Corn Oil Complex'!$AG$209</f>
        <v>47.25</v>
      </c>
      <c r="H303" s="4">
        <f>[1]Prices!$AB$671</f>
        <v>50</v>
      </c>
      <c r="I303" s="4"/>
      <c r="J303" s="4">
        <f>[7]Monthly!$J$150</f>
        <v>106.4272109787392</v>
      </c>
      <c r="K303" s="4">
        <f>'[2]LCFS Credit Price Forecast'!$B$148</f>
        <v>55.860693450930654</v>
      </c>
      <c r="L303" s="5">
        <f>[4]Forecasts!B$70</f>
        <v>432.65000000000015</v>
      </c>
      <c r="M303" s="5">
        <f>[4]Forecasts!C$70</f>
        <v>2.3765000000000001</v>
      </c>
    </row>
    <row r="304" spans="1:13" x14ac:dyDescent="0.2">
      <c r="A304" s="3">
        <f t="shared" si="0"/>
        <v>45914</v>
      </c>
      <c r="B304" s="4">
        <f>'[6]Yellow Grease Complex'!$AG$225</f>
        <v>36.5</v>
      </c>
      <c r="C304" s="4">
        <f>'[6]Used Cooking Oil Complex'!$AG$209</f>
        <v>40.75</v>
      </c>
      <c r="D304" s="4">
        <f>'[6]Poultry Byproduct Complex'!$AG$332</f>
        <v>37</v>
      </c>
      <c r="E304" s="4">
        <f>'[6]CWG Complex'!$AG$227</f>
        <v>46.5</v>
      </c>
      <c r="F304" s="4">
        <f>'[6]Inedible Tallow Complex'!$AG$224</f>
        <v>62</v>
      </c>
      <c r="G304" s="4">
        <f>'[6]Distillers'' Corn Oil Complex'!$AG$209</f>
        <v>47.25</v>
      </c>
      <c r="H304" s="4">
        <f>[1]Prices!$AB$671</f>
        <v>50</v>
      </c>
      <c r="I304" s="4"/>
      <c r="J304" s="4">
        <f>[7]Monthly!$J$150</f>
        <v>106.4272109787392</v>
      </c>
      <c r="K304" s="4">
        <f>'[2]LCFS Credit Price Forecast'!$B$148</f>
        <v>55.860693450930654</v>
      </c>
      <c r="L304" s="5">
        <f>[4]Forecasts!B$70</f>
        <v>432.65000000000015</v>
      </c>
      <c r="M304" s="5">
        <f>[4]Forecasts!C$70</f>
        <v>2.3765000000000001</v>
      </c>
    </row>
    <row r="305" spans="1:13" x14ac:dyDescent="0.2">
      <c r="A305" s="3">
        <f t="shared" si="0"/>
        <v>45921</v>
      </c>
      <c r="B305" s="4">
        <f>'[6]Yellow Grease Complex'!$AG$225</f>
        <v>36.5</v>
      </c>
      <c r="C305" s="4">
        <f>'[6]Used Cooking Oil Complex'!$AG$209</f>
        <v>40.75</v>
      </c>
      <c r="D305" s="4">
        <f>'[6]Poultry Byproduct Complex'!$AG$332</f>
        <v>37</v>
      </c>
      <c r="E305" s="4">
        <f>'[6]CWG Complex'!$AG$227</f>
        <v>46.5</v>
      </c>
      <c r="F305" s="4">
        <f>'[6]Inedible Tallow Complex'!$AG$224</f>
        <v>62</v>
      </c>
      <c r="G305" s="4">
        <f>'[6]Distillers'' Corn Oil Complex'!$AG$209</f>
        <v>47.25</v>
      </c>
      <c r="H305" s="4">
        <f>[1]Prices!$AB$671</f>
        <v>50</v>
      </c>
      <c r="I305" s="4"/>
      <c r="J305" s="4">
        <f>[7]Monthly!$J$150</f>
        <v>106.4272109787392</v>
      </c>
      <c r="K305" s="4">
        <f>'[2]LCFS Credit Price Forecast'!$B$148</f>
        <v>55.860693450930654</v>
      </c>
      <c r="L305" s="5">
        <f>[4]Forecasts!B$70</f>
        <v>432.65000000000015</v>
      </c>
      <c r="M305" s="5">
        <f>[4]Forecasts!C$70</f>
        <v>2.3765000000000001</v>
      </c>
    </row>
    <row r="306" spans="1:13" x14ac:dyDescent="0.2">
      <c r="A306" s="3">
        <f t="shared" si="0"/>
        <v>45928</v>
      </c>
      <c r="B306" s="4">
        <f>'[6]Yellow Grease Complex'!$AG$225</f>
        <v>36.5</v>
      </c>
      <c r="C306" s="4">
        <f>'[6]Used Cooking Oil Complex'!$AG$209</f>
        <v>40.75</v>
      </c>
      <c r="D306" s="4">
        <f>'[6]Poultry Byproduct Complex'!$AG$332</f>
        <v>37</v>
      </c>
      <c r="E306" s="4">
        <f>'[6]CWG Complex'!$AG$227</f>
        <v>46.5</v>
      </c>
      <c r="F306" s="4">
        <f>'[6]Inedible Tallow Complex'!$AG$224</f>
        <v>62</v>
      </c>
      <c r="G306" s="4">
        <f>'[6]Distillers'' Corn Oil Complex'!$AG$209</f>
        <v>47.25</v>
      </c>
      <c r="H306" s="4">
        <f>[1]Prices!$AB$671</f>
        <v>50</v>
      </c>
      <c r="I306" s="4"/>
      <c r="J306" s="4">
        <f>[7]Monthly!$J$150</f>
        <v>106.4272109787392</v>
      </c>
      <c r="K306" s="4">
        <f>'[2]LCFS Credit Price Forecast'!$B$148</f>
        <v>55.860693450930654</v>
      </c>
      <c r="L306" s="5">
        <f>[4]Forecasts!B$70</f>
        <v>432.65000000000015</v>
      </c>
      <c r="M306" s="5">
        <f>[4]Forecasts!C$70</f>
        <v>2.3765000000000001</v>
      </c>
    </row>
    <row r="307" spans="1:13" x14ac:dyDescent="0.2">
      <c r="A307" s="3">
        <f t="shared" si="0"/>
        <v>45935</v>
      </c>
      <c r="B307" s="4">
        <f>'[6]Yellow Grease Complex'!$AH$214</f>
        <v>32</v>
      </c>
      <c r="C307" s="4">
        <f>'[6]Used Cooking Oil Complex'!$AH$198</f>
        <v>51.25</v>
      </c>
      <c r="D307" s="4">
        <f>'[6]Poultry Byproduct Complex'!$AH$321</f>
        <v>35.25</v>
      </c>
      <c r="E307" s="4">
        <f>'[6]CWG Complex'!$AH$216</f>
        <v>46.5</v>
      </c>
      <c r="F307" s="4">
        <f>'[6]Inedible Tallow Complex'!$AH$213</f>
        <v>49.75</v>
      </c>
      <c r="G307" s="4">
        <f>'[6]Distillers'' Corn Oil Complex'!$AH$198</f>
        <v>43.25</v>
      </c>
      <c r="H307" s="4">
        <f>'[6]Soy Complex'!$BO$514</f>
        <v>43.5</v>
      </c>
      <c r="I307" s="4"/>
      <c r="J307" s="4">
        <f>[7]Monthly!$J$151</f>
        <v>103.87252960705854</v>
      </c>
      <c r="K307" s="4">
        <f>'[2]LCFS Credit Price Forecast'!$B$149</f>
        <v>53.495231635143625</v>
      </c>
      <c r="L307" s="5">
        <f>[4]Forecasts!B$71</f>
        <v>423.02000000000015</v>
      </c>
      <c r="M307" s="5">
        <f>[4]Forecasts!C$71</f>
        <v>2.3502000000000001</v>
      </c>
    </row>
    <row r="308" spans="1:13" x14ac:dyDescent="0.2">
      <c r="A308" s="3">
        <f t="shared" si="0"/>
        <v>45942</v>
      </c>
      <c r="B308" s="4">
        <f>'[6]Yellow Grease Complex'!$AH$214</f>
        <v>32</v>
      </c>
      <c r="C308" s="4">
        <f>'[6]Used Cooking Oil Complex'!$AH$198</f>
        <v>51.25</v>
      </c>
      <c r="D308" s="4">
        <f>'[6]Poultry Byproduct Complex'!$AH$321</f>
        <v>35.25</v>
      </c>
      <c r="E308" s="4">
        <f>'[6]CWG Complex'!$AH$216</f>
        <v>46.5</v>
      </c>
      <c r="F308" s="4">
        <f>'[6]Inedible Tallow Complex'!$AH$213</f>
        <v>49.75</v>
      </c>
      <c r="G308" s="4">
        <f>'[6]Distillers'' Corn Oil Complex'!$AH$198</f>
        <v>43.25</v>
      </c>
      <c r="H308" s="4">
        <f>'[6]Soy Complex'!$BO$514</f>
        <v>43.5</v>
      </c>
      <c r="I308" s="4"/>
      <c r="J308" s="4">
        <f>[7]Monthly!$J$151</f>
        <v>103.87252960705854</v>
      </c>
      <c r="K308" s="4">
        <f>'[2]LCFS Credit Price Forecast'!$B$149</f>
        <v>53.495231635143625</v>
      </c>
      <c r="L308" s="5">
        <f>[4]Forecasts!B$71</f>
        <v>423.02000000000015</v>
      </c>
      <c r="M308" s="5">
        <f>[4]Forecasts!C$71</f>
        <v>2.3502000000000001</v>
      </c>
    </row>
    <row r="309" spans="1:13" x14ac:dyDescent="0.2">
      <c r="A309" s="3">
        <f t="shared" si="0"/>
        <v>45949</v>
      </c>
      <c r="B309" s="4">
        <f>'[6]Yellow Grease Complex'!$AH$214</f>
        <v>32</v>
      </c>
      <c r="C309" s="4">
        <f>'[6]Used Cooking Oil Complex'!$AH$198</f>
        <v>51.25</v>
      </c>
      <c r="D309" s="4">
        <f>'[6]Poultry Byproduct Complex'!$AH$321</f>
        <v>35.25</v>
      </c>
      <c r="E309" s="4">
        <f>'[6]CWG Complex'!$AH$216</f>
        <v>46.5</v>
      </c>
      <c r="F309" s="4">
        <f>'[6]Inedible Tallow Complex'!$AH$213</f>
        <v>49.75</v>
      </c>
      <c r="G309" s="4">
        <f>'[6]Distillers'' Corn Oil Complex'!$AH$198</f>
        <v>43.25</v>
      </c>
      <c r="H309" s="4">
        <f>'[6]Soy Complex'!$BO$514</f>
        <v>43.5</v>
      </c>
      <c r="I309" s="4"/>
      <c r="J309" s="4">
        <f>[7]Monthly!$J$151</f>
        <v>103.87252960705854</v>
      </c>
      <c r="K309" s="4">
        <f>'[2]LCFS Credit Price Forecast'!$B$149</f>
        <v>53.495231635143625</v>
      </c>
      <c r="L309" s="5">
        <f>[4]Forecasts!B$71</f>
        <v>423.02000000000015</v>
      </c>
      <c r="M309" s="5">
        <f>[4]Forecasts!C$71</f>
        <v>2.3502000000000001</v>
      </c>
    </row>
    <row r="310" spans="1:13" x14ac:dyDescent="0.2">
      <c r="A310" s="3">
        <f t="shared" si="0"/>
        <v>45956</v>
      </c>
      <c r="B310" s="4">
        <f>'[6]Yellow Grease Complex'!$AH$214</f>
        <v>32</v>
      </c>
      <c r="C310" s="4">
        <f>'[6]Used Cooking Oil Complex'!$AH$198</f>
        <v>51.25</v>
      </c>
      <c r="D310" s="4">
        <f>'[6]Poultry Byproduct Complex'!$AH$321</f>
        <v>35.25</v>
      </c>
      <c r="E310" s="4">
        <f>'[6]CWG Complex'!$AH$216</f>
        <v>46.5</v>
      </c>
      <c r="F310" s="4">
        <f>'[6]Inedible Tallow Complex'!$AH$213</f>
        <v>49.75</v>
      </c>
      <c r="G310" s="4">
        <f>'[6]Distillers'' Corn Oil Complex'!$AH$198</f>
        <v>43.25</v>
      </c>
      <c r="H310" s="4">
        <f>'[6]Soy Complex'!$BO$514</f>
        <v>43.5</v>
      </c>
      <c r="I310" s="4"/>
      <c r="J310" s="4">
        <f>[7]Monthly!$J$151</f>
        <v>103.87252960705854</v>
      </c>
      <c r="K310" s="4">
        <f>'[2]LCFS Credit Price Forecast'!$B$149</f>
        <v>53.495231635143625</v>
      </c>
      <c r="L310" s="5">
        <f>[4]Forecasts!B$71</f>
        <v>423.02000000000015</v>
      </c>
      <c r="M310" s="5">
        <f>[4]Forecasts!C$71</f>
        <v>2.3502000000000001</v>
      </c>
    </row>
    <row r="311" spans="1:13" x14ac:dyDescent="0.2">
      <c r="A311" s="3">
        <f t="shared" si="0"/>
        <v>45963</v>
      </c>
      <c r="B311" s="4">
        <f>'[6]Yellow Grease Complex'!$AH$215</f>
        <v>31.5</v>
      </c>
      <c r="C311" s="4">
        <f>'[6]Used Cooking Oil Complex'!$AH$199</f>
        <v>45.75</v>
      </c>
      <c r="D311" s="4">
        <f>'[6]Poultry Byproduct Complex'!$AH$322</f>
        <v>35.25</v>
      </c>
      <c r="E311" s="4">
        <f>'[6]CWG Complex'!$AH$217</f>
        <v>49.5</v>
      </c>
      <c r="F311" s="4">
        <f>'[6]Inedible Tallow Complex'!$AH$214</f>
        <v>53</v>
      </c>
      <c r="G311" s="4">
        <f>'[6]Distillers'' Corn Oil Complex'!$AH$199</f>
        <v>43.75</v>
      </c>
      <c r="H311" s="4">
        <f>'[6]Soy Complex'!$BO$515</f>
        <v>44.75</v>
      </c>
      <c r="I311" s="4"/>
      <c r="J311" s="4">
        <f>[7]Monthly!$J$152</f>
        <v>109.84612599656265</v>
      </c>
      <c r="K311" s="4">
        <f t="shared" ref="K311:K332" si="1">K310</f>
        <v>53.495231635143625</v>
      </c>
      <c r="L311" s="5">
        <f>[4]Forecasts!B$71</f>
        <v>423.02000000000015</v>
      </c>
      <c r="M311" s="5">
        <f>[4]Forecasts!C$72</f>
        <v>2.3327</v>
      </c>
    </row>
    <row r="312" spans="1:13" x14ac:dyDescent="0.2">
      <c r="A312" s="3">
        <f t="shared" si="0"/>
        <v>45970</v>
      </c>
      <c r="B312" s="4">
        <f>'[6]Yellow Grease Complex'!$AH$215</f>
        <v>31.5</v>
      </c>
      <c r="C312" s="4">
        <f>'[6]Used Cooking Oil Complex'!$AH$199</f>
        <v>45.75</v>
      </c>
      <c r="D312" s="4">
        <f>'[6]Poultry Byproduct Complex'!$AH$322</f>
        <v>35.25</v>
      </c>
      <c r="E312" s="4">
        <f>'[6]CWG Complex'!$AH$217</f>
        <v>49.5</v>
      </c>
      <c r="F312" s="4">
        <f>'[6]Inedible Tallow Complex'!$AH$214</f>
        <v>53</v>
      </c>
      <c r="G312" s="4">
        <f>'[6]Distillers'' Corn Oil Complex'!$AH$199</f>
        <v>43.75</v>
      </c>
      <c r="H312" s="4">
        <f>'[6]Soy Complex'!$BO$515</f>
        <v>44.75</v>
      </c>
      <c r="I312" s="4"/>
      <c r="J312" s="4">
        <f>[7]Monthly!$J$152</f>
        <v>109.84612599656265</v>
      </c>
      <c r="K312" s="4">
        <f t="shared" si="1"/>
        <v>53.495231635143625</v>
      </c>
      <c r="L312" s="5">
        <f>[4]Forecasts!B$72</f>
        <v>418.27000000000021</v>
      </c>
      <c r="M312" s="5">
        <f>[4]Forecasts!C$72</f>
        <v>2.3327</v>
      </c>
    </row>
    <row r="313" spans="1:13" x14ac:dyDescent="0.2">
      <c r="A313" s="3">
        <f t="shared" si="0"/>
        <v>45977</v>
      </c>
      <c r="B313" s="4">
        <f>'[6]Yellow Grease Complex'!$AH$215</f>
        <v>31.5</v>
      </c>
      <c r="C313" s="4">
        <f>'[6]Used Cooking Oil Complex'!$AH$199</f>
        <v>45.75</v>
      </c>
      <c r="D313" s="4">
        <f>'[6]Poultry Byproduct Complex'!$AH$322</f>
        <v>35.25</v>
      </c>
      <c r="E313" s="4">
        <f>'[6]CWG Complex'!$AH$217</f>
        <v>49.5</v>
      </c>
      <c r="F313" s="4">
        <f>'[6]Inedible Tallow Complex'!$AH$214</f>
        <v>53</v>
      </c>
      <c r="G313" s="4">
        <f>'[6]Distillers'' Corn Oil Complex'!$AH$199</f>
        <v>43.75</v>
      </c>
      <c r="H313" s="4">
        <f>'[6]Soy Complex'!$BO$515</f>
        <v>44.75</v>
      </c>
      <c r="I313" s="4"/>
      <c r="J313" s="4">
        <f>[7]Monthly!$J$152</f>
        <v>109.84612599656265</v>
      </c>
      <c r="K313" s="4">
        <f t="shared" si="1"/>
        <v>53.495231635143625</v>
      </c>
      <c r="L313" s="5">
        <f>[4]Forecasts!B$72</f>
        <v>418.27000000000021</v>
      </c>
      <c r="M313" s="5">
        <f>[4]Forecasts!C$72</f>
        <v>2.3327</v>
      </c>
    </row>
    <row r="314" spans="1:13" x14ac:dyDescent="0.2">
      <c r="A314" s="3">
        <f t="shared" si="0"/>
        <v>45984</v>
      </c>
      <c r="B314" s="4">
        <f>'[6]Yellow Grease Complex'!$AH$215</f>
        <v>31.5</v>
      </c>
      <c r="C314" s="4">
        <f>'[6]Used Cooking Oil Complex'!$AH$199</f>
        <v>45.75</v>
      </c>
      <c r="D314" s="4">
        <f>'[6]Poultry Byproduct Complex'!$AH$322</f>
        <v>35.25</v>
      </c>
      <c r="E314" s="4">
        <f>'[6]CWG Complex'!$AH$217</f>
        <v>49.5</v>
      </c>
      <c r="F314" s="4">
        <f>'[6]Inedible Tallow Complex'!$AH$214</f>
        <v>53</v>
      </c>
      <c r="G314" s="4">
        <f>'[6]Distillers'' Corn Oil Complex'!$AH$199</f>
        <v>43.75</v>
      </c>
      <c r="H314" s="4">
        <f>'[6]Soy Complex'!$BO$515</f>
        <v>44.75</v>
      </c>
      <c r="I314" s="4"/>
      <c r="J314" s="4">
        <f>[7]Monthly!$J$152</f>
        <v>109.84612599656265</v>
      </c>
      <c r="K314" s="4">
        <f t="shared" si="1"/>
        <v>53.495231635143625</v>
      </c>
      <c r="L314" s="5">
        <f>[4]Forecasts!B$72</f>
        <v>418.27000000000021</v>
      </c>
      <c r="M314" s="5">
        <f>[4]Forecasts!C$72</f>
        <v>2.3327</v>
      </c>
    </row>
    <row r="315" spans="1:13" x14ac:dyDescent="0.2">
      <c r="A315" s="3">
        <f t="shared" si="0"/>
        <v>45991</v>
      </c>
      <c r="B315" s="4">
        <f>'[6]Yellow Grease Complex'!$AH$215</f>
        <v>31.5</v>
      </c>
      <c r="C315" s="4">
        <f>'[6]Used Cooking Oil Complex'!$AH$199</f>
        <v>45.75</v>
      </c>
      <c r="D315" s="4">
        <f>'[6]Poultry Byproduct Complex'!$AH$322</f>
        <v>35.25</v>
      </c>
      <c r="E315" s="4">
        <f>'[6]CWG Complex'!$AH$217</f>
        <v>49.5</v>
      </c>
      <c r="F315" s="4">
        <f>'[6]Inedible Tallow Complex'!$AH$214</f>
        <v>53</v>
      </c>
      <c r="G315" s="4">
        <f>'[6]Distillers'' Corn Oil Complex'!$AH$199</f>
        <v>43.75</v>
      </c>
      <c r="H315" s="4">
        <f>'[6]Soy Complex'!$BO$515</f>
        <v>44.75</v>
      </c>
      <c r="I315" s="4"/>
      <c r="J315" s="4">
        <f>[7]Monthly!$J$152</f>
        <v>109.84612599656265</v>
      </c>
      <c r="K315" s="4">
        <f t="shared" si="1"/>
        <v>53.495231635143625</v>
      </c>
      <c r="L315" s="5">
        <f>[4]Forecasts!B$72</f>
        <v>418.27000000000021</v>
      </c>
      <c r="M315" s="5">
        <f>[4]Forecasts!C$72</f>
        <v>2.3327</v>
      </c>
    </row>
    <row r="316" spans="1:13" x14ac:dyDescent="0.2">
      <c r="A316" s="3">
        <f t="shared" si="0"/>
        <v>45998</v>
      </c>
      <c r="B316" s="4">
        <f>'[6]Yellow Grease Complex'!$AH$216</f>
        <v>33</v>
      </c>
      <c r="C316" s="4">
        <f>'[6]Used Cooking Oil Complex'!$AH$200</f>
        <v>48.75</v>
      </c>
      <c r="D316" s="4">
        <f>'[6]Poultry Byproduct Complex'!$AH$323</f>
        <v>37.75</v>
      </c>
      <c r="E316" s="4">
        <f>'[6]CWG Complex'!$AH$218</f>
        <v>50</v>
      </c>
      <c r="F316" s="4">
        <f>'[6]Inedible Tallow Complex'!$AH$215</f>
        <v>54.5</v>
      </c>
      <c r="G316" s="4">
        <f>'[6]Distillers'' Corn Oil Complex'!$AH$200</f>
        <v>43.5</v>
      </c>
      <c r="H316" s="4">
        <f>'[6]Soy Complex'!$BO$516</f>
        <v>45</v>
      </c>
      <c r="I316" s="4"/>
      <c r="J316" s="4">
        <f>[7]Monthly!$J$153</f>
        <v>112.81107466500848</v>
      </c>
      <c r="K316" s="4">
        <f t="shared" si="1"/>
        <v>53.495231635143625</v>
      </c>
      <c r="L316" s="5">
        <f>[4]Forecasts!B$73</f>
        <v>413.63000000000017</v>
      </c>
      <c r="M316" s="5">
        <f>[4]Forecasts!C$73</f>
        <v>2.2863000000000002</v>
      </c>
    </row>
    <row r="317" spans="1:13" x14ac:dyDescent="0.2">
      <c r="A317" s="3">
        <f t="shared" si="0"/>
        <v>46005</v>
      </c>
      <c r="B317" s="4">
        <f>'[6]Yellow Grease Complex'!$AH$216</f>
        <v>33</v>
      </c>
      <c r="C317" s="4">
        <f>'[6]Used Cooking Oil Complex'!$AH$200</f>
        <v>48.75</v>
      </c>
      <c r="D317" s="4">
        <f>'[6]Poultry Byproduct Complex'!$AH$323</f>
        <v>37.75</v>
      </c>
      <c r="E317" s="4">
        <f>'[6]CWG Complex'!$AH$218</f>
        <v>50</v>
      </c>
      <c r="F317" s="4">
        <f>'[6]Inedible Tallow Complex'!$AH$215</f>
        <v>54.5</v>
      </c>
      <c r="G317" s="4">
        <f>'[6]Distillers'' Corn Oil Complex'!$AH$200</f>
        <v>43.5</v>
      </c>
      <c r="H317" s="4">
        <f>'[6]Soy Complex'!$BO$516</f>
        <v>45</v>
      </c>
      <c r="I317" s="4"/>
      <c r="J317" s="4">
        <f>[7]Monthly!$J$153</f>
        <v>112.81107466500848</v>
      </c>
      <c r="K317" s="4">
        <f t="shared" si="1"/>
        <v>53.495231635143625</v>
      </c>
      <c r="L317" s="5">
        <f>[4]Forecasts!B$73</f>
        <v>413.63000000000017</v>
      </c>
      <c r="M317" s="5">
        <f>[4]Forecasts!C$73</f>
        <v>2.2863000000000002</v>
      </c>
    </row>
    <row r="318" spans="1:13" x14ac:dyDescent="0.2">
      <c r="A318" s="3">
        <f t="shared" si="0"/>
        <v>46012</v>
      </c>
      <c r="B318" s="4">
        <f>'[6]Yellow Grease Complex'!$AH$216</f>
        <v>33</v>
      </c>
      <c r="C318" s="4">
        <f>'[6]Used Cooking Oil Complex'!$AH$200</f>
        <v>48.75</v>
      </c>
      <c r="D318" s="4">
        <f>'[6]Poultry Byproduct Complex'!$AH$323</f>
        <v>37.75</v>
      </c>
      <c r="E318" s="4">
        <f>'[6]CWG Complex'!$AH$218</f>
        <v>50</v>
      </c>
      <c r="F318" s="4">
        <f>'[6]Inedible Tallow Complex'!$AH$215</f>
        <v>54.5</v>
      </c>
      <c r="G318" s="4">
        <f>'[6]Distillers'' Corn Oil Complex'!$AH$200</f>
        <v>43.5</v>
      </c>
      <c r="H318" s="4">
        <f>'[6]Soy Complex'!$BO$516</f>
        <v>45</v>
      </c>
      <c r="I318" s="4"/>
      <c r="J318" s="4">
        <f>[7]Monthly!$J$153</f>
        <v>112.81107466500848</v>
      </c>
      <c r="K318" s="4">
        <f t="shared" si="1"/>
        <v>53.495231635143625</v>
      </c>
      <c r="L318" s="5">
        <f>[4]Forecasts!B$73</f>
        <v>413.63000000000017</v>
      </c>
      <c r="M318" s="5">
        <f>[4]Forecasts!C$73</f>
        <v>2.2863000000000002</v>
      </c>
    </row>
    <row r="319" spans="1:13" x14ac:dyDescent="0.2">
      <c r="A319" s="3">
        <f t="shared" si="0"/>
        <v>46019</v>
      </c>
      <c r="B319" s="4">
        <f>'[6]Yellow Grease Complex'!$AH$216</f>
        <v>33</v>
      </c>
      <c r="C319" s="4">
        <f>'[6]Used Cooking Oil Complex'!$AH$200</f>
        <v>48.75</v>
      </c>
      <c r="D319" s="4">
        <f>'[6]Poultry Byproduct Complex'!$AH$323</f>
        <v>37.75</v>
      </c>
      <c r="E319" s="4">
        <f>'[6]CWG Complex'!$AH$218</f>
        <v>50</v>
      </c>
      <c r="F319" s="4">
        <f>'[6]Inedible Tallow Complex'!$AH$215</f>
        <v>54.5</v>
      </c>
      <c r="G319" s="4">
        <f>'[6]Distillers'' Corn Oil Complex'!$AH$200</f>
        <v>43.5</v>
      </c>
      <c r="H319" s="4">
        <f>'[6]Soy Complex'!$BO$516</f>
        <v>45</v>
      </c>
      <c r="I319" s="4"/>
      <c r="J319" s="4">
        <f>[7]Monthly!$J$153</f>
        <v>112.81107466500848</v>
      </c>
      <c r="K319" s="4">
        <f t="shared" si="1"/>
        <v>53.495231635143625</v>
      </c>
      <c r="L319" s="5">
        <f>[4]Forecasts!B$73</f>
        <v>413.63000000000017</v>
      </c>
      <c r="M319" s="5">
        <f>[4]Forecasts!C$73</f>
        <v>2.2863000000000002</v>
      </c>
    </row>
    <row r="320" spans="1:13" x14ac:dyDescent="0.2">
      <c r="A320" s="3">
        <f t="shared" si="0"/>
        <v>46026</v>
      </c>
      <c r="B320" s="4">
        <f>'[6]Yellow Grease Complex'!$AH$217</f>
        <v>32.5</v>
      </c>
      <c r="C320" s="4">
        <f>'[6]Used Cooking Oil Complex'!$AH$201</f>
        <v>46.75</v>
      </c>
      <c r="D320" s="4">
        <f>'[6]Poultry Byproduct Complex'!$AH$324</f>
        <v>36.5</v>
      </c>
      <c r="E320" s="4">
        <f>'[6]CWG Complex'!$AH$219</f>
        <v>48.5</v>
      </c>
      <c r="F320" s="4">
        <f>'[6]Inedible Tallow Complex'!$AH$216</f>
        <v>56</v>
      </c>
      <c r="G320" s="4">
        <f>'[6]Distillers'' Corn Oil Complex'!$AH$201</f>
        <v>43.75</v>
      </c>
      <c r="H320" s="4">
        <f>'[6]Soy Complex'!$BO$517</f>
        <v>45</v>
      </c>
      <c r="I320" s="4"/>
      <c r="J320" s="4">
        <f>[7]Monthly!$J$154</f>
        <v>120.9293440123935</v>
      </c>
      <c r="K320" s="4">
        <f t="shared" si="1"/>
        <v>53.495231635143625</v>
      </c>
      <c r="L320" s="5">
        <f>[4]Forecasts!B$74</f>
        <v>405.88000000000011</v>
      </c>
      <c r="M320" s="5">
        <f>[4]Forecasts!C$74</f>
        <v>2.2445904000000003</v>
      </c>
    </row>
    <row r="321" spans="1:13" x14ac:dyDescent="0.2">
      <c r="A321" s="3">
        <f t="shared" si="0"/>
        <v>46033</v>
      </c>
      <c r="B321" s="4">
        <f>'[6]Yellow Grease Complex'!$AH$217</f>
        <v>32.5</v>
      </c>
      <c r="C321" s="4">
        <f>'[6]Used Cooking Oil Complex'!$AH$201</f>
        <v>46.75</v>
      </c>
      <c r="D321" s="4">
        <f>'[6]Poultry Byproduct Complex'!$AH$324</f>
        <v>36.5</v>
      </c>
      <c r="E321" s="4">
        <f>'[6]CWG Complex'!$AH$219</f>
        <v>48.5</v>
      </c>
      <c r="F321" s="4">
        <f>'[6]Inedible Tallow Complex'!$AH$216</f>
        <v>56</v>
      </c>
      <c r="G321" s="4">
        <f>'[6]Distillers'' Corn Oil Complex'!$AH$201</f>
        <v>43.75</v>
      </c>
      <c r="H321" s="4">
        <f>'[6]Soy Complex'!$BO$517</f>
        <v>45</v>
      </c>
      <c r="I321" s="4"/>
      <c r="J321" s="4">
        <f>[7]Monthly!$J$154</f>
        <v>120.9293440123935</v>
      </c>
      <c r="K321" s="4">
        <f t="shared" si="1"/>
        <v>53.495231635143625</v>
      </c>
      <c r="L321" s="5">
        <f>[4]Forecasts!B$74</f>
        <v>405.88000000000011</v>
      </c>
      <c r="M321" s="5">
        <f>[4]Forecasts!C$74</f>
        <v>2.2445904000000003</v>
      </c>
    </row>
    <row r="322" spans="1:13" x14ac:dyDescent="0.2">
      <c r="A322" s="3">
        <f t="shared" si="0"/>
        <v>46040</v>
      </c>
      <c r="B322" s="4">
        <f>'[6]Yellow Grease Complex'!$AH$217</f>
        <v>32.5</v>
      </c>
      <c r="C322" s="4">
        <f>'[6]Used Cooking Oil Complex'!$AH$201</f>
        <v>46.75</v>
      </c>
      <c r="D322" s="4">
        <f>'[6]Poultry Byproduct Complex'!$AH$324</f>
        <v>36.5</v>
      </c>
      <c r="E322" s="4">
        <f>'[6]CWG Complex'!$AH$219</f>
        <v>48.5</v>
      </c>
      <c r="F322" s="4">
        <f>'[6]Inedible Tallow Complex'!$AH$216</f>
        <v>56</v>
      </c>
      <c r="G322" s="4">
        <f>'[6]Distillers'' Corn Oil Complex'!$AH$201</f>
        <v>43.75</v>
      </c>
      <c r="H322" s="4">
        <f>'[6]Soy Complex'!$BO$517</f>
        <v>45</v>
      </c>
      <c r="I322" s="4"/>
      <c r="J322" s="4">
        <f>[7]Monthly!$J$154</f>
        <v>120.9293440123935</v>
      </c>
      <c r="K322" s="4">
        <f t="shared" si="1"/>
        <v>53.495231635143625</v>
      </c>
      <c r="L322" s="5">
        <f>[4]Forecasts!B$74</f>
        <v>405.88000000000011</v>
      </c>
      <c r="M322" s="5">
        <f>[4]Forecasts!C$74</f>
        <v>2.2445904000000003</v>
      </c>
    </row>
    <row r="323" spans="1:13" x14ac:dyDescent="0.2">
      <c r="A323" s="3">
        <f t="shared" si="0"/>
        <v>46047</v>
      </c>
      <c r="B323" s="4">
        <f>'[6]Yellow Grease Complex'!$AH$217</f>
        <v>32.5</v>
      </c>
      <c r="C323" s="4">
        <f>'[6]Used Cooking Oil Complex'!$AH$201</f>
        <v>46.75</v>
      </c>
      <c r="D323" s="4">
        <f>'[6]Poultry Byproduct Complex'!$AH$324</f>
        <v>36.5</v>
      </c>
      <c r="E323" s="4">
        <f>'[6]CWG Complex'!$AH$219</f>
        <v>48.5</v>
      </c>
      <c r="F323" s="4">
        <f>'[6]Inedible Tallow Complex'!$AH$216</f>
        <v>56</v>
      </c>
      <c r="G323" s="4">
        <f>'[6]Distillers'' Corn Oil Complex'!$AH$201</f>
        <v>43.75</v>
      </c>
      <c r="H323" s="4">
        <f>'[6]Soy Complex'!$BO$517</f>
        <v>45</v>
      </c>
      <c r="I323" s="4"/>
      <c r="J323" s="4">
        <f>[7]Monthly!$J$154</f>
        <v>120.9293440123935</v>
      </c>
      <c r="K323" s="4">
        <f t="shared" si="1"/>
        <v>53.495231635143625</v>
      </c>
      <c r="L323" s="5">
        <f>[4]Forecasts!B$74</f>
        <v>405.88000000000011</v>
      </c>
      <c r="M323" s="5">
        <f>[4]Forecasts!C$74</f>
        <v>2.2445904000000003</v>
      </c>
    </row>
    <row r="324" spans="1:13" x14ac:dyDescent="0.2">
      <c r="A324" s="3">
        <f t="shared" si="0"/>
        <v>46054</v>
      </c>
      <c r="B324" s="4">
        <f>'[6]Yellow Grease Complex'!$AH$218</f>
        <v>33.25</v>
      </c>
      <c r="C324" s="4">
        <f>'[6]Used Cooking Oil Complex'!$AH$202</f>
        <v>46.5</v>
      </c>
      <c r="D324" s="4">
        <f>'[6]Poultry Byproduct Complex'!$AH$325</f>
        <v>35.75</v>
      </c>
      <c r="E324" s="4">
        <f>'[6]CWG Complex'!$AH$220</f>
        <v>47.5</v>
      </c>
      <c r="F324" s="4">
        <f>'[6]Inedible Tallow Complex'!$AH$217</f>
        <v>53.5</v>
      </c>
      <c r="G324" s="4">
        <f>'[6]Distillers'' Corn Oil Complex'!$AH$202</f>
        <v>43.25</v>
      </c>
      <c r="H324" s="4">
        <f>'[6]Soy Complex'!$BO$518</f>
        <v>44</v>
      </c>
      <c r="I324" s="4"/>
      <c r="J324" s="4">
        <f>[7]Monthly!$J$155</f>
        <v>113.22653779719468</v>
      </c>
      <c r="K324" s="4">
        <f t="shared" si="1"/>
        <v>53.495231635143625</v>
      </c>
      <c r="L324" s="5">
        <f>[4]Forecasts!B$75</f>
        <v>401.88000000000017</v>
      </c>
      <c r="M324" s="5">
        <f>[4]Forecasts!C$75</f>
        <v>2.2347917136000004</v>
      </c>
    </row>
    <row r="325" spans="1:13" x14ac:dyDescent="0.2">
      <c r="A325" s="3">
        <f t="shared" si="0"/>
        <v>46061</v>
      </c>
      <c r="B325" s="4">
        <f>'[6]Yellow Grease Complex'!$AH$218</f>
        <v>33.25</v>
      </c>
      <c r="C325" s="4">
        <f>'[6]Used Cooking Oil Complex'!$AH$202</f>
        <v>46.5</v>
      </c>
      <c r="D325" s="4">
        <f>'[6]Poultry Byproduct Complex'!$AH$325</f>
        <v>35.75</v>
      </c>
      <c r="E325" s="4">
        <f>'[6]CWG Complex'!$AH$220</f>
        <v>47.5</v>
      </c>
      <c r="F325" s="4">
        <f>'[6]Inedible Tallow Complex'!$AH$217</f>
        <v>53.5</v>
      </c>
      <c r="G325" s="4">
        <f>'[6]Distillers'' Corn Oil Complex'!$AH$202</f>
        <v>43.25</v>
      </c>
      <c r="H325" s="4">
        <f>'[6]Soy Complex'!$BO$518</f>
        <v>44</v>
      </c>
      <c r="I325" s="4"/>
      <c r="J325" s="4">
        <f>[7]Monthly!$J$155</f>
        <v>113.22653779719468</v>
      </c>
      <c r="K325" s="4">
        <f t="shared" si="1"/>
        <v>53.495231635143625</v>
      </c>
      <c r="L325" s="5">
        <f>[4]Forecasts!B$75</f>
        <v>401.88000000000017</v>
      </c>
      <c r="M325" s="5">
        <f>[4]Forecasts!C$75</f>
        <v>2.2347917136000004</v>
      </c>
    </row>
    <row r="326" spans="1:13" x14ac:dyDescent="0.2">
      <c r="A326" s="3">
        <f t="shared" si="0"/>
        <v>46068</v>
      </c>
      <c r="B326" s="4">
        <f>'[6]Yellow Grease Complex'!$AH$218</f>
        <v>33.25</v>
      </c>
      <c r="C326" s="4">
        <f>'[6]Used Cooking Oil Complex'!$AH$202</f>
        <v>46.5</v>
      </c>
      <c r="D326" s="4">
        <f>'[6]Poultry Byproduct Complex'!$AH$325</f>
        <v>35.75</v>
      </c>
      <c r="E326" s="4">
        <f>'[6]CWG Complex'!$AH$220</f>
        <v>47.5</v>
      </c>
      <c r="F326" s="4">
        <f>'[6]Inedible Tallow Complex'!$AH$217</f>
        <v>53.5</v>
      </c>
      <c r="G326" s="4">
        <f>'[6]Distillers'' Corn Oil Complex'!$AH$202</f>
        <v>43.25</v>
      </c>
      <c r="H326" s="4">
        <f>'[6]Soy Complex'!$BO$518</f>
        <v>44</v>
      </c>
      <c r="I326" s="4"/>
      <c r="J326" s="4">
        <f>[7]Monthly!$J$155</f>
        <v>113.22653779719468</v>
      </c>
      <c r="K326" s="4">
        <f t="shared" si="1"/>
        <v>53.495231635143625</v>
      </c>
      <c r="L326" s="5">
        <f>[4]Forecasts!B$75</f>
        <v>401.88000000000017</v>
      </c>
      <c r="M326" s="5">
        <f>[4]Forecasts!C$75</f>
        <v>2.2347917136000004</v>
      </c>
    </row>
    <row r="327" spans="1:13" x14ac:dyDescent="0.2">
      <c r="A327" s="3">
        <f t="shared" si="0"/>
        <v>46075</v>
      </c>
      <c r="B327" s="4">
        <f>'[6]Yellow Grease Complex'!$AH$218</f>
        <v>33.25</v>
      </c>
      <c r="C327" s="4">
        <f>'[6]Used Cooking Oil Complex'!$AH$202</f>
        <v>46.5</v>
      </c>
      <c r="D327" s="4">
        <f>'[6]Poultry Byproduct Complex'!$AH$325</f>
        <v>35.75</v>
      </c>
      <c r="E327" s="4">
        <f>'[6]CWG Complex'!$AH$220</f>
        <v>47.5</v>
      </c>
      <c r="F327" s="4">
        <f>'[6]Inedible Tallow Complex'!$AH$217</f>
        <v>53.5</v>
      </c>
      <c r="G327" s="4">
        <f>'[6]Distillers'' Corn Oil Complex'!$AH$202</f>
        <v>43.25</v>
      </c>
      <c r="H327" s="4">
        <f>'[6]Soy Complex'!$BO$518</f>
        <v>44</v>
      </c>
      <c r="I327" s="4"/>
      <c r="J327" s="4">
        <f>[7]Monthly!$J$155</f>
        <v>113.22653779719468</v>
      </c>
      <c r="K327" s="4">
        <f t="shared" si="1"/>
        <v>53.495231635143625</v>
      </c>
      <c r="L327" s="5">
        <f>[4]Forecasts!B$75</f>
        <v>401.88000000000017</v>
      </c>
      <c r="M327" s="5">
        <f>[4]Forecasts!C$75</f>
        <v>2.2347917136000004</v>
      </c>
    </row>
    <row r="328" spans="1:13" x14ac:dyDescent="0.2">
      <c r="A328" s="3">
        <f t="shared" si="0"/>
        <v>46082</v>
      </c>
      <c r="B328" s="4">
        <f>'[6]Yellow Grease Complex'!$AH$219</f>
        <v>32.25</v>
      </c>
      <c r="C328" s="4">
        <f>'[6]Used Cooking Oil Complex'!$AH$203</f>
        <v>44.75</v>
      </c>
      <c r="D328" s="4">
        <f>'[6]Poultry Byproduct Complex'!$AH$326</f>
        <v>35.5</v>
      </c>
      <c r="E328" s="4">
        <f>'[6]CWG Complex'!$AH$221</f>
        <v>48.25</v>
      </c>
      <c r="F328" s="4">
        <f>'[6]Inedible Tallow Complex'!$AH$218</f>
        <v>52.25</v>
      </c>
      <c r="G328" s="4">
        <f>'[6]Distillers'' Corn Oil Complex'!$AH$203</f>
        <v>43.25</v>
      </c>
      <c r="H328" s="4">
        <f>'[6]Soy Complex'!$BO$519</f>
        <v>44</v>
      </c>
      <c r="I328" s="4"/>
      <c r="J328" s="4">
        <f>[7]Monthly!$J$156</f>
        <v>109.83302497349253</v>
      </c>
      <c r="K328" s="4">
        <f t="shared" si="1"/>
        <v>53.495231635143625</v>
      </c>
      <c r="L328" s="5">
        <f>[4]Forecasts!B$76</f>
        <v>405</v>
      </c>
      <c r="M328" s="5">
        <f>[4]Forecasts!C$76</f>
        <v>2.2571396307360003</v>
      </c>
    </row>
    <row r="329" spans="1:13" x14ac:dyDescent="0.2">
      <c r="A329" s="3">
        <f t="shared" si="0"/>
        <v>46089</v>
      </c>
      <c r="B329" s="4">
        <f>'[6]Yellow Grease Complex'!$AH$219</f>
        <v>32.25</v>
      </c>
      <c r="C329" s="4">
        <f>'[6]Used Cooking Oil Complex'!$AH$203</f>
        <v>44.75</v>
      </c>
      <c r="D329" s="4">
        <f>'[6]Poultry Byproduct Complex'!$AH$326</f>
        <v>35.5</v>
      </c>
      <c r="E329" s="4">
        <f>'[6]CWG Complex'!$AH$221</f>
        <v>48.25</v>
      </c>
      <c r="F329" s="4">
        <f>'[6]Inedible Tallow Complex'!$AH$218</f>
        <v>52.25</v>
      </c>
      <c r="G329" s="4">
        <f>'[6]Distillers'' Corn Oil Complex'!$AH$203</f>
        <v>43.25</v>
      </c>
      <c r="H329" s="4">
        <f>'[6]Soy Complex'!$BO$519</f>
        <v>44</v>
      </c>
      <c r="I329" s="4"/>
      <c r="J329" s="4">
        <f>[7]Monthly!$J$156</f>
        <v>109.83302497349253</v>
      </c>
      <c r="K329" s="4">
        <f t="shared" si="1"/>
        <v>53.495231635143625</v>
      </c>
      <c r="L329" s="5">
        <f>[4]Forecasts!B$76</f>
        <v>405</v>
      </c>
      <c r="M329" s="5">
        <f>[4]Forecasts!C$76</f>
        <v>2.2571396307360003</v>
      </c>
    </row>
    <row r="330" spans="1:13" x14ac:dyDescent="0.2">
      <c r="A330" s="3">
        <f t="shared" si="0"/>
        <v>46096</v>
      </c>
      <c r="B330" s="4">
        <f>'[6]Yellow Grease Complex'!$AH$219</f>
        <v>32.25</v>
      </c>
      <c r="C330" s="4">
        <f>'[6]Used Cooking Oil Complex'!$AH$203</f>
        <v>44.75</v>
      </c>
      <c r="D330" s="4">
        <f>'[6]Poultry Byproduct Complex'!$AH$326</f>
        <v>35.5</v>
      </c>
      <c r="E330" s="4">
        <f>'[6]CWG Complex'!$AH$221</f>
        <v>48.25</v>
      </c>
      <c r="F330" s="4">
        <f>'[6]Inedible Tallow Complex'!$AH$218</f>
        <v>52.25</v>
      </c>
      <c r="G330" s="4">
        <f>'[6]Distillers'' Corn Oil Complex'!$AH$203</f>
        <v>43.25</v>
      </c>
      <c r="H330" s="4">
        <f>'[6]Soy Complex'!$BO$519</f>
        <v>44</v>
      </c>
      <c r="I330" s="4"/>
      <c r="J330" s="4">
        <f>[7]Monthly!$J$156</f>
        <v>109.83302497349253</v>
      </c>
      <c r="K330" s="4">
        <f t="shared" si="1"/>
        <v>53.495231635143625</v>
      </c>
      <c r="L330" s="5">
        <f>[4]Forecasts!B$76</f>
        <v>405</v>
      </c>
      <c r="M330" s="5">
        <f>[4]Forecasts!C$76</f>
        <v>2.2571396307360003</v>
      </c>
    </row>
    <row r="331" spans="1:13" x14ac:dyDescent="0.2">
      <c r="A331" s="3">
        <f t="shared" si="0"/>
        <v>46103</v>
      </c>
      <c r="B331" s="4">
        <f>'[6]Yellow Grease Complex'!$AH$219</f>
        <v>32.25</v>
      </c>
      <c r="C331" s="4">
        <f>'[6]Used Cooking Oil Complex'!$AH$203</f>
        <v>44.75</v>
      </c>
      <c r="D331" s="4">
        <f>'[6]Poultry Byproduct Complex'!$AH$326</f>
        <v>35.5</v>
      </c>
      <c r="E331" s="4">
        <f>'[6]CWG Complex'!$AH$221</f>
        <v>48.25</v>
      </c>
      <c r="F331" s="4">
        <f>'[6]Inedible Tallow Complex'!$AH$218</f>
        <v>52.25</v>
      </c>
      <c r="G331" s="4">
        <f>'[6]Distillers'' Corn Oil Complex'!$AH$203</f>
        <v>43.25</v>
      </c>
      <c r="H331" s="4">
        <f>'[6]Soy Complex'!$BO$519</f>
        <v>44</v>
      </c>
      <c r="I331" s="4"/>
      <c r="J331" s="4">
        <f>[7]Monthly!$J$156</f>
        <v>109.83302497349253</v>
      </c>
      <c r="K331" s="4">
        <f t="shared" si="1"/>
        <v>53.495231635143625</v>
      </c>
      <c r="L331" s="5">
        <f>[4]Forecasts!B$76</f>
        <v>405</v>
      </c>
      <c r="M331" s="5">
        <f>[4]Forecasts!C$76</f>
        <v>2.2571396307360003</v>
      </c>
    </row>
    <row r="332" spans="1:13" x14ac:dyDescent="0.2">
      <c r="A332" s="3">
        <f t="shared" si="0"/>
        <v>46110</v>
      </c>
      <c r="B332" s="4">
        <f>'[6]Yellow Grease Complex'!$AH$219</f>
        <v>32.25</v>
      </c>
      <c r="C332" s="4">
        <f>'[6]Used Cooking Oil Complex'!$AH$203</f>
        <v>44.75</v>
      </c>
      <c r="D332" s="4">
        <f>'[6]Poultry Byproduct Complex'!$AH$326</f>
        <v>35.5</v>
      </c>
      <c r="E332" s="4">
        <f>'[6]CWG Complex'!$AH$221</f>
        <v>48.25</v>
      </c>
      <c r="F332" s="4">
        <f>'[6]Inedible Tallow Complex'!$AH$218</f>
        <v>52.25</v>
      </c>
      <c r="G332" s="4">
        <f>'[6]Distillers'' Corn Oil Complex'!$AH$203</f>
        <v>43.25</v>
      </c>
      <c r="H332" s="4">
        <f>'[6]Soy Complex'!$BO$519</f>
        <v>44</v>
      </c>
      <c r="I332" s="4"/>
      <c r="J332" s="4">
        <f>[7]Monthly!$J$156</f>
        <v>109.83302497349253</v>
      </c>
      <c r="K332" s="4">
        <f t="shared" si="1"/>
        <v>53.495231635143625</v>
      </c>
      <c r="L332" s="5">
        <f>[4]Forecasts!B$76</f>
        <v>405</v>
      </c>
      <c r="M332" s="5">
        <f>[4]Forecasts!C$76</f>
        <v>2.2571396307360003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2025-07-15T09:58:32Z</dcterms:created>
  <dcterms:modified xsi:type="dcterms:W3CDTF">2025-07-15T09:59:34Z</dcterms:modified>
</cp:coreProperties>
</file>