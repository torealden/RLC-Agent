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C13635E-7C7C-4A7F-81D5-604A7C6ABAC7}" xr6:coauthVersionLast="47" xr6:coauthVersionMax="47" xr10:uidLastSave="{00000000-0000-0000-0000-000000000000}"/>
  <bookViews>
    <workbookView xWindow="5430" yWindow="375" windowWidth="27240" windowHeight="14550" activeTab="4" xr2:uid="{6663FE99-B913-42FC-816C-BDC9C1A835BF}"/>
  </bookViews>
  <sheets>
    <sheet name="Controls" sheetId="1" r:id="rId1"/>
    <sheet name="Controls 2" sheetId="2" r:id="rId2"/>
    <sheet name="Calculator" sheetId="3" r:id="rId3"/>
    <sheet name="Gross Margins Calculations" sheetId="4" r:id="rId4"/>
    <sheet name="LCFS Categorized" sheetId="5" r:id="rId5"/>
    <sheet name="LCFS Table" sheetId="6" r:id="rId6"/>
    <sheet name="Profit-Production Chart Data" sheetId="7" r:id="rId7"/>
    <sheet name="BTC Weekly Calc" sheetId="8" r:id="rId8"/>
  </sheets>
  <externalReferences>
    <externalReference r:id="rId9"/>
    <externalReference r:id="rId10"/>
    <externalReference r:id="rId11"/>
    <externalReference r:id="rId12"/>
  </externalReferences>
  <definedNames>
    <definedName name="bb_MzQ1RjJDQUM5MTlGNDg5Qz" localSheetId="2" hidden="1">Calculator!$B$60</definedName>
    <definedName name="Feedstock_Inputs">'[2]LCFS Breakout'!$A:$A</definedName>
    <definedName name="RIN_Value__P">'LCFS Categorized'!$C$2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D4" i="8"/>
  <c r="D3" i="8"/>
  <c r="D2" i="8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CY356" i="6"/>
  <c r="CX356" i="6"/>
  <c r="CP356" i="6"/>
  <c r="CO356" i="6"/>
  <c r="CN356" i="6"/>
  <c r="CM356" i="6"/>
  <c r="BS356" i="6" s="1"/>
  <c r="CL356" i="6"/>
  <c r="CK356" i="6"/>
  <c r="BQ356" i="6" s="1"/>
  <c r="CJ356" i="6"/>
  <c r="CI356" i="6"/>
  <c r="BO356" i="6" s="1"/>
  <c r="CH356" i="6"/>
  <c r="BN356" i="6" s="1"/>
  <c r="CG356" i="6"/>
  <c r="BM356" i="6" s="1"/>
  <c r="BV356" i="6"/>
  <c r="BU356" i="6"/>
  <c r="BT356" i="6"/>
  <c r="BL356" i="6"/>
  <c r="BJ356" i="6"/>
  <c r="BI356" i="6"/>
  <c r="BG356" i="6"/>
  <c r="BE356" i="6"/>
  <c r="BD356" i="6"/>
  <c r="AX356" i="6"/>
  <c r="AS356" i="6"/>
  <c r="BC356" i="6" s="1"/>
  <c r="AR356" i="6"/>
  <c r="BA356" i="6" s="1"/>
  <c r="BK356" i="6" s="1"/>
  <c r="AQ356" i="6"/>
  <c r="AP356" i="6"/>
  <c r="AO356" i="6"/>
  <c r="AL356" i="6"/>
  <c r="AK356" i="6"/>
  <c r="Y356" i="6"/>
  <c r="J356" i="6" s="1"/>
  <c r="W356" i="6"/>
  <c r="V356" i="6"/>
  <c r="U356" i="6"/>
  <c r="X356" i="6" s="1"/>
  <c r="R356" i="6"/>
  <c r="Z356" i="6" s="1"/>
  <c r="Q356" i="6"/>
  <c r="T356" i="6" s="1"/>
  <c r="P356" i="6"/>
  <c r="O356" i="6"/>
  <c r="N356" i="6"/>
  <c r="S356" i="6" s="1"/>
  <c r="L356" i="6"/>
  <c r="K356" i="6"/>
  <c r="C356" i="6"/>
  <c r="CY355" i="6"/>
  <c r="CX355" i="6"/>
  <c r="CP355" i="6"/>
  <c r="CO355" i="6"/>
  <c r="CN355" i="6"/>
  <c r="BT355" i="6" s="1"/>
  <c r="CM355" i="6"/>
  <c r="BS355" i="6" s="1"/>
  <c r="CL355" i="6"/>
  <c r="CK355" i="6"/>
  <c r="BQ355" i="6" s="1"/>
  <c r="CJ355" i="6"/>
  <c r="CI355" i="6"/>
  <c r="BO355" i="6" s="1"/>
  <c r="CH355" i="6"/>
  <c r="BN355" i="6" s="1"/>
  <c r="CG355" i="6"/>
  <c r="BM355" i="6" s="1"/>
  <c r="BV355" i="6"/>
  <c r="BL355" i="6"/>
  <c r="BJ355" i="6"/>
  <c r="BI355" i="6"/>
  <c r="BG355" i="6"/>
  <c r="BE355" i="6"/>
  <c r="BD355" i="6"/>
  <c r="BC355" i="6"/>
  <c r="BA355" i="6"/>
  <c r="AX355" i="6"/>
  <c r="AV355" i="6"/>
  <c r="AS355" i="6"/>
  <c r="AR355" i="6"/>
  <c r="AQ355" i="6"/>
  <c r="AP355" i="6"/>
  <c r="AO355" i="6"/>
  <c r="AL355" i="6"/>
  <c r="AK355" i="6"/>
  <c r="R355" i="6"/>
  <c r="Z355" i="6" s="1"/>
  <c r="Q355" i="6"/>
  <c r="T355" i="6" s="1"/>
  <c r="Y355" i="6" s="1"/>
  <c r="P355" i="6"/>
  <c r="U355" i="6" s="1"/>
  <c r="X355" i="6" s="1"/>
  <c r="O355" i="6"/>
  <c r="W355" i="6" s="1"/>
  <c r="N355" i="6"/>
  <c r="S355" i="6" s="1"/>
  <c r="V355" i="6" s="1"/>
  <c r="I355" i="6" s="1"/>
  <c r="E355" i="6" s="1"/>
  <c r="G355" i="6" s="1"/>
  <c r="L355" i="6"/>
  <c r="M355" i="6" s="1"/>
  <c r="K355" i="6"/>
  <c r="C355" i="6"/>
  <c r="CY354" i="6"/>
  <c r="CX354" i="6"/>
  <c r="CP354" i="6"/>
  <c r="BV354" i="6" s="1"/>
  <c r="CO354" i="6"/>
  <c r="CN354" i="6"/>
  <c r="BT354" i="6" s="1"/>
  <c r="CM354" i="6"/>
  <c r="BS354" i="6" s="1"/>
  <c r="CL354" i="6"/>
  <c r="BR354" i="6" s="1"/>
  <c r="CK354" i="6"/>
  <c r="CJ354" i="6"/>
  <c r="CI354" i="6"/>
  <c r="CH354" i="6"/>
  <c r="CG354" i="6"/>
  <c r="BQ354" i="6"/>
  <c r="BP354" i="6"/>
  <c r="BO354" i="6"/>
  <c r="BN354" i="6"/>
  <c r="BM354" i="6"/>
  <c r="BL354" i="6"/>
  <c r="BK354" i="6"/>
  <c r="BJ354" i="6"/>
  <c r="BI354" i="6"/>
  <c r="BH354" i="6"/>
  <c r="BG354" i="6"/>
  <c r="BF354" i="6"/>
  <c r="BE354" i="6"/>
  <c r="BD354" i="6"/>
  <c r="BC354" i="6"/>
  <c r="BA354" i="6"/>
  <c r="AX354" i="6"/>
  <c r="AS354" i="6"/>
  <c r="AR354" i="6"/>
  <c r="AV354" i="6" s="1"/>
  <c r="AQ354" i="6"/>
  <c r="AP354" i="6"/>
  <c r="AO354" i="6"/>
  <c r="AL354" i="6"/>
  <c r="AK354" i="6"/>
  <c r="W354" i="6"/>
  <c r="U354" i="6"/>
  <c r="X354" i="6" s="1"/>
  <c r="T354" i="6"/>
  <c r="Y354" i="6" s="1"/>
  <c r="J354" i="6" s="1"/>
  <c r="S354" i="6"/>
  <c r="V354" i="6" s="1"/>
  <c r="I354" i="6" s="1"/>
  <c r="E354" i="6" s="1"/>
  <c r="G354" i="6" s="1"/>
  <c r="R354" i="6"/>
  <c r="Z354" i="6" s="1"/>
  <c r="Q354" i="6"/>
  <c r="P354" i="6"/>
  <c r="O354" i="6"/>
  <c r="N354" i="6"/>
  <c r="L354" i="6"/>
  <c r="K354" i="6"/>
  <c r="C354" i="6"/>
  <c r="CY353" i="6"/>
  <c r="CX353" i="6"/>
  <c r="CP353" i="6"/>
  <c r="BV353" i="6" s="1"/>
  <c r="CO353" i="6"/>
  <c r="CN353" i="6"/>
  <c r="BT353" i="6" s="1"/>
  <c r="CM353" i="6"/>
  <c r="BS353" i="6" s="1"/>
  <c r="CL353" i="6"/>
  <c r="CK353" i="6"/>
  <c r="BQ353" i="6" s="1"/>
  <c r="CJ353" i="6"/>
  <c r="CI353" i="6"/>
  <c r="CH353" i="6"/>
  <c r="BN353" i="6" s="1"/>
  <c r="CG353" i="6"/>
  <c r="BO353" i="6"/>
  <c r="BL353" i="6"/>
  <c r="BJ353" i="6"/>
  <c r="BI353" i="6"/>
  <c r="BG353" i="6"/>
  <c r="BE353" i="6"/>
  <c r="BD353" i="6"/>
  <c r="AR353" i="6"/>
  <c r="BA353" i="6" s="1"/>
  <c r="AQ353" i="6"/>
  <c r="AP353" i="6"/>
  <c r="AO353" i="6"/>
  <c r="AL353" i="6"/>
  <c r="AK353" i="6"/>
  <c r="W353" i="6"/>
  <c r="S353" i="6"/>
  <c r="V353" i="6" s="1"/>
  <c r="I353" i="6" s="1"/>
  <c r="E353" i="6" s="1"/>
  <c r="R353" i="6"/>
  <c r="Z353" i="6" s="1"/>
  <c r="Q353" i="6"/>
  <c r="T353" i="6" s="1"/>
  <c r="Y353" i="6" s="1"/>
  <c r="P353" i="6"/>
  <c r="U353" i="6" s="1"/>
  <c r="X353" i="6" s="1"/>
  <c r="O353" i="6"/>
  <c r="N353" i="6"/>
  <c r="L353" i="6"/>
  <c r="K353" i="6"/>
  <c r="C353" i="6"/>
  <c r="CY352" i="6"/>
  <c r="CX352" i="6"/>
  <c r="CP352" i="6"/>
  <c r="BV352" i="6" s="1"/>
  <c r="CO352" i="6"/>
  <c r="CN352" i="6"/>
  <c r="CM352" i="6"/>
  <c r="CL352" i="6"/>
  <c r="CK352" i="6"/>
  <c r="CJ352" i="6"/>
  <c r="CI352" i="6"/>
  <c r="CH352" i="6"/>
  <c r="CG352" i="6"/>
  <c r="BT352" i="6"/>
  <c r="BS352" i="6"/>
  <c r="BQ352" i="6"/>
  <c r="BO352" i="6"/>
  <c r="BN352" i="6"/>
  <c r="BL352" i="6"/>
  <c r="BJ352" i="6"/>
  <c r="BI352" i="6"/>
  <c r="BG352" i="6"/>
  <c r="BE352" i="6"/>
  <c r="BD352" i="6"/>
  <c r="AR352" i="6"/>
  <c r="AQ352" i="6"/>
  <c r="AP352" i="6"/>
  <c r="AO352" i="6"/>
  <c r="AL352" i="6"/>
  <c r="AK352" i="6"/>
  <c r="Z352" i="6"/>
  <c r="Y352" i="6"/>
  <c r="W352" i="6"/>
  <c r="V352" i="6"/>
  <c r="U352" i="6"/>
  <c r="X352" i="6" s="1"/>
  <c r="T352" i="6"/>
  <c r="S352" i="6"/>
  <c r="R352" i="6"/>
  <c r="Q352" i="6"/>
  <c r="P352" i="6"/>
  <c r="O352" i="6"/>
  <c r="N352" i="6"/>
  <c r="L352" i="6"/>
  <c r="K352" i="6"/>
  <c r="C352" i="6"/>
  <c r="CY351" i="6"/>
  <c r="CX351" i="6"/>
  <c r="CP351" i="6"/>
  <c r="BV351" i="6" s="1"/>
  <c r="CO351" i="6"/>
  <c r="BU351" i="6" s="1"/>
  <c r="CN351" i="6"/>
  <c r="BT351" i="6" s="1"/>
  <c r="CM351" i="6"/>
  <c r="CL351" i="6"/>
  <c r="CK351" i="6"/>
  <c r="CJ351" i="6"/>
  <c r="CI351" i="6"/>
  <c r="CH351" i="6"/>
  <c r="CG351" i="6"/>
  <c r="BS351" i="6"/>
  <c r="BQ351" i="6"/>
  <c r="BP351" i="6"/>
  <c r="BO351" i="6"/>
  <c r="BN351" i="6"/>
  <c r="BL351" i="6"/>
  <c r="BK351" i="6"/>
  <c r="BJ351" i="6"/>
  <c r="BI351" i="6"/>
  <c r="BG351" i="6"/>
  <c r="BE351" i="6"/>
  <c r="BD351" i="6"/>
  <c r="AV351" i="6"/>
  <c r="BF351" i="6" s="1"/>
  <c r="AR351" i="6"/>
  <c r="BA351" i="6" s="1"/>
  <c r="AQ351" i="6"/>
  <c r="AX351" i="6" s="1"/>
  <c r="AP351" i="6"/>
  <c r="AO351" i="6"/>
  <c r="AL351" i="6"/>
  <c r="AK351" i="6"/>
  <c r="Z351" i="6"/>
  <c r="W351" i="6"/>
  <c r="U351" i="6"/>
  <c r="X351" i="6" s="1"/>
  <c r="T351" i="6"/>
  <c r="Y351" i="6" s="1"/>
  <c r="J351" i="6" s="1"/>
  <c r="R351" i="6"/>
  <c r="Q351" i="6"/>
  <c r="P351" i="6"/>
  <c r="O351" i="6"/>
  <c r="N351" i="6"/>
  <c r="S351" i="6" s="1"/>
  <c r="V351" i="6" s="1"/>
  <c r="L351" i="6"/>
  <c r="K351" i="6"/>
  <c r="C351" i="6"/>
  <c r="CY350" i="6"/>
  <c r="CX350" i="6"/>
  <c r="CP350" i="6"/>
  <c r="BV350" i="6" s="1"/>
  <c r="CO350" i="6"/>
  <c r="CN350" i="6"/>
  <c r="BT350" i="6" s="1"/>
  <c r="CM350" i="6"/>
  <c r="CL350" i="6"/>
  <c r="CK350" i="6"/>
  <c r="CJ350" i="6"/>
  <c r="CI350" i="6"/>
  <c r="CH350" i="6"/>
  <c r="CG350" i="6"/>
  <c r="BS350" i="6"/>
  <c r="BQ350" i="6"/>
  <c r="BO350" i="6"/>
  <c r="BN350" i="6"/>
  <c r="BM350" i="6"/>
  <c r="BL350" i="6"/>
  <c r="BK350" i="6"/>
  <c r="BJ350" i="6"/>
  <c r="BI350" i="6"/>
  <c r="BG350" i="6"/>
  <c r="BE350" i="6"/>
  <c r="BD350" i="6"/>
  <c r="BA350" i="6"/>
  <c r="BU350" i="6" s="1"/>
  <c r="AX350" i="6"/>
  <c r="AV350" i="6"/>
  <c r="AR350" i="6"/>
  <c r="AQ350" i="6"/>
  <c r="AS350" i="6" s="1"/>
  <c r="BC350" i="6" s="1"/>
  <c r="AP350" i="6"/>
  <c r="AO350" i="6"/>
  <c r="AL350" i="6"/>
  <c r="AK350" i="6"/>
  <c r="Z350" i="6"/>
  <c r="Y350" i="6"/>
  <c r="J350" i="6" s="1"/>
  <c r="X350" i="6"/>
  <c r="W350" i="6"/>
  <c r="V350" i="6"/>
  <c r="R350" i="6"/>
  <c r="Q350" i="6"/>
  <c r="T350" i="6" s="1"/>
  <c r="P350" i="6"/>
  <c r="U350" i="6" s="1"/>
  <c r="O350" i="6"/>
  <c r="N350" i="6"/>
  <c r="S350" i="6" s="1"/>
  <c r="M350" i="6"/>
  <c r="L350" i="6"/>
  <c r="K350" i="6"/>
  <c r="C350" i="6"/>
  <c r="CY349" i="6"/>
  <c r="CX349" i="6"/>
  <c r="CP349" i="6"/>
  <c r="BV349" i="6" s="1"/>
  <c r="CO349" i="6"/>
  <c r="CN349" i="6"/>
  <c r="CM349" i="6"/>
  <c r="CL349" i="6"/>
  <c r="CK349" i="6"/>
  <c r="BQ349" i="6" s="1"/>
  <c r="CJ349" i="6"/>
  <c r="CI349" i="6"/>
  <c r="BO349" i="6" s="1"/>
  <c r="CH349" i="6"/>
  <c r="BN349" i="6" s="1"/>
  <c r="CG349" i="6"/>
  <c r="BT349" i="6"/>
  <c r="BS349" i="6"/>
  <c r="BL349" i="6"/>
  <c r="BJ349" i="6"/>
  <c r="BI349" i="6"/>
  <c r="BG349" i="6"/>
  <c r="BE349" i="6"/>
  <c r="BD349" i="6"/>
  <c r="AR349" i="6"/>
  <c r="AV349" i="6" s="1"/>
  <c r="AQ349" i="6"/>
  <c r="AX349" i="6" s="1"/>
  <c r="AP349" i="6"/>
  <c r="AO349" i="6"/>
  <c r="AL349" i="6"/>
  <c r="AK349" i="6"/>
  <c r="Z349" i="6"/>
  <c r="X349" i="6"/>
  <c r="R349" i="6"/>
  <c r="Q349" i="6"/>
  <c r="T349" i="6" s="1"/>
  <c r="Y349" i="6" s="1"/>
  <c r="P349" i="6"/>
  <c r="U349" i="6" s="1"/>
  <c r="O349" i="6"/>
  <c r="W349" i="6" s="1"/>
  <c r="N349" i="6"/>
  <c r="S349" i="6" s="1"/>
  <c r="V349" i="6" s="1"/>
  <c r="L349" i="6"/>
  <c r="K349" i="6"/>
  <c r="I349" i="6"/>
  <c r="E349" i="6"/>
  <c r="C349" i="6"/>
  <c r="CY348" i="6"/>
  <c r="CX348" i="6"/>
  <c r="CP348" i="6"/>
  <c r="CO348" i="6"/>
  <c r="CN348" i="6"/>
  <c r="CM348" i="6"/>
  <c r="CL348" i="6"/>
  <c r="CK348" i="6"/>
  <c r="CJ348" i="6"/>
  <c r="CI348" i="6"/>
  <c r="CH348" i="6"/>
  <c r="CG348" i="6"/>
  <c r="BV348" i="6"/>
  <c r="BU348" i="6"/>
  <c r="BT348" i="6"/>
  <c r="BS348" i="6"/>
  <c r="BQ348" i="6"/>
  <c r="BO348" i="6"/>
  <c r="BN348" i="6"/>
  <c r="BL348" i="6"/>
  <c r="BJ348" i="6"/>
  <c r="BI348" i="6"/>
  <c r="BG348" i="6"/>
  <c r="BE348" i="6"/>
  <c r="BD348" i="6"/>
  <c r="AR348" i="6"/>
  <c r="BA348" i="6" s="1"/>
  <c r="BK348" i="6" s="1"/>
  <c r="AQ348" i="6"/>
  <c r="AP348" i="6"/>
  <c r="AO348" i="6"/>
  <c r="AL348" i="6"/>
  <c r="AK348" i="6"/>
  <c r="S348" i="6"/>
  <c r="V348" i="6" s="1"/>
  <c r="R348" i="6"/>
  <c r="Z348" i="6" s="1"/>
  <c r="J348" i="6" s="1"/>
  <c r="Q348" i="6"/>
  <c r="T348" i="6" s="1"/>
  <c r="Y348" i="6" s="1"/>
  <c r="P348" i="6"/>
  <c r="U348" i="6" s="1"/>
  <c r="X348" i="6" s="1"/>
  <c r="O348" i="6"/>
  <c r="W348" i="6" s="1"/>
  <c r="N348" i="6"/>
  <c r="L348" i="6"/>
  <c r="K348" i="6"/>
  <c r="C348" i="6"/>
  <c r="CY347" i="6"/>
  <c r="CX347" i="6"/>
  <c r="CP347" i="6"/>
  <c r="CO347" i="6"/>
  <c r="CN347" i="6"/>
  <c r="BT347" i="6" s="1"/>
  <c r="CM347" i="6"/>
  <c r="BS347" i="6" s="1"/>
  <c r="CL347" i="6"/>
  <c r="CK347" i="6"/>
  <c r="BQ347" i="6" s="1"/>
  <c r="CJ347" i="6"/>
  <c r="CI347" i="6"/>
  <c r="BO347" i="6" s="1"/>
  <c r="CH347" i="6"/>
  <c r="BN347" i="6" s="1"/>
  <c r="CG347" i="6"/>
  <c r="BV347" i="6"/>
  <c r="BL347" i="6"/>
  <c r="BJ347" i="6"/>
  <c r="BI347" i="6"/>
  <c r="BH347" i="6"/>
  <c r="BG347" i="6"/>
  <c r="BE347" i="6"/>
  <c r="BD347" i="6"/>
  <c r="AX347" i="6"/>
  <c r="AS347" i="6"/>
  <c r="BM347" i="6" s="1"/>
  <c r="AR347" i="6"/>
  <c r="AQ347" i="6"/>
  <c r="AP347" i="6"/>
  <c r="AO347" i="6"/>
  <c r="AL347" i="6"/>
  <c r="AK347" i="6"/>
  <c r="U347" i="6"/>
  <c r="X347" i="6" s="1"/>
  <c r="T347" i="6"/>
  <c r="Y347" i="6" s="1"/>
  <c r="S347" i="6"/>
  <c r="V347" i="6" s="1"/>
  <c r="R347" i="6"/>
  <c r="Z347" i="6" s="1"/>
  <c r="Q347" i="6"/>
  <c r="P347" i="6"/>
  <c r="O347" i="6"/>
  <c r="W347" i="6" s="1"/>
  <c r="I347" i="6" s="1"/>
  <c r="N347" i="6"/>
  <c r="L347" i="6"/>
  <c r="K347" i="6"/>
  <c r="J347" i="6"/>
  <c r="C347" i="6"/>
  <c r="CY346" i="6"/>
  <c r="CX346" i="6"/>
  <c r="CP346" i="6"/>
  <c r="CO346" i="6"/>
  <c r="CN346" i="6"/>
  <c r="CM346" i="6"/>
  <c r="CL346" i="6"/>
  <c r="CK346" i="6"/>
  <c r="BQ346" i="6" s="1"/>
  <c r="CJ346" i="6"/>
  <c r="CI346" i="6"/>
  <c r="BO346" i="6" s="1"/>
  <c r="CH346" i="6"/>
  <c r="BN346" i="6" s="1"/>
  <c r="CG346" i="6"/>
  <c r="BV346" i="6"/>
  <c r="BU346" i="6"/>
  <c r="BT346" i="6"/>
  <c r="BS346" i="6"/>
  <c r="BL346" i="6"/>
  <c r="BK346" i="6"/>
  <c r="BJ346" i="6"/>
  <c r="BI346" i="6"/>
  <c r="BG346" i="6"/>
  <c r="BE346" i="6"/>
  <c r="BD346" i="6"/>
  <c r="AV346" i="6"/>
  <c r="AR346" i="6"/>
  <c r="BA346" i="6" s="1"/>
  <c r="AQ346" i="6"/>
  <c r="AX346" i="6" s="1"/>
  <c r="AP346" i="6"/>
  <c r="AO346" i="6"/>
  <c r="AL346" i="6"/>
  <c r="AK346" i="6"/>
  <c r="Z346" i="6"/>
  <c r="W346" i="6"/>
  <c r="V346" i="6"/>
  <c r="I346" i="6" s="1"/>
  <c r="U346" i="6"/>
  <c r="X346" i="6" s="1"/>
  <c r="T346" i="6"/>
  <c r="Y346" i="6" s="1"/>
  <c r="J346" i="6" s="1"/>
  <c r="S346" i="6"/>
  <c r="R346" i="6"/>
  <c r="Q346" i="6"/>
  <c r="P346" i="6"/>
  <c r="O346" i="6"/>
  <c r="N346" i="6"/>
  <c r="L346" i="6"/>
  <c r="K346" i="6"/>
  <c r="C346" i="6"/>
  <c r="CY345" i="6"/>
  <c r="CX345" i="6"/>
  <c r="CP345" i="6"/>
  <c r="BV345" i="6" s="1"/>
  <c r="CO345" i="6"/>
  <c r="CN345" i="6"/>
  <c r="CM345" i="6"/>
  <c r="BS345" i="6" s="1"/>
  <c r="CL345" i="6"/>
  <c r="CK345" i="6"/>
  <c r="BQ345" i="6" s="1"/>
  <c r="CJ345" i="6"/>
  <c r="CI345" i="6"/>
  <c r="BO345" i="6" s="1"/>
  <c r="CH345" i="6"/>
  <c r="BN345" i="6" s="1"/>
  <c r="CG345" i="6"/>
  <c r="BT345" i="6"/>
  <c r="BL345" i="6"/>
  <c r="BJ345" i="6"/>
  <c r="BI345" i="6"/>
  <c r="BG345" i="6"/>
  <c r="BE345" i="6"/>
  <c r="BD345" i="6"/>
  <c r="AX345" i="6"/>
  <c r="AS345" i="6"/>
  <c r="AR345" i="6"/>
  <c r="AQ345" i="6"/>
  <c r="AP345" i="6"/>
  <c r="AO345" i="6"/>
  <c r="AL345" i="6"/>
  <c r="AK345" i="6"/>
  <c r="R345" i="6"/>
  <c r="Z345" i="6" s="1"/>
  <c r="Q345" i="6"/>
  <c r="T345" i="6" s="1"/>
  <c r="Y345" i="6" s="1"/>
  <c r="P345" i="6"/>
  <c r="U345" i="6" s="1"/>
  <c r="X345" i="6" s="1"/>
  <c r="O345" i="6"/>
  <c r="W345" i="6" s="1"/>
  <c r="N345" i="6"/>
  <c r="S345" i="6" s="1"/>
  <c r="V345" i="6" s="1"/>
  <c r="L345" i="6"/>
  <c r="K345" i="6"/>
  <c r="C345" i="6"/>
  <c r="CY344" i="6"/>
  <c r="CX344" i="6"/>
  <c r="CW344" i="6"/>
  <c r="CP344" i="6"/>
  <c r="CO344" i="6"/>
  <c r="CN344" i="6"/>
  <c r="BT344" i="6" s="1"/>
  <c r="CM344" i="6"/>
  <c r="BS344" i="6" s="1"/>
  <c r="CL344" i="6"/>
  <c r="CK344" i="6"/>
  <c r="BQ344" i="6" s="1"/>
  <c r="CJ344" i="6"/>
  <c r="CI344" i="6"/>
  <c r="BO344" i="6" s="1"/>
  <c r="CH344" i="6"/>
  <c r="CG344" i="6"/>
  <c r="BM344" i="6" s="1"/>
  <c r="BV344" i="6"/>
  <c r="BN344" i="6"/>
  <c r="BL344" i="6"/>
  <c r="BK344" i="6"/>
  <c r="BJ344" i="6"/>
  <c r="BI344" i="6"/>
  <c r="BH344" i="6"/>
  <c r="BG344" i="6"/>
  <c r="BF344" i="6"/>
  <c r="BE344" i="6"/>
  <c r="BD344" i="6"/>
  <c r="BC344" i="6"/>
  <c r="BA344" i="6"/>
  <c r="BU344" i="6" s="1"/>
  <c r="AX344" i="6"/>
  <c r="AV344" i="6"/>
  <c r="AS344" i="6"/>
  <c r="AR344" i="6"/>
  <c r="AQ344" i="6"/>
  <c r="AP344" i="6"/>
  <c r="AO344" i="6"/>
  <c r="AL344" i="6"/>
  <c r="AK344" i="6"/>
  <c r="S344" i="6"/>
  <c r="V344" i="6" s="1"/>
  <c r="R344" i="6"/>
  <c r="Z344" i="6" s="1"/>
  <c r="Q344" i="6"/>
  <c r="T344" i="6" s="1"/>
  <c r="Y344" i="6" s="1"/>
  <c r="J344" i="6" s="1"/>
  <c r="P344" i="6"/>
  <c r="U344" i="6" s="1"/>
  <c r="X344" i="6" s="1"/>
  <c r="O344" i="6"/>
  <c r="W344" i="6" s="1"/>
  <c r="N344" i="6"/>
  <c r="M344" i="6"/>
  <c r="L344" i="6"/>
  <c r="K344" i="6"/>
  <c r="C344" i="6"/>
  <c r="CY343" i="6"/>
  <c r="CX343" i="6"/>
  <c r="CP343" i="6"/>
  <c r="BV343" i="6" s="1"/>
  <c r="CO343" i="6"/>
  <c r="CN343" i="6"/>
  <c r="BT343" i="6" s="1"/>
  <c r="CM343" i="6"/>
  <c r="BS343" i="6" s="1"/>
  <c r="CL343" i="6"/>
  <c r="BR343" i="6" s="1"/>
  <c r="CK343" i="6"/>
  <c r="CJ343" i="6"/>
  <c r="CI343" i="6"/>
  <c r="BO343" i="6" s="1"/>
  <c r="CH343" i="6"/>
  <c r="BN343" i="6" s="1"/>
  <c r="CG343" i="6"/>
  <c r="BQ343" i="6"/>
  <c r="BP343" i="6"/>
  <c r="BM343" i="6"/>
  <c r="BL343" i="6"/>
  <c r="BJ343" i="6"/>
  <c r="BI343" i="6"/>
  <c r="BH343" i="6"/>
  <c r="BG343" i="6"/>
  <c r="BF343" i="6"/>
  <c r="BE343" i="6"/>
  <c r="BD343" i="6"/>
  <c r="BC343" i="6"/>
  <c r="BA343" i="6"/>
  <c r="AX343" i="6"/>
  <c r="AS343" i="6"/>
  <c r="AR343" i="6"/>
  <c r="AV343" i="6" s="1"/>
  <c r="AQ343" i="6"/>
  <c r="AP343" i="6"/>
  <c r="AO343" i="6"/>
  <c r="AL343" i="6"/>
  <c r="AK343" i="6"/>
  <c r="R343" i="6"/>
  <c r="Z343" i="6" s="1"/>
  <c r="Q343" i="6"/>
  <c r="T343" i="6" s="1"/>
  <c r="Y343" i="6" s="1"/>
  <c r="J343" i="6" s="1"/>
  <c r="P343" i="6"/>
  <c r="U343" i="6" s="1"/>
  <c r="X343" i="6" s="1"/>
  <c r="O343" i="6"/>
  <c r="W343" i="6" s="1"/>
  <c r="N343" i="6"/>
  <c r="S343" i="6" s="1"/>
  <c r="V343" i="6" s="1"/>
  <c r="I343" i="6" s="1"/>
  <c r="L343" i="6"/>
  <c r="K343" i="6"/>
  <c r="E343" i="6"/>
  <c r="G343" i="6" s="1"/>
  <c r="C343" i="6"/>
  <c r="CY342" i="6"/>
  <c r="CX342" i="6"/>
  <c r="CP342" i="6"/>
  <c r="BV342" i="6" s="1"/>
  <c r="CO342" i="6"/>
  <c r="CN342" i="6"/>
  <c r="BT342" i="6" s="1"/>
  <c r="CM342" i="6"/>
  <c r="CL342" i="6"/>
  <c r="CK342" i="6"/>
  <c r="BQ342" i="6" s="1"/>
  <c r="CJ342" i="6"/>
  <c r="CI342" i="6"/>
  <c r="CH342" i="6"/>
  <c r="CG342" i="6"/>
  <c r="BS342" i="6"/>
  <c r="BO342" i="6"/>
  <c r="BN342" i="6"/>
  <c r="BL342" i="6"/>
  <c r="BK342" i="6"/>
  <c r="BJ342" i="6"/>
  <c r="BI342" i="6"/>
  <c r="BG342" i="6"/>
  <c r="BE342" i="6"/>
  <c r="BD342" i="6"/>
  <c r="AR342" i="6"/>
  <c r="BA342" i="6" s="1"/>
  <c r="BU342" i="6" s="1"/>
  <c r="AQ342" i="6"/>
  <c r="AP342" i="6"/>
  <c r="AO342" i="6"/>
  <c r="AL342" i="6"/>
  <c r="AK342" i="6"/>
  <c r="W342" i="6"/>
  <c r="S342" i="6"/>
  <c r="V342" i="6" s="1"/>
  <c r="R342" i="6"/>
  <c r="Z342" i="6" s="1"/>
  <c r="Q342" i="6"/>
  <c r="T342" i="6" s="1"/>
  <c r="Y342" i="6" s="1"/>
  <c r="J342" i="6" s="1"/>
  <c r="P342" i="6"/>
  <c r="U342" i="6" s="1"/>
  <c r="X342" i="6" s="1"/>
  <c r="O342" i="6"/>
  <c r="N342" i="6"/>
  <c r="L342" i="6"/>
  <c r="K342" i="6"/>
  <c r="C342" i="6"/>
  <c r="CY341" i="6"/>
  <c r="CX341" i="6"/>
  <c r="CP341" i="6"/>
  <c r="BV341" i="6" s="1"/>
  <c r="CO341" i="6"/>
  <c r="CN341" i="6"/>
  <c r="BT341" i="6" s="1"/>
  <c r="CM341" i="6"/>
  <c r="BS341" i="6" s="1"/>
  <c r="CL341" i="6"/>
  <c r="CK341" i="6"/>
  <c r="CJ341" i="6"/>
  <c r="CI341" i="6"/>
  <c r="CH341" i="6"/>
  <c r="CG341" i="6"/>
  <c r="BQ341" i="6"/>
  <c r="BO341" i="6"/>
  <c r="BN341" i="6"/>
  <c r="BL341" i="6"/>
  <c r="BJ341" i="6"/>
  <c r="BI341" i="6"/>
  <c r="BG341" i="6"/>
  <c r="BE341" i="6"/>
  <c r="BD341" i="6"/>
  <c r="AR341" i="6"/>
  <c r="AQ341" i="6"/>
  <c r="AX341" i="6" s="1"/>
  <c r="AP341" i="6"/>
  <c r="AO341" i="6"/>
  <c r="AL341" i="6"/>
  <c r="AK341" i="6"/>
  <c r="X341" i="6"/>
  <c r="W341" i="6"/>
  <c r="V341" i="6"/>
  <c r="U341" i="6"/>
  <c r="T341" i="6"/>
  <c r="Y341" i="6" s="1"/>
  <c r="J341" i="6" s="1"/>
  <c r="S341" i="6"/>
  <c r="R341" i="6"/>
  <c r="Z341" i="6" s="1"/>
  <c r="Q341" i="6"/>
  <c r="P341" i="6"/>
  <c r="O341" i="6"/>
  <c r="N341" i="6"/>
  <c r="L341" i="6"/>
  <c r="K341" i="6"/>
  <c r="I341" i="6"/>
  <c r="C341" i="6"/>
  <c r="CY340" i="6"/>
  <c r="CX340" i="6"/>
  <c r="CP340" i="6"/>
  <c r="BV340" i="6" s="1"/>
  <c r="CO340" i="6"/>
  <c r="CN340" i="6"/>
  <c r="BT340" i="6" s="1"/>
  <c r="CM340" i="6"/>
  <c r="CL340" i="6"/>
  <c r="CK340" i="6"/>
  <c r="CJ340" i="6"/>
  <c r="CI340" i="6"/>
  <c r="CH340" i="6"/>
  <c r="CG340" i="6"/>
  <c r="BS340" i="6"/>
  <c r="BQ340" i="6"/>
  <c r="BO340" i="6"/>
  <c r="BN340" i="6"/>
  <c r="BL340" i="6"/>
  <c r="BK340" i="6"/>
  <c r="BJ340" i="6"/>
  <c r="BI340" i="6"/>
  <c r="BH340" i="6"/>
  <c r="BG340" i="6"/>
  <c r="BE340" i="6"/>
  <c r="BD340" i="6"/>
  <c r="AX340" i="6"/>
  <c r="BR340" i="6" s="1"/>
  <c r="AS340" i="6"/>
  <c r="AR340" i="6"/>
  <c r="BA340" i="6" s="1"/>
  <c r="BU340" i="6" s="1"/>
  <c r="AQ340" i="6"/>
  <c r="AP340" i="6"/>
  <c r="AO340" i="6"/>
  <c r="AL340" i="6"/>
  <c r="AK340" i="6"/>
  <c r="Z340" i="6"/>
  <c r="W340" i="6"/>
  <c r="U340" i="6"/>
  <c r="X340" i="6" s="1"/>
  <c r="T340" i="6"/>
  <c r="Y340" i="6" s="1"/>
  <c r="J340" i="6" s="1"/>
  <c r="R340" i="6"/>
  <c r="Q340" i="6"/>
  <c r="P340" i="6"/>
  <c r="O340" i="6"/>
  <c r="N340" i="6"/>
  <c r="S340" i="6" s="1"/>
  <c r="V340" i="6" s="1"/>
  <c r="L340" i="6"/>
  <c r="M340" i="6" s="1"/>
  <c r="F340" i="6" s="1"/>
  <c r="K340" i="6"/>
  <c r="C340" i="6"/>
  <c r="CY339" i="6"/>
  <c r="CX339" i="6"/>
  <c r="CP339" i="6"/>
  <c r="CO339" i="6"/>
  <c r="CN339" i="6"/>
  <c r="CM339" i="6"/>
  <c r="CL339" i="6"/>
  <c r="CK339" i="6"/>
  <c r="CJ339" i="6"/>
  <c r="CI339" i="6"/>
  <c r="BO339" i="6" s="1"/>
  <c r="CH339" i="6"/>
  <c r="BN339" i="6" s="1"/>
  <c r="CG339" i="6"/>
  <c r="BV339" i="6"/>
  <c r="BU339" i="6"/>
  <c r="BT339" i="6"/>
  <c r="BS339" i="6"/>
  <c r="BQ339" i="6"/>
  <c r="BL339" i="6"/>
  <c r="BJ339" i="6"/>
  <c r="BI339" i="6"/>
  <c r="BG339" i="6"/>
  <c r="BE339" i="6"/>
  <c r="BD339" i="6"/>
  <c r="BA339" i="6"/>
  <c r="BK339" i="6" s="1"/>
  <c r="AX339" i="6"/>
  <c r="AV339" i="6"/>
  <c r="AS339" i="6"/>
  <c r="AR339" i="6"/>
  <c r="AQ339" i="6"/>
  <c r="AP339" i="6"/>
  <c r="AO339" i="6"/>
  <c r="AL339" i="6"/>
  <c r="AK339" i="6"/>
  <c r="Z339" i="6"/>
  <c r="Y339" i="6"/>
  <c r="J339" i="6" s="1"/>
  <c r="V339" i="6"/>
  <c r="R339" i="6"/>
  <c r="Q339" i="6"/>
  <c r="T339" i="6" s="1"/>
  <c r="P339" i="6"/>
  <c r="U339" i="6" s="1"/>
  <c r="X339" i="6" s="1"/>
  <c r="I339" i="6" s="1"/>
  <c r="O339" i="6"/>
  <c r="W339" i="6" s="1"/>
  <c r="N339" i="6"/>
  <c r="S339" i="6" s="1"/>
  <c r="L339" i="6"/>
  <c r="K339" i="6"/>
  <c r="E339" i="6"/>
  <c r="C339" i="6"/>
  <c r="CY338" i="6"/>
  <c r="CX338" i="6"/>
  <c r="CP338" i="6"/>
  <c r="CO338" i="6"/>
  <c r="CN338" i="6"/>
  <c r="CM338" i="6"/>
  <c r="CL338" i="6"/>
  <c r="CK338" i="6"/>
  <c r="CJ338" i="6"/>
  <c r="CI338" i="6"/>
  <c r="CH338" i="6"/>
  <c r="CG338" i="6"/>
  <c r="BV338" i="6"/>
  <c r="BT338" i="6"/>
  <c r="BS338" i="6"/>
  <c r="BR338" i="6"/>
  <c r="BQ338" i="6"/>
  <c r="BP338" i="6"/>
  <c r="BO338" i="6"/>
  <c r="BN338" i="6"/>
  <c r="BL338" i="6"/>
  <c r="BJ338" i="6"/>
  <c r="BI338" i="6"/>
  <c r="BG338" i="6"/>
  <c r="BE338" i="6"/>
  <c r="BD338" i="6"/>
  <c r="AR338" i="6"/>
  <c r="AV338" i="6" s="1"/>
  <c r="BF338" i="6" s="1"/>
  <c r="AQ338" i="6"/>
  <c r="AX338" i="6" s="1"/>
  <c r="BH338" i="6" s="1"/>
  <c r="AP338" i="6"/>
  <c r="AO338" i="6"/>
  <c r="AL338" i="6"/>
  <c r="AK338" i="6"/>
  <c r="Z338" i="6"/>
  <c r="R338" i="6"/>
  <c r="Q338" i="6"/>
  <c r="T338" i="6" s="1"/>
  <c r="Y338" i="6" s="1"/>
  <c r="J338" i="6" s="1"/>
  <c r="P338" i="6"/>
  <c r="U338" i="6" s="1"/>
  <c r="X338" i="6" s="1"/>
  <c r="O338" i="6"/>
  <c r="W338" i="6" s="1"/>
  <c r="N338" i="6"/>
  <c r="S338" i="6" s="1"/>
  <c r="V338" i="6" s="1"/>
  <c r="I338" i="6" s="1"/>
  <c r="L338" i="6"/>
  <c r="K338" i="6"/>
  <c r="E338" i="6" s="1"/>
  <c r="C338" i="6"/>
  <c r="CY337" i="6"/>
  <c r="CX337" i="6"/>
  <c r="CP337" i="6"/>
  <c r="CO337" i="6"/>
  <c r="CN337" i="6"/>
  <c r="CM337" i="6"/>
  <c r="BS337" i="6" s="1"/>
  <c r="CL337" i="6"/>
  <c r="CK337" i="6"/>
  <c r="BQ337" i="6" s="1"/>
  <c r="CJ337" i="6"/>
  <c r="CI337" i="6"/>
  <c r="CH337" i="6"/>
  <c r="CG337" i="6"/>
  <c r="BV337" i="6"/>
  <c r="BT337" i="6"/>
  <c r="BO337" i="6"/>
  <c r="BN337" i="6"/>
  <c r="BL337" i="6"/>
  <c r="BJ337" i="6"/>
  <c r="BI337" i="6"/>
  <c r="BG337" i="6"/>
  <c r="BF337" i="6"/>
  <c r="BE337" i="6"/>
  <c r="BD337" i="6"/>
  <c r="AX337" i="6"/>
  <c r="AV337" i="6"/>
  <c r="BP337" i="6" s="1"/>
  <c r="AS337" i="6"/>
  <c r="BM337" i="6" s="1"/>
  <c r="AR337" i="6"/>
  <c r="BA337" i="6" s="1"/>
  <c r="AQ337" i="6"/>
  <c r="AP337" i="6"/>
  <c r="AO337" i="6"/>
  <c r="AL337" i="6"/>
  <c r="AK337" i="6"/>
  <c r="S337" i="6"/>
  <c r="V337" i="6" s="1"/>
  <c r="R337" i="6"/>
  <c r="Z337" i="6" s="1"/>
  <c r="Q337" i="6"/>
  <c r="T337" i="6" s="1"/>
  <c r="Y337" i="6" s="1"/>
  <c r="P337" i="6"/>
  <c r="U337" i="6" s="1"/>
  <c r="X337" i="6" s="1"/>
  <c r="O337" i="6"/>
  <c r="W337" i="6" s="1"/>
  <c r="N337" i="6"/>
  <c r="L337" i="6"/>
  <c r="M337" i="6" s="1"/>
  <c r="K337" i="6"/>
  <c r="J337" i="6"/>
  <c r="I337" i="6"/>
  <c r="C337" i="6"/>
  <c r="CY336" i="6"/>
  <c r="CX336" i="6"/>
  <c r="CP336" i="6"/>
  <c r="CO336" i="6"/>
  <c r="CN336" i="6"/>
  <c r="CM336" i="6"/>
  <c r="CL336" i="6"/>
  <c r="CK336" i="6"/>
  <c r="CJ336" i="6"/>
  <c r="CI336" i="6"/>
  <c r="BO336" i="6" s="1"/>
  <c r="CH336" i="6"/>
  <c r="BN336" i="6" s="1"/>
  <c r="CG336" i="6"/>
  <c r="BV336" i="6"/>
  <c r="BU336" i="6"/>
  <c r="BT336" i="6"/>
  <c r="BS336" i="6"/>
  <c r="BQ336" i="6"/>
  <c r="BL336" i="6"/>
  <c r="BJ336" i="6"/>
  <c r="BI336" i="6"/>
  <c r="BG336" i="6"/>
  <c r="BE336" i="6"/>
  <c r="BD336" i="6"/>
  <c r="AR336" i="6"/>
  <c r="BA336" i="6" s="1"/>
  <c r="BK336" i="6" s="1"/>
  <c r="AQ336" i="6"/>
  <c r="AP336" i="6"/>
  <c r="AO336" i="6"/>
  <c r="AL336" i="6"/>
  <c r="AK336" i="6"/>
  <c r="U336" i="6"/>
  <c r="X336" i="6" s="1"/>
  <c r="R336" i="6"/>
  <c r="Z336" i="6" s="1"/>
  <c r="Q336" i="6"/>
  <c r="T336" i="6" s="1"/>
  <c r="Y336" i="6" s="1"/>
  <c r="J336" i="6" s="1"/>
  <c r="P336" i="6"/>
  <c r="O336" i="6"/>
  <c r="W336" i="6" s="1"/>
  <c r="N336" i="6"/>
  <c r="S336" i="6" s="1"/>
  <c r="V336" i="6" s="1"/>
  <c r="L336" i="6"/>
  <c r="K336" i="6"/>
  <c r="C336" i="6"/>
  <c r="CY335" i="6"/>
  <c r="CX335" i="6"/>
  <c r="CP335" i="6"/>
  <c r="BV335" i="6" s="1"/>
  <c r="CO335" i="6"/>
  <c r="CN335" i="6"/>
  <c r="BT335" i="6" s="1"/>
  <c r="CM335" i="6"/>
  <c r="BS335" i="6" s="1"/>
  <c r="CL335" i="6"/>
  <c r="CK335" i="6"/>
  <c r="BQ335" i="6" s="1"/>
  <c r="CJ335" i="6"/>
  <c r="CI335" i="6"/>
  <c r="BO335" i="6" s="1"/>
  <c r="CH335" i="6"/>
  <c r="BN335" i="6" s="1"/>
  <c r="CG335" i="6"/>
  <c r="BL335" i="6"/>
  <c r="BK335" i="6"/>
  <c r="BJ335" i="6"/>
  <c r="BI335" i="6"/>
  <c r="BH335" i="6"/>
  <c r="BG335" i="6"/>
  <c r="BE335" i="6"/>
  <c r="BD335" i="6"/>
  <c r="BA335" i="6"/>
  <c r="BU335" i="6" s="1"/>
  <c r="AR335" i="6"/>
  <c r="AV335" i="6" s="1"/>
  <c r="AQ335" i="6"/>
  <c r="AX335" i="6" s="1"/>
  <c r="BR335" i="6" s="1"/>
  <c r="AP335" i="6"/>
  <c r="AO335" i="6"/>
  <c r="AL335" i="6"/>
  <c r="AK335" i="6"/>
  <c r="Z335" i="6"/>
  <c r="T335" i="6"/>
  <c r="Y335" i="6" s="1"/>
  <c r="R335" i="6"/>
  <c r="Q335" i="6"/>
  <c r="P335" i="6"/>
  <c r="U335" i="6" s="1"/>
  <c r="X335" i="6" s="1"/>
  <c r="O335" i="6"/>
  <c r="W335" i="6" s="1"/>
  <c r="N335" i="6"/>
  <c r="S335" i="6" s="1"/>
  <c r="V335" i="6" s="1"/>
  <c r="M335" i="6"/>
  <c r="L335" i="6"/>
  <c r="K335" i="6"/>
  <c r="J335" i="6"/>
  <c r="C335" i="6"/>
  <c r="CY334" i="6"/>
  <c r="CX334" i="6"/>
  <c r="CP334" i="6"/>
  <c r="CO334" i="6"/>
  <c r="CN334" i="6"/>
  <c r="CM334" i="6"/>
  <c r="BS334" i="6" s="1"/>
  <c r="CL334" i="6"/>
  <c r="CK334" i="6"/>
  <c r="BQ334" i="6" s="1"/>
  <c r="CJ334" i="6"/>
  <c r="CI334" i="6"/>
  <c r="BO334" i="6" s="1"/>
  <c r="CH334" i="6"/>
  <c r="BN334" i="6" s="1"/>
  <c r="CG334" i="6"/>
  <c r="BV334" i="6"/>
  <c r="BT334" i="6"/>
  <c r="BM334" i="6"/>
  <c r="BL334" i="6"/>
  <c r="BJ334" i="6"/>
  <c r="BI334" i="6"/>
  <c r="BG334" i="6"/>
  <c r="BE334" i="6"/>
  <c r="BD334" i="6"/>
  <c r="BC334" i="6"/>
  <c r="AX334" i="6"/>
  <c r="AS334" i="6"/>
  <c r="AR334" i="6"/>
  <c r="AQ334" i="6"/>
  <c r="AP334" i="6"/>
  <c r="AO334" i="6"/>
  <c r="AL334" i="6"/>
  <c r="AK334" i="6"/>
  <c r="X334" i="6"/>
  <c r="W334" i="6"/>
  <c r="U334" i="6"/>
  <c r="S334" i="6"/>
  <c r="V334" i="6" s="1"/>
  <c r="I334" i="6" s="1"/>
  <c r="R334" i="6"/>
  <c r="Z334" i="6" s="1"/>
  <c r="Q334" i="6"/>
  <c r="T334" i="6" s="1"/>
  <c r="Y334" i="6" s="1"/>
  <c r="J334" i="6" s="1"/>
  <c r="P334" i="6"/>
  <c r="O334" i="6"/>
  <c r="N334" i="6"/>
  <c r="L334" i="6"/>
  <c r="K334" i="6"/>
  <c r="C334" i="6"/>
  <c r="CY333" i="6"/>
  <c r="CX333" i="6"/>
  <c r="CP333" i="6"/>
  <c r="CO333" i="6"/>
  <c r="CN333" i="6"/>
  <c r="BT333" i="6" s="1"/>
  <c r="CM333" i="6"/>
  <c r="BS333" i="6" s="1"/>
  <c r="CL333" i="6"/>
  <c r="CK333" i="6"/>
  <c r="BQ333" i="6" s="1"/>
  <c r="CJ333" i="6"/>
  <c r="CI333" i="6"/>
  <c r="BO333" i="6" s="1"/>
  <c r="CH333" i="6"/>
  <c r="BN333" i="6" s="1"/>
  <c r="CG333" i="6"/>
  <c r="BV333" i="6"/>
  <c r="BM333" i="6"/>
  <c r="BL333" i="6"/>
  <c r="BJ333" i="6"/>
  <c r="BI333" i="6"/>
  <c r="BG333" i="6"/>
  <c r="BF333" i="6"/>
  <c r="BE333" i="6"/>
  <c r="BD333" i="6"/>
  <c r="BC333" i="6"/>
  <c r="BA333" i="6"/>
  <c r="AX333" i="6"/>
  <c r="AV333" i="6"/>
  <c r="BP333" i="6" s="1"/>
  <c r="AS333" i="6"/>
  <c r="AR333" i="6"/>
  <c r="AQ333" i="6"/>
  <c r="AP333" i="6"/>
  <c r="AO333" i="6"/>
  <c r="AL333" i="6"/>
  <c r="AK333" i="6"/>
  <c r="T333" i="6"/>
  <c r="Y333" i="6" s="1"/>
  <c r="J333" i="6" s="1"/>
  <c r="R333" i="6"/>
  <c r="Z333" i="6" s="1"/>
  <c r="Q333" i="6"/>
  <c r="P333" i="6"/>
  <c r="U333" i="6" s="1"/>
  <c r="X333" i="6" s="1"/>
  <c r="O333" i="6"/>
  <c r="W333" i="6" s="1"/>
  <c r="N333" i="6"/>
  <c r="S333" i="6" s="1"/>
  <c r="V333" i="6" s="1"/>
  <c r="I333" i="6" s="1"/>
  <c r="L333" i="6"/>
  <c r="K333" i="6"/>
  <c r="E333" i="6"/>
  <c r="G333" i="6" s="1"/>
  <c r="C333" i="6"/>
  <c r="CY332" i="6"/>
  <c r="CX332" i="6"/>
  <c r="CP332" i="6"/>
  <c r="BV332" i="6" s="1"/>
  <c r="CO332" i="6"/>
  <c r="CN332" i="6"/>
  <c r="BT332" i="6" s="1"/>
  <c r="CM332" i="6"/>
  <c r="BS332" i="6" s="1"/>
  <c r="CL332" i="6"/>
  <c r="CK332" i="6"/>
  <c r="CJ332" i="6"/>
  <c r="CI332" i="6"/>
  <c r="CH332" i="6"/>
  <c r="BN332" i="6" s="1"/>
  <c r="CG332" i="6"/>
  <c r="BQ332" i="6"/>
  <c r="BO332" i="6"/>
  <c r="BM332" i="6"/>
  <c r="BL332" i="6"/>
  <c r="BJ332" i="6"/>
  <c r="BI332" i="6"/>
  <c r="BH332" i="6"/>
  <c r="BG332" i="6"/>
  <c r="BE332" i="6"/>
  <c r="BD332" i="6"/>
  <c r="BC332" i="6"/>
  <c r="BA332" i="6"/>
  <c r="AX332" i="6"/>
  <c r="BR332" i="6" s="1"/>
  <c r="AS332" i="6"/>
  <c r="AR332" i="6"/>
  <c r="AV332" i="6" s="1"/>
  <c r="AQ332" i="6"/>
  <c r="AP332" i="6"/>
  <c r="AO332" i="6"/>
  <c r="AL332" i="6"/>
  <c r="AK332" i="6"/>
  <c r="W332" i="6"/>
  <c r="U332" i="6"/>
  <c r="X332" i="6" s="1"/>
  <c r="T332" i="6"/>
  <c r="Y332" i="6" s="1"/>
  <c r="J332" i="6" s="1"/>
  <c r="S332" i="6"/>
  <c r="V332" i="6" s="1"/>
  <c r="I332" i="6" s="1"/>
  <c r="E332" i="6" s="1"/>
  <c r="G332" i="6" s="1"/>
  <c r="R332" i="6"/>
  <c r="Z332" i="6" s="1"/>
  <c r="Q332" i="6"/>
  <c r="P332" i="6"/>
  <c r="O332" i="6"/>
  <c r="N332" i="6"/>
  <c r="L332" i="6"/>
  <c r="K332" i="6"/>
  <c r="C332" i="6"/>
  <c r="CY331" i="6"/>
  <c r="CX331" i="6"/>
  <c r="CP331" i="6"/>
  <c r="BV331" i="6" s="1"/>
  <c r="CO331" i="6"/>
  <c r="CN331" i="6"/>
  <c r="BT331" i="6" s="1"/>
  <c r="CM331" i="6"/>
  <c r="BS331" i="6" s="1"/>
  <c r="CL331" i="6"/>
  <c r="CK331" i="6"/>
  <c r="CJ331" i="6"/>
  <c r="CI331" i="6"/>
  <c r="CH331" i="6"/>
  <c r="CG331" i="6"/>
  <c r="BQ331" i="6"/>
  <c r="BO331" i="6"/>
  <c r="BN331" i="6"/>
  <c r="BL331" i="6"/>
  <c r="BK331" i="6"/>
  <c r="BJ331" i="6"/>
  <c r="BI331" i="6"/>
  <c r="BG331" i="6"/>
  <c r="BE331" i="6"/>
  <c r="BD331" i="6"/>
  <c r="AR331" i="6"/>
  <c r="BA331" i="6" s="1"/>
  <c r="AQ331" i="6"/>
  <c r="AP331" i="6"/>
  <c r="AO331" i="6"/>
  <c r="AL331" i="6"/>
  <c r="AK331" i="6"/>
  <c r="W331" i="6"/>
  <c r="S331" i="6"/>
  <c r="V331" i="6" s="1"/>
  <c r="R331" i="6"/>
  <c r="Z331" i="6" s="1"/>
  <c r="Q331" i="6"/>
  <c r="T331" i="6" s="1"/>
  <c r="Y331" i="6" s="1"/>
  <c r="J331" i="6" s="1"/>
  <c r="P331" i="6"/>
  <c r="U331" i="6" s="1"/>
  <c r="X331" i="6" s="1"/>
  <c r="O331" i="6"/>
  <c r="N331" i="6"/>
  <c r="L331" i="6"/>
  <c r="K331" i="6"/>
  <c r="C331" i="6"/>
  <c r="CY330" i="6"/>
  <c r="CX330" i="6"/>
  <c r="CP330" i="6"/>
  <c r="BV330" i="6" s="1"/>
  <c r="CO330" i="6"/>
  <c r="CN330" i="6"/>
  <c r="CM330" i="6"/>
  <c r="BS330" i="6" s="1"/>
  <c r="CL330" i="6"/>
  <c r="CK330" i="6"/>
  <c r="CJ330" i="6"/>
  <c r="CI330" i="6"/>
  <c r="CH330" i="6"/>
  <c r="CG330" i="6"/>
  <c r="BT330" i="6"/>
  <c r="BQ330" i="6"/>
  <c r="BO330" i="6"/>
  <c r="BN330" i="6"/>
  <c r="BL330" i="6"/>
  <c r="BJ330" i="6"/>
  <c r="BI330" i="6"/>
  <c r="BH330" i="6"/>
  <c r="BG330" i="6"/>
  <c r="BE330" i="6"/>
  <c r="BD330" i="6"/>
  <c r="AR330" i="6"/>
  <c r="AQ330" i="6"/>
  <c r="AX330" i="6" s="1"/>
  <c r="AP330" i="6"/>
  <c r="AO330" i="6"/>
  <c r="AL330" i="6"/>
  <c r="AK330" i="6"/>
  <c r="Z330" i="6"/>
  <c r="Y330" i="6"/>
  <c r="J330" i="6" s="1"/>
  <c r="X330" i="6"/>
  <c r="W330" i="6"/>
  <c r="U330" i="6"/>
  <c r="T330" i="6"/>
  <c r="S330" i="6"/>
  <c r="V330" i="6" s="1"/>
  <c r="R330" i="6"/>
  <c r="Q330" i="6"/>
  <c r="P330" i="6"/>
  <c r="O330" i="6"/>
  <c r="N330" i="6"/>
  <c r="L330" i="6"/>
  <c r="K330" i="6"/>
  <c r="I330" i="6"/>
  <c r="E330" i="6"/>
  <c r="C330" i="6"/>
  <c r="CY329" i="6"/>
  <c r="CX329" i="6"/>
  <c r="CP329" i="6"/>
  <c r="CO329" i="6"/>
  <c r="CN329" i="6"/>
  <c r="CM329" i="6"/>
  <c r="CL329" i="6"/>
  <c r="CK329" i="6"/>
  <c r="CJ329" i="6"/>
  <c r="CI329" i="6"/>
  <c r="CH329" i="6"/>
  <c r="CG329" i="6"/>
  <c r="BV329" i="6"/>
  <c r="BT329" i="6"/>
  <c r="BS329" i="6"/>
  <c r="BQ329" i="6"/>
  <c r="BO329" i="6"/>
  <c r="BN329" i="6"/>
  <c r="BL329" i="6"/>
  <c r="BJ329" i="6"/>
  <c r="BI329" i="6"/>
  <c r="BG329" i="6"/>
  <c r="BE329" i="6"/>
  <c r="BD329" i="6"/>
  <c r="AR329" i="6"/>
  <c r="AQ329" i="6"/>
  <c r="AP329" i="6"/>
  <c r="AO329" i="6"/>
  <c r="AL329" i="6"/>
  <c r="AK329" i="6"/>
  <c r="Z329" i="6"/>
  <c r="W329" i="6"/>
  <c r="V329" i="6"/>
  <c r="U329" i="6"/>
  <c r="X329" i="6" s="1"/>
  <c r="T329" i="6"/>
  <c r="Y329" i="6" s="1"/>
  <c r="J329" i="6" s="1"/>
  <c r="R329" i="6"/>
  <c r="Q329" i="6"/>
  <c r="P329" i="6"/>
  <c r="O329" i="6"/>
  <c r="N329" i="6"/>
  <c r="S329" i="6" s="1"/>
  <c r="L329" i="6"/>
  <c r="K329" i="6"/>
  <c r="C329" i="6"/>
  <c r="CY328" i="6"/>
  <c r="CX328" i="6"/>
  <c r="CP328" i="6"/>
  <c r="BV328" i="6" s="1"/>
  <c r="CO328" i="6"/>
  <c r="CN328" i="6"/>
  <c r="BT328" i="6" s="1"/>
  <c r="CM328" i="6"/>
  <c r="CL328" i="6"/>
  <c r="CK328" i="6"/>
  <c r="CJ328" i="6"/>
  <c r="CI328" i="6"/>
  <c r="CH328" i="6"/>
  <c r="CG328" i="6"/>
  <c r="BS328" i="6"/>
  <c r="BQ328" i="6"/>
  <c r="BP328" i="6"/>
  <c r="BO328" i="6"/>
  <c r="BN328" i="6"/>
  <c r="BL328" i="6"/>
  <c r="BK328" i="6"/>
  <c r="BJ328" i="6"/>
  <c r="BI328" i="6"/>
  <c r="BG328" i="6"/>
  <c r="BE328" i="6"/>
  <c r="BD328" i="6"/>
  <c r="BA328" i="6"/>
  <c r="BU328" i="6" s="1"/>
  <c r="AV328" i="6"/>
  <c r="BF328" i="6" s="1"/>
  <c r="AR328" i="6"/>
  <c r="AQ328" i="6"/>
  <c r="AP328" i="6"/>
  <c r="AO328" i="6"/>
  <c r="AL328" i="6"/>
  <c r="AK328" i="6"/>
  <c r="Z328" i="6"/>
  <c r="W328" i="6"/>
  <c r="V328" i="6"/>
  <c r="R328" i="6"/>
  <c r="Q328" i="6"/>
  <c r="T328" i="6" s="1"/>
  <c r="Y328" i="6" s="1"/>
  <c r="J328" i="6" s="1"/>
  <c r="P328" i="6"/>
  <c r="U328" i="6" s="1"/>
  <c r="X328" i="6" s="1"/>
  <c r="O328" i="6"/>
  <c r="N328" i="6"/>
  <c r="S328" i="6" s="1"/>
  <c r="L328" i="6"/>
  <c r="K328" i="6"/>
  <c r="C328" i="6"/>
  <c r="CY327" i="6"/>
  <c r="CX327" i="6"/>
  <c r="CP327" i="6"/>
  <c r="CO327" i="6"/>
  <c r="CN327" i="6"/>
  <c r="CM327" i="6"/>
  <c r="CL327" i="6"/>
  <c r="CK327" i="6"/>
  <c r="BQ327" i="6" s="1"/>
  <c r="CJ327" i="6"/>
  <c r="CI327" i="6"/>
  <c r="BO327" i="6" s="1"/>
  <c r="CH327" i="6"/>
  <c r="BN327" i="6" s="1"/>
  <c r="CG327" i="6"/>
  <c r="BV327" i="6"/>
  <c r="BT327" i="6"/>
  <c r="BS327" i="6"/>
  <c r="BL327" i="6"/>
  <c r="BJ327" i="6"/>
  <c r="BI327" i="6"/>
  <c r="BG327" i="6"/>
  <c r="BE327" i="6"/>
  <c r="BD327" i="6"/>
  <c r="AR327" i="6"/>
  <c r="AQ327" i="6"/>
  <c r="AP327" i="6"/>
  <c r="AO327" i="6"/>
  <c r="AL327" i="6"/>
  <c r="AK327" i="6"/>
  <c r="Z327" i="6"/>
  <c r="Y327" i="6"/>
  <c r="J327" i="6" s="1"/>
  <c r="X327" i="6"/>
  <c r="R327" i="6"/>
  <c r="Q327" i="6"/>
  <c r="T327" i="6" s="1"/>
  <c r="P327" i="6"/>
  <c r="U327" i="6" s="1"/>
  <c r="O327" i="6"/>
  <c r="W327" i="6" s="1"/>
  <c r="N327" i="6"/>
  <c r="S327" i="6" s="1"/>
  <c r="V327" i="6" s="1"/>
  <c r="L327" i="6"/>
  <c r="K327" i="6"/>
  <c r="C327" i="6"/>
  <c r="CY326" i="6"/>
  <c r="CX326" i="6"/>
  <c r="CP326" i="6"/>
  <c r="CO326" i="6"/>
  <c r="CN326" i="6"/>
  <c r="CM326" i="6"/>
  <c r="BS326" i="6" s="1"/>
  <c r="CL326" i="6"/>
  <c r="CK326" i="6"/>
  <c r="CJ326" i="6"/>
  <c r="CI326" i="6"/>
  <c r="BO326" i="6" s="1"/>
  <c r="CH326" i="6"/>
  <c r="CG326" i="6"/>
  <c r="BV326" i="6"/>
  <c r="BT326" i="6"/>
  <c r="BQ326" i="6"/>
  <c r="BN326" i="6"/>
  <c r="BL326" i="6"/>
  <c r="BJ326" i="6"/>
  <c r="BI326" i="6"/>
  <c r="BG326" i="6"/>
  <c r="BE326" i="6"/>
  <c r="BD326" i="6"/>
  <c r="AR326" i="6"/>
  <c r="BA326" i="6" s="1"/>
  <c r="AQ326" i="6"/>
  <c r="AX326" i="6" s="1"/>
  <c r="AP326" i="6"/>
  <c r="AO326" i="6"/>
  <c r="AL326" i="6"/>
  <c r="AK326" i="6"/>
  <c r="Z326" i="6"/>
  <c r="S326" i="6"/>
  <c r="V326" i="6" s="1"/>
  <c r="R326" i="6"/>
  <c r="Q326" i="6"/>
  <c r="T326" i="6" s="1"/>
  <c r="Y326" i="6" s="1"/>
  <c r="P326" i="6"/>
  <c r="U326" i="6" s="1"/>
  <c r="X326" i="6" s="1"/>
  <c r="O326" i="6"/>
  <c r="W326" i="6" s="1"/>
  <c r="N326" i="6"/>
  <c r="L326" i="6"/>
  <c r="K326" i="6"/>
  <c r="I326" i="6"/>
  <c r="E326" i="6"/>
  <c r="C326" i="6"/>
  <c r="CY325" i="6"/>
  <c r="CX325" i="6"/>
  <c r="CP325" i="6"/>
  <c r="CO325" i="6"/>
  <c r="CN325" i="6"/>
  <c r="BT325" i="6" s="1"/>
  <c r="CM325" i="6"/>
  <c r="BS325" i="6" s="1"/>
  <c r="CL325" i="6"/>
  <c r="CK325" i="6"/>
  <c r="CJ325" i="6"/>
  <c r="CI325" i="6"/>
  <c r="BO325" i="6" s="1"/>
  <c r="CH325" i="6"/>
  <c r="BN325" i="6" s="1"/>
  <c r="CG325" i="6"/>
  <c r="BV325" i="6"/>
  <c r="BR325" i="6"/>
  <c r="BQ325" i="6"/>
  <c r="BL325" i="6"/>
  <c r="BJ325" i="6"/>
  <c r="BI325" i="6"/>
  <c r="BH325" i="6"/>
  <c r="BG325" i="6"/>
  <c r="BF325" i="6"/>
  <c r="BE325" i="6"/>
  <c r="BD325" i="6"/>
  <c r="BA325" i="6"/>
  <c r="AX325" i="6"/>
  <c r="AV325" i="6"/>
  <c r="BP325" i="6" s="1"/>
  <c r="AS325" i="6"/>
  <c r="BM325" i="6" s="1"/>
  <c r="AR325" i="6"/>
  <c r="AQ325" i="6"/>
  <c r="AP325" i="6"/>
  <c r="AO325" i="6"/>
  <c r="AL325" i="6"/>
  <c r="AK325" i="6"/>
  <c r="U325" i="6"/>
  <c r="X325" i="6" s="1"/>
  <c r="R325" i="6"/>
  <c r="Z325" i="6" s="1"/>
  <c r="Q325" i="6"/>
  <c r="T325" i="6" s="1"/>
  <c r="Y325" i="6" s="1"/>
  <c r="P325" i="6"/>
  <c r="O325" i="6"/>
  <c r="W325" i="6" s="1"/>
  <c r="N325" i="6"/>
  <c r="S325" i="6" s="1"/>
  <c r="V325" i="6" s="1"/>
  <c r="I325" i="6" s="1"/>
  <c r="L325" i="6"/>
  <c r="M325" i="6" s="1"/>
  <c r="K325" i="6"/>
  <c r="C325" i="6"/>
  <c r="CY324" i="6"/>
  <c r="CX324" i="6"/>
  <c r="CP324" i="6"/>
  <c r="CO324" i="6"/>
  <c r="CN324" i="6"/>
  <c r="CM324" i="6"/>
  <c r="CL324" i="6"/>
  <c r="CK324" i="6"/>
  <c r="BQ324" i="6" s="1"/>
  <c r="CJ324" i="6"/>
  <c r="CI324" i="6"/>
  <c r="BO324" i="6" s="1"/>
  <c r="CH324" i="6"/>
  <c r="BN324" i="6" s="1"/>
  <c r="CG324" i="6"/>
  <c r="BV324" i="6"/>
  <c r="BT324" i="6"/>
  <c r="BS324" i="6"/>
  <c r="BL324" i="6"/>
  <c r="BJ324" i="6"/>
  <c r="BI324" i="6"/>
  <c r="BG324" i="6"/>
  <c r="BE324" i="6"/>
  <c r="BD324" i="6"/>
  <c r="AR324" i="6"/>
  <c r="AV324" i="6" s="1"/>
  <c r="AQ324" i="6"/>
  <c r="AX324" i="6" s="1"/>
  <c r="AP324" i="6"/>
  <c r="AO324" i="6"/>
  <c r="AL324" i="6"/>
  <c r="AK324" i="6"/>
  <c r="W324" i="6"/>
  <c r="V324" i="6"/>
  <c r="U324" i="6"/>
  <c r="X324" i="6" s="1"/>
  <c r="S324" i="6"/>
  <c r="R324" i="6"/>
  <c r="Z324" i="6" s="1"/>
  <c r="Q324" i="6"/>
  <c r="T324" i="6" s="1"/>
  <c r="Y324" i="6" s="1"/>
  <c r="J324" i="6" s="1"/>
  <c r="P324" i="6"/>
  <c r="O324" i="6"/>
  <c r="N324" i="6"/>
  <c r="L324" i="6"/>
  <c r="K324" i="6"/>
  <c r="C324" i="6"/>
  <c r="CY323" i="6"/>
  <c r="CX323" i="6"/>
  <c r="CP323" i="6"/>
  <c r="BV323" i="6" s="1"/>
  <c r="CO323" i="6"/>
  <c r="CN323" i="6"/>
  <c r="CM323" i="6"/>
  <c r="BS323" i="6" s="1"/>
  <c r="CL323" i="6"/>
  <c r="CK323" i="6"/>
  <c r="BQ323" i="6" s="1"/>
  <c r="CJ323" i="6"/>
  <c r="CI323" i="6"/>
  <c r="BO323" i="6" s="1"/>
  <c r="CH323" i="6"/>
  <c r="BN323" i="6" s="1"/>
  <c r="CG323" i="6"/>
  <c r="BT323" i="6"/>
  <c r="BL323" i="6"/>
  <c r="BJ323" i="6"/>
  <c r="BI323" i="6"/>
  <c r="BG323" i="6"/>
  <c r="BE323" i="6"/>
  <c r="BD323" i="6"/>
  <c r="AX323" i="6"/>
  <c r="AS323" i="6"/>
  <c r="AR323" i="6"/>
  <c r="AQ323" i="6"/>
  <c r="AP323" i="6"/>
  <c r="AO323" i="6"/>
  <c r="AL323" i="6"/>
  <c r="AK323" i="6"/>
  <c r="X323" i="6"/>
  <c r="W323" i="6"/>
  <c r="S323" i="6"/>
  <c r="V323" i="6" s="1"/>
  <c r="R323" i="6"/>
  <c r="Z323" i="6" s="1"/>
  <c r="Q323" i="6"/>
  <c r="T323" i="6" s="1"/>
  <c r="Y323" i="6" s="1"/>
  <c r="P323" i="6"/>
  <c r="U323" i="6" s="1"/>
  <c r="O323" i="6"/>
  <c r="N323" i="6"/>
  <c r="L323" i="6"/>
  <c r="K323" i="6"/>
  <c r="J323" i="6"/>
  <c r="C323" i="6"/>
  <c r="CY322" i="6"/>
  <c r="CX322" i="6"/>
  <c r="CP322" i="6"/>
  <c r="CO322" i="6"/>
  <c r="CN322" i="6"/>
  <c r="BT322" i="6" s="1"/>
  <c r="CM322" i="6"/>
  <c r="BS322" i="6" s="1"/>
  <c r="CL322" i="6"/>
  <c r="CK322" i="6"/>
  <c r="BQ322" i="6" s="1"/>
  <c r="CJ322" i="6"/>
  <c r="CI322" i="6"/>
  <c r="CH322" i="6"/>
  <c r="BN322" i="6" s="1"/>
  <c r="CG322" i="6"/>
  <c r="BV322" i="6"/>
  <c r="BO322" i="6"/>
  <c r="BM322" i="6"/>
  <c r="BL322" i="6"/>
  <c r="BJ322" i="6"/>
  <c r="BI322" i="6"/>
  <c r="BG322" i="6"/>
  <c r="BF322" i="6"/>
  <c r="BE322" i="6"/>
  <c r="BD322" i="6"/>
  <c r="BC322" i="6"/>
  <c r="BA322" i="6"/>
  <c r="AX322" i="6"/>
  <c r="AV322" i="6"/>
  <c r="AS322" i="6"/>
  <c r="AR322" i="6"/>
  <c r="AQ322" i="6"/>
  <c r="AP322" i="6"/>
  <c r="AO322" i="6"/>
  <c r="AL322" i="6"/>
  <c r="AK322" i="6"/>
  <c r="Z322" i="6"/>
  <c r="X322" i="6"/>
  <c r="U322" i="6"/>
  <c r="S322" i="6"/>
  <c r="V322" i="6" s="1"/>
  <c r="I322" i="6" s="1"/>
  <c r="R322" i="6"/>
  <c r="Q322" i="6"/>
  <c r="T322" i="6" s="1"/>
  <c r="Y322" i="6" s="1"/>
  <c r="J322" i="6" s="1"/>
  <c r="P322" i="6"/>
  <c r="O322" i="6"/>
  <c r="W322" i="6" s="1"/>
  <c r="N322" i="6"/>
  <c r="L322" i="6"/>
  <c r="K322" i="6"/>
  <c r="E322" i="6"/>
  <c r="G322" i="6" s="1"/>
  <c r="C322" i="6"/>
  <c r="CY321" i="6"/>
  <c r="CX321" i="6"/>
  <c r="CP321" i="6"/>
  <c r="BV321" i="6" s="1"/>
  <c r="CO321" i="6"/>
  <c r="CN321" i="6"/>
  <c r="BT321" i="6" s="1"/>
  <c r="CM321" i="6"/>
  <c r="BS321" i="6" s="1"/>
  <c r="CL321" i="6"/>
  <c r="CK321" i="6"/>
  <c r="BQ321" i="6" s="1"/>
  <c r="CJ321" i="6"/>
  <c r="CI321" i="6"/>
  <c r="BO321" i="6" s="1"/>
  <c r="CH321" i="6"/>
  <c r="CG321" i="6"/>
  <c r="BP321" i="6"/>
  <c r="BN321" i="6"/>
  <c r="BM321" i="6"/>
  <c r="BL321" i="6"/>
  <c r="BK321" i="6"/>
  <c r="BJ321" i="6"/>
  <c r="BI321" i="6"/>
  <c r="BH321" i="6"/>
  <c r="BG321" i="6"/>
  <c r="BE321" i="6"/>
  <c r="BD321" i="6"/>
  <c r="BC321" i="6"/>
  <c r="BA321" i="6"/>
  <c r="AX321" i="6"/>
  <c r="AS321" i="6"/>
  <c r="AR321" i="6"/>
  <c r="AV321" i="6" s="1"/>
  <c r="BF321" i="6" s="1"/>
  <c r="AQ321" i="6"/>
  <c r="AP321" i="6"/>
  <c r="AO321" i="6"/>
  <c r="AL321" i="6"/>
  <c r="AK321" i="6"/>
  <c r="Y321" i="6"/>
  <c r="J321" i="6" s="1"/>
  <c r="W321" i="6"/>
  <c r="S321" i="6"/>
  <c r="V321" i="6" s="1"/>
  <c r="R321" i="6"/>
  <c r="Z321" i="6" s="1"/>
  <c r="Q321" i="6"/>
  <c r="T321" i="6" s="1"/>
  <c r="P321" i="6"/>
  <c r="U321" i="6" s="1"/>
  <c r="X321" i="6" s="1"/>
  <c r="O321" i="6"/>
  <c r="N321" i="6"/>
  <c r="L321" i="6"/>
  <c r="K321" i="6"/>
  <c r="C321" i="6"/>
  <c r="CY320" i="6"/>
  <c r="CX320" i="6"/>
  <c r="CP320" i="6"/>
  <c r="BV320" i="6" s="1"/>
  <c r="CO320" i="6"/>
  <c r="CN320" i="6"/>
  <c r="BT320" i="6" s="1"/>
  <c r="CM320" i="6"/>
  <c r="CL320" i="6"/>
  <c r="CK320" i="6"/>
  <c r="BQ320" i="6" s="1"/>
  <c r="CJ320" i="6"/>
  <c r="BP320" i="6" s="1"/>
  <c r="CI320" i="6"/>
  <c r="CH320" i="6"/>
  <c r="CG320" i="6"/>
  <c r="BS320" i="6"/>
  <c r="BO320" i="6"/>
  <c r="BN320" i="6"/>
  <c r="BL320" i="6"/>
  <c r="BK320" i="6"/>
  <c r="BJ320" i="6"/>
  <c r="BI320" i="6"/>
  <c r="BG320" i="6"/>
  <c r="BF320" i="6"/>
  <c r="BE320" i="6"/>
  <c r="BD320" i="6"/>
  <c r="AV320" i="6"/>
  <c r="AR320" i="6"/>
  <c r="BA320" i="6" s="1"/>
  <c r="AQ320" i="6"/>
  <c r="AP320" i="6"/>
  <c r="AO320" i="6"/>
  <c r="AL320" i="6"/>
  <c r="AK320" i="6"/>
  <c r="Y320" i="6"/>
  <c r="J320" i="6" s="1"/>
  <c r="W320" i="6"/>
  <c r="V320" i="6"/>
  <c r="T320" i="6"/>
  <c r="S320" i="6"/>
  <c r="R320" i="6"/>
  <c r="Z320" i="6" s="1"/>
  <c r="Q320" i="6"/>
  <c r="P320" i="6"/>
  <c r="U320" i="6" s="1"/>
  <c r="X320" i="6" s="1"/>
  <c r="O320" i="6"/>
  <c r="N320" i="6"/>
  <c r="L320" i="6"/>
  <c r="K320" i="6"/>
  <c r="I320" i="6"/>
  <c r="E320" i="6" s="1"/>
  <c r="C320" i="6"/>
  <c r="CY319" i="6"/>
  <c r="CX319" i="6"/>
  <c r="CP319" i="6"/>
  <c r="BV319" i="6" s="1"/>
  <c r="CO319" i="6"/>
  <c r="CN319" i="6"/>
  <c r="CM319" i="6"/>
  <c r="CL319" i="6"/>
  <c r="CK319" i="6"/>
  <c r="CJ319" i="6"/>
  <c r="CI319" i="6"/>
  <c r="CH319" i="6"/>
  <c r="CG319" i="6"/>
  <c r="BT319" i="6"/>
  <c r="BS319" i="6"/>
  <c r="BR319" i="6"/>
  <c r="BQ319" i="6"/>
  <c r="BO319" i="6"/>
  <c r="BN319" i="6"/>
  <c r="BL319" i="6"/>
  <c r="BJ319" i="6"/>
  <c r="BI319" i="6"/>
  <c r="BH319" i="6"/>
  <c r="BG319" i="6"/>
  <c r="BE319" i="6"/>
  <c r="BD319" i="6"/>
  <c r="AS319" i="6"/>
  <c r="AR319" i="6"/>
  <c r="AQ319" i="6"/>
  <c r="AX319" i="6" s="1"/>
  <c r="AP319" i="6"/>
  <c r="AO319" i="6"/>
  <c r="AL319" i="6"/>
  <c r="AK319" i="6"/>
  <c r="Z319" i="6"/>
  <c r="Y319" i="6"/>
  <c r="X319" i="6"/>
  <c r="W319" i="6"/>
  <c r="V319" i="6"/>
  <c r="U319" i="6"/>
  <c r="T319" i="6"/>
  <c r="S319" i="6"/>
  <c r="R319" i="6"/>
  <c r="Q319" i="6"/>
  <c r="P319" i="6"/>
  <c r="O319" i="6"/>
  <c r="N319" i="6"/>
  <c r="L319" i="6"/>
  <c r="K319" i="6"/>
  <c r="J319" i="6"/>
  <c r="I319" i="6"/>
  <c r="E319" i="6"/>
  <c r="C319" i="6"/>
  <c r="CY318" i="6"/>
  <c r="CX318" i="6"/>
  <c r="CW318" i="6"/>
  <c r="CP318" i="6"/>
  <c r="BV318" i="6" s="1"/>
  <c r="CO318" i="6"/>
  <c r="BU318" i="6" s="1"/>
  <c r="CN318" i="6"/>
  <c r="CM318" i="6"/>
  <c r="CL318" i="6"/>
  <c r="CK318" i="6"/>
  <c r="CJ318" i="6"/>
  <c r="CI318" i="6"/>
  <c r="CH318" i="6"/>
  <c r="CG318" i="6"/>
  <c r="BT318" i="6"/>
  <c r="BS318" i="6"/>
  <c r="BQ318" i="6"/>
  <c r="BP318" i="6"/>
  <c r="BO318" i="6"/>
  <c r="BN318" i="6"/>
  <c r="BM318" i="6"/>
  <c r="BL318" i="6"/>
  <c r="BK318" i="6"/>
  <c r="BJ318" i="6"/>
  <c r="BI318" i="6"/>
  <c r="BH318" i="6"/>
  <c r="BG318" i="6"/>
  <c r="BE318" i="6"/>
  <c r="BD318" i="6"/>
  <c r="AX318" i="6"/>
  <c r="BR318" i="6" s="1"/>
  <c r="AV318" i="6"/>
  <c r="BF318" i="6" s="1"/>
  <c r="AS318" i="6"/>
  <c r="BC318" i="6" s="1"/>
  <c r="AR318" i="6"/>
  <c r="BA318" i="6" s="1"/>
  <c r="AQ318" i="6"/>
  <c r="AP318" i="6"/>
  <c r="AO318" i="6"/>
  <c r="AL318" i="6"/>
  <c r="AK318" i="6"/>
  <c r="Z318" i="6"/>
  <c r="Y318" i="6"/>
  <c r="J318" i="6" s="1"/>
  <c r="X318" i="6"/>
  <c r="W318" i="6"/>
  <c r="V318" i="6"/>
  <c r="U318" i="6"/>
  <c r="T318" i="6"/>
  <c r="S318" i="6"/>
  <c r="R318" i="6"/>
  <c r="Q318" i="6"/>
  <c r="P318" i="6"/>
  <c r="O318" i="6"/>
  <c r="N318" i="6"/>
  <c r="L318" i="6"/>
  <c r="M318" i="6" s="1"/>
  <c r="K318" i="6"/>
  <c r="C318" i="6"/>
  <c r="CY317" i="6"/>
  <c r="CX317" i="6"/>
  <c r="CP317" i="6"/>
  <c r="BV317" i="6" s="1"/>
  <c r="CO317" i="6"/>
  <c r="CN317" i="6"/>
  <c r="BT317" i="6" s="1"/>
  <c r="CM317" i="6"/>
  <c r="CL317" i="6"/>
  <c r="CK317" i="6"/>
  <c r="CJ317" i="6"/>
  <c r="CI317" i="6"/>
  <c r="BO317" i="6" s="1"/>
  <c r="CH317" i="6"/>
  <c r="CG317" i="6"/>
  <c r="BS317" i="6"/>
  <c r="BQ317" i="6"/>
  <c r="BN317" i="6"/>
  <c r="BL317" i="6"/>
  <c r="BJ317" i="6"/>
  <c r="BI317" i="6"/>
  <c r="BG317" i="6"/>
  <c r="BE317" i="6"/>
  <c r="BD317" i="6"/>
  <c r="BA317" i="6"/>
  <c r="AX317" i="6"/>
  <c r="AV317" i="6"/>
  <c r="AS317" i="6"/>
  <c r="AR317" i="6"/>
  <c r="AQ317" i="6"/>
  <c r="AP317" i="6"/>
  <c r="AO317" i="6"/>
  <c r="AL317" i="6"/>
  <c r="AK317" i="6"/>
  <c r="Z317" i="6"/>
  <c r="Y317" i="6"/>
  <c r="X317" i="6"/>
  <c r="U317" i="6"/>
  <c r="T317" i="6"/>
  <c r="R317" i="6"/>
  <c r="Q317" i="6"/>
  <c r="P317" i="6"/>
  <c r="O317" i="6"/>
  <c r="W317" i="6" s="1"/>
  <c r="N317" i="6"/>
  <c r="S317" i="6" s="1"/>
  <c r="V317" i="6" s="1"/>
  <c r="L317" i="6"/>
  <c r="M317" i="6" s="1"/>
  <c r="K317" i="6"/>
  <c r="I317" i="6"/>
  <c r="C317" i="6"/>
  <c r="CY316" i="6"/>
  <c r="CX316" i="6"/>
  <c r="CP316" i="6"/>
  <c r="CO316" i="6"/>
  <c r="CN316" i="6"/>
  <c r="CM316" i="6"/>
  <c r="CL316" i="6"/>
  <c r="CK316" i="6"/>
  <c r="CJ316" i="6"/>
  <c r="CI316" i="6"/>
  <c r="BO316" i="6" s="1"/>
  <c r="CH316" i="6"/>
  <c r="BN316" i="6" s="1"/>
  <c r="CG316" i="6"/>
  <c r="BV316" i="6"/>
  <c r="BT316" i="6"/>
  <c r="BS316" i="6"/>
  <c r="BR316" i="6"/>
  <c r="BQ316" i="6"/>
  <c r="BL316" i="6"/>
  <c r="BJ316" i="6"/>
  <c r="BI316" i="6"/>
  <c r="BG316" i="6"/>
  <c r="BE316" i="6"/>
  <c r="BD316" i="6"/>
  <c r="BC316" i="6"/>
  <c r="BA316" i="6"/>
  <c r="AX316" i="6"/>
  <c r="AS316" i="6"/>
  <c r="BM316" i="6" s="1"/>
  <c r="AR316" i="6"/>
  <c r="AV316" i="6" s="1"/>
  <c r="AQ316" i="6"/>
  <c r="AP316" i="6"/>
  <c r="AO316" i="6"/>
  <c r="AL316" i="6"/>
  <c r="AK316" i="6"/>
  <c r="Z316" i="6"/>
  <c r="Y316" i="6"/>
  <c r="R316" i="6"/>
  <c r="Q316" i="6"/>
  <c r="T316" i="6" s="1"/>
  <c r="P316" i="6"/>
  <c r="U316" i="6" s="1"/>
  <c r="X316" i="6" s="1"/>
  <c r="O316" i="6"/>
  <c r="W316" i="6" s="1"/>
  <c r="N316" i="6"/>
  <c r="S316" i="6" s="1"/>
  <c r="V316" i="6" s="1"/>
  <c r="L316" i="6"/>
  <c r="K316" i="6"/>
  <c r="J316" i="6"/>
  <c r="I316" i="6"/>
  <c r="E316" i="6" s="1"/>
  <c r="G316" i="6" s="1"/>
  <c r="C316" i="6"/>
  <c r="CY315" i="6"/>
  <c r="CX315" i="6"/>
  <c r="CP315" i="6"/>
  <c r="CO315" i="6"/>
  <c r="CN315" i="6"/>
  <c r="CM315" i="6"/>
  <c r="CL315" i="6"/>
  <c r="CK315" i="6"/>
  <c r="CJ315" i="6"/>
  <c r="CI315" i="6"/>
  <c r="CH315" i="6"/>
  <c r="CG315" i="6"/>
  <c r="BV315" i="6"/>
  <c r="BU315" i="6"/>
  <c r="BT315" i="6"/>
  <c r="BS315" i="6"/>
  <c r="BR315" i="6"/>
  <c r="BQ315" i="6"/>
  <c r="BP315" i="6"/>
  <c r="BO315" i="6"/>
  <c r="BN315" i="6"/>
  <c r="BL315" i="6"/>
  <c r="BJ315" i="6"/>
  <c r="BI315" i="6"/>
  <c r="BG315" i="6"/>
  <c r="BE315" i="6"/>
  <c r="BD315" i="6"/>
  <c r="AX315" i="6"/>
  <c r="BH315" i="6" s="1"/>
  <c r="AV315" i="6"/>
  <c r="BF315" i="6" s="1"/>
  <c r="AR315" i="6"/>
  <c r="BA315" i="6" s="1"/>
  <c r="BK315" i="6" s="1"/>
  <c r="AQ315" i="6"/>
  <c r="AS315" i="6" s="1"/>
  <c r="AP315" i="6"/>
  <c r="AO315" i="6"/>
  <c r="AL315" i="6"/>
  <c r="AK315" i="6"/>
  <c r="S315" i="6"/>
  <c r="V315" i="6" s="1"/>
  <c r="R315" i="6"/>
  <c r="Z315" i="6" s="1"/>
  <c r="Q315" i="6"/>
  <c r="T315" i="6" s="1"/>
  <c r="Y315" i="6" s="1"/>
  <c r="J315" i="6" s="1"/>
  <c r="P315" i="6"/>
  <c r="U315" i="6" s="1"/>
  <c r="X315" i="6" s="1"/>
  <c r="O315" i="6"/>
  <c r="W315" i="6" s="1"/>
  <c r="N315" i="6"/>
  <c r="M315" i="6"/>
  <c r="L315" i="6"/>
  <c r="K315" i="6"/>
  <c r="C315" i="6"/>
  <c r="CY314" i="6"/>
  <c r="CX314" i="6"/>
  <c r="CP314" i="6"/>
  <c r="CO314" i="6"/>
  <c r="CN314" i="6"/>
  <c r="CM314" i="6"/>
  <c r="CL314" i="6"/>
  <c r="CK314" i="6"/>
  <c r="BQ314" i="6" s="1"/>
  <c r="CJ314" i="6"/>
  <c r="CI314" i="6"/>
  <c r="BO314" i="6" s="1"/>
  <c r="CH314" i="6"/>
  <c r="BN314" i="6" s="1"/>
  <c r="CG314" i="6"/>
  <c r="BV314" i="6"/>
  <c r="BT314" i="6"/>
  <c r="BS314" i="6"/>
  <c r="BL314" i="6"/>
  <c r="BJ314" i="6"/>
  <c r="BI314" i="6"/>
  <c r="BG314" i="6"/>
  <c r="BE314" i="6"/>
  <c r="BD314" i="6"/>
  <c r="AR314" i="6"/>
  <c r="AQ314" i="6"/>
  <c r="AX314" i="6" s="1"/>
  <c r="AP314" i="6"/>
  <c r="AO314" i="6"/>
  <c r="AL314" i="6"/>
  <c r="AK314" i="6"/>
  <c r="U314" i="6"/>
  <c r="X314" i="6" s="1"/>
  <c r="S314" i="6"/>
  <c r="V314" i="6" s="1"/>
  <c r="I314" i="6" s="1"/>
  <c r="R314" i="6"/>
  <c r="Z314" i="6" s="1"/>
  <c r="Q314" i="6"/>
  <c r="T314" i="6" s="1"/>
  <c r="Y314" i="6" s="1"/>
  <c r="P314" i="6"/>
  <c r="O314" i="6"/>
  <c r="W314" i="6" s="1"/>
  <c r="N314" i="6"/>
  <c r="L314" i="6"/>
  <c r="K314" i="6"/>
  <c r="C314" i="6"/>
  <c r="CY313" i="6"/>
  <c r="CX313" i="6"/>
  <c r="CP313" i="6"/>
  <c r="BV313" i="6" s="1"/>
  <c r="CO313" i="6"/>
  <c r="CN313" i="6"/>
  <c r="BT313" i="6" s="1"/>
  <c r="CM313" i="6"/>
  <c r="CL313" i="6"/>
  <c r="CK313" i="6"/>
  <c r="BQ313" i="6" s="1"/>
  <c r="CJ313" i="6"/>
  <c r="CI313" i="6"/>
  <c r="BO313" i="6" s="1"/>
  <c r="CH313" i="6"/>
  <c r="BN313" i="6" s="1"/>
  <c r="CG313" i="6"/>
  <c r="BS313" i="6"/>
  <c r="BL313" i="6"/>
  <c r="BJ313" i="6"/>
  <c r="BI313" i="6"/>
  <c r="BG313" i="6"/>
  <c r="BE313" i="6"/>
  <c r="BD313" i="6"/>
  <c r="BA313" i="6"/>
  <c r="AR313" i="6"/>
  <c r="AV313" i="6" s="1"/>
  <c r="AQ313" i="6"/>
  <c r="AX313" i="6" s="1"/>
  <c r="AP313" i="6"/>
  <c r="AO313" i="6"/>
  <c r="AL313" i="6"/>
  <c r="AK313" i="6"/>
  <c r="R313" i="6"/>
  <c r="Z313" i="6" s="1"/>
  <c r="Q313" i="6"/>
  <c r="T313" i="6" s="1"/>
  <c r="Y313" i="6" s="1"/>
  <c r="J313" i="6" s="1"/>
  <c r="P313" i="6"/>
  <c r="U313" i="6" s="1"/>
  <c r="X313" i="6" s="1"/>
  <c r="O313" i="6"/>
  <c r="W313" i="6" s="1"/>
  <c r="N313" i="6"/>
  <c r="S313" i="6" s="1"/>
  <c r="V313" i="6" s="1"/>
  <c r="L313" i="6"/>
  <c r="K313" i="6"/>
  <c r="C313" i="6"/>
  <c r="CY312" i="6"/>
  <c r="CX312" i="6"/>
  <c r="CW312" i="6"/>
  <c r="CP312" i="6"/>
  <c r="CO312" i="6"/>
  <c r="CN312" i="6"/>
  <c r="CM312" i="6"/>
  <c r="BS312" i="6" s="1"/>
  <c r="CL312" i="6"/>
  <c r="CK312" i="6"/>
  <c r="BQ312" i="6" s="1"/>
  <c r="CJ312" i="6"/>
  <c r="CI312" i="6"/>
  <c r="BO312" i="6" s="1"/>
  <c r="CH312" i="6"/>
  <c r="BN312" i="6" s="1"/>
  <c r="CG312" i="6"/>
  <c r="BV312" i="6"/>
  <c r="BU312" i="6"/>
  <c r="BT312" i="6"/>
  <c r="BL312" i="6"/>
  <c r="BK312" i="6"/>
  <c r="BJ312" i="6"/>
  <c r="BI312" i="6"/>
  <c r="BG312" i="6"/>
  <c r="BF312" i="6"/>
  <c r="BE312" i="6"/>
  <c r="BD312" i="6"/>
  <c r="BA312" i="6"/>
  <c r="AX312" i="6"/>
  <c r="AS312" i="6"/>
  <c r="AR312" i="6"/>
  <c r="AV312" i="6" s="1"/>
  <c r="AQ312" i="6"/>
  <c r="AP312" i="6"/>
  <c r="AO312" i="6"/>
  <c r="AL312" i="6"/>
  <c r="AK312" i="6"/>
  <c r="Y312" i="6"/>
  <c r="J312" i="6" s="1"/>
  <c r="V312" i="6"/>
  <c r="R312" i="6"/>
  <c r="Z312" i="6" s="1"/>
  <c r="Q312" i="6"/>
  <c r="T312" i="6" s="1"/>
  <c r="P312" i="6"/>
  <c r="U312" i="6" s="1"/>
  <c r="X312" i="6" s="1"/>
  <c r="O312" i="6"/>
  <c r="W312" i="6" s="1"/>
  <c r="N312" i="6"/>
  <c r="S312" i="6" s="1"/>
  <c r="M312" i="6"/>
  <c r="L312" i="6"/>
  <c r="K312" i="6"/>
  <c r="C312" i="6"/>
  <c r="CY311" i="6"/>
  <c r="CX311" i="6"/>
  <c r="CP311" i="6"/>
  <c r="BV311" i="6" s="1"/>
  <c r="CO311" i="6"/>
  <c r="CN311" i="6"/>
  <c r="BT311" i="6" s="1"/>
  <c r="CM311" i="6"/>
  <c r="BS311" i="6" s="1"/>
  <c r="CL311" i="6"/>
  <c r="CK311" i="6"/>
  <c r="BQ311" i="6" s="1"/>
  <c r="CJ311" i="6"/>
  <c r="CI311" i="6"/>
  <c r="BO311" i="6" s="1"/>
  <c r="CH311" i="6"/>
  <c r="CG311" i="6"/>
  <c r="BN311" i="6"/>
  <c r="BL311" i="6"/>
  <c r="BK311" i="6"/>
  <c r="BJ311" i="6"/>
  <c r="BI311" i="6"/>
  <c r="BH311" i="6"/>
  <c r="BG311" i="6"/>
  <c r="BF311" i="6"/>
  <c r="BE311" i="6"/>
  <c r="BD311" i="6"/>
  <c r="BC311" i="6"/>
  <c r="BA311" i="6"/>
  <c r="BU311" i="6" s="1"/>
  <c r="AX311" i="6"/>
  <c r="AV311" i="6"/>
  <c r="BP311" i="6" s="1"/>
  <c r="AR311" i="6"/>
  <c r="AQ311" i="6"/>
  <c r="AS311" i="6" s="1"/>
  <c r="BM311" i="6" s="1"/>
  <c r="AP311" i="6"/>
  <c r="AO311" i="6"/>
  <c r="AL311" i="6"/>
  <c r="AK311" i="6"/>
  <c r="W311" i="6"/>
  <c r="T311" i="6"/>
  <c r="Y311" i="6" s="1"/>
  <c r="J311" i="6" s="1"/>
  <c r="S311" i="6"/>
  <c r="V311" i="6" s="1"/>
  <c r="I311" i="6" s="1"/>
  <c r="R311" i="6"/>
  <c r="Z311" i="6" s="1"/>
  <c r="Q311" i="6"/>
  <c r="P311" i="6"/>
  <c r="U311" i="6" s="1"/>
  <c r="X311" i="6" s="1"/>
  <c r="O311" i="6"/>
  <c r="N311" i="6"/>
  <c r="L311" i="6"/>
  <c r="M311" i="6" s="1"/>
  <c r="F311" i="6" s="1"/>
  <c r="K311" i="6"/>
  <c r="C311" i="6"/>
  <c r="CY310" i="6"/>
  <c r="CX310" i="6"/>
  <c r="CP310" i="6"/>
  <c r="CO310" i="6"/>
  <c r="CN310" i="6"/>
  <c r="BT310" i="6" s="1"/>
  <c r="CM310" i="6"/>
  <c r="BS310" i="6" s="1"/>
  <c r="CL310" i="6"/>
  <c r="CK310" i="6"/>
  <c r="BQ310" i="6" s="1"/>
  <c r="CJ310" i="6"/>
  <c r="CI310" i="6"/>
  <c r="BO310" i="6" s="1"/>
  <c r="CH310" i="6"/>
  <c r="BN310" i="6" s="1"/>
  <c r="CG310" i="6"/>
  <c r="BM310" i="6" s="1"/>
  <c r="BV310" i="6"/>
  <c r="BL310" i="6"/>
  <c r="BJ310" i="6"/>
  <c r="BI310" i="6"/>
  <c r="BH310" i="6"/>
  <c r="BG310" i="6"/>
  <c r="BF310" i="6"/>
  <c r="BE310" i="6"/>
  <c r="BD310" i="6"/>
  <c r="BA310" i="6"/>
  <c r="AX310" i="6"/>
  <c r="BR310" i="6" s="1"/>
  <c r="AV310" i="6"/>
  <c r="AS310" i="6"/>
  <c r="BC310" i="6" s="1"/>
  <c r="AR310" i="6"/>
  <c r="AQ310" i="6"/>
  <c r="AP310" i="6"/>
  <c r="AO310" i="6"/>
  <c r="AL310" i="6"/>
  <c r="AK310" i="6"/>
  <c r="S310" i="6"/>
  <c r="V310" i="6" s="1"/>
  <c r="R310" i="6"/>
  <c r="Z310" i="6" s="1"/>
  <c r="Q310" i="6"/>
  <c r="T310" i="6" s="1"/>
  <c r="Y310" i="6" s="1"/>
  <c r="J310" i="6" s="1"/>
  <c r="P310" i="6"/>
  <c r="U310" i="6" s="1"/>
  <c r="X310" i="6" s="1"/>
  <c r="O310" i="6"/>
  <c r="W310" i="6" s="1"/>
  <c r="N310" i="6"/>
  <c r="L310" i="6"/>
  <c r="M310" i="6" s="1"/>
  <c r="K310" i="6"/>
  <c r="C310" i="6"/>
  <c r="CY309" i="6"/>
  <c r="CX309" i="6"/>
  <c r="CP309" i="6"/>
  <c r="CO309" i="6"/>
  <c r="CN309" i="6"/>
  <c r="BT309" i="6" s="1"/>
  <c r="CM309" i="6"/>
  <c r="BS309" i="6" s="1"/>
  <c r="CL309" i="6"/>
  <c r="CK309" i="6"/>
  <c r="BQ309" i="6" s="1"/>
  <c r="CJ309" i="6"/>
  <c r="CI309" i="6"/>
  <c r="BO309" i="6" s="1"/>
  <c r="CH309" i="6"/>
  <c r="BN309" i="6" s="1"/>
  <c r="CG309" i="6"/>
  <c r="BV309" i="6"/>
  <c r="BL309" i="6"/>
  <c r="BJ309" i="6"/>
  <c r="BI309" i="6"/>
  <c r="BG309" i="6"/>
  <c r="BE309" i="6"/>
  <c r="BD309" i="6"/>
  <c r="AX309" i="6"/>
  <c r="AV309" i="6"/>
  <c r="AS309" i="6"/>
  <c r="AR309" i="6"/>
  <c r="BA309" i="6" s="1"/>
  <c r="AQ309" i="6"/>
  <c r="AP309" i="6"/>
  <c r="AO309" i="6"/>
  <c r="AL309" i="6"/>
  <c r="AK309" i="6"/>
  <c r="W309" i="6"/>
  <c r="V309" i="6"/>
  <c r="I309" i="6" s="1"/>
  <c r="R309" i="6"/>
  <c r="Z309" i="6" s="1"/>
  <c r="Q309" i="6"/>
  <c r="T309" i="6" s="1"/>
  <c r="Y309" i="6" s="1"/>
  <c r="J309" i="6" s="1"/>
  <c r="P309" i="6"/>
  <c r="U309" i="6" s="1"/>
  <c r="X309" i="6" s="1"/>
  <c r="O309" i="6"/>
  <c r="N309" i="6"/>
  <c r="S309" i="6" s="1"/>
  <c r="L309" i="6"/>
  <c r="K309" i="6"/>
  <c r="C309" i="6"/>
  <c r="CY308" i="6"/>
  <c r="CX308" i="6"/>
  <c r="CP308" i="6"/>
  <c r="BV308" i="6" s="1"/>
  <c r="CO308" i="6"/>
  <c r="CN308" i="6"/>
  <c r="BT308" i="6" s="1"/>
  <c r="CM308" i="6"/>
  <c r="BS308" i="6" s="1"/>
  <c r="CL308" i="6"/>
  <c r="CK308" i="6"/>
  <c r="BQ308" i="6" s="1"/>
  <c r="CJ308" i="6"/>
  <c r="CI308" i="6"/>
  <c r="BO308" i="6" s="1"/>
  <c r="CH308" i="6"/>
  <c r="BN308" i="6" s="1"/>
  <c r="CG308" i="6"/>
  <c r="BL308" i="6"/>
  <c r="BJ308" i="6"/>
  <c r="BI308" i="6"/>
  <c r="BG308" i="6"/>
  <c r="BE308" i="6"/>
  <c r="BD308" i="6"/>
  <c r="BC308" i="6"/>
  <c r="BA308" i="6"/>
  <c r="AX308" i="6"/>
  <c r="AV308" i="6"/>
  <c r="AS308" i="6"/>
  <c r="AR308" i="6"/>
  <c r="AQ308" i="6"/>
  <c r="AP308" i="6"/>
  <c r="AO308" i="6"/>
  <c r="AL308" i="6"/>
  <c r="AK308" i="6"/>
  <c r="X308" i="6"/>
  <c r="W308" i="6"/>
  <c r="R308" i="6"/>
  <c r="Z308" i="6" s="1"/>
  <c r="Q308" i="6"/>
  <c r="T308" i="6" s="1"/>
  <c r="Y308" i="6" s="1"/>
  <c r="J308" i="6" s="1"/>
  <c r="P308" i="6"/>
  <c r="U308" i="6" s="1"/>
  <c r="O308" i="6"/>
  <c r="N308" i="6"/>
  <c r="S308" i="6" s="1"/>
  <c r="V308" i="6" s="1"/>
  <c r="L308" i="6"/>
  <c r="K308" i="6"/>
  <c r="C308" i="6"/>
  <c r="CY307" i="6"/>
  <c r="CX307" i="6"/>
  <c r="CP307" i="6"/>
  <c r="CO307" i="6"/>
  <c r="CN307" i="6"/>
  <c r="BT307" i="6" s="1"/>
  <c r="CM307" i="6"/>
  <c r="BS307" i="6" s="1"/>
  <c r="CL307" i="6"/>
  <c r="CK307" i="6"/>
  <c r="BQ307" i="6" s="1"/>
  <c r="CJ307" i="6"/>
  <c r="CI307" i="6"/>
  <c r="BO307" i="6" s="1"/>
  <c r="CH307" i="6"/>
  <c r="BN307" i="6" s="1"/>
  <c r="CG307" i="6"/>
  <c r="BV307" i="6"/>
  <c r="BL307" i="6"/>
  <c r="BJ307" i="6"/>
  <c r="BI307" i="6"/>
  <c r="BG307" i="6"/>
  <c r="BE307" i="6"/>
  <c r="BD307" i="6"/>
  <c r="AX307" i="6"/>
  <c r="AS307" i="6"/>
  <c r="AR307" i="6"/>
  <c r="AQ307" i="6"/>
  <c r="AP307" i="6"/>
  <c r="AO307" i="6"/>
  <c r="AL307" i="6"/>
  <c r="AK307" i="6"/>
  <c r="W307" i="6"/>
  <c r="U307" i="6"/>
  <c r="X307" i="6" s="1"/>
  <c r="T307" i="6"/>
  <c r="Y307" i="6" s="1"/>
  <c r="S307" i="6"/>
  <c r="V307" i="6" s="1"/>
  <c r="I307" i="6" s="1"/>
  <c r="R307" i="6"/>
  <c r="Z307" i="6" s="1"/>
  <c r="Q307" i="6"/>
  <c r="P307" i="6"/>
  <c r="O307" i="6"/>
  <c r="N307" i="6"/>
  <c r="L307" i="6"/>
  <c r="K307" i="6"/>
  <c r="J307" i="6"/>
  <c r="C307" i="6"/>
  <c r="CY306" i="6"/>
  <c r="CX306" i="6"/>
  <c r="CP306" i="6"/>
  <c r="BV306" i="6" s="1"/>
  <c r="CO306" i="6"/>
  <c r="CN306" i="6"/>
  <c r="BT306" i="6" s="1"/>
  <c r="CM306" i="6"/>
  <c r="BS306" i="6" s="1"/>
  <c r="CL306" i="6"/>
  <c r="CK306" i="6"/>
  <c r="BQ306" i="6" s="1"/>
  <c r="CJ306" i="6"/>
  <c r="CI306" i="6"/>
  <c r="BO306" i="6" s="1"/>
  <c r="CH306" i="6"/>
  <c r="BN306" i="6" s="1"/>
  <c r="CG306" i="6"/>
  <c r="BL306" i="6"/>
  <c r="BJ306" i="6"/>
  <c r="BI306" i="6"/>
  <c r="BG306" i="6"/>
  <c r="BE306" i="6"/>
  <c r="BD306" i="6"/>
  <c r="AX306" i="6"/>
  <c r="AS306" i="6"/>
  <c r="AR306" i="6"/>
  <c r="AQ306" i="6"/>
  <c r="AP306" i="6"/>
  <c r="AO306" i="6"/>
  <c r="AL306" i="6"/>
  <c r="AK306" i="6"/>
  <c r="S306" i="6"/>
  <c r="V306" i="6" s="1"/>
  <c r="I306" i="6" s="1"/>
  <c r="R306" i="6"/>
  <c r="Z306" i="6" s="1"/>
  <c r="Q306" i="6"/>
  <c r="T306" i="6" s="1"/>
  <c r="Y306" i="6" s="1"/>
  <c r="P306" i="6"/>
  <c r="U306" i="6" s="1"/>
  <c r="X306" i="6" s="1"/>
  <c r="O306" i="6"/>
  <c r="W306" i="6" s="1"/>
  <c r="N306" i="6"/>
  <c r="L306" i="6"/>
  <c r="K306" i="6"/>
  <c r="J306" i="6"/>
  <c r="C306" i="6"/>
  <c r="CY305" i="6"/>
  <c r="CX305" i="6"/>
  <c r="CP305" i="6"/>
  <c r="CO305" i="6"/>
  <c r="CN305" i="6"/>
  <c r="CM305" i="6"/>
  <c r="BS305" i="6" s="1"/>
  <c r="CL305" i="6"/>
  <c r="CK305" i="6"/>
  <c r="BQ305" i="6" s="1"/>
  <c r="CJ305" i="6"/>
  <c r="CI305" i="6"/>
  <c r="BO305" i="6" s="1"/>
  <c r="CH305" i="6"/>
  <c r="BN305" i="6" s="1"/>
  <c r="CG305" i="6"/>
  <c r="BV305" i="6"/>
  <c r="BT305" i="6"/>
  <c r="BL305" i="6"/>
  <c r="BJ305" i="6"/>
  <c r="BI305" i="6"/>
  <c r="BH305" i="6"/>
  <c r="BG305" i="6"/>
  <c r="BE305" i="6"/>
  <c r="BD305" i="6"/>
  <c r="AX305" i="6"/>
  <c r="BR305" i="6" s="1"/>
  <c r="AR305" i="6"/>
  <c r="BA305" i="6" s="1"/>
  <c r="AQ305" i="6"/>
  <c r="AS305" i="6" s="1"/>
  <c r="AP305" i="6"/>
  <c r="AO305" i="6"/>
  <c r="AL305" i="6"/>
  <c r="AK305" i="6"/>
  <c r="U305" i="6"/>
  <c r="X305" i="6" s="1"/>
  <c r="S305" i="6"/>
  <c r="V305" i="6" s="1"/>
  <c r="R305" i="6"/>
  <c r="Z305" i="6" s="1"/>
  <c r="Q305" i="6"/>
  <c r="T305" i="6" s="1"/>
  <c r="Y305" i="6" s="1"/>
  <c r="P305" i="6"/>
  <c r="O305" i="6"/>
  <c r="W305" i="6" s="1"/>
  <c r="N305" i="6"/>
  <c r="L305" i="6"/>
  <c r="K305" i="6"/>
  <c r="C305" i="6"/>
  <c r="CY304" i="6"/>
  <c r="CX304" i="6"/>
  <c r="CP304" i="6"/>
  <c r="CO304" i="6"/>
  <c r="CN304" i="6"/>
  <c r="BT304" i="6" s="1"/>
  <c r="CM304" i="6"/>
  <c r="BS304" i="6" s="1"/>
  <c r="CL304" i="6"/>
  <c r="BR304" i="6" s="1"/>
  <c r="CK304" i="6"/>
  <c r="BQ304" i="6" s="1"/>
  <c r="CJ304" i="6"/>
  <c r="CI304" i="6"/>
  <c r="BO304" i="6" s="1"/>
  <c r="CH304" i="6"/>
  <c r="BN304" i="6" s="1"/>
  <c r="CG304" i="6"/>
  <c r="BV304" i="6"/>
  <c r="BL304" i="6"/>
  <c r="BJ304" i="6"/>
  <c r="BI304" i="6"/>
  <c r="BH304" i="6"/>
  <c r="BG304" i="6"/>
  <c r="BE304" i="6"/>
  <c r="BD304" i="6"/>
  <c r="BC304" i="6"/>
  <c r="AS304" i="6"/>
  <c r="BM304" i="6" s="1"/>
  <c r="AR304" i="6"/>
  <c r="BA304" i="6" s="1"/>
  <c r="AQ304" i="6"/>
  <c r="AX304" i="6" s="1"/>
  <c r="AP304" i="6"/>
  <c r="AO304" i="6"/>
  <c r="AL304" i="6"/>
  <c r="AK304" i="6"/>
  <c r="W304" i="6"/>
  <c r="R304" i="6"/>
  <c r="Z304" i="6" s="1"/>
  <c r="Q304" i="6"/>
  <c r="T304" i="6" s="1"/>
  <c r="Y304" i="6" s="1"/>
  <c r="J304" i="6" s="1"/>
  <c r="P304" i="6"/>
  <c r="U304" i="6" s="1"/>
  <c r="X304" i="6" s="1"/>
  <c r="O304" i="6"/>
  <c r="N304" i="6"/>
  <c r="S304" i="6" s="1"/>
  <c r="V304" i="6" s="1"/>
  <c r="L304" i="6"/>
  <c r="K304" i="6"/>
  <c r="C304" i="6"/>
  <c r="CY303" i="6"/>
  <c r="CX303" i="6"/>
  <c r="CP303" i="6"/>
  <c r="CO303" i="6"/>
  <c r="CN303" i="6"/>
  <c r="BT303" i="6" s="1"/>
  <c r="CM303" i="6"/>
  <c r="BS303" i="6" s="1"/>
  <c r="CL303" i="6"/>
  <c r="CK303" i="6"/>
  <c r="BQ303" i="6" s="1"/>
  <c r="CJ303" i="6"/>
  <c r="CI303" i="6"/>
  <c r="CH303" i="6"/>
  <c r="BN303" i="6" s="1"/>
  <c r="CG303" i="6"/>
  <c r="BV303" i="6"/>
  <c r="BU303" i="6"/>
  <c r="BO303" i="6"/>
  <c r="BM303" i="6"/>
  <c r="BL303" i="6"/>
  <c r="BK303" i="6"/>
  <c r="BJ303" i="6"/>
  <c r="BI303" i="6"/>
  <c r="BG303" i="6"/>
  <c r="BE303" i="6"/>
  <c r="BD303" i="6"/>
  <c r="BA303" i="6"/>
  <c r="AX303" i="6"/>
  <c r="AS303" i="6"/>
  <c r="BC303" i="6" s="1"/>
  <c r="AR303" i="6"/>
  <c r="AV303" i="6" s="1"/>
  <c r="AQ303" i="6"/>
  <c r="AP303" i="6"/>
  <c r="AO303" i="6"/>
  <c r="AL303" i="6"/>
  <c r="AK303" i="6"/>
  <c r="W303" i="6"/>
  <c r="V303" i="6"/>
  <c r="U303" i="6"/>
  <c r="X303" i="6" s="1"/>
  <c r="T303" i="6"/>
  <c r="Y303" i="6" s="1"/>
  <c r="J303" i="6" s="1"/>
  <c r="S303" i="6"/>
  <c r="R303" i="6"/>
  <c r="Z303" i="6" s="1"/>
  <c r="Q303" i="6"/>
  <c r="P303" i="6"/>
  <c r="O303" i="6"/>
  <c r="N303" i="6"/>
  <c r="L303" i="6"/>
  <c r="M303" i="6" s="1"/>
  <c r="F303" i="6" s="1"/>
  <c r="K303" i="6"/>
  <c r="C303" i="6"/>
  <c r="CY302" i="6"/>
  <c r="CX302" i="6"/>
  <c r="CP302" i="6"/>
  <c r="BV302" i="6" s="1"/>
  <c r="CO302" i="6"/>
  <c r="CN302" i="6"/>
  <c r="BT302" i="6" s="1"/>
  <c r="CM302" i="6"/>
  <c r="BS302" i="6" s="1"/>
  <c r="CL302" i="6"/>
  <c r="CK302" i="6"/>
  <c r="CJ302" i="6"/>
  <c r="CI302" i="6"/>
  <c r="BO302" i="6" s="1"/>
  <c r="CH302" i="6"/>
  <c r="BN302" i="6" s="1"/>
  <c r="CG302" i="6"/>
  <c r="BQ302" i="6"/>
  <c r="BL302" i="6"/>
  <c r="BJ302" i="6"/>
  <c r="BI302" i="6"/>
  <c r="BG302" i="6"/>
  <c r="BE302" i="6"/>
  <c r="BD302" i="6"/>
  <c r="BA302" i="6"/>
  <c r="AX302" i="6"/>
  <c r="AV302" i="6"/>
  <c r="AR302" i="6"/>
  <c r="AQ302" i="6"/>
  <c r="AS302" i="6" s="1"/>
  <c r="AP302" i="6"/>
  <c r="AO302" i="6"/>
  <c r="AL302" i="6"/>
  <c r="AK302" i="6"/>
  <c r="Z302" i="6"/>
  <c r="Y302" i="6"/>
  <c r="X302" i="6"/>
  <c r="W302" i="6"/>
  <c r="T302" i="6"/>
  <c r="R302" i="6"/>
  <c r="Q302" i="6"/>
  <c r="P302" i="6"/>
  <c r="U302" i="6" s="1"/>
  <c r="O302" i="6"/>
  <c r="N302" i="6"/>
  <c r="S302" i="6" s="1"/>
  <c r="V302" i="6" s="1"/>
  <c r="L302" i="6"/>
  <c r="K302" i="6"/>
  <c r="C302" i="6"/>
  <c r="CY301" i="6"/>
  <c r="CX301" i="6"/>
  <c r="CP301" i="6"/>
  <c r="BV301" i="6" s="1"/>
  <c r="CO301" i="6"/>
  <c r="CN301" i="6"/>
  <c r="BT301" i="6" s="1"/>
  <c r="CM301" i="6"/>
  <c r="CL301" i="6"/>
  <c r="CK301" i="6"/>
  <c r="BQ301" i="6" s="1"/>
  <c r="CJ301" i="6"/>
  <c r="CI301" i="6"/>
  <c r="CH301" i="6"/>
  <c r="CG301" i="6"/>
  <c r="BS301" i="6"/>
  <c r="BP301" i="6"/>
  <c r="BO301" i="6"/>
  <c r="BN301" i="6"/>
  <c r="BL301" i="6"/>
  <c r="BJ301" i="6"/>
  <c r="BI301" i="6"/>
  <c r="BH301" i="6"/>
  <c r="BG301" i="6"/>
  <c r="BF301" i="6"/>
  <c r="BE301" i="6"/>
  <c r="BD301" i="6"/>
  <c r="BA301" i="6"/>
  <c r="AV301" i="6"/>
  <c r="AR301" i="6"/>
  <c r="AQ301" i="6"/>
  <c r="AX301" i="6" s="1"/>
  <c r="BR301" i="6" s="1"/>
  <c r="AP301" i="6"/>
  <c r="AO301" i="6"/>
  <c r="AL301" i="6"/>
  <c r="AK301" i="6"/>
  <c r="R301" i="6"/>
  <c r="Z301" i="6" s="1"/>
  <c r="Q301" i="6"/>
  <c r="T301" i="6" s="1"/>
  <c r="Y301" i="6" s="1"/>
  <c r="J301" i="6" s="1"/>
  <c r="P301" i="6"/>
  <c r="U301" i="6" s="1"/>
  <c r="X301" i="6" s="1"/>
  <c r="O301" i="6"/>
  <c r="W301" i="6" s="1"/>
  <c r="N301" i="6"/>
  <c r="S301" i="6" s="1"/>
  <c r="V301" i="6" s="1"/>
  <c r="L301" i="6"/>
  <c r="K301" i="6"/>
  <c r="C301" i="6"/>
  <c r="CY300" i="6"/>
  <c r="CX300" i="6"/>
  <c r="CP300" i="6"/>
  <c r="BV300" i="6" s="1"/>
  <c r="CO300" i="6"/>
  <c r="CN300" i="6"/>
  <c r="BT300" i="6" s="1"/>
  <c r="CM300" i="6"/>
  <c r="BS300" i="6" s="1"/>
  <c r="CL300" i="6"/>
  <c r="CK300" i="6"/>
  <c r="CJ300" i="6"/>
  <c r="CI300" i="6"/>
  <c r="CH300" i="6"/>
  <c r="CG300" i="6"/>
  <c r="BQ300" i="6"/>
  <c r="BO300" i="6"/>
  <c r="BN300" i="6"/>
  <c r="BM300" i="6"/>
  <c r="BL300" i="6"/>
  <c r="BJ300" i="6"/>
  <c r="BI300" i="6"/>
  <c r="BH300" i="6"/>
  <c r="BG300" i="6"/>
  <c r="BE300" i="6"/>
  <c r="BD300" i="6"/>
  <c r="BC300" i="6"/>
  <c r="AX300" i="6"/>
  <c r="AR300" i="6"/>
  <c r="BA300" i="6" s="1"/>
  <c r="AQ300" i="6"/>
  <c r="AS300" i="6" s="1"/>
  <c r="AP300" i="6"/>
  <c r="AO300" i="6"/>
  <c r="AL300" i="6"/>
  <c r="AK300" i="6"/>
  <c r="Z300" i="6"/>
  <c r="X300" i="6"/>
  <c r="W300" i="6"/>
  <c r="R300" i="6"/>
  <c r="Q300" i="6"/>
  <c r="T300" i="6" s="1"/>
  <c r="Y300" i="6" s="1"/>
  <c r="J300" i="6" s="1"/>
  <c r="P300" i="6"/>
  <c r="U300" i="6" s="1"/>
  <c r="O300" i="6"/>
  <c r="N300" i="6"/>
  <c r="S300" i="6" s="1"/>
  <c r="V300" i="6" s="1"/>
  <c r="I300" i="6" s="1"/>
  <c r="L300" i="6"/>
  <c r="M300" i="6" s="1"/>
  <c r="CW300" i="6" s="1"/>
  <c r="K300" i="6"/>
  <c r="F300" i="6"/>
  <c r="E300" i="6"/>
  <c r="C300" i="6"/>
  <c r="CY299" i="6"/>
  <c r="CX299" i="6"/>
  <c r="CP299" i="6"/>
  <c r="BV299" i="6" s="1"/>
  <c r="CO299" i="6"/>
  <c r="CN299" i="6"/>
  <c r="BT299" i="6" s="1"/>
  <c r="CM299" i="6"/>
  <c r="BS299" i="6" s="1"/>
  <c r="CL299" i="6"/>
  <c r="CK299" i="6"/>
  <c r="BQ299" i="6" s="1"/>
  <c r="CJ299" i="6"/>
  <c r="CI299" i="6"/>
  <c r="CH299" i="6"/>
  <c r="CG299" i="6"/>
  <c r="BO299" i="6"/>
  <c r="BN299" i="6"/>
  <c r="BL299" i="6"/>
  <c r="BJ299" i="6"/>
  <c r="BI299" i="6"/>
  <c r="BH299" i="6"/>
  <c r="BG299" i="6"/>
  <c r="BE299" i="6"/>
  <c r="BD299" i="6"/>
  <c r="BA299" i="6"/>
  <c r="AV299" i="6"/>
  <c r="BP299" i="6" s="1"/>
  <c r="AR299" i="6"/>
  <c r="AQ299" i="6"/>
  <c r="AX299" i="6" s="1"/>
  <c r="AP299" i="6"/>
  <c r="AO299" i="6"/>
  <c r="AL299" i="6"/>
  <c r="AK299" i="6"/>
  <c r="R299" i="6"/>
  <c r="Z299" i="6" s="1"/>
  <c r="Q299" i="6"/>
  <c r="T299" i="6" s="1"/>
  <c r="Y299" i="6" s="1"/>
  <c r="P299" i="6"/>
  <c r="U299" i="6" s="1"/>
  <c r="X299" i="6" s="1"/>
  <c r="O299" i="6"/>
  <c r="W299" i="6" s="1"/>
  <c r="N299" i="6"/>
  <c r="S299" i="6" s="1"/>
  <c r="V299" i="6" s="1"/>
  <c r="M299" i="6"/>
  <c r="L299" i="6"/>
  <c r="K299" i="6"/>
  <c r="C299" i="6"/>
  <c r="CY298" i="6"/>
  <c r="CX298" i="6"/>
  <c r="CP298" i="6"/>
  <c r="CO298" i="6"/>
  <c r="CN298" i="6"/>
  <c r="BT298" i="6" s="1"/>
  <c r="CM298" i="6"/>
  <c r="BS298" i="6" s="1"/>
  <c r="CL298" i="6"/>
  <c r="CK298" i="6"/>
  <c r="BQ298" i="6" s="1"/>
  <c r="CJ298" i="6"/>
  <c r="CI298" i="6"/>
  <c r="CH298" i="6"/>
  <c r="CG298" i="6"/>
  <c r="BV298" i="6"/>
  <c r="BO298" i="6"/>
  <c r="BN298" i="6"/>
  <c r="BL298" i="6"/>
  <c r="BK298" i="6"/>
  <c r="BJ298" i="6"/>
  <c r="BI298" i="6"/>
  <c r="BH298" i="6"/>
  <c r="BG298" i="6"/>
  <c r="BE298" i="6"/>
  <c r="BD298" i="6"/>
  <c r="BA298" i="6"/>
  <c r="BU298" i="6" s="1"/>
  <c r="AX298" i="6"/>
  <c r="AS298" i="6"/>
  <c r="AR298" i="6"/>
  <c r="AV298" i="6" s="1"/>
  <c r="AQ298" i="6"/>
  <c r="AP298" i="6"/>
  <c r="AO298" i="6"/>
  <c r="AL298" i="6"/>
  <c r="AK298" i="6"/>
  <c r="Z298" i="6"/>
  <c r="X298" i="6"/>
  <c r="W298" i="6"/>
  <c r="U298" i="6"/>
  <c r="T298" i="6"/>
  <c r="Y298" i="6" s="1"/>
  <c r="J298" i="6" s="1"/>
  <c r="S298" i="6"/>
  <c r="V298" i="6" s="1"/>
  <c r="I298" i="6" s="1"/>
  <c r="E298" i="6" s="1"/>
  <c r="R298" i="6"/>
  <c r="Q298" i="6"/>
  <c r="P298" i="6"/>
  <c r="O298" i="6"/>
  <c r="N298" i="6"/>
  <c r="L298" i="6"/>
  <c r="M298" i="6" s="1"/>
  <c r="K298" i="6"/>
  <c r="C298" i="6"/>
  <c r="CY297" i="6"/>
  <c r="CX297" i="6"/>
  <c r="CP297" i="6"/>
  <c r="BV297" i="6" s="1"/>
  <c r="CO297" i="6"/>
  <c r="CN297" i="6"/>
  <c r="BT297" i="6" s="1"/>
  <c r="CM297" i="6"/>
  <c r="BS297" i="6" s="1"/>
  <c r="CL297" i="6"/>
  <c r="CK297" i="6"/>
  <c r="BQ297" i="6" s="1"/>
  <c r="CJ297" i="6"/>
  <c r="CI297" i="6"/>
  <c r="BO297" i="6" s="1"/>
  <c r="CH297" i="6"/>
  <c r="CG297" i="6"/>
  <c r="BN297" i="6"/>
  <c r="BL297" i="6"/>
  <c r="BJ297" i="6"/>
  <c r="BI297" i="6"/>
  <c r="BG297" i="6"/>
  <c r="BF297" i="6"/>
  <c r="BE297" i="6"/>
  <c r="BD297" i="6"/>
  <c r="BC297" i="6"/>
  <c r="BA297" i="6"/>
  <c r="AX297" i="6"/>
  <c r="AS297" i="6"/>
  <c r="BM297" i="6" s="1"/>
  <c r="AR297" i="6"/>
  <c r="AV297" i="6" s="1"/>
  <c r="BP297" i="6" s="1"/>
  <c r="AQ297" i="6"/>
  <c r="AP297" i="6"/>
  <c r="AO297" i="6"/>
  <c r="AL297" i="6"/>
  <c r="AK297" i="6"/>
  <c r="R297" i="6"/>
  <c r="Z297" i="6" s="1"/>
  <c r="Q297" i="6"/>
  <c r="T297" i="6" s="1"/>
  <c r="Y297" i="6" s="1"/>
  <c r="J297" i="6" s="1"/>
  <c r="P297" i="6"/>
  <c r="U297" i="6" s="1"/>
  <c r="X297" i="6" s="1"/>
  <c r="O297" i="6"/>
  <c r="W297" i="6" s="1"/>
  <c r="N297" i="6"/>
  <c r="S297" i="6" s="1"/>
  <c r="V297" i="6" s="1"/>
  <c r="I297" i="6" s="1"/>
  <c r="M297" i="6"/>
  <c r="F297" i="6" s="1"/>
  <c r="L297" i="6"/>
  <c r="K297" i="6"/>
  <c r="C297" i="6"/>
  <c r="CY296" i="6"/>
  <c r="CX296" i="6"/>
  <c r="CP296" i="6"/>
  <c r="CO296" i="6"/>
  <c r="CN296" i="6"/>
  <c r="BT296" i="6" s="1"/>
  <c r="CM296" i="6"/>
  <c r="BS296" i="6" s="1"/>
  <c r="CL296" i="6"/>
  <c r="CK296" i="6"/>
  <c r="BQ296" i="6" s="1"/>
  <c r="CJ296" i="6"/>
  <c r="CI296" i="6"/>
  <c r="CH296" i="6"/>
  <c r="CG296" i="6"/>
  <c r="BV296" i="6"/>
  <c r="BO296" i="6"/>
  <c r="BN296" i="6"/>
  <c r="BM296" i="6"/>
  <c r="BL296" i="6"/>
  <c r="BK296" i="6"/>
  <c r="BJ296" i="6"/>
  <c r="BI296" i="6"/>
  <c r="BH296" i="6"/>
  <c r="BG296" i="6"/>
  <c r="BE296" i="6"/>
  <c r="BD296" i="6"/>
  <c r="BA296" i="6"/>
  <c r="BU296" i="6" s="1"/>
  <c r="AX296" i="6"/>
  <c r="AS296" i="6"/>
  <c r="BC296" i="6" s="1"/>
  <c r="AR296" i="6"/>
  <c r="AV296" i="6" s="1"/>
  <c r="AQ296" i="6"/>
  <c r="AP296" i="6"/>
  <c r="AO296" i="6"/>
  <c r="AL296" i="6"/>
  <c r="AK296" i="6"/>
  <c r="Z296" i="6"/>
  <c r="W296" i="6"/>
  <c r="U296" i="6"/>
  <c r="X296" i="6" s="1"/>
  <c r="T296" i="6"/>
  <c r="Y296" i="6" s="1"/>
  <c r="J296" i="6" s="1"/>
  <c r="S296" i="6"/>
  <c r="V296" i="6" s="1"/>
  <c r="I296" i="6" s="1"/>
  <c r="R296" i="6"/>
  <c r="Q296" i="6"/>
  <c r="P296" i="6"/>
  <c r="O296" i="6"/>
  <c r="N296" i="6"/>
  <c r="L296" i="6"/>
  <c r="K296" i="6"/>
  <c r="C296" i="6"/>
  <c r="CY295" i="6"/>
  <c r="CX295" i="6"/>
  <c r="CP295" i="6"/>
  <c r="BV295" i="6" s="1"/>
  <c r="CO295" i="6"/>
  <c r="CN295" i="6"/>
  <c r="BT295" i="6" s="1"/>
  <c r="CM295" i="6"/>
  <c r="BS295" i="6" s="1"/>
  <c r="CL295" i="6"/>
  <c r="CK295" i="6"/>
  <c r="BQ295" i="6" s="1"/>
  <c r="CJ295" i="6"/>
  <c r="CI295" i="6"/>
  <c r="BO295" i="6" s="1"/>
  <c r="CH295" i="6"/>
  <c r="CG295" i="6"/>
  <c r="BN295" i="6"/>
  <c r="BL295" i="6"/>
  <c r="BK295" i="6"/>
  <c r="BJ295" i="6"/>
  <c r="BI295" i="6"/>
  <c r="BH295" i="6"/>
  <c r="BG295" i="6"/>
  <c r="BF295" i="6"/>
  <c r="BE295" i="6"/>
  <c r="BD295" i="6"/>
  <c r="BC295" i="6"/>
  <c r="BA295" i="6"/>
  <c r="AX295" i="6"/>
  <c r="AS295" i="6"/>
  <c r="BM295" i="6" s="1"/>
  <c r="AR295" i="6"/>
  <c r="AV295" i="6" s="1"/>
  <c r="AQ295" i="6"/>
  <c r="AP295" i="6"/>
  <c r="AO295" i="6"/>
  <c r="AL295" i="6"/>
  <c r="AK295" i="6"/>
  <c r="R295" i="6"/>
  <c r="Z295" i="6" s="1"/>
  <c r="Q295" i="6"/>
  <c r="T295" i="6" s="1"/>
  <c r="Y295" i="6" s="1"/>
  <c r="J295" i="6" s="1"/>
  <c r="P295" i="6"/>
  <c r="U295" i="6" s="1"/>
  <c r="X295" i="6" s="1"/>
  <c r="O295" i="6"/>
  <c r="W295" i="6" s="1"/>
  <c r="N295" i="6"/>
  <c r="S295" i="6" s="1"/>
  <c r="V295" i="6" s="1"/>
  <c r="I295" i="6" s="1"/>
  <c r="E295" i="6" s="1"/>
  <c r="G295" i="6" s="1"/>
  <c r="M295" i="6"/>
  <c r="L295" i="6"/>
  <c r="K295" i="6"/>
  <c r="C295" i="6"/>
  <c r="CY294" i="6"/>
  <c r="CX294" i="6"/>
  <c r="CP294" i="6"/>
  <c r="BV294" i="6" s="1"/>
  <c r="CO294" i="6"/>
  <c r="CN294" i="6"/>
  <c r="BT294" i="6" s="1"/>
  <c r="CM294" i="6"/>
  <c r="BS294" i="6" s="1"/>
  <c r="CL294" i="6"/>
  <c r="CK294" i="6"/>
  <c r="BQ294" i="6" s="1"/>
  <c r="CJ294" i="6"/>
  <c r="CI294" i="6"/>
  <c r="CH294" i="6"/>
  <c r="CG294" i="6"/>
  <c r="BO294" i="6"/>
  <c r="BN294" i="6"/>
  <c r="BM294" i="6"/>
  <c r="BL294" i="6"/>
  <c r="BK294" i="6"/>
  <c r="BJ294" i="6"/>
  <c r="BI294" i="6"/>
  <c r="BG294" i="6"/>
  <c r="BE294" i="6"/>
  <c r="BD294" i="6"/>
  <c r="AX294" i="6"/>
  <c r="AR294" i="6"/>
  <c r="BA294" i="6" s="1"/>
  <c r="BU294" i="6" s="1"/>
  <c r="AQ294" i="6"/>
  <c r="AS294" i="6" s="1"/>
  <c r="BC294" i="6" s="1"/>
  <c r="AP294" i="6"/>
  <c r="AO294" i="6"/>
  <c r="AL294" i="6"/>
  <c r="AK294" i="6"/>
  <c r="Z294" i="6"/>
  <c r="W294" i="6"/>
  <c r="U294" i="6"/>
  <c r="X294" i="6" s="1"/>
  <c r="T294" i="6"/>
  <c r="Y294" i="6" s="1"/>
  <c r="J294" i="6" s="1"/>
  <c r="S294" i="6"/>
  <c r="V294" i="6" s="1"/>
  <c r="I294" i="6" s="1"/>
  <c r="E294" i="6" s="1"/>
  <c r="R294" i="6"/>
  <c r="Q294" i="6"/>
  <c r="P294" i="6"/>
  <c r="O294" i="6"/>
  <c r="N294" i="6"/>
  <c r="L294" i="6"/>
  <c r="K294" i="6"/>
  <c r="C294" i="6"/>
  <c r="CY293" i="6"/>
  <c r="CX293" i="6"/>
  <c r="CQ293" i="6"/>
  <c r="CP293" i="6"/>
  <c r="BV293" i="6" s="1"/>
  <c r="CO293" i="6"/>
  <c r="CN293" i="6"/>
  <c r="BT293" i="6" s="1"/>
  <c r="CM293" i="6"/>
  <c r="BS293" i="6" s="1"/>
  <c r="CL293" i="6"/>
  <c r="CK293" i="6"/>
  <c r="CJ293" i="6"/>
  <c r="CI293" i="6"/>
  <c r="CH293" i="6"/>
  <c r="CG293" i="6"/>
  <c r="BQ293" i="6"/>
  <c r="BP293" i="6"/>
  <c r="BO293" i="6"/>
  <c r="BN293" i="6"/>
  <c r="BL293" i="6"/>
  <c r="BK293" i="6"/>
  <c r="BJ293" i="6"/>
  <c r="BI293" i="6"/>
  <c r="BG293" i="6"/>
  <c r="BF293" i="6"/>
  <c r="BE293" i="6"/>
  <c r="BD293" i="6"/>
  <c r="AV293" i="6"/>
  <c r="AR293" i="6"/>
  <c r="BA293" i="6" s="1"/>
  <c r="AQ293" i="6"/>
  <c r="AP293" i="6"/>
  <c r="AO293" i="6"/>
  <c r="AL293" i="6"/>
  <c r="AK293" i="6"/>
  <c r="U293" i="6"/>
  <c r="X293" i="6" s="1"/>
  <c r="T293" i="6"/>
  <c r="Y293" i="6" s="1"/>
  <c r="J293" i="6" s="1"/>
  <c r="S293" i="6"/>
  <c r="V293" i="6" s="1"/>
  <c r="R293" i="6"/>
  <c r="Z293" i="6" s="1"/>
  <c r="Q293" i="6"/>
  <c r="P293" i="6"/>
  <c r="O293" i="6"/>
  <c r="W293" i="6" s="1"/>
  <c r="N293" i="6"/>
  <c r="L293" i="6"/>
  <c r="K293" i="6"/>
  <c r="C293" i="6"/>
  <c r="CY292" i="6"/>
  <c r="CX292" i="6"/>
  <c r="CQ292" i="6"/>
  <c r="CR292" i="6" s="1"/>
  <c r="CP292" i="6"/>
  <c r="BV292" i="6" s="1"/>
  <c r="CO292" i="6"/>
  <c r="CN292" i="6"/>
  <c r="BT292" i="6" s="1"/>
  <c r="CM292" i="6"/>
  <c r="BS292" i="6" s="1"/>
  <c r="CL292" i="6"/>
  <c r="CK292" i="6"/>
  <c r="BQ292" i="6" s="1"/>
  <c r="CJ292" i="6"/>
  <c r="CI292" i="6"/>
  <c r="CH292" i="6"/>
  <c r="CG292" i="6"/>
  <c r="BO292" i="6"/>
  <c r="BN292" i="6"/>
  <c r="BL292" i="6"/>
  <c r="BJ292" i="6"/>
  <c r="BI292" i="6"/>
  <c r="BH292" i="6"/>
  <c r="BG292" i="6"/>
  <c r="BE292" i="6"/>
  <c r="BD292" i="6"/>
  <c r="AS292" i="6"/>
  <c r="AR292" i="6"/>
  <c r="AQ292" i="6"/>
  <c r="AX292" i="6" s="1"/>
  <c r="AP292" i="6"/>
  <c r="AO292" i="6"/>
  <c r="AL292" i="6"/>
  <c r="AK292" i="6"/>
  <c r="Z292" i="6"/>
  <c r="X292" i="6"/>
  <c r="W292" i="6"/>
  <c r="U292" i="6"/>
  <c r="S292" i="6"/>
  <c r="V292" i="6" s="1"/>
  <c r="R292" i="6"/>
  <c r="Q292" i="6"/>
  <c r="T292" i="6" s="1"/>
  <c r="Y292" i="6" s="1"/>
  <c r="J292" i="6" s="1"/>
  <c r="P292" i="6"/>
  <c r="O292" i="6"/>
  <c r="N292" i="6"/>
  <c r="L292" i="6"/>
  <c r="K292" i="6"/>
  <c r="I292" i="6"/>
  <c r="C292" i="6"/>
  <c r="CY291" i="6"/>
  <c r="CX291" i="6"/>
  <c r="CR291" i="6"/>
  <c r="CP291" i="6"/>
  <c r="CO291" i="6"/>
  <c r="CN291" i="6"/>
  <c r="BT291" i="6" s="1"/>
  <c r="CM291" i="6"/>
  <c r="CL291" i="6"/>
  <c r="CK291" i="6"/>
  <c r="CJ291" i="6"/>
  <c r="CI291" i="6"/>
  <c r="CH291" i="6"/>
  <c r="CG291" i="6"/>
  <c r="BV291" i="6"/>
  <c r="BU291" i="6"/>
  <c r="BS291" i="6"/>
  <c r="BR291" i="6"/>
  <c r="BQ291" i="6"/>
  <c r="BO291" i="6"/>
  <c r="BN291" i="6"/>
  <c r="BL291" i="6"/>
  <c r="BJ291" i="6"/>
  <c r="BI291" i="6"/>
  <c r="BG291" i="6"/>
  <c r="BE291" i="6"/>
  <c r="BD291" i="6"/>
  <c r="AR291" i="6"/>
  <c r="BA291" i="6" s="1"/>
  <c r="BK291" i="6" s="1"/>
  <c r="AQ291" i="6"/>
  <c r="AX291" i="6" s="1"/>
  <c r="BH291" i="6" s="1"/>
  <c r="AP291" i="6"/>
  <c r="AO291" i="6"/>
  <c r="AL291" i="6"/>
  <c r="AK291" i="6"/>
  <c r="Z291" i="6"/>
  <c r="J291" i="6" s="1"/>
  <c r="Y291" i="6"/>
  <c r="W291" i="6"/>
  <c r="U291" i="6"/>
  <c r="X291" i="6" s="1"/>
  <c r="T291" i="6"/>
  <c r="R291" i="6"/>
  <c r="Q291" i="6"/>
  <c r="P291" i="6"/>
  <c r="O291" i="6"/>
  <c r="N291" i="6"/>
  <c r="S291" i="6" s="1"/>
  <c r="V291" i="6" s="1"/>
  <c r="L291" i="6"/>
  <c r="M291" i="6" s="1"/>
  <c r="K291" i="6"/>
  <c r="I291" i="6"/>
  <c r="C291" i="6"/>
  <c r="CY290" i="6"/>
  <c r="CX290" i="6"/>
  <c r="CR290" i="6"/>
  <c r="CP290" i="6"/>
  <c r="CO290" i="6"/>
  <c r="CN290" i="6"/>
  <c r="CM290" i="6"/>
  <c r="CL290" i="6"/>
  <c r="CK290" i="6"/>
  <c r="CJ290" i="6"/>
  <c r="CI290" i="6"/>
  <c r="CH290" i="6"/>
  <c r="CG290" i="6"/>
  <c r="BV290" i="6"/>
  <c r="BT290" i="6"/>
  <c r="BS290" i="6"/>
  <c r="BQ290" i="6"/>
  <c r="BO290" i="6"/>
  <c r="BN290" i="6"/>
  <c r="BL290" i="6"/>
  <c r="BJ290" i="6"/>
  <c r="BI290" i="6"/>
  <c r="BG290" i="6"/>
  <c r="BE290" i="6"/>
  <c r="BD290" i="6"/>
  <c r="AR290" i="6"/>
  <c r="AQ290" i="6"/>
  <c r="AX290" i="6" s="1"/>
  <c r="AP290" i="6"/>
  <c r="AO290" i="6"/>
  <c r="AL290" i="6"/>
  <c r="AK290" i="6"/>
  <c r="Z290" i="6"/>
  <c r="Y290" i="6"/>
  <c r="X290" i="6"/>
  <c r="W290" i="6"/>
  <c r="V290" i="6"/>
  <c r="U290" i="6"/>
  <c r="R290" i="6"/>
  <c r="Q290" i="6"/>
  <c r="T290" i="6" s="1"/>
  <c r="P290" i="6"/>
  <c r="O290" i="6"/>
  <c r="N290" i="6"/>
  <c r="S290" i="6" s="1"/>
  <c r="L290" i="6"/>
  <c r="K290" i="6"/>
  <c r="C290" i="6"/>
  <c r="CY289" i="6"/>
  <c r="CX289" i="6"/>
  <c r="CW289" i="6"/>
  <c r="CR289" i="6"/>
  <c r="CP289" i="6"/>
  <c r="BV289" i="6" s="1"/>
  <c r="CO289" i="6"/>
  <c r="CN289" i="6"/>
  <c r="CM289" i="6"/>
  <c r="CL289" i="6"/>
  <c r="CK289" i="6"/>
  <c r="CJ289" i="6"/>
  <c r="CI289" i="6"/>
  <c r="CH289" i="6"/>
  <c r="CG289" i="6"/>
  <c r="BT289" i="6"/>
  <c r="BS289" i="6"/>
  <c r="BR289" i="6"/>
  <c r="BQ289" i="6"/>
  <c r="BO289" i="6"/>
  <c r="BN289" i="6"/>
  <c r="BL289" i="6"/>
  <c r="BK289" i="6"/>
  <c r="BJ289" i="6"/>
  <c r="BI289" i="6"/>
  <c r="BG289" i="6"/>
  <c r="BE289" i="6"/>
  <c r="BD289" i="6"/>
  <c r="AV289" i="6"/>
  <c r="AS289" i="6"/>
  <c r="AR289" i="6"/>
  <c r="BA289" i="6" s="1"/>
  <c r="BU289" i="6" s="1"/>
  <c r="AQ289" i="6"/>
  <c r="AX289" i="6" s="1"/>
  <c r="BH289" i="6" s="1"/>
  <c r="AP289" i="6"/>
  <c r="AO289" i="6"/>
  <c r="AL289" i="6"/>
  <c r="AK289" i="6"/>
  <c r="Z289" i="6"/>
  <c r="X289" i="6"/>
  <c r="W289" i="6"/>
  <c r="V289" i="6"/>
  <c r="T289" i="6"/>
  <c r="Y289" i="6" s="1"/>
  <c r="R289" i="6"/>
  <c r="Q289" i="6"/>
  <c r="P289" i="6"/>
  <c r="U289" i="6" s="1"/>
  <c r="O289" i="6"/>
  <c r="N289" i="6"/>
  <c r="S289" i="6" s="1"/>
  <c r="L289" i="6"/>
  <c r="M289" i="6" s="1"/>
  <c r="F289" i="6" s="1"/>
  <c r="H289" i="6" s="1"/>
  <c r="K289" i="6"/>
  <c r="J289" i="6"/>
  <c r="I289" i="6"/>
  <c r="E289" i="6" s="1"/>
  <c r="C289" i="6"/>
  <c r="CY288" i="6"/>
  <c r="CX288" i="6"/>
  <c r="CR288" i="6"/>
  <c r="CP288" i="6"/>
  <c r="CO288" i="6"/>
  <c r="CN288" i="6"/>
  <c r="CM288" i="6"/>
  <c r="CL288" i="6"/>
  <c r="CK288" i="6"/>
  <c r="CJ288" i="6"/>
  <c r="CI288" i="6"/>
  <c r="CH288" i="6"/>
  <c r="CG288" i="6"/>
  <c r="BV288" i="6"/>
  <c r="BT288" i="6"/>
  <c r="BS288" i="6"/>
  <c r="BQ288" i="6"/>
  <c r="BO288" i="6"/>
  <c r="BN288" i="6"/>
  <c r="BL288" i="6"/>
  <c r="BJ288" i="6"/>
  <c r="BI288" i="6"/>
  <c r="BG288" i="6"/>
  <c r="BE288" i="6"/>
  <c r="BD288" i="6"/>
  <c r="AR288" i="6"/>
  <c r="AQ288" i="6"/>
  <c r="AP288" i="6"/>
  <c r="AO288" i="6"/>
  <c r="AL288" i="6"/>
  <c r="AK288" i="6"/>
  <c r="Z288" i="6"/>
  <c r="Y288" i="6"/>
  <c r="R288" i="6"/>
  <c r="Q288" i="6"/>
  <c r="T288" i="6" s="1"/>
  <c r="P288" i="6"/>
  <c r="U288" i="6" s="1"/>
  <c r="X288" i="6" s="1"/>
  <c r="O288" i="6"/>
  <c r="W288" i="6" s="1"/>
  <c r="I288" i="6" s="1"/>
  <c r="E288" i="6" s="1"/>
  <c r="N288" i="6"/>
  <c r="S288" i="6" s="1"/>
  <c r="V288" i="6" s="1"/>
  <c r="L288" i="6"/>
  <c r="K288" i="6"/>
  <c r="C288" i="6"/>
  <c r="CY287" i="6"/>
  <c r="CX287" i="6"/>
  <c r="CQ287" i="6"/>
  <c r="CR287" i="6" s="1"/>
  <c r="CP287" i="6"/>
  <c r="CO287" i="6"/>
  <c r="CN287" i="6"/>
  <c r="BT287" i="6" s="1"/>
  <c r="CM287" i="6"/>
  <c r="BS287" i="6" s="1"/>
  <c r="CL287" i="6"/>
  <c r="BR287" i="6" s="1"/>
  <c r="CK287" i="6"/>
  <c r="CJ287" i="6"/>
  <c r="CI287" i="6"/>
  <c r="CH287" i="6"/>
  <c r="CG287" i="6"/>
  <c r="BV287" i="6"/>
  <c r="BQ287" i="6"/>
  <c r="BP287" i="6"/>
  <c r="BO287" i="6"/>
  <c r="BN287" i="6"/>
  <c r="BL287" i="6"/>
  <c r="BK287" i="6"/>
  <c r="BJ287" i="6"/>
  <c r="BI287" i="6"/>
  <c r="BH287" i="6"/>
  <c r="BG287" i="6"/>
  <c r="BF287" i="6"/>
  <c r="BE287" i="6"/>
  <c r="BD287" i="6"/>
  <c r="AV287" i="6"/>
  <c r="AR287" i="6"/>
  <c r="BA287" i="6" s="1"/>
  <c r="BU287" i="6" s="1"/>
  <c r="AQ287" i="6"/>
  <c r="AX287" i="6" s="1"/>
  <c r="AP287" i="6"/>
  <c r="AO287" i="6"/>
  <c r="AL287" i="6"/>
  <c r="AK287" i="6"/>
  <c r="R287" i="6"/>
  <c r="Z287" i="6" s="1"/>
  <c r="Q287" i="6"/>
  <c r="T287" i="6" s="1"/>
  <c r="Y287" i="6" s="1"/>
  <c r="P287" i="6"/>
  <c r="U287" i="6" s="1"/>
  <c r="X287" i="6" s="1"/>
  <c r="O287" i="6"/>
  <c r="W287" i="6" s="1"/>
  <c r="N287" i="6"/>
  <c r="S287" i="6" s="1"/>
  <c r="V287" i="6" s="1"/>
  <c r="M287" i="6"/>
  <c r="L287" i="6"/>
  <c r="K287" i="6"/>
  <c r="C287" i="6"/>
  <c r="CY286" i="6"/>
  <c r="CX286" i="6"/>
  <c r="CQ286" i="6"/>
  <c r="CR286" i="6" s="1"/>
  <c r="CP286" i="6"/>
  <c r="BV286" i="6" s="1"/>
  <c r="CO286" i="6"/>
  <c r="CN286" i="6"/>
  <c r="BT286" i="6" s="1"/>
  <c r="CM286" i="6"/>
  <c r="BS286" i="6" s="1"/>
  <c r="CL286" i="6"/>
  <c r="CK286" i="6"/>
  <c r="BQ286" i="6" s="1"/>
  <c r="CJ286" i="6"/>
  <c r="CI286" i="6"/>
  <c r="CH286" i="6"/>
  <c r="BN286" i="6" s="1"/>
  <c r="CG286" i="6"/>
  <c r="BP286" i="6"/>
  <c r="BO286" i="6"/>
  <c r="BM286" i="6"/>
  <c r="BL286" i="6"/>
  <c r="BJ286" i="6"/>
  <c r="BI286" i="6"/>
  <c r="BH286" i="6"/>
  <c r="BG286" i="6"/>
  <c r="BF286" i="6"/>
  <c r="BE286" i="6"/>
  <c r="BD286" i="6"/>
  <c r="BA286" i="6"/>
  <c r="AX286" i="6"/>
  <c r="AV286" i="6"/>
  <c r="AR286" i="6"/>
  <c r="AQ286" i="6"/>
  <c r="AS286" i="6" s="1"/>
  <c r="BC286" i="6" s="1"/>
  <c r="AP286" i="6"/>
  <c r="AO286" i="6"/>
  <c r="AL286" i="6"/>
  <c r="AK286" i="6"/>
  <c r="T286" i="6"/>
  <c r="Y286" i="6" s="1"/>
  <c r="J286" i="6" s="1"/>
  <c r="R286" i="6"/>
  <c r="Z286" i="6" s="1"/>
  <c r="Q286" i="6"/>
  <c r="P286" i="6"/>
  <c r="U286" i="6" s="1"/>
  <c r="X286" i="6" s="1"/>
  <c r="O286" i="6"/>
  <c r="W286" i="6" s="1"/>
  <c r="N286" i="6"/>
  <c r="S286" i="6" s="1"/>
  <c r="V286" i="6" s="1"/>
  <c r="I286" i="6" s="1"/>
  <c r="L286" i="6"/>
  <c r="M286" i="6" s="1"/>
  <c r="K286" i="6"/>
  <c r="C286" i="6"/>
  <c r="CY285" i="6"/>
  <c r="CX285" i="6"/>
  <c r="CR285" i="6"/>
  <c r="CP285" i="6"/>
  <c r="CO285" i="6"/>
  <c r="CN285" i="6"/>
  <c r="BT285" i="6" s="1"/>
  <c r="CM285" i="6"/>
  <c r="BS285" i="6" s="1"/>
  <c r="CL285" i="6"/>
  <c r="CK285" i="6"/>
  <c r="BQ285" i="6" s="1"/>
  <c r="CJ285" i="6"/>
  <c r="CI285" i="6"/>
  <c r="BO285" i="6" s="1"/>
  <c r="CH285" i="6"/>
  <c r="BN285" i="6" s="1"/>
  <c r="CG285" i="6"/>
  <c r="BV285" i="6"/>
  <c r="BL285" i="6"/>
  <c r="BJ285" i="6"/>
  <c r="BI285" i="6"/>
  <c r="BG285" i="6"/>
  <c r="BF285" i="6"/>
  <c r="BE285" i="6"/>
  <c r="BD285" i="6"/>
  <c r="BC285" i="6"/>
  <c r="BA285" i="6"/>
  <c r="AX285" i="6"/>
  <c r="AV285" i="6"/>
  <c r="BP285" i="6" s="1"/>
  <c r="AS285" i="6"/>
  <c r="AR285" i="6"/>
  <c r="AQ285" i="6"/>
  <c r="AP285" i="6"/>
  <c r="AO285" i="6"/>
  <c r="AL285" i="6"/>
  <c r="AK285" i="6"/>
  <c r="S285" i="6"/>
  <c r="V285" i="6" s="1"/>
  <c r="R285" i="6"/>
  <c r="Z285" i="6" s="1"/>
  <c r="J285" i="6" s="1"/>
  <c r="Q285" i="6"/>
  <c r="T285" i="6" s="1"/>
  <c r="Y285" i="6" s="1"/>
  <c r="P285" i="6"/>
  <c r="U285" i="6" s="1"/>
  <c r="X285" i="6" s="1"/>
  <c r="O285" i="6"/>
  <c r="W285" i="6" s="1"/>
  <c r="N285" i="6"/>
  <c r="L285" i="6"/>
  <c r="M285" i="6" s="1"/>
  <c r="K285" i="6"/>
  <c r="I285" i="6"/>
  <c r="F285" i="6"/>
  <c r="H285" i="6" s="1"/>
  <c r="C285" i="6"/>
  <c r="CY284" i="6"/>
  <c r="CX284" i="6"/>
  <c r="CR284" i="6"/>
  <c r="CP284" i="6"/>
  <c r="CO284" i="6"/>
  <c r="CN284" i="6"/>
  <c r="CM284" i="6"/>
  <c r="BS284" i="6" s="1"/>
  <c r="CL284" i="6"/>
  <c r="CK284" i="6"/>
  <c r="CJ284" i="6"/>
  <c r="CI284" i="6"/>
  <c r="CH284" i="6"/>
  <c r="CG284" i="6"/>
  <c r="BV284" i="6"/>
  <c r="BT284" i="6"/>
  <c r="BR284" i="6"/>
  <c r="BQ284" i="6"/>
  <c r="BO284" i="6"/>
  <c r="BN284" i="6"/>
  <c r="BL284" i="6"/>
  <c r="BJ284" i="6"/>
  <c r="BI284" i="6"/>
  <c r="BG284" i="6"/>
  <c r="BF284" i="6"/>
  <c r="BE284" i="6"/>
  <c r="BD284" i="6"/>
  <c r="BA284" i="6"/>
  <c r="AX284" i="6"/>
  <c r="BH284" i="6" s="1"/>
  <c r="AR284" i="6"/>
  <c r="AV284" i="6" s="1"/>
  <c r="BP284" i="6" s="1"/>
  <c r="AQ284" i="6"/>
  <c r="AS284" i="6" s="1"/>
  <c r="BM284" i="6" s="1"/>
  <c r="AP284" i="6"/>
  <c r="AO284" i="6"/>
  <c r="AL284" i="6"/>
  <c r="AK284" i="6"/>
  <c r="R284" i="6"/>
  <c r="Z284" i="6" s="1"/>
  <c r="Q284" i="6"/>
  <c r="T284" i="6" s="1"/>
  <c r="Y284" i="6" s="1"/>
  <c r="P284" i="6"/>
  <c r="U284" i="6" s="1"/>
  <c r="X284" i="6" s="1"/>
  <c r="O284" i="6"/>
  <c r="W284" i="6" s="1"/>
  <c r="N284" i="6"/>
  <c r="S284" i="6" s="1"/>
  <c r="V284" i="6" s="1"/>
  <c r="I284" i="6" s="1"/>
  <c r="M284" i="6"/>
  <c r="F284" i="6" s="1"/>
  <c r="H284" i="6" s="1"/>
  <c r="L284" i="6"/>
  <c r="K284" i="6"/>
  <c r="J284" i="6"/>
  <c r="C284" i="6"/>
  <c r="CY283" i="6"/>
  <c r="CX283" i="6"/>
  <c r="CR283" i="6"/>
  <c r="CP283" i="6"/>
  <c r="CO283" i="6"/>
  <c r="CN283" i="6"/>
  <c r="CM283" i="6"/>
  <c r="CL283" i="6"/>
  <c r="CK283" i="6"/>
  <c r="BQ283" i="6" s="1"/>
  <c r="CJ283" i="6"/>
  <c r="CI283" i="6"/>
  <c r="BO283" i="6" s="1"/>
  <c r="CH283" i="6"/>
  <c r="BN283" i="6" s="1"/>
  <c r="CG283" i="6"/>
  <c r="BV283" i="6"/>
  <c r="BT283" i="6"/>
  <c r="BS283" i="6"/>
  <c r="BR283" i="6"/>
  <c r="BP283" i="6"/>
  <c r="BL283" i="6"/>
  <c r="BJ283" i="6"/>
  <c r="BI283" i="6"/>
  <c r="BG283" i="6"/>
  <c r="BE283" i="6"/>
  <c r="BD283" i="6"/>
  <c r="AR283" i="6"/>
  <c r="AV283" i="6" s="1"/>
  <c r="BF283" i="6" s="1"/>
  <c r="AQ283" i="6"/>
  <c r="AX283" i="6" s="1"/>
  <c r="BH283" i="6" s="1"/>
  <c r="AP283" i="6"/>
  <c r="AO283" i="6"/>
  <c r="AL283" i="6"/>
  <c r="AK283" i="6"/>
  <c r="Z283" i="6"/>
  <c r="R283" i="6"/>
  <c r="Q283" i="6"/>
  <c r="T283" i="6" s="1"/>
  <c r="Y283" i="6" s="1"/>
  <c r="J283" i="6" s="1"/>
  <c r="P283" i="6"/>
  <c r="U283" i="6" s="1"/>
  <c r="X283" i="6" s="1"/>
  <c r="O283" i="6"/>
  <c r="W283" i="6" s="1"/>
  <c r="N283" i="6"/>
  <c r="S283" i="6" s="1"/>
  <c r="V283" i="6" s="1"/>
  <c r="L283" i="6"/>
  <c r="K283" i="6"/>
  <c r="I283" i="6"/>
  <c r="E283" i="6"/>
  <c r="C283" i="6"/>
  <c r="CY282" i="6"/>
  <c r="CX282" i="6"/>
  <c r="CR282" i="6"/>
  <c r="CP282" i="6"/>
  <c r="CO282" i="6"/>
  <c r="CN282" i="6"/>
  <c r="CM282" i="6"/>
  <c r="CL282" i="6"/>
  <c r="CK282" i="6"/>
  <c r="BQ282" i="6" s="1"/>
  <c r="CJ282" i="6"/>
  <c r="CI282" i="6"/>
  <c r="CH282" i="6"/>
  <c r="CG282" i="6"/>
  <c r="BV282" i="6"/>
  <c r="BT282" i="6"/>
  <c r="BS282" i="6"/>
  <c r="BO282" i="6"/>
  <c r="BN282" i="6"/>
  <c r="BL282" i="6"/>
  <c r="BJ282" i="6"/>
  <c r="BI282" i="6"/>
  <c r="BG282" i="6"/>
  <c r="BE282" i="6"/>
  <c r="BD282" i="6"/>
  <c r="BA282" i="6"/>
  <c r="AX282" i="6"/>
  <c r="AR282" i="6"/>
  <c r="AV282" i="6" s="1"/>
  <c r="AQ282" i="6"/>
  <c r="AS282" i="6" s="1"/>
  <c r="AP282" i="6"/>
  <c r="AO282" i="6"/>
  <c r="AL282" i="6"/>
  <c r="AK282" i="6"/>
  <c r="Z282" i="6"/>
  <c r="R282" i="6"/>
  <c r="Q282" i="6"/>
  <c r="T282" i="6" s="1"/>
  <c r="Y282" i="6" s="1"/>
  <c r="P282" i="6"/>
  <c r="U282" i="6" s="1"/>
  <c r="X282" i="6" s="1"/>
  <c r="O282" i="6"/>
  <c r="W282" i="6" s="1"/>
  <c r="N282" i="6"/>
  <c r="S282" i="6" s="1"/>
  <c r="V282" i="6" s="1"/>
  <c r="L282" i="6"/>
  <c r="K282" i="6"/>
  <c r="J282" i="6"/>
  <c r="I282" i="6"/>
  <c r="C282" i="6"/>
  <c r="CY281" i="6"/>
  <c r="CX281" i="6"/>
  <c r="CR281" i="6"/>
  <c r="CP281" i="6"/>
  <c r="CO281" i="6"/>
  <c r="CN281" i="6"/>
  <c r="CM281" i="6"/>
  <c r="CL281" i="6"/>
  <c r="CK281" i="6"/>
  <c r="CJ281" i="6"/>
  <c r="CI281" i="6"/>
  <c r="BO281" i="6" s="1"/>
  <c r="CH281" i="6"/>
  <c r="BN281" i="6" s="1"/>
  <c r="CG281" i="6"/>
  <c r="BV281" i="6"/>
  <c r="BT281" i="6"/>
  <c r="BS281" i="6"/>
  <c r="BR281" i="6"/>
  <c r="BQ281" i="6"/>
  <c r="BL281" i="6"/>
  <c r="BJ281" i="6"/>
  <c r="BI281" i="6"/>
  <c r="BG281" i="6"/>
  <c r="BE281" i="6"/>
  <c r="BD281" i="6"/>
  <c r="BC281" i="6"/>
  <c r="AV281" i="6"/>
  <c r="AS281" i="6"/>
  <c r="AR281" i="6"/>
  <c r="BA281" i="6" s="1"/>
  <c r="AQ281" i="6"/>
  <c r="AX281" i="6" s="1"/>
  <c r="BH281" i="6" s="1"/>
  <c r="AP281" i="6"/>
  <c r="AO281" i="6"/>
  <c r="AL281" i="6"/>
  <c r="AK281" i="6"/>
  <c r="Z281" i="6"/>
  <c r="R281" i="6"/>
  <c r="Q281" i="6"/>
  <c r="T281" i="6" s="1"/>
  <c r="Y281" i="6" s="1"/>
  <c r="P281" i="6"/>
  <c r="U281" i="6" s="1"/>
  <c r="X281" i="6" s="1"/>
  <c r="O281" i="6"/>
  <c r="W281" i="6" s="1"/>
  <c r="N281" i="6"/>
  <c r="S281" i="6" s="1"/>
  <c r="V281" i="6" s="1"/>
  <c r="L281" i="6"/>
  <c r="K281" i="6"/>
  <c r="J281" i="6"/>
  <c r="I281" i="6"/>
  <c r="E281" i="6" s="1"/>
  <c r="G281" i="6"/>
  <c r="C281" i="6"/>
  <c r="CY280" i="6"/>
  <c r="CX280" i="6"/>
  <c r="CR280" i="6"/>
  <c r="CP280" i="6"/>
  <c r="CO280" i="6"/>
  <c r="CN280" i="6"/>
  <c r="CM280" i="6"/>
  <c r="CL280" i="6"/>
  <c r="CK280" i="6"/>
  <c r="CJ280" i="6"/>
  <c r="CI280" i="6"/>
  <c r="CH280" i="6"/>
  <c r="BN280" i="6" s="1"/>
  <c r="CG280" i="6"/>
  <c r="BV280" i="6"/>
  <c r="BT280" i="6"/>
  <c r="BS280" i="6"/>
  <c r="BR280" i="6"/>
  <c r="BQ280" i="6"/>
  <c r="BO280" i="6"/>
  <c r="BL280" i="6"/>
  <c r="BJ280" i="6"/>
  <c r="BI280" i="6"/>
  <c r="BG280" i="6"/>
  <c r="BE280" i="6"/>
  <c r="BD280" i="6"/>
  <c r="AR280" i="6"/>
  <c r="BA280" i="6" s="1"/>
  <c r="AQ280" i="6"/>
  <c r="AX280" i="6" s="1"/>
  <c r="BH280" i="6" s="1"/>
  <c r="AP280" i="6"/>
  <c r="AO280" i="6"/>
  <c r="AL280" i="6"/>
  <c r="AK280" i="6"/>
  <c r="R280" i="6"/>
  <c r="Z280" i="6" s="1"/>
  <c r="Q280" i="6"/>
  <c r="T280" i="6" s="1"/>
  <c r="Y280" i="6" s="1"/>
  <c r="J280" i="6" s="1"/>
  <c r="P280" i="6"/>
  <c r="U280" i="6" s="1"/>
  <c r="X280" i="6" s="1"/>
  <c r="O280" i="6"/>
  <c r="W280" i="6" s="1"/>
  <c r="N280" i="6"/>
  <c r="S280" i="6" s="1"/>
  <c r="V280" i="6" s="1"/>
  <c r="I280" i="6" s="1"/>
  <c r="M280" i="6"/>
  <c r="F280" i="6" s="1"/>
  <c r="H280" i="6" s="1"/>
  <c r="L280" i="6"/>
  <c r="K280" i="6"/>
  <c r="C280" i="6"/>
  <c r="CY279" i="6"/>
  <c r="CX279" i="6"/>
  <c r="CQ279" i="6"/>
  <c r="CR279" i="6" s="1"/>
  <c r="CP279" i="6"/>
  <c r="CO279" i="6"/>
  <c r="CN279" i="6"/>
  <c r="CM279" i="6"/>
  <c r="BS279" i="6" s="1"/>
  <c r="CL279" i="6"/>
  <c r="CK279" i="6"/>
  <c r="BQ279" i="6" s="1"/>
  <c r="CJ279" i="6"/>
  <c r="CI279" i="6"/>
  <c r="BO279" i="6" s="1"/>
  <c r="CH279" i="6"/>
  <c r="BN279" i="6" s="1"/>
  <c r="CG279" i="6"/>
  <c r="BV279" i="6"/>
  <c r="BT279" i="6"/>
  <c r="BL279" i="6"/>
  <c r="BJ279" i="6"/>
  <c r="BI279" i="6"/>
  <c r="BG279" i="6"/>
  <c r="BE279" i="6"/>
  <c r="BD279" i="6"/>
  <c r="AS279" i="6"/>
  <c r="AR279" i="6"/>
  <c r="AQ279" i="6"/>
  <c r="AX279" i="6" s="1"/>
  <c r="AP279" i="6"/>
  <c r="AO279" i="6"/>
  <c r="AL279" i="6"/>
  <c r="AK279" i="6"/>
  <c r="U279" i="6"/>
  <c r="X279" i="6" s="1"/>
  <c r="I279" i="6" s="1"/>
  <c r="T279" i="6"/>
  <c r="Y279" i="6" s="1"/>
  <c r="R279" i="6"/>
  <c r="Z279" i="6" s="1"/>
  <c r="Q279" i="6"/>
  <c r="P279" i="6"/>
  <c r="O279" i="6"/>
  <c r="W279" i="6" s="1"/>
  <c r="N279" i="6"/>
  <c r="S279" i="6" s="1"/>
  <c r="V279" i="6" s="1"/>
  <c r="L279" i="6"/>
  <c r="K279" i="6"/>
  <c r="J279" i="6"/>
  <c r="C279" i="6"/>
  <c r="CY278" i="6"/>
  <c r="CX278" i="6"/>
  <c r="CR278" i="6"/>
  <c r="CP278" i="6"/>
  <c r="BV278" i="6" s="1"/>
  <c r="CO278" i="6"/>
  <c r="CN278" i="6"/>
  <c r="BT278" i="6" s="1"/>
  <c r="CM278" i="6"/>
  <c r="BS278" i="6" s="1"/>
  <c r="CL278" i="6"/>
  <c r="CK278" i="6"/>
  <c r="BQ278" i="6" s="1"/>
  <c r="CJ278" i="6"/>
  <c r="CI278" i="6"/>
  <c r="BO278" i="6" s="1"/>
  <c r="CH278" i="6"/>
  <c r="BN278" i="6" s="1"/>
  <c r="CG278" i="6"/>
  <c r="BR278" i="6"/>
  <c r="BL278" i="6"/>
  <c r="BJ278" i="6"/>
  <c r="BI278" i="6"/>
  <c r="BH278" i="6"/>
  <c r="BG278" i="6"/>
  <c r="BE278" i="6"/>
  <c r="BD278" i="6"/>
  <c r="BA278" i="6"/>
  <c r="AX278" i="6"/>
  <c r="AV278" i="6"/>
  <c r="AR278" i="6"/>
  <c r="AQ278" i="6"/>
  <c r="AS278" i="6" s="1"/>
  <c r="AP278" i="6"/>
  <c r="AO278" i="6"/>
  <c r="AL278" i="6"/>
  <c r="AK278" i="6"/>
  <c r="R278" i="6"/>
  <c r="Z278" i="6" s="1"/>
  <c r="Q278" i="6"/>
  <c r="T278" i="6" s="1"/>
  <c r="Y278" i="6" s="1"/>
  <c r="P278" i="6"/>
  <c r="U278" i="6" s="1"/>
  <c r="X278" i="6" s="1"/>
  <c r="O278" i="6"/>
  <c r="W278" i="6" s="1"/>
  <c r="N278" i="6"/>
  <c r="S278" i="6" s="1"/>
  <c r="V278" i="6" s="1"/>
  <c r="L278" i="6"/>
  <c r="M278" i="6" s="1"/>
  <c r="F278" i="6" s="1"/>
  <c r="H278" i="6" s="1"/>
  <c r="K278" i="6"/>
  <c r="J278" i="6"/>
  <c r="I278" i="6"/>
  <c r="C278" i="6"/>
  <c r="CY277" i="6"/>
  <c r="CX277" i="6"/>
  <c r="CQ277" i="6"/>
  <c r="CR277" i="6" s="1"/>
  <c r="CP277" i="6"/>
  <c r="CO277" i="6"/>
  <c r="CN277" i="6"/>
  <c r="CM277" i="6"/>
  <c r="BS277" i="6" s="1"/>
  <c r="CL277" i="6"/>
  <c r="CK277" i="6"/>
  <c r="BQ277" i="6" s="1"/>
  <c r="CJ277" i="6"/>
  <c r="CI277" i="6"/>
  <c r="BO277" i="6" s="1"/>
  <c r="CH277" i="6"/>
  <c r="BN277" i="6" s="1"/>
  <c r="CG277" i="6"/>
  <c r="BV277" i="6"/>
  <c r="BT277" i="6"/>
  <c r="BL277" i="6"/>
  <c r="BK277" i="6"/>
  <c r="BJ277" i="6"/>
  <c r="BI277" i="6"/>
  <c r="BG277" i="6"/>
  <c r="BE277" i="6"/>
  <c r="BD277" i="6"/>
  <c r="BA277" i="6"/>
  <c r="BU277" i="6" s="1"/>
  <c r="AX277" i="6"/>
  <c r="AV277" i="6"/>
  <c r="AS277" i="6"/>
  <c r="AR277" i="6"/>
  <c r="AQ277" i="6"/>
  <c r="AP277" i="6"/>
  <c r="AO277" i="6"/>
  <c r="AL277" i="6"/>
  <c r="AK277" i="6"/>
  <c r="W277" i="6"/>
  <c r="U277" i="6"/>
  <c r="X277" i="6" s="1"/>
  <c r="T277" i="6"/>
  <c r="Y277" i="6" s="1"/>
  <c r="S277" i="6"/>
  <c r="V277" i="6" s="1"/>
  <c r="I277" i="6" s="1"/>
  <c r="R277" i="6"/>
  <c r="Z277" i="6" s="1"/>
  <c r="Q277" i="6"/>
  <c r="P277" i="6"/>
  <c r="O277" i="6"/>
  <c r="N277" i="6"/>
  <c r="L277" i="6"/>
  <c r="K277" i="6"/>
  <c r="J277" i="6"/>
  <c r="C277" i="6"/>
  <c r="CY276" i="6"/>
  <c r="CX276" i="6"/>
  <c r="CR276" i="6"/>
  <c r="CP276" i="6"/>
  <c r="BV276" i="6" s="1"/>
  <c r="CO276" i="6"/>
  <c r="CN276" i="6"/>
  <c r="BT276" i="6" s="1"/>
  <c r="CM276" i="6"/>
  <c r="BS276" i="6" s="1"/>
  <c r="CL276" i="6"/>
  <c r="CK276" i="6"/>
  <c r="BQ276" i="6" s="1"/>
  <c r="CJ276" i="6"/>
  <c r="CI276" i="6"/>
  <c r="BO276" i="6" s="1"/>
  <c r="CH276" i="6"/>
  <c r="BN276" i="6" s="1"/>
  <c r="CG276" i="6"/>
  <c r="BL276" i="6"/>
  <c r="BK276" i="6"/>
  <c r="BJ276" i="6"/>
  <c r="BI276" i="6"/>
  <c r="BH276" i="6"/>
  <c r="BG276" i="6"/>
  <c r="BF276" i="6"/>
  <c r="BE276" i="6"/>
  <c r="BD276" i="6"/>
  <c r="BA276" i="6"/>
  <c r="AX276" i="6"/>
  <c r="AV276" i="6"/>
  <c r="AS276" i="6"/>
  <c r="BM276" i="6" s="1"/>
  <c r="AR276" i="6"/>
  <c r="AQ276" i="6"/>
  <c r="AP276" i="6"/>
  <c r="AO276" i="6"/>
  <c r="AL276" i="6"/>
  <c r="AK276" i="6"/>
  <c r="S276" i="6"/>
  <c r="V276" i="6" s="1"/>
  <c r="I276" i="6" s="1"/>
  <c r="R276" i="6"/>
  <c r="Z276" i="6" s="1"/>
  <c r="Q276" i="6"/>
  <c r="T276" i="6" s="1"/>
  <c r="Y276" i="6" s="1"/>
  <c r="J276" i="6" s="1"/>
  <c r="P276" i="6"/>
  <c r="U276" i="6" s="1"/>
  <c r="X276" i="6" s="1"/>
  <c r="O276" i="6"/>
  <c r="W276" i="6" s="1"/>
  <c r="N276" i="6"/>
  <c r="M276" i="6"/>
  <c r="L276" i="6"/>
  <c r="K276" i="6"/>
  <c r="C276" i="6"/>
  <c r="CY275" i="6"/>
  <c r="CX275" i="6"/>
  <c r="CR275" i="6"/>
  <c r="CP275" i="6"/>
  <c r="CO275" i="6"/>
  <c r="CN275" i="6"/>
  <c r="BT275" i="6" s="1"/>
  <c r="CM275" i="6"/>
  <c r="BS275" i="6" s="1"/>
  <c r="CL275" i="6"/>
  <c r="CK275" i="6"/>
  <c r="BQ275" i="6" s="1"/>
  <c r="CJ275" i="6"/>
  <c r="CI275" i="6"/>
  <c r="BO275" i="6" s="1"/>
  <c r="CH275" i="6"/>
  <c r="CG275" i="6"/>
  <c r="BM275" i="6" s="1"/>
  <c r="BV275" i="6"/>
  <c r="BR275" i="6"/>
  <c r="BN275" i="6"/>
  <c r="BL275" i="6"/>
  <c r="BK275" i="6"/>
  <c r="BJ275" i="6"/>
  <c r="BI275" i="6"/>
  <c r="BH275" i="6"/>
  <c r="BG275" i="6"/>
  <c r="BE275" i="6"/>
  <c r="BD275" i="6"/>
  <c r="BA275" i="6"/>
  <c r="BU275" i="6" s="1"/>
  <c r="AX275" i="6"/>
  <c r="AV275" i="6"/>
  <c r="AR275" i="6"/>
  <c r="AQ275" i="6"/>
  <c r="AS275" i="6" s="1"/>
  <c r="BC275" i="6" s="1"/>
  <c r="AP275" i="6"/>
  <c r="AO275" i="6"/>
  <c r="AL275" i="6"/>
  <c r="AK275" i="6"/>
  <c r="Z275" i="6"/>
  <c r="Y275" i="6"/>
  <c r="J275" i="6" s="1"/>
  <c r="X275" i="6"/>
  <c r="W275" i="6"/>
  <c r="V275" i="6"/>
  <c r="U275" i="6"/>
  <c r="T275" i="6"/>
  <c r="S275" i="6"/>
  <c r="R275" i="6"/>
  <c r="Q275" i="6"/>
  <c r="P275" i="6"/>
  <c r="O275" i="6"/>
  <c r="N275" i="6"/>
  <c r="L275" i="6"/>
  <c r="M275" i="6" s="1"/>
  <c r="K275" i="6"/>
  <c r="C275" i="6"/>
  <c r="CY274" i="6"/>
  <c r="CX274" i="6"/>
  <c r="CR274" i="6"/>
  <c r="CP274" i="6"/>
  <c r="BV274" i="6" s="1"/>
  <c r="CO274" i="6"/>
  <c r="CN274" i="6"/>
  <c r="BT274" i="6" s="1"/>
  <c r="CM274" i="6"/>
  <c r="BS274" i="6" s="1"/>
  <c r="CL274" i="6"/>
  <c r="CK274" i="6"/>
  <c r="BQ274" i="6" s="1"/>
  <c r="CJ274" i="6"/>
  <c r="CI274" i="6"/>
  <c r="BO274" i="6" s="1"/>
  <c r="CH274" i="6"/>
  <c r="BN274" i="6" s="1"/>
  <c r="CG274" i="6"/>
  <c r="BL274" i="6"/>
  <c r="BJ274" i="6"/>
  <c r="BI274" i="6"/>
  <c r="BG274" i="6"/>
  <c r="BF274" i="6"/>
  <c r="BE274" i="6"/>
  <c r="BD274" i="6"/>
  <c r="BA274" i="6"/>
  <c r="AR274" i="6"/>
  <c r="AV274" i="6" s="1"/>
  <c r="AQ274" i="6"/>
  <c r="AS274" i="6" s="1"/>
  <c r="BM274" i="6" s="1"/>
  <c r="AP274" i="6"/>
  <c r="AO274" i="6"/>
  <c r="AL274" i="6"/>
  <c r="AK274" i="6"/>
  <c r="U274" i="6"/>
  <c r="X274" i="6" s="1"/>
  <c r="S274" i="6"/>
  <c r="V274" i="6" s="1"/>
  <c r="R274" i="6"/>
  <c r="Z274" i="6" s="1"/>
  <c r="Q274" i="6"/>
  <c r="T274" i="6" s="1"/>
  <c r="Y274" i="6" s="1"/>
  <c r="P274" i="6"/>
  <c r="O274" i="6"/>
  <c r="W274" i="6" s="1"/>
  <c r="N274" i="6"/>
  <c r="L274" i="6"/>
  <c r="K274" i="6"/>
  <c r="C274" i="6"/>
  <c r="CY273" i="6"/>
  <c r="CX273" i="6"/>
  <c r="CR273" i="6"/>
  <c r="CP273" i="6"/>
  <c r="BV273" i="6" s="1"/>
  <c r="CO273" i="6"/>
  <c r="CN273" i="6"/>
  <c r="CM273" i="6"/>
  <c r="BS273" i="6" s="1"/>
  <c r="CL273" i="6"/>
  <c r="CK273" i="6"/>
  <c r="BQ273" i="6" s="1"/>
  <c r="CJ273" i="6"/>
  <c r="CI273" i="6"/>
  <c r="BO273" i="6" s="1"/>
  <c r="CH273" i="6"/>
  <c r="BN273" i="6" s="1"/>
  <c r="CG273" i="6"/>
  <c r="BT273" i="6"/>
  <c r="BL273" i="6"/>
  <c r="BJ273" i="6"/>
  <c r="BI273" i="6"/>
  <c r="BH273" i="6"/>
  <c r="BG273" i="6"/>
  <c r="BE273" i="6"/>
  <c r="BD273" i="6"/>
  <c r="AR273" i="6"/>
  <c r="AQ273" i="6"/>
  <c r="AX273" i="6" s="1"/>
  <c r="AP273" i="6"/>
  <c r="AO273" i="6"/>
  <c r="AL273" i="6"/>
  <c r="AK273" i="6"/>
  <c r="W273" i="6"/>
  <c r="U273" i="6"/>
  <c r="X273" i="6" s="1"/>
  <c r="S273" i="6"/>
  <c r="V273" i="6" s="1"/>
  <c r="I273" i="6" s="1"/>
  <c r="E273" i="6" s="1"/>
  <c r="R273" i="6"/>
  <c r="Z273" i="6" s="1"/>
  <c r="Q273" i="6"/>
  <c r="T273" i="6" s="1"/>
  <c r="Y273" i="6" s="1"/>
  <c r="P273" i="6"/>
  <c r="O273" i="6"/>
  <c r="N273" i="6"/>
  <c r="L273" i="6"/>
  <c r="K273" i="6"/>
  <c r="C273" i="6"/>
  <c r="CY272" i="6"/>
  <c r="CX272" i="6"/>
  <c r="CR272" i="6"/>
  <c r="CP272" i="6"/>
  <c r="BV272" i="6" s="1"/>
  <c r="CO272" i="6"/>
  <c r="CN272" i="6"/>
  <c r="BT272" i="6" s="1"/>
  <c r="CM272" i="6"/>
  <c r="BS272" i="6" s="1"/>
  <c r="CL272" i="6"/>
  <c r="CK272" i="6"/>
  <c r="BQ272" i="6" s="1"/>
  <c r="CJ272" i="6"/>
  <c r="CI272" i="6"/>
  <c r="BO272" i="6" s="1"/>
  <c r="CH272" i="6"/>
  <c r="CG272" i="6"/>
  <c r="BN272" i="6"/>
  <c r="BM272" i="6"/>
  <c r="BL272" i="6"/>
  <c r="BK272" i="6"/>
  <c r="BJ272" i="6"/>
  <c r="BI272" i="6"/>
  <c r="BH272" i="6"/>
  <c r="BG272" i="6"/>
  <c r="BE272" i="6"/>
  <c r="BD272" i="6"/>
  <c r="BC272" i="6"/>
  <c r="AS272" i="6"/>
  <c r="AR272" i="6"/>
  <c r="BA272" i="6" s="1"/>
  <c r="BU272" i="6" s="1"/>
  <c r="AQ272" i="6"/>
  <c r="AX272" i="6" s="1"/>
  <c r="BR272" i="6" s="1"/>
  <c r="AP272" i="6"/>
  <c r="AO272" i="6"/>
  <c r="AL272" i="6"/>
  <c r="AK272" i="6"/>
  <c r="S272" i="6"/>
  <c r="V272" i="6" s="1"/>
  <c r="R272" i="6"/>
  <c r="Z272" i="6" s="1"/>
  <c r="Q272" i="6"/>
  <c r="T272" i="6" s="1"/>
  <c r="Y272" i="6" s="1"/>
  <c r="J272" i="6" s="1"/>
  <c r="P272" i="6"/>
  <c r="U272" i="6" s="1"/>
  <c r="X272" i="6" s="1"/>
  <c r="O272" i="6"/>
  <c r="W272" i="6" s="1"/>
  <c r="N272" i="6"/>
  <c r="L272" i="6"/>
  <c r="M272" i="6" s="1"/>
  <c r="F272" i="6" s="1"/>
  <c r="H272" i="6" s="1"/>
  <c r="K272" i="6"/>
  <c r="C272" i="6"/>
  <c r="CY271" i="6"/>
  <c r="CX271" i="6"/>
  <c r="CR271" i="6"/>
  <c r="CP271" i="6"/>
  <c r="CO271" i="6"/>
  <c r="CN271" i="6"/>
  <c r="BT271" i="6" s="1"/>
  <c r="CM271" i="6"/>
  <c r="BS271" i="6" s="1"/>
  <c r="CL271" i="6"/>
  <c r="CK271" i="6"/>
  <c r="CJ271" i="6"/>
  <c r="CI271" i="6"/>
  <c r="CH271" i="6"/>
  <c r="CG271" i="6"/>
  <c r="BV271" i="6"/>
  <c r="BR271" i="6"/>
  <c r="BQ271" i="6"/>
  <c r="BP271" i="6"/>
  <c r="BO271" i="6"/>
  <c r="BN271" i="6"/>
  <c r="BL271" i="6"/>
  <c r="BK271" i="6"/>
  <c r="BJ271" i="6"/>
  <c r="BI271" i="6"/>
  <c r="BG271" i="6"/>
  <c r="BE271" i="6"/>
  <c r="BD271" i="6"/>
  <c r="AV271" i="6"/>
  <c r="BF271" i="6" s="1"/>
  <c r="AR271" i="6"/>
  <c r="BA271" i="6" s="1"/>
  <c r="BU271" i="6" s="1"/>
  <c r="AQ271" i="6"/>
  <c r="AX271" i="6" s="1"/>
  <c r="BH271" i="6" s="1"/>
  <c r="AP271" i="6"/>
  <c r="AO271" i="6"/>
  <c r="AL271" i="6"/>
  <c r="AK271" i="6"/>
  <c r="Z271" i="6"/>
  <c r="W271" i="6"/>
  <c r="V271" i="6"/>
  <c r="U271" i="6"/>
  <c r="X271" i="6" s="1"/>
  <c r="T271" i="6"/>
  <c r="Y271" i="6" s="1"/>
  <c r="J271" i="6" s="1"/>
  <c r="S271" i="6"/>
  <c r="R271" i="6"/>
  <c r="Q271" i="6"/>
  <c r="P271" i="6"/>
  <c r="O271" i="6"/>
  <c r="N271" i="6"/>
  <c r="L271" i="6"/>
  <c r="K271" i="6"/>
  <c r="C271" i="6"/>
  <c r="CY270" i="6"/>
  <c r="CX270" i="6"/>
  <c r="CR270" i="6"/>
  <c r="CP270" i="6"/>
  <c r="BV270" i="6" s="1"/>
  <c r="CO270" i="6"/>
  <c r="CN270" i="6"/>
  <c r="BT270" i="6" s="1"/>
  <c r="CM270" i="6"/>
  <c r="BS270" i="6" s="1"/>
  <c r="CL270" i="6"/>
  <c r="CK270" i="6"/>
  <c r="BQ270" i="6" s="1"/>
  <c r="CJ270" i="6"/>
  <c r="CI270" i="6"/>
  <c r="CH270" i="6"/>
  <c r="CG270" i="6"/>
  <c r="BO270" i="6"/>
  <c r="BN270" i="6"/>
  <c r="BM270" i="6"/>
  <c r="BL270" i="6"/>
  <c r="BJ270" i="6"/>
  <c r="BI270" i="6"/>
  <c r="BG270" i="6"/>
  <c r="BE270" i="6"/>
  <c r="BD270" i="6"/>
  <c r="AX270" i="6"/>
  <c r="AR270" i="6"/>
  <c r="BA270" i="6" s="1"/>
  <c r="AQ270" i="6"/>
  <c r="AS270" i="6" s="1"/>
  <c r="BC270" i="6" s="1"/>
  <c r="AP270" i="6"/>
  <c r="AO270" i="6"/>
  <c r="AL270" i="6"/>
  <c r="AK270" i="6"/>
  <c r="Y270" i="6"/>
  <c r="J270" i="6" s="1"/>
  <c r="W270" i="6"/>
  <c r="V270" i="6"/>
  <c r="U270" i="6"/>
  <c r="X270" i="6" s="1"/>
  <c r="T270" i="6"/>
  <c r="S270" i="6"/>
  <c r="R270" i="6"/>
  <c r="Z270" i="6" s="1"/>
  <c r="Q270" i="6"/>
  <c r="P270" i="6"/>
  <c r="O270" i="6"/>
  <c r="N270" i="6"/>
  <c r="L270" i="6"/>
  <c r="K270" i="6"/>
  <c r="C270" i="6"/>
  <c r="CY269" i="6"/>
  <c r="CX269" i="6"/>
  <c r="CR269" i="6"/>
  <c r="CP269" i="6"/>
  <c r="BV269" i="6" s="1"/>
  <c r="CO269" i="6"/>
  <c r="CN269" i="6"/>
  <c r="BT269" i="6" s="1"/>
  <c r="CM269" i="6"/>
  <c r="BS269" i="6" s="1"/>
  <c r="CL269" i="6"/>
  <c r="CK269" i="6"/>
  <c r="CJ269" i="6"/>
  <c r="CI269" i="6"/>
  <c r="CH269" i="6"/>
  <c r="BN269" i="6" s="1"/>
  <c r="CG269" i="6"/>
  <c r="BQ269" i="6"/>
  <c r="BO269" i="6"/>
  <c r="BL269" i="6"/>
  <c r="BJ269" i="6"/>
  <c r="BI269" i="6"/>
  <c r="BG269" i="6"/>
  <c r="BE269" i="6"/>
  <c r="BD269" i="6"/>
  <c r="AR269" i="6"/>
  <c r="AQ269" i="6"/>
  <c r="AP269" i="6"/>
  <c r="AO269" i="6"/>
  <c r="AL269" i="6"/>
  <c r="AK269" i="6"/>
  <c r="Z269" i="6"/>
  <c r="W269" i="6"/>
  <c r="U269" i="6"/>
  <c r="X269" i="6" s="1"/>
  <c r="T269" i="6"/>
  <c r="Y269" i="6" s="1"/>
  <c r="R269" i="6"/>
  <c r="Q269" i="6"/>
  <c r="P269" i="6"/>
  <c r="O269" i="6"/>
  <c r="N269" i="6"/>
  <c r="S269" i="6" s="1"/>
  <c r="V269" i="6" s="1"/>
  <c r="L269" i="6"/>
  <c r="K269" i="6"/>
  <c r="J269" i="6"/>
  <c r="I269" i="6"/>
  <c r="E269" i="6"/>
  <c r="C269" i="6"/>
  <c r="CY268" i="6"/>
  <c r="CX268" i="6"/>
  <c r="CR268" i="6"/>
  <c r="CP268" i="6"/>
  <c r="BV268" i="6" s="1"/>
  <c r="CO268" i="6"/>
  <c r="CN268" i="6"/>
  <c r="CM268" i="6"/>
  <c r="CL268" i="6"/>
  <c r="CK268" i="6"/>
  <c r="CJ268" i="6"/>
  <c r="CI268" i="6"/>
  <c r="CH268" i="6"/>
  <c r="CG268" i="6"/>
  <c r="BT268" i="6"/>
  <c r="BS268" i="6"/>
  <c r="BQ268" i="6"/>
  <c r="BO268" i="6"/>
  <c r="BN268" i="6"/>
  <c r="BL268" i="6"/>
  <c r="BJ268" i="6"/>
  <c r="BI268" i="6"/>
  <c r="BG268" i="6"/>
  <c r="BE268" i="6"/>
  <c r="BD268" i="6"/>
  <c r="AR268" i="6"/>
  <c r="AQ268" i="6"/>
  <c r="AP268" i="6"/>
  <c r="AO268" i="6"/>
  <c r="AL268" i="6"/>
  <c r="AK268" i="6"/>
  <c r="Z268" i="6"/>
  <c r="Y268" i="6"/>
  <c r="J268" i="6" s="1"/>
  <c r="W268" i="6"/>
  <c r="V268" i="6"/>
  <c r="U268" i="6"/>
  <c r="X268" i="6" s="1"/>
  <c r="T268" i="6"/>
  <c r="S268" i="6"/>
  <c r="R268" i="6"/>
  <c r="Q268" i="6"/>
  <c r="P268" i="6"/>
  <c r="O268" i="6"/>
  <c r="N268" i="6"/>
  <c r="L268" i="6"/>
  <c r="K268" i="6"/>
  <c r="I268" i="6"/>
  <c r="E268" i="6"/>
  <c r="C268" i="6"/>
  <c r="CY267" i="6"/>
  <c r="CX267" i="6"/>
  <c r="CR267" i="6"/>
  <c r="CP267" i="6"/>
  <c r="BV267" i="6" s="1"/>
  <c r="CO267" i="6"/>
  <c r="CN267" i="6"/>
  <c r="CM267" i="6"/>
  <c r="CL267" i="6"/>
  <c r="CK267" i="6"/>
  <c r="CJ267" i="6"/>
  <c r="CI267" i="6"/>
  <c r="CH267" i="6"/>
  <c r="CG267" i="6"/>
  <c r="BT267" i="6"/>
  <c r="BS267" i="6"/>
  <c r="BR267" i="6"/>
  <c r="BQ267" i="6"/>
  <c r="BO267" i="6"/>
  <c r="BN267" i="6"/>
  <c r="BL267" i="6"/>
  <c r="BJ267" i="6"/>
  <c r="BI267" i="6"/>
  <c r="BG267" i="6"/>
  <c r="BE267" i="6"/>
  <c r="BD267" i="6"/>
  <c r="AR267" i="6"/>
  <c r="AQ267" i="6"/>
  <c r="AX267" i="6" s="1"/>
  <c r="BH267" i="6" s="1"/>
  <c r="AP267" i="6"/>
  <c r="AO267" i="6"/>
  <c r="AL267" i="6"/>
  <c r="AK267" i="6"/>
  <c r="Z267" i="6"/>
  <c r="W267" i="6"/>
  <c r="V267" i="6"/>
  <c r="U267" i="6"/>
  <c r="X267" i="6" s="1"/>
  <c r="T267" i="6"/>
  <c r="Y267" i="6" s="1"/>
  <c r="J267" i="6" s="1"/>
  <c r="R267" i="6"/>
  <c r="Q267" i="6"/>
  <c r="P267" i="6"/>
  <c r="O267" i="6"/>
  <c r="N267" i="6"/>
  <c r="S267" i="6" s="1"/>
  <c r="L267" i="6"/>
  <c r="K267" i="6"/>
  <c r="C267" i="6"/>
  <c r="CY266" i="6"/>
  <c r="CX266" i="6"/>
  <c r="CR266" i="6"/>
  <c r="CP266" i="6"/>
  <c r="BV266" i="6" s="1"/>
  <c r="CO266" i="6"/>
  <c r="CN266" i="6"/>
  <c r="CM266" i="6"/>
  <c r="CL266" i="6"/>
  <c r="CK266" i="6"/>
  <c r="BQ266" i="6" s="1"/>
  <c r="CJ266" i="6"/>
  <c r="CI266" i="6"/>
  <c r="CH266" i="6"/>
  <c r="CG266" i="6"/>
  <c r="BT266" i="6"/>
  <c r="BS266" i="6"/>
  <c r="BO266" i="6"/>
  <c r="BN266" i="6"/>
  <c r="BL266" i="6"/>
  <c r="BK266" i="6"/>
  <c r="BJ266" i="6"/>
  <c r="BI266" i="6"/>
  <c r="BG266" i="6"/>
  <c r="BE266" i="6"/>
  <c r="BD266" i="6"/>
  <c r="BA266" i="6"/>
  <c r="AR266" i="6"/>
  <c r="AV266" i="6" s="1"/>
  <c r="AQ266" i="6"/>
  <c r="AX266" i="6" s="1"/>
  <c r="AP266" i="6"/>
  <c r="AO266" i="6"/>
  <c r="AL266" i="6"/>
  <c r="AK266" i="6"/>
  <c r="Z266" i="6"/>
  <c r="Y266" i="6"/>
  <c r="W266" i="6"/>
  <c r="V266" i="6"/>
  <c r="U266" i="6"/>
  <c r="X266" i="6" s="1"/>
  <c r="R266" i="6"/>
  <c r="Q266" i="6"/>
  <c r="T266" i="6" s="1"/>
  <c r="P266" i="6"/>
  <c r="O266" i="6"/>
  <c r="N266" i="6"/>
  <c r="S266" i="6" s="1"/>
  <c r="L266" i="6"/>
  <c r="M266" i="6" s="1"/>
  <c r="K266" i="6"/>
  <c r="C266" i="6"/>
  <c r="CY265" i="6"/>
  <c r="CX265" i="6"/>
  <c r="CR265" i="6"/>
  <c r="CP265" i="6"/>
  <c r="BV265" i="6" s="1"/>
  <c r="CO265" i="6"/>
  <c r="CN265" i="6"/>
  <c r="CM265" i="6"/>
  <c r="CL265" i="6"/>
  <c r="CK265" i="6"/>
  <c r="CJ265" i="6"/>
  <c r="CI265" i="6"/>
  <c r="BO265" i="6" s="1"/>
  <c r="CH265" i="6"/>
  <c r="CG265" i="6"/>
  <c r="BT265" i="6"/>
  <c r="BS265" i="6"/>
  <c r="BQ265" i="6"/>
  <c r="BN265" i="6"/>
  <c r="BM265" i="6"/>
  <c r="BL265" i="6"/>
  <c r="BJ265" i="6"/>
  <c r="BI265" i="6"/>
  <c r="BG265" i="6"/>
  <c r="BE265" i="6"/>
  <c r="BD265" i="6"/>
  <c r="BC265" i="6"/>
  <c r="BA265" i="6"/>
  <c r="AX265" i="6"/>
  <c r="AV265" i="6"/>
  <c r="AR265" i="6"/>
  <c r="AQ265" i="6"/>
  <c r="AS265" i="6" s="1"/>
  <c r="AP265" i="6"/>
  <c r="AO265" i="6"/>
  <c r="AL265" i="6"/>
  <c r="AK265" i="6"/>
  <c r="R265" i="6"/>
  <c r="Z265" i="6" s="1"/>
  <c r="Q265" i="6"/>
  <c r="T265" i="6" s="1"/>
  <c r="Y265" i="6" s="1"/>
  <c r="J265" i="6" s="1"/>
  <c r="P265" i="6"/>
  <c r="U265" i="6" s="1"/>
  <c r="X265" i="6" s="1"/>
  <c r="O265" i="6"/>
  <c r="W265" i="6" s="1"/>
  <c r="N265" i="6"/>
  <c r="S265" i="6" s="1"/>
  <c r="V265" i="6" s="1"/>
  <c r="I265" i="6" s="1"/>
  <c r="M265" i="6"/>
  <c r="L265" i="6"/>
  <c r="K265" i="6"/>
  <c r="C265" i="6"/>
  <c r="CY264" i="6"/>
  <c r="CX264" i="6"/>
  <c r="CR264" i="6"/>
  <c r="CP264" i="6"/>
  <c r="CO264" i="6"/>
  <c r="CN264" i="6"/>
  <c r="CM264" i="6"/>
  <c r="BS264" i="6" s="1"/>
  <c r="CL264" i="6"/>
  <c r="CK264" i="6"/>
  <c r="CJ264" i="6"/>
  <c r="CI264" i="6"/>
  <c r="BO264" i="6" s="1"/>
  <c r="CH264" i="6"/>
  <c r="BN264" i="6" s="1"/>
  <c r="CG264" i="6"/>
  <c r="BV264" i="6"/>
  <c r="BU264" i="6"/>
  <c r="BT264" i="6"/>
  <c r="BR264" i="6"/>
  <c r="BQ264" i="6"/>
  <c r="BM264" i="6"/>
  <c r="BL264" i="6"/>
  <c r="BK264" i="6"/>
  <c r="BJ264" i="6"/>
  <c r="BI264" i="6"/>
  <c r="BH264" i="6"/>
  <c r="BG264" i="6"/>
  <c r="BE264" i="6"/>
  <c r="BD264" i="6"/>
  <c r="BC264" i="6"/>
  <c r="BA264" i="6"/>
  <c r="AR264" i="6"/>
  <c r="AV264" i="6" s="1"/>
  <c r="AQ264" i="6"/>
  <c r="AP264" i="6"/>
  <c r="AO264" i="6"/>
  <c r="AL264" i="6"/>
  <c r="AK264" i="6"/>
  <c r="Z264" i="6"/>
  <c r="V264" i="6"/>
  <c r="U264" i="6"/>
  <c r="X264" i="6" s="1"/>
  <c r="R264" i="6"/>
  <c r="Q264" i="6"/>
  <c r="T264" i="6" s="1"/>
  <c r="Y264" i="6" s="1"/>
  <c r="J264" i="6" s="1"/>
  <c r="P264" i="6"/>
  <c r="O264" i="6"/>
  <c r="W264" i="6" s="1"/>
  <c r="N264" i="6"/>
  <c r="S264" i="6" s="1"/>
  <c r="L264" i="6"/>
  <c r="M264" i="6" s="1"/>
  <c r="F264" i="6" s="1"/>
  <c r="H264" i="6" s="1"/>
  <c r="K264" i="6"/>
  <c r="C264" i="6"/>
  <c r="CY263" i="6"/>
  <c r="CX263" i="6"/>
  <c r="CR263" i="6"/>
  <c r="CP263" i="6"/>
  <c r="CO263" i="6"/>
  <c r="CN263" i="6"/>
  <c r="CM263" i="6"/>
  <c r="CL263" i="6"/>
  <c r="BR263" i="6" s="1"/>
  <c r="CK263" i="6"/>
  <c r="CJ263" i="6"/>
  <c r="CI263" i="6"/>
  <c r="BO263" i="6" s="1"/>
  <c r="CH263" i="6"/>
  <c r="BN263" i="6" s="1"/>
  <c r="CG263" i="6"/>
  <c r="BM263" i="6" s="1"/>
  <c r="BV263" i="6"/>
  <c r="BU263" i="6"/>
  <c r="BT263" i="6"/>
  <c r="BS263" i="6"/>
  <c r="BQ263" i="6"/>
  <c r="BL263" i="6"/>
  <c r="BJ263" i="6"/>
  <c r="BI263" i="6"/>
  <c r="BH263" i="6"/>
  <c r="BG263" i="6"/>
  <c r="BE263" i="6"/>
  <c r="BD263" i="6"/>
  <c r="BC263" i="6"/>
  <c r="BA263" i="6"/>
  <c r="BK263" i="6" s="1"/>
  <c r="AV263" i="6"/>
  <c r="AR263" i="6"/>
  <c r="AQ263" i="6"/>
  <c r="AP263" i="6"/>
  <c r="AO263" i="6"/>
  <c r="AL263" i="6"/>
  <c r="AK263" i="6"/>
  <c r="Z263" i="6"/>
  <c r="T263" i="6"/>
  <c r="Y263" i="6" s="1"/>
  <c r="R263" i="6"/>
  <c r="Q263" i="6"/>
  <c r="P263" i="6"/>
  <c r="U263" i="6" s="1"/>
  <c r="X263" i="6" s="1"/>
  <c r="O263" i="6"/>
  <c r="W263" i="6" s="1"/>
  <c r="N263" i="6"/>
  <c r="S263" i="6" s="1"/>
  <c r="V263" i="6" s="1"/>
  <c r="I263" i="6" s="1"/>
  <c r="L263" i="6"/>
  <c r="M263" i="6" s="1"/>
  <c r="F263" i="6" s="1"/>
  <c r="H263" i="6" s="1"/>
  <c r="K263" i="6"/>
  <c r="J263" i="6"/>
  <c r="E263" i="6"/>
  <c r="G263" i="6" s="1"/>
  <c r="C263" i="6"/>
  <c r="CY262" i="6"/>
  <c r="CX262" i="6"/>
  <c r="CR262" i="6"/>
  <c r="CP262" i="6"/>
  <c r="CO262" i="6"/>
  <c r="CN262" i="6"/>
  <c r="CM262" i="6"/>
  <c r="CL262" i="6"/>
  <c r="CK262" i="6"/>
  <c r="CJ262" i="6"/>
  <c r="CI262" i="6"/>
  <c r="CH262" i="6"/>
  <c r="CG262" i="6"/>
  <c r="BM262" i="6" s="1"/>
  <c r="BV262" i="6"/>
  <c r="BT262" i="6"/>
  <c r="BS262" i="6"/>
  <c r="BR262" i="6"/>
  <c r="BQ262" i="6"/>
  <c r="BO262" i="6"/>
  <c r="BN262" i="6"/>
  <c r="BL262" i="6"/>
  <c r="BJ262" i="6"/>
  <c r="BI262" i="6"/>
  <c r="BH262" i="6"/>
  <c r="BG262" i="6"/>
  <c r="BE262" i="6"/>
  <c r="BD262" i="6"/>
  <c r="BC262" i="6"/>
  <c r="BA262" i="6"/>
  <c r="BK262" i="6" s="1"/>
  <c r="AR262" i="6"/>
  <c r="AV262" i="6" s="1"/>
  <c r="AQ262" i="6"/>
  <c r="AP262" i="6"/>
  <c r="AO262" i="6"/>
  <c r="AL262" i="6"/>
  <c r="AK262" i="6"/>
  <c r="Z262" i="6"/>
  <c r="Y262" i="6"/>
  <c r="J262" i="6" s="1"/>
  <c r="X262" i="6"/>
  <c r="W262" i="6"/>
  <c r="U262" i="6"/>
  <c r="T262" i="6"/>
  <c r="R262" i="6"/>
  <c r="Q262" i="6"/>
  <c r="P262" i="6"/>
  <c r="O262" i="6"/>
  <c r="N262" i="6"/>
  <c r="S262" i="6" s="1"/>
  <c r="V262" i="6" s="1"/>
  <c r="I262" i="6" s="1"/>
  <c r="E262" i="6" s="1"/>
  <c r="G262" i="6" s="1"/>
  <c r="L262" i="6"/>
  <c r="M262" i="6" s="1"/>
  <c r="K262" i="6"/>
  <c r="F262" i="6"/>
  <c r="H262" i="6" s="1"/>
  <c r="C262" i="6"/>
  <c r="CY261" i="6"/>
  <c r="CX261" i="6"/>
  <c r="CR261" i="6"/>
  <c r="CP261" i="6"/>
  <c r="CO261" i="6"/>
  <c r="CN261" i="6"/>
  <c r="CM261" i="6"/>
  <c r="CL261" i="6"/>
  <c r="CK261" i="6"/>
  <c r="CJ261" i="6"/>
  <c r="CI261" i="6"/>
  <c r="BO261" i="6" s="1"/>
  <c r="CH261" i="6"/>
  <c r="CG261" i="6"/>
  <c r="BV261" i="6"/>
  <c r="BT261" i="6"/>
  <c r="BS261" i="6"/>
  <c r="BR261" i="6"/>
  <c r="BQ261" i="6"/>
  <c r="BP261" i="6"/>
  <c r="BN261" i="6"/>
  <c r="BM261" i="6"/>
  <c r="BL261" i="6"/>
  <c r="BJ261" i="6"/>
  <c r="BI261" i="6"/>
  <c r="BH261" i="6"/>
  <c r="BG261" i="6"/>
  <c r="BE261" i="6"/>
  <c r="BD261" i="6"/>
  <c r="BC261" i="6"/>
  <c r="BA261" i="6"/>
  <c r="AV261" i="6"/>
  <c r="BF261" i="6" s="1"/>
  <c r="AR261" i="6"/>
  <c r="AQ261" i="6"/>
  <c r="AP261" i="6"/>
  <c r="AO261" i="6"/>
  <c r="AL261" i="6"/>
  <c r="AK261" i="6"/>
  <c r="Z261" i="6"/>
  <c r="Y261" i="6"/>
  <c r="J261" i="6" s="1"/>
  <c r="W261" i="6"/>
  <c r="V261" i="6"/>
  <c r="U261" i="6"/>
  <c r="X261" i="6" s="1"/>
  <c r="T261" i="6"/>
  <c r="R261" i="6"/>
  <c r="Q261" i="6"/>
  <c r="P261" i="6"/>
  <c r="O261" i="6"/>
  <c r="N261" i="6"/>
  <c r="S261" i="6" s="1"/>
  <c r="L261" i="6"/>
  <c r="K261" i="6"/>
  <c r="C261" i="6"/>
  <c r="CY260" i="6"/>
  <c r="CX260" i="6"/>
  <c r="CR260" i="6"/>
  <c r="CP260" i="6"/>
  <c r="CO260" i="6"/>
  <c r="CN260" i="6"/>
  <c r="CM260" i="6"/>
  <c r="CL260" i="6"/>
  <c r="CK260" i="6"/>
  <c r="CJ260" i="6"/>
  <c r="CI260" i="6"/>
  <c r="BO260" i="6" s="1"/>
  <c r="CH260" i="6"/>
  <c r="CG260" i="6"/>
  <c r="BM260" i="6" s="1"/>
  <c r="BV260" i="6"/>
  <c r="BT260" i="6"/>
  <c r="BS260" i="6"/>
  <c r="BR260" i="6"/>
  <c r="BQ260" i="6"/>
  <c r="BN260" i="6"/>
  <c r="BL260" i="6"/>
  <c r="BJ260" i="6"/>
  <c r="BI260" i="6"/>
  <c r="BH260" i="6"/>
  <c r="BG260" i="6"/>
  <c r="BE260" i="6"/>
  <c r="BD260" i="6"/>
  <c r="BC260" i="6"/>
  <c r="AR260" i="6"/>
  <c r="AV260" i="6" s="1"/>
  <c r="AQ260" i="6"/>
  <c r="AP260" i="6"/>
  <c r="AO260" i="6"/>
  <c r="AL260" i="6"/>
  <c r="AK260" i="6"/>
  <c r="Z260" i="6"/>
  <c r="W260" i="6"/>
  <c r="U260" i="6"/>
  <c r="X260" i="6" s="1"/>
  <c r="T260" i="6"/>
  <c r="Y260" i="6" s="1"/>
  <c r="S260" i="6"/>
  <c r="V260" i="6" s="1"/>
  <c r="R260" i="6"/>
  <c r="Q260" i="6"/>
  <c r="P260" i="6"/>
  <c r="O260" i="6"/>
  <c r="N260" i="6"/>
  <c r="L260" i="6"/>
  <c r="K260" i="6"/>
  <c r="J260" i="6"/>
  <c r="I260" i="6"/>
  <c r="E260" i="6" s="1"/>
  <c r="G260" i="6" s="1"/>
  <c r="C260" i="6"/>
  <c r="CY259" i="6"/>
  <c r="CX259" i="6"/>
  <c r="CR259" i="6"/>
  <c r="CP259" i="6"/>
  <c r="BV259" i="6" s="1"/>
  <c r="CO259" i="6"/>
  <c r="CN259" i="6"/>
  <c r="CM259" i="6"/>
  <c r="CL259" i="6"/>
  <c r="CK259" i="6"/>
  <c r="CJ259" i="6"/>
  <c r="CI259" i="6"/>
  <c r="CH259" i="6"/>
  <c r="CG259" i="6"/>
  <c r="BM259" i="6" s="1"/>
  <c r="BU259" i="6"/>
  <c r="BT259" i="6"/>
  <c r="BS259" i="6"/>
  <c r="BR259" i="6"/>
  <c r="BQ259" i="6"/>
  <c r="BP259" i="6"/>
  <c r="BO259" i="6"/>
  <c r="BN259" i="6"/>
  <c r="BL259" i="6"/>
  <c r="BJ259" i="6"/>
  <c r="BI259" i="6"/>
  <c r="BH259" i="6"/>
  <c r="BG259" i="6"/>
  <c r="BE259" i="6"/>
  <c r="BD259" i="6"/>
  <c r="BC259" i="6"/>
  <c r="AV259" i="6"/>
  <c r="BF259" i="6" s="1"/>
  <c r="AR259" i="6"/>
  <c r="BA259" i="6" s="1"/>
  <c r="BK259" i="6" s="1"/>
  <c r="AQ259" i="6"/>
  <c r="AP259" i="6"/>
  <c r="AO259" i="6"/>
  <c r="AL259" i="6"/>
  <c r="AK259" i="6"/>
  <c r="Z259" i="6"/>
  <c r="Y259" i="6"/>
  <c r="J259" i="6" s="1"/>
  <c r="X259" i="6"/>
  <c r="W259" i="6"/>
  <c r="U259" i="6"/>
  <c r="T259" i="6"/>
  <c r="S259" i="6"/>
  <c r="V259" i="6" s="1"/>
  <c r="R259" i="6"/>
  <c r="Q259" i="6"/>
  <c r="P259" i="6"/>
  <c r="O259" i="6"/>
  <c r="N259" i="6"/>
  <c r="L259" i="6"/>
  <c r="K259" i="6"/>
  <c r="C259" i="6"/>
  <c r="CY258" i="6"/>
  <c r="CX258" i="6"/>
  <c r="CR258" i="6"/>
  <c r="CP258" i="6"/>
  <c r="BV258" i="6" s="1"/>
  <c r="CO258" i="6"/>
  <c r="CN258" i="6"/>
  <c r="BT258" i="6" s="1"/>
  <c r="CM258" i="6"/>
  <c r="CL258" i="6"/>
  <c r="CK258" i="6"/>
  <c r="CJ258" i="6"/>
  <c r="CI258" i="6"/>
  <c r="CH258" i="6"/>
  <c r="CG258" i="6"/>
  <c r="BU258" i="6"/>
  <c r="BS258" i="6"/>
  <c r="BR258" i="6"/>
  <c r="BQ258" i="6"/>
  <c r="BO258" i="6"/>
  <c r="BN258" i="6"/>
  <c r="BM258" i="6"/>
  <c r="BL258" i="6"/>
  <c r="BK258" i="6"/>
  <c r="BJ258" i="6"/>
  <c r="BI258" i="6"/>
  <c r="BH258" i="6"/>
  <c r="BG258" i="6"/>
  <c r="BE258" i="6"/>
  <c r="BD258" i="6"/>
  <c r="BC258" i="6"/>
  <c r="AR258" i="6"/>
  <c r="BA258" i="6" s="1"/>
  <c r="AQ258" i="6"/>
  <c r="AP258" i="6"/>
  <c r="AO258" i="6"/>
  <c r="AL258" i="6"/>
  <c r="AK258" i="6"/>
  <c r="W258" i="6"/>
  <c r="V258" i="6"/>
  <c r="I258" i="6" s="1"/>
  <c r="E258" i="6" s="1"/>
  <c r="T258" i="6"/>
  <c r="Y258" i="6" s="1"/>
  <c r="S258" i="6"/>
  <c r="R258" i="6"/>
  <c r="Z258" i="6" s="1"/>
  <c r="Q258" i="6"/>
  <c r="P258" i="6"/>
  <c r="U258" i="6" s="1"/>
  <c r="X258" i="6" s="1"/>
  <c r="O258" i="6"/>
  <c r="N258" i="6"/>
  <c r="L258" i="6"/>
  <c r="K258" i="6"/>
  <c r="C258" i="6"/>
  <c r="CY257" i="6"/>
  <c r="CX257" i="6"/>
  <c r="CR257" i="6"/>
  <c r="CP257" i="6"/>
  <c r="BV257" i="6" s="1"/>
  <c r="CO257" i="6"/>
  <c r="CN257" i="6"/>
  <c r="BT257" i="6" s="1"/>
  <c r="CM257" i="6"/>
  <c r="BS257" i="6" s="1"/>
  <c r="CL257" i="6"/>
  <c r="CK257" i="6"/>
  <c r="BQ257" i="6" s="1"/>
  <c r="CJ257" i="6"/>
  <c r="CI257" i="6"/>
  <c r="CH257" i="6"/>
  <c r="CG257" i="6"/>
  <c r="BR257" i="6"/>
  <c r="BO257" i="6"/>
  <c r="BN257" i="6"/>
  <c r="BM257" i="6"/>
  <c r="BL257" i="6"/>
  <c r="BJ257" i="6"/>
  <c r="BI257" i="6"/>
  <c r="BH257" i="6"/>
  <c r="BG257" i="6"/>
  <c r="BE257" i="6"/>
  <c r="BD257" i="6"/>
  <c r="BC257" i="6"/>
  <c r="AR257" i="6"/>
  <c r="AQ257" i="6"/>
  <c r="AP257" i="6"/>
  <c r="AO257" i="6"/>
  <c r="AL257" i="6"/>
  <c r="AK257" i="6"/>
  <c r="Z257" i="6"/>
  <c r="R257" i="6"/>
  <c r="Q257" i="6"/>
  <c r="T257" i="6" s="1"/>
  <c r="Y257" i="6" s="1"/>
  <c r="J257" i="6" s="1"/>
  <c r="P257" i="6"/>
  <c r="U257" i="6" s="1"/>
  <c r="X257" i="6" s="1"/>
  <c r="O257" i="6"/>
  <c r="W257" i="6" s="1"/>
  <c r="N257" i="6"/>
  <c r="S257" i="6" s="1"/>
  <c r="V257" i="6" s="1"/>
  <c r="L257" i="6"/>
  <c r="K257" i="6"/>
  <c r="C257" i="6"/>
  <c r="CY256" i="6"/>
  <c r="CX256" i="6"/>
  <c r="CR256" i="6"/>
  <c r="CP256" i="6"/>
  <c r="BV256" i="6" s="1"/>
  <c r="CO256" i="6"/>
  <c r="CN256" i="6"/>
  <c r="BT256" i="6" s="1"/>
  <c r="CM256" i="6"/>
  <c r="BS256" i="6" s="1"/>
  <c r="CL256" i="6"/>
  <c r="BR256" i="6" s="1"/>
  <c r="CK256" i="6"/>
  <c r="BQ256" i="6" s="1"/>
  <c r="CJ256" i="6"/>
  <c r="CI256" i="6"/>
  <c r="BO256" i="6" s="1"/>
  <c r="CH256" i="6"/>
  <c r="CG256" i="6"/>
  <c r="BM256" i="6" s="1"/>
  <c r="BN256" i="6"/>
  <c r="BL256" i="6"/>
  <c r="BJ256" i="6"/>
  <c r="BI256" i="6"/>
  <c r="BH256" i="6"/>
  <c r="BG256" i="6"/>
  <c r="BF256" i="6"/>
  <c r="BE256" i="6"/>
  <c r="BD256" i="6"/>
  <c r="BC256" i="6"/>
  <c r="AV256" i="6"/>
  <c r="BP256" i="6" s="1"/>
  <c r="AR256" i="6"/>
  <c r="BA256" i="6" s="1"/>
  <c r="AQ256" i="6"/>
  <c r="AP256" i="6"/>
  <c r="AO256" i="6"/>
  <c r="AL256" i="6"/>
  <c r="AK256" i="6"/>
  <c r="V256" i="6"/>
  <c r="U256" i="6"/>
  <c r="X256" i="6" s="1"/>
  <c r="R256" i="6"/>
  <c r="Z256" i="6" s="1"/>
  <c r="Q256" i="6"/>
  <c r="T256" i="6" s="1"/>
  <c r="Y256" i="6" s="1"/>
  <c r="J256" i="6" s="1"/>
  <c r="P256" i="6"/>
  <c r="O256" i="6"/>
  <c r="W256" i="6" s="1"/>
  <c r="N256" i="6"/>
  <c r="S256" i="6" s="1"/>
  <c r="L256" i="6"/>
  <c r="K256" i="6"/>
  <c r="C256" i="6"/>
  <c r="CY255" i="6"/>
  <c r="CX255" i="6"/>
  <c r="CR255" i="6"/>
  <c r="CP255" i="6"/>
  <c r="CO255" i="6"/>
  <c r="CN255" i="6"/>
  <c r="CM255" i="6"/>
  <c r="BS255" i="6" s="1"/>
  <c r="CL255" i="6"/>
  <c r="BR255" i="6" s="1"/>
  <c r="CK255" i="6"/>
  <c r="BQ255" i="6" s="1"/>
  <c r="CJ255" i="6"/>
  <c r="CI255" i="6"/>
  <c r="BO255" i="6" s="1"/>
  <c r="CH255" i="6"/>
  <c r="BN255" i="6" s="1"/>
  <c r="CG255" i="6"/>
  <c r="BM255" i="6" s="1"/>
  <c r="BV255" i="6"/>
  <c r="BT255" i="6"/>
  <c r="BL255" i="6"/>
  <c r="BJ255" i="6"/>
  <c r="BI255" i="6"/>
  <c r="BH255" i="6"/>
  <c r="BG255" i="6"/>
  <c r="BE255" i="6"/>
  <c r="BD255" i="6"/>
  <c r="BC255" i="6"/>
  <c r="AR255" i="6"/>
  <c r="AQ255" i="6"/>
  <c r="AP255" i="6"/>
  <c r="AO255" i="6"/>
  <c r="AL255" i="6"/>
  <c r="AK255" i="6"/>
  <c r="W255" i="6"/>
  <c r="U255" i="6"/>
  <c r="X255" i="6" s="1"/>
  <c r="T255" i="6"/>
  <c r="Y255" i="6" s="1"/>
  <c r="J255" i="6" s="1"/>
  <c r="R255" i="6"/>
  <c r="Z255" i="6" s="1"/>
  <c r="Q255" i="6"/>
  <c r="P255" i="6"/>
  <c r="O255" i="6"/>
  <c r="N255" i="6"/>
  <c r="S255" i="6" s="1"/>
  <c r="V255" i="6" s="1"/>
  <c r="L255" i="6"/>
  <c r="K255" i="6"/>
  <c r="C255" i="6"/>
  <c r="CY254" i="6"/>
  <c r="CX254" i="6"/>
  <c r="CR254" i="6"/>
  <c r="CP254" i="6"/>
  <c r="CO254" i="6"/>
  <c r="CN254" i="6"/>
  <c r="BT254" i="6" s="1"/>
  <c r="CM254" i="6"/>
  <c r="BS254" i="6" s="1"/>
  <c r="CL254" i="6"/>
  <c r="BR254" i="6" s="1"/>
  <c r="CK254" i="6"/>
  <c r="BQ254" i="6" s="1"/>
  <c r="CJ254" i="6"/>
  <c r="CI254" i="6"/>
  <c r="BO254" i="6" s="1"/>
  <c r="CH254" i="6"/>
  <c r="BN254" i="6" s="1"/>
  <c r="CG254" i="6"/>
  <c r="BM254" i="6" s="1"/>
  <c r="BV254" i="6"/>
  <c r="BL254" i="6"/>
  <c r="BJ254" i="6"/>
  <c r="BI254" i="6"/>
  <c r="BH254" i="6"/>
  <c r="BG254" i="6"/>
  <c r="BE254" i="6"/>
  <c r="BD254" i="6"/>
  <c r="BC254" i="6"/>
  <c r="AR254" i="6"/>
  <c r="AQ254" i="6"/>
  <c r="AP254" i="6"/>
  <c r="AO254" i="6"/>
  <c r="AL254" i="6"/>
  <c r="AK254" i="6"/>
  <c r="T254" i="6"/>
  <c r="Y254" i="6" s="1"/>
  <c r="J254" i="6" s="1"/>
  <c r="S254" i="6"/>
  <c r="V254" i="6" s="1"/>
  <c r="I254" i="6" s="1"/>
  <c r="R254" i="6"/>
  <c r="Z254" i="6" s="1"/>
  <c r="Q254" i="6"/>
  <c r="P254" i="6"/>
  <c r="U254" i="6" s="1"/>
  <c r="X254" i="6" s="1"/>
  <c r="O254" i="6"/>
  <c r="W254" i="6" s="1"/>
  <c r="N254" i="6"/>
  <c r="L254" i="6"/>
  <c r="K254" i="6"/>
  <c r="C254" i="6"/>
  <c r="CY253" i="6"/>
  <c r="CX253" i="6"/>
  <c r="CR253" i="6"/>
  <c r="CP253" i="6"/>
  <c r="CO253" i="6"/>
  <c r="CN253" i="6"/>
  <c r="BT253" i="6" s="1"/>
  <c r="CM253" i="6"/>
  <c r="BS253" i="6" s="1"/>
  <c r="CL253" i="6"/>
  <c r="BR253" i="6" s="1"/>
  <c r="CK253" i="6"/>
  <c r="BQ253" i="6" s="1"/>
  <c r="CJ253" i="6"/>
  <c r="CI253" i="6"/>
  <c r="BO253" i="6" s="1"/>
  <c r="CH253" i="6"/>
  <c r="BN253" i="6" s="1"/>
  <c r="CG253" i="6"/>
  <c r="BM253" i="6" s="1"/>
  <c r="BV253" i="6"/>
  <c r="BL253" i="6"/>
  <c r="BJ253" i="6"/>
  <c r="BI253" i="6"/>
  <c r="BH253" i="6"/>
  <c r="BG253" i="6"/>
  <c r="BE253" i="6"/>
  <c r="BD253" i="6"/>
  <c r="BC253" i="6"/>
  <c r="AR253" i="6"/>
  <c r="BA253" i="6" s="1"/>
  <c r="AQ253" i="6"/>
  <c r="AP253" i="6"/>
  <c r="AO253" i="6"/>
  <c r="AL253" i="6"/>
  <c r="AK253" i="6"/>
  <c r="U253" i="6"/>
  <c r="X253" i="6" s="1"/>
  <c r="S253" i="6"/>
  <c r="V253" i="6" s="1"/>
  <c r="I253" i="6" s="1"/>
  <c r="R253" i="6"/>
  <c r="Z253" i="6" s="1"/>
  <c r="Q253" i="6"/>
  <c r="T253" i="6" s="1"/>
  <c r="Y253" i="6" s="1"/>
  <c r="J253" i="6" s="1"/>
  <c r="P253" i="6"/>
  <c r="O253" i="6"/>
  <c r="W253" i="6" s="1"/>
  <c r="N253" i="6"/>
  <c r="L253" i="6"/>
  <c r="K253" i="6"/>
  <c r="C253" i="6"/>
  <c r="CY252" i="6"/>
  <c r="CX252" i="6"/>
  <c r="CR252" i="6"/>
  <c r="CP252" i="6"/>
  <c r="CO252" i="6"/>
  <c r="CN252" i="6"/>
  <c r="CM252" i="6"/>
  <c r="CL252" i="6"/>
  <c r="BR252" i="6" s="1"/>
  <c r="CK252" i="6"/>
  <c r="BQ252" i="6" s="1"/>
  <c r="CJ252" i="6"/>
  <c r="CI252" i="6"/>
  <c r="BO252" i="6" s="1"/>
  <c r="CH252" i="6"/>
  <c r="BN252" i="6" s="1"/>
  <c r="CG252" i="6"/>
  <c r="BM252" i="6" s="1"/>
  <c r="BV252" i="6"/>
  <c r="BT252" i="6"/>
  <c r="BS252" i="6"/>
  <c r="BL252" i="6"/>
  <c r="BJ252" i="6"/>
  <c r="BI252" i="6"/>
  <c r="BH252" i="6"/>
  <c r="BG252" i="6"/>
  <c r="BE252" i="6"/>
  <c r="BD252" i="6"/>
  <c r="BC252" i="6"/>
  <c r="AV252" i="6"/>
  <c r="AR252" i="6"/>
  <c r="BA252" i="6" s="1"/>
  <c r="AQ252" i="6"/>
  <c r="AP252" i="6"/>
  <c r="AO252" i="6"/>
  <c r="AL252" i="6"/>
  <c r="AK252" i="6"/>
  <c r="R252" i="6"/>
  <c r="Z252" i="6" s="1"/>
  <c r="Q252" i="6"/>
  <c r="T252" i="6" s="1"/>
  <c r="Y252" i="6" s="1"/>
  <c r="J252" i="6" s="1"/>
  <c r="P252" i="6"/>
  <c r="U252" i="6" s="1"/>
  <c r="X252" i="6" s="1"/>
  <c r="O252" i="6"/>
  <c r="W252" i="6" s="1"/>
  <c r="N252" i="6"/>
  <c r="S252" i="6" s="1"/>
  <c r="V252" i="6" s="1"/>
  <c r="I252" i="6" s="1"/>
  <c r="L252" i="6"/>
  <c r="K252" i="6"/>
  <c r="C252" i="6"/>
  <c r="CY251" i="6"/>
  <c r="CX251" i="6"/>
  <c r="CR251" i="6"/>
  <c r="CP251" i="6"/>
  <c r="CO251" i="6"/>
  <c r="CN251" i="6"/>
  <c r="CM251" i="6"/>
  <c r="BS251" i="6" s="1"/>
  <c r="CL251" i="6"/>
  <c r="BR251" i="6" s="1"/>
  <c r="CK251" i="6"/>
  <c r="BQ251" i="6" s="1"/>
  <c r="CJ251" i="6"/>
  <c r="CI251" i="6"/>
  <c r="BO251" i="6" s="1"/>
  <c r="CH251" i="6"/>
  <c r="BN251" i="6" s="1"/>
  <c r="CG251" i="6"/>
  <c r="BM251" i="6" s="1"/>
  <c r="BV251" i="6"/>
  <c r="BT251" i="6"/>
  <c r="BL251" i="6"/>
  <c r="BJ251" i="6"/>
  <c r="BI251" i="6"/>
  <c r="BH251" i="6"/>
  <c r="BG251" i="6"/>
  <c r="BE251" i="6"/>
  <c r="BD251" i="6"/>
  <c r="BC251" i="6"/>
  <c r="BA251" i="6"/>
  <c r="AR251" i="6"/>
  <c r="AV251" i="6" s="1"/>
  <c r="AQ251" i="6"/>
  <c r="AP251" i="6"/>
  <c r="AO251" i="6"/>
  <c r="AL251" i="6"/>
  <c r="AK251" i="6"/>
  <c r="Z251" i="6"/>
  <c r="R251" i="6"/>
  <c r="Q251" i="6"/>
  <c r="T251" i="6" s="1"/>
  <c r="Y251" i="6" s="1"/>
  <c r="P251" i="6"/>
  <c r="U251" i="6" s="1"/>
  <c r="X251" i="6" s="1"/>
  <c r="O251" i="6"/>
  <c r="W251" i="6" s="1"/>
  <c r="N251" i="6"/>
  <c r="S251" i="6" s="1"/>
  <c r="V251" i="6" s="1"/>
  <c r="M251" i="6"/>
  <c r="F251" i="6" s="1"/>
  <c r="H251" i="6" s="1"/>
  <c r="L251" i="6"/>
  <c r="K251" i="6"/>
  <c r="J251" i="6"/>
  <c r="I251" i="6"/>
  <c r="E251" i="6"/>
  <c r="C251" i="6"/>
  <c r="CY250" i="6"/>
  <c r="CX250" i="6"/>
  <c r="CR250" i="6"/>
  <c r="CP250" i="6"/>
  <c r="CO250" i="6"/>
  <c r="CN250" i="6"/>
  <c r="CM250" i="6"/>
  <c r="CL250" i="6"/>
  <c r="CK250" i="6"/>
  <c r="CJ250" i="6"/>
  <c r="CI250" i="6"/>
  <c r="CH250" i="6"/>
  <c r="BN250" i="6" s="1"/>
  <c r="CG250" i="6"/>
  <c r="BM250" i="6" s="1"/>
  <c r="BV250" i="6"/>
  <c r="BT250" i="6"/>
  <c r="BS250" i="6"/>
  <c r="BR250" i="6"/>
  <c r="BQ250" i="6"/>
  <c r="BP250" i="6"/>
  <c r="BO250" i="6"/>
  <c r="BL250" i="6"/>
  <c r="BJ250" i="6"/>
  <c r="BI250" i="6"/>
  <c r="BH250" i="6"/>
  <c r="BG250" i="6"/>
  <c r="BF250" i="6"/>
  <c r="BE250" i="6"/>
  <c r="BD250" i="6"/>
  <c r="BC250" i="6"/>
  <c r="BA250" i="6"/>
  <c r="BK250" i="6" s="1"/>
  <c r="AR250" i="6"/>
  <c r="AV250" i="6" s="1"/>
  <c r="AQ250" i="6"/>
  <c r="AP250" i="6"/>
  <c r="AO250" i="6"/>
  <c r="AL250" i="6"/>
  <c r="AK250" i="6"/>
  <c r="R250" i="6"/>
  <c r="Z250" i="6" s="1"/>
  <c r="Q250" i="6"/>
  <c r="T250" i="6" s="1"/>
  <c r="Y250" i="6" s="1"/>
  <c r="J250" i="6" s="1"/>
  <c r="P250" i="6"/>
  <c r="U250" i="6" s="1"/>
  <c r="X250" i="6" s="1"/>
  <c r="O250" i="6"/>
  <c r="W250" i="6" s="1"/>
  <c r="N250" i="6"/>
  <c r="S250" i="6" s="1"/>
  <c r="V250" i="6" s="1"/>
  <c r="I250" i="6" s="1"/>
  <c r="L250" i="6"/>
  <c r="M250" i="6" s="1"/>
  <c r="K250" i="6"/>
  <c r="C250" i="6"/>
  <c r="CY249" i="6"/>
  <c r="CX249" i="6"/>
  <c r="CR249" i="6"/>
  <c r="CP249" i="6"/>
  <c r="CO249" i="6"/>
  <c r="CN249" i="6"/>
  <c r="CM249" i="6"/>
  <c r="BS249" i="6" s="1"/>
  <c r="CL249" i="6"/>
  <c r="CK249" i="6"/>
  <c r="BQ249" i="6" s="1"/>
  <c r="CJ249" i="6"/>
  <c r="CI249" i="6"/>
  <c r="BO249" i="6" s="1"/>
  <c r="CH249" i="6"/>
  <c r="BN249" i="6" s="1"/>
  <c r="CG249" i="6"/>
  <c r="BM249" i="6" s="1"/>
  <c r="BV249" i="6"/>
  <c r="BT249" i="6"/>
  <c r="BR249" i="6"/>
  <c r="BL249" i="6"/>
  <c r="BJ249" i="6"/>
  <c r="BI249" i="6"/>
  <c r="BH249" i="6"/>
  <c r="BG249" i="6"/>
  <c r="BE249" i="6"/>
  <c r="BD249" i="6"/>
  <c r="BC249" i="6"/>
  <c r="AR249" i="6"/>
  <c r="BA249" i="6" s="1"/>
  <c r="AQ249" i="6"/>
  <c r="AP249" i="6"/>
  <c r="AO249" i="6"/>
  <c r="AL249" i="6"/>
  <c r="AK249" i="6"/>
  <c r="Z249" i="6"/>
  <c r="R249" i="6"/>
  <c r="Q249" i="6"/>
  <c r="T249" i="6" s="1"/>
  <c r="Y249" i="6" s="1"/>
  <c r="P249" i="6"/>
  <c r="U249" i="6" s="1"/>
  <c r="X249" i="6" s="1"/>
  <c r="O249" i="6"/>
  <c r="W249" i="6" s="1"/>
  <c r="N249" i="6"/>
  <c r="S249" i="6" s="1"/>
  <c r="V249" i="6" s="1"/>
  <c r="L249" i="6"/>
  <c r="K249" i="6"/>
  <c r="J249" i="6"/>
  <c r="I249" i="6"/>
  <c r="C249" i="6"/>
  <c r="CY248" i="6"/>
  <c r="CX248" i="6"/>
  <c r="CR248" i="6"/>
  <c r="CP248" i="6"/>
  <c r="CO248" i="6"/>
  <c r="CN248" i="6"/>
  <c r="CM248" i="6"/>
  <c r="CL248" i="6"/>
  <c r="CK248" i="6"/>
  <c r="CJ248" i="6"/>
  <c r="CI248" i="6"/>
  <c r="BO248" i="6" s="1"/>
  <c r="CH248" i="6"/>
  <c r="BN248" i="6" s="1"/>
  <c r="CG248" i="6"/>
  <c r="BM248" i="6" s="1"/>
  <c r="BV248" i="6"/>
  <c r="BT248" i="6"/>
  <c r="BS248" i="6"/>
  <c r="BR248" i="6"/>
  <c r="BQ248" i="6"/>
  <c r="BL248" i="6"/>
  <c r="BJ248" i="6"/>
  <c r="BI248" i="6"/>
  <c r="BH248" i="6"/>
  <c r="BG248" i="6"/>
  <c r="BE248" i="6"/>
  <c r="BD248" i="6"/>
  <c r="BC248" i="6"/>
  <c r="BA248" i="6"/>
  <c r="AR248" i="6"/>
  <c r="AV248" i="6" s="1"/>
  <c r="AQ248" i="6"/>
  <c r="AP248" i="6"/>
  <c r="AO248" i="6"/>
  <c r="AL248" i="6"/>
  <c r="AK248" i="6"/>
  <c r="Z248" i="6"/>
  <c r="Y248" i="6"/>
  <c r="J248" i="6" s="1"/>
  <c r="W248" i="6"/>
  <c r="R248" i="6"/>
  <c r="Q248" i="6"/>
  <c r="T248" i="6" s="1"/>
  <c r="P248" i="6"/>
  <c r="U248" i="6" s="1"/>
  <c r="X248" i="6" s="1"/>
  <c r="O248" i="6"/>
  <c r="N248" i="6"/>
  <c r="S248" i="6" s="1"/>
  <c r="V248" i="6" s="1"/>
  <c r="L248" i="6"/>
  <c r="K248" i="6"/>
  <c r="C248" i="6"/>
  <c r="CY247" i="6"/>
  <c r="CX247" i="6"/>
  <c r="CR247" i="6"/>
  <c r="CP247" i="6"/>
  <c r="CO247" i="6"/>
  <c r="CN247" i="6"/>
  <c r="CM247" i="6"/>
  <c r="CL247" i="6"/>
  <c r="CK247" i="6"/>
  <c r="CJ247" i="6"/>
  <c r="CI247" i="6"/>
  <c r="CH247" i="6"/>
  <c r="CG247" i="6"/>
  <c r="BV247" i="6"/>
  <c r="BT247" i="6"/>
  <c r="BS247" i="6"/>
  <c r="BR247" i="6"/>
  <c r="BQ247" i="6"/>
  <c r="BO247" i="6"/>
  <c r="BN247" i="6"/>
  <c r="BM247" i="6"/>
  <c r="BL247" i="6"/>
  <c r="BJ247" i="6"/>
  <c r="BI247" i="6"/>
  <c r="BH247" i="6"/>
  <c r="BG247" i="6"/>
  <c r="BE247" i="6"/>
  <c r="BD247" i="6"/>
  <c r="BC247" i="6"/>
  <c r="BA247" i="6"/>
  <c r="AR247" i="6"/>
  <c r="AV247" i="6" s="1"/>
  <c r="AQ247" i="6"/>
  <c r="AP247" i="6"/>
  <c r="AO247" i="6"/>
  <c r="AL247" i="6"/>
  <c r="AK247" i="6"/>
  <c r="Z247" i="6"/>
  <c r="W247" i="6"/>
  <c r="R247" i="6"/>
  <c r="Q247" i="6"/>
  <c r="T247" i="6" s="1"/>
  <c r="Y247" i="6" s="1"/>
  <c r="P247" i="6"/>
  <c r="U247" i="6" s="1"/>
  <c r="X247" i="6" s="1"/>
  <c r="O247" i="6"/>
  <c r="N247" i="6"/>
  <c r="S247" i="6" s="1"/>
  <c r="V247" i="6" s="1"/>
  <c r="I247" i="6" s="1"/>
  <c r="L247" i="6"/>
  <c r="M247" i="6" s="1"/>
  <c r="K247" i="6"/>
  <c r="C247" i="6"/>
  <c r="CY246" i="6"/>
  <c r="CX246" i="6"/>
  <c r="CR246" i="6"/>
  <c r="CP246" i="6"/>
  <c r="CO246" i="6"/>
  <c r="CN246" i="6"/>
  <c r="CM246" i="6"/>
  <c r="CL246" i="6"/>
  <c r="CK246" i="6"/>
  <c r="CJ246" i="6"/>
  <c r="CI246" i="6"/>
  <c r="CH246" i="6"/>
  <c r="BN246" i="6" s="1"/>
  <c r="CG246" i="6"/>
  <c r="BM246" i="6" s="1"/>
  <c r="BV246" i="6"/>
  <c r="BT246" i="6"/>
  <c r="BS246" i="6"/>
  <c r="BR246" i="6"/>
  <c r="BQ246" i="6"/>
  <c r="BO246" i="6"/>
  <c r="BL246" i="6"/>
  <c r="BJ246" i="6"/>
  <c r="BI246" i="6"/>
  <c r="BH246" i="6"/>
  <c r="BG246" i="6"/>
  <c r="BE246" i="6"/>
  <c r="BD246" i="6"/>
  <c r="BC246" i="6"/>
  <c r="AR246" i="6"/>
  <c r="AV246" i="6" s="1"/>
  <c r="AQ246" i="6"/>
  <c r="AP246" i="6"/>
  <c r="AO246" i="6"/>
  <c r="AL246" i="6"/>
  <c r="AK246" i="6"/>
  <c r="Z246" i="6"/>
  <c r="Y246" i="6"/>
  <c r="W246" i="6"/>
  <c r="V246" i="6"/>
  <c r="U246" i="6"/>
  <c r="X246" i="6" s="1"/>
  <c r="R246" i="6"/>
  <c r="Q246" i="6"/>
  <c r="T246" i="6" s="1"/>
  <c r="P246" i="6"/>
  <c r="O246" i="6"/>
  <c r="N246" i="6"/>
  <c r="S246" i="6" s="1"/>
  <c r="L246" i="6"/>
  <c r="K246" i="6"/>
  <c r="J246" i="6"/>
  <c r="I246" i="6"/>
  <c r="E246" i="6" s="1"/>
  <c r="C246" i="6"/>
  <c r="CY245" i="6"/>
  <c r="CX245" i="6"/>
  <c r="CR245" i="6"/>
  <c r="CP245" i="6"/>
  <c r="CO245" i="6"/>
  <c r="CN245" i="6"/>
  <c r="CM245" i="6"/>
  <c r="CL245" i="6"/>
  <c r="CK245" i="6"/>
  <c r="CJ245" i="6"/>
  <c r="CI245" i="6"/>
  <c r="BO245" i="6" s="1"/>
  <c r="CH245" i="6"/>
  <c r="BN245" i="6" s="1"/>
  <c r="CG245" i="6"/>
  <c r="BM245" i="6" s="1"/>
  <c r="BV245" i="6"/>
  <c r="BT245" i="6"/>
  <c r="BS245" i="6"/>
  <c r="BR245" i="6"/>
  <c r="BQ245" i="6"/>
  <c r="BP245" i="6"/>
  <c r="BL245" i="6"/>
  <c r="BJ245" i="6"/>
  <c r="BI245" i="6"/>
  <c r="BH245" i="6"/>
  <c r="BG245" i="6"/>
  <c r="BE245" i="6"/>
  <c r="BD245" i="6"/>
  <c r="BC245" i="6"/>
  <c r="BA245" i="6"/>
  <c r="AV245" i="6"/>
  <c r="BF245" i="6" s="1"/>
  <c r="AR245" i="6"/>
  <c r="AQ245" i="6"/>
  <c r="AP245" i="6"/>
  <c r="AO245" i="6"/>
  <c r="AL245" i="6"/>
  <c r="AK245" i="6"/>
  <c r="Z245" i="6"/>
  <c r="Y245" i="6"/>
  <c r="W245" i="6"/>
  <c r="V245" i="6"/>
  <c r="U245" i="6"/>
  <c r="X245" i="6" s="1"/>
  <c r="I245" i="6" s="1"/>
  <c r="T245" i="6"/>
  <c r="R245" i="6"/>
  <c r="Q245" i="6"/>
  <c r="P245" i="6"/>
  <c r="O245" i="6"/>
  <c r="N245" i="6"/>
  <c r="S245" i="6" s="1"/>
  <c r="L245" i="6"/>
  <c r="K245" i="6"/>
  <c r="J245" i="6"/>
  <c r="C245" i="6"/>
  <c r="CY244" i="6"/>
  <c r="CX244" i="6"/>
  <c r="CR244" i="6"/>
  <c r="CP244" i="6"/>
  <c r="CO244" i="6"/>
  <c r="CN244" i="6"/>
  <c r="CM244" i="6"/>
  <c r="CL244" i="6"/>
  <c r="CK244" i="6"/>
  <c r="CJ244" i="6"/>
  <c r="CI244" i="6"/>
  <c r="CH244" i="6"/>
  <c r="BN244" i="6" s="1"/>
  <c r="CG244" i="6"/>
  <c r="BM244" i="6" s="1"/>
  <c r="BV244" i="6"/>
  <c r="BT244" i="6"/>
  <c r="BS244" i="6"/>
  <c r="BR244" i="6"/>
  <c r="BQ244" i="6"/>
  <c r="BO244" i="6"/>
  <c r="BL244" i="6"/>
  <c r="BJ244" i="6"/>
  <c r="BI244" i="6"/>
  <c r="BH244" i="6"/>
  <c r="BG244" i="6"/>
  <c r="BE244" i="6"/>
  <c r="BD244" i="6"/>
  <c r="BC244" i="6"/>
  <c r="AR244" i="6"/>
  <c r="AQ244" i="6"/>
  <c r="AP244" i="6"/>
  <c r="AO244" i="6"/>
  <c r="AL244" i="6"/>
  <c r="AK244" i="6"/>
  <c r="Z244" i="6"/>
  <c r="J244" i="6" s="1"/>
  <c r="Y244" i="6"/>
  <c r="X244" i="6"/>
  <c r="W244" i="6"/>
  <c r="V244" i="6"/>
  <c r="U244" i="6"/>
  <c r="T244" i="6"/>
  <c r="S244" i="6"/>
  <c r="R244" i="6"/>
  <c r="Q244" i="6"/>
  <c r="P244" i="6"/>
  <c r="O244" i="6"/>
  <c r="N244" i="6"/>
  <c r="L244" i="6"/>
  <c r="K244" i="6"/>
  <c r="I244" i="6"/>
  <c r="E244" i="6"/>
  <c r="C244" i="6"/>
  <c r="CY243" i="6"/>
  <c r="CX243" i="6"/>
  <c r="CR243" i="6"/>
  <c r="CP243" i="6"/>
  <c r="CO243" i="6"/>
  <c r="CN243" i="6"/>
  <c r="CM243" i="6"/>
  <c r="CL243" i="6"/>
  <c r="CK243" i="6"/>
  <c r="CJ243" i="6"/>
  <c r="CI243" i="6"/>
  <c r="CH243" i="6"/>
  <c r="BN243" i="6" s="1"/>
  <c r="CG243" i="6"/>
  <c r="BV243" i="6"/>
  <c r="BU243" i="6"/>
  <c r="BT243" i="6"/>
  <c r="BS243" i="6"/>
  <c r="BR243" i="6"/>
  <c r="BQ243" i="6"/>
  <c r="BP243" i="6"/>
  <c r="BO243" i="6"/>
  <c r="BM243" i="6"/>
  <c r="BL243" i="6"/>
  <c r="BJ243" i="6"/>
  <c r="BI243" i="6"/>
  <c r="BH243" i="6"/>
  <c r="BG243" i="6"/>
  <c r="BE243" i="6"/>
  <c r="BD243" i="6"/>
  <c r="BC243" i="6"/>
  <c r="BA243" i="6"/>
  <c r="BK243" i="6" s="1"/>
  <c r="AV243" i="6"/>
  <c r="BF243" i="6" s="1"/>
  <c r="AR243" i="6"/>
  <c r="AQ243" i="6"/>
  <c r="AP243" i="6"/>
  <c r="AO243" i="6"/>
  <c r="AL243" i="6"/>
  <c r="AK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L243" i="6"/>
  <c r="M243" i="6" s="1"/>
  <c r="K243" i="6"/>
  <c r="C243" i="6"/>
  <c r="CY242" i="6"/>
  <c r="CX242" i="6"/>
  <c r="CR242" i="6"/>
  <c r="CP242" i="6"/>
  <c r="CO242" i="6"/>
  <c r="CN242" i="6"/>
  <c r="BT242" i="6" s="1"/>
  <c r="CM242" i="6"/>
  <c r="CL242" i="6"/>
  <c r="CK242" i="6"/>
  <c r="CJ242" i="6"/>
  <c r="CI242" i="6"/>
  <c r="CH242" i="6"/>
  <c r="CG242" i="6"/>
  <c r="BV242" i="6"/>
  <c r="BU242" i="6"/>
  <c r="BS242" i="6"/>
  <c r="BR242" i="6"/>
  <c r="BQ242" i="6"/>
  <c r="BO242" i="6"/>
  <c r="BN242" i="6"/>
  <c r="BM242" i="6"/>
  <c r="BL242" i="6"/>
  <c r="BK242" i="6"/>
  <c r="BJ242" i="6"/>
  <c r="BI242" i="6"/>
  <c r="BH242" i="6"/>
  <c r="BG242" i="6"/>
  <c r="BE242" i="6"/>
  <c r="BD242" i="6"/>
  <c r="BC242" i="6"/>
  <c r="AR242" i="6"/>
  <c r="BA242" i="6" s="1"/>
  <c r="AQ242" i="6"/>
  <c r="AP242" i="6"/>
  <c r="AO242" i="6"/>
  <c r="AL242" i="6"/>
  <c r="AK242" i="6"/>
  <c r="W242" i="6"/>
  <c r="U242" i="6"/>
  <c r="X242" i="6" s="1"/>
  <c r="T242" i="6"/>
  <c r="Y242" i="6" s="1"/>
  <c r="J242" i="6" s="1"/>
  <c r="S242" i="6"/>
  <c r="V242" i="6" s="1"/>
  <c r="R242" i="6"/>
  <c r="Z242" i="6" s="1"/>
  <c r="Q242" i="6"/>
  <c r="P242" i="6"/>
  <c r="O242" i="6"/>
  <c r="N242" i="6"/>
  <c r="L242" i="6"/>
  <c r="K242" i="6"/>
  <c r="C242" i="6"/>
  <c r="CY241" i="6"/>
  <c r="CX241" i="6"/>
  <c r="CR241" i="6"/>
  <c r="CP241" i="6"/>
  <c r="BV241" i="6" s="1"/>
  <c r="CO241" i="6"/>
  <c r="CN241" i="6"/>
  <c r="BT241" i="6" s="1"/>
  <c r="CM241" i="6"/>
  <c r="BS241" i="6" s="1"/>
  <c r="CL241" i="6"/>
  <c r="BR241" i="6" s="1"/>
  <c r="CK241" i="6"/>
  <c r="CJ241" i="6"/>
  <c r="CI241" i="6"/>
  <c r="CH241" i="6"/>
  <c r="CG241" i="6"/>
  <c r="BQ241" i="6"/>
  <c r="BO241" i="6"/>
  <c r="BN241" i="6"/>
  <c r="BM241" i="6"/>
  <c r="BL241" i="6"/>
  <c r="BJ241" i="6"/>
  <c r="BI241" i="6"/>
  <c r="BH241" i="6"/>
  <c r="BG241" i="6"/>
  <c r="BE241" i="6"/>
  <c r="BD241" i="6"/>
  <c r="BC241" i="6"/>
  <c r="AR241" i="6"/>
  <c r="AQ241" i="6"/>
  <c r="AP241" i="6"/>
  <c r="AO241" i="6"/>
  <c r="AL241" i="6"/>
  <c r="AK241" i="6"/>
  <c r="W241" i="6"/>
  <c r="T241" i="6"/>
  <c r="Y241" i="6" s="1"/>
  <c r="J241" i="6" s="1"/>
  <c r="S241" i="6"/>
  <c r="V241" i="6" s="1"/>
  <c r="R241" i="6"/>
  <c r="Z241" i="6" s="1"/>
  <c r="Q241" i="6"/>
  <c r="P241" i="6"/>
  <c r="U241" i="6" s="1"/>
  <c r="X241" i="6" s="1"/>
  <c r="O241" i="6"/>
  <c r="N241" i="6"/>
  <c r="L241" i="6"/>
  <c r="K241" i="6"/>
  <c r="C241" i="6"/>
  <c r="CY240" i="6"/>
  <c r="CX240" i="6"/>
  <c r="CR240" i="6"/>
  <c r="CP240" i="6"/>
  <c r="BV240" i="6" s="1"/>
  <c r="CO240" i="6"/>
  <c r="CN240" i="6"/>
  <c r="BT240" i="6" s="1"/>
  <c r="CM240" i="6"/>
  <c r="BS240" i="6" s="1"/>
  <c r="CL240" i="6"/>
  <c r="BR240" i="6" s="1"/>
  <c r="CK240" i="6"/>
  <c r="BQ240" i="6" s="1"/>
  <c r="CJ240" i="6"/>
  <c r="CI240" i="6"/>
  <c r="CH240" i="6"/>
  <c r="CG240" i="6"/>
  <c r="BO240" i="6"/>
  <c r="BN240" i="6"/>
  <c r="BM240" i="6"/>
  <c r="BL240" i="6"/>
  <c r="BJ240" i="6"/>
  <c r="BI240" i="6"/>
  <c r="BH240" i="6"/>
  <c r="BG240" i="6"/>
  <c r="BE240" i="6"/>
  <c r="BD240" i="6"/>
  <c r="BC240" i="6"/>
  <c r="AR240" i="6"/>
  <c r="BA240" i="6" s="1"/>
  <c r="AQ240" i="6"/>
  <c r="AP240" i="6"/>
  <c r="AO240" i="6"/>
  <c r="AL240" i="6"/>
  <c r="AK240" i="6"/>
  <c r="V240" i="6"/>
  <c r="T240" i="6"/>
  <c r="Y240" i="6" s="1"/>
  <c r="S240" i="6"/>
  <c r="R240" i="6"/>
  <c r="Z240" i="6" s="1"/>
  <c r="Q240" i="6"/>
  <c r="P240" i="6"/>
  <c r="U240" i="6" s="1"/>
  <c r="X240" i="6" s="1"/>
  <c r="O240" i="6"/>
  <c r="W240" i="6" s="1"/>
  <c r="N240" i="6"/>
  <c r="L240" i="6"/>
  <c r="M240" i="6" s="1"/>
  <c r="CW240" i="6" s="1"/>
  <c r="K240" i="6"/>
  <c r="I240" i="6"/>
  <c r="E240" i="6" s="1"/>
  <c r="C240" i="6"/>
  <c r="CY239" i="6"/>
  <c r="CX239" i="6"/>
  <c r="CR239" i="6"/>
  <c r="CP239" i="6"/>
  <c r="BV239" i="6" s="1"/>
  <c r="CO239" i="6"/>
  <c r="CN239" i="6"/>
  <c r="CM239" i="6"/>
  <c r="CL239" i="6"/>
  <c r="CK239" i="6"/>
  <c r="CJ239" i="6"/>
  <c r="CI239" i="6"/>
  <c r="CH239" i="6"/>
  <c r="CG239" i="6"/>
  <c r="BT239" i="6"/>
  <c r="BS239" i="6"/>
  <c r="BR239" i="6"/>
  <c r="BQ239" i="6"/>
  <c r="BO239" i="6"/>
  <c r="BN239" i="6"/>
  <c r="BM239" i="6"/>
  <c r="BL239" i="6"/>
  <c r="BJ239" i="6"/>
  <c r="BI239" i="6"/>
  <c r="BH239" i="6"/>
  <c r="BG239" i="6"/>
  <c r="BE239" i="6"/>
  <c r="BD239" i="6"/>
  <c r="BC239" i="6"/>
  <c r="AR239" i="6"/>
  <c r="BA239" i="6" s="1"/>
  <c r="AQ239" i="6"/>
  <c r="AP239" i="6"/>
  <c r="AO239" i="6"/>
  <c r="AL239" i="6"/>
  <c r="AK239" i="6"/>
  <c r="Z239" i="6"/>
  <c r="X239" i="6"/>
  <c r="W239" i="6"/>
  <c r="V239" i="6"/>
  <c r="I239" i="6" s="1"/>
  <c r="E239" i="6" s="1"/>
  <c r="R239" i="6"/>
  <c r="Q239" i="6"/>
  <c r="T239" i="6" s="1"/>
  <c r="Y239" i="6" s="1"/>
  <c r="J239" i="6" s="1"/>
  <c r="P239" i="6"/>
  <c r="U239" i="6" s="1"/>
  <c r="O239" i="6"/>
  <c r="N239" i="6"/>
  <c r="S239" i="6" s="1"/>
  <c r="L239" i="6"/>
  <c r="K239" i="6"/>
  <c r="C239" i="6"/>
  <c r="CY238" i="6"/>
  <c r="CX238" i="6"/>
  <c r="CR238" i="6"/>
  <c r="CP238" i="6"/>
  <c r="BV238" i="6" s="1"/>
  <c r="CO238" i="6"/>
  <c r="CN238" i="6"/>
  <c r="CM238" i="6"/>
  <c r="CL238" i="6"/>
  <c r="CK238" i="6"/>
  <c r="CJ238" i="6"/>
  <c r="CI238" i="6"/>
  <c r="CH238" i="6"/>
  <c r="CG238" i="6"/>
  <c r="BT238" i="6"/>
  <c r="BS238" i="6"/>
  <c r="BR238" i="6"/>
  <c r="BQ238" i="6"/>
  <c r="BO238" i="6"/>
  <c r="BN238" i="6"/>
  <c r="BM238" i="6"/>
  <c r="BL238" i="6"/>
  <c r="BK238" i="6"/>
  <c r="BJ238" i="6"/>
  <c r="BI238" i="6"/>
  <c r="BH238" i="6"/>
  <c r="BG238" i="6"/>
  <c r="BE238" i="6"/>
  <c r="BD238" i="6"/>
  <c r="BC238" i="6"/>
  <c r="AR238" i="6"/>
  <c r="BA238" i="6" s="1"/>
  <c r="AQ238" i="6"/>
  <c r="AP238" i="6"/>
  <c r="AO238" i="6"/>
  <c r="AL238" i="6"/>
  <c r="AK238" i="6"/>
  <c r="V238" i="6"/>
  <c r="I238" i="6" s="1"/>
  <c r="S238" i="6"/>
  <c r="R238" i="6"/>
  <c r="Z238" i="6" s="1"/>
  <c r="Q238" i="6"/>
  <c r="T238" i="6" s="1"/>
  <c r="Y238" i="6" s="1"/>
  <c r="J238" i="6" s="1"/>
  <c r="P238" i="6"/>
  <c r="U238" i="6" s="1"/>
  <c r="X238" i="6" s="1"/>
  <c r="O238" i="6"/>
  <c r="W238" i="6" s="1"/>
  <c r="N238" i="6"/>
  <c r="L238" i="6"/>
  <c r="K238" i="6"/>
  <c r="E238" i="6"/>
  <c r="C238" i="6"/>
  <c r="CY237" i="6"/>
  <c r="CX237" i="6"/>
  <c r="CR237" i="6"/>
  <c r="CP237" i="6"/>
  <c r="BV237" i="6" s="1"/>
  <c r="CO237" i="6"/>
  <c r="CN237" i="6"/>
  <c r="BT237" i="6" s="1"/>
  <c r="CM237" i="6"/>
  <c r="BS237" i="6" s="1"/>
  <c r="CL237" i="6"/>
  <c r="BR237" i="6" s="1"/>
  <c r="CK237" i="6"/>
  <c r="BQ237" i="6" s="1"/>
  <c r="CJ237" i="6"/>
  <c r="CI237" i="6"/>
  <c r="BO237" i="6" s="1"/>
  <c r="CH237" i="6"/>
  <c r="CG237" i="6"/>
  <c r="BN237" i="6"/>
  <c r="BM237" i="6"/>
  <c r="BL237" i="6"/>
  <c r="BJ237" i="6"/>
  <c r="BI237" i="6"/>
  <c r="BH237" i="6"/>
  <c r="BG237" i="6"/>
  <c r="BF237" i="6"/>
  <c r="BE237" i="6"/>
  <c r="BD237" i="6"/>
  <c r="BC237" i="6"/>
  <c r="BA237" i="6"/>
  <c r="AR237" i="6"/>
  <c r="AV237" i="6" s="1"/>
  <c r="AQ237" i="6"/>
  <c r="AP237" i="6"/>
  <c r="AO237" i="6"/>
  <c r="AL237" i="6"/>
  <c r="AK237" i="6"/>
  <c r="R237" i="6"/>
  <c r="Z237" i="6" s="1"/>
  <c r="Q237" i="6"/>
  <c r="T237" i="6" s="1"/>
  <c r="Y237" i="6" s="1"/>
  <c r="J237" i="6" s="1"/>
  <c r="P237" i="6"/>
  <c r="U237" i="6" s="1"/>
  <c r="X237" i="6" s="1"/>
  <c r="O237" i="6"/>
  <c r="W237" i="6" s="1"/>
  <c r="N237" i="6"/>
  <c r="S237" i="6" s="1"/>
  <c r="V237" i="6" s="1"/>
  <c r="I237" i="6" s="1"/>
  <c r="E237" i="6" s="1"/>
  <c r="L237" i="6"/>
  <c r="M237" i="6" s="1"/>
  <c r="K237" i="6"/>
  <c r="G237" i="6"/>
  <c r="C237" i="6"/>
  <c r="CY236" i="6"/>
  <c r="CX236" i="6"/>
  <c r="CR236" i="6"/>
  <c r="CP236" i="6"/>
  <c r="BV236" i="6" s="1"/>
  <c r="CO236" i="6"/>
  <c r="CN236" i="6"/>
  <c r="BT236" i="6" s="1"/>
  <c r="CM236" i="6"/>
  <c r="BS236" i="6" s="1"/>
  <c r="CL236" i="6"/>
  <c r="CK236" i="6"/>
  <c r="CJ236" i="6"/>
  <c r="CI236" i="6"/>
  <c r="CH236" i="6"/>
  <c r="CG236" i="6"/>
  <c r="BR236" i="6"/>
  <c r="BQ236" i="6"/>
  <c r="BO236" i="6"/>
  <c r="BN236" i="6"/>
  <c r="BM236" i="6"/>
  <c r="BL236" i="6"/>
  <c r="BJ236" i="6"/>
  <c r="BI236" i="6"/>
  <c r="BH236" i="6"/>
  <c r="BG236" i="6"/>
  <c r="BE236" i="6"/>
  <c r="BD236" i="6"/>
  <c r="BC236" i="6"/>
  <c r="BA236" i="6"/>
  <c r="AV236" i="6"/>
  <c r="AR236" i="6"/>
  <c r="AQ236" i="6"/>
  <c r="AP236" i="6"/>
  <c r="AO236" i="6"/>
  <c r="AL236" i="6"/>
  <c r="AK236" i="6"/>
  <c r="Z236" i="6"/>
  <c r="X236" i="6"/>
  <c r="W236" i="6"/>
  <c r="V236" i="6"/>
  <c r="I236" i="6" s="1"/>
  <c r="R236" i="6"/>
  <c r="Q236" i="6"/>
  <c r="T236" i="6" s="1"/>
  <c r="Y236" i="6" s="1"/>
  <c r="J236" i="6" s="1"/>
  <c r="F236" i="6" s="1"/>
  <c r="H236" i="6" s="1"/>
  <c r="P236" i="6"/>
  <c r="U236" i="6" s="1"/>
  <c r="O236" i="6"/>
  <c r="N236" i="6"/>
  <c r="S236" i="6" s="1"/>
  <c r="M236" i="6"/>
  <c r="L236" i="6"/>
  <c r="K236" i="6"/>
  <c r="CW236" i="6" s="1"/>
  <c r="C236" i="6"/>
  <c r="CY235" i="6"/>
  <c r="CX235" i="6"/>
  <c r="CR235" i="6"/>
  <c r="CP235" i="6"/>
  <c r="BV235" i="6" s="1"/>
  <c r="CO235" i="6"/>
  <c r="CN235" i="6"/>
  <c r="BT235" i="6" s="1"/>
  <c r="CM235" i="6"/>
  <c r="BS235" i="6" s="1"/>
  <c r="CL235" i="6"/>
  <c r="CK235" i="6"/>
  <c r="CJ235" i="6"/>
  <c r="CI235" i="6"/>
  <c r="CH235" i="6"/>
  <c r="CG235" i="6"/>
  <c r="BR235" i="6"/>
  <c r="BQ235" i="6"/>
  <c r="BO235" i="6"/>
  <c r="BN235" i="6"/>
  <c r="BM235" i="6"/>
  <c r="BL235" i="6"/>
  <c r="BK235" i="6"/>
  <c r="BJ235" i="6"/>
  <c r="BI235" i="6"/>
  <c r="BH235" i="6"/>
  <c r="BG235" i="6"/>
  <c r="BE235" i="6"/>
  <c r="BD235" i="6"/>
  <c r="BC235" i="6"/>
  <c r="AR235" i="6"/>
  <c r="BA235" i="6" s="1"/>
  <c r="BU235" i="6" s="1"/>
  <c r="AQ235" i="6"/>
  <c r="AP235" i="6"/>
  <c r="AO235" i="6"/>
  <c r="AL235" i="6"/>
  <c r="AK235" i="6"/>
  <c r="T235" i="6"/>
  <c r="Y235" i="6" s="1"/>
  <c r="R235" i="6"/>
  <c r="Z235" i="6" s="1"/>
  <c r="Q235" i="6"/>
  <c r="P235" i="6"/>
  <c r="U235" i="6" s="1"/>
  <c r="X235" i="6" s="1"/>
  <c r="O235" i="6"/>
  <c r="W235" i="6" s="1"/>
  <c r="N235" i="6"/>
  <c r="S235" i="6" s="1"/>
  <c r="V235" i="6" s="1"/>
  <c r="L235" i="6"/>
  <c r="M235" i="6" s="1"/>
  <c r="K235" i="6"/>
  <c r="C235" i="6"/>
  <c r="CY234" i="6"/>
  <c r="CX234" i="6"/>
  <c r="CR234" i="6"/>
  <c r="CP234" i="6"/>
  <c r="BV234" i="6" s="1"/>
  <c r="CO234" i="6"/>
  <c r="CN234" i="6"/>
  <c r="BT234" i="6" s="1"/>
  <c r="CM234" i="6"/>
  <c r="BS234" i="6" s="1"/>
  <c r="CL234" i="6"/>
  <c r="BR234" i="6" s="1"/>
  <c r="CK234" i="6"/>
  <c r="BQ234" i="6" s="1"/>
  <c r="CJ234" i="6"/>
  <c r="CI234" i="6"/>
  <c r="BO234" i="6" s="1"/>
  <c r="CH234" i="6"/>
  <c r="BN234" i="6" s="1"/>
  <c r="CG234" i="6"/>
  <c r="BM234" i="6" s="1"/>
  <c r="BL234" i="6"/>
  <c r="BK234" i="6"/>
  <c r="BJ234" i="6"/>
  <c r="BI234" i="6"/>
  <c r="BH234" i="6"/>
  <c r="BG234" i="6"/>
  <c r="BF234" i="6"/>
  <c r="BE234" i="6"/>
  <c r="BD234" i="6"/>
  <c r="BC234" i="6"/>
  <c r="BA234" i="6"/>
  <c r="BU234" i="6" s="1"/>
  <c r="AR234" i="6"/>
  <c r="AV234" i="6" s="1"/>
  <c r="BP234" i="6" s="1"/>
  <c r="AQ234" i="6"/>
  <c r="AP234" i="6"/>
  <c r="AO234" i="6"/>
  <c r="AL234" i="6"/>
  <c r="AK234" i="6"/>
  <c r="R234" i="6"/>
  <c r="Z234" i="6" s="1"/>
  <c r="Q234" i="6"/>
  <c r="T234" i="6" s="1"/>
  <c r="Y234" i="6" s="1"/>
  <c r="P234" i="6"/>
  <c r="U234" i="6" s="1"/>
  <c r="X234" i="6" s="1"/>
  <c r="O234" i="6"/>
  <c r="W234" i="6" s="1"/>
  <c r="N234" i="6"/>
  <c r="S234" i="6" s="1"/>
  <c r="V234" i="6" s="1"/>
  <c r="L234" i="6"/>
  <c r="M234" i="6" s="1"/>
  <c r="F234" i="6" s="1"/>
  <c r="H234" i="6" s="1"/>
  <c r="K234" i="6"/>
  <c r="J234" i="6"/>
  <c r="I234" i="6"/>
  <c r="C234" i="6"/>
  <c r="CY233" i="6"/>
  <c r="CX233" i="6"/>
  <c r="CR233" i="6"/>
  <c r="CP233" i="6"/>
  <c r="CO233" i="6"/>
  <c r="CN233" i="6"/>
  <c r="CM233" i="6"/>
  <c r="BS233" i="6" s="1"/>
  <c r="CL233" i="6"/>
  <c r="BR233" i="6" s="1"/>
  <c r="CK233" i="6"/>
  <c r="BQ233" i="6" s="1"/>
  <c r="CJ233" i="6"/>
  <c r="CI233" i="6"/>
  <c r="CH233" i="6"/>
  <c r="CG233" i="6"/>
  <c r="BV233" i="6"/>
  <c r="BU233" i="6"/>
  <c r="BT233" i="6"/>
  <c r="BP233" i="6"/>
  <c r="BO233" i="6"/>
  <c r="BN233" i="6"/>
  <c r="BM233" i="6"/>
  <c r="BL233" i="6"/>
  <c r="BJ233" i="6"/>
  <c r="BI233" i="6"/>
  <c r="BH233" i="6"/>
  <c r="BG233" i="6"/>
  <c r="BE233" i="6"/>
  <c r="BD233" i="6"/>
  <c r="BC233" i="6"/>
  <c r="AV233" i="6"/>
  <c r="BF233" i="6" s="1"/>
  <c r="AR233" i="6"/>
  <c r="BA233" i="6" s="1"/>
  <c r="BK233" i="6" s="1"/>
  <c r="AQ233" i="6"/>
  <c r="AP233" i="6"/>
  <c r="AO233" i="6"/>
  <c r="AL233" i="6"/>
  <c r="AK233" i="6"/>
  <c r="Z233" i="6"/>
  <c r="X233" i="6"/>
  <c r="W233" i="6"/>
  <c r="V233" i="6"/>
  <c r="I233" i="6" s="1"/>
  <c r="R233" i="6"/>
  <c r="Q233" i="6"/>
  <c r="T233" i="6" s="1"/>
  <c r="Y233" i="6" s="1"/>
  <c r="J233" i="6" s="1"/>
  <c r="P233" i="6"/>
  <c r="U233" i="6" s="1"/>
  <c r="O233" i="6"/>
  <c r="N233" i="6"/>
  <c r="S233" i="6" s="1"/>
  <c r="M233" i="6"/>
  <c r="L233" i="6"/>
  <c r="K233" i="6"/>
  <c r="C233" i="6"/>
  <c r="CY232" i="6"/>
  <c r="CX232" i="6"/>
  <c r="CR232" i="6"/>
  <c r="CP232" i="6"/>
  <c r="CO232" i="6"/>
  <c r="CN232" i="6"/>
  <c r="BT232" i="6" s="1"/>
  <c r="CM232" i="6"/>
  <c r="CL232" i="6"/>
  <c r="BR232" i="6" s="1"/>
  <c r="CK232" i="6"/>
  <c r="BQ232" i="6" s="1"/>
  <c r="CJ232" i="6"/>
  <c r="CI232" i="6"/>
  <c r="CH232" i="6"/>
  <c r="CG232" i="6"/>
  <c r="BM232" i="6" s="1"/>
  <c r="BV232" i="6"/>
  <c r="BU232" i="6"/>
  <c r="BS232" i="6"/>
  <c r="BO232" i="6"/>
  <c r="BN232" i="6"/>
  <c r="BL232" i="6"/>
  <c r="BK232" i="6"/>
  <c r="BJ232" i="6"/>
  <c r="BI232" i="6"/>
  <c r="BH232" i="6"/>
  <c r="BG232" i="6"/>
  <c r="BF232" i="6"/>
  <c r="BE232" i="6"/>
  <c r="BD232" i="6"/>
  <c r="BC232" i="6"/>
  <c r="BA232" i="6"/>
  <c r="AV232" i="6"/>
  <c r="BP232" i="6" s="1"/>
  <c r="AR232" i="6"/>
  <c r="AQ232" i="6"/>
  <c r="AP232" i="6"/>
  <c r="AO232" i="6"/>
  <c r="AL232" i="6"/>
  <c r="AK232" i="6"/>
  <c r="Y232" i="6"/>
  <c r="J232" i="6" s="1"/>
  <c r="R232" i="6"/>
  <c r="Z232" i="6" s="1"/>
  <c r="Q232" i="6"/>
  <c r="T232" i="6" s="1"/>
  <c r="P232" i="6"/>
  <c r="U232" i="6" s="1"/>
  <c r="X232" i="6" s="1"/>
  <c r="O232" i="6"/>
  <c r="W232" i="6" s="1"/>
  <c r="N232" i="6"/>
  <c r="S232" i="6" s="1"/>
  <c r="V232" i="6" s="1"/>
  <c r="L232" i="6"/>
  <c r="M232" i="6" s="1"/>
  <c r="K232" i="6"/>
  <c r="C232" i="6"/>
  <c r="CY231" i="6"/>
  <c r="CX231" i="6"/>
  <c r="CR231" i="6"/>
  <c r="CP231" i="6"/>
  <c r="BV231" i="6" s="1"/>
  <c r="CO231" i="6"/>
  <c r="CN231" i="6"/>
  <c r="BT231" i="6" s="1"/>
  <c r="CM231" i="6"/>
  <c r="BS231" i="6" s="1"/>
  <c r="CL231" i="6"/>
  <c r="BR231" i="6" s="1"/>
  <c r="CK231" i="6"/>
  <c r="BQ231" i="6" s="1"/>
  <c r="CJ231" i="6"/>
  <c r="CI231" i="6"/>
  <c r="CH231" i="6"/>
  <c r="CG231" i="6"/>
  <c r="BM231" i="6" s="1"/>
  <c r="BO231" i="6"/>
  <c r="BN231" i="6"/>
  <c r="BL231" i="6"/>
  <c r="BJ231" i="6"/>
  <c r="BI231" i="6"/>
  <c r="BH231" i="6"/>
  <c r="BG231" i="6"/>
  <c r="BE231" i="6"/>
  <c r="BD231" i="6"/>
  <c r="BC231" i="6"/>
  <c r="BA231" i="6"/>
  <c r="AV231" i="6"/>
  <c r="AR231" i="6"/>
  <c r="AQ231" i="6"/>
  <c r="AP231" i="6"/>
  <c r="AO231" i="6"/>
  <c r="AL231" i="6"/>
  <c r="AK231" i="6"/>
  <c r="W231" i="6"/>
  <c r="U231" i="6"/>
  <c r="X231" i="6" s="1"/>
  <c r="T231" i="6"/>
  <c r="Y231" i="6" s="1"/>
  <c r="J231" i="6" s="1"/>
  <c r="R231" i="6"/>
  <c r="Z231" i="6" s="1"/>
  <c r="Q231" i="6"/>
  <c r="P231" i="6"/>
  <c r="O231" i="6"/>
  <c r="N231" i="6"/>
  <c r="S231" i="6" s="1"/>
  <c r="V231" i="6" s="1"/>
  <c r="L231" i="6"/>
  <c r="K231" i="6"/>
  <c r="C231" i="6"/>
  <c r="CY230" i="6"/>
  <c r="CX230" i="6"/>
  <c r="CR230" i="6"/>
  <c r="CP230" i="6"/>
  <c r="CO230" i="6"/>
  <c r="CN230" i="6"/>
  <c r="BT230" i="6" s="1"/>
  <c r="CM230" i="6"/>
  <c r="BS230" i="6" s="1"/>
  <c r="CL230" i="6"/>
  <c r="BR230" i="6" s="1"/>
  <c r="CK230" i="6"/>
  <c r="BQ230" i="6" s="1"/>
  <c r="CJ230" i="6"/>
  <c r="CI230" i="6"/>
  <c r="BO230" i="6" s="1"/>
  <c r="CH230" i="6"/>
  <c r="BN230" i="6" s="1"/>
  <c r="CG230" i="6"/>
  <c r="BM230" i="6" s="1"/>
  <c r="BV230" i="6"/>
  <c r="BU230" i="6"/>
  <c r="BL230" i="6"/>
  <c r="BK230" i="6"/>
  <c r="BJ230" i="6"/>
  <c r="BI230" i="6"/>
  <c r="BH230" i="6"/>
  <c r="BG230" i="6"/>
  <c r="BE230" i="6"/>
  <c r="BD230" i="6"/>
  <c r="BC230" i="6"/>
  <c r="BA230" i="6"/>
  <c r="AV230" i="6"/>
  <c r="AR230" i="6"/>
  <c r="AQ230" i="6"/>
  <c r="AP230" i="6"/>
  <c r="AO230" i="6"/>
  <c r="AL230" i="6"/>
  <c r="AK230" i="6"/>
  <c r="R230" i="6"/>
  <c r="Z230" i="6" s="1"/>
  <c r="Q230" i="6"/>
  <c r="T230" i="6" s="1"/>
  <c r="Y230" i="6" s="1"/>
  <c r="J230" i="6" s="1"/>
  <c r="P230" i="6"/>
  <c r="U230" i="6" s="1"/>
  <c r="X230" i="6" s="1"/>
  <c r="O230" i="6"/>
  <c r="W230" i="6" s="1"/>
  <c r="N230" i="6"/>
  <c r="S230" i="6" s="1"/>
  <c r="V230" i="6" s="1"/>
  <c r="M230" i="6"/>
  <c r="L230" i="6"/>
  <c r="K230" i="6"/>
  <c r="C230" i="6"/>
  <c r="CY229" i="6"/>
  <c r="CX229" i="6"/>
  <c r="CR229" i="6"/>
  <c r="CP229" i="6"/>
  <c r="BV229" i="6" s="1"/>
  <c r="CO229" i="6"/>
  <c r="CN229" i="6"/>
  <c r="BT229" i="6" s="1"/>
  <c r="CM229" i="6"/>
  <c r="CL229" i="6"/>
  <c r="BR229" i="6" s="1"/>
  <c r="CK229" i="6"/>
  <c r="BQ229" i="6" s="1"/>
  <c r="CJ229" i="6"/>
  <c r="CI229" i="6"/>
  <c r="BO229" i="6" s="1"/>
  <c r="CH229" i="6"/>
  <c r="BN229" i="6" s="1"/>
  <c r="CG229" i="6"/>
  <c r="BM229" i="6" s="1"/>
  <c r="BS229" i="6"/>
  <c r="BL229" i="6"/>
  <c r="BJ229" i="6"/>
  <c r="BI229" i="6"/>
  <c r="BH229" i="6"/>
  <c r="BG229" i="6"/>
  <c r="BE229" i="6"/>
  <c r="BD229" i="6"/>
  <c r="BC229" i="6"/>
  <c r="AR229" i="6"/>
  <c r="BA229" i="6" s="1"/>
  <c r="AQ229" i="6"/>
  <c r="AP229" i="6"/>
  <c r="AO229" i="6"/>
  <c r="AL229" i="6"/>
  <c r="AK229" i="6"/>
  <c r="Z229" i="6"/>
  <c r="R229" i="6"/>
  <c r="Q229" i="6"/>
  <c r="T229" i="6" s="1"/>
  <c r="Y229" i="6" s="1"/>
  <c r="P229" i="6"/>
  <c r="U229" i="6" s="1"/>
  <c r="X229" i="6" s="1"/>
  <c r="O229" i="6"/>
  <c r="W229" i="6" s="1"/>
  <c r="N229" i="6"/>
  <c r="S229" i="6" s="1"/>
  <c r="V229" i="6" s="1"/>
  <c r="L229" i="6"/>
  <c r="M229" i="6" s="1"/>
  <c r="K229" i="6"/>
  <c r="J229" i="6"/>
  <c r="I229" i="6"/>
  <c r="E229" i="6" s="1"/>
  <c r="C229" i="6"/>
  <c r="CY228" i="6"/>
  <c r="CX228" i="6"/>
  <c r="CR228" i="6"/>
  <c r="CP228" i="6"/>
  <c r="CO228" i="6"/>
  <c r="CN228" i="6"/>
  <c r="CM228" i="6"/>
  <c r="BS228" i="6" s="1"/>
  <c r="CL228" i="6"/>
  <c r="CK228" i="6"/>
  <c r="CJ228" i="6"/>
  <c r="CI228" i="6"/>
  <c r="CH228" i="6"/>
  <c r="BN228" i="6" s="1"/>
  <c r="CG228" i="6"/>
  <c r="BV228" i="6"/>
  <c r="BT228" i="6"/>
  <c r="BR228" i="6"/>
  <c r="BQ228" i="6"/>
  <c r="BP228" i="6"/>
  <c r="BO228" i="6"/>
  <c r="BM228" i="6"/>
  <c r="BL228" i="6"/>
  <c r="BJ228" i="6"/>
  <c r="BI228" i="6"/>
  <c r="BH228" i="6"/>
  <c r="BG228" i="6"/>
  <c r="BF228" i="6"/>
  <c r="BE228" i="6"/>
  <c r="BD228" i="6"/>
  <c r="BC228" i="6"/>
  <c r="AV228" i="6"/>
  <c r="AR228" i="6"/>
  <c r="BA228" i="6" s="1"/>
  <c r="AQ228" i="6"/>
  <c r="AP228" i="6"/>
  <c r="AO228" i="6"/>
  <c r="AL228" i="6"/>
  <c r="AK228" i="6"/>
  <c r="Z228" i="6"/>
  <c r="Y228" i="6"/>
  <c r="J228" i="6" s="1"/>
  <c r="R228" i="6"/>
  <c r="Q228" i="6"/>
  <c r="T228" i="6" s="1"/>
  <c r="P228" i="6"/>
  <c r="U228" i="6" s="1"/>
  <c r="X228" i="6" s="1"/>
  <c r="O228" i="6"/>
  <c r="W228" i="6" s="1"/>
  <c r="N228" i="6"/>
  <c r="S228" i="6" s="1"/>
  <c r="V228" i="6" s="1"/>
  <c r="I228" i="6" s="1"/>
  <c r="M228" i="6"/>
  <c r="F228" i="6" s="1"/>
  <c r="H228" i="6" s="1"/>
  <c r="L228" i="6"/>
  <c r="K228" i="6"/>
  <c r="C228" i="6"/>
  <c r="CY227" i="6"/>
  <c r="CX227" i="6"/>
  <c r="CR227" i="6"/>
  <c r="CP227" i="6"/>
  <c r="CO227" i="6"/>
  <c r="CN227" i="6"/>
  <c r="CM227" i="6"/>
  <c r="CL227" i="6"/>
  <c r="CK227" i="6"/>
  <c r="CJ227" i="6"/>
  <c r="CI227" i="6"/>
  <c r="CH227" i="6"/>
  <c r="BN227" i="6" s="1"/>
  <c r="CG227" i="6"/>
  <c r="BM227" i="6" s="1"/>
  <c r="BV227" i="6"/>
  <c r="BT227" i="6"/>
  <c r="BS227" i="6"/>
  <c r="BR227" i="6"/>
  <c r="BQ227" i="6"/>
  <c r="BO227" i="6"/>
  <c r="BL227" i="6"/>
  <c r="BK227" i="6"/>
  <c r="BJ227" i="6"/>
  <c r="BI227" i="6"/>
  <c r="BH227" i="6"/>
  <c r="BG227" i="6"/>
  <c r="BE227" i="6"/>
  <c r="BD227" i="6"/>
  <c r="BC227" i="6"/>
  <c r="BA227" i="6"/>
  <c r="BU227" i="6" s="1"/>
  <c r="AV227" i="6"/>
  <c r="AR227" i="6"/>
  <c r="AQ227" i="6"/>
  <c r="AP227" i="6"/>
  <c r="AO227" i="6"/>
  <c r="AL227" i="6"/>
  <c r="AK227" i="6"/>
  <c r="Z227" i="6"/>
  <c r="X227" i="6"/>
  <c r="U227" i="6"/>
  <c r="T227" i="6"/>
  <c r="Y227" i="6" s="1"/>
  <c r="J227" i="6" s="1"/>
  <c r="S227" i="6"/>
  <c r="V227" i="6" s="1"/>
  <c r="I227" i="6" s="1"/>
  <c r="E227" i="6" s="1"/>
  <c r="G227" i="6" s="1"/>
  <c r="R227" i="6"/>
  <c r="Q227" i="6"/>
  <c r="P227" i="6"/>
  <c r="O227" i="6"/>
  <c r="W227" i="6" s="1"/>
  <c r="N227" i="6"/>
  <c r="L227" i="6"/>
  <c r="K227" i="6"/>
  <c r="C227" i="6"/>
  <c r="CY226" i="6"/>
  <c r="CX226" i="6"/>
  <c r="CR226" i="6"/>
  <c r="CP226" i="6"/>
  <c r="CO226" i="6"/>
  <c r="CN226" i="6"/>
  <c r="BT226" i="6" s="1"/>
  <c r="CM226" i="6"/>
  <c r="BS226" i="6" s="1"/>
  <c r="CL226" i="6"/>
  <c r="CK226" i="6"/>
  <c r="CJ226" i="6"/>
  <c r="CI226" i="6"/>
  <c r="BO226" i="6" s="1"/>
  <c r="CH226" i="6"/>
  <c r="CG226" i="6"/>
  <c r="BV226" i="6"/>
  <c r="BR226" i="6"/>
  <c r="BQ226" i="6"/>
  <c r="BN226" i="6"/>
  <c r="BM226" i="6"/>
  <c r="BL226" i="6"/>
  <c r="BJ226" i="6"/>
  <c r="BI226" i="6"/>
  <c r="BH226" i="6"/>
  <c r="BG226" i="6"/>
  <c r="BE226" i="6"/>
  <c r="BD226" i="6"/>
  <c r="BC226" i="6"/>
  <c r="AR226" i="6"/>
  <c r="AQ226" i="6"/>
  <c r="AP226" i="6"/>
  <c r="AO226" i="6"/>
  <c r="AL226" i="6"/>
  <c r="AK226" i="6"/>
  <c r="Z226" i="6"/>
  <c r="X226" i="6"/>
  <c r="W226" i="6"/>
  <c r="I226" i="6" s="1"/>
  <c r="E226" i="6" s="1"/>
  <c r="U226" i="6"/>
  <c r="T226" i="6"/>
  <c r="Y226" i="6" s="1"/>
  <c r="J226" i="6" s="1"/>
  <c r="S226" i="6"/>
  <c r="V226" i="6" s="1"/>
  <c r="R226" i="6"/>
  <c r="Q226" i="6"/>
  <c r="P226" i="6"/>
  <c r="O226" i="6"/>
  <c r="N226" i="6"/>
  <c r="L226" i="6"/>
  <c r="K226" i="6"/>
  <c r="C226" i="6"/>
  <c r="CY225" i="6"/>
  <c r="CX225" i="6"/>
  <c r="CW225" i="6"/>
  <c r="CR225" i="6"/>
  <c r="CP225" i="6"/>
  <c r="BV225" i="6" s="1"/>
  <c r="CO225" i="6"/>
  <c r="BU225" i="6" s="1"/>
  <c r="CN225" i="6"/>
  <c r="BT225" i="6" s="1"/>
  <c r="CM225" i="6"/>
  <c r="BS225" i="6" s="1"/>
  <c r="CL225" i="6"/>
  <c r="BR225" i="6" s="1"/>
  <c r="CK225" i="6"/>
  <c r="BQ225" i="6" s="1"/>
  <c r="CJ225" i="6"/>
  <c r="CI225" i="6"/>
  <c r="CH225" i="6"/>
  <c r="CG225" i="6"/>
  <c r="BP225" i="6"/>
  <c r="BO225" i="6"/>
  <c r="BN225" i="6"/>
  <c r="BM225" i="6"/>
  <c r="BL225" i="6"/>
  <c r="BK225" i="6"/>
  <c r="BJ225" i="6"/>
  <c r="BI225" i="6"/>
  <c r="BH225" i="6"/>
  <c r="BG225" i="6"/>
  <c r="BF225" i="6"/>
  <c r="BE225" i="6"/>
  <c r="BD225" i="6"/>
  <c r="BC225" i="6"/>
  <c r="BA225" i="6"/>
  <c r="AV225" i="6"/>
  <c r="AR225" i="6"/>
  <c r="AQ225" i="6"/>
  <c r="AP225" i="6"/>
  <c r="AO225" i="6"/>
  <c r="AL225" i="6"/>
  <c r="AK225" i="6"/>
  <c r="Z225" i="6"/>
  <c r="W225" i="6"/>
  <c r="V225" i="6"/>
  <c r="U225" i="6"/>
  <c r="X225" i="6" s="1"/>
  <c r="S225" i="6"/>
  <c r="R225" i="6"/>
  <c r="Q225" i="6"/>
  <c r="T225" i="6" s="1"/>
  <c r="Y225" i="6" s="1"/>
  <c r="J225" i="6" s="1"/>
  <c r="F225" i="6" s="1"/>
  <c r="H225" i="6" s="1"/>
  <c r="P225" i="6"/>
  <c r="O225" i="6"/>
  <c r="N225" i="6"/>
  <c r="L225" i="6"/>
  <c r="M225" i="6" s="1"/>
  <c r="K225" i="6"/>
  <c r="C225" i="6"/>
  <c r="CY224" i="6"/>
  <c r="CX224" i="6"/>
  <c r="CR224" i="6"/>
  <c r="CP224" i="6"/>
  <c r="BV224" i="6" s="1"/>
  <c r="CO224" i="6"/>
  <c r="CN224" i="6"/>
  <c r="BT224" i="6" s="1"/>
  <c r="CM224" i="6"/>
  <c r="BS224" i="6" s="1"/>
  <c r="CL224" i="6"/>
  <c r="BR224" i="6" s="1"/>
  <c r="CK224" i="6"/>
  <c r="BQ224" i="6" s="1"/>
  <c r="CJ224" i="6"/>
  <c r="CI224" i="6"/>
  <c r="CH224" i="6"/>
  <c r="CG224" i="6"/>
  <c r="BO224" i="6"/>
  <c r="BN224" i="6"/>
  <c r="BM224" i="6"/>
  <c r="BL224" i="6"/>
  <c r="BJ224" i="6"/>
  <c r="BI224" i="6"/>
  <c r="BH224" i="6"/>
  <c r="BG224" i="6"/>
  <c r="BE224" i="6"/>
  <c r="BD224" i="6"/>
  <c r="BC224" i="6"/>
  <c r="AR224" i="6"/>
  <c r="AQ224" i="6"/>
  <c r="AP224" i="6"/>
  <c r="AO224" i="6"/>
  <c r="AL224" i="6"/>
  <c r="AK224" i="6"/>
  <c r="R224" i="6"/>
  <c r="Z224" i="6" s="1"/>
  <c r="Q224" i="6"/>
  <c r="T224" i="6" s="1"/>
  <c r="Y224" i="6" s="1"/>
  <c r="P224" i="6"/>
  <c r="U224" i="6" s="1"/>
  <c r="X224" i="6" s="1"/>
  <c r="O224" i="6"/>
  <c r="W224" i="6" s="1"/>
  <c r="N224" i="6"/>
  <c r="S224" i="6" s="1"/>
  <c r="V224" i="6" s="1"/>
  <c r="I224" i="6" s="1"/>
  <c r="L224" i="6"/>
  <c r="K224" i="6"/>
  <c r="J224" i="6"/>
  <c r="E224" i="6"/>
  <c r="C224" i="6"/>
  <c r="CY223" i="6"/>
  <c r="CX223" i="6"/>
  <c r="CR223" i="6"/>
  <c r="CP223" i="6"/>
  <c r="BV223" i="6" s="1"/>
  <c r="CO223" i="6"/>
  <c r="CN223" i="6"/>
  <c r="BT223" i="6" s="1"/>
  <c r="CM223" i="6"/>
  <c r="BS223" i="6" s="1"/>
  <c r="CL223" i="6"/>
  <c r="CK223" i="6"/>
  <c r="CJ223" i="6"/>
  <c r="CI223" i="6"/>
  <c r="BO223" i="6" s="1"/>
  <c r="CH223" i="6"/>
  <c r="CG223" i="6"/>
  <c r="BR223" i="6"/>
  <c r="BQ223" i="6"/>
  <c r="BN223" i="6"/>
  <c r="BM223" i="6"/>
  <c r="BL223" i="6"/>
  <c r="BK223" i="6"/>
  <c r="BJ223" i="6"/>
  <c r="BI223" i="6"/>
  <c r="BH223" i="6"/>
  <c r="BG223" i="6"/>
  <c r="BE223" i="6"/>
  <c r="BD223" i="6"/>
  <c r="BC223" i="6"/>
  <c r="AR223" i="6"/>
  <c r="BA223" i="6" s="1"/>
  <c r="AQ223" i="6"/>
  <c r="AP223" i="6"/>
  <c r="AO223" i="6"/>
  <c r="AL223" i="6"/>
  <c r="AK223" i="6"/>
  <c r="W223" i="6"/>
  <c r="U223" i="6"/>
  <c r="X223" i="6" s="1"/>
  <c r="T223" i="6"/>
  <c r="Y223" i="6" s="1"/>
  <c r="S223" i="6"/>
  <c r="V223" i="6" s="1"/>
  <c r="I223" i="6" s="1"/>
  <c r="R223" i="6"/>
  <c r="Z223" i="6" s="1"/>
  <c r="Q223" i="6"/>
  <c r="P223" i="6"/>
  <c r="O223" i="6"/>
  <c r="N223" i="6"/>
  <c r="L223" i="6"/>
  <c r="K223" i="6"/>
  <c r="E223" i="6"/>
  <c r="C223" i="6"/>
  <c r="CY222" i="6"/>
  <c r="CX222" i="6"/>
  <c r="CR222" i="6"/>
  <c r="CP222" i="6"/>
  <c r="BV222" i="6" s="1"/>
  <c r="CO222" i="6"/>
  <c r="CN222" i="6"/>
  <c r="BT222" i="6" s="1"/>
  <c r="CM222" i="6"/>
  <c r="BS222" i="6" s="1"/>
  <c r="CL222" i="6"/>
  <c r="BR222" i="6" s="1"/>
  <c r="CK222" i="6"/>
  <c r="CJ222" i="6"/>
  <c r="CI222" i="6"/>
  <c r="CH222" i="6"/>
  <c r="BN222" i="6" s="1"/>
  <c r="CG222" i="6"/>
  <c r="BQ222" i="6"/>
  <c r="BO222" i="6"/>
  <c r="BM222" i="6"/>
  <c r="BL222" i="6"/>
  <c r="BK222" i="6"/>
  <c r="BJ222" i="6"/>
  <c r="BI222" i="6"/>
  <c r="BH222" i="6"/>
  <c r="BG222" i="6"/>
  <c r="BE222" i="6"/>
  <c r="BD222" i="6"/>
  <c r="BC222" i="6"/>
  <c r="BA222" i="6"/>
  <c r="AR222" i="6"/>
  <c r="AV222" i="6" s="1"/>
  <c r="BP222" i="6" s="1"/>
  <c r="AQ222" i="6"/>
  <c r="AP222" i="6"/>
  <c r="AO222" i="6"/>
  <c r="AL222" i="6"/>
  <c r="AK222" i="6"/>
  <c r="S222" i="6"/>
  <c r="V222" i="6" s="1"/>
  <c r="R222" i="6"/>
  <c r="Z222" i="6" s="1"/>
  <c r="Q222" i="6"/>
  <c r="T222" i="6" s="1"/>
  <c r="Y222" i="6" s="1"/>
  <c r="J222" i="6" s="1"/>
  <c r="P222" i="6"/>
  <c r="U222" i="6" s="1"/>
  <c r="X222" i="6" s="1"/>
  <c r="O222" i="6"/>
  <c r="W222" i="6" s="1"/>
  <c r="N222" i="6"/>
  <c r="L222" i="6"/>
  <c r="K222" i="6"/>
  <c r="C222" i="6"/>
  <c r="CY221" i="6"/>
  <c r="CX221" i="6"/>
  <c r="CR221" i="6"/>
  <c r="CP221" i="6"/>
  <c r="BV221" i="6" s="1"/>
  <c r="CO221" i="6"/>
  <c r="CN221" i="6"/>
  <c r="BT221" i="6" s="1"/>
  <c r="CM221" i="6"/>
  <c r="CL221" i="6"/>
  <c r="BR221" i="6" s="1"/>
  <c r="CK221" i="6"/>
  <c r="CJ221" i="6"/>
  <c r="CI221" i="6"/>
  <c r="BO221" i="6" s="1"/>
  <c r="CH221" i="6"/>
  <c r="BN221" i="6" s="1"/>
  <c r="CG221" i="6"/>
  <c r="BM221" i="6" s="1"/>
  <c r="BS221" i="6"/>
  <c r="BQ221" i="6"/>
  <c r="BL221" i="6"/>
  <c r="BJ221" i="6"/>
  <c r="BI221" i="6"/>
  <c r="BH221" i="6"/>
  <c r="BG221" i="6"/>
  <c r="BE221" i="6"/>
  <c r="BD221" i="6"/>
  <c r="BC221" i="6"/>
  <c r="BA221" i="6"/>
  <c r="AV221" i="6"/>
  <c r="AR221" i="6"/>
  <c r="AQ221" i="6"/>
  <c r="AP221" i="6"/>
  <c r="AO221" i="6"/>
  <c r="AL221" i="6"/>
  <c r="AK221" i="6"/>
  <c r="Z221" i="6"/>
  <c r="Y221" i="6"/>
  <c r="J221" i="6" s="1"/>
  <c r="X221" i="6"/>
  <c r="U221" i="6"/>
  <c r="R221" i="6"/>
  <c r="Q221" i="6"/>
  <c r="T221" i="6" s="1"/>
  <c r="P221" i="6"/>
  <c r="O221" i="6"/>
  <c r="W221" i="6" s="1"/>
  <c r="N221" i="6"/>
  <c r="S221" i="6" s="1"/>
  <c r="V221" i="6" s="1"/>
  <c r="I221" i="6" s="1"/>
  <c r="L221" i="6"/>
  <c r="K221" i="6"/>
  <c r="C221" i="6"/>
  <c r="CY220" i="6"/>
  <c r="CX220" i="6"/>
  <c r="CR220" i="6"/>
  <c r="CP220" i="6"/>
  <c r="BV220" i="6" s="1"/>
  <c r="CO220" i="6"/>
  <c r="CN220" i="6"/>
  <c r="BT220" i="6" s="1"/>
  <c r="CM220" i="6"/>
  <c r="BS220" i="6" s="1"/>
  <c r="CL220" i="6"/>
  <c r="BR220" i="6" s="1"/>
  <c r="CK220" i="6"/>
  <c r="BQ220" i="6" s="1"/>
  <c r="CJ220" i="6"/>
  <c r="CI220" i="6"/>
  <c r="CH220" i="6"/>
  <c r="CG220" i="6"/>
  <c r="BO220" i="6"/>
  <c r="BN220" i="6"/>
  <c r="BM220" i="6"/>
  <c r="BL220" i="6"/>
  <c r="BK220" i="6"/>
  <c r="BJ220" i="6"/>
  <c r="BI220" i="6"/>
  <c r="BH220" i="6"/>
  <c r="BG220" i="6"/>
  <c r="BE220" i="6"/>
  <c r="BD220" i="6"/>
  <c r="BC220" i="6"/>
  <c r="BA220" i="6"/>
  <c r="BU220" i="6" s="1"/>
  <c r="AV220" i="6"/>
  <c r="AR220" i="6"/>
  <c r="AQ220" i="6"/>
  <c r="AP220" i="6"/>
  <c r="AO220" i="6"/>
  <c r="AL220" i="6"/>
  <c r="AK220" i="6"/>
  <c r="R220" i="6"/>
  <c r="Z220" i="6" s="1"/>
  <c r="Q220" i="6"/>
  <c r="T220" i="6" s="1"/>
  <c r="Y220" i="6" s="1"/>
  <c r="J220" i="6" s="1"/>
  <c r="P220" i="6"/>
  <c r="U220" i="6" s="1"/>
  <c r="X220" i="6" s="1"/>
  <c r="O220" i="6"/>
  <c r="W220" i="6" s="1"/>
  <c r="N220" i="6"/>
  <c r="S220" i="6" s="1"/>
  <c r="V220" i="6" s="1"/>
  <c r="I220" i="6" s="1"/>
  <c r="M220" i="6"/>
  <c r="L220" i="6"/>
  <c r="K220" i="6"/>
  <c r="C220" i="6"/>
  <c r="CY219" i="6"/>
  <c r="CX219" i="6"/>
  <c r="CR219" i="6"/>
  <c r="CP219" i="6"/>
  <c r="CO219" i="6"/>
  <c r="CN219" i="6"/>
  <c r="BT219" i="6" s="1"/>
  <c r="CM219" i="6"/>
  <c r="BS219" i="6" s="1"/>
  <c r="CL219" i="6"/>
  <c r="BR219" i="6" s="1"/>
  <c r="CK219" i="6"/>
  <c r="CJ219" i="6"/>
  <c r="CI219" i="6"/>
  <c r="CH219" i="6"/>
  <c r="CG219" i="6"/>
  <c r="BM219" i="6" s="1"/>
  <c r="BV219" i="6"/>
  <c r="BU219" i="6"/>
  <c r="BQ219" i="6"/>
  <c r="BO219" i="6"/>
  <c r="BN219" i="6"/>
  <c r="BL219" i="6"/>
  <c r="BJ219" i="6"/>
  <c r="BI219" i="6"/>
  <c r="BH219" i="6"/>
  <c r="BG219" i="6"/>
  <c r="BE219" i="6"/>
  <c r="BD219" i="6"/>
  <c r="BC219" i="6"/>
  <c r="AV219" i="6"/>
  <c r="AR219" i="6"/>
  <c r="BA219" i="6" s="1"/>
  <c r="BK219" i="6" s="1"/>
  <c r="AQ219" i="6"/>
  <c r="AP219" i="6"/>
  <c r="AO219" i="6"/>
  <c r="AL219" i="6"/>
  <c r="AK219" i="6"/>
  <c r="Y219" i="6"/>
  <c r="J219" i="6" s="1"/>
  <c r="W219" i="6"/>
  <c r="V219" i="6"/>
  <c r="U219" i="6"/>
  <c r="X219" i="6" s="1"/>
  <c r="R219" i="6"/>
  <c r="Z219" i="6" s="1"/>
  <c r="Q219" i="6"/>
  <c r="T219" i="6" s="1"/>
  <c r="P219" i="6"/>
  <c r="O219" i="6"/>
  <c r="N219" i="6"/>
  <c r="S219" i="6" s="1"/>
  <c r="L219" i="6"/>
  <c r="K219" i="6"/>
  <c r="C219" i="6"/>
  <c r="CY218" i="6"/>
  <c r="CX218" i="6"/>
  <c r="CR218" i="6"/>
  <c r="CP218" i="6"/>
  <c r="CO218" i="6"/>
  <c r="CN218" i="6"/>
  <c r="BT218" i="6" s="1"/>
  <c r="CM218" i="6"/>
  <c r="BS218" i="6" s="1"/>
  <c r="CL218" i="6"/>
  <c r="BR218" i="6" s="1"/>
  <c r="CK218" i="6"/>
  <c r="BQ218" i="6" s="1"/>
  <c r="CJ218" i="6"/>
  <c r="CI218" i="6"/>
  <c r="BO218" i="6" s="1"/>
  <c r="CH218" i="6"/>
  <c r="CG218" i="6"/>
  <c r="BV218" i="6"/>
  <c r="BP218" i="6"/>
  <c r="BN218" i="6"/>
  <c r="BM218" i="6"/>
  <c r="BL218" i="6"/>
  <c r="BJ218" i="6"/>
  <c r="BI218" i="6"/>
  <c r="BH218" i="6"/>
  <c r="BG218" i="6"/>
  <c r="BF218" i="6"/>
  <c r="BE218" i="6"/>
  <c r="BD218" i="6"/>
  <c r="BC218" i="6"/>
  <c r="AV218" i="6"/>
  <c r="AR218" i="6"/>
  <c r="BA218" i="6" s="1"/>
  <c r="AQ218" i="6"/>
  <c r="AP218" i="6"/>
  <c r="AO218" i="6"/>
  <c r="AL218" i="6"/>
  <c r="AK218" i="6"/>
  <c r="Z218" i="6"/>
  <c r="X218" i="6"/>
  <c r="R218" i="6"/>
  <c r="Q218" i="6"/>
  <c r="T218" i="6" s="1"/>
  <c r="Y218" i="6" s="1"/>
  <c r="P218" i="6"/>
  <c r="U218" i="6" s="1"/>
  <c r="O218" i="6"/>
  <c r="W218" i="6" s="1"/>
  <c r="N218" i="6"/>
  <c r="S218" i="6" s="1"/>
  <c r="V218" i="6" s="1"/>
  <c r="M218" i="6"/>
  <c r="L218" i="6"/>
  <c r="K218" i="6"/>
  <c r="C218" i="6"/>
  <c r="CY217" i="6"/>
  <c r="CX217" i="6"/>
  <c r="CR217" i="6"/>
  <c r="CP217" i="6"/>
  <c r="BV217" i="6" s="1"/>
  <c r="CO217" i="6"/>
  <c r="CN217" i="6"/>
  <c r="BT217" i="6" s="1"/>
  <c r="CM217" i="6"/>
  <c r="BS217" i="6" s="1"/>
  <c r="CL217" i="6"/>
  <c r="BR217" i="6" s="1"/>
  <c r="CK217" i="6"/>
  <c r="BQ217" i="6" s="1"/>
  <c r="CJ217" i="6"/>
  <c r="CI217" i="6"/>
  <c r="BO217" i="6" s="1"/>
  <c r="CH217" i="6"/>
  <c r="BN217" i="6" s="1"/>
  <c r="CG217" i="6"/>
  <c r="BM217" i="6" s="1"/>
  <c r="BL217" i="6"/>
  <c r="BJ217" i="6"/>
  <c r="BI217" i="6"/>
  <c r="BH217" i="6"/>
  <c r="BG217" i="6"/>
  <c r="BE217" i="6"/>
  <c r="BD217" i="6"/>
  <c r="BC217" i="6"/>
  <c r="AR217" i="6"/>
  <c r="AQ217" i="6"/>
  <c r="AP217" i="6"/>
  <c r="AO217" i="6"/>
  <c r="AL217" i="6"/>
  <c r="AK217" i="6"/>
  <c r="R217" i="6"/>
  <c r="Z217" i="6" s="1"/>
  <c r="Q217" i="6"/>
  <c r="T217" i="6" s="1"/>
  <c r="Y217" i="6" s="1"/>
  <c r="J217" i="6" s="1"/>
  <c r="P217" i="6"/>
  <c r="U217" i="6" s="1"/>
  <c r="X217" i="6" s="1"/>
  <c r="O217" i="6"/>
  <c r="W217" i="6" s="1"/>
  <c r="N217" i="6"/>
  <c r="S217" i="6" s="1"/>
  <c r="V217" i="6" s="1"/>
  <c r="I217" i="6" s="1"/>
  <c r="L217" i="6"/>
  <c r="K217" i="6"/>
  <c r="C217" i="6"/>
  <c r="CY216" i="6"/>
  <c r="CX216" i="6"/>
  <c r="CW216" i="6"/>
  <c r="CR216" i="6"/>
  <c r="CP216" i="6"/>
  <c r="CO216" i="6"/>
  <c r="CN216" i="6"/>
  <c r="CM216" i="6"/>
  <c r="CL216" i="6"/>
  <c r="CK216" i="6"/>
  <c r="BQ216" i="6" s="1"/>
  <c r="CJ216" i="6"/>
  <c r="CI216" i="6"/>
  <c r="CH216" i="6"/>
  <c r="CG216" i="6"/>
  <c r="BM216" i="6" s="1"/>
  <c r="BV216" i="6"/>
  <c r="BU216" i="6"/>
  <c r="BT216" i="6"/>
  <c r="BS216" i="6"/>
  <c r="BR216" i="6"/>
  <c r="BO216" i="6"/>
  <c r="BN216" i="6"/>
  <c r="BL216" i="6"/>
  <c r="BK216" i="6"/>
  <c r="BJ216" i="6"/>
  <c r="BI216" i="6"/>
  <c r="BH216" i="6"/>
  <c r="BG216" i="6"/>
  <c r="BE216" i="6"/>
  <c r="BD216" i="6"/>
  <c r="BC216" i="6"/>
  <c r="BA216" i="6"/>
  <c r="AV216" i="6"/>
  <c r="AR216" i="6"/>
  <c r="AQ216" i="6"/>
  <c r="AP216" i="6"/>
  <c r="AO216" i="6"/>
  <c r="AL216" i="6"/>
  <c r="AK216" i="6"/>
  <c r="S216" i="6"/>
  <c r="V216" i="6" s="1"/>
  <c r="R216" i="6"/>
  <c r="Z216" i="6" s="1"/>
  <c r="Q216" i="6"/>
  <c r="T216" i="6" s="1"/>
  <c r="Y216" i="6" s="1"/>
  <c r="J216" i="6" s="1"/>
  <c r="P216" i="6"/>
  <c r="U216" i="6" s="1"/>
  <c r="X216" i="6" s="1"/>
  <c r="O216" i="6"/>
  <c r="W216" i="6" s="1"/>
  <c r="N216" i="6"/>
  <c r="L216" i="6"/>
  <c r="M216" i="6" s="1"/>
  <c r="K216" i="6"/>
  <c r="C216" i="6"/>
  <c r="CY215" i="6"/>
  <c r="CX215" i="6"/>
  <c r="CR215" i="6"/>
  <c r="CP215" i="6"/>
  <c r="BV215" i="6" s="1"/>
  <c r="CO215" i="6"/>
  <c r="CN215" i="6"/>
  <c r="BT215" i="6" s="1"/>
  <c r="CM215" i="6"/>
  <c r="BS215" i="6" s="1"/>
  <c r="CL215" i="6"/>
  <c r="CK215" i="6"/>
  <c r="BQ215" i="6" s="1"/>
  <c r="CJ215" i="6"/>
  <c r="CI215" i="6"/>
  <c r="BO215" i="6" s="1"/>
  <c r="CH215" i="6"/>
  <c r="CG215" i="6"/>
  <c r="BR215" i="6"/>
  <c r="BN215" i="6"/>
  <c r="BM215" i="6"/>
  <c r="BL215" i="6"/>
  <c r="BK215" i="6"/>
  <c r="BJ215" i="6"/>
  <c r="BI215" i="6"/>
  <c r="BH215" i="6"/>
  <c r="BG215" i="6"/>
  <c r="BE215" i="6"/>
  <c r="BD215" i="6"/>
  <c r="BC215" i="6"/>
  <c r="BA215" i="6"/>
  <c r="AV215" i="6"/>
  <c r="AR215" i="6"/>
  <c r="AQ215" i="6"/>
  <c r="AP215" i="6"/>
  <c r="AO215" i="6"/>
  <c r="AL215" i="6"/>
  <c r="AK215" i="6"/>
  <c r="U215" i="6"/>
  <c r="X215" i="6" s="1"/>
  <c r="S215" i="6"/>
  <c r="V215" i="6" s="1"/>
  <c r="I215" i="6" s="1"/>
  <c r="R215" i="6"/>
  <c r="Z215" i="6" s="1"/>
  <c r="Q215" i="6"/>
  <c r="T215" i="6" s="1"/>
  <c r="Y215" i="6" s="1"/>
  <c r="J215" i="6" s="1"/>
  <c r="P215" i="6"/>
  <c r="O215" i="6"/>
  <c r="W215" i="6" s="1"/>
  <c r="N215" i="6"/>
  <c r="L215" i="6"/>
  <c r="K215" i="6"/>
  <c r="C215" i="6"/>
  <c r="CY214" i="6"/>
  <c r="CX214" i="6"/>
  <c r="CR214" i="6"/>
  <c r="CP214" i="6"/>
  <c r="BV214" i="6" s="1"/>
  <c r="CO214" i="6"/>
  <c r="CN214" i="6"/>
  <c r="BT214" i="6" s="1"/>
  <c r="CM214" i="6"/>
  <c r="BS214" i="6" s="1"/>
  <c r="CL214" i="6"/>
  <c r="BR214" i="6" s="1"/>
  <c r="CK214" i="6"/>
  <c r="BQ214" i="6" s="1"/>
  <c r="CJ214" i="6"/>
  <c r="CI214" i="6"/>
  <c r="BO214" i="6" s="1"/>
  <c r="CH214" i="6"/>
  <c r="BN214" i="6" s="1"/>
  <c r="CG214" i="6"/>
  <c r="BM214" i="6" s="1"/>
  <c r="BL214" i="6"/>
  <c r="BJ214" i="6"/>
  <c r="BI214" i="6"/>
  <c r="BH214" i="6"/>
  <c r="BG214" i="6"/>
  <c r="BF214" i="6"/>
  <c r="BE214" i="6"/>
  <c r="BD214" i="6"/>
  <c r="BC214" i="6"/>
  <c r="BA214" i="6"/>
  <c r="AR214" i="6"/>
  <c r="AV214" i="6" s="1"/>
  <c r="AQ214" i="6"/>
  <c r="AP214" i="6"/>
  <c r="AO214" i="6"/>
  <c r="AL214" i="6"/>
  <c r="AK214" i="6"/>
  <c r="Z214" i="6"/>
  <c r="R214" i="6"/>
  <c r="Q214" i="6"/>
  <c r="T214" i="6" s="1"/>
  <c r="Y214" i="6" s="1"/>
  <c r="P214" i="6"/>
  <c r="U214" i="6" s="1"/>
  <c r="X214" i="6" s="1"/>
  <c r="O214" i="6"/>
  <c r="W214" i="6" s="1"/>
  <c r="N214" i="6"/>
  <c r="S214" i="6" s="1"/>
  <c r="V214" i="6" s="1"/>
  <c r="L214" i="6"/>
  <c r="M214" i="6" s="1"/>
  <c r="F214" i="6" s="1"/>
  <c r="H214" i="6" s="1"/>
  <c r="K214" i="6"/>
  <c r="J214" i="6"/>
  <c r="I214" i="6"/>
  <c r="C214" i="6"/>
  <c r="CY213" i="6"/>
  <c r="CX213" i="6"/>
  <c r="CW213" i="6"/>
  <c r="CR213" i="6"/>
  <c r="CP213" i="6"/>
  <c r="CO213" i="6"/>
  <c r="CN213" i="6"/>
  <c r="CM213" i="6"/>
  <c r="CL213" i="6"/>
  <c r="CK213" i="6"/>
  <c r="CJ213" i="6"/>
  <c r="CI213" i="6"/>
  <c r="BO213" i="6" s="1"/>
  <c r="CH213" i="6"/>
  <c r="BN213" i="6" s="1"/>
  <c r="CG213" i="6"/>
  <c r="BM213" i="6" s="1"/>
  <c r="BV213" i="6"/>
  <c r="BU213" i="6"/>
  <c r="BT213" i="6"/>
  <c r="BS213" i="6"/>
  <c r="BR213" i="6"/>
  <c r="BQ213" i="6"/>
  <c r="BL213" i="6"/>
  <c r="BK213" i="6"/>
  <c r="BJ213" i="6"/>
  <c r="BI213" i="6"/>
  <c r="BH213" i="6"/>
  <c r="BG213" i="6"/>
  <c r="BE213" i="6"/>
  <c r="BD213" i="6"/>
  <c r="BC213" i="6"/>
  <c r="AR213" i="6"/>
  <c r="BA213" i="6" s="1"/>
  <c r="M213" i="6" s="1"/>
  <c r="AQ213" i="6"/>
  <c r="AP213" i="6"/>
  <c r="AO213" i="6"/>
  <c r="AL213" i="6"/>
  <c r="AK213" i="6"/>
  <c r="Z213" i="6"/>
  <c r="Y213" i="6"/>
  <c r="J213" i="6" s="1"/>
  <c r="U213" i="6"/>
  <c r="X213" i="6" s="1"/>
  <c r="S213" i="6"/>
  <c r="V213" i="6" s="1"/>
  <c r="I213" i="6" s="1"/>
  <c r="E213" i="6" s="1"/>
  <c r="R213" i="6"/>
  <c r="Q213" i="6"/>
  <c r="T213" i="6" s="1"/>
  <c r="P213" i="6"/>
  <c r="O213" i="6"/>
  <c r="W213" i="6" s="1"/>
  <c r="N213" i="6"/>
  <c r="L213" i="6"/>
  <c r="K213" i="6"/>
  <c r="C213" i="6"/>
  <c r="CY212" i="6"/>
  <c r="CX212" i="6"/>
  <c r="CR212" i="6"/>
  <c r="CP212" i="6"/>
  <c r="BV212" i="6" s="1"/>
  <c r="CO212" i="6"/>
  <c r="CN212" i="6"/>
  <c r="BT212" i="6" s="1"/>
  <c r="CM212" i="6"/>
  <c r="BS212" i="6" s="1"/>
  <c r="CL212" i="6"/>
  <c r="BR212" i="6" s="1"/>
  <c r="CK212" i="6"/>
  <c r="BQ212" i="6" s="1"/>
  <c r="CJ212" i="6"/>
  <c r="CI212" i="6"/>
  <c r="CH212" i="6"/>
  <c r="CG212" i="6"/>
  <c r="BM212" i="6" s="1"/>
  <c r="BU212" i="6"/>
  <c r="BO212" i="6"/>
  <c r="BN212" i="6"/>
  <c r="BL212" i="6"/>
  <c r="BJ212" i="6"/>
  <c r="BI212" i="6"/>
  <c r="BH212" i="6"/>
  <c r="BG212" i="6"/>
  <c r="BE212" i="6"/>
  <c r="BD212" i="6"/>
  <c r="BC212" i="6"/>
  <c r="AR212" i="6"/>
  <c r="BA212" i="6" s="1"/>
  <c r="AQ212" i="6"/>
  <c r="AP212" i="6"/>
  <c r="AO212" i="6"/>
  <c r="AL212" i="6"/>
  <c r="AK212" i="6"/>
  <c r="Z212" i="6"/>
  <c r="R212" i="6"/>
  <c r="Q212" i="6"/>
  <c r="T212" i="6" s="1"/>
  <c r="Y212" i="6" s="1"/>
  <c r="J212" i="6" s="1"/>
  <c r="P212" i="6"/>
  <c r="U212" i="6" s="1"/>
  <c r="X212" i="6" s="1"/>
  <c r="O212" i="6"/>
  <c r="W212" i="6" s="1"/>
  <c r="N212" i="6"/>
  <c r="S212" i="6" s="1"/>
  <c r="V212" i="6" s="1"/>
  <c r="L212" i="6"/>
  <c r="K212" i="6"/>
  <c r="C212" i="6"/>
  <c r="CY211" i="6"/>
  <c r="CX211" i="6"/>
  <c r="CR211" i="6"/>
  <c r="CP211" i="6"/>
  <c r="BV211" i="6" s="1"/>
  <c r="CO211" i="6"/>
  <c r="CN211" i="6"/>
  <c r="CM211" i="6"/>
  <c r="BS211" i="6" s="1"/>
  <c r="CL211" i="6"/>
  <c r="BR211" i="6" s="1"/>
  <c r="CK211" i="6"/>
  <c r="BQ211" i="6" s="1"/>
  <c r="CJ211" i="6"/>
  <c r="CI211" i="6"/>
  <c r="CH211" i="6"/>
  <c r="CG211" i="6"/>
  <c r="BM211" i="6" s="1"/>
  <c r="BT211" i="6"/>
  <c r="BO211" i="6"/>
  <c r="BN211" i="6"/>
  <c r="BL211" i="6"/>
  <c r="BJ211" i="6"/>
  <c r="BI211" i="6"/>
  <c r="BH211" i="6"/>
  <c r="BG211" i="6"/>
  <c r="BE211" i="6"/>
  <c r="BD211" i="6"/>
  <c r="BC211" i="6"/>
  <c r="AR211" i="6"/>
  <c r="BA211" i="6" s="1"/>
  <c r="AQ211" i="6"/>
  <c r="AP211" i="6"/>
  <c r="AO211" i="6"/>
  <c r="AL211" i="6"/>
  <c r="AK211" i="6"/>
  <c r="Z211" i="6"/>
  <c r="X211" i="6"/>
  <c r="S211" i="6"/>
  <c r="V211" i="6" s="1"/>
  <c r="I211" i="6" s="1"/>
  <c r="R211" i="6"/>
  <c r="Q211" i="6"/>
  <c r="T211" i="6" s="1"/>
  <c r="Y211" i="6" s="1"/>
  <c r="P211" i="6"/>
  <c r="U211" i="6" s="1"/>
  <c r="O211" i="6"/>
  <c r="W211" i="6" s="1"/>
  <c r="N211" i="6"/>
  <c r="L211" i="6"/>
  <c r="K211" i="6"/>
  <c r="J211" i="6"/>
  <c r="C211" i="6"/>
  <c r="CY210" i="6"/>
  <c r="CX210" i="6"/>
  <c r="CR210" i="6"/>
  <c r="CP210" i="6"/>
  <c r="CO210" i="6"/>
  <c r="CN210" i="6"/>
  <c r="BT210" i="6" s="1"/>
  <c r="CM210" i="6"/>
  <c r="CL210" i="6"/>
  <c r="CK210" i="6"/>
  <c r="BQ210" i="6" s="1"/>
  <c r="CJ210" i="6"/>
  <c r="CI210" i="6"/>
  <c r="BO210" i="6" s="1"/>
  <c r="CH210" i="6"/>
  <c r="BN210" i="6" s="1"/>
  <c r="CG210" i="6"/>
  <c r="BM210" i="6" s="1"/>
  <c r="BV210" i="6"/>
  <c r="BS210" i="6"/>
  <c r="BR210" i="6"/>
  <c r="BL210" i="6"/>
  <c r="BJ210" i="6"/>
  <c r="BI210" i="6"/>
  <c r="BH210" i="6"/>
  <c r="BG210" i="6"/>
  <c r="BE210" i="6"/>
  <c r="BD210" i="6"/>
  <c r="BC210" i="6"/>
  <c r="AR210" i="6"/>
  <c r="BA210" i="6" s="1"/>
  <c r="AQ210" i="6"/>
  <c r="AP210" i="6"/>
  <c r="AO210" i="6"/>
  <c r="AL210" i="6"/>
  <c r="AK210" i="6"/>
  <c r="V210" i="6"/>
  <c r="S210" i="6"/>
  <c r="R210" i="6"/>
  <c r="Z210" i="6" s="1"/>
  <c r="Q210" i="6"/>
  <c r="T210" i="6" s="1"/>
  <c r="Y210" i="6" s="1"/>
  <c r="J210" i="6" s="1"/>
  <c r="P210" i="6"/>
  <c r="U210" i="6" s="1"/>
  <c r="X210" i="6" s="1"/>
  <c r="O210" i="6"/>
  <c r="W210" i="6" s="1"/>
  <c r="N210" i="6"/>
  <c r="L210" i="6"/>
  <c r="K210" i="6"/>
  <c r="C210" i="6"/>
  <c r="CY209" i="6"/>
  <c r="CX209" i="6"/>
  <c r="CR209" i="6"/>
  <c r="CP209" i="6"/>
  <c r="CO209" i="6"/>
  <c r="CN209" i="6"/>
  <c r="BT209" i="6" s="1"/>
  <c r="CM209" i="6"/>
  <c r="BS209" i="6" s="1"/>
  <c r="CL209" i="6"/>
  <c r="CK209" i="6"/>
  <c r="BQ209" i="6" s="1"/>
  <c r="CJ209" i="6"/>
  <c r="CI209" i="6"/>
  <c r="CH209" i="6"/>
  <c r="CG209" i="6"/>
  <c r="BM209" i="6" s="1"/>
  <c r="BV209" i="6"/>
  <c r="BR209" i="6"/>
  <c r="BO209" i="6"/>
  <c r="BN209" i="6"/>
  <c r="BL209" i="6"/>
  <c r="BJ209" i="6"/>
  <c r="BI209" i="6"/>
  <c r="BH209" i="6"/>
  <c r="BG209" i="6"/>
  <c r="BE209" i="6"/>
  <c r="BD209" i="6"/>
  <c r="BC209" i="6"/>
  <c r="BA209" i="6"/>
  <c r="AR209" i="6"/>
  <c r="AV209" i="6" s="1"/>
  <c r="AQ209" i="6"/>
  <c r="AP209" i="6"/>
  <c r="AO209" i="6"/>
  <c r="AL209" i="6"/>
  <c r="AK209" i="6"/>
  <c r="Z209" i="6"/>
  <c r="R209" i="6"/>
  <c r="Q209" i="6"/>
  <c r="T209" i="6" s="1"/>
  <c r="Y209" i="6" s="1"/>
  <c r="P209" i="6"/>
  <c r="U209" i="6" s="1"/>
  <c r="X209" i="6" s="1"/>
  <c r="O209" i="6"/>
  <c r="W209" i="6" s="1"/>
  <c r="N209" i="6"/>
  <c r="S209" i="6" s="1"/>
  <c r="V209" i="6" s="1"/>
  <c r="L209" i="6"/>
  <c r="M209" i="6" s="1"/>
  <c r="K209" i="6"/>
  <c r="J209" i="6"/>
  <c r="I209" i="6"/>
  <c r="C209" i="6"/>
  <c r="CY208" i="6"/>
  <c r="CX208" i="6"/>
  <c r="CR208" i="6"/>
  <c r="CP208" i="6"/>
  <c r="CO208" i="6"/>
  <c r="CN208" i="6"/>
  <c r="BT208" i="6" s="1"/>
  <c r="CM208" i="6"/>
  <c r="CL208" i="6"/>
  <c r="CK208" i="6"/>
  <c r="CJ208" i="6"/>
  <c r="CI208" i="6"/>
  <c r="BO208" i="6" s="1"/>
  <c r="CH208" i="6"/>
  <c r="BN208" i="6" s="1"/>
  <c r="CG208" i="6"/>
  <c r="BM208" i="6" s="1"/>
  <c r="BV208" i="6"/>
  <c r="BS208" i="6"/>
  <c r="BR208" i="6"/>
  <c r="BQ208" i="6"/>
  <c r="BL208" i="6"/>
  <c r="BJ208" i="6"/>
  <c r="BI208" i="6"/>
  <c r="BH208" i="6"/>
  <c r="BG208" i="6"/>
  <c r="BE208" i="6"/>
  <c r="BD208" i="6"/>
  <c r="BC208" i="6"/>
  <c r="BA208" i="6"/>
  <c r="AR208" i="6"/>
  <c r="AV208" i="6" s="1"/>
  <c r="AQ208" i="6"/>
  <c r="AP208" i="6"/>
  <c r="AO208" i="6"/>
  <c r="AL208" i="6"/>
  <c r="AK208" i="6"/>
  <c r="Z208" i="6"/>
  <c r="R208" i="6"/>
  <c r="Q208" i="6"/>
  <c r="T208" i="6" s="1"/>
  <c r="Y208" i="6" s="1"/>
  <c r="J208" i="6" s="1"/>
  <c r="P208" i="6"/>
  <c r="U208" i="6" s="1"/>
  <c r="X208" i="6" s="1"/>
  <c r="O208" i="6"/>
  <c r="W208" i="6" s="1"/>
  <c r="N208" i="6"/>
  <c r="S208" i="6" s="1"/>
  <c r="V208" i="6" s="1"/>
  <c r="I208" i="6" s="1"/>
  <c r="E208" i="6" s="1"/>
  <c r="L208" i="6"/>
  <c r="M208" i="6" s="1"/>
  <c r="F208" i="6" s="1"/>
  <c r="H208" i="6" s="1"/>
  <c r="K208" i="6"/>
  <c r="C208" i="6"/>
  <c r="CY207" i="6"/>
  <c r="CX207" i="6"/>
  <c r="CR207" i="6"/>
  <c r="CP207" i="6"/>
  <c r="CO207" i="6"/>
  <c r="CN207" i="6"/>
  <c r="CM207" i="6"/>
  <c r="CL207" i="6"/>
  <c r="CK207" i="6"/>
  <c r="CJ207" i="6"/>
  <c r="CI207" i="6"/>
  <c r="CH207" i="6"/>
  <c r="CG207" i="6"/>
  <c r="BV207" i="6"/>
  <c r="BT207" i="6"/>
  <c r="BS207" i="6"/>
  <c r="BR207" i="6"/>
  <c r="BQ207" i="6"/>
  <c r="BP207" i="6"/>
  <c r="BO207" i="6"/>
  <c r="BN207" i="6"/>
  <c r="BM207" i="6"/>
  <c r="BL207" i="6"/>
  <c r="BJ207" i="6"/>
  <c r="BI207" i="6"/>
  <c r="BH207" i="6"/>
  <c r="BG207" i="6"/>
  <c r="BE207" i="6"/>
  <c r="BD207" i="6"/>
  <c r="BC207" i="6"/>
  <c r="BA207" i="6"/>
  <c r="AV207" i="6"/>
  <c r="BF207" i="6" s="1"/>
  <c r="AR207" i="6"/>
  <c r="AQ207" i="6"/>
  <c r="AP207" i="6"/>
  <c r="AO207" i="6"/>
  <c r="AL207" i="6"/>
  <c r="AK207" i="6"/>
  <c r="Z207" i="6"/>
  <c r="Y207" i="6"/>
  <c r="J207" i="6" s="1"/>
  <c r="X207" i="6"/>
  <c r="W207" i="6"/>
  <c r="V207" i="6"/>
  <c r="U207" i="6"/>
  <c r="R207" i="6"/>
  <c r="Q207" i="6"/>
  <c r="T207" i="6" s="1"/>
  <c r="P207" i="6"/>
  <c r="O207" i="6"/>
  <c r="N207" i="6"/>
  <c r="S207" i="6" s="1"/>
  <c r="L207" i="6"/>
  <c r="K207" i="6"/>
  <c r="C207" i="6"/>
  <c r="CY206" i="6"/>
  <c r="CX206" i="6"/>
  <c r="CR206" i="6"/>
  <c r="CP206" i="6"/>
  <c r="BV206" i="6" s="1"/>
  <c r="CO206" i="6"/>
  <c r="CN206" i="6"/>
  <c r="CM206" i="6"/>
  <c r="CL206" i="6"/>
  <c r="CK206" i="6"/>
  <c r="CJ206" i="6"/>
  <c r="CI206" i="6"/>
  <c r="CH206" i="6"/>
  <c r="CG206" i="6"/>
  <c r="BM206" i="6" s="1"/>
  <c r="BU206" i="6"/>
  <c r="BT206" i="6"/>
  <c r="BS206" i="6"/>
  <c r="BR206" i="6"/>
  <c r="BQ206" i="6"/>
  <c r="BO206" i="6"/>
  <c r="BN206" i="6"/>
  <c r="BL206" i="6"/>
  <c r="BK206" i="6"/>
  <c r="BJ206" i="6"/>
  <c r="BI206" i="6"/>
  <c r="BH206" i="6"/>
  <c r="BG206" i="6"/>
  <c r="BE206" i="6"/>
  <c r="BD206" i="6"/>
  <c r="BC206" i="6"/>
  <c r="BA206" i="6"/>
  <c r="M206" i="6" s="1"/>
  <c r="AV206" i="6"/>
  <c r="AR206" i="6"/>
  <c r="AQ206" i="6"/>
  <c r="AP206" i="6"/>
  <c r="AO206" i="6"/>
  <c r="AL206" i="6"/>
  <c r="AK206" i="6"/>
  <c r="Z206" i="6"/>
  <c r="X206" i="6"/>
  <c r="W206" i="6"/>
  <c r="V206" i="6"/>
  <c r="U206" i="6"/>
  <c r="T206" i="6"/>
  <c r="Y206" i="6" s="1"/>
  <c r="R206" i="6"/>
  <c r="Q206" i="6"/>
  <c r="P206" i="6"/>
  <c r="O206" i="6"/>
  <c r="N206" i="6"/>
  <c r="S206" i="6" s="1"/>
  <c r="L206" i="6"/>
  <c r="K206" i="6"/>
  <c r="J206" i="6"/>
  <c r="C206" i="6"/>
  <c r="CY205" i="6"/>
  <c r="CX205" i="6"/>
  <c r="CR205" i="6"/>
  <c r="CP205" i="6"/>
  <c r="BV205" i="6" s="1"/>
  <c r="CO205" i="6"/>
  <c r="CN205" i="6"/>
  <c r="CM205" i="6"/>
  <c r="CL205" i="6"/>
  <c r="CK205" i="6"/>
  <c r="CJ205" i="6"/>
  <c r="CI205" i="6"/>
  <c r="CH205" i="6"/>
  <c r="CG205" i="6"/>
  <c r="BU205" i="6"/>
  <c r="BT205" i="6"/>
  <c r="BS205" i="6"/>
  <c r="BR205" i="6"/>
  <c r="BQ205" i="6"/>
  <c r="BP205" i="6"/>
  <c r="BO205" i="6"/>
  <c r="BN205" i="6"/>
  <c r="BM205" i="6"/>
  <c r="BL205" i="6"/>
  <c r="BJ205" i="6"/>
  <c r="BI205" i="6"/>
  <c r="BH205" i="6"/>
  <c r="BG205" i="6"/>
  <c r="BE205" i="6"/>
  <c r="BD205" i="6"/>
  <c r="BC205" i="6"/>
  <c r="AV205" i="6"/>
  <c r="BF205" i="6" s="1"/>
  <c r="AR205" i="6"/>
  <c r="BA205" i="6" s="1"/>
  <c r="AQ205" i="6"/>
  <c r="AP205" i="6"/>
  <c r="AO205" i="6"/>
  <c r="AL205" i="6"/>
  <c r="AK205" i="6"/>
  <c r="Z205" i="6"/>
  <c r="Y205" i="6"/>
  <c r="J205" i="6" s="1"/>
  <c r="X205" i="6"/>
  <c r="W205" i="6"/>
  <c r="V205" i="6"/>
  <c r="U205" i="6"/>
  <c r="T205" i="6"/>
  <c r="S205" i="6"/>
  <c r="R205" i="6"/>
  <c r="Q205" i="6"/>
  <c r="P205" i="6"/>
  <c r="O205" i="6"/>
  <c r="N205" i="6"/>
  <c r="L205" i="6"/>
  <c r="K205" i="6"/>
  <c r="C205" i="6"/>
  <c r="CY204" i="6"/>
  <c r="CX204" i="6"/>
  <c r="CR204" i="6"/>
  <c r="CP204" i="6"/>
  <c r="BV204" i="6" s="1"/>
  <c r="CO204" i="6"/>
  <c r="CN204" i="6"/>
  <c r="BT204" i="6" s="1"/>
  <c r="CM204" i="6"/>
  <c r="CL204" i="6"/>
  <c r="CK204" i="6"/>
  <c r="CJ204" i="6"/>
  <c r="CI204" i="6"/>
  <c r="CH204" i="6"/>
  <c r="CG204" i="6"/>
  <c r="BS204" i="6"/>
  <c r="BR204" i="6"/>
  <c r="BQ204" i="6"/>
  <c r="BP204" i="6"/>
  <c r="BO204" i="6"/>
  <c r="BN204" i="6"/>
  <c r="BM204" i="6"/>
  <c r="BL204" i="6"/>
  <c r="BK204" i="6"/>
  <c r="BJ204" i="6"/>
  <c r="BI204" i="6"/>
  <c r="BH204" i="6"/>
  <c r="BG204" i="6"/>
  <c r="BE204" i="6"/>
  <c r="BD204" i="6"/>
  <c r="BC204" i="6"/>
  <c r="AV204" i="6"/>
  <c r="BF204" i="6" s="1"/>
  <c r="AR204" i="6"/>
  <c r="BA204" i="6" s="1"/>
  <c r="AQ204" i="6"/>
  <c r="AP204" i="6"/>
  <c r="AO204" i="6"/>
  <c r="AL204" i="6"/>
  <c r="AK204" i="6"/>
  <c r="X204" i="6"/>
  <c r="W204" i="6"/>
  <c r="U204" i="6"/>
  <c r="T204" i="6"/>
  <c r="Y204" i="6" s="1"/>
  <c r="S204" i="6"/>
  <c r="V204" i="6" s="1"/>
  <c r="I204" i="6" s="1"/>
  <c r="E204" i="6" s="1"/>
  <c r="G204" i="6" s="1"/>
  <c r="R204" i="6"/>
  <c r="Z204" i="6" s="1"/>
  <c r="Q204" i="6"/>
  <c r="P204" i="6"/>
  <c r="O204" i="6"/>
  <c r="N204" i="6"/>
  <c r="L204" i="6"/>
  <c r="M204" i="6" s="1"/>
  <c r="K204" i="6"/>
  <c r="C204" i="6"/>
  <c r="CY203" i="6"/>
  <c r="CX203" i="6"/>
  <c r="CR203" i="6"/>
  <c r="CP203" i="6"/>
  <c r="BV203" i="6" s="1"/>
  <c r="CO203" i="6"/>
  <c r="CN203" i="6"/>
  <c r="BT203" i="6" s="1"/>
  <c r="CM203" i="6"/>
  <c r="BS203" i="6" s="1"/>
  <c r="CL203" i="6"/>
  <c r="CK203" i="6"/>
  <c r="CJ203" i="6"/>
  <c r="CI203" i="6"/>
  <c r="BO203" i="6" s="1"/>
  <c r="CH203" i="6"/>
  <c r="CG203" i="6"/>
  <c r="BM203" i="6" s="1"/>
  <c r="BR203" i="6"/>
  <c r="BQ203" i="6"/>
  <c r="BN203" i="6"/>
  <c r="BL203" i="6"/>
  <c r="BJ203" i="6"/>
  <c r="BI203" i="6"/>
  <c r="BH203" i="6"/>
  <c r="BG203" i="6"/>
  <c r="BE203" i="6"/>
  <c r="BD203" i="6"/>
  <c r="BC203" i="6"/>
  <c r="AR203" i="6"/>
  <c r="AQ203" i="6"/>
  <c r="AP203" i="6"/>
  <c r="AO203" i="6"/>
  <c r="AL203" i="6"/>
  <c r="AK203" i="6"/>
  <c r="W203" i="6"/>
  <c r="U203" i="6"/>
  <c r="X203" i="6" s="1"/>
  <c r="T203" i="6"/>
  <c r="Y203" i="6" s="1"/>
  <c r="S203" i="6"/>
  <c r="V203" i="6" s="1"/>
  <c r="I203" i="6" s="1"/>
  <c r="R203" i="6"/>
  <c r="Z203" i="6" s="1"/>
  <c r="Q203" i="6"/>
  <c r="P203" i="6"/>
  <c r="O203" i="6"/>
  <c r="N203" i="6"/>
  <c r="L203" i="6"/>
  <c r="K203" i="6"/>
  <c r="C203" i="6"/>
  <c r="CY202" i="6"/>
  <c r="CX202" i="6"/>
  <c r="CR202" i="6"/>
  <c r="CP202" i="6"/>
  <c r="CO202" i="6"/>
  <c r="CN202" i="6"/>
  <c r="BT202" i="6" s="1"/>
  <c r="CM202" i="6"/>
  <c r="BS202" i="6" s="1"/>
  <c r="CL202" i="6"/>
  <c r="BR202" i="6" s="1"/>
  <c r="CK202" i="6"/>
  <c r="CJ202" i="6"/>
  <c r="CI202" i="6"/>
  <c r="CH202" i="6"/>
  <c r="BN202" i="6" s="1"/>
  <c r="CG202" i="6"/>
  <c r="BV202" i="6"/>
  <c r="BQ202" i="6"/>
  <c r="BO202" i="6"/>
  <c r="BM202" i="6"/>
  <c r="BL202" i="6"/>
  <c r="BJ202" i="6"/>
  <c r="BI202" i="6"/>
  <c r="BH202" i="6"/>
  <c r="BG202" i="6"/>
  <c r="BF202" i="6"/>
  <c r="BE202" i="6"/>
  <c r="BD202" i="6"/>
  <c r="BC202" i="6"/>
  <c r="BA202" i="6"/>
  <c r="AR202" i="6"/>
  <c r="AV202" i="6" s="1"/>
  <c r="BP202" i="6" s="1"/>
  <c r="AQ202" i="6"/>
  <c r="AP202" i="6"/>
  <c r="AO202" i="6"/>
  <c r="AL202" i="6"/>
  <c r="AK202" i="6"/>
  <c r="W202" i="6"/>
  <c r="T202" i="6"/>
  <c r="Y202" i="6" s="1"/>
  <c r="S202" i="6"/>
  <c r="V202" i="6" s="1"/>
  <c r="I202" i="6" s="1"/>
  <c r="E202" i="6" s="1"/>
  <c r="G202" i="6" s="1"/>
  <c r="R202" i="6"/>
  <c r="Z202" i="6" s="1"/>
  <c r="Q202" i="6"/>
  <c r="P202" i="6"/>
  <c r="U202" i="6" s="1"/>
  <c r="X202" i="6" s="1"/>
  <c r="O202" i="6"/>
  <c r="N202" i="6"/>
  <c r="L202" i="6"/>
  <c r="M202" i="6" s="1"/>
  <c r="K202" i="6"/>
  <c r="J202" i="6"/>
  <c r="C202" i="6"/>
  <c r="CY201" i="6"/>
  <c r="CX201" i="6"/>
  <c r="CR201" i="6"/>
  <c r="CP201" i="6"/>
  <c r="CO201" i="6"/>
  <c r="CN201" i="6"/>
  <c r="CM201" i="6"/>
  <c r="CL201" i="6"/>
  <c r="CK201" i="6"/>
  <c r="CJ201" i="6"/>
  <c r="CI201" i="6"/>
  <c r="CH201" i="6"/>
  <c r="CG201" i="6"/>
  <c r="BM201" i="6" s="1"/>
  <c r="BV201" i="6"/>
  <c r="BU201" i="6"/>
  <c r="BT201" i="6"/>
  <c r="BS201" i="6"/>
  <c r="BR201" i="6"/>
  <c r="BQ201" i="6"/>
  <c r="BO201" i="6"/>
  <c r="BN201" i="6"/>
  <c r="BL201" i="6"/>
  <c r="BJ201" i="6"/>
  <c r="BI201" i="6"/>
  <c r="BH201" i="6"/>
  <c r="BG201" i="6"/>
  <c r="BF201" i="6"/>
  <c r="BE201" i="6"/>
  <c r="BD201" i="6"/>
  <c r="BC201" i="6"/>
  <c r="AV201" i="6"/>
  <c r="BP201" i="6" s="1"/>
  <c r="AR201" i="6"/>
  <c r="BA201" i="6" s="1"/>
  <c r="AQ201" i="6"/>
  <c r="AP201" i="6"/>
  <c r="AO201" i="6"/>
  <c r="AL201" i="6"/>
  <c r="AK201" i="6"/>
  <c r="Z201" i="6"/>
  <c r="J201" i="6" s="1"/>
  <c r="S201" i="6"/>
  <c r="V201" i="6" s="1"/>
  <c r="I201" i="6" s="1"/>
  <c r="R201" i="6"/>
  <c r="Q201" i="6"/>
  <c r="T201" i="6" s="1"/>
  <c r="Y201" i="6" s="1"/>
  <c r="P201" i="6"/>
  <c r="U201" i="6" s="1"/>
  <c r="X201" i="6" s="1"/>
  <c r="O201" i="6"/>
  <c r="W201" i="6" s="1"/>
  <c r="N201" i="6"/>
  <c r="L201" i="6"/>
  <c r="K201" i="6"/>
  <c r="C201" i="6"/>
  <c r="CY200" i="6"/>
  <c r="CX200" i="6"/>
  <c r="CR200" i="6"/>
  <c r="CP200" i="6"/>
  <c r="CO200" i="6"/>
  <c r="CN200" i="6"/>
  <c r="CM200" i="6"/>
  <c r="BS200" i="6" s="1"/>
  <c r="CL200" i="6"/>
  <c r="CK200" i="6"/>
  <c r="BQ200" i="6" s="1"/>
  <c r="CJ200" i="6"/>
  <c r="CI200" i="6"/>
  <c r="CH200" i="6"/>
  <c r="CG200" i="6"/>
  <c r="BV200" i="6"/>
  <c r="BT200" i="6"/>
  <c r="BR200" i="6"/>
  <c r="BO200" i="6"/>
  <c r="BN200" i="6"/>
  <c r="BM200" i="6"/>
  <c r="BL200" i="6"/>
  <c r="BJ200" i="6"/>
  <c r="BI200" i="6"/>
  <c r="BH200" i="6"/>
  <c r="BG200" i="6"/>
  <c r="BE200" i="6"/>
  <c r="BD200" i="6"/>
  <c r="BC200" i="6"/>
  <c r="AR200" i="6"/>
  <c r="AQ200" i="6"/>
  <c r="AP200" i="6"/>
  <c r="AO200" i="6"/>
  <c r="AL200" i="6"/>
  <c r="AK200" i="6"/>
  <c r="Z200" i="6"/>
  <c r="Y200" i="6"/>
  <c r="X200" i="6"/>
  <c r="W200" i="6"/>
  <c r="R200" i="6"/>
  <c r="Q200" i="6"/>
  <c r="T200" i="6" s="1"/>
  <c r="P200" i="6"/>
  <c r="U200" i="6" s="1"/>
  <c r="O200" i="6"/>
  <c r="N200" i="6"/>
  <c r="S200" i="6" s="1"/>
  <c r="V200" i="6" s="1"/>
  <c r="L200" i="6"/>
  <c r="K200" i="6"/>
  <c r="J200" i="6"/>
  <c r="I200" i="6"/>
  <c r="E200" i="6"/>
  <c r="C200" i="6"/>
  <c r="CY199" i="6"/>
  <c r="CX199" i="6"/>
  <c r="CW199" i="6"/>
  <c r="CR199" i="6"/>
  <c r="CP199" i="6"/>
  <c r="BV199" i="6" s="1"/>
  <c r="CO199" i="6"/>
  <c r="CN199" i="6"/>
  <c r="CM199" i="6"/>
  <c r="CL199" i="6"/>
  <c r="CK199" i="6"/>
  <c r="CJ199" i="6"/>
  <c r="CI199" i="6"/>
  <c r="CH199" i="6"/>
  <c r="CG199" i="6"/>
  <c r="BU199" i="6"/>
  <c r="BT199" i="6"/>
  <c r="BS199" i="6"/>
  <c r="BR199" i="6"/>
  <c r="BQ199" i="6"/>
  <c r="BP199" i="6"/>
  <c r="BO199" i="6"/>
  <c r="BN199" i="6"/>
  <c r="BM199" i="6"/>
  <c r="BL199" i="6"/>
  <c r="BK199" i="6"/>
  <c r="BJ199" i="6"/>
  <c r="BI199" i="6"/>
  <c r="BH199" i="6"/>
  <c r="BG199" i="6"/>
  <c r="BF199" i="6"/>
  <c r="BE199" i="6"/>
  <c r="BD199" i="6"/>
  <c r="BC199" i="6"/>
  <c r="AV199" i="6"/>
  <c r="AR199" i="6"/>
  <c r="BA199" i="6" s="1"/>
  <c r="M199" i="6" s="1"/>
  <c r="AQ199" i="6"/>
  <c r="AP199" i="6"/>
  <c r="AO199" i="6"/>
  <c r="AL199" i="6"/>
  <c r="AK199" i="6"/>
  <c r="Z199" i="6"/>
  <c r="W199" i="6"/>
  <c r="V199" i="6"/>
  <c r="U199" i="6"/>
  <c r="X199" i="6" s="1"/>
  <c r="T199" i="6"/>
  <c r="Y199" i="6" s="1"/>
  <c r="J199" i="6" s="1"/>
  <c r="F199" i="6" s="1"/>
  <c r="H199" i="6" s="1"/>
  <c r="S199" i="6"/>
  <c r="R199" i="6"/>
  <c r="Q199" i="6"/>
  <c r="P199" i="6"/>
  <c r="O199" i="6"/>
  <c r="N199" i="6"/>
  <c r="L199" i="6"/>
  <c r="K199" i="6"/>
  <c r="C199" i="6"/>
  <c r="CY198" i="6"/>
  <c r="CX198" i="6"/>
  <c r="CW198" i="6"/>
  <c r="CR198" i="6"/>
  <c r="CP198" i="6"/>
  <c r="BV198" i="6" s="1"/>
  <c r="CO198" i="6"/>
  <c r="CN198" i="6"/>
  <c r="BT198" i="6" s="1"/>
  <c r="CM198" i="6"/>
  <c r="BS198" i="6" s="1"/>
  <c r="CL198" i="6"/>
  <c r="BR198" i="6" s="1"/>
  <c r="CK198" i="6"/>
  <c r="CJ198" i="6"/>
  <c r="CI198" i="6"/>
  <c r="CH198" i="6"/>
  <c r="CG198" i="6"/>
  <c r="BQ198" i="6"/>
  <c r="BP198" i="6"/>
  <c r="BO198" i="6"/>
  <c r="BN198" i="6"/>
  <c r="BM198" i="6"/>
  <c r="BL198" i="6"/>
  <c r="BK198" i="6"/>
  <c r="BJ198" i="6"/>
  <c r="BI198" i="6"/>
  <c r="BH198" i="6"/>
  <c r="BG198" i="6"/>
  <c r="BF198" i="6"/>
  <c r="BE198" i="6"/>
  <c r="BD198" i="6"/>
  <c r="BC198" i="6"/>
  <c r="BA198" i="6"/>
  <c r="AR198" i="6"/>
  <c r="AV198" i="6" s="1"/>
  <c r="AQ198" i="6"/>
  <c r="AP198" i="6"/>
  <c r="AO198" i="6"/>
  <c r="AL198" i="6"/>
  <c r="AK198" i="6"/>
  <c r="V198" i="6"/>
  <c r="I198" i="6" s="1"/>
  <c r="E198" i="6" s="1"/>
  <c r="G198" i="6" s="1"/>
  <c r="R198" i="6"/>
  <c r="Z198" i="6" s="1"/>
  <c r="Q198" i="6"/>
  <c r="T198" i="6" s="1"/>
  <c r="Y198" i="6" s="1"/>
  <c r="J198" i="6" s="1"/>
  <c r="P198" i="6"/>
  <c r="U198" i="6" s="1"/>
  <c r="X198" i="6" s="1"/>
  <c r="O198" i="6"/>
  <c r="W198" i="6" s="1"/>
  <c r="N198" i="6"/>
  <c r="S198" i="6" s="1"/>
  <c r="M198" i="6"/>
  <c r="L198" i="6"/>
  <c r="K198" i="6"/>
  <c r="C198" i="6"/>
  <c r="CY197" i="6"/>
  <c r="CX197" i="6"/>
  <c r="CR197" i="6"/>
  <c r="CP197" i="6"/>
  <c r="BV197" i="6" s="1"/>
  <c r="CO197" i="6"/>
  <c r="CN197" i="6"/>
  <c r="BT197" i="6" s="1"/>
  <c r="CM197" i="6"/>
  <c r="CL197" i="6"/>
  <c r="BR197" i="6" s="1"/>
  <c r="CK197" i="6"/>
  <c r="BQ197" i="6" s="1"/>
  <c r="CJ197" i="6"/>
  <c r="CI197" i="6"/>
  <c r="BO197" i="6" s="1"/>
  <c r="CH197" i="6"/>
  <c r="BN197" i="6" s="1"/>
  <c r="CG197" i="6"/>
  <c r="BM197" i="6" s="1"/>
  <c r="BS197" i="6"/>
  <c r="BL197" i="6"/>
  <c r="BJ197" i="6"/>
  <c r="BI197" i="6"/>
  <c r="BH197" i="6"/>
  <c r="BG197" i="6"/>
  <c r="BF197" i="6"/>
  <c r="BE197" i="6"/>
  <c r="BD197" i="6"/>
  <c r="BC197" i="6"/>
  <c r="BA197" i="6"/>
  <c r="AV197" i="6"/>
  <c r="AR197" i="6"/>
  <c r="AQ197" i="6"/>
  <c r="AP197" i="6"/>
  <c r="AO197" i="6"/>
  <c r="AL197" i="6"/>
  <c r="AK197" i="6"/>
  <c r="V197" i="6"/>
  <c r="I197" i="6" s="1"/>
  <c r="E197" i="6" s="1"/>
  <c r="G197" i="6" s="1"/>
  <c r="R197" i="6"/>
  <c r="Z197" i="6" s="1"/>
  <c r="Q197" i="6"/>
  <c r="T197" i="6" s="1"/>
  <c r="Y197" i="6" s="1"/>
  <c r="J197" i="6" s="1"/>
  <c r="P197" i="6"/>
  <c r="U197" i="6" s="1"/>
  <c r="X197" i="6" s="1"/>
  <c r="O197" i="6"/>
  <c r="W197" i="6" s="1"/>
  <c r="N197" i="6"/>
  <c r="S197" i="6" s="1"/>
  <c r="L197" i="6"/>
  <c r="M197" i="6" s="1"/>
  <c r="K197" i="6"/>
  <c r="C197" i="6"/>
  <c r="CY196" i="6"/>
  <c r="CX196" i="6"/>
  <c r="CR196" i="6"/>
  <c r="CP196" i="6"/>
  <c r="CO196" i="6"/>
  <c r="CN196" i="6"/>
  <c r="CM196" i="6"/>
  <c r="BS196" i="6" s="1"/>
  <c r="CL196" i="6"/>
  <c r="BR196" i="6" s="1"/>
  <c r="CK196" i="6"/>
  <c r="CJ196" i="6"/>
  <c r="CI196" i="6"/>
  <c r="CH196" i="6"/>
  <c r="CG196" i="6"/>
  <c r="BM196" i="6" s="1"/>
  <c r="BV196" i="6"/>
  <c r="BT196" i="6"/>
  <c r="BQ196" i="6"/>
  <c r="BO196" i="6"/>
  <c r="BN196" i="6"/>
  <c r="BL196" i="6"/>
  <c r="BJ196" i="6"/>
  <c r="BI196" i="6"/>
  <c r="BH196" i="6"/>
  <c r="BG196" i="6"/>
  <c r="BE196" i="6"/>
  <c r="BD196" i="6"/>
  <c r="BC196" i="6"/>
  <c r="BA196" i="6"/>
  <c r="AR196" i="6"/>
  <c r="AV196" i="6" s="1"/>
  <c r="AQ196" i="6"/>
  <c r="AP196" i="6"/>
  <c r="AO196" i="6"/>
  <c r="AL196" i="6"/>
  <c r="AK196" i="6"/>
  <c r="Z196" i="6"/>
  <c r="Y196" i="6"/>
  <c r="X196" i="6"/>
  <c r="W196" i="6"/>
  <c r="R196" i="6"/>
  <c r="Q196" i="6"/>
  <c r="T196" i="6" s="1"/>
  <c r="P196" i="6"/>
  <c r="U196" i="6" s="1"/>
  <c r="O196" i="6"/>
  <c r="N196" i="6"/>
  <c r="S196" i="6" s="1"/>
  <c r="V196" i="6" s="1"/>
  <c r="L196" i="6"/>
  <c r="K196" i="6"/>
  <c r="C196" i="6"/>
  <c r="CY195" i="6"/>
  <c r="CX195" i="6"/>
  <c r="CR195" i="6"/>
  <c r="CP195" i="6"/>
  <c r="BV195" i="6" s="1"/>
  <c r="CO195" i="6"/>
  <c r="CN195" i="6"/>
  <c r="BT195" i="6" s="1"/>
  <c r="CM195" i="6"/>
  <c r="CL195" i="6"/>
  <c r="BR195" i="6" s="1"/>
  <c r="CK195" i="6"/>
  <c r="CJ195" i="6"/>
  <c r="CI195" i="6"/>
  <c r="CH195" i="6"/>
  <c r="CG195" i="6"/>
  <c r="BU195" i="6"/>
  <c r="BS195" i="6"/>
  <c r="BQ195" i="6"/>
  <c r="BP195" i="6"/>
  <c r="BO195" i="6"/>
  <c r="BN195" i="6"/>
  <c r="BM195" i="6"/>
  <c r="BL195" i="6"/>
  <c r="BK195" i="6"/>
  <c r="BJ195" i="6"/>
  <c r="BI195" i="6"/>
  <c r="BH195" i="6"/>
  <c r="BG195" i="6"/>
  <c r="BE195" i="6"/>
  <c r="BD195" i="6"/>
  <c r="BC195" i="6"/>
  <c r="BA195" i="6"/>
  <c r="AV195" i="6"/>
  <c r="BF195" i="6" s="1"/>
  <c r="AR195" i="6"/>
  <c r="AQ195" i="6"/>
  <c r="AP195" i="6"/>
  <c r="AO195" i="6"/>
  <c r="AL195" i="6"/>
  <c r="AK195" i="6"/>
  <c r="Z195" i="6"/>
  <c r="W195" i="6"/>
  <c r="V195" i="6"/>
  <c r="U195" i="6"/>
  <c r="X195" i="6" s="1"/>
  <c r="T195" i="6"/>
  <c r="Y195" i="6" s="1"/>
  <c r="J195" i="6" s="1"/>
  <c r="S195" i="6"/>
  <c r="R195" i="6"/>
  <c r="Q195" i="6"/>
  <c r="P195" i="6"/>
  <c r="O195" i="6"/>
  <c r="N195" i="6"/>
  <c r="L195" i="6"/>
  <c r="M195" i="6" s="1"/>
  <c r="F195" i="6" s="1"/>
  <c r="H195" i="6" s="1"/>
  <c r="K195" i="6"/>
  <c r="C195" i="6"/>
  <c r="CY194" i="6"/>
  <c r="CX194" i="6"/>
  <c r="CR194" i="6"/>
  <c r="CP194" i="6"/>
  <c r="BV194" i="6" s="1"/>
  <c r="CO194" i="6"/>
  <c r="CN194" i="6"/>
  <c r="BT194" i="6" s="1"/>
  <c r="CM194" i="6"/>
  <c r="BS194" i="6" s="1"/>
  <c r="CL194" i="6"/>
  <c r="BR194" i="6" s="1"/>
  <c r="CK194" i="6"/>
  <c r="BQ194" i="6" s="1"/>
  <c r="CJ194" i="6"/>
  <c r="CI194" i="6"/>
  <c r="CH194" i="6"/>
  <c r="CG194" i="6"/>
  <c r="BP194" i="6"/>
  <c r="BO194" i="6"/>
  <c r="BN194" i="6"/>
  <c r="BM194" i="6"/>
  <c r="BL194" i="6"/>
  <c r="BJ194" i="6"/>
  <c r="BI194" i="6"/>
  <c r="BH194" i="6"/>
  <c r="BG194" i="6"/>
  <c r="BF194" i="6"/>
  <c r="BE194" i="6"/>
  <c r="BD194" i="6"/>
  <c r="BC194" i="6"/>
  <c r="AV194" i="6"/>
  <c r="AR194" i="6"/>
  <c r="BA194" i="6" s="1"/>
  <c r="AQ194" i="6"/>
  <c r="AP194" i="6"/>
  <c r="AO194" i="6"/>
  <c r="AL194" i="6"/>
  <c r="AK194" i="6"/>
  <c r="Z194" i="6"/>
  <c r="Y194" i="6"/>
  <c r="J194" i="6" s="1"/>
  <c r="T194" i="6"/>
  <c r="R194" i="6"/>
  <c r="Q194" i="6"/>
  <c r="P194" i="6"/>
  <c r="U194" i="6" s="1"/>
  <c r="X194" i="6" s="1"/>
  <c r="O194" i="6"/>
  <c r="W194" i="6" s="1"/>
  <c r="N194" i="6"/>
  <c r="S194" i="6" s="1"/>
  <c r="V194" i="6" s="1"/>
  <c r="I194" i="6" s="1"/>
  <c r="M194" i="6"/>
  <c r="L194" i="6"/>
  <c r="K194" i="6"/>
  <c r="C194" i="6"/>
  <c r="CY193" i="6"/>
  <c r="CX193" i="6"/>
  <c r="CR193" i="6"/>
  <c r="CP193" i="6"/>
  <c r="BV193" i="6" s="1"/>
  <c r="CO193" i="6"/>
  <c r="CN193" i="6"/>
  <c r="BT193" i="6" s="1"/>
  <c r="CM193" i="6"/>
  <c r="BS193" i="6" s="1"/>
  <c r="CL193" i="6"/>
  <c r="BR193" i="6" s="1"/>
  <c r="CK193" i="6"/>
  <c r="BQ193" i="6" s="1"/>
  <c r="CJ193" i="6"/>
  <c r="CI193" i="6"/>
  <c r="BO193" i="6" s="1"/>
  <c r="CH193" i="6"/>
  <c r="BN193" i="6" s="1"/>
  <c r="CG193" i="6"/>
  <c r="BM193" i="6"/>
  <c r="BL193" i="6"/>
  <c r="BK193" i="6"/>
  <c r="BJ193" i="6"/>
  <c r="BI193" i="6"/>
  <c r="BH193" i="6"/>
  <c r="BG193" i="6"/>
  <c r="BE193" i="6"/>
  <c r="BD193" i="6"/>
  <c r="BC193" i="6"/>
  <c r="AR193" i="6"/>
  <c r="BA193" i="6" s="1"/>
  <c r="BU193" i="6" s="1"/>
  <c r="AQ193" i="6"/>
  <c r="AP193" i="6"/>
  <c r="AO193" i="6"/>
  <c r="AL193" i="6"/>
  <c r="AK193" i="6"/>
  <c r="R193" i="6"/>
  <c r="Z193" i="6" s="1"/>
  <c r="Q193" i="6"/>
  <c r="T193" i="6" s="1"/>
  <c r="Y193" i="6" s="1"/>
  <c r="P193" i="6"/>
  <c r="U193" i="6" s="1"/>
  <c r="X193" i="6" s="1"/>
  <c r="O193" i="6"/>
  <c r="W193" i="6" s="1"/>
  <c r="N193" i="6"/>
  <c r="S193" i="6" s="1"/>
  <c r="V193" i="6" s="1"/>
  <c r="L193" i="6"/>
  <c r="M193" i="6" s="1"/>
  <c r="K193" i="6"/>
  <c r="J193" i="6"/>
  <c r="I193" i="6"/>
  <c r="C193" i="6"/>
  <c r="CY192" i="6"/>
  <c r="CX192" i="6"/>
  <c r="CR192" i="6"/>
  <c r="CP192" i="6"/>
  <c r="CO192" i="6"/>
  <c r="CN192" i="6"/>
  <c r="CM192" i="6"/>
  <c r="CL192" i="6"/>
  <c r="CK192" i="6"/>
  <c r="BQ192" i="6" s="1"/>
  <c r="CJ192" i="6"/>
  <c r="CI192" i="6"/>
  <c r="BO192" i="6" s="1"/>
  <c r="CH192" i="6"/>
  <c r="BN192" i="6" s="1"/>
  <c r="CG192" i="6"/>
  <c r="BM192" i="6" s="1"/>
  <c r="BV192" i="6"/>
  <c r="BU192" i="6"/>
  <c r="BT192" i="6"/>
  <c r="BS192" i="6"/>
  <c r="BR192" i="6"/>
  <c r="BP192" i="6"/>
  <c r="BL192" i="6"/>
  <c r="BJ192" i="6"/>
  <c r="BI192" i="6"/>
  <c r="BH192" i="6"/>
  <c r="BG192" i="6"/>
  <c r="BF192" i="6"/>
  <c r="BE192" i="6"/>
  <c r="BD192" i="6"/>
  <c r="BC192" i="6"/>
  <c r="BA192" i="6"/>
  <c r="BK192" i="6" s="1"/>
  <c r="AV192" i="6"/>
  <c r="AR192" i="6"/>
  <c r="AQ192" i="6"/>
  <c r="AP192" i="6"/>
  <c r="AO192" i="6"/>
  <c r="AL192" i="6"/>
  <c r="AK192" i="6"/>
  <c r="Z192" i="6"/>
  <c r="R192" i="6"/>
  <c r="Q192" i="6"/>
  <c r="T192" i="6" s="1"/>
  <c r="Y192" i="6" s="1"/>
  <c r="J192" i="6" s="1"/>
  <c r="P192" i="6"/>
  <c r="U192" i="6" s="1"/>
  <c r="X192" i="6" s="1"/>
  <c r="O192" i="6"/>
  <c r="W192" i="6" s="1"/>
  <c r="N192" i="6"/>
  <c r="S192" i="6" s="1"/>
  <c r="V192" i="6" s="1"/>
  <c r="I192" i="6" s="1"/>
  <c r="L192" i="6"/>
  <c r="M192" i="6" s="1"/>
  <c r="F192" i="6" s="1"/>
  <c r="H192" i="6" s="1"/>
  <c r="K192" i="6"/>
  <c r="C192" i="6"/>
  <c r="CY191" i="6"/>
  <c r="CX191" i="6"/>
  <c r="CR191" i="6"/>
  <c r="CP191" i="6"/>
  <c r="CO191" i="6"/>
  <c r="CN191" i="6"/>
  <c r="CM191" i="6"/>
  <c r="CL191" i="6"/>
  <c r="CK191" i="6"/>
  <c r="BQ191" i="6" s="1"/>
  <c r="CJ191" i="6"/>
  <c r="CI191" i="6"/>
  <c r="BO191" i="6" s="1"/>
  <c r="CH191" i="6"/>
  <c r="BN191" i="6" s="1"/>
  <c r="CG191" i="6"/>
  <c r="BM191" i="6" s="1"/>
  <c r="BV191" i="6"/>
  <c r="BT191" i="6"/>
  <c r="BS191" i="6"/>
  <c r="BR191" i="6"/>
  <c r="BL191" i="6"/>
  <c r="BJ191" i="6"/>
  <c r="BI191" i="6"/>
  <c r="BH191" i="6"/>
  <c r="BG191" i="6"/>
  <c r="BE191" i="6"/>
  <c r="BD191" i="6"/>
  <c r="BC191" i="6"/>
  <c r="AR191" i="6"/>
  <c r="AQ191" i="6"/>
  <c r="AP191" i="6"/>
  <c r="AO191" i="6"/>
  <c r="AL191" i="6"/>
  <c r="AK191" i="6"/>
  <c r="Y191" i="6"/>
  <c r="J191" i="6" s="1"/>
  <c r="W191" i="6"/>
  <c r="U191" i="6"/>
  <c r="X191" i="6" s="1"/>
  <c r="T191" i="6"/>
  <c r="S191" i="6"/>
  <c r="V191" i="6" s="1"/>
  <c r="I191" i="6" s="1"/>
  <c r="E191" i="6" s="1"/>
  <c r="R191" i="6"/>
  <c r="Z191" i="6" s="1"/>
  <c r="Q191" i="6"/>
  <c r="P191" i="6"/>
  <c r="O191" i="6"/>
  <c r="N191" i="6"/>
  <c r="L191" i="6"/>
  <c r="K191" i="6"/>
  <c r="C191" i="6"/>
  <c r="CY190" i="6"/>
  <c r="CX190" i="6"/>
  <c r="CR190" i="6"/>
  <c r="CP190" i="6"/>
  <c r="CO190" i="6"/>
  <c r="CN190" i="6"/>
  <c r="CM190" i="6"/>
  <c r="CL190" i="6"/>
  <c r="CK190" i="6"/>
  <c r="CJ190" i="6"/>
  <c r="CI190" i="6"/>
  <c r="BO190" i="6" s="1"/>
  <c r="CH190" i="6"/>
  <c r="CG190" i="6"/>
  <c r="BM190" i="6" s="1"/>
  <c r="BV190" i="6"/>
  <c r="BT190" i="6"/>
  <c r="BS190" i="6"/>
  <c r="BR190" i="6"/>
  <c r="BQ190" i="6"/>
  <c r="BP190" i="6"/>
  <c r="BN190" i="6"/>
  <c r="BL190" i="6"/>
  <c r="BK190" i="6"/>
  <c r="BJ190" i="6"/>
  <c r="BI190" i="6"/>
  <c r="BH190" i="6"/>
  <c r="BG190" i="6"/>
  <c r="BF190" i="6"/>
  <c r="BE190" i="6"/>
  <c r="BD190" i="6"/>
  <c r="BC190" i="6"/>
  <c r="AV190" i="6"/>
  <c r="AR190" i="6"/>
  <c r="BA190" i="6" s="1"/>
  <c r="BU190" i="6" s="1"/>
  <c r="AQ190" i="6"/>
  <c r="AP190" i="6"/>
  <c r="AO190" i="6"/>
  <c r="AL190" i="6"/>
  <c r="AK190" i="6"/>
  <c r="T190" i="6"/>
  <c r="Y190" i="6" s="1"/>
  <c r="J190" i="6" s="1"/>
  <c r="S190" i="6"/>
  <c r="V190" i="6" s="1"/>
  <c r="R190" i="6"/>
  <c r="Z190" i="6" s="1"/>
  <c r="Q190" i="6"/>
  <c r="P190" i="6"/>
  <c r="U190" i="6" s="1"/>
  <c r="X190" i="6" s="1"/>
  <c r="O190" i="6"/>
  <c r="W190" i="6" s="1"/>
  <c r="N190" i="6"/>
  <c r="L190" i="6"/>
  <c r="K190" i="6"/>
  <c r="C190" i="6"/>
  <c r="CY189" i="6"/>
  <c r="CX189" i="6"/>
  <c r="CR189" i="6"/>
  <c r="CP189" i="6"/>
  <c r="BV189" i="6" s="1"/>
  <c r="CO189" i="6"/>
  <c r="CN189" i="6"/>
  <c r="BT189" i="6" s="1"/>
  <c r="CM189" i="6"/>
  <c r="BS189" i="6" s="1"/>
  <c r="CL189" i="6"/>
  <c r="BR189" i="6" s="1"/>
  <c r="CK189" i="6"/>
  <c r="CJ189" i="6"/>
  <c r="CI189" i="6"/>
  <c r="CH189" i="6"/>
  <c r="BN189" i="6" s="1"/>
  <c r="CG189" i="6"/>
  <c r="BQ189" i="6"/>
  <c r="BO189" i="6"/>
  <c r="BM189" i="6"/>
  <c r="BL189" i="6"/>
  <c r="BJ189" i="6"/>
  <c r="BI189" i="6"/>
  <c r="BH189" i="6"/>
  <c r="BG189" i="6"/>
  <c r="BF189" i="6"/>
  <c r="BE189" i="6"/>
  <c r="BD189" i="6"/>
  <c r="BC189" i="6"/>
  <c r="BA189" i="6"/>
  <c r="AR189" i="6"/>
  <c r="AV189" i="6" s="1"/>
  <c r="AQ189" i="6"/>
  <c r="AP189" i="6"/>
  <c r="AO189" i="6"/>
  <c r="AL189" i="6"/>
  <c r="AK189" i="6"/>
  <c r="Y189" i="6"/>
  <c r="J189" i="6" s="1"/>
  <c r="T189" i="6"/>
  <c r="R189" i="6"/>
  <c r="Z189" i="6" s="1"/>
  <c r="Q189" i="6"/>
  <c r="P189" i="6"/>
  <c r="U189" i="6" s="1"/>
  <c r="X189" i="6" s="1"/>
  <c r="O189" i="6"/>
  <c r="W189" i="6" s="1"/>
  <c r="N189" i="6"/>
  <c r="S189" i="6" s="1"/>
  <c r="V189" i="6" s="1"/>
  <c r="I189" i="6" s="1"/>
  <c r="E189" i="6" s="1"/>
  <c r="G189" i="6" s="1"/>
  <c r="L189" i="6"/>
  <c r="M189" i="6" s="1"/>
  <c r="K189" i="6"/>
  <c r="C189" i="6"/>
  <c r="CY188" i="6"/>
  <c r="CX188" i="6"/>
  <c r="CR188" i="6"/>
  <c r="CP188" i="6"/>
  <c r="BV188" i="6" s="1"/>
  <c r="CO188" i="6"/>
  <c r="CN188" i="6"/>
  <c r="BT188" i="6" s="1"/>
  <c r="CM188" i="6"/>
  <c r="BS188" i="6" s="1"/>
  <c r="CL188" i="6"/>
  <c r="BR188" i="6" s="1"/>
  <c r="CK188" i="6"/>
  <c r="BQ188" i="6" s="1"/>
  <c r="CJ188" i="6"/>
  <c r="CI188" i="6"/>
  <c r="BO188" i="6" s="1"/>
  <c r="CH188" i="6"/>
  <c r="CG188" i="6"/>
  <c r="BN188" i="6"/>
  <c r="BM188" i="6"/>
  <c r="BL188" i="6"/>
  <c r="BK188" i="6"/>
  <c r="BJ188" i="6"/>
  <c r="BI188" i="6"/>
  <c r="BH188" i="6"/>
  <c r="BG188" i="6"/>
  <c r="BE188" i="6"/>
  <c r="BD188" i="6"/>
  <c r="BC188" i="6"/>
  <c r="BA188" i="6"/>
  <c r="AV188" i="6"/>
  <c r="BP188" i="6" s="1"/>
  <c r="AR188" i="6"/>
  <c r="AQ188" i="6"/>
  <c r="AP188" i="6"/>
  <c r="AO188" i="6"/>
  <c r="AL188" i="6"/>
  <c r="AK188" i="6"/>
  <c r="R188" i="6"/>
  <c r="Z188" i="6" s="1"/>
  <c r="Q188" i="6"/>
  <c r="T188" i="6" s="1"/>
  <c r="Y188" i="6" s="1"/>
  <c r="J188" i="6" s="1"/>
  <c r="P188" i="6"/>
  <c r="U188" i="6" s="1"/>
  <c r="X188" i="6" s="1"/>
  <c r="O188" i="6"/>
  <c r="W188" i="6" s="1"/>
  <c r="N188" i="6"/>
  <c r="S188" i="6" s="1"/>
  <c r="V188" i="6" s="1"/>
  <c r="I188" i="6" s="1"/>
  <c r="L188" i="6"/>
  <c r="M188" i="6" s="1"/>
  <c r="F188" i="6" s="1"/>
  <c r="H188" i="6" s="1"/>
  <c r="K188" i="6"/>
  <c r="C188" i="6"/>
  <c r="CY187" i="6"/>
  <c r="CX187" i="6"/>
  <c r="CR187" i="6"/>
  <c r="CP187" i="6"/>
  <c r="CO187" i="6"/>
  <c r="CN187" i="6"/>
  <c r="BT187" i="6" s="1"/>
  <c r="CM187" i="6"/>
  <c r="BS187" i="6" s="1"/>
  <c r="CL187" i="6"/>
  <c r="BR187" i="6" s="1"/>
  <c r="CK187" i="6"/>
  <c r="BQ187" i="6" s="1"/>
  <c r="CJ187" i="6"/>
  <c r="CI187" i="6"/>
  <c r="CH187" i="6"/>
  <c r="BN187" i="6" s="1"/>
  <c r="CG187" i="6"/>
  <c r="BV187" i="6"/>
  <c r="BO187" i="6"/>
  <c r="BM187" i="6"/>
  <c r="BL187" i="6"/>
  <c r="BK187" i="6"/>
  <c r="BJ187" i="6"/>
  <c r="BI187" i="6"/>
  <c r="BH187" i="6"/>
  <c r="BG187" i="6"/>
  <c r="BE187" i="6"/>
  <c r="BD187" i="6"/>
  <c r="BC187" i="6"/>
  <c r="AR187" i="6"/>
  <c r="BA187" i="6" s="1"/>
  <c r="AQ187" i="6"/>
  <c r="AP187" i="6"/>
  <c r="AO187" i="6"/>
  <c r="AL187" i="6"/>
  <c r="AK187" i="6"/>
  <c r="W187" i="6"/>
  <c r="S187" i="6"/>
  <c r="V187" i="6" s="1"/>
  <c r="R187" i="6"/>
  <c r="Z187" i="6" s="1"/>
  <c r="Q187" i="6"/>
  <c r="T187" i="6" s="1"/>
  <c r="Y187" i="6" s="1"/>
  <c r="J187" i="6" s="1"/>
  <c r="P187" i="6"/>
  <c r="U187" i="6" s="1"/>
  <c r="X187" i="6" s="1"/>
  <c r="O187" i="6"/>
  <c r="N187" i="6"/>
  <c r="L187" i="6"/>
  <c r="K187" i="6"/>
  <c r="C187" i="6"/>
  <c r="CY186" i="6"/>
  <c r="CX186" i="6"/>
  <c r="CR186" i="6"/>
  <c r="CP186" i="6"/>
  <c r="BV186" i="6" s="1"/>
  <c r="CO186" i="6"/>
  <c r="CN186" i="6"/>
  <c r="BT186" i="6" s="1"/>
  <c r="CM186" i="6"/>
  <c r="BS186" i="6" s="1"/>
  <c r="CL186" i="6"/>
  <c r="BR186" i="6" s="1"/>
  <c r="CK186" i="6"/>
  <c r="BQ186" i="6" s="1"/>
  <c r="CJ186" i="6"/>
  <c r="CI186" i="6"/>
  <c r="BO186" i="6" s="1"/>
  <c r="CH186" i="6"/>
  <c r="BN186" i="6" s="1"/>
  <c r="CG186" i="6"/>
  <c r="BM186" i="6" s="1"/>
  <c r="BL186" i="6"/>
  <c r="BJ186" i="6"/>
  <c r="BI186" i="6"/>
  <c r="BH186" i="6"/>
  <c r="BG186" i="6"/>
  <c r="BE186" i="6"/>
  <c r="BD186" i="6"/>
  <c r="BC186" i="6"/>
  <c r="AR186" i="6"/>
  <c r="AV186" i="6" s="1"/>
  <c r="AQ186" i="6"/>
  <c r="AP186" i="6"/>
  <c r="AO186" i="6"/>
  <c r="AL186" i="6"/>
  <c r="AK186" i="6"/>
  <c r="V186" i="6"/>
  <c r="U186" i="6"/>
  <c r="X186" i="6" s="1"/>
  <c r="R186" i="6"/>
  <c r="Z186" i="6" s="1"/>
  <c r="Q186" i="6"/>
  <c r="T186" i="6" s="1"/>
  <c r="Y186" i="6" s="1"/>
  <c r="J186" i="6" s="1"/>
  <c r="P186" i="6"/>
  <c r="O186" i="6"/>
  <c r="W186" i="6" s="1"/>
  <c r="N186" i="6"/>
  <c r="S186" i="6" s="1"/>
  <c r="L186" i="6"/>
  <c r="K186" i="6"/>
  <c r="C186" i="6"/>
  <c r="CY185" i="6"/>
  <c r="CX185" i="6"/>
  <c r="CR185" i="6"/>
  <c r="CP185" i="6"/>
  <c r="BV185" i="6" s="1"/>
  <c r="CO185" i="6"/>
  <c r="CN185" i="6"/>
  <c r="BT185" i="6" s="1"/>
  <c r="CM185" i="6"/>
  <c r="BS185" i="6" s="1"/>
  <c r="CL185" i="6"/>
  <c r="BR185" i="6" s="1"/>
  <c r="CK185" i="6"/>
  <c r="BQ185" i="6" s="1"/>
  <c r="CJ185" i="6"/>
  <c r="CI185" i="6"/>
  <c r="BO185" i="6" s="1"/>
  <c r="CH185" i="6"/>
  <c r="BN185" i="6" s="1"/>
  <c r="CG185" i="6"/>
  <c r="BM185" i="6"/>
  <c r="BL185" i="6"/>
  <c r="BJ185" i="6"/>
  <c r="BI185" i="6"/>
  <c r="BH185" i="6"/>
  <c r="BG185" i="6"/>
  <c r="BE185" i="6"/>
  <c r="BD185" i="6"/>
  <c r="BC185" i="6"/>
  <c r="AR185" i="6"/>
  <c r="BA185" i="6" s="1"/>
  <c r="AQ185" i="6"/>
  <c r="AP185" i="6"/>
  <c r="AO185" i="6"/>
  <c r="AL185" i="6"/>
  <c r="AK185" i="6"/>
  <c r="S185" i="6"/>
  <c r="V185" i="6" s="1"/>
  <c r="R185" i="6"/>
  <c r="Z185" i="6" s="1"/>
  <c r="Q185" i="6"/>
  <c r="T185" i="6" s="1"/>
  <c r="Y185" i="6" s="1"/>
  <c r="P185" i="6"/>
  <c r="U185" i="6" s="1"/>
  <c r="X185" i="6" s="1"/>
  <c r="O185" i="6"/>
  <c r="W185" i="6" s="1"/>
  <c r="N185" i="6"/>
  <c r="L185" i="6"/>
  <c r="K185" i="6"/>
  <c r="C185" i="6"/>
  <c r="CY184" i="6"/>
  <c r="CX184" i="6"/>
  <c r="CR184" i="6"/>
  <c r="CP184" i="6"/>
  <c r="CO184" i="6"/>
  <c r="CN184" i="6"/>
  <c r="CM184" i="6"/>
  <c r="CL184" i="6"/>
  <c r="BR184" i="6" s="1"/>
  <c r="CK184" i="6"/>
  <c r="BQ184" i="6" s="1"/>
  <c r="CJ184" i="6"/>
  <c r="CI184" i="6"/>
  <c r="BO184" i="6" s="1"/>
  <c r="CH184" i="6"/>
  <c r="BN184" i="6" s="1"/>
  <c r="CG184" i="6"/>
  <c r="BM184" i="6" s="1"/>
  <c r="BV184" i="6"/>
  <c r="BU184" i="6"/>
  <c r="BT184" i="6"/>
  <c r="BS184" i="6"/>
  <c r="BL184" i="6"/>
  <c r="BJ184" i="6"/>
  <c r="BI184" i="6"/>
  <c r="BH184" i="6"/>
  <c r="BG184" i="6"/>
  <c r="BF184" i="6"/>
  <c r="BE184" i="6"/>
  <c r="BD184" i="6"/>
  <c r="BC184" i="6"/>
  <c r="BA184" i="6"/>
  <c r="BK184" i="6" s="1"/>
  <c r="AV184" i="6"/>
  <c r="AR184" i="6"/>
  <c r="AQ184" i="6"/>
  <c r="AP184" i="6"/>
  <c r="AO184" i="6"/>
  <c r="AL184" i="6"/>
  <c r="AK184" i="6"/>
  <c r="V184" i="6"/>
  <c r="I184" i="6" s="1"/>
  <c r="R184" i="6"/>
  <c r="Z184" i="6" s="1"/>
  <c r="Q184" i="6"/>
  <c r="T184" i="6" s="1"/>
  <c r="Y184" i="6" s="1"/>
  <c r="J184" i="6" s="1"/>
  <c r="P184" i="6"/>
  <c r="U184" i="6" s="1"/>
  <c r="X184" i="6" s="1"/>
  <c r="O184" i="6"/>
  <c r="W184" i="6" s="1"/>
  <c r="N184" i="6"/>
  <c r="S184" i="6" s="1"/>
  <c r="L184" i="6"/>
  <c r="M184" i="6" s="1"/>
  <c r="F184" i="6" s="1"/>
  <c r="H184" i="6" s="1"/>
  <c r="K184" i="6"/>
  <c r="C184" i="6"/>
  <c r="CY183" i="6"/>
  <c r="CX183" i="6"/>
  <c r="CR183" i="6"/>
  <c r="CP183" i="6"/>
  <c r="CO183" i="6"/>
  <c r="CN183" i="6"/>
  <c r="BT183" i="6" s="1"/>
  <c r="CM183" i="6"/>
  <c r="BS183" i="6" s="1"/>
  <c r="CL183" i="6"/>
  <c r="BR183" i="6" s="1"/>
  <c r="CK183" i="6"/>
  <c r="BQ183" i="6" s="1"/>
  <c r="CJ183" i="6"/>
  <c r="CI183" i="6"/>
  <c r="BO183" i="6" s="1"/>
  <c r="CH183" i="6"/>
  <c r="BN183" i="6" s="1"/>
  <c r="CG183" i="6"/>
  <c r="BM183" i="6" s="1"/>
  <c r="BV183" i="6"/>
  <c r="BL183" i="6"/>
  <c r="BJ183" i="6"/>
  <c r="BI183" i="6"/>
  <c r="BH183" i="6"/>
  <c r="BG183" i="6"/>
  <c r="BE183" i="6"/>
  <c r="BD183" i="6"/>
  <c r="BC183" i="6"/>
  <c r="AR183" i="6"/>
  <c r="AQ183" i="6"/>
  <c r="AP183" i="6"/>
  <c r="AO183" i="6"/>
  <c r="AL183" i="6"/>
  <c r="AK183" i="6"/>
  <c r="U183" i="6"/>
  <c r="X183" i="6" s="1"/>
  <c r="S183" i="6"/>
  <c r="V183" i="6" s="1"/>
  <c r="R183" i="6"/>
  <c r="Z183" i="6" s="1"/>
  <c r="J183" i="6" s="1"/>
  <c r="Q183" i="6"/>
  <c r="T183" i="6" s="1"/>
  <c r="Y183" i="6" s="1"/>
  <c r="P183" i="6"/>
  <c r="O183" i="6"/>
  <c r="W183" i="6" s="1"/>
  <c r="N183" i="6"/>
  <c r="L183" i="6"/>
  <c r="K183" i="6"/>
  <c r="I183" i="6"/>
  <c r="C183" i="6"/>
  <c r="CY182" i="6"/>
  <c r="CX182" i="6"/>
  <c r="CR182" i="6"/>
  <c r="CP182" i="6"/>
  <c r="BV182" i="6" s="1"/>
  <c r="CO182" i="6"/>
  <c r="CN182" i="6"/>
  <c r="BT182" i="6" s="1"/>
  <c r="CM182" i="6"/>
  <c r="CL182" i="6"/>
  <c r="CK182" i="6"/>
  <c r="CJ182" i="6"/>
  <c r="CI182" i="6"/>
  <c r="BO182" i="6" s="1"/>
  <c r="CH182" i="6"/>
  <c r="BN182" i="6" s="1"/>
  <c r="CG182" i="6"/>
  <c r="BM182" i="6" s="1"/>
  <c r="BS182" i="6"/>
  <c r="BR182" i="6"/>
  <c r="BQ182" i="6"/>
  <c r="BL182" i="6"/>
  <c r="BJ182" i="6"/>
  <c r="BI182" i="6"/>
  <c r="BH182" i="6"/>
  <c r="BG182" i="6"/>
  <c r="BE182" i="6"/>
  <c r="BD182" i="6"/>
  <c r="BC182" i="6"/>
  <c r="AR182" i="6"/>
  <c r="BA182" i="6" s="1"/>
  <c r="AQ182" i="6"/>
  <c r="AP182" i="6"/>
  <c r="AO182" i="6"/>
  <c r="AL182" i="6"/>
  <c r="AK182" i="6"/>
  <c r="R182" i="6"/>
  <c r="Z182" i="6" s="1"/>
  <c r="Q182" i="6"/>
  <c r="T182" i="6" s="1"/>
  <c r="Y182" i="6" s="1"/>
  <c r="P182" i="6"/>
  <c r="U182" i="6" s="1"/>
  <c r="X182" i="6" s="1"/>
  <c r="O182" i="6"/>
  <c r="W182" i="6" s="1"/>
  <c r="N182" i="6"/>
  <c r="S182" i="6" s="1"/>
  <c r="V182" i="6" s="1"/>
  <c r="L182" i="6"/>
  <c r="K182" i="6"/>
  <c r="J182" i="6"/>
  <c r="I182" i="6"/>
  <c r="E182" i="6"/>
  <c r="C182" i="6"/>
  <c r="CY181" i="6"/>
  <c r="CX181" i="6"/>
  <c r="CR181" i="6"/>
  <c r="CP181" i="6"/>
  <c r="CO181" i="6"/>
  <c r="CN181" i="6"/>
  <c r="CM181" i="6"/>
  <c r="CL181" i="6"/>
  <c r="CK181" i="6"/>
  <c r="CJ181" i="6"/>
  <c r="CI181" i="6"/>
  <c r="BO181" i="6" s="1"/>
  <c r="CH181" i="6"/>
  <c r="BN181" i="6" s="1"/>
  <c r="CG181" i="6"/>
  <c r="BM181" i="6" s="1"/>
  <c r="BV181" i="6"/>
  <c r="BU181" i="6"/>
  <c r="BT181" i="6"/>
  <c r="BS181" i="6"/>
  <c r="BR181" i="6"/>
  <c r="BQ181" i="6"/>
  <c r="BL181" i="6"/>
  <c r="BJ181" i="6"/>
  <c r="BI181" i="6"/>
  <c r="BH181" i="6"/>
  <c r="BG181" i="6"/>
  <c r="BE181" i="6"/>
  <c r="BD181" i="6"/>
  <c r="BC181" i="6"/>
  <c r="AR181" i="6"/>
  <c r="BA181" i="6" s="1"/>
  <c r="BK181" i="6" s="1"/>
  <c r="AQ181" i="6"/>
  <c r="AP181" i="6"/>
  <c r="AO181" i="6"/>
  <c r="AL181" i="6"/>
  <c r="AK181" i="6"/>
  <c r="Z181" i="6"/>
  <c r="R181" i="6"/>
  <c r="Q181" i="6"/>
  <c r="T181" i="6" s="1"/>
  <c r="Y181" i="6" s="1"/>
  <c r="J181" i="6" s="1"/>
  <c r="P181" i="6"/>
  <c r="U181" i="6" s="1"/>
  <c r="X181" i="6" s="1"/>
  <c r="O181" i="6"/>
  <c r="W181" i="6" s="1"/>
  <c r="N181" i="6"/>
  <c r="S181" i="6" s="1"/>
  <c r="V181" i="6" s="1"/>
  <c r="I181" i="6" s="1"/>
  <c r="M181" i="6"/>
  <c r="F181" i="6" s="1"/>
  <c r="H181" i="6" s="1"/>
  <c r="L181" i="6"/>
  <c r="K181" i="6"/>
  <c r="E181" i="6"/>
  <c r="C181" i="6"/>
  <c r="CY180" i="6"/>
  <c r="CX180" i="6"/>
  <c r="CR180" i="6"/>
  <c r="CP180" i="6"/>
  <c r="CO180" i="6"/>
  <c r="CN180" i="6"/>
  <c r="BT180" i="6" s="1"/>
  <c r="CM180" i="6"/>
  <c r="CL180" i="6"/>
  <c r="BR180" i="6" s="1"/>
  <c r="CK180" i="6"/>
  <c r="BQ180" i="6" s="1"/>
  <c r="CJ180" i="6"/>
  <c r="CI180" i="6"/>
  <c r="CH180" i="6"/>
  <c r="BN180" i="6" s="1"/>
  <c r="CG180" i="6"/>
  <c r="BM180" i="6" s="1"/>
  <c r="BV180" i="6"/>
  <c r="BS180" i="6"/>
  <c r="BO180" i="6"/>
  <c r="BL180" i="6"/>
  <c r="BJ180" i="6"/>
  <c r="BI180" i="6"/>
  <c r="BH180" i="6"/>
  <c r="BG180" i="6"/>
  <c r="BE180" i="6"/>
  <c r="BD180" i="6"/>
  <c r="BC180" i="6"/>
  <c r="AR180" i="6"/>
  <c r="BA180" i="6" s="1"/>
  <c r="AQ180" i="6"/>
  <c r="AP180" i="6"/>
  <c r="AO180" i="6"/>
  <c r="AL180" i="6"/>
  <c r="AK180" i="6"/>
  <c r="R180" i="6"/>
  <c r="Z180" i="6" s="1"/>
  <c r="Q180" i="6"/>
  <c r="T180" i="6" s="1"/>
  <c r="Y180" i="6" s="1"/>
  <c r="P180" i="6"/>
  <c r="U180" i="6" s="1"/>
  <c r="X180" i="6" s="1"/>
  <c r="O180" i="6"/>
  <c r="W180" i="6" s="1"/>
  <c r="N180" i="6"/>
  <c r="S180" i="6" s="1"/>
  <c r="V180" i="6" s="1"/>
  <c r="L180" i="6"/>
  <c r="K180" i="6"/>
  <c r="J180" i="6"/>
  <c r="I180" i="6"/>
  <c r="E180" i="6"/>
  <c r="C180" i="6"/>
  <c r="CY179" i="6"/>
  <c r="CX179" i="6"/>
  <c r="CR179" i="6"/>
  <c r="CP179" i="6"/>
  <c r="CO179" i="6"/>
  <c r="CN179" i="6"/>
  <c r="CM179" i="6"/>
  <c r="CL179" i="6"/>
  <c r="CK179" i="6"/>
  <c r="BQ179" i="6" s="1"/>
  <c r="CJ179" i="6"/>
  <c r="CI179" i="6"/>
  <c r="CH179" i="6"/>
  <c r="BN179" i="6" s="1"/>
  <c r="CG179" i="6"/>
  <c r="BM179" i="6" s="1"/>
  <c r="BV179" i="6"/>
  <c r="BT179" i="6"/>
  <c r="BS179" i="6"/>
  <c r="BR179" i="6"/>
  <c r="BO179" i="6"/>
  <c r="BL179" i="6"/>
  <c r="BJ179" i="6"/>
  <c r="BI179" i="6"/>
  <c r="BH179" i="6"/>
  <c r="BG179" i="6"/>
  <c r="BE179" i="6"/>
  <c r="BD179" i="6"/>
  <c r="BC179" i="6"/>
  <c r="BA179" i="6"/>
  <c r="AV179" i="6"/>
  <c r="AR179" i="6"/>
  <c r="AQ179" i="6"/>
  <c r="AP179" i="6"/>
  <c r="AO179" i="6"/>
  <c r="AL179" i="6"/>
  <c r="AK179" i="6"/>
  <c r="Z179" i="6"/>
  <c r="R179" i="6"/>
  <c r="Q179" i="6"/>
  <c r="T179" i="6" s="1"/>
  <c r="Y179" i="6" s="1"/>
  <c r="J179" i="6" s="1"/>
  <c r="P179" i="6"/>
  <c r="U179" i="6" s="1"/>
  <c r="X179" i="6" s="1"/>
  <c r="O179" i="6"/>
  <c r="W179" i="6" s="1"/>
  <c r="N179" i="6"/>
  <c r="S179" i="6" s="1"/>
  <c r="V179" i="6" s="1"/>
  <c r="L179" i="6"/>
  <c r="K179" i="6"/>
  <c r="C179" i="6"/>
  <c r="CY178" i="6"/>
  <c r="CX178" i="6"/>
  <c r="CR178" i="6"/>
  <c r="CP178" i="6"/>
  <c r="CO178" i="6"/>
  <c r="CN178" i="6"/>
  <c r="CM178" i="6"/>
  <c r="BS178" i="6" s="1"/>
  <c r="CL178" i="6"/>
  <c r="BR178" i="6" s="1"/>
  <c r="CK178" i="6"/>
  <c r="CJ178" i="6"/>
  <c r="CI178" i="6"/>
  <c r="CH178" i="6"/>
  <c r="CG178" i="6"/>
  <c r="BV178" i="6"/>
  <c r="BT178" i="6"/>
  <c r="BQ178" i="6"/>
  <c r="BO178" i="6"/>
  <c r="BN178" i="6"/>
  <c r="BM178" i="6"/>
  <c r="BL178" i="6"/>
  <c r="BJ178" i="6"/>
  <c r="BI178" i="6"/>
  <c r="BH178" i="6"/>
  <c r="BG178" i="6"/>
  <c r="BF178" i="6"/>
  <c r="BE178" i="6"/>
  <c r="BD178" i="6"/>
  <c r="BC178" i="6"/>
  <c r="BA178" i="6"/>
  <c r="AR178" i="6"/>
  <c r="AV178" i="6" s="1"/>
  <c r="BP178" i="6" s="1"/>
  <c r="AQ178" i="6"/>
  <c r="AP178" i="6"/>
  <c r="AO178" i="6"/>
  <c r="AL178" i="6"/>
  <c r="AK178" i="6"/>
  <c r="Z178" i="6"/>
  <c r="W178" i="6"/>
  <c r="R178" i="6"/>
  <c r="Q178" i="6"/>
  <c r="T178" i="6" s="1"/>
  <c r="Y178" i="6" s="1"/>
  <c r="P178" i="6"/>
  <c r="U178" i="6" s="1"/>
  <c r="X178" i="6" s="1"/>
  <c r="O178" i="6"/>
  <c r="N178" i="6"/>
  <c r="S178" i="6" s="1"/>
  <c r="V178" i="6" s="1"/>
  <c r="L178" i="6"/>
  <c r="M178" i="6" s="1"/>
  <c r="F178" i="6" s="1"/>
  <c r="H178" i="6" s="1"/>
  <c r="K178" i="6"/>
  <c r="J178" i="6"/>
  <c r="I178" i="6"/>
  <c r="C178" i="6"/>
  <c r="CY177" i="6"/>
  <c r="CX177" i="6"/>
  <c r="CR177" i="6"/>
  <c r="CP177" i="6"/>
  <c r="CO177" i="6"/>
  <c r="CN177" i="6"/>
  <c r="CM177" i="6"/>
  <c r="CL177" i="6"/>
  <c r="BR177" i="6" s="1"/>
  <c r="CK177" i="6"/>
  <c r="BQ177" i="6" s="1"/>
  <c r="CJ177" i="6"/>
  <c r="CI177" i="6"/>
  <c r="BO177" i="6" s="1"/>
  <c r="CH177" i="6"/>
  <c r="BN177" i="6" s="1"/>
  <c r="CG177" i="6"/>
  <c r="BM177" i="6" s="1"/>
  <c r="BV177" i="6"/>
  <c r="BU177" i="6"/>
  <c r="BT177" i="6"/>
  <c r="BS177" i="6"/>
  <c r="BL177" i="6"/>
  <c r="BJ177" i="6"/>
  <c r="BI177" i="6"/>
  <c r="BH177" i="6"/>
  <c r="BG177" i="6"/>
  <c r="BE177" i="6"/>
  <c r="BD177" i="6"/>
  <c r="BC177" i="6"/>
  <c r="BA177" i="6"/>
  <c r="BK177" i="6" s="1"/>
  <c r="AR177" i="6"/>
  <c r="AV177" i="6" s="1"/>
  <c r="BP177" i="6" s="1"/>
  <c r="AQ177" i="6"/>
  <c r="AP177" i="6"/>
  <c r="AO177" i="6"/>
  <c r="AL177" i="6"/>
  <c r="AK177" i="6"/>
  <c r="Z177" i="6"/>
  <c r="R177" i="6"/>
  <c r="Q177" i="6"/>
  <c r="T177" i="6" s="1"/>
  <c r="Y177" i="6" s="1"/>
  <c r="P177" i="6"/>
  <c r="U177" i="6" s="1"/>
  <c r="X177" i="6" s="1"/>
  <c r="O177" i="6"/>
  <c r="W177" i="6" s="1"/>
  <c r="N177" i="6"/>
  <c r="S177" i="6" s="1"/>
  <c r="V177" i="6" s="1"/>
  <c r="I177" i="6" s="1"/>
  <c r="L177" i="6"/>
  <c r="M177" i="6" s="1"/>
  <c r="F177" i="6" s="1"/>
  <c r="H177" i="6" s="1"/>
  <c r="K177" i="6"/>
  <c r="J177" i="6"/>
  <c r="C177" i="6"/>
  <c r="CY176" i="6"/>
  <c r="CX176" i="6"/>
  <c r="CR176" i="6"/>
  <c r="CP176" i="6"/>
  <c r="CO176" i="6"/>
  <c r="CN176" i="6"/>
  <c r="CM176" i="6"/>
  <c r="CL176" i="6"/>
  <c r="CK176" i="6"/>
  <c r="BQ176" i="6" s="1"/>
  <c r="CJ176" i="6"/>
  <c r="CI176" i="6"/>
  <c r="CH176" i="6"/>
  <c r="BN176" i="6" s="1"/>
  <c r="CG176" i="6"/>
  <c r="BM176" i="6" s="1"/>
  <c r="BV176" i="6"/>
  <c r="BT176" i="6"/>
  <c r="BS176" i="6"/>
  <c r="BR176" i="6"/>
  <c r="BO176" i="6"/>
  <c r="BL176" i="6"/>
  <c r="BJ176" i="6"/>
  <c r="BI176" i="6"/>
  <c r="BH176" i="6"/>
  <c r="BG176" i="6"/>
  <c r="BE176" i="6"/>
  <c r="BD176" i="6"/>
  <c r="BC176" i="6"/>
  <c r="AV176" i="6"/>
  <c r="AR176" i="6"/>
  <c r="BA176" i="6" s="1"/>
  <c r="AQ176" i="6"/>
  <c r="AP176" i="6"/>
  <c r="AO176" i="6"/>
  <c r="AL176" i="6"/>
  <c r="AK176" i="6"/>
  <c r="Z176" i="6"/>
  <c r="J176" i="6" s="1"/>
  <c r="Y176" i="6"/>
  <c r="X176" i="6"/>
  <c r="W176" i="6"/>
  <c r="U176" i="6"/>
  <c r="R176" i="6"/>
  <c r="Q176" i="6"/>
  <c r="T176" i="6" s="1"/>
  <c r="P176" i="6"/>
  <c r="O176" i="6"/>
  <c r="N176" i="6"/>
  <c r="S176" i="6" s="1"/>
  <c r="V176" i="6" s="1"/>
  <c r="L176" i="6"/>
  <c r="K176" i="6"/>
  <c r="I176" i="6"/>
  <c r="E176" i="6" s="1"/>
  <c r="G176" i="6" s="1"/>
  <c r="C176" i="6"/>
  <c r="CY175" i="6"/>
  <c r="CX175" i="6"/>
  <c r="CW175" i="6"/>
  <c r="CR175" i="6"/>
  <c r="CP175" i="6"/>
  <c r="CO175" i="6"/>
  <c r="CN175" i="6"/>
  <c r="CM175" i="6"/>
  <c r="CL175" i="6"/>
  <c r="CK175" i="6"/>
  <c r="CJ175" i="6"/>
  <c r="CI175" i="6"/>
  <c r="CH175" i="6"/>
  <c r="CG175" i="6"/>
  <c r="BV175" i="6"/>
  <c r="BU175" i="6"/>
  <c r="BT175" i="6"/>
  <c r="BS175" i="6"/>
  <c r="BR175" i="6"/>
  <c r="BQ175" i="6"/>
  <c r="BO175" i="6"/>
  <c r="BN175" i="6"/>
  <c r="BM175" i="6"/>
  <c r="BL175" i="6"/>
  <c r="BK175" i="6"/>
  <c r="BJ175" i="6"/>
  <c r="BI175" i="6"/>
  <c r="BH175" i="6"/>
  <c r="BG175" i="6"/>
  <c r="BE175" i="6"/>
  <c r="BD175" i="6"/>
  <c r="BC175" i="6"/>
  <c r="AR175" i="6"/>
  <c r="BA175" i="6" s="1"/>
  <c r="M175" i="6" s="1"/>
  <c r="AQ175" i="6"/>
  <c r="AP175" i="6"/>
  <c r="AO175" i="6"/>
  <c r="AL175" i="6"/>
  <c r="AK175" i="6"/>
  <c r="Z175" i="6"/>
  <c r="X175" i="6"/>
  <c r="W175" i="6"/>
  <c r="V175" i="6"/>
  <c r="U175" i="6"/>
  <c r="T175" i="6"/>
  <c r="Y175" i="6" s="1"/>
  <c r="J175" i="6" s="1"/>
  <c r="F175" i="6" s="1"/>
  <c r="H175" i="6" s="1"/>
  <c r="R175" i="6"/>
  <c r="Q175" i="6"/>
  <c r="P175" i="6"/>
  <c r="O175" i="6"/>
  <c r="N175" i="6"/>
  <c r="S175" i="6" s="1"/>
  <c r="L175" i="6"/>
  <c r="K175" i="6"/>
  <c r="C175" i="6"/>
  <c r="CY174" i="6"/>
  <c r="CX174" i="6"/>
  <c r="CR174" i="6"/>
  <c r="CP174" i="6"/>
  <c r="BV174" i="6" s="1"/>
  <c r="CO174" i="6"/>
  <c r="CN174" i="6"/>
  <c r="CM174" i="6"/>
  <c r="CL174" i="6"/>
  <c r="CK174" i="6"/>
  <c r="CJ174" i="6"/>
  <c r="CI174" i="6"/>
  <c r="CH174" i="6"/>
  <c r="CG174" i="6"/>
  <c r="BT174" i="6"/>
  <c r="BS174" i="6"/>
  <c r="BR174" i="6"/>
  <c r="BQ174" i="6"/>
  <c r="BP174" i="6"/>
  <c r="BO174" i="6"/>
  <c r="BN174" i="6"/>
  <c r="BM174" i="6"/>
  <c r="BL174" i="6"/>
  <c r="BK174" i="6"/>
  <c r="BJ174" i="6"/>
  <c r="BI174" i="6"/>
  <c r="BH174" i="6"/>
  <c r="BG174" i="6"/>
  <c r="BE174" i="6"/>
  <c r="BD174" i="6"/>
  <c r="BC174" i="6"/>
  <c r="BA174" i="6"/>
  <c r="AR174" i="6"/>
  <c r="AV174" i="6" s="1"/>
  <c r="BF174" i="6" s="1"/>
  <c r="AQ174" i="6"/>
  <c r="AP174" i="6"/>
  <c r="AO174" i="6"/>
  <c r="AL174" i="6"/>
  <c r="AK174" i="6"/>
  <c r="Z174" i="6"/>
  <c r="W174" i="6"/>
  <c r="V174" i="6"/>
  <c r="U174" i="6"/>
  <c r="X174" i="6" s="1"/>
  <c r="T174" i="6"/>
  <c r="Y174" i="6" s="1"/>
  <c r="J174" i="6" s="1"/>
  <c r="S174" i="6"/>
  <c r="R174" i="6"/>
  <c r="Q174" i="6"/>
  <c r="P174" i="6"/>
  <c r="O174" i="6"/>
  <c r="N174" i="6"/>
  <c r="M174" i="6"/>
  <c r="L174" i="6"/>
  <c r="K174" i="6"/>
  <c r="C174" i="6"/>
  <c r="CY173" i="6"/>
  <c r="CX173" i="6"/>
  <c r="CR173" i="6"/>
  <c r="CP173" i="6"/>
  <c r="BV173" i="6" s="1"/>
  <c r="CO173" i="6"/>
  <c r="CN173" i="6"/>
  <c r="BT173" i="6" s="1"/>
  <c r="CM173" i="6"/>
  <c r="CL173" i="6"/>
  <c r="CK173" i="6"/>
  <c r="CJ173" i="6"/>
  <c r="CI173" i="6"/>
  <c r="CH173" i="6"/>
  <c r="CG173" i="6"/>
  <c r="BS173" i="6"/>
  <c r="BR173" i="6"/>
  <c r="BQ173" i="6"/>
  <c r="BO173" i="6"/>
  <c r="BN173" i="6"/>
  <c r="BM173" i="6"/>
  <c r="BL173" i="6"/>
  <c r="BJ173" i="6"/>
  <c r="BI173" i="6"/>
  <c r="BH173" i="6"/>
  <c r="BG173" i="6"/>
  <c r="BE173" i="6"/>
  <c r="BD173" i="6"/>
  <c r="BC173" i="6"/>
  <c r="BA173" i="6"/>
  <c r="AV173" i="6"/>
  <c r="BF173" i="6" s="1"/>
  <c r="AR173" i="6"/>
  <c r="AQ173" i="6"/>
  <c r="AP173" i="6"/>
  <c r="AO173" i="6"/>
  <c r="AL173" i="6"/>
  <c r="AK173" i="6"/>
  <c r="Y173" i="6"/>
  <c r="J173" i="6" s="1"/>
  <c r="X173" i="6"/>
  <c r="W173" i="6"/>
  <c r="V173" i="6"/>
  <c r="I173" i="6" s="1"/>
  <c r="U173" i="6"/>
  <c r="T173" i="6"/>
  <c r="S173" i="6"/>
  <c r="R173" i="6"/>
  <c r="Z173" i="6" s="1"/>
  <c r="Q173" i="6"/>
  <c r="P173" i="6"/>
  <c r="O173" i="6"/>
  <c r="N173" i="6"/>
  <c r="L173" i="6"/>
  <c r="K173" i="6"/>
  <c r="C173" i="6"/>
  <c r="CY172" i="6"/>
  <c r="CX172" i="6"/>
  <c r="CR172" i="6"/>
  <c r="CP172" i="6"/>
  <c r="BV172" i="6" s="1"/>
  <c r="CO172" i="6"/>
  <c r="CN172" i="6"/>
  <c r="BT172" i="6" s="1"/>
  <c r="CM172" i="6"/>
  <c r="BS172" i="6" s="1"/>
  <c r="CL172" i="6"/>
  <c r="CK172" i="6"/>
  <c r="CJ172" i="6"/>
  <c r="CI172" i="6"/>
  <c r="CH172" i="6"/>
  <c r="CG172" i="6"/>
  <c r="BM172" i="6" s="1"/>
  <c r="BR172" i="6"/>
  <c r="BQ172" i="6"/>
  <c r="BO172" i="6"/>
  <c r="BN172" i="6"/>
  <c r="BL172" i="6"/>
  <c r="BJ172" i="6"/>
  <c r="BI172" i="6"/>
  <c r="BH172" i="6"/>
  <c r="BG172" i="6"/>
  <c r="BE172" i="6"/>
  <c r="BD172" i="6"/>
  <c r="BC172" i="6"/>
  <c r="AR172" i="6"/>
  <c r="AQ172" i="6"/>
  <c r="AP172" i="6"/>
  <c r="AO172" i="6"/>
  <c r="AL172" i="6"/>
  <c r="AK172" i="6"/>
  <c r="W172" i="6"/>
  <c r="U172" i="6"/>
  <c r="X172" i="6" s="1"/>
  <c r="S172" i="6"/>
  <c r="V172" i="6" s="1"/>
  <c r="I172" i="6" s="1"/>
  <c r="E172" i="6" s="1"/>
  <c r="R172" i="6"/>
  <c r="Z172" i="6" s="1"/>
  <c r="Q172" i="6"/>
  <c r="T172" i="6" s="1"/>
  <c r="Y172" i="6" s="1"/>
  <c r="P172" i="6"/>
  <c r="O172" i="6"/>
  <c r="N172" i="6"/>
  <c r="L172" i="6"/>
  <c r="K172" i="6"/>
  <c r="C172" i="6"/>
  <c r="CY171" i="6"/>
  <c r="CX171" i="6"/>
  <c r="CR171" i="6"/>
  <c r="CP171" i="6"/>
  <c r="CO171" i="6"/>
  <c r="CN171" i="6"/>
  <c r="BT171" i="6" s="1"/>
  <c r="CM171" i="6"/>
  <c r="CL171" i="6"/>
  <c r="CK171" i="6"/>
  <c r="CJ171" i="6"/>
  <c r="CI171" i="6"/>
  <c r="CH171" i="6"/>
  <c r="CG171" i="6"/>
  <c r="BV171" i="6"/>
  <c r="BS171" i="6"/>
  <c r="BR171" i="6"/>
  <c r="BQ171" i="6"/>
  <c r="BO171" i="6"/>
  <c r="BN171" i="6"/>
  <c r="BM171" i="6"/>
  <c r="BL171" i="6"/>
  <c r="BJ171" i="6"/>
  <c r="BI171" i="6"/>
  <c r="BH171" i="6"/>
  <c r="BG171" i="6"/>
  <c r="BE171" i="6"/>
  <c r="BD171" i="6"/>
  <c r="BC171" i="6"/>
  <c r="AR171" i="6"/>
  <c r="AQ171" i="6"/>
  <c r="AP171" i="6"/>
  <c r="AO171" i="6"/>
  <c r="AL171" i="6"/>
  <c r="AK171" i="6"/>
  <c r="Z171" i="6"/>
  <c r="X171" i="6"/>
  <c r="W171" i="6"/>
  <c r="V171" i="6"/>
  <c r="U171" i="6"/>
  <c r="T171" i="6"/>
  <c r="Y171" i="6" s="1"/>
  <c r="J171" i="6" s="1"/>
  <c r="S171" i="6"/>
  <c r="R171" i="6"/>
  <c r="Q171" i="6"/>
  <c r="P171" i="6"/>
  <c r="O171" i="6"/>
  <c r="N171" i="6"/>
  <c r="L171" i="6"/>
  <c r="K171" i="6"/>
  <c r="I171" i="6"/>
  <c r="E171" i="6" s="1"/>
  <c r="C171" i="6"/>
  <c r="CY170" i="6"/>
  <c r="CX170" i="6"/>
  <c r="CW170" i="6"/>
  <c r="CR170" i="6"/>
  <c r="CP170" i="6"/>
  <c r="BV170" i="6" s="1"/>
  <c r="CO170" i="6"/>
  <c r="BU170" i="6" s="1"/>
  <c r="CN170" i="6"/>
  <c r="BT170" i="6" s="1"/>
  <c r="CM170" i="6"/>
  <c r="BS170" i="6" s="1"/>
  <c r="CL170" i="6"/>
  <c r="CK170" i="6"/>
  <c r="CJ170" i="6"/>
  <c r="CI170" i="6"/>
  <c r="CH170" i="6"/>
  <c r="CG170" i="6"/>
  <c r="BR170" i="6"/>
  <c r="BQ170" i="6"/>
  <c r="BP170" i="6"/>
  <c r="BO170" i="6"/>
  <c r="BN170" i="6"/>
  <c r="BM170" i="6"/>
  <c r="BL170" i="6"/>
  <c r="BK170" i="6"/>
  <c r="BJ170" i="6"/>
  <c r="BI170" i="6"/>
  <c r="BH170" i="6"/>
  <c r="BG170" i="6"/>
  <c r="BF170" i="6"/>
  <c r="BE170" i="6"/>
  <c r="BD170" i="6"/>
  <c r="BC170" i="6"/>
  <c r="AV170" i="6"/>
  <c r="AR170" i="6"/>
  <c r="BA170" i="6" s="1"/>
  <c r="M170" i="6" s="1"/>
  <c r="AQ170" i="6"/>
  <c r="AP170" i="6"/>
  <c r="AO170" i="6"/>
  <c r="AL170" i="6"/>
  <c r="AK170" i="6"/>
  <c r="Z170" i="6"/>
  <c r="Y170" i="6"/>
  <c r="J170" i="6" s="1"/>
  <c r="X170" i="6"/>
  <c r="W170" i="6"/>
  <c r="V170" i="6"/>
  <c r="U170" i="6"/>
  <c r="T170" i="6"/>
  <c r="S170" i="6"/>
  <c r="R170" i="6"/>
  <c r="Q170" i="6"/>
  <c r="P170" i="6"/>
  <c r="O170" i="6"/>
  <c r="N170" i="6"/>
  <c r="L170" i="6"/>
  <c r="K170" i="6"/>
  <c r="C170" i="6"/>
  <c r="CY169" i="6"/>
  <c r="CX169" i="6"/>
  <c r="CR169" i="6"/>
  <c r="CP169" i="6"/>
  <c r="BV169" i="6" s="1"/>
  <c r="CO169" i="6"/>
  <c r="CN169" i="6"/>
  <c r="BT169" i="6" s="1"/>
  <c r="CM169" i="6"/>
  <c r="BS169" i="6" s="1"/>
  <c r="CL169" i="6"/>
  <c r="BR169" i="6" s="1"/>
  <c r="CK169" i="6"/>
  <c r="BQ169" i="6" s="1"/>
  <c r="CJ169" i="6"/>
  <c r="CI169" i="6"/>
  <c r="CH169" i="6"/>
  <c r="CG169" i="6"/>
  <c r="BO169" i="6"/>
  <c r="BN169" i="6"/>
  <c r="BM169" i="6"/>
  <c r="BL169" i="6"/>
  <c r="BJ169" i="6"/>
  <c r="BI169" i="6"/>
  <c r="BH169" i="6"/>
  <c r="BG169" i="6"/>
  <c r="BE169" i="6"/>
  <c r="BD169" i="6"/>
  <c r="BC169" i="6"/>
  <c r="AR169" i="6"/>
  <c r="BA169" i="6" s="1"/>
  <c r="AQ169" i="6"/>
  <c r="AP169" i="6"/>
  <c r="AO169" i="6"/>
  <c r="AL169" i="6"/>
  <c r="AK169" i="6"/>
  <c r="W169" i="6"/>
  <c r="T169" i="6"/>
  <c r="Y169" i="6" s="1"/>
  <c r="S169" i="6"/>
  <c r="V169" i="6" s="1"/>
  <c r="R169" i="6"/>
  <c r="Z169" i="6" s="1"/>
  <c r="Q169" i="6"/>
  <c r="P169" i="6"/>
  <c r="U169" i="6" s="1"/>
  <c r="X169" i="6" s="1"/>
  <c r="O169" i="6"/>
  <c r="N169" i="6"/>
  <c r="L169" i="6"/>
  <c r="K169" i="6"/>
  <c r="C169" i="6"/>
  <c r="CY168" i="6"/>
  <c r="CX168" i="6"/>
  <c r="CR168" i="6"/>
  <c r="CP168" i="6"/>
  <c r="BV168" i="6" s="1"/>
  <c r="CO168" i="6"/>
  <c r="CN168" i="6"/>
  <c r="BT168" i="6" s="1"/>
  <c r="CM168" i="6"/>
  <c r="CL168" i="6"/>
  <c r="CK168" i="6"/>
  <c r="BQ168" i="6" s="1"/>
  <c r="CJ168" i="6"/>
  <c r="BP168" i="6" s="1"/>
  <c r="CI168" i="6"/>
  <c r="BO168" i="6" s="1"/>
  <c r="CH168" i="6"/>
  <c r="CG168" i="6"/>
  <c r="BS168" i="6"/>
  <c r="BR168" i="6"/>
  <c r="BN168" i="6"/>
  <c r="BM168" i="6"/>
  <c r="BL168" i="6"/>
  <c r="BJ168" i="6"/>
  <c r="BI168" i="6"/>
  <c r="BH168" i="6"/>
  <c r="BG168" i="6"/>
  <c r="BF168" i="6"/>
  <c r="BE168" i="6"/>
  <c r="BD168" i="6"/>
  <c r="BC168" i="6"/>
  <c r="AV168" i="6"/>
  <c r="AR168" i="6"/>
  <c r="BA168" i="6" s="1"/>
  <c r="AQ168" i="6"/>
  <c r="AP168" i="6"/>
  <c r="AO168" i="6"/>
  <c r="AL168" i="6"/>
  <c r="AK168" i="6"/>
  <c r="Z168" i="6"/>
  <c r="W168" i="6"/>
  <c r="V168" i="6"/>
  <c r="I168" i="6" s="1"/>
  <c r="E168" i="6" s="1"/>
  <c r="G168" i="6" s="1"/>
  <c r="U168" i="6"/>
  <c r="X168" i="6" s="1"/>
  <c r="S168" i="6"/>
  <c r="R168" i="6"/>
  <c r="Q168" i="6"/>
  <c r="T168" i="6" s="1"/>
  <c r="Y168" i="6" s="1"/>
  <c r="P168" i="6"/>
  <c r="O168" i="6"/>
  <c r="N168" i="6"/>
  <c r="L168" i="6"/>
  <c r="K168" i="6"/>
  <c r="C168" i="6"/>
  <c r="CY167" i="6"/>
  <c r="CX167" i="6"/>
  <c r="CW167" i="6"/>
  <c r="CR167" i="6"/>
  <c r="CP167" i="6"/>
  <c r="BV167" i="6" s="1"/>
  <c r="CO167" i="6"/>
  <c r="CN167" i="6"/>
  <c r="BT167" i="6" s="1"/>
  <c r="CM167" i="6"/>
  <c r="BS167" i="6" s="1"/>
  <c r="CL167" i="6"/>
  <c r="BR167" i="6" s="1"/>
  <c r="CK167" i="6"/>
  <c r="BQ167" i="6" s="1"/>
  <c r="CJ167" i="6"/>
  <c r="CI167" i="6"/>
  <c r="CH167" i="6"/>
  <c r="BN167" i="6" s="1"/>
  <c r="CG167" i="6"/>
  <c r="BO167" i="6"/>
  <c r="BM167" i="6"/>
  <c r="BL167" i="6"/>
  <c r="BK167" i="6"/>
  <c r="BJ167" i="6"/>
  <c r="BI167" i="6"/>
  <c r="BH167" i="6"/>
  <c r="BG167" i="6"/>
  <c r="BF167" i="6"/>
  <c r="BE167" i="6"/>
  <c r="BD167" i="6"/>
  <c r="BC167" i="6"/>
  <c r="BA167" i="6"/>
  <c r="AR167" i="6"/>
  <c r="AV167" i="6" s="1"/>
  <c r="AQ167" i="6"/>
  <c r="AP167" i="6"/>
  <c r="AO167" i="6"/>
  <c r="AL167" i="6"/>
  <c r="AK167" i="6"/>
  <c r="R167" i="6"/>
  <c r="Z167" i="6" s="1"/>
  <c r="Q167" i="6"/>
  <c r="T167" i="6" s="1"/>
  <c r="Y167" i="6" s="1"/>
  <c r="J167" i="6" s="1"/>
  <c r="P167" i="6"/>
  <c r="U167" i="6" s="1"/>
  <c r="X167" i="6" s="1"/>
  <c r="O167" i="6"/>
  <c r="W167" i="6" s="1"/>
  <c r="N167" i="6"/>
  <c r="S167" i="6" s="1"/>
  <c r="V167" i="6" s="1"/>
  <c r="I167" i="6" s="1"/>
  <c r="L167" i="6"/>
  <c r="M167" i="6" s="1"/>
  <c r="F167" i="6" s="1"/>
  <c r="H167" i="6" s="1"/>
  <c r="K167" i="6"/>
  <c r="E167" i="6"/>
  <c r="G167" i="6" s="1"/>
  <c r="C167" i="6"/>
  <c r="CY166" i="6"/>
  <c r="CX166" i="6"/>
  <c r="CR166" i="6"/>
  <c r="CP166" i="6"/>
  <c r="BV166" i="6" s="1"/>
  <c r="CO166" i="6"/>
  <c r="CN166" i="6"/>
  <c r="BT166" i="6" s="1"/>
  <c r="CM166" i="6"/>
  <c r="CL166" i="6"/>
  <c r="BR166" i="6" s="1"/>
  <c r="CK166" i="6"/>
  <c r="CJ166" i="6"/>
  <c r="CI166" i="6"/>
  <c r="CH166" i="6"/>
  <c r="CG166" i="6"/>
  <c r="BS166" i="6"/>
  <c r="BQ166" i="6"/>
  <c r="BP166" i="6"/>
  <c r="BO166" i="6"/>
  <c r="BN166" i="6"/>
  <c r="BM166" i="6"/>
  <c r="BL166" i="6"/>
  <c r="BK166" i="6"/>
  <c r="BJ166" i="6"/>
  <c r="BI166" i="6"/>
  <c r="BH166" i="6"/>
  <c r="BG166" i="6"/>
  <c r="BE166" i="6"/>
  <c r="BD166" i="6"/>
  <c r="BC166" i="6"/>
  <c r="BA166" i="6"/>
  <c r="BU166" i="6" s="1"/>
  <c r="AV166" i="6"/>
  <c r="BF166" i="6" s="1"/>
  <c r="AR166" i="6"/>
  <c r="AQ166" i="6"/>
  <c r="AP166" i="6"/>
  <c r="AO166" i="6"/>
  <c r="AL166" i="6"/>
  <c r="AK166" i="6"/>
  <c r="Z166" i="6"/>
  <c r="Y166" i="6"/>
  <c r="W166" i="6"/>
  <c r="V166" i="6"/>
  <c r="U166" i="6"/>
  <c r="X166" i="6" s="1"/>
  <c r="T166" i="6"/>
  <c r="S166" i="6"/>
  <c r="R166" i="6"/>
  <c r="Q166" i="6"/>
  <c r="P166" i="6"/>
  <c r="O166" i="6"/>
  <c r="N166" i="6"/>
  <c r="L166" i="6"/>
  <c r="M166" i="6" s="1"/>
  <c r="K166" i="6"/>
  <c r="C166" i="6"/>
  <c r="CY165" i="6"/>
  <c r="CX165" i="6"/>
  <c r="CR165" i="6"/>
  <c r="CP165" i="6"/>
  <c r="BV165" i="6" s="1"/>
  <c r="CO165" i="6"/>
  <c r="CN165" i="6"/>
  <c r="BT165" i="6" s="1"/>
  <c r="CM165" i="6"/>
  <c r="BS165" i="6" s="1"/>
  <c r="CL165" i="6"/>
  <c r="BR165" i="6" s="1"/>
  <c r="CK165" i="6"/>
  <c r="BQ165" i="6" s="1"/>
  <c r="CJ165" i="6"/>
  <c r="CI165" i="6"/>
  <c r="CH165" i="6"/>
  <c r="CG165" i="6"/>
  <c r="BO165" i="6"/>
  <c r="BN165" i="6"/>
  <c r="BM165" i="6"/>
  <c r="BL165" i="6"/>
  <c r="BJ165" i="6"/>
  <c r="BI165" i="6"/>
  <c r="BH165" i="6"/>
  <c r="BG165" i="6"/>
  <c r="BE165" i="6"/>
  <c r="BD165" i="6"/>
  <c r="BC165" i="6"/>
  <c r="BA165" i="6"/>
  <c r="AV165" i="6"/>
  <c r="AR165" i="6"/>
  <c r="AQ165" i="6"/>
  <c r="AP165" i="6"/>
  <c r="AO165" i="6"/>
  <c r="AL165" i="6"/>
  <c r="AK165" i="6"/>
  <c r="W165" i="6"/>
  <c r="U165" i="6"/>
  <c r="X165" i="6" s="1"/>
  <c r="T165" i="6"/>
  <c r="Y165" i="6" s="1"/>
  <c r="J165" i="6" s="1"/>
  <c r="S165" i="6"/>
  <c r="V165" i="6" s="1"/>
  <c r="I165" i="6" s="1"/>
  <c r="R165" i="6"/>
  <c r="Z165" i="6" s="1"/>
  <c r="Q165" i="6"/>
  <c r="P165" i="6"/>
  <c r="O165" i="6"/>
  <c r="N165" i="6"/>
  <c r="L165" i="6"/>
  <c r="M165" i="6" s="1"/>
  <c r="F165" i="6" s="1"/>
  <c r="H165" i="6" s="1"/>
  <c r="K165" i="6"/>
  <c r="C165" i="6"/>
  <c r="CY164" i="6"/>
  <c r="CX164" i="6"/>
  <c r="CR164" i="6"/>
  <c r="CP164" i="6"/>
  <c r="BV164" i="6" s="1"/>
  <c r="CO164" i="6"/>
  <c r="CN164" i="6"/>
  <c r="BT164" i="6" s="1"/>
  <c r="CM164" i="6"/>
  <c r="BS164" i="6" s="1"/>
  <c r="CL164" i="6"/>
  <c r="BR164" i="6" s="1"/>
  <c r="CK164" i="6"/>
  <c r="BQ164" i="6" s="1"/>
  <c r="CJ164" i="6"/>
  <c r="CI164" i="6"/>
  <c r="BO164" i="6" s="1"/>
  <c r="CH164" i="6"/>
  <c r="BN164" i="6" s="1"/>
  <c r="CG164" i="6"/>
  <c r="BM164" i="6" s="1"/>
  <c r="BL164" i="6"/>
  <c r="BJ164" i="6"/>
  <c r="BI164" i="6"/>
  <c r="BH164" i="6"/>
  <c r="BG164" i="6"/>
  <c r="BE164" i="6"/>
  <c r="BD164" i="6"/>
  <c r="BC164" i="6"/>
  <c r="AR164" i="6"/>
  <c r="BA164" i="6" s="1"/>
  <c r="AQ164" i="6"/>
  <c r="AP164" i="6"/>
  <c r="AO164" i="6"/>
  <c r="AL164" i="6"/>
  <c r="AK164" i="6"/>
  <c r="Y164" i="6"/>
  <c r="J164" i="6" s="1"/>
  <c r="X164" i="6"/>
  <c r="W164" i="6"/>
  <c r="T164" i="6"/>
  <c r="S164" i="6"/>
  <c r="V164" i="6" s="1"/>
  <c r="R164" i="6"/>
  <c r="Z164" i="6" s="1"/>
  <c r="Q164" i="6"/>
  <c r="P164" i="6"/>
  <c r="U164" i="6" s="1"/>
  <c r="O164" i="6"/>
  <c r="N164" i="6"/>
  <c r="L164" i="6"/>
  <c r="K164" i="6"/>
  <c r="C164" i="6"/>
  <c r="CY163" i="6"/>
  <c r="CX163" i="6"/>
  <c r="CR163" i="6"/>
  <c r="CP163" i="6"/>
  <c r="BV163" i="6" s="1"/>
  <c r="CO163" i="6"/>
  <c r="CN163" i="6"/>
  <c r="CM163" i="6"/>
  <c r="BS163" i="6" s="1"/>
  <c r="CL163" i="6"/>
  <c r="BR163" i="6" s="1"/>
  <c r="CK163" i="6"/>
  <c r="BQ163" i="6" s="1"/>
  <c r="CJ163" i="6"/>
  <c r="CI163" i="6"/>
  <c r="BO163" i="6" s="1"/>
  <c r="CH163" i="6"/>
  <c r="BN163" i="6" s="1"/>
  <c r="CG163" i="6"/>
  <c r="BM163" i="6" s="1"/>
  <c r="BT163" i="6"/>
  <c r="BL163" i="6"/>
  <c r="BJ163" i="6"/>
  <c r="BI163" i="6"/>
  <c r="BH163" i="6"/>
  <c r="BG163" i="6"/>
  <c r="BE163" i="6"/>
  <c r="BD163" i="6"/>
  <c r="BC163" i="6"/>
  <c r="AV163" i="6"/>
  <c r="BP163" i="6" s="1"/>
  <c r="AR163" i="6"/>
  <c r="BA163" i="6" s="1"/>
  <c r="AQ163" i="6"/>
  <c r="AP163" i="6"/>
  <c r="AO163" i="6"/>
  <c r="AL163" i="6"/>
  <c r="AK163" i="6"/>
  <c r="W163" i="6"/>
  <c r="R163" i="6"/>
  <c r="Z163" i="6" s="1"/>
  <c r="J163" i="6" s="1"/>
  <c r="Q163" i="6"/>
  <c r="T163" i="6" s="1"/>
  <c r="Y163" i="6" s="1"/>
  <c r="P163" i="6"/>
  <c r="U163" i="6" s="1"/>
  <c r="X163" i="6" s="1"/>
  <c r="O163" i="6"/>
  <c r="N163" i="6"/>
  <c r="S163" i="6" s="1"/>
  <c r="V163" i="6" s="1"/>
  <c r="L163" i="6"/>
  <c r="K163" i="6"/>
  <c r="C163" i="6"/>
  <c r="CY162" i="6"/>
  <c r="CX162" i="6"/>
  <c r="CR162" i="6"/>
  <c r="CP162" i="6"/>
  <c r="BV162" i="6" s="1"/>
  <c r="CO162" i="6"/>
  <c r="CN162" i="6"/>
  <c r="BT162" i="6" s="1"/>
  <c r="CM162" i="6"/>
  <c r="BS162" i="6" s="1"/>
  <c r="CL162" i="6"/>
  <c r="BR162" i="6" s="1"/>
  <c r="CK162" i="6"/>
  <c r="BQ162" i="6" s="1"/>
  <c r="CJ162" i="6"/>
  <c r="CI162" i="6"/>
  <c r="CH162" i="6"/>
  <c r="BN162" i="6" s="1"/>
  <c r="CG162" i="6"/>
  <c r="BM162" i="6" s="1"/>
  <c r="BO162" i="6"/>
  <c r="BL162" i="6"/>
  <c r="BJ162" i="6"/>
  <c r="BI162" i="6"/>
  <c r="BH162" i="6"/>
  <c r="BG162" i="6"/>
  <c r="BE162" i="6"/>
  <c r="BD162" i="6"/>
  <c r="BC162" i="6"/>
  <c r="BA162" i="6"/>
  <c r="AR162" i="6"/>
  <c r="AV162" i="6" s="1"/>
  <c r="BP162" i="6" s="1"/>
  <c r="AQ162" i="6"/>
  <c r="AP162" i="6"/>
  <c r="AO162" i="6"/>
  <c r="AL162" i="6"/>
  <c r="AK162" i="6"/>
  <c r="S162" i="6"/>
  <c r="V162" i="6" s="1"/>
  <c r="R162" i="6"/>
  <c r="Z162" i="6" s="1"/>
  <c r="Q162" i="6"/>
  <c r="T162" i="6" s="1"/>
  <c r="Y162" i="6" s="1"/>
  <c r="P162" i="6"/>
  <c r="U162" i="6" s="1"/>
  <c r="X162" i="6" s="1"/>
  <c r="O162" i="6"/>
  <c r="W162" i="6" s="1"/>
  <c r="N162" i="6"/>
  <c r="L162" i="6"/>
  <c r="K162" i="6"/>
  <c r="I162" i="6"/>
  <c r="C162" i="6"/>
  <c r="CY161" i="6"/>
  <c r="CX161" i="6"/>
  <c r="CR161" i="6"/>
  <c r="CP161" i="6"/>
  <c r="CO161" i="6"/>
  <c r="CN161" i="6"/>
  <c r="CM161" i="6"/>
  <c r="CL161" i="6"/>
  <c r="CK161" i="6"/>
  <c r="BQ161" i="6" s="1"/>
  <c r="CJ161" i="6"/>
  <c r="CI161" i="6"/>
  <c r="BO161" i="6" s="1"/>
  <c r="CH161" i="6"/>
  <c r="CG161" i="6"/>
  <c r="BM161" i="6" s="1"/>
  <c r="BV161" i="6"/>
  <c r="BT161" i="6"/>
  <c r="BS161" i="6"/>
  <c r="BR161" i="6"/>
  <c r="BN161" i="6"/>
  <c r="BL161" i="6"/>
  <c r="BJ161" i="6"/>
  <c r="BI161" i="6"/>
  <c r="BH161" i="6"/>
  <c r="BG161" i="6"/>
  <c r="BE161" i="6"/>
  <c r="BD161" i="6"/>
  <c r="BC161" i="6"/>
  <c r="AR161" i="6"/>
  <c r="AQ161" i="6"/>
  <c r="AP161" i="6"/>
  <c r="AO161" i="6"/>
  <c r="AL161" i="6"/>
  <c r="AK161" i="6"/>
  <c r="S161" i="6"/>
  <c r="V161" i="6" s="1"/>
  <c r="I161" i="6" s="1"/>
  <c r="R161" i="6"/>
  <c r="Z161" i="6" s="1"/>
  <c r="Q161" i="6"/>
  <c r="T161" i="6" s="1"/>
  <c r="Y161" i="6" s="1"/>
  <c r="J161" i="6" s="1"/>
  <c r="P161" i="6"/>
  <c r="U161" i="6" s="1"/>
  <c r="X161" i="6" s="1"/>
  <c r="O161" i="6"/>
  <c r="W161" i="6" s="1"/>
  <c r="N161" i="6"/>
  <c r="L161" i="6"/>
  <c r="K161" i="6"/>
  <c r="C161" i="6"/>
  <c r="CY160" i="6"/>
  <c r="CX160" i="6"/>
  <c r="CR160" i="6"/>
  <c r="CP160" i="6"/>
  <c r="BV160" i="6" s="1"/>
  <c r="CO160" i="6"/>
  <c r="CN160" i="6"/>
  <c r="BT160" i="6" s="1"/>
  <c r="CM160" i="6"/>
  <c r="BS160" i="6" s="1"/>
  <c r="CL160" i="6"/>
  <c r="BR160" i="6" s="1"/>
  <c r="CK160" i="6"/>
  <c r="BQ160" i="6" s="1"/>
  <c r="CJ160" i="6"/>
  <c r="CI160" i="6"/>
  <c r="BO160" i="6" s="1"/>
  <c r="CH160" i="6"/>
  <c r="BN160" i="6" s="1"/>
  <c r="CG160" i="6"/>
  <c r="BM160" i="6"/>
  <c r="BL160" i="6"/>
  <c r="BJ160" i="6"/>
  <c r="BI160" i="6"/>
  <c r="BH160" i="6"/>
  <c r="BG160" i="6"/>
  <c r="BE160" i="6"/>
  <c r="BD160" i="6"/>
  <c r="BC160" i="6"/>
  <c r="AR160" i="6"/>
  <c r="BA160" i="6" s="1"/>
  <c r="AQ160" i="6"/>
  <c r="AP160" i="6"/>
  <c r="AO160" i="6"/>
  <c r="AL160" i="6"/>
  <c r="AK160" i="6"/>
  <c r="R160" i="6"/>
  <c r="Z160" i="6" s="1"/>
  <c r="Q160" i="6"/>
  <c r="T160" i="6" s="1"/>
  <c r="Y160" i="6" s="1"/>
  <c r="P160" i="6"/>
  <c r="U160" i="6" s="1"/>
  <c r="X160" i="6" s="1"/>
  <c r="O160" i="6"/>
  <c r="W160" i="6" s="1"/>
  <c r="N160" i="6"/>
  <c r="S160" i="6" s="1"/>
  <c r="V160" i="6" s="1"/>
  <c r="L160" i="6"/>
  <c r="K160" i="6"/>
  <c r="J160" i="6"/>
  <c r="I160" i="6"/>
  <c r="C160" i="6"/>
  <c r="CY159" i="6"/>
  <c r="CX159" i="6"/>
  <c r="CR159" i="6"/>
  <c r="CP159" i="6"/>
  <c r="BV159" i="6" s="1"/>
  <c r="CO159" i="6"/>
  <c r="CN159" i="6"/>
  <c r="CM159" i="6"/>
  <c r="CL159" i="6"/>
  <c r="CK159" i="6"/>
  <c r="CJ159" i="6"/>
  <c r="CI159" i="6"/>
  <c r="BO159" i="6" s="1"/>
  <c r="CH159" i="6"/>
  <c r="BN159" i="6" s="1"/>
  <c r="CG159" i="6"/>
  <c r="BM159" i="6" s="1"/>
  <c r="BT159" i="6"/>
  <c r="BS159" i="6"/>
  <c r="BR159" i="6"/>
  <c r="BQ159" i="6"/>
  <c r="BL159" i="6"/>
  <c r="BJ159" i="6"/>
  <c r="BI159" i="6"/>
  <c r="BH159" i="6"/>
  <c r="BG159" i="6"/>
  <c r="BE159" i="6"/>
  <c r="BD159" i="6"/>
  <c r="BC159" i="6"/>
  <c r="AR159" i="6"/>
  <c r="AQ159" i="6"/>
  <c r="AP159" i="6"/>
  <c r="AO159" i="6"/>
  <c r="AL159" i="6"/>
  <c r="AK159" i="6"/>
  <c r="Z159" i="6"/>
  <c r="T159" i="6"/>
  <c r="Y159" i="6" s="1"/>
  <c r="S159" i="6"/>
  <c r="V159" i="6" s="1"/>
  <c r="R159" i="6"/>
  <c r="Q159" i="6"/>
  <c r="P159" i="6"/>
  <c r="U159" i="6" s="1"/>
  <c r="X159" i="6" s="1"/>
  <c r="O159" i="6"/>
  <c r="W159" i="6" s="1"/>
  <c r="N159" i="6"/>
  <c r="L159" i="6"/>
  <c r="K159" i="6"/>
  <c r="J159" i="6"/>
  <c r="I159" i="6"/>
  <c r="E159" i="6" s="1"/>
  <c r="C159" i="6"/>
  <c r="CY158" i="6"/>
  <c r="CX158" i="6"/>
  <c r="CR158" i="6"/>
  <c r="CP158" i="6"/>
  <c r="CO158" i="6"/>
  <c r="CN158" i="6"/>
  <c r="CM158" i="6"/>
  <c r="CL158" i="6"/>
  <c r="CK158" i="6"/>
  <c r="CJ158" i="6"/>
  <c r="CI158" i="6"/>
  <c r="CH158" i="6"/>
  <c r="BN158" i="6" s="1"/>
  <c r="CG158" i="6"/>
  <c r="BM158" i="6" s="1"/>
  <c r="BV158" i="6"/>
  <c r="BU158" i="6"/>
  <c r="BT158" i="6"/>
  <c r="BS158" i="6"/>
  <c r="BR158" i="6"/>
  <c r="BQ158" i="6"/>
  <c r="BO158" i="6"/>
  <c r="BL158" i="6"/>
  <c r="BJ158" i="6"/>
  <c r="BI158" i="6"/>
  <c r="BH158" i="6"/>
  <c r="BG158" i="6"/>
  <c r="BE158" i="6"/>
  <c r="BD158" i="6"/>
  <c r="BC158" i="6"/>
  <c r="AV158" i="6"/>
  <c r="BP158" i="6" s="1"/>
  <c r="AR158" i="6"/>
  <c r="BA158" i="6" s="1"/>
  <c r="BK158" i="6" s="1"/>
  <c r="AQ158" i="6"/>
  <c r="AP158" i="6"/>
  <c r="AO158" i="6"/>
  <c r="AL158" i="6"/>
  <c r="AK158" i="6"/>
  <c r="Z158" i="6"/>
  <c r="R158" i="6"/>
  <c r="Q158" i="6"/>
  <c r="T158" i="6" s="1"/>
  <c r="Y158" i="6" s="1"/>
  <c r="J158" i="6" s="1"/>
  <c r="P158" i="6"/>
  <c r="U158" i="6" s="1"/>
  <c r="X158" i="6" s="1"/>
  <c r="O158" i="6"/>
  <c r="W158" i="6" s="1"/>
  <c r="N158" i="6"/>
  <c r="S158" i="6" s="1"/>
  <c r="V158" i="6" s="1"/>
  <c r="I158" i="6" s="1"/>
  <c r="M158" i="6"/>
  <c r="F158" i="6" s="1"/>
  <c r="H158" i="6" s="1"/>
  <c r="L158" i="6"/>
  <c r="K158" i="6"/>
  <c r="C158" i="6"/>
  <c r="CY157" i="6"/>
  <c r="CX157" i="6"/>
  <c r="CR157" i="6"/>
  <c r="CP157" i="6"/>
  <c r="BV157" i="6" s="1"/>
  <c r="CO157" i="6"/>
  <c r="CN157" i="6"/>
  <c r="BT157" i="6" s="1"/>
  <c r="CM157" i="6"/>
  <c r="BS157" i="6" s="1"/>
  <c r="CL157" i="6"/>
  <c r="BR157" i="6" s="1"/>
  <c r="CK157" i="6"/>
  <c r="BQ157" i="6" s="1"/>
  <c r="CJ157" i="6"/>
  <c r="CI157" i="6"/>
  <c r="BO157" i="6" s="1"/>
  <c r="CH157" i="6"/>
  <c r="CG157" i="6"/>
  <c r="BM157" i="6" s="1"/>
  <c r="BN157" i="6"/>
  <c r="BL157" i="6"/>
  <c r="BJ157" i="6"/>
  <c r="BI157" i="6"/>
  <c r="BH157" i="6"/>
  <c r="BG157" i="6"/>
  <c r="BF157" i="6"/>
  <c r="BE157" i="6"/>
  <c r="BD157" i="6"/>
  <c r="BC157" i="6"/>
  <c r="BA157" i="6"/>
  <c r="AV157" i="6"/>
  <c r="BP157" i="6" s="1"/>
  <c r="AR157" i="6"/>
  <c r="AQ157" i="6"/>
  <c r="AP157" i="6"/>
  <c r="AO157" i="6"/>
  <c r="AL157" i="6"/>
  <c r="AK157" i="6"/>
  <c r="Y157" i="6"/>
  <c r="R157" i="6"/>
  <c r="Z157" i="6" s="1"/>
  <c r="Q157" i="6"/>
  <c r="T157" i="6" s="1"/>
  <c r="P157" i="6"/>
  <c r="U157" i="6" s="1"/>
  <c r="X157" i="6" s="1"/>
  <c r="O157" i="6"/>
  <c r="W157" i="6" s="1"/>
  <c r="N157" i="6"/>
  <c r="S157" i="6" s="1"/>
  <c r="V157" i="6" s="1"/>
  <c r="L157" i="6"/>
  <c r="M157" i="6" s="1"/>
  <c r="K157" i="6"/>
  <c r="J157" i="6"/>
  <c r="I157" i="6"/>
  <c r="C157" i="6"/>
  <c r="CY156" i="6"/>
  <c r="CX156" i="6"/>
  <c r="CR156" i="6"/>
  <c r="CP156" i="6"/>
  <c r="CO156" i="6"/>
  <c r="CN156" i="6"/>
  <c r="CM156" i="6"/>
  <c r="CL156" i="6"/>
  <c r="CK156" i="6"/>
  <c r="CJ156" i="6"/>
  <c r="CI156" i="6"/>
  <c r="CH156" i="6"/>
  <c r="BN156" i="6" s="1"/>
  <c r="CG156" i="6"/>
  <c r="BM156" i="6" s="1"/>
  <c r="BV156" i="6"/>
  <c r="BT156" i="6"/>
  <c r="BS156" i="6"/>
  <c r="BR156" i="6"/>
  <c r="BQ156" i="6"/>
  <c r="BO156" i="6"/>
  <c r="BL156" i="6"/>
  <c r="BJ156" i="6"/>
  <c r="BI156" i="6"/>
  <c r="BH156" i="6"/>
  <c r="BG156" i="6"/>
  <c r="BE156" i="6"/>
  <c r="BD156" i="6"/>
  <c r="BC156" i="6"/>
  <c r="AR156" i="6"/>
  <c r="AQ156" i="6"/>
  <c r="AP156" i="6"/>
  <c r="AO156" i="6"/>
  <c r="AL156" i="6"/>
  <c r="AK156" i="6"/>
  <c r="Z156" i="6"/>
  <c r="Y156" i="6"/>
  <c r="J156" i="6" s="1"/>
  <c r="X156" i="6"/>
  <c r="W156" i="6"/>
  <c r="S156" i="6"/>
  <c r="V156" i="6" s="1"/>
  <c r="R156" i="6"/>
  <c r="Q156" i="6"/>
  <c r="T156" i="6" s="1"/>
  <c r="P156" i="6"/>
  <c r="U156" i="6" s="1"/>
  <c r="O156" i="6"/>
  <c r="N156" i="6"/>
  <c r="L156" i="6"/>
  <c r="K156" i="6"/>
  <c r="C156" i="6"/>
  <c r="CY155" i="6"/>
  <c r="CX155" i="6"/>
  <c r="CR155" i="6"/>
  <c r="CP155" i="6"/>
  <c r="CO155" i="6"/>
  <c r="CN155" i="6"/>
  <c r="BT155" i="6" s="1"/>
  <c r="CM155" i="6"/>
  <c r="CL155" i="6"/>
  <c r="CK155" i="6"/>
  <c r="CJ155" i="6"/>
  <c r="CI155" i="6"/>
  <c r="CH155" i="6"/>
  <c r="CG155" i="6"/>
  <c r="BV155" i="6"/>
  <c r="BS155" i="6"/>
  <c r="BR155" i="6"/>
  <c r="BQ155" i="6"/>
  <c r="BO155" i="6"/>
  <c r="BN155" i="6"/>
  <c r="BM155" i="6"/>
  <c r="BL155" i="6"/>
  <c r="BJ155" i="6"/>
  <c r="BI155" i="6"/>
  <c r="BH155" i="6"/>
  <c r="BG155" i="6"/>
  <c r="BE155" i="6"/>
  <c r="BD155" i="6"/>
  <c r="BC155" i="6"/>
  <c r="AR155" i="6"/>
  <c r="AQ155" i="6"/>
  <c r="AP155" i="6"/>
  <c r="AO155" i="6"/>
  <c r="AL155" i="6"/>
  <c r="AK155" i="6"/>
  <c r="R155" i="6"/>
  <c r="Z155" i="6" s="1"/>
  <c r="Q155" i="6"/>
  <c r="T155" i="6" s="1"/>
  <c r="Y155" i="6" s="1"/>
  <c r="J155" i="6" s="1"/>
  <c r="P155" i="6"/>
  <c r="U155" i="6" s="1"/>
  <c r="X155" i="6" s="1"/>
  <c r="O155" i="6"/>
  <c r="W155" i="6" s="1"/>
  <c r="N155" i="6"/>
  <c r="S155" i="6" s="1"/>
  <c r="V155" i="6" s="1"/>
  <c r="I155" i="6" s="1"/>
  <c r="E155" i="6" s="1"/>
  <c r="L155" i="6"/>
  <c r="K155" i="6"/>
  <c r="C155" i="6"/>
  <c r="CY154" i="6"/>
  <c r="CX154" i="6"/>
  <c r="CR154" i="6"/>
  <c r="CP154" i="6"/>
  <c r="BV154" i="6" s="1"/>
  <c r="CO154" i="6"/>
  <c r="CN154" i="6"/>
  <c r="BT154" i="6" s="1"/>
  <c r="CM154" i="6"/>
  <c r="BS154" i="6" s="1"/>
  <c r="CL154" i="6"/>
  <c r="CK154" i="6"/>
  <c r="CJ154" i="6"/>
  <c r="CI154" i="6"/>
  <c r="CH154" i="6"/>
  <c r="CG154" i="6"/>
  <c r="BU154" i="6"/>
  <c r="BR154" i="6"/>
  <c r="BQ154" i="6"/>
  <c r="BO154" i="6"/>
  <c r="BN154" i="6"/>
  <c r="BM154" i="6"/>
  <c r="BL154" i="6"/>
  <c r="BJ154" i="6"/>
  <c r="BI154" i="6"/>
  <c r="BH154" i="6"/>
  <c r="BG154" i="6"/>
  <c r="BE154" i="6"/>
  <c r="BD154" i="6"/>
  <c r="BC154" i="6"/>
  <c r="AR154" i="6"/>
  <c r="BA154" i="6" s="1"/>
  <c r="AQ154" i="6"/>
  <c r="AP154" i="6"/>
  <c r="AO154" i="6"/>
  <c r="AL154" i="6"/>
  <c r="AK154" i="6"/>
  <c r="Z154" i="6"/>
  <c r="Y154" i="6"/>
  <c r="J154" i="6" s="1"/>
  <c r="W154" i="6"/>
  <c r="V154" i="6"/>
  <c r="U154" i="6"/>
  <c r="X154" i="6" s="1"/>
  <c r="T154" i="6"/>
  <c r="R154" i="6"/>
  <c r="Q154" i="6"/>
  <c r="P154" i="6"/>
  <c r="O154" i="6"/>
  <c r="N154" i="6"/>
  <c r="S154" i="6" s="1"/>
  <c r="L154" i="6"/>
  <c r="K154" i="6"/>
  <c r="C154" i="6"/>
  <c r="CY153" i="6"/>
  <c r="CX153" i="6"/>
  <c r="CR153" i="6"/>
  <c r="CP153" i="6"/>
  <c r="BV153" i="6" s="1"/>
  <c r="CO153" i="6"/>
  <c r="CN153" i="6"/>
  <c r="BT153" i="6" s="1"/>
  <c r="CM153" i="6"/>
  <c r="BS153" i="6" s="1"/>
  <c r="CL153" i="6"/>
  <c r="BR153" i="6" s="1"/>
  <c r="CK153" i="6"/>
  <c r="CJ153" i="6"/>
  <c r="CI153" i="6"/>
  <c r="CH153" i="6"/>
  <c r="BN153" i="6" s="1"/>
  <c r="CG153" i="6"/>
  <c r="BQ153" i="6"/>
  <c r="BP153" i="6"/>
  <c r="BO153" i="6"/>
  <c r="BM153" i="6"/>
  <c r="BL153" i="6"/>
  <c r="BJ153" i="6"/>
  <c r="BI153" i="6"/>
  <c r="BH153" i="6"/>
  <c r="BG153" i="6"/>
  <c r="BF153" i="6"/>
  <c r="BE153" i="6"/>
  <c r="BD153" i="6"/>
  <c r="BC153" i="6"/>
  <c r="BA153" i="6"/>
  <c r="AR153" i="6"/>
  <c r="AV153" i="6" s="1"/>
  <c r="AQ153" i="6"/>
  <c r="AP153" i="6"/>
  <c r="AO153" i="6"/>
  <c r="AL153" i="6"/>
  <c r="AK153" i="6"/>
  <c r="X153" i="6"/>
  <c r="W153" i="6"/>
  <c r="U153" i="6"/>
  <c r="R153" i="6"/>
  <c r="Z153" i="6" s="1"/>
  <c r="Q153" i="6"/>
  <c r="T153" i="6" s="1"/>
  <c r="Y153" i="6" s="1"/>
  <c r="J153" i="6" s="1"/>
  <c r="P153" i="6"/>
  <c r="O153" i="6"/>
  <c r="N153" i="6"/>
  <c r="S153" i="6" s="1"/>
  <c r="V153" i="6" s="1"/>
  <c r="I153" i="6" s="1"/>
  <c r="E153" i="6" s="1"/>
  <c r="G153" i="6" s="1"/>
  <c r="L153" i="6"/>
  <c r="K153" i="6"/>
  <c r="C153" i="6"/>
  <c r="CY152" i="6"/>
  <c r="CX152" i="6"/>
  <c r="CR152" i="6"/>
  <c r="CP152" i="6"/>
  <c r="BV152" i="6" s="1"/>
  <c r="CO152" i="6"/>
  <c r="CN152" i="6"/>
  <c r="BT152" i="6" s="1"/>
  <c r="CM152" i="6"/>
  <c r="BS152" i="6" s="1"/>
  <c r="CL152" i="6"/>
  <c r="BR152" i="6" s="1"/>
  <c r="CK152" i="6"/>
  <c r="BQ152" i="6" s="1"/>
  <c r="CJ152" i="6"/>
  <c r="CI152" i="6"/>
  <c r="BO152" i="6" s="1"/>
  <c r="CH152" i="6"/>
  <c r="CG152" i="6"/>
  <c r="BN152" i="6"/>
  <c r="BM152" i="6"/>
  <c r="BL152" i="6"/>
  <c r="BJ152" i="6"/>
  <c r="BI152" i="6"/>
  <c r="BH152" i="6"/>
  <c r="BG152" i="6"/>
  <c r="BE152" i="6"/>
  <c r="BD152" i="6"/>
  <c r="BC152" i="6"/>
  <c r="BA152" i="6"/>
  <c r="AV152" i="6"/>
  <c r="AR152" i="6"/>
  <c r="AQ152" i="6"/>
  <c r="AP152" i="6"/>
  <c r="AO152" i="6"/>
  <c r="AL152" i="6"/>
  <c r="AK152" i="6"/>
  <c r="Z152" i="6"/>
  <c r="W152" i="6"/>
  <c r="R152" i="6"/>
  <c r="Q152" i="6"/>
  <c r="T152" i="6" s="1"/>
  <c r="Y152" i="6" s="1"/>
  <c r="J152" i="6" s="1"/>
  <c r="P152" i="6"/>
  <c r="U152" i="6" s="1"/>
  <c r="X152" i="6" s="1"/>
  <c r="O152" i="6"/>
  <c r="N152" i="6"/>
  <c r="S152" i="6" s="1"/>
  <c r="V152" i="6" s="1"/>
  <c r="L152" i="6"/>
  <c r="K152" i="6"/>
  <c r="C152" i="6"/>
  <c r="CY151" i="6"/>
  <c r="CX151" i="6"/>
  <c r="CR151" i="6"/>
  <c r="CP151" i="6"/>
  <c r="BV151" i="6" s="1"/>
  <c r="CO151" i="6"/>
  <c r="CN151" i="6"/>
  <c r="BT151" i="6" s="1"/>
  <c r="CM151" i="6"/>
  <c r="BS151" i="6" s="1"/>
  <c r="CL151" i="6"/>
  <c r="CK151" i="6"/>
  <c r="CJ151" i="6"/>
  <c r="CI151" i="6"/>
  <c r="CH151" i="6"/>
  <c r="CG151" i="6"/>
  <c r="BR151" i="6"/>
  <c r="BQ151" i="6"/>
  <c r="BO151" i="6"/>
  <c r="BN151" i="6"/>
  <c r="BM151" i="6"/>
  <c r="BL151" i="6"/>
  <c r="BJ151" i="6"/>
  <c r="BI151" i="6"/>
  <c r="BH151" i="6"/>
  <c r="BG151" i="6"/>
  <c r="BE151" i="6"/>
  <c r="BD151" i="6"/>
  <c r="BC151" i="6"/>
  <c r="AR151" i="6"/>
  <c r="AQ151" i="6"/>
  <c r="AP151" i="6"/>
  <c r="AO151" i="6"/>
  <c r="AL151" i="6"/>
  <c r="AK151" i="6"/>
  <c r="R151" i="6"/>
  <c r="Z151" i="6" s="1"/>
  <c r="Q151" i="6"/>
  <c r="T151" i="6" s="1"/>
  <c r="Y151" i="6" s="1"/>
  <c r="J151" i="6" s="1"/>
  <c r="P151" i="6"/>
  <c r="U151" i="6" s="1"/>
  <c r="X151" i="6" s="1"/>
  <c r="O151" i="6"/>
  <c r="W151" i="6" s="1"/>
  <c r="N151" i="6"/>
  <c r="S151" i="6" s="1"/>
  <c r="V151" i="6" s="1"/>
  <c r="I151" i="6" s="1"/>
  <c r="E151" i="6" s="1"/>
  <c r="L151" i="6"/>
  <c r="K151" i="6"/>
  <c r="C151" i="6"/>
  <c r="CY150" i="6"/>
  <c r="CX150" i="6"/>
  <c r="CR150" i="6"/>
  <c r="CP150" i="6"/>
  <c r="BV150" i="6" s="1"/>
  <c r="CO150" i="6"/>
  <c r="CN150" i="6"/>
  <c r="BT150" i="6" s="1"/>
  <c r="CM150" i="6"/>
  <c r="BS150" i="6" s="1"/>
  <c r="CL150" i="6"/>
  <c r="BR150" i="6" s="1"/>
  <c r="CK150" i="6"/>
  <c r="BQ150" i="6" s="1"/>
  <c r="CJ150" i="6"/>
  <c r="CI150" i="6"/>
  <c r="BO150" i="6" s="1"/>
  <c r="CH150" i="6"/>
  <c r="BN150" i="6" s="1"/>
  <c r="CG150" i="6"/>
  <c r="BM150" i="6"/>
  <c r="BL150" i="6"/>
  <c r="BJ150" i="6"/>
  <c r="BI150" i="6"/>
  <c r="BH150" i="6"/>
  <c r="BG150" i="6"/>
  <c r="BE150" i="6"/>
  <c r="BD150" i="6"/>
  <c r="BC150" i="6"/>
  <c r="BA150" i="6"/>
  <c r="AV150" i="6"/>
  <c r="AR150" i="6"/>
  <c r="AQ150" i="6"/>
  <c r="AP150" i="6"/>
  <c r="AO150" i="6"/>
  <c r="AL150" i="6"/>
  <c r="AK150" i="6"/>
  <c r="R150" i="6"/>
  <c r="Z150" i="6" s="1"/>
  <c r="Q150" i="6"/>
  <c r="T150" i="6" s="1"/>
  <c r="Y150" i="6" s="1"/>
  <c r="J150" i="6" s="1"/>
  <c r="P150" i="6"/>
  <c r="U150" i="6" s="1"/>
  <c r="X150" i="6" s="1"/>
  <c r="O150" i="6"/>
  <c r="W150" i="6" s="1"/>
  <c r="N150" i="6"/>
  <c r="S150" i="6" s="1"/>
  <c r="V150" i="6" s="1"/>
  <c r="I150" i="6" s="1"/>
  <c r="L150" i="6"/>
  <c r="K150" i="6"/>
  <c r="C150" i="6"/>
  <c r="CY149" i="6"/>
  <c r="CX149" i="6"/>
  <c r="CR149" i="6"/>
  <c r="CP149" i="6"/>
  <c r="CO149" i="6"/>
  <c r="CN149" i="6"/>
  <c r="BT149" i="6" s="1"/>
  <c r="CM149" i="6"/>
  <c r="BS149" i="6" s="1"/>
  <c r="CL149" i="6"/>
  <c r="BR149" i="6" s="1"/>
  <c r="CK149" i="6"/>
  <c r="BQ149" i="6" s="1"/>
  <c r="CJ149" i="6"/>
  <c r="CI149" i="6"/>
  <c r="BO149" i="6" s="1"/>
  <c r="CH149" i="6"/>
  <c r="BN149" i="6" s="1"/>
  <c r="CG149" i="6"/>
  <c r="BM149" i="6" s="1"/>
  <c r="BV149" i="6"/>
  <c r="BL149" i="6"/>
  <c r="BJ149" i="6"/>
  <c r="BI149" i="6"/>
  <c r="BH149" i="6"/>
  <c r="BG149" i="6"/>
  <c r="BE149" i="6"/>
  <c r="BD149" i="6"/>
  <c r="BC149" i="6"/>
  <c r="AR149" i="6"/>
  <c r="BA149" i="6" s="1"/>
  <c r="AQ149" i="6"/>
  <c r="AP149" i="6"/>
  <c r="AO149" i="6"/>
  <c r="AL149" i="6"/>
  <c r="AK149" i="6"/>
  <c r="Z149" i="6"/>
  <c r="W149" i="6"/>
  <c r="U149" i="6"/>
  <c r="X149" i="6" s="1"/>
  <c r="S149" i="6"/>
  <c r="V149" i="6" s="1"/>
  <c r="R149" i="6"/>
  <c r="Q149" i="6"/>
  <c r="T149" i="6" s="1"/>
  <c r="Y149" i="6" s="1"/>
  <c r="J149" i="6" s="1"/>
  <c r="P149" i="6"/>
  <c r="O149" i="6"/>
  <c r="N149" i="6"/>
  <c r="M149" i="6"/>
  <c r="F149" i="6" s="1"/>
  <c r="H149" i="6" s="1"/>
  <c r="L149" i="6"/>
  <c r="K149" i="6"/>
  <c r="C149" i="6"/>
  <c r="CY148" i="6"/>
  <c r="CX148" i="6"/>
  <c r="CR148" i="6"/>
  <c r="CP148" i="6"/>
  <c r="BV148" i="6" s="1"/>
  <c r="CO148" i="6"/>
  <c r="CN148" i="6"/>
  <c r="BT148" i="6" s="1"/>
  <c r="CM148" i="6"/>
  <c r="BS148" i="6" s="1"/>
  <c r="CL148" i="6"/>
  <c r="BR148" i="6" s="1"/>
  <c r="CK148" i="6"/>
  <c r="BQ148" i="6" s="1"/>
  <c r="CJ148" i="6"/>
  <c r="CI148" i="6"/>
  <c r="BO148" i="6" s="1"/>
  <c r="CH148" i="6"/>
  <c r="CG148" i="6"/>
  <c r="BM148" i="6" s="1"/>
  <c r="BN148" i="6"/>
  <c r="BL148" i="6"/>
  <c r="BK148" i="6"/>
  <c r="BJ148" i="6"/>
  <c r="BI148" i="6"/>
  <c r="BH148" i="6"/>
  <c r="BG148" i="6"/>
  <c r="BE148" i="6"/>
  <c r="BD148" i="6"/>
  <c r="BC148" i="6"/>
  <c r="BA148" i="6"/>
  <c r="BU148" i="6" s="1"/>
  <c r="AV148" i="6"/>
  <c r="BP148" i="6" s="1"/>
  <c r="AR148" i="6"/>
  <c r="AQ148" i="6"/>
  <c r="AP148" i="6"/>
  <c r="AO148" i="6"/>
  <c r="AL148" i="6"/>
  <c r="AK148" i="6"/>
  <c r="R148" i="6"/>
  <c r="Z148" i="6" s="1"/>
  <c r="Q148" i="6"/>
  <c r="T148" i="6" s="1"/>
  <c r="Y148" i="6" s="1"/>
  <c r="P148" i="6"/>
  <c r="U148" i="6" s="1"/>
  <c r="X148" i="6" s="1"/>
  <c r="O148" i="6"/>
  <c r="W148" i="6" s="1"/>
  <c r="N148" i="6"/>
  <c r="S148" i="6" s="1"/>
  <c r="V148" i="6" s="1"/>
  <c r="L148" i="6"/>
  <c r="M148" i="6" s="1"/>
  <c r="F148" i="6" s="1"/>
  <c r="H148" i="6" s="1"/>
  <c r="K148" i="6"/>
  <c r="E148" i="6" s="1"/>
  <c r="G148" i="6" s="1"/>
  <c r="J148" i="6"/>
  <c r="I148" i="6"/>
  <c r="C148" i="6"/>
  <c r="CY147" i="6"/>
  <c r="CX147" i="6"/>
  <c r="CR147" i="6"/>
  <c r="CP147" i="6"/>
  <c r="CO147" i="6"/>
  <c r="CN147" i="6"/>
  <c r="CM147" i="6"/>
  <c r="CL147" i="6"/>
  <c r="CK147" i="6"/>
  <c r="BQ147" i="6" s="1"/>
  <c r="CJ147" i="6"/>
  <c r="CI147" i="6"/>
  <c r="BO147" i="6" s="1"/>
  <c r="CH147" i="6"/>
  <c r="CG147" i="6"/>
  <c r="BV147" i="6"/>
  <c r="BU147" i="6"/>
  <c r="BT147" i="6"/>
  <c r="BS147" i="6"/>
  <c r="BR147" i="6"/>
  <c r="BN147" i="6"/>
  <c r="BM147" i="6"/>
  <c r="BL147" i="6"/>
  <c r="BJ147" i="6"/>
  <c r="BI147" i="6"/>
  <c r="BH147" i="6"/>
  <c r="BG147" i="6"/>
  <c r="BE147" i="6"/>
  <c r="BD147" i="6"/>
  <c r="BC147" i="6"/>
  <c r="AR147" i="6"/>
  <c r="BA147" i="6" s="1"/>
  <c r="AQ147" i="6"/>
  <c r="AP147" i="6"/>
  <c r="AO147" i="6"/>
  <c r="AL147" i="6"/>
  <c r="AK147" i="6"/>
  <c r="U147" i="6"/>
  <c r="X147" i="6" s="1"/>
  <c r="T147" i="6"/>
  <c r="Y147" i="6" s="1"/>
  <c r="J147" i="6" s="1"/>
  <c r="S147" i="6"/>
  <c r="V147" i="6" s="1"/>
  <c r="I147" i="6" s="1"/>
  <c r="R147" i="6"/>
  <c r="Z147" i="6" s="1"/>
  <c r="Q147" i="6"/>
  <c r="P147" i="6"/>
  <c r="O147" i="6"/>
  <c r="W147" i="6" s="1"/>
  <c r="N147" i="6"/>
  <c r="L147" i="6"/>
  <c r="K147" i="6"/>
  <c r="C147" i="6"/>
  <c r="CY146" i="6"/>
  <c r="CX146" i="6"/>
  <c r="CR146" i="6"/>
  <c r="CP146" i="6"/>
  <c r="BV146" i="6" s="1"/>
  <c r="CO146" i="6"/>
  <c r="CN146" i="6"/>
  <c r="CM146" i="6"/>
  <c r="BS146" i="6" s="1"/>
  <c r="CL146" i="6"/>
  <c r="CK146" i="6"/>
  <c r="CJ146" i="6"/>
  <c r="CI146" i="6"/>
  <c r="BO146" i="6" s="1"/>
  <c r="CH146" i="6"/>
  <c r="CG146" i="6"/>
  <c r="BT146" i="6"/>
  <c r="BR146" i="6"/>
  <c r="BQ146" i="6"/>
  <c r="BN146" i="6"/>
  <c r="BM146" i="6"/>
  <c r="BL146" i="6"/>
  <c r="BJ146" i="6"/>
  <c r="BI146" i="6"/>
  <c r="BH146" i="6"/>
  <c r="BG146" i="6"/>
  <c r="BE146" i="6"/>
  <c r="BD146" i="6"/>
  <c r="BC146" i="6"/>
  <c r="AR146" i="6"/>
  <c r="AQ146" i="6"/>
  <c r="AP146" i="6"/>
  <c r="AO146" i="6"/>
  <c r="AL146" i="6"/>
  <c r="AK146" i="6"/>
  <c r="X146" i="6"/>
  <c r="R146" i="6"/>
  <c r="Z146" i="6" s="1"/>
  <c r="Q146" i="6"/>
  <c r="T146" i="6" s="1"/>
  <c r="Y146" i="6" s="1"/>
  <c r="J146" i="6" s="1"/>
  <c r="P146" i="6"/>
  <c r="U146" i="6" s="1"/>
  <c r="O146" i="6"/>
  <c r="W146" i="6" s="1"/>
  <c r="N146" i="6"/>
  <c r="S146" i="6" s="1"/>
  <c r="V146" i="6" s="1"/>
  <c r="L146" i="6"/>
  <c r="K146" i="6"/>
  <c r="C146" i="6"/>
  <c r="CY145" i="6"/>
  <c r="CX145" i="6"/>
  <c r="CR145" i="6"/>
  <c r="CP145" i="6"/>
  <c r="CO145" i="6"/>
  <c r="CN145" i="6"/>
  <c r="BT145" i="6" s="1"/>
  <c r="CM145" i="6"/>
  <c r="CL145" i="6"/>
  <c r="BR145" i="6" s="1"/>
  <c r="CK145" i="6"/>
  <c r="BQ145" i="6" s="1"/>
  <c r="CJ145" i="6"/>
  <c r="CI145" i="6"/>
  <c r="BO145" i="6" s="1"/>
  <c r="CH145" i="6"/>
  <c r="BN145" i="6" s="1"/>
  <c r="CG145" i="6"/>
  <c r="BV145" i="6"/>
  <c r="BS145" i="6"/>
  <c r="BM145" i="6"/>
  <c r="BL145" i="6"/>
  <c r="BJ145" i="6"/>
  <c r="BI145" i="6"/>
  <c r="BH145" i="6"/>
  <c r="BG145" i="6"/>
  <c r="BE145" i="6"/>
  <c r="BD145" i="6"/>
  <c r="BC145" i="6"/>
  <c r="AR145" i="6"/>
  <c r="AV145" i="6" s="1"/>
  <c r="AQ145" i="6"/>
  <c r="AP145" i="6"/>
  <c r="AO145" i="6"/>
  <c r="AL145" i="6"/>
  <c r="AK145" i="6"/>
  <c r="R145" i="6"/>
  <c r="Z145" i="6" s="1"/>
  <c r="Q145" i="6"/>
  <c r="T145" i="6" s="1"/>
  <c r="Y145" i="6" s="1"/>
  <c r="J145" i="6" s="1"/>
  <c r="P145" i="6"/>
  <c r="U145" i="6" s="1"/>
  <c r="X145" i="6" s="1"/>
  <c r="O145" i="6"/>
  <c r="W145" i="6" s="1"/>
  <c r="N145" i="6"/>
  <c r="S145" i="6" s="1"/>
  <c r="V145" i="6" s="1"/>
  <c r="I145" i="6" s="1"/>
  <c r="L145" i="6"/>
  <c r="K145" i="6"/>
  <c r="C145" i="6"/>
  <c r="CY144" i="6"/>
  <c r="CX144" i="6"/>
  <c r="CR144" i="6"/>
  <c r="CP144" i="6"/>
  <c r="CO144" i="6"/>
  <c r="CN144" i="6"/>
  <c r="CM144" i="6"/>
  <c r="CL144" i="6"/>
  <c r="BR144" i="6" s="1"/>
  <c r="CK144" i="6"/>
  <c r="BQ144" i="6" s="1"/>
  <c r="CJ144" i="6"/>
  <c r="CI144" i="6"/>
  <c r="BO144" i="6" s="1"/>
  <c r="CH144" i="6"/>
  <c r="BN144" i="6" s="1"/>
  <c r="CG144" i="6"/>
  <c r="BM144" i="6" s="1"/>
  <c r="BV144" i="6"/>
  <c r="BU144" i="6"/>
  <c r="BT144" i="6"/>
  <c r="BS144" i="6"/>
  <c r="BL144" i="6"/>
  <c r="BJ144" i="6"/>
  <c r="BI144" i="6"/>
  <c r="BH144" i="6"/>
  <c r="BG144" i="6"/>
  <c r="BE144" i="6"/>
  <c r="BD144" i="6"/>
  <c r="BC144" i="6"/>
  <c r="AR144" i="6"/>
  <c r="BA144" i="6" s="1"/>
  <c r="AQ144" i="6"/>
  <c r="AP144" i="6"/>
  <c r="AO144" i="6"/>
  <c r="AL144" i="6"/>
  <c r="AK144" i="6"/>
  <c r="R144" i="6"/>
  <c r="Z144" i="6" s="1"/>
  <c r="Q144" i="6"/>
  <c r="T144" i="6" s="1"/>
  <c r="Y144" i="6" s="1"/>
  <c r="J144" i="6" s="1"/>
  <c r="P144" i="6"/>
  <c r="U144" i="6" s="1"/>
  <c r="X144" i="6" s="1"/>
  <c r="O144" i="6"/>
  <c r="W144" i="6" s="1"/>
  <c r="N144" i="6"/>
  <c r="S144" i="6" s="1"/>
  <c r="V144" i="6" s="1"/>
  <c r="L144" i="6"/>
  <c r="K144" i="6"/>
  <c r="C144" i="6"/>
  <c r="CY143" i="6"/>
  <c r="CX143" i="6"/>
  <c r="CR143" i="6"/>
  <c r="CP143" i="6"/>
  <c r="CO143" i="6"/>
  <c r="CN143" i="6"/>
  <c r="CM143" i="6"/>
  <c r="BS143" i="6" s="1"/>
  <c r="CL143" i="6"/>
  <c r="BR143" i="6" s="1"/>
  <c r="CK143" i="6"/>
  <c r="BQ143" i="6" s="1"/>
  <c r="CJ143" i="6"/>
  <c r="CI143" i="6"/>
  <c r="BO143" i="6" s="1"/>
  <c r="CH143" i="6"/>
  <c r="BN143" i="6" s="1"/>
  <c r="CG143" i="6"/>
  <c r="BM143" i="6" s="1"/>
  <c r="BV143" i="6"/>
  <c r="BT143" i="6"/>
  <c r="BL143" i="6"/>
  <c r="BJ143" i="6"/>
  <c r="BI143" i="6"/>
  <c r="BH143" i="6"/>
  <c r="BG143" i="6"/>
  <c r="BE143" i="6"/>
  <c r="BD143" i="6"/>
  <c r="BC143" i="6"/>
  <c r="AR143" i="6"/>
  <c r="BA143" i="6" s="1"/>
  <c r="AQ143" i="6"/>
  <c r="AP143" i="6"/>
  <c r="AO143" i="6"/>
  <c r="AL143" i="6"/>
  <c r="AK143" i="6"/>
  <c r="Z143" i="6"/>
  <c r="W143" i="6"/>
  <c r="I143" i="6" s="1"/>
  <c r="R143" i="6"/>
  <c r="Q143" i="6"/>
  <c r="T143" i="6" s="1"/>
  <c r="Y143" i="6" s="1"/>
  <c r="P143" i="6"/>
  <c r="U143" i="6" s="1"/>
  <c r="X143" i="6" s="1"/>
  <c r="O143" i="6"/>
  <c r="N143" i="6"/>
  <c r="S143" i="6" s="1"/>
  <c r="V143" i="6" s="1"/>
  <c r="L143" i="6"/>
  <c r="K143" i="6"/>
  <c r="J143" i="6"/>
  <c r="E143" i="6"/>
  <c r="C143" i="6"/>
  <c r="CY142" i="6"/>
  <c r="CX142" i="6"/>
  <c r="CR142" i="6"/>
  <c r="CP142" i="6"/>
  <c r="CO142" i="6"/>
  <c r="CN142" i="6"/>
  <c r="CM142" i="6"/>
  <c r="CL142" i="6"/>
  <c r="CK142" i="6"/>
  <c r="CJ142" i="6"/>
  <c r="CI142" i="6"/>
  <c r="BO142" i="6" s="1"/>
  <c r="CH142" i="6"/>
  <c r="BN142" i="6" s="1"/>
  <c r="CG142" i="6"/>
  <c r="BM142" i="6" s="1"/>
  <c r="BV142" i="6"/>
  <c r="BU142" i="6"/>
  <c r="BT142" i="6"/>
  <c r="BS142" i="6"/>
  <c r="BR142" i="6"/>
  <c r="BQ142" i="6"/>
  <c r="BP142" i="6"/>
  <c r="BL142" i="6"/>
  <c r="BJ142" i="6"/>
  <c r="BI142" i="6"/>
  <c r="BH142" i="6"/>
  <c r="BG142" i="6"/>
  <c r="BF142" i="6"/>
  <c r="BE142" i="6"/>
  <c r="BD142" i="6"/>
  <c r="BC142" i="6"/>
  <c r="BA142" i="6"/>
  <c r="BK142" i="6" s="1"/>
  <c r="AR142" i="6"/>
  <c r="AV142" i="6" s="1"/>
  <c r="AQ142" i="6"/>
  <c r="AP142" i="6"/>
  <c r="AO142" i="6"/>
  <c r="AL142" i="6"/>
  <c r="AK142" i="6"/>
  <c r="Z142" i="6"/>
  <c r="T142" i="6"/>
  <c r="Y142" i="6" s="1"/>
  <c r="R142" i="6"/>
  <c r="Q142" i="6"/>
  <c r="P142" i="6"/>
  <c r="U142" i="6" s="1"/>
  <c r="X142" i="6" s="1"/>
  <c r="O142" i="6"/>
  <c r="W142" i="6" s="1"/>
  <c r="N142" i="6"/>
  <c r="S142" i="6" s="1"/>
  <c r="V142" i="6" s="1"/>
  <c r="I142" i="6" s="1"/>
  <c r="M142" i="6"/>
  <c r="F142" i="6" s="1"/>
  <c r="H142" i="6" s="1"/>
  <c r="L142" i="6"/>
  <c r="K142" i="6"/>
  <c r="J142" i="6"/>
  <c r="C142" i="6"/>
  <c r="CY141" i="6"/>
  <c r="CX141" i="6"/>
  <c r="CR141" i="6"/>
  <c r="CP141" i="6"/>
  <c r="CO141" i="6"/>
  <c r="CN141" i="6"/>
  <c r="CM141" i="6"/>
  <c r="CL141" i="6"/>
  <c r="CK141" i="6"/>
  <c r="BQ141" i="6" s="1"/>
  <c r="CJ141" i="6"/>
  <c r="CI141" i="6"/>
  <c r="BO141" i="6" s="1"/>
  <c r="CH141" i="6"/>
  <c r="BN141" i="6" s="1"/>
  <c r="CG141" i="6"/>
  <c r="BM141" i="6" s="1"/>
  <c r="BV141" i="6"/>
  <c r="BU141" i="6"/>
  <c r="BT141" i="6"/>
  <c r="BS141" i="6"/>
  <c r="BR141" i="6"/>
  <c r="BL141" i="6"/>
  <c r="BJ141" i="6"/>
  <c r="BI141" i="6"/>
  <c r="BH141" i="6"/>
  <c r="BG141" i="6"/>
  <c r="BE141" i="6"/>
  <c r="BD141" i="6"/>
  <c r="BC141" i="6"/>
  <c r="BA141" i="6"/>
  <c r="BK141" i="6" s="1"/>
  <c r="AR141" i="6"/>
  <c r="AV141" i="6" s="1"/>
  <c r="AQ141" i="6"/>
  <c r="AP141" i="6"/>
  <c r="AO141" i="6"/>
  <c r="AL141" i="6"/>
  <c r="AK141" i="6"/>
  <c r="Z141" i="6"/>
  <c r="X141" i="6"/>
  <c r="U141" i="6"/>
  <c r="T141" i="6"/>
  <c r="Y141" i="6" s="1"/>
  <c r="J141" i="6" s="1"/>
  <c r="R141" i="6"/>
  <c r="Q141" i="6"/>
  <c r="P141" i="6"/>
  <c r="O141" i="6"/>
  <c r="W141" i="6" s="1"/>
  <c r="N141" i="6"/>
  <c r="S141" i="6" s="1"/>
  <c r="V141" i="6" s="1"/>
  <c r="I141" i="6" s="1"/>
  <c r="L141" i="6"/>
  <c r="M141" i="6" s="1"/>
  <c r="F141" i="6" s="1"/>
  <c r="H141" i="6" s="1"/>
  <c r="K141" i="6"/>
  <c r="C141" i="6"/>
  <c r="CY140" i="6"/>
  <c r="CX140" i="6"/>
  <c r="CR140" i="6"/>
  <c r="CP140" i="6"/>
  <c r="CO140" i="6"/>
  <c r="CN140" i="6"/>
  <c r="CM140" i="6"/>
  <c r="CL140" i="6"/>
  <c r="CK140" i="6"/>
  <c r="CJ140" i="6"/>
  <c r="CI140" i="6"/>
  <c r="BO140" i="6" s="1"/>
  <c r="CH140" i="6"/>
  <c r="BN140" i="6" s="1"/>
  <c r="CG140" i="6"/>
  <c r="BM140" i="6" s="1"/>
  <c r="BV140" i="6"/>
  <c r="BU140" i="6"/>
  <c r="BT140" i="6"/>
  <c r="BS140" i="6"/>
  <c r="BR140" i="6"/>
  <c r="BQ140" i="6"/>
  <c r="BL140" i="6"/>
  <c r="BJ140" i="6"/>
  <c r="BI140" i="6"/>
  <c r="BH140" i="6"/>
  <c r="BG140" i="6"/>
  <c r="BE140" i="6"/>
  <c r="BD140" i="6"/>
  <c r="BC140" i="6"/>
  <c r="AR140" i="6"/>
  <c r="BA140" i="6" s="1"/>
  <c r="BK140" i="6" s="1"/>
  <c r="AQ140" i="6"/>
  <c r="AP140" i="6"/>
  <c r="AO140" i="6"/>
  <c r="AL140" i="6"/>
  <c r="AK140" i="6"/>
  <c r="Z140" i="6"/>
  <c r="Y140" i="6"/>
  <c r="J140" i="6" s="1"/>
  <c r="W140" i="6"/>
  <c r="S140" i="6"/>
  <c r="V140" i="6" s="1"/>
  <c r="R140" i="6"/>
  <c r="Q140" i="6"/>
  <c r="T140" i="6" s="1"/>
  <c r="P140" i="6"/>
  <c r="U140" i="6" s="1"/>
  <c r="X140" i="6" s="1"/>
  <c r="O140" i="6"/>
  <c r="N140" i="6"/>
  <c r="L140" i="6"/>
  <c r="K140" i="6"/>
  <c r="C140" i="6"/>
  <c r="CY139" i="6"/>
  <c r="CX139" i="6"/>
  <c r="CR139" i="6"/>
  <c r="CP139" i="6"/>
  <c r="CO139" i="6"/>
  <c r="CN139" i="6"/>
  <c r="BT139" i="6" s="1"/>
  <c r="CM139" i="6"/>
  <c r="CL139" i="6"/>
  <c r="CK139" i="6"/>
  <c r="CJ139" i="6"/>
  <c r="CI139" i="6"/>
  <c r="CH139" i="6"/>
  <c r="CG139" i="6"/>
  <c r="BV139" i="6"/>
  <c r="BS139" i="6"/>
  <c r="BR139" i="6"/>
  <c r="BQ139" i="6"/>
  <c r="BP139" i="6"/>
  <c r="BO139" i="6"/>
  <c r="BN139" i="6"/>
  <c r="BM139" i="6"/>
  <c r="BL139" i="6"/>
  <c r="BJ139" i="6"/>
  <c r="BI139" i="6"/>
  <c r="BH139" i="6"/>
  <c r="BG139" i="6"/>
  <c r="BE139" i="6"/>
  <c r="BD139" i="6"/>
  <c r="BC139" i="6"/>
  <c r="AV139" i="6"/>
  <c r="BF139" i="6" s="1"/>
  <c r="AR139" i="6"/>
  <c r="BA139" i="6" s="1"/>
  <c r="AQ139" i="6"/>
  <c r="AP139" i="6"/>
  <c r="AO139" i="6"/>
  <c r="AL139" i="6"/>
  <c r="AK139" i="6"/>
  <c r="W139" i="6"/>
  <c r="V139" i="6"/>
  <c r="S139" i="6"/>
  <c r="R139" i="6"/>
  <c r="Z139" i="6" s="1"/>
  <c r="Q139" i="6"/>
  <c r="T139" i="6" s="1"/>
  <c r="Y139" i="6" s="1"/>
  <c r="P139" i="6"/>
  <c r="U139" i="6" s="1"/>
  <c r="X139" i="6" s="1"/>
  <c r="O139" i="6"/>
  <c r="N139" i="6"/>
  <c r="L139" i="6"/>
  <c r="M139" i="6" s="1"/>
  <c r="K139" i="6"/>
  <c r="C139" i="6"/>
  <c r="CY138" i="6"/>
  <c r="CX138" i="6"/>
  <c r="CR138" i="6"/>
  <c r="CP138" i="6"/>
  <c r="CO138" i="6"/>
  <c r="CN138" i="6"/>
  <c r="CM138" i="6"/>
  <c r="BS138" i="6" s="1"/>
  <c r="CL138" i="6"/>
  <c r="CK138" i="6"/>
  <c r="CJ138" i="6"/>
  <c r="CI138" i="6"/>
  <c r="CH138" i="6"/>
  <c r="BN138" i="6" s="1"/>
  <c r="CG138" i="6"/>
  <c r="BM138" i="6" s="1"/>
  <c r="BV138" i="6"/>
  <c r="BT138" i="6"/>
  <c r="BR138" i="6"/>
  <c r="BQ138" i="6"/>
  <c r="BO138" i="6"/>
  <c r="BL138" i="6"/>
  <c r="BJ138" i="6"/>
  <c r="BI138" i="6"/>
  <c r="BH138" i="6"/>
  <c r="BG138" i="6"/>
  <c r="BE138" i="6"/>
  <c r="BD138" i="6"/>
  <c r="BC138" i="6"/>
  <c r="AR138" i="6"/>
  <c r="BA138" i="6" s="1"/>
  <c r="AQ138" i="6"/>
  <c r="AP138" i="6"/>
  <c r="AO138" i="6"/>
  <c r="AL138" i="6"/>
  <c r="AK138" i="6"/>
  <c r="Z138" i="6"/>
  <c r="W138" i="6"/>
  <c r="U138" i="6"/>
  <c r="X138" i="6" s="1"/>
  <c r="R138" i="6"/>
  <c r="Q138" i="6"/>
  <c r="T138" i="6" s="1"/>
  <c r="Y138" i="6" s="1"/>
  <c r="P138" i="6"/>
  <c r="O138" i="6"/>
  <c r="N138" i="6"/>
  <c r="S138" i="6" s="1"/>
  <c r="V138" i="6" s="1"/>
  <c r="I138" i="6" s="1"/>
  <c r="L138" i="6"/>
  <c r="K138" i="6"/>
  <c r="J138" i="6"/>
  <c r="C138" i="6"/>
  <c r="CY137" i="6"/>
  <c r="CX137" i="6"/>
  <c r="CR137" i="6"/>
  <c r="CP137" i="6"/>
  <c r="CO137" i="6"/>
  <c r="BU137" i="6" s="1"/>
  <c r="CN137" i="6"/>
  <c r="CM137" i="6"/>
  <c r="CL137" i="6"/>
  <c r="CK137" i="6"/>
  <c r="CJ137" i="6"/>
  <c r="CI137" i="6"/>
  <c r="CH137" i="6"/>
  <c r="CG137" i="6"/>
  <c r="BV137" i="6"/>
  <c r="BT137" i="6"/>
  <c r="BS137" i="6"/>
  <c r="BR137" i="6"/>
  <c r="BQ137" i="6"/>
  <c r="BO137" i="6"/>
  <c r="BN137" i="6"/>
  <c r="BM137" i="6"/>
  <c r="BL137" i="6"/>
  <c r="BK137" i="6"/>
  <c r="BJ137" i="6"/>
  <c r="BI137" i="6"/>
  <c r="BH137" i="6"/>
  <c r="BG137" i="6"/>
  <c r="BE137" i="6"/>
  <c r="BD137" i="6"/>
  <c r="BC137" i="6"/>
  <c r="AR137" i="6"/>
  <c r="BA137" i="6" s="1"/>
  <c r="M137" i="6" s="1"/>
  <c r="CW137" i="6" s="1"/>
  <c r="AQ137" i="6"/>
  <c r="AP137" i="6"/>
  <c r="AO137" i="6"/>
  <c r="AL137" i="6"/>
  <c r="AK137" i="6"/>
  <c r="Z137" i="6"/>
  <c r="Y137" i="6"/>
  <c r="J137" i="6" s="1"/>
  <c r="X137" i="6"/>
  <c r="W137" i="6"/>
  <c r="U137" i="6"/>
  <c r="T137" i="6"/>
  <c r="R137" i="6"/>
  <c r="Q137" i="6"/>
  <c r="P137" i="6"/>
  <c r="O137" i="6"/>
  <c r="N137" i="6"/>
  <c r="S137" i="6" s="1"/>
  <c r="V137" i="6" s="1"/>
  <c r="L137" i="6"/>
  <c r="K137" i="6"/>
  <c r="I137" i="6"/>
  <c r="E137" i="6" s="1"/>
  <c r="C137" i="6"/>
  <c r="CY136" i="6"/>
  <c r="CX136" i="6"/>
  <c r="CR136" i="6"/>
  <c r="CP136" i="6"/>
  <c r="BV136" i="6" s="1"/>
  <c r="CO136" i="6"/>
  <c r="CN136" i="6"/>
  <c r="CM136" i="6"/>
  <c r="CL136" i="6"/>
  <c r="CK136" i="6"/>
  <c r="CJ136" i="6"/>
  <c r="CI136" i="6"/>
  <c r="BO136" i="6" s="1"/>
  <c r="CH136" i="6"/>
  <c r="CG136" i="6"/>
  <c r="BT136" i="6"/>
  <c r="BS136" i="6"/>
  <c r="BR136" i="6"/>
  <c r="BQ136" i="6"/>
  <c r="BP136" i="6"/>
  <c r="BN136" i="6"/>
  <c r="BM136" i="6"/>
  <c r="BL136" i="6"/>
  <c r="BJ136" i="6"/>
  <c r="BI136" i="6"/>
  <c r="BH136" i="6"/>
  <c r="BG136" i="6"/>
  <c r="BE136" i="6"/>
  <c r="BD136" i="6"/>
  <c r="BC136" i="6"/>
  <c r="AR136" i="6"/>
  <c r="AV136" i="6" s="1"/>
  <c r="BF136" i="6" s="1"/>
  <c r="AQ136" i="6"/>
  <c r="AP136" i="6"/>
  <c r="AO136" i="6"/>
  <c r="AL136" i="6"/>
  <c r="AK136" i="6"/>
  <c r="Z136" i="6"/>
  <c r="W136" i="6"/>
  <c r="V136" i="6"/>
  <c r="S136" i="6"/>
  <c r="R136" i="6"/>
  <c r="Q136" i="6"/>
  <c r="T136" i="6" s="1"/>
  <c r="Y136" i="6" s="1"/>
  <c r="J136" i="6" s="1"/>
  <c r="P136" i="6"/>
  <c r="U136" i="6" s="1"/>
  <c r="X136" i="6" s="1"/>
  <c r="O136" i="6"/>
  <c r="N136" i="6"/>
  <c r="L136" i="6"/>
  <c r="K136" i="6"/>
  <c r="C136" i="6"/>
  <c r="CY135" i="6"/>
  <c r="CX135" i="6"/>
  <c r="CR135" i="6"/>
  <c r="CP135" i="6"/>
  <c r="BV135" i="6" s="1"/>
  <c r="CO135" i="6"/>
  <c r="CN135" i="6"/>
  <c r="BT135" i="6" s="1"/>
  <c r="CM135" i="6"/>
  <c r="BS135" i="6" s="1"/>
  <c r="CL135" i="6"/>
  <c r="BR135" i="6" s="1"/>
  <c r="CK135" i="6"/>
  <c r="BQ135" i="6" s="1"/>
  <c r="CJ135" i="6"/>
  <c r="CI135" i="6"/>
  <c r="CH135" i="6"/>
  <c r="CG135" i="6"/>
  <c r="BM135" i="6" s="1"/>
  <c r="BO135" i="6"/>
  <c r="BN135" i="6"/>
  <c r="BL135" i="6"/>
  <c r="BJ135" i="6"/>
  <c r="BI135" i="6"/>
  <c r="BH135" i="6"/>
  <c r="BG135" i="6"/>
  <c r="BE135" i="6"/>
  <c r="BD135" i="6"/>
  <c r="BC135" i="6"/>
  <c r="AV135" i="6"/>
  <c r="BP135" i="6" s="1"/>
  <c r="AR135" i="6"/>
  <c r="BA135" i="6" s="1"/>
  <c r="AQ135" i="6"/>
  <c r="AP135" i="6"/>
  <c r="AO135" i="6"/>
  <c r="AL135" i="6"/>
  <c r="AK135" i="6"/>
  <c r="S135" i="6"/>
  <c r="V135" i="6" s="1"/>
  <c r="R135" i="6"/>
  <c r="Z135" i="6" s="1"/>
  <c r="Q135" i="6"/>
  <c r="T135" i="6" s="1"/>
  <c r="Y135" i="6" s="1"/>
  <c r="J135" i="6" s="1"/>
  <c r="P135" i="6"/>
  <c r="U135" i="6" s="1"/>
  <c r="X135" i="6" s="1"/>
  <c r="O135" i="6"/>
  <c r="W135" i="6" s="1"/>
  <c r="N135" i="6"/>
  <c r="L135" i="6"/>
  <c r="K135" i="6"/>
  <c r="C135" i="6"/>
  <c r="CY134" i="6"/>
  <c r="CX134" i="6"/>
  <c r="CR134" i="6"/>
  <c r="CP134" i="6"/>
  <c r="CO134" i="6"/>
  <c r="CN134" i="6"/>
  <c r="BT134" i="6" s="1"/>
  <c r="CM134" i="6"/>
  <c r="BS134" i="6" s="1"/>
  <c r="CL134" i="6"/>
  <c r="BR134" i="6" s="1"/>
  <c r="CK134" i="6"/>
  <c r="CJ134" i="6"/>
  <c r="CI134" i="6"/>
  <c r="CH134" i="6"/>
  <c r="CG134" i="6"/>
  <c r="BV134" i="6"/>
  <c r="BQ134" i="6"/>
  <c r="BO134" i="6"/>
  <c r="BN134" i="6"/>
  <c r="BM134" i="6"/>
  <c r="BL134" i="6"/>
  <c r="BJ134" i="6"/>
  <c r="BI134" i="6"/>
  <c r="BH134" i="6"/>
  <c r="BG134" i="6"/>
  <c r="BE134" i="6"/>
  <c r="BD134" i="6"/>
  <c r="BC134" i="6"/>
  <c r="AR134" i="6"/>
  <c r="AQ134" i="6"/>
  <c r="AP134" i="6"/>
  <c r="AO134" i="6"/>
  <c r="AL134" i="6"/>
  <c r="AK134" i="6"/>
  <c r="W134" i="6"/>
  <c r="S134" i="6"/>
  <c r="V134" i="6" s="1"/>
  <c r="R134" i="6"/>
  <c r="Z134" i="6" s="1"/>
  <c r="Q134" i="6"/>
  <c r="T134" i="6" s="1"/>
  <c r="Y134" i="6" s="1"/>
  <c r="J134" i="6" s="1"/>
  <c r="P134" i="6"/>
  <c r="U134" i="6" s="1"/>
  <c r="X134" i="6" s="1"/>
  <c r="O134" i="6"/>
  <c r="N134" i="6"/>
  <c r="L134" i="6"/>
  <c r="K134" i="6"/>
  <c r="C134" i="6"/>
  <c r="CY133" i="6"/>
  <c r="CX133" i="6"/>
  <c r="CR133" i="6"/>
  <c r="CP133" i="6"/>
  <c r="BV133" i="6" s="1"/>
  <c r="CO133" i="6"/>
  <c r="CN133" i="6"/>
  <c r="BT133" i="6" s="1"/>
  <c r="CM133" i="6"/>
  <c r="BS133" i="6" s="1"/>
  <c r="CL133" i="6"/>
  <c r="BR133" i="6" s="1"/>
  <c r="CK133" i="6"/>
  <c r="BQ133" i="6" s="1"/>
  <c r="CJ133" i="6"/>
  <c r="CI133" i="6"/>
  <c r="BO133" i="6" s="1"/>
  <c r="CH133" i="6"/>
  <c r="CG133" i="6"/>
  <c r="BU133" i="6"/>
  <c r="BN133" i="6"/>
  <c r="BM133" i="6"/>
  <c r="BL133" i="6"/>
  <c r="BJ133" i="6"/>
  <c r="BI133" i="6"/>
  <c r="BH133" i="6"/>
  <c r="BG133" i="6"/>
  <c r="BE133" i="6"/>
  <c r="BD133" i="6"/>
  <c r="BC133" i="6"/>
  <c r="AR133" i="6"/>
  <c r="BA133" i="6" s="1"/>
  <c r="BK133" i="6" s="1"/>
  <c r="AQ133" i="6"/>
  <c r="AP133" i="6"/>
  <c r="AO133" i="6"/>
  <c r="AL133" i="6"/>
  <c r="AK133" i="6"/>
  <c r="Z133" i="6"/>
  <c r="R133" i="6"/>
  <c r="Q133" i="6"/>
  <c r="T133" i="6" s="1"/>
  <c r="Y133" i="6" s="1"/>
  <c r="J133" i="6" s="1"/>
  <c r="P133" i="6"/>
  <c r="U133" i="6" s="1"/>
  <c r="X133" i="6" s="1"/>
  <c r="O133" i="6"/>
  <c r="W133" i="6" s="1"/>
  <c r="N133" i="6"/>
  <c r="S133" i="6" s="1"/>
  <c r="V133" i="6" s="1"/>
  <c r="M133" i="6"/>
  <c r="L133" i="6"/>
  <c r="K133" i="6"/>
  <c r="I133" i="6"/>
  <c r="E133" i="6" s="1"/>
  <c r="C133" i="6"/>
  <c r="CY132" i="6"/>
  <c r="CX132" i="6"/>
  <c r="CR132" i="6"/>
  <c r="CP132" i="6"/>
  <c r="BV132" i="6" s="1"/>
  <c r="CO132" i="6"/>
  <c r="CN132" i="6"/>
  <c r="CM132" i="6"/>
  <c r="BS132" i="6" s="1"/>
  <c r="CL132" i="6"/>
  <c r="BR132" i="6" s="1"/>
  <c r="CK132" i="6"/>
  <c r="BQ132" i="6" s="1"/>
  <c r="CJ132" i="6"/>
  <c r="CI132" i="6"/>
  <c r="CH132" i="6"/>
  <c r="CG132" i="6"/>
  <c r="BT132" i="6"/>
  <c r="BO132" i="6"/>
  <c r="BN132" i="6"/>
  <c r="BM132" i="6"/>
  <c r="BL132" i="6"/>
  <c r="BK132" i="6"/>
  <c r="BJ132" i="6"/>
  <c r="BI132" i="6"/>
  <c r="BH132" i="6"/>
  <c r="BG132" i="6"/>
  <c r="BF132" i="6"/>
  <c r="BE132" i="6"/>
  <c r="BD132" i="6"/>
  <c r="BC132" i="6"/>
  <c r="BA132" i="6"/>
  <c r="AR132" i="6"/>
  <c r="AV132" i="6" s="1"/>
  <c r="BP132" i="6" s="1"/>
  <c r="AQ132" i="6"/>
  <c r="AP132" i="6"/>
  <c r="AO132" i="6"/>
  <c r="AL132" i="6"/>
  <c r="AK132" i="6"/>
  <c r="W132" i="6"/>
  <c r="U132" i="6"/>
  <c r="X132" i="6" s="1"/>
  <c r="S132" i="6"/>
  <c r="V132" i="6" s="1"/>
  <c r="I132" i="6" s="1"/>
  <c r="E132" i="6" s="1"/>
  <c r="G132" i="6" s="1"/>
  <c r="R132" i="6"/>
  <c r="Z132" i="6" s="1"/>
  <c r="Q132" i="6"/>
  <c r="T132" i="6" s="1"/>
  <c r="Y132" i="6" s="1"/>
  <c r="J132" i="6" s="1"/>
  <c r="P132" i="6"/>
  <c r="O132" i="6"/>
  <c r="N132" i="6"/>
  <c r="L132" i="6"/>
  <c r="M132" i="6" s="1"/>
  <c r="K132" i="6"/>
  <c r="C132" i="6"/>
  <c r="CY131" i="6"/>
  <c r="CX131" i="6"/>
  <c r="CR131" i="6"/>
  <c r="CP131" i="6"/>
  <c r="BV131" i="6" s="1"/>
  <c r="CO131" i="6"/>
  <c r="CN131" i="6"/>
  <c r="BT131" i="6" s="1"/>
  <c r="CM131" i="6"/>
  <c r="CL131" i="6"/>
  <c r="BR131" i="6" s="1"/>
  <c r="CK131" i="6"/>
  <c r="BQ131" i="6" s="1"/>
  <c r="CJ131" i="6"/>
  <c r="CI131" i="6"/>
  <c r="BO131" i="6" s="1"/>
  <c r="CH131" i="6"/>
  <c r="CG131" i="6"/>
  <c r="BM131" i="6" s="1"/>
  <c r="BS131" i="6"/>
  <c r="BN131" i="6"/>
  <c r="BL131" i="6"/>
  <c r="BJ131" i="6"/>
  <c r="BI131" i="6"/>
  <c r="BH131" i="6"/>
  <c r="BG131" i="6"/>
  <c r="BE131" i="6"/>
  <c r="BD131" i="6"/>
  <c r="BC131" i="6"/>
  <c r="BA131" i="6"/>
  <c r="AV131" i="6"/>
  <c r="AR131" i="6"/>
  <c r="AQ131" i="6"/>
  <c r="AP131" i="6"/>
  <c r="AO131" i="6"/>
  <c r="AL131" i="6"/>
  <c r="AK131" i="6"/>
  <c r="W131" i="6"/>
  <c r="V131" i="6"/>
  <c r="U131" i="6"/>
  <c r="X131" i="6" s="1"/>
  <c r="T131" i="6"/>
  <c r="Y131" i="6" s="1"/>
  <c r="S131" i="6"/>
  <c r="R131" i="6"/>
  <c r="Z131" i="6" s="1"/>
  <c r="Q131" i="6"/>
  <c r="P131" i="6"/>
  <c r="O131" i="6"/>
  <c r="N131" i="6"/>
  <c r="L131" i="6"/>
  <c r="K131" i="6"/>
  <c r="C131" i="6"/>
  <c r="CY130" i="6"/>
  <c r="CX130" i="6"/>
  <c r="CR130" i="6"/>
  <c r="CP130" i="6"/>
  <c r="BV130" i="6" s="1"/>
  <c r="CO130" i="6"/>
  <c r="CN130" i="6"/>
  <c r="BT130" i="6" s="1"/>
  <c r="CM130" i="6"/>
  <c r="BS130" i="6" s="1"/>
  <c r="CL130" i="6"/>
  <c r="BR130" i="6" s="1"/>
  <c r="CK130" i="6"/>
  <c r="BQ130" i="6" s="1"/>
  <c r="CJ130" i="6"/>
  <c r="CI130" i="6"/>
  <c r="BO130" i="6" s="1"/>
  <c r="CH130" i="6"/>
  <c r="BN130" i="6" s="1"/>
  <c r="CG130" i="6"/>
  <c r="BM130" i="6"/>
  <c r="BL130" i="6"/>
  <c r="BJ130" i="6"/>
  <c r="BI130" i="6"/>
  <c r="BH130" i="6"/>
  <c r="BG130" i="6"/>
  <c r="BE130" i="6"/>
  <c r="BD130" i="6"/>
  <c r="BC130" i="6"/>
  <c r="AR130" i="6"/>
  <c r="BA130" i="6" s="1"/>
  <c r="AQ130" i="6"/>
  <c r="AP130" i="6"/>
  <c r="AO130" i="6"/>
  <c r="AL130" i="6"/>
  <c r="AK130" i="6"/>
  <c r="R130" i="6"/>
  <c r="Z130" i="6" s="1"/>
  <c r="Q130" i="6"/>
  <c r="T130" i="6" s="1"/>
  <c r="Y130" i="6" s="1"/>
  <c r="P130" i="6"/>
  <c r="U130" i="6" s="1"/>
  <c r="X130" i="6" s="1"/>
  <c r="O130" i="6"/>
  <c r="W130" i="6" s="1"/>
  <c r="N130" i="6"/>
  <c r="S130" i="6" s="1"/>
  <c r="V130" i="6" s="1"/>
  <c r="L130" i="6"/>
  <c r="K130" i="6"/>
  <c r="J130" i="6"/>
  <c r="C130" i="6"/>
  <c r="CY129" i="6"/>
  <c r="CX129" i="6"/>
  <c r="CR129" i="6"/>
  <c r="CP129" i="6"/>
  <c r="BV129" i="6" s="1"/>
  <c r="CO129" i="6"/>
  <c r="CN129" i="6"/>
  <c r="BT129" i="6" s="1"/>
  <c r="CM129" i="6"/>
  <c r="BS129" i="6" s="1"/>
  <c r="CL129" i="6"/>
  <c r="BR129" i="6" s="1"/>
  <c r="CK129" i="6"/>
  <c r="CJ129" i="6"/>
  <c r="CI129" i="6"/>
  <c r="BO129" i="6" s="1"/>
  <c r="CH129" i="6"/>
  <c r="BN129" i="6" s="1"/>
  <c r="CG129" i="6"/>
  <c r="BM129" i="6" s="1"/>
  <c r="BQ129" i="6"/>
  <c r="BL129" i="6"/>
  <c r="BJ129" i="6"/>
  <c r="BI129" i="6"/>
  <c r="BH129" i="6"/>
  <c r="BG129" i="6"/>
  <c r="BE129" i="6"/>
  <c r="BD129" i="6"/>
  <c r="BC129" i="6"/>
  <c r="BA129" i="6"/>
  <c r="AR129" i="6"/>
  <c r="AV129" i="6" s="1"/>
  <c r="BP129" i="6" s="1"/>
  <c r="AQ129" i="6"/>
  <c r="AP129" i="6"/>
  <c r="AO129" i="6"/>
  <c r="AL129" i="6"/>
  <c r="AK129" i="6"/>
  <c r="T129" i="6"/>
  <c r="Y129" i="6" s="1"/>
  <c r="R129" i="6"/>
  <c r="Z129" i="6" s="1"/>
  <c r="Q129" i="6"/>
  <c r="P129" i="6"/>
  <c r="U129" i="6" s="1"/>
  <c r="X129" i="6" s="1"/>
  <c r="O129" i="6"/>
  <c r="W129" i="6" s="1"/>
  <c r="N129" i="6"/>
  <c r="S129" i="6" s="1"/>
  <c r="V129" i="6" s="1"/>
  <c r="L129" i="6"/>
  <c r="K129" i="6"/>
  <c r="J129" i="6"/>
  <c r="I129" i="6"/>
  <c r="E129" i="6"/>
  <c r="C129" i="6"/>
  <c r="CY128" i="6"/>
  <c r="CX128" i="6"/>
  <c r="CR128" i="6"/>
  <c r="CP128" i="6"/>
  <c r="CO128" i="6"/>
  <c r="CN128" i="6"/>
  <c r="CM128" i="6"/>
  <c r="BS128" i="6" s="1"/>
  <c r="CL128" i="6"/>
  <c r="BR128" i="6" s="1"/>
  <c r="CK128" i="6"/>
  <c r="BQ128" i="6" s="1"/>
  <c r="CJ128" i="6"/>
  <c r="CI128" i="6"/>
  <c r="BO128" i="6" s="1"/>
  <c r="CH128" i="6"/>
  <c r="BN128" i="6" s="1"/>
  <c r="CG128" i="6"/>
  <c r="BM128" i="6" s="1"/>
  <c r="BV128" i="6"/>
  <c r="BT128" i="6"/>
  <c r="BL128" i="6"/>
  <c r="BJ128" i="6"/>
  <c r="BI128" i="6"/>
  <c r="BH128" i="6"/>
  <c r="BG128" i="6"/>
  <c r="BE128" i="6"/>
  <c r="BD128" i="6"/>
  <c r="BC128" i="6"/>
  <c r="AR128" i="6"/>
  <c r="BA128" i="6" s="1"/>
  <c r="AQ128" i="6"/>
  <c r="AP128" i="6"/>
  <c r="AO128" i="6"/>
  <c r="AL128" i="6"/>
  <c r="AK128" i="6"/>
  <c r="S128" i="6"/>
  <c r="V128" i="6" s="1"/>
  <c r="R128" i="6"/>
  <c r="Z128" i="6" s="1"/>
  <c r="Q128" i="6"/>
  <c r="T128" i="6" s="1"/>
  <c r="Y128" i="6" s="1"/>
  <c r="J128" i="6" s="1"/>
  <c r="P128" i="6"/>
  <c r="U128" i="6" s="1"/>
  <c r="X128" i="6" s="1"/>
  <c r="O128" i="6"/>
  <c r="W128" i="6" s="1"/>
  <c r="N128" i="6"/>
  <c r="L128" i="6"/>
  <c r="K128" i="6"/>
  <c r="C128" i="6"/>
  <c r="CY127" i="6"/>
  <c r="CX127" i="6"/>
  <c r="CR127" i="6"/>
  <c r="CP127" i="6"/>
  <c r="BV127" i="6" s="1"/>
  <c r="CO127" i="6"/>
  <c r="CN127" i="6"/>
  <c r="BT127" i="6" s="1"/>
  <c r="CM127" i="6"/>
  <c r="BS127" i="6" s="1"/>
  <c r="CL127" i="6"/>
  <c r="BR127" i="6" s="1"/>
  <c r="CK127" i="6"/>
  <c r="BQ127" i="6" s="1"/>
  <c r="CJ127" i="6"/>
  <c r="CI127" i="6"/>
  <c r="BO127" i="6" s="1"/>
  <c r="CH127" i="6"/>
  <c r="BN127" i="6" s="1"/>
  <c r="CG127" i="6"/>
  <c r="BM127" i="6" s="1"/>
  <c r="BL127" i="6"/>
  <c r="BJ127" i="6"/>
  <c r="BI127" i="6"/>
  <c r="BH127" i="6"/>
  <c r="BG127" i="6"/>
  <c r="BE127" i="6"/>
  <c r="BD127" i="6"/>
  <c r="BC127" i="6"/>
  <c r="AR127" i="6"/>
  <c r="BA127" i="6" s="1"/>
  <c r="AQ127" i="6"/>
  <c r="AP127" i="6"/>
  <c r="AO127" i="6"/>
  <c r="AL127" i="6"/>
  <c r="AK127" i="6"/>
  <c r="Y127" i="6"/>
  <c r="R127" i="6"/>
  <c r="Z127" i="6" s="1"/>
  <c r="Q127" i="6"/>
  <c r="T127" i="6" s="1"/>
  <c r="P127" i="6"/>
  <c r="U127" i="6" s="1"/>
  <c r="X127" i="6" s="1"/>
  <c r="O127" i="6"/>
  <c r="W127" i="6" s="1"/>
  <c r="N127" i="6"/>
  <c r="S127" i="6" s="1"/>
  <c r="V127" i="6" s="1"/>
  <c r="L127" i="6"/>
  <c r="K127" i="6"/>
  <c r="J127" i="6"/>
  <c r="I127" i="6"/>
  <c r="C127" i="6"/>
  <c r="CY126" i="6"/>
  <c r="CX126" i="6"/>
  <c r="CR126" i="6"/>
  <c r="CP126" i="6"/>
  <c r="CO126" i="6"/>
  <c r="CN126" i="6"/>
  <c r="CM126" i="6"/>
  <c r="CL126" i="6"/>
  <c r="CK126" i="6"/>
  <c r="BQ126" i="6" s="1"/>
  <c r="CJ126" i="6"/>
  <c r="CI126" i="6"/>
  <c r="BO126" i="6" s="1"/>
  <c r="CH126" i="6"/>
  <c r="CG126" i="6"/>
  <c r="BM126" i="6" s="1"/>
  <c r="BV126" i="6"/>
  <c r="BU126" i="6"/>
  <c r="BT126" i="6"/>
  <c r="BS126" i="6"/>
  <c r="BR126" i="6"/>
  <c r="BN126" i="6"/>
  <c r="BL126" i="6"/>
  <c r="BJ126" i="6"/>
  <c r="BI126" i="6"/>
  <c r="BH126" i="6"/>
  <c r="BG126" i="6"/>
  <c r="BF126" i="6"/>
  <c r="BE126" i="6"/>
  <c r="BD126" i="6"/>
  <c r="BC126" i="6"/>
  <c r="BA126" i="6"/>
  <c r="BK126" i="6" s="1"/>
  <c r="AV126" i="6"/>
  <c r="AP126" i="6"/>
  <c r="AO126" i="6"/>
  <c r="AL126" i="6"/>
  <c r="AK126" i="6"/>
  <c r="Z126" i="6"/>
  <c r="R126" i="6"/>
  <c r="Q126" i="6"/>
  <c r="T126" i="6" s="1"/>
  <c r="Y126" i="6" s="1"/>
  <c r="P126" i="6"/>
  <c r="U126" i="6" s="1"/>
  <c r="X126" i="6" s="1"/>
  <c r="O126" i="6"/>
  <c r="W126" i="6" s="1"/>
  <c r="N126" i="6"/>
  <c r="S126" i="6" s="1"/>
  <c r="V126" i="6" s="1"/>
  <c r="M126" i="6"/>
  <c r="L126" i="6"/>
  <c r="K126" i="6"/>
  <c r="J126" i="6"/>
  <c r="I126" i="6"/>
  <c r="F126" i="6"/>
  <c r="H126" i="6" s="1"/>
  <c r="C126" i="6"/>
  <c r="CY125" i="6"/>
  <c r="CX125" i="6"/>
  <c r="CR125" i="6"/>
  <c r="CP125" i="6"/>
  <c r="CO125" i="6"/>
  <c r="CN125" i="6"/>
  <c r="CM125" i="6"/>
  <c r="CL125" i="6"/>
  <c r="CK125" i="6"/>
  <c r="CJ125" i="6"/>
  <c r="CI125" i="6"/>
  <c r="BO125" i="6" s="1"/>
  <c r="CH125" i="6"/>
  <c r="BN125" i="6" s="1"/>
  <c r="CG125" i="6"/>
  <c r="BM125" i="6" s="1"/>
  <c r="BV125" i="6"/>
  <c r="BU125" i="6"/>
  <c r="BT125" i="6"/>
  <c r="BS125" i="6"/>
  <c r="BR125" i="6"/>
  <c r="BQ125" i="6"/>
  <c r="BP125" i="6"/>
  <c r="BL125" i="6"/>
  <c r="BJ125" i="6"/>
  <c r="BI125" i="6"/>
  <c r="BH125" i="6"/>
  <c r="BG125" i="6"/>
  <c r="BE125" i="6"/>
  <c r="BD125" i="6"/>
  <c r="BC125" i="6"/>
  <c r="BA125" i="6"/>
  <c r="AV125" i="6"/>
  <c r="BF125" i="6" s="1"/>
  <c r="AP125" i="6"/>
  <c r="AO125" i="6"/>
  <c r="AL125" i="6"/>
  <c r="AK125" i="6"/>
  <c r="Z125" i="6"/>
  <c r="X125" i="6"/>
  <c r="W125" i="6"/>
  <c r="S125" i="6"/>
  <c r="V125" i="6" s="1"/>
  <c r="I125" i="6" s="1"/>
  <c r="E125" i="6" s="1"/>
  <c r="G125" i="6" s="1"/>
  <c r="R125" i="6"/>
  <c r="Q125" i="6"/>
  <c r="T125" i="6" s="1"/>
  <c r="Y125" i="6" s="1"/>
  <c r="J125" i="6" s="1"/>
  <c r="P125" i="6"/>
  <c r="U125" i="6" s="1"/>
  <c r="O125" i="6"/>
  <c r="N125" i="6"/>
  <c r="L125" i="6"/>
  <c r="K125" i="6"/>
  <c r="C125" i="6"/>
  <c r="CY124" i="6"/>
  <c r="CX124" i="6"/>
  <c r="CR124" i="6"/>
  <c r="CP124" i="6"/>
  <c r="CO124" i="6"/>
  <c r="CN124" i="6"/>
  <c r="BT124" i="6" s="1"/>
  <c r="CM124" i="6"/>
  <c r="CL124" i="6"/>
  <c r="CK124" i="6"/>
  <c r="CJ124" i="6"/>
  <c r="CI124" i="6"/>
  <c r="CH124" i="6"/>
  <c r="CG124" i="6"/>
  <c r="BV124" i="6"/>
  <c r="BU124" i="6"/>
  <c r="BS124" i="6"/>
  <c r="BR124" i="6"/>
  <c r="BQ124" i="6"/>
  <c r="BP124" i="6"/>
  <c r="BO124" i="6"/>
  <c r="BN124" i="6"/>
  <c r="BM124" i="6"/>
  <c r="BL124" i="6"/>
  <c r="BJ124" i="6"/>
  <c r="BI124" i="6"/>
  <c r="BH124" i="6"/>
  <c r="BG124" i="6"/>
  <c r="BE124" i="6"/>
  <c r="BD124" i="6"/>
  <c r="BC124" i="6"/>
  <c r="BA124" i="6"/>
  <c r="BK124" i="6" s="1"/>
  <c r="AV124" i="6"/>
  <c r="BF124" i="6" s="1"/>
  <c r="AP124" i="6"/>
  <c r="AO124" i="6"/>
  <c r="AL124" i="6"/>
  <c r="AK124" i="6"/>
  <c r="Z124" i="6"/>
  <c r="W124" i="6"/>
  <c r="T124" i="6"/>
  <c r="Y124" i="6" s="1"/>
  <c r="R124" i="6"/>
  <c r="Q124" i="6"/>
  <c r="P124" i="6"/>
  <c r="U124" i="6" s="1"/>
  <c r="X124" i="6" s="1"/>
  <c r="O124" i="6"/>
  <c r="N124" i="6"/>
  <c r="S124" i="6" s="1"/>
  <c r="V124" i="6" s="1"/>
  <c r="I124" i="6" s="1"/>
  <c r="L124" i="6"/>
  <c r="M124" i="6" s="1"/>
  <c r="K124" i="6"/>
  <c r="E124" i="6" s="1"/>
  <c r="G124" i="6" s="1"/>
  <c r="J124" i="6"/>
  <c r="C124" i="6"/>
  <c r="CY123" i="6"/>
  <c r="CX123" i="6"/>
  <c r="CR123" i="6"/>
  <c r="CP123" i="6"/>
  <c r="CO123" i="6"/>
  <c r="CN123" i="6"/>
  <c r="CM123" i="6"/>
  <c r="CL123" i="6"/>
  <c r="CK123" i="6"/>
  <c r="BQ123" i="6" s="1"/>
  <c r="CJ123" i="6"/>
  <c r="CI123" i="6"/>
  <c r="CH123" i="6"/>
  <c r="CG123" i="6"/>
  <c r="BV123" i="6"/>
  <c r="BU123" i="6"/>
  <c r="BT123" i="6"/>
  <c r="BS123" i="6"/>
  <c r="BR123" i="6"/>
  <c r="BP123" i="6"/>
  <c r="BO123" i="6"/>
  <c r="BN123" i="6"/>
  <c r="BM123" i="6"/>
  <c r="BL123" i="6"/>
  <c r="BK123" i="6"/>
  <c r="BJ123" i="6"/>
  <c r="BI123" i="6"/>
  <c r="BH123" i="6"/>
  <c r="BG123" i="6"/>
  <c r="BE123" i="6"/>
  <c r="BD123" i="6"/>
  <c r="BC123" i="6"/>
  <c r="BA123" i="6"/>
  <c r="AV123" i="6"/>
  <c r="BF123" i="6" s="1"/>
  <c r="AP123" i="6"/>
  <c r="AO123" i="6"/>
  <c r="AL123" i="6"/>
  <c r="AK123" i="6"/>
  <c r="W123" i="6"/>
  <c r="U123" i="6"/>
  <c r="X123" i="6" s="1"/>
  <c r="S123" i="6"/>
  <c r="V123" i="6" s="1"/>
  <c r="I123" i="6" s="1"/>
  <c r="E123" i="6" s="1"/>
  <c r="G123" i="6" s="1"/>
  <c r="R123" i="6"/>
  <c r="Z123" i="6" s="1"/>
  <c r="Q123" i="6"/>
  <c r="T123" i="6" s="1"/>
  <c r="Y123" i="6" s="1"/>
  <c r="J123" i="6" s="1"/>
  <c r="P123" i="6"/>
  <c r="O123" i="6"/>
  <c r="N123" i="6"/>
  <c r="M123" i="6"/>
  <c r="CW123" i="6" s="1"/>
  <c r="L123" i="6"/>
  <c r="K123" i="6"/>
  <c r="C123" i="6"/>
  <c r="CY122" i="6"/>
  <c r="CX122" i="6"/>
  <c r="CR122" i="6"/>
  <c r="CP122" i="6"/>
  <c r="BV122" i="6" s="1"/>
  <c r="CO122" i="6"/>
  <c r="CN122" i="6"/>
  <c r="BT122" i="6" s="1"/>
  <c r="CM122" i="6"/>
  <c r="BS122" i="6" s="1"/>
  <c r="CL122" i="6"/>
  <c r="BR122" i="6" s="1"/>
  <c r="CK122" i="6"/>
  <c r="CJ122" i="6"/>
  <c r="CI122" i="6"/>
  <c r="CH122" i="6"/>
  <c r="BN122" i="6" s="1"/>
  <c r="CG122" i="6"/>
  <c r="BQ122" i="6"/>
  <c r="BP122" i="6"/>
  <c r="BO122" i="6"/>
  <c r="BM122" i="6"/>
  <c r="BL122" i="6"/>
  <c r="BJ122" i="6"/>
  <c r="BI122" i="6"/>
  <c r="BH122" i="6"/>
  <c r="BG122" i="6"/>
  <c r="BF122" i="6"/>
  <c r="BE122" i="6"/>
  <c r="BD122" i="6"/>
  <c r="BC122" i="6"/>
  <c r="BA122" i="6"/>
  <c r="AV122" i="6"/>
  <c r="AP122" i="6"/>
  <c r="AO122" i="6"/>
  <c r="AL122" i="6"/>
  <c r="AK122" i="6"/>
  <c r="Z122" i="6"/>
  <c r="Y122" i="6"/>
  <c r="W122" i="6"/>
  <c r="U122" i="6"/>
  <c r="X122" i="6" s="1"/>
  <c r="T122" i="6"/>
  <c r="R122" i="6"/>
  <c r="Q122" i="6"/>
  <c r="P122" i="6"/>
  <c r="O122" i="6"/>
  <c r="N122" i="6"/>
  <c r="S122" i="6" s="1"/>
  <c r="V122" i="6" s="1"/>
  <c r="L122" i="6"/>
  <c r="K122" i="6"/>
  <c r="J122" i="6"/>
  <c r="C122" i="6"/>
  <c r="CY121" i="6"/>
  <c r="CX121" i="6"/>
  <c r="CR121" i="6"/>
  <c r="CP121" i="6"/>
  <c r="BV121" i="6" s="1"/>
  <c r="CO121" i="6"/>
  <c r="BU121" i="6" s="1"/>
  <c r="CN121" i="6"/>
  <c r="BT121" i="6" s="1"/>
  <c r="CM121" i="6"/>
  <c r="BS121" i="6" s="1"/>
  <c r="CL121" i="6"/>
  <c r="BR121" i="6" s="1"/>
  <c r="CK121" i="6"/>
  <c r="BQ121" i="6" s="1"/>
  <c r="CJ121" i="6"/>
  <c r="BP121" i="6" s="1"/>
  <c r="CI121" i="6"/>
  <c r="CH121" i="6"/>
  <c r="CG121" i="6"/>
  <c r="BO121" i="6"/>
  <c r="BN121" i="6"/>
  <c r="BM121" i="6"/>
  <c r="BL121" i="6"/>
  <c r="BK121" i="6"/>
  <c r="BJ121" i="6"/>
  <c r="BI121" i="6"/>
  <c r="BH121" i="6"/>
  <c r="BG121" i="6"/>
  <c r="BF121" i="6"/>
  <c r="BE121" i="6"/>
  <c r="BD121" i="6"/>
  <c r="BC121" i="6"/>
  <c r="BA121" i="6"/>
  <c r="AV121" i="6"/>
  <c r="AP121" i="6"/>
  <c r="AO121" i="6"/>
  <c r="AL121" i="6"/>
  <c r="AK121" i="6"/>
  <c r="R121" i="6"/>
  <c r="Z121" i="6" s="1"/>
  <c r="Q121" i="6"/>
  <c r="T121" i="6" s="1"/>
  <c r="Y121" i="6" s="1"/>
  <c r="J121" i="6" s="1"/>
  <c r="P121" i="6"/>
  <c r="U121" i="6" s="1"/>
  <c r="X121" i="6" s="1"/>
  <c r="O121" i="6"/>
  <c r="W121" i="6" s="1"/>
  <c r="N121" i="6"/>
  <c r="S121" i="6" s="1"/>
  <c r="V121" i="6" s="1"/>
  <c r="L121" i="6"/>
  <c r="M121" i="6" s="1"/>
  <c r="K121" i="6"/>
  <c r="C121" i="6"/>
  <c r="CY120" i="6"/>
  <c r="CX120" i="6"/>
  <c r="CR120" i="6"/>
  <c r="CP120" i="6"/>
  <c r="CO120" i="6"/>
  <c r="CN120" i="6"/>
  <c r="BT120" i="6" s="1"/>
  <c r="CM120" i="6"/>
  <c r="BS120" i="6" s="1"/>
  <c r="CL120" i="6"/>
  <c r="CK120" i="6"/>
  <c r="BQ120" i="6" s="1"/>
  <c r="CJ120" i="6"/>
  <c r="CI120" i="6"/>
  <c r="BO120" i="6" s="1"/>
  <c r="CH120" i="6"/>
  <c r="BN120" i="6" s="1"/>
  <c r="CG120" i="6"/>
  <c r="BV120" i="6"/>
  <c r="BR120" i="6"/>
  <c r="BM120" i="6"/>
  <c r="BL120" i="6"/>
  <c r="BK120" i="6"/>
  <c r="BJ120" i="6"/>
  <c r="BI120" i="6"/>
  <c r="BH120" i="6"/>
  <c r="BG120" i="6"/>
  <c r="BF120" i="6"/>
  <c r="BE120" i="6"/>
  <c r="BD120" i="6"/>
  <c r="BC120" i="6"/>
  <c r="BA120" i="6"/>
  <c r="BU120" i="6" s="1"/>
  <c r="AV120" i="6"/>
  <c r="AP120" i="6"/>
  <c r="AO120" i="6"/>
  <c r="AL120" i="6"/>
  <c r="AK120" i="6"/>
  <c r="R120" i="6"/>
  <c r="Z120" i="6" s="1"/>
  <c r="Q120" i="6"/>
  <c r="T120" i="6" s="1"/>
  <c r="Y120" i="6" s="1"/>
  <c r="J120" i="6" s="1"/>
  <c r="P120" i="6"/>
  <c r="U120" i="6" s="1"/>
  <c r="X120" i="6" s="1"/>
  <c r="O120" i="6"/>
  <c r="W120" i="6" s="1"/>
  <c r="I120" i="6" s="1"/>
  <c r="N120" i="6"/>
  <c r="S120" i="6" s="1"/>
  <c r="V120" i="6" s="1"/>
  <c r="L120" i="6"/>
  <c r="M120" i="6" s="1"/>
  <c r="K120" i="6"/>
  <c r="C120" i="6"/>
  <c r="CY119" i="6"/>
  <c r="CX119" i="6"/>
  <c r="CR119" i="6"/>
  <c r="CP119" i="6"/>
  <c r="CO119" i="6"/>
  <c r="CN119" i="6"/>
  <c r="CM119" i="6"/>
  <c r="CL119" i="6"/>
  <c r="BR119" i="6" s="1"/>
  <c r="CK119" i="6"/>
  <c r="BQ119" i="6" s="1"/>
  <c r="CJ119" i="6"/>
  <c r="CI119" i="6"/>
  <c r="BO119" i="6" s="1"/>
  <c r="CH119" i="6"/>
  <c r="BN119" i="6" s="1"/>
  <c r="CG119" i="6"/>
  <c r="BM119" i="6" s="1"/>
  <c r="BV119" i="6"/>
  <c r="BU119" i="6"/>
  <c r="BT119" i="6"/>
  <c r="BS119" i="6"/>
  <c r="BL119" i="6"/>
  <c r="BJ119" i="6"/>
  <c r="BI119" i="6"/>
  <c r="BH119" i="6"/>
  <c r="BG119" i="6"/>
  <c r="BE119" i="6"/>
  <c r="BD119" i="6"/>
  <c r="BC119" i="6"/>
  <c r="BA119" i="6"/>
  <c r="BK119" i="6" s="1"/>
  <c r="AV119" i="6"/>
  <c r="AP119" i="6"/>
  <c r="AO119" i="6"/>
  <c r="AL119" i="6"/>
  <c r="AK119" i="6"/>
  <c r="W119" i="6"/>
  <c r="R119" i="6"/>
  <c r="Z119" i="6" s="1"/>
  <c r="Q119" i="6"/>
  <c r="T119" i="6" s="1"/>
  <c r="Y119" i="6" s="1"/>
  <c r="J119" i="6" s="1"/>
  <c r="P119" i="6"/>
  <c r="U119" i="6" s="1"/>
  <c r="X119" i="6" s="1"/>
  <c r="O119" i="6"/>
  <c r="N119" i="6"/>
  <c r="S119" i="6" s="1"/>
  <c r="V119" i="6" s="1"/>
  <c r="L119" i="6"/>
  <c r="M119" i="6" s="1"/>
  <c r="F119" i="6" s="1"/>
  <c r="H119" i="6" s="1"/>
  <c r="K119" i="6"/>
  <c r="C119" i="6"/>
  <c r="CY118" i="6"/>
  <c r="CX118" i="6"/>
  <c r="CR118" i="6"/>
  <c r="CP118" i="6"/>
  <c r="CO118" i="6"/>
  <c r="CN118" i="6"/>
  <c r="CM118" i="6"/>
  <c r="BS118" i="6" s="1"/>
  <c r="CL118" i="6"/>
  <c r="BR118" i="6" s="1"/>
  <c r="CK118" i="6"/>
  <c r="BQ118" i="6" s="1"/>
  <c r="CJ118" i="6"/>
  <c r="CI118" i="6"/>
  <c r="BO118" i="6" s="1"/>
  <c r="CH118" i="6"/>
  <c r="BN118" i="6" s="1"/>
  <c r="CG118" i="6"/>
  <c r="BM118" i="6" s="1"/>
  <c r="BV118" i="6"/>
  <c r="BU118" i="6"/>
  <c r="BT118" i="6"/>
  <c r="BL118" i="6"/>
  <c r="BJ118" i="6"/>
  <c r="BI118" i="6"/>
  <c r="BH118" i="6"/>
  <c r="BG118" i="6"/>
  <c r="BE118" i="6"/>
  <c r="BD118" i="6"/>
  <c r="BC118" i="6"/>
  <c r="BA118" i="6"/>
  <c r="BK118" i="6" s="1"/>
  <c r="AV118" i="6"/>
  <c r="AP118" i="6"/>
  <c r="AO118" i="6"/>
  <c r="AL118" i="6"/>
  <c r="AK118" i="6"/>
  <c r="Z118" i="6"/>
  <c r="Y118" i="6"/>
  <c r="J118" i="6" s="1"/>
  <c r="X118" i="6"/>
  <c r="T118" i="6"/>
  <c r="R118" i="6"/>
  <c r="Q118" i="6"/>
  <c r="P118" i="6"/>
  <c r="U118" i="6" s="1"/>
  <c r="O118" i="6"/>
  <c r="W118" i="6" s="1"/>
  <c r="N118" i="6"/>
  <c r="S118" i="6" s="1"/>
  <c r="V118" i="6" s="1"/>
  <c r="L118" i="6"/>
  <c r="M118" i="6" s="1"/>
  <c r="F118" i="6" s="1"/>
  <c r="H118" i="6" s="1"/>
  <c r="K118" i="6"/>
  <c r="I118" i="6"/>
  <c r="C118" i="6"/>
  <c r="CY117" i="6"/>
  <c r="CX117" i="6"/>
  <c r="CR117" i="6"/>
  <c r="CP117" i="6"/>
  <c r="CO117" i="6"/>
  <c r="CN117" i="6"/>
  <c r="CM117" i="6"/>
  <c r="CL117" i="6"/>
  <c r="CK117" i="6"/>
  <c r="CJ117" i="6"/>
  <c r="CI117" i="6"/>
  <c r="CH117" i="6"/>
  <c r="CG117" i="6"/>
  <c r="BM117" i="6" s="1"/>
  <c r="BV117" i="6"/>
  <c r="BU117" i="6"/>
  <c r="BT117" i="6"/>
  <c r="BS117" i="6"/>
  <c r="BR117" i="6"/>
  <c r="BQ117" i="6"/>
  <c r="BP117" i="6"/>
  <c r="BO117" i="6"/>
  <c r="BN117" i="6"/>
  <c r="BL117" i="6"/>
  <c r="BJ117" i="6"/>
  <c r="BI117" i="6"/>
  <c r="BH117" i="6"/>
  <c r="BG117" i="6"/>
  <c r="BE117" i="6"/>
  <c r="BD117" i="6"/>
  <c r="BC117" i="6"/>
  <c r="BA117" i="6"/>
  <c r="BK117" i="6" s="1"/>
  <c r="AV117" i="6"/>
  <c r="BF117" i="6" s="1"/>
  <c r="AP117" i="6"/>
  <c r="AO117" i="6"/>
  <c r="AL117" i="6"/>
  <c r="AK117" i="6"/>
  <c r="Z117" i="6"/>
  <c r="X117" i="6"/>
  <c r="W117" i="6"/>
  <c r="U117" i="6"/>
  <c r="R117" i="6"/>
  <c r="Q117" i="6"/>
  <c r="T117" i="6" s="1"/>
  <c r="Y117" i="6" s="1"/>
  <c r="J117" i="6" s="1"/>
  <c r="P117" i="6"/>
  <c r="O117" i="6"/>
  <c r="N117" i="6"/>
  <c r="S117" i="6" s="1"/>
  <c r="V117" i="6" s="1"/>
  <c r="I117" i="6" s="1"/>
  <c r="E117" i="6" s="1"/>
  <c r="G117" i="6" s="1"/>
  <c r="L117" i="6"/>
  <c r="M117" i="6" s="1"/>
  <c r="F117" i="6" s="1"/>
  <c r="H117" i="6" s="1"/>
  <c r="K117" i="6"/>
  <c r="C117" i="6"/>
  <c r="CY116" i="6"/>
  <c r="CX116" i="6"/>
  <c r="CW116" i="6"/>
  <c r="CR116" i="6"/>
  <c r="CP116" i="6"/>
  <c r="BV116" i="6" s="1"/>
  <c r="CO116" i="6"/>
  <c r="CN116" i="6"/>
  <c r="CM116" i="6"/>
  <c r="CL116" i="6"/>
  <c r="BR116" i="6" s="1"/>
  <c r="CK116" i="6"/>
  <c r="CJ116" i="6"/>
  <c r="CI116" i="6"/>
  <c r="CH116" i="6"/>
  <c r="CG116" i="6"/>
  <c r="BU116" i="6"/>
  <c r="BT116" i="6"/>
  <c r="BS116" i="6"/>
  <c r="BQ116" i="6"/>
  <c r="BO116" i="6"/>
  <c r="BN116" i="6"/>
  <c r="BM116" i="6"/>
  <c r="BL116" i="6"/>
  <c r="BK116" i="6"/>
  <c r="BJ116" i="6"/>
  <c r="BI116" i="6"/>
  <c r="BH116" i="6"/>
  <c r="BG116" i="6"/>
  <c r="BF116" i="6"/>
  <c r="BE116" i="6"/>
  <c r="BD116" i="6"/>
  <c r="BC116" i="6"/>
  <c r="BA116" i="6"/>
  <c r="AV116" i="6"/>
  <c r="BP116" i="6" s="1"/>
  <c r="AP116" i="6"/>
  <c r="AO116" i="6"/>
  <c r="AL116" i="6"/>
  <c r="AK116" i="6"/>
  <c r="W116" i="6"/>
  <c r="U116" i="6"/>
  <c r="X116" i="6" s="1"/>
  <c r="T116" i="6"/>
  <c r="Y116" i="6" s="1"/>
  <c r="R116" i="6"/>
  <c r="Z116" i="6" s="1"/>
  <c r="Q116" i="6"/>
  <c r="P116" i="6"/>
  <c r="O116" i="6"/>
  <c r="N116" i="6"/>
  <c r="S116" i="6" s="1"/>
  <c r="V116" i="6" s="1"/>
  <c r="I116" i="6" s="1"/>
  <c r="E116" i="6" s="1"/>
  <c r="G116" i="6" s="1"/>
  <c r="L116" i="6"/>
  <c r="M116" i="6" s="1"/>
  <c r="K116" i="6"/>
  <c r="C116" i="6"/>
  <c r="CY115" i="6"/>
  <c r="CX115" i="6"/>
  <c r="CR115" i="6"/>
  <c r="CP115" i="6"/>
  <c r="BV115" i="6" s="1"/>
  <c r="CO115" i="6"/>
  <c r="BU115" i="6" s="1"/>
  <c r="CN115" i="6"/>
  <c r="CM115" i="6"/>
  <c r="CL115" i="6"/>
  <c r="CK115" i="6"/>
  <c r="CJ115" i="6"/>
  <c r="CI115" i="6"/>
  <c r="BO115" i="6" s="1"/>
  <c r="CH115" i="6"/>
  <c r="CG115" i="6"/>
  <c r="BT115" i="6"/>
  <c r="BS115" i="6"/>
  <c r="BR115" i="6"/>
  <c r="BQ115" i="6"/>
  <c r="BP115" i="6"/>
  <c r="BN115" i="6"/>
  <c r="BM115" i="6"/>
  <c r="BL115" i="6"/>
  <c r="BK115" i="6"/>
  <c r="BJ115" i="6"/>
  <c r="BI115" i="6"/>
  <c r="BH115" i="6"/>
  <c r="BG115" i="6"/>
  <c r="BE115" i="6"/>
  <c r="BD115" i="6"/>
  <c r="BC115" i="6"/>
  <c r="BA115" i="6"/>
  <c r="M115" i="6" s="1"/>
  <c r="AV115" i="6"/>
  <c r="BF115" i="6" s="1"/>
  <c r="AP115" i="6"/>
  <c r="AO115" i="6"/>
  <c r="AL115" i="6"/>
  <c r="AK115" i="6"/>
  <c r="Z115" i="6"/>
  <c r="W115" i="6"/>
  <c r="S115" i="6"/>
  <c r="V115" i="6" s="1"/>
  <c r="R115" i="6"/>
  <c r="Q115" i="6"/>
  <c r="T115" i="6" s="1"/>
  <c r="Y115" i="6" s="1"/>
  <c r="J115" i="6" s="1"/>
  <c r="P115" i="6"/>
  <c r="U115" i="6" s="1"/>
  <c r="X115" i="6" s="1"/>
  <c r="O115" i="6"/>
  <c r="N115" i="6"/>
  <c r="L115" i="6"/>
  <c r="K115" i="6"/>
  <c r="C115" i="6"/>
  <c r="CY114" i="6"/>
  <c r="CX114" i="6"/>
  <c r="CR114" i="6"/>
  <c r="CP114" i="6"/>
  <c r="BV114" i="6" s="1"/>
  <c r="CO114" i="6"/>
  <c r="BU114" i="6" s="1"/>
  <c r="CN114" i="6"/>
  <c r="BT114" i="6" s="1"/>
  <c r="CM114" i="6"/>
  <c r="BS114" i="6" s="1"/>
  <c r="CL114" i="6"/>
  <c r="BR114" i="6" s="1"/>
  <c r="CK114" i="6"/>
  <c r="CJ114" i="6"/>
  <c r="CI114" i="6"/>
  <c r="CH114" i="6"/>
  <c r="CG114" i="6"/>
  <c r="BQ114" i="6"/>
  <c r="BP114" i="6"/>
  <c r="BO114" i="6"/>
  <c r="BN114" i="6"/>
  <c r="BM114" i="6"/>
  <c r="BL114" i="6"/>
  <c r="BK114" i="6"/>
  <c r="BJ114" i="6"/>
  <c r="BI114" i="6"/>
  <c r="BH114" i="6"/>
  <c r="BG114" i="6"/>
  <c r="BF114" i="6"/>
  <c r="BE114" i="6"/>
  <c r="BD114" i="6"/>
  <c r="BC114" i="6"/>
  <c r="BA114" i="6"/>
  <c r="AV114" i="6"/>
  <c r="AP114" i="6"/>
  <c r="AO114" i="6"/>
  <c r="AL114" i="6"/>
  <c r="AK114" i="6"/>
  <c r="W114" i="6"/>
  <c r="T114" i="6"/>
  <c r="Y114" i="6" s="1"/>
  <c r="J114" i="6" s="1"/>
  <c r="R114" i="6"/>
  <c r="Z114" i="6" s="1"/>
  <c r="Q114" i="6"/>
  <c r="P114" i="6"/>
  <c r="U114" i="6" s="1"/>
  <c r="X114" i="6" s="1"/>
  <c r="O114" i="6"/>
  <c r="N114" i="6"/>
  <c r="S114" i="6" s="1"/>
  <c r="V114" i="6" s="1"/>
  <c r="L114" i="6"/>
  <c r="M114" i="6" s="1"/>
  <c r="K114" i="6"/>
  <c r="C114" i="6"/>
  <c r="CY113" i="6"/>
  <c r="CX113" i="6"/>
  <c r="CR113" i="6"/>
  <c r="CP113" i="6"/>
  <c r="BV113" i="6" s="1"/>
  <c r="CO113" i="6"/>
  <c r="CN113" i="6"/>
  <c r="BT113" i="6" s="1"/>
  <c r="CM113" i="6"/>
  <c r="BS113" i="6" s="1"/>
  <c r="CL113" i="6"/>
  <c r="BR113" i="6" s="1"/>
  <c r="CK113" i="6"/>
  <c r="BQ113" i="6" s="1"/>
  <c r="CJ113" i="6"/>
  <c r="CI113" i="6"/>
  <c r="BO113" i="6" s="1"/>
  <c r="CH113" i="6"/>
  <c r="BN113" i="6" s="1"/>
  <c r="CG113" i="6"/>
  <c r="BM113" i="6"/>
  <c r="BL113" i="6"/>
  <c r="BK113" i="6"/>
  <c r="BJ113" i="6"/>
  <c r="BI113" i="6"/>
  <c r="BH113" i="6"/>
  <c r="BG113" i="6"/>
  <c r="BE113" i="6"/>
  <c r="BD113" i="6"/>
  <c r="BC113" i="6"/>
  <c r="BA113" i="6"/>
  <c r="BU113" i="6" s="1"/>
  <c r="AV113" i="6"/>
  <c r="AP113" i="6"/>
  <c r="AO113" i="6"/>
  <c r="AL113" i="6"/>
  <c r="AK113" i="6"/>
  <c r="U113" i="6"/>
  <c r="X113" i="6" s="1"/>
  <c r="T113" i="6"/>
  <c r="Y113" i="6" s="1"/>
  <c r="R113" i="6"/>
  <c r="Z113" i="6" s="1"/>
  <c r="Q113" i="6"/>
  <c r="P113" i="6"/>
  <c r="O113" i="6"/>
  <c r="W113" i="6" s="1"/>
  <c r="N113" i="6"/>
  <c r="S113" i="6" s="1"/>
  <c r="V113" i="6" s="1"/>
  <c r="I113" i="6" s="1"/>
  <c r="M113" i="6"/>
  <c r="L113" i="6"/>
  <c r="K113" i="6"/>
  <c r="CW113" i="6" s="1"/>
  <c r="C113" i="6"/>
  <c r="CY112" i="6"/>
  <c r="CX112" i="6"/>
  <c r="CR112" i="6"/>
  <c r="CP112" i="6"/>
  <c r="BV112" i="6" s="1"/>
  <c r="CO112" i="6"/>
  <c r="CN112" i="6"/>
  <c r="BT112" i="6" s="1"/>
  <c r="CM112" i="6"/>
  <c r="BS112" i="6" s="1"/>
  <c r="CL112" i="6"/>
  <c r="BR112" i="6" s="1"/>
  <c r="CK112" i="6"/>
  <c r="BQ112" i="6" s="1"/>
  <c r="CJ112" i="6"/>
  <c r="CI112" i="6"/>
  <c r="BO112" i="6" s="1"/>
  <c r="CH112" i="6"/>
  <c r="BN112" i="6" s="1"/>
  <c r="CG112" i="6"/>
  <c r="BM112" i="6" s="1"/>
  <c r="BL112" i="6"/>
  <c r="BJ112" i="6"/>
  <c r="BI112" i="6"/>
  <c r="BH112" i="6"/>
  <c r="BG112" i="6"/>
  <c r="BF112" i="6"/>
  <c r="BE112" i="6"/>
  <c r="BD112" i="6"/>
  <c r="BC112" i="6"/>
  <c r="BA112" i="6"/>
  <c r="AV112" i="6"/>
  <c r="BP112" i="6" s="1"/>
  <c r="AP112" i="6"/>
  <c r="AO112" i="6"/>
  <c r="AL112" i="6"/>
  <c r="AK112" i="6"/>
  <c r="S112" i="6"/>
  <c r="V112" i="6" s="1"/>
  <c r="R112" i="6"/>
  <c r="Z112" i="6" s="1"/>
  <c r="Q112" i="6"/>
  <c r="T112" i="6" s="1"/>
  <c r="Y112" i="6" s="1"/>
  <c r="J112" i="6" s="1"/>
  <c r="P112" i="6"/>
  <c r="U112" i="6" s="1"/>
  <c r="X112" i="6" s="1"/>
  <c r="O112" i="6"/>
  <c r="W112" i="6" s="1"/>
  <c r="N112" i="6"/>
  <c r="L112" i="6"/>
  <c r="K112" i="6"/>
  <c r="C112" i="6"/>
  <c r="CY111" i="6"/>
  <c r="CX111" i="6"/>
  <c r="CR111" i="6"/>
  <c r="CP111" i="6"/>
  <c r="CO111" i="6"/>
  <c r="CN111" i="6"/>
  <c r="BT111" i="6" s="1"/>
  <c r="CM111" i="6"/>
  <c r="BS111" i="6" s="1"/>
  <c r="CL111" i="6"/>
  <c r="BR111" i="6" s="1"/>
  <c r="CK111" i="6"/>
  <c r="CJ111" i="6"/>
  <c r="CI111" i="6"/>
  <c r="BO111" i="6" s="1"/>
  <c r="CH111" i="6"/>
  <c r="BN111" i="6" s="1"/>
  <c r="CG111" i="6"/>
  <c r="BV111" i="6"/>
  <c r="BQ111" i="6"/>
  <c r="BM111" i="6"/>
  <c r="BL111" i="6"/>
  <c r="BJ111" i="6"/>
  <c r="BI111" i="6"/>
  <c r="BH111" i="6"/>
  <c r="BG111" i="6"/>
  <c r="BE111" i="6"/>
  <c r="BD111" i="6"/>
  <c r="BC111" i="6"/>
  <c r="BA111" i="6"/>
  <c r="AV111" i="6"/>
  <c r="BP111" i="6" s="1"/>
  <c r="AP111" i="6"/>
  <c r="AO111" i="6"/>
  <c r="AL111" i="6"/>
  <c r="AK111" i="6"/>
  <c r="Z111" i="6"/>
  <c r="R111" i="6"/>
  <c r="Q111" i="6"/>
  <c r="T111" i="6" s="1"/>
  <c r="Y111" i="6" s="1"/>
  <c r="P111" i="6"/>
  <c r="U111" i="6" s="1"/>
  <c r="X111" i="6" s="1"/>
  <c r="O111" i="6"/>
  <c r="W111" i="6" s="1"/>
  <c r="N111" i="6"/>
  <c r="S111" i="6" s="1"/>
  <c r="V111" i="6" s="1"/>
  <c r="L111" i="6"/>
  <c r="K111" i="6"/>
  <c r="J111" i="6"/>
  <c r="I111" i="6"/>
  <c r="E111" i="6"/>
  <c r="G111" i="6" s="1"/>
  <c r="C111" i="6"/>
  <c r="CY110" i="6"/>
  <c r="CX110" i="6"/>
  <c r="CR110" i="6"/>
  <c r="CP110" i="6"/>
  <c r="CO110" i="6"/>
  <c r="CN110" i="6"/>
  <c r="CM110" i="6"/>
  <c r="CL110" i="6"/>
  <c r="CK110" i="6"/>
  <c r="CJ110" i="6"/>
  <c r="CI110" i="6"/>
  <c r="CH110" i="6"/>
  <c r="CG110" i="6"/>
  <c r="BM110" i="6" s="1"/>
  <c r="BV110" i="6"/>
  <c r="BU110" i="6"/>
  <c r="BT110" i="6"/>
  <c r="BS110" i="6"/>
  <c r="BR110" i="6"/>
  <c r="BQ110" i="6"/>
  <c r="BP110" i="6"/>
  <c r="BO110" i="6"/>
  <c r="BN110" i="6"/>
  <c r="BL110" i="6"/>
  <c r="BJ110" i="6"/>
  <c r="BI110" i="6"/>
  <c r="BH110" i="6"/>
  <c r="BG110" i="6"/>
  <c r="BE110" i="6"/>
  <c r="BD110" i="6"/>
  <c r="BC110" i="6"/>
  <c r="BA110" i="6"/>
  <c r="BK110" i="6" s="1"/>
  <c r="AV110" i="6"/>
  <c r="BF110" i="6" s="1"/>
  <c r="AP110" i="6"/>
  <c r="AO110" i="6"/>
  <c r="AL110" i="6"/>
  <c r="AK110" i="6"/>
  <c r="W110" i="6"/>
  <c r="R110" i="6"/>
  <c r="Z110" i="6" s="1"/>
  <c r="Q110" i="6"/>
  <c r="T110" i="6" s="1"/>
  <c r="Y110" i="6" s="1"/>
  <c r="J110" i="6" s="1"/>
  <c r="P110" i="6"/>
  <c r="U110" i="6" s="1"/>
  <c r="X110" i="6" s="1"/>
  <c r="O110" i="6"/>
  <c r="N110" i="6"/>
  <c r="S110" i="6" s="1"/>
  <c r="V110" i="6" s="1"/>
  <c r="I110" i="6" s="1"/>
  <c r="E110" i="6" s="1"/>
  <c r="G110" i="6" s="1"/>
  <c r="L110" i="6"/>
  <c r="M110" i="6" s="1"/>
  <c r="K110" i="6"/>
  <c r="F110" i="6"/>
  <c r="H110" i="6" s="1"/>
  <c r="C110" i="6"/>
  <c r="CY109" i="6"/>
  <c r="CX109" i="6"/>
  <c r="CR109" i="6"/>
  <c r="CP109" i="6"/>
  <c r="CO109" i="6"/>
  <c r="CN109" i="6"/>
  <c r="CM109" i="6"/>
  <c r="BS109" i="6" s="1"/>
  <c r="CL109" i="6"/>
  <c r="CK109" i="6"/>
  <c r="CJ109" i="6"/>
  <c r="CI109" i="6"/>
  <c r="CH109" i="6"/>
  <c r="CG109" i="6"/>
  <c r="BV109" i="6"/>
  <c r="BT109" i="6"/>
  <c r="BR109" i="6"/>
  <c r="BQ109" i="6"/>
  <c r="BP109" i="6"/>
  <c r="BO109" i="6"/>
  <c r="BN109" i="6"/>
  <c r="BM109" i="6"/>
  <c r="BL109" i="6"/>
  <c r="BJ109" i="6"/>
  <c r="BI109" i="6"/>
  <c r="BH109" i="6"/>
  <c r="BG109" i="6"/>
  <c r="BE109" i="6"/>
  <c r="BD109" i="6"/>
  <c r="BC109" i="6"/>
  <c r="BA109" i="6"/>
  <c r="AV109" i="6"/>
  <c r="BF109" i="6" s="1"/>
  <c r="AP109" i="6"/>
  <c r="AO109" i="6"/>
  <c r="AL109" i="6"/>
  <c r="AK109" i="6"/>
  <c r="Z109" i="6"/>
  <c r="W109" i="6"/>
  <c r="V109" i="6"/>
  <c r="U109" i="6"/>
  <c r="X109" i="6" s="1"/>
  <c r="T109" i="6"/>
  <c r="Y109" i="6" s="1"/>
  <c r="S109" i="6"/>
  <c r="R109" i="6"/>
  <c r="Q109" i="6"/>
  <c r="P109" i="6"/>
  <c r="O109" i="6"/>
  <c r="N109" i="6"/>
  <c r="L109" i="6"/>
  <c r="K109" i="6"/>
  <c r="J109" i="6"/>
  <c r="C109" i="6"/>
  <c r="CY108" i="6"/>
  <c r="CX108" i="6"/>
  <c r="CW108" i="6"/>
  <c r="CR108" i="6"/>
  <c r="CP108" i="6"/>
  <c r="BV108" i="6" s="1"/>
  <c r="CO108" i="6"/>
  <c r="BU108" i="6" s="1"/>
  <c r="CN108" i="6"/>
  <c r="BT108" i="6" s="1"/>
  <c r="CM108" i="6"/>
  <c r="CL108" i="6"/>
  <c r="CK108" i="6"/>
  <c r="CJ108" i="6"/>
  <c r="BP108" i="6" s="1"/>
  <c r="CI108" i="6"/>
  <c r="CH108" i="6"/>
  <c r="CG108" i="6"/>
  <c r="BS108" i="6"/>
  <c r="BR108" i="6"/>
  <c r="BQ108" i="6"/>
  <c r="BO108" i="6"/>
  <c r="BN108" i="6"/>
  <c r="BM108" i="6"/>
  <c r="BL108" i="6"/>
  <c r="BK108" i="6"/>
  <c r="BJ108" i="6"/>
  <c r="BI108" i="6"/>
  <c r="BH108" i="6"/>
  <c r="BG108" i="6"/>
  <c r="BE108" i="6"/>
  <c r="BD108" i="6"/>
  <c r="BC108" i="6"/>
  <c r="BA108" i="6"/>
  <c r="AV108" i="6"/>
  <c r="BF108" i="6" s="1"/>
  <c r="AP108" i="6"/>
  <c r="AO108" i="6"/>
  <c r="AL108" i="6"/>
  <c r="AK108" i="6"/>
  <c r="W108" i="6"/>
  <c r="S108" i="6"/>
  <c r="V108" i="6" s="1"/>
  <c r="R108" i="6"/>
  <c r="Z108" i="6" s="1"/>
  <c r="Q108" i="6"/>
  <c r="T108" i="6" s="1"/>
  <c r="Y108" i="6" s="1"/>
  <c r="P108" i="6"/>
  <c r="U108" i="6" s="1"/>
  <c r="X108" i="6" s="1"/>
  <c r="O108" i="6"/>
  <c r="N108" i="6"/>
  <c r="L108" i="6"/>
  <c r="M108" i="6" s="1"/>
  <c r="K108" i="6"/>
  <c r="C108" i="6"/>
  <c r="CY107" i="6"/>
  <c r="CX107" i="6"/>
  <c r="CW107" i="6"/>
  <c r="CR107" i="6"/>
  <c r="CP107" i="6"/>
  <c r="BV107" i="6" s="1"/>
  <c r="CO107" i="6"/>
  <c r="BU107" i="6" s="1"/>
  <c r="CN107" i="6"/>
  <c r="BT107" i="6" s="1"/>
  <c r="CM107" i="6"/>
  <c r="BS107" i="6" s="1"/>
  <c r="CL107" i="6"/>
  <c r="CK107" i="6"/>
  <c r="CJ107" i="6"/>
  <c r="CI107" i="6"/>
  <c r="CH107" i="6"/>
  <c r="CG107" i="6"/>
  <c r="BR107" i="6"/>
  <c r="BQ107" i="6"/>
  <c r="BP107" i="6"/>
  <c r="BO107" i="6"/>
  <c r="BN107" i="6"/>
  <c r="BM107" i="6"/>
  <c r="BL107" i="6"/>
  <c r="BK107" i="6"/>
  <c r="BJ107" i="6"/>
  <c r="BI107" i="6"/>
  <c r="BH107" i="6"/>
  <c r="BG107" i="6"/>
  <c r="BE107" i="6"/>
  <c r="BD107" i="6"/>
  <c r="BC107" i="6"/>
  <c r="BA107" i="6"/>
  <c r="AV107" i="6"/>
  <c r="BF107" i="6" s="1"/>
  <c r="AQ107" i="6"/>
  <c r="AP107" i="6"/>
  <c r="AO107" i="6"/>
  <c r="AL107" i="6"/>
  <c r="AK107" i="6"/>
  <c r="W107" i="6"/>
  <c r="S107" i="6"/>
  <c r="V107" i="6" s="1"/>
  <c r="R107" i="6"/>
  <c r="Z107" i="6" s="1"/>
  <c r="Q107" i="6"/>
  <c r="T107" i="6" s="1"/>
  <c r="Y107" i="6" s="1"/>
  <c r="J107" i="6" s="1"/>
  <c r="P107" i="6"/>
  <c r="U107" i="6" s="1"/>
  <c r="X107" i="6" s="1"/>
  <c r="O107" i="6"/>
  <c r="N107" i="6"/>
  <c r="L107" i="6"/>
  <c r="M107" i="6" s="1"/>
  <c r="K107" i="6"/>
  <c r="C107" i="6"/>
  <c r="CY106" i="6"/>
  <c r="CX106" i="6"/>
  <c r="CR106" i="6"/>
  <c r="CP106" i="6"/>
  <c r="BV106" i="6" s="1"/>
  <c r="CO106" i="6"/>
  <c r="CN106" i="6"/>
  <c r="BT106" i="6" s="1"/>
  <c r="CM106" i="6"/>
  <c r="BS106" i="6" s="1"/>
  <c r="CL106" i="6"/>
  <c r="BR106" i="6" s="1"/>
  <c r="CK106" i="6"/>
  <c r="BQ106" i="6" s="1"/>
  <c r="CJ106" i="6"/>
  <c r="BP106" i="6" s="1"/>
  <c r="CI106" i="6"/>
  <c r="BO106" i="6" s="1"/>
  <c r="CH106" i="6"/>
  <c r="CG106" i="6"/>
  <c r="BU106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A106" i="6"/>
  <c r="AV106" i="6"/>
  <c r="AP106" i="6"/>
  <c r="AO106" i="6"/>
  <c r="AL106" i="6"/>
  <c r="AK106" i="6"/>
  <c r="R106" i="6"/>
  <c r="Z106" i="6" s="1"/>
  <c r="Q106" i="6"/>
  <c r="T106" i="6" s="1"/>
  <c r="Y106" i="6" s="1"/>
  <c r="J106" i="6" s="1"/>
  <c r="P106" i="6"/>
  <c r="U106" i="6" s="1"/>
  <c r="X106" i="6" s="1"/>
  <c r="O106" i="6"/>
  <c r="W106" i="6" s="1"/>
  <c r="N106" i="6"/>
  <c r="S106" i="6" s="1"/>
  <c r="V106" i="6" s="1"/>
  <c r="L106" i="6"/>
  <c r="M106" i="6" s="1"/>
  <c r="K106" i="6"/>
  <c r="C106" i="6"/>
  <c r="CY105" i="6"/>
  <c r="CX105" i="6"/>
  <c r="CR105" i="6"/>
  <c r="CP105" i="6"/>
  <c r="BV105" i="6" s="1"/>
  <c r="CO105" i="6"/>
  <c r="CN105" i="6"/>
  <c r="BT105" i="6" s="1"/>
  <c r="CM105" i="6"/>
  <c r="BS105" i="6" s="1"/>
  <c r="CL105" i="6"/>
  <c r="CK105" i="6"/>
  <c r="BQ105" i="6" s="1"/>
  <c r="CJ105" i="6"/>
  <c r="CI105" i="6"/>
  <c r="BO105" i="6" s="1"/>
  <c r="CH105" i="6"/>
  <c r="BN105" i="6" s="1"/>
  <c r="CG105" i="6"/>
  <c r="BR105" i="6"/>
  <c r="BM105" i="6"/>
  <c r="BL105" i="6"/>
  <c r="BJ105" i="6"/>
  <c r="BI105" i="6"/>
  <c r="BH105" i="6"/>
  <c r="BG105" i="6"/>
  <c r="BE105" i="6"/>
  <c r="BD105" i="6"/>
  <c r="BC105" i="6"/>
  <c r="BA105" i="6"/>
  <c r="BK105" i="6" s="1"/>
  <c r="AV105" i="6"/>
  <c r="AP105" i="6"/>
  <c r="AO105" i="6"/>
  <c r="AL105" i="6"/>
  <c r="AK105" i="6"/>
  <c r="R105" i="6"/>
  <c r="Z105" i="6" s="1"/>
  <c r="Q105" i="6"/>
  <c r="T105" i="6" s="1"/>
  <c r="Y105" i="6" s="1"/>
  <c r="J105" i="6" s="1"/>
  <c r="P105" i="6"/>
  <c r="U105" i="6" s="1"/>
  <c r="X105" i="6" s="1"/>
  <c r="O105" i="6"/>
  <c r="W105" i="6" s="1"/>
  <c r="N105" i="6"/>
  <c r="S105" i="6" s="1"/>
  <c r="V105" i="6" s="1"/>
  <c r="I105" i="6" s="1"/>
  <c r="M105" i="6"/>
  <c r="L105" i="6"/>
  <c r="K105" i="6"/>
  <c r="C105" i="6"/>
  <c r="CY104" i="6"/>
  <c r="CX104" i="6"/>
  <c r="CR104" i="6"/>
  <c r="CP104" i="6"/>
  <c r="CO104" i="6"/>
  <c r="CN104" i="6"/>
  <c r="CM104" i="6"/>
  <c r="CL104" i="6"/>
  <c r="BR104" i="6" s="1"/>
  <c r="CK104" i="6"/>
  <c r="BQ104" i="6" s="1"/>
  <c r="CJ104" i="6"/>
  <c r="CI104" i="6"/>
  <c r="BO104" i="6" s="1"/>
  <c r="CH104" i="6"/>
  <c r="BN104" i="6" s="1"/>
  <c r="CG104" i="6"/>
  <c r="BM104" i="6" s="1"/>
  <c r="BV104" i="6"/>
  <c r="BU104" i="6"/>
  <c r="BT104" i="6"/>
  <c r="BS104" i="6"/>
  <c r="BL104" i="6"/>
  <c r="BJ104" i="6"/>
  <c r="BI104" i="6"/>
  <c r="BH104" i="6"/>
  <c r="BG104" i="6"/>
  <c r="BF104" i="6"/>
  <c r="BE104" i="6"/>
  <c r="BD104" i="6"/>
  <c r="BC104" i="6"/>
  <c r="BA104" i="6"/>
  <c r="BK104" i="6" s="1"/>
  <c r="AV104" i="6"/>
  <c r="AP104" i="6"/>
  <c r="AO104" i="6"/>
  <c r="AL104" i="6"/>
  <c r="AK104" i="6"/>
  <c r="W104" i="6"/>
  <c r="I104" i="6" s="1"/>
  <c r="R104" i="6"/>
  <c r="Z104" i="6" s="1"/>
  <c r="Q104" i="6"/>
  <c r="T104" i="6" s="1"/>
  <c r="Y104" i="6" s="1"/>
  <c r="P104" i="6"/>
  <c r="U104" i="6" s="1"/>
  <c r="X104" i="6" s="1"/>
  <c r="O104" i="6"/>
  <c r="N104" i="6"/>
  <c r="S104" i="6" s="1"/>
  <c r="V104" i="6" s="1"/>
  <c r="L104" i="6"/>
  <c r="M104" i="6" s="1"/>
  <c r="K104" i="6"/>
  <c r="C104" i="6"/>
  <c r="CY103" i="6"/>
  <c r="CX103" i="6"/>
  <c r="CR103" i="6"/>
  <c r="CP103" i="6"/>
  <c r="CO103" i="6"/>
  <c r="CN103" i="6"/>
  <c r="CM103" i="6"/>
  <c r="BS103" i="6" s="1"/>
  <c r="CL103" i="6"/>
  <c r="BR103" i="6" s="1"/>
  <c r="CK103" i="6"/>
  <c r="BQ103" i="6" s="1"/>
  <c r="CJ103" i="6"/>
  <c r="CI103" i="6"/>
  <c r="BO103" i="6" s="1"/>
  <c r="CH103" i="6"/>
  <c r="BN103" i="6" s="1"/>
  <c r="CG103" i="6"/>
  <c r="BM103" i="6" s="1"/>
  <c r="BV103" i="6"/>
  <c r="BT103" i="6"/>
  <c r="BL103" i="6"/>
  <c r="BJ103" i="6"/>
  <c r="BI103" i="6"/>
  <c r="BH103" i="6"/>
  <c r="BG103" i="6"/>
  <c r="BE103" i="6"/>
  <c r="BD103" i="6"/>
  <c r="BC103" i="6"/>
  <c r="BA103" i="6"/>
  <c r="AV103" i="6"/>
  <c r="AP103" i="6"/>
  <c r="AO103" i="6"/>
  <c r="AL103" i="6"/>
  <c r="AK103" i="6"/>
  <c r="Z103" i="6"/>
  <c r="X103" i="6"/>
  <c r="T103" i="6"/>
  <c r="Y103" i="6" s="1"/>
  <c r="J103" i="6" s="1"/>
  <c r="R103" i="6"/>
  <c r="Q103" i="6"/>
  <c r="P103" i="6"/>
  <c r="U103" i="6" s="1"/>
  <c r="O103" i="6"/>
  <c r="W103" i="6" s="1"/>
  <c r="N103" i="6"/>
  <c r="S103" i="6" s="1"/>
  <c r="V103" i="6" s="1"/>
  <c r="L103" i="6"/>
  <c r="K103" i="6"/>
  <c r="I103" i="6"/>
  <c r="E103" i="6"/>
  <c r="G103" i="6" s="1"/>
  <c r="C103" i="6"/>
  <c r="CY102" i="6"/>
  <c r="CX102" i="6"/>
  <c r="CR102" i="6"/>
  <c r="CP102" i="6"/>
  <c r="CO102" i="6"/>
  <c r="BU102" i="6" s="1"/>
  <c r="CN102" i="6"/>
  <c r="CM102" i="6"/>
  <c r="CL102" i="6"/>
  <c r="CK102" i="6"/>
  <c r="CJ102" i="6"/>
  <c r="CI102" i="6"/>
  <c r="CH102" i="6"/>
  <c r="CG102" i="6"/>
  <c r="BV102" i="6"/>
  <c r="BT102" i="6"/>
  <c r="BS102" i="6"/>
  <c r="BR102" i="6"/>
  <c r="BQ102" i="6"/>
  <c r="BP102" i="6"/>
  <c r="BO102" i="6"/>
  <c r="BN102" i="6"/>
  <c r="BM102" i="6"/>
  <c r="BL102" i="6"/>
  <c r="BJ102" i="6"/>
  <c r="BI102" i="6"/>
  <c r="BH102" i="6"/>
  <c r="BG102" i="6"/>
  <c r="BE102" i="6"/>
  <c r="BD102" i="6"/>
  <c r="BC102" i="6"/>
  <c r="BA102" i="6"/>
  <c r="BK102" i="6" s="1"/>
  <c r="AV102" i="6"/>
  <c r="BF102" i="6" s="1"/>
  <c r="AP102" i="6"/>
  <c r="AO102" i="6"/>
  <c r="AL102" i="6"/>
  <c r="AK102" i="6"/>
  <c r="Z102" i="6"/>
  <c r="W102" i="6"/>
  <c r="U102" i="6"/>
  <c r="X102" i="6" s="1"/>
  <c r="R102" i="6"/>
  <c r="Q102" i="6"/>
  <c r="T102" i="6" s="1"/>
  <c r="Y102" i="6" s="1"/>
  <c r="P102" i="6"/>
  <c r="O102" i="6"/>
  <c r="N102" i="6"/>
  <c r="S102" i="6" s="1"/>
  <c r="V102" i="6" s="1"/>
  <c r="I102" i="6" s="1"/>
  <c r="L102" i="6"/>
  <c r="M102" i="6" s="1"/>
  <c r="K102" i="6"/>
  <c r="J102" i="6"/>
  <c r="C102" i="6"/>
  <c r="CY101" i="6"/>
  <c r="CX101" i="6"/>
  <c r="CR101" i="6"/>
  <c r="CP101" i="6"/>
  <c r="CO101" i="6"/>
  <c r="CN101" i="6"/>
  <c r="CM101" i="6"/>
  <c r="CL101" i="6"/>
  <c r="BR101" i="6" s="1"/>
  <c r="CK101" i="6"/>
  <c r="CJ101" i="6"/>
  <c r="CI101" i="6"/>
  <c r="CH101" i="6"/>
  <c r="CG101" i="6"/>
  <c r="BM101" i="6" s="1"/>
  <c r="BV101" i="6"/>
  <c r="BU101" i="6"/>
  <c r="BT101" i="6"/>
  <c r="BS101" i="6"/>
  <c r="BQ101" i="6"/>
  <c r="BO101" i="6"/>
  <c r="BN101" i="6"/>
  <c r="BL101" i="6"/>
  <c r="BK101" i="6"/>
  <c r="BJ101" i="6"/>
  <c r="BI101" i="6"/>
  <c r="BH101" i="6"/>
  <c r="BG101" i="6"/>
  <c r="BE101" i="6"/>
  <c r="BD101" i="6"/>
  <c r="BC101" i="6"/>
  <c r="BA101" i="6"/>
  <c r="M101" i="6" s="1"/>
  <c r="AV101" i="6"/>
  <c r="AP101" i="6"/>
  <c r="AO101" i="6"/>
  <c r="AL101" i="6"/>
  <c r="AK101" i="6"/>
  <c r="W101" i="6"/>
  <c r="U101" i="6"/>
  <c r="X101" i="6" s="1"/>
  <c r="T101" i="6"/>
  <c r="Y101" i="6" s="1"/>
  <c r="S101" i="6"/>
  <c r="V101" i="6" s="1"/>
  <c r="I101" i="6" s="1"/>
  <c r="E101" i="6" s="1"/>
  <c r="G101" i="6" s="1"/>
  <c r="R101" i="6"/>
  <c r="Z101" i="6" s="1"/>
  <c r="Q101" i="6"/>
  <c r="P101" i="6"/>
  <c r="O101" i="6"/>
  <c r="N101" i="6"/>
  <c r="L101" i="6"/>
  <c r="K101" i="6"/>
  <c r="C101" i="6"/>
  <c r="CY100" i="6"/>
  <c r="CX100" i="6"/>
  <c r="CR100" i="6"/>
  <c r="CP100" i="6"/>
  <c r="BV100" i="6" s="1"/>
  <c r="CO100" i="6"/>
  <c r="BU100" i="6" s="1"/>
  <c r="CN100" i="6"/>
  <c r="CM100" i="6"/>
  <c r="CL100" i="6"/>
  <c r="CK100" i="6"/>
  <c r="CJ100" i="6"/>
  <c r="CI100" i="6"/>
  <c r="CH100" i="6"/>
  <c r="CG100" i="6"/>
  <c r="BT100" i="6"/>
  <c r="BS100" i="6"/>
  <c r="BR100" i="6"/>
  <c r="BQ100" i="6"/>
  <c r="BP100" i="6"/>
  <c r="BO100" i="6"/>
  <c r="BN100" i="6"/>
  <c r="BM100" i="6"/>
  <c r="BL100" i="6"/>
  <c r="BK100" i="6"/>
  <c r="BJ100" i="6"/>
  <c r="BI100" i="6"/>
  <c r="BH100" i="6"/>
  <c r="BG100" i="6"/>
  <c r="BE100" i="6"/>
  <c r="BD100" i="6"/>
  <c r="BC100" i="6"/>
  <c r="BA100" i="6"/>
  <c r="AV100" i="6"/>
  <c r="BF100" i="6" s="1"/>
  <c r="AP100" i="6"/>
  <c r="AO100" i="6"/>
  <c r="AL100" i="6"/>
  <c r="AK100" i="6"/>
  <c r="Z100" i="6"/>
  <c r="W100" i="6"/>
  <c r="U100" i="6"/>
  <c r="X100" i="6" s="1"/>
  <c r="T100" i="6"/>
  <c r="Y100" i="6" s="1"/>
  <c r="J100" i="6" s="1"/>
  <c r="S100" i="6"/>
  <c r="V100" i="6" s="1"/>
  <c r="I100" i="6" s="1"/>
  <c r="E100" i="6" s="1"/>
  <c r="G100" i="6" s="1"/>
  <c r="R100" i="6"/>
  <c r="Q100" i="6"/>
  <c r="P100" i="6"/>
  <c r="O100" i="6"/>
  <c r="N100" i="6"/>
  <c r="L100" i="6"/>
  <c r="M100" i="6" s="1"/>
  <c r="K100" i="6"/>
  <c r="CW100" i="6" s="1"/>
  <c r="F100" i="6"/>
  <c r="H100" i="6" s="1"/>
  <c r="C100" i="6"/>
  <c r="CY99" i="6"/>
  <c r="CX99" i="6"/>
  <c r="CR99" i="6"/>
  <c r="CP99" i="6"/>
  <c r="BV99" i="6" s="1"/>
  <c r="CO99" i="6"/>
  <c r="BU99" i="6" s="1"/>
  <c r="CN99" i="6"/>
  <c r="BT99" i="6" s="1"/>
  <c r="CM99" i="6"/>
  <c r="BS99" i="6" s="1"/>
  <c r="CL99" i="6"/>
  <c r="BR99" i="6" s="1"/>
  <c r="CK99" i="6"/>
  <c r="BQ99" i="6" s="1"/>
  <c r="CJ99" i="6"/>
  <c r="BP99" i="6" s="1"/>
  <c r="CI99" i="6"/>
  <c r="CH99" i="6"/>
  <c r="CG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A99" i="6"/>
  <c r="AV99" i="6"/>
  <c r="AP99" i="6"/>
  <c r="AO99" i="6"/>
  <c r="AL99" i="6"/>
  <c r="AK99" i="6"/>
  <c r="R99" i="6"/>
  <c r="Z99" i="6" s="1"/>
  <c r="Q99" i="6"/>
  <c r="T99" i="6" s="1"/>
  <c r="Y99" i="6" s="1"/>
  <c r="J99" i="6" s="1"/>
  <c r="P99" i="6"/>
  <c r="U99" i="6" s="1"/>
  <c r="X99" i="6" s="1"/>
  <c r="O99" i="6"/>
  <c r="W99" i="6" s="1"/>
  <c r="N99" i="6"/>
  <c r="S99" i="6" s="1"/>
  <c r="V99" i="6" s="1"/>
  <c r="I99" i="6" s="1"/>
  <c r="E99" i="6" s="1"/>
  <c r="G99" i="6" s="1"/>
  <c r="L99" i="6"/>
  <c r="M99" i="6" s="1"/>
  <c r="K99" i="6"/>
  <c r="C99" i="6"/>
  <c r="CY98" i="6"/>
  <c r="CX98" i="6"/>
  <c r="CR98" i="6"/>
  <c r="CP98" i="6"/>
  <c r="BV98" i="6" s="1"/>
  <c r="CO98" i="6"/>
  <c r="CN98" i="6"/>
  <c r="BT98" i="6" s="1"/>
  <c r="CM98" i="6"/>
  <c r="CL98" i="6"/>
  <c r="BR98" i="6" s="1"/>
  <c r="CK98" i="6"/>
  <c r="BQ98" i="6" s="1"/>
  <c r="CJ98" i="6"/>
  <c r="CI98" i="6"/>
  <c r="BO98" i="6" s="1"/>
  <c r="CH98" i="6"/>
  <c r="CG98" i="6"/>
  <c r="BS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A98" i="6"/>
  <c r="BU98" i="6" s="1"/>
  <c r="AV98" i="6"/>
  <c r="AP98" i="6"/>
  <c r="AO98" i="6"/>
  <c r="AL98" i="6"/>
  <c r="AK98" i="6"/>
  <c r="R98" i="6"/>
  <c r="Z98" i="6" s="1"/>
  <c r="Q98" i="6"/>
  <c r="T98" i="6" s="1"/>
  <c r="Y98" i="6" s="1"/>
  <c r="J98" i="6" s="1"/>
  <c r="P98" i="6"/>
  <c r="U98" i="6" s="1"/>
  <c r="X98" i="6" s="1"/>
  <c r="O98" i="6"/>
  <c r="W98" i="6" s="1"/>
  <c r="N98" i="6"/>
  <c r="S98" i="6" s="1"/>
  <c r="V98" i="6" s="1"/>
  <c r="I98" i="6" s="1"/>
  <c r="M98" i="6"/>
  <c r="L98" i="6"/>
  <c r="K98" i="6"/>
  <c r="C98" i="6"/>
  <c r="CY97" i="6"/>
  <c r="CX97" i="6"/>
  <c r="CR97" i="6"/>
  <c r="CP97" i="6"/>
  <c r="CO97" i="6"/>
  <c r="CN97" i="6"/>
  <c r="CM97" i="6"/>
  <c r="BS97" i="6" s="1"/>
  <c r="CL97" i="6"/>
  <c r="BR97" i="6" s="1"/>
  <c r="CK97" i="6"/>
  <c r="BQ97" i="6" s="1"/>
  <c r="CJ97" i="6"/>
  <c r="CI97" i="6"/>
  <c r="BO97" i="6" s="1"/>
  <c r="CH97" i="6"/>
  <c r="BN97" i="6" s="1"/>
  <c r="CG97" i="6"/>
  <c r="BM97" i="6" s="1"/>
  <c r="BV97" i="6"/>
  <c r="BU97" i="6"/>
  <c r="BT97" i="6"/>
  <c r="BP97" i="6"/>
  <c r="BL97" i="6"/>
  <c r="BJ97" i="6"/>
  <c r="BI97" i="6"/>
  <c r="BH97" i="6"/>
  <c r="BG97" i="6"/>
  <c r="BE97" i="6"/>
  <c r="BD97" i="6"/>
  <c r="BC97" i="6"/>
  <c r="BA97" i="6"/>
  <c r="BK97" i="6" s="1"/>
  <c r="AV97" i="6"/>
  <c r="BF97" i="6" s="1"/>
  <c r="AP97" i="6"/>
  <c r="AO97" i="6"/>
  <c r="AL97" i="6"/>
  <c r="AK97" i="6"/>
  <c r="R97" i="6"/>
  <c r="Z97" i="6" s="1"/>
  <c r="Q97" i="6"/>
  <c r="T97" i="6" s="1"/>
  <c r="Y97" i="6" s="1"/>
  <c r="J97" i="6" s="1"/>
  <c r="P97" i="6"/>
  <c r="U97" i="6" s="1"/>
  <c r="X97" i="6" s="1"/>
  <c r="O97" i="6"/>
  <c r="W97" i="6" s="1"/>
  <c r="N97" i="6"/>
  <c r="S97" i="6" s="1"/>
  <c r="V97" i="6" s="1"/>
  <c r="L97" i="6"/>
  <c r="M97" i="6" s="1"/>
  <c r="F97" i="6" s="1"/>
  <c r="H97" i="6" s="1"/>
  <c r="K97" i="6"/>
  <c r="C97" i="6"/>
  <c r="CY96" i="6"/>
  <c r="CX96" i="6"/>
  <c r="CR96" i="6"/>
  <c r="CP96" i="6"/>
  <c r="CO96" i="6"/>
  <c r="CN96" i="6"/>
  <c r="BT96" i="6" s="1"/>
  <c r="CM96" i="6"/>
  <c r="BS96" i="6" s="1"/>
  <c r="CL96" i="6"/>
  <c r="BR96" i="6" s="1"/>
  <c r="CK96" i="6"/>
  <c r="BQ96" i="6" s="1"/>
  <c r="CJ96" i="6"/>
  <c r="CI96" i="6"/>
  <c r="BO96" i="6" s="1"/>
  <c r="CH96" i="6"/>
  <c r="BN96" i="6" s="1"/>
  <c r="CG96" i="6"/>
  <c r="BM96" i="6" s="1"/>
  <c r="BV96" i="6"/>
  <c r="BU96" i="6"/>
  <c r="BL96" i="6"/>
  <c r="BJ96" i="6"/>
  <c r="BI96" i="6"/>
  <c r="BH96" i="6"/>
  <c r="BG96" i="6"/>
  <c r="BF96" i="6"/>
  <c r="BE96" i="6"/>
  <c r="BD96" i="6"/>
  <c r="BC96" i="6"/>
  <c r="BA96" i="6"/>
  <c r="BK96" i="6" s="1"/>
  <c r="AV96" i="6"/>
  <c r="AP96" i="6"/>
  <c r="AO96" i="6"/>
  <c r="AL96" i="6"/>
  <c r="AK96" i="6"/>
  <c r="Z96" i="6"/>
  <c r="Y96" i="6"/>
  <c r="R96" i="6"/>
  <c r="Q96" i="6"/>
  <c r="T96" i="6" s="1"/>
  <c r="P96" i="6"/>
  <c r="U96" i="6" s="1"/>
  <c r="X96" i="6" s="1"/>
  <c r="I96" i="6" s="1"/>
  <c r="O96" i="6"/>
  <c r="W96" i="6" s="1"/>
  <c r="N96" i="6"/>
  <c r="S96" i="6" s="1"/>
  <c r="V96" i="6" s="1"/>
  <c r="L96" i="6"/>
  <c r="M96" i="6" s="1"/>
  <c r="K96" i="6"/>
  <c r="J96" i="6"/>
  <c r="C96" i="6"/>
  <c r="CY95" i="6"/>
  <c r="CX95" i="6"/>
  <c r="CR95" i="6"/>
  <c r="CP95" i="6"/>
  <c r="CO95" i="6"/>
  <c r="CN95" i="6"/>
  <c r="CM95" i="6"/>
  <c r="CL95" i="6"/>
  <c r="CK95" i="6"/>
  <c r="CJ95" i="6"/>
  <c r="CI95" i="6"/>
  <c r="CH95" i="6"/>
  <c r="CG95" i="6"/>
  <c r="BM95" i="6" s="1"/>
  <c r="BV95" i="6"/>
  <c r="BU95" i="6"/>
  <c r="BT95" i="6"/>
  <c r="BS95" i="6"/>
  <c r="BR95" i="6"/>
  <c r="BQ95" i="6"/>
  <c r="BP95" i="6"/>
  <c r="BO95" i="6"/>
  <c r="BN95" i="6"/>
  <c r="BL95" i="6"/>
  <c r="BJ95" i="6"/>
  <c r="BI95" i="6"/>
  <c r="BH95" i="6"/>
  <c r="BG95" i="6"/>
  <c r="BE95" i="6"/>
  <c r="BD95" i="6"/>
  <c r="BC95" i="6"/>
  <c r="BA95" i="6"/>
  <c r="BK95" i="6" s="1"/>
  <c r="AV95" i="6"/>
  <c r="BF95" i="6" s="1"/>
  <c r="AP95" i="6"/>
  <c r="AO95" i="6"/>
  <c r="AL95" i="6"/>
  <c r="AK95" i="6"/>
  <c r="Z95" i="6"/>
  <c r="Y95" i="6"/>
  <c r="J95" i="6" s="1"/>
  <c r="W95" i="6"/>
  <c r="V95" i="6"/>
  <c r="R95" i="6"/>
  <c r="Q95" i="6"/>
  <c r="T95" i="6" s="1"/>
  <c r="P95" i="6"/>
  <c r="U95" i="6" s="1"/>
  <c r="X95" i="6" s="1"/>
  <c r="O95" i="6"/>
  <c r="N95" i="6"/>
  <c r="S95" i="6" s="1"/>
  <c r="L95" i="6"/>
  <c r="M95" i="6" s="1"/>
  <c r="K95" i="6"/>
  <c r="C95" i="6"/>
  <c r="CY94" i="6"/>
  <c r="CX94" i="6"/>
  <c r="CR94" i="6"/>
  <c r="CP94" i="6"/>
  <c r="CO94" i="6"/>
  <c r="CN94" i="6"/>
  <c r="CM94" i="6"/>
  <c r="BS94" i="6" s="1"/>
  <c r="CL94" i="6"/>
  <c r="CK94" i="6"/>
  <c r="CJ94" i="6"/>
  <c r="CI94" i="6"/>
  <c r="CH94" i="6"/>
  <c r="BN94" i="6" s="1"/>
  <c r="CG94" i="6"/>
  <c r="BV94" i="6"/>
  <c r="BT94" i="6"/>
  <c r="BR94" i="6"/>
  <c r="BQ94" i="6"/>
  <c r="BO94" i="6"/>
  <c r="BM94" i="6"/>
  <c r="BL94" i="6"/>
  <c r="BJ94" i="6"/>
  <c r="BI94" i="6"/>
  <c r="BH94" i="6"/>
  <c r="BG94" i="6"/>
  <c r="BE94" i="6"/>
  <c r="BD94" i="6"/>
  <c r="BC94" i="6"/>
  <c r="BA94" i="6"/>
  <c r="BU94" i="6" s="1"/>
  <c r="AV94" i="6"/>
  <c r="AP94" i="6"/>
  <c r="AO94" i="6"/>
  <c r="AL94" i="6"/>
  <c r="AK94" i="6"/>
  <c r="Z94" i="6"/>
  <c r="U94" i="6"/>
  <c r="X94" i="6" s="1"/>
  <c r="T94" i="6"/>
  <c r="Y94" i="6" s="1"/>
  <c r="S94" i="6"/>
  <c r="V94" i="6" s="1"/>
  <c r="R94" i="6"/>
  <c r="Q94" i="6"/>
  <c r="P94" i="6"/>
  <c r="O94" i="6"/>
  <c r="W94" i="6" s="1"/>
  <c r="N94" i="6"/>
  <c r="L94" i="6"/>
  <c r="K94" i="6"/>
  <c r="J94" i="6"/>
  <c r="I94" i="6"/>
  <c r="E94" i="6"/>
  <c r="G94" i="6" s="1"/>
  <c r="C94" i="6"/>
  <c r="CY93" i="6"/>
  <c r="CX93" i="6"/>
  <c r="CR93" i="6"/>
  <c r="CP93" i="6"/>
  <c r="BV93" i="6" s="1"/>
  <c r="CO93" i="6"/>
  <c r="CN93" i="6"/>
  <c r="CM93" i="6"/>
  <c r="CL93" i="6"/>
  <c r="CK93" i="6"/>
  <c r="CJ93" i="6"/>
  <c r="CI93" i="6"/>
  <c r="CH93" i="6"/>
  <c r="CG93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E93" i="6"/>
  <c r="BD93" i="6"/>
  <c r="BC93" i="6"/>
  <c r="BA93" i="6"/>
  <c r="AV93" i="6"/>
  <c r="BF93" i="6" s="1"/>
  <c r="AP93" i="6"/>
  <c r="AO93" i="6"/>
  <c r="AL93" i="6"/>
  <c r="AK93" i="6"/>
  <c r="Z93" i="6"/>
  <c r="Y93" i="6"/>
  <c r="X93" i="6"/>
  <c r="W93" i="6"/>
  <c r="V93" i="6"/>
  <c r="I93" i="6" s="1"/>
  <c r="E93" i="6" s="1"/>
  <c r="G93" i="6" s="1"/>
  <c r="T93" i="6"/>
  <c r="S93" i="6"/>
  <c r="R93" i="6"/>
  <c r="Q93" i="6"/>
  <c r="P93" i="6"/>
  <c r="U93" i="6" s="1"/>
  <c r="O93" i="6"/>
  <c r="N93" i="6"/>
  <c r="L93" i="6"/>
  <c r="M93" i="6" s="1"/>
  <c r="CW93" i="6" s="1"/>
  <c r="K93" i="6"/>
  <c r="C93" i="6"/>
  <c r="CY92" i="6"/>
  <c r="CX92" i="6"/>
  <c r="CW92" i="6"/>
  <c r="CR92" i="6"/>
  <c r="CP92" i="6"/>
  <c r="BV92" i="6" s="1"/>
  <c r="CO92" i="6"/>
  <c r="BU92" i="6" s="1"/>
  <c r="CN92" i="6"/>
  <c r="BT92" i="6" s="1"/>
  <c r="CM92" i="6"/>
  <c r="BS92" i="6" s="1"/>
  <c r="CL92" i="6"/>
  <c r="CK92" i="6"/>
  <c r="CJ92" i="6"/>
  <c r="CI92" i="6"/>
  <c r="CH92" i="6"/>
  <c r="CG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A92" i="6"/>
  <c r="AV92" i="6"/>
  <c r="AP92" i="6"/>
  <c r="AO92" i="6"/>
  <c r="AL92" i="6"/>
  <c r="AK92" i="6"/>
  <c r="R92" i="6"/>
  <c r="Z92" i="6" s="1"/>
  <c r="Q92" i="6"/>
  <c r="T92" i="6" s="1"/>
  <c r="Y92" i="6" s="1"/>
  <c r="J92" i="6" s="1"/>
  <c r="P92" i="6"/>
  <c r="U92" i="6" s="1"/>
  <c r="X92" i="6" s="1"/>
  <c r="O92" i="6"/>
  <c r="W92" i="6" s="1"/>
  <c r="N92" i="6"/>
  <c r="S92" i="6" s="1"/>
  <c r="V92" i="6" s="1"/>
  <c r="I92" i="6" s="1"/>
  <c r="E92" i="6" s="1"/>
  <c r="G92" i="6" s="1"/>
  <c r="M92" i="6"/>
  <c r="F92" i="6" s="1"/>
  <c r="H92" i="6" s="1"/>
  <c r="L92" i="6"/>
  <c r="K92" i="6"/>
  <c r="C92" i="6"/>
  <c r="CY91" i="6"/>
  <c r="CX91" i="6"/>
  <c r="CR91" i="6"/>
  <c r="CP91" i="6"/>
  <c r="BV91" i="6" s="1"/>
  <c r="CO91" i="6"/>
  <c r="CN91" i="6"/>
  <c r="CM91" i="6"/>
  <c r="BS91" i="6" s="1"/>
  <c r="CL91" i="6"/>
  <c r="BR91" i="6" s="1"/>
  <c r="CK91" i="6"/>
  <c r="BQ91" i="6" s="1"/>
  <c r="CJ91" i="6"/>
  <c r="BP91" i="6" s="1"/>
  <c r="CI91" i="6"/>
  <c r="CH91" i="6"/>
  <c r="CG91" i="6"/>
  <c r="BT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A91" i="6"/>
  <c r="AV91" i="6"/>
  <c r="AP91" i="6"/>
  <c r="AO91" i="6"/>
  <c r="AL91" i="6"/>
  <c r="AK91" i="6"/>
  <c r="W91" i="6"/>
  <c r="S91" i="6"/>
  <c r="V91" i="6" s="1"/>
  <c r="R91" i="6"/>
  <c r="Z91" i="6" s="1"/>
  <c r="Q91" i="6"/>
  <c r="T91" i="6" s="1"/>
  <c r="Y91" i="6" s="1"/>
  <c r="J91" i="6" s="1"/>
  <c r="P91" i="6"/>
  <c r="U91" i="6" s="1"/>
  <c r="X91" i="6" s="1"/>
  <c r="O91" i="6"/>
  <c r="N91" i="6"/>
  <c r="L91" i="6"/>
  <c r="M91" i="6" s="1"/>
  <c r="K91" i="6"/>
  <c r="C91" i="6"/>
  <c r="CY90" i="6"/>
  <c r="CX90" i="6"/>
  <c r="CR90" i="6"/>
  <c r="CP90" i="6"/>
  <c r="BV90" i="6" s="1"/>
  <c r="CO90" i="6"/>
  <c r="CN90" i="6"/>
  <c r="BT90" i="6" s="1"/>
  <c r="CM90" i="6"/>
  <c r="BS90" i="6" s="1"/>
  <c r="CL90" i="6"/>
  <c r="BR90" i="6" s="1"/>
  <c r="CK90" i="6"/>
  <c r="BQ90" i="6" s="1"/>
  <c r="CJ90" i="6"/>
  <c r="CI90" i="6"/>
  <c r="BO90" i="6" s="1"/>
  <c r="CH90" i="6"/>
  <c r="BN90" i="6" s="1"/>
  <c r="CG90" i="6"/>
  <c r="BM90" i="6" s="1"/>
  <c r="BL90" i="6"/>
  <c r="BJ90" i="6"/>
  <c r="BI90" i="6"/>
  <c r="BH90" i="6"/>
  <c r="BG90" i="6"/>
  <c r="BF90" i="6"/>
  <c r="BE90" i="6"/>
  <c r="BD90" i="6"/>
  <c r="BC90" i="6"/>
  <c r="BA90" i="6"/>
  <c r="AV90" i="6"/>
  <c r="AP90" i="6"/>
  <c r="AO90" i="6"/>
  <c r="AL90" i="6"/>
  <c r="AK90" i="6"/>
  <c r="T90" i="6"/>
  <c r="Y90" i="6" s="1"/>
  <c r="S90" i="6"/>
  <c r="V90" i="6" s="1"/>
  <c r="R90" i="6"/>
  <c r="Z90" i="6" s="1"/>
  <c r="Q90" i="6"/>
  <c r="P90" i="6"/>
  <c r="U90" i="6" s="1"/>
  <c r="X90" i="6" s="1"/>
  <c r="O90" i="6"/>
  <c r="W90" i="6" s="1"/>
  <c r="N90" i="6"/>
  <c r="L90" i="6"/>
  <c r="K90" i="6"/>
  <c r="J90" i="6"/>
  <c r="I90" i="6"/>
  <c r="C90" i="6"/>
  <c r="CY89" i="6"/>
  <c r="CX89" i="6"/>
  <c r="CR89" i="6"/>
  <c r="CP89" i="6"/>
  <c r="CO89" i="6"/>
  <c r="CN89" i="6"/>
  <c r="BT89" i="6" s="1"/>
  <c r="CM89" i="6"/>
  <c r="CL89" i="6"/>
  <c r="CK89" i="6"/>
  <c r="BQ89" i="6" s="1"/>
  <c r="CJ89" i="6"/>
  <c r="CI89" i="6"/>
  <c r="BO89" i="6" s="1"/>
  <c r="CH89" i="6"/>
  <c r="CG89" i="6"/>
  <c r="BM89" i="6" s="1"/>
  <c r="BV89" i="6"/>
  <c r="BS89" i="6"/>
  <c r="BR89" i="6"/>
  <c r="BN89" i="6"/>
  <c r="BL89" i="6"/>
  <c r="BJ89" i="6"/>
  <c r="BI89" i="6"/>
  <c r="BH89" i="6"/>
  <c r="BG89" i="6"/>
  <c r="BE89" i="6"/>
  <c r="BD89" i="6"/>
  <c r="BC89" i="6"/>
  <c r="BA89" i="6"/>
  <c r="AV89" i="6"/>
  <c r="BP89" i="6" s="1"/>
  <c r="AP89" i="6"/>
  <c r="AO89" i="6"/>
  <c r="AL89" i="6"/>
  <c r="AK89" i="6"/>
  <c r="Z89" i="6"/>
  <c r="R89" i="6"/>
  <c r="Q89" i="6"/>
  <c r="T89" i="6" s="1"/>
  <c r="Y89" i="6" s="1"/>
  <c r="P89" i="6"/>
  <c r="U89" i="6" s="1"/>
  <c r="X89" i="6" s="1"/>
  <c r="O89" i="6"/>
  <c r="W89" i="6" s="1"/>
  <c r="N89" i="6"/>
  <c r="S89" i="6" s="1"/>
  <c r="V89" i="6" s="1"/>
  <c r="L89" i="6"/>
  <c r="M89" i="6" s="1"/>
  <c r="F89" i="6" s="1"/>
  <c r="H89" i="6" s="1"/>
  <c r="K89" i="6"/>
  <c r="J89" i="6"/>
  <c r="I89" i="6"/>
  <c r="C89" i="6"/>
  <c r="CY88" i="6"/>
  <c r="CX88" i="6"/>
  <c r="CR88" i="6"/>
  <c r="CP88" i="6"/>
  <c r="CO88" i="6"/>
  <c r="CN88" i="6"/>
  <c r="CM88" i="6"/>
  <c r="CL88" i="6"/>
  <c r="CK88" i="6"/>
  <c r="CJ88" i="6"/>
  <c r="CI88" i="6"/>
  <c r="BO88" i="6" s="1"/>
  <c r="CH88" i="6"/>
  <c r="BN88" i="6" s="1"/>
  <c r="CG88" i="6"/>
  <c r="BM88" i="6" s="1"/>
  <c r="BV88" i="6"/>
  <c r="BU88" i="6"/>
  <c r="BT88" i="6"/>
  <c r="BS88" i="6"/>
  <c r="BR88" i="6"/>
  <c r="BQ88" i="6"/>
  <c r="BL88" i="6"/>
  <c r="BJ88" i="6"/>
  <c r="BI88" i="6"/>
  <c r="BH88" i="6"/>
  <c r="BG88" i="6"/>
  <c r="BE88" i="6"/>
  <c r="BD88" i="6"/>
  <c r="BC88" i="6"/>
  <c r="BA88" i="6"/>
  <c r="AV88" i="6"/>
  <c r="AP88" i="6"/>
  <c r="AO88" i="6"/>
  <c r="AL88" i="6"/>
  <c r="AK88" i="6"/>
  <c r="Z88" i="6"/>
  <c r="Y88" i="6"/>
  <c r="J88" i="6" s="1"/>
  <c r="X88" i="6"/>
  <c r="W88" i="6"/>
  <c r="S88" i="6"/>
  <c r="V88" i="6" s="1"/>
  <c r="R88" i="6"/>
  <c r="Q88" i="6"/>
  <c r="T88" i="6" s="1"/>
  <c r="P88" i="6"/>
  <c r="U88" i="6" s="1"/>
  <c r="O88" i="6"/>
  <c r="N88" i="6"/>
  <c r="L88" i="6"/>
  <c r="K88" i="6"/>
  <c r="C88" i="6"/>
  <c r="CY87" i="6"/>
  <c r="CX87" i="6"/>
  <c r="CR87" i="6"/>
  <c r="CP87" i="6"/>
  <c r="CO87" i="6"/>
  <c r="CN87" i="6"/>
  <c r="BT87" i="6" s="1"/>
  <c r="CM87" i="6"/>
  <c r="CL87" i="6"/>
  <c r="CK87" i="6"/>
  <c r="CJ87" i="6"/>
  <c r="CI87" i="6"/>
  <c r="CH87" i="6"/>
  <c r="CG87" i="6"/>
  <c r="BV87" i="6"/>
  <c r="BS87" i="6"/>
  <c r="BR87" i="6"/>
  <c r="BQ87" i="6"/>
  <c r="BP87" i="6"/>
  <c r="BO87" i="6"/>
  <c r="BN87" i="6"/>
  <c r="BM87" i="6"/>
  <c r="BL87" i="6"/>
  <c r="BJ87" i="6"/>
  <c r="BI87" i="6"/>
  <c r="BH87" i="6"/>
  <c r="BG87" i="6"/>
  <c r="BE87" i="6"/>
  <c r="BD87" i="6"/>
  <c r="BC87" i="6"/>
  <c r="BA87" i="6"/>
  <c r="AV87" i="6"/>
  <c r="BF87" i="6" s="1"/>
  <c r="AP87" i="6"/>
  <c r="AO87" i="6"/>
  <c r="AL87" i="6"/>
  <c r="AK87" i="6"/>
  <c r="Z87" i="6"/>
  <c r="W87" i="6"/>
  <c r="T87" i="6"/>
  <c r="Y87" i="6" s="1"/>
  <c r="R87" i="6"/>
  <c r="Q87" i="6"/>
  <c r="P87" i="6"/>
  <c r="U87" i="6" s="1"/>
  <c r="X87" i="6" s="1"/>
  <c r="O87" i="6"/>
  <c r="N87" i="6"/>
  <c r="S87" i="6" s="1"/>
  <c r="V87" i="6" s="1"/>
  <c r="I87" i="6" s="1"/>
  <c r="L87" i="6"/>
  <c r="M87" i="6" s="1"/>
  <c r="F87" i="6" s="1"/>
  <c r="H87" i="6" s="1"/>
  <c r="K87" i="6"/>
  <c r="CW87" i="6" s="1"/>
  <c r="J87" i="6"/>
  <c r="C87" i="6"/>
  <c r="CY86" i="6"/>
  <c r="CX86" i="6"/>
  <c r="CR86" i="6"/>
  <c r="CP86" i="6"/>
  <c r="CO86" i="6"/>
  <c r="CN86" i="6"/>
  <c r="CM86" i="6"/>
  <c r="CL86" i="6"/>
  <c r="CK86" i="6"/>
  <c r="BQ86" i="6" s="1"/>
  <c r="CJ86" i="6"/>
  <c r="CI86" i="6"/>
  <c r="CH86" i="6"/>
  <c r="CG86" i="6"/>
  <c r="BV86" i="6"/>
  <c r="BU86" i="6"/>
  <c r="BT86" i="6"/>
  <c r="BS86" i="6"/>
  <c r="BR86" i="6"/>
  <c r="BP86" i="6"/>
  <c r="BO86" i="6"/>
  <c r="BN86" i="6"/>
  <c r="BM86" i="6"/>
  <c r="BL86" i="6"/>
  <c r="BK86" i="6"/>
  <c r="BJ86" i="6"/>
  <c r="BI86" i="6"/>
  <c r="BH86" i="6"/>
  <c r="BG86" i="6"/>
  <c r="BE86" i="6"/>
  <c r="BD86" i="6"/>
  <c r="BC86" i="6"/>
  <c r="BA86" i="6"/>
  <c r="AV86" i="6"/>
  <c r="BF86" i="6" s="1"/>
  <c r="AP86" i="6"/>
  <c r="AO86" i="6"/>
  <c r="AL86" i="6"/>
  <c r="AK86" i="6"/>
  <c r="Z86" i="6"/>
  <c r="X86" i="6"/>
  <c r="W86" i="6"/>
  <c r="U86" i="6"/>
  <c r="S86" i="6"/>
  <c r="V86" i="6" s="1"/>
  <c r="I86" i="6" s="1"/>
  <c r="E86" i="6" s="1"/>
  <c r="G86" i="6" s="1"/>
  <c r="R86" i="6"/>
  <c r="Q86" i="6"/>
  <c r="T86" i="6" s="1"/>
  <c r="Y86" i="6" s="1"/>
  <c r="P86" i="6"/>
  <c r="O86" i="6"/>
  <c r="N86" i="6"/>
  <c r="M86" i="6"/>
  <c r="CW86" i="6" s="1"/>
  <c r="L86" i="6"/>
  <c r="K86" i="6"/>
  <c r="C86" i="6"/>
  <c r="CY85" i="6"/>
  <c r="CX85" i="6"/>
  <c r="CR85" i="6"/>
  <c r="CP85" i="6"/>
  <c r="BV85" i="6" s="1"/>
  <c r="CO85" i="6"/>
  <c r="CN85" i="6"/>
  <c r="BT85" i="6" s="1"/>
  <c r="CM85" i="6"/>
  <c r="CL85" i="6"/>
  <c r="CK85" i="6"/>
  <c r="CJ85" i="6"/>
  <c r="CI85" i="6"/>
  <c r="CH85" i="6"/>
  <c r="BN85" i="6" s="1"/>
  <c r="CG85" i="6"/>
  <c r="BS85" i="6"/>
  <c r="BR85" i="6"/>
  <c r="BQ85" i="6"/>
  <c r="BP85" i="6"/>
  <c r="BO85" i="6"/>
  <c r="BM85" i="6"/>
  <c r="BL85" i="6"/>
  <c r="BJ85" i="6"/>
  <c r="BI85" i="6"/>
  <c r="BH85" i="6"/>
  <c r="BG85" i="6"/>
  <c r="BF85" i="6"/>
  <c r="BE85" i="6"/>
  <c r="BD85" i="6"/>
  <c r="BC85" i="6"/>
  <c r="BA85" i="6"/>
  <c r="AV85" i="6"/>
  <c r="AP85" i="6"/>
  <c r="AO85" i="6"/>
  <c r="AL85" i="6"/>
  <c r="AK85" i="6"/>
  <c r="W85" i="6"/>
  <c r="U85" i="6"/>
  <c r="X85" i="6" s="1"/>
  <c r="T85" i="6"/>
  <c r="Y85" i="6" s="1"/>
  <c r="J85" i="6" s="1"/>
  <c r="S85" i="6"/>
  <c r="V85" i="6" s="1"/>
  <c r="I85" i="6" s="1"/>
  <c r="R85" i="6"/>
  <c r="Z85" i="6" s="1"/>
  <c r="Q85" i="6"/>
  <c r="P85" i="6"/>
  <c r="O85" i="6"/>
  <c r="N85" i="6"/>
  <c r="L85" i="6"/>
  <c r="K85" i="6"/>
  <c r="E85" i="6"/>
  <c r="G85" i="6" s="1"/>
  <c r="C85" i="6"/>
  <c r="CY84" i="6"/>
  <c r="CX84" i="6"/>
  <c r="CR84" i="6"/>
  <c r="CP84" i="6"/>
  <c r="BV84" i="6" s="1"/>
  <c r="CO84" i="6"/>
  <c r="BU84" i="6" s="1"/>
  <c r="CN84" i="6"/>
  <c r="BT84" i="6" s="1"/>
  <c r="CM84" i="6"/>
  <c r="BS84" i="6" s="1"/>
  <c r="CL84" i="6"/>
  <c r="BR84" i="6" s="1"/>
  <c r="CK84" i="6"/>
  <c r="BQ84" i="6" s="1"/>
  <c r="CJ84" i="6"/>
  <c r="BP84" i="6" s="1"/>
  <c r="CI84" i="6"/>
  <c r="BO84" i="6" s="1"/>
  <c r="CH84" i="6"/>
  <c r="CG84" i="6"/>
  <c r="BN84" i="6"/>
  <c r="BM84" i="6"/>
  <c r="BL84" i="6"/>
  <c r="BK84" i="6"/>
  <c r="BJ84" i="6"/>
  <c r="BI84" i="6"/>
  <c r="BH84" i="6"/>
  <c r="BG84" i="6"/>
  <c r="BF84" i="6"/>
  <c r="BE84" i="6"/>
  <c r="BD84" i="6"/>
  <c r="BC84" i="6"/>
  <c r="BA84" i="6"/>
  <c r="AV84" i="6"/>
  <c r="AP84" i="6"/>
  <c r="AO84" i="6"/>
  <c r="AL84" i="6"/>
  <c r="AK84" i="6"/>
  <c r="R84" i="6"/>
  <c r="Z84" i="6" s="1"/>
  <c r="Q84" i="6"/>
  <c r="T84" i="6" s="1"/>
  <c r="Y84" i="6" s="1"/>
  <c r="J84" i="6" s="1"/>
  <c r="P84" i="6"/>
  <c r="U84" i="6" s="1"/>
  <c r="X84" i="6" s="1"/>
  <c r="O84" i="6"/>
  <c r="W84" i="6" s="1"/>
  <c r="N84" i="6"/>
  <c r="S84" i="6" s="1"/>
  <c r="V84" i="6" s="1"/>
  <c r="I84" i="6" s="1"/>
  <c r="L84" i="6"/>
  <c r="M84" i="6" s="1"/>
  <c r="K84" i="6"/>
  <c r="E84" i="6" s="1"/>
  <c r="G84" i="6"/>
  <c r="C84" i="6"/>
  <c r="CY83" i="6"/>
  <c r="CX83" i="6"/>
  <c r="CR83" i="6"/>
  <c r="CP83" i="6"/>
  <c r="BV83" i="6" s="1"/>
  <c r="CO83" i="6"/>
  <c r="CN83" i="6"/>
  <c r="BT83" i="6" s="1"/>
  <c r="CM83" i="6"/>
  <c r="BS83" i="6" s="1"/>
  <c r="CL83" i="6"/>
  <c r="CK83" i="6"/>
  <c r="BQ83" i="6" s="1"/>
  <c r="CJ83" i="6"/>
  <c r="CI83" i="6"/>
  <c r="BO83" i="6" s="1"/>
  <c r="CH83" i="6"/>
  <c r="BN83" i="6" s="1"/>
  <c r="CG83" i="6"/>
  <c r="BR83" i="6"/>
  <c r="BM83" i="6"/>
  <c r="BL83" i="6"/>
  <c r="BK83" i="6"/>
  <c r="BJ83" i="6"/>
  <c r="BI83" i="6"/>
  <c r="BH83" i="6"/>
  <c r="BG83" i="6"/>
  <c r="BF83" i="6"/>
  <c r="BE83" i="6"/>
  <c r="BD83" i="6"/>
  <c r="BC83" i="6"/>
  <c r="BA83" i="6"/>
  <c r="BU83" i="6" s="1"/>
  <c r="AV83" i="6"/>
  <c r="BP83" i="6" s="1"/>
  <c r="AP83" i="6"/>
  <c r="AO83" i="6"/>
  <c r="AL83" i="6"/>
  <c r="AK83" i="6"/>
  <c r="R83" i="6"/>
  <c r="Z83" i="6" s="1"/>
  <c r="Q83" i="6"/>
  <c r="T83" i="6" s="1"/>
  <c r="Y83" i="6" s="1"/>
  <c r="P83" i="6"/>
  <c r="U83" i="6" s="1"/>
  <c r="X83" i="6" s="1"/>
  <c r="O83" i="6"/>
  <c r="W83" i="6" s="1"/>
  <c r="N83" i="6"/>
  <c r="S83" i="6" s="1"/>
  <c r="V83" i="6" s="1"/>
  <c r="L83" i="6"/>
  <c r="M83" i="6" s="1"/>
  <c r="K83" i="6"/>
  <c r="J83" i="6"/>
  <c r="I83" i="6"/>
  <c r="C83" i="6"/>
  <c r="CY82" i="6"/>
  <c r="CX82" i="6"/>
  <c r="CR82" i="6"/>
  <c r="CP82" i="6"/>
  <c r="CO82" i="6"/>
  <c r="CN82" i="6"/>
  <c r="CM82" i="6"/>
  <c r="CL82" i="6"/>
  <c r="BR82" i="6" s="1"/>
  <c r="CK82" i="6"/>
  <c r="BQ82" i="6" s="1"/>
  <c r="CJ82" i="6"/>
  <c r="CI82" i="6"/>
  <c r="CH82" i="6"/>
  <c r="BN82" i="6" s="1"/>
  <c r="CG82" i="6"/>
  <c r="BM82" i="6" s="1"/>
  <c r="BV82" i="6"/>
  <c r="BU82" i="6"/>
  <c r="BT82" i="6"/>
  <c r="BS82" i="6"/>
  <c r="BO82" i="6"/>
  <c r="BL82" i="6"/>
  <c r="BJ82" i="6"/>
  <c r="BI82" i="6"/>
  <c r="BH82" i="6"/>
  <c r="BG82" i="6"/>
  <c r="BE82" i="6"/>
  <c r="BD82" i="6"/>
  <c r="BC82" i="6"/>
  <c r="BA82" i="6"/>
  <c r="BK82" i="6" s="1"/>
  <c r="AV82" i="6"/>
  <c r="AP82" i="6"/>
  <c r="AO82" i="6"/>
  <c r="AL82" i="6"/>
  <c r="AK82" i="6"/>
  <c r="R82" i="6"/>
  <c r="Z82" i="6" s="1"/>
  <c r="Q82" i="6"/>
  <c r="T82" i="6" s="1"/>
  <c r="Y82" i="6" s="1"/>
  <c r="P82" i="6"/>
  <c r="U82" i="6" s="1"/>
  <c r="X82" i="6" s="1"/>
  <c r="O82" i="6"/>
  <c r="W82" i="6" s="1"/>
  <c r="N82" i="6"/>
  <c r="S82" i="6" s="1"/>
  <c r="V82" i="6" s="1"/>
  <c r="L82" i="6"/>
  <c r="M82" i="6" s="1"/>
  <c r="F82" i="6" s="1"/>
  <c r="H82" i="6" s="1"/>
  <c r="K82" i="6"/>
  <c r="J82" i="6"/>
  <c r="I82" i="6"/>
  <c r="C82" i="6"/>
  <c r="CY81" i="6"/>
  <c r="CX81" i="6"/>
  <c r="CR81" i="6"/>
  <c r="CP81" i="6"/>
  <c r="CO81" i="6"/>
  <c r="CN81" i="6"/>
  <c r="CM81" i="6"/>
  <c r="CL81" i="6"/>
  <c r="BR81" i="6" s="1"/>
  <c r="CK81" i="6"/>
  <c r="BQ81" i="6" s="1"/>
  <c r="CJ81" i="6"/>
  <c r="CI81" i="6"/>
  <c r="BO81" i="6" s="1"/>
  <c r="CH81" i="6"/>
  <c r="BN81" i="6" s="1"/>
  <c r="CG81" i="6"/>
  <c r="BM81" i="6" s="1"/>
  <c r="BV81" i="6"/>
  <c r="BU81" i="6"/>
  <c r="BT81" i="6"/>
  <c r="BS81" i="6"/>
  <c r="BL81" i="6"/>
  <c r="BJ81" i="6"/>
  <c r="BI81" i="6"/>
  <c r="BH81" i="6"/>
  <c r="BG81" i="6"/>
  <c r="BF81" i="6"/>
  <c r="BE81" i="6"/>
  <c r="BD81" i="6"/>
  <c r="BC81" i="6"/>
  <c r="BA81" i="6"/>
  <c r="BK81" i="6" s="1"/>
  <c r="AV81" i="6"/>
  <c r="AP81" i="6"/>
  <c r="AO81" i="6"/>
  <c r="AL81" i="6"/>
  <c r="AK81" i="6"/>
  <c r="Z81" i="6"/>
  <c r="X81" i="6"/>
  <c r="T81" i="6"/>
  <c r="Y81" i="6" s="1"/>
  <c r="R81" i="6"/>
  <c r="Q81" i="6"/>
  <c r="P81" i="6"/>
  <c r="U81" i="6" s="1"/>
  <c r="O81" i="6"/>
  <c r="W81" i="6" s="1"/>
  <c r="N81" i="6"/>
  <c r="S81" i="6" s="1"/>
  <c r="V81" i="6" s="1"/>
  <c r="L81" i="6"/>
  <c r="M81" i="6" s="1"/>
  <c r="K81" i="6"/>
  <c r="J81" i="6"/>
  <c r="I81" i="6"/>
  <c r="C81" i="6"/>
  <c r="CY80" i="6"/>
  <c r="CX80" i="6"/>
  <c r="CR80" i="6"/>
  <c r="CP80" i="6"/>
  <c r="CO80" i="6"/>
  <c r="CN80" i="6"/>
  <c r="CM80" i="6"/>
  <c r="CL80" i="6"/>
  <c r="CK80" i="6"/>
  <c r="CJ80" i="6"/>
  <c r="CI80" i="6"/>
  <c r="CH80" i="6"/>
  <c r="CG80" i="6"/>
  <c r="BV80" i="6"/>
  <c r="BU80" i="6"/>
  <c r="BT80" i="6"/>
  <c r="BS80" i="6"/>
  <c r="BR80" i="6"/>
  <c r="BQ80" i="6"/>
  <c r="BP80" i="6"/>
  <c r="BO80" i="6"/>
  <c r="BN80" i="6"/>
  <c r="BM80" i="6"/>
  <c r="BL80" i="6"/>
  <c r="BJ80" i="6"/>
  <c r="BI80" i="6"/>
  <c r="BH80" i="6"/>
  <c r="BG80" i="6"/>
  <c r="BE80" i="6"/>
  <c r="BD80" i="6"/>
  <c r="BC80" i="6"/>
  <c r="BA80" i="6"/>
  <c r="BK80" i="6" s="1"/>
  <c r="AV80" i="6"/>
  <c r="BF80" i="6" s="1"/>
  <c r="AP80" i="6"/>
  <c r="AO80" i="6"/>
  <c r="AL80" i="6"/>
  <c r="AK80" i="6"/>
  <c r="Z80" i="6"/>
  <c r="Y80" i="6"/>
  <c r="W80" i="6"/>
  <c r="V80" i="6"/>
  <c r="U80" i="6"/>
  <c r="X80" i="6" s="1"/>
  <c r="R80" i="6"/>
  <c r="Q80" i="6"/>
  <c r="T80" i="6" s="1"/>
  <c r="P80" i="6"/>
  <c r="O80" i="6"/>
  <c r="N80" i="6"/>
  <c r="S80" i="6" s="1"/>
  <c r="L80" i="6"/>
  <c r="M80" i="6" s="1"/>
  <c r="K80" i="6"/>
  <c r="J80" i="6"/>
  <c r="C80" i="6"/>
  <c r="CY79" i="6"/>
  <c r="CX79" i="6"/>
  <c r="CW79" i="6"/>
  <c r="CR79" i="6"/>
  <c r="CP79" i="6"/>
  <c r="BV79" i="6" s="1"/>
  <c r="CO79" i="6"/>
  <c r="CN79" i="6"/>
  <c r="CM79" i="6"/>
  <c r="CL79" i="6"/>
  <c r="BR79" i="6" s="1"/>
  <c r="CK79" i="6"/>
  <c r="CJ79" i="6"/>
  <c r="CI79" i="6"/>
  <c r="CH79" i="6"/>
  <c r="CG79" i="6"/>
  <c r="BU79" i="6"/>
  <c r="BT79" i="6"/>
  <c r="BS79" i="6"/>
  <c r="BQ79" i="6"/>
  <c r="BO79" i="6"/>
  <c r="BN79" i="6"/>
  <c r="BM79" i="6"/>
  <c r="BL79" i="6"/>
  <c r="BK79" i="6"/>
  <c r="BJ79" i="6"/>
  <c r="BI79" i="6"/>
  <c r="BH79" i="6"/>
  <c r="BG79" i="6"/>
  <c r="BF79" i="6"/>
  <c r="BE79" i="6"/>
  <c r="BD79" i="6"/>
  <c r="BC79" i="6"/>
  <c r="BA79" i="6"/>
  <c r="M79" i="6" s="1"/>
  <c r="AV79" i="6"/>
  <c r="BP79" i="6" s="1"/>
  <c r="AP79" i="6"/>
  <c r="AO79" i="6"/>
  <c r="AL79" i="6"/>
  <c r="AK79" i="6"/>
  <c r="W79" i="6"/>
  <c r="U79" i="6"/>
  <c r="X79" i="6" s="1"/>
  <c r="T79" i="6"/>
  <c r="Y79" i="6" s="1"/>
  <c r="R79" i="6"/>
  <c r="Z79" i="6" s="1"/>
  <c r="Q79" i="6"/>
  <c r="P79" i="6"/>
  <c r="O79" i="6"/>
  <c r="N79" i="6"/>
  <c r="S79" i="6" s="1"/>
  <c r="V79" i="6" s="1"/>
  <c r="I79" i="6" s="1"/>
  <c r="E79" i="6" s="1"/>
  <c r="G79" i="6" s="1"/>
  <c r="L79" i="6"/>
  <c r="K79" i="6"/>
  <c r="C79" i="6"/>
  <c r="CY78" i="6"/>
  <c r="CX78" i="6"/>
  <c r="CR78" i="6"/>
  <c r="CP78" i="6"/>
  <c r="BV78" i="6" s="1"/>
  <c r="CO78" i="6"/>
  <c r="BU78" i="6" s="1"/>
  <c r="CN78" i="6"/>
  <c r="CM78" i="6"/>
  <c r="CL78" i="6"/>
  <c r="CK78" i="6"/>
  <c r="CJ78" i="6"/>
  <c r="CI78" i="6"/>
  <c r="BO78" i="6" s="1"/>
  <c r="CH78" i="6"/>
  <c r="CG78" i="6"/>
  <c r="BT78" i="6"/>
  <c r="BS78" i="6"/>
  <c r="BR78" i="6"/>
  <c r="BQ78" i="6"/>
  <c r="BP78" i="6"/>
  <c r="BN78" i="6"/>
  <c r="BM78" i="6"/>
  <c r="BL78" i="6"/>
  <c r="BK78" i="6"/>
  <c r="BJ78" i="6"/>
  <c r="BI78" i="6"/>
  <c r="BH78" i="6"/>
  <c r="BG78" i="6"/>
  <c r="BE78" i="6"/>
  <c r="BD78" i="6"/>
  <c r="BC78" i="6"/>
  <c r="BA78" i="6"/>
  <c r="M78" i="6" s="1"/>
  <c r="AV78" i="6"/>
  <c r="BF78" i="6" s="1"/>
  <c r="AP78" i="6"/>
  <c r="AO78" i="6"/>
  <c r="AL78" i="6"/>
  <c r="AK78" i="6"/>
  <c r="Z78" i="6"/>
  <c r="Y78" i="6"/>
  <c r="W78" i="6"/>
  <c r="V78" i="6"/>
  <c r="U78" i="6"/>
  <c r="X78" i="6" s="1"/>
  <c r="S78" i="6"/>
  <c r="R78" i="6"/>
  <c r="Q78" i="6"/>
  <c r="T78" i="6" s="1"/>
  <c r="P78" i="6"/>
  <c r="O78" i="6"/>
  <c r="N78" i="6"/>
  <c r="L78" i="6"/>
  <c r="K78" i="6"/>
  <c r="C78" i="6"/>
  <c r="CY77" i="6"/>
  <c r="CX77" i="6"/>
  <c r="CW77" i="6"/>
  <c r="CR77" i="6"/>
  <c r="CP77" i="6"/>
  <c r="BV77" i="6" s="1"/>
  <c r="CO77" i="6"/>
  <c r="BU77" i="6" s="1"/>
  <c r="CN77" i="6"/>
  <c r="BT77" i="6" s="1"/>
  <c r="CM77" i="6"/>
  <c r="BS77" i="6" s="1"/>
  <c r="CL77" i="6"/>
  <c r="BR77" i="6" s="1"/>
  <c r="CK77" i="6"/>
  <c r="BQ77" i="6" s="1"/>
  <c r="CJ77" i="6"/>
  <c r="CI77" i="6"/>
  <c r="CH77" i="6"/>
  <c r="CG77" i="6"/>
  <c r="BP77" i="6"/>
  <c r="BO77" i="6"/>
  <c r="BN77" i="6"/>
  <c r="BM77" i="6"/>
  <c r="BL77" i="6"/>
  <c r="BK77" i="6"/>
  <c r="BJ77" i="6"/>
  <c r="BI77" i="6"/>
  <c r="BH77" i="6"/>
  <c r="BG77" i="6"/>
  <c r="BF77" i="6"/>
  <c r="BE77" i="6"/>
  <c r="BD77" i="6"/>
  <c r="BC77" i="6"/>
  <c r="BA77" i="6"/>
  <c r="AV77" i="6"/>
  <c r="AP77" i="6"/>
  <c r="AO77" i="6"/>
  <c r="AL77" i="6"/>
  <c r="AK77" i="6"/>
  <c r="U77" i="6"/>
  <c r="X77" i="6" s="1"/>
  <c r="T77" i="6"/>
  <c r="Y77" i="6" s="1"/>
  <c r="R77" i="6"/>
  <c r="Z77" i="6" s="1"/>
  <c r="Q77" i="6"/>
  <c r="P77" i="6"/>
  <c r="O77" i="6"/>
  <c r="W77" i="6" s="1"/>
  <c r="N77" i="6"/>
  <c r="S77" i="6" s="1"/>
  <c r="V77" i="6" s="1"/>
  <c r="I77" i="6" s="1"/>
  <c r="E77" i="6" s="1"/>
  <c r="G77" i="6" s="1"/>
  <c r="L77" i="6"/>
  <c r="M77" i="6" s="1"/>
  <c r="K77" i="6"/>
  <c r="C77" i="6"/>
  <c r="CY76" i="6"/>
  <c r="CX76" i="6"/>
  <c r="CR76" i="6"/>
  <c r="CP76" i="6"/>
  <c r="BV76" i="6" s="1"/>
  <c r="CO76" i="6"/>
  <c r="CN76" i="6"/>
  <c r="BT76" i="6" s="1"/>
  <c r="CM76" i="6"/>
  <c r="CL76" i="6"/>
  <c r="BR76" i="6" s="1"/>
  <c r="CK76" i="6"/>
  <c r="BQ76" i="6" s="1"/>
  <c r="CJ76" i="6"/>
  <c r="CI76" i="6"/>
  <c r="BO76" i="6" s="1"/>
  <c r="CH76" i="6"/>
  <c r="CG76" i="6"/>
  <c r="BS76" i="6"/>
  <c r="BN76" i="6"/>
  <c r="BM76" i="6"/>
  <c r="BL76" i="6"/>
  <c r="BK76" i="6"/>
  <c r="BJ76" i="6"/>
  <c r="BI76" i="6"/>
  <c r="BH76" i="6"/>
  <c r="BG76" i="6"/>
  <c r="BE76" i="6"/>
  <c r="BD76" i="6"/>
  <c r="BC76" i="6"/>
  <c r="BA76" i="6"/>
  <c r="BU76" i="6" s="1"/>
  <c r="AV76" i="6"/>
  <c r="AP76" i="6"/>
  <c r="AO76" i="6"/>
  <c r="AL76" i="6"/>
  <c r="AK76" i="6"/>
  <c r="R76" i="6"/>
  <c r="Z76" i="6" s="1"/>
  <c r="Q76" i="6"/>
  <c r="T76" i="6" s="1"/>
  <c r="Y76" i="6" s="1"/>
  <c r="J76" i="6" s="1"/>
  <c r="P76" i="6"/>
  <c r="U76" i="6" s="1"/>
  <c r="X76" i="6" s="1"/>
  <c r="O76" i="6"/>
  <c r="W76" i="6" s="1"/>
  <c r="N76" i="6"/>
  <c r="S76" i="6" s="1"/>
  <c r="V76" i="6" s="1"/>
  <c r="L76" i="6"/>
  <c r="M76" i="6" s="1"/>
  <c r="F76" i="6" s="1"/>
  <c r="H76" i="6" s="1"/>
  <c r="K76" i="6"/>
  <c r="C76" i="6"/>
  <c r="CY75" i="6"/>
  <c r="CX75" i="6"/>
  <c r="CR75" i="6"/>
  <c r="CP75" i="6"/>
  <c r="BV75" i="6" s="1"/>
  <c r="CO75" i="6"/>
  <c r="CN75" i="6"/>
  <c r="BT75" i="6" s="1"/>
  <c r="CM75" i="6"/>
  <c r="BS75" i="6" s="1"/>
  <c r="CL75" i="6"/>
  <c r="BR75" i="6" s="1"/>
  <c r="CK75" i="6"/>
  <c r="BQ75" i="6" s="1"/>
  <c r="CJ75" i="6"/>
  <c r="CI75" i="6"/>
  <c r="BO75" i="6" s="1"/>
  <c r="CH75" i="6"/>
  <c r="BN75" i="6" s="1"/>
  <c r="CG75" i="6"/>
  <c r="BM75" i="6" s="1"/>
  <c r="BL75" i="6"/>
  <c r="BJ75" i="6"/>
  <c r="BI75" i="6"/>
  <c r="BH75" i="6"/>
  <c r="BG75" i="6"/>
  <c r="BE75" i="6"/>
  <c r="BD75" i="6"/>
  <c r="BC75" i="6"/>
  <c r="BA75" i="6"/>
  <c r="AV75" i="6"/>
  <c r="AP75" i="6"/>
  <c r="AO75" i="6"/>
  <c r="AL75" i="6"/>
  <c r="AK75" i="6"/>
  <c r="X75" i="6"/>
  <c r="R75" i="6"/>
  <c r="Z75" i="6" s="1"/>
  <c r="Q75" i="6"/>
  <c r="T75" i="6" s="1"/>
  <c r="Y75" i="6" s="1"/>
  <c r="J75" i="6" s="1"/>
  <c r="P75" i="6"/>
  <c r="U75" i="6" s="1"/>
  <c r="O75" i="6"/>
  <c r="W75" i="6" s="1"/>
  <c r="N75" i="6"/>
  <c r="S75" i="6" s="1"/>
  <c r="V75" i="6" s="1"/>
  <c r="I75" i="6" s="1"/>
  <c r="L75" i="6"/>
  <c r="K75" i="6"/>
  <c r="C75" i="6"/>
  <c r="CY74" i="6"/>
  <c r="CX74" i="6"/>
  <c r="CR74" i="6"/>
  <c r="CP74" i="6"/>
  <c r="CO74" i="6"/>
  <c r="CN74" i="6"/>
  <c r="BT74" i="6" s="1"/>
  <c r="CM74" i="6"/>
  <c r="BS74" i="6" s="1"/>
  <c r="CL74" i="6"/>
  <c r="BR74" i="6" s="1"/>
  <c r="CK74" i="6"/>
  <c r="BQ74" i="6" s="1"/>
  <c r="CJ74" i="6"/>
  <c r="CI74" i="6"/>
  <c r="BO74" i="6" s="1"/>
  <c r="CH74" i="6"/>
  <c r="BN74" i="6" s="1"/>
  <c r="CG74" i="6"/>
  <c r="BM74" i="6" s="1"/>
  <c r="BV74" i="6"/>
  <c r="BL74" i="6"/>
  <c r="BJ74" i="6"/>
  <c r="BI74" i="6"/>
  <c r="BH74" i="6"/>
  <c r="BG74" i="6"/>
  <c r="BE74" i="6"/>
  <c r="BD74" i="6"/>
  <c r="BC74" i="6"/>
  <c r="BA74" i="6"/>
  <c r="AV74" i="6"/>
  <c r="AP74" i="6"/>
  <c r="AO74" i="6"/>
  <c r="AL74" i="6"/>
  <c r="AK74" i="6"/>
  <c r="Z74" i="6"/>
  <c r="Y74" i="6"/>
  <c r="R74" i="6"/>
  <c r="Q74" i="6"/>
  <c r="T74" i="6" s="1"/>
  <c r="P74" i="6"/>
  <c r="U74" i="6" s="1"/>
  <c r="X74" i="6" s="1"/>
  <c r="O74" i="6"/>
  <c r="W74" i="6" s="1"/>
  <c r="N74" i="6"/>
  <c r="S74" i="6" s="1"/>
  <c r="V74" i="6" s="1"/>
  <c r="L74" i="6"/>
  <c r="K74" i="6"/>
  <c r="J74" i="6"/>
  <c r="I74" i="6"/>
  <c r="G74" i="6"/>
  <c r="E74" i="6"/>
  <c r="C74" i="6"/>
  <c r="CY73" i="6"/>
  <c r="CX73" i="6"/>
  <c r="CR73" i="6"/>
  <c r="CP73" i="6"/>
  <c r="BV73" i="6" s="1"/>
  <c r="CO73" i="6"/>
  <c r="CN73" i="6"/>
  <c r="CM73" i="6"/>
  <c r="CL73" i="6"/>
  <c r="CK73" i="6"/>
  <c r="CJ73" i="6"/>
  <c r="CI73" i="6"/>
  <c r="CH73" i="6"/>
  <c r="CG73" i="6"/>
  <c r="BM73" i="6" s="1"/>
  <c r="BU73" i="6"/>
  <c r="BT73" i="6"/>
  <c r="BS73" i="6"/>
  <c r="BR73" i="6"/>
  <c r="BQ73" i="6"/>
  <c r="BP73" i="6"/>
  <c r="BO73" i="6"/>
  <c r="BN73" i="6"/>
  <c r="BL73" i="6"/>
  <c r="BJ73" i="6"/>
  <c r="BI73" i="6"/>
  <c r="BH73" i="6"/>
  <c r="BG73" i="6"/>
  <c r="BE73" i="6"/>
  <c r="BD73" i="6"/>
  <c r="BC73" i="6"/>
  <c r="BA73" i="6"/>
  <c r="BK73" i="6" s="1"/>
  <c r="AV73" i="6"/>
  <c r="BF73" i="6" s="1"/>
  <c r="AP73" i="6"/>
  <c r="AO73" i="6"/>
  <c r="AL73" i="6"/>
  <c r="AK73" i="6"/>
  <c r="W73" i="6"/>
  <c r="V73" i="6"/>
  <c r="R73" i="6"/>
  <c r="Z73" i="6" s="1"/>
  <c r="Q73" i="6"/>
  <c r="T73" i="6" s="1"/>
  <c r="Y73" i="6" s="1"/>
  <c r="J73" i="6" s="1"/>
  <c r="P73" i="6"/>
  <c r="U73" i="6" s="1"/>
  <c r="X73" i="6" s="1"/>
  <c r="O73" i="6"/>
  <c r="N73" i="6"/>
  <c r="S73" i="6" s="1"/>
  <c r="L73" i="6"/>
  <c r="M73" i="6" s="1"/>
  <c r="F73" i="6" s="1"/>
  <c r="H73" i="6" s="1"/>
  <c r="K73" i="6"/>
  <c r="C73" i="6"/>
  <c r="CY72" i="6"/>
  <c r="CX72" i="6"/>
  <c r="CR72" i="6"/>
  <c r="CP72" i="6"/>
  <c r="CO72" i="6"/>
  <c r="CN72" i="6"/>
  <c r="CM72" i="6"/>
  <c r="BS72" i="6" s="1"/>
  <c r="CL72" i="6"/>
  <c r="CK72" i="6"/>
  <c r="CJ72" i="6"/>
  <c r="CI72" i="6"/>
  <c r="CH72" i="6"/>
  <c r="BN72" i="6" s="1"/>
  <c r="CG72" i="6"/>
  <c r="BM72" i="6" s="1"/>
  <c r="BV72" i="6"/>
  <c r="BT72" i="6"/>
  <c r="BR72" i="6"/>
  <c r="BQ72" i="6"/>
  <c r="BO72" i="6"/>
  <c r="BL72" i="6"/>
  <c r="BK72" i="6"/>
  <c r="BJ72" i="6"/>
  <c r="BI72" i="6"/>
  <c r="BH72" i="6"/>
  <c r="BG72" i="6"/>
  <c r="BE72" i="6"/>
  <c r="BD72" i="6"/>
  <c r="BC72" i="6"/>
  <c r="BA72" i="6"/>
  <c r="AV72" i="6"/>
  <c r="AP72" i="6"/>
  <c r="AO72" i="6"/>
  <c r="AL72" i="6"/>
  <c r="AK72" i="6"/>
  <c r="Z72" i="6"/>
  <c r="V72" i="6"/>
  <c r="U72" i="6"/>
  <c r="X72" i="6" s="1"/>
  <c r="T72" i="6"/>
  <c r="Y72" i="6" s="1"/>
  <c r="J72" i="6" s="1"/>
  <c r="S72" i="6"/>
  <c r="R72" i="6"/>
  <c r="Q72" i="6"/>
  <c r="P72" i="6"/>
  <c r="O72" i="6"/>
  <c r="W72" i="6" s="1"/>
  <c r="N72" i="6"/>
  <c r="L72" i="6"/>
  <c r="K72" i="6"/>
  <c r="C72" i="6"/>
  <c r="CY71" i="6"/>
  <c r="CX71" i="6"/>
  <c r="CR71" i="6"/>
  <c r="CP71" i="6"/>
  <c r="BV71" i="6" s="1"/>
  <c r="CO71" i="6"/>
  <c r="BU71" i="6" s="1"/>
  <c r="CN71" i="6"/>
  <c r="BT71" i="6" s="1"/>
  <c r="CM71" i="6"/>
  <c r="CL71" i="6"/>
  <c r="CK71" i="6"/>
  <c r="CJ71" i="6"/>
  <c r="BP71" i="6" s="1"/>
  <c r="CI71" i="6"/>
  <c r="CH71" i="6"/>
  <c r="CG71" i="6"/>
  <c r="BS71" i="6"/>
  <c r="BR71" i="6"/>
  <c r="BQ71" i="6"/>
  <c r="BO71" i="6"/>
  <c r="BN71" i="6"/>
  <c r="BM71" i="6"/>
  <c r="BL71" i="6"/>
  <c r="BK71" i="6"/>
  <c r="BJ71" i="6"/>
  <c r="BI71" i="6"/>
  <c r="BH71" i="6"/>
  <c r="BG71" i="6"/>
  <c r="BE71" i="6"/>
  <c r="BD71" i="6"/>
  <c r="BC71" i="6"/>
  <c r="BA71" i="6"/>
  <c r="AV71" i="6"/>
  <c r="BF71" i="6" s="1"/>
  <c r="AP71" i="6"/>
  <c r="AO71" i="6"/>
  <c r="AL71" i="6"/>
  <c r="AK71" i="6"/>
  <c r="Z71" i="6"/>
  <c r="X71" i="6"/>
  <c r="W71" i="6"/>
  <c r="V71" i="6"/>
  <c r="S71" i="6"/>
  <c r="R71" i="6"/>
  <c r="Q71" i="6"/>
  <c r="T71" i="6" s="1"/>
  <c r="Y71" i="6" s="1"/>
  <c r="J71" i="6" s="1"/>
  <c r="P71" i="6"/>
  <c r="U71" i="6" s="1"/>
  <c r="O71" i="6"/>
  <c r="N71" i="6"/>
  <c r="L71" i="6"/>
  <c r="M71" i="6" s="1"/>
  <c r="CW71" i="6" s="1"/>
  <c r="K71" i="6"/>
  <c r="F71" i="6"/>
  <c r="H71" i="6" s="1"/>
  <c r="C71" i="6"/>
  <c r="CY70" i="6"/>
  <c r="CX70" i="6"/>
  <c r="CW70" i="6"/>
  <c r="CR70" i="6"/>
  <c r="CP70" i="6"/>
  <c r="BV70" i="6" s="1"/>
  <c r="CO70" i="6"/>
  <c r="BU70" i="6" s="1"/>
  <c r="CN70" i="6"/>
  <c r="BT70" i="6" s="1"/>
  <c r="CM70" i="6"/>
  <c r="BS70" i="6" s="1"/>
  <c r="CL70" i="6"/>
  <c r="CK70" i="6"/>
  <c r="CJ70" i="6"/>
  <c r="CI70" i="6"/>
  <c r="CH70" i="6"/>
  <c r="CG70" i="6"/>
  <c r="BR70" i="6"/>
  <c r="BQ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BC70" i="6"/>
  <c r="BA70" i="6"/>
  <c r="AV70" i="6"/>
  <c r="AP70" i="6"/>
  <c r="AO70" i="6"/>
  <c r="AL70" i="6"/>
  <c r="AK70" i="6"/>
  <c r="R70" i="6"/>
  <c r="Z70" i="6" s="1"/>
  <c r="Q70" i="6"/>
  <c r="T70" i="6" s="1"/>
  <c r="Y70" i="6" s="1"/>
  <c r="J70" i="6" s="1"/>
  <c r="P70" i="6"/>
  <c r="U70" i="6" s="1"/>
  <c r="X70" i="6" s="1"/>
  <c r="O70" i="6"/>
  <c r="W70" i="6" s="1"/>
  <c r="N70" i="6"/>
  <c r="S70" i="6" s="1"/>
  <c r="V70" i="6" s="1"/>
  <c r="M70" i="6"/>
  <c r="L70" i="6"/>
  <c r="K70" i="6"/>
  <c r="C70" i="6"/>
  <c r="CY69" i="6"/>
  <c r="CX69" i="6"/>
  <c r="CR69" i="6"/>
  <c r="CP69" i="6"/>
  <c r="BV69" i="6" s="1"/>
  <c r="CO69" i="6"/>
  <c r="CN69" i="6"/>
  <c r="CM69" i="6"/>
  <c r="BS69" i="6" s="1"/>
  <c r="CL69" i="6"/>
  <c r="BR69" i="6" s="1"/>
  <c r="CK69" i="6"/>
  <c r="BQ69" i="6" s="1"/>
  <c r="CJ69" i="6"/>
  <c r="BP69" i="6" s="1"/>
  <c r="CI69" i="6"/>
  <c r="CH69" i="6"/>
  <c r="CG69" i="6"/>
  <c r="BT69" i="6"/>
  <c r="BO69" i="6"/>
  <c r="BN69" i="6"/>
  <c r="BM69" i="6"/>
  <c r="BL69" i="6"/>
  <c r="BJ69" i="6"/>
  <c r="BI69" i="6"/>
  <c r="BH69" i="6"/>
  <c r="BG69" i="6"/>
  <c r="BF69" i="6"/>
  <c r="BE69" i="6"/>
  <c r="BD69" i="6"/>
  <c r="BC69" i="6"/>
  <c r="BA69" i="6"/>
  <c r="AV69" i="6"/>
  <c r="AP69" i="6"/>
  <c r="AO69" i="6"/>
  <c r="AL69" i="6"/>
  <c r="AK69" i="6"/>
  <c r="W69" i="6"/>
  <c r="U69" i="6"/>
  <c r="X69" i="6" s="1"/>
  <c r="T69" i="6"/>
  <c r="Y69" i="6" s="1"/>
  <c r="S69" i="6"/>
  <c r="V69" i="6" s="1"/>
  <c r="I69" i="6" s="1"/>
  <c r="R69" i="6"/>
  <c r="Z69" i="6" s="1"/>
  <c r="Q69" i="6"/>
  <c r="P69" i="6"/>
  <c r="O69" i="6"/>
  <c r="N69" i="6"/>
  <c r="L69" i="6"/>
  <c r="M69" i="6" s="1"/>
  <c r="K69" i="6"/>
  <c r="C69" i="6"/>
  <c r="CY68" i="6"/>
  <c r="CX68" i="6"/>
  <c r="CR68" i="6"/>
  <c r="CP68" i="6"/>
  <c r="BV68" i="6" s="1"/>
  <c r="CO68" i="6"/>
  <c r="CN68" i="6"/>
  <c r="BT68" i="6" s="1"/>
  <c r="CM68" i="6"/>
  <c r="BS68" i="6" s="1"/>
  <c r="CL68" i="6"/>
  <c r="BR68" i="6" s="1"/>
  <c r="CK68" i="6"/>
  <c r="BQ68" i="6" s="1"/>
  <c r="CJ68" i="6"/>
  <c r="CI68" i="6"/>
  <c r="BO68" i="6" s="1"/>
  <c r="CH68" i="6"/>
  <c r="BN68" i="6" s="1"/>
  <c r="CG68" i="6"/>
  <c r="BM68" i="6" s="1"/>
  <c r="BL68" i="6"/>
  <c r="BJ68" i="6"/>
  <c r="BI68" i="6"/>
  <c r="BH68" i="6"/>
  <c r="BG68" i="6"/>
  <c r="BE68" i="6"/>
  <c r="BD68" i="6"/>
  <c r="BC68" i="6"/>
  <c r="BA68" i="6"/>
  <c r="AV68" i="6"/>
  <c r="AP68" i="6"/>
  <c r="AO68" i="6"/>
  <c r="AL68" i="6"/>
  <c r="AK68" i="6"/>
  <c r="R68" i="6"/>
  <c r="Z68" i="6" s="1"/>
  <c r="Q68" i="6"/>
  <c r="T68" i="6" s="1"/>
  <c r="Y68" i="6" s="1"/>
  <c r="J68" i="6" s="1"/>
  <c r="P68" i="6"/>
  <c r="U68" i="6" s="1"/>
  <c r="X68" i="6" s="1"/>
  <c r="O68" i="6"/>
  <c r="W68" i="6" s="1"/>
  <c r="N68" i="6"/>
  <c r="S68" i="6" s="1"/>
  <c r="V68" i="6" s="1"/>
  <c r="I68" i="6" s="1"/>
  <c r="L68" i="6"/>
  <c r="M68" i="6" s="1"/>
  <c r="K68" i="6"/>
  <c r="C68" i="6"/>
  <c r="CY67" i="6"/>
  <c r="CX67" i="6"/>
  <c r="CR67" i="6"/>
  <c r="CP67" i="6"/>
  <c r="CO67" i="6"/>
  <c r="CN67" i="6"/>
  <c r="CM67" i="6"/>
  <c r="BS67" i="6" s="1"/>
  <c r="CL67" i="6"/>
  <c r="CK67" i="6"/>
  <c r="BQ67" i="6" s="1"/>
  <c r="CJ67" i="6"/>
  <c r="CI67" i="6"/>
  <c r="BO67" i="6" s="1"/>
  <c r="CH67" i="6"/>
  <c r="CG67" i="6"/>
  <c r="BM67" i="6" s="1"/>
  <c r="BV67" i="6"/>
  <c r="BU67" i="6"/>
  <c r="BT67" i="6"/>
  <c r="BR67" i="6"/>
  <c r="BN67" i="6"/>
  <c r="BL67" i="6"/>
  <c r="BJ67" i="6"/>
  <c r="BI67" i="6"/>
  <c r="BH67" i="6"/>
  <c r="BG67" i="6"/>
  <c r="BF67" i="6"/>
  <c r="BE67" i="6"/>
  <c r="BD67" i="6"/>
  <c r="BC67" i="6"/>
  <c r="BA67" i="6"/>
  <c r="AV67" i="6"/>
  <c r="AP67" i="6"/>
  <c r="AO67" i="6"/>
  <c r="AL67" i="6"/>
  <c r="AK67" i="6"/>
  <c r="Z67" i="6"/>
  <c r="R67" i="6"/>
  <c r="Q67" i="6"/>
  <c r="T67" i="6" s="1"/>
  <c r="Y67" i="6" s="1"/>
  <c r="J67" i="6" s="1"/>
  <c r="P67" i="6"/>
  <c r="U67" i="6" s="1"/>
  <c r="X67" i="6" s="1"/>
  <c r="I67" i="6" s="1"/>
  <c r="E67" i="6" s="1"/>
  <c r="G67" i="6" s="1"/>
  <c r="O67" i="6"/>
  <c r="W67" i="6" s="1"/>
  <c r="N67" i="6"/>
  <c r="S67" i="6" s="1"/>
  <c r="V67" i="6" s="1"/>
  <c r="L67" i="6"/>
  <c r="K67" i="6"/>
  <c r="C67" i="6"/>
  <c r="CY66" i="6"/>
  <c r="CX66" i="6"/>
  <c r="CR66" i="6"/>
  <c r="CP66" i="6"/>
  <c r="CO66" i="6"/>
  <c r="CN66" i="6"/>
  <c r="CM66" i="6"/>
  <c r="CL66" i="6"/>
  <c r="BR66" i="6" s="1"/>
  <c r="CK66" i="6"/>
  <c r="BQ66" i="6" s="1"/>
  <c r="CJ66" i="6"/>
  <c r="CI66" i="6"/>
  <c r="CH66" i="6"/>
  <c r="BN66" i="6" s="1"/>
  <c r="CG66" i="6"/>
  <c r="BM66" i="6" s="1"/>
  <c r="BV66" i="6"/>
  <c r="BT66" i="6"/>
  <c r="BS66" i="6"/>
  <c r="BO66" i="6"/>
  <c r="BL66" i="6"/>
  <c r="BJ66" i="6"/>
  <c r="BI66" i="6"/>
  <c r="BH66" i="6"/>
  <c r="BG66" i="6"/>
  <c r="BE66" i="6"/>
  <c r="BD66" i="6"/>
  <c r="BC66" i="6"/>
  <c r="BA66" i="6"/>
  <c r="AV66" i="6"/>
  <c r="AP66" i="6"/>
  <c r="AO66" i="6"/>
  <c r="AL66" i="6"/>
  <c r="AK66" i="6"/>
  <c r="Z66" i="6"/>
  <c r="X66" i="6"/>
  <c r="W66" i="6"/>
  <c r="S66" i="6"/>
  <c r="V66" i="6" s="1"/>
  <c r="R66" i="6"/>
  <c r="Q66" i="6"/>
  <c r="T66" i="6" s="1"/>
  <c r="Y66" i="6" s="1"/>
  <c r="J66" i="6" s="1"/>
  <c r="P66" i="6"/>
  <c r="U66" i="6" s="1"/>
  <c r="O66" i="6"/>
  <c r="N66" i="6"/>
  <c r="L66" i="6"/>
  <c r="K66" i="6"/>
  <c r="I66" i="6"/>
  <c r="E66" i="6"/>
  <c r="G66" i="6" s="1"/>
  <c r="C66" i="6"/>
  <c r="CY65" i="6"/>
  <c r="CX65" i="6"/>
  <c r="CR65" i="6"/>
  <c r="CP65" i="6"/>
  <c r="CO65" i="6"/>
  <c r="CN65" i="6"/>
  <c r="CM65" i="6"/>
  <c r="CL65" i="6"/>
  <c r="CK65" i="6"/>
  <c r="CJ65" i="6"/>
  <c r="CI65" i="6"/>
  <c r="CH65" i="6"/>
  <c r="CG65" i="6"/>
  <c r="BV65" i="6"/>
  <c r="BU65" i="6"/>
  <c r="BT65" i="6"/>
  <c r="BS65" i="6"/>
  <c r="BR65" i="6"/>
  <c r="BQ65" i="6"/>
  <c r="BP65" i="6"/>
  <c r="BO65" i="6"/>
  <c r="BN65" i="6"/>
  <c r="BM65" i="6"/>
  <c r="BL65" i="6"/>
  <c r="BJ65" i="6"/>
  <c r="BI65" i="6"/>
  <c r="BH65" i="6"/>
  <c r="BG65" i="6"/>
  <c r="BE65" i="6"/>
  <c r="BD65" i="6"/>
  <c r="BC65" i="6"/>
  <c r="BA65" i="6"/>
  <c r="BK65" i="6" s="1"/>
  <c r="AV65" i="6"/>
  <c r="BF65" i="6" s="1"/>
  <c r="AP65" i="6"/>
  <c r="AO65" i="6"/>
  <c r="AL65" i="6"/>
  <c r="AK65" i="6"/>
  <c r="Z65" i="6"/>
  <c r="W65" i="6"/>
  <c r="V65" i="6"/>
  <c r="U65" i="6"/>
  <c r="X65" i="6" s="1"/>
  <c r="T65" i="6"/>
  <c r="Y65" i="6" s="1"/>
  <c r="J65" i="6" s="1"/>
  <c r="R65" i="6"/>
  <c r="Q65" i="6"/>
  <c r="P65" i="6"/>
  <c r="O65" i="6"/>
  <c r="N65" i="6"/>
  <c r="S65" i="6" s="1"/>
  <c r="L65" i="6"/>
  <c r="M65" i="6" s="1"/>
  <c r="K65" i="6"/>
  <c r="C65" i="6"/>
  <c r="CY64" i="6"/>
  <c r="CX64" i="6"/>
  <c r="CW64" i="6"/>
  <c r="CR64" i="6"/>
  <c r="CP64" i="6"/>
  <c r="BV64" i="6" s="1"/>
  <c r="CO64" i="6"/>
  <c r="BU64" i="6" s="1"/>
  <c r="CN64" i="6"/>
  <c r="CM64" i="6"/>
  <c r="CL64" i="6"/>
  <c r="CK64" i="6"/>
  <c r="BQ64" i="6" s="1"/>
  <c r="CJ64" i="6"/>
  <c r="CI64" i="6"/>
  <c r="CH64" i="6"/>
  <c r="CG64" i="6"/>
  <c r="BT64" i="6"/>
  <c r="BS64" i="6"/>
  <c r="BR64" i="6"/>
  <c r="BP64" i="6"/>
  <c r="BO64" i="6"/>
  <c r="BN64" i="6"/>
  <c r="BM64" i="6"/>
  <c r="BL64" i="6"/>
  <c r="BK64" i="6"/>
  <c r="BJ64" i="6"/>
  <c r="BI64" i="6"/>
  <c r="BH64" i="6"/>
  <c r="BG64" i="6"/>
  <c r="BE64" i="6"/>
  <c r="BD64" i="6"/>
  <c r="BC64" i="6"/>
  <c r="BA64" i="6"/>
  <c r="AV64" i="6"/>
  <c r="BF64" i="6" s="1"/>
  <c r="AP64" i="6"/>
  <c r="AO64" i="6"/>
  <c r="AL64" i="6"/>
  <c r="AK64" i="6"/>
  <c r="W64" i="6"/>
  <c r="U64" i="6"/>
  <c r="X64" i="6" s="1"/>
  <c r="S64" i="6"/>
  <c r="V64" i="6" s="1"/>
  <c r="R64" i="6"/>
  <c r="Z64" i="6" s="1"/>
  <c r="Q64" i="6"/>
  <c r="T64" i="6" s="1"/>
  <c r="Y64" i="6" s="1"/>
  <c r="J64" i="6" s="1"/>
  <c r="P64" i="6"/>
  <c r="O64" i="6"/>
  <c r="N64" i="6"/>
  <c r="M64" i="6"/>
  <c r="L64" i="6"/>
  <c r="K64" i="6"/>
  <c r="F64" i="6"/>
  <c r="H64" i="6" s="1"/>
  <c r="C64" i="6"/>
  <c r="CY63" i="6"/>
  <c r="CX63" i="6"/>
  <c r="CR63" i="6"/>
  <c r="CP63" i="6"/>
  <c r="BV63" i="6" s="1"/>
  <c r="CO63" i="6"/>
  <c r="CN63" i="6"/>
  <c r="BT63" i="6" s="1"/>
  <c r="CM63" i="6"/>
  <c r="CL63" i="6"/>
  <c r="CK63" i="6"/>
  <c r="CJ63" i="6"/>
  <c r="CI63" i="6"/>
  <c r="CH63" i="6"/>
  <c r="CG63" i="6"/>
  <c r="BS63" i="6"/>
  <c r="BR63" i="6"/>
  <c r="BQ63" i="6"/>
  <c r="BP63" i="6"/>
  <c r="BO63" i="6"/>
  <c r="BN63" i="6"/>
  <c r="BM63" i="6"/>
  <c r="BL63" i="6"/>
  <c r="BJ63" i="6"/>
  <c r="BI63" i="6"/>
  <c r="BH63" i="6"/>
  <c r="BG63" i="6"/>
  <c r="BF63" i="6"/>
  <c r="BE63" i="6"/>
  <c r="BD63" i="6"/>
  <c r="BC63" i="6"/>
  <c r="BA63" i="6"/>
  <c r="AV63" i="6"/>
  <c r="AP63" i="6"/>
  <c r="AO63" i="6"/>
  <c r="AL63" i="6"/>
  <c r="AK63" i="6"/>
  <c r="Z63" i="6"/>
  <c r="W63" i="6"/>
  <c r="V63" i="6"/>
  <c r="U63" i="6"/>
  <c r="X63" i="6" s="1"/>
  <c r="T63" i="6"/>
  <c r="Y63" i="6" s="1"/>
  <c r="J63" i="6" s="1"/>
  <c r="R63" i="6"/>
  <c r="Q63" i="6"/>
  <c r="P63" i="6"/>
  <c r="O63" i="6"/>
  <c r="N63" i="6"/>
  <c r="S63" i="6" s="1"/>
  <c r="L63" i="6"/>
  <c r="K63" i="6"/>
  <c r="C63" i="6"/>
  <c r="CY62" i="6"/>
  <c r="CX62" i="6"/>
  <c r="CR62" i="6"/>
  <c r="CP62" i="6"/>
  <c r="BV62" i="6" s="1"/>
  <c r="CO62" i="6"/>
  <c r="BU62" i="6" s="1"/>
  <c r="CN62" i="6"/>
  <c r="BT62" i="6" s="1"/>
  <c r="CM62" i="6"/>
  <c r="BS62" i="6" s="1"/>
  <c r="CL62" i="6"/>
  <c r="BR62" i="6" s="1"/>
  <c r="CK62" i="6"/>
  <c r="BQ62" i="6" s="1"/>
  <c r="CJ62" i="6"/>
  <c r="BP62" i="6" s="1"/>
  <c r="CI62" i="6"/>
  <c r="CH62" i="6"/>
  <c r="CG62" i="6"/>
  <c r="BO62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A62" i="6"/>
  <c r="AV62" i="6"/>
  <c r="AP62" i="6"/>
  <c r="AO62" i="6"/>
  <c r="AL62" i="6"/>
  <c r="AK62" i="6"/>
  <c r="S62" i="6"/>
  <c r="V62" i="6" s="1"/>
  <c r="R62" i="6"/>
  <c r="Z62" i="6" s="1"/>
  <c r="Q62" i="6"/>
  <c r="T62" i="6" s="1"/>
  <c r="Y62" i="6" s="1"/>
  <c r="J62" i="6" s="1"/>
  <c r="P62" i="6"/>
  <c r="U62" i="6" s="1"/>
  <c r="X62" i="6" s="1"/>
  <c r="O62" i="6"/>
  <c r="W62" i="6" s="1"/>
  <c r="N62" i="6"/>
  <c r="L62" i="6"/>
  <c r="M62" i="6" s="1"/>
  <c r="K62" i="6"/>
  <c r="C62" i="6"/>
  <c r="CY61" i="6"/>
  <c r="CX61" i="6"/>
  <c r="CR61" i="6"/>
  <c r="CP61" i="6"/>
  <c r="CO61" i="6"/>
  <c r="CN61" i="6"/>
  <c r="BT61" i="6" s="1"/>
  <c r="CM61" i="6"/>
  <c r="BS61" i="6" s="1"/>
  <c r="CL61" i="6"/>
  <c r="CK61" i="6"/>
  <c r="BQ61" i="6" s="1"/>
  <c r="CJ61" i="6"/>
  <c r="CI61" i="6"/>
  <c r="BO61" i="6" s="1"/>
  <c r="CH61" i="6"/>
  <c r="BN61" i="6" s="1"/>
  <c r="CG61" i="6"/>
  <c r="BM61" i="6" s="1"/>
  <c r="BV61" i="6"/>
  <c r="BR61" i="6"/>
  <c r="BL61" i="6"/>
  <c r="BK61" i="6"/>
  <c r="BJ61" i="6"/>
  <c r="BI61" i="6"/>
  <c r="BH61" i="6"/>
  <c r="BG61" i="6"/>
  <c r="BF61" i="6"/>
  <c r="BE61" i="6"/>
  <c r="BD61" i="6"/>
  <c r="BC61" i="6"/>
  <c r="BA61" i="6"/>
  <c r="BU61" i="6" s="1"/>
  <c r="AV61" i="6"/>
  <c r="AP61" i="6"/>
  <c r="AO61" i="6"/>
  <c r="AL61" i="6"/>
  <c r="AK61" i="6"/>
  <c r="U61" i="6"/>
  <c r="X61" i="6" s="1"/>
  <c r="T61" i="6"/>
  <c r="Y61" i="6" s="1"/>
  <c r="S61" i="6"/>
  <c r="V61" i="6" s="1"/>
  <c r="R61" i="6"/>
  <c r="Z61" i="6" s="1"/>
  <c r="Q61" i="6"/>
  <c r="P61" i="6"/>
  <c r="O61" i="6"/>
  <c r="W61" i="6" s="1"/>
  <c r="N61" i="6"/>
  <c r="L61" i="6"/>
  <c r="M61" i="6" s="1"/>
  <c r="K61" i="6"/>
  <c r="C61" i="6"/>
  <c r="CY60" i="6"/>
  <c r="CX60" i="6"/>
  <c r="CR60" i="6"/>
  <c r="CP60" i="6"/>
  <c r="CO60" i="6"/>
  <c r="CN60" i="6"/>
  <c r="CM60" i="6"/>
  <c r="BS60" i="6" s="1"/>
  <c r="CL60" i="6"/>
  <c r="BR60" i="6" s="1"/>
  <c r="CK60" i="6"/>
  <c r="BQ60" i="6" s="1"/>
  <c r="CJ60" i="6"/>
  <c r="CI60" i="6"/>
  <c r="BO60" i="6" s="1"/>
  <c r="CH60" i="6"/>
  <c r="BN60" i="6" s="1"/>
  <c r="CG60" i="6"/>
  <c r="BM60" i="6" s="1"/>
  <c r="BV60" i="6"/>
  <c r="BU60" i="6"/>
  <c r="BT60" i="6"/>
  <c r="BL60" i="6"/>
  <c r="BJ60" i="6"/>
  <c r="BI60" i="6"/>
  <c r="BH60" i="6"/>
  <c r="BG60" i="6"/>
  <c r="BE60" i="6"/>
  <c r="BD60" i="6"/>
  <c r="BC60" i="6"/>
  <c r="BA60" i="6"/>
  <c r="BK60" i="6" s="1"/>
  <c r="AV60" i="6"/>
  <c r="AP60" i="6"/>
  <c r="AO60" i="6"/>
  <c r="AL60" i="6"/>
  <c r="AK60" i="6"/>
  <c r="W60" i="6"/>
  <c r="R60" i="6"/>
  <c r="Z60" i="6" s="1"/>
  <c r="Q60" i="6"/>
  <c r="T60" i="6" s="1"/>
  <c r="Y60" i="6" s="1"/>
  <c r="P60" i="6"/>
  <c r="U60" i="6" s="1"/>
  <c r="X60" i="6" s="1"/>
  <c r="O60" i="6"/>
  <c r="N60" i="6"/>
  <c r="S60" i="6" s="1"/>
  <c r="V60" i="6" s="1"/>
  <c r="M60" i="6"/>
  <c r="L60" i="6"/>
  <c r="K60" i="6"/>
  <c r="J60" i="6"/>
  <c r="C60" i="6"/>
  <c r="CY59" i="6"/>
  <c r="CX59" i="6"/>
  <c r="CR59" i="6"/>
  <c r="CP59" i="6"/>
  <c r="CO59" i="6"/>
  <c r="CN59" i="6"/>
  <c r="BT59" i="6" s="1"/>
  <c r="CM59" i="6"/>
  <c r="BS59" i="6" s="1"/>
  <c r="CL59" i="6"/>
  <c r="BR59" i="6" s="1"/>
  <c r="CK59" i="6"/>
  <c r="BQ59" i="6" s="1"/>
  <c r="CJ59" i="6"/>
  <c r="CI59" i="6"/>
  <c r="BO59" i="6" s="1"/>
  <c r="CH59" i="6"/>
  <c r="BN59" i="6" s="1"/>
  <c r="CG59" i="6"/>
  <c r="BM59" i="6" s="1"/>
  <c r="BV59" i="6"/>
  <c r="BL59" i="6"/>
  <c r="BJ59" i="6"/>
  <c r="BI59" i="6"/>
  <c r="BH59" i="6"/>
  <c r="BG59" i="6"/>
  <c r="BE59" i="6"/>
  <c r="BD59" i="6"/>
  <c r="BC59" i="6"/>
  <c r="BA59" i="6"/>
  <c r="AV59" i="6"/>
  <c r="AP59" i="6"/>
  <c r="AO59" i="6"/>
  <c r="AL59" i="6"/>
  <c r="AK59" i="6"/>
  <c r="Z59" i="6"/>
  <c r="Y59" i="6"/>
  <c r="J59" i="6" s="1"/>
  <c r="X59" i="6"/>
  <c r="T59" i="6"/>
  <c r="R59" i="6"/>
  <c r="Q59" i="6"/>
  <c r="P59" i="6"/>
  <c r="U59" i="6" s="1"/>
  <c r="O59" i="6"/>
  <c r="W59" i="6" s="1"/>
  <c r="N59" i="6"/>
  <c r="S59" i="6" s="1"/>
  <c r="V59" i="6" s="1"/>
  <c r="L59" i="6"/>
  <c r="K59" i="6"/>
  <c r="I59" i="6"/>
  <c r="E59" i="6"/>
  <c r="G59" i="6" s="1"/>
  <c r="C59" i="6"/>
  <c r="CY58" i="6"/>
  <c r="CX58" i="6"/>
  <c r="CR58" i="6"/>
  <c r="CP58" i="6"/>
  <c r="CO58" i="6"/>
  <c r="BU58" i="6" s="1"/>
  <c r="CN58" i="6"/>
  <c r="CM58" i="6"/>
  <c r="CL58" i="6"/>
  <c r="CK58" i="6"/>
  <c r="CJ58" i="6"/>
  <c r="CI58" i="6"/>
  <c r="CH58" i="6"/>
  <c r="CG58" i="6"/>
  <c r="BV58" i="6"/>
  <c r="BT58" i="6"/>
  <c r="BS58" i="6"/>
  <c r="BR58" i="6"/>
  <c r="BQ58" i="6"/>
  <c r="BP58" i="6"/>
  <c r="BO58" i="6"/>
  <c r="BN58" i="6"/>
  <c r="BM58" i="6"/>
  <c r="BL58" i="6"/>
  <c r="BJ58" i="6"/>
  <c r="BI58" i="6"/>
  <c r="BH58" i="6"/>
  <c r="BG58" i="6"/>
  <c r="BE58" i="6"/>
  <c r="BD58" i="6"/>
  <c r="BC58" i="6"/>
  <c r="BA58" i="6"/>
  <c r="BK58" i="6" s="1"/>
  <c r="AV58" i="6"/>
  <c r="BF58" i="6" s="1"/>
  <c r="AP58" i="6"/>
  <c r="AO58" i="6"/>
  <c r="AL58" i="6"/>
  <c r="AK58" i="6"/>
  <c r="Z58" i="6"/>
  <c r="W58" i="6"/>
  <c r="U58" i="6"/>
  <c r="X58" i="6" s="1"/>
  <c r="R58" i="6"/>
  <c r="Q58" i="6"/>
  <c r="T58" i="6" s="1"/>
  <c r="Y58" i="6" s="1"/>
  <c r="J58" i="6" s="1"/>
  <c r="P58" i="6"/>
  <c r="O58" i="6"/>
  <c r="N58" i="6"/>
  <c r="S58" i="6" s="1"/>
  <c r="V58" i="6" s="1"/>
  <c r="I58" i="6" s="1"/>
  <c r="E58" i="6" s="1"/>
  <c r="G58" i="6" s="1"/>
  <c r="M58" i="6"/>
  <c r="F58" i="6" s="1"/>
  <c r="H58" i="6" s="1"/>
  <c r="L58" i="6"/>
  <c r="K58" i="6"/>
  <c r="C58" i="6"/>
  <c r="CY57" i="6"/>
  <c r="CX57" i="6"/>
  <c r="CR57" i="6"/>
  <c r="CP57" i="6"/>
  <c r="BV57" i="6" s="1"/>
  <c r="CO57" i="6"/>
  <c r="CN57" i="6"/>
  <c r="CM57" i="6"/>
  <c r="CL57" i="6"/>
  <c r="BR57" i="6" s="1"/>
  <c r="CK57" i="6"/>
  <c r="CJ57" i="6"/>
  <c r="CI57" i="6"/>
  <c r="CH57" i="6"/>
  <c r="BN57" i="6" s="1"/>
  <c r="CG57" i="6"/>
  <c r="BT57" i="6"/>
  <c r="BS57" i="6"/>
  <c r="BQ57" i="6"/>
  <c r="BP57" i="6"/>
  <c r="BO57" i="6"/>
  <c r="BM57" i="6"/>
  <c r="BL57" i="6"/>
  <c r="BJ57" i="6"/>
  <c r="BI57" i="6"/>
  <c r="BH57" i="6"/>
  <c r="BG57" i="6"/>
  <c r="BF57" i="6"/>
  <c r="BE57" i="6"/>
  <c r="BD57" i="6"/>
  <c r="BC57" i="6"/>
  <c r="BA57" i="6"/>
  <c r="AV57" i="6"/>
  <c r="AP57" i="6"/>
  <c r="AO57" i="6"/>
  <c r="AL57" i="6"/>
  <c r="AK57" i="6"/>
  <c r="W57" i="6"/>
  <c r="U57" i="6"/>
  <c r="X57" i="6" s="1"/>
  <c r="T57" i="6"/>
  <c r="Y57" i="6" s="1"/>
  <c r="R57" i="6"/>
  <c r="Z57" i="6" s="1"/>
  <c r="Q57" i="6"/>
  <c r="P57" i="6"/>
  <c r="O57" i="6"/>
  <c r="N57" i="6"/>
  <c r="S57" i="6" s="1"/>
  <c r="V57" i="6" s="1"/>
  <c r="I57" i="6" s="1"/>
  <c r="E57" i="6" s="1"/>
  <c r="G57" i="6" s="1"/>
  <c r="L57" i="6"/>
  <c r="K57" i="6"/>
  <c r="J57" i="6"/>
  <c r="C57" i="6"/>
  <c r="CY56" i="6"/>
  <c r="CX56" i="6"/>
  <c r="CR56" i="6"/>
  <c r="CP56" i="6"/>
  <c r="BV56" i="6" s="1"/>
  <c r="CO56" i="6"/>
  <c r="BU56" i="6" s="1"/>
  <c r="CN56" i="6"/>
  <c r="BT56" i="6" s="1"/>
  <c r="CM56" i="6"/>
  <c r="BS56" i="6" s="1"/>
  <c r="CL56" i="6"/>
  <c r="CK56" i="6"/>
  <c r="CJ56" i="6"/>
  <c r="CI56" i="6"/>
  <c r="BO56" i="6" s="1"/>
  <c r="CH56" i="6"/>
  <c r="CG56" i="6"/>
  <c r="BR56" i="6"/>
  <c r="BQ56" i="6"/>
  <c r="BP56" i="6"/>
  <c r="BN56" i="6"/>
  <c r="BM56" i="6"/>
  <c r="BL56" i="6"/>
  <c r="BK56" i="6"/>
  <c r="BJ56" i="6"/>
  <c r="BI56" i="6"/>
  <c r="BH56" i="6"/>
  <c r="BG56" i="6"/>
  <c r="BF56" i="6"/>
  <c r="BE56" i="6"/>
  <c r="BD56" i="6"/>
  <c r="BC56" i="6"/>
  <c r="BA56" i="6"/>
  <c r="AV56" i="6"/>
  <c r="AP56" i="6"/>
  <c r="AO56" i="6"/>
  <c r="AL56" i="6"/>
  <c r="AK56" i="6"/>
  <c r="S56" i="6"/>
  <c r="V56" i="6" s="1"/>
  <c r="R56" i="6"/>
  <c r="Z56" i="6" s="1"/>
  <c r="Q56" i="6"/>
  <c r="T56" i="6" s="1"/>
  <c r="Y56" i="6" s="1"/>
  <c r="J56" i="6" s="1"/>
  <c r="P56" i="6"/>
  <c r="U56" i="6" s="1"/>
  <c r="X56" i="6" s="1"/>
  <c r="O56" i="6"/>
  <c r="W56" i="6" s="1"/>
  <c r="N56" i="6"/>
  <c r="L56" i="6"/>
  <c r="M56" i="6" s="1"/>
  <c r="F56" i="6" s="1"/>
  <c r="H56" i="6" s="1"/>
  <c r="K56" i="6"/>
  <c r="C56" i="6"/>
  <c r="CY55" i="6"/>
  <c r="CX55" i="6"/>
  <c r="CR55" i="6"/>
  <c r="CP55" i="6"/>
  <c r="CO55" i="6"/>
  <c r="CN55" i="6"/>
  <c r="BT55" i="6" s="1"/>
  <c r="CM55" i="6"/>
  <c r="CL55" i="6"/>
  <c r="CK55" i="6"/>
  <c r="CJ55" i="6"/>
  <c r="CI55" i="6"/>
  <c r="CH55" i="6"/>
  <c r="CG55" i="6"/>
  <c r="BV55" i="6"/>
  <c r="BS55" i="6"/>
  <c r="BR55" i="6"/>
  <c r="BQ55" i="6"/>
  <c r="BP55" i="6"/>
  <c r="BO55" i="6"/>
  <c r="BN55" i="6"/>
  <c r="BM55" i="6"/>
  <c r="BL55" i="6"/>
  <c r="BK55" i="6"/>
  <c r="BJ55" i="6"/>
  <c r="BI55" i="6"/>
  <c r="BH55" i="6"/>
  <c r="BG55" i="6"/>
  <c r="BF55" i="6"/>
  <c r="BE55" i="6"/>
  <c r="BD55" i="6"/>
  <c r="BC55" i="6"/>
  <c r="BA55" i="6"/>
  <c r="BU55" i="6" s="1"/>
  <c r="AV55" i="6"/>
  <c r="AP55" i="6"/>
  <c r="AO55" i="6"/>
  <c r="AL55" i="6"/>
  <c r="AK55" i="6"/>
  <c r="Z55" i="6"/>
  <c r="W55" i="6"/>
  <c r="U55" i="6"/>
  <c r="X55" i="6" s="1"/>
  <c r="T55" i="6"/>
  <c r="Y55" i="6" s="1"/>
  <c r="J55" i="6" s="1"/>
  <c r="S55" i="6"/>
  <c r="V55" i="6" s="1"/>
  <c r="I55" i="6" s="1"/>
  <c r="E55" i="6" s="1"/>
  <c r="G55" i="6" s="1"/>
  <c r="R55" i="6"/>
  <c r="Q55" i="6"/>
  <c r="P55" i="6"/>
  <c r="O55" i="6"/>
  <c r="N55" i="6"/>
  <c r="M55" i="6"/>
  <c r="L55" i="6"/>
  <c r="K55" i="6"/>
  <c r="C55" i="6"/>
  <c r="CY54" i="6"/>
  <c r="CX54" i="6"/>
  <c r="CR54" i="6"/>
  <c r="CP54" i="6"/>
  <c r="BV54" i="6" s="1"/>
  <c r="CO54" i="6"/>
  <c r="CN54" i="6"/>
  <c r="BT54" i="6" s="1"/>
  <c r="CM54" i="6"/>
  <c r="BS54" i="6" s="1"/>
  <c r="AC9" i="5" s="1"/>
  <c r="CL54" i="6"/>
  <c r="BR54" i="6" s="1"/>
  <c r="CK54" i="6"/>
  <c r="BQ54" i="6" s="1"/>
  <c r="CJ54" i="6"/>
  <c r="CI54" i="6"/>
  <c r="CH54" i="6"/>
  <c r="CG54" i="6"/>
  <c r="BO54" i="6"/>
  <c r="BN54" i="6"/>
  <c r="BM54" i="6"/>
  <c r="BL54" i="6"/>
  <c r="BJ54" i="6"/>
  <c r="BI54" i="6"/>
  <c r="BH54" i="6"/>
  <c r="AC4" i="5" s="1"/>
  <c r="BG54" i="6"/>
  <c r="BE54" i="6"/>
  <c r="AC11" i="5" s="1"/>
  <c r="BD54" i="6"/>
  <c r="AC13" i="5" s="1"/>
  <c r="BC54" i="6"/>
  <c r="AC12" i="5" s="1"/>
  <c r="BA54" i="6"/>
  <c r="AV54" i="6"/>
  <c r="AP54" i="6"/>
  <c r="AO54" i="6"/>
  <c r="AL54" i="6"/>
  <c r="AK54" i="6"/>
  <c r="S54" i="6"/>
  <c r="V54" i="6" s="1"/>
  <c r="I54" i="6" s="1"/>
  <c r="E54" i="6" s="1"/>
  <c r="R54" i="6"/>
  <c r="Z54" i="6" s="1"/>
  <c r="J54" i="6" s="1"/>
  <c r="Q54" i="6"/>
  <c r="T54" i="6" s="1"/>
  <c r="Y54" i="6" s="1"/>
  <c r="P54" i="6"/>
  <c r="U54" i="6" s="1"/>
  <c r="X54" i="6" s="1"/>
  <c r="O54" i="6"/>
  <c r="W54" i="6" s="1"/>
  <c r="N54" i="6"/>
  <c r="L54" i="6"/>
  <c r="K54" i="6"/>
  <c r="C54" i="6"/>
  <c r="CY53" i="6"/>
  <c r="CX53" i="6"/>
  <c r="CR53" i="6"/>
  <c r="CP53" i="6"/>
  <c r="CO53" i="6"/>
  <c r="CN53" i="6"/>
  <c r="CM53" i="6"/>
  <c r="BS53" i="6" s="1"/>
  <c r="CL53" i="6"/>
  <c r="BR53" i="6" s="1"/>
  <c r="CK53" i="6"/>
  <c r="BQ53" i="6" s="1"/>
  <c r="CJ53" i="6"/>
  <c r="BP53" i="6" s="1"/>
  <c r="AB14" i="5" s="1"/>
  <c r="CI53" i="6"/>
  <c r="BO53" i="6" s="1"/>
  <c r="AB15" i="5" s="1"/>
  <c r="CH53" i="6"/>
  <c r="BN53" i="6" s="1"/>
  <c r="AB17" i="5" s="1"/>
  <c r="CG53" i="6"/>
  <c r="BV53" i="6"/>
  <c r="BU53" i="6"/>
  <c r="BT53" i="6"/>
  <c r="BM53" i="6"/>
  <c r="BL53" i="6"/>
  <c r="BK53" i="6"/>
  <c r="BJ53" i="6"/>
  <c r="BI53" i="6"/>
  <c r="AB5" i="5" s="1"/>
  <c r="BH53" i="6"/>
  <c r="AB4" i="5" s="1"/>
  <c r="BG53" i="6"/>
  <c r="BE53" i="6"/>
  <c r="BD53" i="6"/>
  <c r="BC53" i="6"/>
  <c r="BA53" i="6"/>
  <c r="AV53" i="6"/>
  <c r="BF53" i="6" s="1"/>
  <c r="AB10" i="5" s="1"/>
  <c r="AP53" i="6"/>
  <c r="AO53" i="6"/>
  <c r="AL53" i="6"/>
  <c r="AK53" i="6"/>
  <c r="R53" i="6"/>
  <c r="Z53" i="6" s="1"/>
  <c r="Q53" i="6"/>
  <c r="T53" i="6" s="1"/>
  <c r="Y53" i="6" s="1"/>
  <c r="P53" i="6"/>
  <c r="U53" i="6" s="1"/>
  <c r="X53" i="6" s="1"/>
  <c r="O53" i="6"/>
  <c r="W53" i="6" s="1"/>
  <c r="N53" i="6"/>
  <c r="S53" i="6" s="1"/>
  <c r="V53" i="6" s="1"/>
  <c r="I53" i="6" s="1"/>
  <c r="L53" i="6"/>
  <c r="M53" i="6" s="1"/>
  <c r="K53" i="6"/>
  <c r="CW53" i="6" s="1"/>
  <c r="E53" i="6"/>
  <c r="G53" i="6" s="1"/>
  <c r="C53" i="6"/>
  <c r="CY52" i="6"/>
  <c r="CX52" i="6"/>
  <c r="CR52" i="6"/>
  <c r="CP52" i="6"/>
  <c r="BV52" i="6" s="1"/>
  <c r="CO52" i="6"/>
  <c r="BU52" i="6" s="1"/>
  <c r="AA6" i="5" s="1"/>
  <c r="CN52" i="6"/>
  <c r="BT52" i="6" s="1"/>
  <c r="CM52" i="6"/>
  <c r="BS52" i="6" s="1"/>
  <c r="CL52" i="6"/>
  <c r="BR52" i="6" s="1"/>
  <c r="CK52" i="6"/>
  <c r="CJ52" i="6"/>
  <c r="CI52" i="6"/>
  <c r="CH52" i="6"/>
  <c r="CG52" i="6"/>
  <c r="BQ52" i="6"/>
  <c r="BP52" i="6"/>
  <c r="BO52" i="6"/>
  <c r="AA15" i="5" s="1"/>
  <c r="BN52" i="6"/>
  <c r="AA17" i="5" s="1"/>
  <c r="BM52" i="6"/>
  <c r="AA16" i="5" s="1"/>
  <c r="BL52" i="6"/>
  <c r="BK52" i="6"/>
  <c r="BJ52" i="6"/>
  <c r="AA3" i="5" s="1"/>
  <c r="BI52" i="6"/>
  <c r="AA5" i="5" s="1"/>
  <c r="BH52" i="6"/>
  <c r="AA4" i="5" s="1"/>
  <c r="BG52" i="6"/>
  <c r="BF52" i="6"/>
  <c r="AA10" i="5" s="1"/>
  <c r="BE52" i="6"/>
  <c r="AA11" i="5" s="1"/>
  <c r="BD52" i="6"/>
  <c r="AA13" i="5" s="1"/>
  <c r="BC52" i="6"/>
  <c r="BA52" i="6"/>
  <c r="AV52" i="6"/>
  <c r="AP52" i="6"/>
  <c r="AO52" i="6"/>
  <c r="AL52" i="6"/>
  <c r="AK52" i="6"/>
  <c r="R52" i="6"/>
  <c r="Z52" i="6" s="1"/>
  <c r="Q52" i="6"/>
  <c r="T52" i="6" s="1"/>
  <c r="Y52" i="6" s="1"/>
  <c r="J52" i="6" s="1"/>
  <c r="P52" i="6"/>
  <c r="U52" i="6" s="1"/>
  <c r="X52" i="6" s="1"/>
  <c r="O52" i="6"/>
  <c r="W52" i="6" s="1"/>
  <c r="N52" i="6"/>
  <c r="S52" i="6" s="1"/>
  <c r="V52" i="6" s="1"/>
  <c r="I52" i="6" s="1"/>
  <c r="L52" i="6"/>
  <c r="M52" i="6" s="1"/>
  <c r="K52" i="6"/>
  <c r="C52" i="6"/>
  <c r="CY51" i="6"/>
  <c r="CX51" i="6"/>
  <c r="CR51" i="6"/>
  <c r="CP51" i="6"/>
  <c r="CO51" i="6"/>
  <c r="CN51" i="6"/>
  <c r="BT51" i="6" s="1"/>
  <c r="CM51" i="6"/>
  <c r="BS51" i="6" s="1"/>
  <c r="CL51" i="6"/>
  <c r="BR51" i="6" s="1"/>
  <c r="CK51" i="6"/>
  <c r="BQ51" i="6" s="1"/>
  <c r="CJ51" i="6"/>
  <c r="CI51" i="6"/>
  <c r="BO51" i="6" s="1"/>
  <c r="Z15" i="5" s="1"/>
  <c r="CH51" i="6"/>
  <c r="CG51" i="6"/>
  <c r="BV51" i="6"/>
  <c r="BN51" i="6"/>
  <c r="Z17" i="5" s="1"/>
  <c r="BM51" i="6"/>
  <c r="Z16" i="5" s="1"/>
  <c r="BL51" i="6"/>
  <c r="BK51" i="6"/>
  <c r="Z2" i="5" s="1"/>
  <c r="BJ51" i="6"/>
  <c r="Z3" i="5" s="1"/>
  <c r="BI51" i="6"/>
  <c r="Z5" i="5" s="1"/>
  <c r="BH51" i="6"/>
  <c r="BG51" i="6"/>
  <c r="BF51" i="6"/>
  <c r="Z10" i="5" s="1"/>
  <c r="BE51" i="6"/>
  <c r="BD51" i="6"/>
  <c r="BC51" i="6"/>
  <c r="BA51" i="6"/>
  <c r="BU51" i="6" s="1"/>
  <c r="AV51" i="6"/>
  <c r="AP51" i="6"/>
  <c r="AO51" i="6"/>
  <c r="AL51" i="6"/>
  <c r="AK51" i="6"/>
  <c r="R51" i="6"/>
  <c r="Z51" i="6" s="1"/>
  <c r="Q51" i="6"/>
  <c r="T51" i="6" s="1"/>
  <c r="Y51" i="6" s="1"/>
  <c r="J51" i="6" s="1"/>
  <c r="P51" i="6"/>
  <c r="U51" i="6" s="1"/>
  <c r="X51" i="6" s="1"/>
  <c r="O51" i="6"/>
  <c r="W51" i="6" s="1"/>
  <c r="N51" i="6"/>
  <c r="S51" i="6" s="1"/>
  <c r="V51" i="6" s="1"/>
  <c r="M51" i="6"/>
  <c r="L51" i="6"/>
  <c r="K51" i="6"/>
  <c r="C51" i="6"/>
  <c r="CY50" i="6"/>
  <c r="CX50" i="6"/>
  <c r="CR50" i="6"/>
  <c r="CP50" i="6"/>
  <c r="CO50" i="6"/>
  <c r="CN50" i="6"/>
  <c r="BT50" i="6" s="1"/>
  <c r="Y7" i="5" s="1"/>
  <c r="CM50" i="6"/>
  <c r="BS50" i="6" s="1"/>
  <c r="Y9" i="5" s="1"/>
  <c r="CL50" i="6"/>
  <c r="BR50" i="6" s="1"/>
  <c r="Y8" i="5" s="1"/>
  <c r="CK50" i="6"/>
  <c r="BQ50" i="6" s="1"/>
  <c r="CJ50" i="6"/>
  <c r="CI50" i="6"/>
  <c r="BO50" i="6" s="1"/>
  <c r="Y15" i="5" s="1"/>
  <c r="CH50" i="6"/>
  <c r="BN50" i="6" s="1"/>
  <c r="Y17" i="5" s="1"/>
  <c r="CG50" i="6"/>
  <c r="BM50" i="6" s="1"/>
  <c r="Y16" i="5" s="1"/>
  <c r="BV50" i="6"/>
  <c r="BL50" i="6"/>
  <c r="BJ50" i="6"/>
  <c r="BI50" i="6"/>
  <c r="BH50" i="6"/>
  <c r="BG50" i="6"/>
  <c r="BE50" i="6"/>
  <c r="Y11" i="5" s="1"/>
  <c r="BD50" i="6"/>
  <c r="BC50" i="6"/>
  <c r="BA50" i="6"/>
  <c r="BK50" i="6" s="1"/>
  <c r="Y2" i="5" s="1"/>
  <c r="AV50" i="6"/>
  <c r="AP50" i="6"/>
  <c r="AO50" i="6"/>
  <c r="AL50" i="6"/>
  <c r="AK50" i="6"/>
  <c r="S50" i="6"/>
  <c r="V50" i="6" s="1"/>
  <c r="R50" i="6"/>
  <c r="Z50" i="6" s="1"/>
  <c r="Q50" i="6"/>
  <c r="T50" i="6" s="1"/>
  <c r="Y50" i="6" s="1"/>
  <c r="J50" i="6" s="1"/>
  <c r="P50" i="6"/>
  <c r="U50" i="6" s="1"/>
  <c r="X50" i="6" s="1"/>
  <c r="O50" i="6"/>
  <c r="W50" i="6" s="1"/>
  <c r="N50" i="6"/>
  <c r="L50" i="6"/>
  <c r="K50" i="6"/>
  <c r="C50" i="6"/>
  <c r="CY49" i="6"/>
  <c r="CX49" i="6"/>
  <c r="CR49" i="6"/>
  <c r="CP49" i="6"/>
  <c r="CO49" i="6"/>
  <c r="CN49" i="6"/>
  <c r="BT49" i="6" s="1"/>
  <c r="CM49" i="6"/>
  <c r="BS49" i="6" s="1"/>
  <c r="X9" i="5" s="1"/>
  <c r="CL49" i="6"/>
  <c r="BR49" i="6" s="1"/>
  <c r="X8" i="5" s="1"/>
  <c r="CK49" i="6"/>
  <c r="BQ49" i="6" s="1"/>
  <c r="CJ49" i="6"/>
  <c r="CI49" i="6"/>
  <c r="BO49" i="6" s="1"/>
  <c r="X15" i="5" s="1"/>
  <c r="CH49" i="6"/>
  <c r="BN49" i="6" s="1"/>
  <c r="CG49" i="6"/>
  <c r="BM49" i="6" s="1"/>
  <c r="BV49" i="6"/>
  <c r="BL49" i="6"/>
  <c r="BJ49" i="6"/>
  <c r="BI49" i="6"/>
  <c r="BH49" i="6"/>
  <c r="BG49" i="6"/>
  <c r="BE49" i="6"/>
  <c r="X11" i="5" s="1"/>
  <c r="BD49" i="6"/>
  <c r="BC49" i="6"/>
  <c r="X12" i="5" s="1"/>
  <c r="BA49" i="6"/>
  <c r="AV49" i="6"/>
  <c r="BF49" i="6" s="1"/>
  <c r="X10" i="5" s="1"/>
  <c r="AP49" i="6"/>
  <c r="AO49" i="6"/>
  <c r="AL49" i="6"/>
  <c r="AK49" i="6"/>
  <c r="Z49" i="6"/>
  <c r="Y49" i="6"/>
  <c r="R49" i="6"/>
  <c r="Q49" i="6"/>
  <c r="T49" i="6" s="1"/>
  <c r="P49" i="6"/>
  <c r="U49" i="6" s="1"/>
  <c r="X49" i="6" s="1"/>
  <c r="I49" i="6" s="1"/>
  <c r="E49" i="6" s="1"/>
  <c r="G49" i="6" s="1"/>
  <c r="O49" i="6"/>
  <c r="W49" i="6" s="1"/>
  <c r="N49" i="6"/>
  <c r="S49" i="6" s="1"/>
  <c r="V49" i="6" s="1"/>
  <c r="L49" i="6"/>
  <c r="K49" i="6"/>
  <c r="J49" i="6"/>
  <c r="C49" i="6"/>
  <c r="CY48" i="6"/>
  <c r="CX48" i="6"/>
  <c r="CR48" i="6"/>
  <c r="CP48" i="6"/>
  <c r="CO48" i="6"/>
  <c r="CN48" i="6"/>
  <c r="CM48" i="6"/>
  <c r="CL48" i="6"/>
  <c r="CK48" i="6"/>
  <c r="CJ48" i="6"/>
  <c r="CI48" i="6"/>
  <c r="CH48" i="6"/>
  <c r="CG48" i="6"/>
  <c r="BV48" i="6"/>
  <c r="BU48" i="6"/>
  <c r="W6" i="5" s="1"/>
  <c r="BT48" i="6"/>
  <c r="BS48" i="6"/>
  <c r="BR48" i="6"/>
  <c r="BQ48" i="6"/>
  <c r="BP48" i="6"/>
  <c r="BO48" i="6"/>
  <c r="W15" i="5" s="1"/>
  <c r="BN48" i="6"/>
  <c r="BM48" i="6"/>
  <c r="BL48" i="6"/>
  <c r="BJ48" i="6"/>
  <c r="BI48" i="6"/>
  <c r="BH48" i="6"/>
  <c r="BG48" i="6"/>
  <c r="BE48" i="6"/>
  <c r="BD48" i="6"/>
  <c r="BC48" i="6"/>
  <c r="BA48" i="6"/>
  <c r="BK48" i="6" s="1"/>
  <c r="AV48" i="6"/>
  <c r="BF48" i="6" s="1"/>
  <c r="AP48" i="6"/>
  <c r="AO48" i="6"/>
  <c r="AL48" i="6"/>
  <c r="AK48" i="6"/>
  <c r="Z48" i="6"/>
  <c r="W48" i="6"/>
  <c r="V48" i="6"/>
  <c r="U48" i="6"/>
  <c r="X48" i="6" s="1"/>
  <c r="R48" i="6"/>
  <c r="Q48" i="6"/>
  <c r="T48" i="6" s="1"/>
  <c r="Y48" i="6" s="1"/>
  <c r="J48" i="6" s="1"/>
  <c r="F48" i="6" s="1"/>
  <c r="H48" i="6" s="1"/>
  <c r="P48" i="6"/>
  <c r="O48" i="6"/>
  <c r="N48" i="6"/>
  <c r="S48" i="6" s="1"/>
  <c r="M48" i="6"/>
  <c r="L48" i="6"/>
  <c r="K48" i="6"/>
  <c r="C48" i="6"/>
  <c r="CY47" i="6"/>
  <c r="CX47" i="6"/>
  <c r="CW47" i="6"/>
  <c r="CR47" i="6"/>
  <c r="CP47" i="6"/>
  <c r="BV47" i="6" s="1"/>
  <c r="CO47" i="6"/>
  <c r="CN47" i="6"/>
  <c r="CM47" i="6"/>
  <c r="CL47" i="6"/>
  <c r="CK47" i="6"/>
  <c r="CJ47" i="6"/>
  <c r="CI47" i="6"/>
  <c r="CH47" i="6"/>
  <c r="CG47" i="6"/>
  <c r="BU47" i="6"/>
  <c r="BT47" i="6"/>
  <c r="BS47" i="6"/>
  <c r="BR47" i="6"/>
  <c r="BQ47" i="6"/>
  <c r="BP47" i="6"/>
  <c r="BO47" i="6"/>
  <c r="V15" i="5" s="1"/>
  <c r="BN47" i="6"/>
  <c r="BM47" i="6"/>
  <c r="V16" i="5" s="1"/>
  <c r="BL47" i="6"/>
  <c r="BK47" i="6"/>
  <c r="V2" i="5" s="1"/>
  <c r="BJ47" i="6"/>
  <c r="V3" i="5" s="1"/>
  <c r="BI47" i="6"/>
  <c r="BH47" i="6"/>
  <c r="BG47" i="6"/>
  <c r="BE47" i="6"/>
  <c r="BD47" i="6"/>
  <c r="BC47" i="6"/>
  <c r="BA47" i="6"/>
  <c r="AV47" i="6"/>
  <c r="BF47" i="6" s="1"/>
  <c r="AP47" i="6"/>
  <c r="AO47" i="6"/>
  <c r="AL47" i="6"/>
  <c r="AK47" i="6"/>
  <c r="W47" i="6"/>
  <c r="U47" i="6"/>
  <c r="X47" i="6" s="1"/>
  <c r="T47" i="6"/>
  <c r="Y47" i="6" s="1"/>
  <c r="S47" i="6"/>
  <c r="V47" i="6" s="1"/>
  <c r="I47" i="6" s="1"/>
  <c r="E47" i="6" s="1"/>
  <c r="G47" i="6" s="1"/>
  <c r="R47" i="6"/>
  <c r="Z47" i="6" s="1"/>
  <c r="Q47" i="6"/>
  <c r="P47" i="6"/>
  <c r="O47" i="6"/>
  <c r="N47" i="6"/>
  <c r="L47" i="6"/>
  <c r="M47" i="6" s="1"/>
  <c r="K47" i="6"/>
  <c r="C47" i="6"/>
  <c r="CY46" i="6"/>
  <c r="CX46" i="6"/>
  <c r="CW46" i="6"/>
  <c r="CR46" i="6"/>
  <c r="CP46" i="6"/>
  <c r="BV46" i="6" s="1"/>
  <c r="CO46" i="6"/>
  <c r="CN46" i="6"/>
  <c r="BT46" i="6" s="1"/>
  <c r="U7" i="5" s="1"/>
  <c r="CM46" i="6"/>
  <c r="BS46" i="6" s="1"/>
  <c r="U9" i="5" s="1"/>
  <c r="CL46" i="6"/>
  <c r="CK46" i="6"/>
  <c r="CJ46" i="6"/>
  <c r="CI46" i="6"/>
  <c r="CH46" i="6"/>
  <c r="CG46" i="6"/>
  <c r="BU46" i="6"/>
  <c r="U6" i="5" s="1"/>
  <c r="BR46" i="6"/>
  <c r="BQ46" i="6"/>
  <c r="BP46" i="6"/>
  <c r="BO46" i="6"/>
  <c r="BN46" i="6"/>
  <c r="BM46" i="6"/>
  <c r="BL46" i="6"/>
  <c r="BK46" i="6"/>
  <c r="BJ46" i="6"/>
  <c r="BI46" i="6"/>
  <c r="U5" i="5" s="1"/>
  <c r="BH46" i="6"/>
  <c r="BG46" i="6"/>
  <c r="BE46" i="6"/>
  <c r="BD46" i="6"/>
  <c r="BC46" i="6"/>
  <c r="BA46" i="6"/>
  <c r="AV46" i="6"/>
  <c r="BF46" i="6" s="1"/>
  <c r="U10" i="5" s="1"/>
  <c r="AP46" i="6"/>
  <c r="AO46" i="6"/>
  <c r="AL46" i="6"/>
  <c r="AK46" i="6"/>
  <c r="S46" i="6"/>
  <c r="V46" i="6" s="1"/>
  <c r="R46" i="6"/>
  <c r="Z46" i="6" s="1"/>
  <c r="Q46" i="6"/>
  <c r="T46" i="6" s="1"/>
  <c r="Y46" i="6" s="1"/>
  <c r="J46" i="6" s="1"/>
  <c r="F46" i="6" s="1"/>
  <c r="H46" i="6" s="1"/>
  <c r="P46" i="6"/>
  <c r="U46" i="6" s="1"/>
  <c r="X46" i="6" s="1"/>
  <c r="O46" i="6"/>
  <c r="W46" i="6" s="1"/>
  <c r="N46" i="6"/>
  <c r="M46" i="6"/>
  <c r="L46" i="6"/>
  <c r="K46" i="6"/>
  <c r="C46" i="6"/>
  <c r="CY45" i="6"/>
  <c r="CX45" i="6"/>
  <c r="CR45" i="6"/>
  <c r="CP45" i="6"/>
  <c r="BV45" i="6" s="1"/>
  <c r="CO45" i="6"/>
  <c r="CN45" i="6"/>
  <c r="BT45" i="6" s="1"/>
  <c r="CM45" i="6"/>
  <c r="BS45" i="6" s="1"/>
  <c r="CL45" i="6"/>
  <c r="CK45" i="6"/>
  <c r="CJ45" i="6"/>
  <c r="CI45" i="6"/>
  <c r="CH45" i="6"/>
  <c r="CG45" i="6"/>
  <c r="BR45" i="6"/>
  <c r="T8" i="5" s="1"/>
  <c r="BQ45" i="6"/>
  <c r="BP45" i="6"/>
  <c r="BO45" i="6"/>
  <c r="BN45" i="6"/>
  <c r="BM45" i="6"/>
  <c r="BL45" i="6"/>
  <c r="BK45" i="6"/>
  <c r="T2" i="5" s="1"/>
  <c r="BJ45" i="6"/>
  <c r="BI45" i="6"/>
  <c r="BH45" i="6"/>
  <c r="BG45" i="6"/>
  <c r="BF45" i="6"/>
  <c r="BE45" i="6"/>
  <c r="BD45" i="6"/>
  <c r="BC45" i="6"/>
  <c r="BA45" i="6"/>
  <c r="BU45" i="6" s="1"/>
  <c r="AV45" i="6"/>
  <c r="AP45" i="6"/>
  <c r="AO45" i="6"/>
  <c r="AL45" i="6"/>
  <c r="AK45" i="6"/>
  <c r="Z45" i="6"/>
  <c r="W45" i="6"/>
  <c r="U45" i="6"/>
  <c r="X45" i="6" s="1"/>
  <c r="T45" i="6"/>
  <c r="Y45" i="6" s="1"/>
  <c r="J45" i="6" s="1"/>
  <c r="S45" i="6"/>
  <c r="V45" i="6" s="1"/>
  <c r="I45" i="6" s="1"/>
  <c r="E45" i="6" s="1"/>
  <c r="G45" i="6" s="1"/>
  <c r="R45" i="6"/>
  <c r="Q45" i="6"/>
  <c r="P45" i="6"/>
  <c r="O45" i="6"/>
  <c r="N45" i="6"/>
  <c r="L45" i="6"/>
  <c r="M45" i="6" s="1"/>
  <c r="K45" i="6"/>
  <c r="C45" i="6"/>
  <c r="CY44" i="6"/>
  <c r="CX44" i="6"/>
  <c r="CR44" i="6"/>
  <c r="CP44" i="6"/>
  <c r="BV44" i="6" s="1"/>
  <c r="CO44" i="6"/>
  <c r="CN44" i="6"/>
  <c r="BT44" i="6" s="1"/>
  <c r="S7" i="5" s="1"/>
  <c r="CM44" i="6"/>
  <c r="BS44" i="6" s="1"/>
  <c r="S9" i="5" s="1"/>
  <c r="CL44" i="6"/>
  <c r="BR44" i="6" s="1"/>
  <c r="CK44" i="6"/>
  <c r="BQ44" i="6" s="1"/>
  <c r="CJ44" i="6"/>
  <c r="CI44" i="6"/>
  <c r="BO44" i="6" s="1"/>
  <c r="CH44" i="6"/>
  <c r="BN44" i="6" s="1"/>
  <c r="S17" i="5" s="1"/>
  <c r="CG44" i="6"/>
  <c r="BM44" i="6" s="1"/>
  <c r="BL44" i="6"/>
  <c r="BJ44" i="6"/>
  <c r="BI44" i="6"/>
  <c r="BH44" i="6"/>
  <c r="BG44" i="6"/>
  <c r="BE44" i="6"/>
  <c r="S11" i="5" s="1"/>
  <c r="BD44" i="6"/>
  <c r="S13" i="5" s="1"/>
  <c r="BC44" i="6"/>
  <c r="S12" i="5" s="1"/>
  <c r="BA44" i="6"/>
  <c r="AV44" i="6"/>
  <c r="AP44" i="6"/>
  <c r="AO44" i="6"/>
  <c r="AL44" i="6"/>
  <c r="AK44" i="6"/>
  <c r="W44" i="6"/>
  <c r="V44" i="6"/>
  <c r="I44" i="6" s="1"/>
  <c r="U44" i="6"/>
  <c r="X44" i="6" s="1"/>
  <c r="R44" i="6"/>
  <c r="Z44" i="6" s="1"/>
  <c r="Q44" i="6"/>
  <c r="T44" i="6" s="1"/>
  <c r="Y44" i="6" s="1"/>
  <c r="J44" i="6" s="1"/>
  <c r="P44" i="6"/>
  <c r="O44" i="6"/>
  <c r="N44" i="6"/>
  <c r="S44" i="6" s="1"/>
  <c r="L44" i="6"/>
  <c r="K44" i="6"/>
  <c r="C44" i="6"/>
  <c r="CY43" i="6"/>
  <c r="CX43" i="6"/>
  <c r="CR43" i="6"/>
  <c r="CP43" i="6"/>
  <c r="BV43" i="6" s="1"/>
  <c r="CO43" i="6"/>
  <c r="CN43" i="6"/>
  <c r="BT43" i="6" s="1"/>
  <c r="R7" i="5" s="1"/>
  <c r="CM43" i="6"/>
  <c r="BS43" i="6" s="1"/>
  <c r="R9" i="5" s="1"/>
  <c r="CL43" i="6"/>
  <c r="BR43" i="6" s="1"/>
  <c r="R8" i="5" s="1"/>
  <c r="CK43" i="6"/>
  <c r="BQ43" i="6" s="1"/>
  <c r="CJ43" i="6"/>
  <c r="CI43" i="6"/>
  <c r="BO43" i="6" s="1"/>
  <c r="CH43" i="6"/>
  <c r="BN43" i="6" s="1"/>
  <c r="CG43" i="6"/>
  <c r="BM43" i="6" s="1"/>
  <c r="BL43" i="6"/>
  <c r="BJ43" i="6"/>
  <c r="BI43" i="6"/>
  <c r="BH43" i="6"/>
  <c r="BG43" i="6"/>
  <c r="BE43" i="6"/>
  <c r="R11" i="5" s="1"/>
  <c r="BD43" i="6"/>
  <c r="R13" i="5" s="1"/>
  <c r="BC43" i="6"/>
  <c r="R12" i="5" s="1"/>
  <c r="BA43" i="6"/>
  <c r="AV43" i="6"/>
  <c r="BP43" i="6" s="1"/>
  <c r="R14" i="5" s="1"/>
  <c r="AP43" i="6"/>
  <c r="AO43" i="6"/>
  <c r="AL43" i="6"/>
  <c r="AK43" i="6"/>
  <c r="T43" i="6"/>
  <c r="Y43" i="6" s="1"/>
  <c r="R43" i="6"/>
  <c r="Z43" i="6" s="1"/>
  <c r="Q43" i="6"/>
  <c r="P43" i="6"/>
  <c r="U43" i="6" s="1"/>
  <c r="X43" i="6" s="1"/>
  <c r="O43" i="6"/>
  <c r="W43" i="6" s="1"/>
  <c r="N43" i="6"/>
  <c r="S43" i="6" s="1"/>
  <c r="V43" i="6" s="1"/>
  <c r="L43" i="6"/>
  <c r="K43" i="6"/>
  <c r="J43" i="6"/>
  <c r="I43" i="6"/>
  <c r="C43" i="6"/>
  <c r="CY42" i="6"/>
  <c r="CX42" i="6"/>
  <c r="CR42" i="6"/>
  <c r="CP42" i="6"/>
  <c r="CO42" i="6"/>
  <c r="CN42" i="6"/>
  <c r="CM42" i="6"/>
  <c r="CL42" i="6"/>
  <c r="CK42" i="6"/>
  <c r="CJ42" i="6"/>
  <c r="CI42" i="6"/>
  <c r="BO42" i="6" s="1"/>
  <c r="CH42" i="6"/>
  <c r="BN42" i="6" s="1"/>
  <c r="CG42" i="6"/>
  <c r="BM42" i="6" s="1"/>
  <c r="BV42" i="6"/>
  <c r="BU42" i="6"/>
  <c r="Q6" i="5" s="1"/>
  <c r="BT42" i="6"/>
  <c r="Q7" i="5" s="1"/>
  <c r="BS42" i="6"/>
  <c r="BR42" i="6"/>
  <c r="Q8" i="5" s="1"/>
  <c r="BQ42" i="6"/>
  <c r="BL42" i="6"/>
  <c r="BJ42" i="6"/>
  <c r="BI42" i="6"/>
  <c r="BH42" i="6"/>
  <c r="BG42" i="6"/>
  <c r="BF42" i="6"/>
  <c r="BE42" i="6"/>
  <c r="BD42" i="6"/>
  <c r="BC42" i="6"/>
  <c r="BA42" i="6"/>
  <c r="BK42" i="6" s="1"/>
  <c r="Q2" i="5" s="1"/>
  <c r="AV42" i="6"/>
  <c r="AP42" i="6"/>
  <c r="AO42" i="6"/>
  <c r="AL42" i="6"/>
  <c r="AK42" i="6"/>
  <c r="Z42" i="6"/>
  <c r="R42" i="6"/>
  <c r="Q42" i="6"/>
  <c r="T42" i="6" s="1"/>
  <c r="Y42" i="6" s="1"/>
  <c r="P42" i="6"/>
  <c r="U42" i="6" s="1"/>
  <c r="X42" i="6" s="1"/>
  <c r="O42" i="6"/>
  <c r="W42" i="6" s="1"/>
  <c r="N42" i="6"/>
  <c r="S42" i="6" s="1"/>
  <c r="V42" i="6" s="1"/>
  <c r="L42" i="6"/>
  <c r="M42" i="6" s="1"/>
  <c r="F42" i="6" s="1"/>
  <c r="H42" i="6" s="1"/>
  <c r="K42" i="6"/>
  <c r="J42" i="6"/>
  <c r="I42" i="6"/>
  <c r="C42" i="6"/>
  <c r="CY41" i="6"/>
  <c r="CX41" i="6"/>
  <c r="CR41" i="6"/>
  <c r="CP41" i="6"/>
  <c r="CO41" i="6"/>
  <c r="CN41" i="6"/>
  <c r="CM41" i="6"/>
  <c r="CL41" i="6"/>
  <c r="CK41" i="6"/>
  <c r="BQ41" i="6" s="1"/>
  <c r="CJ41" i="6"/>
  <c r="CI41" i="6"/>
  <c r="BO41" i="6" s="1"/>
  <c r="CH41" i="6"/>
  <c r="BN41" i="6" s="1"/>
  <c r="CG41" i="6"/>
  <c r="BM41" i="6" s="1"/>
  <c r="P16" i="5" s="1"/>
  <c r="BV41" i="6"/>
  <c r="BT41" i="6"/>
  <c r="P7" i="5" s="1"/>
  <c r="BS41" i="6"/>
  <c r="BR41" i="6"/>
  <c r="P8" i="5" s="1"/>
  <c r="BL41" i="6"/>
  <c r="BJ41" i="6"/>
  <c r="BI41" i="6"/>
  <c r="BH41" i="6"/>
  <c r="BG41" i="6"/>
  <c r="BE41" i="6"/>
  <c r="BD41" i="6"/>
  <c r="P13" i="5" s="1"/>
  <c r="BC41" i="6"/>
  <c r="P12" i="5" s="1"/>
  <c r="BA41" i="6"/>
  <c r="BK41" i="6" s="1"/>
  <c r="P2" i="5" s="1"/>
  <c r="AV41" i="6"/>
  <c r="AP41" i="6"/>
  <c r="AO41" i="6"/>
  <c r="AL41" i="6"/>
  <c r="AK41" i="6"/>
  <c r="Z41" i="6"/>
  <c r="Y41" i="6"/>
  <c r="X41" i="6"/>
  <c r="W41" i="6"/>
  <c r="T41" i="6"/>
  <c r="R41" i="6"/>
  <c r="Q41" i="6"/>
  <c r="P41" i="6"/>
  <c r="U41" i="6" s="1"/>
  <c r="O41" i="6"/>
  <c r="N41" i="6"/>
  <c r="S41" i="6" s="1"/>
  <c r="V41" i="6" s="1"/>
  <c r="L41" i="6"/>
  <c r="K41" i="6"/>
  <c r="I41" i="6"/>
  <c r="E41" i="6"/>
  <c r="G41" i="6" s="1"/>
  <c r="C41" i="6"/>
  <c r="CY40" i="6"/>
  <c r="CX40" i="6"/>
  <c r="CW40" i="6"/>
  <c r="CR40" i="6"/>
  <c r="CP40" i="6"/>
  <c r="CO40" i="6"/>
  <c r="CN40" i="6"/>
  <c r="CM40" i="6"/>
  <c r="CL40" i="6"/>
  <c r="CK40" i="6"/>
  <c r="CJ40" i="6"/>
  <c r="CI40" i="6"/>
  <c r="CH40" i="6"/>
  <c r="CG40" i="6"/>
  <c r="BV40" i="6"/>
  <c r="BU40" i="6"/>
  <c r="BT40" i="6"/>
  <c r="O7" i="5" s="1"/>
  <c r="BS40" i="6"/>
  <c r="O9" i="5" s="1"/>
  <c r="BR40" i="6"/>
  <c r="O8" i="5" s="1"/>
  <c r="BQ40" i="6"/>
  <c r="BP40" i="6"/>
  <c r="O14" i="5" s="1"/>
  <c r="BO40" i="6"/>
  <c r="O15" i="5" s="1"/>
  <c r="BN40" i="6"/>
  <c r="O17" i="5" s="1"/>
  <c r="BM40" i="6"/>
  <c r="O16" i="5" s="1"/>
  <c r="BL40" i="6"/>
  <c r="BK40" i="6"/>
  <c r="O2" i="5" s="1"/>
  <c r="BJ40" i="6"/>
  <c r="BI40" i="6"/>
  <c r="BH40" i="6"/>
  <c r="BG40" i="6"/>
  <c r="BE40" i="6"/>
  <c r="BD40" i="6"/>
  <c r="BC40" i="6"/>
  <c r="BA40" i="6"/>
  <c r="M40" i="6" s="1"/>
  <c r="AV40" i="6"/>
  <c r="BF40" i="6" s="1"/>
  <c r="AP40" i="6"/>
  <c r="AO40" i="6"/>
  <c r="AL40" i="6"/>
  <c r="AK40" i="6"/>
  <c r="Z40" i="6"/>
  <c r="W40" i="6"/>
  <c r="V40" i="6"/>
  <c r="U40" i="6"/>
  <c r="X40" i="6" s="1"/>
  <c r="T40" i="6"/>
  <c r="Y40" i="6" s="1"/>
  <c r="J40" i="6" s="1"/>
  <c r="F40" i="6" s="1"/>
  <c r="H40" i="6" s="1"/>
  <c r="S40" i="6"/>
  <c r="R40" i="6"/>
  <c r="Q40" i="6"/>
  <c r="P40" i="6"/>
  <c r="O40" i="6"/>
  <c r="N40" i="6"/>
  <c r="L40" i="6"/>
  <c r="K40" i="6"/>
  <c r="C40" i="6"/>
  <c r="CY39" i="6"/>
  <c r="CX39" i="6"/>
  <c r="CR39" i="6"/>
  <c r="CP39" i="6"/>
  <c r="BV39" i="6" s="1"/>
  <c r="CO39" i="6"/>
  <c r="BU39" i="6" s="1"/>
  <c r="CN39" i="6"/>
  <c r="BT39" i="6" s="1"/>
  <c r="N7" i="5" s="1"/>
  <c r="CM39" i="6"/>
  <c r="CL39" i="6"/>
  <c r="CK39" i="6"/>
  <c r="CJ39" i="6"/>
  <c r="CI39" i="6"/>
  <c r="CH39" i="6"/>
  <c r="CG39" i="6"/>
  <c r="BS39" i="6"/>
  <c r="BR39" i="6"/>
  <c r="N8" i="5" s="1"/>
  <c r="BQ39" i="6"/>
  <c r="BP39" i="6"/>
  <c r="N14" i="5" s="1"/>
  <c r="BO39" i="6"/>
  <c r="BN39" i="6"/>
  <c r="BM39" i="6"/>
  <c r="BL39" i="6"/>
  <c r="BK39" i="6"/>
  <c r="N2" i="5" s="1"/>
  <c r="BJ39" i="6"/>
  <c r="N3" i="5" s="1"/>
  <c r="BI39" i="6"/>
  <c r="BH39" i="6"/>
  <c r="BG39" i="6"/>
  <c r="BE39" i="6"/>
  <c r="BD39" i="6"/>
  <c r="BC39" i="6"/>
  <c r="BA39" i="6"/>
  <c r="AV39" i="6"/>
  <c r="BF39" i="6" s="1"/>
  <c r="AP39" i="6"/>
  <c r="AO39" i="6"/>
  <c r="AL39" i="6"/>
  <c r="AK39" i="6"/>
  <c r="W39" i="6"/>
  <c r="V39" i="6"/>
  <c r="S39" i="6"/>
  <c r="R39" i="6"/>
  <c r="Z39" i="6" s="1"/>
  <c r="Q39" i="6"/>
  <c r="T39" i="6" s="1"/>
  <c r="Y39" i="6" s="1"/>
  <c r="J39" i="6" s="1"/>
  <c r="P39" i="6"/>
  <c r="U39" i="6" s="1"/>
  <c r="X39" i="6" s="1"/>
  <c r="O39" i="6"/>
  <c r="N39" i="6"/>
  <c r="L39" i="6"/>
  <c r="M39" i="6" s="1"/>
  <c r="CW39" i="6" s="1"/>
  <c r="K39" i="6"/>
  <c r="C39" i="6"/>
  <c r="CY38" i="6"/>
  <c r="CX38" i="6"/>
  <c r="CR38" i="6"/>
  <c r="CP38" i="6"/>
  <c r="BV38" i="6" s="1"/>
  <c r="CO38" i="6"/>
  <c r="BU38" i="6" s="1"/>
  <c r="CN38" i="6"/>
  <c r="BT38" i="6" s="1"/>
  <c r="M7" i="5" s="1"/>
  <c r="CM38" i="6"/>
  <c r="BS38" i="6" s="1"/>
  <c r="M9" i="5" s="1"/>
  <c r="CL38" i="6"/>
  <c r="BR38" i="6" s="1"/>
  <c r="M8" i="5" s="1"/>
  <c r="CK38" i="6"/>
  <c r="CJ38" i="6"/>
  <c r="CI38" i="6"/>
  <c r="CH38" i="6"/>
  <c r="CG38" i="6"/>
  <c r="BQ38" i="6"/>
  <c r="BP38" i="6"/>
  <c r="BO38" i="6"/>
  <c r="BN38" i="6"/>
  <c r="M17" i="5" s="1"/>
  <c r="BM38" i="6"/>
  <c r="M16" i="5" s="1"/>
  <c r="BL38" i="6"/>
  <c r="BK38" i="6"/>
  <c r="BJ38" i="6"/>
  <c r="BI38" i="6"/>
  <c r="BH38" i="6"/>
  <c r="BG38" i="6"/>
  <c r="BF38" i="6"/>
  <c r="BE38" i="6"/>
  <c r="BD38" i="6"/>
  <c r="BC38" i="6"/>
  <c r="BA38" i="6"/>
  <c r="AV38" i="6"/>
  <c r="AP38" i="6"/>
  <c r="AO38" i="6"/>
  <c r="AL38" i="6"/>
  <c r="AK38" i="6"/>
  <c r="Z38" i="6"/>
  <c r="R38" i="6"/>
  <c r="Q38" i="6"/>
  <c r="T38" i="6" s="1"/>
  <c r="Y38" i="6" s="1"/>
  <c r="J38" i="6" s="1"/>
  <c r="P38" i="6"/>
  <c r="U38" i="6" s="1"/>
  <c r="X38" i="6" s="1"/>
  <c r="O38" i="6"/>
  <c r="W38" i="6" s="1"/>
  <c r="N38" i="6"/>
  <c r="S38" i="6" s="1"/>
  <c r="V38" i="6" s="1"/>
  <c r="I38" i="6" s="1"/>
  <c r="M38" i="6"/>
  <c r="L38" i="6"/>
  <c r="K38" i="6"/>
  <c r="E38" i="6"/>
  <c r="G38" i="6" s="1"/>
  <c r="C38" i="6"/>
  <c r="CY37" i="6"/>
  <c r="CX37" i="6"/>
  <c r="CR37" i="6"/>
  <c r="CP37" i="6"/>
  <c r="BV37" i="6" s="1"/>
  <c r="CO37" i="6"/>
  <c r="CN37" i="6"/>
  <c r="BT37" i="6" s="1"/>
  <c r="CM37" i="6"/>
  <c r="BS37" i="6" s="1"/>
  <c r="CL37" i="6"/>
  <c r="BR37" i="6" s="1"/>
  <c r="L8" i="5" s="1"/>
  <c r="CK37" i="6"/>
  <c r="BQ37" i="6" s="1"/>
  <c r="CJ37" i="6"/>
  <c r="CI37" i="6"/>
  <c r="CH37" i="6"/>
  <c r="CG37" i="6"/>
  <c r="BP37" i="6"/>
  <c r="L14" i="5" s="1"/>
  <c r="BO37" i="6"/>
  <c r="L15" i="5" s="1"/>
  <c r="BN37" i="6"/>
  <c r="L17" i="5" s="1"/>
  <c r="BM37" i="6"/>
  <c r="L16" i="5" s="1"/>
  <c r="BL37" i="6"/>
  <c r="BK37" i="6"/>
  <c r="L2" i="5" s="1"/>
  <c r="BJ37" i="6"/>
  <c r="L3" i="5" s="1"/>
  <c r="BI37" i="6"/>
  <c r="BH37" i="6"/>
  <c r="L4" i="5" s="1"/>
  <c r="BG37" i="6"/>
  <c r="BF37" i="6"/>
  <c r="L10" i="5" s="1"/>
  <c r="BE37" i="6"/>
  <c r="L11" i="5" s="1"/>
  <c r="BD37" i="6"/>
  <c r="L13" i="5" s="1"/>
  <c r="BC37" i="6"/>
  <c r="BA37" i="6"/>
  <c r="AV37" i="6"/>
  <c r="AP37" i="6"/>
  <c r="AO37" i="6"/>
  <c r="AL37" i="6"/>
  <c r="AK37" i="6"/>
  <c r="R37" i="6"/>
  <c r="Z37" i="6" s="1"/>
  <c r="Q37" i="6"/>
  <c r="T37" i="6" s="1"/>
  <c r="Y37" i="6" s="1"/>
  <c r="P37" i="6"/>
  <c r="U37" i="6" s="1"/>
  <c r="X37" i="6" s="1"/>
  <c r="O37" i="6"/>
  <c r="W37" i="6" s="1"/>
  <c r="N37" i="6"/>
  <c r="S37" i="6" s="1"/>
  <c r="V37" i="6" s="1"/>
  <c r="I37" i="6" s="1"/>
  <c r="L37" i="6"/>
  <c r="M37" i="6" s="1"/>
  <c r="K37" i="6"/>
  <c r="J37" i="6"/>
  <c r="C37" i="6"/>
  <c r="CY36" i="6"/>
  <c r="CX36" i="6"/>
  <c r="CR36" i="6"/>
  <c r="CP36" i="6"/>
  <c r="CO36" i="6"/>
  <c r="CN36" i="6"/>
  <c r="BT36" i="6" s="1"/>
  <c r="CM36" i="6"/>
  <c r="BS36" i="6" s="1"/>
  <c r="CL36" i="6"/>
  <c r="BR36" i="6" s="1"/>
  <c r="K8" i="5" s="1"/>
  <c r="CK36" i="6"/>
  <c r="BQ36" i="6" s="1"/>
  <c r="CJ36" i="6"/>
  <c r="CI36" i="6"/>
  <c r="BO36" i="6" s="1"/>
  <c r="K15" i="5" s="1"/>
  <c r="CH36" i="6"/>
  <c r="BN36" i="6" s="1"/>
  <c r="K17" i="5" s="1"/>
  <c r="CG36" i="6"/>
  <c r="BV36" i="6"/>
  <c r="BU36" i="6"/>
  <c r="BM36" i="6"/>
  <c r="BL36" i="6"/>
  <c r="BK36" i="6"/>
  <c r="K2" i="5" s="1"/>
  <c r="BJ36" i="6"/>
  <c r="K3" i="5" s="1"/>
  <c r="BI36" i="6"/>
  <c r="BH36" i="6"/>
  <c r="K4" i="5" s="1"/>
  <c r="BG36" i="6"/>
  <c r="BE36" i="6"/>
  <c r="BD36" i="6"/>
  <c r="BC36" i="6"/>
  <c r="BA36" i="6"/>
  <c r="AV36" i="6"/>
  <c r="AP36" i="6"/>
  <c r="AO36" i="6"/>
  <c r="AL36" i="6"/>
  <c r="AK36" i="6"/>
  <c r="R36" i="6"/>
  <c r="Z36" i="6" s="1"/>
  <c r="Q36" i="6"/>
  <c r="T36" i="6" s="1"/>
  <c r="Y36" i="6" s="1"/>
  <c r="J36" i="6" s="1"/>
  <c r="P36" i="6"/>
  <c r="U36" i="6" s="1"/>
  <c r="X36" i="6" s="1"/>
  <c r="O36" i="6"/>
  <c r="W36" i="6" s="1"/>
  <c r="N36" i="6"/>
  <c r="S36" i="6" s="1"/>
  <c r="V36" i="6" s="1"/>
  <c r="L36" i="6"/>
  <c r="M36" i="6" s="1"/>
  <c r="F36" i="6" s="1"/>
  <c r="H36" i="6" s="1"/>
  <c r="K36" i="6"/>
  <c r="C36" i="6"/>
  <c r="CY35" i="6"/>
  <c r="CX35" i="6"/>
  <c r="CR35" i="6"/>
  <c r="CP35" i="6"/>
  <c r="CO35" i="6"/>
  <c r="CN35" i="6"/>
  <c r="CM35" i="6"/>
  <c r="CL35" i="6"/>
  <c r="BR35" i="6" s="1"/>
  <c r="J8" i="5" s="1"/>
  <c r="CK35" i="6"/>
  <c r="BQ35" i="6" s="1"/>
  <c r="CJ35" i="6"/>
  <c r="CI35" i="6"/>
  <c r="BO35" i="6" s="1"/>
  <c r="J15" i="5" s="1"/>
  <c r="CH35" i="6"/>
  <c r="BN35" i="6" s="1"/>
  <c r="J17" i="5" s="1"/>
  <c r="CG35" i="6"/>
  <c r="BM35" i="6" s="1"/>
  <c r="BV35" i="6"/>
  <c r="BU35" i="6"/>
  <c r="BT35" i="6"/>
  <c r="J7" i="5" s="1"/>
  <c r="BS35" i="6"/>
  <c r="J9" i="5" s="1"/>
  <c r="BL35" i="6"/>
  <c r="BJ35" i="6"/>
  <c r="J3" i="5" s="1"/>
  <c r="BI35" i="6"/>
  <c r="BH35" i="6"/>
  <c r="BG35" i="6"/>
  <c r="BE35" i="6"/>
  <c r="BD35" i="6"/>
  <c r="BC35" i="6"/>
  <c r="BA35" i="6"/>
  <c r="BK35" i="6" s="1"/>
  <c r="AV35" i="6"/>
  <c r="AP35" i="6"/>
  <c r="AO35" i="6"/>
  <c r="AL35" i="6"/>
  <c r="AK35" i="6"/>
  <c r="R35" i="6"/>
  <c r="Z35" i="6" s="1"/>
  <c r="Q35" i="6"/>
  <c r="T35" i="6" s="1"/>
  <c r="Y35" i="6" s="1"/>
  <c r="P35" i="6"/>
  <c r="U35" i="6" s="1"/>
  <c r="X35" i="6" s="1"/>
  <c r="O35" i="6"/>
  <c r="W35" i="6" s="1"/>
  <c r="N35" i="6"/>
  <c r="S35" i="6" s="1"/>
  <c r="V35" i="6" s="1"/>
  <c r="I35" i="6" s="1"/>
  <c r="L35" i="6"/>
  <c r="M35" i="6" s="1"/>
  <c r="K35" i="6"/>
  <c r="E35" i="6" s="1"/>
  <c r="G35" i="6" s="1"/>
  <c r="C35" i="6"/>
  <c r="CY34" i="6"/>
  <c r="CX34" i="6"/>
  <c r="CR34" i="6"/>
  <c r="CP34" i="6"/>
  <c r="CO34" i="6"/>
  <c r="CN34" i="6"/>
  <c r="CM34" i="6"/>
  <c r="BS34" i="6" s="1"/>
  <c r="I9" i="5" s="1"/>
  <c r="CL34" i="6"/>
  <c r="BR34" i="6" s="1"/>
  <c r="I8" i="5" s="1"/>
  <c r="CK34" i="6"/>
  <c r="BQ34" i="6" s="1"/>
  <c r="CJ34" i="6"/>
  <c r="CI34" i="6"/>
  <c r="BO34" i="6" s="1"/>
  <c r="I15" i="5" s="1"/>
  <c r="CH34" i="6"/>
  <c r="BN34" i="6" s="1"/>
  <c r="I17" i="5" s="1"/>
  <c r="CG34" i="6"/>
  <c r="BM34" i="6" s="1"/>
  <c r="BV34" i="6"/>
  <c r="BT34" i="6"/>
  <c r="BL34" i="6"/>
  <c r="BJ34" i="6"/>
  <c r="BI34" i="6"/>
  <c r="BH34" i="6"/>
  <c r="BG34" i="6"/>
  <c r="BE34" i="6"/>
  <c r="I11" i="5" s="1"/>
  <c r="BD34" i="6"/>
  <c r="I13" i="5" s="1"/>
  <c r="BC34" i="6"/>
  <c r="I12" i="5" s="1"/>
  <c r="BA34" i="6"/>
  <c r="AV34" i="6"/>
  <c r="BP34" i="6" s="1"/>
  <c r="I14" i="5" s="1"/>
  <c r="AP34" i="6"/>
  <c r="AO34" i="6"/>
  <c r="AL34" i="6"/>
  <c r="AK34" i="6"/>
  <c r="Z34" i="6"/>
  <c r="R34" i="6"/>
  <c r="Q34" i="6"/>
  <c r="T34" i="6" s="1"/>
  <c r="Y34" i="6" s="1"/>
  <c r="P34" i="6"/>
  <c r="U34" i="6" s="1"/>
  <c r="X34" i="6" s="1"/>
  <c r="O34" i="6"/>
  <c r="W34" i="6" s="1"/>
  <c r="N34" i="6"/>
  <c r="S34" i="6" s="1"/>
  <c r="V34" i="6" s="1"/>
  <c r="L34" i="6"/>
  <c r="M34" i="6" s="1"/>
  <c r="F34" i="6" s="1"/>
  <c r="H34" i="6" s="1"/>
  <c r="K34" i="6"/>
  <c r="J34" i="6"/>
  <c r="I34" i="6"/>
  <c r="E34" i="6"/>
  <c r="G34" i="6" s="1"/>
  <c r="C34" i="6"/>
  <c r="CY33" i="6"/>
  <c r="CX33" i="6"/>
  <c r="CR33" i="6"/>
  <c r="CP33" i="6"/>
  <c r="CO33" i="6"/>
  <c r="CN33" i="6"/>
  <c r="CM33" i="6"/>
  <c r="CL33" i="6"/>
  <c r="CK33" i="6"/>
  <c r="CJ33" i="6"/>
  <c r="CI33" i="6"/>
  <c r="CH33" i="6"/>
  <c r="CG33" i="6"/>
  <c r="BM33" i="6" s="1"/>
  <c r="H16" i="5" s="1"/>
  <c r="BV33" i="6"/>
  <c r="BU33" i="6"/>
  <c r="H6" i="5" s="1"/>
  <c r="BT33" i="6"/>
  <c r="H7" i="5" s="1"/>
  <c r="BS33" i="6"/>
  <c r="H9" i="5" s="1"/>
  <c r="BR33" i="6"/>
  <c r="H8" i="5" s="1"/>
  <c r="BQ33" i="6"/>
  <c r="BP33" i="6"/>
  <c r="H14" i="5" s="1"/>
  <c r="BO33" i="6"/>
  <c r="H15" i="5" s="1"/>
  <c r="BN33" i="6"/>
  <c r="H17" i="5" s="1"/>
  <c r="BL33" i="6"/>
  <c r="BJ33" i="6"/>
  <c r="BI33" i="6"/>
  <c r="BH33" i="6"/>
  <c r="BG33" i="6"/>
  <c r="BE33" i="6"/>
  <c r="BD33" i="6"/>
  <c r="BC33" i="6"/>
  <c r="BA33" i="6"/>
  <c r="BK33" i="6" s="1"/>
  <c r="AV33" i="6"/>
  <c r="BF33" i="6" s="1"/>
  <c r="H10" i="5" s="1"/>
  <c r="AP33" i="6"/>
  <c r="AO33" i="6"/>
  <c r="AL33" i="6"/>
  <c r="AK33" i="6"/>
  <c r="Z33" i="6"/>
  <c r="W33" i="6"/>
  <c r="V33" i="6"/>
  <c r="U33" i="6"/>
  <c r="X33" i="6" s="1"/>
  <c r="T33" i="6"/>
  <c r="Y33" i="6" s="1"/>
  <c r="J33" i="6" s="1"/>
  <c r="R33" i="6"/>
  <c r="Q33" i="6"/>
  <c r="P33" i="6"/>
  <c r="O33" i="6"/>
  <c r="N33" i="6"/>
  <c r="S33" i="6" s="1"/>
  <c r="L33" i="6"/>
  <c r="K33" i="6"/>
  <c r="C33" i="6"/>
  <c r="CY32" i="6"/>
  <c r="CX32" i="6"/>
  <c r="CW32" i="6"/>
  <c r="CR32" i="6"/>
  <c r="CP32" i="6"/>
  <c r="BV32" i="6" s="1"/>
  <c r="CO32" i="6"/>
  <c r="BU32" i="6" s="1"/>
  <c r="G6" i="5" s="1"/>
  <c r="CN32" i="6"/>
  <c r="CM32" i="6"/>
  <c r="CL32" i="6"/>
  <c r="CK32" i="6"/>
  <c r="CJ32" i="6"/>
  <c r="CI32" i="6"/>
  <c r="CH32" i="6"/>
  <c r="CG32" i="6"/>
  <c r="BT32" i="6"/>
  <c r="BS32" i="6"/>
  <c r="G9" i="5" s="1"/>
  <c r="BR32" i="6"/>
  <c r="BQ32" i="6"/>
  <c r="BP32" i="6"/>
  <c r="G14" i="5" s="1"/>
  <c r="BO32" i="6"/>
  <c r="G15" i="5" s="1"/>
  <c r="BN32" i="6"/>
  <c r="G17" i="5" s="1"/>
  <c r="BM32" i="6"/>
  <c r="G16" i="5" s="1"/>
  <c r="BL32" i="6"/>
  <c r="BK32" i="6"/>
  <c r="BJ32" i="6"/>
  <c r="G3" i="5" s="1"/>
  <c r="BI32" i="6"/>
  <c r="G5" i="5" s="1"/>
  <c r="BH32" i="6"/>
  <c r="BG32" i="6"/>
  <c r="BE32" i="6"/>
  <c r="BD32" i="6"/>
  <c r="BC32" i="6"/>
  <c r="BA32" i="6"/>
  <c r="M32" i="6" s="1"/>
  <c r="AV32" i="6"/>
  <c r="BF32" i="6" s="1"/>
  <c r="AP32" i="6"/>
  <c r="AO32" i="6"/>
  <c r="AL32" i="6"/>
  <c r="AK32" i="6"/>
  <c r="W32" i="6"/>
  <c r="V32" i="6"/>
  <c r="U32" i="6"/>
  <c r="X32" i="6" s="1"/>
  <c r="S32" i="6"/>
  <c r="R32" i="6"/>
  <c r="Z32" i="6" s="1"/>
  <c r="Q32" i="6"/>
  <c r="T32" i="6" s="1"/>
  <c r="Y32" i="6" s="1"/>
  <c r="J32" i="6" s="1"/>
  <c r="P32" i="6"/>
  <c r="O32" i="6"/>
  <c r="N32" i="6"/>
  <c r="L32" i="6"/>
  <c r="K32" i="6"/>
  <c r="C32" i="6"/>
  <c r="CY31" i="6"/>
  <c r="CX31" i="6"/>
  <c r="CR31" i="6"/>
  <c r="CP31" i="6"/>
  <c r="BV31" i="6" s="1"/>
  <c r="CO31" i="6"/>
  <c r="BU31" i="6" s="1"/>
  <c r="F6" i="5" s="1"/>
  <c r="CN31" i="6"/>
  <c r="BT31" i="6" s="1"/>
  <c r="F7" i="5" s="1"/>
  <c r="CM31" i="6"/>
  <c r="BS31" i="6" s="1"/>
  <c r="F9" i="5" s="1"/>
  <c r="CL31" i="6"/>
  <c r="BR31" i="6" s="1"/>
  <c r="F8" i="5" s="1"/>
  <c r="CK31" i="6"/>
  <c r="CJ31" i="6"/>
  <c r="CI31" i="6"/>
  <c r="CH31" i="6"/>
  <c r="CG31" i="6"/>
  <c r="BQ31" i="6"/>
  <c r="BP31" i="6"/>
  <c r="BO31" i="6"/>
  <c r="BN31" i="6"/>
  <c r="BM31" i="6"/>
  <c r="BL31" i="6"/>
  <c r="BK31" i="6"/>
  <c r="BJ31" i="6"/>
  <c r="BI31" i="6"/>
  <c r="F5" i="5" s="1"/>
  <c r="BH31" i="6"/>
  <c r="F4" i="5" s="1"/>
  <c r="BG31" i="6"/>
  <c r="BF31" i="6"/>
  <c r="F10" i="5" s="1"/>
  <c r="BE31" i="6"/>
  <c r="BD31" i="6"/>
  <c r="BC31" i="6"/>
  <c r="BA31" i="6"/>
  <c r="AV31" i="6"/>
  <c r="AP31" i="6"/>
  <c r="AO31" i="6"/>
  <c r="AL31" i="6"/>
  <c r="AK31" i="6"/>
  <c r="R31" i="6"/>
  <c r="Z31" i="6" s="1"/>
  <c r="Q31" i="6"/>
  <c r="T31" i="6" s="1"/>
  <c r="Y31" i="6" s="1"/>
  <c r="P31" i="6"/>
  <c r="U31" i="6" s="1"/>
  <c r="X31" i="6" s="1"/>
  <c r="O31" i="6"/>
  <c r="W31" i="6" s="1"/>
  <c r="N31" i="6"/>
  <c r="S31" i="6" s="1"/>
  <c r="V31" i="6" s="1"/>
  <c r="I31" i="6" s="1"/>
  <c r="L31" i="6"/>
  <c r="M31" i="6" s="1"/>
  <c r="CW31" i="6" s="1"/>
  <c r="K31" i="6"/>
  <c r="E31" i="6"/>
  <c r="G31" i="6" s="1"/>
  <c r="C31" i="6"/>
  <c r="A31" i="6"/>
  <c r="CY30" i="6"/>
  <c r="CX30" i="6"/>
  <c r="CR30" i="6"/>
  <c r="CP30" i="6"/>
  <c r="BV30" i="6" s="1"/>
  <c r="CO30" i="6"/>
  <c r="CN30" i="6"/>
  <c r="BT30" i="6" s="1"/>
  <c r="CM30" i="6"/>
  <c r="BS30" i="6" s="1"/>
  <c r="CL30" i="6"/>
  <c r="CK30" i="6"/>
  <c r="CJ30" i="6"/>
  <c r="CI30" i="6"/>
  <c r="CH30" i="6"/>
  <c r="CG30" i="6"/>
  <c r="BR30" i="6"/>
  <c r="BQ30" i="6"/>
  <c r="BP30" i="6"/>
  <c r="BO30" i="6"/>
  <c r="E15" i="5" s="1"/>
  <c r="BN30" i="6"/>
  <c r="E17" i="5" s="1"/>
  <c r="BM30" i="6"/>
  <c r="E16" i="5" s="1"/>
  <c r="BL30" i="6"/>
  <c r="BK30" i="6"/>
  <c r="BJ30" i="6"/>
  <c r="BI30" i="6"/>
  <c r="BH30" i="6"/>
  <c r="BG30" i="6"/>
  <c r="BF30" i="6"/>
  <c r="BE30" i="6"/>
  <c r="BD30" i="6"/>
  <c r="BC30" i="6"/>
  <c r="BA30" i="6"/>
  <c r="BU30" i="6" s="1"/>
  <c r="AV30" i="6"/>
  <c r="AP30" i="6"/>
  <c r="AO30" i="6"/>
  <c r="AL30" i="6"/>
  <c r="AK30" i="6"/>
  <c r="W30" i="6"/>
  <c r="U30" i="6"/>
  <c r="X30" i="6" s="1"/>
  <c r="T30" i="6"/>
  <c r="Y30" i="6" s="1"/>
  <c r="S30" i="6"/>
  <c r="V30" i="6" s="1"/>
  <c r="R30" i="6"/>
  <c r="Z30" i="6" s="1"/>
  <c r="Q30" i="6"/>
  <c r="P30" i="6"/>
  <c r="O30" i="6"/>
  <c r="N30" i="6"/>
  <c r="L30" i="6"/>
  <c r="M30" i="6" s="1"/>
  <c r="K30" i="6"/>
  <c r="C30" i="6"/>
  <c r="A30" i="6"/>
  <c r="CY29" i="6"/>
  <c r="CX29" i="6"/>
  <c r="CR29" i="6"/>
  <c r="CP29" i="6"/>
  <c r="BV29" i="6" s="1"/>
  <c r="CO29" i="6"/>
  <c r="CN29" i="6"/>
  <c r="BT29" i="6" s="1"/>
  <c r="CM29" i="6"/>
  <c r="BS29" i="6" s="1"/>
  <c r="CL29" i="6"/>
  <c r="BR29" i="6" s="1"/>
  <c r="CK29" i="6"/>
  <c r="BQ29" i="6" s="1"/>
  <c r="CJ29" i="6"/>
  <c r="BP29" i="6" s="1"/>
  <c r="CI29" i="6"/>
  <c r="BO29" i="6" s="1"/>
  <c r="D15" i="5" s="1"/>
  <c r="CH29" i="6"/>
  <c r="BN29" i="6" s="1"/>
  <c r="D17" i="5" s="1"/>
  <c r="CG29" i="6"/>
  <c r="BM29" i="6"/>
  <c r="BL29" i="6"/>
  <c r="BJ29" i="6"/>
  <c r="BI29" i="6"/>
  <c r="D5" i="5" s="1"/>
  <c r="BH29" i="6"/>
  <c r="D4" i="5" s="1"/>
  <c r="BG29" i="6"/>
  <c r="BF29" i="6"/>
  <c r="D10" i="5" s="1"/>
  <c r="BE29" i="6"/>
  <c r="D11" i="5" s="1"/>
  <c r="BD29" i="6"/>
  <c r="D13" i="5" s="1"/>
  <c r="BC29" i="6"/>
  <c r="D12" i="5" s="1"/>
  <c r="BA29" i="6"/>
  <c r="AV29" i="6"/>
  <c r="AP29" i="6"/>
  <c r="AO29" i="6"/>
  <c r="AL29" i="6"/>
  <c r="AK29" i="6"/>
  <c r="X29" i="6"/>
  <c r="U29" i="6"/>
  <c r="T29" i="6"/>
  <c r="Y29" i="6" s="1"/>
  <c r="R29" i="6"/>
  <c r="Z29" i="6" s="1"/>
  <c r="Q29" i="6"/>
  <c r="P29" i="6"/>
  <c r="O29" i="6"/>
  <c r="W29" i="6" s="1"/>
  <c r="N29" i="6"/>
  <c r="S29" i="6" s="1"/>
  <c r="V29" i="6" s="1"/>
  <c r="I29" i="6" s="1"/>
  <c r="L29" i="6"/>
  <c r="K29" i="6"/>
  <c r="E29" i="6" s="1"/>
  <c r="G29" i="6" s="1"/>
  <c r="J29" i="6"/>
  <c r="C29" i="6"/>
  <c r="A29" i="6"/>
  <c r="CY28" i="6"/>
  <c r="CX28" i="6"/>
  <c r="CR28" i="6"/>
  <c r="CP28" i="6"/>
  <c r="BV28" i="6" s="1"/>
  <c r="CO28" i="6"/>
  <c r="CN28" i="6"/>
  <c r="BT28" i="6" s="1"/>
  <c r="CM28" i="6"/>
  <c r="BS28" i="6" s="1"/>
  <c r="CL28" i="6"/>
  <c r="BR28" i="6" s="1"/>
  <c r="CK28" i="6"/>
  <c r="BQ28" i="6" s="1"/>
  <c r="CJ28" i="6"/>
  <c r="CI28" i="6"/>
  <c r="BO28" i="6" s="1"/>
  <c r="CH28" i="6"/>
  <c r="CG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A28" i="6"/>
  <c r="BU28" i="6" s="1"/>
  <c r="AV28" i="6"/>
  <c r="AP28" i="6"/>
  <c r="AO28" i="6"/>
  <c r="AL28" i="6"/>
  <c r="AK28" i="6"/>
  <c r="R28" i="6"/>
  <c r="Z28" i="6" s="1"/>
  <c r="Q28" i="6"/>
  <c r="T28" i="6" s="1"/>
  <c r="Y28" i="6" s="1"/>
  <c r="P28" i="6"/>
  <c r="U28" i="6" s="1"/>
  <c r="X28" i="6" s="1"/>
  <c r="O28" i="6"/>
  <c r="W28" i="6" s="1"/>
  <c r="N28" i="6"/>
  <c r="S28" i="6" s="1"/>
  <c r="V28" i="6" s="1"/>
  <c r="L28" i="6"/>
  <c r="M28" i="6" s="1"/>
  <c r="K28" i="6"/>
  <c r="J28" i="6"/>
  <c r="I28" i="6"/>
  <c r="C28" i="6"/>
  <c r="A28" i="6"/>
  <c r="CY27" i="6"/>
  <c r="CX27" i="6"/>
  <c r="CR27" i="6"/>
  <c r="CP27" i="6"/>
  <c r="CO27" i="6"/>
  <c r="CN27" i="6"/>
  <c r="CM27" i="6"/>
  <c r="BS27" i="6" s="1"/>
  <c r="CL27" i="6"/>
  <c r="BR27" i="6" s="1"/>
  <c r="CK27" i="6"/>
  <c r="BQ27" i="6" s="1"/>
  <c r="CJ27" i="6"/>
  <c r="CI27" i="6"/>
  <c r="BO27" i="6" s="1"/>
  <c r="CH27" i="6"/>
  <c r="BN27" i="6" s="1"/>
  <c r="CG27" i="6"/>
  <c r="BM27" i="6" s="1"/>
  <c r="BV27" i="6"/>
  <c r="BU27" i="6"/>
  <c r="BT27" i="6"/>
  <c r="BL27" i="6"/>
  <c r="BK27" i="6"/>
  <c r="BJ27" i="6"/>
  <c r="BI27" i="6"/>
  <c r="BH27" i="6"/>
  <c r="BG27" i="6"/>
  <c r="BE27" i="6"/>
  <c r="BD27" i="6"/>
  <c r="BC27" i="6"/>
  <c r="BA27" i="6"/>
  <c r="AV27" i="6"/>
  <c r="AP27" i="6"/>
  <c r="AO27" i="6"/>
  <c r="AL27" i="6"/>
  <c r="AK27" i="6"/>
  <c r="R27" i="6"/>
  <c r="Z27" i="6" s="1"/>
  <c r="Q27" i="6"/>
  <c r="T27" i="6" s="1"/>
  <c r="Y27" i="6" s="1"/>
  <c r="J27" i="6" s="1"/>
  <c r="P27" i="6"/>
  <c r="U27" i="6" s="1"/>
  <c r="X27" i="6" s="1"/>
  <c r="O27" i="6"/>
  <c r="W27" i="6" s="1"/>
  <c r="N27" i="6"/>
  <c r="S27" i="6" s="1"/>
  <c r="V27" i="6" s="1"/>
  <c r="I27" i="6" s="1"/>
  <c r="L27" i="6"/>
  <c r="M27" i="6" s="1"/>
  <c r="K27" i="6"/>
  <c r="C27" i="6"/>
  <c r="A27" i="6"/>
  <c r="CY26" i="6"/>
  <c r="CX26" i="6"/>
  <c r="CR26" i="6"/>
  <c r="CP26" i="6"/>
  <c r="CO26" i="6"/>
  <c r="CN26" i="6"/>
  <c r="CM26" i="6"/>
  <c r="BS26" i="6" s="1"/>
  <c r="CL26" i="6"/>
  <c r="BR26" i="6" s="1"/>
  <c r="CK26" i="6"/>
  <c r="BQ26" i="6" s="1"/>
  <c r="CJ26" i="6"/>
  <c r="CI26" i="6"/>
  <c r="BO26" i="6" s="1"/>
  <c r="CH26" i="6"/>
  <c r="BN26" i="6" s="1"/>
  <c r="CG26" i="6"/>
  <c r="BM26" i="6" s="1"/>
  <c r="BV26" i="6"/>
  <c r="BT26" i="6"/>
  <c r="BL26" i="6"/>
  <c r="BJ26" i="6"/>
  <c r="BI26" i="6"/>
  <c r="BH26" i="6"/>
  <c r="BG26" i="6"/>
  <c r="BE26" i="6"/>
  <c r="BD26" i="6"/>
  <c r="BC26" i="6"/>
  <c r="BA26" i="6"/>
  <c r="BU26" i="6" s="1"/>
  <c r="AV26" i="6"/>
  <c r="AP26" i="6"/>
  <c r="AO26" i="6"/>
  <c r="AL26" i="6"/>
  <c r="AK26" i="6"/>
  <c r="Z26" i="6"/>
  <c r="X26" i="6"/>
  <c r="W26" i="6"/>
  <c r="U26" i="6"/>
  <c r="T26" i="6"/>
  <c r="Y26" i="6" s="1"/>
  <c r="J26" i="6" s="1"/>
  <c r="S26" i="6"/>
  <c r="V26" i="6" s="1"/>
  <c r="K26" i="6"/>
  <c r="E26" i="6" s="1"/>
  <c r="G26" i="6" s="1"/>
  <c r="I26" i="6"/>
  <c r="C26" i="6"/>
  <c r="A26" i="6"/>
  <c r="CY25" i="6"/>
  <c r="CX25" i="6"/>
  <c r="CR25" i="6"/>
  <c r="CP25" i="6"/>
  <c r="BV25" i="6" s="1"/>
  <c r="CO25" i="6"/>
  <c r="BU25" i="6" s="1"/>
  <c r="CN25" i="6"/>
  <c r="CM25" i="6"/>
  <c r="CL25" i="6"/>
  <c r="CK25" i="6"/>
  <c r="CJ25" i="6"/>
  <c r="CI25" i="6"/>
  <c r="CH25" i="6"/>
  <c r="CG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E25" i="6"/>
  <c r="BD25" i="6"/>
  <c r="BC25" i="6"/>
  <c r="BA25" i="6"/>
  <c r="AV25" i="6"/>
  <c r="BF25" i="6" s="1"/>
  <c r="AP25" i="6"/>
  <c r="AO25" i="6"/>
  <c r="AL25" i="6"/>
  <c r="AK25" i="6"/>
  <c r="Z25" i="6"/>
  <c r="W25" i="6"/>
  <c r="U25" i="6"/>
  <c r="X25" i="6" s="1"/>
  <c r="T25" i="6"/>
  <c r="Y25" i="6" s="1"/>
  <c r="S25" i="6"/>
  <c r="V25" i="6" s="1"/>
  <c r="I25" i="6" s="1"/>
  <c r="M25" i="6"/>
  <c r="J25" i="6"/>
  <c r="C25" i="6"/>
  <c r="A25" i="6"/>
  <c r="CY24" i="6"/>
  <c r="CX24" i="6"/>
  <c r="CR24" i="6"/>
  <c r="CP24" i="6"/>
  <c r="BV24" i="6" s="1"/>
  <c r="CO24" i="6"/>
  <c r="BU24" i="6" s="1"/>
  <c r="CN24" i="6"/>
  <c r="CM24" i="6"/>
  <c r="CL24" i="6"/>
  <c r="BR24" i="6" s="1"/>
  <c r="CK24" i="6"/>
  <c r="BQ24" i="6" s="1"/>
  <c r="CJ24" i="6"/>
  <c r="CI24" i="6"/>
  <c r="BO24" i="6" s="1"/>
  <c r="CH24" i="6"/>
  <c r="BN24" i="6" s="1"/>
  <c r="CG24" i="6"/>
  <c r="BM24" i="6" s="1"/>
  <c r="BT24" i="6"/>
  <c r="BS24" i="6"/>
  <c r="BL24" i="6"/>
  <c r="BK24" i="6"/>
  <c r="BJ24" i="6"/>
  <c r="BI24" i="6"/>
  <c r="BH24" i="6"/>
  <c r="BG24" i="6"/>
  <c r="BF24" i="6"/>
  <c r="BE24" i="6"/>
  <c r="BD24" i="6"/>
  <c r="BC24" i="6"/>
  <c r="BA24" i="6"/>
  <c r="AV24" i="6"/>
  <c r="AP24" i="6"/>
  <c r="AO24" i="6"/>
  <c r="AL24" i="6"/>
  <c r="AK24" i="6"/>
  <c r="Z24" i="6"/>
  <c r="W24" i="6"/>
  <c r="U24" i="6"/>
  <c r="X24" i="6" s="1"/>
  <c r="T24" i="6"/>
  <c r="Y24" i="6" s="1"/>
  <c r="S24" i="6"/>
  <c r="V24" i="6" s="1"/>
  <c r="M24" i="6"/>
  <c r="J24" i="6"/>
  <c r="I24" i="6"/>
  <c r="F24" i="6"/>
  <c r="H24" i="6" s="1"/>
  <c r="C24" i="6"/>
  <c r="A24" i="6"/>
  <c r="CY23" i="6"/>
  <c r="CX23" i="6"/>
  <c r="CR23" i="6"/>
  <c r="CP23" i="6"/>
  <c r="BV23" i="6" s="1"/>
  <c r="CO23" i="6"/>
  <c r="CN23" i="6"/>
  <c r="CM23" i="6"/>
  <c r="CL23" i="6"/>
  <c r="CK23" i="6"/>
  <c r="CJ23" i="6"/>
  <c r="CI23" i="6"/>
  <c r="CH23" i="6"/>
  <c r="CG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E23" i="6"/>
  <c r="BD23" i="6"/>
  <c r="BC23" i="6"/>
  <c r="BA23" i="6"/>
  <c r="AV23" i="6"/>
  <c r="BF23" i="6" s="1"/>
  <c r="AP23" i="6"/>
  <c r="AO23" i="6"/>
  <c r="AL23" i="6"/>
  <c r="AK23" i="6"/>
  <c r="Z23" i="6"/>
  <c r="W23" i="6"/>
  <c r="U23" i="6"/>
  <c r="X23" i="6" s="1"/>
  <c r="T23" i="6"/>
  <c r="Y23" i="6" s="1"/>
  <c r="J23" i="6" s="1"/>
  <c r="S23" i="6"/>
  <c r="V23" i="6" s="1"/>
  <c r="I23" i="6" s="1"/>
  <c r="M23" i="6"/>
  <c r="C23" i="6"/>
  <c r="A23" i="6"/>
  <c r="CY22" i="6"/>
  <c r="CX22" i="6"/>
  <c r="CR22" i="6"/>
  <c r="CP22" i="6"/>
  <c r="CO22" i="6"/>
  <c r="CN22" i="6"/>
  <c r="CM22" i="6"/>
  <c r="CL22" i="6"/>
  <c r="CK22" i="6"/>
  <c r="CJ22" i="6"/>
  <c r="CI22" i="6"/>
  <c r="BO22" i="6" s="1"/>
  <c r="CH22" i="6"/>
  <c r="BN22" i="6" s="1"/>
  <c r="CG22" i="6"/>
  <c r="BM22" i="6" s="1"/>
  <c r="BV22" i="6"/>
  <c r="BU22" i="6"/>
  <c r="BT22" i="6"/>
  <c r="BS22" i="6"/>
  <c r="BR22" i="6"/>
  <c r="BQ22" i="6"/>
  <c r="BL22" i="6"/>
  <c r="BJ22" i="6"/>
  <c r="BI22" i="6"/>
  <c r="BH22" i="6"/>
  <c r="BG22" i="6"/>
  <c r="BE22" i="6"/>
  <c r="BD22" i="6"/>
  <c r="BC22" i="6"/>
  <c r="BA22" i="6"/>
  <c r="AV22" i="6"/>
  <c r="AP22" i="6"/>
  <c r="AO22" i="6"/>
  <c r="AL22" i="6"/>
  <c r="AK22" i="6"/>
  <c r="Z22" i="6"/>
  <c r="Y22" i="6"/>
  <c r="W22" i="6"/>
  <c r="U22" i="6"/>
  <c r="X22" i="6" s="1"/>
  <c r="T22" i="6"/>
  <c r="S22" i="6"/>
  <c r="V22" i="6" s="1"/>
  <c r="I22" i="6" s="1"/>
  <c r="J22" i="6"/>
  <c r="C22" i="6"/>
  <c r="A22" i="6"/>
  <c r="CY21" i="6"/>
  <c r="CX21" i="6"/>
  <c r="CR21" i="6"/>
  <c r="CP21" i="6"/>
  <c r="BV21" i="6" s="1"/>
  <c r="CO21" i="6"/>
  <c r="BU21" i="6" s="1"/>
  <c r="CN21" i="6"/>
  <c r="BT21" i="6" s="1"/>
  <c r="CM21" i="6"/>
  <c r="CL21" i="6"/>
  <c r="CK21" i="6"/>
  <c r="CJ21" i="6"/>
  <c r="CI21" i="6"/>
  <c r="CH21" i="6"/>
  <c r="CG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A21" i="6"/>
  <c r="AV21" i="6"/>
  <c r="AP21" i="6"/>
  <c r="AO21" i="6"/>
  <c r="AL21" i="6"/>
  <c r="AK21" i="6"/>
  <c r="Z21" i="6"/>
  <c r="Y21" i="6"/>
  <c r="J21" i="6" s="1"/>
  <c r="F21" i="6" s="1"/>
  <c r="H21" i="6" s="1"/>
  <c r="X21" i="6"/>
  <c r="W21" i="6"/>
  <c r="U21" i="6"/>
  <c r="T21" i="6"/>
  <c r="S21" i="6"/>
  <c r="V21" i="6" s="1"/>
  <c r="I21" i="6" s="1"/>
  <c r="M21" i="6"/>
  <c r="C21" i="6"/>
  <c r="A21" i="6"/>
  <c r="CY20" i="6"/>
  <c r="CX20" i="6"/>
  <c r="CR20" i="6"/>
  <c r="CP20" i="6"/>
  <c r="CO20" i="6"/>
  <c r="CN20" i="6"/>
  <c r="CM20" i="6"/>
  <c r="BS20" i="6" s="1"/>
  <c r="CL20" i="6"/>
  <c r="BR20" i="6" s="1"/>
  <c r="CK20" i="6"/>
  <c r="BQ20" i="6" s="1"/>
  <c r="CJ20" i="6"/>
  <c r="CI20" i="6"/>
  <c r="CH20" i="6"/>
  <c r="BN20" i="6" s="1"/>
  <c r="CG20" i="6"/>
  <c r="BM20" i="6" s="1"/>
  <c r="BV20" i="6"/>
  <c r="BT20" i="6"/>
  <c r="BO20" i="6"/>
  <c r="BL20" i="6"/>
  <c r="BJ20" i="6"/>
  <c r="BI20" i="6"/>
  <c r="BH20" i="6"/>
  <c r="BG20" i="6"/>
  <c r="BF20" i="6"/>
  <c r="BE20" i="6"/>
  <c r="BD20" i="6"/>
  <c r="BC20" i="6"/>
  <c r="BA20" i="6"/>
  <c r="AV20" i="6"/>
  <c r="AP20" i="6"/>
  <c r="AO20" i="6"/>
  <c r="AL20" i="6"/>
  <c r="AK20" i="6"/>
  <c r="Z20" i="6"/>
  <c r="Y20" i="6"/>
  <c r="J20" i="6" s="1"/>
  <c r="X20" i="6"/>
  <c r="W20" i="6"/>
  <c r="U20" i="6"/>
  <c r="T20" i="6"/>
  <c r="S20" i="6"/>
  <c r="V20" i="6" s="1"/>
  <c r="I20" i="6" s="1"/>
  <c r="C20" i="6"/>
  <c r="A20" i="6"/>
  <c r="CY19" i="6"/>
  <c r="CX19" i="6"/>
  <c r="CR19" i="6"/>
  <c r="CP19" i="6"/>
  <c r="BV19" i="6" s="1"/>
  <c r="CO19" i="6"/>
  <c r="BU19" i="6" s="1"/>
  <c r="CN19" i="6"/>
  <c r="BT19" i="6" s="1"/>
  <c r="CM19" i="6"/>
  <c r="BS19" i="6" s="1"/>
  <c r="CL19" i="6"/>
  <c r="BR19" i="6" s="1"/>
  <c r="CK19" i="6"/>
  <c r="CJ19" i="6"/>
  <c r="BP19" i="6" s="1"/>
  <c r="CI19" i="6"/>
  <c r="CH19" i="6"/>
  <c r="CG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A19" i="6"/>
  <c r="AV19" i="6"/>
  <c r="AP19" i="6"/>
  <c r="AO19" i="6"/>
  <c r="AL19" i="6"/>
  <c r="AK19" i="6"/>
  <c r="Z19" i="6"/>
  <c r="W19" i="6"/>
  <c r="U19" i="6"/>
  <c r="X19" i="6" s="1"/>
  <c r="T19" i="6"/>
  <c r="Y19" i="6" s="1"/>
  <c r="S19" i="6"/>
  <c r="V19" i="6" s="1"/>
  <c r="M19" i="6"/>
  <c r="J19" i="6"/>
  <c r="I19" i="6"/>
  <c r="F19" i="6"/>
  <c r="H19" i="6" s="1"/>
  <c r="C19" i="6"/>
  <c r="A19" i="6"/>
  <c r="CY18" i="6"/>
  <c r="CX18" i="6"/>
  <c r="CR18" i="6"/>
  <c r="CP18" i="6"/>
  <c r="CO18" i="6"/>
  <c r="CN18" i="6"/>
  <c r="CM18" i="6"/>
  <c r="CL18" i="6"/>
  <c r="CK18" i="6"/>
  <c r="CJ18" i="6"/>
  <c r="CI18" i="6"/>
  <c r="CH18" i="6"/>
  <c r="CG18" i="6"/>
  <c r="BV18" i="6"/>
  <c r="BU18" i="6"/>
  <c r="BT18" i="6"/>
  <c r="BS18" i="6"/>
  <c r="BR18" i="6"/>
  <c r="BQ18" i="6"/>
  <c r="BP18" i="6"/>
  <c r="BO18" i="6"/>
  <c r="BN18" i="6"/>
  <c r="BM18" i="6"/>
  <c r="BL18" i="6"/>
  <c r="BJ18" i="6"/>
  <c r="BI18" i="6"/>
  <c r="BH18" i="6"/>
  <c r="BG18" i="6"/>
  <c r="BE18" i="6"/>
  <c r="BD18" i="6"/>
  <c r="BC18" i="6"/>
  <c r="BA18" i="6"/>
  <c r="AV18" i="6"/>
  <c r="BF18" i="6" s="1"/>
  <c r="AP18" i="6"/>
  <c r="AO18" i="6"/>
  <c r="AL18" i="6"/>
  <c r="AK18" i="6"/>
  <c r="Z18" i="6"/>
  <c r="Y18" i="6"/>
  <c r="J18" i="6" s="1"/>
  <c r="W18" i="6"/>
  <c r="V18" i="6"/>
  <c r="U18" i="6"/>
  <c r="X18" i="6" s="1"/>
  <c r="T18" i="6"/>
  <c r="S18" i="6"/>
  <c r="C18" i="6"/>
  <c r="A18" i="6"/>
  <c r="CY17" i="6"/>
  <c r="CX17" i="6"/>
  <c r="CR17" i="6"/>
  <c r="CP17" i="6"/>
  <c r="BV17" i="6" s="1"/>
  <c r="CO17" i="6"/>
  <c r="CN17" i="6"/>
  <c r="BT17" i="6" s="1"/>
  <c r="CM17" i="6"/>
  <c r="BS17" i="6" s="1"/>
  <c r="CL17" i="6"/>
  <c r="BR17" i="6" s="1"/>
  <c r="CK17" i="6"/>
  <c r="BQ17" i="6" s="1"/>
  <c r="CJ17" i="6"/>
  <c r="CI17" i="6"/>
  <c r="CH17" i="6"/>
  <c r="CG17" i="6"/>
  <c r="BO17" i="6"/>
  <c r="BN17" i="6"/>
  <c r="BM17" i="6"/>
  <c r="BL17" i="6"/>
  <c r="BK17" i="6"/>
  <c r="BJ17" i="6"/>
  <c r="BI17" i="6"/>
  <c r="BH17" i="6"/>
  <c r="BG17" i="6"/>
  <c r="BE17" i="6"/>
  <c r="BD17" i="6"/>
  <c r="BC17" i="6"/>
  <c r="BA17" i="6"/>
  <c r="BU17" i="6" s="1"/>
  <c r="AV17" i="6"/>
  <c r="AP17" i="6"/>
  <c r="AO17" i="6"/>
  <c r="AL17" i="6"/>
  <c r="AK17" i="6"/>
  <c r="Z17" i="6"/>
  <c r="W17" i="6"/>
  <c r="U17" i="6"/>
  <c r="X17" i="6" s="1"/>
  <c r="T17" i="6"/>
  <c r="Y17" i="6" s="1"/>
  <c r="S17" i="6"/>
  <c r="V17" i="6" s="1"/>
  <c r="I17" i="6" s="1"/>
  <c r="M17" i="6"/>
  <c r="J17" i="6"/>
  <c r="F17" i="6"/>
  <c r="H17" i="6" s="1"/>
  <c r="C17" i="6"/>
  <c r="A17" i="6"/>
  <c r="CY16" i="6"/>
  <c r="CX16" i="6"/>
  <c r="CR16" i="6"/>
  <c r="CP16" i="6"/>
  <c r="CO16" i="6"/>
  <c r="CN16" i="6"/>
  <c r="CM16" i="6"/>
  <c r="CL16" i="6"/>
  <c r="CK16" i="6"/>
  <c r="CJ16" i="6"/>
  <c r="CI16" i="6"/>
  <c r="BO16" i="6" s="1"/>
  <c r="CH16" i="6"/>
  <c r="BN16" i="6" s="1"/>
  <c r="CG16" i="6"/>
  <c r="BM16" i="6" s="1"/>
  <c r="BV16" i="6"/>
  <c r="BU16" i="6"/>
  <c r="BT16" i="6"/>
  <c r="BS16" i="6"/>
  <c r="BR16" i="6"/>
  <c r="BQ16" i="6"/>
  <c r="BP16" i="6"/>
  <c r="BL16" i="6"/>
  <c r="BJ16" i="6"/>
  <c r="BI16" i="6"/>
  <c r="BH16" i="6"/>
  <c r="BG16" i="6"/>
  <c r="BE16" i="6"/>
  <c r="BD16" i="6"/>
  <c r="BC16" i="6"/>
  <c r="BA16" i="6"/>
  <c r="AV16" i="6"/>
  <c r="BF16" i="6" s="1"/>
  <c r="AP16" i="6"/>
  <c r="AO16" i="6"/>
  <c r="AL16" i="6"/>
  <c r="AK16" i="6"/>
  <c r="Z16" i="6"/>
  <c r="Y16" i="6"/>
  <c r="J16" i="6" s="1"/>
  <c r="X16" i="6"/>
  <c r="W16" i="6"/>
  <c r="U16" i="6"/>
  <c r="T16" i="6"/>
  <c r="S16" i="6"/>
  <c r="V16" i="6" s="1"/>
  <c r="I16" i="6" s="1"/>
  <c r="C16" i="6"/>
  <c r="A16" i="6"/>
  <c r="CY15" i="6"/>
  <c r="CX15" i="6"/>
  <c r="CR15" i="6"/>
  <c r="CP15" i="6"/>
  <c r="CO15" i="6"/>
  <c r="CN15" i="6"/>
  <c r="BT15" i="6" s="1"/>
  <c r="CM15" i="6"/>
  <c r="BS15" i="6" s="1"/>
  <c r="CL15" i="6"/>
  <c r="BR15" i="6" s="1"/>
  <c r="CK15" i="6"/>
  <c r="BQ15" i="6" s="1"/>
  <c r="CJ15" i="6"/>
  <c r="CI15" i="6"/>
  <c r="BO15" i="6" s="1"/>
  <c r="CH15" i="6"/>
  <c r="BN15" i="6" s="1"/>
  <c r="CG15" i="6"/>
  <c r="BV15" i="6"/>
  <c r="BU15" i="6"/>
  <c r="BM15" i="6"/>
  <c r="BL15" i="6"/>
  <c r="BJ15" i="6"/>
  <c r="BI15" i="6"/>
  <c r="BH15" i="6"/>
  <c r="BG15" i="6"/>
  <c r="BE15" i="6"/>
  <c r="BD15" i="6"/>
  <c r="BC15" i="6"/>
  <c r="BA15" i="6"/>
  <c r="BK15" i="6" s="1"/>
  <c r="AV15" i="6"/>
  <c r="AP15" i="6"/>
  <c r="AO15" i="6"/>
  <c r="AL15" i="6"/>
  <c r="AK15" i="6"/>
  <c r="Z15" i="6"/>
  <c r="W15" i="6"/>
  <c r="U15" i="6"/>
  <c r="X15" i="6" s="1"/>
  <c r="T15" i="6"/>
  <c r="Y15" i="6" s="1"/>
  <c r="J15" i="6" s="1"/>
  <c r="S15" i="6"/>
  <c r="V15" i="6" s="1"/>
  <c r="I15" i="6" s="1"/>
  <c r="M15" i="6"/>
  <c r="F15" i="6" s="1"/>
  <c r="H15" i="6" s="1"/>
  <c r="C15" i="6"/>
  <c r="A15" i="6"/>
  <c r="CY14" i="6"/>
  <c r="CX14" i="6"/>
  <c r="CR14" i="6"/>
  <c r="CP14" i="6"/>
  <c r="CO14" i="6"/>
  <c r="CN14" i="6"/>
  <c r="CM14" i="6"/>
  <c r="CL14" i="6"/>
  <c r="CK14" i="6"/>
  <c r="CJ14" i="6"/>
  <c r="CI14" i="6"/>
  <c r="CH14" i="6"/>
  <c r="CG14" i="6"/>
  <c r="BM14" i="6" s="1"/>
  <c r="BV14" i="6"/>
  <c r="BU14" i="6"/>
  <c r="BT14" i="6"/>
  <c r="BS14" i="6"/>
  <c r="BR14" i="6"/>
  <c r="BQ14" i="6"/>
  <c r="BO14" i="6"/>
  <c r="BN14" i="6"/>
  <c r="BL14" i="6"/>
  <c r="BK14" i="6"/>
  <c r="BJ14" i="6"/>
  <c r="BI14" i="6"/>
  <c r="BH14" i="6"/>
  <c r="BG14" i="6"/>
  <c r="BE14" i="6"/>
  <c r="BD14" i="6"/>
  <c r="BC14" i="6"/>
  <c r="BA14" i="6"/>
  <c r="AV14" i="6"/>
  <c r="AP14" i="6"/>
  <c r="AO14" i="6"/>
  <c r="AL14" i="6"/>
  <c r="AK14" i="6"/>
  <c r="Z14" i="6"/>
  <c r="X14" i="6"/>
  <c r="W14" i="6"/>
  <c r="U14" i="6"/>
  <c r="T14" i="6"/>
  <c r="Y14" i="6" s="1"/>
  <c r="J14" i="6" s="1"/>
  <c r="S14" i="6"/>
  <c r="V14" i="6" s="1"/>
  <c r="I14" i="6" s="1"/>
  <c r="M14" i="6"/>
  <c r="C14" i="6"/>
  <c r="A14" i="6"/>
  <c r="CY13" i="6"/>
  <c r="CX13" i="6"/>
  <c r="CR13" i="6"/>
  <c r="CP13" i="6"/>
  <c r="BV13" i="6" s="1"/>
  <c r="CO13" i="6"/>
  <c r="CN13" i="6"/>
  <c r="BT13" i="6" s="1"/>
  <c r="CM13" i="6"/>
  <c r="BS13" i="6" s="1"/>
  <c r="CL13" i="6"/>
  <c r="BR13" i="6" s="1"/>
  <c r="CK13" i="6"/>
  <c r="BQ13" i="6" s="1"/>
  <c r="CJ13" i="6"/>
  <c r="CI13" i="6"/>
  <c r="BO13" i="6" s="1"/>
  <c r="CH13" i="6"/>
  <c r="BN13" i="6" s="1"/>
  <c r="CG13" i="6"/>
  <c r="BM13" i="6" s="1"/>
  <c r="BL13" i="6"/>
  <c r="BJ13" i="6"/>
  <c r="BI13" i="6"/>
  <c r="BH13" i="6"/>
  <c r="BG13" i="6"/>
  <c r="BE13" i="6"/>
  <c r="BD13" i="6"/>
  <c r="BC13" i="6"/>
  <c r="BA13" i="6"/>
  <c r="AV13" i="6"/>
  <c r="BP13" i="6" s="1"/>
  <c r="AP13" i="6"/>
  <c r="AO13" i="6"/>
  <c r="AL13" i="6"/>
  <c r="AK13" i="6"/>
  <c r="Z13" i="6"/>
  <c r="W13" i="6"/>
  <c r="U13" i="6"/>
  <c r="X13" i="6" s="1"/>
  <c r="T13" i="6"/>
  <c r="Y13" i="6" s="1"/>
  <c r="S13" i="6"/>
  <c r="V13" i="6" s="1"/>
  <c r="J13" i="6"/>
  <c r="I13" i="6"/>
  <c r="C13" i="6"/>
  <c r="A13" i="6"/>
  <c r="CY12" i="6"/>
  <c r="CX12" i="6"/>
  <c r="CR12" i="6"/>
  <c r="CP12" i="6"/>
  <c r="BV12" i="6" s="1"/>
  <c r="CO12" i="6"/>
  <c r="BU12" i="6" s="1"/>
  <c r="CN12" i="6"/>
  <c r="BT12" i="6" s="1"/>
  <c r="CM12" i="6"/>
  <c r="BS12" i="6" s="1"/>
  <c r="CL12" i="6"/>
  <c r="CK12" i="6"/>
  <c r="CJ12" i="6"/>
  <c r="CI12" i="6"/>
  <c r="CH12" i="6"/>
  <c r="CG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E12" i="6"/>
  <c r="BD12" i="6"/>
  <c r="BC12" i="6"/>
  <c r="BA12" i="6"/>
  <c r="AV12" i="6"/>
  <c r="BF12" i="6" s="1"/>
  <c r="AP12" i="6"/>
  <c r="AO12" i="6"/>
  <c r="AL12" i="6"/>
  <c r="AK12" i="6"/>
  <c r="Z12" i="6"/>
  <c r="W12" i="6"/>
  <c r="U12" i="6"/>
  <c r="X12" i="6" s="1"/>
  <c r="T12" i="6"/>
  <c r="Y12" i="6" s="1"/>
  <c r="S12" i="6"/>
  <c r="V12" i="6" s="1"/>
  <c r="M12" i="6"/>
  <c r="J12" i="6"/>
  <c r="I12" i="6"/>
  <c r="C12" i="6"/>
  <c r="A12" i="6"/>
  <c r="CY11" i="6"/>
  <c r="CX11" i="6"/>
  <c r="CR11" i="6"/>
  <c r="CP11" i="6"/>
  <c r="CO11" i="6"/>
  <c r="CN11" i="6"/>
  <c r="CM11" i="6"/>
  <c r="CL11" i="6"/>
  <c r="CK11" i="6"/>
  <c r="CJ11" i="6"/>
  <c r="CI11" i="6"/>
  <c r="BO11" i="6" s="1"/>
  <c r="CH11" i="6"/>
  <c r="BN11" i="6" s="1"/>
  <c r="CG11" i="6"/>
  <c r="BM11" i="6" s="1"/>
  <c r="BV11" i="6"/>
  <c r="BU11" i="6"/>
  <c r="BT11" i="6"/>
  <c r="BS11" i="6"/>
  <c r="BR11" i="6"/>
  <c r="BQ11" i="6"/>
  <c r="BL11" i="6"/>
  <c r="BJ11" i="6"/>
  <c r="BI11" i="6"/>
  <c r="BH11" i="6"/>
  <c r="BG11" i="6"/>
  <c r="BE11" i="6"/>
  <c r="BD11" i="6"/>
  <c r="BC11" i="6"/>
  <c r="BA11" i="6"/>
  <c r="AV11" i="6"/>
  <c r="AP11" i="6"/>
  <c r="AO11" i="6"/>
  <c r="AL11" i="6"/>
  <c r="AK11" i="6"/>
  <c r="Z11" i="6"/>
  <c r="Y11" i="6"/>
  <c r="W11" i="6"/>
  <c r="U11" i="6"/>
  <c r="X11" i="6" s="1"/>
  <c r="T11" i="6"/>
  <c r="S11" i="6"/>
  <c r="V11" i="6" s="1"/>
  <c r="J11" i="6"/>
  <c r="I11" i="6"/>
  <c r="C11" i="6"/>
  <c r="A11" i="6"/>
  <c r="CY10" i="6"/>
  <c r="CX10" i="6"/>
  <c r="CR10" i="6"/>
  <c r="CP10" i="6"/>
  <c r="BV10" i="6" s="1"/>
  <c r="CO10" i="6"/>
  <c r="BU10" i="6" s="1"/>
  <c r="CN10" i="6"/>
  <c r="BT10" i="6" s="1"/>
  <c r="CM10" i="6"/>
  <c r="CL10" i="6"/>
  <c r="CK10" i="6"/>
  <c r="CJ10" i="6"/>
  <c r="CI10" i="6"/>
  <c r="CH10" i="6"/>
  <c r="CG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A10" i="6"/>
  <c r="AV10" i="6"/>
  <c r="AP10" i="6"/>
  <c r="AO10" i="6"/>
  <c r="AL10" i="6"/>
  <c r="AK10" i="6"/>
  <c r="Z10" i="6"/>
  <c r="W10" i="6"/>
  <c r="U10" i="6"/>
  <c r="X10" i="6" s="1"/>
  <c r="T10" i="6"/>
  <c r="Y10" i="6" s="1"/>
  <c r="J10" i="6" s="1"/>
  <c r="F10" i="6" s="1"/>
  <c r="H10" i="6" s="1"/>
  <c r="S10" i="6"/>
  <c r="V10" i="6" s="1"/>
  <c r="I10" i="6" s="1"/>
  <c r="M10" i="6"/>
  <c r="C10" i="6"/>
  <c r="A10" i="6"/>
  <c r="CY9" i="6"/>
  <c r="CX9" i="6"/>
  <c r="CR9" i="6"/>
  <c r="CP9" i="6"/>
  <c r="CO9" i="6"/>
  <c r="CN9" i="6"/>
  <c r="CM9" i="6"/>
  <c r="BS9" i="6" s="1"/>
  <c r="CL9" i="6"/>
  <c r="BR9" i="6" s="1"/>
  <c r="CK9" i="6"/>
  <c r="BQ9" i="6" s="1"/>
  <c r="CJ9" i="6"/>
  <c r="CI9" i="6"/>
  <c r="BO9" i="6" s="1"/>
  <c r="CH9" i="6"/>
  <c r="BN9" i="6" s="1"/>
  <c r="CG9" i="6"/>
  <c r="BM9" i="6" s="1"/>
  <c r="BV9" i="6"/>
  <c r="BT9" i="6"/>
  <c r="BL9" i="6"/>
  <c r="BJ9" i="6"/>
  <c r="BI9" i="6"/>
  <c r="BH9" i="6"/>
  <c r="BG9" i="6"/>
  <c r="BE9" i="6"/>
  <c r="BD9" i="6"/>
  <c r="BC9" i="6"/>
  <c r="BA9" i="6"/>
  <c r="BU9" i="6" s="1"/>
  <c r="AV9" i="6"/>
  <c r="BP9" i="6" s="1"/>
  <c r="AP9" i="6"/>
  <c r="AO9" i="6"/>
  <c r="AL9" i="6"/>
  <c r="AK9" i="6"/>
  <c r="Z9" i="6"/>
  <c r="Y9" i="6"/>
  <c r="X9" i="6"/>
  <c r="W9" i="6"/>
  <c r="U9" i="6"/>
  <c r="T9" i="6"/>
  <c r="S9" i="6"/>
  <c r="V9" i="6" s="1"/>
  <c r="C9" i="6"/>
  <c r="A9" i="6"/>
  <c r="CY8" i="6"/>
  <c r="CX8" i="6"/>
  <c r="CR8" i="6"/>
  <c r="CP8" i="6"/>
  <c r="BV8" i="6" s="1"/>
  <c r="CO8" i="6"/>
  <c r="BU8" i="6" s="1"/>
  <c r="CN8" i="6"/>
  <c r="BT8" i="6" s="1"/>
  <c r="CM8" i="6"/>
  <c r="BS8" i="6" s="1"/>
  <c r="CL8" i="6"/>
  <c r="BR8" i="6" s="1"/>
  <c r="CK8" i="6"/>
  <c r="BQ8" i="6" s="1"/>
  <c r="CJ8" i="6"/>
  <c r="BP8" i="6" s="1"/>
  <c r="CI8" i="6"/>
  <c r="BO8" i="6" s="1"/>
  <c r="CH8" i="6"/>
  <c r="CG8" i="6"/>
  <c r="BN8" i="6"/>
  <c r="BM8" i="6"/>
  <c r="BL8" i="6"/>
  <c r="BK8" i="6"/>
  <c r="BJ8" i="6"/>
  <c r="BI8" i="6"/>
  <c r="BH8" i="6"/>
  <c r="BG8" i="6"/>
  <c r="BF8" i="6"/>
  <c r="BE8" i="6"/>
  <c r="BD8" i="6"/>
  <c r="BC8" i="6"/>
  <c r="BA8" i="6"/>
  <c r="AV8" i="6"/>
  <c r="AP8" i="6"/>
  <c r="AO8" i="6"/>
  <c r="AL8" i="6"/>
  <c r="AK8" i="6"/>
  <c r="Z8" i="6"/>
  <c r="X8" i="6"/>
  <c r="W8" i="6"/>
  <c r="U8" i="6"/>
  <c r="T8" i="6"/>
  <c r="Y8" i="6" s="1"/>
  <c r="J8" i="6" s="1"/>
  <c r="S8" i="6"/>
  <c r="V8" i="6" s="1"/>
  <c r="I8" i="6" s="1"/>
  <c r="M8" i="6"/>
  <c r="F8" i="6"/>
  <c r="H8" i="6" s="1"/>
  <c r="C8" i="6"/>
  <c r="A8" i="6"/>
  <c r="CY7" i="6"/>
  <c r="CX7" i="6"/>
  <c r="CR7" i="6"/>
  <c r="CP7" i="6"/>
  <c r="CO7" i="6"/>
  <c r="CN7" i="6"/>
  <c r="CM7" i="6"/>
  <c r="CL7" i="6"/>
  <c r="CK7" i="6"/>
  <c r="CJ7" i="6"/>
  <c r="CI7" i="6"/>
  <c r="CH7" i="6"/>
  <c r="CG7" i="6"/>
  <c r="BV7" i="6"/>
  <c r="BT7" i="6"/>
  <c r="BS7" i="6"/>
  <c r="BR7" i="6"/>
  <c r="BQ7" i="6"/>
  <c r="BP7" i="6"/>
  <c r="BO7" i="6"/>
  <c r="BN7" i="6"/>
  <c r="BM7" i="6"/>
  <c r="BL7" i="6"/>
  <c r="BJ7" i="6"/>
  <c r="BI7" i="6"/>
  <c r="BH7" i="6"/>
  <c r="BG7" i="6"/>
  <c r="BE7" i="6"/>
  <c r="BD7" i="6"/>
  <c r="BC7" i="6"/>
  <c r="BA7" i="6"/>
  <c r="BU7" i="6" s="1"/>
  <c r="AV7" i="6"/>
  <c r="BF7" i="6" s="1"/>
  <c r="AP7" i="6"/>
  <c r="AO7" i="6"/>
  <c r="AL7" i="6"/>
  <c r="AK7" i="6"/>
  <c r="Z7" i="6"/>
  <c r="Y7" i="6"/>
  <c r="J7" i="6" s="1"/>
  <c r="W7" i="6"/>
  <c r="V7" i="6"/>
  <c r="U7" i="6"/>
  <c r="X7" i="6" s="1"/>
  <c r="T7" i="6"/>
  <c r="S7" i="6"/>
  <c r="C7" i="6"/>
  <c r="A7" i="6"/>
  <c r="CY6" i="6"/>
  <c r="CX6" i="6"/>
  <c r="CR6" i="6"/>
  <c r="CP6" i="6"/>
  <c r="BV6" i="6" s="1"/>
  <c r="CO6" i="6"/>
  <c r="CN6" i="6"/>
  <c r="BT6" i="6" s="1"/>
  <c r="CM6" i="6"/>
  <c r="BS6" i="6" s="1"/>
  <c r="CL6" i="6"/>
  <c r="BR6" i="6" s="1"/>
  <c r="CK6" i="6"/>
  <c r="BQ6" i="6" s="1"/>
  <c r="CJ6" i="6"/>
  <c r="CI6" i="6"/>
  <c r="CH6" i="6"/>
  <c r="CG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A6" i="6"/>
  <c r="BU6" i="6" s="1"/>
  <c r="AV6" i="6"/>
  <c r="AP6" i="6"/>
  <c r="AO6" i="6"/>
  <c r="AL6" i="6"/>
  <c r="AK6" i="6"/>
  <c r="Z6" i="6"/>
  <c r="W6" i="6"/>
  <c r="U6" i="6"/>
  <c r="X6" i="6" s="1"/>
  <c r="T6" i="6"/>
  <c r="Y6" i="6" s="1"/>
  <c r="S6" i="6"/>
  <c r="V6" i="6" s="1"/>
  <c r="M6" i="6"/>
  <c r="J6" i="6"/>
  <c r="I6" i="6"/>
  <c r="F6" i="6"/>
  <c r="H6" i="6" s="1"/>
  <c r="C6" i="6"/>
  <c r="A6" i="6"/>
  <c r="CY5" i="6"/>
  <c r="CX5" i="6"/>
  <c r="CR5" i="6"/>
  <c r="CP5" i="6"/>
  <c r="CO5" i="6"/>
  <c r="CN5" i="6"/>
  <c r="CM5" i="6"/>
  <c r="CL5" i="6"/>
  <c r="CK5" i="6"/>
  <c r="CJ5" i="6"/>
  <c r="CI5" i="6"/>
  <c r="CH5" i="6"/>
  <c r="CG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E5" i="6"/>
  <c r="BD5" i="6"/>
  <c r="BC5" i="6"/>
  <c r="BA5" i="6"/>
  <c r="M5" i="6" s="1"/>
  <c r="AV5" i="6"/>
  <c r="BF5" i="6" s="1"/>
  <c r="AP5" i="6"/>
  <c r="AO5" i="6"/>
  <c r="AL5" i="6"/>
  <c r="AK5" i="6"/>
  <c r="Z5" i="6"/>
  <c r="W5" i="6"/>
  <c r="U5" i="6"/>
  <c r="X5" i="6" s="1"/>
  <c r="T5" i="6"/>
  <c r="Y5" i="6" s="1"/>
  <c r="J5" i="6" s="1"/>
  <c r="S5" i="6"/>
  <c r="V5" i="6" s="1"/>
  <c r="I5" i="6" s="1"/>
  <c r="C5" i="6"/>
  <c r="A5" i="6"/>
  <c r="CY4" i="6"/>
  <c r="CX4" i="6"/>
  <c r="CR4" i="6"/>
  <c r="CP4" i="6"/>
  <c r="CO4" i="6"/>
  <c r="CN4" i="6"/>
  <c r="BT4" i="6" s="1"/>
  <c r="CM4" i="6"/>
  <c r="BS4" i="6" s="1"/>
  <c r="CL4" i="6"/>
  <c r="BR4" i="6" s="1"/>
  <c r="CK4" i="6"/>
  <c r="BQ4" i="6" s="1"/>
  <c r="CJ4" i="6"/>
  <c r="CI4" i="6"/>
  <c r="BO4" i="6" s="1"/>
  <c r="CH4" i="6"/>
  <c r="BN4" i="6" s="1"/>
  <c r="CG4" i="6"/>
  <c r="BV4" i="6"/>
  <c r="BU4" i="6"/>
  <c r="BM4" i="6"/>
  <c r="BL4" i="6"/>
  <c r="BK4" i="6"/>
  <c r="BJ4" i="6"/>
  <c r="BI4" i="6"/>
  <c r="BH4" i="6"/>
  <c r="BG4" i="6"/>
  <c r="BE4" i="6"/>
  <c r="BD4" i="6"/>
  <c r="BC4" i="6"/>
  <c r="BA4" i="6"/>
  <c r="AV4" i="6"/>
  <c r="AP4" i="6"/>
  <c r="AO4" i="6"/>
  <c r="AL4" i="6"/>
  <c r="AK4" i="6"/>
  <c r="Z4" i="6"/>
  <c r="W4" i="6"/>
  <c r="U4" i="6"/>
  <c r="X4" i="6" s="1"/>
  <c r="T4" i="6"/>
  <c r="Y4" i="6" s="1"/>
  <c r="S4" i="6"/>
  <c r="V4" i="6" s="1"/>
  <c r="M4" i="6"/>
  <c r="J4" i="6"/>
  <c r="I4" i="6"/>
  <c r="F4" i="6"/>
  <c r="H4" i="6" s="1"/>
  <c r="C4" i="6"/>
  <c r="A4" i="6"/>
  <c r="CY3" i="6"/>
  <c r="CX3" i="6"/>
  <c r="CR3" i="6"/>
  <c r="CP3" i="6"/>
  <c r="CO3" i="6"/>
  <c r="CN3" i="6"/>
  <c r="CM3" i="6"/>
  <c r="CL3" i="6"/>
  <c r="CK3" i="6"/>
  <c r="CJ3" i="6"/>
  <c r="CI3" i="6"/>
  <c r="CH3" i="6"/>
  <c r="CG3" i="6"/>
  <c r="BM3" i="6" s="1"/>
  <c r="BV3" i="6"/>
  <c r="BU3" i="6"/>
  <c r="BT3" i="6"/>
  <c r="BS3" i="6"/>
  <c r="BR3" i="6"/>
  <c r="BQ3" i="6"/>
  <c r="BP3" i="6"/>
  <c r="BO3" i="6"/>
  <c r="BN3" i="6"/>
  <c r="BL3" i="6"/>
  <c r="BK3" i="6"/>
  <c r="BJ3" i="6"/>
  <c r="BI3" i="6"/>
  <c r="BH3" i="6"/>
  <c r="BG3" i="6"/>
  <c r="BE3" i="6"/>
  <c r="BD3" i="6"/>
  <c r="BC3" i="6"/>
  <c r="BA3" i="6"/>
  <c r="AV3" i="6"/>
  <c r="BF3" i="6" s="1"/>
  <c r="AP3" i="6"/>
  <c r="AO3" i="6"/>
  <c r="AL3" i="6"/>
  <c r="AK3" i="6"/>
  <c r="Z3" i="6"/>
  <c r="Y3" i="6"/>
  <c r="J3" i="6" s="1"/>
  <c r="X3" i="6"/>
  <c r="W3" i="6"/>
  <c r="V3" i="6"/>
  <c r="I3" i="6" s="1"/>
  <c r="U3" i="6"/>
  <c r="T3" i="6"/>
  <c r="S3" i="6"/>
  <c r="M3" i="6"/>
  <c r="C3" i="6"/>
  <c r="A3" i="6"/>
  <c r="AC17" i="5"/>
  <c r="X17" i="5"/>
  <c r="W17" i="5"/>
  <c r="V17" i="5"/>
  <c r="U17" i="5"/>
  <c r="T17" i="5"/>
  <c r="R17" i="5"/>
  <c r="Q17" i="5"/>
  <c r="P17" i="5"/>
  <c r="N17" i="5"/>
  <c r="F17" i="5"/>
  <c r="AC16" i="5"/>
  <c r="AB16" i="5"/>
  <c r="X16" i="5"/>
  <c r="W16" i="5"/>
  <c r="U16" i="5"/>
  <c r="T16" i="5"/>
  <c r="S16" i="5"/>
  <c r="R16" i="5"/>
  <c r="Q16" i="5"/>
  <c r="N16" i="5"/>
  <c r="K16" i="5"/>
  <c r="J16" i="5"/>
  <c r="I16" i="5"/>
  <c r="F16" i="5"/>
  <c r="D16" i="5"/>
  <c r="AC15" i="5"/>
  <c r="U15" i="5"/>
  <c r="T15" i="5"/>
  <c r="S15" i="5"/>
  <c r="R15" i="5"/>
  <c r="Q15" i="5"/>
  <c r="P15" i="5"/>
  <c r="N15" i="5"/>
  <c r="M15" i="5"/>
  <c r="F15" i="5"/>
  <c r="AA14" i="5"/>
  <c r="W14" i="5"/>
  <c r="V14" i="5"/>
  <c r="U14" i="5"/>
  <c r="T14" i="5"/>
  <c r="M14" i="5"/>
  <c r="F14" i="5"/>
  <c r="E14" i="5"/>
  <c r="D14" i="5"/>
  <c r="AB13" i="5"/>
  <c r="Z13" i="5"/>
  <c r="Y13" i="5"/>
  <c r="X13" i="5"/>
  <c r="W13" i="5"/>
  <c r="V13" i="5"/>
  <c r="U13" i="5"/>
  <c r="T13" i="5"/>
  <c r="Q13" i="5"/>
  <c r="O13" i="5"/>
  <c r="N13" i="5"/>
  <c r="M13" i="5"/>
  <c r="K13" i="5"/>
  <c r="J13" i="5"/>
  <c r="H13" i="5"/>
  <c r="G13" i="5"/>
  <c r="F13" i="5"/>
  <c r="E13" i="5"/>
  <c r="AB12" i="5"/>
  <c r="AA12" i="5"/>
  <c r="Z12" i="5"/>
  <c r="Y12" i="5"/>
  <c r="W12" i="5"/>
  <c r="V12" i="5"/>
  <c r="U12" i="5"/>
  <c r="T12" i="5"/>
  <c r="Q12" i="5"/>
  <c r="O12" i="5"/>
  <c r="N12" i="5"/>
  <c r="M12" i="5"/>
  <c r="L12" i="5"/>
  <c r="K12" i="5"/>
  <c r="J12" i="5"/>
  <c r="H12" i="5"/>
  <c r="G12" i="5"/>
  <c r="F12" i="5"/>
  <c r="E12" i="5"/>
  <c r="AB11" i="5"/>
  <c r="Z11" i="5"/>
  <c r="W11" i="5"/>
  <c r="V11" i="5"/>
  <c r="U11" i="5"/>
  <c r="T11" i="5"/>
  <c r="Q11" i="5"/>
  <c r="P11" i="5"/>
  <c r="O11" i="5"/>
  <c r="N11" i="5"/>
  <c r="M11" i="5"/>
  <c r="K11" i="5"/>
  <c r="J11" i="5"/>
  <c r="H11" i="5"/>
  <c r="G11" i="5"/>
  <c r="F11" i="5"/>
  <c r="E11" i="5"/>
  <c r="W10" i="5"/>
  <c r="V10" i="5"/>
  <c r="T10" i="5"/>
  <c r="Q10" i="5"/>
  <c r="O10" i="5"/>
  <c r="N10" i="5"/>
  <c r="M10" i="5"/>
  <c r="G10" i="5"/>
  <c r="E10" i="5"/>
  <c r="AB9" i="5"/>
  <c r="AA9" i="5"/>
  <c r="Z9" i="5"/>
  <c r="W9" i="5"/>
  <c r="V9" i="5"/>
  <c r="T9" i="5"/>
  <c r="Q9" i="5"/>
  <c r="P9" i="5"/>
  <c r="N9" i="5"/>
  <c r="L9" i="5"/>
  <c r="K9" i="5"/>
  <c r="E9" i="5"/>
  <c r="D9" i="5"/>
  <c r="AC8" i="5"/>
  <c r="AB8" i="5"/>
  <c r="AA8" i="5"/>
  <c r="Z8" i="5"/>
  <c r="W8" i="5"/>
  <c r="V8" i="5"/>
  <c r="U8" i="5"/>
  <c r="S8" i="5"/>
  <c r="G8" i="5"/>
  <c r="E8" i="5"/>
  <c r="D8" i="5"/>
  <c r="AC7" i="5"/>
  <c r="AB7" i="5"/>
  <c r="AA7" i="5"/>
  <c r="Z7" i="5"/>
  <c r="X7" i="5"/>
  <c r="W7" i="5"/>
  <c r="V7" i="5"/>
  <c r="T7" i="5"/>
  <c r="L7" i="5"/>
  <c r="K7" i="5"/>
  <c r="I7" i="5"/>
  <c r="G7" i="5"/>
  <c r="E7" i="5"/>
  <c r="D7" i="5"/>
  <c r="AB6" i="5"/>
  <c r="Z6" i="5"/>
  <c r="V6" i="5"/>
  <c r="T6" i="5"/>
  <c r="O6" i="5"/>
  <c r="N6" i="5"/>
  <c r="M6" i="5"/>
  <c r="K6" i="5"/>
  <c r="J6" i="5"/>
  <c r="E6" i="5"/>
  <c r="AC5" i="5"/>
  <c r="Y5" i="5"/>
  <c r="X5" i="5"/>
  <c r="W5" i="5"/>
  <c r="V5" i="5"/>
  <c r="T5" i="5"/>
  <c r="S5" i="5"/>
  <c r="R5" i="5"/>
  <c r="Q5" i="5"/>
  <c r="P5" i="5"/>
  <c r="O5" i="5"/>
  <c r="N5" i="5"/>
  <c r="M5" i="5"/>
  <c r="L5" i="5"/>
  <c r="K5" i="5"/>
  <c r="J5" i="5"/>
  <c r="I5" i="5"/>
  <c r="H5" i="5"/>
  <c r="E5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J4" i="5"/>
  <c r="I4" i="5"/>
  <c r="H4" i="5"/>
  <c r="G4" i="5"/>
  <c r="E4" i="5"/>
  <c r="AC3" i="5"/>
  <c r="AB3" i="5"/>
  <c r="Y3" i="5"/>
  <c r="X3" i="5"/>
  <c r="W3" i="5"/>
  <c r="U3" i="5"/>
  <c r="T3" i="5"/>
  <c r="S3" i="5"/>
  <c r="R3" i="5"/>
  <c r="Q3" i="5"/>
  <c r="P3" i="5"/>
  <c r="O3" i="5"/>
  <c r="M3" i="5"/>
  <c r="I3" i="5"/>
  <c r="H3" i="5"/>
  <c r="F3" i="5"/>
  <c r="E3" i="5"/>
  <c r="D3" i="5"/>
  <c r="AB2" i="5"/>
  <c r="AA2" i="5"/>
  <c r="W2" i="5"/>
  <c r="U2" i="5"/>
  <c r="M2" i="5"/>
  <c r="J2" i="5"/>
  <c r="H2" i="5"/>
  <c r="G2" i="5"/>
  <c r="F2" i="5"/>
  <c r="E2" i="5"/>
  <c r="H20" i="4"/>
  <c r="H18" i="4"/>
  <c r="C16" i="4"/>
  <c r="E16" i="4" s="1"/>
  <c r="F16" i="4" s="1"/>
  <c r="H16" i="4" s="1"/>
  <c r="C14" i="4"/>
  <c r="E14" i="4" s="1"/>
  <c r="F14" i="4" s="1"/>
  <c r="H14" i="4" s="1"/>
  <c r="H9" i="4"/>
  <c r="H7" i="4"/>
  <c r="C5" i="4"/>
  <c r="E5" i="4" s="1"/>
  <c r="F5" i="4" s="1"/>
  <c r="E3" i="4"/>
  <c r="F3" i="4" s="1"/>
  <c r="H3" i="4" s="1"/>
  <c r="C3" i="4"/>
  <c r="L77" i="3"/>
  <c r="L78" i="3" s="1"/>
  <c r="D77" i="3"/>
  <c r="D78" i="3" s="1"/>
  <c r="L61" i="3"/>
  <c r="L73" i="3" s="1"/>
  <c r="L75" i="3" s="1"/>
  <c r="D61" i="3"/>
  <c r="L53" i="3"/>
  <c r="D53" i="3"/>
  <c r="R48" i="3"/>
  <c r="L46" i="3"/>
  <c r="L48" i="3" s="1"/>
  <c r="D46" i="3"/>
  <c r="D48" i="3" s="1"/>
  <c r="R37" i="3"/>
  <c r="R33" i="3"/>
  <c r="L33" i="3"/>
  <c r="D33" i="3"/>
  <c r="J21" i="3"/>
  <c r="B21" i="3"/>
  <c r="J20" i="3"/>
  <c r="B20" i="3"/>
  <c r="L14" i="3"/>
  <c r="L15" i="3" s="1"/>
  <c r="L16" i="3" s="1"/>
  <c r="L20" i="3" s="1"/>
  <c r="D14" i="3"/>
  <c r="D15" i="3" s="1"/>
  <c r="D16" i="3" s="1"/>
  <c r="D20" i="3" s="1"/>
  <c r="R12" i="3"/>
  <c r="L10" i="3"/>
  <c r="L11" i="3" s="1"/>
  <c r="L12" i="3" s="1"/>
  <c r="L21" i="3" s="1"/>
  <c r="L28" i="3" s="1"/>
  <c r="L31" i="3" s="1"/>
  <c r="D10" i="3"/>
  <c r="D11" i="3" s="1"/>
  <c r="D12" i="3" s="1"/>
  <c r="D21" i="3" s="1"/>
  <c r="D28" i="3" s="1"/>
  <c r="D31" i="3" s="1"/>
  <c r="L7" i="3"/>
  <c r="L42" i="3" s="1"/>
  <c r="D7" i="3"/>
  <c r="D42" i="3" s="1"/>
  <c r="B15" i="2"/>
  <c r="B7" i="2"/>
  <c r="B6" i="2"/>
  <c r="B5" i="2"/>
  <c r="B9" i="2" s="1"/>
  <c r="B8" i="1"/>
  <c r="B12" i="1" s="1"/>
  <c r="B13" i="1" s="1"/>
  <c r="B14" i="1" s="1"/>
  <c r="B15" i="1" s="1"/>
  <c r="B16" i="1" s="1"/>
  <c r="F7" i="1"/>
  <c r="F6" i="1"/>
  <c r="F5" i="1"/>
  <c r="F4" i="1"/>
  <c r="F3" i="1"/>
  <c r="F8" i="1" s="1"/>
  <c r="F2" i="1"/>
  <c r="I70" i="6" l="1"/>
  <c r="E70" i="6" s="1"/>
  <c r="G70" i="6" s="1"/>
  <c r="I97" i="6"/>
  <c r="E97" i="6" s="1"/>
  <c r="G97" i="6" s="1"/>
  <c r="J139" i="6"/>
  <c r="F120" i="6"/>
  <c r="H120" i="6" s="1"/>
  <c r="CW120" i="6"/>
  <c r="BK127" i="6"/>
  <c r="BU127" i="6"/>
  <c r="BU138" i="6"/>
  <c r="BK138" i="6"/>
  <c r="I107" i="6"/>
  <c r="E107" i="6" s="1"/>
  <c r="G107" i="6" s="1"/>
  <c r="E26" i="7" s="1"/>
  <c r="G213" i="6"/>
  <c r="F52" i="6"/>
  <c r="H52" i="6" s="1"/>
  <c r="CW52" i="6"/>
  <c r="BF246" i="6"/>
  <c r="BP246" i="6"/>
  <c r="G246" i="6"/>
  <c r="E58" i="7" s="1"/>
  <c r="E156" i="6"/>
  <c r="G156" i="6" s="1"/>
  <c r="F189" i="6"/>
  <c r="H189" i="6" s="1"/>
  <c r="CW189" i="6"/>
  <c r="F28" i="6"/>
  <c r="H28" i="6" s="1"/>
  <c r="CW28" i="6"/>
  <c r="I30" i="6"/>
  <c r="E30" i="6" s="1"/>
  <c r="G30" i="6" s="1"/>
  <c r="I36" i="6"/>
  <c r="BU130" i="6"/>
  <c r="BK130" i="6"/>
  <c r="J30" i="6"/>
  <c r="F84" i="6"/>
  <c r="H84" i="6" s="1"/>
  <c r="CW84" i="6"/>
  <c r="F83" i="6"/>
  <c r="H83" i="6" s="1"/>
  <c r="CW83" i="6"/>
  <c r="F37" i="6"/>
  <c r="H37" i="6" s="1"/>
  <c r="CW37" i="6"/>
  <c r="BK143" i="6"/>
  <c r="M143" i="6"/>
  <c r="F143" i="6" s="1"/>
  <c r="H143" i="6" s="1"/>
  <c r="BU143" i="6"/>
  <c r="F27" i="6"/>
  <c r="H27" i="6" s="1"/>
  <c r="D7" i="7" s="1"/>
  <c r="F99" i="6"/>
  <c r="H99" i="6" s="1"/>
  <c r="D24" i="7" s="1"/>
  <c r="CW99" i="6"/>
  <c r="BK182" i="6"/>
  <c r="BU182" i="6"/>
  <c r="M182" i="6"/>
  <c r="F182" i="6" s="1"/>
  <c r="H182" i="6" s="1"/>
  <c r="I51" i="6"/>
  <c r="F121" i="6"/>
  <c r="H121" i="6" s="1"/>
  <c r="CW121" i="6"/>
  <c r="BP186" i="6"/>
  <c r="BF186" i="6"/>
  <c r="BU185" i="6"/>
  <c r="BK185" i="6"/>
  <c r="F68" i="6"/>
  <c r="H68" i="6" s="1"/>
  <c r="CW68" i="6"/>
  <c r="BU160" i="6"/>
  <c r="BK160" i="6"/>
  <c r="BP60" i="6"/>
  <c r="BF60" i="6"/>
  <c r="CW124" i="6"/>
  <c r="BU135" i="6"/>
  <c r="BK135" i="6"/>
  <c r="CW237" i="6"/>
  <c r="F237" i="6"/>
  <c r="H237" i="6" s="1"/>
  <c r="F23" i="6"/>
  <c r="H23" i="6" s="1"/>
  <c r="AV182" i="6"/>
  <c r="F96" i="6"/>
  <c r="H96" i="6" s="1"/>
  <c r="BU168" i="6"/>
  <c r="BK168" i="6"/>
  <c r="M168" i="6"/>
  <c r="BF179" i="6"/>
  <c r="BP179" i="6"/>
  <c r="BF13" i="6"/>
  <c r="BK59" i="6"/>
  <c r="BU59" i="6"/>
  <c r="E90" i="6"/>
  <c r="G90" i="6" s="1"/>
  <c r="CW90" i="6"/>
  <c r="F35" i="6"/>
  <c r="H35" i="6" s="1"/>
  <c r="F77" i="6"/>
  <c r="H77" i="6" s="1"/>
  <c r="D19" i="7" s="1"/>
  <c r="BF163" i="6"/>
  <c r="CW177" i="6"/>
  <c r="E177" i="6"/>
  <c r="G177" i="6" s="1"/>
  <c r="BP103" i="6"/>
  <c r="BF103" i="6"/>
  <c r="BK103" i="6"/>
  <c r="M103" i="6"/>
  <c r="F103" i="6" s="1"/>
  <c r="H103" i="6" s="1"/>
  <c r="BU103" i="6"/>
  <c r="CW82" i="6"/>
  <c r="E82" i="6"/>
  <c r="G82" i="6" s="1"/>
  <c r="BP145" i="6"/>
  <c r="BF145" i="6"/>
  <c r="CW42" i="6"/>
  <c r="E42" i="6"/>
  <c r="G42" i="6" s="1"/>
  <c r="BF162" i="6"/>
  <c r="M44" i="6"/>
  <c r="M50" i="6"/>
  <c r="F50" i="6" s="1"/>
  <c r="H50" i="6" s="1"/>
  <c r="BU50" i="6"/>
  <c r="Y6" i="5" s="1"/>
  <c r="M59" i="6"/>
  <c r="I61" i="6"/>
  <c r="E61" i="6" s="1"/>
  <c r="G61" i="6" s="1"/>
  <c r="I76" i="6"/>
  <c r="E76" i="6" s="1"/>
  <c r="G76" i="6" s="1"/>
  <c r="E18" i="7" s="1"/>
  <c r="CW126" i="6"/>
  <c r="E126" i="6"/>
  <c r="G126" i="6" s="1"/>
  <c r="I131" i="6"/>
  <c r="E131" i="6" s="1"/>
  <c r="G131" i="6" s="1"/>
  <c r="M140" i="6"/>
  <c r="F140" i="6" s="1"/>
  <c r="H140" i="6" s="1"/>
  <c r="CW149" i="6"/>
  <c r="BA186" i="6"/>
  <c r="E221" i="6"/>
  <c r="G221" i="6" s="1"/>
  <c r="BK112" i="6"/>
  <c r="M112" i="6"/>
  <c r="F112" i="6" s="1"/>
  <c r="H112" i="6" s="1"/>
  <c r="BU112" i="6"/>
  <c r="M186" i="6"/>
  <c r="BP54" i="6"/>
  <c r="AC14" i="5" s="1"/>
  <c r="BF54" i="6"/>
  <c r="AC10" i="5" s="1"/>
  <c r="BU13" i="6"/>
  <c r="M13" i="6"/>
  <c r="F13" i="6" s="1"/>
  <c r="H13" i="6" s="1"/>
  <c r="BK13" i="6"/>
  <c r="E37" i="6"/>
  <c r="G37" i="6" s="1"/>
  <c r="I109" i="6"/>
  <c r="E109" i="6" s="1"/>
  <c r="G109" i="6" s="1"/>
  <c r="BU163" i="6"/>
  <c r="BK163" i="6"/>
  <c r="BP44" i="6"/>
  <c r="S14" i="5" s="1"/>
  <c r="BF44" i="6"/>
  <c r="S10" i="5" s="1"/>
  <c r="BF111" i="6"/>
  <c r="BF152" i="6"/>
  <c r="BP152" i="6"/>
  <c r="BU169" i="6"/>
  <c r="BK169" i="6"/>
  <c r="BF9" i="6"/>
  <c r="BU44" i="6"/>
  <c r="S6" i="5" s="1"/>
  <c r="BK44" i="6"/>
  <c r="S2" i="5" s="1"/>
  <c r="I115" i="6"/>
  <c r="E115" i="6" s="1"/>
  <c r="G115" i="6" s="1"/>
  <c r="F132" i="6"/>
  <c r="H132" i="6" s="1"/>
  <c r="CW132" i="6"/>
  <c r="E28" i="6"/>
  <c r="G28" i="6" s="1"/>
  <c r="G229" i="6"/>
  <c r="E54" i="7" s="1"/>
  <c r="F45" i="6"/>
  <c r="H45" i="6" s="1"/>
  <c r="CW45" i="6"/>
  <c r="BA200" i="6"/>
  <c r="AV200" i="6"/>
  <c r="BK43" i="6"/>
  <c r="R2" i="5" s="1"/>
  <c r="BU43" i="6"/>
  <c r="R6" i="5" s="1"/>
  <c r="BA161" i="6"/>
  <c r="M161" i="6" s="1"/>
  <c r="AV161" i="6"/>
  <c r="E62" i="7"/>
  <c r="F51" i="6"/>
  <c r="H51" i="6" s="1"/>
  <c r="CW51" i="6"/>
  <c r="M130" i="6"/>
  <c r="I139" i="6"/>
  <c r="M164" i="6"/>
  <c r="F164" i="6" s="1"/>
  <c r="H164" i="6" s="1"/>
  <c r="CW195" i="6"/>
  <c r="BK87" i="6"/>
  <c r="BU87" i="6"/>
  <c r="CW174" i="6"/>
  <c r="F174" i="6"/>
  <c r="H174" i="6" s="1"/>
  <c r="F194" i="6"/>
  <c r="H194" i="6" s="1"/>
  <c r="CW194" i="6"/>
  <c r="F12" i="6"/>
  <c r="H12" i="6" s="1"/>
  <c r="BU41" i="6"/>
  <c r="P6" i="5" s="1"/>
  <c r="J61" i="6"/>
  <c r="BP74" i="6"/>
  <c r="BF74" i="6"/>
  <c r="J93" i="6"/>
  <c r="F93" i="6" s="1"/>
  <c r="H93" i="6" s="1"/>
  <c r="F104" i="6"/>
  <c r="H104" i="6" s="1"/>
  <c r="D25" i="7" s="1"/>
  <c r="BP113" i="6"/>
  <c r="BF113" i="6"/>
  <c r="I134" i="6"/>
  <c r="E134" i="6" s="1"/>
  <c r="G134" i="6" s="1"/>
  <c r="CW141" i="6"/>
  <c r="E141" i="6"/>
  <c r="G141" i="6" s="1"/>
  <c r="BK144" i="6"/>
  <c r="M144" i="6"/>
  <c r="F144" i="6" s="1"/>
  <c r="H144" i="6" s="1"/>
  <c r="CW148" i="6"/>
  <c r="BK149" i="6"/>
  <c r="BU149" i="6"/>
  <c r="AV160" i="6"/>
  <c r="BP173" i="6"/>
  <c r="BP278" i="6"/>
  <c r="BF278" i="6"/>
  <c r="BU29" i="6"/>
  <c r="D6" i="5" s="1"/>
  <c r="BK29" i="6"/>
  <c r="D2" i="5" s="1"/>
  <c r="AV130" i="6"/>
  <c r="BK9" i="6"/>
  <c r="M9" i="6"/>
  <c r="F9" i="6" s="1"/>
  <c r="H9" i="6" s="1"/>
  <c r="CW214" i="6"/>
  <c r="E214" i="6"/>
  <c r="G214" i="6" s="1"/>
  <c r="I46" i="6"/>
  <c r="E46" i="6" s="1"/>
  <c r="G46" i="6" s="1"/>
  <c r="F139" i="6"/>
  <c r="H139" i="6" s="1"/>
  <c r="I65" i="6"/>
  <c r="E65" i="6" s="1"/>
  <c r="G65" i="6" s="1"/>
  <c r="E16" i="7" s="1"/>
  <c r="M128" i="6"/>
  <c r="F128" i="6" s="1"/>
  <c r="H128" i="6" s="1"/>
  <c r="BU128" i="6"/>
  <c r="F106" i="6"/>
  <c r="H106" i="6" s="1"/>
  <c r="CW106" i="6"/>
  <c r="F209" i="6"/>
  <c r="H209" i="6" s="1"/>
  <c r="F62" i="6"/>
  <c r="H62" i="6" s="1"/>
  <c r="CW62" i="6"/>
  <c r="J235" i="6"/>
  <c r="BF129" i="6"/>
  <c r="BP49" i="6"/>
  <c r="X14" i="5" s="1"/>
  <c r="BU162" i="6"/>
  <c r="BK162" i="6"/>
  <c r="M162" i="6"/>
  <c r="BK49" i="6"/>
  <c r="X2" i="5" s="1"/>
  <c r="BU49" i="6"/>
  <c r="X6" i="5" s="1"/>
  <c r="J240" i="6"/>
  <c r="F240" i="6" s="1"/>
  <c r="H240" i="6" s="1"/>
  <c r="G268" i="6"/>
  <c r="M16" i="6"/>
  <c r="F16" i="6" s="1"/>
  <c r="H16" i="6" s="1"/>
  <c r="D5" i="7" s="1"/>
  <c r="BK16" i="6"/>
  <c r="I62" i="6"/>
  <c r="E62" i="6" s="1"/>
  <c r="G62" i="6" s="1"/>
  <c r="J101" i="6"/>
  <c r="F101" i="6" s="1"/>
  <c r="H101" i="6" s="1"/>
  <c r="BK128" i="6"/>
  <c r="I7" i="6"/>
  <c r="CW56" i="6"/>
  <c r="BU57" i="6"/>
  <c r="BK57" i="6"/>
  <c r="BK74" i="6"/>
  <c r="BU74" i="6"/>
  <c r="M74" i="6"/>
  <c r="F74" i="6" s="1"/>
  <c r="H74" i="6" s="1"/>
  <c r="J86" i="6"/>
  <c r="F115" i="6"/>
  <c r="H115" i="6" s="1"/>
  <c r="CW118" i="6"/>
  <c r="E118" i="6"/>
  <c r="G118" i="6" s="1"/>
  <c r="E28" i="7" s="1"/>
  <c r="CW119" i="6"/>
  <c r="E119" i="6"/>
  <c r="G119" i="6" s="1"/>
  <c r="E121" i="6"/>
  <c r="G121" i="6" s="1"/>
  <c r="G151" i="6"/>
  <c r="E36" i="7" s="1"/>
  <c r="BA159" i="6"/>
  <c r="M159" i="6" s="1"/>
  <c r="AV159" i="6"/>
  <c r="BK211" i="6"/>
  <c r="M211" i="6"/>
  <c r="F211" i="6" s="1"/>
  <c r="H211" i="6" s="1"/>
  <c r="BU211" i="6"/>
  <c r="F218" i="6"/>
  <c r="H218" i="6" s="1"/>
  <c r="CW218" i="6"/>
  <c r="BK111" i="6"/>
  <c r="BU111" i="6"/>
  <c r="BP131" i="6"/>
  <c r="BF131" i="6"/>
  <c r="AV183" i="6"/>
  <c r="BA183" i="6"/>
  <c r="I73" i="6"/>
  <c r="E73" i="6" s="1"/>
  <c r="G73" i="6" s="1"/>
  <c r="F124" i="6"/>
  <c r="H124" i="6" s="1"/>
  <c r="BU129" i="6"/>
  <c r="BK129" i="6"/>
  <c r="BA246" i="6"/>
  <c r="F30" i="6"/>
  <c r="H30" i="6" s="1"/>
  <c r="CW30" i="6"/>
  <c r="AV128" i="6"/>
  <c r="CW209" i="6"/>
  <c r="E209" i="6"/>
  <c r="G209" i="6" s="1"/>
  <c r="M29" i="6"/>
  <c r="F116" i="6"/>
  <c r="H116" i="6" s="1"/>
  <c r="D28" i="7" s="1"/>
  <c r="F355" i="6"/>
  <c r="CW355" i="6"/>
  <c r="I33" i="6"/>
  <c r="E33" i="6" s="1"/>
  <c r="G33" i="6" s="1"/>
  <c r="BF34" i="6"/>
  <c r="I10" i="5" s="1"/>
  <c r="I356" i="6"/>
  <c r="E52" i="6"/>
  <c r="G52" i="6" s="1"/>
  <c r="I63" i="6"/>
  <c r="E63" i="6" s="1"/>
  <c r="G63" i="6" s="1"/>
  <c r="BF43" i="6"/>
  <c r="R10" i="5" s="1"/>
  <c r="F105" i="6"/>
  <c r="H105" i="6" s="1"/>
  <c r="CW105" i="6"/>
  <c r="F133" i="6"/>
  <c r="H133" i="6" s="1"/>
  <c r="CW133" i="6"/>
  <c r="BF14" i="6"/>
  <c r="BP14" i="6"/>
  <c r="BP15" i="6"/>
  <c r="BF15" i="6"/>
  <c r="BP20" i="6"/>
  <c r="J41" i="6"/>
  <c r="G54" i="6"/>
  <c r="E13" i="7" s="1"/>
  <c r="I78" i="6"/>
  <c r="E78" i="6" s="1"/>
  <c r="G78" i="6" s="1"/>
  <c r="E19" i="7" s="1"/>
  <c r="BF88" i="6"/>
  <c r="BP88" i="6"/>
  <c r="E120" i="6"/>
  <c r="G120" i="6" s="1"/>
  <c r="AV138" i="6"/>
  <c r="CW156" i="6"/>
  <c r="M180" i="6"/>
  <c r="F180" i="6" s="1"/>
  <c r="H180" i="6" s="1"/>
  <c r="AV185" i="6"/>
  <c r="I218" i="6"/>
  <c r="F220" i="6"/>
  <c r="H220" i="6" s="1"/>
  <c r="F98" i="6"/>
  <c r="H98" i="6" s="1"/>
  <c r="CW98" i="6"/>
  <c r="F114" i="6"/>
  <c r="H114" i="6" s="1"/>
  <c r="CW114" i="6"/>
  <c r="F95" i="6"/>
  <c r="H95" i="6" s="1"/>
  <c r="BU54" i="6"/>
  <c r="AC6" i="5" s="1"/>
  <c r="BK54" i="6"/>
  <c r="AC2" i="5" s="1"/>
  <c r="BK176" i="6"/>
  <c r="BU176" i="6"/>
  <c r="BK66" i="6"/>
  <c r="M66" i="6"/>
  <c r="F66" i="6" s="1"/>
  <c r="H66" i="6" s="1"/>
  <c r="BU66" i="6"/>
  <c r="BU85" i="6"/>
  <c r="BK85" i="6"/>
  <c r="F91" i="6"/>
  <c r="H91" i="6" s="1"/>
  <c r="BK164" i="6"/>
  <c r="BU164" i="6"/>
  <c r="E27" i="6"/>
  <c r="G27" i="6" s="1"/>
  <c r="CW27" i="6"/>
  <c r="J69" i="6"/>
  <c r="F69" i="6" s="1"/>
  <c r="H69" i="6" s="1"/>
  <c r="BK180" i="6"/>
  <c r="BU180" i="6"/>
  <c r="I91" i="6"/>
  <c r="E91" i="6" s="1"/>
  <c r="G91" i="6" s="1"/>
  <c r="E22" i="7" s="1"/>
  <c r="BF75" i="6"/>
  <c r="BP75" i="6"/>
  <c r="BK75" i="6"/>
  <c r="BU75" i="6"/>
  <c r="CW81" i="6"/>
  <c r="E81" i="6"/>
  <c r="G81" i="6" s="1"/>
  <c r="E20" i="7" s="1"/>
  <c r="F102" i="6"/>
  <c r="H102" i="6" s="1"/>
  <c r="AV127" i="6"/>
  <c r="BF339" i="6"/>
  <c r="BP339" i="6"/>
  <c r="CW34" i="6"/>
  <c r="E83" i="6"/>
  <c r="G83" i="6" s="1"/>
  <c r="J35" i="6"/>
  <c r="M109" i="6"/>
  <c r="BU109" i="6"/>
  <c r="BK109" i="6"/>
  <c r="I39" i="6"/>
  <c r="E39" i="6" s="1"/>
  <c r="G39" i="6" s="1"/>
  <c r="E10" i="7" s="1"/>
  <c r="E43" i="6"/>
  <c r="G43" i="6" s="1"/>
  <c r="M88" i="6"/>
  <c r="F88" i="6" s="1"/>
  <c r="H88" i="6" s="1"/>
  <c r="BK88" i="6"/>
  <c r="M94" i="6"/>
  <c r="I122" i="6"/>
  <c r="E122" i="6" s="1"/>
  <c r="G122" i="6" s="1"/>
  <c r="E127" i="6"/>
  <c r="CW127" i="6"/>
  <c r="AV143" i="6"/>
  <c r="BF148" i="6"/>
  <c r="E150" i="6"/>
  <c r="G150" i="6" s="1"/>
  <c r="I154" i="6"/>
  <c r="E154" i="6" s="1"/>
  <c r="G154" i="6" s="1"/>
  <c r="F193" i="6"/>
  <c r="H193" i="6" s="1"/>
  <c r="BM298" i="6"/>
  <c r="BC298" i="6"/>
  <c r="BK26" i="6"/>
  <c r="M26" i="6"/>
  <c r="F26" i="6" s="1"/>
  <c r="H26" i="6" s="1"/>
  <c r="CW33" i="6"/>
  <c r="CW101" i="6"/>
  <c r="I32" i="6"/>
  <c r="E32" i="6" s="1"/>
  <c r="G32" i="6" s="1"/>
  <c r="I219" i="6"/>
  <c r="E219" i="6" s="1"/>
  <c r="G219" i="6" s="1"/>
  <c r="BF66" i="6"/>
  <c r="BP66" i="6"/>
  <c r="I72" i="6"/>
  <c r="E72" i="6" s="1"/>
  <c r="G72" i="6" s="1"/>
  <c r="BP105" i="6"/>
  <c r="BF105" i="6"/>
  <c r="F157" i="6"/>
  <c r="H157" i="6" s="1"/>
  <c r="I18" i="6"/>
  <c r="BK34" i="6"/>
  <c r="I2" i="5" s="1"/>
  <c r="BU34" i="6"/>
  <c r="I6" i="5" s="1"/>
  <c r="E36" i="6"/>
  <c r="G36" i="6" s="1"/>
  <c r="E9" i="7" s="1"/>
  <c r="CW36" i="6"/>
  <c r="J47" i="6"/>
  <c r="F47" i="6" s="1"/>
  <c r="H47" i="6" s="1"/>
  <c r="D12" i="7" s="1"/>
  <c r="CW139" i="6"/>
  <c r="J203" i="6"/>
  <c r="BP59" i="6"/>
  <c r="BF59" i="6"/>
  <c r="CW89" i="6"/>
  <c r="E89" i="6"/>
  <c r="G89" i="6" s="1"/>
  <c r="I199" i="6"/>
  <c r="E199" i="6" s="1"/>
  <c r="G199" i="6" s="1"/>
  <c r="F38" i="6"/>
  <c r="H38" i="6" s="1"/>
  <c r="CW38" i="6"/>
  <c r="BK179" i="6"/>
  <c r="M179" i="6"/>
  <c r="F179" i="6" s="1"/>
  <c r="H179" i="6" s="1"/>
  <c r="D42" i="7" s="1"/>
  <c r="BU179" i="6"/>
  <c r="F25" i="6"/>
  <c r="H25" i="6" s="1"/>
  <c r="F32" i="6"/>
  <c r="H32" i="6" s="1"/>
  <c r="F61" i="6"/>
  <c r="H61" i="6" s="1"/>
  <c r="CW61" i="6"/>
  <c r="G129" i="6"/>
  <c r="CW164" i="6"/>
  <c r="E164" i="6"/>
  <c r="G164" i="6" s="1"/>
  <c r="E39" i="7" s="1"/>
  <c r="CW264" i="6"/>
  <c r="E264" i="6"/>
  <c r="G264" i="6" s="1"/>
  <c r="BP150" i="6"/>
  <c r="BF150" i="6"/>
  <c r="M153" i="6"/>
  <c r="CW178" i="6"/>
  <c r="E178" i="6"/>
  <c r="G178" i="6" s="1"/>
  <c r="G182" i="6"/>
  <c r="CW76" i="6"/>
  <c r="F81" i="6"/>
  <c r="H81" i="6" s="1"/>
  <c r="BK150" i="6"/>
  <c r="BU150" i="6"/>
  <c r="M129" i="6"/>
  <c r="BF196" i="6"/>
  <c r="BP196" i="6"/>
  <c r="BK20" i="6"/>
  <c r="M20" i="6"/>
  <c r="F20" i="6" s="1"/>
  <c r="H20" i="6" s="1"/>
  <c r="D6" i="7" s="1"/>
  <c r="BU20" i="6"/>
  <c r="J31" i="6"/>
  <c r="F31" i="6" s="1"/>
  <c r="H31" i="6" s="1"/>
  <c r="M43" i="6"/>
  <c r="M49" i="6"/>
  <c r="F49" i="6" s="1"/>
  <c r="H49" i="6" s="1"/>
  <c r="J53" i="6"/>
  <c r="F53" i="6" s="1"/>
  <c r="H53" i="6" s="1"/>
  <c r="BK94" i="6"/>
  <c r="J104" i="6"/>
  <c r="I119" i="6"/>
  <c r="I121" i="6"/>
  <c r="M127" i="6"/>
  <c r="F127" i="6" s="1"/>
  <c r="H127" i="6" s="1"/>
  <c r="E142" i="6"/>
  <c r="G142" i="6" s="1"/>
  <c r="CW142" i="6"/>
  <c r="CW158" i="6"/>
  <c r="E158" i="6"/>
  <c r="G158" i="6" s="1"/>
  <c r="I169" i="6"/>
  <c r="E169" i="6" s="1"/>
  <c r="I170" i="6"/>
  <c r="E170" i="6" s="1"/>
  <c r="G170" i="6" s="1"/>
  <c r="BA171" i="6"/>
  <c r="AV171" i="6"/>
  <c r="BP208" i="6"/>
  <c r="BF208" i="6"/>
  <c r="F216" i="6"/>
  <c r="H216" i="6" s="1"/>
  <c r="D51" i="7" s="1"/>
  <c r="I114" i="6"/>
  <c r="E114" i="6" s="1"/>
  <c r="G114" i="6" s="1"/>
  <c r="CW157" i="6"/>
  <c r="E157" i="6"/>
  <c r="G157" i="6" s="1"/>
  <c r="I40" i="6"/>
  <c r="E40" i="6" s="1"/>
  <c r="G40" i="6" s="1"/>
  <c r="BP41" i="6"/>
  <c r="P14" i="5" s="1"/>
  <c r="BF41" i="6"/>
  <c r="P10" i="5" s="1"/>
  <c r="BP50" i="6"/>
  <c r="Y14" i="5" s="1"/>
  <c r="BF50" i="6"/>
  <c r="Y10" i="5" s="1"/>
  <c r="BU153" i="6"/>
  <c r="BK153" i="6"/>
  <c r="CW96" i="6"/>
  <c r="E96" i="6"/>
  <c r="G96" i="6" s="1"/>
  <c r="E165" i="6"/>
  <c r="G165" i="6" s="1"/>
  <c r="CW165" i="6"/>
  <c r="BU152" i="6"/>
  <c r="BK152" i="6"/>
  <c r="M152" i="6"/>
  <c r="F152" i="6" s="1"/>
  <c r="H152" i="6" s="1"/>
  <c r="M41" i="6"/>
  <c r="CW41" i="6" s="1"/>
  <c r="BF135" i="6"/>
  <c r="AV140" i="6"/>
  <c r="F39" i="6"/>
  <c r="H39" i="6" s="1"/>
  <c r="CW102" i="6"/>
  <c r="E102" i="6"/>
  <c r="G102" i="6" s="1"/>
  <c r="E24" i="7" s="1"/>
  <c r="BF141" i="6"/>
  <c r="BP141" i="6"/>
  <c r="G181" i="6"/>
  <c r="F229" i="6"/>
  <c r="H229" i="6" s="1"/>
  <c r="M54" i="6"/>
  <c r="M111" i="6"/>
  <c r="F111" i="6" s="1"/>
  <c r="H111" i="6" s="1"/>
  <c r="BU122" i="6"/>
  <c r="BK122" i="6"/>
  <c r="I48" i="6"/>
  <c r="E48" i="6" s="1"/>
  <c r="G48" i="6" s="1"/>
  <c r="BP26" i="6"/>
  <c r="BF26" i="6"/>
  <c r="BP35" i="6"/>
  <c r="J14" i="5" s="1"/>
  <c r="BF35" i="6"/>
  <c r="J10" i="5" s="1"/>
  <c r="I50" i="6"/>
  <c r="E50" i="6" s="1"/>
  <c r="G50" i="6" s="1"/>
  <c r="BK67" i="6"/>
  <c r="M67" i="6"/>
  <c r="F67" i="6" s="1"/>
  <c r="H67" i="6" s="1"/>
  <c r="J78" i="6"/>
  <c r="F78" i="6" s="1"/>
  <c r="H78" i="6" s="1"/>
  <c r="E87" i="6"/>
  <c r="G87" i="6" s="1"/>
  <c r="E21" i="7" s="1"/>
  <c r="BP101" i="6"/>
  <c r="BF101" i="6"/>
  <c r="I146" i="6"/>
  <c r="E146" i="6" s="1"/>
  <c r="M150" i="6"/>
  <c r="J169" i="6"/>
  <c r="BA172" i="6"/>
  <c r="AV172" i="6"/>
  <c r="BK208" i="6"/>
  <c r="BU208" i="6"/>
  <c r="I222" i="6"/>
  <c r="E222" i="6" s="1"/>
  <c r="G222" i="6" s="1"/>
  <c r="BC289" i="6"/>
  <c r="BM289" i="6"/>
  <c r="BH314" i="6"/>
  <c r="BR314" i="6"/>
  <c r="M75" i="6"/>
  <c r="F75" i="6" s="1"/>
  <c r="H75" i="6" s="1"/>
  <c r="J108" i="6"/>
  <c r="F108" i="6" s="1"/>
  <c r="H108" i="6" s="1"/>
  <c r="BA341" i="6"/>
  <c r="AV341" i="6"/>
  <c r="F5" i="6"/>
  <c r="H5" i="6" s="1"/>
  <c r="BK18" i="6"/>
  <c r="M18" i="6"/>
  <c r="F18" i="6" s="1"/>
  <c r="H18" i="6" s="1"/>
  <c r="BP51" i="6"/>
  <c r="Z14" i="5" s="1"/>
  <c r="M57" i="6"/>
  <c r="CW60" i="6"/>
  <c r="M72" i="6"/>
  <c r="BU72" i="6"/>
  <c r="CW78" i="6"/>
  <c r="F86" i="6"/>
  <c r="H86" i="6" s="1"/>
  <c r="BP96" i="6"/>
  <c r="I108" i="6"/>
  <c r="E108" i="6" s="1"/>
  <c r="G108" i="6" s="1"/>
  <c r="F123" i="6"/>
  <c r="H123" i="6" s="1"/>
  <c r="M131" i="6"/>
  <c r="F131" i="6" s="1"/>
  <c r="H131" i="6" s="1"/>
  <c r="BA145" i="6"/>
  <c r="E152" i="6"/>
  <c r="G152" i="6" s="1"/>
  <c r="CW152" i="6"/>
  <c r="BA155" i="6"/>
  <c r="AV155" i="6"/>
  <c r="CW206" i="6"/>
  <c r="F206" i="6"/>
  <c r="H206" i="6" s="1"/>
  <c r="BK245" i="6"/>
  <c r="BU245" i="6"/>
  <c r="F265" i="6"/>
  <c r="H265" i="6" s="1"/>
  <c r="CW265" i="6"/>
  <c r="AX268" i="6"/>
  <c r="AS268" i="6"/>
  <c r="BK304" i="6"/>
  <c r="BU304" i="6"/>
  <c r="BM317" i="6"/>
  <c r="BC317" i="6"/>
  <c r="G339" i="6"/>
  <c r="BP22" i="6"/>
  <c r="CW80" i="6"/>
  <c r="CW95" i="6"/>
  <c r="BU173" i="6"/>
  <c r="BK173" i="6"/>
  <c r="E193" i="6"/>
  <c r="G193" i="6" s="1"/>
  <c r="CW193" i="6"/>
  <c r="BR323" i="6"/>
  <c r="BH323" i="6"/>
  <c r="E74" i="7"/>
  <c r="E44" i="6"/>
  <c r="G44" i="6" s="1"/>
  <c r="E11" i="7" s="1"/>
  <c r="I187" i="6"/>
  <c r="BF72" i="6"/>
  <c r="BP72" i="6"/>
  <c r="BP4" i="6"/>
  <c r="BP17" i="6"/>
  <c r="BP27" i="6"/>
  <c r="BP36" i="6"/>
  <c r="K14" i="5" s="1"/>
  <c r="I56" i="6"/>
  <c r="E56" i="6" s="1"/>
  <c r="G56" i="6" s="1"/>
  <c r="E14" i="7" s="1"/>
  <c r="I64" i="6"/>
  <c r="E64" i="6" s="1"/>
  <c r="G64" i="6" s="1"/>
  <c r="BP119" i="6"/>
  <c r="BF119" i="6"/>
  <c r="BA146" i="6"/>
  <c r="AV146" i="6"/>
  <c r="I149" i="6"/>
  <c r="E149" i="6" s="1"/>
  <c r="G149" i="6" s="1"/>
  <c r="J166" i="6"/>
  <c r="F166" i="6" s="1"/>
  <c r="H166" i="6" s="1"/>
  <c r="D39" i="7" s="1"/>
  <c r="CW180" i="6"/>
  <c r="BA268" i="6"/>
  <c r="AV268" i="6"/>
  <c r="AX269" i="6"/>
  <c r="AS269" i="6"/>
  <c r="BF317" i="6"/>
  <c r="BP317" i="6"/>
  <c r="M320" i="6"/>
  <c r="M322" i="6"/>
  <c r="BP68" i="6"/>
  <c r="F80" i="6"/>
  <c r="H80" i="6" s="1"/>
  <c r="CW111" i="6"/>
  <c r="BK125" i="6"/>
  <c r="M125" i="6"/>
  <c r="F125" i="6" s="1"/>
  <c r="H125" i="6" s="1"/>
  <c r="D30" i="7" s="1"/>
  <c r="I166" i="6"/>
  <c r="E166" i="6" s="1"/>
  <c r="G166" i="6" s="1"/>
  <c r="BF206" i="6"/>
  <c r="BP206" i="6"/>
  <c r="F266" i="6"/>
  <c r="H266" i="6" s="1"/>
  <c r="CW266" i="6"/>
  <c r="BU270" i="6"/>
  <c r="BK270" i="6"/>
  <c r="I9" i="6"/>
  <c r="BP11" i="6"/>
  <c r="BF22" i="6"/>
  <c r="M33" i="6"/>
  <c r="F33" i="6" s="1"/>
  <c r="H33" i="6" s="1"/>
  <c r="F60" i="6"/>
  <c r="H60" i="6" s="1"/>
  <c r="BU63" i="6"/>
  <c r="BK63" i="6"/>
  <c r="F65" i="6"/>
  <c r="H65" i="6" s="1"/>
  <c r="D16" i="7" s="1"/>
  <c r="BP118" i="6"/>
  <c r="BK139" i="6"/>
  <c r="BU139" i="6"/>
  <c r="I140" i="6"/>
  <c r="E140" i="6" s="1"/>
  <c r="G140" i="6" s="1"/>
  <c r="J172" i="6"/>
  <c r="BP308" i="6"/>
  <c r="BF308" i="6"/>
  <c r="M135" i="6"/>
  <c r="I174" i="6"/>
  <c r="E174" i="6" s="1"/>
  <c r="G174" i="6" s="1"/>
  <c r="BU196" i="6"/>
  <c r="BK196" i="6"/>
  <c r="M196" i="6"/>
  <c r="BA254" i="6"/>
  <c r="AV254" i="6"/>
  <c r="BK22" i="6"/>
  <c r="M22" i="6"/>
  <c r="F22" i="6" s="1"/>
  <c r="H22" i="6" s="1"/>
  <c r="J79" i="6"/>
  <c r="F79" i="6" s="1"/>
  <c r="H79" i="6" s="1"/>
  <c r="E173" i="6"/>
  <c r="G173" i="6" s="1"/>
  <c r="F14" i="6"/>
  <c r="H14" i="6" s="1"/>
  <c r="BU68" i="6"/>
  <c r="BK68" i="6"/>
  <c r="E138" i="6"/>
  <c r="G138" i="6" s="1"/>
  <c r="E33" i="7" s="1"/>
  <c r="BP309" i="6"/>
  <c r="BF309" i="6"/>
  <c r="BK11" i="6"/>
  <c r="M11" i="6"/>
  <c r="F11" i="6" s="1"/>
  <c r="H11" i="6" s="1"/>
  <c r="D4" i="7" s="1"/>
  <c r="CW48" i="6"/>
  <c r="I60" i="6"/>
  <c r="E60" i="6" s="1"/>
  <c r="G60" i="6" s="1"/>
  <c r="E15" i="7" s="1"/>
  <c r="CW67" i="6"/>
  <c r="BF68" i="6"/>
  <c r="BP81" i="6"/>
  <c r="BK89" i="6"/>
  <c r="BU89" i="6"/>
  <c r="I135" i="6"/>
  <c r="E135" i="6" s="1"/>
  <c r="G135" i="6" s="1"/>
  <c r="CW144" i="6"/>
  <c r="I152" i="6"/>
  <c r="E160" i="6"/>
  <c r="G160" i="6" s="1"/>
  <c r="I175" i="6"/>
  <c r="E175" i="6" s="1"/>
  <c r="CW182" i="6"/>
  <c r="CW202" i="6"/>
  <c r="F202" i="6"/>
  <c r="H202" i="6" s="1"/>
  <c r="F213" i="6"/>
  <c r="H213" i="6" s="1"/>
  <c r="M245" i="6"/>
  <c r="F245" i="6" s="1"/>
  <c r="H245" i="6" s="1"/>
  <c r="BU253" i="6"/>
  <c r="BK253" i="6"/>
  <c r="I256" i="6"/>
  <c r="E256" i="6" s="1"/>
  <c r="G256" i="6" s="1"/>
  <c r="BH279" i="6"/>
  <c r="BR279" i="6"/>
  <c r="M279" i="6"/>
  <c r="F279" i="6" s="1"/>
  <c r="H279" i="6" s="1"/>
  <c r="D65" i="7" s="1"/>
  <c r="CW284" i="6"/>
  <c r="E284" i="6"/>
  <c r="G284" i="6" s="1"/>
  <c r="G288" i="6"/>
  <c r="BP303" i="6"/>
  <c r="BF303" i="6"/>
  <c r="G208" i="6"/>
  <c r="I216" i="6"/>
  <c r="BU69" i="6"/>
  <c r="BK69" i="6"/>
  <c r="I128" i="6"/>
  <c r="E128" i="6" s="1"/>
  <c r="G128" i="6" s="1"/>
  <c r="E306" i="6"/>
  <c r="F3" i="6"/>
  <c r="H3" i="6" s="1"/>
  <c r="D2" i="7" s="1"/>
  <c r="BP42" i="6"/>
  <c r="Q14" i="5" s="1"/>
  <c r="J77" i="6"/>
  <c r="BU91" i="6"/>
  <c r="CW104" i="6"/>
  <c r="E104" i="6"/>
  <c r="G104" i="6" s="1"/>
  <c r="E25" i="7" s="1"/>
  <c r="J113" i="6"/>
  <c r="F113" i="6" s="1"/>
  <c r="H113" i="6" s="1"/>
  <c r="D27" i="7" s="1"/>
  <c r="CW115" i="6"/>
  <c r="I130" i="6"/>
  <c r="E130" i="6" s="1"/>
  <c r="G130" i="6" s="1"/>
  <c r="BK147" i="6"/>
  <c r="M147" i="6"/>
  <c r="F147" i="6" s="1"/>
  <c r="H147" i="6" s="1"/>
  <c r="M160" i="6"/>
  <c r="F160" i="6" s="1"/>
  <c r="H160" i="6" s="1"/>
  <c r="J162" i="6"/>
  <c r="G172" i="6"/>
  <c r="I195" i="6"/>
  <c r="E195" i="6" s="1"/>
  <c r="G195" i="6" s="1"/>
  <c r="F197" i="6"/>
  <c r="H197" i="6" s="1"/>
  <c r="M212" i="6"/>
  <c r="F212" i="6" s="1"/>
  <c r="H212" i="6" s="1"/>
  <c r="BK212" i="6"/>
  <c r="BA279" i="6"/>
  <c r="AV279" i="6"/>
  <c r="F286" i="6"/>
  <c r="H286" i="6" s="1"/>
  <c r="CW286" i="6"/>
  <c r="I287" i="6"/>
  <c r="E287" i="6" s="1"/>
  <c r="G287" i="6" s="1"/>
  <c r="J116" i="6"/>
  <c r="BR322" i="6"/>
  <c r="BH322" i="6"/>
  <c r="BH339" i="6"/>
  <c r="BR339" i="6"/>
  <c r="D3" i="7"/>
  <c r="E12" i="7"/>
  <c r="E67" i="7"/>
  <c r="BK7" i="6"/>
  <c r="M7" i="6"/>
  <c r="F7" i="6" s="1"/>
  <c r="H7" i="6" s="1"/>
  <c r="CW26" i="6"/>
  <c r="CW35" i="6"/>
  <c r="I80" i="6"/>
  <c r="E80" i="6" s="1"/>
  <c r="G80" i="6" s="1"/>
  <c r="BP90" i="6"/>
  <c r="I95" i="6"/>
  <c r="E95" i="6" s="1"/>
  <c r="G95" i="6" s="1"/>
  <c r="E23" i="7" s="1"/>
  <c r="I112" i="6"/>
  <c r="E112" i="6" s="1"/>
  <c r="G112" i="6" s="1"/>
  <c r="E27" i="7" s="1"/>
  <c r="F295" i="6"/>
  <c r="CW295" i="6"/>
  <c r="BF4" i="6"/>
  <c r="BP6" i="6"/>
  <c r="BF17" i="6"/>
  <c r="BP24" i="6"/>
  <c r="BF27" i="6"/>
  <c r="BF36" i="6"/>
  <c r="K10" i="5" s="1"/>
  <c r="E51" i="6"/>
  <c r="G51" i="6" s="1"/>
  <c r="CW65" i="6"/>
  <c r="BU90" i="6"/>
  <c r="BK90" i="6"/>
  <c r="M90" i="6"/>
  <c r="F90" i="6" s="1"/>
  <c r="H90" i="6" s="1"/>
  <c r="E98" i="6"/>
  <c r="G98" i="6" s="1"/>
  <c r="E105" i="6"/>
  <c r="G105" i="6" s="1"/>
  <c r="I144" i="6"/>
  <c r="E144" i="6" s="1"/>
  <c r="G144" i="6" s="1"/>
  <c r="E145" i="6"/>
  <c r="G145" i="6" s="1"/>
  <c r="BU165" i="6"/>
  <c r="BK165" i="6"/>
  <c r="BU174" i="6"/>
  <c r="BA191" i="6"/>
  <c r="AV191" i="6"/>
  <c r="G191" i="6" s="1"/>
  <c r="F204" i="6"/>
  <c r="H204" i="6" s="1"/>
  <c r="CW272" i="6"/>
  <c r="BM278" i="6"/>
  <c r="BC278" i="6"/>
  <c r="E285" i="6"/>
  <c r="G285" i="6" s="1"/>
  <c r="CW285" i="6"/>
  <c r="BU105" i="6"/>
  <c r="BU131" i="6"/>
  <c r="BK131" i="6"/>
  <c r="I136" i="6"/>
  <c r="E136" i="6" s="1"/>
  <c r="G136" i="6" s="1"/>
  <c r="F137" i="6"/>
  <c r="H137" i="6" s="1"/>
  <c r="E139" i="6"/>
  <c r="G139" i="6" s="1"/>
  <c r="BP165" i="6"/>
  <c r="BF165" i="6"/>
  <c r="BF176" i="6"/>
  <c r="BP176" i="6"/>
  <c r="J9" i="6"/>
  <c r="BF11" i="6"/>
  <c r="BP28" i="6"/>
  <c r="BU37" i="6"/>
  <c r="L6" i="5" s="1"/>
  <c r="E68" i="6"/>
  <c r="G68" i="6" s="1"/>
  <c r="E17" i="7" s="1"/>
  <c r="F70" i="6"/>
  <c r="H70" i="6" s="1"/>
  <c r="I88" i="6"/>
  <c r="E88" i="6" s="1"/>
  <c r="G88" i="6" s="1"/>
  <c r="BF89" i="6"/>
  <c r="BF94" i="6"/>
  <c r="BP94" i="6"/>
  <c r="I106" i="6"/>
  <c r="E106" i="6" s="1"/>
  <c r="G106" i="6" s="1"/>
  <c r="BF118" i="6"/>
  <c r="J131" i="6"/>
  <c r="BA156" i="6"/>
  <c r="AV156" i="6"/>
  <c r="CW204" i="6"/>
  <c r="CW234" i="6"/>
  <c r="E234" i="6"/>
  <c r="G234" i="6" s="1"/>
  <c r="E55" i="7" s="1"/>
  <c r="J273" i="6"/>
  <c r="M63" i="6"/>
  <c r="E69" i="6"/>
  <c r="G69" i="6" s="1"/>
  <c r="CW69" i="6"/>
  <c r="M122" i="6"/>
  <c r="E184" i="6"/>
  <c r="G184" i="6" s="1"/>
  <c r="CW184" i="6"/>
  <c r="M185" i="6"/>
  <c r="CW185" i="6" s="1"/>
  <c r="CW227" i="6"/>
  <c r="BR308" i="6"/>
  <c r="BH308" i="6"/>
  <c r="F55" i="6"/>
  <c r="H55" i="6" s="1"/>
  <c r="CW66" i="6"/>
  <c r="BP76" i="6"/>
  <c r="BP82" i="6"/>
  <c r="BA134" i="6"/>
  <c r="AV134" i="6"/>
  <c r="E162" i="6"/>
  <c r="G162" i="6" s="1"/>
  <c r="BF209" i="6"/>
  <c r="BP209" i="6"/>
  <c r="BK210" i="6"/>
  <c r="M210" i="6"/>
  <c r="F210" i="6" s="1"/>
  <c r="H210" i="6" s="1"/>
  <c r="BU210" i="6"/>
  <c r="BK229" i="6"/>
  <c r="BU229" i="6"/>
  <c r="BF248" i="6"/>
  <c r="BP248" i="6"/>
  <c r="BP265" i="6"/>
  <c r="BF265" i="6"/>
  <c r="M293" i="6"/>
  <c r="BU301" i="6"/>
  <c r="BK301" i="6"/>
  <c r="M301" i="6"/>
  <c r="BM302" i="6"/>
  <c r="BC302" i="6"/>
  <c r="M85" i="6"/>
  <c r="CW91" i="6"/>
  <c r="E113" i="6"/>
  <c r="G113" i="6" s="1"/>
  <c r="CW140" i="6"/>
  <c r="AV144" i="6"/>
  <c r="AV147" i="6"/>
  <c r="M163" i="6"/>
  <c r="M176" i="6"/>
  <c r="F176" i="6" s="1"/>
  <c r="H176" i="6" s="1"/>
  <c r="I186" i="6"/>
  <c r="E186" i="6" s="1"/>
  <c r="G186" i="6" s="1"/>
  <c r="M200" i="6"/>
  <c r="BU202" i="6"/>
  <c r="BK202" i="6"/>
  <c r="BK209" i="6"/>
  <c r="BU209" i="6"/>
  <c r="AV210" i="6"/>
  <c r="AV211" i="6"/>
  <c r="J243" i="6"/>
  <c r="F243" i="6" s="1"/>
  <c r="H243" i="6" s="1"/>
  <c r="I270" i="6"/>
  <c r="E270" i="6" s="1"/>
  <c r="I271" i="6"/>
  <c r="E271" i="6" s="1"/>
  <c r="BP98" i="6"/>
  <c r="BP104" i="6"/>
  <c r="CW128" i="6"/>
  <c r="I163" i="6"/>
  <c r="F198" i="6"/>
  <c r="H198" i="6" s="1"/>
  <c r="I207" i="6"/>
  <c r="E207" i="6" s="1"/>
  <c r="G207" i="6" s="1"/>
  <c r="BU215" i="6"/>
  <c r="M215" i="6"/>
  <c r="F215" i="6" s="1"/>
  <c r="H215" i="6" s="1"/>
  <c r="BA217" i="6"/>
  <c r="AV217" i="6"/>
  <c r="F233" i="6"/>
  <c r="H233" i="6" s="1"/>
  <c r="D55" i="7" s="1"/>
  <c r="G238" i="6"/>
  <c r="BA244" i="6"/>
  <c r="AV244" i="6"/>
  <c r="G244" i="6" s="1"/>
  <c r="BU265" i="6"/>
  <c r="BK265" i="6"/>
  <c r="I272" i="6"/>
  <c r="E272" i="6" s="1"/>
  <c r="G272" i="6" s="1"/>
  <c r="F275" i="6"/>
  <c r="H275" i="6" s="1"/>
  <c r="CW275" i="6"/>
  <c r="BP61" i="6"/>
  <c r="E75" i="6"/>
  <c r="G75" i="6" s="1"/>
  <c r="F107" i="6"/>
  <c r="H107" i="6" s="1"/>
  <c r="CW110" i="6"/>
  <c r="BP120" i="6"/>
  <c r="M134" i="6"/>
  <c r="M136" i="6"/>
  <c r="BA151" i="6"/>
  <c r="AV151" i="6"/>
  <c r="BK154" i="6"/>
  <c r="M154" i="6"/>
  <c r="BK157" i="6"/>
  <c r="BU157" i="6"/>
  <c r="J168" i="6"/>
  <c r="BK178" i="6"/>
  <c r="BU178" i="6"/>
  <c r="J185" i="6"/>
  <c r="I190" i="6"/>
  <c r="E190" i="6" s="1"/>
  <c r="G190" i="6" s="1"/>
  <c r="BU194" i="6"/>
  <c r="BK194" i="6"/>
  <c r="CW197" i="6"/>
  <c r="BP214" i="6"/>
  <c r="M223" i="6"/>
  <c r="BU223" i="6"/>
  <c r="F235" i="6"/>
  <c r="H235" i="6" s="1"/>
  <c r="CW235" i="6"/>
  <c r="CW58" i="6"/>
  <c r="I71" i="6"/>
  <c r="E71" i="6" s="1"/>
  <c r="G71" i="6" s="1"/>
  <c r="I156" i="6"/>
  <c r="BF158" i="6"/>
  <c r="I164" i="6"/>
  <c r="BF177" i="6"/>
  <c r="BA224" i="6"/>
  <c r="AV224" i="6"/>
  <c r="G224" i="6" s="1"/>
  <c r="E53" i="7" s="1"/>
  <c r="CW228" i="6"/>
  <c r="E228" i="6"/>
  <c r="G228" i="6" s="1"/>
  <c r="F230" i="6"/>
  <c r="H230" i="6" s="1"/>
  <c r="D54" i="7" s="1"/>
  <c r="I235" i="6"/>
  <c r="E235" i="6" s="1"/>
  <c r="G235" i="6" s="1"/>
  <c r="CW55" i="6"/>
  <c r="BP67" i="6"/>
  <c r="CW73" i="6"/>
  <c r="BF76" i="6"/>
  <c r="BF82" i="6"/>
  <c r="CW97" i="6"/>
  <c r="CW117" i="6"/>
  <c r="BP126" i="6"/>
  <c r="BU132" i="6"/>
  <c r="CW166" i="6"/>
  <c r="I185" i="6"/>
  <c r="J196" i="6"/>
  <c r="BU204" i="6"/>
  <c r="I205" i="6"/>
  <c r="E205" i="6" s="1"/>
  <c r="G205" i="6" s="1"/>
  <c r="G226" i="6"/>
  <c r="I230" i="6"/>
  <c r="E230" i="6" s="1"/>
  <c r="G230" i="6" s="1"/>
  <c r="M308" i="6"/>
  <c r="F308" i="6" s="1"/>
  <c r="M138" i="6"/>
  <c r="F138" i="6" s="1"/>
  <c r="H138" i="6" s="1"/>
  <c r="D33" i="7" s="1"/>
  <c r="E147" i="6"/>
  <c r="G147" i="6" s="1"/>
  <c r="CW147" i="6"/>
  <c r="M173" i="6"/>
  <c r="F173" i="6" s="1"/>
  <c r="H173" i="6" s="1"/>
  <c r="BU187" i="6"/>
  <c r="M187" i="6"/>
  <c r="F187" i="6" s="1"/>
  <c r="H187" i="6" s="1"/>
  <c r="J204" i="6"/>
  <c r="M205" i="6"/>
  <c r="BK205" i="6"/>
  <c r="BK248" i="6"/>
  <c r="BU248" i="6"/>
  <c r="I264" i="6"/>
  <c r="G338" i="6"/>
  <c r="BA347" i="6"/>
  <c r="AV347" i="6"/>
  <c r="AV137" i="6"/>
  <c r="G137" i="6" s="1"/>
  <c r="AV149" i="6"/>
  <c r="AV164" i="6"/>
  <c r="I179" i="6"/>
  <c r="E179" i="6" s="1"/>
  <c r="G179" i="6" s="1"/>
  <c r="BU218" i="6"/>
  <c r="BK218" i="6"/>
  <c r="J223" i="6"/>
  <c r="M224" i="6"/>
  <c r="F247" i="6"/>
  <c r="H247" i="6" s="1"/>
  <c r="D58" i="7" s="1"/>
  <c r="CW247" i="6"/>
  <c r="BK249" i="6"/>
  <c r="BU249" i="6"/>
  <c r="M249" i="6"/>
  <c r="F249" i="6" s="1"/>
  <c r="H249" i="6" s="1"/>
  <c r="BP251" i="6"/>
  <c r="BF251" i="6"/>
  <c r="J290" i="6"/>
  <c r="BP302" i="6"/>
  <c r="BF302" i="6"/>
  <c r="BP313" i="6"/>
  <c r="BF313" i="6"/>
  <c r="CW340" i="6"/>
  <c r="E340" i="6"/>
  <c r="G340" i="6" s="1"/>
  <c r="BH346" i="6"/>
  <c r="M346" i="6"/>
  <c r="F346" i="6" s="1"/>
  <c r="BR346" i="6"/>
  <c r="M171" i="6"/>
  <c r="AV180" i="6"/>
  <c r="CW201" i="6"/>
  <c r="E201" i="6"/>
  <c r="G201" i="6" s="1"/>
  <c r="BK207" i="6"/>
  <c r="BU207" i="6"/>
  <c r="BK251" i="6"/>
  <c r="BU251" i="6"/>
  <c r="CW337" i="6"/>
  <c r="E337" i="6"/>
  <c r="G337" i="6" s="1"/>
  <c r="BA136" i="6"/>
  <c r="AV181" i="6"/>
  <c r="E185" i="6"/>
  <c r="G185" i="6" s="1"/>
  <c r="BU188" i="6"/>
  <c r="BP215" i="6"/>
  <c r="BF215" i="6"/>
  <c r="BK256" i="6"/>
  <c r="BU256" i="6"/>
  <c r="BM282" i="6"/>
  <c r="BC282" i="6"/>
  <c r="BF298" i="6"/>
  <c r="BP298" i="6"/>
  <c r="G300" i="6"/>
  <c r="BU302" i="6"/>
  <c r="BK302" i="6"/>
  <c r="J305" i="6"/>
  <c r="F337" i="6"/>
  <c r="M156" i="6"/>
  <c r="F156" i="6" s="1"/>
  <c r="H156" i="6" s="1"/>
  <c r="F170" i="6"/>
  <c r="H170" i="6" s="1"/>
  <c r="E188" i="6"/>
  <c r="G188" i="6" s="1"/>
  <c r="CW188" i="6"/>
  <c r="BP189" i="6"/>
  <c r="M207" i="6"/>
  <c r="BK214" i="6"/>
  <c r="BU214" i="6"/>
  <c r="BP220" i="6"/>
  <c r="BF220" i="6"/>
  <c r="BP230" i="6"/>
  <c r="BF230" i="6"/>
  <c r="BP231" i="6"/>
  <c r="BF231" i="6"/>
  <c r="CW245" i="6"/>
  <c r="E245" i="6"/>
  <c r="G245" i="6" s="1"/>
  <c r="J247" i="6"/>
  <c r="BF289" i="6"/>
  <c r="BP289" i="6"/>
  <c r="AV133" i="6"/>
  <c r="BP167" i="6"/>
  <c r="BU189" i="6"/>
  <c r="BK189" i="6"/>
  <c r="AV193" i="6"/>
  <c r="BA203" i="6"/>
  <c r="AV203" i="6"/>
  <c r="E248" i="6"/>
  <c r="G248" i="6" s="1"/>
  <c r="CW250" i="6"/>
  <c r="E250" i="6"/>
  <c r="G250" i="6" s="1"/>
  <c r="G251" i="6"/>
  <c r="E59" i="7" s="1"/>
  <c r="G289" i="6"/>
  <c r="BU167" i="6"/>
  <c r="M169" i="6"/>
  <c r="BF188" i="6"/>
  <c r="E192" i="6"/>
  <c r="G192" i="6" s="1"/>
  <c r="CW192" i="6"/>
  <c r="F250" i="6"/>
  <c r="H250" i="6" s="1"/>
  <c r="I274" i="6"/>
  <c r="E274" i="6" s="1"/>
  <c r="G274" i="6" s="1"/>
  <c r="BK285" i="6"/>
  <c r="BU285" i="6"/>
  <c r="BH290" i="6"/>
  <c r="BR290" i="6"/>
  <c r="E183" i="6"/>
  <c r="CW196" i="6"/>
  <c r="E211" i="6"/>
  <c r="BU231" i="6"/>
  <c r="BK231" i="6"/>
  <c r="G239" i="6"/>
  <c r="M241" i="6"/>
  <c r="M246" i="6"/>
  <c r="F246" i="6" s="1"/>
  <c r="H246" i="6" s="1"/>
  <c r="M256" i="6"/>
  <c r="F256" i="6" s="1"/>
  <c r="H256" i="6" s="1"/>
  <c r="AV269" i="6"/>
  <c r="BA269" i="6"/>
  <c r="E279" i="6"/>
  <c r="G279" i="6" s="1"/>
  <c r="CW279" i="6"/>
  <c r="BA290" i="6"/>
  <c r="AV290" i="6"/>
  <c r="AV175" i="6"/>
  <c r="AV187" i="6"/>
  <c r="CW219" i="6"/>
  <c r="AV229" i="6"/>
  <c r="AV253" i="6"/>
  <c r="BF262" i="6"/>
  <c r="BP262" i="6"/>
  <c r="J287" i="6"/>
  <c r="F287" i="6" s="1"/>
  <c r="H287" i="6" s="1"/>
  <c r="G319" i="6"/>
  <c r="BA334" i="6"/>
  <c r="AV334" i="6"/>
  <c r="E161" i="6"/>
  <c r="BP184" i="6"/>
  <c r="M201" i="6"/>
  <c r="F201" i="6" s="1"/>
  <c r="H201" i="6" s="1"/>
  <c r="BK201" i="6"/>
  <c r="E203" i="6"/>
  <c r="G203" i="6" s="1"/>
  <c r="E48" i="7" s="1"/>
  <c r="I206" i="6"/>
  <c r="E206" i="6" s="1"/>
  <c r="G206" i="6" s="1"/>
  <c r="I210" i="6"/>
  <c r="E210" i="6" s="1"/>
  <c r="G210" i="6" s="1"/>
  <c r="M219" i="6"/>
  <c r="F219" i="6" s="1"/>
  <c r="H219" i="6" s="1"/>
  <c r="BK252" i="6"/>
  <c r="BU252" i="6"/>
  <c r="J258" i="6"/>
  <c r="I261" i="6"/>
  <c r="J288" i="6"/>
  <c r="BR333" i="6"/>
  <c r="BH333" i="6"/>
  <c r="M333" i="6"/>
  <c r="I336" i="6"/>
  <c r="BA345" i="6"/>
  <c r="AV345" i="6"/>
  <c r="CW179" i="6"/>
  <c r="E187" i="6"/>
  <c r="G187" i="6" s="1"/>
  <c r="I196" i="6"/>
  <c r="E196" i="6" s="1"/>
  <c r="G196" i="6" s="1"/>
  <c r="CW212" i="6"/>
  <c r="E217" i="6"/>
  <c r="G217" i="6" s="1"/>
  <c r="CW217" i="6"/>
  <c r="J218" i="6"/>
  <c r="BF221" i="6"/>
  <c r="BP221" i="6"/>
  <c r="BU222" i="6"/>
  <c r="M222" i="6"/>
  <c r="I225" i="6"/>
  <c r="BA226" i="6"/>
  <c r="M226" i="6" s="1"/>
  <c r="AV226" i="6"/>
  <c r="BP252" i="6"/>
  <c r="BF252" i="6"/>
  <c r="E163" i="6"/>
  <c r="G163" i="6" s="1"/>
  <c r="CW208" i="6"/>
  <c r="M217" i="6"/>
  <c r="F217" i="6" s="1"/>
  <c r="H217" i="6" s="1"/>
  <c r="BU221" i="6"/>
  <c r="BK221" i="6"/>
  <c r="E247" i="6"/>
  <c r="G247" i="6" s="1"/>
  <c r="I255" i="6"/>
  <c r="E255" i="6" s="1"/>
  <c r="G255" i="6" s="1"/>
  <c r="I259" i="6"/>
  <c r="E259" i="6" s="1"/>
  <c r="G259" i="6" s="1"/>
  <c r="E61" i="7" s="1"/>
  <c r="I267" i="6"/>
  <c r="E267" i="6" s="1"/>
  <c r="G267" i="6" s="1"/>
  <c r="F276" i="6"/>
  <c r="H276" i="6" s="1"/>
  <c r="CW276" i="6"/>
  <c r="E278" i="6"/>
  <c r="G278" i="6" s="1"/>
  <c r="CW278" i="6"/>
  <c r="M332" i="6"/>
  <c r="BU332" i="6"/>
  <c r="BK332" i="6"/>
  <c r="AV154" i="6"/>
  <c r="CW181" i="6"/>
  <c r="M190" i="6"/>
  <c r="BP197" i="6"/>
  <c r="E220" i="6"/>
  <c r="G220" i="6" s="1"/>
  <c r="CW220" i="6"/>
  <c r="CW230" i="6"/>
  <c r="M231" i="6"/>
  <c r="F231" i="6" s="1"/>
  <c r="H231" i="6" s="1"/>
  <c r="BF236" i="6"/>
  <c r="BP236" i="6"/>
  <c r="BF260" i="6"/>
  <c r="BP260" i="6"/>
  <c r="BP263" i="6"/>
  <c r="BF263" i="6"/>
  <c r="E311" i="6"/>
  <c r="G311" i="6" s="1"/>
  <c r="CW311" i="6"/>
  <c r="BU197" i="6"/>
  <c r="BK197" i="6"/>
  <c r="I212" i="6"/>
  <c r="E212" i="6" s="1"/>
  <c r="G212" i="6" s="1"/>
  <c r="E50" i="7" s="1"/>
  <c r="I231" i="6"/>
  <c r="E231" i="6" s="1"/>
  <c r="G231" i="6" s="1"/>
  <c r="I241" i="6"/>
  <c r="E241" i="6" s="1"/>
  <c r="I242" i="6"/>
  <c r="BA260" i="6"/>
  <c r="I275" i="6"/>
  <c r="E275" i="6" s="1"/>
  <c r="G275" i="6" s="1"/>
  <c r="BK309" i="6"/>
  <c r="BU309" i="6"/>
  <c r="M309" i="6"/>
  <c r="F309" i="6" s="1"/>
  <c r="BM323" i="6"/>
  <c r="BC323" i="6"/>
  <c r="J325" i="6"/>
  <c r="M221" i="6"/>
  <c r="F221" i="6" s="1"/>
  <c r="H221" i="6" s="1"/>
  <c r="BF227" i="6"/>
  <c r="BP227" i="6"/>
  <c r="CW246" i="6"/>
  <c r="CW249" i="6"/>
  <c r="E249" i="6"/>
  <c r="G249" i="6" s="1"/>
  <c r="BH265" i="6"/>
  <c r="BR265" i="6"/>
  <c r="BK281" i="6"/>
  <c r="BU281" i="6"/>
  <c r="I305" i="6"/>
  <c r="E305" i="6" s="1"/>
  <c r="G305" i="6" s="1"/>
  <c r="BH317" i="6"/>
  <c r="BR317" i="6"/>
  <c r="BU333" i="6"/>
  <c r="BK333" i="6"/>
  <c r="E215" i="6"/>
  <c r="G215" i="6" s="1"/>
  <c r="BP277" i="6"/>
  <c r="BF277" i="6"/>
  <c r="BM279" i="6"/>
  <c r="BC279" i="6"/>
  <c r="BF282" i="6"/>
  <c r="BP282" i="6"/>
  <c r="BA306" i="6"/>
  <c r="M306" i="6" s="1"/>
  <c r="AV306" i="6"/>
  <c r="BU313" i="6"/>
  <c r="BK313" i="6"/>
  <c r="BM345" i="6"/>
  <c r="BC345" i="6"/>
  <c r="AV213" i="6"/>
  <c r="BK247" i="6"/>
  <c r="BU247" i="6"/>
  <c r="E254" i="6"/>
  <c r="G254" i="6" s="1"/>
  <c r="CW254" i="6"/>
  <c r="BH266" i="6"/>
  <c r="BR266" i="6"/>
  <c r="BK278" i="6"/>
  <c r="BU278" i="6"/>
  <c r="BH282" i="6"/>
  <c r="BR282" i="6"/>
  <c r="M282" i="6"/>
  <c r="F282" i="6" s="1"/>
  <c r="H282" i="6" s="1"/>
  <c r="CQ294" i="6"/>
  <c r="CR293" i="6"/>
  <c r="E296" i="6"/>
  <c r="G296" i="6" s="1"/>
  <c r="I342" i="6"/>
  <c r="E342" i="6" s="1"/>
  <c r="G342" i="6" s="1"/>
  <c r="BP219" i="6"/>
  <c r="BF219" i="6"/>
  <c r="M227" i="6"/>
  <c r="F227" i="6" s="1"/>
  <c r="H227" i="6" s="1"/>
  <c r="M254" i="6"/>
  <c r="F254" i="6" s="1"/>
  <c r="H254" i="6" s="1"/>
  <c r="BF266" i="6"/>
  <c r="BP266" i="6"/>
  <c r="BK282" i="6"/>
  <c r="BU282" i="6"/>
  <c r="AS283" i="6"/>
  <c r="G283" i="6" s="1"/>
  <c r="E66" i="7" s="1"/>
  <c r="F299" i="6"/>
  <c r="CW299" i="6"/>
  <c r="I315" i="6"/>
  <c r="E315" i="6" s="1"/>
  <c r="G315" i="6" s="1"/>
  <c r="E335" i="6"/>
  <c r="CW335" i="6"/>
  <c r="AV169" i="6"/>
  <c r="BP216" i="6"/>
  <c r="BF216" i="6"/>
  <c r="BF222" i="6"/>
  <c r="BK228" i="6"/>
  <c r="BU228" i="6"/>
  <c r="BK240" i="6"/>
  <c r="BU240" i="6"/>
  <c r="CW243" i="6"/>
  <c r="E252" i="6"/>
  <c r="G252" i="6" s="1"/>
  <c r="M253" i="6"/>
  <c r="F253" i="6" s="1"/>
  <c r="H253" i="6" s="1"/>
  <c r="BA283" i="6"/>
  <c r="E297" i="6"/>
  <c r="G297" i="6" s="1"/>
  <c r="CW297" i="6"/>
  <c r="I299" i="6"/>
  <c r="E299" i="6" s="1"/>
  <c r="I324" i="6"/>
  <c r="E194" i="6"/>
  <c r="G194" i="6" s="1"/>
  <c r="E46" i="7" s="1"/>
  <c r="BU198" i="6"/>
  <c r="F232" i="6"/>
  <c r="H232" i="6" s="1"/>
  <c r="CW232" i="6"/>
  <c r="M252" i="6"/>
  <c r="F252" i="6" s="1"/>
  <c r="H252" i="6" s="1"/>
  <c r="D59" i="7" s="1"/>
  <c r="E265" i="6"/>
  <c r="G265" i="6" s="1"/>
  <c r="F335" i="6"/>
  <c r="I232" i="6"/>
  <c r="E232" i="6" s="1"/>
  <c r="G232" i="6" s="1"/>
  <c r="I257" i="6"/>
  <c r="E257" i="6" s="1"/>
  <c r="M277" i="6"/>
  <c r="F277" i="6" s="1"/>
  <c r="H277" i="6" s="1"/>
  <c r="E292" i="6"/>
  <c r="G298" i="6"/>
  <c r="J314" i="6"/>
  <c r="CW229" i="6"/>
  <c r="E236" i="6"/>
  <c r="G236" i="6" s="1"/>
  <c r="BU239" i="6"/>
  <c r="BK239" i="6"/>
  <c r="M248" i="6"/>
  <c r="F248" i="6" s="1"/>
  <c r="H248" i="6" s="1"/>
  <c r="BA267" i="6"/>
  <c r="AV267" i="6"/>
  <c r="BR270" i="6"/>
  <c r="BH270" i="6"/>
  <c r="M281" i="6"/>
  <c r="F281" i="6" s="1"/>
  <c r="H281" i="6" s="1"/>
  <c r="BK308" i="6"/>
  <c r="BU308" i="6"/>
  <c r="I328" i="6"/>
  <c r="E328" i="6" s="1"/>
  <c r="G328" i="6" s="1"/>
  <c r="I352" i="6"/>
  <c r="E352" i="6" s="1"/>
  <c r="G352" i="6" s="1"/>
  <c r="E282" i="6"/>
  <c r="G282" i="6" s="1"/>
  <c r="AX288" i="6"/>
  <c r="AS288" i="6"/>
  <c r="I304" i="6"/>
  <c r="BM306" i="6"/>
  <c r="BC306" i="6"/>
  <c r="BA307" i="6"/>
  <c r="AV307" i="6"/>
  <c r="BA314" i="6"/>
  <c r="AV314" i="6"/>
  <c r="E216" i="6"/>
  <c r="G216" i="6" s="1"/>
  <c r="E242" i="6"/>
  <c r="G242" i="6" s="1"/>
  <c r="E57" i="7" s="1"/>
  <c r="E253" i="6"/>
  <c r="G253" i="6" s="1"/>
  <c r="CW253" i="6"/>
  <c r="BA255" i="6"/>
  <c r="AV255" i="6"/>
  <c r="BF264" i="6"/>
  <c r="BP264" i="6"/>
  <c r="BP274" i="6"/>
  <c r="J299" i="6"/>
  <c r="I303" i="6"/>
  <c r="BM307" i="6"/>
  <c r="BC307" i="6"/>
  <c r="E308" i="6"/>
  <c r="G308" i="6" s="1"/>
  <c r="BH324" i="6"/>
  <c r="BR324" i="6"/>
  <c r="M324" i="6"/>
  <c r="F324" i="6" s="1"/>
  <c r="I331" i="6"/>
  <c r="E331" i="6" s="1"/>
  <c r="BK261" i="6"/>
  <c r="BU261" i="6"/>
  <c r="I266" i="6"/>
  <c r="E266" i="6" s="1"/>
  <c r="G266" i="6" s="1"/>
  <c r="M267" i="6"/>
  <c r="M269" i="6"/>
  <c r="M270" i="6"/>
  <c r="AX274" i="6"/>
  <c r="BR306" i="6"/>
  <c r="BH306" i="6"/>
  <c r="BR307" i="6"/>
  <c r="BH307" i="6"/>
  <c r="I310" i="6"/>
  <c r="I312" i="6"/>
  <c r="BA319" i="6"/>
  <c r="AV319" i="6"/>
  <c r="AV212" i="6"/>
  <c r="BP237" i="6"/>
  <c r="AV249" i="6"/>
  <c r="E261" i="6"/>
  <c r="G261" i="6" s="1"/>
  <c r="BU274" i="6"/>
  <c r="BK274" i="6"/>
  <c r="BM285" i="6"/>
  <c r="J302" i="6"/>
  <c r="BU305" i="6"/>
  <c r="BK305" i="6"/>
  <c r="M305" i="6"/>
  <c r="BH316" i="6"/>
  <c r="M316" i="6"/>
  <c r="F316" i="6" s="1"/>
  <c r="BC319" i="6"/>
  <c r="BM319" i="6"/>
  <c r="BR351" i="6"/>
  <c r="BH351" i="6"/>
  <c r="E225" i="6"/>
  <c r="G225" i="6" s="1"/>
  <c r="BU237" i="6"/>
  <c r="BK237" i="6"/>
  <c r="M239" i="6"/>
  <c r="I243" i="6"/>
  <c r="E243" i="6" s="1"/>
  <c r="G243" i="6" s="1"/>
  <c r="I248" i="6"/>
  <c r="M261" i="6"/>
  <c r="BC274" i="6"/>
  <c r="BP275" i="6"/>
  <c r="BF275" i="6"/>
  <c r="CW291" i="6"/>
  <c r="E291" i="6"/>
  <c r="G291" i="6" s="1"/>
  <c r="F315" i="6"/>
  <c r="BK316" i="6"/>
  <c r="BU316" i="6"/>
  <c r="F325" i="6"/>
  <c r="E218" i="6"/>
  <c r="G218" i="6" s="1"/>
  <c r="E51" i="7" s="1"/>
  <c r="E233" i="6"/>
  <c r="G233" i="6" s="1"/>
  <c r="CW233" i="6"/>
  <c r="BF247" i="6"/>
  <c r="BP247" i="6"/>
  <c r="J266" i="6"/>
  <c r="AV273" i="6"/>
  <c r="BA273" i="6"/>
  <c r="BR285" i="6"/>
  <c r="BH285" i="6"/>
  <c r="F291" i="6"/>
  <c r="H291" i="6" s="1"/>
  <c r="BC292" i="6"/>
  <c r="BM292" i="6"/>
  <c r="BA323" i="6"/>
  <c r="AV323" i="6"/>
  <c r="BM339" i="6"/>
  <c r="BC339" i="6"/>
  <c r="AX348" i="6"/>
  <c r="M348" i="6" s="1"/>
  <c r="AS348" i="6"/>
  <c r="BH349" i="6"/>
  <c r="M349" i="6"/>
  <c r="BR349" i="6"/>
  <c r="BU236" i="6"/>
  <c r="BU250" i="6"/>
  <c r="CW251" i="6"/>
  <c r="BU262" i="6"/>
  <c r="CW263" i="6"/>
  <c r="BU266" i="6"/>
  <c r="BK280" i="6"/>
  <c r="BU280" i="6"/>
  <c r="CW287" i="6"/>
  <c r="BA288" i="6"/>
  <c r="AV288" i="6"/>
  <c r="I301" i="6"/>
  <c r="E301" i="6" s="1"/>
  <c r="BR302" i="6"/>
  <c r="BH302" i="6"/>
  <c r="BR303" i="6"/>
  <c r="BH303" i="6"/>
  <c r="E317" i="6"/>
  <c r="G317" i="6" s="1"/>
  <c r="CW317" i="6"/>
  <c r="BU317" i="6"/>
  <c r="BK317" i="6"/>
  <c r="BU322" i="6"/>
  <c r="BK322" i="6"/>
  <c r="M302" i="6"/>
  <c r="E307" i="6"/>
  <c r="I308" i="6"/>
  <c r="M343" i="6"/>
  <c r="BU343" i="6"/>
  <c r="BK343" i="6"/>
  <c r="BU238" i="6"/>
  <c r="AV242" i="6"/>
  <c r="BP276" i="6"/>
  <c r="M307" i="6"/>
  <c r="F307" i="6" s="1"/>
  <c r="E312" i="6"/>
  <c r="G312" i="6" s="1"/>
  <c r="BM315" i="6"/>
  <c r="BC315" i="6"/>
  <c r="BR345" i="6"/>
  <c r="BH345" i="6"/>
  <c r="BR276" i="6"/>
  <c r="BM281" i="6"/>
  <c r="E304" i="6"/>
  <c r="AS338" i="6"/>
  <c r="AV235" i="6"/>
  <c r="M242" i="6"/>
  <c r="CW262" i="6"/>
  <c r="BU276" i="6"/>
  <c r="BP281" i="6"/>
  <c r="BF281" i="6"/>
  <c r="BK284" i="6"/>
  <c r="BU284" i="6"/>
  <c r="M304" i="6"/>
  <c r="F304" i="6" s="1"/>
  <c r="F312" i="6"/>
  <c r="M313" i="6"/>
  <c r="F313" i="6" s="1"/>
  <c r="AV223" i="6"/>
  <c r="G223" i="6" s="1"/>
  <c r="E52" i="7" s="1"/>
  <c r="M238" i="6"/>
  <c r="BA241" i="6"/>
  <c r="AV241" i="6"/>
  <c r="BC276" i="6"/>
  <c r="CW280" i="6"/>
  <c r="E280" i="6"/>
  <c r="BC284" i="6"/>
  <c r="I290" i="6"/>
  <c r="E290" i="6" s="1"/>
  <c r="G290" i="6" s="1"/>
  <c r="AS291" i="6"/>
  <c r="BP296" i="6"/>
  <c r="BF296" i="6"/>
  <c r="BR297" i="6"/>
  <c r="BH297" i="6"/>
  <c r="BP335" i="6"/>
  <c r="BF335" i="6"/>
  <c r="BH337" i="6"/>
  <c r="BR337" i="6"/>
  <c r="BK236" i="6"/>
  <c r="J274" i="6"/>
  <c r="E276" i="6"/>
  <c r="G276" i="6" s="1"/>
  <c r="BM277" i="6"/>
  <c r="BC277" i="6"/>
  <c r="AV291" i="6"/>
  <c r="I293" i="6"/>
  <c r="E293" i="6" s="1"/>
  <c r="G293" i="6" s="1"/>
  <c r="BU297" i="6"/>
  <c r="BK297" i="6"/>
  <c r="I313" i="6"/>
  <c r="E313" i="6" s="1"/>
  <c r="G313" i="6" s="1"/>
  <c r="BC337" i="6"/>
  <c r="J349" i="6"/>
  <c r="J353" i="6"/>
  <c r="E29" i="7"/>
  <c r="M268" i="6"/>
  <c r="F268" i="6" s="1"/>
  <c r="H268" i="6" s="1"/>
  <c r="BR273" i="6"/>
  <c r="E277" i="6"/>
  <c r="G277" i="6" s="1"/>
  <c r="CW277" i="6"/>
  <c r="BR277" i="6"/>
  <c r="CW281" i="6"/>
  <c r="BR299" i="6"/>
  <c r="BM309" i="6"/>
  <c r="I335" i="6"/>
  <c r="BR341" i="6"/>
  <c r="BH341" i="6"/>
  <c r="J352" i="6"/>
  <c r="AS267" i="6"/>
  <c r="M271" i="6"/>
  <c r="AS290" i="6"/>
  <c r="F298" i="6"/>
  <c r="E303" i="6"/>
  <c r="G303" i="6" s="1"/>
  <c r="BR309" i="6"/>
  <c r="BH309" i="6"/>
  <c r="AS314" i="6"/>
  <c r="AS329" i="6"/>
  <c r="AX329" i="6"/>
  <c r="M329" i="6" s="1"/>
  <c r="AS341" i="6"/>
  <c r="E348" i="6"/>
  <c r="G348" i="6" s="1"/>
  <c r="M259" i="6"/>
  <c r="BR286" i="6"/>
  <c r="BK299" i="6"/>
  <c r="BU299" i="6"/>
  <c r="I302" i="6"/>
  <c r="E302" i="6" s="1"/>
  <c r="G302" i="6" s="1"/>
  <c r="BA329" i="6"/>
  <c r="AV329" i="6"/>
  <c r="AV240" i="6"/>
  <c r="AV258" i="6"/>
  <c r="G258" i="6" s="1"/>
  <c r="M273" i="6"/>
  <c r="AS280" i="6"/>
  <c r="BK286" i="6"/>
  <c r="BU286" i="6"/>
  <c r="BR294" i="6"/>
  <c r="BH294" i="6"/>
  <c r="M294" i="6"/>
  <c r="BP295" i="6"/>
  <c r="BC309" i="6"/>
  <c r="BR313" i="6"/>
  <c r="BH313" i="6"/>
  <c r="I321" i="6"/>
  <c r="E321" i="6" s="1"/>
  <c r="G321" i="6" s="1"/>
  <c r="I327" i="6"/>
  <c r="E327" i="6" s="1"/>
  <c r="I340" i="6"/>
  <c r="M351" i="6"/>
  <c r="AV239" i="6"/>
  <c r="AS266" i="6"/>
  <c r="AV280" i="6"/>
  <c r="E286" i="6"/>
  <c r="G286" i="6" s="1"/>
  <c r="E323" i="6"/>
  <c r="G323" i="6" s="1"/>
  <c r="E341" i="6"/>
  <c r="I351" i="6"/>
  <c r="E351" i="6" s="1"/>
  <c r="G351" i="6" s="1"/>
  <c r="D22" i="7"/>
  <c r="AV238" i="6"/>
  <c r="M258" i="6"/>
  <c r="M292" i="6"/>
  <c r="BR292" i="6"/>
  <c r="BR295" i="6"/>
  <c r="BU300" i="6"/>
  <c r="BK300" i="6"/>
  <c r="CW303" i="6"/>
  <c r="AV304" i="6"/>
  <c r="CW309" i="6"/>
  <c r="E309" i="6"/>
  <c r="G309" i="6" s="1"/>
  <c r="BR311" i="6"/>
  <c r="AS313" i="6"/>
  <c r="BF316" i="6"/>
  <c r="BP316" i="6"/>
  <c r="M323" i="6"/>
  <c r="CW326" i="6"/>
  <c r="AX352" i="6"/>
  <c r="M352" i="6" s="1"/>
  <c r="AS352" i="6"/>
  <c r="BA257" i="6"/>
  <c r="AV257" i="6"/>
  <c r="BH277" i="6"/>
  <c r="BA292" i="6"/>
  <c r="AV292" i="6"/>
  <c r="BU295" i="6"/>
  <c r="BF299" i="6"/>
  <c r="BR300" i="6"/>
  <c r="F310" i="6"/>
  <c r="BP312" i="6"/>
  <c r="I318" i="6"/>
  <c r="E318" i="6" s="1"/>
  <c r="G318" i="6" s="1"/>
  <c r="I350" i="6"/>
  <c r="E350" i="6" s="1"/>
  <c r="G350" i="6" s="1"/>
  <c r="D50" i="7"/>
  <c r="BR296" i="6"/>
  <c r="BR298" i="6"/>
  <c r="BM305" i="6"/>
  <c r="M339" i="6"/>
  <c r="F339" i="6" s="1"/>
  <c r="BP355" i="6"/>
  <c r="D84" i="7"/>
  <c r="E84" i="7"/>
  <c r="M296" i="6"/>
  <c r="F296" i="6" s="1"/>
  <c r="BR355" i="6"/>
  <c r="BH355" i="6"/>
  <c r="AV270" i="6"/>
  <c r="AS271" i="6"/>
  <c r="AS287" i="6"/>
  <c r="AV305" i="6"/>
  <c r="BP310" i="6"/>
  <c r="BH326" i="6"/>
  <c r="M326" i="6"/>
  <c r="BR326" i="6"/>
  <c r="AX327" i="6"/>
  <c r="AS327" i="6"/>
  <c r="M330" i="6"/>
  <c r="F330" i="6" s="1"/>
  <c r="BR330" i="6"/>
  <c r="BR347" i="6"/>
  <c r="BU355" i="6"/>
  <c r="BK355" i="6"/>
  <c r="E310" i="6"/>
  <c r="G310" i="6" s="1"/>
  <c r="CW313" i="6"/>
  <c r="BK325" i="6"/>
  <c r="BU325" i="6"/>
  <c r="BK326" i="6"/>
  <c r="BU326" i="6"/>
  <c r="AV327" i="6"/>
  <c r="BA327" i="6"/>
  <c r="AX328" i="6"/>
  <c r="AS328" i="6"/>
  <c r="I329" i="6"/>
  <c r="E329" i="6" s="1"/>
  <c r="BA330" i="6"/>
  <c r="AV330" i="6"/>
  <c r="AX331" i="6"/>
  <c r="AS331" i="6"/>
  <c r="BC340" i="6"/>
  <c r="BM340" i="6"/>
  <c r="BF349" i="6"/>
  <c r="BP349" i="6"/>
  <c r="AV272" i="6"/>
  <c r="AS273" i="6"/>
  <c r="AX293" i="6"/>
  <c r="AS293" i="6"/>
  <c r="BK310" i="6"/>
  <c r="BU310" i="6"/>
  <c r="AX320" i="6"/>
  <c r="AS320" i="6"/>
  <c r="BC325" i="6"/>
  <c r="AS326" i="6"/>
  <c r="AS330" i="6"/>
  <c r="AV340" i="6"/>
  <c r="BC347" i="6"/>
  <c r="AS349" i="6"/>
  <c r="BU293" i="6"/>
  <c r="BC305" i="6"/>
  <c r="F318" i="6"/>
  <c r="BU320" i="6"/>
  <c r="AV326" i="6"/>
  <c r="G326" i="6" s="1"/>
  <c r="BF332" i="6"/>
  <c r="BP332" i="6"/>
  <c r="E347" i="6"/>
  <c r="BM308" i="6"/>
  <c r="CW310" i="6"/>
  <c r="CW315" i="6"/>
  <c r="E325" i="6"/>
  <c r="G325" i="6" s="1"/>
  <c r="CW325" i="6"/>
  <c r="I344" i="6"/>
  <c r="E344" i="6" s="1"/>
  <c r="G344" i="6" s="1"/>
  <c r="J345" i="6"/>
  <c r="BA349" i="6"/>
  <c r="BF355" i="6"/>
  <c r="BR321" i="6"/>
  <c r="BU331" i="6"/>
  <c r="AX336" i="6"/>
  <c r="AS336" i="6"/>
  <c r="M341" i="6"/>
  <c r="F341" i="6" s="1"/>
  <c r="BF350" i="6"/>
  <c r="BP350" i="6"/>
  <c r="BA352" i="6"/>
  <c r="AV352" i="6"/>
  <c r="M356" i="6"/>
  <c r="M321" i="6"/>
  <c r="BU321" i="6"/>
  <c r="BP324" i="6"/>
  <c r="BF324" i="6"/>
  <c r="AX342" i="6"/>
  <c r="AS342" i="6"/>
  <c r="BH350" i="6"/>
  <c r="BR350" i="6"/>
  <c r="BM312" i="6"/>
  <c r="AS324" i="6"/>
  <c r="J326" i="6"/>
  <c r="AS335" i="6"/>
  <c r="AV336" i="6"/>
  <c r="CW339" i="6"/>
  <c r="E314" i="6"/>
  <c r="I348" i="6"/>
  <c r="AV294" i="6"/>
  <c r="G294" i="6" s="1"/>
  <c r="E69" i="7" s="1"/>
  <c r="AS299" i="6"/>
  <c r="AV300" i="6"/>
  <c r="AS301" i="6"/>
  <c r="BR312" i="6"/>
  <c r="BH312" i="6"/>
  <c r="BA324" i="6"/>
  <c r="J355" i="6"/>
  <c r="I323" i="6"/>
  <c r="E324" i="6"/>
  <c r="CW324" i="6"/>
  <c r="F350" i="6"/>
  <c r="AX353" i="6"/>
  <c r="AS353" i="6"/>
  <c r="CW298" i="6"/>
  <c r="BC312" i="6"/>
  <c r="BK337" i="6"/>
  <c r="BU337" i="6"/>
  <c r="I345" i="6"/>
  <c r="E345" i="6" s="1"/>
  <c r="G345" i="6" s="1"/>
  <c r="CW350" i="6"/>
  <c r="BU353" i="6"/>
  <c r="BK353" i="6"/>
  <c r="BP322" i="6"/>
  <c r="E334" i="6"/>
  <c r="BR334" i="6"/>
  <c r="BH334" i="6"/>
  <c r="E85" i="7"/>
  <c r="D85" i="7"/>
  <c r="J317" i="6"/>
  <c r="F317" i="6" s="1"/>
  <c r="BA338" i="6"/>
  <c r="M334" i="6"/>
  <c r="F334" i="6" s="1"/>
  <c r="BP344" i="6"/>
  <c r="AS346" i="6"/>
  <c r="AV348" i="6"/>
  <c r="AS351" i="6"/>
  <c r="AV356" i="6"/>
  <c r="E336" i="6"/>
  <c r="BR344" i="6"/>
  <c r="BP346" i="6"/>
  <c r="BF346" i="6"/>
  <c r="M354" i="6"/>
  <c r="BU354" i="6"/>
  <c r="E356" i="6"/>
  <c r="G356" i="6" s="1"/>
  <c r="E83" i="7" s="1"/>
  <c r="BR356" i="6"/>
  <c r="BH356" i="6"/>
  <c r="M342" i="6"/>
  <c r="F344" i="6"/>
  <c r="E346" i="6"/>
  <c r="M319" i="6"/>
  <c r="E8" i="7"/>
  <c r="AV331" i="6"/>
  <c r="AV342" i="6"/>
  <c r="AV353" i="6"/>
  <c r="D9" i="7"/>
  <c r="D20" i="7"/>
  <c r="H5" i="4"/>
  <c r="F6" i="4"/>
  <c r="F7" i="4" s="1"/>
  <c r="F8" i="4" s="1"/>
  <c r="D22" i="3"/>
  <c r="D25" i="3" s="1"/>
  <c r="D27" i="3"/>
  <c r="D30" i="3" s="1"/>
  <c r="L27" i="3"/>
  <c r="L30" i="3" s="1"/>
  <c r="L22" i="3"/>
  <c r="L25" i="3" s="1"/>
  <c r="L36" i="3" s="1"/>
  <c r="L37" i="3" s="1"/>
  <c r="L55" i="3" s="1"/>
  <c r="D36" i="3"/>
  <c r="D37" i="3" s="1"/>
  <c r="D55" i="3" s="1"/>
  <c r="D73" i="3"/>
  <c r="D75" i="3" s="1"/>
  <c r="D34" i="3"/>
  <c r="L34" i="3"/>
  <c r="F159" i="6" l="1"/>
  <c r="H159" i="6" s="1"/>
  <c r="CW159" i="6"/>
  <c r="E42" i="7"/>
  <c r="CW329" i="6"/>
  <c r="F329" i="6"/>
  <c r="F348" i="6"/>
  <c r="CW348" i="6"/>
  <c r="D10" i="7"/>
  <c r="F161" i="6"/>
  <c r="H161" i="6" s="1"/>
  <c r="CW161" i="6"/>
  <c r="D17" i="7"/>
  <c r="E44" i="7"/>
  <c r="E64" i="7"/>
  <c r="D29" i="7"/>
  <c r="E73" i="7"/>
  <c r="E82" i="7"/>
  <c r="F352" i="6"/>
  <c r="CW352" i="6"/>
  <c r="F306" i="6"/>
  <c r="CW306" i="6"/>
  <c r="E41" i="7"/>
  <c r="E45" i="7"/>
  <c r="E80" i="7"/>
  <c r="E79" i="7"/>
  <c r="F226" i="6"/>
  <c r="H226" i="6" s="1"/>
  <c r="CW226" i="6"/>
  <c r="E31" i="7"/>
  <c r="D62" i="7"/>
  <c r="E63" i="7"/>
  <c r="BH342" i="6"/>
  <c r="BR342" i="6"/>
  <c r="BF249" i="6"/>
  <c r="BP249" i="6"/>
  <c r="G336" i="6"/>
  <c r="F186" i="6"/>
  <c r="H186" i="6" s="1"/>
  <c r="CW186" i="6"/>
  <c r="BF329" i="6"/>
  <c r="BP329" i="6"/>
  <c r="BC338" i="6"/>
  <c r="BM338" i="6"/>
  <c r="CW239" i="6"/>
  <c r="F239" i="6"/>
  <c r="H239" i="6" s="1"/>
  <c r="BP212" i="6"/>
  <c r="BF212" i="6"/>
  <c r="BU307" i="6"/>
  <c r="BK307" i="6"/>
  <c r="BK283" i="6"/>
  <c r="BU283" i="6"/>
  <c r="F190" i="6"/>
  <c r="H190" i="6" s="1"/>
  <c r="CW190" i="6"/>
  <c r="BP253" i="6"/>
  <c r="BF253" i="6"/>
  <c r="BU136" i="6"/>
  <c r="BK136" i="6"/>
  <c r="F134" i="6"/>
  <c r="H134" i="6" s="1"/>
  <c r="CW134" i="6"/>
  <c r="CW131" i="6"/>
  <c r="G175" i="6"/>
  <c r="BK183" i="6"/>
  <c r="M183" i="6"/>
  <c r="BU183" i="6"/>
  <c r="BP160" i="6"/>
  <c r="BF160" i="6"/>
  <c r="BP272" i="6"/>
  <c r="BF272" i="6"/>
  <c r="BP257" i="6"/>
  <c r="BF257" i="6"/>
  <c r="CW296" i="6"/>
  <c r="BP306" i="6"/>
  <c r="BF306" i="6"/>
  <c r="CW224" i="6"/>
  <c r="F224" i="6"/>
  <c r="H224" i="6" s="1"/>
  <c r="D53" i="7" s="1"/>
  <c r="BP211" i="6"/>
  <c r="BF211" i="6"/>
  <c r="F301" i="6"/>
  <c r="CW301" i="6"/>
  <c r="G146" i="6"/>
  <c r="E35" i="7" s="1"/>
  <c r="F43" i="6"/>
  <c r="H43" i="6" s="1"/>
  <c r="CW43" i="6"/>
  <c r="BP127" i="6"/>
  <c r="BF127" i="6"/>
  <c r="BH336" i="6"/>
  <c r="BR336" i="6"/>
  <c r="BK146" i="6"/>
  <c r="BU146" i="6"/>
  <c r="BM324" i="6"/>
  <c r="BC324" i="6"/>
  <c r="F293" i="6"/>
  <c r="H293" i="6" s="1"/>
  <c r="CW293" i="6"/>
  <c r="CW341" i="6"/>
  <c r="BK244" i="6"/>
  <c r="M244" i="6"/>
  <c r="BU244" i="6"/>
  <c r="H295" i="6"/>
  <c r="BP159" i="6"/>
  <c r="BF159" i="6"/>
  <c r="CW316" i="6"/>
  <c r="BM314" i="6"/>
  <c r="BC314" i="6"/>
  <c r="CW143" i="6"/>
  <c r="BP143" i="6"/>
  <c r="BF143" i="6"/>
  <c r="BF200" i="6"/>
  <c r="BP200" i="6"/>
  <c r="M336" i="6"/>
  <c r="CW256" i="6"/>
  <c r="BK155" i="6"/>
  <c r="BU155" i="6"/>
  <c r="F241" i="6"/>
  <c r="H241" i="6" s="1"/>
  <c r="CW241" i="6"/>
  <c r="BF137" i="6"/>
  <c r="BP137" i="6"/>
  <c r="BP217" i="6"/>
  <c r="BF217" i="6"/>
  <c r="BP235" i="6"/>
  <c r="BF235" i="6"/>
  <c r="G301" i="6"/>
  <c r="BU323" i="6"/>
  <c r="BK323" i="6"/>
  <c r="CW50" i="6"/>
  <c r="BK246" i="6"/>
  <c r="BU246" i="6"/>
  <c r="G159" i="6"/>
  <c r="G280" i="6"/>
  <c r="E65" i="7" s="1"/>
  <c r="BK288" i="6"/>
  <c r="BU288" i="6"/>
  <c r="F261" i="6"/>
  <c r="H261" i="6" s="1"/>
  <c r="CW261" i="6"/>
  <c r="BF314" i="6"/>
  <c r="BP314" i="6"/>
  <c r="G299" i="6"/>
  <c r="BF203" i="6"/>
  <c r="BP203" i="6"/>
  <c r="BP347" i="6"/>
  <c r="BF347" i="6"/>
  <c r="BP151" i="6"/>
  <c r="BF151" i="6"/>
  <c r="BP147" i="6"/>
  <c r="BF147" i="6"/>
  <c r="CW330" i="6"/>
  <c r="F333" i="6"/>
  <c r="CW333" i="6"/>
  <c r="CW211" i="6"/>
  <c r="BF181" i="6"/>
  <c r="BP181" i="6"/>
  <c r="F136" i="6"/>
  <c r="H136" i="6" s="1"/>
  <c r="CW136" i="6"/>
  <c r="F63" i="6"/>
  <c r="H63" i="6" s="1"/>
  <c r="CW63" i="6"/>
  <c r="BC320" i="6"/>
  <c r="BM320" i="6"/>
  <c r="G320" i="6"/>
  <c r="E75" i="7" s="1"/>
  <c r="BF327" i="6"/>
  <c r="BP327" i="6"/>
  <c r="G304" i="6"/>
  <c r="E71" i="7" s="1"/>
  <c r="CW187" i="6"/>
  <c r="BP183" i="6"/>
  <c r="BF183" i="6"/>
  <c r="CW334" i="6"/>
  <c r="CW321" i="6"/>
  <c r="F321" i="6"/>
  <c r="BH320" i="6"/>
  <c r="BR320" i="6"/>
  <c r="BC287" i="6"/>
  <c r="BM287" i="6"/>
  <c r="BU241" i="6"/>
  <c r="BK241" i="6"/>
  <c r="M283" i="6"/>
  <c r="BF273" i="6"/>
  <c r="BP273" i="6"/>
  <c r="BK319" i="6"/>
  <c r="BU319" i="6"/>
  <c r="CW308" i="6"/>
  <c r="BF213" i="6"/>
  <c r="BP213" i="6"/>
  <c r="CW231" i="6"/>
  <c r="G183" i="6"/>
  <c r="E43" i="7" s="1"/>
  <c r="CW112" i="6"/>
  <c r="CW176" i="6"/>
  <c r="CW160" i="6"/>
  <c r="BC269" i="6"/>
  <c r="BM269" i="6"/>
  <c r="G269" i="6"/>
  <c r="BP185" i="6"/>
  <c r="BF185" i="6"/>
  <c r="BU257" i="6"/>
  <c r="BK257" i="6"/>
  <c r="BR274" i="6"/>
  <c r="M274" i="6"/>
  <c r="BH274" i="6"/>
  <c r="BK338" i="6"/>
  <c r="BU338" i="6"/>
  <c r="M338" i="6"/>
  <c r="BF300" i="6"/>
  <c r="BP300" i="6"/>
  <c r="BM336" i="6"/>
  <c r="BC336" i="6"/>
  <c r="BP146" i="6"/>
  <c r="BF146" i="6"/>
  <c r="F29" i="6"/>
  <c r="H29" i="6" s="1"/>
  <c r="D8" i="7" s="1"/>
  <c r="CW29" i="6"/>
  <c r="BP161" i="6"/>
  <c r="BF161" i="6"/>
  <c r="CW269" i="6"/>
  <c r="F269" i="6"/>
  <c r="H269" i="6" s="1"/>
  <c r="D63" i="7" s="1"/>
  <c r="BU269" i="6"/>
  <c r="BK269" i="6"/>
  <c r="BU161" i="6"/>
  <c r="BK161" i="6"/>
  <c r="BC329" i="6"/>
  <c r="BM329" i="6"/>
  <c r="BM348" i="6"/>
  <c r="BC348" i="6"/>
  <c r="F305" i="6"/>
  <c r="CW305" i="6"/>
  <c r="CW267" i="6"/>
  <c r="F267" i="6"/>
  <c r="H267" i="6" s="1"/>
  <c r="BP169" i="6"/>
  <c r="BF169" i="6"/>
  <c r="BP269" i="6"/>
  <c r="BF269" i="6"/>
  <c r="BF244" i="6"/>
  <c r="BP244" i="6"/>
  <c r="F323" i="6"/>
  <c r="CW323" i="6"/>
  <c r="CW273" i="6"/>
  <c r="F273" i="6"/>
  <c r="H273" i="6" s="1"/>
  <c r="BC353" i="6"/>
  <c r="BM353" i="6"/>
  <c r="G335" i="6"/>
  <c r="G161" i="6"/>
  <c r="BF155" i="6"/>
  <c r="BP155" i="6"/>
  <c r="G155" i="6"/>
  <c r="E37" i="7" s="1"/>
  <c r="BF128" i="6"/>
  <c r="BP128" i="6"/>
  <c r="BR353" i="6"/>
  <c r="BH353" i="6"/>
  <c r="BK200" i="6"/>
  <c r="BU200" i="6"/>
  <c r="F354" i="6"/>
  <c r="CW354" i="6"/>
  <c r="BR331" i="6"/>
  <c r="BH331" i="6"/>
  <c r="BM313" i="6"/>
  <c r="BC313" i="6"/>
  <c r="BF242" i="6"/>
  <c r="BP242" i="6"/>
  <c r="BP334" i="6"/>
  <c r="BF334" i="6"/>
  <c r="BU224" i="6"/>
  <c r="BK224" i="6"/>
  <c r="G127" i="6"/>
  <c r="E30" i="7" s="1"/>
  <c r="BP130" i="6"/>
  <c r="BF130" i="6"/>
  <c r="M146" i="6"/>
  <c r="BM349" i="6"/>
  <c r="G349" i="6"/>
  <c r="BC349" i="6"/>
  <c r="BF171" i="6"/>
  <c r="BP171" i="6"/>
  <c r="BP353" i="6"/>
  <c r="BF353" i="6"/>
  <c r="G324" i="6"/>
  <c r="BH327" i="6"/>
  <c r="BR327" i="6"/>
  <c r="M327" i="6"/>
  <c r="BP288" i="6"/>
  <c r="BF288" i="6"/>
  <c r="BF342" i="6"/>
  <c r="BP342" i="6"/>
  <c r="BC342" i="6"/>
  <c r="BM342" i="6"/>
  <c r="BF340" i="6"/>
  <c r="BP340" i="6"/>
  <c r="CW215" i="6"/>
  <c r="BU345" i="6"/>
  <c r="BK345" i="6"/>
  <c r="G331" i="6"/>
  <c r="BK314" i="6"/>
  <c r="BU314" i="6"/>
  <c r="G211" i="6"/>
  <c r="E49" i="7" s="1"/>
  <c r="BU203" i="6"/>
  <c r="M203" i="6"/>
  <c r="BK203" i="6"/>
  <c r="BU151" i="6"/>
  <c r="BK151" i="6"/>
  <c r="M151" i="6"/>
  <c r="BK279" i="6"/>
  <c r="BU279" i="6"/>
  <c r="F322" i="6"/>
  <c r="CW322" i="6"/>
  <c r="M314" i="6"/>
  <c r="G169" i="6"/>
  <c r="BM326" i="6"/>
  <c r="BC326" i="6"/>
  <c r="BH328" i="6"/>
  <c r="BR328" i="6"/>
  <c r="M328" i="6"/>
  <c r="CW351" i="6"/>
  <c r="F351" i="6"/>
  <c r="CW271" i="6"/>
  <c r="F271" i="6"/>
  <c r="H271" i="6" s="1"/>
  <c r="BP307" i="6"/>
  <c r="BF307" i="6"/>
  <c r="BP193" i="6"/>
  <c r="BF193" i="6"/>
  <c r="G306" i="6"/>
  <c r="CW320" i="6"/>
  <c r="F320" i="6"/>
  <c r="CW49" i="6"/>
  <c r="F168" i="6"/>
  <c r="H168" i="6" s="1"/>
  <c r="D40" i="7" s="1"/>
  <c r="CW168" i="6"/>
  <c r="BK327" i="6"/>
  <c r="BU327" i="6"/>
  <c r="BC267" i="6"/>
  <c r="BM267" i="6"/>
  <c r="BP305" i="6"/>
  <c r="BF305" i="6"/>
  <c r="G327" i="6"/>
  <c r="BU329" i="6"/>
  <c r="BK329" i="6"/>
  <c r="BP291" i="6"/>
  <c r="BF291" i="6"/>
  <c r="BP241" i="6"/>
  <c r="BF241" i="6"/>
  <c r="F343" i="6"/>
  <c r="CW343" i="6"/>
  <c r="BU273" i="6"/>
  <c r="BK273" i="6"/>
  <c r="BP319" i="6"/>
  <c r="BF319" i="6"/>
  <c r="BK260" i="6"/>
  <c r="BU260" i="6"/>
  <c r="BP229" i="6"/>
  <c r="BF229" i="6"/>
  <c r="F319" i="6"/>
  <c r="CW319" i="6"/>
  <c r="BP356" i="6"/>
  <c r="BF356" i="6"/>
  <c r="BC271" i="6"/>
  <c r="BM271" i="6"/>
  <c r="F238" i="6"/>
  <c r="H238" i="6" s="1"/>
  <c r="D56" i="7" s="1"/>
  <c r="CW238" i="6"/>
  <c r="CW307" i="6"/>
  <c r="CW252" i="6"/>
  <c r="G241" i="6"/>
  <c r="BF154" i="6"/>
  <c r="BP154" i="6"/>
  <c r="BP133" i="6"/>
  <c r="BF133" i="6"/>
  <c r="BR269" i="6"/>
  <c r="BH269" i="6"/>
  <c r="CW74" i="6"/>
  <c r="BP182" i="6"/>
  <c r="BF182" i="6"/>
  <c r="BK290" i="6"/>
  <c r="BU290" i="6"/>
  <c r="F57" i="6"/>
  <c r="H57" i="6" s="1"/>
  <c r="D14" i="7" s="1"/>
  <c r="CW57" i="6"/>
  <c r="BM301" i="6"/>
  <c r="BC301" i="6"/>
  <c r="BF336" i="6"/>
  <c r="BP336" i="6"/>
  <c r="BF326" i="6"/>
  <c r="BP326" i="6"/>
  <c r="BM335" i="6"/>
  <c r="BC335" i="6"/>
  <c r="BC352" i="6"/>
  <c r="BM352" i="6"/>
  <c r="BC341" i="6"/>
  <c r="BM341" i="6"/>
  <c r="CW349" i="6"/>
  <c r="F349" i="6"/>
  <c r="F270" i="6"/>
  <c r="H270" i="6" s="1"/>
  <c r="CW270" i="6"/>
  <c r="BU306" i="6"/>
  <c r="BK306" i="6"/>
  <c r="BP180" i="6"/>
  <c r="BF180" i="6"/>
  <c r="BC299" i="6"/>
  <c r="BM299" i="6"/>
  <c r="BF294" i="6"/>
  <c r="BP294" i="6"/>
  <c r="BM280" i="6"/>
  <c r="BC280" i="6"/>
  <c r="BU255" i="6"/>
  <c r="BK255" i="6"/>
  <c r="M255" i="6"/>
  <c r="CR294" i="6"/>
  <c r="CQ295" i="6"/>
  <c r="F169" i="6"/>
  <c r="H169" i="6" s="1"/>
  <c r="CW169" i="6"/>
  <c r="BF258" i="6"/>
  <c r="BP258" i="6"/>
  <c r="BP164" i="6"/>
  <c r="BF164" i="6"/>
  <c r="F185" i="6"/>
  <c r="H185" i="6" s="1"/>
  <c r="D44" i="7" s="1"/>
  <c r="BP191" i="6"/>
  <c r="BF191" i="6"/>
  <c r="F242" i="6"/>
  <c r="H242" i="6" s="1"/>
  <c r="CW242" i="6"/>
  <c r="BP323" i="6"/>
  <c r="BF323" i="6"/>
  <c r="F44" i="6"/>
  <c r="H44" i="6" s="1"/>
  <c r="CW44" i="6"/>
  <c r="BF267" i="6"/>
  <c r="BP267" i="6"/>
  <c r="M331" i="6"/>
  <c r="BU334" i="6"/>
  <c r="BK334" i="6"/>
  <c r="F207" i="6"/>
  <c r="H207" i="6" s="1"/>
  <c r="D49" i="7" s="1"/>
  <c r="CW207" i="6"/>
  <c r="BM283" i="6"/>
  <c r="BC283" i="6"/>
  <c r="BP345" i="6"/>
  <c r="BF345" i="6"/>
  <c r="F163" i="6"/>
  <c r="H163" i="6" s="1"/>
  <c r="CW163" i="6"/>
  <c r="F122" i="6"/>
  <c r="H122" i="6" s="1"/>
  <c r="CW122" i="6"/>
  <c r="BU145" i="6"/>
  <c r="BK145" i="6"/>
  <c r="M145" i="6"/>
  <c r="BK171" i="6"/>
  <c r="BU171" i="6"/>
  <c r="G329" i="6"/>
  <c r="E77" i="7" s="1"/>
  <c r="BF239" i="6"/>
  <c r="BP239" i="6"/>
  <c r="BC290" i="6"/>
  <c r="BM290" i="6"/>
  <c r="BP279" i="6"/>
  <c r="BF279" i="6"/>
  <c r="BC330" i="6"/>
  <c r="BM330" i="6"/>
  <c r="G330" i="6"/>
  <c r="F326" i="6"/>
  <c r="BP304" i="6"/>
  <c r="BF304" i="6"/>
  <c r="G314" i="6"/>
  <c r="F356" i="6"/>
  <c r="CW356" i="6"/>
  <c r="F292" i="6"/>
  <c r="H292" i="6" s="1"/>
  <c r="CW292" i="6"/>
  <c r="BF223" i="6"/>
  <c r="BP223" i="6"/>
  <c r="G307" i="6"/>
  <c r="E72" i="7" s="1"/>
  <c r="G353" i="6"/>
  <c r="CW75" i="6"/>
  <c r="BF156" i="6"/>
  <c r="BP156" i="6"/>
  <c r="F109" i="6"/>
  <c r="H109" i="6" s="1"/>
  <c r="D26" i="7" s="1"/>
  <c r="CW109" i="6"/>
  <c r="CW221" i="6"/>
  <c r="BF292" i="6"/>
  <c r="BP292" i="6"/>
  <c r="M290" i="6"/>
  <c r="BH288" i="6"/>
  <c r="BR288" i="6"/>
  <c r="BK226" i="6"/>
  <c r="BU226" i="6"/>
  <c r="BF175" i="6"/>
  <c r="BP175" i="6"/>
  <c r="BK254" i="6"/>
  <c r="BU254" i="6"/>
  <c r="BK268" i="6"/>
  <c r="BU268" i="6"/>
  <c r="F72" i="6"/>
  <c r="H72" i="6" s="1"/>
  <c r="D18" i="7" s="1"/>
  <c r="CW72" i="6"/>
  <c r="BK186" i="6"/>
  <c r="BU186" i="6"/>
  <c r="BK352" i="6"/>
  <c r="BU352" i="6"/>
  <c r="G347" i="6"/>
  <c r="BU292" i="6"/>
  <c r="BK292" i="6"/>
  <c r="F258" i="6"/>
  <c r="H258" i="6" s="1"/>
  <c r="CW258" i="6"/>
  <c r="CW259" i="6"/>
  <c r="F259" i="6"/>
  <c r="H259" i="6" s="1"/>
  <c r="M353" i="6"/>
  <c r="CW332" i="6"/>
  <c r="F332" i="6"/>
  <c r="CW205" i="6"/>
  <c r="F205" i="6"/>
  <c r="H205" i="6" s="1"/>
  <c r="G271" i="6"/>
  <c r="F85" i="6"/>
  <c r="H85" i="6" s="1"/>
  <c r="D21" i="7" s="1"/>
  <c r="CW85" i="6"/>
  <c r="CW125" i="6"/>
  <c r="F196" i="6"/>
  <c r="H196" i="6" s="1"/>
  <c r="D46" i="7" s="1"/>
  <c r="M260" i="6"/>
  <c r="BC268" i="6"/>
  <c r="BM268" i="6"/>
  <c r="BF172" i="6"/>
  <c r="BP172" i="6"/>
  <c r="F54" i="6"/>
  <c r="H54" i="6" s="1"/>
  <c r="D13" i="7" s="1"/>
  <c r="CW54" i="6"/>
  <c r="BF138" i="6"/>
  <c r="BP138" i="6"/>
  <c r="F130" i="6"/>
  <c r="H130" i="6" s="1"/>
  <c r="CW130" i="6"/>
  <c r="G133" i="6"/>
  <c r="E32" i="7" s="1"/>
  <c r="G200" i="6"/>
  <c r="E47" i="7" s="1"/>
  <c r="CW342" i="6"/>
  <c r="F342" i="6"/>
  <c r="F150" i="6"/>
  <c r="H150" i="6" s="1"/>
  <c r="CW150" i="6"/>
  <c r="BP210" i="6"/>
  <c r="BF210" i="6"/>
  <c r="F135" i="6"/>
  <c r="H135" i="6" s="1"/>
  <c r="CW135" i="6"/>
  <c r="BH352" i="6"/>
  <c r="BR352" i="6"/>
  <c r="BR329" i="6"/>
  <c r="BH329" i="6"/>
  <c r="BP255" i="6"/>
  <c r="BF255" i="6"/>
  <c r="M257" i="6"/>
  <c r="CW171" i="6"/>
  <c r="F171" i="6"/>
  <c r="H171" i="6" s="1"/>
  <c r="G180" i="6"/>
  <c r="BH348" i="6"/>
  <c r="BR348" i="6"/>
  <c r="CW59" i="6"/>
  <c r="F59" i="6"/>
  <c r="H59" i="6" s="1"/>
  <c r="G341" i="6"/>
  <c r="BP341" i="6"/>
  <c r="BF341" i="6"/>
  <c r="BK159" i="6"/>
  <c r="BU159" i="6"/>
  <c r="BC331" i="6"/>
  <c r="BM331" i="6"/>
  <c r="BP240" i="6"/>
  <c r="BF240" i="6"/>
  <c r="G240" i="6"/>
  <c r="E56" i="7" s="1"/>
  <c r="BC291" i="6"/>
  <c r="BM291" i="6"/>
  <c r="CW268" i="6"/>
  <c r="BF149" i="6"/>
  <c r="BP149" i="6"/>
  <c r="BP224" i="6"/>
  <c r="BF224" i="6"/>
  <c r="CW200" i="6"/>
  <c r="F200" i="6"/>
  <c r="H200" i="6" s="1"/>
  <c r="D47" i="7" s="1"/>
  <c r="BK191" i="6"/>
  <c r="BU191" i="6"/>
  <c r="BU341" i="6"/>
  <c r="BK341" i="6"/>
  <c r="BF140" i="6"/>
  <c r="BP140" i="6"/>
  <c r="CW138" i="6"/>
  <c r="G143" i="6"/>
  <c r="E34" i="7" s="1"/>
  <c r="BK349" i="6"/>
  <c r="BU349" i="6"/>
  <c r="BP330" i="6"/>
  <c r="BF330" i="6"/>
  <c r="BC327" i="6"/>
  <c r="BM327" i="6"/>
  <c r="BF280" i="6"/>
  <c r="BP280" i="6"/>
  <c r="M191" i="6"/>
  <c r="CW154" i="6"/>
  <c r="F154" i="6"/>
  <c r="H154" i="6" s="1"/>
  <c r="BK217" i="6"/>
  <c r="BU217" i="6"/>
  <c r="F41" i="6"/>
  <c r="H41" i="6" s="1"/>
  <c r="F129" i="6"/>
  <c r="H129" i="6" s="1"/>
  <c r="D31" i="7" s="1"/>
  <c r="CW129" i="6"/>
  <c r="F162" i="6"/>
  <c r="H162" i="6" s="1"/>
  <c r="CW162" i="6"/>
  <c r="BK330" i="6"/>
  <c r="BU330" i="6"/>
  <c r="BC266" i="6"/>
  <c r="BM266" i="6"/>
  <c r="BU267" i="6"/>
  <c r="BK267" i="6"/>
  <c r="F94" i="6"/>
  <c r="H94" i="6" s="1"/>
  <c r="D23" i="7" s="1"/>
  <c r="CW94" i="6"/>
  <c r="G334" i="6"/>
  <c r="E78" i="7" s="1"/>
  <c r="G171" i="6"/>
  <c r="BF331" i="6"/>
  <c r="BP331" i="6"/>
  <c r="BC328" i="6"/>
  <c r="BM328" i="6"/>
  <c r="BK347" i="6"/>
  <c r="BU347" i="6"/>
  <c r="M347" i="6"/>
  <c r="BP144" i="6"/>
  <c r="BF144" i="6"/>
  <c r="BC351" i="6"/>
  <c r="BM351" i="6"/>
  <c r="BP270" i="6"/>
  <c r="BF270" i="6"/>
  <c r="BC288" i="6"/>
  <c r="BM288" i="6"/>
  <c r="BF226" i="6"/>
  <c r="BP226" i="6"/>
  <c r="BP187" i="6"/>
  <c r="BF187" i="6"/>
  <c r="CW304" i="6"/>
  <c r="BF134" i="6"/>
  <c r="BP134" i="6"/>
  <c r="BP254" i="6"/>
  <c r="BF254" i="6"/>
  <c r="BF268" i="6"/>
  <c r="BP268" i="6"/>
  <c r="CW173" i="6"/>
  <c r="BF348" i="6"/>
  <c r="BP348" i="6"/>
  <c r="BP352" i="6"/>
  <c r="BF352" i="6"/>
  <c r="BM293" i="6"/>
  <c r="BC293" i="6"/>
  <c r="CW248" i="6"/>
  <c r="F302" i="6"/>
  <c r="CW302" i="6"/>
  <c r="G292" i="6"/>
  <c r="E68" i="7" s="1"/>
  <c r="CW210" i="6"/>
  <c r="CW223" i="6"/>
  <c r="F223" i="6"/>
  <c r="H223" i="6" s="1"/>
  <c r="CW88" i="6"/>
  <c r="BU134" i="6"/>
  <c r="BK134" i="6"/>
  <c r="BK156" i="6"/>
  <c r="BU156" i="6"/>
  <c r="F153" i="6"/>
  <c r="H153" i="6" s="1"/>
  <c r="CW153" i="6"/>
  <c r="M155" i="6"/>
  <c r="CW346" i="6"/>
  <c r="BM346" i="6"/>
  <c r="BC346" i="6"/>
  <c r="BK324" i="6"/>
  <c r="BU324" i="6"/>
  <c r="BR293" i="6"/>
  <c r="BH293" i="6"/>
  <c r="G346" i="6"/>
  <c r="BC273" i="6"/>
  <c r="BM273" i="6"/>
  <c r="BF238" i="6"/>
  <c r="BP238" i="6"/>
  <c r="CW294" i="6"/>
  <c r="F294" i="6"/>
  <c r="H294" i="6" s="1"/>
  <c r="M288" i="6"/>
  <c r="M345" i="6"/>
  <c r="CW282" i="6"/>
  <c r="G257" i="6"/>
  <c r="E60" i="7" s="1"/>
  <c r="CW222" i="6"/>
  <c r="F222" i="6"/>
  <c r="H222" i="6" s="1"/>
  <c r="BF290" i="6"/>
  <c r="BP290" i="6"/>
  <c r="G270" i="6"/>
  <c r="CW103" i="6"/>
  <c r="BH268" i="6"/>
  <c r="BR268" i="6"/>
  <c r="M172" i="6"/>
  <c r="BU172" i="6"/>
  <c r="BK172" i="6"/>
  <c r="G273" i="6"/>
  <c r="E40" i="7" l="1"/>
  <c r="F274" i="6"/>
  <c r="H274" i="6" s="1"/>
  <c r="CW274" i="6"/>
  <c r="F347" i="6"/>
  <c r="CW347" i="6"/>
  <c r="CW353" i="6"/>
  <c r="F353" i="6"/>
  <c r="D61" i="7"/>
  <c r="E38" i="7"/>
  <c r="F183" i="6"/>
  <c r="H183" i="6" s="1"/>
  <c r="D43" i="7" s="1"/>
  <c r="CW183" i="6"/>
  <c r="CW288" i="6"/>
  <c r="F288" i="6"/>
  <c r="H288" i="6" s="1"/>
  <c r="D67" i="7" s="1"/>
  <c r="CW328" i="6"/>
  <c r="F328" i="6"/>
  <c r="CW172" i="6"/>
  <c r="F172" i="6"/>
  <c r="H172" i="6" s="1"/>
  <c r="D41" i="7" s="1"/>
  <c r="F290" i="6"/>
  <c r="H290" i="6" s="1"/>
  <c r="D68" i="7" s="1"/>
  <c r="CW290" i="6"/>
  <c r="F151" i="6"/>
  <c r="H151" i="6" s="1"/>
  <c r="D36" i="7" s="1"/>
  <c r="CW151" i="6"/>
  <c r="F327" i="6"/>
  <c r="CW327" i="6"/>
  <c r="D11" i="7"/>
  <c r="F260" i="6"/>
  <c r="H260" i="6" s="1"/>
  <c r="CW260" i="6"/>
  <c r="F145" i="6"/>
  <c r="H145" i="6" s="1"/>
  <c r="D34" i="7" s="1"/>
  <c r="CW145" i="6"/>
  <c r="F146" i="6"/>
  <c r="H146" i="6" s="1"/>
  <c r="D35" i="7" s="1"/>
  <c r="CW146" i="6"/>
  <c r="E70" i="7"/>
  <c r="E81" i="7"/>
  <c r="F283" i="6"/>
  <c r="H283" i="6" s="1"/>
  <c r="D66" i="7" s="1"/>
  <c r="CW283" i="6"/>
  <c r="D64" i="7"/>
  <c r="F155" i="6"/>
  <c r="H155" i="6" s="1"/>
  <c r="D37" i="7" s="1"/>
  <c r="CW155" i="6"/>
  <c r="F345" i="6"/>
  <c r="CW345" i="6"/>
  <c r="E76" i="7"/>
  <c r="D38" i="7"/>
  <c r="CW331" i="6"/>
  <c r="F331" i="6"/>
  <c r="F244" i="6"/>
  <c r="H244" i="6" s="1"/>
  <c r="D57" i="7" s="1"/>
  <c r="CW244" i="6"/>
  <c r="CW338" i="6"/>
  <c r="F338" i="6"/>
  <c r="F314" i="6"/>
  <c r="CW314" i="6"/>
  <c r="F336" i="6"/>
  <c r="CW336" i="6"/>
  <c r="D15" i="7"/>
  <c r="D52" i="7"/>
  <c r="CW191" i="6"/>
  <c r="F191" i="6"/>
  <c r="H191" i="6" s="1"/>
  <c r="D45" i="7" s="1"/>
  <c r="CQ296" i="6"/>
  <c r="CR295" i="6"/>
  <c r="F257" i="6"/>
  <c r="H257" i="6" s="1"/>
  <c r="CW257" i="6"/>
  <c r="F255" i="6"/>
  <c r="H255" i="6" s="1"/>
  <c r="D60" i="7" s="1"/>
  <c r="CW255" i="6"/>
  <c r="F203" i="6"/>
  <c r="H203" i="6" s="1"/>
  <c r="D48" i="7" s="1"/>
  <c r="CW203" i="6"/>
  <c r="D32" i="7"/>
  <c r="CR296" i="6" l="1"/>
  <c r="CQ297" i="6"/>
  <c r="H296" i="6"/>
  <c r="CQ298" i="6" l="1"/>
  <c r="CR297" i="6"/>
  <c r="H297" i="6"/>
  <c r="CQ299" i="6" l="1"/>
  <c r="CR298" i="6"/>
  <c r="H298" i="6"/>
  <c r="CQ300" i="6" l="1"/>
  <c r="CR299" i="6"/>
  <c r="H299" i="6"/>
  <c r="CR300" i="6" l="1"/>
  <c r="CQ301" i="6"/>
  <c r="H300" i="6"/>
  <c r="CQ302" i="6" l="1"/>
  <c r="CR301" i="6"/>
  <c r="H301" i="6"/>
  <c r="D70" i="7" l="1"/>
  <c r="CR302" i="6"/>
  <c r="CQ303" i="6"/>
  <c r="H302" i="6"/>
  <c r="CQ304" i="6" l="1"/>
  <c r="CR303" i="6"/>
  <c r="H303" i="6"/>
  <c r="CQ305" i="6" l="1"/>
  <c r="CR304" i="6"/>
  <c r="H304" i="6"/>
  <c r="CR305" i="6" l="1"/>
  <c r="CQ306" i="6"/>
  <c r="H305" i="6"/>
  <c r="D71" i="7" l="1"/>
  <c r="CQ307" i="6"/>
  <c r="CR306" i="6"/>
  <c r="H306" i="6"/>
  <c r="CR307" i="6" l="1"/>
  <c r="CQ308" i="6"/>
  <c r="H307" i="6"/>
  <c r="CQ309" i="6" l="1"/>
  <c r="CR308" i="6"/>
  <c r="H308" i="6"/>
  <c r="CQ310" i="6" l="1"/>
  <c r="CR309" i="6"/>
  <c r="H309" i="6"/>
  <c r="CR310" i="6" l="1"/>
  <c r="CQ311" i="6"/>
  <c r="H310" i="6"/>
  <c r="CQ312" i="6" l="1"/>
  <c r="CR311" i="6"/>
  <c r="H311" i="6"/>
  <c r="CQ313" i="6" l="1"/>
  <c r="CR312" i="6"/>
  <c r="H312" i="6"/>
  <c r="CQ314" i="6" l="1"/>
  <c r="CR313" i="6"/>
  <c r="H313" i="6"/>
  <c r="CQ315" i="6" l="1"/>
  <c r="CR314" i="6"/>
  <c r="H314" i="6"/>
  <c r="D73" i="7" l="1"/>
  <c r="CQ316" i="6"/>
  <c r="CR315" i="6"/>
  <c r="H315" i="6"/>
  <c r="CR316" i="6" l="1"/>
  <c r="CQ317" i="6"/>
  <c r="H316" i="6"/>
  <c r="CQ318" i="6" l="1"/>
  <c r="CR317" i="6"/>
  <c r="H317" i="6"/>
  <c r="CQ319" i="6" l="1"/>
  <c r="CR318" i="6"/>
  <c r="H318" i="6"/>
  <c r="CQ320" i="6" l="1"/>
  <c r="CR319" i="6"/>
  <c r="H319" i="6"/>
  <c r="D74" i="7"/>
  <c r="CQ321" i="6" l="1"/>
  <c r="CR320" i="6"/>
  <c r="H320" i="6"/>
  <c r="CR321" i="6" l="1"/>
  <c r="CQ322" i="6"/>
  <c r="H321" i="6"/>
  <c r="CR322" i="6" l="1"/>
  <c r="CQ323" i="6"/>
  <c r="H322" i="6"/>
  <c r="D75" i="7" l="1"/>
  <c r="CQ324" i="6"/>
  <c r="CR323" i="6"/>
  <c r="H323" i="6"/>
  <c r="CQ325" i="6" l="1"/>
  <c r="CR324" i="6"/>
  <c r="H324" i="6"/>
  <c r="CQ326" i="6" l="1"/>
  <c r="CR325" i="6"/>
  <c r="H325" i="6"/>
  <c r="CQ327" i="6" l="1"/>
  <c r="CR326" i="6"/>
  <c r="H326" i="6"/>
  <c r="CR327" i="6" l="1"/>
  <c r="CQ328" i="6"/>
  <c r="H327" i="6"/>
  <c r="CQ329" i="6" l="1"/>
  <c r="CR328" i="6"/>
  <c r="H328" i="6"/>
  <c r="CQ330" i="6" l="1"/>
  <c r="CR329" i="6"/>
  <c r="H329" i="6"/>
  <c r="CR330" i="6" l="1"/>
  <c r="CQ331" i="6"/>
  <c r="H330" i="6"/>
  <c r="CQ332" i="6" l="1"/>
  <c r="CR331" i="6"/>
  <c r="H331" i="6"/>
  <c r="D77" i="7" l="1"/>
  <c r="CR332" i="6"/>
  <c r="CQ333" i="6"/>
  <c r="H332" i="6"/>
  <c r="CQ334" i="6" l="1"/>
  <c r="CR333" i="6"/>
  <c r="H333" i="6"/>
  <c r="CR334" i="6" l="1"/>
  <c r="CQ335" i="6"/>
  <c r="H334" i="6"/>
  <c r="CQ336" i="6" l="1"/>
  <c r="CR335" i="6"/>
  <c r="H335" i="6"/>
  <c r="CQ337" i="6" l="1"/>
  <c r="CR336" i="6"/>
  <c r="H336" i="6"/>
  <c r="CQ338" i="6" l="1"/>
  <c r="CR337" i="6"/>
  <c r="H337" i="6"/>
  <c r="CQ339" i="6" l="1"/>
  <c r="CR338" i="6"/>
  <c r="H338" i="6"/>
  <c r="CR339" i="6" l="1"/>
  <c r="CQ340" i="6"/>
  <c r="H339" i="6"/>
  <c r="CR340" i="6" l="1"/>
  <c r="CQ341" i="6"/>
  <c r="H340" i="6"/>
  <c r="D79" i="7" l="1"/>
  <c r="CQ342" i="6"/>
  <c r="CR341" i="6"/>
  <c r="H341" i="6"/>
  <c r="CR342" i="6" l="1"/>
  <c r="CQ343" i="6"/>
  <c r="H342" i="6"/>
  <c r="CR343" i="6" l="1"/>
  <c r="CQ344" i="6"/>
  <c r="H343" i="6"/>
  <c r="CR344" i="6" l="1"/>
  <c r="CQ345" i="6"/>
  <c r="H344" i="6"/>
  <c r="D80" i="7" l="1"/>
  <c r="CQ346" i="6"/>
  <c r="CR345" i="6"/>
  <c r="H345" i="6"/>
  <c r="CQ347" i="6" l="1"/>
  <c r="CR346" i="6"/>
  <c r="H346" i="6"/>
  <c r="CQ348" i="6" l="1"/>
  <c r="CR347" i="6"/>
  <c r="H347" i="6"/>
  <c r="CQ349" i="6" l="1"/>
  <c r="CR348" i="6"/>
  <c r="H348" i="6"/>
  <c r="CR349" i="6" l="1"/>
  <c r="CQ350" i="6"/>
  <c r="H349" i="6"/>
  <c r="CR350" i="6" l="1"/>
  <c r="CQ351" i="6"/>
  <c r="H350" i="6"/>
  <c r="CQ352" i="6" l="1"/>
  <c r="CR351" i="6"/>
  <c r="H351" i="6"/>
  <c r="CR352" i="6" l="1"/>
  <c r="CQ353" i="6"/>
  <c r="H352" i="6"/>
  <c r="CR353" i="6" l="1"/>
  <c r="CQ354" i="6"/>
  <c r="H353" i="6"/>
  <c r="D82" i="7" l="1"/>
  <c r="CR354" i="6"/>
  <c r="CQ355" i="6"/>
  <c r="H354" i="6"/>
  <c r="CR355" i="6" l="1"/>
  <c r="CQ356" i="6"/>
  <c r="H355" i="6"/>
  <c r="D83" i="7" l="1"/>
  <c r="CR356" i="6"/>
  <c r="H356" i="6"/>
  <c r="D69" i="7" l="1"/>
  <c r="D72" i="7"/>
  <c r="D76" i="7"/>
  <c r="D78" i="7"/>
  <c r="D8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tc={EC51BEE0-AF5B-4E69-9FEF-B6C145D27E44}</author>
  </authors>
  <commentList>
    <comment ref="AZ2" authorId="0" shapeId="0" xr:uid="{EC51BEE0-AF5B-4E69-9FEF-B6C145D27E4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this each week based on BTC Survey Data</t>
      </text>
    </comment>
  </commentList>
</comments>
</file>

<file path=xl/sharedStrings.xml><?xml version="1.0" encoding="utf-8"?>
<sst xmlns="http://schemas.openxmlformats.org/spreadsheetml/2006/main" count="972" uniqueCount="316">
  <si>
    <t>Biodiesel CI</t>
  </si>
  <si>
    <t>Baseline - 2019</t>
  </si>
  <si>
    <t>Energy Density for Biodiesel</t>
  </si>
  <si>
    <t>Energy Density for Renewable Diesel</t>
  </si>
  <si>
    <t>Corn Oil</t>
  </si>
  <si>
    <t>Tallow</t>
  </si>
  <si>
    <t>Soybean Oil</t>
  </si>
  <si>
    <t>Canola</t>
  </si>
  <si>
    <t>UCO - North America</t>
  </si>
  <si>
    <t>UCO - California</t>
  </si>
  <si>
    <t>SBO / Tallow</t>
  </si>
  <si>
    <t>*</t>
  </si>
  <si>
    <t>Static</t>
  </si>
  <si>
    <t>Result 1.3073509</t>
  </si>
  <si>
    <t>Result</t>
  </si>
  <si>
    <t>Result 2</t>
  </si>
  <si>
    <t>Weekly Average Credit Value 4/22 ending 4/26</t>
  </si>
  <si>
    <t>Ex:</t>
  </si>
  <si>
    <t>Credit Value</t>
  </si>
  <si>
    <t>$/gal Diesel gallon equiv 134.47</t>
  </si>
  <si>
    <t>Baseline Diesel Energy Density Schedule</t>
  </si>
  <si>
    <t xml:space="preserve">Baseline Energy Density </t>
  </si>
  <si>
    <t>Renewable Diesel Feedstock Mix</t>
  </si>
  <si>
    <t>Biodiesel Feedstock Mix</t>
  </si>
  <si>
    <t>Yellow Grease</t>
  </si>
  <si>
    <t>Mixed CI Score</t>
  </si>
  <si>
    <t>Assumptions:</t>
  </si>
  <si>
    <t>Gal</t>
  </si>
  <si>
    <t>BBL</t>
  </si>
  <si>
    <t>MTs</t>
  </si>
  <si>
    <t>Renewable Diesel Econs</t>
  </si>
  <si>
    <t>Biodiesel dlvd CA Econs</t>
  </si>
  <si>
    <t>* Stacked Bar with Credit Values 33, 41, 44, 46 - $/gal</t>
  </si>
  <si>
    <t>Biodiesel</t>
  </si>
  <si>
    <t>42 gals</t>
  </si>
  <si>
    <t>300 gals</t>
  </si>
  <si>
    <t>Week Selector</t>
  </si>
  <si>
    <t xml:space="preserve">* </t>
  </si>
  <si>
    <t>* Pulling</t>
  </si>
  <si>
    <t>FEEDSTOCKS</t>
  </si>
  <si>
    <t>Cents / LB</t>
  </si>
  <si>
    <t>$/lb</t>
  </si>
  <si>
    <t>Tech Tallow Dlvd Cali</t>
  </si>
  <si>
    <t>RD</t>
  </si>
  <si>
    <t>340 gals</t>
  </si>
  <si>
    <t>$/MT</t>
  </si>
  <si>
    <t>D4 RINs</t>
  </si>
  <si>
    <t xml:space="preserve"> </t>
  </si>
  <si>
    <t>Dlvd CA Rail Actual</t>
  </si>
  <si>
    <t>Graph</t>
  </si>
  <si>
    <t>* Insert into the first chart as a new box</t>
  </si>
  <si>
    <t>Dlvd CA Rail accrual</t>
  </si>
  <si>
    <t>Feedstock Ratio</t>
  </si>
  <si>
    <t xml:space="preserve">       </t>
  </si>
  <si>
    <t>Total</t>
  </si>
  <si>
    <t>RD Yield (Feedstock in/Fuel out)</t>
  </si>
  <si>
    <t>* Manual Static</t>
  </si>
  <si>
    <t>BD Yield (Feedstock in/Fuel out)</t>
  </si>
  <si>
    <t>BD Yield (Feedstock in?Fuel out)</t>
  </si>
  <si>
    <t>SBO Cost Per MT</t>
  </si>
  <si>
    <t>Tallow Cost Per MT</t>
  </si>
  <si>
    <t>SBO Cost Per Gal</t>
  </si>
  <si>
    <t>Tallow Cost Per Gal</t>
  </si>
  <si>
    <t>Fxd/Variable Production</t>
  </si>
  <si>
    <t>Fx/Variable Prodcution</t>
  </si>
  <si>
    <t>$/Gal</t>
  </si>
  <si>
    <t>RD Cost</t>
  </si>
  <si>
    <t>BD Cost</t>
  </si>
  <si>
    <t>BTC</t>
  </si>
  <si>
    <t>$/gal Diesel gallon Equiv</t>
  </si>
  <si>
    <t>LCFS Credit Price</t>
  </si>
  <si>
    <t>2019 ULSD Baseline CI</t>
  </si>
  <si>
    <t>gCO2e/MJ</t>
  </si>
  <si>
    <t>Energy Density</t>
  </si>
  <si>
    <t>MJ/gal</t>
  </si>
  <si>
    <t>* Static (Tallow and SBO CI Average)</t>
  </si>
  <si>
    <t>Tech Tallow CI Score</t>
  </si>
  <si>
    <t xml:space="preserve">     (ULSD CI - Biodiesel CI)</t>
  </si>
  <si>
    <t>$/gal</t>
  </si>
  <si>
    <t xml:space="preserve">CA Cap n Trade </t>
  </si>
  <si>
    <t>CA Cap n Trade</t>
  </si>
  <si>
    <t>D4 RIN</t>
  </si>
  <si>
    <t>$/RIN</t>
  </si>
  <si>
    <t>Loaded w/ Credits</t>
  </si>
  <si>
    <t xml:space="preserve">Loaded w/ Credits </t>
  </si>
  <si>
    <t>Producer</t>
  </si>
  <si>
    <t>Blender</t>
  </si>
  <si>
    <t>OP/RP</t>
  </si>
  <si>
    <t>RD Basis</t>
  </si>
  <si>
    <t>BD Basis</t>
  </si>
  <si>
    <t xml:space="preserve">*Stacked Bar, 2 columns 1 for producer and one for blender with each of the amounts each receives. Producer gets D4 Rin Value * 100% = value. Blender gets X… </t>
  </si>
  <si>
    <t>LCFS Credit Value</t>
  </si>
  <si>
    <t>CA Cap N Trade</t>
  </si>
  <si>
    <t>NYMEX HO</t>
  </si>
  <si>
    <t>or CARB Diesel "mark"</t>
  </si>
  <si>
    <t>RD Gross Margin</t>
  </si>
  <si>
    <t>BD Gross Margin</t>
  </si>
  <si>
    <t>RD Variable Cost</t>
  </si>
  <si>
    <t>BD Variable Cost</t>
  </si>
  <si>
    <t>Constant</t>
  </si>
  <si>
    <t>GRAPH OUTPUT OF THIS COLUMN</t>
  </si>
  <si>
    <t>Price of Tallow (cents per pound)</t>
  </si>
  <si>
    <t>Price of Tallow in $/MT</t>
  </si>
  <si>
    <t>Yield</t>
  </si>
  <si>
    <t>Price of Tallow per MT of Biodiesel</t>
  </si>
  <si>
    <t>Price of Tallow per Gallon</t>
  </si>
  <si>
    <t>Feedstock Mix</t>
  </si>
  <si>
    <t>Cost of Tallow Feedstock</t>
  </si>
  <si>
    <t>Price of Soybean Oil (cents per pound)</t>
  </si>
  <si>
    <t>Price of Soybean Oil in $/MT</t>
  </si>
  <si>
    <t>price of Soybean Oil in MT of Biodiesel</t>
  </si>
  <si>
    <t>Price of Soybean Oil per Gallon</t>
  </si>
  <si>
    <t>Cost of Soybean Oil Feedstock</t>
  </si>
  <si>
    <t>Fixed Cost per Metric Tonne</t>
  </si>
  <si>
    <t>Fixed Cost per Gallon</t>
  </si>
  <si>
    <t>Variable Cost per MT</t>
  </si>
  <si>
    <t>Variable Cost per Gallon</t>
  </si>
  <si>
    <t>Price of CARB</t>
  </si>
  <si>
    <t>Renewable Diesel</t>
  </si>
  <si>
    <t>Category</t>
  </si>
  <si>
    <t>Type</t>
  </si>
  <si>
    <t>Breakout</t>
  </si>
  <si>
    <t>7/5/19</t>
  </si>
  <si>
    <t>7/12/19</t>
  </si>
  <si>
    <t>7/19/19</t>
  </si>
  <si>
    <t>7/26/19</t>
  </si>
  <si>
    <t>8/2/19</t>
  </si>
  <si>
    <t>8/9/10</t>
  </si>
  <si>
    <t>8/16/19</t>
  </si>
  <si>
    <t>8/23/19</t>
  </si>
  <si>
    <t>8/30/19</t>
  </si>
  <si>
    <t>9/6/19</t>
  </si>
  <si>
    <t>9/13/19</t>
  </si>
  <si>
    <t>9/20/19</t>
  </si>
  <si>
    <t>9/28/19</t>
  </si>
  <si>
    <t>10/5/19</t>
  </si>
  <si>
    <t>10/12/19</t>
  </si>
  <si>
    <t>10/19/19</t>
  </si>
  <si>
    <t>10/26/19</t>
  </si>
  <si>
    <t>11/2/19</t>
  </si>
  <si>
    <t>11/9/19</t>
  </si>
  <si>
    <t>11/16/19</t>
  </si>
  <si>
    <t>11/23/19</t>
  </si>
  <si>
    <t>11/30/19</t>
  </si>
  <si>
    <t>12/7/19</t>
  </si>
  <si>
    <t>12/14/19</t>
  </si>
  <si>
    <t>12/21/19</t>
  </si>
  <si>
    <t>12/28/19</t>
  </si>
  <si>
    <t>BD Producer D4 RIN Value</t>
  </si>
  <si>
    <t>BD Producer BTC Value</t>
  </si>
  <si>
    <t>BD Producer LCFS Credit Value</t>
  </si>
  <si>
    <t>BD Producer Cap N Trade Value</t>
  </si>
  <si>
    <t>BD Blender D4 RIN Value</t>
  </si>
  <si>
    <t>BD Blender BTC Value</t>
  </si>
  <si>
    <t>BD Blender LCFS Credit Value</t>
  </si>
  <si>
    <t>BD Blender Cap N Trade Value</t>
  </si>
  <si>
    <t>RD Producer D4 RIN Value</t>
  </si>
  <si>
    <t>RD Producer BTC Value</t>
  </si>
  <si>
    <t>RD Producer LCFS Credit Value</t>
  </si>
  <si>
    <t>RD Producer Cap N Trade Value</t>
  </si>
  <si>
    <t>RD Blender D4 RIN Value</t>
  </si>
  <si>
    <t>RD Blender BTC Value</t>
  </si>
  <si>
    <t>RD Blender LCFS Credit Value</t>
  </si>
  <si>
    <t>RD Blender Cap N Trade Value</t>
  </si>
  <si>
    <t>Calcs</t>
  </si>
  <si>
    <t>Price Inputs</t>
  </si>
  <si>
    <t>Feedstock Inputs</t>
  </si>
  <si>
    <t>Static Control</t>
  </si>
  <si>
    <t>Input</t>
  </si>
  <si>
    <t>Week Start Date</t>
  </si>
  <si>
    <t>Week End Date</t>
  </si>
  <si>
    <t>Year</t>
  </si>
  <si>
    <t>WeekNumber</t>
  </si>
  <si>
    <t>RD Gross Margin w/Credits</t>
  </si>
  <si>
    <t>BD Gross Margins w/Credits &amp; Glycerin Value</t>
  </si>
  <si>
    <t>RD Total Cost</t>
  </si>
  <si>
    <t>BD Total Cost</t>
  </si>
  <si>
    <t>RD Price (California LA Delivered $/gal)</t>
  </si>
  <si>
    <t>BD Price w/Credits (B100 West Cost Delivered Cents/gal)</t>
  </si>
  <si>
    <t>BD Price wo/Credits (B100 West Cost Delivered Cents/gal)</t>
  </si>
  <si>
    <t>Bleachable Fancy Tallow - Packer Chicago cents/lbs</t>
  </si>
  <si>
    <t>UCO SoCal cents/lbs</t>
  </si>
  <si>
    <t>DCO IL_WI cents/lbs</t>
  </si>
  <si>
    <t>Soybean Oil (RBD) Central Illinois cents/lbs</t>
  </si>
  <si>
    <t>Yellow Grease Los Angeles cents/lbs</t>
  </si>
  <si>
    <t>Bleachable Fancy Tallow Delivered (Chicago to California) cents/lbs</t>
  </si>
  <si>
    <t>Soybean Oil Delivered (Central Illinois to California) cents/lbs</t>
  </si>
  <si>
    <t>DCO Delivered (Illinois to California) cents/lbs</t>
  </si>
  <si>
    <t>RD Bleachable Fancy Tallow Cost cents/gal</t>
  </si>
  <si>
    <t>RD UCO Cost cents/gal</t>
  </si>
  <si>
    <t>RD DCO Cost cents/gal</t>
  </si>
  <si>
    <t>BD Soybean Oil Cost cents/gal</t>
  </si>
  <si>
    <t>BD Yellow Grease Cost cents/gal</t>
  </si>
  <si>
    <t>RD Yield</t>
  </si>
  <si>
    <t>BD Yield</t>
  </si>
  <si>
    <t>RD Bleachable Fancy Tallow % of Feedstock Mix</t>
  </si>
  <si>
    <t>RD UCO % of Feedstock Mix</t>
  </si>
  <si>
    <t>RD DCO % Feedstock Mix</t>
  </si>
  <si>
    <t>BD Soybean Oil % of Feedstock Mix</t>
  </si>
  <si>
    <t>BD Yellow Grease % of Feedstock Mix</t>
  </si>
  <si>
    <t>Freight Cost (Illinois to California) cents/lbs</t>
  </si>
  <si>
    <t>RD Fixed Cost $/MT</t>
  </si>
  <si>
    <t>RD Variable Cost $/MT</t>
  </si>
  <si>
    <t>RD Fixed Cost cents/gal</t>
  </si>
  <si>
    <t>RD Variable Costs cents/gal</t>
  </si>
  <si>
    <t>BD Fixed Cost $/MT</t>
  </si>
  <si>
    <t>BD Variable Cost $/MT</t>
  </si>
  <si>
    <t>BD Fixed Cost cents/gal</t>
  </si>
  <si>
    <t>BD Variable Cost cents/gal</t>
  </si>
  <si>
    <t>LCFS Weekly Average (Actual)</t>
  </si>
  <si>
    <t>D4 RIN Weekly Average Actual</t>
  </si>
  <si>
    <t>RD LCFS Credit Price</t>
  </si>
  <si>
    <t>RD Cap N Trade Price</t>
  </si>
  <si>
    <t>RD BTC Price</t>
  </si>
  <si>
    <t>RD D4 RIN Price</t>
  </si>
  <si>
    <t>RD Basis Price</t>
  </si>
  <si>
    <t>BD LCFS Credit Price</t>
  </si>
  <si>
    <t>BD Cap N Trade Price</t>
  </si>
  <si>
    <t>BD BTC Price</t>
  </si>
  <si>
    <t>BD D4 RIN Price</t>
  </si>
  <si>
    <t>BD Basis Price</t>
  </si>
  <si>
    <t>RD Producer Basis Value</t>
  </si>
  <si>
    <t>BD Producer Basis Value</t>
  </si>
  <si>
    <t>RD Blender Basis Value</t>
  </si>
  <si>
    <t>BD Blender Basis Value</t>
  </si>
  <si>
    <t>RD Producer LCFS Credit Value %</t>
  </si>
  <si>
    <t>RD Producer Cap N Trade %</t>
  </si>
  <si>
    <t>RD Producer BTC %</t>
  </si>
  <si>
    <t>RD Producer D4 RIN %</t>
  </si>
  <si>
    <t>RD Producer Basis %</t>
  </si>
  <si>
    <t>BD Producer LCFS Credit Value %</t>
  </si>
  <si>
    <t>BD Producer Cap N Trade %</t>
  </si>
  <si>
    <t>BD Producer BTC %</t>
  </si>
  <si>
    <t>BD Producer D4 RIN %</t>
  </si>
  <si>
    <t>BD Producer Basis %</t>
  </si>
  <si>
    <t>RD Blender LCFS Credit Value %</t>
  </si>
  <si>
    <t>RD Blender Cap N Trade %</t>
  </si>
  <si>
    <t>RD Blender BTC %</t>
  </si>
  <si>
    <t>RD Blender D4 RIN %</t>
  </si>
  <si>
    <t>RD Blender Basis %</t>
  </si>
  <si>
    <t>BD Blender LCFS Credit Value %</t>
  </si>
  <si>
    <t>BD Blender Cap N Trade %</t>
  </si>
  <si>
    <t>BD Blender BTC %</t>
  </si>
  <si>
    <t>BD Blender D4 RIN %</t>
  </si>
  <si>
    <t>BD Blender Basis %</t>
  </si>
  <si>
    <t>Glycerine Crude 80% (cents per pound)</t>
  </si>
  <si>
    <t>Gylcerine Value in GM Calculation</t>
  </si>
  <si>
    <t>Renewable LPG</t>
  </si>
  <si>
    <t>Methanol</t>
  </si>
  <si>
    <t>Renewable Diesel - Biodiesel Spread</t>
  </si>
  <si>
    <t>Month</t>
  </si>
  <si>
    <t>45Z Credit Estimate BFT</t>
  </si>
  <si>
    <t>45Z Credit Estimate DCO</t>
  </si>
  <si>
    <t>45Z Credit Estimated Revenue UCO</t>
  </si>
  <si>
    <t>45Z Credit Estimate YG</t>
  </si>
  <si>
    <t>45Z Credit Estimate SBO</t>
  </si>
  <si>
    <t>W1</t>
  </si>
  <si>
    <t>#N/A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</si>
  <si>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</si>
  <si>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</si>
  <si>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</si>
  <si>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</si>
  <si>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</si>
  <si>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</si>
  <si>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</si>
  <si>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</si>
  <si>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</si>
  <si>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</si>
  <si>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</si>
  <si>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</si>
  <si>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</si>
  <si>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</si>
  <si>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</si>
  <si>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</si>
  <si>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</si>
  <si>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</si>
  <si>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</si>
  <si>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</si>
  <si>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</si>
  <si>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</si>
  <si>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</si>
  <si>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</si>
  <si>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</si>
  <si>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</si>
  <si>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</si>
  <si>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</si>
  <si>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</si>
  <si>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</si>
  <si>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</si>
  <si>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</si>
  <si>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</si>
  <si>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</si>
  <si>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</si>
  <si>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</si>
  <si>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</si>
  <si>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</si>
  <si>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</si>
  <si>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</si>
  <si>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</si>
  <si>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</si>
  <si>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</si>
  <si>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</si>
  <si>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</si>
  <si>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</si>
  <si>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</si>
  <si>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</si>
  <si>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</si>
  <si>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</si>
  <si>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</si>
  <si>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</si>
  <si>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Date</t>
  </si>
  <si>
    <t>Biodiesel - Profit</t>
  </si>
  <si>
    <t>Renewable Diesel - Profit</t>
  </si>
  <si>
    <t>High</t>
  </si>
  <si>
    <t>Low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</si>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</sst>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&quot;$&quot;* #,##0.0000_);_(&quot;$&quot;* \(#,##0.0000\);_(&quot;$&quot;* &quot;-&quot;??_);_(@_)"/>
    <numFmt numFmtId="166" formatCode="0.000"/>
    <numFmt numFmtId="167" formatCode="mm/dd/yy;@"/>
    <numFmt numFmtId="168" formatCode="m/d/yy;@"/>
  </numFmts>
  <fonts count="2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Calibri (Body)"/>
    </font>
    <font>
      <b/>
      <sz val="11"/>
      <color theme="0" tint="-0.1499984740745262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sz val="12"/>
      <color rgb="FFFF0000"/>
      <name val="Arial Narrow"/>
      <family val="2"/>
    </font>
    <font>
      <b/>
      <sz val="12"/>
      <color rgb="FFFF0000"/>
      <name val="Arial Narrow"/>
      <family val="2"/>
    </font>
    <font>
      <sz val="9"/>
      <color indexed="81"/>
      <name val="Tahoma"/>
      <charset val="1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8"/>
      </right>
      <top style="thin">
        <color theme="4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8"/>
      </bottom>
      <diagonal/>
    </border>
    <border>
      <left style="thin">
        <color indexed="64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</cellStyleXfs>
  <cellXfs count="24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2" borderId="0" xfId="0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40" fontId="7" fillId="0" borderId="0" xfId="0" applyNumberFormat="1" applyFont="1" applyAlignment="1">
      <alignment horizontal="center"/>
    </xf>
    <xf numFmtId="40" fontId="6" fillId="0" borderId="0" xfId="0" applyNumberFormat="1" applyFont="1"/>
    <xf numFmtId="0" fontId="7" fillId="0" borderId="0" xfId="0" applyFont="1" applyAlignment="1">
      <alignment horizontal="center"/>
    </xf>
    <xf numFmtId="0" fontId="1" fillId="0" borderId="0" xfId="2"/>
    <xf numFmtId="0" fontId="1" fillId="0" borderId="0" xfId="2" applyAlignment="1">
      <alignment horizontal="center"/>
    </xf>
    <xf numFmtId="0" fontId="2" fillId="3" borderId="1" xfId="2" applyFont="1" applyFill="1" applyBorder="1" applyAlignment="1">
      <alignment horizontal="center"/>
    </xf>
    <xf numFmtId="0" fontId="2" fillId="3" borderId="2" xfId="2" applyFont="1" applyFill="1" applyBorder="1" applyAlignment="1">
      <alignment horizontal="center"/>
    </xf>
    <xf numFmtId="0" fontId="1" fillId="0" borderId="3" xfId="2" applyBorder="1"/>
    <xf numFmtId="0" fontId="1" fillId="0" borderId="4" xfId="2" applyBorder="1"/>
    <xf numFmtId="0" fontId="2" fillId="0" borderId="0" xfId="2" applyFont="1"/>
    <xf numFmtId="0" fontId="1" fillId="0" borderId="5" xfId="2" applyBorder="1"/>
    <xf numFmtId="0" fontId="8" fillId="0" borderId="0" xfId="2" applyFont="1" applyAlignment="1">
      <alignment horizontal="center"/>
    </xf>
    <xf numFmtId="0" fontId="1" fillId="0" borderId="6" xfId="2" applyBorder="1"/>
    <xf numFmtId="0" fontId="9" fillId="0" borderId="0" xfId="2" applyFont="1" applyAlignment="1">
      <alignment horizontal="center"/>
    </xf>
    <xf numFmtId="0" fontId="9" fillId="0" borderId="0" xfId="2" applyFont="1"/>
    <xf numFmtId="0" fontId="1" fillId="4" borderId="0" xfId="2" applyFill="1"/>
    <xf numFmtId="0" fontId="2" fillId="4" borderId="0" xfId="2" applyFont="1" applyFill="1" applyAlignment="1">
      <alignment horizontal="center"/>
    </xf>
    <xf numFmtId="0" fontId="1" fillId="4" borderId="0" xfId="2" applyFill="1" applyAlignment="1">
      <alignment horizontal="center"/>
    </xf>
    <xf numFmtId="0" fontId="2" fillId="4" borderId="0" xfId="2" applyFont="1" applyFill="1"/>
    <xf numFmtId="14" fontId="10" fillId="2" borderId="7" xfId="2" applyNumberFormat="1" applyFont="1" applyFill="1" applyBorder="1"/>
    <xf numFmtId="0" fontId="0" fillId="4" borderId="0" xfId="2" applyFont="1" applyFill="1"/>
    <xf numFmtId="0" fontId="1" fillId="5" borderId="0" xfId="2" applyFill="1"/>
    <xf numFmtId="0" fontId="2" fillId="5" borderId="0" xfId="2" applyFont="1" applyFill="1"/>
    <xf numFmtId="0" fontId="1" fillId="5" borderId="0" xfId="2" applyFill="1" applyAlignment="1">
      <alignment horizontal="center"/>
    </xf>
    <xf numFmtId="0" fontId="11" fillId="5" borderId="0" xfId="2" applyFont="1" applyFill="1"/>
    <xf numFmtId="0" fontId="2" fillId="6" borderId="0" xfId="2" applyFont="1" applyFill="1"/>
    <xf numFmtId="1" fontId="2" fillId="5" borderId="0" xfId="2" applyNumberFormat="1" applyFont="1" applyFill="1"/>
    <xf numFmtId="1" fontId="2" fillId="0" borderId="0" xfId="2" applyNumberFormat="1" applyFont="1"/>
    <xf numFmtId="2" fontId="0" fillId="5" borderId="0" xfId="2" applyNumberFormat="1" applyFont="1" applyFill="1"/>
    <xf numFmtId="2" fontId="2" fillId="5" borderId="0" xfId="2" applyNumberFormat="1" applyFont="1" applyFill="1"/>
    <xf numFmtId="164" fontId="2" fillId="5" borderId="0" xfId="2" applyNumberFormat="1" applyFont="1" applyFill="1"/>
    <xf numFmtId="0" fontId="12" fillId="5" borderId="0" xfId="2" applyFont="1" applyFill="1" applyAlignment="1">
      <alignment horizontal="center"/>
    </xf>
    <xf numFmtId="44" fontId="13" fillId="5" borderId="0" xfId="1" applyFont="1" applyFill="1"/>
    <xf numFmtId="0" fontId="1" fillId="7" borderId="0" xfId="2" applyFill="1"/>
    <xf numFmtId="1" fontId="13" fillId="5" borderId="0" xfId="2" applyNumberFormat="1" applyFont="1" applyFill="1"/>
    <xf numFmtId="0" fontId="14" fillId="5" borderId="0" xfId="2" applyFont="1" applyFill="1"/>
    <xf numFmtId="0" fontId="1" fillId="5" borderId="0" xfId="2" applyFill="1" applyAlignment="1">
      <alignment horizontal="right"/>
    </xf>
    <xf numFmtId="9" fontId="2" fillId="2" borderId="8" xfId="2" applyNumberFormat="1" applyFont="1" applyFill="1" applyBorder="1"/>
    <xf numFmtId="9" fontId="2" fillId="8" borderId="0" xfId="2" applyNumberFormat="1" applyFont="1" applyFill="1"/>
    <xf numFmtId="9" fontId="2" fillId="2" borderId="9" xfId="2" applyNumberFormat="1" applyFont="1" applyFill="1" applyBorder="1"/>
    <xf numFmtId="9" fontId="2" fillId="9" borderId="7" xfId="2" applyNumberFormat="1" applyFont="1" applyFill="1" applyBorder="1"/>
    <xf numFmtId="9" fontId="2" fillId="9" borderId="0" xfId="2" applyNumberFormat="1" applyFont="1" applyFill="1"/>
    <xf numFmtId="9" fontId="2" fillId="0" borderId="0" xfId="2" applyNumberFormat="1" applyFont="1"/>
    <xf numFmtId="0" fontId="1" fillId="0" borderId="10" xfId="2" applyBorder="1"/>
    <xf numFmtId="0" fontId="1" fillId="0" borderId="11" xfId="2" applyBorder="1"/>
    <xf numFmtId="0" fontId="1" fillId="0" borderId="12" xfId="2" applyBorder="1"/>
    <xf numFmtId="0" fontId="1" fillId="5" borderId="13" xfId="2" applyFill="1" applyBorder="1"/>
    <xf numFmtId="0" fontId="1" fillId="5" borderId="13" xfId="2" applyFill="1" applyBorder="1" applyAlignment="1">
      <alignment horizontal="center"/>
    </xf>
    <xf numFmtId="0" fontId="2" fillId="5" borderId="13" xfId="2" applyFont="1" applyFill="1" applyBorder="1"/>
    <xf numFmtId="0" fontId="1" fillId="0" borderId="13" xfId="2" applyBorder="1"/>
    <xf numFmtId="0" fontId="1" fillId="0" borderId="13" xfId="2" applyBorder="1" applyAlignment="1">
      <alignment horizontal="center"/>
    </xf>
    <xf numFmtId="0" fontId="2" fillId="0" borderId="13" xfId="2" applyFont="1" applyBorder="1"/>
    <xf numFmtId="43" fontId="2" fillId="5" borderId="0" xfId="2" applyNumberFormat="1" applyFont="1" applyFill="1"/>
    <xf numFmtId="43" fontId="2" fillId="0" borderId="0" xfId="2" applyNumberFormat="1" applyFont="1"/>
    <xf numFmtId="43" fontId="2" fillId="9" borderId="0" xfId="2" applyNumberFormat="1" applyFont="1" applyFill="1"/>
    <xf numFmtId="0" fontId="1" fillId="10" borderId="0" xfId="2" applyFill="1"/>
    <xf numFmtId="0" fontId="2" fillId="10" borderId="0" xfId="2" applyFont="1" applyFill="1"/>
    <xf numFmtId="0" fontId="2" fillId="9" borderId="0" xfId="2" applyFont="1" applyFill="1"/>
    <xf numFmtId="0" fontId="1" fillId="10" borderId="0" xfId="2" applyFill="1" applyAlignment="1">
      <alignment horizontal="center"/>
    </xf>
    <xf numFmtId="43" fontId="2" fillId="10" borderId="0" xfId="2" applyNumberFormat="1" applyFont="1" applyFill="1"/>
    <xf numFmtId="0" fontId="15" fillId="10" borderId="0" xfId="2" applyFont="1" applyFill="1"/>
    <xf numFmtId="0" fontId="15" fillId="10" borderId="0" xfId="2" applyFont="1" applyFill="1" applyAlignment="1">
      <alignment horizontal="center"/>
    </xf>
    <xf numFmtId="0" fontId="16" fillId="10" borderId="0" xfId="2" applyFont="1" applyFill="1"/>
    <xf numFmtId="165" fontId="2" fillId="10" borderId="0" xfId="1" applyNumberFormat="1" applyFont="1" applyFill="1"/>
    <xf numFmtId="2" fontId="2" fillId="10" borderId="0" xfId="2" applyNumberFormat="1" applyFont="1" applyFill="1"/>
    <xf numFmtId="43" fontId="2" fillId="0" borderId="13" xfId="2" applyNumberFormat="1" applyFont="1" applyBorder="1"/>
    <xf numFmtId="0" fontId="1" fillId="0" borderId="11" xfId="2" applyBorder="1" applyAlignment="1">
      <alignment horizontal="center"/>
    </xf>
    <xf numFmtId="0" fontId="2" fillId="0" borderId="11" xfId="2" applyFont="1" applyBorder="1"/>
    <xf numFmtId="0" fontId="2" fillId="0" borderId="14" xfId="2" applyFont="1" applyBorder="1" applyAlignment="1">
      <alignment horizontal="center"/>
    </xf>
    <xf numFmtId="0" fontId="2" fillId="0" borderId="15" xfId="2" applyFont="1" applyBorder="1" applyAlignment="1">
      <alignment horizontal="center"/>
    </xf>
    <xf numFmtId="0" fontId="1" fillId="0" borderId="15" xfId="2" applyBorder="1"/>
    <xf numFmtId="0" fontId="1" fillId="3" borderId="0" xfId="2" applyFill="1"/>
    <xf numFmtId="0" fontId="1" fillId="3" borderId="0" xfId="2" applyFill="1" applyAlignment="1">
      <alignment horizontal="center"/>
    </xf>
    <xf numFmtId="0" fontId="2" fillId="3" borderId="0" xfId="2" applyFont="1" applyFill="1"/>
    <xf numFmtId="0" fontId="1" fillId="0" borderId="16" xfId="2" applyBorder="1"/>
    <xf numFmtId="0" fontId="1" fillId="0" borderId="17" xfId="2" applyBorder="1"/>
    <xf numFmtId="9" fontId="1" fillId="0" borderId="17" xfId="2" applyNumberFormat="1" applyBorder="1"/>
    <xf numFmtId="0" fontId="1" fillId="3" borderId="17" xfId="2" applyFill="1" applyBorder="1"/>
    <xf numFmtId="9" fontId="1" fillId="0" borderId="16" xfId="2" applyNumberFormat="1" applyBorder="1"/>
    <xf numFmtId="2" fontId="2" fillId="0" borderId="0" xfId="2" applyNumberFormat="1" applyFont="1"/>
    <xf numFmtId="42" fontId="1" fillId="0" borderId="0" xfId="2" applyNumberFormat="1"/>
    <xf numFmtId="0" fontId="1" fillId="0" borderId="0" xfId="3"/>
    <xf numFmtId="0" fontId="17" fillId="11" borderId="18" xfId="0" applyFont="1" applyFill="1" applyBorder="1"/>
    <xf numFmtId="0" fontId="17" fillId="11" borderId="19" xfId="0" applyFont="1" applyFill="1" applyBorder="1"/>
    <xf numFmtId="14" fontId="17" fillId="12" borderId="19" xfId="0" applyNumberFormat="1" applyFont="1" applyFill="1" applyBorder="1" applyAlignment="1">
      <alignment horizontal="left"/>
    </xf>
    <xf numFmtId="14" fontId="18" fillId="12" borderId="20" xfId="0" applyNumberFormat="1" applyFont="1" applyFill="1" applyBorder="1" applyAlignment="1">
      <alignment horizontal="left"/>
    </xf>
    <xf numFmtId="14" fontId="17" fillId="11" borderId="19" xfId="0" applyNumberFormat="1" applyFont="1" applyFill="1" applyBorder="1"/>
    <xf numFmtId="14" fontId="17" fillId="11" borderId="21" xfId="0" applyNumberFormat="1" applyFont="1" applyFill="1" applyBorder="1"/>
    <xf numFmtId="0" fontId="19" fillId="0" borderId="0" xfId="0" applyFont="1"/>
    <xf numFmtId="0" fontId="20" fillId="13" borderId="22" xfId="0" applyFont="1" applyFill="1" applyBorder="1"/>
    <xf numFmtId="0" fontId="20" fillId="13" borderId="3" xfId="0" applyFont="1" applyFill="1" applyBorder="1"/>
    <xf numFmtId="0" fontId="20" fillId="13" borderId="3" xfId="0" applyFont="1" applyFill="1" applyBorder="1" applyAlignment="1">
      <alignment wrapText="1"/>
    </xf>
    <xf numFmtId="166" fontId="0" fillId="13" borderId="19" xfId="0" applyNumberFormat="1" applyFill="1" applyBorder="1"/>
    <xf numFmtId="166" fontId="0" fillId="13" borderId="3" xfId="0" applyNumberFormat="1" applyFill="1" applyBorder="1"/>
    <xf numFmtId="166" fontId="0" fillId="13" borderId="23" xfId="0" applyNumberFormat="1" applyFill="1" applyBorder="1"/>
    <xf numFmtId="0" fontId="20" fillId="0" borderId="18" xfId="0" applyFont="1" applyBorder="1"/>
    <xf numFmtId="0" fontId="20" fillId="0" borderId="19" xfId="0" applyFont="1" applyBorder="1"/>
    <xf numFmtId="0" fontId="20" fillId="0" borderId="19" xfId="0" applyFont="1" applyBorder="1" applyAlignment="1">
      <alignment wrapText="1"/>
    </xf>
    <xf numFmtId="166" fontId="0" fillId="0" borderId="19" xfId="0" applyNumberFormat="1" applyBorder="1"/>
    <xf numFmtId="166" fontId="0" fillId="0" borderId="21" xfId="0" applyNumberFormat="1" applyBorder="1"/>
    <xf numFmtId="0" fontId="20" fillId="13" borderId="18" xfId="0" applyFont="1" applyFill="1" applyBorder="1"/>
    <xf numFmtId="0" fontId="20" fillId="13" borderId="19" xfId="0" applyFont="1" applyFill="1" applyBorder="1"/>
    <xf numFmtId="0" fontId="20" fillId="13" borderId="19" xfId="0" applyFont="1" applyFill="1" applyBorder="1" applyAlignment="1">
      <alignment wrapText="1"/>
    </xf>
    <xf numFmtId="166" fontId="0" fillId="13" borderId="21" xfId="0" applyNumberFormat="1" applyFill="1" applyBorder="1"/>
    <xf numFmtId="0" fontId="20" fillId="0" borderId="24" xfId="0" applyFont="1" applyBorder="1"/>
    <xf numFmtId="0" fontId="20" fillId="0" borderId="25" xfId="0" applyFont="1" applyBorder="1"/>
    <xf numFmtId="0" fontId="20" fillId="0" borderId="25" xfId="0" applyFont="1" applyBorder="1" applyAlignment="1">
      <alignment wrapText="1"/>
    </xf>
    <xf numFmtId="166" fontId="0" fillId="0" borderId="25" xfId="0" applyNumberFormat="1" applyBorder="1"/>
    <xf numFmtId="166" fontId="0" fillId="0" borderId="26" xfId="0" applyNumberFormat="1" applyBorder="1"/>
    <xf numFmtId="0" fontId="21" fillId="0" borderId="0" xfId="0" applyFont="1" applyAlignment="1">
      <alignment wrapText="1"/>
    </xf>
    <xf numFmtId="0" fontId="21" fillId="14" borderId="0" xfId="0" applyFont="1" applyFill="1" applyAlignment="1">
      <alignment wrapText="1"/>
    </xf>
    <xf numFmtId="0" fontId="21" fillId="15" borderId="0" xfId="0" applyFont="1" applyFill="1" applyAlignment="1">
      <alignment wrapText="1"/>
    </xf>
    <xf numFmtId="0" fontId="21" fillId="16" borderId="0" xfId="0" applyFont="1" applyFill="1" applyAlignment="1">
      <alignment wrapText="1"/>
    </xf>
    <xf numFmtId="40" fontId="21" fillId="0" borderId="0" xfId="0" applyNumberFormat="1" applyFont="1" applyAlignment="1">
      <alignment wrapText="1"/>
    </xf>
    <xf numFmtId="0" fontId="22" fillId="17" borderId="27" xfId="0" applyFont="1" applyFill="1" applyBorder="1" applyAlignment="1">
      <alignment textRotation="46"/>
    </xf>
    <xf numFmtId="0" fontId="22" fillId="17" borderId="28" xfId="0" applyFont="1" applyFill="1" applyBorder="1" applyAlignment="1">
      <alignment textRotation="46"/>
    </xf>
    <xf numFmtId="0" fontId="22" fillId="18" borderId="28" xfId="0" applyFont="1" applyFill="1" applyBorder="1" applyAlignment="1">
      <alignment textRotation="46"/>
    </xf>
    <xf numFmtId="0" fontId="22" fillId="19" borderId="28" xfId="0" applyFont="1" applyFill="1" applyBorder="1" applyAlignment="1">
      <alignment textRotation="46"/>
    </xf>
    <xf numFmtId="0" fontId="22" fillId="20" borderId="28" xfId="0" applyFont="1" applyFill="1" applyBorder="1" applyAlignment="1">
      <alignment textRotation="46"/>
    </xf>
    <xf numFmtId="40" fontId="22" fillId="17" borderId="28" xfId="0" applyNumberFormat="1" applyFont="1" applyFill="1" applyBorder="1" applyAlignment="1">
      <alignment textRotation="46"/>
    </xf>
    <xf numFmtId="0" fontId="22" fillId="17" borderId="29" xfId="0" applyFont="1" applyFill="1" applyBorder="1" applyAlignment="1">
      <alignment textRotation="46"/>
    </xf>
    <xf numFmtId="0" fontId="21" fillId="0" borderId="0" xfId="0" applyFont="1"/>
    <xf numFmtId="167" fontId="21" fillId="21" borderId="20" xfId="0" applyNumberFormat="1" applyFont="1" applyFill="1" applyBorder="1"/>
    <xf numFmtId="168" fontId="21" fillId="21" borderId="20" xfId="0" applyNumberFormat="1" applyFont="1" applyFill="1" applyBorder="1"/>
    <xf numFmtId="49" fontId="21" fillId="13" borderId="20" xfId="0" applyNumberFormat="1" applyFont="1" applyFill="1" applyBorder="1" applyAlignment="1">
      <alignment horizontal="center"/>
    </xf>
    <xf numFmtId="0" fontId="21" fillId="21" borderId="20" xfId="4" applyNumberFormat="1" applyFont="1" applyFill="1" applyBorder="1" applyAlignment="1">
      <alignment horizontal="center" vertical="center"/>
    </xf>
    <xf numFmtId="2" fontId="21" fillId="8" borderId="20" xfId="4" applyNumberFormat="1" applyFont="1" applyFill="1" applyBorder="1" applyAlignment="1">
      <alignment horizontal="center" vertical="center"/>
    </xf>
    <xf numFmtId="40" fontId="21" fillId="8" borderId="20" xfId="4" applyNumberFormat="1" applyFont="1" applyFill="1" applyBorder="1" applyAlignment="1">
      <alignment horizontal="center" vertical="center"/>
    </xf>
    <xf numFmtId="2" fontId="21" fillId="21" borderId="30" xfId="0" applyNumberFormat="1" applyFont="1" applyFill="1" applyBorder="1" applyAlignment="1">
      <alignment horizontal="center"/>
    </xf>
    <xf numFmtId="2" fontId="21" fillId="8" borderId="30" xfId="0" applyNumberFormat="1" applyFont="1" applyFill="1" applyBorder="1" applyAlignment="1">
      <alignment horizontal="center"/>
    </xf>
    <xf numFmtId="9" fontId="21" fillId="8" borderId="30" xfId="0" applyNumberFormat="1" applyFont="1" applyFill="1" applyBorder="1"/>
    <xf numFmtId="2" fontId="21" fillId="8" borderId="30" xfId="0" applyNumberFormat="1" applyFont="1" applyFill="1" applyBorder="1"/>
    <xf numFmtId="2" fontId="21" fillId="22" borderId="30" xfId="0" applyNumberFormat="1" applyFont="1" applyFill="1" applyBorder="1" applyAlignment="1">
      <alignment horizontal="center"/>
    </xf>
    <xf numFmtId="164" fontId="21" fillId="15" borderId="30" xfId="0" applyNumberFormat="1" applyFont="1" applyFill="1" applyBorder="1" applyAlignment="1">
      <alignment horizontal="center"/>
    </xf>
    <xf numFmtId="2" fontId="23" fillId="21" borderId="30" xfId="0" applyNumberFormat="1" applyFont="1" applyFill="1" applyBorder="1" applyAlignment="1">
      <alignment horizontal="center"/>
    </xf>
    <xf numFmtId="40" fontId="21" fillId="21" borderId="30" xfId="0" applyNumberFormat="1" applyFont="1" applyFill="1" applyBorder="1"/>
    <xf numFmtId="9" fontId="21" fillId="21" borderId="30" xfId="0" applyNumberFormat="1" applyFont="1" applyFill="1" applyBorder="1"/>
    <xf numFmtId="9" fontId="21" fillId="21" borderId="31" xfId="0" applyNumberFormat="1" applyFont="1" applyFill="1" applyBorder="1"/>
    <xf numFmtId="0" fontId="21" fillId="21" borderId="0" xfId="0" applyFont="1" applyFill="1"/>
    <xf numFmtId="14" fontId="21" fillId="21" borderId="20" xfId="0" applyNumberFormat="1" applyFont="1" applyFill="1" applyBorder="1"/>
    <xf numFmtId="14" fontId="21" fillId="13" borderId="20" xfId="0" applyNumberFormat="1" applyFont="1" applyFill="1" applyBorder="1"/>
    <xf numFmtId="168" fontId="21" fillId="13" borderId="20" xfId="0" applyNumberFormat="1" applyFont="1" applyFill="1" applyBorder="1"/>
    <xf numFmtId="0" fontId="21" fillId="8" borderId="20" xfId="4" applyNumberFormat="1" applyFont="1" applyFill="1" applyBorder="1" applyAlignment="1">
      <alignment horizontal="center" vertical="center"/>
    </xf>
    <xf numFmtId="40" fontId="21" fillId="8" borderId="30" xfId="0" applyNumberFormat="1" applyFont="1" applyFill="1" applyBorder="1"/>
    <xf numFmtId="9" fontId="21" fillId="8" borderId="31" xfId="0" applyNumberFormat="1" applyFont="1" applyFill="1" applyBorder="1"/>
    <xf numFmtId="0" fontId="21" fillId="8" borderId="0" xfId="0" applyFont="1" applyFill="1"/>
    <xf numFmtId="49" fontId="21" fillId="21" borderId="20" xfId="0" applyNumberFormat="1" applyFont="1" applyFill="1" applyBorder="1" applyAlignment="1">
      <alignment horizontal="center"/>
    </xf>
    <xf numFmtId="2" fontId="21" fillId="21" borderId="20" xfId="4" applyNumberFormat="1" applyFont="1" applyFill="1" applyBorder="1" applyAlignment="1">
      <alignment horizontal="center" vertical="center"/>
    </xf>
    <xf numFmtId="40" fontId="21" fillId="21" borderId="20" xfId="4" applyNumberFormat="1" applyFont="1" applyFill="1" applyBorder="1" applyAlignment="1">
      <alignment horizontal="center" vertical="center"/>
    </xf>
    <xf numFmtId="2" fontId="21" fillId="21" borderId="30" xfId="0" applyNumberFormat="1" applyFont="1" applyFill="1" applyBorder="1"/>
    <xf numFmtId="168" fontId="21" fillId="23" borderId="20" xfId="0" applyNumberFormat="1" applyFont="1" applyFill="1" applyBorder="1"/>
    <xf numFmtId="49" fontId="21" fillId="23" borderId="20" xfId="0" applyNumberFormat="1" applyFont="1" applyFill="1" applyBorder="1" applyAlignment="1">
      <alignment horizontal="center"/>
    </xf>
    <xf numFmtId="168" fontId="21" fillId="8" borderId="20" xfId="0" applyNumberFormat="1" applyFont="1" applyFill="1" applyBorder="1"/>
    <xf numFmtId="49" fontId="21" fillId="8" borderId="20" xfId="0" applyNumberFormat="1" applyFont="1" applyFill="1" applyBorder="1" applyAlignment="1">
      <alignment horizontal="center"/>
    </xf>
    <xf numFmtId="2" fontId="21" fillId="21" borderId="0" xfId="0" applyNumberFormat="1" applyFont="1" applyFill="1"/>
    <xf numFmtId="40" fontId="21" fillId="8" borderId="0" xfId="0" applyNumberFormat="1" applyFont="1" applyFill="1"/>
    <xf numFmtId="40" fontId="21" fillId="21" borderId="0" xfId="0" applyNumberFormat="1" applyFont="1" applyFill="1"/>
    <xf numFmtId="40" fontId="21" fillId="0" borderId="30" xfId="0" applyNumberFormat="1" applyFont="1" applyBorder="1"/>
    <xf numFmtId="9" fontId="21" fillId="0" borderId="30" xfId="0" applyNumberFormat="1" applyFont="1" applyBorder="1"/>
    <xf numFmtId="9" fontId="21" fillId="0" borderId="31" xfId="0" applyNumberFormat="1" applyFont="1" applyBorder="1"/>
    <xf numFmtId="40" fontId="21" fillId="0" borderId="0" xfId="0" applyNumberFormat="1" applyFont="1"/>
    <xf numFmtId="14" fontId="21" fillId="24" borderId="20" xfId="0" applyNumberFormat="1" applyFont="1" applyFill="1" applyBorder="1"/>
    <xf numFmtId="168" fontId="21" fillId="24" borderId="20" xfId="0" applyNumberFormat="1" applyFont="1" applyFill="1" applyBorder="1"/>
    <xf numFmtId="49" fontId="21" fillId="24" borderId="20" xfId="0" applyNumberFormat="1" applyFont="1" applyFill="1" applyBorder="1" applyAlignment="1">
      <alignment horizontal="center"/>
    </xf>
    <xf numFmtId="0" fontId="21" fillId="15" borderId="20" xfId="4" applyNumberFormat="1" applyFont="1" applyFill="1" applyBorder="1" applyAlignment="1">
      <alignment horizontal="center" vertical="center"/>
    </xf>
    <xf numFmtId="2" fontId="21" fillId="15" borderId="20" xfId="4" applyNumberFormat="1" applyFont="1" applyFill="1" applyBorder="1" applyAlignment="1">
      <alignment horizontal="center" vertical="center"/>
    </xf>
    <xf numFmtId="40" fontId="21" fillId="15" borderId="20" xfId="4" applyNumberFormat="1" applyFont="1" applyFill="1" applyBorder="1" applyAlignment="1">
      <alignment horizontal="center" vertical="center"/>
    </xf>
    <xf numFmtId="2" fontId="21" fillId="15" borderId="30" xfId="0" applyNumberFormat="1" applyFont="1" applyFill="1" applyBorder="1" applyAlignment="1">
      <alignment horizontal="center"/>
    </xf>
    <xf numFmtId="9" fontId="21" fillId="15" borderId="30" xfId="0" applyNumberFormat="1" applyFont="1" applyFill="1" applyBorder="1"/>
    <xf numFmtId="2" fontId="21" fillId="15" borderId="30" xfId="0" applyNumberFormat="1" applyFont="1" applyFill="1" applyBorder="1"/>
    <xf numFmtId="40" fontId="21" fillId="15" borderId="30" xfId="0" applyNumberFormat="1" applyFont="1" applyFill="1" applyBorder="1"/>
    <xf numFmtId="9" fontId="21" fillId="15" borderId="31" xfId="0" applyNumberFormat="1" applyFont="1" applyFill="1" applyBorder="1"/>
    <xf numFmtId="0" fontId="21" fillId="15" borderId="0" xfId="0" applyFont="1" applyFill="1"/>
    <xf numFmtId="40" fontId="21" fillId="15" borderId="0" xfId="0" applyNumberFormat="1" applyFont="1" applyFill="1"/>
    <xf numFmtId="0" fontId="21" fillId="2" borderId="32" xfId="4" applyNumberFormat="1" applyFont="1" applyFill="1" applyBorder="1" applyAlignment="1">
      <alignment horizontal="center" vertical="center"/>
    </xf>
    <xf numFmtId="2" fontId="21" fillId="2" borderId="20" xfId="4" applyNumberFormat="1" applyFont="1" applyFill="1" applyBorder="1" applyAlignment="1">
      <alignment horizontal="center" vertical="center"/>
    </xf>
    <xf numFmtId="40" fontId="21" fillId="2" borderId="20" xfId="4" applyNumberFormat="1" applyFont="1" applyFill="1" applyBorder="1" applyAlignment="1">
      <alignment horizontal="center" vertical="center"/>
    </xf>
    <xf numFmtId="2" fontId="21" fillId="0" borderId="30" xfId="0" applyNumberFormat="1" applyFont="1" applyBorder="1" applyAlignment="1">
      <alignment horizontal="center"/>
    </xf>
    <xf numFmtId="2" fontId="21" fillId="4" borderId="30" xfId="0" applyNumberFormat="1" applyFont="1" applyFill="1" applyBorder="1"/>
    <xf numFmtId="2" fontId="21" fillId="2" borderId="33" xfId="4" applyNumberFormat="1" applyFont="1" applyFill="1" applyBorder="1" applyAlignment="1">
      <alignment horizontal="center" vertical="center"/>
    </xf>
    <xf numFmtId="40" fontId="21" fillId="2" borderId="33" xfId="4" applyNumberFormat="1" applyFont="1" applyFill="1" applyBorder="1" applyAlignment="1">
      <alignment horizontal="center" vertical="center"/>
    </xf>
    <xf numFmtId="2" fontId="23" fillId="22" borderId="30" xfId="0" applyNumberFormat="1" applyFont="1" applyFill="1" applyBorder="1" applyAlignment="1">
      <alignment horizontal="center"/>
    </xf>
    <xf numFmtId="2" fontId="24" fillId="22" borderId="30" xfId="0" applyNumberFormat="1" applyFont="1" applyFill="1" applyBorder="1" applyAlignment="1">
      <alignment horizontal="center"/>
    </xf>
    <xf numFmtId="14" fontId="21" fillId="25" borderId="20" xfId="0" applyNumberFormat="1" applyFont="1" applyFill="1" applyBorder="1"/>
    <xf numFmtId="168" fontId="21" fillId="25" borderId="20" xfId="0" applyNumberFormat="1" applyFont="1" applyFill="1" applyBorder="1"/>
    <xf numFmtId="49" fontId="21" fillId="25" borderId="20" xfId="0" applyNumberFormat="1" applyFont="1" applyFill="1" applyBorder="1" applyAlignment="1">
      <alignment horizontal="center"/>
    </xf>
    <xf numFmtId="0" fontId="21" fillId="4" borderId="32" xfId="4" applyNumberFormat="1" applyFont="1" applyFill="1" applyBorder="1" applyAlignment="1">
      <alignment horizontal="center" vertical="center"/>
    </xf>
    <xf numFmtId="2" fontId="21" fillId="4" borderId="33" xfId="4" applyNumberFormat="1" applyFont="1" applyFill="1" applyBorder="1" applyAlignment="1">
      <alignment horizontal="center" vertical="center"/>
    </xf>
    <xf numFmtId="40" fontId="21" fillId="4" borderId="33" xfId="4" applyNumberFormat="1" applyFont="1" applyFill="1" applyBorder="1" applyAlignment="1">
      <alignment horizontal="center" vertical="center"/>
    </xf>
    <xf numFmtId="2" fontId="24" fillId="4" borderId="30" xfId="0" applyNumberFormat="1" applyFont="1" applyFill="1" applyBorder="1" applyAlignment="1">
      <alignment horizontal="center"/>
    </xf>
    <xf numFmtId="2" fontId="21" fillId="4" borderId="30" xfId="0" applyNumberFormat="1" applyFont="1" applyFill="1" applyBorder="1" applyAlignment="1">
      <alignment horizontal="center"/>
    </xf>
    <xf numFmtId="9" fontId="21" fillId="4" borderId="30" xfId="0" applyNumberFormat="1" applyFont="1" applyFill="1" applyBorder="1"/>
    <xf numFmtId="164" fontId="21" fillId="4" borderId="30" xfId="0" applyNumberFormat="1" applyFont="1" applyFill="1" applyBorder="1" applyAlignment="1">
      <alignment horizontal="center"/>
    </xf>
    <xf numFmtId="2" fontId="23" fillId="4" borderId="30" xfId="0" applyNumberFormat="1" applyFont="1" applyFill="1" applyBorder="1" applyAlignment="1">
      <alignment horizontal="center"/>
    </xf>
    <xf numFmtId="40" fontId="21" fillId="4" borderId="30" xfId="0" applyNumberFormat="1" applyFont="1" applyFill="1" applyBorder="1"/>
    <xf numFmtId="9" fontId="21" fillId="4" borderId="31" xfId="0" applyNumberFormat="1" applyFont="1" applyFill="1" applyBorder="1"/>
    <xf numFmtId="0" fontId="21" fillId="4" borderId="0" xfId="0" applyFont="1" applyFill="1"/>
    <xf numFmtId="40" fontId="21" fillId="4" borderId="0" xfId="0" applyNumberFormat="1" applyFont="1" applyFill="1"/>
    <xf numFmtId="0" fontId="21" fillId="15" borderId="32" xfId="4" applyNumberFormat="1" applyFont="1" applyFill="1" applyBorder="1" applyAlignment="1">
      <alignment horizontal="center" vertical="center"/>
    </xf>
    <xf numFmtId="2" fontId="21" fillId="15" borderId="33" xfId="4" applyNumberFormat="1" applyFont="1" applyFill="1" applyBorder="1" applyAlignment="1">
      <alignment horizontal="center" vertical="center"/>
    </xf>
    <xf numFmtId="40" fontId="21" fillId="15" borderId="33" xfId="4" applyNumberFormat="1" applyFont="1" applyFill="1" applyBorder="1" applyAlignment="1">
      <alignment horizontal="center" vertical="center"/>
    </xf>
    <xf numFmtId="2" fontId="24" fillId="15" borderId="30" xfId="0" applyNumberFormat="1" applyFont="1" applyFill="1" applyBorder="1" applyAlignment="1">
      <alignment horizontal="center"/>
    </xf>
    <xf numFmtId="2" fontId="23" fillId="15" borderId="30" xfId="0" applyNumberFormat="1" applyFont="1" applyFill="1" applyBorder="1" applyAlignment="1">
      <alignment horizontal="center"/>
    </xf>
    <xf numFmtId="40" fontId="21" fillId="0" borderId="33" xfId="4" applyNumberFormat="1" applyFont="1" applyBorder="1" applyAlignment="1">
      <alignment horizontal="center" vertical="center"/>
    </xf>
    <xf numFmtId="14" fontId="23" fillId="13" borderId="20" xfId="0" applyNumberFormat="1" applyFont="1" applyFill="1" applyBorder="1"/>
    <xf numFmtId="168" fontId="23" fillId="13" borderId="20" xfId="0" applyNumberFormat="1" applyFont="1" applyFill="1" applyBorder="1"/>
    <xf numFmtId="40" fontId="23" fillId="2" borderId="33" xfId="4" applyNumberFormat="1" applyFont="1" applyFill="1" applyBorder="1" applyAlignment="1">
      <alignment horizontal="center" vertical="center"/>
    </xf>
    <xf numFmtId="2" fontId="25" fillId="22" borderId="30" xfId="0" applyNumberFormat="1" applyFont="1" applyFill="1" applyBorder="1" applyAlignment="1">
      <alignment horizontal="center"/>
    </xf>
    <xf numFmtId="14" fontId="23" fillId="13" borderId="34" xfId="0" applyNumberFormat="1" applyFont="1" applyFill="1" applyBorder="1"/>
    <xf numFmtId="168" fontId="23" fillId="13" borderId="34" xfId="0" applyNumberFormat="1" applyFont="1" applyFill="1" applyBorder="1"/>
    <xf numFmtId="49" fontId="21" fillId="13" borderId="34" xfId="0" applyNumberFormat="1" applyFont="1" applyFill="1" applyBorder="1" applyAlignment="1">
      <alignment horizontal="center"/>
    </xf>
    <xf numFmtId="0" fontId="21" fillId="8" borderId="34" xfId="4" applyNumberFormat="1" applyFont="1" applyFill="1" applyBorder="1" applyAlignment="1">
      <alignment horizontal="center" vertical="center"/>
    </xf>
    <xf numFmtId="2" fontId="21" fillId="2" borderId="35" xfId="4" applyNumberFormat="1" applyFont="1" applyFill="1" applyBorder="1" applyAlignment="1">
      <alignment horizontal="center" vertical="center"/>
    </xf>
    <xf numFmtId="40" fontId="23" fillId="15" borderId="35" xfId="4" applyNumberFormat="1" applyFont="1" applyFill="1" applyBorder="1" applyAlignment="1">
      <alignment horizontal="center" vertical="center"/>
    </xf>
    <xf numFmtId="40" fontId="23" fillId="2" borderId="35" xfId="4" applyNumberFormat="1" applyFont="1" applyFill="1" applyBorder="1" applyAlignment="1">
      <alignment horizontal="center" vertical="center"/>
    </xf>
    <xf numFmtId="2" fontId="25" fillId="22" borderId="36" xfId="0" applyNumberFormat="1" applyFont="1" applyFill="1" applyBorder="1" applyAlignment="1">
      <alignment horizontal="center"/>
    </xf>
    <xf numFmtId="2" fontId="21" fillId="0" borderId="36" xfId="0" applyNumberFormat="1" applyFont="1" applyBorder="1" applyAlignment="1">
      <alignment horizontal="center"/>
    </xf>
    <xf numFmtId="2" fontId="24" fillId="22" borderId="36" xfId="0" applyNumberFormat="1" applyFont="1" applyFill="1" applyBorder="1" applyAlignment="1">
      <alignment horizontal="center"/>
    </xf>
    <xf numFmtId="9" fontId="21" fillId="8" borderId="36" xfId="0" applyNumberFormat="1" applyFont="1" applyFill="1" applyBorder="1"/>
    <xf numFmtId="2" fontId="21" fillId="8" borderId="36" xfId="0" applyNumberFormat="1" applyFont="1" applyFill="1" applyBorder="1"/>
    <xf numFmtId="2" fontId="21" fillId="4" borderId="36" xfId="0" applyNumberFormat="1" applyFont="1" applyFill="1" applyBorder="1"/>
    <xf numFmtId="2" fontId="21" fillId="22" borderId="36" xfId="0" applyNumberFormat="1" applyFont="1" applyFill="1" applyBorder="1" applyAlignment="1">
      <alignment horizontal="center"/>
    </xf>
    <xf numFmtId="2" fontId="21" fillId="8" borderId="36" xfId="0" applyNumberFormat="1" applyFont="1" applyFill="1" applyBorder="1" applyAlignment="1">
      <alignment horizontal="center"/>
    </xf>
    <xf numFmtId="164" fontId="21" fillId="15" borderId="36" xfId="0" applyNumberFormat="1" applyFont="1" applyFill="1" applyBorder="1" applyAlignment="1">
      <alignment horizontal="center"/>
    </xf>
    <xf numFmtId="2" fontId="23" fillId="21" borderId="36" xfId="0" applyNumberFormat="1" applyFont="1" applyFill="1" applyBorder="1" applyAlignment="1">
      <alignment horizontal="center"/>
    </xf>
    <xf numFmtId="40" fontId="21" fillId="0" borderId="36" xfId="0" applyNumberFormat="1" applyFont="1" applyBorder="1"/>
    <xf numFmtId="9" fontId="21" fillId="0" borderId="36" xfId="0" applyNumberFormat="1" applyFont="1" applyBorder="1"/>
    <xf numFmtId="9" fontId="21" fillId="0" borderId="37" xfId="0" applyNumberFormat="1" applyFont="1" applyBorder="1"/>
    <xf numFmtId="0" fontId="27" fillId="0" borderId="0" xfId="0" applyFont="1"/>
    <xf numFmtId="40" fontId="27" fillId="0" borderId="0" xfId="0" applyNumberFormat="1" applyFont="1"/>
    <xf numFmtId="14" fontId="27" fillId="0" borderId="0" xfId="0" applyNumberFormat="1" applyFont="1"/>
    <xf numFmtId="40" fontId="0" fillId="0" borderId="0" xfId="0" applyNumberFormat="1"/>
    <xf numFmtId="40" fontId="19" fillId="0" borderId="0" xfId="0" applyNumberFormat="1" applyFont="1"/>
    <xf numFmtId="14" fontId="19" fillId="0" borderId="0" xfId="0" applyNumberFormat="1" applyFont="1"/>
    <xf numFmtId="14" fontId="28" fillId="0" borderId="0" xfId="0" applyNumberFormat="1" applyFont="1"/>
  </cellXfs>
  <cellStyles count="5">
    <cellStyle name="Comma 2" xfId="4" xr:uid="{11C46BA6-E621-448E-8DF2-8B34BBDE60A8}"/>
    <cellStyle name="Currency" xfId="1" builtinId="4"/>
    <cellStyle name="Normal" xfId="0" builtinId="0"/>
    <cellStyle name="Normal 2" xfId="2" xr:uid="{94B3C3F0-28F1-49B9-A2D0-2C9C4A6C4CC9}"/>
    <cellStyle name="Normal 3" xfId="3" xr:uid="{78EDB821-DBD9-428A-B3D6-BB6A37F77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Relative%20Feedstock%20Profitability.xlsx" TargetMode="External"/><Relationship Id="rId1" Type="http://schemas.openxmlformats.org/officeDocument/2006/relationships/externalLinkPath" Target="https://fmpra-my.sharepoint.com/personal/svc-tjteamreader_fmpra_com/Documents/TJTeam%20-%20Documents/Biomass-Based%20Diesel/Relative%20Feedstock%20Profitabil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LCFS%20Credit%20Breakout%20By%20Feedstock%20v4%20-%20HOBO.xlsx" TargetMode="External"/><Relationship Id="rId1" Type="http://schemas.openxmlformats.org/officeDocument/2006/relationships/externalLinkPath" Target="/Users/torem/Dropbox/FM%20Files/HOBO/Biofuel%20Model/LCFS%20Credit%20Breakout%20By%20Feedstock%20v4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Biofuels/GMM%20Forecasts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Biofuels/GMM%20Forecas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oD Profit per Gallon"/>
      <sheetName val="RD Profit per Gallon"/>
      <sheetName val="Soybean Oil"/>
      <sheetName val="Canola Oil"/>
      <sheetName val="BFT"/>
      <sheetName val="CWG"/>
      <sheetName val="Poultry Fat"/>
      <sheetName val="DCO"/>
      <sheetName val="UCO"/>
      <sheetName val="Yellow Grease"/>
      <sheetName val="Fuel Values"/>
      <sheetName val="Fixed Credits Value"/>
      <sheetName val="LCFS Values"/>
      <sheetName val="RIN Values"/>
      <sheetName val="Rail Costs"/>
      <sheetName val="Feedstock Conversions"/>
      <sheetName val="Macro1"/>
    </sheetNames>
    <sheetDataSet>
      <sheetData sheetId="0"/>
      <sheetData sheetId="1"/>
      <sheetData sheetId="2">
        <row r="26">
          <cell r="B26">
            <v>31.914000000000001</v>
          </cell>
        </row>
        <row r="27">
          <cell r="B27">
            <v>31.591999999999999</v>
          </cell>
        </row>
        <row r="28">
          <cell r="B28">
            <v>31.467500000000001</v>
          </cell>
        </row>
        <row r="29">
          <cell r="B29">
            <v>31.666</v>
          </cell>
        </row>
        <row r="30">
          <cell r="B30">
            <v>31.488</v>
          </cell>
        </row>
        <row r="31">
          <cell r="B31">
            <v>31.385999999999999</v>
          </cell>
        </row>
        <row r="32">
          <cell r="B32">
            <v>30.872</v>
          </cell>
        </row>
        <row r="33">
          <cell r="B33">
            <v>31.155999999999999</v>
          </cell>
        </row>
        <row r="34">
          <cell r="B34">
            <v>32.130000000000003</v>
          </cell>
        </row>
        <row r="35">
          <cell r="B35">
            <v>31.815999999999999</v>
          </cell>
        </row>
        <row r="36">
          <cell r="B36">
            <v>31.265999999999998</v>
          </cell>
        </row>
        <row r="37">
          <cell r="B37">
            <v>31.574999999999999</v>
          </cell>
        </row>
        <row r="38">
          <cell r="B38">
            <v>31.611999999999998</v>
          </cell>
        </row>
        <row r="39">
          <cell r="B39">
            <v>32.69</v>
          </cell>
        </row>
        <row r="40">
          <cell r="B40">
            <v>31.911999999999999</v>
          </cell>
        </row>
        <row r="41">
          <cell r="B41">
            <v>32.286000000000001</v>
          </cell>
        </row>
        <row r="42">
          <cell r="B42">
            <v>32.817999999999998</v>
          </cell>
        </row>
        <row r="43">
          <cell r="B43">
            <v>33.258000000000003</v>
          </cell>
        </row>
        <row r="44">
          <cell r="B44">
            <v>33.872</v>
          </cell>
        </row>
        <row r="45">
          <cell r="B45">
            <v>34.008000000000003</v>
          </cell>
        </row>
        <row r="46">
          <cell r="B46">
            <v>34.723999999999997</v>
          </cell>
        </row>
        <row r="47">
          <cell r="B47">
            <v>33.817999999999998</v>
          </cell>
        </row>
        <row r="48">
          <cell r="B48">
            <v>33.527999999999999</v>
          </cell>
        </row>
        <row r="49">
          <cell r="B49">
            <v>32.712499999999999</v>
          </cell>
        </row>
        <row r="50">
          <cell r="B50">
            <v>32.857999999999997</v>
          </cell>
        </row>
        <row r="51">
          <cell r="B51">
            <v>34.417999999999999</v>
          </cell>
        </row>
        <row r="52">
          <cell r="B52">
            <v>36.503999999999998</v>
          </cell>
        </row>
        <row r="53">
          <cell r="B53">
            <v>37.142499999999998</v>
          </cell>
        </row>
        <row r="54">
          <cell r="B54">
            <v>37.945</v>
          </cell>
        </row>
        <row r="55">
          <cell r="B55">
            <v>37.508000000000003</v>
          </cell>
        </row>
        <row r="56">
          <cell r="B56">
            <v>36.49</v>
          </cell>
        </row>
        <row r="57">
          <cell r="B57">
            <v>35.517499999999998</v>
          </cell>
        </row>
        <row r="58">
          <cell r="B58">
            <v>33.933999999999997</v>
          </cell>
        </row>
        <row r="59">
          <cell r="B59">
            <v>34.11</v>
          </cell>
        </row>
        <row r="60">
          <cell r="B60">
            <v>34.012</v>
          </cell>
        </row>
        <row r="61">
          <cell r="B61">
            <v>33.457500000000003</v>
          </cell>
        </row>
        <row r="62">
          <cell r="B62">
            <v>32.155999999999999</v>
          </cell>
        </row>
        <row r="63">
          <cell r="B63">
            <v>32.44</v>
          </cell>
        </row>
        <row r="64">
          <cell r="B64">
            <v>30.388000000000002</v>
          </cell>
        </row>
        <row r="65">
          <cell r="B65">
            <v>28.417999999999999</v>
          </cell>
        </row>
        <row r="66">
          <cell r="B66">
            <v>29.556000000000001</v>
          </cell>
        </row>
        <row r="67">
          <cell r="B67">
            <v>29.52</v>
          </cell>
        </row>
        <row r="68">
          <cell r="B68">
            <v>30.225000000000001</v>
          </cell>
        </row>
        <row r="69">
          <cell r="B69">
            <v>29.116</v>
          </cell>
        </row>
        <row r="70">
          <cell r="B70">
            <v>27.981999999999999</v>
          </cell>
        </row>
        <row r="71">
          <cell r="B71">
            <v>27.777999999999999</v>
          </cell>
        </row>
        <row r="72">
          <cell r="B72">
            <v>28.02</v>
          </cell>
        </row>
        <row r="73">
          <cell r="B73">
            <v>27.984000000000002</v>
          </cell>
        </row>
        <row r="74">
          <cell r="B74">
            <v>28.794</v>
          </cell>
        </row>
        <row r="75">
          <cell r="B75">
            <v>29.06</v>
          </cell>
        </row>
        <row r="76">
          <cell r="B76">
            <v>29.922000000000001</v>
          </cell>
        </row>
        <row r="77">
          <cell r="B77">
            <v>29.736000000000001</v>
          </cell>
        </row>
        <row r="78">
          <cell r="B78">
            <v>29.882000000000001</v>
          </cell>
        </row>
        <row r="79">
          <cell r="B79">
            <v>29.582000000000001</v>
          </cell>
        </row>
        <row r="80">
          <cell r="B80">
            <v>30.037500000000001</v>
          </cell>
        </row>
        <row r="81">
          <cell r="B81">
            <v>30.744</v>
          </cell>
        </row>
        <row r="82">
          <cell r="B82">
            <v>31.393999999999998</v>
          </cell>
        </row>
        <row r="83">
          <cell r="B83">
            <v>32.804000000000002</v>
          </cell>
        </row>
        <row r="84">
          <cell r="B84">
            <v>32.835999999999999</v>
          </cell>
        </row>
        <row r="85">
          <cell r="B85">
            <v>34.308</v>
          </cell>
        </row>
        <row r="86">
          <cell r="B86">
            <v>34.61</v>
          </cell>
        </row>
        <row r="87">
          <cell r="B87">
            <v>35.073999999999998</v>
          </cell>
        </row>
        <row r="88">
          <cell r="B88">
            <v>36.265999999999998</v>
          </cell>
        </row>
        <row r="89">
          <cell r="B89">
            <v>36.874000000000002</v>
          </cell>
        </row>
        <row r="90">
          <cell r="B90">
            <v>36.902500000000003</v>
          </cell>
        </row>
        <row r="91">
          <cell r="B91">
            <v>38.328000000000003</v>
          </cell>
        </row>
        <row r="92">
          <cell r="B92">
            <v>36.816000000000003</v>
          </cell>
        </row>
        <row r="93">
          <cell r="B93">
            <v>36.432000000000002</v>
          </cell>
        </row>
        <row r="94">
          <cell r="B94">
            <v>36.887999999999998</v>
          </cell>
        </row>
        <row r="95">
          <cell r="B95">
            <v>37.113999999999997</v>
          </cell>
        </row>
        <row r="96">
          <cell r="B96">
            <v>37.118000000000002</v>
          </cell>
        </row>
        <row r="97">
          <cell r="B97">
            <v>37.481999999999999</v>
          </cell>
        </row>
        <row r="98">
          <cell r="B98">
            <v>38.584000000000003</v>
          </cell>
        </row>
        <row r="99">
          <cell r="B99">
            <v>40.72</v>
          </cell>
        </row>
        <row r="100">
          <cell r="B100">
            <v>42.322000000000003</v>
          </cell>
        </row>
        <row r="101">
          <cell r="B101">
            <v>42.822499999999998</v>
          </cell>
        </row>
        <row r="102">
          <cell r="B102">
            <v>43.54</v>
          </cell>
        </row>
        <row r="103">
          <cell r="B103">
            <v>44.176000000000002</v>
          </cell>
        </row>
        <row r="104">
          <cell r="B104">
            <v>45.643999999999998</v>
          </cell>
        </row>
        <row r="105">
          <cell r="B105">
            <v>46.862499999999997</v>
          </cell>
        </row>
        <row r="106">
          <cell r="B106">
            <v>48.55</v>
          </cell>
        </row>
        <row r="107">
          <cell r="B107">
            <v>49.39</v>
          </cell>
        </row>
        <row r="108">
          <cell r="B108">
            <v>48.58</v>
          </cell>
        </row>
        <row r="109">
          <cell r="B109">
            <v>48.984999999999999</v>
          </cell>
        </row>
        <row r="110">
          <cell r="B110">
            <v>50.628</v>
          </cell>
        </row>
        <row r="111">
          <cell r="B111">
            <v>50.173999999999999</v>
          </cell>
        </row>
        <row r="112">
          <cell r="B112">
            <v>51.201999999999998</v>
          </cell>
        </row>
        <row r="113">
          <cell r="B113">
            <v>52.25</v>
          </cell>
        </row>
        <row r="114">
          <cell r="B114">
            <v>56.72</v>
          </cell>
        </row>
        <row r="115">
          <cell r="B115">
            <v>57.735999999999997</v>
          </cell>
        </row>
        <row r="116">
          <cell r="B116">
            <v>62.898000000000003</v>
          </cell>
        </row>
        <row r="117">
          <cell r="B117">
            <v>64.433999999999997</v>
          </cell>
        </row>
        <row r="118">
          <cell r="B118">
            <v>65.665999999999997</v>
          </cell>
        </row>
        <row r="119">
          <cell r="B119">
            <v>62.1175</v>
          </cell>
        </row>
        <row r="120">
          <cell r="B120">
            <v>63.161999999999999</v>
          </cell>
        </row>
        <row r="121">
          <cell r="B121">
            <v>67.188000000000002</v>
          </cell>
        </row>
        <row r="122">
          <cell r="B122">
            <v>77.602000000000004</v>
          </cell>
        </row>
        <row r="123">
          <cell r="B123">
            <v>81.042000000000002</v>
          </cell>
        </row>
        <row r="124">
          <cell r="B124">
            <v>83.786000000000001</v>
          </cell>
        </row>
        <row r="125">
          <cell r="B125">
            <v>92.28</v>
          </cell>
        </row>
        <row r="126">
          <cell r="B126">
            <v>98.072000000000003</v>
          </cell>
        </row>
        <row r="127">
          <cell r="B127">
            <v>97.02</v>
          </cell>
        </row>
        <row r="128">
          <cell r="B128">
            <v>100.99</v>
          </cell>
        </row>
        <row r="129">
          <cell r="B129">
            <v>103.08799999999999</v>
          </cell>
        </row>
        <row r="130">
          <cell r="B130">
            <v>94.858000000000004</v>
          </cell>
        </row>
        <row r="131">
          <cell r="B131">
            <v>92.108000000000004</v>
          </cell>
        </row>
        <row r="132">
          <cell r="B132">
            <v>97.548000000000002</v>
          </cell>
        </row>
        <row r="133">
          <cell r="B133">
            <v>93.072500000000005</v>
          </cell>
        </row>
        <row r="134">
          <cell r="B134">
            <v>91.885999999999996</v>
          </cell>
        </row>
        <row r="135">
          <cell r="B135">
            <v>90.266000000000005</v>
          </cell>
        </row>
        <row r="136">
          <cell r="B136">
            <v>93.097999999999999</v>
          </cell>
        </row>
        <row r="137">
          <cell r="B137">
            <v>88.352000000000004</v>
          </cell>
        </row>
        <row r="138">
          <cell r="B138">
            <v>83.42</v>
          </cell>
        </row>
        <row r="139">
          <cell r="B139">
            <v>81.17</v>
          </cell>
        </row>
        <row r="140">
          <cell r="B140">
            <v>81.572000000000003</v>
          </cell>
        </row>
        <row r="141">
          <cell r="B141">
            <v>74.123999999999995</v>
          </cell>
        </row>
        <row r="142">
          <cell r="B142">
            <v>75.504999999999995</v>
          </cell>
        </row>
        <row r="143">
          <cell r="B143">
            <v>76.394000000000005</v>
          </cell>
        </row>
        <row r="144">
          <cell r="B144">
            <v>73.537999999999997</v>
          </cell>
        </row>
        <row r="145">
          <cell r="B145">
            <v>76.492000000000004</v>
          </cell>
        </row>
        <row r="146">
          <cell r="B146">
            <v>78.775999999999996</v>
          </cell>
        </row>
        <row r="147">
          <cell r="B147">
            <v>78.736000000000004</v>
          </cell>
        </row>
        <row r="148">
          <cell r="B148">
            <v>81.456000000000003</v>
          </cell>
        </row>
        <row r="149">
          <cell r="B149">
            <v>80.201999999999998</v>
          </cell>
        </row>
        <row r="150">
          <cell r="B150">
            <v>78.77</v>
          </cell>
        </row>
        <row r="151">
          <cell r="B151">
            <v>77.254000000000005</v>
          </cell>
        </row>
        <row r="152">
          <cell r="B152">
            <v>76.786000000000001</v>
          </cell>
        </row>
        <row r="153">
          <cell r="B153">
            <v>77.877499999999998</v>
          </cell>
        </row>
        <row r="154">
          <cell r="B154">
            <v>74.421999999999997</v>
          </cell>
        </row>
        <row r="155">
          <cell r="B155">
            <v>73.81</v>
          </cell>
        </row>
        <row r="156">
          <cell r="B156">
            <v>71.518000000000001</v>
          </cell>
        </row>
        <row r="157">
          <cell r="B157">
            <v>72.277500000000003</v>
          </cell>
        </row>
        <row r="158">
          <cell r="B158">
            <v>73.83</v>
          </cell>
        </row>
        <row r="159">
          <cell r="B159">
            <v>74.573999999999998</v>
          </cell>
        </row>
        <row r="160">
          <cell r="B160">
            <v>73.334000000000003</v>
          </cell>
        </row>
        <row r="161">
          <cell r="B161">
            <v>75.930000000000007</v>
          </cell>
        </row>
        <row r="162">
          <cell r="B162">
            <v>77.953999999999994</v>
          </cell>
        </row>
        <row r="163">
          <cell r="B163">
            <v>79.147999999999996</v>
          </cell>
        </row>
        <row r="164">
          <cell r="B164">
            <v>77.453999999999994</v>
          </cell>
        </row>
        <row r="165">
          <cell r="B165">
            <v>78.858000000000004</v>
          </cell>
        </row>
        <row r="166">
          <cell r="B166">
            <v>82.405000000000001</v>
          </cell>
        </row>
        <row r="167">
          <cell r="B167">
            <v>87.316000000000003</v>
          </cell>
        </row>
        <row r="168">
          <cell r="B168">
            <v>90.665999999999997</v>
          </cell>
        </row>
        <row r="169">
          <cell r="B169">
            <v>92.92</v>
          </cell>
        </row>
        <row r="170">
          <cell r="B170">
            <v>93.552000000000007</v>
          </cell>
        </row>
        <row r="171">
          <cell r="B171">
            <v>90.093999999999994</v>
          </cell>
        </row>
        <row r="172">
          <cell r="B172">
            <v>88.744</v>
          </cell>
        </row>
        <row r="173">
          <cell r="B173">
            <v>93.4375</v>
          </cell>
        </row>
        <row r="174">
          <cell r="B174">
            <v>98.953999999999994</v>
          </cell>
        </row>
        <row r="175">
          <cell r="B175">
            <v>105.92</v>
          </cell>
        </row>
        <row r="176">
          <cell r="B176">
            <v>103.71</v>
          </cell>
        </row>
        <row r="177">
          <cell r="B177">
            <v>105.108</v>
          </cell>
        </row>
        <row r="178">
          <cell r="B178">
            <v>104.498</v>
          </cell>
        </row>
        <row r="179">
          <cell r="B179">
            <v>103.32</v>
          </cell>
        </row>
        <row r="180">
          <cell r="B180">
            <v>103.33</v>
          </cell>
        </row>
        <row r="181">
          <cell r="B181">
            <v>104.402</v>
          </cell>
        </row>
        <row r="182">
          <cell r="B182">
            <v>99.518000000000001</v>
          </cell>
        </row>
        <row r="183">
          <cell r="B183">
            <v>92.622500000000002</v>
          </cell>
        </row>
        <row r="184">
          <cell r="B184">
            <v>91.674000000000007</v>
          </cell>
        </row>
        <row r="185">
          <cell r="B185">
            <v>81.347499999999997</v>
          </cell>
        </row>
        <row r="186">
          <cell r="B186">
            <v>80.709999999999994</v>
          </cell>
        </row>
        <row r="187">
          <cell r="B187">
            <v>80.507999999999996</v>
          </cell>
        </row>
        <row r="188">
          <cell r="B188">
            <v>82.51</v>
          </cell>
        </row>
        <row r="189">
          <cell r="B189">
            <v>81.238</v>
          </cell>
        </row>
        <row r="190">
          <cell r="B190">
            <v>85.463999999999999</v>
          </cell>
        </row>
        <row r="191">
          <cell r="B191">
            <v>85.87</v>
          </cell>
        </row>
        <row r="192">
          <cell r="B192">
            <v>86.908000000000001</v>
          </cell>
        </row>
        <row r="193">
          <cell r="B193">
            <v>87.043999999999997</v>
          </cell>
        </row>
        <row r="194">
          <cell r="B194">
            <v>82.7</v>
          </cell>
        </row>
        <row r="195">
          <cell r="B195">
            <v>85.171999999999997</v>
          </cell>
        </row>
        <row r="196">
          <cell r="B196">
            <v>85.17</v>
          </cell>
        </row>
        <row r="197">
          <cell r="B197">
            <v>81.823999999999998</v>
          </cell>
        </row>
        <row r="198">
          <cell r="B198">
            <v>81.103999999999999</v>
          </cell>
        </row>
        <row r="199">
          <cell r="B199">
            <v>81.47</v>
          </cell>
        </row>
        <row r="200">
          <cell r="B200">
            <v>84.528000000000006</v>
          </cell>
        </row>
        <row r="201">
          <cell r="B201">
            <v>88.531999999999996</v>
          </cell>
        </row>
        <row r="202">
          <cell r="B202">
            <v>91.48</v>
          </cell>
        </row>
        <row r="203">
          <cell r="B203">
            <v>92.641999999999996</v>
          </cell>
        </row>
        <row r="204">
          <cell r="B204">
            <v>90.591999999999999</v>
          </cell>
        </row>
        <row r="205">
          <cell r="B205">
            <v>90.067499999999995</v>
          </cell>
        </row>
        <row r="206">
          <cell r="B206">
            <v>88.087999999999994</v>
          </cell>
        </row>
        <row r="207">
          <cell r="B207">
            <v>77.293999999999997</v>
          </cell>
        </row>
        <row r="208">
          <cell r="B208">
            <v>78.709999999999994</v>
          </cell>
        </row>
        <row r="209">
          <cell r="B209">
            <v>78.5</v>
          </cell>
        </row>
        <row r="210">
          <cell r="B210">
            <v>78.915000000000006</v>
          </cell>
        </row>
        <row r="211">
          <cell r="B211">
            <v>75.91</v>
          </cell>
        </row>
        <row r="212">
          <cell r="B212">
            <v>75.867999999999995</v>
          </cell>
        </row>
        <row r="213">
          <cell r="B213">
            <v>75.332499999999996</v>
          </cell>
        </row>
        <row r="214">
          <cell r="B214">
            <v>72.744</v>
          </cell>
        </row>
        <row r="215">
          <cell r="B215">
            <v>72.888000000000005</v>
          </cell>
        </row>
        <row r="216">
          <cell r="B216">
            <v>71.072000000000003</v>
          </cell>
        </row>
        <row r="217">
          <cell r="B217">
            <v>71.738</v>
          </cell>
        </row>
        <row r="218">
          <cell r="B218">
            <v>73.4375</v>
          </cell>
        </row>
        <row r="219">
          <cell r="B219">
            <v>71.641999999999996</v>
          </cell>
        </row>
        <row r="220">
          <cell r="B220">
            <v>69.122</v>
          </cell>
        </row>
        <row r="221">
          <cell r="B221">
            <v>67.563999999999993</v>
          </cell>
        </row>
        <row r="222">
          <cell r="B222">
            <v>66.061999999999998</v>
          </cell>
        </row>
        <row r="223">
          <cell r="B223">
            <v>66.968000000000004</v>
          </cell>
        </row>
        <row r="224">
          <cell r="B224">
            <v>67.542500000000004</v>
          </cell>
        </row>
        <row r="225">
          <cell r="B225">
            <v>66.400000000000006</v>
          </cell>
        </row>
        <row r="226">
          <cell r="B226">
            <v>66.805999999999997</v>
          </cell>
        </row>
        <row r="227">
          <cell r="B227">
            <v>63.747999999999998</v>
          </cell>
        </row>
        <row r="228">
          <cell r="B228">
            <v>64.91</v>
          </cell>
        </row>
        <row r="229">
          <cell r="B229">
            <v>65.081999999999994</v>
          </cell>
        </row>
        <row r="230">
          <cell r="B230">
            <v>60.622</v>
          </cell>
        </row>
        <row r="231">
          <cell r="B231">
            <v>62.274000000000001</v>
          </cell>
        </row>
        <row r="232">
          <cell r="B232">
            <v>62.44</v>
          </cell>
        </row>
        <row r="233">
          <cell r="B233">
            <v>66.847999999999999</v>
          </cell>
        </row>
        <row r="234">
          <cell r="B234">
            <v>73.197999999999993</v>
          </cell>
        </row>
        <row r="235">
          <cell r="B235">
            <v>73.555000000000007</v>
          </cell>
        </row>
        <row r="236">
          <cell r="B236">
            <v>77.603999999999999</v>
          </cell>
        </row>
        <row r="237">
          <cell r="B237">
            <v>80.0625</v>
          </cell>
        </row>
        <row r="238">
          <cell r="B238">
            <v>81.908000000000001</v>
          </cell>
        </row>
        <row r="239">
          <cell r="B239">
            <v>83.38</v>
          </cell>
        </row>
        <row r="240">
          <cell r="B240">
            <v>87.206000000000003</v>
          </cell>
        </row>
        <row r="241">
          <cell r="B241">
            <v>79.811999999999998</v>
          </cell>
        </row>
        <row r="242">
          <cell r="B242">
            <v>78.816000000000003</v>
          </cell>
        </row>
        <row r="243">
          <cell r="B243">
            <v>80.603999999999999</v>
          </cell>
        </row>
        <row r="244">
          <cell r="B244">
            <v>80.323999999999998</v>
          </cell>
        </row>
        <row r="245">
          <cell r="B245">
            <v>79.653999999999996</v>
          </cell>
        </row>
        <row r="246">
          <cell r="B246">
            <v>76.647499999999994</v>
          </cell>
        </row>
        <row r="247">
          <cell r="B247">
            <v>75.793999999999997</v>
          </cell>
        </row>
        <row r="248">
          <cell r="B248">
            <v>73.816000000000003</v>
          </cell>
        </row>
        <row r="249">
          <cell r="B249">
            <v>70.738</v>
          </cell>
        </row>
        <row r="250">
          <cell r="B250">
            <v>68.736000000000004</v>
          </cell>
        </row>
        <row r="251">
          <cell r="B251">
            <v>65.525999999999996</v>
          </cell>
        </row>
        <row r="252">
          <cell r="B252">
            <v>66.522000000000006</v>
          </cell>
        </row>
        <row r="253">
          <cell r="B253">
            <v>63.473999999999997</v>
          </cell>
        </row>
        <row r="254">
          <cell r="B254">
            <v>62.328000000000003</v>
          </cell>
        </row>
        <row r="255">
          <cell r="B255">
            <v>61.878</v>
          </cell>
        </row>
        <row r="256">
          <cell r="B256">
            <v>63.621000000000002</v>
          </cell>
        </row>
        <row r="257">
          <cell r="B257">
            <v>64.857500000000002</v>
          </cell>
        </row>
        <row r="258">
          <cell r="B258">
            <v>63.984000000000002</v>
          </cell>
        </row>
        <row r="259">
          <cell r="B259">
            <v>61.834000000000003</v>
          </cell>
        </row>
        <row r="260">
          <cell r="B260">
            <v>60.972000000000001</v>
          </cell>
        </row>
        <row r="261">
          <cell r="B261">
            <v>59.75</v>
          </cell>
        </row>
        <row r="262">
          <cell r="B262">
            <v>57.682499999999997</v>
          </cell>
        </row>
        <row r="263">
          <cell r="B263">
            <v>57.545000000000002</v>
          </cell>
        </row>
        <row r="264">
          <cell r="B264">
            <v>56.795999999999999</v>
          </cell>
        </row>
        <row r="265">
          <cell r="B265">
            <v>55.7425</v>
          </cell>
        </row>
        <row r="266">
          <cell r="B266">
            <v>55.88</v>
          </cell>
        </row>
        <row r="267">
          <cell r="B267">
            <v>53.98</v>
          </cell>
        </row>
        <row r="268">
          <cell r="B268">
            <v>54.496000000000002</v>
          </cell>
        </row>
        <row r="269">
          <cell r="B269">
            <v>53.628</v>
          </cell>
        </row>
        <row r="270">
          <cell r="B270">
            <v>51.9925</v>
          </cell>
        </row>
        <row r="271">
          <cell r="B271">
            <v>52.207999999999998</v>
          </cell>
        </row>
        <row r="272">
          <cell r="B272">
            <v>51.96</v>
          </cell>
        </row>
        <row r="273">
          <cell r="B273">
            <v>53.718000000000004</v>
          </cell>
        </row>
        <row r="274">
          <cell r="B274">
            <v>53.654000000000003</v>
          </cell>
        </row>
        <row r="275">
          <cell r="B275">
            <v>54.265000000000001</v>
          </cell>
        </row>
        <row r="276">
          <cell r="B276">
            <v>54.595999999999997</v>
          </cell>
        </row>
        <row r="277">
          <cell r="B277">
            <v>50.985999999999997</v>
          </cell>
        </row>
        <row r="278">
          <cell r="B278">
            <v>48.776000000000003</v>
          </cell>
        </row>
        <row r="279">
          <cell r="B279">
            <v>49.552</v>
          </cell>
        </row>
        <row r="280">
          <cell r="B280">
            <v>49.212000000000003</v>
          </cell>
        </row>
        <row r="281">
          <cell r="B281">
            <v>49.841999999999999</v>
          </cell>
        </row>
        <row r="282">
          <cell r="B282">
            <v>50.378</v>
          </cell>
        </row>
        <row r="283">
          <cell r="B283">
            <v>51.93</v>
          </cell>
        </row>
        <row r="284">
          <cell r="B284">
            <v>52.16</v>
          </cell>
        </row>
        <row r="285">
          <cell r="B285">
            <v>50.223999999999997</v>
          </cell>
        </row>
        <row r="286">
          <cell r="B286">
            <v>50.131999999999998</v>
          </cell>
        </row>
        <row r="287">
          <cell r="B287">
            <v>50.234999999999999</v>
          </cell>
        </row>
        <row r="288">
          <cell r="B288">
            <v>48.866999999999997</v>
          </cell>
        </row>
        <row r="289">
          <cell r="B289">
            <v>54.814999999999998</v>
          </cell>
        </row>
        <row r="290">
          <cell r="B290">
            <v>54.58</v>
          </cell>
        </row>
        <row r="291">
          <cell r="B291">
            <v>53.968000000000004</v>
          </cell>
        </row>
        <row r="292">
          <cell r="B292">
            <v>53.38</v>
          </cell>
        </row>
        <row r="293">
          <cell r="B293">
            <v>50.107999999999997</v>
          </cell>
        </row>
        <row r="294">
          <cell r="B294">
            <v>49.22</v>
          </cell>
        </row>
        <row r="295">
          <cell r="B295">
            <v>47.14</v>
          </cell>
        </row>
        <row r="296">
          <cell r="B296">
            <v>47.218000000000004</v>
          </cell>
        </row>
        <row r="297">
          <cell r="B297">
            <v>48.642000000000003</v>
          </cell>
        </row>
        <row r="298">
          <cell r="B298">
            <v>47.774999999999999</v>
          </cell>
        </row>
        <row r="299">
          <cell r="B299">
            <v>46.45</v>
          </cell>
        </row>
        <row r="300">
          <cell r="B300">
            <v>46.64</v>
          </cell>
        </row>
        <row r="301">
          <cell r="B301">
            <v>48.49</v>
          </cell>
        </row>
        <row r="302">
          <cell r="B302">
            <v>48.61</v>
          </cell>
        </row>
        <row r="303">
          <cell r="B303">
            <v>48.26</v>
          </cell>
        </row>
        <row r="304">
          <cell r="B304">
            <v>46.09</v>
          </cell>
        </row>
        <row r="305">
          <cell r="B305">
            <v>47.54</v>
          </cell>
        </row>
        <row r="306">
          <cell r="B306">
            <v>48.15</v>
          </cell>
        </row>
        <row r="307">
          <cell r="B307">
            <v>51.6</v>
          </cell>
        </row>
        <row r="308">
          <cell r="B308">
            <v>50.17</v>
          </cell>
        </row>
        <row r="309">
          <cell r="B309">
            <v>47.917999999999999</v>
          </cell>
        </row>
        <row r="310">
          <cell r="B310">
            <v>45.664999999999999</v>
          </cell>
        </row>
        <row r="311">
          <cell r="B311">
            <v>45.45</v>
          </cell>
        </row>
        <row r="312">
          <cell r="B312">
            <v>44.75</v>
          </cell>
        </row>
        <row r="313">
          <cell r="B313">
            <v>42.18</v>
          </cell>
        </row>
        <row r="314">
          <cell r="B314">
            <v>41.39</v>
          </cell>
        </row>
        <row r="315">
          <cell r="B315">
            <v>42.3</v>
          </cell>
        </row>
        <row r="316">
          <cell r="B316">
            <v>44.501999999999995</v>
          </cell>
        </row>
        <row r="317">
          <cell r="B317">
            <v>47.99</v>
          </cell>
        </row>
        <row r="318">
          <cell r="B318">
            <v>47.112499999999997</v>
          </cell>
        </row>
        <row r="319">
          <cell r="B319">
            <v>46.438000000000002</v>
          </cell>
        </row>
        <row r="320">
          <cell r="B320">
            <v>46.998000000000005</v>
          </cell>
        </row>
        <row r="321">
          <cell r="B321">
            <v>48.167999999999992</v>
          </cell>
        </row>
        <row r="322">
          <cell r="B322">
            <v>49.417499999999997</v>
          </cell>
        </row>
        <row r="323">
          <cell r="B323">
            <v>47.328000000000003</v>
          </cell>
        </row>
        <row r="324">
          <cell r="B324">
            <v>45.232000000000006</v>
          </cell>
        </row>
      </sheetData>
      <sheetData sheetId="3"/>
      <sheetData sheetId="4">
        <row r="26">
          <cell r="B26">
            <v>29.25</v>
          </cell>
        </row>
        <row r="27">
          <cell r="B27">
            <v>29.25</v>
          </cell>
        </row>
        <row r="28">
          <cell r="B28">
            <v>29.25</v>
          </cell>
        </row>
        <row r="29">
          <cell r="B29">
            <v>29.8</v>
          </cell>
        </row>
        <row r="30">
          <cell r="B30">
            <v>30.7</v>
          </cell>
        </row>
        <row r="31">
          <cell r="B31">
            <v>31</v>
          </cell>
        </row>
        <row r="32">
          <cell r="B32">
            <v>31</v>
          </cell>
        </row>
        <row r="33">
          <cell r="B33">
            <v>31</v>
          </cell>
        </row>
        <row r="34">
          <cell r="B34">
            <v>31</v>
          </cell>
        </row>
        <row r="35">
          <cell r="B35">
            <v>31</v>
          </cell>
        </row>
        <row r="36">
          <cell r="B36">
            <v>30.1</v>
          </cell>
        </row>
        <row r="37">
          <cell r="B37">
            <v>28.5</v>
          </cell>
        </row>
        <row r="38">
          <cell r="B38">
            <v>28.1</v>
          </cell>
        </row>
        <row r="39">
          <cell r="B39">
            <v>27.5</v>
          </cell>
        </row>
        <row r="40">
          <cell r="B40">
            <v>27.5</v>
          </cell>
        </row>
        <row r="41">
          <cell r="B41">
            <v>27.35</v>
          </cell>
        </row>
        <row r="42">
          <cell r="B42">
            <v>26.5</v>
          </cell>
        </row>
        <row r="43">
          <cell r="B43">
            <v>26.3</v>
          </cell>
        </row>
        <row r="44">
          <cell r="B44">
            <v>24.5</v>
          </cell>
        </row>
        <row r="45">
          <cell r="B45">
            <v>24</v>
          </cell>
        </row>
        <row r="46">
          <cell r="B46">
            <v>23.6</v>
          </cell>
        </row>
        <row r="47">
          <cell r="B47">
            <v>23</v>
          </cell>
        </row>
        <row r="48">
          <cell r="B48">
            <v>23</v>
          </cell>
        </row>
        <row r="49">
          <cell r="B49">
            <v>23.333300000000001</v>
          </cell>
        </row>
        <row r="50">
          <cell r="B50">
            <v>23.5</v>
          </cell>
        </row>
        <row r="51">
          <cell r="B51">
            <v>25.1</v>
          </cell>
        </row>
        <row r="52">
          <cell r="B52">
            <v>26</v>
          </cell>
        </row>
        <row r="53">
          <cell r="B53">
            <v>26</v>
          </cell>
        </row>
        <row r="54">
          <cell r="B54">
            <v>26</v>
          </cell>
        </row>
        <row r="55">
          <cell r="B55">
            <v>28</v>
          </cell>
        </row>
        <row r="56">
          <cell r="B56">
            <v>31</v>
          </cell>
        </row>
        <row r="57">
          <cell r="B57">
            <v>31.5</v>
          </cell>
        </row>
        <row r="58">
          <cell r="B58">
            <v>33.200000000000003</v>
          </cell>
        </row>
        <row r="59">
          <cell r="B59">
            <v>33.5</v>
          </cell>
        </row>
        <row r="60">
          <cell r="B60">
            <v>33.799999999999997</v>
          </cell>
        </row>
        <row r="61">
          <cell r="B61">
            <v>35</v>
          </cell>
        </row>
        <row r="62">
          <cell r="B62">
            <v>35</v>
          </cell>
        </row>
        <row r="63">
          <cell r="B63">
            <v>35</v>
          </cell>
        </row>
        <row r="64">
          <cell r="B64">
            <v>33.200000000000003</v>
          </cell>
        </row>
        <row r="65">
          <cell r="B65">
            <v>28.4</v>
          </cell>
        </row>
        <row r="66">
          <cell r="B66">
            <v>28.4</v>
          </cell>
        </row>
        <row r="67">
          <cell r="B67">
            <v>27</v>
          </cell>
        </row>
        <row r="68">
          <cell r="B68">
            <v>28</v>
          </cell>
        </row>
        <row r="69">
          <cell r="B69">
            <v>29</v>
          </cell>
        </row>
        <row r="70">
          <cell r="B70">
            <v>33.700000000000003</v>
          </cell>
        </row>
        <row r="71">
          <cell r="B71">
            <v>34.5</v>
          </cell>
        </row>
        <row r="72">
          <cell r="B72">
            <v>34.5</v>
          </cell>
        </row>
        <row r="73">
          <cell r="B73">
            <v>34.5</v>
          </cell>
        </row>
        <row r="74">
          <cell r="B74">
            <v>34.299999999999997</v>
          </cell>
        </row>
        <row r="75">
          <cell r="B75">
            <v>30.5</v>
          </cell>
        </row>
        <row r="76">
          <cell r="B76">
            <v>28.4</v>
          </cell>
        </row>
        <row r="77">
          <cell r="B77">
            <v>26.6</v>
          </cell>
        </row>
        <row r="78">
          <cell r="B78">
            <v>24</v>
          </cell>
        </row>
        <row r="79">
          <cell r="B79">
            <v>22</v>
          </cell>
        </row>
        <row r="80">
          <cell r="B80">
            <v>21.875</v>
          </cell>
        </row>
        <row r="81">
          <cell r="B81">
            <v>22</v>
          </cell>
        </row>
        <row r="82">
          <cell r="B82">
            <v>22</v>
          </cell>
        </row>
        <row r="83">
          <cell r="B83">
            <v>24.833300000000001</v>
          </cell>
        </row>
        <row r="84">
          <cell r="B84">
            <v>26.25</v>
          </cell>
        </row>
        <row r="85">
          <cell r="B85">
            <v>27.2</v>
          </cell>
        </row>
        <row r="86">
          <cell r="B86">
            <v>31</v>
          </cell>
        </row>
        <row r="87">
          <cell r="B87">
            <v>31</v>
          </cell>
        </row>
        <row r="88">
          <cell r="B88">
            <v>31</v>
          </cell>
        </row>
        <row r="89">
          <cell r="B89">
            <v>31</v>
          </cell>
        </row>
        <row r="90">
          <cell r="B90">
            <v>31</v>
          </cell>
        </row>
        <row r="91">
          <cell r="B91">
            <v>31</v>
          </cell>
        </row>
        <row r="92">
          <cell r="B92">
            <v>31.4</v>
          </cell>
        </row>
        <row r="93">
          <cell r="B93">
            <v>31.5</v>
          </cell>
        </row>
        <row r="94">
          <cell r="B94">
            <v>31.5</v>
          </cell>
        </row>
        <row r="95">
          <cell r="B95">
            <v>31.5</v>
          </cell>
        </row>
        <row r="96">
          <cell r="B96">
            <v>31.6</v>
          </cell>
        </row>
        <row r="97">
          <cell r="B97">
            <v>32</v>
          </cell>
        </row>
        <row r="98">
          <cell r="B98">
            <v>32</v>
          </cell>
        </row>
        <row r="99">
          <cell r="B99">
            <v>32</v>
          </cell>
        </row>
        <row r="100">
          <cell r="B100">
            <v>32</v>
          </cell>
        </row>
        <row r="101">
          <cell r="B101">
            <v>32</v>
          </cell>
        </row>
        <row r="102">
          <cell r="B102">
            <v>32</v>
          </cell>
        </row>
        <row r="103">
          <cell r="B103">
            <v>34.299999999999997</v>
          </cell>
        </row>
        <row r="104">
          <cell r="B104">
            <v>36.5</v>
          </cell>
        </row>
        <row r="105">
          <cell r="B105">
            <v>37.5</v>
          </cell>
        </row>
        <row r="106">
          <cell r="B106">
            <v>37.5</v>
          </cell>
        </row>
        <row r="107">
          <cell r="B107">
            <v>38</v>
          </cell>
        </row>
        <row r="108">
          <cell r="B108">
            <v>40</v>
          </cell>
        </row>
        <row r="109">
          <cell r="B109">
            <v>40</v>
          </cell>
        </row>
        <row r="110">
          <cell r="B110">
            <v>41</v>
          </cell>
        </row>
        <row r="111">
          <cell r="B111">
            <v>42.5</v>
          </cell>
        </row>
        <row r="112">
          <cell r="B112">
            <v>42.9</v>
          </cell>
        </row>
        <row r="113">
          <cell r="B113">
            <v>44</v>
          </cell>
        </row>
        <row r="114">
          <cell r="B114">
            <v>46.4</v>
          </cell>
        </row>
        <row r="115">
          <cell r="B115">
            <v>47</v>
          </cell>
        </row>
        <row r="116">
          <cell r="B116">
            <v>47.5</v>
          </cell>
        </row>
        <row r="117">
          <cell r="B117">
            <v>49.5</v>
          </cell>
        </row>
        <row r="118">
          <cell r="B118">
            <v>54.6</v>
          </cell>
        </row>
        <row r="119">
          <cell r="B119">
            <v>55.5</v>
          </cell>
        </row>
        <row r="120">
          <cell r="B120">
            <v>54.6</v>
          </cell>
        </row>
        <row r="121">
          <cell r="B121">
            <v>53</v>
          </cell>
        </row>
        <row r="122">
          <cell r="B122">
            <v>53</v>
          </cell>
        </row>
        <row r="123">
          <cell r="B123">
            <v>53</v>
          </cell>
        </row>
        <row r="124">
          <cell r="B124">
            <v>53.8</v>
          </cell>
        </row>
        <row r="125">
          <cell r="B125">
            <v>54</v>
          </cell>
        </row>
        <row r="126">
          <cell r="B126">
            <v>56</v>
          </cell>
        </row>
        <row r="127">
          <cell r="B127">
            <v>56</v>
          </cell>
        </row>
        <row r="128">
          <cell r="B128">
            <v>56</v>
          </cell>
        </row>
        <row r="129">
          <cell r="B129">
            <v>57.6</v>
          </cell>
        </row>
        <row r="130">
          <cell r="B130">
            <v>59</v>
          </cell>
        </row>
        <row r="131">
          <cell r="B131">
            <v>59</v>
          </cell>
        </row>
        <row r="132">
          <cell r="B132">
            <v>61</v>
          </cell>
        </row>
        <row r="133">
          <cell r="B133">
            <v>61</v>
          </cell>
        </row>
        <row r="134">
          <cell r="B134">
            <v>61.6</v>
          </cell>
        </row>
        <row r="135">
          <cell r="B135">
            <v>62</v>
          </cell>
        </row>
        <row r="136">
          <cell r="B136">
            <v>62.6</v>
          </cell>
        </row>
        <row r="137">
          <cell r="B137">
            <v>65</v>
          </cell>
        </row>
        <row r="138">
          <cell r="B138">
            <v>65</v>
          </cell>
        </row>
        <row r="139">
          <cell r="B139">
            <v>67.400000000000006</v>
          </cell>
        </row>
        <row r="140">
          <cell r="B140">
            <v>68</v>
          </cell>
        </row>
        <row r="141">
          <cell r="B141">
            <v>63.3</v>
          </cell>
        </row>
        <row r="142">
          <cell r="B142">
            <v>61</v>
          </cell>
        </row>
        <row r="143">
          <cell r="B143">
            <v>63</v>
          </cell>
        </row>
        <row r="144">
          <cell r="B144">
            <v>63</v>
          </cell>
        </row>
        <row r="145">
          <cell r="B145">
            <v>63</v>
          </cell>
        </row>
        <row r="146">
          <cell r="B146">
            <v>66.5</v>
          </cell>
        </row>
        <row r="147">
          <cell r="B147">
            <v>68.5</v>
          </cell>
        </row>
        <row r="148">
          <cell r="B148">
            <v>68.8</v>
          </cell>
        </row>
        <row r="149">
          <cell r="B149">
            <v>70</v>
          </cell>
        </row>
        <row r="150">
          <cell r="B150">
            <v>70</v>
          </cell>
        </row>
        <row r="151">
          <cell r="B151">
            <v>68.2</v>
          </cell>
        </row>
        <row r="152">
          <cell r="B152">
            <v>62.8</v>
          </cell>
        </row>
        <row r="153">
          <cell r="B153">
            <v>60.333300000000001</v>
          </cell>
        </row>
        <row r="154">
          <cell r="B154">
            <v>57.4</v>
          </cell>
        </row>
        <row r="155">
          <cell r="B155">
            <v>55.8</v>
          </cell>
        </row>
        <row r="156">
          <cell r="B156">
            <v>54.6</v>
          </cell>
        </row>
        <row r="157">
          <cell r="B157">
            <v>54.875</v>
          </cell>
        </row>
        <row r="158">
          <cell r="B158">
            <v>56</v>
          </cell>
        </row>
        <row r="159">
          <cell r="B159">
            <v>60.4</v>
          </cell>
        </row>
        <row r="160">
          <cell r="B160">
            <v>65.2</v>
          </cell>
        </row>
        <row r="161">
          <cell r="B161">
            <v>69.9375</v>
          </cell>
        </row>
        <row r="162">
          <cell r="B162">
            <v>70</v>
          </cell>
        </row>
        <row r="163">
          <cell r="B163">
            <v>70.349999999999994</v>
          </cell>
        </row>
        <row r="164">
          <cell r="B164">
            <v>70.099999999999994</v>
          </cell>
        </row>
        <row r="165">
          <cell r="B165">
            <v>69.875</v>
          </cell>
        </row>
        <row r="166">
          <cell r="B166">
            <v>70.406300000000002</v>
          </cell>
        </row>
        <row r="167">
          <cell r="B167">
            <v>72.599999999999994</v>
          </cell>
        </row>
        <row r="168">
          <cell r="B168">
            <v>75</v>
          </cell>
        </row>
        <row r="169">
          <cell r="B169">
            <v>73.900000000000006</v>
          </cell>
        </row>
        <row r="170">
          <cell r="B170">
            <v>72.5</v>
          </cell>
        </row>
        <row r="171">
          <cell r="B171">
            <v>73.7</v>
          </cell>
        </row>
        <row r="172">
          <cell r="B172">
            <v>72.5</v>
          </cell>
        </row>
        <row r="173">
          <cell r="B173">
            <v>72.5</v>
          </cell>
        </row>
        <row r="174">
          <cell r="B174">
            <v>75.2</v>
          </cell>
        </row>
        <row r="175">
          <cell r="B175">
            <v>76.8</v>
          </cell>
        </row>
        <row r="176">
          <cell r="B176">
            <v>80</v>
          </cell>
        </row>
        <row r="177">
          <cell r="B177">
            <v>80</v>
          </cell>
        </row>
        <row r="178">
          <cell r="B178">
            <v>80</v>
          </cell>
        </row>
        <row r="179">
          <cell r="B179">
            <v>80</v>
          </cell>
        </row>
        <row r="180">
          <cell r="B180">
            <v>80</v>
          </cell>
        </row>
        <row r="181">
          <cell r="B181">
            <v>80.599999999999994</v>
          </cell>
        </row>
        <row r="182">
          <cell r="B182">
            <v>81</v>
          </cell>
        </row>
        <row r="183">
          <cell r="B183">
            <v>81</v>
          </cell>
        </row>
        <row r="184">
          <cell r="B184">
            <v>82</v>
          </cell>
        </row>
        <row r="185">
          <cell r="B185">
            <v>79</v>
          </cell>
        </row>
        <row r="186">
          <cell r="B186">
            <v>77.2</v>
          </cell>
        </row>
        <row r="187">
          <cell r="B187">
            <v>77.599999999999994</v>
          </cell>
        </row>
        <row r="188">
          <cell r="B188">
            <v>79.400000000000006</v>
          </cell>
        </row>
        <row r="189">
          <cell r="B189">
            <v>80</v>
          </cell>
        </row>
        <row r="190">
          <cell r="B190">
            <v>80</v>
          </cell>
        </row>
        <row r="191">
          <cell r="B191">
            <v>80</v>
          </cell>
        </row>
        <row r="192">
          <cell r="B192">
            <v>80</v>
          </cell>
        </row>
        <row r="193">
          <cell r="B193">
            <v>80</v>
          </cell>
        </row>
        <row r="194">
          <cell r="B194">
            <v>80</v>
          </cell>
        </row>
        <row r="195">
          <cell r="B195">
            <v>78</v>
          </cell>
        </row>
        <row r="196">
          <cell r="B196">
            <v>74</v>
          </cell>
        </row>
        <row r="197">
          <cell r="B197">
            <v>74</v>
          </cell>
        </row>
        <row r="198">
          <cell r="B198">
            <v>74</v>
          </cell>
        </row>
        <row r="199">
          <cell r="B199">
            <v>74</v>
          </cell>
        </row>
        <row r="200">
          <cell r="B200">
            <v>74</v>
          </cell>
        </row>
        <row r="201">
          <cell r="B201">
            <v>74</v>
          </cell>
        </row>
        <row r="202">
          <cell r="B202">
            <v>74</v>
          </cell>
        </row>
        <row r="203">
          <cell r="B203">
            <v>74</v>
          </cell>
        </row>
        <row r="204">
          <cell r="B204">
            <v>74</v>
          </cell>
        </row>
        <row r="205">
          <cell r="B205">
            <v>74</v>
          </cell>
        </row>
        <row r="206">
          <cell r="B206">
            <v>74</v>
          </cell>
        </row>
        <row r="207">
          <cell r="B207">
            <v>71.2</v>
          </cell>
        </row>
        <row r="208">
          <cell r="B208">
            <v>67</v>
          </cell>
        </row>
        <row r="209">
          <cell r="B209">
            <v>67</v>
          </cell>
        </row>
        <row r="210">
          <cell r="B210">
            <v>67</v>
          </cell>
        </row>
        <row r="211">
          <cell r="B211">
            <v>67</v>
          </cell>
        </row>
        <row r="212">
          <cell r="B212">
            <v>67</v>
          </cell>
        </row>
        <row r="213">
          <cell r="B213">
            <v>67</v>
          </cell>
        </row>
        <row r="214">
          <cell r="B214">
            <v>67</v>
          </cell>
        </row>
        <row r="215">
          <cell r="B215">
            <v>65.400000000000006</v>
          </cell>
        </row>
        <row r="216">
          <cell r="B216">
            <v>60.4</v>
          </cell>
        </row>
        <row r="217">
          <cell r="B217">
            <v>57.2</v>
          </cell>
        </row>
        <row r="218">
          <cell r="B218">
            <v>57.625</v>
          </cell>
        </row>
        <row r="219">
          <cell r="B219">
            <v>56.5</v>
          </cell>
        </row>
        <row r="220">
          <cell r="B220">
            <v>56.5</v>
          </cell>
        </row>
        <row r="221">
          <cell r="B221">
            <v>54</v>
          </cell>
        </row>
        <row r="222">
          <cell r="B222">
            <v>53</v>
          </cell>
        </row>
        <row r="223">
          <cell r="B223">
            <v>50.9</v>
          </cell>
        </row>
        <row r="224">
          <cell r="B224">
            <v>50.5</v>
          </cell>
        </row>
        <row r="225">
          <cell r="B225">
            <v>50.5</v>
          </cell>
        </row>
        <row r="226">
          <cell r="B226">
            <v>52.5</v>
          </cell>
        </row>
        <row r="227">
          <cell r="B227">
            <v>55.6</v>
          </cell>
        </row>
        <row r="228">
          <cell r="B228">
            <v>56</v>
          </cell>
        </row>
        <row r="229">
          <cell r="B229">
            <v>56.2</v>
          </cell>
        </row>
        <row r="230">
          <cell r="B230">
            <v>56.5</v>
          </cell>
        </row>
        <row r="231">
          <cell r="B231">
            <v>56.5</v>
          </cell>
        </row>
        <row r="232">
          <cell r="B232">
            <v>56.5</v>
          </cell>
        </row>
        <row r="233">
          <cell r="B233">
            <v>56</v>
          </cell>
        </row>
        <row r="234">
          <cell r="B234">
            <v>58.4</v>
          </cell>
        </row>
        <row r="235">
          <cell r="B235">
            <v>60</v>
          </cell>
        </row>
        <row r="236">
          <cell r="B236">
            <v>62.4</v>
          </cell>
        </row>
        <row r="237">
          <cell r="B237">
            <v>63.5</v>
          </cell>
        </row>
        <row r="238">
          <cell r="B238">
            <v>65</v>
          </cell>
        </row>
        <row r="239">
          <cell r="B239">
            <v>66.599999999999994</v>
          </cell>
        </row>
        <row r="240">
          <cell r="B240">
            <v>67</v>
          </cell>
        </row>
        <row r="241">
          <cell r="B241">
            <v>67</v>
          </cell>
        </row>
        <row r="242">
          <cell r="B242">
            <v>67.8</v>
          </cell>
        </row>
        <row r="243">
          <cell r="B243">
            <v>68.599999999999994</v>
          </cell>
        </row>
        <row r="244">
          <cell r="B244">
            <v>69</v>
          </cell>
        </row>
        <row r="245">
          <cell r="B245">
            <v>69</v>
          </cell>
        </row>
        <row r="246">
          <cell r="B246">
            <v>69</v>
          </cell>
        </row>
        <row r="247">
          <cell r="B247">
            <v>69.3</v>
          </cell>
        </row>
        <row r="248">
          <cell r="B248">
            <v>69.5</v>
          </cell>
        </row>
        <row r="249">
          <cell r="B249">
            <v>68</v>
          </cell>
        </row>
        <row r="250">
          <cell r="B250">
            <v>66.599999999999994</v>
          </cell>
        </row>
        <row r="251">
          <cell r="B251">
            <v>61.8</v>
          </cell>
        </row>
        <row r="252">
          <cell r="B252">
            <v>56.8</v>
          </cell>
        </row>
        <row r="253">
          <cell r="B253">
            <v>55.3</v>
          </cell>
        </row>
        <row r="254">
          <cell r="B254">
            <v>52.5</v>
          </cell>
        </row>
        <row r="255">
          <cell r="B255">
            <v>52</v>
          </cell>
        </row>
        <row r="256">
          <cell r="B256">
            <v>50</v>
          </cell>
        </row>
        <row r="257">
          <cell r="B257">
            <v>50</v>
          </cell>
        </row>
        <row r="258">
          <cell r="B258">
            <v>50</v>
          </cell>
        </row>
        <row r="259">
          <cell r="B259">
            <v>47.4</v>
          </cell>
        </row>
        <row r="260">
          <cell r="B260">
            <v>44.8</v>
          </cell>
        </row>
        <row r="261">
          <cell r="B261">
            <v>43.6</v>
          </cell>
        </row>
        <row r="262">
          <cell r="B262">
            <v>43</v>
          </cell>
        </row>
        <row r="263">
          <cell r="B263">
            <v>43</v>
          </cell>
        </row>
        <row r="264">
          <cell r="B264">
            <v>41.8</v>
          </cell>
        </row>
        <row r="265">
          <cell r="B265">
            <v>41</v>
          </cell>
        </row>
        <row r="266">
          <cell r="B266">
            <v>41</v>
          </cell>
        </row>
        <row r="267">
          <cell r="B267">
            <v>39.799999999999997</v>
          </cell>
        </row>
        <row r="268">
          <cell r="B268">
            <v>39.700000000000003</v>
          </cell>
        </row>
        <row r="269">
          <cell r="B269">
            <v>41.3</v>
          </cell>
        </row>
        <row r="270">
          <cell r="B270">
            <v>41</v>
          </cell>
        </row>
        <row r="271">
          <cell r="B271">
            <v>41</v>
          </cell>
        </row>
        <row r="272">
          <cell r="B272">
            <v>41</v>
          </cell>
        </row>
        <row r="273">
          <cell r="B273">
            <v>41.8</v>
          </cell>
        </row>
        <row r="274">
          <cell r="B274">
            <v>42</v>
          </cell>
        </row>
        <row r="275">
          <cell r="B275">
            <v>42</v>
          </cell>
        </row>
        <row r="276">
          <cell r="B276">
            <v>42</v>
          </cell>
        </row>
        <row r="277">
          <cell r="B277">
            <v>42</v>
          </cell>
        </row>
        <row r="278">
          <cell r="B278">
            <v>42</v>
          </cell>
        </row>
        <row r="279">
          <cell r="B279">
            <v>41.4</v>
          </cell>
        </row>
        <row r="280">
          <cell r="B280">
            <v>40.5</v>
          </cell>
        </row>
        <row r="281">
          <cell r="B281">
            <v>40.9</v>
          </cell>
        </row>
        <row r="282">
          <cell r="B282">
            <v>41.5</v>
          </cell>
        </row>
        <row r="283">
          <cell r="B283">
            <v>42.3</v>
          </cell>
        </row>
        <row r="284">
          <cell r="B284">
            <v>43.625</v>
          </cell>
        </row>
        <row r="285">
          <cell r="B285">
            <v>44.2</v>
          </cell>
        </row>
        <row r="286">
          <cell r="B286">
            <v>45.4</v>
          </cell>
        </row>
        <row r="287">
          <cell r="B287">
            <v>48.5</v>
          </cell>
        </row>
        <row r="288">
          <cell r="B288">
            <v>51</v>
          </cell>
        </row>
        <row r="289">
          <cell r="B289">
            <v>51</v>
          </cell>
        </row>
        <row r="290">
          <cell r="B290">
            <v>51</v>
          </cell>
        </row>
        <row r="291">
          <cell r="B291">
            <v>51</v>
          </cell>
        </row>
        <row r="292">
          <cell r="B292">
            <v>51</v>
          </cell>
        </row>
        <row r="293">
          <cell r="B293">
            <v>50</v>
          </cell>
        </row>
        <row r="294">
          <cell r="B294">
            <v>47.7</v>
          </cell>
        </row>
        <row r="295">
          <cell r="B295">
            <v>46.5</v>
          </cell>
        </row>
        <row r="296">
          <cell r="B296">
            <v>46.05</v>
          </cell>
        </row>
        <row r="297">
          <cell r="B297">
            <v>45.75</v>
          </cell>
        </row>
        <row r="298">
          <cell r="B298">
            <v>45.75</v>
          </cell>
        </row>
        <row r="299">
          <cell r="B299">
            <v>45.75</v>
          </cell>
        </row>
        <row r="300">
          <cell r="B300">
            <v>45.75</v>
          </cell>
        </row>
        <row r="301">
          <cell r="B301">
            <v>45.75</v>
          </cell>
        </row>
        <row r="302">
          <cell r="B302">
            <v>45.55</v>
          </cell>
        </row>
        <row r="303">
          <cell r="B303">
            <v>45.1</v>
          </cell>
        </row>
        <row r="304">
          <cell r="B304">
            <v>45</v>
          </cell>
        </row>
        <row r="305">
          <cell r="B305">
            <v>44.2</v>
          </cell>
        </row>
        <row r="306">
          <cell r="B306">
            <v>43</v>
          </cell>
        </row>
        <row r="307">
          <cell r="B307">
            <v>42.7</v>
          </cell>
        </row>
        <row r="308">
          <cell r="B308">
            <v>42.5</v>
          </cell>
        </row>
        <row r="309">
          <cell r="B309">
            <v>42.5</v>
          </cell>
        </row>
        <row r="310">
          <cell r="B310">
            <v>44</v>
          </cell>
        </row>
        <row r="311">
          <cell r="B311">
            <v>44</v>
          </cell>
        </row>
        <row r="312">
          <cell r="B312">
            <v>44</v>
          </cell>
        </row>
        <row r="313">
          <cell r="B313">
            <v>43.1</v>
          </cell>
        </row>
        <row r="314">
          <cell r="B314">
            <v>42.5</v>
          </cell>
        </row>
        <row r="315">
          <cell r="B315">
            <v>42.5</v>
          </cell>
        </row>
        <row r="316">
          <cell r="B316">
            <v>44.5</v>
          </cell>
        </row>
        <row r="317">
          <cell r="B317">
            <v>45.4</v>
          </cell>
        </row>
        <row r="318">
          <cell r="B318">
            <v>48</v>
          </cell>
        </row>
        <row r="319">
          <cell r="B319">
            <v>49</v>
          </cell>
        </row>
        <row r="320">
          <cell r="B320">
            <v>50.6</v>
          </cell>
        </row>
        <row r="321">
          <cell r="B321">
            <v>51</v>
          </cell>
        </row>
        <row r="322">
          <cell r="B322">
            <v>52.875</v>
          </cell>
        </row>
        <row r="323">
          <cell r="B323">
            <v>53.5</v>
          </cell>
        </row>
        <row r="324">
          <cell r="B324">
            <v>51.5</v>
          </cell>
        </row>
      </sheetData>
      <sheetData sheetId="5"/>
      <sheetData sheetId="6"/>
      <sheetData sheetId="7">
        <row r="4">
          <cell r="AB4">
            <v>37.676111111111112</v>
          </cell>
        </row>
        <row r="26">
          <cell r="B26">
            <v>25.45</v>
          </cell>
        </row>
        <row r="27">
          <cell r="B27">
            <v>25.9</v>
          </cell>
        </row>
        <row r="28">
          <cell r="B28">
            <v>26</v>
          </cell>
        </row>
        <row r="29">
          <cell r="B29">
            <v>26</v>
          </cell>
        </row>
        <row r="30">
          <cell r="B30">
            <v>25.5</v>
          </cell>
        </row>
        <row r="31">
          <cell r="B31">
            <v>25.25</v>
          </cell>
        </row>
        <row r="32">
          <cell r="B32">
            <v>25.25</v>
          </cell>
        </row>
        <row r="33">
          <cell r="B33">
            <v>25.45</v>
          </cell>
        </row>
        <row r="34">
          <cell r="B34">
            <v>25.2</v>
          </cell>
        </row>
        <row r="35">
          <cell r="B35">
            <v>24.55</v>
          </cell>
        </row>
        <row r="36">
          <cell r="B36">
            <v>24.1</v>
          </cell>
        </row>
        <row r="37">
          <cell r="B37">
            <v>23.875</v>
          </cell>
        </row>
        <row r="38">
          <cell r="B38">
            <v>23.975000000000001</v>
          </cell>
        </row>
        <row r="39">
          <cell r="B39">
            <v>23.8</v>
          </cell>
        </row>
        <row r="40">
          <cell r="B40">
            <v>23.75</v>
          </cell>
        </row>
        <row r="41">
          <cell r="B41">
            <v>23.55</v>
          </cell>
        </row>
        <row r="42">
          <cell r="B42">
            <v>23</v>
          </cell>
        </row>
        <row r="43">
          <cell r="B43">
            <v>22.4</v>
          </cell>
        </row>
        <row r="44">
          <cell r="B44">
            <v>22.375</v>
          </cell>
        </row>
        <row r="45">
          <cell r="B45">
            <v>22.225000000000001</v>
          </cell>
        </row>
        <row r="46">
          <cell r="B46">
            <v>22.125</v>
          </cell>
        </row>
        <row r="47">
          <cell r="B47">
            <v>22.125</v>
          </cell>
        </row>
        <row r="48">
          <cell r="B48">
            <v>22.65</v>
          </cell>
        </row>
        <row r="49">
          <cell r="B49">
            <v>23</v>
          </cell>
        </row>
        <row r="50">
          <cell r="B50">
            <v>23</v>
          </cell>
        </row>
        <row r="51">
          <cell r="B51">
            <v>23</v>
          </cell>
        </row>
        <row r="52">
          <cell r="B52">
            <v>23</v>
          </cell>
        </row>
        <row r="53">
          <cell r="B53">
            <v>23.1875</v>
          </cell>
        </row>
        <row r="54">
          <cell r="B54">
            <v>23.625</v>
          </cell>
        </row>
        <row r="55">
          <cell r="B55">
            <v>24.05</v>
          </cell>
        </row>
        <row r="56">
          <cell r="B56">
            <v>25.1</v>
          </cell>
        </row>
        <row r="57">
          <cell r="B57">
            <v>25.625</v>
          </cell>
        </row>
        <row r="58">
          <cell r="B58">
            <v>26.074999999999999</v>
          </cell>
        </row>
        <row r="59">
          <cell r="B59">
            <v>27.5</v>
          </cell>
        </row>
        <row r="60">
          <cell r="B60">
            <v>27.95</v>
          </cell>
        </row>
        <row r="61">
          <cell r="B61">
            <v>28.25</v>
          </cell>
        </row>
        <row r="62">
          <cell r="B62">
            <v>28.5</v>
          </cell>
        </row>
        <row r="63">
          <cell r="B63">
            <v>28.5</v>
          </cell>
        </row>
        <row r="64">
          <cell r="B64">
            <v>28.2</v>
          </cell>
        </row>
        <row r="65">
          <cell r="B65">
            <v>27.25</v>
          </cell>
        </row>
        <row r="66">
          <cell r="B66">
            <v>27.05</v>
          </cell>
        </row>
        <row r="67">
          <cell r="B67">
            <v>28</v>
          </cell>
        </row>
        <row r="68">
          <cell r="B68">
            <v>28.875</v>
          </cell>
        </row>
        <row r="69">
          <cell r="B69">
            <v>29.25</v>
          </cell>
        </row>
        <row r="70">
          <cell r="B70">
            <v>29.7</v>
          </cell>
        </row>
        <row r="71">
          <cell r="B71">
            <v>28.4</v>
          </cell>
        </row>
        <row r="72">
          <cell r="B72">
            <v>27.6</v>
          </cell>
        </row>
        <row r="73">
          <cell r="B73">
            <v>27.1</v>
          </cell>
        </row>
        <row r="74">
          <cell r="B74">
            <v>26.7</v>
          </cell>
        </row>
        <row r="75">
          <cell r="B75">
            <v>26.125</v>
          </cell>
        </row>
        <row r="76">
          <cell r="B76">
            <v>25.4</v>
          </cell>
        </row>
        <row r="77">
          <cell r="B77">
            <v>23.9</v>
          </cell>
        </row>
        <row r="78">
          <cell r="B78">
            <v>22.1</v>
          </cell>
        </row>
        <row r="79">
          <cell r="B79">
            <v>21.65</v>
          </cell>
        </row>
        <row r="80">
          <cell r="B80">
            <v>21.25</v>
          </cell>
        </row>
        <row r="81">
          <cell r="B81">
            <v>21.25</v>
          </cell>
        </row>
        <row r="82">
          <cell r="B82">
            <v>21.25</v>
          </cell>
        </row>
        <row r="83">
          <cell r="B83">
            <v>21.55</v>
          </cell>
        </row>
        <row r="84">
          <cell r="B84">
            <v>22.35</v>
          </cell>
        </row>
        <row r="85">
          <cell r="B85">
            <v>23.05</v>
          </cell>
        </row>
        <row r="86">
          <cell r="B86">
            <v>23.85</v>
          </cell>
        </row>
        <row r="87">
          <cell r="B87">
            <v>24.9</v>
          </cell>
        </row>
        <row r="88">
          <cell r="B88">
            <v>25.85</v>
          </cell>
        </row>
        <row r="89">
          <cell r="B89">
            <v>26.85</v>
          </cell>
        </row>
        <row r="90">
          <cell r="B90">
            <v>27.25</v>
          </cell>
        </row>
        <row r="91">
          <cell r="B91">
            <v>28.45</v>
          </cell>
        </row>
        <row r="92">
          <cell r="B92">
            <v>29.45</v>
          </cell>
        </row>
        <row r="93">
          <cell r="B93">
            <v>30.1</v>
          </cell>
        </row>
        <row r="94">
          <cell r="B94">
            <v>30.5</v>
          </cell>
        </row>
        <row r="95">
          <cell r="B95">
            <v>30.5</v>
          </cell>
        </row>
        <row r="96">
          <cell r="B96">
            <v>31.1</v>
          </cell>
        </row>
        <row r="97">
          <cell r="B97">
            <v>31.8</v>
          </cell>
        </row>
        <row r="98">
          <cell r="B98">
            <v>32</v>
          </cell>
        </row>
        <row r="99">
          <cell r="B99">
            <v>32.75</v>
          </cell>
        </row>
        <row r="100">
          <cell r="B100">
            <v>33.4</v>
          </cell>
        </row>
        <row r="101">
          <cell r="B101">
            <v>34.166699999999999</v>
          </cell>
        </row>
        <row r="102">
          <cell r="B102">
            <v>34.700000000000003</v>
          </cell>
        </row>
        <row r="103">
          <cell r="B103">
            <v>34.799999999999997</v>
          </cell>
        </row>
        <row r="104">
          <cell r="B104">
            <v>35.450000000000003</v>
          </cell>
        </row>
        <row r="105">
          <cell r="B105">
            <v>35.75</v>
          </cell>
        </row>
        <row r="106">
          <cell r="B106">
            <v>35.75</v>
          </cell>
        </row>
        <row r="107">
          <cell r="B107">
            <v>37.4</v>
          </cell>
        </row>
        <row r="108">
          <cell r="B108">
            <v>39.700000000000003</v>
          </cell>
        </row>
        <row r="109">
          <cell r="B109">
            <v>41</v>
          </cell>
        </row>
        <row r="110">
          <cell r="B110">
            <v>41.8</v>
          </cell>
        </row>
        <row r="111">
          <cell r="B111">
            <v>42.15</v>
          </cell>
        </row>
        <row r="112">
          <cell r="B112">
            <v>43.05</v>
          </cell>
        </row>
        <row r="113">
          <cell r="B113">
            <v>43.75</v>
          </cell>
        </row>
        <row r="114">
          <cell r="B114">
            <v>45.1</v>
          </cell>
        </row>
        <row r="115">
          <cell r="B115">
            <v>47.2</v>
          </cell>
        </row>
        <row r="116">
          <cell r="B116">
            <v>50.1</v>
          </cell>
        </row>
        <row r="117">
          <cell r="B117">
            <v>52.25</v>
          </cell>
        </row>
        <row r="118">
          <cell r="B118">
            <v>53.65</v>
          </cell>
        </row>
        <row r="119">
          <cell r="B119">
            <v>54.25</v>
          </cell>
        </row>
        <row r="120">
          <cell r="B120">
            <v>51.7</v>
          </cell>
        </row>
        <row r="121">
          <cell r="B121">
            <v>49.2</v>
          </cell>
        </row>
        <row r="122">
          <cell r="B122">
            <v>47.65</v>
          </cell>
        </row>
        <row r="123">
          <cell r="B123">
            <v>46.95</v>
          </cell>
        </row>
        <row r="124">
          <cell r="B124">
            <v>48.15</v>
          </cell>
        </row>
        <row r="125">
          <cell r="B125">
            <v>50.35</v>
          </cell>
        </row>
        <row r="126">
          <cell r="B126">
            <v>53</v>
          </cell>
        </row>
        <row r="127">
          <cell r="B127">
            <v>54.45</v>
          </cell>
        </row>
        <row r="128">
          <cell r="B128">
            <v>55.6875</v>
          </cell>
        </row>
        <row r="129">
          <cell r="B129">
            <v>57.65</v>
          </cell>
        </row>
        <row r="130">
          <cell r="B130">
            <v>55.75</v>
          </cell>
        </row>
        <row r="131">
          <cell r="B131">
            <v>53.3</v>
          </cell>
        </row>
        <row r="132">
          <cell r="B132">
            <v>55</v>
          </cell>
        </row>
        <row r="133">
          <cell r="B133">
            <v>57.5</v>
          </cell>
        </row>
        <row r="134">
          <cell r="B134">
            <v>59.75</v>
          </cell>
        </row>
        <row r="135">
          <cell r="B135">
            <v>60.5</v>
          </cell>
        </row>
        <row r="136">
          <cell r="B136">
            <v>62.7</v>
          </cell>
        </row>
        <row r="137">
          <cell r="B137">
            <v>63</v>
          </cell>
        </row>
        <row r="138">
          <cell r="B138">
            <v>63.85</v>
          </cell>
        </row>
        <row r="139">
          <cell r="B139">
            <v>64.900000000000006</v>
          </cell>
        </row>
        <row r="140">
          <cell r="B140">
            <v>65</v>
          </cell>
        </row>
        <row r="141">
          <cell r="B141">
            <v>60.25</v>
          </cell>
        </row>
        <row r="142">
          <cell r="B142">
            <v>51.75</v>
          </cell>
        </row>
        <row r="143">
          <cell r="B143">
            <v>50.6</v>
          </cell>
        </row>
        <row r="144">
          <cell r="B144">
            <v>53.7</v>
          </cell>
        </row>
        <row r="145">
          <cell r="B145">
            <v>57.15</v>
          </cell>
        </row>
        <row r="146">
          <cell r="B146">
            <v>59.15</v>
          </cell>
        </row>
        <row r="147">
          <cell r="B147">
            <v>59.5</v>
          </cell>
        </row>
        <row r="148">
          <cell r="B148">
            <v>62.1</v>
          </cell>
        </row>
        <row r="149">
          <cell r="B149">
            <v>63.5</v>
          </cell>
        </row>
        <row r="150">
          <cell r="B150">
            <v>61.9</v>
          </cell>
        </row>
        <row r="151">
          <cell r="B151">
            <v>59.6</v>
          </cell>
        </row>
        <row r="152">
          <cell r="B152">
            <v>57.2</v>
          </cell>
        </row>
        <row r="153">
          <cell r="B153">
            <v>57</v>
          </cell>
        </row>
        <row r="154">
          <cell r="B154">
            <v>54.1</v>
          </cell>
        </row>
        <row r="155">
          <cell r="B155">
            <v>52.5</v>
          </cell>
        </row>
        <row r="156">
          <cell r="B156">
            <v>52.7</v>
          </cell>
        </row>
        <row r="157">
          <cell r="B157">
            <v>54.75</v>
          </cell>
        </row>
        <row r="158">
          <cell r="B158">
            <v>55.5</v>
          </cell>
        </row>
        <row r="159">
          <cell r="B159">
            <v>59.75</v>
          </cell>
        </row>
        <row r="160">
          <cell r="B160">
            <v>62.4</v>
          </cell>
        </row>
        <row r="161">
          <cell r="B161">
            <v>67.125</v>
          </cell>
        </row>
        <row r="162">
          <cell r="B162">
            <v>69.3</v>
          </cell>
        </row>
        <row r="163">
          <cell r="B163">
            <v>71.8</v>
          </cell>
        </row>
        <row r="164">
          <cell r="B164">
            <v>72.5</v>
          </cell>
        </row>
        <row r="165">
          <cell r="B165">
            <v>72.900000000000006</v>
          </cell>
        </row>
        <row r="166">
          <cell r="B166">
            <v>76.5</v>
          </cell>
        </row>
        <row r="167">
          <cell r="B167">
            <v>80.2</v>
          </cell>
        </row>
        <row r="168">
          <cell r="B168">
            <v>82.4</v>
          </cell>
        </row>
        <row r="169">
          <cell r="B169">
            <v>79.2</v>
          </cell>
        </row>
        <row r="170">
          <cell r="B170">
            <v>79.3</v>
          </cell>
        </row>
        <row r="171">
          <cell r="B171">
            <v>78.099999999999994</v>
          </cell>
        </row>
        <row r="172">
          <cell r="B172">
            <v>76</v>
          </cell>
        </row>
        <row r="173">
          <cell r="B173">
            <v>77.875</v>
          </cell>
        </row>
        <row r="174">
          <cell r="B174">
            <v>79.5</v>
          </cell>
        </row>
        <row r="175">
          <cell r="B175">
            <v>81.900000000000006</v>
          </cell>
        </row>
        <row r="176">
          <cell r="B176">
            <v>82.65</v>
          </cell>
        </row>
        <row r="177">
          <cell r="B177">
            <v>80</v>
          </cell>
        </row>
        <row r="178">
          <cell r="B178">
            <v>80.400000000000006</v>
          </cell>
        </row>
        <row r="179">
          <cell r="B179">
            <v>78.2</v>
          </cell>
        </row>
        <row r="180">
          <cell r="B180">
            <v>76</v>
          </cell>
        </row>
        <row r="181">
          <cell r="B181">
            <v>76</v>
          </cell>
        </row>
        <row r="182">
          <cell r="B182">
            <v>76.599999999999994</v>
          </cell>
        </row>
        <row r="183">
          <cell r="B183">
            <v>72.75</v>
          </cell>
        </row>
        <row r="184">
          <cell r="B184">
            <v>69.45</v>
          </cell>
        </row>
        <row r="185">
          <cell r="B185">
            <v>65</v>
          </cell>
        </row>
        <row r="186">
          <cell r="B186">
            <v>64.5</v>
          </cell>
        </row>
        <row r="187">
          <cell r="B187">
            <v>63.5</v>
          </cell>
        </row>
        <row r="188">
          <cell r="B188">
            <v>66.3</v>
          </cell>
        </row>
        <row r="189">
          <cell r="B189">
            <v>69.2</v>
          </cell>
        </row>
        <row r="190">
          <cell r="B190">
            <v>71</v>
          </cell>
        </row>
        <row r="191">
          <cell r="B191">
            <v>72.5</v>
          </cell>
        </row>
        <row r="192">
          <cell r="B192">
            <v>72.900000000000006</v>
          </cell>
        </row>
        <row r="193">
          <cell r="B193">
            <v>73.8</v>
          </cell>
        </row>
        <row r="194">
          <cell r="B194">
            <v>72.5</v>
          </cell>
        </row>
        <row r="195">
          <cell r="B195">
            <v>72.5</v>
          </cell>
        </row>
        <row r="196">
          <cell r="B196">
            <v>73</v>
          </cell>
        </row>
        <row r="197">
          <cell r="B197">
            <v>71.8</v>
          </cell>
        </row>
        <row r="198">
          <cell r="B198">
            <v>71.900000000000006</v>
          </cell>
        </row>
        <row r="199">
          <cell r="B199">
            <v>71</v>
          </cell>
        </row>
        <row r="200">
          <cell r="B200">
            <v>75.8</v>
          </cell>
        </row>
        <row r="201">
          <cell r="B201">
            <v>77.2</v>
          </cell>
        </row>
        <row r="202">
          <cell r="B202">
            <v>77.8</v>
          </cell>
        </row>
        <row r="203">
          <cell r="B203">
            <v>78.400000000000006</v>
          </cell>
        </row>
        <row r="204">
          <cell r="B204">
            <v>77</v>
          </cell>
        </row>
        <row r="205">
          <cell r="B205">
            <v>76.833299999999994</v>
          </cell>
        </row>
        <row r="206">
          <cell r="B206">
            <v>76.75</v>
          </cell>
        </row>
        <row r="207">
          <cell r="B207">
            <v>68.95</v>
          </cell>
        </row>
        <row r="208">
          <cell r="B208">
            <v>66.8</v>
          </cell>
        </row>
        <row r="209">
          <cell r="B209">
            <v>66</v>
          </cell>
        </row>
        <row r="210">
          <cell r="B210">
            <v>66</v>
          </cell>
        </row>
        <row r="211">
          <cell r="B211">
            <v>66</v>
          </cell>
        </row>
        <row r="212">
          <cell r="B212">
            <v>66.75</v>
          </cell>
        </row>
        <row r="213">
          <cell r="B213">
            <v>67.25</v>
          </cell>
        </row>
        <row r="214">
          <cell r="B214">
            <v>66.599999999999994</v>
          </cell>
        </row>
        <row r="215">
          <cell r="B215">
            <v>62.4</v>
          </cell>
        </row>
        <row r="216">
          <cell r="B216">
            <v>59.1</v>
          </cell>
        </row>
        <row r="217">
          <cell r="B217">
            <v>54</v>
          </cell>
        </row>
        <row r="218">
          <cell r="B218">
            <v>53.6875</v>
          </cell>
        </row>
        <row r="219">
          <cell r="B219">
            <v>55.375</v>
          </cell>
        </row>
        <row r="220">
          <cell r="B220">
            <v>53.7</v>
          </cell>
        </row>
        <row r="221">
          <cell r="B221">
            <v>51.85</v>
          </cell>
        </row>
        <row r="222">
          <cell r="B222">
            <v>50.1</v>
          </cell>
        </row>
        <row r="223">
          <cell r="B223">
            <v>48</v>
          </cell>
        </row>
        <row r="224">
          <cell r="B224">
            <v>50.375</v>
          </cell>
        </row>
        <row r="225">
          <cell r="B225">
            <v>53.4</v>
          </cell>
        </row>
        <row r="226">
          <cell r="B226">
            <v>54.3</v>
          </cell>
        </row>
        <row r="227">
          <cell r="B227">
            <v>54.7</v>
          </cell>
        </row>
        <row r="228">
          <cell r="B228">
            <v>55</v>
          </cell>
        </row>
        <row r="229">
          <cell r="B229">
            <v>56.6</v>
          </cell>
        </row>
        <row r="230">
          <cell r="B230">
            <v>56.2</v>
          </cell>
        </row>
        <row r="231">
          <cell r="B231">
            <v>55</v>
          </cell>
        </row>
        <row r="232">
          <cell r="B232">
            <v>55</v>
          </cell>
        </row>
        <row r="233">
          <cell r="B233">
            <v>56.2</v>
          </cell>
        </row>
        <row r="234">
          <cell r="B234">
            <v>59.55</v>
          </cell>
        </row>
        <row r="235">
          <cell r="B235">
            <v>60.625</v>
          </cell>
        </row>
        <row r="236">
          <cell r="B236">
            <v>60.5</v>
          </cell>
        </row>
        <row r="237">
          <cell r="B237">
            <v>62.5</v>
          </cell>
        </row>
        <row r="238">
          <cell r="B238">
            <v>67.45</v>
          </cell>
        </row>
        <row r="239">
          <cell r="B239">
            <v>68.5</v>
          </cell>
        </row>
        <row r="240">
          <cell r="B240">
            <v>68.8</v>
          </cell>
        </row>
        <row r="241">
          <cell r="B241">
            <v>68.599999999999994</v>
          </cell>
        </row>
        <row r="242">
          <cell r="B242">
            <v>68.2</v>
          </cell>
        </row>
        <row r="243">
          <cell r="B243">
            <v>68.400000000000006</v>
          </cell>
        </row>
        <row r="244">
          <cell r="B244">
            <v>68.5</v>
          </cell>
        </row>
        <row r="245">
          <cell r="B245">
            <v>67.400000000000006</v>
          </cell>
        </row>
        <row r="246">
          <cell r="B246">
            <v>66.5</v>
          </cell>
        </row>
        <row r="247">
          <cell r="B247">
            <v>66.8</v>
          </cell>
        </row>
        <row r="248">
          <cell r="B248">
            <v>67</v>
          </cell>
        </row>
        <row r="249">
          <cell r="B249">
            <v>65.45</v>
          </cell>
        </row>
        <row r="250">
          <cell r="B250">
            <v>64.95</v>
          </cell>
        </row>
        <row r="251">
          <cell r="B251">
            <v>59.4</v>
          </cell>
        </row>
        <row r="252">
          <cell r="B252">
            <v>57.3</v>
          </cell>
        </row>
        <row r="253">
          <cell r="B253">
            <v>54.85</v>
          </cell>
        </row>
        <row r="254">
          <cell r="B254">
            <v>54.25</v>
          </cell>
        </row>
        <row r="255">
          <cell r="B255">
            <v>52.85</v>
          </cell>
        </row>
        <row r="256">
          <cell r="B256">
            <v>54.1</v>
          </cell>
        </row>
        <row r="257">
          <cell r="B257">
            <v>54.5</v>
          </cell>
        </row>
        <row r="258">
          <cell r="B258">
            <v>52.7</v>
          </cell>
        </row>
        <row r="259">
          <cell r="B259">
            <v>50.4</v>
          </cell>
        </row>
        <row r="260">
          <cell r="B260">
            <v>49.2</v>
          </cell>
        </row>
        <row r="261">
          <cell r="B261">
            <v>47.6</v>
          </cell>
        </row>
        <row r="262">
          <cell r="B262">
            <v>46.25</v>
          </cell>
        </row>
        <row r="263">
          <cell r="B263">
            <v>48</v>
          </cell>
        </row>
        <row r="264">
          <cell r="B264">
            <v>45.4</v>
          </cell>
        </row>
        <row r="265">
          <cell r="B265">
            <v>45</v>
          </cell>
        </row>
        <row r="266">
          <cell r="B266">
            <v>45</v>
          </cell>
        </row>
        <row r="267">
          <cell r="B267">
            <v>44.7</v>
          </cell>
        </row>
        <row r="268">
          <cell r="B268">
            <v>44.5</v>
          </cell>
        </row>
        <row r="269">
          <cell r="B269">
            <v>44.5</v>
          </cell>
        </row>
        <row r="270">
          <cell r="B270">
            <v>42.875</v>
          </cell>
        </row>
        <row r="271">
          <cell r="B271">
            <v>41.7</v>
          </cell>
        </row>
        <row r="272">
          <cell r="B272">
            <v>41.5</v>
          </cell>
        </row>
        <row r="273">
          <cell r="B273">
            <v>42.625</v>
          </cell>
        </row>
        <row r="274">
          <cell r="B274">
            <v>43.375</v>
          </cell>
        </row>
        <row r="275">
          <cell r="B275">
            <v>43.781300000000002</v>
          </cell>
        </row>
        <row r="276">
          <cell r="B276">
            <v>43.55</v>
          </cell>
        </row>
        <row r="277">
          <cell r="B277">
            <v>42.45</v>
          </cell>
        </row>
        <row r="278">
          <cell r="B278">
            <v>40.6</v>
          </cell>
        </row>
        <row r="279">
          <cell r="B279">
            <v>39.5</v>
          </cell>
        </row>
        <row r="280">
          <cell r="B280">
            <v>38.700000000000003</v>
          </cell>
        </row>
        <row r="281">
          <cell r="B281">
            <v>39.6</v>
          </cell>
        </row>
        <row r="282">
          <cell r="B282">
            <v>40.5</v>
          </cell>
        </row>
        <row r="283">
          <cell r="B283">
            <v>42.1</v>
          </cell>
        </row>
        <row r="284">
          <cell r="B284">
            <v>43.625</v>
          </cell>
        </row>
        <row r="285">
          <cell r="B285">
            <v>44</v>
          </cell>
        </row>
        <row r="286">
          <cell r="B286">
            <v>44.3</v>
          </cell>
        </row>
        <row r="287">
          <cell r="B287">
            <v>44.9375</v>
          </cell>
        </row>
        <row r="288">
          <cell r="B288">
            <v>45.25</v>
          </cell>
        </row>
        <row r="289">
          <cell r="B289">
            <v>46.1875</v>
          </cell>
        </row>
        <row r="290">
          <cell r="B290">
            <v>47.5</v>
          </cell>
        </row>
        <row r="291">
          <cell r="B291">
            <v>47.725000000000001</v>
          </cell>
        </row>
        <row r="292">
          <cell r="B292">
            <v>47.25</v>
          </cell>
        </row>
        <row r="293">
          <cell r="B293">
            <v>46.15</v>
          </cell>
        </row>
        <row r="294">
          <cell r="B294">
            <v>44.4</v>
          </cell>
        </row>
        <row r="295">
          <cell r="B295">
            <v>43.3</v>
          </cell>
        </row>
        <row r="296">
          <cell r="B296">
            <v>41.3</v>
          </cell>
        </row>
        <row r="297">
          <cell r="B297">
            <v>42.325000000000003</v>
          </cell>
        </row>
        <row r="298">
          <cell r="B298">
            <v>42.41</v>
          </cell>
        </row>
        <row r="299">
          <cell r="B299">
            <v>41.75</v>
          </cell>
        </row>
        <row r="300">
          <cell r="B300">
            <v>42.2</v>
          </cell>
        </row>
        <row r="301">
          <cell r="B301">
            <v>42.5</v>
          </cell>
        </row>
        <row r="302">
          <cell r="B302">
            <v>42.5</v>
          </cell>
        </row>
        <row r="303">
          <cell r="B303">
            <v>43.45</v>
          </cell>
        </row>
        <row r="304">
          <cell r="B304">
            <v>44.18</v>
          </cell>
        </row>
        <row r="305">
          <cell r="B305">
            <v>42.88</v>
          </cell>
        </row>
        <row r="306">
          <cell r="B306">
            <v>43.73</v>
          </cell>
        </row>
        <row r="307">
          <cell r="B307">
            <v>45</v>
          </cell>
        </row>
        <row r="308">
          <cell r="B308">
            <v>46.5</v>
          </cell>
        </row>
        <row r="309">
          <cell r="B309">
            <v>45.75</v>
          </cell>
        </row>
        <row r="310">
          <cell r="B310">
            <v>44.25</v>
          </cell>
        </row>
        <row r="311">
          <cell r="B311">
            <v>43.05</v>
          </cell>
        </row>
        <row r="312">
          <cell r="B312">
            <v>43.43</v>
          </cell>
        </row>
        <row r="313">
          <cell r="B313">
            <v>42.15</v>
          </cell>
        </row>
        <row r="314">
          <cell r="B314">
            <v>41.75</v>
          </cell>
        </row>
        <row r="315">
          <cell r="B315">
            <v>41.75</v>
          </cell>
        </row>
        <row r="316">
          <cell r="B316">
            <v>41.75</v>
          </cell>
        </row>
        <row r="317">
          <cell r="B317">
            <v>44</v>
          </cell>
        </row>
        <row r="318">
          <cell r="B318">
            <v>45.5</v>
          </cell>
        </row>
        <row r="319">
          <cell r="B319">
            <v>46.3</v>
          </cell>
        </row>
        <row r="320">
          <cell r="B320">
            <v>47.5</v>
          </cell>
        </row>
        <row r="321">
          <cell r="B321">
            <v>48.5</v>
          </cell>
        </row>
        <row r="322">
          <cell r="B322">
            <v>51.94</v>
          </cell>
        </row>
        <row r="323">
          <cell r="B323">
            <v>52</v>
          </cell>
        </row>
        <row r="324">
          <cell r="B324">
            <v>49.2</v>
          </cell>
        </row>
      </sheetData>
      <sheetData sheetId="8">
        <row r="4">
          <cell r="AB4">
            <v>24.987142857142857</v>
          </cell>
        </row>
        <row r="26">
          <cell r="B26">
            <v>25.75</v>
          </cell>
        </row>
        <row r="27">
          <cell r="B27">
            <v>25.75</v>
          </cell>
        </row>
        <row r="28">
          <cell r="B28">
            <v>25.75</v>
          </cell>
        </row>
        <row r="29">
          <cell r="B29">
            <v>25.75</v>
          </cell>
        </row>
        <row r="30">
          <cell r="B30">
            <v>25.75</v>
          </cell>
        </row>
        <row r="31">
          <cell r="B31">
            <v>25.75</v>
          </cell>
        </row>
        <row r="32">
          <cell r="B32">
            <v>25.75</v>
          </cell>
        </row>
        <row r="33">
          <cell r="B33">
            <v>25.75</v>
          </cell>
        </row>
        <row r="34">
          <cell r="B34">
            <v>26.35</v>
          </cell>
        </row>
        <row r="35">
          <cell r="B35">
            <v>26.5</v>
          </cell>
        </row>
        <row r="36">
          <cell r="B36">
            <v>26.5</v>
          </cell>
        </row>
        <row r="37">
          <cell r="B37">
            <v>26.5</v>
          </cell>
        </row>
        <row r="38">
          <cell r="B38">
            <v>26.5</v>
          </cell>
        </row>
        <row r="39">
          <cell r="B39">
            <v>26.5</v>
          </cell>
        </row>
        <row r="40">
          <cell r="B40">
            <v>26.5</v>
          </cell>
        </row>
        <row r="41">
          <cell r="B41">
            <v>26.5</v>
          </cell>
        </row>
        <row r="42">
          <cell r="B42">
            <v>26.5</v>
          </cell>
        </row>
        <row r="43">
          <cell r="B43">
            <v>26.5</v>
          </cell>
        </row>
        <row r="44">
          <cell r="B44">
            <v>26.5</v>
          </cell>
        </row>
        <row r="45">
          <cell r="B45">
            <v>26.5</v>
          </cell>
        </row>
        <row r="46">
          <cell r="B46">
            <v>26.5</v>
          </cell>
        </row>
        <row r="47">
          <cell r="B47">
            <v>26.5</v>
          </cell>
        </row>
        <row r="48">
          <cell r="B48">
            <v>26.5</v>
          </cell>
        </row>
        <row r="49">
          <cell r="B49">
            <v>26.5</v>
          </cell>
        </row>
        <row r="50">
          <cell r="B50">
            <v>26.5</v>
          </cell>
        </row>
        <row r="51">
          <cell r="B51">
            <v>26.5</v>
          </cell>
        </row>
        <row r="52">
          <cell r="B52">
            <v>26.5</v>
          </cell>
        </row>
        <row r="53">
          <cell r="B53">
            <v>26.5</v>
          </cell>
        </row>
        <row r="54">
          <cell r="B54">
            <v>26.5</v>
          </cell>
        </row>
        <row r="55">
          <cell r="B55">
            <v>26.5</v>
          </cell>
        </row>
        <row r="56">
          <cell r="B56">
            <v>26.5</v>
          </cell>
        </row>
        <row r="57">
          <cell r="B57">
            <v>26.5</v>
          </cell>
        </row>
        <row r="58">
          <cell r="B58">
            <v>27.7</v>
          </cell>
        </row>
        <row r="59">
          <cell r="B59">
            <v>28</v>
          </cell>
        </row>
        <row r="60">
          <cell r="B60">
            <v>28</v>
          </cell>
        </row>
        <row r="61">
          <cell r="B61">
            <v>28.25</v>
          </cell>
        </row>
        <row r="62">
          <cell r="B62">
            <v>28.5</v>
          </cell>
        </row>
        <row r="63">
          <cell r="B63">
            <v>28.5</v>
          </cell>
        </row>
        <row r="64">
          <cell r="B64">
            <v>28.5</v>
          </cell>
        </row>
        <row r="65">
          <cell r="B65">
            <v>28.5</v>
          </cell>
        </row>
        <row r="66">
          <cell r="B66">
            <v>28.5</v>
          </cell>
        </row>
        <row r="67">
          <cell r="B67">
            <v>28.5</v>
          </cell>
        </row>
        <row r="68">
          <cell r="B68">
            <v>28.5</v>
          </cell>
        </row>
        <row r="69">
          <cell r="B69">
            <v>28.5</v>
          </cell>
        </row>
        <row r="70">
          <cell r="B70">
            <v>28.5</v>
          </cell>
        </row>
        <row r="71">
          <cell r="B71">
            <v>28.5</v>
          </cell>
        </row>
        <row r="72">
          <cell r="B72">
            <v>28.5</v>
          </cell>
        </row>
        <row r="73">
          <cell r="B73">
            <v>28.5</v>
          </cell>
        </row>
        <row r="74">
          <cell r="B74">
            <v>28.5</v>
          </cell>
        </row>
        <row r="75">
          <cell r="B75">
            <v>28.5</v>
          </cell>
        </row>
        <row r="76">
          <cell r="B76">
            <v>28.5</v>
          </cell>
        </row>
        <row r="77">
          <cell r="B77">
            <v>28.5</v>
          </cell>
        </row>
        <row r="78">
          <cell r="B78">
            <v>28.5</v>
          </cell>
        </row>
        <row r="79">
          <cell r="B79">
            <v>28.5</v>
          </cell>
        </row>
        <row r="80">
          <cell r="B80">
            <v>28.5</v>
          </cell>
        </row>
        <row r="81">
          <cell r="B81">
            <v>28.5</v>
          </cell>
        </row>
        <row r="82">
          <cell r="B82">
            <v>28.5</v>
          </cell>
        </row>
        <row r="83">
          <cell r="B83">
            <v>28.5</v>
          </cell>
        </row>
        <row r="84">
          <cell r="B84">
            <v>28.5</v>
          </cell>
        </row>
        <row r="85">
          <cell r="B85">
            <v>28.9</v>
          </cell>
        </row>
        <row r="86">
          <cell r="B86">
            <v>29.5</v>
          </cell>
        </row>
        <row r="87">
          <cell r="B87">
            <v>29.5</v>
          </cell>
        </row>
        <row r="88">
          <cell r="B88">
            <v>29.5</v>
          </cell>
        </row>
        <row r="89">
          <cell r="B89">
            <v>29.5</v>
          </cell>
        </row>
        <row r="90">
          <cell r="B90">
            <v>29.5</v>
          </cell>
        </row>
        <row r="91">
          <cell r="B91">
            <v>29.5</v>
          </cell>
        </row>
        <row r="92">
          <cell r="B92">
            <v>29.5</v>
          </cell>
        </row>
        <row r="93">
          <cell r="B93">
            <v>29.85</v>
          </cell>
        </row>
        <row r="94">
          <cell r="B94">
            <v>30.125</v>
          </cell>
        </row>
        <row r="95">
          <cell r="B95">
            <v>30.125</v>
          </cell>
        </row>
        <row r="96">
          <cell r="B96">
            <v>30.125</v>
          </cell>
        </row>
        <row r="97">
          <cell r="B97">
            <v>30.125</v>
          </cell>
        </row>
        <row r="98">
          <cell r="B98">
            <v>30.2</v>
          </cell>
        </row>
        <row r="99">
          <cell r="B99">
            <v>30.8</v>
          </cell>
        </row>
        <row r="100">
          <cell r="B100">
            <v>31.15</v>
          </cell>
        </row>
        <row r="101">
          <cell r="B101">
            <v>31.25</v>
          </cell>
        </row>
        <row r="102">
          <cell r="B102">
            <v>32.049999999999997</v>
          </cell>
        </row>
        <row r="103">
          <cell r="B103">
            <v>32.25</v>
          </cell>
        </row>
        <row r="104">
          <cell r="B104">
            <v>33.299999999999997</v>
          </cell>
        </row>
        <row r="105">
          <cell r="B105">
            <v>34.25</v>
          </cell>
        </row>
        <row r="106">
          <cell r="B106">
            <v>34.75</v>
          </cell>
        </row>
        <row r="107">
          <cell r="B107">
            <v>35.15</v>
          </cell>
        </row>
        <row r="108">
          <cell r="B108">
            <v>35.950000000000003</v>
          </cell>
        </row>
        <row r="109">
          <cell r="B109">
            <v>37.5</v>
          </cell>
        </row>
        <row r="110">
          <cell r="B110">
            <v>38</v>
          </cell>
        </row>
        <row r="111">
          <cell r="B111">
            <v>38.6</v>
          </cell>
        </row>
        <row r="112">
          <cell r="B112">
            <v>39</v>
          </cell>
        </row>
        <row r="113">
          <cell r="B113">
            <v>39</v>
          </cell>
        </row>
        <row r="114">
          <cell r="B114">
            <v>39.4</v>
          </cell>
        </row>
        <row r="115">
          <cell r="B115">
            <v>40</v>
          </cell>
        </row>
        <row r="116">
          <cell r="B116">
            <v>42.1</v>
          </cell>
        </row>
        <row r="117">
          <cell r="B117">
            <v>42.7</v>
          </cell>
        </row>
        <row r="118">
          <cell r="B118">
            <v>43.2</v>
          </cell>
        </row>
        <row r="119">
          <cell r="B119">
            <v>43.5</v>
          </cell>
        </row>
        <row r="120">
          <cell r="B120">
            <v>43.5</v>
          </cell>
        </row>
        <row r="121">
          <cell r="B121">
            <v>43.5</v>
          </cell>
        </row>
        <row r="122">
          <cell r="B122">
            <v>43.5</v>
          </cell>
        </row>
        <row r="123">
          <cell r="B123">
            <v>43.65</v>
          </cell>
        </row>
        <row r="124">
          <cell r="B124">
            <v>44.4</v>
          </cell>
        </row>
        <row r="125">
          <cell r="B125">
            <v>44.9</v>
          </cell>
        </row>
        <row r="126">
          <cell r="B126">
            <v>45.7</v>
          </cell>
        </row>
        <row r="127">
          <cell r="B127">
            <v>46.55</v>
          </cell>
        </row>
        <row r="128">
          <cell r="B128">
            <v>46.75</v>
          </cell>
        </row>
        <row r="129">
          <cell r="B129">
            <v>47.65</v>
          </cell>
        </row>
        <row r="130">
          <cell r="B130">
            <v>50.2</v>
          </cell>
        </row>
        <row r="131">
          <cell r="B131">
            <v>51</v>
          </cell>
        </row>
        <row r="132">
          <cell r="B132">
            <v>51</v>
          </cell>
        </row>
        <row r="133">
          <cell r="B133">
            <v>51</v>
          </cell>
        </row>
        <row r="134">
          <cell r="B134">
            <v>51</v>
          </cell>
        </row>
        <row r="135">
          <cell r="B135">
            <v>51.8</v>
          </cell>
        </row>
        <row r="136">
          <cell r="B136">
            <v>54.2</v>
          </cell>
        </row>
        <row r="137">
          <cell r="B137">
            <v>56</v>
          </cell>
        </row>
        <row r="138">
          <cell r="B138">
            <v>56</v>
          </cell>
        </row>
        <row r="139">
          <cell r="B139">
            <v>56</v>
          </cell>
        </row>
        <row r="140">
          <cell r="B140">
            <v>56</v>
          </cell>
        </row>
        <row r="141">
          <cell r="B141">
            <v>56</v>
          </cell>
        </row>
        <row r="142">
          <cell r="B142">
            <v>56</v>
          </cell>
        </row>
        <row r="143">
          <cell r="B143">
            <v>54</v>
          </cell>
        </row>
        <row r="144">
          <cell r="B144">
            <v>51</v>
          </cell>
        </row>
        <row r="145">
          <cell r="B145">
            <v>51.1</v>
          </cell>
        </row>
        <row r="146">
          <cell r="B146">
            <v>53.5</v>
          </cell>
        </row>
        <row r="147">
          <cell r="B147">
            <v>54.5</v>
          </cell>
        </row>
        <row r="148">
          <cell r="B148">
            <v>54.9</v>
          </cell>
        </row>
        <row r="149">
          <cell r="B149">
            <v>55.5</v>
          </cell>
        </row>
        <row r="150">
          <cell r="B150">
            <v>56.3</v>
          </cell>
        </row>
        <row r="151">
          <cell r="B151">
            <v>57.5</v>
          </cell>
        </row>
        <row r="152">
          <cell r="B152">
            <v>57.5</v>
          </cell>
        </row>
        <row r="153">
          <cell r="B153">
            <v>57.5</v>
          </cell>
        </row>
        <row r="154">
          <cell r="B154">
            <v>58.1</v>
          </cell>
        </row>
        <row r="155">
          <cell r="B155">
            <v>59.8</v>
          </cell>
        </row>
        <row r="156">
          <cell r="B156">
            <v>60</v>
          </cell>
        </row>
        <row r="157">
          <cell r="B157">
            <v>59.875</v>
          </cell>
        </row>
        <row r="158">
          <cell r="B158">
            <v>59.5</v>
          </cell>
        </row>
        <row r="159">
          <cell r="B159">
            <v>59.5</v>
          </cell>
        </row>
        <row r="160">
          <cell r="B160">
            <v>60.7</v>
          </cell>
        </row>
        <row r="161">
          <cell r="B161">
            <v>61.75</v>
          </cell>
        </row>
        <row r="162">
          <cell r="B162">
            <v>62.5</v>
          </cell>
        </row>
        <row r="163">
          <cell r="B163">
            <v>62.5</v>
          </cell>
        </row>
        <row r="164">
          <cell r="B164">
            <v>64</v>
          </cell>
        </row>
        <row r="165">
          <cell r="B165">
            <v>64</v>
          </cell>
        </row>
        <row r="166">
          <cell r="B166">
            <v>64.75</v>
          </cell>
        </row>
        <row r="167">
          <cell r="B167">
            <v>65.7</v>
          </cell>
        </row>
        <row r="168">
          <cell r="B168">
            <v>67.5</v>
          </cell>
        </row>
        <row r="169">
          <cell r="B169">
            <v>70.5</v>
          </cell>
        </row>
        <row r="170">
          <cell r="B170">
            <v>70.5</v>
          </cell>
        </row>
        <row r="171">
          <cell r="B171">
            <v>70.5</v>
          </cell>
        </row>
        <row r="172">
          <cell r="B172">
            <v>71.099999999999994</v>
          </cell>
        </row>
        <row r="173">
          <cell r="B173">
            <v>70.5</v>
          </cell>
        </row>
        <row r="174">
          <cell r="B174">
            <v>70.5</v>
          </cell>
        </row>
        <row r="175">
          <cell r="B175">
            <v>70.5</v>
          </cell>
        </row>
        <row r="176">
          <cell r="B176">
            <v>70.5</v>
          </cell>
        </row>
        <row r="177">
          <cell r="B177">
            <v>70.5</v>
          </cell>
        </row>
        <row r="178">
          <cell r="B178">
            <v>70.5</v>
          </cell>
        </row>
        <row r="179">
          <cell r="B179">
            <v>70.5</v>
          </cell>
        </row>
        <row r="180">
          <cell r="B180">
            <v>70.5</v>
          </cell>
        </row>
        <row r="181">
          <cell r="B181">
            <v>70.5</v>
          </cell>
        </row>
        <row r="182">
          <cell r="B182">
            <v>71.2</v>
          </cell>
        </row>
        <row r="183">
          <cell r="B183">
            <v>74</v>
          </cell>
        </row>
        <row r="184">
          <cell r="B184">
            <v>72.8</v>
          </cell>
        </row>
        <row r="185">
          <cell r="B185">
            <v>72.5</v>
          </cell>
        </row>
        <row r="186">
          <cell r="B186">
            <v>70.900000000000006</v>
          </cell>
        </row>
        <row r="187">
          <cell r="B187">
            <v>68.650000000000006</v>
          </cell>
        </row>
        <row r="188">
          <cell r="B188">
            <v>68.5</v>
          </cell>
        </row>
        <row r="189">
          <cell r="B189">
            <v>68.3</v>
          </cell>
        </row>
        <row r="190">
          <cell r="B190">
            <v>67.5</v>
          </cell>
        </row>
        <row r="191">
          <cell r="B191">
            <v>67.5</v>
          </cell>
        </row>
        <row r="192">
          <cell r="B192">
            <v>67.5</v>
          </cell>
        </row>
        <row r="193">
          <cell r="B193">
            <v>67.7</v>
          </cell>
        </row>
        <row r="194">
          <cell r="B194">
            <v>67.625</v>
          </cell>
        </row>
        <row r="195">
          <cell r="B195">
            <v>66.25</v>
          </cell>
        </row>
        <row r="196">
          <cell r="B196">
            <v>65.5</v>
          </cell>
        </row>
        <row r="197">
          <cell r="B197">
            <v>65.5</v>
          </cell>
        </row>
        <row r="198">
          <cell r="B198">
            <v>65.5</v>
          </cell>
        </row>
        <row r="199">
          <cell r="B199">
            <v>65.5</v>
          </cell>
        </row>
        <row r="200">
          <cell r="B200">
            <v>65.5</v>
          </cell>
        </row>
        <row r="201">
          <cell r="B201">
            <v>65.5</v>
          </cell>
        </row>
        <row r="202">
          <cell r="B202">
            <v>65.900000000000006</v>
          </cell>
        </row>
        <row r="203">
          <cell r="B203">
            <v>66.7</v>
          </cell>
        </row>
        <row r="204">
          <cell r="B204">
            <v>67.5</v>
          </cell>
        </row>
        <row r="205">
          <cell r="B205">
            <v>67.5</v>
          </cell>
        </row>
        <row r="206">
          <cell r="B206">
            <v>67.5</v>
          </cell>
        </row>
        <row r="207">
          <cell r="B207">
            <v>67.5</v>
          </cell>
        </row>
        <row r="208">
          <cell r="B208">
            <v>67.099999999999994</v>
          </cell>
        </row>
        <row r="209">
          <cell r="B209">
            <v>65.5</v>
          </cell>
        </row>
        <row r="210">
          <cell r="B210">
            <v>65</v>
          </cell>
        </row>
        <row r="211">
          <cell r="B211">
            <v>64.5</v>
          </cell>
        </row>
        <row r="212">
          <cell r="B212">
            <v>64.3</v>
          </cell>
        </row>
        <row r="213">
          <cell r="B213">
            <v>63.5</v>
          </cell>
        </row>
        <row r="214">
          <cell r="B214">
            <v>63.5</v>
          </cell>
        </row>
        <row r="215">
          <cell r="B215">
            <v>63.5</v>
          </cell>
        </row>
        <row r="216">
          <cell r="B216">
            <v>60.5</v>
          </cell>
        </row>
        <row r="217">
          <cell r="B217">
            <v>56.1</v>
          </cell>
        </row>
        <row r="218">
          <cell r="B218">
            <v>51.375</v>
          </cell>
        </row>
        <row r="219">
          <cell r="B219">
            <v>48.5</v>
          </cell>
        </row>
        <row r="220">
          <cell r="B220">
            <v>48.5</v>
          </cell>
        </row>
        <row r="221">
          <cell r="B221">
            <v>45.7</v>
          </cell>
        </row>
        <row r="222">
          <cell r="B222">
            <v>41.5</v>
          </cell>
        </row>
        <row r="223">
          <cell r="B223">
            <v>41.5</v>
          </cell>
        </row>
        <row r="224">
          <cell r="B224">
            <v>41.5</v>
          </cell>
        </row>
        <row r="225">
          <cell r="B225">
            <v>42.1</v>
          </cell>
        </row>
        <row r="226">
          <cell r="B226">
            <v>42.8</v>
          </cell>
        </row>
        <row r="227">
          <cell r="B227">
            <v>42.9</v>
          </cell>
        </row>
        <row r="228">
          <cell r="B228">
            <v>44.5</v>
          </cell>
        </row>
        <row r="229">
          <cell r="B229">
            <v>45.5</v>
          </cell>
        </row>
        <row r="230">
          <cell r="B230">
            <v>45.5</v>
          </cell>
        </row>
        <row r="231">
          <cell r="B231">
            <v>45.5</v>
          </cell>
        </row>
        <row r="232">
          <cell r="B232">
            <v>45.5</v>
          </cell>
        </row>
        <row r="233">
          <cell r="B233">
            <v>45.5</v>
          </cell>
        </row>
        <row r="234">
          <cell r="B234">
            <v>50.3</v>
          </cell>
        </row>
        <row r="235">
          <cell r="B235">
            <v>54.5</v>
          </cell>
        </row>
        <row r="236">
          <cell r="B236">
            <v>53.1</v>
          </cell>
        </row>
        <row r="237">
          <cell r="B237">
            <v>51</v>
          </cell>
        </row>
        <row r="238">
          <cell r="B238">
            <v>51.4</v>
          </cell>
        </row>
        <row r="239">
          <cell r="B239">
            <v>52.4</v>
          </cell>
        </row>
        <row r="240">
          <cell r="B240">
            <v>53</v>
          </cell>
        </row>
        <row r="241">
          <cell r="B241">
            <v>53</v>
          </cell>
        </row>
        <row r="242">
          <cell r="B242">
            <v>53</v>
          </cell>
        </row>
        <row r="243">
          <cell r="B243">
            <v>53</v>
          </cell>
        </row>
        <row r="244">
          <cell r="B244">
            <v>53</v>
          </cell>
        </row>
        <row r="245">
          <cell r="B245">
            <v>53</v>
          </cell>
        </row>
        <row r="246">
          <cell r="B246">
            <v>53</v>
          </cell>
        </row>
        <row r="247">
          <cell r="B247">
            <v>54.1</v>
          </cell>
        </row>
        <row r="248">
          <cell r="B248">
            <v>55</v>
          </cell>
        </row>
        <row r="249">
          <cell r="B249">
            <v>55</v>
          </cell>
        </row>
        <row r="250">
          <cell r="B250">
            <v>60.1</v>
          </cell>
        </row>
        <row r="251">
          <cell r="B251">
            <v>52</v>
          </cell>
        </row>
        <row r="252">
          <cell r="B252">
            <v>49</v>
          </cell>
        </row>
        <row r="253">
          <cell r="B253">
            <v>46.7</v>
          </cell>
        </row>
        <row r="254">
          <cell r="B254">
            <v>43</v>
          </cell>
        </row>
        <row r="255">
          <cell r="B255">
            <v>40.85</v>
          </cell>
        </row>
        <row r="256">
          <cell r="B256">
            <v>37.5</v>
          </cell>
        </row>
        <row r="257">
          <cell r="B257">
            <v>37.5</v>
          </cell>
        </row>
        <row r="258">
          <cell r="B258">
            <v>37</v>
          </cell>
        </row>
        <row r="259">
          <cell r="B259">
            <v>36.25</v>
          </cell>
        </row>
        <row r="260">
          <cell r="B260">
            <v>35.65</v>
          </cell>
        </row>
        <row r="261">
          <cell r="B261">
            <v>35.5</v>
          </cell>
        </row>
        <row r="262">
          <cell r="B262">
            <v>35.5</v>
          </cell>
        </row>
        <row r="263">
          <cell r="B263">
            <v>34.125</v>
          </cell>
        </row>
        <row r="264">
          <cell r="B264">
            <v>32.75</v>
          </cell>
        </row>
        <row r="265">
          <cell r="B265">
            <v>32.75</v>
          </cell>
        </row>
        <row r="266">
          <cell r="B266">
            <v>32.75</v>
          </cell>
        </row>
        <row r="267">
          <cell r="B267">
            <v>32.75</v>
          </cell>
        </row>
        <row r="268">
          <cell r="B268">
            <v>32.75</v>
          </cell>
        </row>
        <row r="269">
          <cell r="B269">
            <v>32.75</v>
          </cell>
        </row>
        <row r="270">
          <cell r="B270">
            <v>32.75</v>
          </cell>
        </row>
        <row r="271">
          <cell r="B271">
            <v>32.299999999999997</v>
          </cell>
        </row>
        <row r="272">
          <cell r="B272">
            <v>32</v>
          </cell>
        </row>
        <row r="273">
          <cell r="B273">
            <v>32</v>
          </cell>
        </row>
        <row r="274">
          <cell r="B274">
            <v>32</v>
          </cell>
        </row>
        <row r="275">
          <cell r="B275">
            <v>32</v>
          </cell>
        </row>
        <row r="276">
          <cell r="B276">
            <v>32</v>
          </cell>
        </row>
        <row r="277">
          <cell r="B277">
            <v>32</v>
          </cell>
        </row>
        <row r="278">
          <cell r="B278">
            <v>32.299999999999997</v>
          </cell>
        </row>
        <row r="279">
          <cell r="B279">
            <v>32.5</v>
          </cell>
        </row>
        <row r="280">
          <cell r="B280">
            <v>31.8</v>
          </cell>
        </row>
        <row r="281">
          <cell r="B281">
            <v>32.6</v>
          </cell>
        </row>
        <row r="282">
          <cell r="B282">
            <v>33</v>
          </cell>
        </row>
        <row r="283">
          <cell r="B283">
            <v>33</v>
          </cell>
        </row>
        <row r="284">
          <cell r="B284">
            <v>33</v>
          </cell>
        </row>
        <row r="285">
          <cell r="B285">
            <v>33</v>
          </cell>
        </row>
        <row r="286">
          <cell r="B286">
            <v>33</v>
          </cell>
        </row>
        <row r="287">
          <cell r="B287">
            <v>33</v>
          </cell>
        </row>
        <row r="288">
          <cell r="B288">
            <v>33</v>
          </cell>
        </row>
        <row r="289">
          <cell r="B289">
            <v>33</v>
          </cell>
        </row>
        <row r="290">
          <cell r="B290">
            <v>33.200000000000003</v>
          </cell>
        </row>
        <row r="291">
          <cell r="B291">
            <v>34.1</v>
          </cell>
        </row>
        <row r="292">
          <cell r="B292">
            <v>34.799999999999997</v>
          </cell>
        </row>
        <row r="293">
          <cell r="B293">
            <v>35</v>
          </cell>
        </row>
        <row r="294">
          <cell r="B294">
            <v>35</v>
          </cell>
        </row>
        <row r="295">
          <cell r="B295">
            <v>35</v>
          </cell>
        </row>
        <row r="296">
          <cell r="B296">
            <v>35</v>
          </cell>
        </row>
        <row r="297">
          <cell r="B297">
            <v>36.799999999999997</v>
          </cell>
        </row>
        <row r="298">
          <cell r="B298">
            <v>40.5</v>
          </cell>
        </row>
        <row r="299">
          <cell r="B299">
            <v>42.1</v>
          </cell>
        </row>
        <row r="300">
          <cell r="B300">
            <v>42.5</v>
          </cell>
        </row>
        <row r="301">
          <cell r="B301">
            <v>42.5</v>
          </cell>
        </row>
        <row r="302">
          <cell r="B302">
            <v>42.3</v>
          </cell>
        </row>
        <row r="303">
          <cell r="B303">
            <v>42.5</v>
          </cell>
        </row>
        <row r="304">
          <cell r="B304">
            <v>42.5</v>
          </cell>
        </row>
        <row r="305">
          <cell r="B305">
            <v>42.5</v>
          </cell>
        </row>
        <row r="306">
          <cell r="B306">
            <v>42.9</v>
          </cell>
        </row>
        <row r="307">
          <cell r="B307">
            <v>45.5</v>
          </cell>
        </row>
        <row r="308">
          <cell r="B308">
            <v>44.1</v>
          </cell>
        </row>
        <row r="309">
          <cell r="B309">
            <v>45.15</v>
          </cell>
        </row>
        <row r="310">
          <cell r="B310">
            <v>45.75</v>
          </cell>
        </row>
        <row r="311">
          <cell r="B311">
            <v>45.75</v>
          </cell>
        </row>
        <row r="312">
          <cell r="B312">
            <v>45.75</v>
          </cell>
        </row>
        <row r="313">
          <cell r="B313">
            <v>45.4</v>
          </cell>
        </row>
        <row r="314">
          <cell r="B314">
            <v>44</v>
          </cell>
        </row>
        <row r="315">
          <cell r="B315">
            <v>44</v>
          </cell>
        </row>
        <row r="316">
          <cell r="B316">
            <v>44.6</v>
          </cell>
        </row>
        <row r="317">
          <cell r="B317">
            <v>45</v>
          </cell>
        </row>
        <row r="318">
          <cell r="B318">
            <v>45</v>
          </cell>
        </row>
        <row r="319">
          <cell r="B319">
            <v>45</v>
          </cell>
        </row>
        <row r="320">
          <cell r="B320">
            <v>45</v>
          </cell>
        </row>
        <row r="321">
          <cell r="B321">
            <v>45</v>
          </cell>
        </row>
        <row r="322">
          <cell r="B322">
            <v>45</v>
          </cell>
        </row>
        <row r="323">
          <cell r="B323">
            <v>45</v>
          </cell>
        </row>
        <row r="324">
          <cell r="B324">
            <v>44.6</v>
          </cell>
        </row>
      </sheetData>
      <sheetData sheetId="9">
        <row r="4">
          <cell r="AB4">
            <v>21.242812500000003</v>
          </cell>
        </row>
        <row r="26">
          <cell r="B26">
            <v>24</v>
          </cell>
        </row>
        <row r="27">
          <cell r="B27">
            <v>24</v>
          </cell>
        </row>
        <row r="28">
          <cell r="B28">
            <v>24</v>
          </cell>
        </row>
        <row r="29">
          <cell r="B29">
            <v>24</v>
          </cell>
        </row>
        <row r="30">
          <cell r="B30">
            <v>24</v>
          </cell>
        </row>
        <row r="31">
          <cell r="B31">
            <v>24</v>
          </cell>
        </row>
        <row r="32">
          <cell r="B32">
            <v>24</v>
          </cell>
        </row>
        <row r="33">
          <cell r="B33">
            <v>24</v>
          </cell>
        </row>
        <row r="34">
          <cell r="B34">
            <v>24</v>
          </cell>
        </row>
        <row r="35">
          <cell r="B35">
            <v>23.7</v>
          </cell>
        </row>
        <row r="36">
          <cell r="B36">
            <v>23.5</v>
          </cell>
        </row>
        <row r="37">
          <cell r="B37">
            <v>23.5</v>
          </cell>
        </row>
        <row r="38">
          <cell r="B38">
            <v>23.5</v>
          </cell>
        </row>
        <row r="39">
          <cell r="B39">
            <v>23.2</v>
          </cell>
        </row>
        <row r="40">
          <cell r="B40">
            <v>23</v>
          </cell>
        </row>
        <row r="41">
          <cell r="B41">
            <v>23</v>
          </cell>
        </row>
        <row r="42">
          <cell r="B42">
            <v>22.6</v>
          </cell>
        </row>
        <row r="43">
          <cell r="B43">
            <v>22</v>
          </cell>
        </row>
        <row r="44">
          <cell r="B44">
            <v>21.2</v>
          </cell>
        </row>
        <row r="45">
          <cell r="B45">
            <v>21</v>
          </cell>
        </row>
        <row r="46">
          <cell r="B46">
            <v>20.6</v>
          </cell>
        </row>
        <row r="47">
          <cell r="B47">
            <v>20.5</v>
          </cell>
        </row>
        <row r="48">
          <cell r="B48">
            <v>20.5</v>
          </cell>
        </row>
        <row r="49">
          <cell r="B49">
            <v>20.5</v>
          </cell>
        </row>
        <row r="50">
          <cell r="B50">
            <v>20.5</v>
          </cell>
        </row>
        <row r="51">
          <cell r="B51">
            <v>20.5</v>
          </cell>
        </row>
        <row r="52">
          <cell r="B52">
            <v>20.5</v>
          </cell>
        </row>
        <row r="53">
          <cell r="B53">
            <v>20.5</v>
          </cell>
        </row>
        <row r="54">
          <cell r="B54">
            <v>20.5</v>
          </cell>
        </row>
        <row r="55">
          <cell r="B55">
            <v>21.1</v>
          </cell>
        </row>
        <row r="56">
          <cell r="B56">
            <v>22.6</v>
          </cell>
        </row>
        <row r="57">
          <cell r="B57">
            <v>23</v>
          </cell>
        </row>
        <row r="58">
          <cell r="B58">
            <v>23</v>
          </cell>
        </row>
        <row r="59">
          <cell r="B59">
            <v>23</v>
          </cell>
        </row>
        <row r="60">
          <cell r="B60">
            <v>23</v>
          </cell>
        </row>
        <row r="61">
          <cell r="B61">
            <v>23.125</v>
          </cell>
        </row>
        <row r="62">
          <cell r="B62">
            <v>23.25</v>
          </cell>
        </row>
        <row r="63">
          <cell r="B63">
            <v>23.85</v>
          </cell>
        </row>
        <row r="64">
          <cell r="B64">
            <v>24</v>
          </cell>
        </row>
        <row r="65">
          <cell r="B65">
            <v>24</v>
          </cell>
        </row>
        <row r="66">
          <cell r="B66">
            <v>23.4</v>
          </cell>
        </row>
        <row r="67">
          <cell r="B67">
            <v>22.8</v>
          </cell>
        </row>
        <row r="68">
          <cell r="B68">
            <v>22.5</v>
          </cell>
        </row>
        <row r="69">
          <cell r="B69">
            <v>22.5</v>
          </cell>
        </row>
        <row r="70">
          <cell r="B70">
            <v>22.8</v>
          </cell>
        </row>
        <row r="71">
          <cell r="B71">
            <v>24</v>
          </cell>
        </row>
        <row r="72">
          <cell r="B72">
            <v>24</v>
          </cell>
        </row>
        <row r="73">
          <cell r="B73">
            <v>24</v>
          </cell>
        </row>
        <row r="74">
          <cell r="B74">
            <v>24</v>
          </cell>
        </row>
        <row r="75">
          <cell r="B75">
            <v>24</v>
          </cell>
        </row>
        <row r="76">
          <cell r="B76">
            <v>24</v>
          </cell>
        </row>
        <row r="77">
          <cell r="B77">
            <v>24</v>
          </cell>
        </row>
        <row r="78">
          <cell r="B78">
            <v>23.9</v>
          </cell>
        </row>
        <row r="79">
          <cell r="B79">
            <v>23.65</v>
          </cell>
        </row>
        <row r="80">
          <cell r="B80">
            <v>23.5</v>
          </cell>
        </row>
        <row r="81">
          <cell r="B81">
            <v>23.5</v>
          </cell>
        </row>
        <row r="82">
          <cell r="B82">
            <v>23.5</v>
          </cell>
        </row>
        <row r="83">
          <cell r="B83">
            <v>23.5</v>
          </cell>
        </row>
        <row r="84">
          <cell r="B84">
            <v>23.5</v>
          </cell>
        </row>
        <row r="85">
          <cell r="B85">
            <v>23.5</v>
          </cell>
        </row>
        <row r="86">
          <cell r="B86">
            <v>23.5</v>
          </cell>
        </row>
        <row r="87">
          <cell r="B87">
            <v>23.5</v>
          </cell>
        </row>
        <row r="88">
          <cell r="B88">
            <v>23.7</v>
          </cell>
        </row>
        <row r="89">
          <cell r="B89">
            <v>24</v>
          </cell>
        </row>
        <row r="90">
          <cell r="B90">
            <v>24</v>
          </cell>
        </row>
        <row r="91">
          <cell r="B91">
            <v>24</v>
          </cell>
        </row>
        <row r="92">
          <cell r="B92">
            <v>24</v>
          </cell>
        </row>
        <row r="93">
          <cell r="B93">
            <v>24.2</v>
          </cell>
        </row>
        <row r="94">
          <cell r="B94">
            <v>24.5</v>
          </cell>
        </row>
        <row r="95">
          <cell r="B95">
            <v>24.5</v>
          </cell>
        </row>
        <row r="96">
          <cell r="B96">
            <v>24.5</v>
          </cell>
        </row>
        <row r="97">
          <cell r="B97">
            <v>24.5</v>
          </cell>
        </row>
        <row r="98">
          <cell r="B98">
            <v>24.5</v>
          </cell>
        </row>
        <row r="99">
          <cell r="B99">
            <v>24.5</v>
          </cell>
        </row>
        <row r="100">
          <cell r="B100">
            <v>24.5</v>
          </cell>
        </row>
        <row r="101">
          <cell r="B101">
            <v>24.5</v>
          </cell>
        </row>
        <row r="102">
          <cell r="B102">
            <v>25.6</v>
          </cell>
        </row>
        <row r="103">
          <cell r="B103">
            <v>26</v>
          </cell>
        </row>
        <row r="104">
          <cell r="B104">
            <v>26.85</v>
          </cell>
        </row>
        <row r="105">
          <cell r="B105">
            <v>27.75</v>
          </cell>
        </row>
        <row r="106">
          <cell r="B106">
            <v>28.25</v>
          </cell>
        </row>
        <row r="107">
          <cell r="B107">
            <v>29.05</v>
          </cell>
        </row>
        <row r="108">
          <cell r="B108">
            <v>30.45</v>
          </cell>
        </row>
        <row r="109">
          <cell r="B109">
            <v>31.6875</v>
          </cell>
        </row>
        <row r="110">
          <cell r="B110">
            <v>32</v>
          </cell>
        </row>
        <row r="111">
          <cell r="B111">
            <v>33.6</v>
          </cell>
        </row>
        <row r="112">
          <cell r="B112">
            <v>34.5</v>
          </cell>
        </row>
        <row r="113">
          <cell r="B113">
            <v>35.375</v>
          </cell>
        </row>
        <row r="114">
          <cell r="B114">
            <v>36.200000000000003</v>
          </cell>
        </row>
        <row r="115">
          <cell r="B115">
            <v>37</v>
          </cell>
        </row>
        <row r="116">
          <cell r="B116">
            <v>38.6</v>
          </cell>
        </row>
        <row r="117">
          <cell r="B117">
            <v>39.700000000000003</v>
          </cell>
        </row>
        <row r="118">
          <cell r="B118">
            <v>40.4</v>
          </cell>
        </row>
        <row r="119">
          <cell r="B119">
            <v>41</v>
          </cell>
        </row>
        <row r="120">
          <cell r="B120">
            <v>41</v>
          </cell>
        </row>
        <row r="121">
          <cell r="B121">
            <v>41</v>
          </cell>
        </row>
        <row r="122">
          <cell r="B122">
            <v>41</v>
          </cell>
        </row>
        <row r="123">
          <cell r="B123">
            <v>41.2</v>
          </cell>
        </row>
        <row r="124">
          <cell r="B124">
            <v>42</v>
          </cell>
        </row>
        <row r="125">
          <cell r="B125">
            <v>42.4</v>
          </cell>
        </row>
        <row r="126">
          <cell r="B126">
            <v>43.125</v>
          </cell>
        </row>
        <row r="127">
          <cell r="B127">
            <v>43.7</v>
          </cell>
        </row>
        <row r="128">
          <cell r="B128">
            <v>44.125</v>
          </cell>
        </row>
        <row r="129">
          <cell r="B129">
            <v>44.65</v>
          </cell>
        </row>
        <row r="130">
          <cell r="B130">
            <v>45.4</v>
          </cell>
        </row>
        <row r="131">
          <cell r="B131">
            <v>45.5</v>
          </cell>
        </row>
        <row r="132">
          <cell r="B132">
            <v>45.5</v>
          </cell>
        </row>
        <row r="133">
          <cell r="B133">
            <v>45.5</v>
          </cell>
        </row>
        <row r="134">
          <cell r="B134">
            <v>45.5</v>
          </cell>
        </row>
        <row r="135">
          <cell r="B135">
            <v>46.1</v>
          </cell>
        </row>
        <row r="136">
          <cell r="B136">
            <v>48.1</v>
          </cell>
        </row>
        <row r="137">
          <cell r="B137">
            <v>49.75</v>
          </cell>
        </row>
        <row r="138">
          <cell r="B138">
            <v>49.75</v>
          </cell>
        </row>
        <row r="139">
          <cell r="B139">
            <v>49.75</v>
          </cell>
        </row>
        <row r="140">
          <cell r="B140">
            <v>49.75</v>
          </cell>
        </row>
        <row r="141">
          <cell r="B141">
            <v>50.95</v>
          </cell>
        </row>
        <row r="142">
          <cell r="B142">
            <v>49</v>
          </cell>
        </row>
        <row r="143">
          <cell r="B143">
            <v>48.1</v>
          </cell>
        </row>
        <row r="144">
          <cell r="B144">
            <v>46.5</v>
          </cell>
        </row>
        <row r="145">
          <cell r="B145">
            <v>46.75</v>
          </cell>
        </row>
        <row r="146">
          <cell r="B146">
            <v>48.75</v>
          </cell>
        </row>
        <row r="147">
          <cell r="B147">
            <v>49</v>
          </cell>
        </row>
        <row r="148">
          <cell r="B148">
            <v>50.1</v>
          </cell>
        </row>
        <row r="149">
          <cell r="B149">
            <v>51.75</v>
          </cell>
        </row>
        <row r="150">
          <cell r="B150">
            <v>52.65</v>
          </cell>
        </row>
        <row r="151">
          <cell r="B151">
            <v>54</v>
          </cell>
        </row>
        <row r="152">
          <cell r="B152">
            <v>54</v>
          </cell>
        </row>
        <row r="153">
          <cell r="B153">
            <v>54</v>
          </cell>
        </row>
        <row r="154">
          <cell r="B154">
            <v>52.2</v>
          </cell>
        </row>
        <row r="155">
          <cell r="B155">
            <v>51</v>
          </cell>
        </row>
        <row r="156">
          <cell r="B156">
            <v>51</v>
          </cell>
        </row>
        <row r="157">
          <cell r="B157">
            <v>50.875</v>
          </cell>
        </row>
        <row r="158">
          <cell r="B158">
            <v>50.5</v>
          </cell>
        </row>
        <row r="159">
          <cell r="B159">
            <v>50.5</v>
          </cell>
        </row>
        <row r="160">
          <cell r="B160">
            <v>51.4</v>
          </cell>
        </row>
        <row r="161">
          <cell r="B161">
            <v>52.9375</v>
          </cell>
        </row>
        <row r="162">
          <cell r="B162">
            <v>53.774999999999999</v>
          </cell>
        </row>
        <row r="163">
          <cell r="B163">
            <v>54</v>
          </cell>
        </row>
        <row r="164">
          <cell r="B164">
            <v>57.25</v>
          </cell>
        </row>
        <row r="165">
          <cell r="B165">
            <v>57.25</v>
          </cell>
        </row>
        <row r="166">
          <cell r="B166">
            <v>58.625</v>
          </cell>
        </row>
        <row r="167">
          <cell r="B167">
            <v>60.3</v>
          </cell>
        </row>
        <row r="168">
          <cell r="B168">
            <v>61.9</v>
          </cell>
        </row>
        <row r="169">
          <cell r="B169">
            <v>64.5</v>
          </cell>
        </row>
        <row r="170">
          <cell r="B170">
            <v>64.5</v>
          </cell>
        </row>
        <row r="171">
          <cell r="B171">
            <v>62.1</v>
          </cell>
        </row>
        <row r="172">
          <cell r="B172">
            <v>60.9</v>
          </cell>
        </row>
        <row r="173">
          <cell r="B173">
            <v>60.5</v>
          </cell>
        </row>
        <row r="174">
          <cell r="B174">
            <v>60.5</v>
          </cell>
        </row>
        <row r="175">
          <cell r="B175">
            <v>60.5</v>
          </cell>
        </row>
        <row r="176">
          <cell r="B176">
            <v>62.5</v>
          </cell>
        </row>
        <row r="177">
          <cell r="B177">
            <v>62.5</v>
          </cell>
        </row>
        <row r="178">
          <cell r="B178">
            <v>62.5</v>
          </cell>
        </row>
        <row r="179">
          <cell r="B179">
            <v>62.5</v>
          </cell>
        </row>
        <row r="180">
          <cell r="B180">
            <v>62.5</v>
          </cell>
        </row>
        <row r="181">
          <cell r="B181">
            <v>62.5</v>
          </cell>
        </row>
        <row r="182">
          <cell r="B182">
            <v>62.5</v>
          </cell>
        </row>
        <row r="183">
          <cell r="B183">
            <v>62.5</v>
          </cell>
        </row>
        <row r="184">
          <cell r="B184">
            <v>61.7</v>
          </cell>
        </row>
        <row r="185">
          <cell r="B185">
            <v>60</v>
          </cell>
        </row>
        <row r="186">
          <cell r="B186">
            <v>58.1</v>
          </cell>
        </row>
        <row r="187">
          <cell r="B187">
            <v>56.35</v>
          </cell>
        </row>
        <row r="188">
          <cell r="B188">
            <v>55.75</v>
          </cell>
        </row>
        <row r="189">
          <cell r="B189">
            <v>55.75</v>
          </cell>
        </row>
        <row r="190">
          <cell r="B190">
            <v>55.75</v>
          </cell>
        </row>
        <row r="191">
          <cell r="B191">
            <v>55.75</v>
          </cell>
        </row>
        <row r="192">
          <cell r="B192">
            <v>55.75</v>
          </cell>
        </row>
        <row r="193">
          <cell r="B193">
            <v>55.25</v>
          </cell>
        </row>
        <row r="194">
          <cell r="B194">
            <v>54.5</v>
          </cell>
        </row>
        <row r="195">
          <cell r="B195">
            <v>54.5</v>
          </cell>
        </row>
        <row r="196">
          <cell r="B196">
            <v>54.5</v>
          </cell>
        </row>
        <row r="197">
          <cell r="B197">
            <v>54.5</v>
          </cell>
        </row>
        <row r="198">
          <cell r="B198">
            <v>54.5</v>
          </cell>
        </row>
        <row r="199">
          <cell r="B199">
            <v>54.5</v>
          </cell>
        </row>
        <row r="200">
          <cell r="B200">
            <v>54.5</v>
          </cell>
        </row>
        <row r="201">
          <cell r="B201">
            <v>54.5</v>
          </cell>
        </row>
        <row r="202">
          <cell r="B202">
            <v>54.7</v>
          </cell>
        </row>
        <row r="203">
          <cell r="B203">
            <v>55</v>
          </cell>
        </row>
        <row r="204">
          <cell r="B204">
            <v>55</v>
          </cell>
        </row>
        <row r="205">
          <cell r="B205">
            <v>55</v>
          </cell>
        </row>
        <row r="206">
          <cell r="B206">
            <v>55</v>
          </cell>
        </row>
        <row r="207">
          <cell r="B207">
            <v>54.6</v>
          </cell>
        </row>
        <row r="208">
          <cell r="B208">
            <v>54.5</v>
          </cell>
        </row>
        <row r="209">
          <cell r="B209">
            <v>54.5</v>
          </cell>
        </row>
        <row r="210">
          <cell r="B210">
            <v>54</v>
          </cell>
        </row>
        <row r="211">
          <cell r="B211">
            <v>53.5</v>
          </cell>
        </row>
        <row r="212">
          <cell r="B212">
            <v>52.9</v>
          </cell>
        </row>
        <row r="213">
          <cell r="B213">
            <v>52.5</v>
          </cell>
        </row>
        <row r="214">
          <cell r="B214">
            <v>52.5</v>
          </cell>
        </row>
        <row r="215">
          <cell r="B215">
            <v>52.5</v>
          </cell>
        </row>
        <row r="216">
          <cell r="B216">
            <v>52.5</v>
          </cell>
        </row>
        <row r="217">
          <cell r="B217">
            <v>51.3</v>
          </cell>
        </row>
        <row r="218">
          <cell r="B218">
            <v>48</v>
          </cell>
        </row>
        <row r="219">
          <cell r="B219">
            <v>45.5</v>
          </cell>
        </row>
        <row r="220">
          <cell r="B220">
            <v>44.25</v>
          </cell>
        </row>
        <row r="221">
          <cell r="B221">
            <v>42.8</v>
          </cell>
        </row>
        <row r="222">
          <cell r="B222">
            <v>41.5</v>
          </cell>
        </row>
        <row r="223">
          <cell r="B223">
            <v>41.5</v>
          </cell>
        </row>
        <row r="224">
          <cell r="B224">
            <v>41.5</v>
          </cell>
        </row>
        <row r="225">
          <cell r="B225">
            <v>41.5</v>
          </cell>
        </row>
        <row r="226">
          <cell r="B226">
            <v>41.5</v>
          </cell>
        </row>
        <row r="227">
          <cell r="B227">
            <v>41.5</v>
          </cell>
        </row>
        <row r="228">
          <cell r="B228">
            <v>42.1</v>
          </cell>
        </row>
        <row r="229">
          <cell r="B229">
            <v>42.5</v>
          </cell>
        </row>
        <row r="230">
          <cell r="B230">
            <v>42.5</v>
          </cell>
        </row>
        <row r="231">
          <cell r="B231">
            <v>42.5</v>
          </cell>
        </row>
        <row r="232">
          <cell r="B232">
            <v>42.5</v>
          </cell>
        </row>
        <row r="233">
          <cell r="B233">
            <v>42.5</v>
          </cell>
        </row>
        <row r="234">
          <cell r="B234">
            <v>43.3</v>
          </cell>
        </row>
        <row r="235">
          <cell r="B235">
            <v>44.5</v>
          </cell>
        </row>
        <row r="236">
          <cell r="B236">
            <v>44.5</v>
          </cell>
        </row>
        <row r="237">
          <cell r="B237">
            <v>44.5</v>
          </cell>
        </row>
        <row r="238">
          <cell r="B238">
            <v>45.5</v>
          </cell>
        </row>
        <row r="239">
          <cell r="B239">
            <v>47</v>
          </cell>
        </row>
        <row r="240">
          <cell r="B240">
            <v>47</v>
          </cell>
        </row>
        <row r="241">
          <cell r="B241">
            <v>47</v>
          </cell>
        </row>
        <row r="242">
          <cell r="B242">
            <v>47</v>
          </cell>
        </row>
        <row r="243">
          <cell r="B243">
            <v>47</v>
          </cell>
        </row>
        <row r="244">
          <cell r="B244">
            <v>47</v>
          </cell>
        </row>
        <row r="245">
          <cell r="B245">
            <v>47</v>
          </cell>
        </row>
        <row r="246">
          <cell r="B246">
            <v>47</v>
          </cell>
        </row>
        <row r="247">
          <cell r="B247">
            <v>47.8</v>
          </cell>
        </row>
        <row r="248">
          <cell r="B248">
            <v>49.6</v>
          </cell>
        </row>
        <row r="249">
          <cell r="B249">
            <v>50</v>
          </cell>
        </row>
        <row r="250">
          <cell r="B250">
            <v>50.9</v>
          </cell>
        </row>
        <row r="251">
          <cell r="B251">
            <v>48.8</v>
          </cell>
        </row>
        <row r="252">
          <cell r="B252">
            <v>47</v>
          </cell>
        </row>
        <row r="253">
          <cell r="B253">
            <v>43</v>
          </cell>
        </row>
        <row r="254">
          <cell r="B254">
            <v>39.9</v>
          </cell>
        </row>
        <row r="255">
          <cell r="B255">
            <v>37.6</v>
          </cell>
        </row>
        <row r="256">
          <cell r="B256">
            <v>36.5</v>
          </cell>
        </row>
        <row r="257">
          <cell r="B257">
            <v>36.5</v>
          </cell>
        </row>
        <row r="258">
          <cell r="B258">
            <v>36.5</v>
          </cell>
        </row>
        <row r="259">
          <cell r="B259">
            <v>36.1</v>
          </cell>
        </row>
        <row r="260">
          <cell r="B260">
            <v>33.9</v>
          </cell>
        </row>
        <row r="261">
          <cell r="B261">
            <v>33.5</v>
          </cell>
        </row>
        <row r="262">
          <cell r="B262">
            <v>33.5</v>
          </cell>
        </row>
        <row r="263">
          <cell r="B263">
            <v>33.5</v>
          </cell>
        </row>
        <row r="264">
          <cell r="B264">
            <v>31.4</v>
          </cell>
        </row>
        <row r="265">
          <cell r="B265">
            <v>30</v>
          </cell>
        </row>
        <row r="266">
          <cell r="B266">
            <v>30</v>
          </cell>
        </row>
        <row r="267">
          <cell r="B267">
            <v>30</v>
          </cell>
        </row>
        <row r="268">
          <cell r="B268">
            <v>30</v>
          </cell>
        </row>
        <row r="269">
          <cell r="B269">
            <v>30</v>
          </cell>
        </row>
        <row r="270">
          <cell r="B270">
            <v>30</v>
          </cell>
        </row>
        <row r="271">
          <cell r="B271">
            <v>30</v>
          </cell>
        </row>
        <row r="272">
          <cell r="B272">
            <v>30</v>
          </cell>
        </row>
        <row r="273">
          <cell r="B273">
            <v>30</v>
          </cell>
        </row>
        <row r="274">
          <cell r="B274">
            <v>30</v>
          </cell>
        </row>
        <row r="275">
          <cell r="B275">
            <v>30</v>
          </cell>
        </row>
        <row r="276">
          <cell r="B276">
            <v>30</v>
          </cell>
        </row>
        <row r="277">
          <cell r="B277">
            <v>30</v>
          </cell>
        </row>
        <row r="278">
          <cell r="B278">
            <v>30.3</v>
          </cell>
        </row>
        <row r="279">
          <cell r="B279">
            <v>30.5</v>
          </cell>
        </row>
        <row r="280">
          <cell r="B280">
            <v>29.9</v>
          </cell>
        </row>
        <row r="281">
          <cell r="B281">
            <v>29.5</v>
          </cell>
        </row>
        <row r="282">
          <cell r="B282">
            <v>29.5</v>
          </cell>
        </row>
        <row r="283">
          <cell r="B283">
            <v>29.5</v>
          </cell>
        </row>
        <row r="284">
          <cell r="B284">
            <v>29.5</v>
          </cell>
        </row>
        <row r="285">
          <cell r="B285">
            <v>29.5</v>
          </cell>
        </row>
        <row r="286">
          <cell r="B286">
            <v>29.5</v>
          </cell>
        </row>
        <row r="287">
          <cell r="B287">
            <v>29.5</v>
          </cell>
        </row>
        <row r="288">
          <cell r="B288">
            <v>29.5</v>
          </cell>
        </row>
        <row r="289">
          <cell r="B289">
            <v>29.5</v>
          </cell>
        </row>
        <row r="290">
          <cell r="B290">
            <v>29.5</v>
          </cell>
        </row>
        <row r="291">
          <cell r="B291">
            <v>29.5</v>
          </cell>
        </row>
        <row r="292">
          <cell r="B292">
            <v>29.9</v>
          </cell>
        </row>
        <row r="293">
          <cell r="B293">
            <v>31.5</v>
          </cell>
        </row>
        <row r="294">
          <cell r="B294">
            <v>31.5</v>
          </cell>
        </row>
        <row r="295">
          <cell r="B295">
            <v>31.5</v>
          </cell>
        </row>
        <row r="296">
          <cell r="B296">
            <v>31.5</v>
          </cell>
        </row>
        <row r="297">
          <cell r="B297">
            <v>31.5</v>
          </cell>
        </row>
        <row r="298">
          <cell r="B298">
            <v>33.75</v>
          </cell>
        </row>
        <row r="299">
          <cell r="B299">
            <v>36.5</v>
          </cell>
        </row>
        <row r="300">
          <cell r="B300">
            <v>37</v>
          </cell>
        </row>
        <row r="301">
          <cell r="B301">
            <v>39.5</v>
          </cell>
        </row>
        <row r="302">
          <cell r="B302">
            <v>39.299999999999997</v>
          </cell>
        </row>
        <row r="303">
          <cell r="B303">
            <v>39</v>
          </cell>
        </row>
        <row r="304">
          <cell r="B304">
            <v>39</v>
          </cell>
        </row>
        <row r="305">
          <cell r="B305">
            <v>39</v>
          </cell>
        </row>
        <row r="306">
          <cell r="B306">
            <v>39</v>
          </cell>
        </row>
        <row r="307">
          <cell r="B307">
            <v>39</v>
          </cell>
        </row>
        <row r="308">
          <cell r="B308">
            <v>39</v>
          </cell>
        </row>
        <row r="309">
          <cell r="B309">
            <v>39</v>
          </cell>
        </row>
        <row r="310">
          <cell r="B310">
            <v>39</v>
          </cell>
        </row>
        <row r="311">
          <cell r="B311">
            <v>39</v>
          </cell>
        </row>
        <row r="312">
          <cell r="B312">
            <v>39</v>
          </cell>
        </row>
        <row r="313">
          <cell r="B313">
            <v>39</v>
          </cell>
        </row>
        <row r="314">
          <cell r="B314">
            <v>39</v>
          </cell>
        </row>
        <row r="315">
          <cell r="B315">
            <v>39</v>
          </cell>
        </row>
        <row r="316">
          <cell r="B316">
            <v>39</v>
          </cell>
        </row>
        <row r="317">
          <cell r="B317">
            <v>39</v>
          </cell>
        </row>
        <row r="318">
          <cell r="B318">
            <v>39</v>
          </cell>
        </row>
        <row r="319">
          <cell r="B319">
            <v>39</v>
          </cell>
        </row>
        <row r="320">
          <cell r="B320">
            <v>39</v>
          </cell>
        </row>
        <row r="321">
          <cell r="B321">
            <v>39</v>
          </cell>
        </row>
        <row r="322">
          <cell r="B322">
            <v>39</v>
          </cell>
        </row>
        <row r="323">
          <cell r="B323">
            <v>39</v>
          </cell>
        </row>
        <row r="324">
          <cell r="B324">
            <v>39</v>
          </cell>
        </row>
      </sheetData>
      <sheetData sheetId="10">
        <row r="26">
          <cell r="B26">
            <v>329.3</v>
          </cell>
          <cell r="C26">
            <v>1.9100999999999999</v>
          </cell>
        </row>
        <row r="27">
          <cell r="B27">
            <v>330.5</v>
          </cell>
          <cell r="C27">
            <v>1.9500999999999999</v>
          </cell>
        </row>
        <row r="28">
          <cell r="B28">
            <v>330.5</v>
          </cell>
          <cell r="C28">
            <v>1.921</v>
          </cell>
        </row>
        <row r="29">
          <cell r="B29">
            <v>331.1</v>
          </cell>
          <cell r="C29">
            <v>1.9608000000000001</v>
          </cell>
        </row>
        <row r="30">
          <cell r="B30">
            <v>332.3</v>
          </cell>
          <cell r="C30">
            <v>1.9101999999999999</v>
          </cell>
        </row>
        <row r="31">
          <cell r="B31">
            <v>335.5</v>
          </cell>
          <cell r="C31">
            <v>1.9197</v>
          </cell>
        </row>
        <row r="32">
          <cell r="B32">
            <v>335.5</v>
          </cell>
          <cell r="C32">
            <v>1.9138999999999999</v>
          </cell>
        </row>
        <row r="33">
          <cell r="B33">
            <v>335.5</v>
          </cell>
          <cell r="C33">
            <v>1.8236000000000001</v>
          </cell>
        </row>
        <row r="34">
          <cell r="B34">
            <v>338.5</v>
          </cell>
          <cell r="C34">
            <v>1.84</v>
          </cell>
        </row>
        <row r="35">
          <cell r="B35">
            <v>340.5</v>
          </cell>
          <cell r="C35">
            <v>1.8503000000000001</v>
          </cell>
        </row>
        <row r="36">
          <cell r="B36">
            <v>340.7</v>
          </cell>
          <cell r="C36">
            <v>1.8403</v>
          </cell>
        </row>
        <row r="37">
          <cell r="B37">
            <v>341</v>
          </cell>
          <cell r="C37">
            <v>1.8751</v>
          </cell>
        </row>
        <row r="38">
          <cell r="B38">
            <v>342.8</v>
          </cell>
          <cell r="C38">
            <v>1.9095</v>
          </cell>
        </row>
        <row r="39">
          <cell r="B39">
            <v>344.5</v>
          </cell>
          <cell r="C39">
            <v>2.0175999999999998</v>
          </cell>
        </row>
        <row r="40">
          <cell r="B40">
            <v>346.5</v>
          </cell>
          <cell r="C40">
            <v>1.9676</v>
          </cell>
        </row>
        <row r="41">
          <cell r="B41">
            <v>341.1</v>
          </cell>
          <cell r="C41">
            <v>1.8995</v>
          </cell>
        </row>
        <row r="42">
          <cell r="B42">
            <v>337.5</v>
          </cell>
          <cell r="C42">
            <v>1.9321999999999999</v>
          </cell>
        </row>
        <row r="43">
          <cell r="B43">
            <v>337.5</v>
          </cell>
          <cell r="C43">
            <v>1.9426000000000001</v>
          </cell>
        </row>
        <row r="44">
          <cell r="B44">
            <v>337.9</v>
          </cell>
          <cell r="C44">
            <v>1.9729000000000001</v>
          </cell>
        </row>
        <row r="45">
          <cell r="B45">
            <v>339.5</v>
          </cell>
          <cell r="C45">
            <v>1.9397</v>
          </cell>
        </row>
        <row r="46">
          <cell r="B46">
            <v>340.7</v>
          </cell>
          <cell r="C46">
            <v>1.9426000000000001</v>
          </cell>
        </row>
        <row r="47">
          <cell r="B47">
            <v>342.5</v>
          </cell>
          <cell r="C47">
            <v>1.9279999999999999</v>
          </cell>
        </row>
        <row r="48">
          <cell r="B48">
            <v>342.5</v>
          </cell>
          <cell r="C48">
            <v>1.9157</v>
          </cell>
        </row>
        <row r="49">
          <cell r="B49">
            <v>343.33330000000001</v>
          </cell>
          <cell r="C49">
            <v>1.9604999999999999</v>
          </cell>
        </row>
        <row r="50">
          <cell r="B50">
            <v>345</v>
          </cell>
          <cell r="C50">
            <v>1.9248000000000001</v>
          </cell>
        </row>
        <row r="51">
          <cell r="B51">
            <v>344.1</v>
          </cell>
          <cell r="C51">
            <v>1.9651000000000001</v>
          </cell>
        </row>
        <row r="52">
          <cell r="B52">
            <v>343.5</v>
          </cell>
          <cell r="C52">
            <v>2.0318999999999998</v>
          </cell>
        </row>
        <row r="53">
          <cell r="B53">
            <v>343.5</v>
          </cell>
          <cell r="C53">
            <v>2.0501</v>
          </cell>
        </row>
        <row r="54">
          <cell r="B54">
            <v>343.5</v>
          </cell>
          <cell r="C54">
            <v>2.0293999999999999</v>
          </cell>
        </row>
        <row r="55">
          <cell r="B55">
            <v>343.5</v>
          </cell>
          <cell r="C55">
            <v>1.9905999999999999</v>
          </cell>
        </row>
        <row r="56">
          <cell r="B56">
            <v>343.5</v>
          </cell>
          <cell r="C56">
            <v>1.8911</v>
          </cell>
        </row>
        <row r="57">
          <cell r="B57">
            <v>343.5</v>
          </cell>
          <cell r="C57">
            <v>1.8128</v>
          </cell>
        </row>
        <row r="58">
          <cell r="B58">
            <v>343.5</v>
          </cell>
          <cell r="C58">
            <v>1.6826000000000001</v>
          </cell>
        </row>
        <row r="59">
          <cell r="B59">
            <v>343.5</v>
          </cell>
          <cell r="C59">
            <v>1.6332</v>
          </cell>
        </row>
        <row r="60">
          <cell r="B60">
            <v>333.1</v>
          </cell>
          <cell r="C60">
            <v>1.6677999999999999</v>
          </cell>
        </row>
        <row r="61">
          <cell r="B61">
            <v>319.5</v>
          </cell>
          <cell r="C61">
            <v>1.7009000000000001</v>
          </cell>
        </row>
        <row r="62">
          <cell r="B62">
            <v>325.5</v>
          </cell>
          <cell r="C62">
            <v>1.5422</v>
          </cell>
        </row>
        <row r="63">
          <cell r="B63">
            <v>331.5</v>
          </cell>
          <cell r="C63">
            <v>1.4904999999999999</v>
          </cell>
        </row>
        <row r="64">
          <cell r="B64">
            <v>333.7</v>
          </cell>
          <cell r="C64">
            <v>1.1996</v>
          </cell>
        </row>
        <row r="65">
          <cell r="B65">
            <v>335</v>
          </cell>
          <cell r="C65">
            <v>1.0268999999999999</v>
          </cell>
        </row>
        <row r="66">
          <cell r="B66">
            <v>335</v>
          </cell>
          <cell r="C66">
            <v>1.0726</v>
          </cell>
        </row>
        <row r="67">
          <cell r="B67">
            <v>339.5</v>
          </cell>
          <cell r="C67">
            <v>1.0159</v>
          </cell>
        </row>
        <row r="68">
          <cell r="B68">
            <v>339.5</v>
          </cell>
          <cell r="C68">
            <v>1.0241</v>
          </cell>
        </row>
        <row r="69">
          <cell r="B69">
            <v>339.5</v>
          </cell>
          <cell r="C69">
            <v>0.96099999999999997</v>
          </cell>
        </row>
        <row r="70">
          <cell r="B70">
            <v>339.5</v>
          </cell>
          <cell r="C70">
            <v>0.75539999999999996</v>
          </cell>
        </row>
        <row r="71">
          <cell r="B71">
            <v>339.5</v>
          </cell>
          <cell r="C71">
            <v>0.70269999999999999</v>
          </cell>
        </row>
        <row r="72">
          <cell r="B72">
            <v>339.5</v>
          </cell>
          <cell r="C72">
            <v>0.8619</v>
          </cell>
        </row>
        <row r="73">
          <cell r="B73">
            <v>339.5</v>
          </cell>
          <cell r="C73">
            <v>0.88070000000000004</v>
          </cell>
        </row>
        <row r="74">
          <cell r="B74">
            <v>338.7</v>
          </cell>
          <cell r="C74">
            <v>0.99829999999999997</v>
          </cell>
        </row>
        <row r="75">
          <cell r="B75">
            <v>338</v>
          </cell>
          <cell r="C75">
            <v>0.97330000000000005</v>
          </cell>
        </row>
        <row r="76">
          <cell r="B76">
            <v>342.7</v>
          </cell>
          <cell r="C76">
            <v>1.0921000000000001</v>
          </cell>
        </row>
        <row r="77">
          <cell r="B77">
            <v>347.5</v>
          </cell>
          <cell r="C77">
            <v>1.1376999999999999</v>
          </cell>
        </row>
        <row r="78">
          <cell r="B78">
            <v>353.5</v>
          </cell>
          <cell r="C78">
            <v>1.1921999999999999</v>
          </cell>
        </row>
        <row r="79">
          <cell r="B79">
            <v>356.3</v>
          </cell>
          <cell r="C79">
            <v>1.1829000000000001</v>
          </cell>
        </row>
        <row r="80">
          <cell r="B80">
            <v>355.5</v>
          </cell>
          <cell r="C80">
            <v>1.2036</v>
          </cell>
        </row>
        <row r="81">
          <cell r="B81">
            <v>355.5</v>
          </cell>
          <cell r="C81">
            <v>1.2470000000000001</v>
          </cell>
        </row>
        <row r="82">
          <cell r="B82">
            <v>356.7</v>
          </cell>
          <cell r="C82">
            <v>1.2372000000000001</v>
          </cell>
        </row>
        <row r="83">
          <cell r="B83">
            <v>357.5</v>
          </cell>
          <cell r="C83">
            <v>1.2693000000000001</v>
          </cell>
        </row>
        <row r="84">
          <cell r="B84">
            <v>357.5</v>
          </cell>
          <cell r="C84">
            <v>1.2457</v>
          </cell>
        </row>
        <row r="85">
          <cell r="B85">
            <v>358</v>
          </cell>
          <cell r="C85">
            <v>1.2564</v>
          </cell>
        </row>
        <row r="86">
          <cell r="B86">
            <v>360</v>
          </cell>
          <cell r="C86">
            <v>1.2481</v>
          </cell>
        </row>
        <row r="87">
          <cell r="B87">
            <v>364.2</v>
          </cell>
          <cell r="C87">
            <v>1.2508999999999999</v>
          </cell>
        </row>
        <row r="88">
          <cell r="B88">
            <v>367</v>
          </cell>
          <cell r="C88">
            <v>1.2459</v>
          </cell>
        </row>
        <row r="89">
          <cell r="B89">
            <v>376</v>
          </cell>
          <cell r="C89">
            <v>1.1969000000000001</v>
          </cell>
        </row>
        <row r="90">
          <cell r="B90">
            <v>379.75</v>
          </cell>
          <cell r="C90">
            <v>1.0987</v>
          </cell>
        </row>
        <row r="91">
          <cell r="B91">
            <v>391</v>
          </cell>
          <cell r="C91">
            <v>1.1355999999999999</v>
          </cell>
        </row>
        <row r="92">
          <cell r="B92">
            <v>398.5</v>
          </cell>
          <cell r="C92">
            <v>1.1208</v>
          </cell>
        </row>
        <row r="93">
          <cell r="B93">
            <v>395.5</v>
          </cell>
          <cell r="C93">
            <v>1.1234999999999999</v>
          </cell>
        </row>
        <row r="94">
          <cell r="B94">
            <v>392.5</v>
          </cell>
          <cell r="C94">
            <v>1.1837</v>
          </cell>
        </row>
        <row r="95">
          <cell r="B95">
            <v>392.5</v>
          </cell>
          <cell r="C95">
            <v>1.1873</v>
          </cell>
        </row>
        <row r="96">
          <cell r="B96">
            <v>395.5</v>
          </cell>
          <cell r="C96">
            <v>1.1667000000000001</v>
          </cell>
        </row>
        <row r="97">
          <cell r="B97">
            <v>400</v>
          </cell>
          <cell r="C97">
            <v>1.1227</v>
          </cell>
        </row>
        <row r="98">
          <cell r="B98">
            <v>400</v>
          </cell>
          <cell r="C98">
            <v>1.155</v>
          </cell>
        </row>
        <row r="99">
          <cell r="B99">
            <v>400</v>
          </cell>
          <cell r="C99">
            <v>1.2404999999999999</v>
          </cell>
        </row>
        <row r="100">
          <cell r="B100">
            <v>410</v>
          </cell>
          <cell r="C100">
            <v>1.2678</v>
          </cell>
        </row>
        <row r="101">
          <cell r="B101">
            <v>425</v>
          </cell>
          <cell r="C101">
            <v>1.3622000000000001</v>
          </cell>
        </row>
        <row r="102">
          <cell r="B102">
            <v>428</v>
          </cell>
          <cell r="C102">
            <v>1.3831</v>
          </cell>
        </row>
        <row r="103">
          <cell r="B103">
            <v>432.5</v>
          </cell>
          <cell r="C103">
            <v>1.4255</v>
          </cell>
        </row>
        <row r="104">
          <cell r="B104">
            <v>436</v>
          </cell>
          <cell r="C104">
            <v>1.4910000000000001</v>
          </cell>
        </row>
        <row r="105">
          <cell r="B105">
            <v>450</v>
          </cell>
          <cell r="C105">
            <v>1.4891000000000001</v>
          </cell>
        </row>
        <row r="106">
          <cell r="B106">
            <v>450</v>
          </cell>
          <cell r="C106">
            <v>1.49</v>
          </cell>
        </row>
        <row r="107">
          <cell r="B107">
            <v>450</v>
          </cell>
          <cell r="C107">
            <v>1.5354000000000001</v>
          </cell>
        </row>
        <row r="108">
          <cell r="B108">
            <v>450</v>
          </cell>
          <cell r="C108">
            <v>1.6063000000000001</v>
          </cell>
        </row>
        <row r="109">
          <cell r="B109">
            <v>474</v>
          </cell>
          <cell r="C109">
            <v>1.6039000000000001</v>
          </cell>
        </row>
        <row r="110">
          <cell r="B110">
            <v>482</v>
          </cell>
          <cell r="C110">
            <v>1.6074999999999999</v>
          </cell>
        </row>
        <row r="111">
          <cell r="B111">
            <v>482</v>
          </cell>
          <cell r="C111">
            <v>1.6952</v>
          </cell>
        </row>
        <row r="112">
          <cell r="B112">
            <v>495.8</v>
          </cell>
          <cell r="C112">
            <v>1.7663</v>
          </cell>
        </row>
        <row r="113">
          <cell r="B113">
            <v>505</v>
          </cell>
          <cell r="C113">
            <v>1.8379000000000001</v>
          </cell>
        </row>
        <row r="114">
          <cell r="B114">
            <v>509</v>
          </cell>
          <cell r="C114">
            <v>1.8895999999999999</v>
          </cell>
        </row>
        <row r="115">
          <cell r="B115">
            <v>521</v>
          </cell>
          <cell r="C115">
            <v>1.8585</v>
          </cell>
        </row>
        <row r="116">
          <cell r="B116">
            <v>540</v>
          </cell>
          <cell r="C116">
            <v>1.9419999999999999</v>
          </cell>
        </row>
        <row r="117">
          <cell r="B117">
            <v>550</v>
          </cell>
          <cell r="C117">
            <v>1.8888</v>
          </cell>
        </row>
        <row r="118">
          <cell r="B118">
            <v>550</v>
          </cell>
          <cell r="C118">
            <v>1.8323</v>
          </cell>
        </row>
        <row r="119">
          <cell r="B119">
            <v>550</v>
          </cell>
          <cell r="C119">
            <v>1.8105</v>
          </cell>
        </row>
        <row r="120">
          <cell r="B120">
            <v>562</v>
          </cell>
          <cell r="C120">
            <v>1.8084</v>
          </cell>
        </row>
        <row r="121">
          <cell r="B121">
            <v>580</v>
          </cell>
          <cell r="C121">
            <v>1.8714</v>
          </cell>
        </row>
        <row r="122">
          <cell r="B122">
            <v>580</v>
          </cell>
          <cell r="C122">
            <v>1.8821000000000001</v>
          </cell>
        </row>
        <row r="123">
          <cell r="B123">
            <v>580</v>
          </cell>
          <cell r="C123">
            <v>1.9311</v>
          </cell>
        </row>
        <row r="124">
          <cell r="B124">
            <v>580</v>
          </cell>
          <cell r="C124">
            <v>2.0007000000000001</v>
          </cell>
        </row>
        <row r="125">
          <cell r="B125">
            <v>604</v>
          </cell>
          <cell r="C125">
            <v>2.0430000000000001</v>
          </cell>
        </row>
        <row r="126">
          <cell r="B126">
            <v>620</v>
          </cell>
          <cell r="C126">
            <v>2.0253000000000001</v>
          </cell>
        </row>
        <row r="127">
          <cell r="B127">
            <v>620</v>
          </cell>
          <cell r="C127">
            <v>2.0547</v>
          </cell>
        </row>
        <row r="128">
          <cell r="B128">
            <v>622.5</v>
          </cell>
          <cell r="C128">
            <v>2.1101000000000001</v>
          </cell>
        </row>
        <row r="129">
          <cell r="B129">
            <v>648</v>
          </cell>
          <cell r="C129">
            <v>2.1387999999999998</v>
          </cell>
        </row>
        <row r="130">
          <cell r="B130">
            <v>660</v>
          </cell>
          <cell r="C130">
            <v>2.1074999999999999</v>
          </cell>
        </row>
        <row r="131">
          <cell r="B131">
            <v>642</v>
          </cell>
          <cell r="C131">
            <v>2.1598000000000002</v>
          </cell>
        </row>
        <row r="132">
          <cell r="B132">
            <v>630</v>
          </cell>
          <cell r="C132">
            <v>2.1328</v>
          </cell>
        </row>
        <row r="133">
          <cell r="B133">
            <v>630</v>
          </cell>
          <cell r="C133">
            <v>2.1274000000000002</v>
          </cell>
        </row>
        <row r="134">
          <cell r="B134">
            <v>636</v>
          </cell>
          <cell r="C134">
            <v>2.1507000000000001</v>
          </cell>
        </row>
        <row r="135">
          <cell r="B135">
            <v>640</v>
          </cell>
          <cell r="C135">
            <v>1.9952000000000001</v>
          </cell>
        </row>
        <row r="136">
          <cell r="B136">
            <v>640</v>
          </cell>
          <cell r="C136">
            <v>2.1779000000000002</v>
          </cell>
        </row>
        <row r="137">
          <cell r="B137">
            <v>640</v>
          </cell>
          <cell r="C137">
            <v>2.1154000000000002</v>
          </cell>
        </row>
        <row r="138">
          <cell r="B138">
            <v>640</v>
          </cell>
          <cell r="C138">
            <v>2.0920000000000001</v>
          </cell>
        </row>
        <row r="139">
          <cell r="B139">
            <v>632</v>
          </cell>
          <cell r="C139">
            <v>2.0066000000000002</v>
          </cell>
        </row>
        <row r="140">
          <cell r="B140">
            <v>630</v>
          </cell>
          <cell r="C140">
            <v>2.0865</v>
          </cell>
        </row>
        <row r="141">
          <cell r="B141">
            <v>622</v>
          </cell>
          <cell r="C141">
            <v>2.1555</v>
          </cell>
        </row>
        <row r="142">
          <cell r="B142">
            <v>610</v>
          </cell>
          <cell r="C142">
            <v>2.1314000000000002</v>
          </cell>
        </row>
        <row r="143">
          <cell r="B143">
            <v>605</v>
          </cell>
          <cell r="C143">
            <v>2.1989999999999998</v>
          </cell>
        </row>
        <row r="144">
          <cell r="B144">
            <v>585</v>
          </cell>
          <cell r="C144">
            <v>2.2221000000000002</v>
          </cell>
        </row>
        <row r="145">
          <cell r="B145">
            <v>582.5</v>
          </cell>
          <cell r="C145">
            <v>2.3334000000000001</v>
          </cell>
        </row>
        <row r="146">
          <cell r="B146">
            <v>572.5</v>
          </cell>
          <cell r="C146">
            <v>2.4710999999999999</v>
          </cell>
        </row>
        <row r="147">
          <cell r="B147">
            <v>598</v>
          </cell>
          <cell r="C147">
            <v>2.5461999999999998</v>
          </cell>
        </row>
        <row r="148">
          <cell r="B148">
            <v>627</v>
          </cell>
          <cell r="C148">
            <v>2.5701000000000001</v>
          </cell>
        </row>
        <row r="149">
          <cell r="B149">
            <v>645</v>
          </cell>
          <cell r="C149">
            <v>2.5413999999999999</v>
          </cell>
        </row>
        <row r="150">
          <cell r="B150">
            <v>645</v>
          </cell>
          <cell r="C150">
            <v>2.4729999999999999</v>
          </cell>
        </row>
        <row r="151">
          <cell r="B151">
            <v>639</v>
          </cell>
          <cell r="C151">
            <v>2.4655999999999998</v>
          </cell>
        </row>
        <row r="152">
          <cell r="B152">
            <v>635</v>
          </cell>
          <cell r="C152">
            <v>2.3841999999999999</v>
          </cell>
        </row>
        <row r="153">
          <cell r="B153">
            <v>631.66669999999999</v>
          </cell>
          <cell r="C153">
            <v>2.3742000000000001</v>
          </cell>
        </row>
        <row r="154">
          <cell r="B154">
            <v>625</v>
          </cell>
          <cell r="C154">
            <v>2.109</v>
          </cell>
        </row>
        <row r="155">
          <cell r="B155">
            <v>616</v>
          </cell>
          <cell r="C155">
            <v>2.2418</v>
          </cell>
        </row>
        <row r="156">
          <cell r="B156">
            <v>607</v>
          </cell>
          <cell r="C156">
            <v>2.2416</v>
          </cell>
        </row>
        <row r="157">
          <cell r="B157">
            <v>605</v>
          </cell>
          <cell r="C157">
            <v>2.2774999999999999</v>
          </cell>
        </row>
        <row r="158">
          <cell r="B158">
            <v>605</v>
          </cell>
          <cell r="C158">
            <v>2.3847</v>
          </cell>
        </row>
        <row r="159">
          <cell r="B159">
            <v>605</v>
          </cell>
          <cell r="C159">
            <v>2.4437000000000002</v>
          </cell>
        </row>
        <row r="160">
          <cell r="B160">
            <v>605</v>
          </cell>
          <cell r="C160">
            <v>2.5876000000000001</v>
          </cell>
        </row>
        <row r="161">
          <cell r="B161">
            <v>611.25</v>
          </cell>
          <cell r="C161">
            <v>2.6922999999999999</v>
          </cell>
        </row>
        <row r="162">
          <cell r="B162">
            <v>632</v>
          </cell>
          <cell r="C162">
            <v>2.7341000000000002</v>
          </cell>
        </row>
        <row r="163">
          <cell r="B163">
            <v>650</v>
          </cell>
          <cell r="C163">
            <v>2.8012000000000001</v>
          </cell>
        </row>
        <row r="164">
          <cell r="B164">
            <v>660</v>
          </cell>
          <cell r="C164">
            <v>2.8517000000000001</v>
          </cell>
        </row>
        <row r="165">
          <cell r="B165">
            <v>663</v>
          </cell>
          <cell r="C165">
            <v>2.86</v>
          </cell>
        </row>
        <row r="166">
          <cell r="B166">
            <v>665</v>
          </cell>
          <cell r="C166">
            <v>2.8586</v>
          </cell>
        </row>
        <row r="167">
          <cell r="B167">
            <v>677</v>
          </cell>
          <cell r="C167">
            <v>3.3978000000000002</v>
          </cell>
        </row>
        <row r="168">
          <cell r="B168">
            <v>725</v>
          </cell>
          <cell r="C168">
            <v>3.7176</v>
          </cell>
        </row>
        <row r="169">
          <cell r="B169">
            <v>735</v>
          </cell>
          <cell r="C169">
            <v>3.3083</v>
          </cell>
        </row>
        <row r="170">
          <cell r="B170">
            <v>732</v>
          </cell>
          <cell r="C170">
            <v>4.0195999999999996</v>
          </cell>
        </row>
        <row r="171">
          <cell r="B171">
            <v>752</v>
          </cell>
          <cell r="C171">
            <v>3.6945999999999999</v>
          </cell>
        </row>
        <row r="172">
          <cell r="B172">
            <v>770</v>
          </cell>
          <cell r="C172">
            <v>3.399</v>
          </cell>
        </row>
        <row r="173">
          <cell r="B173">
            <v>772.5</v>
          </cell>
          <cell r="C173">
            <v>3.5863</v>
          </cell>
        </row>
        <row r="174">
          <cell r="B174">
            <v>795</v>
          </cell>
          <cell r="C174">
            <v>3.923</v>
          </cell>
        </row>
        <row r="175">
          <cell r="B175">
            <v>814</v>
          </cell>
          <cell r="C175">
            <v>4.6399999999999997</v>
          </cell>
        </row>
        <row r="176">
          <cell r="B176">
            <v>808</v>
          </cell>
          <cell r="C176">
            <v>4.1059999999999999</v>
          </cell>
        </row>
        <row r="177">
          <cell r="B177">
            <v>797.5</v>
          </cell>
          <cell r="C177">
            <v>3.9211</v>
          </cell>
        </row>
        <row r="178">
          <cell r="B178">
            <v>797.5</v>
          </cell>
          <cell r="C178">
            <v>3.7191999999999998</v>
          </cell>
        </row>
        <row r="179">
          <cell r="B179">
            <v>791.5</v>
          </cell>
          <cell r="C179">
            <v>3.8875999999999999</v>
          </cell>
        </row>
        <row r="180">
          <cell r="B180">
            <v>787.5</v>
          </cell>
          <cell r="C180">
            <v>4.1906999999999996</v>
          </cell>
        </row>
        <row r="181">
          <cell r="B181">
            <v>787.5</v>
          </cell>
          <cell r="C181">
            <v>4.3631000000000002</v>
          </cell>
        </row>
        <row r="182">
          <cell r="B182">
            <v>793.5</v>
          </cell>
          <cell r="C182">
            <v>4.3875000000000002</v>
          </cell>
        </row>
        <row r="183">
          <cell r="B183">
            <v>795.625</v>
          </cell>
          <cell r="C183">
            <v>4.3760000000000003</v>
          </cell>
        </row>
        <row r="184">
          <cell r="B184">
            <v>795</v>
          </cell>
          <cell r="C184">
            <v>4.0705999999999998</v>
          </cell>
        </row>
        <row r="185">
          <cell r="B185">
            <v>768.75</v>
          </cell>
          <cell r="C185">
            <v>3.5998000000000001</v>
          </cell>
        </row>
        <row r="186">
          <cell r="B186">
            <v>766</v>
          </cell>
          <cell r="C186">
            <v>3.6989999999999998</v>
          </cell>
        </row>
        <row r="187">
          <cell r="B187">
            <v>752</v>
          </cell>
          <cell r="C187">
            <v>3.5964999999999998</v>
          </cell>
        </row>
        <row r="188">
          <cell r="B188">
            <v>738.2</v>
          </cell>
          <cell r="C188">
            <v>3.6358000000000001</v>
          </cell>
        </row>
        <row r="189">
          <cell r="B189">
            <v>737</v>
          </cell>
          <cell r="C189">
            <v>3.383</v>
          </cell>
        </row>
        <row r="190">
          <cell r="B190">
            <v>737</v>
          </cell>
          <cell r="C190">
            <v>3.3948999999999998</v>
          </cell>
        </row>
        <row r="191">
          <cell r="B191">
            <v>749</v>
          </cell>
          <cell r="C191">
            <v>3.5876000000000001</v>
          </cell>
        </row>
        <row r="192">
          <cell r="B192">
            <v>764.8</v>
          </cell>
          <cell r="C192">
            <v>3.9276</v>
          </cell>
        </row>
        <row r="193">
          <cell r="B193">
            <v>770</v>
          </cell>
          <cell r="C193">
            <v>3.7263000000000002</v>
          </cell>
        </row>
        <row r="194">
          <cell r="B194">
            <v>770</v>
          </cell>
          <cell r="C194">
            <v>3.5796999999999999</v>
          </cell>
        </row>
        <row r="195">
          <cell r="B195">
            <v>770</v>
          </cell>
          <cell r="C195">
            <v>3.3902000000000001</v>
          </cell>
        </row>
        <row r="196">
          <cell r="B196">
            <v>770</v>
          </cell>
          <cell r="C196">
            <v>3.3508</v>
          </cell>
        </row>
        <row r="197">
          <cell r="B197">
            <v>770</v>
          </cell>
          <cell r="C197">
            <v>3.3344</v>
          </cell>
        </row>
        <row r="198">
          <cell r="B198">
            <v>770</v>
          </cell>
          <cell r="C198">
            <v>3.7050999999999998</v>
          </cell>
        </row>
        <row r="199">
          <cell r="B199">
            <v>788</v>
          </cell>
          <cell r="C199">
            <v>3.9807000000000001</v>
          </cell>
        </row>
        <row r="200">
          <cell r="B200">
            <v>810.5</v>
          </cell>
          <cell r="C200">
            <v>3.9245000000000001</v>
          </cell>
        </row>
        <row r="201">
          <cell r="B201">
            <v>814.5</v>
          </cell>
          <cell r="C201">
            <v>4.1882000000000001</v>
          </cell>
        </row>
        <row r="202">
          <cell r="B202">
            <v>809.5</v>
          </cell>
          <cell r="C202">
            <v>3.8639000000000001</v>
          </cell>
        </row>
        <row r="203">
          <cell r="B203">
            <v>807.5</v>
          </cell>
          <cell r="C203">
            <v>3.6766000000000001</v>
          </cell>
        </row>
        <row r="204">
          <cell r="B204">
            <v>806.9</v>
          </cell>
          <cell r="C204">
            <v>3.5783999999999998</v>
          </cell>
        </row>
        <row r="205">
          <cell r="B205">
            <v>799.83330000000001</v>
          </cell>
          <cell r="C205">
            <v>3.4152999999999998</v>
          </cell>
        </row>
        <row r="206">
          <cell r="B206">
            <v>794.1</v>
          </cell>
          <cell r="C206">
            <v>3.2698999999999998</v>
          </cell>
        </row>
        <row r="207">
          <cell r="B207">
            <v>782</v>
          </cell>
          <cell r="C207">
            <v>2.8839000000000001</v>
          </cell>
        </row>
        <row r="208">
          <cell r="B208">
            <v>775</v>
          </cell>
          <cell r="C208">
            <v>3.0182000000000002</v>
          </cell>
        </row>
        <row r="209">
          <cell r="B209">
            <v>760</v>
          </cell>
          <cell r="C209">
            <v>2.7869000000000002</v>
          </cell>
        </row>
        <row r="210">
          <cell r="B210">
            <v>750</v>
          </cell>
          <cell r="C210">
            <v>3.0108999999999999</v>
          </cell>
        </row>
        <row r="211">
          <cell r="B211">
            <v>746.25</v>
          </cell>
          <cell r="C211">
            <v>2.6688000000000001</v>
          </cell>
        </row>
        <row r="212">
          <cell r="B212">
            <v>745</v>
          </cell>
          <cell r="C212">
            <v>2.9129</v>
          </cell>
        </row>
        <row r="213">
          <cell r="B213">
            <v>745</v>
          </cell>
          <cell r="C213">
            <v>3.0804</v>
          </cell>
        </row>
        <row r="214">
          <cell r="B214">
            <v>745</v>
          </cell>
          <cell r="C214">
            <v>3.1402999999999999</v>
          </cell>
        </row>
        <row r="215">
          <cell r="B215">
            <v>727</v>
          </cell>
          <cell r="C215">
            <v>2.8351999999999999</v>
          </cell>
        </row>
        <row r="216">
          <cell r="B216">
            <v>709</v>
          </cell>
          <cell r="C216">
            <v>2.8647999999999998</v>
          </cell>
        </row>
        <row r="217">
          <cell r="B217">
            <v>705</v>
          </cell>
          <cell r="C217">
            <v>2.8576000000000001</v>
          </cell>
        </row>
        <row r="218">
          <cell r="B218">
            <v>705</v>
          </cell>
          <cell r="C218">
            <v>2.7677999999999998</v>
          </cell>
        </row>
        <row r="219">
          <cell r="B219">
            <v>682.5</v>
          </cell>
          <cell r="C219">
            <v>2.8201000000000001</v>
          </cell>
        </row>
        <row r="220">
          <cell r="B220">
            <v>654.5</v>
          </cell>
          <cell r="C220">
            <v>2.6496</v>
          </cell>
        </row>
        <row r="221">
          <cell r="B221">
            <v>635</v>
          </cell>
          <cell r="C221">
            <v>2.5503999999999998</v>
          </cell>
        </row>
        <row r="222">
          <cell r="B222">
            <v>623</v>
          </cell>
          <cell r="C222">
            <v>2.5695000000000001</v>
          </cell>
        </row>
        <row r="223">
          <cell r="B223">
            <v>615</v>
          </cell>
          <cell r="C223">
            <v>2.5524</v>
          </cell>
        </row>
        <row r="224">
          <cell r="B224">
            <v>613.75</v>
          </cell>
          <cell r="C224">
            <v>2.5367000000000002</v>
          </cell>
        </row>
        <row r="225">
          <cell r="B225">
            <v>607</v>
          </cell>
          <cell r="C225">
            <v>2.4887000000000001</v>
          </cell>
        </row>
        <row r="226">
          <cell r="B226">
            <v>605</v>
          </cell>
          <cell r="C226">
            <v>2.3681999999999999</v>
          </cell>
        </row>
        <row r="227">
          <cell r="B227">
            <v>596</v>
          </cell>
          <cell r="C227">
            <v>2.2334000000000001</v>
          </cell>
        </row>
        <row r="228">
          <cell r="B228">
            <v>590</v>
          </cell>
          <cell r="C228">
            <v>2.1181000000000001</v>
          </cell>
        </row>
        <row r="229">
          <cell r="B229">
            <v>593.20000000000005</v>
          </cell>
          <cell r="C229">
            <v>2.1791</v>
          </cell>
        </row>
        <row r="230">
          <cell r="B230">
            <v>598</v>
          </cell>
          <cell r="C230">
            <v>2.2092000000000001</v>
          </cell>
        </row>
        <row r="231">
          <cell r="B231">
            <v>598</v>
          </cell>
          <cell r="C231">
            <v>2.1873</v>
          </cell>
        </row>
        <row r="232">
          <cell r="B232">
            <v>588.25</v>
          </cell>
          <cell r="C232">
            <v>2.1187999999999998</v>
          </cell>
        </row>
        <row r="233">
          <cell r="B233">
            <v>583</v>
          </cell>
          <cell r="C233">
            <v>2.1953999999999998</v>
          </cell>
        </row>
        <row r="234">
          <cell r="B234">
            <v>580</v>
          </cell>
          <cell r="C234">
            <v>2.2345000000000002</v>
          </cell>
        </row>
        <row r="235">
          <cell r="B235">
            <v>580</v>
          </cell>
          <cell r="C235">
            <v>2.2639</v>
          </cell>
        </row>
        <row r="236">
          <cell r="B236">
            <v>576</v>
          </cell>
          <cell r="C236">
            <v>2.2374999999999998</v>
          </cell>
        </row>
        <row r="237">
          <cell r="B237">
            <v>573.5</v>
          </cell>
          <cell r="C237">
            <v>2.2930999999999999</v>
          </cell>
        </row>
        <row r="238">
          <cell r="B238">
            <v>576.5</v>
          </cell>
          <cell r="C238">
            <v>2.4047999999999998</v>
          </cell>
        </row>
        <row r="239">
          <cell r="B239">
            <v>577.5</v>
          </cell>
          <cell r="C239">
            <v>2.4588999999999999</v>
          </cell>
        </row>
        <row r="240">
          <cell r="B240">
            <v>633</v>
          </cell>
          <cell r="C240">
            <v>2.7616000000000001</v>
          </cell>
        </row>
        <row r="241">
          <cell r="B241">
            <v>670</v>
          </cell>
          <cell r="C241">
            <v>2.8557999999999999</v>
          </cell>
        </row>
        <row r="242">
          <cell r="B242">
            <v>673</v>
          </cell>
          <cell r="C242">
            <v>3.0973999999999999</v>
          </cell>
        </row>
        <row r="243">
          <cell r="B243">
            <v>657</v>
          </cell>
          <cell r="C243">
            <v>3.2084999999999999</v>
          </cell>
        </row>
        <row r="244">
          <cell r="B244">
            <v>645</v>
          </cell>
          <cell r="C244">
            <v>3.1979000000000002</v>
          </cell>
        </row>
        <row r="245">
          <cell r="B245">
            <v>645</v>
          </cell>
          <cell r="C245">
            <v>3.3052999999999999</v>
          </cell>
        </row>
        <row r="246">
          <cell r="B246">
            <v>645</v>
          </cell>
          <cell r="C246">
            <v>3.4060999999999999</v>
          </cell>
        </row>
        <row r="247">
          <cell r="B247">
            <v>647</v>
          </cell>
          <cell r="C247">
            <v>3.9146999999999998</v>
          </cell>
        </row>
        <row r="248">
          <cell r="B248">
            <v>644</v>
          </cell>
          <cell r="C248">
            <v>3.8936000000000002</v>
          </cell>
        </row>
        <row r="249">
          <cell r="B249">
            <v>628</v>
          </cell>
          <cell r="C249">
            <v>3.7486000000000002</v>
          </cell>
        </row>
        <row r="250">
          <cell r="B250">
            <v>614</v>
          </cell>
          <cell r="C250">
            <v>3.4188000000000001</v>
          </cell>
        </row>
        <row r="251">
          <cell r="B251">
            <v>595</v>
          </cell>
          <cell r="C251">
            <v>3.2553999999999998</v>
          </cell>
        </row>
        <row r="252">
          <cell r="B252">
            <v>585</v>
          </cell>
          <cell r="C252">
            <v>3.2282000000000002</v>
          </cell>
        </row>
        <row r="253">
          <cell r="B253">
            <v>582</v>
          </cell>
          <cell r="C253">
            <v>3.0680999999999998</v>
          </cell>
        </row>
        <row r="254">
          <cell r="B254">
            <v>572</v>
          </cell>
          <cell r="C254">
            <v>2.9544999999999999</v>
          </cell>
        </row>
        <row r="255">
          <cell r="B255">
            <v>564</v>
          </cell>
          <cell r="C255">
            <v>2.8346</v>
          </cell>
        </row>
        <row r="256">
          <cell r="B256">
            <v>560</v>
          </cell>
          <cell r="C256">
            <v>2.9603000000000002</v>
          </cell>
        </row>
        <row r="257">
          <cell r="B257">
            <v>560</v>
          </cell>
          <cell r="C257">
            <v>3.0525000000000002</v>
          </cell>
        </row>
        <row r="258">
          <cell r="B258">
            <v>551.5</v>
          </cell>
          <cell r="C258">
            <v>2.9180000000000001</v>
          </cell>
        </row>
        <row r="259">
          <cell r="B259">
            <v>551</v>
          </cell>
          <cell r="C259">
            <v>2.5750000000000002</v>
          </cell>
        </row>
        <row r="260">
          <cell r="B260">
            <v>550</v>
          </cell>
          <cell r="C260">
            <v>2.4630999999999998</v>
          </cell>
        </row>
        <row r="261">
          <cell r="B261">
            <v>544</v>
          </cell>
          <cell r="C261">
            <v>2.6711999999999998</v>
          </cell>
        </row>
        <row r="262">
          <cell r="B262">
            <v>536.25</v>
          </cell>
          <cell r="C262">
            <v>2.6318000000000001</v>
          </cell>
        </row>
        <row r="263">
          <cell r="B263">
            <v>535</v>
          </cell>
          <cell r="C263">
            <v>2.7018</v>
          </cell>
        </row>
        <row r="264">
          <cell r="B264">
            <v>526</v>
          </cell>
          <cell r="C264">
            <v>2.4521999999999999</v>
          </cell>
        </row>
        <row r="265">
          <cell r="B265">
            <v>520</v>
          </cell>
          <cell r="C265">
            <v>2.42</v>
          </cell>
        </row>
        <row r="266">
          <cell r="B266">
            <v>514</v>
          </cell>
          <cell r="C266">
            <v>2.4571000000000001</v>
          </cell>
        </row>
        <row r="267">
          <cell r="B267">
            <v>510</v>
          </cell>
          <cell r="C267">
            <v>2.4443999999999999</v>
          </cell>
        </row>
        <row r="268">
          <cell r="B268">
            <v>507</v>
          </cell>
          <cell r="C268">
            <v>2.8075000000000001</v>
          </cell>
        </row>
        <row r="269">
          <cell r="B269">
            <v>502</v>
          </cell>
          <cell r="C269">
            <v>2.5312000000000001</v>
          </cell>
        </row>
        <row r="270">
          <cell r="B270">
            <v>479.375</v>
          </cell>
          <cell r="C270">
            <v>2.5196000000000001</v>
          </cell>
        </row>
        <row r="271">
          <cell r="B271">
            <v>474</v>
          </cell>
          <cell r="C271">
            <v>2.597</v>
          </cell>
        </row>
        <row r="272">
          <cell r="B272">
            <v>469</v>
          </cell>
          <cell r="C272">
            <v>2.6095000000000002</v>
          </cell>
        </row>
        <row r="273">
          <cell r="B273">
            <v>465</v>
          </cell>
          <cell r="C273">
            <v>2.6818</v>
          </cell>
        </row>
        <row r="274">
          <cell r="B274">
            <v>465</v>
          </cell>
          <cell r="C274">
            <v>2.7334000000000001</v>
          </cell>
        </row>
        <row r="275">
          <cell r="B275">
            <v>465</v>
          </cell>
          <cell r="C275">
            <v>2.6486999999999998</v>
          </cell>
        </row>
        <row r="276">
          <cell r="B276">
            <v>471</v>
          </cell>
          <cell r="C276">
            <v>2.7370999999999999</v>
          </cell>
        </row>
        <row r="277">
          <cell r="B277">
            <v>479.5</v>
          </cell>
          <cell r="C277">
            <v>2.7235999999999998</v>
          </cell>
        </row>
        <row r="278">
          <cell r="B278">
            <v>469</v>
          </cell>
          <cell r="C278">
            <v>2.6311</v>
          </cell>
        </row>
        <row r="279">
          <cell r="B279">
            <v>454</v>
          </cell>
          <cell r="C279">
            <v>2.5076000000000001</v>
          </cell>
        </row>
        <row r="280">
          <cell r="B280">
            <v>442.5</v>
          </cell>
          <cell r="C280">
            <v>2.4500000000000002</v>
          </cell>
        </row>
        <row r="281">
          <cell r="B281">
            <v>439</v>
          </cell>
          <cell r="C281">
            <v>2.4529999999999998</v>
          </cell>
        </row>
        <row r="282">
          <cell r="B282">
            <v>440</v>
          </cell>
          <cell r="C282">
            <v>2.3868999999999998</v>
          </cell>
        </row>
        <row r="283">
          <cell r="B283">
            <v>443</v>
          </cell>
          <cell r="C283">
            <v>2.4312999999999998</v>
          </cell>
        </row>
        <row r="284">
          <cell r="B284">
            <v>441.25</v>
          </cell>
          <cell r="C284">
            <v>2.4388000000000001</v>
          </cell>
        </row>
        <row r="285">
          <cell r="B285">
            <v>433</v>
          </cell>
          <cell r="C285">
            <v>2.3245</v>
          </cell>
        </row>
        <row r="286">
          <cell r="B286">
            <v>437</v>
          </cell>
          <cell r="C286">
            <v>2.4567999999999999</v>
          </cell>
        </row>
        <row r="287">
          <cell r="B287">
            <v>445</v>
          </cell>
          <cell r="C287">
            <v>2.5148000000000001</v>
          </cell>
        </row>
        <row r="288">
          <cell r="B288">
            <v>452</v>
          </cell>
          <cell r="C288">
            <v>2.4525999999999999</v>
          </cell>
        </row>
        <row r="289">
          <cell r="B289">
            <v>466.25</v>
          </cell>
          <cell r="C289">
            <v>2.4903</v>
          </cell>
        </row>
        <row r="290">
          <cell r="B290">
            <v>474.5</v>
          </cell>
          <cell r="C290">
            <v>2.3637999999999999</v>
          </cell>
        </row>
        <row r="291">
          <cell r="B291">
            <v>472.5</v>
          </cell>
          <cell r="C291">
            <v>2.2711999999999999</v>
          </cell>
        </row>
        <row r="292">
          <cell r="B292">
            <v>472.5</v>
          </cell>
          <cell r="C292">
            <v>2.2711999999999999</v>
          </cell>
        </row>
        <row r="293">
          <cell r="B293">
            <v>472.5</v>
          </cell>
          <cell r="C293">
            <v>2.1515</v>
          </cell>
        </row>
        <row r="294">
          <cell r="B294">
            <v>453</v>
          </cell>
          <cell r="C294">
            <v>2.1595</v>
          </cell>
        </row>
        <row r="295">
          <cell r="B295">
            <v>447.5</v>
          </cell>
          <cell r="C295">
            <v>2.1633</v>
          </cell>
        </row>
        <row r="296">
          <cell r="B296">
            <v>439</v>
          </cell>
          <cell r="C296">
            <v>2.0287000000000002</v>
          </cell>
        </row>
        <row r="297">
          <cell r="B297">
            <v>434.5</v>
          </cell>
          <cell r="C297">
            <v>2.0998000000000001</v>
          </cell>
        </row>
        <row r="298">
          <cell r="B298">
            <v>434.125</v>
          </cell>
          <cell r="C298">
            <v>1.9850000000000001</v>
          </cell>
        </row>
        <row r="299">
          <cell r="B299">
            <v>428.8</v>
          </cell>
          <cell r="C299">
            <v>1.958</v>
          </cell>
        </row>
        <row r="300">
          <cell r="B300">
            <v>434.4</v>
          </cell>
          <cell r="C300">
            <v>2.06</v>
          </cell>
        </row>
        <row r="301">
          <cell r="B301">
            <v>440</v>
          </cell>
          <cell r="C301">
            <v>2.0680000000000001</v>
          </cell>
        </row>
        <row r="302">
          <cell r="B302">
            <v>425.6</v>
          </cell>
          <cell r="C302">
            <v>2.14</v>
          </cell>
        </row>
        <row r="303">
          <cell r="B303">
            <v>471.4</v>
          </cell>
          <cell r="C303">
            <v>2.25</v>
          </cell>
        </row>
        <row r="304">
          <cell r="B304">
            <v>478</v>
          </cell>
          <cell r="C304">
            <v>2.11</v>
          </cell>
        </row>
        <row r="305">
          <cell r="B305">
            <v>471.6</v>
          </cell>
          <cell r="C305">
            <v>2.1640000000000001</v>
          </cell>
        </row>
        <row r="306">
          <cell r="B306">
            <v>468.1</v>
          </cell>
          <cell r="C306">
            <v>2.1800000000000002</v>
          </cell>
        </row>
        <row r="307">
          <cell r="B307">
            <v>477.3</v>
          </cell>
          <cell r="C307">
            <v>2.2799999999999998</v>
          </cell>
        </row>
        <row r="308">
          <cell r="B308">
            <v>484</v>
          </cell>
          <cell r="C308">
            <v>2.2799999999999998</v>
          </cell>
        </row>
        <row r="309">
          <cell r="B309">
            <v>488.3</v>
          </cell>
          <cell r="C309">
            <v>2.25</v>
          </cell>
        </row>
        <row r="310">
          <cell r="B310">
            <v>490.5</v>
          </cell>
          <cell r="C310">
            <v>2.5099999999999998</v>
          </cell>
        </row>
        <row r="311">
          <cell r="B311">
            <v>490.5</v>
          </cell>
          <cell r="C311">
            <v>2.46</v>
          </cell>
        </row>
        <row r="312">
          <cell r="B312">
            <v>490.5</v>
          </cell>
          <cell r="C312">
            <v>2.5099999999999998</v>
          </cell>
        </row>
        <row r="313">
          <cell r="B313">
            <v>483.3</v>
          </cell>
          <cell r="C313">
            <v>2.5299999999999998</v>
          </cell>
        </row>
        <row r="314">
          <cell r="B314">
            <v>472.5</v>
          </cell>
          <cell r="C314">
            <v>2.5099999999999998</v>
          </cell>
        </row>
        <row r="315">
          <cell r="B315">
            <v>472.5</v>
          </cell>
          <cell r="C315">
            <v>2.64</v>
          </cell>
        </row>
        <row r="316">
          <cell r="B316">
            <v>442.5</v>
          </cell>
          <cell r="C316">
            <v>2.6779999999999999</v>
          </cell>
        </row>
        <row r="317">
          <cell r="B317">
            <v>417.9</v>
          </cell>
          <cell r="C317">
            <v>2.87</v>
          </cell>
        </row>
        <row r="318">
          <cell r="B318">
            <v>431.5</v>
          </cell>
          <cell r="C318">
            <v>2.7949999999999999</v>
          </cell>
        </row>
        <row r="319">
          <cell r="B319">
            <v>425.9</v>
          </cell>
          <cell r="C319">
            <v>2.7480000000000002</v>
          </cell>
        </row>
        <row r="320">
          <cell r="B320">
            <v>420.5</v>
          </cell>
          <cell r="C320">
            <v>2.6840000000000002</v>
          </cell>
        </row>
        <row r="321">
          <cell r="B321">
            <v>431.2</v>
          </cell>
          <cell r="C321">
            <v>2.7340000000000004</v>
          </cell>
        </row>
        <row r="322">
          <cell r="B322">
            <v>439</v>
          </cell>
          <cell r="C322">
            <v>2.7275</v>
          </cell>
        </row>
        <row r="323">
          <cell r="B323">
            <v>424</v>
          </cell>
          <cell r="C323">
            <v>2.6539999999999999</v>
          </cell>
        </row>
        <row r="324">
          <cell r="B324">
            <v>395</v>
          </cell>
          <cell r="C324">
            <v>2.3660000000000001</v>
          </cell>
        </row>
        <row r="325">
          <cell r="B325">
            <v>385</v>
          </cell>
          <cell r="C325">
            <v>2.1320000000000001</v>
          </cell>
        </row>
        <row r="326">
          <cell r="B326">
            <v>395.2</v>
          </cell>
          <cell r="C326">
            <v>2.218</v>
          </cell>
        </row>
        <row r="327">
          <cell r="B327">
            <v>402</v>
          </cell>
          <cell r="C327">
            <v>2.3479999999999999</v>
          </cell>
        </row>
        <row r="328">
          <cell r="B328">
            <v>431.4</v>
          </cell>
          <cell r="C328">
            <v>2.34</v>
          </cell>
        </row>
        <row r="329">
          <cell r="B329">
            <v>441.4</v>
          </cell>
          <cell r="C329">
            <v>2.1979999999999995</v>
          </cell>
        </row>
        <row r="330">
          <cell r="B330">
            <v>437.5</v>
          </cell>
          <cell r="C330">
            <v>2.1800000000000002</v>
          </cell>
        </row>
      </sheetData>
      <sheetData sheetId="11"/>
      <sheetData sheetId="12">
        <row r="126">
          <cell r="B126">
            <v>188.2</v>
          </cell>
        </row>
        <row r="127">
          <cell r="B127">
            <v>191.9</v>
          </cell>
        </row>
        <row r="128">
          <cell r="B128">
            <v>192.625</v>
          </cell>
        </row>
        <row r="129">
          <cell r="B129">
            <v>191.1</v>
          </cell>
        </row>
        <row r="130">
          <cell r="B130">
            <v>188.45</v>
          </cell>
        </row>
        <row r="131">
          <cell r="B131">
            <v>186.9</v>
          </cell>
        </row>
        <row r="132">
          <cell r="B132">
            <v>183.3</v>
          </cell>
        </row>
        <row r="133">
          <cell r="B133">
            <v>179.5</v>
          </cell>
        </row>
        <row r="134">
          <cell r="B134">
            <v>176.6</v>
          </cell>
        </row>
        <row r="135">
          <cell r="B135">
            <v>179.6</v>
          </cell>
        </row>
        <row r="136">
          <cell r="B136">
            <v>180.9</v>
          </cell>
        </row>
        <row r="137">
          <cell r="B137">
            <v>182.6</v>
          </cell>
        </row>
        <row r="138">
          <cell r="B138">
            <v>181.5</v>
          </cell>
        </row>
        <row r="139">
          <cell r="B139">
            <v>180.35</v>
          </cell>
        </row>
        <row r="140">
          <cell r="B140">
            <v>178.7</v>
          </cell>
        </row>
        <row r="141">
          <cell r="B141">
            <v>176.4</v>
          </cell>
        </row>
        <row r="142">
          <cell r="B142">
            <v>170.3125</v>
          </cell>
        </row>
        <row r="143">
          <cell r="B143">
            <v>168.25</v>
          </cell>
        </row>
        <row r="144">
          <cell r="B144">
            <v>164.05</v>
          </cell>
        </row>
        <row r="145">
          <cell r="B145">
            <v>159.1</v>
          </cell>
        </row>
        <row r="146">
          <cell r="B146">
            <v>162.4</v>
          </cell>
        </row>
        <row r="147">
          <cell r="B147">
            <v>172.8</v>
          </cell>
        </row>
        <row r="148">
          <cell r="B148">
            <v>170.4</v>
          </cell>
        </row>
        <row r="149">
          <cell r="B149">
            <v>166.75</v>
          </cell>
        </row>
        <row r="150">
          <cell r="B150">
            <v>157.19999999999999</v>
          </cell>
        </row>
        <row r="151">
          <cell r="B151">
            <v>151.69999999999999</v>
          </cell>
        </row>
        <row r="152">
          <cell r="B152">
            <v>146.19999999999999</v>
          </cell>
        </row>
        <row r="153">
          <cell r="B153">
            <v>142.5</v>
          </cell>
        </row>
        <row r="154">
          <cell r="B154">
            <v>143.9</v>
          </cell>
        </row>
        <row r="155">
          <cell r="B155">
            <v>152.80000000000001</v>
          </cell>
        </row>
        <row r="156">
          <cell r="B156">
            <v>148.5</v>
          </cell>
        </row>
        <row r="157">
          <cell r="B157">
            <v>146.25</v>
          </cell>
        </row>
        <row r="158">
          <cell r="B158">
            <v>148.3125</v>
          </cell>
        </row>
        <row r="159">
          <cell r="B159">
            <v>150.80000000000001</v>
          </cell>
        </row>
        <row r="160">
          <cell r="B160">
            <v>151.1</v>
          </cell>
        </row>
        <row r="161">
          <cell r="B161">
            <v>149.125</v>
          </cell>
        </row>
        <row r="162">
          <cell r="B162">
            <v>149.44999999999999</v>
          </cell>
        </row>
        <row r="163">
          <cell r="B163">
            <v>143.5</v>
          </cell>
        </row>
        <row r="164">
          <cell r="B164">
            <v>141.4</v>
          </cell>
        </row>
        <row r="165">
          <cell r="B165">
            <v>140.30000000000001</v>
          </cell>
        </row>
        <row r="166">
          <cell r="B166">
            <v>140.5</v>
          </cell>
        </row>
        <row r="167">
          <cell r="B167">
            <v>137.30000000000001</v>
          </cell>
        </row>
        <row r="168">
          <cell r="B168">
            <v>131.1</v>
          </cell>
        </row>
        <row r="169">
          <cell r="B169">
            <v>124.55</v>
          </cell>
        </row>
        <row r="170">
          <cell r="B170">
            <v>116.9</v>
          </cell>
        </row>
        <row r="171">
          <cell r="B171">
            <v>121.3</v>
          </cell>
        </row>
        <row r="172">
          <cell r="B172">
            <v>123</v>
          </cell>
        </row>
        <row r="173">
          <cell r="B173">
            <v>115</v>
          </cell>
        </row>
        <row r="174">
          <cell r="B174">
            <v>116</v>
          </cell>
        </row>
        <row r="175">
          <cell r="B175">
            <v>115.4</v>
          </cell>
        </row>
        <row r="176">
          <cell r="B176">
            <v>114.05</v>
          </cell>
        </row>
        <row r="177">
          <cell r="B177">
            <v>117.1</v>
          </cell>
        </row>
        <row r="178">
          <cell r="B178">
            <v>106.7</v>
          </cell>
        </row>
        <row r="179">
          <cell r="B179">
            <v>99.15</v>
          </cell>
        </row>
        <row r="180">
          <cell r="B180">
            <v>90.9375</v>
          </cell>
        </row>
        <row r="181">
          <cell r="B181">
            <v>81.650000000000006</v>
          </cell>
        </row>
        <row r="182">
          <cell r="B182">
            <v>84.75</v>
          </cell>
        </row>
        <row r="183">
          <cell r="B183">
            <v>92.125</v>
          </cell>
        </row>
        <row r="184">
          <cell r="B184">
            <v>96.7</v>
          </cell>
        </row>
        <row r="185">
          <cell r="B185">
            <v>92.25</v>
          </cell>
        </row>
        <row r="186">
          <cell r="B186">
            <v>94.35</v>
          </cell>
        </row>
        <row r="187">
          <cell r="B187">
            <v>93.95</v>
          </cell>
        </row>
        <row r="188">
          <cell r="B188">
            <v>91.15</v>
          </cell>
        </row>
        <row r="189">
          <cell r="B189">
            <v>84.2</v>
          </cell>
        </row>
        <row r="190">
          <cell r="B190">
            <v>91.15</v>
          </cell>
        </row>
        <row r="191">
          <cell r="B191">
            <v>89.3</v>
          </cell>
        </row>
        <row r="192">
          <cell r="B192">
            <v>87.95</v>
          </cell>
        </row>
        <row r="193">
          <cell r="B193">
            <v>85.85</v>
          </cell>
        </row>
        <row r="194">
          <cell r="B194">
            <v>82.875</v>
          </cell>
        </row>
        <row r="195">
          <cell r="B195">
            <v>81.150000000000006</v>
          </cell>
        </row>
        <row r="196">
          <cell r="B196">
            <v>76.099999999999994</v>
          </cell>
        </row>
        <row r="197">
          <cell r="B197">
            <v>67.3</v>
          </cell>
        </row>
        <row r="198">
          <cell r="B198">
            <v>63.6</v>
          </cell>
        </row>
        <row r="199">
          <cell r="B199">
            <v>67.099999999999994</v>
          </cell>
        </row>
        <row r="200">
          <cell r="B200">
            <v>69.5</v>
          </cell>
        </row>
        <row r="201">
          <cell r="B201">
            <v>64.7</v>
          </cell>
        </row>
        <row r="202">
          <cell r="B202">
            <v>63.65</v>
          </cell>
        </row>
        <row r="203">
          <cell r="B203">
            <v>64.900000000000006</v>
          </cell>
        </row>
        <row r="204">
          <cell r="B204">
            <v>61.3</v>
          </cell>
        </row>
        <row r="205">
          <cell r="B205">
            <v>62.5</v>
          </cell>
        </row>
        <row r="206">
          <cell r="B206">
            <v>64.2</v>
          </cell>
        </row>
        <row r="207">
          <cell r="B207">
            <v>65.2</v>
          </cell>
        </row>
        <row r="208">
          <cell r="B208">
            <v>66.3</v>
          </cell>
        </row>
        <row r="209">
          <cell r="B209">
            <v>68.8</v>
          </cell>
        </row>
        <row r="210">
          <cell r="B210">
            <v>68.875</v>
          </cell>
        </row>
        <row r="211">
          <cell r="B211">
            <v>68.0625</v>
          </cell>
        </row>
        <row r="212">
          <cell r="B212">
            <v>65.650000000000006</v>
          </cell>
        </row>
        <row r="213">
          <cell r="B213">
            <v>62.9375</v>
          </cell>
        </row>
        <row r="214">
          <cell r="B214">
            <v>63</v>
          </cell>
        </row>
        <row r="215">
          <cell r="B215">
            <v>61.45</v>
          </cell>
        </row>
        <row r="216">
          <cell r="B216">
            <v>60.5</v>
          </cell>
        </row>
        <row r="217">
          <cell r="B217">
            <v>63.65</v>
          </cell>
        </row>
        <row r="218">
          <cell r="B218">
            <v>69.375</v>
          </cell>
        </row>
        <row r="219">
          <cell r="B219">
            <v>65.95</v>
          </cell>
        </row>
        <row r="220">
          <cell r="B220">
            <v>66.150000000000006</v>
          </cell>
        </row>
        <row r="221">
          <cell r="B221">
            <v>70.45</v>
          </cell>
        </row>
        <row r="222">
          <cell r="B222">
            <v>69.400000000000006</v>
          </cell>
        </row>
        <row r="223">
          <cell r="B223">
            <v>69</v>
          </cell>
        </row>
        <row r="224">
          <cell r="B224">
            <v>72.25</v>
          </cell>
        </row>
        <row r="225">
          <cell r="B225">
            <v>76.3</v>
          </cell>
        </row>
        <row r="226">
          <cell r="B226">
            <v>83.1</v>
          </cell>
        </row>
        <row r="227">
          <cell r="B227">
            <v>79.25</v>
          </cell>
        </row>
        <row r="228">
          <cell r="B228">
            <v>84.3</v>
          </cell>
        </row>
        <row r="229">
          <cell r="B229">
            <v>84.65</v>
          </cell>
        </row>
        <row r="230">
          <cell r="B230">
            <v>83</v>
          </cell>
        </row>
        <row r="231">
          <cell r="B231">
            <v>85.5</v>
          </cell>
        </row>
        <row r="232">
          <cell r="B232">
            <v>85</v>
          </cell>
        </row>
        <row r="233">
          <cell r="B233">
            <v>82.15</v>
          </cell>
        </row>
        <row r="234">
          <cell r="B234">
            <v>83</v>
          </cell>
        </row>
        <row r="235">
          <cell r="B235">
            <v>77.3125</v>
          </cell>
        </row>
        <row r="236">
          <cell r="B236">
            <v>77</v>
          </cell>
        </row>
        <row r="237">
          <cell r="B237">
            <v>74.5</v>
          </cell>
        </row>
        <row r="238">
          <cell r="B238">
            <v>72.150000000000006</v>
          </cell>
        </row>
        <row r="239">
          <cell r="B239">
            <v>72.900000000000006</v>
          </cell>
        </row>
        <row r="240">
          <cell r="B240">
            <v>73.5</v>
          </cell>
        </row>
        <row r="241">
          <cell r="B241">
            <v>75.400000000000006</v>
          </cell>
        </row>
        <row r="242">
          <cell r="B242">
            <v>79</v>
          </cell>
        </row>
        <row r="243">
          <cell r="B243">
            <v>79.55</v>
          </cell>
        </row>
        <row r="244">
          <cell r="B244">
            <v>78</v>
          </cell>
        </row>
        <row r="245">
          <cell r="B245">
            <v>77.8</v>
          </cell>
        </row>
        <row r="246">
          <cell r="B246">
            <v>76.625</v>
          </cell>
        </row>
        <row r="247">
          <cell r="B247">
            <v>76.2</v>
          </cell>
        </row>
        <row r="248">
          <cell r="B248">
            <v>65.599999999999994</v>
          </cell>
        </row>
        <row r="249">
          <cell r="B249">
            <v>69.900000000000006</v>
          </cell>
        </row>
        <row r="250">
          <cell r="B250">
            <v>74.5</v>
          </cell>
        </row>
        <row r="251">
          <cell r="B251">
            <v>70.7</v>
          </cell>
        </row>
        <row r="252">
          <cell r="B252">
            <v>67.599999999999994</v>
          </cell>
        </row>
        <row r="253">
          <cell r="B253">
            <v>68.400000000000006</v>
          </cell>
        </row>
        <row r="254">
          <cell r="B254">
            <v>69.2</v>
          </cell>
        </row>
        <row r="255">
          <cell r="B255">
            <v>66.7</v>
          </cell>
        </row>
        <row r="256">
          <cell r="B256">
            <v>66.849999999999994</v>
          </cell>
        </row>
        <row r="257">
          <cell r="B257">
            <v>66.75</v>
          </cell>
        </row>
        <row r="258">
          <cell r="B258">
            <v>69.55</v>
          </cell>
        </row>
        <row r="259">
          <cell r="B259">
            <v>71.900000000000006</v>
          </cell>
        </row>
        <row r="260">
          <cell r="B260">
            <v>72.400000000000006</v>
          </cell>
        </row>
        <row r="261">
          <cell r="B261">
            <v>71</v>
          </cell>
        </row>
        <row r="262">
          <cell r="B262">
            <v>67.875</v>
          </cell>
        </row>
        <row r="263">
          <cell r="B263">
            <v>66.875</v>
          </cell>
        </row>
        <row r="264">
          <cell r="B264">
            <v>67.900000000000006</v>
          </cell>
        </row>
        <row r="265">
          <cell r="B265">
            <v>61.656300000000002</v>
          </cell>
        </row>
        <row r="266">
          <cell r="B266">
            <v>57.8</v>
          </cell>
        </row>
        <row r="267">
          <cell r="B267">
            <v>58.1</v>
          </cell>
        </row>
        <row r="268">
          <cell r="B268">
            <v>60.1</v>
          </cell>
        </row>
        <row r="269">
          <cell r="B269">
            <v>64.099999999999994</v>
          </cell>
        </row>
        <row r="270">
          <cell r="B270">
            <v>63.375</v>
          </cell>
        </row>
        <row r="271">
          <cell r="B271">
            <v>66.099999999999994</v>
          </cell>
        </row>
        <row r="272">
          <cell r="B272">
            <v>67.650000000000006</v>
          </cell>
        </row>
        <row r="273">
          <cell r="B273">
            <v>68.7</v>
          </cell>
        </row>
        <row r="274">
          <cell r="B274">
            <v>65.599999999999994</v>
          </cell>
        </row>
        <row r="275">
          <cell r="B275">
            <v>66</v>
          </cell>
        </row>
        <row r="276">
          <cell r="B276">
            <v>65.5</v>
          </cell>
        </row>
        <row r="277">
          <cell r="B277">
            <v>63.5</v>
          </cell>
        </row>
        <row r="278">
          <cell r="B278">
            <v>60.1</v>
          </cell>
        </row>
        <row r="279">
          <cell r="B279">
            <v>59.8</v>
          </cell>
        </row>
        <row r="280">
          <cell r="B280">
            <v>57.8</v>
          </cell>
        </row>
        <row r="281">
          <cell r="B281">
            <v>51.6</v>
          </cell>
        </row>
        <row r="282">
          <cell r="B282">
            <v>43.7</v>
          </cell>
        </row>
        <row r="283">
          <cell r="B283">
            <v>46.4</v>
          </cell>
        </row>
        <row r="284">
          <cell r="B284">
            <v>46.625</v>
          </cell>
        </row>
        <row r="285">
          <cell r="B285">
            <v>45</v>
          </cell>
        </row>
        <row r="286">
          <cell r="B286">
            <v>44.45</v>
          </cell>
        </row>
        <row r="287">
          <cell r="B287">
            <v>44.218800000000002</v>
          </cell>
        </row>
        <row r="288">
          <cell r="B288">
            <v>45.05</v>
          </cell>
        </row>
        <row r="289">
          <cell r="B289">
            <v>44.25</v>
          </cell>
        </row>
        <row r="290">
          <cell r="B290">
            <v>44.6</v>
          </cell>
        </row>
        <row r="291">
          <cell r="B291">
            <v>47.6</v>
          </cell>
        </row>
        <row r="292">
          <cell r="B292">
            <v>49.8</v>
          </cell>
        </row>
        <row r="293">
          <cell r="B293">
            <v>50.1</v>
          </cell>
        </row>
        <row r="294">
          <cell r="B294">
            <v>49</v>
          </cell>
        </row>
        <row r="295">
          <cell r="B295">
            <v>54.65</v>
          </cell>
        </row>
        <row r="296">
          <cell r="B296">
            <v>52.9</v>
          </cell>
        </row>
        <row r="297">
          <cell r="B297">
            <v>55.25</v>
          </cell>
        </row>
        <row r="298">
          <cell r="B298">
            <v>55.25</v>
          </cell>
        </row>
        <row r="299">
          <cell r="B299">
            <v>57.274999999999999</v>
          </cell>
        </row>
        <row r="300">
          <cell r="B300">
            <v>60.85</v>
          </cell>
        </row>
        <row r="301">
          <cell r="B301">
            <v>65.849999999999994</v>
          </cell>
        </row>
        <row r="302">
          <cell r="B302">
            <v>66.849999999999994</v>
          </cell>
        </row>
        <row r="303">
          <cell r="B303">
            <v>68.5</v>
          </cell>
        </row>
        <row r="304">
          <cell r="B304">
            <v>69.25</v>
          </cell>
        </row>
        <row r="305">
          <cell r="B305">
            <v>64.599999999999994</v>
          </cell>
        </row>
        <row r="306">
          <cell r="B306">
            <v>62.9</v>
          </cell>
        </row>
        <row r="307">
          <cell r="B307">
            <v>69.7</v>
          </cell>
        </row>
        <row r="308">
          <cell r="B308">
            <v>76.099999999999994</v>
          </cell>
        </row>
        <row r="309">
          <cell r="B309">
            <v>76.099999999999994</v>
          </cell>
        </row>
        <row r="310">
          <cell r="B310">
            <v>76.375</v>
          </cell>
        </row>
        <row r="311">
          <cell r="B311">
            <v>77.75</v>
          </cell>
        </row>
        <row r="312">
          <cell r="B312">
            <v>76.400000000000006</v>
          </cell>
        </row>
        <row r="313">
          <cell r="B313">
            <v>76</v>
          </cell>
        </row>
        <row r="314">
          <cell r="B314">
            <v>76</v>
          </cell>
        </row>
        <row r="315">
          <cell r="B315">
            <v>77</v>
          </cell>
        </row>
        <row r="316">
          <cell r="B316">
            <v>74.349999999999994</v>
          </cell>
        </row>
      </sheetData>
      <sheetData sheetId="13">
        <row r="126">
          <cell r="B126">
            <v>195.6</v>
          </cell>
        </row>
        <row r="127">
          <cell r="B127">
            <v>193.25</v>
          </cell>
        </row>
        <row r="128">
          <cell r="B128">
            <v>195.75</v>
          </cell>
        </row>
        <row r="129">
          <cell r="B129">
            <v>198.75</v>
          </cell>
        </row>
        <row r="130">
          <cell r="B130">
            <v>154.19999999999999</v>
          </cell>
        </row>
        <row r="131">
          <cell r="B131">
            <v>167.6</v>
          </cell>
        </row>
        <row r="132">
          <cell r="B132">
            <v>166.75</v>
          </cell>
        </row>
        <row r="133">
          <cell r="B133">
            <v>158.8125</v>
          </cell>
        </row>
        <row r="134">
          <cell r="B134">
            <v>162.69999999999999</v>
          </cell>
        </row>
        <row r="135">
          <cell r="B135">
            <v>163.5</v>
          </cell>
        </row>
        <row r="136">
          <cell r="B136">
            <v>175</v>
          </cell>
        </row>
        <row r="137">
          <cell r="B137">
            <v>180.05</v>
          </cell>
        </row>
        <row r="138">
          <cell r="B138">
            <v>180.25</v>
          </cell>
        </row>
        <row r="139">
          <cell r="B139">
            <v>173.1</v>
          </cell>
        </row>
        <row r="140">
          <cell r="B140">
            <v>159.9</v>
          </cell>
        </row>
        <row r="141">
          <cell r="B141">
            <v>158.19999999999999</v>
          </cell>
        </row>
        <row r="142">
          <cell r="B142">
            <v>154.8125</v>
          </cell>
        </row>
        <row r="143">
          <cell r="B143">
            <v>144.44999999999999</v>
          </cell>
        </row>
        <row r="144">
          <cell r="B144">
            <v>132.80000000000001</v>
          </cell>
        </row>
        <row r="145">
          <cell r="B145">
            <v>136.5</v>
          </cell>
        </row>
        <row r="146">
          <cell r="B146">
            <v>149.9</v>
          </cell>
        </row>
        <row r="147">
          <cell r="B147">
            <v>149.6</v>
          </cell>
        </row>
        <row r="148">
          <cell r="B148">
            <v>162.94999999999999</v>
          </cell>
        </row>
        <row r="149">
          <cell r="B149">
            <v>142.6</v>
          </cell>
        </row>
        <row r="150">
          <cell r="B150">
            <v>140</v>
          </cell>
        </row>
        <row r="151">
          <cell r="B151">
            <v>130.9</v>
          </cell>
        </row>
        <row r="152">
          <cell r="B152">
            <v>132.4</v>
          </cell>
        </row>
        <row r="153">
          <cell r="B153">
            <v>132.66669999999999</v>
          </cell>
        </row>
        <row r="154">
          <cell r="B154">
            <v>130.19999999999999</v>
          </cell>
        </row>
        <row r="155">
          <cell r="B155">
            <v>126.9</v>
          </cell>
        </row>
        <row r="156">
          <cell r="B156">
            <v>120.8</v>
          </cell>
        </row>
        <row r="157">
          <cell r="B157">
            <v>127.25</v>
          </cell>
        </row>
        <row r="158">
          <cell r="B158">
            <v>128</v>
          </cell>
        </row>
        <row r="159">
          <cell r="B159">
            <v>134.85</v>
          </cell>
        </row>
        <row r="160">
          <cell r="B160">
            <v>136.19999999999999</v>
          </cell>
        </row>
        <row r="161">
          <cell r="B161">
            <v>129.0625</v>
          </cell>
        </row>
        <row r="162">
          <cell r="B162">
            <v>140.35</v>
          </cell>
        </row>
        <row r="163">
          <cell r="B163">
            <v>142.69999999999999</v>
          </cell>
        </row>
        <row r="164">
          <cell r="B164">
            <v>139.19999999999999</v>
          </cell>
        </row>
        <row r="165">
          <cell r="B165">
            <v>146.05000000000001</v>
          </cell>
        </row>
        <row r="166">
          <cell r="B166">
            <v>156.875</v>
          </cell>
        </row>
        <row r="167">
          <cell r="B167">
            <v>152.94999999999999</v>
          </cell>
        </row>
        <row r="168">
          <cell r="B168">
            <v>139.15</v>
          </cell>
        </row>
        <row r="169">
          <cell r="B169">
            <v>152.6</v>
          </cell>
        </row>
        <row r="170">
          <cell r="B170">
            <v>149.44999999999999</v>
          </cell>
        </row>
        <row r="171">
          <cell r="B171">
            <v>145.05000000000001</v>
          </cell>
        </row>
        <row r="172">
          <cell r="B172">
            <v>149.82499999999999</v>
          </cell>
        </row>
        <row r="173">
          <cell r="B173">
            <v>160.75</v>
          </cell>
        </row>
        <row r="174">
          <cell r="B174">
            <v>168</v>
          </cell>
        </row>
        <row r="175">
          <cell r="B175">
            <v>184.85</v>
          </cell>
        </row>
        <row r="176">
          <cell r="B176">
            <v>176.9</v>
          </cell>
        </row>
        <row r="177">
          <cell r="B177">
            <v>184.8</v>
          </cell>
        </row>
        <row r="178">
          <cell r="B178">
            <v>181.9</v>
          </cell>
        </row>
        <row r="179">
          <cell r="B179">
            <v>173.5</v>
          </cell>
        </row>
        <row r="180">
          <cell r="B180">
            <v>168.625</v>
          </cell>
        </row>
        <row r="181">
          <cell r="B181">
            <v>173.45</v>
          </cell>
        </row>
        <row r="182">
          <cell r="B182">
            <v>162.15</v>
          </cell>
        </row>
        <row r="183">
          <cell r="B183">
            <v>151</v>
          </cell>
        </row>
        <row r="184">
          <cell r="B184">
            <v>158.65</v>
          </cell>
        </row>
        <row r="185">
          <cell r="B185">
            <v>156.625</v>
          </cell>
        </row>
        <row r="186">
          <cell r="B186">
            <v>160.6</v>
          </cell>
        </row>
        <row r="187">
          <cell r="B187">
            <v>163.19999999999999</v>
          </cell>
        </row>
        <row r="188">
          <cell r="B188">
            <v>164.4</v>
          </cell>
        </row>
        <row r="189">
          <cell r="B189">
            <v>172.1</v>
          </cell>
        </row>
        <row r="190">
          <cell r="B190">
            <v>178.9</v>
          </cell>
        </row>
        <row r="191">
          <cell r="B191">
            <v>178.7</v>
          </cell>
        </row>
        <row r="192">
          <cell r="B192">
            <v>177.05</v>
          </cell>
        </row>
        <row r="193">
          <cell r="B193">
            <v>175.7</v>
          </cell>
        </row>
        <row r="194">
          <cell r="B194">
            <v>174.5</v>
          </cell>
        </row>
        <row r="195">
          <cell r="B195">
            <v>176.57499999999999</v>
          </cell>
        </row>
        <row r="196">
          <cell r="B196">
            <v>174.85</v>
          </cell>
        </row>
        <row r="197">
          <cell r="B197">
            <v>173.05</v>
          </cell>
        </row>
        <row r="198">
          <cell r="B198">
            <v>176.95</v>
          </cell>
        </row>
        <row r="199">
          <cell r="B199">
            <v>179.4</v>
          </cell>
        </row>
        <row r="200">
          <cell r="B200">
            <v>183.45</v>
          </cell>
        </row>
        <row r="201">
          <cell r="B201">
            <v>184.4</v>
          </cell>
        </row>
        <row r="202">
          <cell r="B202">
            <v>189</v>
          </cell>
        </row>
        <row r="203">
          <cell r="B203">
            <v>190.85</v>
          </cell>
        </row>
        <row r="204">
          <cell r="B204">
            <v>190.9</v>
          </cell>
        </row>
        <row r="205">
          <cell r="B205">
            <v>193</v>
          </cell>
        </row>
        <row r="206">
          <cell r="B206">
            <v>186.95</v>
          </cell>
        </row>
        <row r="207">
          <cell r="B207">
            <v>168.6</v>
          </cell>
        </row>
        <row r="208">
          <cell r="B208">
            <v>173.35</v>
          </cell>
        </row>
        <row r="209">
          <cell r="B209">
            <v>174.7</v>
          </cell>
        </row>
        <row r="210">
          <cell r="B210">
            <v>174.6875</v>
          </cell>
        </row>
        <row r="211">
          <cell r="B211">
            <v>172.75</v>
          </cell>
        </row>
        <row r="212">
          <cell r="B212">
            <v>172.2</v>
          </cell>
        </row>
        <row r="213">
          <cell r="B213">
            <v>166.5625</v>
          </cell>
        </row>
        <row r="214">
          <cell r="B214">
            <v>167.05</v>
          </cell>
        </row>
        <row r="215">
          <cell r="B215">
            <v>160.69999999999999</v>
          </cell>
        </row>
        <row r="216">
          <cell r="B216">
            <v>159.1</v>
          </cell>
        </row>
        <row r="217">
          <cell r="B217">
            <v>164.2</v>
          </cell>
        </row>
        <row r="218">
          <cell r="B218">
            <v>165.75</v>
          </cell>
        </row>
        <row r="219">
          <cell r="B219">
            <v>161.4</v>
          </cell>
        </row>
        <row r="220">
          <cell r="B220">
            <v>160.55000000000001</v>
          </cell>
        </row>
        <row r="221">
          <cell r="B221">
            <v>156.69999999999999</v>
          </cell>
        </row>
        <row r="222">
          <cell r="B222">
            <v>155.25</v>
          </cell>
        </row>
        <row r="223">
          <cell r="B223">
            <v>154.85</v>
          </cell>
        </row>
        <row r="224">
          <cell r="B224">
            <v>154.9375</v>
          </cell>
        </row>
        <row r="225">
          <cell r="B225">
            <v>157.30000000000001</v>
          </cell>
        </row>
        <row r="226">
          <cell r="B226">
            <v>158.53</v>
          </cell>
        </row>
        <row r="227">
          <cell r="B227">
            <v>155.69999999999999</v>
          </cell>
        </row>
        <row r="228">
          <cell r="B228">
            <v>157.44999999999999</v>
          </cell>
        </row>
        <row r="229">
          <cell r="B229">
            <v>156</v>
          </cell>
        </row>
        <row r="230">
          <cell r="B230">
            <v>151.4</v>
          </cell>
        </row>
        <row r="231">
          <cell r="B231">
            <v>151.1</v>
          </cell>
        </row>
        <row r="232">
          <cell r="B232">
            <v>145.5</v>
          </cell>
        </row>
        <row r="233">
          <cell r="B233">
            <v>143.55000000000001</v>
          </cell>
        </row>
        <row r="234">
          <cell r="B234">
            <v>147</v>
          </cell>
        </row>
        <row r="235">
          <cell r="B235">
            <v>141.5625</v>
          </cell>
        </row>
        <row r="236">
          <cell r="B236">
            <v>145.57499999999999</v>
          </cell>
        </row>
        <row r="237">
          <cell r="B237">
            <v>155.5</v>
          </cell>
        </row>
        <row r="238">
          <cell r="B238">
            <v>156.35</v>
          </cell>
        </row>
        <row r="239">
          <cell r="B239">
            <v>155.15</v>
          </cell>
        </row>
        <row r="240">
          <cell r="B240">
            <v>156.55000000000001</v>
          </cell>
        </row>
        <row r="241">
          <cell r="B241">
            <v>151.19999999999999</v>
          </cell>
        </row>
        <row r="242">
          <cell r="B242">
            <v>147.1</v>
          </cell>
        </row>
        <row r="243">
          <cell r="B243">
            <v>144.5</v>
          </cell>
        </row>
        <row r="244">
          <cell r="B244">
            <v>141.19999999999999</v>
          </cell>
        </row>
        <row r="245">
          <cell r="B245">
            <v>141.30000000000001</v>
          </cell>
        </row>
        <row r="246">
          <cell r="B246">
            <v>134.1875</v>
          </cell>
        </row>
        <row r="247">
          <cell r="B247">
            <v>129.80000000000001</v>
          </cell>
        </row>
        <row r="248">
          <cell r="B248">
            <v>112.7</v>
          </cell>
        </row>
        <row r="249">
          <cell r="B249">
            <v>99.7</v>
          </cell>
        </row>
        <row r="250">
          <cell r="B250">
            <v>95.4</v>
          </cell>
        </row>
        <row r="251">
          <cell r="B251">
            <v>83.05</v>
          </cell>
        </row>
        <row r="252">
          <cell r="B252">
            <v>90.65</v>
          </cell>
        </row>
        <row r="253">
          <cell r="B253">
            <v>87.15</v>
          </cell>
        </row>
        <row r="254">
          <cell r="B254">
            <v>81.75</v>
          </cell>
        </row>
        <row r="255">
          <cell r="B255">
            <v>82.4</v>
          </cell>
        </row>
        <row r="256">
          <cell r="B256">
            <v>83.6</v>
          </cell>
        </row>
        <row r="257">
          <cell r="B257">
            <v>84.833299999999994</v>
          </cell>
        </row>
        <row r="258">
          <cell r="B258">
            <v>83.6</v>
          </cell>
        </row>
        <row r="259">
          <cell r="B259">
            <v>82.924999999999997</v>
          </cell>
        </row>
        <row r="260">
          <cell r="B260">
            <v>80.5</v>
          </cell>
        </row>
        <row r="261">
          <cell r="B261">
            <v>81.8</v>
          </cell>
        </row>
        <row r="262">
          <cell r="B262">
            <v>78.375</v>
          </cell>
        </row>
        <row r="263">
          <cell r="B263">
            <v>78.625</v>
          </cell>
        </row>
        <row r="264">
          <cell r="B264">
            <v>80.650000000000006</v>
          </cell>
        </row>
        <row r="265">
          <cell r="B265">
            <v>78.375</v>
          </cell>
        </row>
        <row r="266">
          <cell r="B266">
            <v>65.900000000000006</v>
          </cell>
        </row>
        <row r="267">
          <cell r="B267">
            <v>54.6</v>
          </cell>
        </row>
        <row r="268">
          <cell r="B268">
            <v>52.85</v>
          </cell>
        </row>
        <row r="269">
          <cell r="B269">
            <v>49.9</v>
          </cell>
        </row>
        <row r="270">
          <cell r="B270">
            <v>41.125</v>
          </cell>
        </row>
        <row r="271">
          <cell r="B271">
            <v>43.55</v>
          </cell>
        </row>
        <row r="272">
          <cell r="B272">
            <v>46.35</v>
          </cell>
        </row>
        <row r="273">
          <cell r="B273">
            <v>52.45</v>
          </cell>
        </row>
        <row r="274">
          <cell r="B274">
            <v>56.05</v>
          </cell>
        </row>
        <row r="275">
          <cell r="B275">
            <v>57.375</v>
          </cell>
        </row>
        <row r="276">
          <cell r="B276">
            <v>54.25</v>
          </cell>
        </row>
        <row r="277">
          <cell r="B277">
            <v>50.5</v>
          </cell>
        </row>
        <row r="278">
          <cell r="B278">
            <v>45.1</v>
          </cell>
        </row>
        <row r="279">
          <cell r="B279">
            <v>46</v>
          </cell>
        </row>
        <row r="280">
          <cell r="B280">
            <v>43.6</v>
          </cell>
        </row>
        <row r="281">
          <cell r="B281">
            <v>44.85</v>
          </cell>
        </row>
        <row r="282">
          <cell r="B282">
            <v>47.35</v>
          </cell>
        </row>
        <row r="283">
          <cell r="B283">
            <v>55.45</v>
          </cell>
        </row>
        <row r="284">
          <cell r="B284">
            <v>56.3125</v>
          </cell>
        </row>
        <row r="285">
          <cell r="B285">
            <v>54.6</v>
          </cell>
        </row>
        <row r="286">
          <cell r="B286">
            <v>54.6</v>
          </cell>
        </row>
        <row r="287">
          <cell r="B287">
            <v>55.625</v>
          </cell>
        </row>
        <row r="288">
          <cell r="B288">
            <v>55.9</v>
          </cell>
        </row>
        <row r="289">
          <cell r="B289">
            <v>63.0625</v>
          </cell>
        </row>
        <row r="290">
          <cell r="B290">
            <v>64.349999999999994</v>
          </cell>
        </row>
        <row r="291">
          <cell r="B291">
            <v>64.325000000000003</v>
          </cell>
        </row>
        <row r="292">
          <cell r="B292">
            <v>65.7</v>
          </cell>
        </row>
        <row r="293">
          <cell r="B293">
            <v>60.274999999999999</v>
          </cell>
        </row>
        <row r="294">
          <cell r="B294">
            <v>58.674999999999997</v>
          </cell>
        </row>
        <row r="295">
          <cell r="B295">
            <v>55</v>
          </cell>
        </row>
        <row r="296">
          <cell r="B296">
            <v>54.774999999999999</v>
          </cell>
        </row>
        <row r="297">
          <cell r="B297">
            <v>57.25</v>
          </cell>
        </row>
        <row r="298">
          <cell r="B298">
            <v>57.25</v>
          </cell>
        </row>
        <row r="299">
          <cell r="B299">
            <v>57.05</v>
          </cell>
        </row>
        <row r="300">
          <cell r="B300">
            <v>58.15</v>
          </cell>
        </row>
        <row r="301">
          <cell r="B301">
            <v>66.7</v>
          </cell>
        </row>
        <row r="302">
          <cell r="B302">
            <v>68.98</v>
          </cell>
        </row>
        <row r="303">
          <cell r="B303">
            <v>70.680000000000007</v>
          </cell>
        </row>
        <row r="304">
          <cell r="B304">
            <v>70.63</v>
          </cell>
        </row>
        <row r="305">
          <cell r="B305">
            <v>70.180000000000007</v>
          </cell>
        </row>
        <row r="306">
          <cell r="B306">
            <v>68.53</v>
          </cell>
        </row>
        <row r="307">
          <cell r="B307">
            <v>72.73</v>
          </cell>
        </row>
        <row r="308">
          <cell r="B308">
            <v>72.95</v>
          </cell>
        </row>
        <row r="309">
          <cell r="B309">
            <v>64.150000000000006</v>
          </cell>
        </row>
        <row r="310">
          <cell r="B310">
            <v>61.75</v>
          </cell>
        </row>
        <row r="311">
          <cell r="B311">
            <v>61.75</v>
          </cell>
        </row>
        <row r="312">
          <cell r="B312">
            <v>64.25</v>
          </cell>
        </row>
        <row r="313">
          <cell r="B313">
            <v>57.78</v>
          </cell>
        </row>
        <row r="314">
          <cell r="B314">
            <v>56.88</v>
          </cell>
        </row>
        <row r="315">
          <cell r="B315">
            <v>62.75</v>
          </cell>
        </row>
        <row r="316">
          <cell r="B316">
            <v>65.95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s"/>
      <sheetName val="Controls 2"/>
      <sheetName val="Calculator"/>
      <sheetName val="LCFS Breakout"/>
      <sheetName val="Gross Margins Calculations"/>
      <sheetName val="LCFS Categorized"/>
      <sheetName val="LCFS Table"/>
      <sheetName val="Profit-Production Chart Data"/>
      <sheetName val="BTC Weekly Calc"/>
      <sheetName val="LCFS BD"/>
    </sheetNames>
    <sheetDataSet>
      <sheetData sheetId="0"/>
      <sheetData sheetId="1">
        <row r="2">
          <cell r="B2">
            <v>87.89</v>
          </cell>
        </row>
        <row r="5">
          <cell r="B5">
            <v>21.242812500000003</v>
          </cell>
        </row>
        <row r="6">
          <cell r="B6">
            <v>24.987142857142857</v>
          </cell>
        </row>
        <row r="7">
          <cell r="B7">
            <v>37.676111111111112</v>
          </cell>
        </row>
        <row r="8">
          <cell r="B8">
            <v>129.65</v>
          </cell>
        </row>
        <row r="12">
          <cell r="B12">
            <v>54.13</v>
          </cell>
        </row>
        <row r="13">
          <cell r="B13">
            <v>22.12</v>
          </cell>
        </row>
        <row r="14">
          <cell r="B14">
            <v>126.13</v>
          </cell>
        </row>
      </sheetData>
      <sheetData sheetId="2"/>
      <sheetData sheetId="3">
        <row r="1">
          <cell r="A1" t="str">
            <v>Week Start Date</v>
          </cell>
        </row>
        <row r="2">
          <cell r="A2">
            <v>43465</v>
          </cell>
          <cell r="B2">
            <v>43469</v>
          </cell>
          <cell r="C2">
            <v>1</v>
          </cell>
          <cell r="D2">
            <v>194.1875</v>
          </cell>
          <cell r="F2">
            <v>143.67517175375002</v>
          </cell>
          <cell r="G2">
            <v>17.521362408993905</v>
          </cell>
          <cell r="H2">
            <v>143.28328584375001</v>
          </cell>
          <cell r="I2">
            <v>18.488165915322583</v>
          </cell>
          <cell r="J2">
            <v>98.069448977499988</v>
          </cell>
          <cell r="K2">
            <v>13.2526282402027</v>
          </cell>
          <cell r="L2">
            <v>98.975685144375007</v>
          </cell>
          <cell r="M2">
            <v>13.375092587077702</v>
          </cell>
          <cell r="N2">
            <v>176.47112384687497</v>
          </cell>
          <cell r="O2">
            <v>22.031351291744691</v>
          </cell>
          <cell r="P2">
            <v>188.57060131812503</v>
          </cell>
          <cell r="Q2">
            <v>23.541897792524974</v>
          </cell>
          <cell r="S2">
            <v>0.94</v>
          </cell>
        </row>
        <row r="3">
          <cell r="A3">
            <v>43472</v>
          </cell>
          <cell r="B3">
            <v>43476</v>
          </cell>
          <cell r="C3">
            <v>2</v>
          </cell>
          <cell r="D3">
            <v>189.85</v>
          </cell>
          <cell r="F3">
            <v>140.46594841300001</v>
          </cell>
          <cell r="G3">
            <v>17.12999370890244</v>
          </cell>
          <cell r="H3">
            <v>140.08281592500001</v>
          </cell>
          <cell r="I3">
            <v>18.075202054838709</v>
          </cell>
          <cell r="J3">
            <v>95.878905121999978</v>
          </cell>
          <cell r="K3">
            <v>12.956608800270267</v>
          </cell>
          <cell r="L3">
            <v>96.764899000500009</v>
          </cell>
          <cell r="M3">
            <v>13.076337702770271</v>
          </cell>
          <cell r="N3">
            <v>172.52934850249997</v>
          </cell>
          <cell r="O3">
            <v>21.539244507178523</v>
          </cell>
          <cell r="P3">
            <v>184.35856406950001</v>
          </cell>
          <cell r="Q3">
            <v>23.016050445630462</v>
          </cell>
          <cell r="S3">
            <v>0.94</v>
          </cell>
        </row>
        <row r="4">
          <cell r="A4">
            <v>43479</v>
          </cell>
          <cell r="B4">
            <v>43483</v>
          </cell>
          <cell r="C4">
            <v>3</v>
          </cell>
          <cell r="D4">
            <v>190.35</v>
          </cell>
          <cell r="F4">
            <v>140.83588770300003</v>
          </cell>
          <cell r="G4">
            <v>17.175108256463421</v>
          </cell>
          <cell r="H4">
            <v>140.45174617500001</v>
          </cell>
          <cell r="I4">
            <v>18.122805958064518</v>
          </cell>
          <cell r="J4">
            <v>96.131417381999981</v>
          </cell>
          <cell r="K4">
            <v>12.990732078648646</v>
          </cell>
          <cell r="L4">
            <v>97.019744665500014</v>
          </cell>
          <cell r="M4">
            <v>13.110776306148649</v>
          </cell>
          <cell r="N4">
            <v>172.98373182749998</v>
          </cell>
          <cell r="O4">
            <v>21.59597151404494</v>
          </cell>
          <cell r="P4">
            <v>184.8441015045</v>
          </cell>
          <cell r="Q4">
            <v>23.076666854494384</v>
          </cell>
          <cell r="S4">
            <v>0.94</v>
          </cell>
        </row>
        <row r="5">
          <cell r="A5">
            <v>43486</v>
          </cell>
          <cell r="B5">
            <v>43490</v>
          </cell>
          <cell r="C5">
            <v>4</v>
          </cell>
          <cell r="D5">
            <v>191.5</v>
          </cell>
          <cell r="F5">
            <v>141.68674807000002</v>
          </cell>
          <cell r="G5">
            <v>17.278871715853661</v>
          </cell>
          <cell r="H5">
            <v>141.30028575</v>
          </cell>
          <cell r="I5">
            <v>18.232294935483871</v>
          </cell>
          <cell r="J5">
            <v>96.712195579999985</v>
          </cell>
          <cell r="K5">
            <v>13.069215618918916</v>
          </cell>
          <cell r="L5">
            <v>97.605889695000002</v>
          </cell>
          <cell r="M5">
            <v>13.189985093918919</v>
          </cell>
          <cell r="N5">
            <v>174.02881347499999</v>
          </cell>
          <cell r="O5">
            <v>21.726443629837703</v>
          </cell>
          <cell r="P5">
            <v>185.96083760500002</v>
          </cell>
          <cell r="Q5">
            <v>23.216084594881401</v>
          </cell>
          <cell r="S5">
            <v>0.94</v>
          </cell>
        </row>
        <row r="6">
          <cell r="A6">
            <v>43493</v>
          </cell>
          <cell r="B6">
            <v>43497</v>
          </cell>
          <cell r="C6">
            <v>5</v>
          </cell>
          <cell r="D6">
            <v>192.77500000000001</v>
          </cell>
          <cell r="F6">
            <v>142.63009325950003</v>
          </cell>
          <cell r="G6">
            <v>17.393913812134151</v>
          </cell>
          <cell r="H6">
            <v>142.24105788750001</v>
          </cell>
          <cell r="I6">
            <v>18.35368488870968</v>
          </cell>
          <cell r="J6">
            <v>97.35610184299999</v>
          </cell>
          <cell r="K6">
            <v>13.156229978783783</v>
          </cell>
          <cell r="L6">
            <v>98.255746140750006</v>
          </cell>
          <cell r="M6">
            <v>13.277803532533785</v>
          </cell>
          <cell r="N6">
            <v>175.18749095375</v>
          </cell>
          <cell r="O6">
            <v>21.871097497347066</v>
          </cell>
          <cell r="P6">
            <v>187.19895806425001</v>
          </cell>
          <cell r="Q6">
            <v>23.370656437484396</v>
          </cell>
          <cell r="S6">
            <v>0.94</v>
          </cell>
        </row>
        <row r="7">
          <cell r="A7">
            <v>43500</v>
          </cell>
          <cell r="B7">
            <v>43504</v>
          </cell>
          <cell r="C7">
            <v>6</v>
          </cell>
          <cell r="D7">
            <v>194.4</v>
          </cell>
          <cell r="F7">
            <v>143.83239595200001</v>
          </cell>
          <cell r="G7">
            <v>17.54053609170732</v>
          </cell>
          <cell r="H7">
            <v>143.44008120000001</v>
          </cell>
          <cell r="I7">
            <v>18.508397574193548</v>
          </cell>
          <cell r="J7">
            <v>98.176766687999987</v>
          </cell>
          <cell r="K7">
            <v>13.267130633513512</v>
          </cell>
          <cell r="L7">
            <v>99.083994552000007</v>
          </cell>
          <cell r="M7">
            <v>13.389728993513513</v>
          </cell>
          <cell r="N7">
            <v>176.66423675999999</v>
          </cell>
          <cell r="O7">
            <v>22.05546026966292</v>
          </cell>
          <cell r="P7">
            <v>188.77695472800002</v>
          </cell>
          <cell r="Q7">
            <v>23.567659766292138</v>
          </cell>
          <cell r="S7">
            <v>0.94</v>
          </cell>
        </row>
        <row r="8">
          <cell r="A8">
            <v>43507</v>
          </cell>
          <cell r="B8">
            <v>43511</v>
          </cell>
          <cell r="C8">
            <v>7</v>
          </cell>
          <cell r="D8">
            <v>196.3</v>
          </cell>
          <cell r="F8">
            <v>145.23816525400002</v>
          </cell>
          <cell r="G8">
            <v>17.711971372439027</v>
          </cell>
          <cell r="H8">
            <v>144.84201615000001</v>
          </cell>
          <cell r="I8">
            <v>18.689292406451614</v>
          </cell>
          <cell r="J8">
            <v>99.136313275999981</v>
          </cell>
          <cell r="K8">
            <v>13.396799091351347</v>
          </cell>
          <cell r="L8">
            <v>100.05240807900002</v>
          </cell>
          <cell r="M8">
            <v>13.520595686351353</v>
          </cell>
          <cell r="N8">
            <v>178.39089339500001</v>
          </cell>
          <cell r="O8">
            <v>22.271022895755308</v>
          </cell>
          <cell r="P8">
            <v>190.62199698100002</v>
          </cell>
          <cell r="Q8">
            <v>23.798002119975035</v>
          </cell>
          <cell r="S8">
            <v>0.94</v>
          </cell>
        </row>
        <row r="9">
          <cell r="A9">
            <v>43514</v>
          </cell>
          <cell r="B9">
            <v>43518</v>
          </cell>
          <cell r="C9">
            <v>8</v>
          </cell>
          <cell r="D9">
            <v>195.75</v>
          </cell>
          <cell r="F9">
            <v>144.831232035</v>
          </cell>
          <cell r="G9">
            <v>17.662345370121951</v>
          </cell>
          <cell r="H9">
            <v>144.43619287499999</v>
          </cell>
          <cell r="I9">
            <v>18.636928112903224</v>
          </cell>
          <cell r="J9">
            <v>98.858549789999984</v>
          </cell>
          <cell r="K9">
            <v>13.359263485135132</v>
          </cell>
          <cell r="L9">
            <v>99.7720778475</v>
          </cell>
          <cell r="M9">
            <v>13.482713222635134</v>
          </cell>
          <cell r="N9">
            <v>177.89107173749997</v>
          </cell>
          <cell r="O9">
            <v>22.208623188202242</v>
          </cell>
          <cell r="P9">
            <v>190.08790580250002</v>
          </cell>
          <cell r="Q9">
            <v>23.731324070224723</v>
          </cell>
          <cell r="S9">
            <v>0.94</v>
          </cell>
        </row>
        <row r="10">
          <cell r="A10">
            <v>43521</v>
          </cell>
          <cell r="B10">
            <v>43525</v>
          </cell>
          <cell r="C10">
            <v>9</v>
          </cell>
          <cell r="D10">
            <v>196.2</v>
          </cell>
          <cell r="F10">
            <v>145.16417739600001</v>
          </cell>
          <cell r="G10">
            <v>17.702948462926834</v>
          </cell>
          <cell r="H10">
            <v>144.76823009999998</v>
          </cell>
          <cell r="I10">
            <v>18.679771625806449</v>
          </cell>
          <cell r="J10">
            <v>99.085810823999978</v>
          </cell>
          <cell r="K10">
            <v>13.389974435675672</v>
          </cell>
          <cell r="L10">
            <v>100.00143894599999</v>
          </cell>
          <cell r="M10">
            <v>13.513707965675675</v>
          </cell>
          <cell r="N10">
            <v>178.30001672999998</v>
          </cell>
          <cell r="O10">
            <v>22.259677494382021</v>
          </cell>
          <cell r="P10">
            <v>190.52488949400001</v>
          </cell>
          <cell r="Q10">
            <v>23.785878838202247</v>
          </cell>
          <cell r="S10">
            <v>0.94</v>
          </cell>
        </row>
        <row r="11">
          <cell r="A11">
            <v>43528</v>
          </cell>
          <cell r="B11">
            <v>43532</v>
          </cell>
          <cell r="C11">
            <v>10</v>
          </cell>
          <cell r="D11">
            <v>195.35</v>
          </cell>
          <cell r="F11">
            <v>144.53528060300002</v>
          </cell>
          <cell r="G11">
            <v>17.626253732073174</v>
          </cell>
          <cell r="H11">
            <v>144.14104867500001</v>
          </cell>
          <cell r="I11">
            <v>18.598844990322583</v>
          </cell>
          <cell r="J11">
            <v>98.656539981999984</v>
          </cell>
          <cell r="K11">
            <v>13.331964862432431</v>
          </cell>
          <cell r="L11">
            <v>99.568201315500005</v>
          </cell>
          <cell r="M11">
            <v>13.455162339932432</v>
          </cell>
          <cell r="N11">
            <v>177.52756507749999</v>
          </cell>
          <cell r="O11">
            <v>22.163241582709112</v>
          </cell>
          <cell r="P11">
            <v>189.69947585450001</v>
          </cell>
          <cell r="Q11">
            <v>23.682830943133585</v>
          </cell>
          <cell r="S11">
            <v>0.94</v>
          </cell>
        </row>
        <row r="12">
          <cell r="A12">
            <v>43535</v>
          </cell>
          <cell r="B12">
            <v>43539</v>
          </cell>
          <cell r="C12">
            <v>11</v>
          </cell>
          <cell r="D12">
            <v>195.55</v>
          </cell>
          <cell r="F12">
            <v>144.68325631900004</v>
          </cell>
          <cell r="G12">
            <v>17.644299551097568</v>
          </cell>
          <cell r="H12">
            <v>144.288620775</v>
          </cell>
          <cell r="I12">
            <v>18.617886551612902</v>
          </cell>
          <cell r="J12">
            <v>98.757544885999991</v>
          </cell>
          <cell r="K12">
            <v>13.345614173783781</v>
          </cell>
          <cell r="L12">
            <v>99.670139581500024</v>
          </cell>
          <cell r="M12">
            <v>13.468937781283786</v>
          </cell>
          <cell r="N12">
            <v>177.70931840750001</v>
          </cell>
          <cell r="O12">
            <v>22.185932385455683</v>
          </cell>
          <cell r="P12">
            <v>189.89369082850004</v>
          </cell>
          <cell r="Q12">
            <v>23.707077506679155</v>
          </cell>
          <cell r="S12">
            <v>0.94</v>
          </cell>
        </row>
        <row r="13">
          <cell r="A13">
            <v>43542</v>
          </cell>
          <cell r="B13">
            <v>43546</v>
          </cell>
          <cell r="C13">
            <v>12</v>
          </cell>
          <cell r="D13">
            <v>195.45</v>
          </cell>
          <cell r="F13">
            <v>144.60926846100003</v>
          </cell>
          <cell r="G13">
            <v>17.635276641585371</v>
          </cell>
          <cell r="H13">
            <v>144.21483472499997</v>
          </cell>
          <cell r="I13">
            <v>18.60836577096774</v>
          </cell>
          <cell r="J13">
            <v>98.707042433999987</v>
          </cell>
          <cell r="K13">
            <v>13.338789518108106</v>
          </cell>
          <cell r="L13">
            <v>99.6191704485</v>
          </cell>
          <cell r="M13">
            <v>13.462050060608108</v>
          </cell>
          <cell r="N13">
            <v>177.61844174249995</v>
          </cell>
          <cell r="O13">
            <v>22.174586984082392</v>
          </cell>
          <cell r="P13">
            <v>189.7965833415</v>
          </cell>
          <cell r="Q13">
            <v>23.694954224906368</v>
          </cell>
          <cell r="S13">
            <v>0.94</v>
          </cell>
        </row>
        <row r="14">
          <cell r="A14">
            <v>43549</v>
          </cell>
          <cell r="B14">
            <v>43553</v>
          </cell>
          <cell r="C14">
            <v>13</v>
          </cell>
          <cell r="D14">
            <v>193.35</v>
          </cell>
          <cell r="F14">
            <v>143.055523443</v>
          </cell>
          <cell r="G14">
            <v>17.44579554182927</v>
          </cell>
          <cell r="H14">
            <v>142.66532767499999</v>
          </cell>
          <cell r="I14">
            <v>18.408429377419353</v>
          </cell>
          <cell r="J14">
            <v>97.646490941999986</v>
          </cell>
          <cell r="K14">
            <v>13.195471748918916</v>
          </cell>
          <cell r="L14">
            <v>98.5488186555</v>
          </cell>
          <cell r="M14">
            <v>13.317407926418918</v>
          </cell>
          <cell r="N14">
            <v>175.71003177749998</v>
          </cell>
          <cell r="O14">
            <v>21.936333555243444</v>
          </cell>
          <cell r="P14">
            <v>187.75732611449999</v>
          </cell>
          <cell r="Q14">
            <v>23.440365307677901</v>
          </cell>
          <cell r="S14">
            <v>0.94</v>
          </cell>
        </row>
        <row r="15">
          <cell r="A15">
            <v>43556</v>
          </cell>
          <cell r="B15">
            <v>43560</v>
          </cell>
          <cell r="C15">
            <v>14</v>
          </cell>
          <cell r="D15">
            <v>189.55</v>
          </cell>
          <cell r="F15">
            <v>140.24398483900003</v>
          </cell>
          <cell r="G15">
            <v>17.102924980365859</v>
          </cell>
          <cell r="H15">
            <v>139.86145777500002</v>
          </cell>
          <cell r="I15">
            <v>18.046639712903229</v>
          </cell>
          <cell r="J15">
            <v>95.727397765999996</v>
          </cell>
          <cell r="K15">
            <v>12.936134833243242</v>
          </cell>
          <cell r="L15">
            <v>96.611991601500009</v>
          </cell>
          <cell r="M15">
            <v>13.055674540743244</v>
          </cell>
          <cell r="N15">
            <v>172.25671850749998</v>
          </cell>
          <cell r="O15">
            <v>21.505208303058676</v>
          </cell>
          <cell r="P15">
            <v>184.06724160850004</v>
          </cell>
          <cell r="Q15">
            <v>22.979680600312115</v>
          </cell>
          <cell r="S15">
            <v>0.94</v>
          </cell>
        </row>
        <row r="16">
          <cell r="A16">
            <v>43563</v>
          </cell>
          <cell r="B16">
            <v>43567</v>
          </cell>
          <cell r="C16">
            <v>15</v>
          </cell>
          <cell r="D16">
            <v>184.5</v>
          </cell>
          <cell r="F16">
            <v>136.50759801000001</v>
          </cell>
          <cell r="G16">
            <v>16.647268050000001</v>
          </cell>
          <cell r="H16">
            <v>136.13526224999998</v>
          </cell>
          <cell r="I16">
            <v>17.56584029032258</v>
          </cell>
          <cell r="J16">
            <v>93.177023939999998</v>
          </cell>
          <cell r="K16">
            <v>12.59148972162162</v>
          </cell>
          <cell r="L16">
            <v>94.038050385000005</v>
          </cell>
          <cell r="M16">
            <v>12.707844646621622</v>
          </cell>
          <cell r="N16">
            <v>167.66744692499998</v>
          </cell>
          <cell r="O16">
            <v>20.932265533707863</v>
          </cell>
          <cell r="P16">
            <v>179.163313515</v>
          </cell>
          <cell r="Q16">
            <v>22.367454870786517</v>
          </cell>
          <cell r="S16">
            <v>0.94</v>
          </cell>
        </row>
        <row r="17">
          <cell r="A17">
            <v>43570</v>
          </cell>
          <cell r="B17">
            <v>43574</v>
          </cell>
          <cell r="C17">
            <v>16</v>
          </cell>
          <cell r="D17">
            <v>180.375</v>
          </cell>
          <cell r="F17">
            <v>133.45559886750002</v>
          </cell>
          <cell r="G17">
            <v>16.275073032621954</v>
          </cell>
          <cell r="H17">
            <v>133.09158768750001</v>
          </cell>
          <cell r="I17">
            <v>17.173108088709679</v>
          </cell>
          <cell r="J17">
            <v>91.093797794999986</v>
          </cell>
          <cell r="K17">
            <v>12.309972674999997</v>
          </cell>
          <cell r="L17">
            <v>91.935573648750008</v>
          </cell>
          <cell r="M17">
            <v>12.423726168750001</v>
          </cell>
          <cell r="N17">
            <v>163.91878449375</v>
          </cell>
          <cell r="O17">
            <v>20.464267727059926</v>
          </cell>
          <cell r="P17">
            <v>175.15762967625002</v>
          </cell>
          <cell r="Q17">
            <v>21.86736949765918</v>
          </cell>
          <cell r="R17">
            <v>112.09269274125</v>
          </cell>
          <cell r="S17">
            <v>0.94</v>
          </cell>
        </row>
        <row r="18">
          <cell r="A18">
            <v>43577</v>
          </cell>
          <cell r="B18">
            <v>43581</v>
          </cell>
          <cell r="C18">
            <v>17</v>
          </cell>
          <cell r="D18">
            <v>186.8</v>
          </cell>
          <cell r="F18">
            <v>138.20931874400003</v>
          </cell>
          <cell r="G18">
            <v>16.854794968780492</v>
          </cell>
          <cell r="H18">
            <v>137.83234139999999</v>
          </cell>
          <cell r="I18">
            <v>17.78481824516129</v>
          </cell>
          <cell r="J18">
            <v>94.338580335999993</v>
          </cell>
          <cell r="K18">
            <v>12.74845680216216</v>
          </cell>
          <cell r="L18">
            <v>95.210340444000011</v>
          </cell>
          <cell r="M18">
            <v>12.866262222162163</v>
          </cell>
          <cell r="N18">
            <v>169.75761022</v>
          </cell>
          <cell r="O18">
            <v>21.193209765293386</v>
          </cell>
          <cell r="P18">
            <v>181.39678571600001</v>
          </cell>
          <cell r="Q18">
            <v>22.646290351560552</v>
          </cell>
          <cell r="R18">
            <v>116.085460868</v>
          </cell>
          <cell r="S18">
            <v>0.94</v>
          </cell>
        </row>
        <row r="19">
          <cell r="A19">
            <v>43584</v>
          </cell>
          <cell r="B19">
            <v>43588</v>
          </cell>
          <cell r="C19">
            <v>18</v>
          </cell>
          <cell r="D19">
            <v>186.1</v>
          </cell>
          <cell r="F19">
            <v>137.69140373800002</v>
          </cell>
          <cell r="G19">
            <v>16.791634602195124</v>
          </cell>
          <cell r="H19">
            <v>137.31583904999999</v>
          </cell>
          <cell r="I19">
            <v>17.718172780645162</v>
          </cell>
          <cell r="J19">
            <v>93.985063171999983</v>
          </cell>
          <cell r="K19">
            <v>12.70068421243243</v>
          </cell>
          <cell r="L19">
            <v>94.853556513000001</v>
          </cell>
          <cell r="M19">
            <v>12.818048177432432</v>
          </cell>
          <cell r="N19">
            <v>169.12147356499997</v>
          </cell>
          <cell r="O19">
            <v>21.113791955680398</v>
          </cell>
          <cell r="P19">
            <v>180.71703330700001</v>
          </cell>
          <cell r="Q19">
            <v>22.561427379151063</v>
          </cell>
          <cell r="R19">
            <v>115.65045111099998</v>
          </cell>
          <cell r="S19">
            <v>0.94</v>
          </cell>
        </row>
        <row r="20">
          <cell r="A20">
            <v>43591</v>
          </cell>
          <cell r="B20">
            <v>43595</v>
          </cell>
          <cell r="C20">
            <v>19</v>
          </cell>
          <cell r="D20">
            <v>186.5</v>
          </cell>
          <cell r="F20">
            <v>137.98735517000003</v>
          </cell>
          <cell r="G20">
            <v>16.827726240243909</v>
          </cell>
          <cell r="H20">
            <v>137.61098325</v>
          </cell>
          <cell r="I20">
            <v>17.756255903225806</v>
          </cell>
          <cell r="J20">
            <v>94.187072979999982</v>
          </cell>
          <cell r="K20">
            <v>12.727982835135132</v>
          </cell>
          <cell r="L20">
            <v>95.05743304500001</v>
          </cell>
          <cell r="M20">
            <v>12.845599060135136</v>
          </cell>
          <cell r="N20">
            <v>169.48498022499999</v>
          </cell>
          <cell r="O20">
            <v>21.159173561173532</v>
          </cell>
          <cell r="P20">
            <v>181.10546325500002</v>
          </cell>
          <cell r="Q20">
            <v>22.609920506242201</v>
          </cell>
          <cell r="R20">
            <v>115.89902811499999</v>
          </cell>
          <cell r="S20">
            <v>0.94</v>
          </cell>
        </row>
        <row r="21">
          <cell r="A21">
            <v>43598</v>
          </cell>
          <cell r="B21">
            <v>43602</v>
          </cell>
          <cell r="C21">
            <v>20</v>
          </cell>
          <cell r="D21">
            <v>187.2</v>
          </cell>
          <cell r="F21">
            <v>138.50527017600001</v>
          </cell>
          <cell r="G21">
            <v>16.89088660682927</v>
          </cell>
          <cell r="H21">
            <v>138.1274856</v>
          </cell>
          <cell r="I21">
            <v>17.822901367741935</v>
          </cell>
          <cell r="J21">
            <v>94.540590143999978</v>
          </cell>
          <cell r="K21">
            <v>12.775755424864862</v>
          </cell>
          <cell r="L21">
            <v>95.414216976000006</v>
          </cell>
          <cell r="M21">
            <v>12.893813104864865</v>
          </cell>
          <cell r="N21">
            <v>170.12111687999999</v>
          </cell>
          <cell r="O21">
            <v>21.238591370786516</v>
          </cell>
          <cell r="P21">
            <v>181.78521566400002</v>
          </cell>
          <cell r="Q21">
            <v>22.69478347865169</v>
          </cell>
          <cell r="R21">
            <v>116.33403787199998</v>
          </cell>
          <cell r="S21">
            <v>0.94</v>
          </cell>
        </row>
        <row r="22">
          <cell r="A22">
            <v>43605</v>
          </cell>
          <cell r="B22">
            <v>43609</v>
          </cell>
          <cell r="C22">
            <v>21</v>
          </cell>
          <cell r="D22">
            <v>188.5</v>
          </cell>
          <cell r="F22">
            <v>139.46711233000002</v>
          </cell>
          <cell r="G22">
            <v>17.008184430487809</v>
          </cell>
          <cell r="H22">
            <v>139.08670425</v>
          </cell>
          <cell r="I22">
            <v>17.946671516129033</v>
          </cell>
          <cell r="J22">
            <v>95.197122019999995</v>
          </cell>
          <cell r="K22">
            <v>12.864475948648648</v>
          </cell>
          <cell r="L22">
            <v>96.076815705000001</v>
          </cell>
          <cell r="M22">
            <v>12.983353473648648</v>
          </cell>
          <cell r="N22">
            <v>171.30251352499999</v>
          </cell>
          <cell r="O22">
            <v>21.3860815886392</v>
          </cell>
          <cell r="P22">
            <v>183.04761299500001</v>
          </cell>
          <cell r="Q22">
            <v>22.852386141697881</v>
          </cell>
          <cell r="R22">
            <v>117.141913135</v>
          </cell>
          <cell r="S22">
            <v>0.94</v>
          </cell>
        </row>
        <row r="23">
          <cell r="A23">
            <v>43612</v>
          </cell>
          <cell r="B23">
            <v>43616</v>
          </cell>
          <cell r="C23">
            <v>22</v>
          </cell>
          <cell r="D23">
            <v>189.5</v>
          </cell>
          <cell r="F23">
            <v>140.20699091000003</v>
          </cell>
          <cell r="G23">
            <v>17.098413525609761</v>
          </cell>
          <cell r="H23">
            <v>139.82456475000001</v>
          </cell>
          <cell r="I23">
            <v>18.041879322580645</v>
          </cell>
          <cell r="J23">
            <v>95.702146539999987</v>
          </cell>
          <cell r="K23">
            <v>12.932722505405403</v>
          </cell>
          <cell r="L23">
            <v>96.586507034999997</v>
          </cell>
          <cell r="M23">
            <v>13.052230680405405</v>
          </cell>
          <cell r="N23">
            <v>172.21128017499998</v>
          </cell>
          <cell r="O23">
            <v>21.499535602372035</v>
          </cell>
          <cell r="P23">
            <v>184.01868786500003</v>
          </cell>
          <cell r="Q23">
            <v>22.973618959425721</v>
          </cell>
          <cell r="R23">
            <v>117.763355645</v>
          </cell>
          <cell r="S23">
            <v>0.94</v>
          </cell>
        </row>
        <row r="24">
          <cell r="A24">
            <v>43619</v>
          </cell>
          <cell r="B24">
            <v>43623</v>
          </cell>
          <cell r="C24">
            <v>23</v>
          </cell>
          <cell r="D24">
            <v>190.3</v>
          </cell>
          <cell r="F24">
            <v>140.79889377400002</v>
          </cell>
          <cell r="G24">
            <v>17.170596801707322</v>
          </cell>
          <cell r="H24">
            <v>140.41485315</v>
          </cell>
          <cell r="I24">
            <v>18.118045567741934</v>
          </cell>
          <cell r="J24">
            <v>96.106166156</v>
          </cell>
          <cell r="K24">
            <v>12.98731975081081</v>
          </cell>
          <cell r="L24">
            <v>96.994260099000002</v>
          </cell>
          <cell r="M24">
            <v>13.10733244581081</v>
          </cell>
          <cell r="N24">
            <v>172.93829349499998</v>
          </cell>
          <cell r="O24">
            <v>21.590298813358299</v>
          </cell>
          <cell r="P24">
            <v>184.79554776100002</v>
          </cell>
          <cell r="Q24">
            <v>23.070605213607994</v>
          </cell>
          <cell r="R24">
            <v>118.26050965299999</v>
          </cell>
          <cell r="S24">
            <v>0.94</v>
          </cell>
        </row>
        <row r="25">
          <cell r="A25">
            <v>43626</v>
          </cell>
          <cell r="B25">
            <v>43630</v>
          </cell>
          <cell r="C25">
            <v>24</v>
          </cell>
          <cell r="D25">
            <v>191.1</v>
          </cell>
          <cell r="F25">
            <v>141.39079663800001</v>
          </cell>
          <cell r="G25">
            <v>17.242780077804881</v>
          </cell>
          <cell r="H25">
            <v>141.00514154999999</v>
          </cell>
          <cell r="I25">
            <v>18.194211812903223</v>
          </cell>
          <cell r="J25">
            <v>96.510185771999986</v>
          </cell>
          <cell r="K25">
            <v>13.041916996216214</v>
          </cell>
          <cell r="L25">
            <v>97.402013163000007</v>
          </cell>
          <cell r="M25">
            <v>13.162434211216217</v>
          </cell>
          <cell r="N25">
            <v>173.66530681499998</v>
          </cell>
          <cell r="O25">
            <v>21.681062024344566</v>
          </cell>
          <cell r="P25">
            <v>185.57240765700001</v>
          </cell>
          <cell r="Q25">
            <v>23.167591467790263</v>
          </cell>
          <cell r="R25">
            <v>118.75766366099998</v>
          </cell>
          <cell r="S25">
            <v>0.94</v>
          </cell>
        </row>
        <row r="26">
          <cell r="A26">
            <v>43633</v>
          </cell>
          <cell r="B26">
            <v>43637</v>
          </cell>
          <cell r="C26">
            <v>25</v>
          </cell>
          <cell r="D26">
            <v>192.2</v>
          </cell>
          <cell r="F26">
            <v>142.204663076</v>
          </cell>
          <cell r="G26">
            <v>17.342032082439026</v>
          </cell>
          <cell r="H26">
            <v>141.81678809999997</v>
          </cell>
          <cell r="I26">
            <v>18.298940399999996</v>
          </cell>
          <cell r="J26">
            <v>97.065712743999981</v>
          </cell>
          <cell r="K26">
            <v>13.116988208648646</v>
          </cell>
          <cell r="L26">
            <v>97.962673625999997</v>
          </cell>
          <cell r="M26">
            <v>13.238199138648648</v>
          </cell>
          <cell r="N26">
            <v>174.66495012999999</v>
          </cell>
          <cell r="O26">
            <v>21.805861439450688</v>
          </cell>
          <cell r="P26">
            <v>186.640590014</v>
          </cell>
          <cell r="Q26">
            <v>23.300947567290887</v>
          </cell>
          <cell r="R26">
            <v>119.44125042199998</v>
          </cell>
          <cell r="S26">
            <v>0.94</v>
          </cell>
        </row>
        <row r="27">
          <cell r="A27">
            <v>43640</v>
          </cell>
          <cell r="B27">
            <v>43644</v>
          </cell>
          <cell r="C27">
            <v>26</v>
          </cell>
          <cell r="D27">
            <v>193.1</v>
          </cell>
          <cell r="F27">
            <v>142.87055379800003</v>
          </cell>
          <cell r="G27">
            <v>17.423238268048785</v>
          </cell>
          <cell r="H27">
            <v>142.48086254999998</v>
          </cell>
          <cell r="I27">
            <v>18.38462742580645</v>
          </cell>
          <cell r="J27">
            <v>97.520234811999984</v>
          </cell>
          <cell r="K27">
            <v>13.178410109729727</v>
          </cell>
          <cell r="L27">
            <v>98.421395822999997</v>
          </cell>
          <cell r="M27">
            <v>13.30018862472973</v>
          </cell>
          <cell r="N27">
            <v>175.48284011499996</v>
          </cell>
          <cell r="O27">
            <v>21.907970051810231</v>
          </cell>
          <cell r="P27">
            <v>187.514557397</v>
          </cell>
          <cell r="Q27">
            <v>23.410057103245943</v>
          </cell>
          <cell r="R27">
            <v>120.00054868099998</v>
          </cell>
          <cell r="S27">
            <v>0.94</v>
          </cell>
        </row>
        <row r="28">
          <cell r="A28">
            <v>43647</v>
          </cell>
          <cell r="B28">
            <v>43651</v>
          </cell>
          <cell r="C28">
            <v>27</v>
          </cell>
          <cell r="D28">
            <v>195</v>
          </cell>
          <cell r="F28">
            <v>144.27632310000001</v>
          </cell>
          <cell r="G28">
            <v>17.594673548780492</v>
          </cell>
          <cell r="H28">
            <v>143.88279749999998</v>
          </cell>
          <cell r="I28">
            <v>18.565522258064515</v>
          </cell>
          <cell r="J28">
            <v>98.479781399999993</v>
          </cell>
          <cell r="K28">
            <v>13.308078567567566</v>
          </cell>
          <cell r="L28">
            <v>99.389809350000007</v>
          </cell>
          <cell r="M28">
            <v>13.431055317567568</v>
          </cell>
          <cell r="N28">
            <v>177.20949675</v>
          </cell>
          <cell r="O28">
            <v>22.123532677902624</v>
          </cell>
          <cell r="P28">
            <v>189.35959965000001</v>
          </cell>
          <cell r="Q28">
            <v>23.64039945692884</v>
          </cell>
          <cell r="R28">
            <v>121.18128944999999</v>
          </cell>
          <cell r="S28">
            <v>0.94</v>
          </cell>
        </row>
        <row r="29">
          <cell r="A29">
            <v>43654</v>
          </cell>
          <cell r="B29">
            <v>43658</v>
          </cell>
          <cell r="C29">
            <v>28</v>
          </cell>
          <cell r="D29">
            <v>196.9</v>
          </cell>
          <cell r="F29">
            <v>145.68209240200002</v>
          </cell>
          <cell r="G29">
            <v>17.766108829512198</v>
          </cell>
          <cell r="H29">
            <v>145.28473245000001</v>
          </cell>
          <cell r="I29">
            <v>18.746417090322581</v>
          </cell>
          <cell r="J29">
            <v>99.439327987999988</v>
          </cell>
          <cell r="K29">
            <v>13.437747025405404</v>
          </cell>
          <cell r="L29">
            <v>100.358222877</v>
          </cell>
          <cell r="M29">
            <v>13.561922010405405</v>
          </cell>
          <cell r="N29">
            <v>178.93615338499998</v>
          </cell>
          <cell r="O29">
            <v>22.339095303995006</v>
          </cell>
          <cell r="P29">
            <v>191.20464190300001</v>
          </cell>
          <cell r="Q29">
            <v>23.870741810611737</v>
          </cell>
          <cell r="R29">
            <v>122.362030219</v>
          </cell>
          <cell r="S29">
            <v>0.94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8">
          <cell r="K58">
            <v>198.97730000000001</v>
          </cell>
        </row>
        <row r="269">
          <cell r="J269">
            <v>71.86904761904762</v>
          </cell>
          <cell r="K269">
            <v>66.6186299081036</v>
          </cell>
        </row>
        <row r="270">
          <cell r="J270">
            <v>71.86904761904762</v>
          </cell>
          <cell r="K270">
            <v>66.6186299081036</v>
          </cell>
        </row>
        <row r="271">
          <cell r="J271">
            <v>71.86904761904762</v>
          </cell>
          <cell r="K271">
            <v>66.6186299081036</v>
          </cell>
        </row>
        <row r="272">
          <cell r="J272">
            <v>84.94736842105263</v>
          </cell>
          <cell r="K272">
            <v>66.6186299081036</v>
          </cell>
        </row>
        <row r="273">
          <cell r="J273">
            <v>84.94736842105263</v>
          </cell>
          <cell r="K273">
            <v>66.6186299081036</v>
          </cell>
        </row>
        <row r="274">
          <cell r="J274">
            <v>84.94736842105263</v>
          </cell>
          <cell r="K274">
            <v>66.6186299081036</v>
          </cell>
        </row>
        <row r="275">
          <cell r="J275">
            <v>84.94736842105263</v>
          </cell>
          <cell r="K275">
            <v>66.6186299081036</v>
          </cell>
        </row>
        <row r="276">
          <cell r="J276">
            <v>79.571428571428569</v>
          </cell>
          <cell r="K276">
            <v>66.6186299081036</v>
          </cell>
        </row>
        <row r="277">
          <cell r="B277">
            <v>30.75</v>
          </cell>
          <cell r="C277">
            <v>41</v>
          </cell>
          <cell r="F277">
            <v>42.815789473684212</v>
          </cell>
          <cell r="G277">
            <v>48.75</v>
          </cell>
          <cell r="H277">
            <v>46.75</v>
          </cell>
          <cell r="J277">
            <v>79.571428571428569</v>
          </cell>
          <cell r="K277">
            <v>66.6186299081036</v>
          </cell>
        </row>
        <row r="278">
          <cell r="B278">
            <v>30.75</v>
          </cell>
          <cell r="C278">
            <v>41</v>
          </cell>
          <cell r="F278">
            <v>42.815789473684212</v>
          </cell>
          <cell r="G278">
            <v>48.75</v>
          </cell>
          <cell r="H278">
            <v>46.75</v>
          </cell>
          <cell r="J278">
            <v>79.571428571428569</v>
          </cell>
          <cell r="K278">
            <v>66.6186299081036</v>
          </cell>
        </row>
        <row r="279">
          <cell r="B279">
            <v>30.75</v>
          </cell>
          <cell r="C279">
            <v>41</v>
          </cell>
          <cell r="F279">
            <v>42.815789473684212</v>
          </cell>
          <cell r="G279">
            <v>48.75</v>
          </cell>
          <cell r="H279">
            <v>46.75</v>
          </cell>
          <cell r="J279">
            <v>79.571428571428569</v>
          </cell>
          <cell r="K279">
            <v>66.6186299081036</v>
          </cell>
        </row>
        <row r="280">
          <cell r="B280">
            <v>30.75</v>
          </cell>
          <cell r="C280">
            <v>41</v>
          </cell>
          <cell r="F280">
            <v>42.815789473684212</v>
          </cell>
          <cell r="G280">
            <v>48.75</v>
          </cell>
          <cell r="H280">
            <v>46.75</v>
          </cell>
          <cell r="J280">
            <v>79.571428571428569</v>
          </cell>
          <cell r="K280">
            <v>66.6186299081036</v>
          </cell>
        </row>
        <row r="281">
          <cell r="B281">
            <v>32.75</v>
          </cell>
          <cell r="C281">
            <v>37.75</v>
          </cell>
          <cell r="F281">
            <v>43.357142857142854</v>
          </cell>
          <cell r="G281">
            <v>48</v>
          </cell>
          <cell r="H281">
            <v>50.5</v>
          </cell>
          <cell r="J281">
            <v>102.59375</v>
          </cell>
          <cell r="K281">
            <v>76.846048028575552</v>
          </cell>
        </row>
        <row r="282">
          <cell r="B282">
            <v>32.75</v>
          </cell>
          <cell r="C282">
            <v>37.75</v>
          </cell>
          <cell r="F282">
            <v>43.357142857142854</v>
          </cell>
          <cell r="G282">
            <v>48</v>
          </cell>
          <cell r="H282">
            <v>50.5</v>
          </cell>
          <cell r="J282">
            <v>102.59375</v>
          </cell>
          <cell r="K282">
            <v>76.846048028575552</v>
          </cell>
        </row>
        <row r="283">
          <cell r="B283">
            <v>32.75</v>
          </cell>
          <cell r="C283">
            <v>37.75</v>
          </cell>
          <cell r="F283">
            <v>43.357142857142854</v>
          </cell>
          <cell r="G283">
            <v>48</v>
          </cell>
          <cell r="H283">
            <v>50.5</v>
          </cell>
          <cell r="J283">
            <v>102.59375</v>
          </cell>
          <cell r="K283">
            <v>76.846048028575552</v>
          </cell>
        </row>
        <row r="284">
          <cell r="B284">
            <v>32.75</v>
          </cell>
          <cell r="C284">
            <v>37.75</v>
          </cell>
          <cell r="F284">
            <v>43.357142857142854</v>
          </cell>
          <cell r="G284">
            <v>48</v>
          </cell>
          <cell r="H284">
            <v>50.5</v>
          </cell>
          <cell r="J284">
            <v>102.59375</v>
          </cell>
          <cell r="K284">
            <v>76.846048028575552</v>
          </cell>
        </row>
        <row r="285">
          <cell r="B285">
            <v>33.25</v>
          </cell>
          <cell r="C285">
            <v>39</v>
          </cell>
          <cell r="F285">
            <v>46.261904761904759</v>
          </cell>
          <cell r="G285">
            <v>51.25</v>
          </cell>
          <cell r="H285">
            <v>50.25</v>
          </cell>
          <cell r="J285">
            <v>99.834661261083824</v>
          </cell>
          <cell r="K285">
            <v>76.846048028575552</v>
          </cell>
        </row>
        <row r="286">
          <cell r="B286">
            <v>33.25</v>
          </cell>
          <cell r="C286">
            <v>39</v>
          </cell>
          <cell r="F286">
            <v>46.261904761904759</v>
          </cell>
          <cell r="G286">
            <v>51.25</v>
          </cell>
          <cell r="H286">
            <v>50.25</v>
          </cell>
          <cell r="J286">
            <v>99.834661261083824</v>
          </cell>
          <cell r="K286">
            <v>76.846048028575552</v>
          </cell>
        </row>
        <row r="287">
          <cell r="B287">
            <v>33.25</v>
          </cell>
          <cell r="C287">
            <v>39</v>
          </cell>
          <cell r="F287">
            <v>46.261904761904759</v>
          </cell>
          <cell r="G287">
            <v>51.25</v>
          </cell>
          <cell r="H287">
            <v>50.25</v>
          </cell>
          <cell r="J287">
            <v>99.834661261083824</v>
          </cell>
          <cell r="K287">
            <v>76.846048028575552</v>
          </cell>
        </row>
        <row r="288">
          <cell r="B288">
            <v>33.25</v>
          </cell>
          <cell r="C288">
            <v>39</v>
          </cell>
          <cell r="F288">
            <v>46.261904761904759</v>
          </cell>
          <cell r="G288">
            <v>51.25</v>
          </cell>
          <cell r="H288">
            <v>50.25</v>
          </cell>
          <cell r="J288">
            <v>99.834661261083824</v>
          </cell>
          <cell r="K288">
            <v>76.846048028575552</v>
          </cell>
        </row>
        <row r="289">
          <cell r="B289">
            <v>34.25</v>
          </cell>
          <cell r="C289">
            <v>42</v>
          </cell>
          <cell r="F289">
            <v>47</v>
          </cell>
          <cell r="G289">
            <v>51</v>
          </cell>
          <cell r="H289">
            <v>51</v>
          </cell>
          <cell r="J289">
            <v>93.07441369358196</v>
          </cell>
          <cell r="K289">
            <v>76.846048028575552</v>
          </cell>
        </row>
        <row r="290">
          <cell r="B290">
            <v>34.25</v>
          </cell>
          <cell r="C290">
            <v>42</v>
          </cell>
          <cell r="F290">
            <v>47</v>
          </cell>
          <cell r="G290">
            <v>51</v>
          </cell>
          <cell r="H290">
            <v>51</v>
          </cell>
          <cell r="J290">
            <v>93.07441369358196</v>
          </cell>
          <cell r="K290">
            <v>76.846048028575552</v>
          </cell>
        </row>
        <row r="291">
          <cell r="B291">
            <v>34.25</v>
          </cell>
          <cell r="C291">
            <v>42</v>
          </cell>
          <cell r="F291">
            <v>47</v>
          </cell>
          <cell r="G291">
            <v>51</v>
          </cell>
          <cell r="H291">
            <v>51</v>
          </cell>
          <cell r="J291">
            <v>93.07441369358196</v>
          </cell>
          <cell r="K291">
            <v>76.846048028575552</v>
          </cell>
        </row>
        <row r="292">
          <cell r="B292">
            <v>34.25</v>
          </cell>
          <cell r="C292">
            <v>42</v>
          </cell>
          <cell r="F292">
            <v>47</v>
          </cell>
          <cell r="G292">
            <v>51</v>
          </cell>
          <cell r="H292">
            <v>51</v>
          </cell>
          <cell r="J292">
            <v>93.07441369358196</v>
          </cell>
          <cell r="K292">
            <v>76.846048028575552</v>
          </cell>
        </row>
        <row r="293">
          <cell r="B293">
            <v>34.25</v>
          </cell>
          <cell r="C293">
            <v>42</v>
          </cell>
          <cell r="F293">
            <v>47</v>
          </cell>
          <cell r="G293">
            <v>51</v>
          </cell>
          <cell r="H293">
            <v>51</v>
          </cell>
          <cell r="J293">
            <v>93.07441369358196</v>
          </cell>
          <cell r="K293">
            <v>76.846048028575552</v>
          </cell>
        </row>
        <row r="294">
          <cell r="B294">
            <v>34.5</v>
          </cell>
          <cell r="C294">
            <v>39.25</v>
          </cell>
          <cell r="F294">
            <v>48</v>
          </cell>
          <cell r="G294">
            <v>51.25</v>
          </cell>
          <cell r="H294">
            <v>52.25</v>
          </cell>
          <cell r="J294">
            <v>98.238623074237751</v>
          </cell>
          <cell r="K294">
            <v>82.100909891718544</v>
          </cell>
        </row>
        <row r="295">
          <cell r="B295">
            <v>34.5</v>
          </cell>
          <cell r="C295">
            <v>39.25</v>
          </cell>
          <cell r="F295">
            <v>48</v>
          </cell>
          <cell r="G295">
            <v>51.25</v>
          </cell>
          <cell r="H295">
            <v>52.25</v>
          </cell>
          <cell r="J295">
            <v>98.238623074237751</v>
          </cell>
          <cell r="K295">
            <v>82.100909891718544</v>
          </cell>
        </row>
        <row r="296">
          <cell r="B296">
            <v>34.5</v>
          </cell>
          <cell r="C296">
            <v>39.25</v>
          </cell>
          <cell r="F296">
            <v>48</v>
          </cell>
          <cell r="G296">
            <v>51.25</v>
          </cell>
          <cell r="H296">
            <v>52.25</v>
          </cell>
          <cell r="J296">
            <v>98.238623074237751</v>
          </cell>
          <cell r="K296">
            <v>82.100909891718544</v>
          </cell>
        </row>
        <row r="297">
          <cell r="B297">
            <v>34.5</v>
          </cell>
          <cell r="C297">
            <v>39.25</v>
          </cell>
          <cell r="F297">
            <v>48</v>
          </cell>
          <cell r="G297">
            <v>51.25</v>
          </cell>
          <cell r="H297">
            <v>52.25</v>
          </cell>
          <cell r="J297">
            <v>98.238623074237751</v>
          </cell>
          <cell r="K297">
            <v>82.100909891718544</v>
          </cell>
        </row>
        <row r="298">
          <cell r="B298">
            <v>35.25</v>
          </cell>
          <cell r="C298">
            <v>38.75</v>
          </cell>
          <cell r="F298">
            <v>43</v>
          </cell>
          <cell r="G298">
            <v>50.75</v>
          </cell>
          <cell r="H298">
            <v>51</v>
          </cell>
          <cell r="J298">
            <v>88.980306976034484</v>
          </cell>
          <cell r="K298">
            <v>82.100909891718544</v>
          </cell>
        </row>
        <row r="299">
          <cell r="B299">
            <v>35.25</v>
          </cell>
          <cell r="C299">
            <v>38.75</v>
          </cell>
          <cell r="F299">
            <v>43</v>
          </cell>
          <cell r="G299">
            <v>50.75</v>
          </cell>
          <cell r="H299">
            <v>51</v>
          </cell>
          <cell r="J299">
            <v>88.980306976034484</v>
          </cell>
          <cell r="K299">
            <v>82.100909891718544</v>
          </cell>
        </row>
        <row r="300">
          <cell r="B300">
            <v>35.25</v>
          </cell>
          <cell r="C300">
            <v>38.75</v>
          </cell>
          <cell r="F300">
            <v>43</v>
          </cell>
          <cell r="G300">
            <v>50.75</v>
          </cell>
          <cell r="H300">
            <v>51</v>
          </cell>
          <cell r="J300">
            <v>88.980306976034484</v>
          </cell>
          <cell r="K300">
            <v>82.100909891718544</v>
          </cell>
        </row>
        <row r="301">
          <cell r="B301">
            <v>35.25</v>
          </cell>
          <cell r="C301">
            <v>38.75</v>
          </cell>
          <cell r="F301">
            <v>43</v>
          </cell>
          <cell r="G301">
            <v>50.75</v>
          </cell>
          <cell r="H301">
            <v>51</v>
          </cell>
          <cell r="J301">
            <v>88.980306976034484</v>
          </cell>
          <cell r="K301">
            <v>82.100909891718544</v>
          </cell>
        </row>
        <row r="302">
          <cell r="B302">
            <v>35.25</v>
          </cell>
          <cell r="C302">
            <v>38.75</v>
          </cell>
          <cell r="F302">
            <v>43</v>
          </cell>
          <cell r="G302">
            <v>50.75</v>
          </cell>
          <cell r="H302">
            <v>51</v>
          </cell>
          <cell r="J302">
            <v>88.980306976034484</v>
          </cell>
          <cell r="K302">
            <v>82.100909891718544</v>
          </cell>
        </row>
        <row r="303">
          <cell r="B303">
            <v>36.5</v>
          </cell>
          <cell r="C303">
            <v>39</v>
          </cell>
          <cell r="F303">
            <v>57</v>
          </cell>
          <cell r="G303">
            <v>46</v>
          </cell>
          <cell r="H303">
            <v>50</v>
          </cell>
          <cell r="J303">
            <v>85.531579451035185</v>
          </cell>
          <cell r="K303">
            <v>82.100909891718544</v>
          </cell>
        </row>
        <row r="304">
          <cell r="B304">
            <v>36.5</v>
          </cell>
          <cell r="C304">
            <v>39</v>
          </cell>
          <cell r="F304">
            <v>57</v>
          </cell>
          <cell r="G304">
            <v>46</v>
          </cell>
          <cell r="H304">
            <v>50</v>
          </cell>
          <cell r="J304">
            <v>85.531579451035185</v>
          </cell>
          <cell r="K304">
            <v>82.100909891718544</v>
          </cell>
        </row>
        <row r="305">
          <cell r="B305">
            <v>36.5</v>
          </cell>
          <cell r="C305">
            <v>39</v>
          </cell>
          <cell r="F305">
            <v>57</v>
          </cell>
          <cell r="G305">
            <v>46</v>
          </cell>
          <cell r="H305">
            <v>50</v>
          </cell>
          <cell r="J305">
            <v>85.531579451035185</v>
          </cell>
          <cell r="K305">
            <v>82.100909891718544</v>
          </cell>
        </row>
        <row r="306">
          <cell r="B306">
            <v>36.5</v>
          </cell>
          <cell r="C306">
            <v>39</v>
          </cell>
          <cell r="F306">
            <v>57</v>
          </cell>
          <cell r="G306">
            <v>46</v>
          </cell>
          <cell r="H306">
            <v>50</v>
          </cell>
          <cell r="J306">
            <v>85.531579451035185</v>
          </cell>
          <cell r="K306">
            <v>82.100909891718544</v>
          </cell>
        </row>
        <row r="307">
          <cell r="B307">
            <v>32</v>
          </cell>
          <cell r="C307">
            <v>51.25</v>
          </cell>
          <cell r="F307">
            <v>49.75</v>
          </cell>
          <cell r="G307">
            <v>43.25</v>
          </cell>
          <cell r="H307">
            <v>43.5</v>
          </cell>
          <cell r="J307">
            <v>87.372529607058539</v>
          </cell>
          <cell r="K307">
            <v>78.349971060465663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377OPMYC5WNHJVK7FJDNQZ4BY">
      <xxl21:absoluteUrl r:id="rId2"/>
    </xxl21:alternateUrls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Chart3"/>
    </sheetNames>
    <sheetDataSet>
      <sheetData sheetId="0"/>
      <sheetData sheetId="1">
        <row r="4">
          <cell r="I4">
            <v>0.15</v>
          </cell>
        </row>
        <row r="65">
          <cell r="B65">
            <v>440</v>
          </cell>
          <cell r="C65">
            <v>2.2999999999999998</v>
          </cell>
        </row>
        <row r="66">
          <cell r="B66">
            <v>444.72000000000014</v>
          </cell>
          <cell r="C66">
            <v>2.3872</v>
          </cell>
        </row>
        <row r="67">
          <cell r="B67">
            <v>443.67000000000019</v>
          </cell>
          <cell r="C67">
            <v>2.3666999999999998</v>
          </cell>
        </row>
        <row r="68">
          <cell r="B68">
            <v>438.81000000000012</v>
          </cell>
          <cell r="C68">
            <v>2.3580999999999999</v>
          </cell>
        </row>
        <row r="69">
          <cell r="B69">
            <v>439.37000000000018</v>
          </cell>
          <cell r="C69">
            <v>2.3237000000000001</v>
          </cell>
        </row>
        <row r="70">
          <cell r="B70">
            <v>425.50000000000017</v>
          </cell>
          <cell r="C70">
            <v>2.3050000000000002</v>
          </cell>
        </row>
        <row r="71">
          <cell r="B71">
            <v>415.86000000000013</v>
          </cell>
          <cell r="C71">
            <v>2.2786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eorge" id="{FA7B9B30-E2C8-43D0-AC3D-9CE403C76CD5}" userId="S::george@thejacobsen.com::765e2555-333d-418b-9a01-0a11f6eada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2" dT="2019-10-14T17:57:31.13" personId="{FA7B9B30-E2C8-43D0-AC3D-9CE403C76CD5}" id="{EC51BEE0-AF5B-4E69-9FEF-B6C145D27E44}">
    <text>Update this each week based on BTC Survey Data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9083-B08E-47A7-9EA5-98B656271699}">
  <dimension ref="A1:H16"/>
  <sheetViews>
    <sheetView zoomScaleNormal="100" workbookViewId="0">
      <selection activeCell="B16" sqref="B16"/>
    </sheetView>
  </sheetViews>
  <sheetFormatPr defaultColWidth="11" defaultRowHeight="15.75"/>
  <cols>
    <col min="1" max="1" width="19.5" customWidth="1"/>
    <col min="2" max="2" width="11.125" bestFit="1" customWidth="1"/>
    <col min="4" max="4" width="13" customWidth="1"/>
    <col min="6" max="6" width="18.625" customWidth="1"/>
  </cols>
  <sheetData>
    <row r="1" spans="1:8" ht="40.5">
      <c r="A1" s="1"/>
      <c r="B1" s="1" t="s">
        <v>0</v>
      </c>
      <c r="C1" s="1" t="s">
        <v>1</v>
      </c>
      <c r="D1" s="2" t="s">
        <v>2</v>
      </c>
      <c r="E1" s="2" t="s">
        <v>3</v>
      </c>
      <c r="F1" s="2"/>
      <c r="G1" s="2"/>
    </row>
    <row r="2" spans="1:8">
      <c r="A2" s="3" t="s">
        <v>4</v>
      </c>
      <c r="B2" s="4">
        <v>35.51</v>
      </c>
      <c r="C2">
        <v>94.17</v>
      </c>
      <c r="D2" s="5">
        <v>126.13</v>
      </c>
      <c r="E2" s="5">
        <v>129.65</v>
      </c>
      <c r="F2">
        <f t="shared" ref="F2:F7" si="0">+(C2-B2)*D2/1000000</f>
        <v>7.3987858000000009E-3</v>
      </c>
      <c r="G2" s="3">
        <v>8.1999999999999993</v>
      </c>
    </row>
    <row r="3" spans="1:8">
      <c r="A3" s="3" t="s">
        <v>5</v>
      </c>
      <c r="B3" s="4">
        <v>35.67</v>
      </c>
      <c r="C3">
        <v>94.17</v>
      </c>
      <c r="D3" s="5">
        <v>126.13</v>
      </c>
      <c r="E3" s="5">
        <v>129.65</v>
      </c>
      <c r="F3">
        <f t="shared" si="0"/>
        <v>7.3786049999999999E-3</v>
      </c>
      <c r="G3" s="3">
        <v>7.75</v>
      </c>
    </row>
    <row r="4" spans="1:8">
      <c r="A4" s="3" t="s">
        <v>6</v>
      </c>
      <c r="B4" s="4">
        <v>54.13</v>
      </c>
      <c r="C4">
        <v>94.17</v>
      </c>
      <c r="D4" s="5">
        <v>126.13</v>
      </c>
      <c r="E4" s="5">
        <v>129.65</v>
      </c>
      <c r="F4">
        <f t="shared" si="0"/>
        <v>5.0502451999999993E-3</v>
      </c>
      <c r="G4" s="3">
        <v>7.4</v>
      </c>
    </row>
    <row r="5" spans="1:8">
      <c r="A5" s="3" t="s">
        <v>7</v>
      </c>
      <c r="B5" s="4">
        <v>53.76</v>
      </c>
      <c r="C5">
        <v>94.17</v>
      </c>
      <c r="D5" s="5">
        <v>126.13</v>
      </c>
      <c r="E5" s="5">
        <v>129.65</v>
      </c>
      <c r="F5">
        <f t="shared" si="0"/>
        <v>5.0969133000000003E-3</v>
      </c>
      <c r="G5" s="3">
        <v>7.4</v>
      </c>
    </row>
    <row r="6" spans="1:8">
      <c r="A6" s="3" t="s">
        <v>8</v>
      </c>
      <c r="B6" s="4">
        <v>22.12</v>
      </c>
      <c r="C6">
        <v>94.17</v>
      </c>
      <c r="D6" s="5">
        <v>126.13</v>
      </c>
      <c r="E6" s="5">
        <v>129.65</v>
      </c>
      <c r="F6">
        <f t="shared" si="0"/>
        <v>9.0876664999999992E-3</v>
      </c>
      <c r="G6" s="3">
        <v>8.01</v>
      </c>
    </row>
    <row r="7" spans="1:8">
      <c r="A7" s="3" t="s">
        <v>9</v>
      </c>
      <c r="B7" s="4">
        <v>17.18</v>
      </c>
      <c r="C7">
        <v>94.17</v>
      </c>
      <c r="D7" s="5">
        <v>126.13</v>
      </c>
      <c r="E7" s="5">
        <v>129.65</v>
      </c>
      <c r="F7">
        <f t="shared" si="0"/>
        <v>9.7107487000000006E-3</v>
      </c>
      <c r="G7" s="3">
        <v>8.01</v>
      </c>
    </row>
    <row r="8" spans="1:8">
      <c r="A8" s="3" t="s">
        <v>10</v>
      </c>
      <c r="B8">
        <f>AVERAGE(B3:B4)</f>
        <v>44.900000000000006</v>
      </c>
      <c r="C8">
        <v>94.17</v>
      </c>
      <c r="D8" s="5">
        <v>126.13</v>
      </c>
      <c r="E8" s="5">
        <v>129.65</v>
      </c>
      <c r="F8">
        <f>AVERAGE(F3:F4)</f>
        <v>6.2144250999999996E-3</v>
      </c>
      <c r="H8" t="s">
        <v>11</v>
      </c>
    </row>
    <row r="11" spans="1:8">
      <c r="B11">
        <v>94.17</v>
      </c>
      <c r="C11" t="s">
        <v>12</v>
      </c>
      <c r="F11" t="s">
        <v>13</v>
      </c>
    </row>
    <row r="12" spans="1:8">
      <c r="B12">
        <f>B8</f>
        <v>44.900000000000006</v>
      </c>
      <c r="C12" t="s">
        <v>10</v>
      </c>
    </row>
    <row r="13" spans="1:8">
      <c r="B13">
        <f>B11-B12</f>
        <v>49.269999999999996</v>
      </c>
      <c r="C13" t="s">
        <v>14</v>
      </c>
    </row>
    <row r="14" spans="1:8">
      <c r="B14">
        <f>B13/1000000</f>
        <v>4.9269999999999994E-5</v>
      </c>
      <c r="C14" t="s">
        <v>15</v>
      </c>
    </row>
    <row r="15" spans="1:8">
      <c r="B15">
        <f>B14*H15</f>
        <v>9.2036359999999994E-3</v>
      </c>
      <c r="C15" t="s">
        <v>16</v>
      </c>
      <c r="G15" t="s">
        <v>17</v>
      </c>
      <c r="H15">
        <v>186.8</v>
      </c>
    </row>
    <row r="16" spans="1:8">
      <c r="A16" t="s">
        <v>18</v>
      </c>
      <c r="B16">
        <f>B15*134.47</f>
        <v>1.2376129329199999</v>
      </c>
      <c r="C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CFCF-65AE-4CD5-8A5B-528EF9BE4F0A}">
  <dimension ref="A1:L15"/>
  <sheetViews>
    <sheetView workbookViewId="0">
      <selection activeCell="B16" sqref="B16"/>
    </sheetView>
  </sheetViews>
  <sheetFormatPr defaultColWidth="9" defaultRowHeight="12.75"/>
  <cols>
    <col min="1" max="1" width="23.375" style="6" bestFit="1" customWidth="1"/>
    <col min="2" max="16384" width="9" style="6"/>
  </cols>
  <sheetData>
    <row r="1" spans="1:12">
      <c r="A1" s="6">
        <v>2023</v>
      </c>
      <c r="B1" s="6" t="s">
        <v>0</v>
      </c>
      <c r="F1" s="6" t="s">
        <v>20</v>
      </c>
    </row>
    <row r="2" spans="1:12">
      <c r="A2" s="7" t="s">
        <v>21</v>
      </c>
      <c r="B2" s="8">
        <v>87.89</v>
      </c>
      <c r="E2" s="6">
        <v>2019</v>
      </c>
      <c r="F2" s="6">
        <v>94.147000000000006</v>
      </c>
    </row>
    <row r="3" spans="1:12">
      <c r="B3" s="9"/>
      <c r="E3" s="6">
        <v>2020</v>
      </c>
      <c r="F3" s="6">
        <v>92.92</v>
      </c>
    </row>
    <row r="4" spans="1:12">
      <c r="A4" s="7" t="s">
        <v>22</v>
      </c>
      <c r="B4" s="9"/>
      <c r="E4" s="6">
        <v>2021</v>
      </c>
      <c r="F4" s="6">
        <v>91.66</v>
      </c>
    </row>
    <row r="5" spans="1:12">
      <c r="A5" s="7" t="s">
        <v>5</v>
      </c>
      <c r="B5" s="8">
        <f>'[1]Yellow Grease'!$AB$4</f>
        <v>21.242812500000003</v>
      </c>
      <c r="E5" s="6">
        <v>2022</v>
      </c>
      <c r="F5" s="6">
        <v>90.41</v>
      </c>
    </row>
    <row r="6" spans="1:12">
      <c r="A6" s="7" t="s">
        <v>9</v>
      </c>
      <c r="B6" s="8">
        <f>[1]UCO!$AB$4</f>
        <v>24.987142857142857</v>
      </c>
      <c r="E6" s="6">
        <v>2023</v>
      </c>
      <c r="F6" s="6">
        <v>89.15</v>
      </c>
      <c r="K6" s="7"/>
      <c r="L6" s="10"/>
    </row>
    <row r="7" spans="1:12">
      <c r="A7" s="7" t="s">
        <v>4</v>
      </c>
      <c r="B7" s="8">
        <f>[1]DCO!$AB$4</f>
        <v>37.676111111111112</v>
      </c>
      <c r="E7" s="6">
        <v>2024</v>
      </c>
      <c r="F7" s="6">
        <v>87.89</v>
      </c>
      <c r="K7" s="7"/>
      <c r="L7" s="10"/>
    </row>
    <row r="8" spans="1:12">
      <c r="A8" s="7" t="s">
        <v>3</v>
      </c>
      <c r="B8" s="8">
        <v>129.65</v>
      </c>
      <c r="E8" s="6">
        <v>2025</v>
      </c>
      <c r="F8" s="6">
        <v>86.64</v>
      </c>
    </row>
    <row r="9" spans="1:12">
      <c r="B9" s="8">
        <f>(B5*0.5)+(B6*0.25)+(B7*0.25)</f>
        <v>26.287219742063492</v>
      </c>
      <c r="E9" s="6">
        <v>2026</v>
      </c>
      <c r="F9" s="6">
        <v>85.38</v>
      </c>
    </row>
    <row r="10" spans="1:12">
      <c r="B10" s="9"/>
      <c r="E10" s="6">
        <v>2027</v>
      </c>
      <c r="F10" s="6">
        <v>84.13</v>
      </c>
    </row>
    <row r="11" spans="1:12">
      <c r="A11" s="7" t="s">
        <v>23</v>
      </c>
      <c r="B11" s="9"/>
      <c r="E11" s="6">
        <v>2028</v>
      </c>
      <c r="F11" s="6">
        <v>82.87</v>
      </c>
    </row>
    <row r="12" spans="1:12">
      <c r="A12" s="7" t="s">
        <v>6</v>
      </c>
      <c r="B12" s="8">
        <v>54.13</v>
      </c>
      <c r="E12" s="6">
        <v>2029</v>
      </c>
      <c r="F12" s="6">
        <v>81.62</v>
      </c>
    </row>
    <row r="13" spans="1:12">
      <c r="A13" s="7" t="s">
        <v>24</v>
      </c>
      <c r="B13" s="8">
        <v>22.12</v>
      </c>
      <c r="E13" s="6">
        <v>2030</v>
      </c>
      <c r="F13" s="6">
        <v>80.36</v>
      </c>
    </row>
    <row r="14" spans="1:12">
      <c r="A14" s="7" t="s">
        <v>2</v>
      </c>
      <c r="B14" s="8">
        <v>126.13</v>
      </c>
      <c r="E14" s="6">
        <v>2031</v>
      </c>
      <c r="F14" s="6">
        <v>80.36</v>
      </c>
    </row>
    <row r="15" spans="1:12">
      <c r="A15" s="6" t="s">
        <v>25</v>
      </c>
      <c r="B15" s="8">
        <f>(B12*0.75)+(B13*0.25)</f>
        <v>46.127500000000005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70E0-F598-4C0A-99C0-3CACC401824E}">
  <dimension ref="A1:AB124"/>
  <sheetViews>
    <sheetView topLeftCell="A17" zoomScaleNormal="100" workbookViewId="0">
      <selection activeCell="B16" sqref="B16"/>
    </sheetView>
  </sheetViews>
  <sheetFormatPr defaultColWidth="8.875" defaultRowHeight="15"/>
  <cols>
    <col min="1" max="1" width="8.875" style="11"/>
    <col min="2" max="2" width="31.875" style="11" bestFit="1" customWidth="1"/>
    <col min="3" max="3" width="11.875" style="12" customWidth="1"/>
    <col min="4" max="4" width="12.625" style="11" bestFit="1" customWidth="1"/>
    <col min="5" max="5" width="15" style="11" customWidth="1"/>
    <col min="6" max="6" width="2.375" style="11" customWidth="1"/>
    <col min="7" max="8" width="8.875" style="11"/>
    <col min="9" max="14" width="14.875" style="11" customWidth="1"/>
    <col min="15" max="15" width="8.875" style="11"/>
    <col min="16" max="16" width="25.5" style="11" customWidth="1"/>
    <col min="17" max="17" width="11.875" style="11" customWidth="1"/>
    <col min="18" max="16384" width="8.875" style="11"/>
  </cols>
  <sheetData>
    <row r="1" spans="1:28" ht="15.75" thickBot="1"/>
    <row r="2" spans="1:28" ht="15.75" thickBot="1">
      <c r="T2" s="13" t="s">
        <v>26</v>
      </c>
      <c r="U2" s="14"/>
      <c r="V2" s="15"/>
      <c r="W2" s="15"/>
      <c r="X2" s="15"/>
      <c r="Y2" s="15"/>
      <c r="Z2" s="15"/>
      <c r="AA2" s="15"/>
      <c r="AB2" s="16"/>
    </row>
    <row r="3" spans="1:28">
      <c r="B3" s="17"/>
      <c r="P3" s="17"/>
      <c r="T3" s="18"/>
      <c r="V3" s="19" t="s">
        <v>27</v>
      </c>
      <c r="W3" s="19" t="s">
        <v>28</v>
      </c>
      <c r="X3" s="19" t="s">
        <v>29</v>
      </c>
      <c r="AB3" s="20"/>
    </row>
    <row r="4" spans="1:28">
      <c r="B4" s="17" t="s">
        <v>30</v>
      </c>
      <c r="D4" s="17"/>
      <c r="I4" s="21" t="s">
        <v>31</v>
      </c>
      <c r="J4" s="21"/>
      <c r="P4" s="17"/>
      <c r="T4" s="18"/>
      <c r="V4" s="19"/>
      <c r="W4" s="19"/>
      <c r="X4" s="19"/>
      <c r="AB4" s="20"/>
    </row>
    <row r="5" spans="1:28">
      <c r="B5" s="17"/>
      <c r="J5" s="17"/>
      <c r="O5" s="11" t="s">
        <v>32</v>
      </c>
      <c r="P5" s="22"/>
      <c r="T5" s="18" t="s">
        <v>33</v>
      </c>
      <c r="V5" s="12">
        <v>1</v>
      </c>
      <c r="W5" s="12" t="s">
        <v>34</v>
      </c>
      <c r="X5" s="12" t="s">
        <v>35</v>
      </c>
      <c r="AB5" s="20"/>
    </row>
    <row r="6" spans="1:28">
      <c r="A6" s="23"/>
      <c r="B6" s="24" t="s">
        <v>36</v>
      </c>
      <c r="C6" s="25"/>
      <c r="D6" s="26"/>
      <c r="E6" s="23"/>
      <c r="F6" s="23"/>
      <c r="I6" s="23"/>
      <c r="J6" s="24" t="s">
        <v>36</v>
      </c>
      <c r="K6" s="25"/>
      <c r="L6" s="26"/>
      <c r="M6" s="23"/>
      <c r="O6" s="11" t="s">
        <v>37</v>
      </c>
      <c r="T6" s="18"/>
      <c r="AB6" s="20"/>
    </row>
    <row r="7" spans="1:28" ht="15.75">
      <c r="A7" s="23"/>
      <c r="B7" s="27">
        <v>43609</v>
      </c>
      <c r="C7" s="25"/>
      <c r="D7" s="28">
        <f>VLOOKUP(B7,'[2]LCFS Breakout'!$B$2:$S$29,4,)</f>
        <v>0</v>
      </c>
      <c r="E7" s="23" t="s">
        <v>38</v>
      </c>
      <c r="F7" s="23"/>
      <c r="I7" s="23"/>
      <c r="J7" s="27">
        <v>43609</v>
      </c>
      <c r="K7" s="25"/>
      <c r="L7" s="28">
        <f>VLOOKUP(J7,'[2]LCFS Breakout'!$B$2:$S$29,4,)</f>
        <v>0</v>
      </c>
      <c r="M7" s="23" t="s">
        <v>38</v>
      </c>
      <c r="T7" s="18"/>
      <c r="AB7" s="20"/>
    </row>
    <row r="8" spans="1:28">
      <c r="A8" s="23"/>
      <c r="B8" s="25"/>
      <c r="C8" s="25"/>
      <c r="D8" s="26"/>
      <c r="E8" s="23"/>
      <c r="F8" s="23"/>
      <c r="I8" s="23"/>
      <c r="J8" s="25"/>
      <c r="K8" s="25"/>
      <c r="L8" s="26"/>
      <c r="M8" s="23"/>
      <c r="T8" s="18"/>
      <c r="AB8" s="20"/>
    </row>
    <row r="9" spans="1:28">
      <c r="A9" s="29"/>
      <c r="B9" s="30" t="s">
        <v>39</v>
      </c>
      <c r="C9" s="31"/>
      <c r="D9" s="30"/>
      <c r="E9" s="29"/>
      <c r="F9" s="29"/>
      <c r="I9" s="29"/>
      <c r="J9" s="30" t="s">
        <v>39</v>
      </c>
      <c r="K9" s="31"/>
      <c r="L9" s="30"/>
      <c r="M9" s="29"/>
      <c r="T9" s="18"/>
      <c r="AB9" s="20"/>
    </row>
    <row r="10" spans="1:28">
      <c r="A10" s="29"/>
      <c r="B10" s="32" t="s">
        <v>5</v>
      </c>
      <c r="C10" s="31" t="s">
        <v>40</v>
      </c>
      <c r="D10" s="30">
        <f>VLOOKUP(B7,'[2]LCFS Breakout'!$B$2:$S$24,9,)</f>
        <v>95.197122019999995</v>
      </c>
      <c r="E10" s="29" t="s">
        <v>38</v>
      </c>
      <c r="F10" s="29"/>
      <c r="I10" s="29"/>
      <c r="J10" s="32" t="s">
        <v>5</v>
      </c>
      <c r="K10" s="31" t="s">
        <v>40</v>
      </c>
      <c r="L10" s="30">
        <f>VLOOKUP(J7,'[2]LCFS Breakout'!$B$2:$S$24,9,)</f>
        <v>95.197122019999995</v>
      </c>
      <c r="M10" s="29" t="s">
        <v>38</v>
      </c>
      <c r="T10" s="18"/>
      <c r="AB10" s="20"/>
    </row>
    <row r="11" spans="1:28">
      <c r="A11" s="29"/>
      <c r="B11" s="29"/>
      <c r="C11" s="31" t="s">
        <v>41</v>
      </c>
      <c r="D11" s="30">
        <f>D10/100</f>
        <v>0.95197122019999991</v>
      </c>
      <c r="E11" s="29" t="s">
        <v>11</v>
      </c>
      <c r="F11" s="29"/>
      <c r="I11" s="29"/>
      <c r="J11" s="29"/>
      <c r="K11" s="31" t="s">
        <v>41</v>
      </c>
      <c r="L11" s="30">
        <f>L10/100</f>
        <v>0.95197122019999991</v>
      </c>
      <c r="M11" s="29" t="s">
        <v>11</v>
      </c>
      <c r="P11" s="11" t="s">
        <v>42</v>
      </c>
      <c r="Q11" s="12" t="s">
        <v>41</v>
      </c>
      <c r="R11" s="33">
        <v>0.33500000000000002</v>
      </c>
      <c r="T11" s="18" t="s">
        <v>43</v>
      </c>
      <c r="V11" s="12">
        <v>1</v>
      </c>
      <c r="W11" s="12" t="s">
        <v>34</v>
      </c>
      <c r="X11" s="12" t="s">
        <v>44</v>
      </c>
      <c r="AB11" s="20"/>
    </row>
    <row r="12" spans="1:28">
      <c r="A12" s="29"/>
      <c r="B12" s="29"/>
      <c r="C12" s="31" t="s">
        <v>45</v>
      </c>
      <c r="D12" s="34">
        <f>D11*2204.62</f>
        <v>2098.7347914773236</v>
      </c>
      <c r="E12" s="29" t="s">
        <v>11</v>
      </c>
      <c r="F12" s="29"/>
      <c r="I12" s="29"/>
      <c r="J12" s="29"/>
      <c r="K12" s="31" t="s">
        <v>45</v>
      </c>
      <c r="L12" s="34">
        <f>L11*2204.62</f>
        <v>2098.7347914773236</v>
      </c>
      <c r="M12" s="29" t="s">
        <v>11</v>
      </c>
      <c r="Q12" s="12" t="s">
        <v>45</v>
      </c>
      <c r="R12" s="35">
        <f>R11*2204.62</f>
        <v>738.54769999999996</v>
      </c>
      <c r="T12" s="18"/>
      <c r="AB12" s="20"/>
    </row>
    <row r="13" spans="1:28">
      <c r="A13" s="29"/>
      <c r="B13" s="29"/>
      <c r="C13" s="31"/>
      <c r="D13" s="34"/>
      <c r="E13" s="29"/>
      <c r="F13" s="29"/>
      <c r="I13" s="29"/>
      <c r="J13" s="29"/>
      <c r="K13" s="31"/>
      <c r="L13" s="34"/>
      <c r="M13" s="29"/>
      <c r="Q13" s="12"/>
      <c r="R13" s="35"/>
      <c r="T13" s="18" t="s">
        <v>46</v>
      </c>
      <c r="V13" s="12">
        <v>1.5</v>
      </c>
      <c r="AB13" s="20"/>
    </row>
    <row r="14" spans="1:28" ht="15.75">
      <c r="A14" s="29"/>
      <c r="B14" s="32" t="s">
        <v>6</v>
      </c>
      <c r="C14" s="31" t="s">
        <v>40</v>
      </c>
      <c r="D14" s="36">
        <f>VLOOKUP(B7,'[2]LCFS Breakout'!$B$2:$S$29,11,)</f>
        <v>96.076815705000001</v>
      </c>
      <c r="E14" s="29" t="s">
        <v>38</v>
      </c>
      <c r="F14" s="29"/>
      <c r="I14" s="29"/>
      <c r="J14" s="32" t="s">
        <v>6</v>
      </c>
      <c r="K14" s="31" t="s">
        <v>40</v>
      </c>
      <c r="L14" s="37">
        <f>VLOOKUP(J7,'[2]LCFS Breakout'!$B$2:$S$24,11,)</f>
        <v>96.076815705000001</v>
      </c>
      <c r="M14" s="29" t="s">
        <v>38</v>
      </c>
      <c r="Q14" s="12"/>
      <c r="R14" s="35"/>
      <c r="T14" s="18"/>
      <c r="V14" s="12"/>
      <c r="AB14" s="20"/>
    </row>
    <row r="15" spans="1:28">
      <c r="A15" s="29"/>
      <c r="B15" s="29"/>
      <c r="C15" s="31" t="s">
        <v>41</v>
      </c>
      <c r="D15" s="38">
        <f>D14/100</f>
        <v>0.96076815704999996</v>
      </c>
      <c r="E15" s="29" t="s">
        <v>11</v>
      </c>
      <c r="F15" s="29"/>
      <c r="I15" s="29"/>
      <c r="J15" s="29"/>
      <c r="K15" s="31" t="s">
        <v>41</v>
      </c>
      <c r="L15" s="38">
        <f>L14/100</f>
        <v>0.96076815704999996</v>
      </c>
      <c r="M15" s="29" t="s">
        <v>11</v>
      </c>
      <c r="P15" s="11" t="s">
        <v>6</v>
      </c>
      <c r="Q15" s="12" t="s">
        <v>41</v>
      </c>
      <c r="R15" s="35"/>
      <c r="T15" s="18"/>
      <c r="AB15" s="20"/>
    </row>
    <row r="16" spans="1:28">
      <c r="A16" s="29"/>
      <c r="B16" s="29"/>
      <c r="C16" s="31" t="s">
        <v>45</v>
      </c>
      <c r="D16" s="34">
        <f>SUM(D15*2204.6)</f>
        <v>2118.10947903243</v>
      </c>
      <c r="E16" s="29" t="s">
        <v>11</v>
      </c>
      <c r="F16" s="29"/>
      <c r="I16" s="29"/>
      <c r="J16" s="29"/>
      <c r="K16" s="31" t="s">
        <v>45</v>
      </c>
      <c r="L16" s="34">
        <f>SUM(L15*2204.6)</f>
        <v>2118.10947903243</v>
      </c>
      <c r="M16" s="29" t="s">
        <v>11</v>
      </c>
      <c r="Q16" s="12" t="s">
        <v>45</v>
      </c>
      <c r="R16" s="35"/>
      <c r="T16" s="18"/>
      <c r="AB16" s="20"/>
    </row>
    <row r="17" spans="1:28">
      <c r="A17" s="29" t="s">
        <v>47</v>
      </c>
      <c r="B17" s="29" t="s">
        <v>48</v>
      </c>
      <c r="C17" s="39"/>
      <c r="D17" s="40">
        <v>0.35</v>
      </c>
      <c r="E17" s="29"/>
      <c r="F17" s="29"/>
      <c r="G17" s="11" t="s">
        <v>49</v>
      </c>
      <c r="H17" s="41" t="s">
        <v>50</v>
      </c>
      <c r="I17" s="29"/>
      <c r="J17" s="29" t="s">
        <v>48</v>
      </c>
      <c r="K17" s="39"/>
      <c r="L17" s="40">
        <v>0.35</v>
      </c>
      <c r="M17" s="29"/>
      <c r="N17" s="11" t="s">
        <v>49</v>
      </c>
      <c r="P17" s="11" t="s">
        <v>51</v>
      </c>
      <c r="Q17" s="12"/>
      <c r="R17" s="35"/>
      <c r="T17" s="18"/>
      <c r="AB17" s="20"/>
    </row>
    <row r="18" spans="1:28">
      <c r="A18" s="29"/>
      <c r="B18" s="29"/>
      <c r="C18" s="39"/>
      <c r="D18" s="42"/>
      <c r="E18" s="29"/>
      <c r="F18" s="29"/>
      <c r="I18" s="29"/>
      <c r="J18" s="29"/>
      <c r="K18" s="39"/>
      <c r="L18" s="42"/>
      <c r="M18" s="29"/>
      <c r="Q18" s="12"/>
      <c r="R18" s="35"/>
      <c r="T18" s="18"/>
      <c r="AB18" s="20"/>
    </row>
    <row r="19" spans="1:28">
      <c r="A19" s="29"/>
      <c r="B19" s="29" t="s">
        <v>52</v>
      </c>
      <c r="C19" s="39"/>
      <c r="D19" s="43"/>
      <c r="E19" s="29"/>
      <c r="F19" s="29"/>
      <c r="I19" s="29"/>
      <c r="J19" s="29" t="s">
        <v>52</v>
      </c>
      <c r="K19" s="39"/>
      <c r="L19" s="43"/>
      <c r="M19" s="29"/>
      <c r="Q19" s="12"/>
      <c r="R19" s="17"/>
      <c r="T19" s="18"/>
      <c r="AB19" s="20"/>
    </row>
    <row r="20" spans="1:28">
      <c r="A20" s="29" t="s">
        <v>53</v>
      </c>
      <c r="B20" s="44" t="str">
        <f>B14</f>
        <v>Soybean Oil</v>
      </c>
      <c r="C20" s="39"/>
      <c r="D20" s="30">
        <f>D16*E20</f>
        <v>529.52736975810751</v>
      </c>
      <c r="E20" s="45">
        <v>0.25</v>
      </c>
      <c r="F20" s="46"/>
      <c r="G20" s="11" t="s">
        <v>49</v>
      </c>
      <c r="H20" s="11" t="s">
        <v>11</v>
      </c>
      <c r="I20" s="29"/>
      <c r="J20" s="44" t="str">
        <f>J14 &amp; " Cost at 50%"</f>
        <v>Soybean Oil Cost at 50%</v>
      </c>
      <c r="K20" s="39"/>
      <c r="L20" s="30">
        <f>L16*0.5</f>
        <v>1059.054739516215</v>
      </c>
      <c r="M20" s="29" t="s">
        <v>11</v>
      </c>
      <c r="N20" s="11" t="s">
        <v>49</v>
      </c>
      <c r="Q20" s="12"/>
      <c r="R20" s="17"/>
      <c r="T20" s="18"/>
      <c r="AB20" s="20"/>
    </row>
    <row r="21" spans="1:28">
      <c r="A21" s="29"/>
      <c r="B21" s="44" t="str">
        <f>B10</f>
        <v>Tallow</v>
      </c>
      <c r="C21" s="39"/>
      <c r="D21" s="30">
        <f>D12*E21</f>
        <v>1574.0510936079927</v>
      </c>
      <c r="E21" s="47">
        <v>0.75</v>
      </c>
      <c r="F21" s="46"/>
      <c r="G21" s="11" t="s">
        <v>49</v>
      </c>
      <c r="H21" s="11" t="s">
        <v>11</v>
      </c>
      <c r="I21" s="29"/>
      <c r="J21" s="44" t="str">
        <f>J10 &amp; " Cost at 50%"</f>
        <v>Tallow Cost at 50%</v>
      </c>
      <c r="K21" s="39"/>
      <c r="L21" s="30">
        <f>L12*0.5</f>
        <v>1049.3673957386618</v>
      </c>
      <c r="M21" s="29" t="s">
        <v>11</v>
      </c>
      <c r="N21" s="11" t="s">
        <v>49</v>
      </c>
      <c r="Q21" s="12"/>
      <c r="R21" s="17"/>
      <c r="T21" s="18"/>
      <c r="AB21" s="20"/>
    </row>
    <row r="22" spans="1:28">
      <c r="A22" s="29"/>
      <c r="B22" s="44"/>
      <c r="C22" s="31" t="s">
        <v>54</v>
      </c>
      <c r="D22" s="30">
        <f>SUM(D20:D21)</f>
        <v>2103.5784633661001</v>
      </c>
      <c r="E22" s="29" t="s">
        <v>11</v>
      </c>
      <c r="F22" s="29"/>
      <c r="I22" s="29"/>
      <c r="J22" s="44"/>
      <c r="K22" s="31" t="s">
        <v>54</v>
      </c>
      <c r="L22" s="30">
        <f>SUM(L20:L21)</f>
        <v>2108.4221352548766</v>
      </c>
      <c r="M22" s="29" t="s">
        <v>11</v>
      </c>
      <c r="Q22" s="12"/>
      <c r="R22" s="17"/>
      <c r="T22" s="18"/>
      <c r="AB22" s="20"/>
    </row>
    <row r="23" spans="1:28">
      <c r="A23" s="29"/>
      <c r="B23" s="44"/>
      <c r="C23" s="39"/>
      <c r="D23" s="30"/>
      <c r="E23" s="29"/>
      <c r="F23" s="29"/>
      <c r="I23" s="29"/>
      <c r="J23" s="44"/>
      <c r="K23" s="39"/>
      <c r="L23" s="30"/>
      <c r="M23" s="29"/>
      <c r="Q23" s="12"/>
      <c r="R23" s="17"/>
      <c r="T23" s="18"/>
      <c r="AB23" s="20"/>
    </row>
    <row r="24" spans="1:28">
      <c r="A24" s="29"/>
      <c r="B24" s="29" t="s">
        <v>55</v>
      </c>
      <c r="C24" s="31"/>
      <c r="D24" s="48">
        <v>0.94</v>
      </c>
      <c r="E24" s="29" t="s">
        <v>56</v>
      </c>
      <c r="F24" s="29"/>
      <c r="I24" s="29"/>
      <c r="J24" s="29" t="s">
        <v>57</v>
      </c>
      <c r="K24" s="31"/>
      <c r="L24" s="49">
        <v>0.96</v>
      </c>
      <c r="M24" s="29" t="s">
        <v>56</v>
      </c>
      <c r="P24" s="11" t="s">
        <v>58</v>
      </c>
      <c r="Q24" s="12"/>
      <c r="R24" s="50">
        <v>0.96</v>
      </c>
      <c r="T24" s="18"/>
      <c r="AB24" s="20"/>
    </row>
    <row r="25" spans="1:28">
      <c r="A25" s="29"/>
      <c r="B25" s="29"/>
      <c r="C25" s="31" t="s">
        <v>14</v>
      </c>
      <c r="D25" s="37">
        <f>D22/D24</f>
        <v>2237.8494291128727</v>
      </c>
      <c r="E25" s="29" t="s">
        <v>11</v>
      </c>
      <c r="F25" s="29"/>
      <c r="I25" s="29"/>
      <c r="J25" s="29"/>
      <c r="K25" s="31" t="s">
        <v>14</v>
      </c>
      <c r="L25" s="37">
        <f>L22/L24</f>
        <v>2196.2730575571632</v>
      </c>
      <c r="M25" s="29" t="s">
        <v>11</v>
      </c>
      <c r="Q25" s="12"/>
      <c r="R25" s="50"/>
      <c r="T25" s="18"/>
      <c r="AB25" s="20"/>
    </row>
    <row r="26" spans="1:28">
      <c r="A26" s="29"/>
      <c r="B26" s="29"/>
      <c r="C26" s="31"/>
      <c r="D26" s="37"/>
      <c r="E26" s="29"/>
      <c r="F26" s="29"/>
      <c r="I26" s="29"/>
      <c r="J26" s="29"/>
      <c r="K26" s="31"/>
      <c r="L26" s="37"/>
      <c r="M26" s="29"/>
      <c r="Q26" s="12"/>
      <c r="R26" s="50"/>
      <c r="T26" s="18"/>
      <c r="AB26" s="20"/>
    </row>
    <row r="27" spans="1:28">
      <c r="A27" s="29"/>
      <c r="B27" s="29" t="s">
        <v>59</v>
      </c>
      <c r="C27" s="31"/>
      <c r="D27" s="37">
        <f>D20/D24</f>
        <v>563.32698910436977</v>
      </c>
      <c r="E27" s="29"/>
      <c r="F27" s="29"/>
      <c r="I27" s="29"/>
      <c r="J27" s="29" t="s">
        <v>59</v>
      </c>
      <c r="K27" s="31"/>
      <c r="L27" s="37">
        <f>L20/L24</f>
        <v>1103.1820203293908</v>
      </c>
      <c r="M27" s="29"/>
      <c r="Q27" s="12"/>
      <c r="R27" s="50"/>
      <c r="T27" s="18"/>
      <c r="AB27" s="20"/>
    </row>
    <row r="28" spans="1:28">
      <c r="A28" s="29"/>
      <c r="B28" s="29" t="s">
        <v>60</v>
      </c>
      <c r="C28" s="31"/>
      <c r="D28" s="37">
        <f>D21/D24</f>
        <v>1674.5224400085031</v>
      </c>
      <c r="E28" s="29"/>
      <c r="F28" s="29"/>
      <c r="I28" s="29"/>
      <c r="J28" s="29" t="s">
        <v>60</v>
      </c>
      <c r="K28" s="31"/>
      <c r="L28" s="37">
        <f>L21/L24</f>
        <v>1093.0910372277729</v>
      </c>
      <c r="M28" s="29"/>
      <c r="Q28" s="12"/>
      <c r="R28" s="50"/>
      <c r="T28" s="18"/>
      <c r="AB28" s="20"/>
    </row>
    <row r="29" spans="1:28">
      <c r="A29" s="29"/>
      <c r="B29" s="29"/>
      <c r="C29" s="31"/>
      <c r="D29" s="37"/>
      <c r="E29" s="29"/>
      <c r="F29" s="29"/>
      <c r="I29" s="29"/>
      <c r="J29" s="29"/>
      <c r="K29" s="31"/>
      <c r="L29" s="37"/>
      <c r="M29" s="29"/>
      <c r="Q29" s="12"/>
      <c r="R29" s="50"/>
      <c r="T29" s="18"/>
      <c r="AB29" s="20"/>
    </row>
    <row r="30" spans="1:28">
      <c r="A30" s="29"/>
      <c r="B30" s="29" t="s">
        <v>61</v>
      </c>
      <c r="C30" s="31"/>
      <c r="D30" s="37">
        <f>D27/340</f>
        <v>1.6568440856010875</v>
      </c>
      <c r="E30" s="29"/>
      <c r="F30" s="29"/>
      <c r="G30" s="11" t="s">
        <v>49</v>
      </c>
      <c r="I30" s="29"/>
      <c r="J30" s="29" t="s">
        <v>61</v>
      </c>
      <c r="K30" s="31"/>
      <c r="L30" s="37">
        <f>L27/300</f>
        <v>3.6772734010979691</v>
      </c>
      <c r="M30" s="29"/>
      <c r="N30" s="11" t="s">
        <v>49</v>
      </c>
      <c r="Q30" s="12"/>
      <c r="R30" s="50"/>
      <c r="T30" s="18"/>
      <c r="AB30" s="20"/>
    </row>
    <row r="31" spans="1:28">
      <c r="A31" s="29"/>
      <c r="B31" s="29" t="s">
        <v>62</v>
      </c>
      <c r="C31" s="31"/>
      <c r="D31" s="37">
        <f>D28/340</f>
        <v>4.9250660000250086</v>
      </c>
      <c r="E31" s="29"/>
      <c r="F31" s="29"/>
      <c r="G31" s="11" t="s">
        <v>49</v>
      </c>
      <c r="I31" s="29"/>
      <c r="J31" s="29" t="s">
        <v>62</v>
      </c>
      <c r="K31" s="31"/>
      <c r="L31" s="37">
        <f>L28/300</f>
        <v>3.6436367907592428</v>
      </c>
      <c r="M31" s="29"/>
      <c r="N31" s="11" t="s">
        <v>49</v>
      </c>
      <c r="Q31" s="12"/>
      <c r="R31" s="50"/>
      <c r="T31" s="18"/>
      <c r="AB31" s="20"/>
    </row>
    <row r="32" spans="1:28" ht="15.75" thickBot="1">
      <c r="A32" s="29"/>
      <c r="B32" s="29"/>
      <c r="C32" s="31"/>
      <c r="D32" s="30"/>
      <c r="E32" s="29"/>
      <c r="F32" s="29"/>
      <c r="I32" s="29"/>
      <c r="J32" s="29"/>
      <c r="K32" s="31"/>
      <c r="L32" s="30"/>
      <c r="M32" s="29"/>
      <c r="Q32" s="12"/>
      <c r="R32" s="17"/>
      <c r="T32" s="51"/>
      <c r="U32" s="52"/>
      <c r="V32" s="52"/>
      <c r="W32" s="52"/>
      <c r="X32" s="52"/>
      <c r="Y32" s="52"/>
      <c r="Z32" s="52"/>
      <c r="AA32" s="52"/>
      <c r="AB32" s="53"/>
    </row>
    <row r="33" spans="1:18">
      <c r="A33" s="29"/>
      <c r="B33" s="29" t="s">
        <v>63</v>
      </c>
      <c r="C33" s="31" t="s">
        <v>45</v>
      </c>
      <c r="D33" s="37">
        <f>D77+(136/340)</f>
        <v>0.72352941176470598</v>
      </c>
      <c r="E33" s="29" t="s">
        <v>56</v>
      </c>
      <c r="F33" s="29"/>
      <c r="I33" s="29"/>
      <c r="J33" s="29" t="s">
        <v>63</v>
      </c>
      <c r="K33" s="31" t="s">
        <v>45</v>
      </c>
      <c r="L33" s="37">
        <f>R33+L77</f>
        <v>0.64999999999999991</v>
      </c>
      <c r="M33" s="29" t="s">
        <v>56</v>
      </c>
      <c r="P33" s="11" t="s">
        <v>64</v>
      </c>
      <c r="Q33" s="12" t="s">
        <v>45</v>
      </c>
      <c r="R33" s="17">
        <f>105/300</f>
        <v>0.35</v>
      </c>
    </row>
    <row r="34" spans="1:18">
      <c r="A34" s="29"/>
      <c r="B34" s="29"/>
      <c r="C34" s="31" t="s">
        <v>65</v>
      </c>
      <c r="D34" s="30">
        <f>D33/340</f>
        <v>2.1280276816608998E-3</v>
      </c>
      <c r="E34" s="29"/>
      <c r="F34" s="29"/>
      <c r="G34" s="11" t="s">
        <v>49</v>
      </c>
      <c r="I34" s="29"/>
      <c r="J34" s="29"/>
      <c r="K34" s="31" t="s">
        <v>65</v>
      </c>
      <c r="L34" s="30">
        <f>L33/300</f>
        <v>2.1666666666666666E-3</v>
      </c>
      <c r="M34" s="29"/>
      <c r="N34" s="11" t="s">
        <v>49</v>
      </c>
      <c r="Q34" s="12"/>
      <c r="R34" s="17"/>
    </row>
    <row r="35" spans="1:18">
      <c r="A35" s="29"/>
      <c r="B35" s="54"/>
      <c r="C35" s="55"/>
      <c r="D35" s="56"/>
      <c r="E35" s="29"/>
      <c r="F35" s="29"/>
      <c r="I35" s="29"/>
      <c r="J35" s="54"/>
      <c r="K35" s="55"/>
      <c r="L35" s="56"/>
      <c r="M35" s="29"/>
      <c r="P35" s="57"/>
      <c r="Q35" s="58"/>
      <c r="R35" s="59"/>
    </row>
    <row r="36" spans="1:18">
      <c r="A36" s="29"/>
      <c r="B36" s="29" t="s">
        <v>66</v>
      </c>
      <c r="C36" s="31" t="s">
        <v>45</v>
      </c>
      <c r="D36" s="60">
        <f>D33+D25</f>
        <v>2238.5729585246372</v>
      </c>
      <c r="E36" s="29" t="s">
        <v>11</v>
      </c>
      <c r="F36" s="29"/>
      <c r="I36" s="29"/>
      <c r="J36" s="29" t="s">
        <v>67</v>
      </c>
      <c r="K36" s="31" t="s">
        <v>45</v>
      </c>
      <c r="L36" s="60">
        <f>L33+L25</f>
        <v>2196.9230575571632</v>
      </c>
      <c r="M36" s="29" t="s">
        <v>11</v>
      </c>
      <c r="P36" s="11" t="s">
        <v>67</v>
      </c>
      <c r="Q36" s="12" t="s">
        <v>45</v>
      </c>
      <c r="R36" s="61">
        <v>900</v>
      </c>
    </row>
    <row r="37" spans="1:18">
      <c r="A37" s="29"/>
      <c r="B37" s="29"/>
      <c r="C37" s="31" t="s">
        <v>65</v>
      </c>
      <c r="D37" s="60">
        <f>SUM(D36/340)</f>
        <v>6.5840381133077566</v>
      </c>
      <c r="E37" s="29" t="s">
        <v>11</v>
      </c>
      <c r="F37" s="29"/>
      <c r="I37" s="29"/>
      <c r="J37" s="29"/>
      <c r="K37" s="31" t="s">
        <v>65</v>
      </c>
      <c r="L37" s="62">
        <f>SUM(L36/300)</f>
        <v>7.3230768585238772</v>
      </c>
      <c r="M37" s="29" t="s">
        <v>11</v>
      </c>
      <c r="Q37" s="12" t="s">
        <v>65</v>
      </c>
      <c r="R37" s="61">
        <f>SUM(R36/300)</f>
        <v>3</v>
      </c>
    </row>
    <row r="38" spans="1:18">
      <c r="D38" s="61"/>
      <c r="K38" s="12"/>
      <c r="L38" s="61"/>
      <c r="Q38" s="12"/>
      <c r="R38" s="61"/>
    </row>
    <row r="39" spans="1:18">
      <c r="K39" s="12"/>
      <c r="P39" s="29" t="s">
        <v>68</v>
      </c>
      <c r="Q39" s="31"/>
      <c r="R39" s="60">
        <v>1</v>
      </c>
    </row>
    <row r="40" spans="1:18">
      <c r="B40" s="63" t="s">
        <v>68</v>
      </c>
      <c r="C40" s="63" t="s">
        <v>65</v>
      </c>
      <c r="D40" s="64">
        <v>1</v>
      </c>
      <c r="E40" s="11" t="s">
        <v>56</v>
      </c>
      <c r="G40" s="11" t="s">
        <v>49</v>
      </c>
      <c r="J40" s="63" t="s">
        <v>68</v>
      </c>
      <c r="K40" s="63" t="s">
        <v>65</v>
      </c>
      <c r="L40" s="64">
        <v>1</v>
      </c>
      <c r="M40" s="11" t="s">
        <v>56</v>
      </c>
      <c r="N40" s="11" t="s">
        <v>49</v>
      </c>
      <c r="Q40" s="12"/>
      <c r="R40" s="61"/>
    </row>
    <row r="41" spans="1:18">
      <c r="B41" s="63" t="s">
        <v>69</v>
      </c>
      <c r="C41" s="63"/>
      <c r="D41" s="65">
        <v>129.65</v>
      </c>
      <c r="E41" s="11" t="s">
        <v>56</v>
      </c>
      <c r="J41" s="63" t="s">
        <v>69</v>
      </c>
      <c r="K41" s="63"/>
      <c r="L41" s="65">
        <v>126.13</v>
      </c>
      <c r="M41" s="11" t="s">
        <v>56</v>
      </c>
      <c r="Q41" s="12"/>
      <c r="R41" s="61"/>
    </row>
    <row r="42" spans="1:18">
      <c r="B42" s="63" t="s">
        <v>70</v>
      </c>
      <c r="C42" s="66" t="s">
        <v>65</v>
      </c>
      <c r="D42" s="67">
        <f>D7/100</f>
        <v>0</v>
      </c>
      <c r="E42" s="11" t="s">
        <v>38</v>
      </c>
      <c r="J42" s="63" t="s">
        <v>70</v>
      </c>
      <c r="K42" s="66" t="s">
        <v>65</v>
      </c>
      <c r="L42" s="67">
        <f>L7/100</f>
        <v>0</v>
      </c>
      <c r="M42" s="11" t="s">
        <v>38</v>
      </c>
      <c r="P42" s="63" t="s">
        <v>70</v>
      </c>
      <c r="Q42" s="66" t="s">
        <v>65</v>
      </c>
      <c r="R42" s="67"/>
    </row>
    <row r="43" spans="1:18">
      <c r="B43" s="63" t="s">
        <v>71</v>
      </c>
      <c r="C43" s="66" t="s">
        <v>72</v>
      </c>
      <c r="D43" s="64">
        <v>94.17</v>
      </c>
      <c r="E43" s="11" t="s">
        <v>56</v>
      </c>
      <c r="J43" s="63" t="s">
        <v>71</v>
      </c>
      <c r="K43" s="66" t="s">
        <v>72</v>
      </c>
      <c r="L43" s="64">
        <v>94.17</v>
      </c>
      <c r="M43" s="11" t="s">
        <v>56</v>
      </c>
      <c r="P43" s="63" t="s">
        <v>71</v>
      </c>
      <c r="Q43" s="66" t="s">
        <v>72</v>
      </c>
      <c r="R43" s="64">
        <v>94.36</v>
      </c>
    </row>
    <row r="44" spans="1:18">
      <c r="B44" s="63"/>
      <c r="C44" s="66"/>
      <c r="D44" s="64"/>
      <c r="J44" s="63"/>
      <c r="K44" s="66"/>
      <c r="L44" s="64"/>
      <c r="P44" s="63" t="s">
        <v>73</v>
      </c>
      <c r="Q44" s="66" t="s">
        <v>74</v>
      </c>
      <c r="R44" s="64">
        <v>126.13</v>
      </c>
    </row>
    <row r="45" spans="1:18">
      <c r="B45" s="63" t="s">
        <v>0</v>
      </c>
      <c r="C45" s="66"/>
      <c r="D45" s="64">
        <v>44.9</v>
      </c>
      <c r="E45" s="11" t="s">
        <v>75</v>
      </c>
      <c r="J45" s="63" t="s">
        <v>0</v>
      </c>
      <c r="K45" s="66"/>
      <c r="L45" s="64">
        <v>44.9</v>
      </c>
      <c r="M45" s="11" t="s">
        <v>75</v>
      </c>
      <c r="P45" s="63" t="s">
        <v>76</v>
      </c>
      <c r="Q45" s="66"/>
      <c r="R45" s="64">
        <v>30.79</v>
      </c>
    </row>
    <row r="46" spans="1:18">
      <c r="B46" s="63" t="s">
        <v>77</v>
      </c>
      <c r="C46" s="66"/>
      <c r="D46" s="64">
        <f>D43-D45</f>
        <v>49.27</v>
      </c>
      <c r="E46" s="11" t="s">
        <v>11</v>
      </c>
      <c r="J46" s="63" t="s">
        <v>77</v>
      </c>
      <c r="K46" s="66"/>
      <c r="L46" s="64">
        <f>L43-L45</f>
        <v>49.27</v>
      </c>
      <c r="M46" s="11" t="s">
        <v>11</v>
      </c>
      <c r="P46" s="63"/>
      <c r="Q46" s="66"/>
      <c r="R46" s="64"/>
    </row>
    <row r="47" spans="1:18">
      <c r="B47" s="68"/>
      <c r="C47" s="69"/>
      <c r="D47" s="70"/>
      <c r="J47" s="68"/>
      <c r="K47" s="69"/>
      <c r="L47" s="70"/>
      <c r="P47" s="63" t="s">
        <v>70</v>
      </c>
      <c r="Q47" s="66" t="s">
        <v>45</v>
      </c>
      <c r="R47" s="64">
        <v>196</v>
      </c>
    </row>
    <row r="48" spans="1:18">
      <c r="B48" s="63" t="s">
        <v>18</v>
      </c>
      <c r="C48" s="66" t="s">
        <v>78</v>
      </c>
      <c r="D48" s="71">
        <f>((D46/1000000)*D7)*D41</f>
        <v>0</v>
      </c>
      <c r="E48" s="11" t="s">
        <v>11</v>
      </c>
      <c r="G48" s="11" t="s">
        <v>49</v>
      </c>
      <c r="J48" s="63" t="s">
        <v>18</v>
      </c>
      <c r="K48" s="66" t="s">
        <v>78</v>
      </c>
      <c r="L48" s="71">
        <f>((L46/1000000)*L7)*L41</f>
        <v>0</v>
      </c>
      <c r="M48" s="11" t="s">
        <v>11</v>
      </c>
      <c r="N48" s="11" t="s">
        <v>49</v>
      </c>
      <c r="P48" s="63" t="s">
        <v>18</v>
      </c>
      <c r="Q48" s="66" t="s">
        <v>78</v>
      </c>
      <c r="R48" s="72">
        <f>(R43-R45)*R44/1000000*R47</f>
        <v>1.5715444835999999</v>
      </c>
    </row>
    <row r="49" spans="2:26">
      <c r="B49" s="63"/>
      <c r="C49" s="63"/>
      <c r="D49" s="63"/>
      <c r="J49" s="63"/>
      <c r="K49" s="63"/>
      <c r="L49" s="63"/>
      <c r="Q49" s="12"/>
      <c r="R49" s="61"/>
    </row>
    <row r="50" spans="2:26">
      <c r="B50" s="63"/>
      <c r="C50" s="63"/>
      <c r="D50" s="63"/>
      <c r="J50" s="63"/>
      <c r="K50" s="63"/>
      <c r="L50" s="63"/>
      <c r="P50" s="11" t="s">
        <v>79</v>
      </c>
      <c r="Q50" s="12"/>
      <c r="R50" s="61"/>
    </row>
    <row r="51" spans="2:26">
      <c r="B51" s="63" t="s">
        <v>80</v>
      </c>
      <c r="C51" s="63"/>
      <c r="D51" s="63">
        <v>0.3</v>
      </c>
      <c r="G51" s="11" t="s">
        <v>49</v>
      </c>
      <c r="J51" s="63" t="s">
        <v>80</v>
      </c>
      <c r="K51" s="63"/>
      <c r="L51" s="63">
        <v>0.3</v>
      </c>
      <c r="N51" s="11" t="s">
        <v>49</v>
      </c>
      <c r="Q51" s="12"/>
      <c r="R51" s="61"/>
    </row>
    <row r="52" spans="2:26">
      <c r="B52" s="63" t="s">
        <v>81</v>
      </c>
      <c r="C52" s="63" t="s">
        <v>82</v>
      </c>
      <c r="D52" s="63">
        <v>0.33</v>
      </c>
      <c r="G52" s="11" t="s">
        <v>49</v>
      </c>
      <c r="J52" s="63" t="s">
        <v>81</v>
      </c>
      <c r="K52" s="63" t="s">
        <v>82</v>
      </c>
      <c r="L52" s="63">
        <v>0.33</v>
      </c>
      <c r="N52" s="11" t="s">
        <v>49</v>
      </c>
      <c r="P52" s="11" t="s">
        <v>81</v>
      </c>
      <c r="Q52" s="12" t="s">
        <v>82</v>
      </c>
      <c r="R52" s="61"/>
    </row>
    <row r="53" spans="2:26">
      <c r="B53" s="63"/>
      <c r="C53" s="63" t="s">
        <v>78</v>
      </c>
      <c r="D53" s="63">
        <f>SUM(D52*1.55)</f>
        <v>0.51150000000000007</v>
      </c>
      <c r="J53" s="63"/>
      <c r="K53" s="63" t="s">
        <v>78</v>
      </c>
      <c r="L53" s="63">
        <f>SUM(L52*1.55)</f>
        <v>0.51150000000000007</v>
      </c>
      <c r="Q53" s="12" t="s">
        <v>78</v>
      </c>
      <c r="R53" s="61"/>
    </row>
    <row r="54" spans="2:26">
      <c r="B54" s="63"/>
      <c r="C54" s="63"/>
      <c r="D54" s="63"/>
      <c r="J54" s="63"/>
      <c r="K54" s="63"/>
      <c r="L54" s="63"/>
      <c r="P54" s="57"/>
      <c r="R54" s="73"/>
    </row>
    <row r="55" spans="2:26">
      <c r="B55" s="63" t="s">
        <v>83</v>
      </c>
      <c r="C55" s="63" t="s">
        <v>78</v>
      </c>
      <c r="D55" s="63">
        <f>D37+D40+D42+D51+D53</f>
        <v>8.3955381133077562</v>
      </c>
      <c r="J55" s="63" t="s">
        <v>83</v>
      </c>
      <c r="K55" s="63" t="s">
        <v>78</v>
      </c>
      <c r="L55" s="63">
        <f>L37+L40+L42+L51+L53</f>
        <v>9.1345768585238769</v>
      </c>
      <c r="P55" s="11" t="s">
        <v>84</v>
      </c>
      <c r="Q55" s="12"/>
      <c r="R55" s="61"/>
    </row>
    <row r="57" spans="2:26" ht="15.75" thickBot="1">
      <c r="B57" s="52"/>
      <c r="C57" s="74"/>
      <c r="D57" s="75"/>
      <c r="E57" s="76" t="s">
        <v>85</v>
      </c>
      <c r="F57" s="77"/>
      <c r="G57" s="77" t="s">
        <v>86</v>
      </c>
      <c r="H57" s="77"/>
      <c r="I57" s="77" t="s">
        <v>87</v>
      </c>
      <c r="J57" s="78"/>
      <c r="K57" s="74"/>
      <c r="L57" s="75"/>
      <c r="M57" s="77" t="s">
        <v>85</v>
      </c>
      <c r="N57" s="77" t="s">
        <v>86</v>
      </c>
      <c r="O57" s="77" t="s">
        <v>87</v>
      </c>
      <c r="V57" s="78"/>
      <c r="W57" s="52"/>
      <c r="X57" s="52"/>
      <c r="Y57" s="52"/>
      <c r="Z57" s="52"/>
    </row>
    <row r="58" spans="2:26">
      <c r="B58" s="79" t="s">
        <v>88</v>
      </c>
      <c r="C58" s="80"/>
      <c r="D58" s="81">
        <v>0</v>
      </c>
      <c r="E58" s="82"/>
      <c r="F58" s="83"/>
      <c r="G58" s="84">
        <v>1</v>
      </c>
      <c r="H58" s="84"/>
      <c r="I58" s="83"/>
      <c r="J58" s="85" t="s">
        <v>89</v>
      </c>
      <c r="K58" s="80"/>
      <c r="L58" s="81">
        <v>-1.2</v>
      </c>
      <c r="M58" s="83"/>
      <c r="N58" s="84">
        <v>1</v>
      </c>
      <c r="O58" s="83"/>
      <c r="V58" s="83"/>
    </row>
    <row r="59" spans="2:26">
      <c r="D59" s="17"/>
      <c r="E59" s="82"/>
      <c r="F59" s="83"/>
      <c r="G59" s="83"/>
      <c r="H59" s="83"/>
      <c r="I59" s="83"/>
      <c r="J59" s="83"/>
      <c r="K59" s="12"/>
      <c r="L59" s="17"/>
      <c r="M59" s="83"/>
      <c r="N59" s="83"/>
      <c r="O59" s="83"/>
      <c r="V59" s="83"/>
    </row>
    <row r="60" spans="2:26">
      <c r="B60" s="11" t="s">
        <v>81</v>
      </c>
      <c r="C60" s="12" t="s">
        <v>82</v>
      </c>
      <c r="D60" s="33">
        <v>0.36</v>
      </c>
      <c r="E60" s="86">
        <v>1</v>
      </c>
      <c r="F60" s="84"/>
      <c r="G60" s="83"/>
      <c r="H60" s="83"/>
      <c r="I60" s="83"/>
      <c r="J60" s="83" t="s">
        <v>81</v>
      </c>
      <c r="K60" s="12" t="s">
        <v>82</v>
      </c>
      <c r="L60" s="33">
        <v>0.36</v>
      </c>
      <c r="M60" s="84">
        <v>1</v>
      </c>
      <c r="N60" s="83"/>
      <c r="O60" s="83"/>
      <c r="P60" s="11" t="s">
        <v>90</v>
      </c>
      <c r="V60" s="83"/>
    </row>
    <row r="61" spans="2:26">
      <c r="C61" s="12" t="s">
        <v>78</v>
      </c>
      <c r="D61" s="17">
        <f>D60*1.7</f>
        <v>0.61199999999999999</v>
      </c>
      <c r="E61" s="82"/>
      <c r="F61" s="83"/>
      <c r="G61" s="83"/>
      <c r="H61" s="83"/>
      <c r="I61" s="83"/>
      <c r="J61" s="83"/>
      <c r="K61" s="12" t="s">
        <v>78</v>
      </c>
      <c r="L61" s="17">
        <f>L60*1.5</f>
        <v>0.54</v>
      </c>
      <c r="M61" s="83"/>
      <c r="N61" s="83"/>
      <c r="O61" s="83"/>
      <c r="V61" s="83"/>
    </row>
    <row r="62" spans="2:26">
      <c r="D62" s="17"/>
      <c r="E62" s="82"/>
      <c r="F62" s="83"/>
      <c r="G62" s="83"/>
      <c r="H62" s="83"/>
      <c r="I62" s="83"/>
      <c r="J62" s="83"/>
      <c r="K62" s="12"/>
      <c r="L62" s="17"/>
      <c r="M62" s="83"/>
      <c r="N62" s="83"/>
      <c r="O62" s="83"/>
      <c r="V62" s="83"/>
    </row>
    <row r="63" spans="2:26">
      <c r="B63" s="11" t="s">
        <v>68</v>
      </c>
      <c r="C63" s="12" t="s">
        <v>78</v>
      </c>
      <c r="E63" s="86">
        <v>1</v>
      </c>
      <c r="F63" s="84"/>
      <c r="G63" s="83"/>
      <c r="H63" s="83"/>
      <c r="I63" s="83"/>
      <c r="J63" s="83" t="s">
        <v>68</v>
      </c>
      <c r="M63" s="84">
        <v>0.5</v>
      </c>
      <c r="N63" s="84"/>
      <c r="O63" s="83"/>
      <c r="V63" s="83"/>
    </row>
    <row r="64" spans="2:26">
      <c r="E64" s="82"/>
      <c r="F64" s="83"/>
      <c r="G64" s="83"/>
      <c r="H64" s="83"/>
      <c r="I64" s="83"/>
      <c r="J64" s="83"/>
      <c r="M64" s="83"/>
      <c r="N64" s="83"/>
      <c r="O64" s="83"/>
      <c r="V64" s="83"/>
    </row>
    <row r="65" spans="2:22">
      <c r="B65" s="11" t="s">
        <v>91</v>
      </c>
      <c r="E65" s="86">
        <v>1</v>
      </c>
      <c r="F65" s="84"/>
      <c r="G65" s="83"/>
      <c r="H65" s="83" t="s">
        <v>47</v>
      </c>
      <c r="I65" s="83"/>
      <c r="J65" s="83" t="s">
        <v>91</v>
      </c>
      <c r="M65" s="84">
        <v>1</v>
      </c>
      <c r="N65" s="83"/>
      <c r="O65" s="83"/>
      <c r="V65" s="83"/>
    </row>
    <row r="66" spans="2:22">
      <c r="E66" s="82"/>
      <c r="F66" s="83"/>
      <c r="G66" s="83"/>
      <c r="H66" s="83"/>
      <c r="I66" s="83"/>
      <c r="J66" s="83"/>
      <c r="M66" s="83"/>
      <c r="N66" s="83"/>
      <c r="O66" s="83"/>
      <c r="V66" s="83"/>
    </row>
    <row r="67" spans="2:22">
      <c r="B67" s="11" t="s">
        <v>92</v>
      </c>
      <c r="E67" s="82"/>
      <c r="F67" s="83"/>
      <c r="G67" s="83"/>
      <c r="H67" s="83"/>
      <c r="I67" s="83"/>
      <c r="J67" s="83" t="s">
        <v>80</v>
      </c>
      <c r="M67" s="83"/>
      <c r="N67" s="83"/>
      <c r="O67" s="83"/>
      <c r="V67" s="83"/>
    </row>
    <row r="68" spans="2:22">
      <c r="E68" s="82"/>
      <c r="F68" s="83"/>
      <c r="G68" s="83"/>
      <c r="H68" s="83"/>
      <c r="I68" s="83"/>
      <c r="J68" s="83"/>
      <c r="M68" s="83"/>
      <c r="N68" s="83"/>
      <c r="O68" s="83"/>
      <c r="V68" s="83"/>
    </row>
    <row r="69" spans="2:22">
      <c r="B69" s="11" t="s">
        <v>93</v>
      </c>
      <c r="C69" s="12" t="s">
        <v>78</v>
      </c>
      <c r="D69" s="33">
        <v>1.99</v>
      </c>
      <c r="E69" s="82"/>
      <c r="F69" s="83"/>
      <c r="G69" s="83"/>
      <c r="H69" s="83"/>
      <c r="I69" s="83"/>
      <c r="J69" s="83" t="s">
        <v>93</v>
      </c>
      <c r="K69" s="12" t="s">
        <v>78</v>
      </c>
      <c r="L69" s="33">
        <v>1.99</v>
      </c>
      <c r="M69" s="83"/>
      <c r="N69" s="83"/>
      <c r="O69" s="83"/>
      <c r="V69" s="83"/>
    </row>
    <row r="70" spans="2:22">
      <c r="B70" s="11" t="s">
        <v>94</v>
      </c>
      <c r="D70" s="17"/>
      <c r="E70" s="82"/>
      <c r="F70" s="83"/>
      <c r="G70" s="83"/>
      <c r="H70" s="83"/>
      <c r="I70" s="83"/>
      <c r="J70" s="83" t="s">
        <v>94</v>
      </c>
      <c r="K70" s="12"/>
      <c r="L70" s="17"/>
      <c r="M70" s="83"/>
      <c r="N70" s="83"/>
      <c r="O70" s="83"/>
      <c r="V70" s="83"/>
    </row>
    <row r="71" spans="2:22">
      <c r="E71" s="82"/>
      <c r="F71" s="83"/>
      <c r="G71" s="83"/>
      <c r="H71" s="83"/>
      <c r="I71" s="83"/>
      <c r="J71" s="83"/>
      <c r="M71" s="83"/>
      <c r="N71" s="83"/>
      <c r="O71" s="83"/>
      <c r="V71" s="83"/>
    </row>
    <row r="72" spans="2:22">
      <c r="D72" s="17"/>
      <c r="E72" s="82"/>
      <c r="F72" s="83"/>
      <c r="G72" s="83"/>
      <c r="H72" s="83"/>
      <c r="I72" s="83"/>
      <c r="J72" s="83"/>
      <c r="K72" s="12"/>
      <c r="L72" s="17"/>
      <c r="M72" s="83"/>
      <c r="N72" s="83"/>
      <c r="O72" s="83"/>
      <c r="V72" s="83"/>
    </row>
    <row r="73" spans="2:22">
      <c r="C73" s="12" t="s">
        <v>78</v>
      </c>
      <c r="D73" s="87">
        <f>D69+D58+D61+D48</f>
        <v>2.6019999999999999</v>
      </c>
      <c r="E73" s="82"/>
      <c r="F73" s="83"/>
      <c r="G73" s="83"/>
      <c r="H73" s="83"/>
      <c r="I73" s="83"/>
      <c r="J73" s="83"/>
      <c r="K73" s="12" t="s">
        <v>78</v>
      </c>
      <c r="L73" s="87">
        <f>L69+L58+L61+R48</f>
        <v>2.9015444835999999</v>
      </c>
      <c r="M73" s="83"/>
      <c r="N73" s="83"/>
      <c r="O73" s="83"/>
      <c r="V73" s="83"/>
    </row>
    <row r="74" spans="2:22">
      <c r="D74" s="17"/>
      <c r="E74" s="82"/>
      <c r="F74" s="83"/>
      <c r="G74" s="83"/>
      <c r="H74" s="83"/>
      <c r="I74" s="83"/>
      <c r="J74" s="83"/>
      <c r="K74" s="12"/>
      <c r="L74" s="17"/>
      <c r="M74" s="83"/>
      <c r="N74" s="83"/>
      <c r="O74" s="83"/>
      <c r="V74" s="83"/>
    </row>
    <row r="75" spans="2:22">
      <c r="B75" s="11" t="s">
        <v>95</v>
      </c>
      <c r="C75" s="12" t="s">
        <v>78</v>
      </c>
      <c r="D75" s="87">
        <f>D73-D53</f>
        <v>2.0904999999999996</v>
      </c>
      <c r="E75" s="82"/>
      <c r="F75" s="83"/>
      <c r="G75" s="83"/>
      <c r="H75" s="83"/>
      <c r="I75" s="83"/>
      <c r="J75" s="83" t="s">
        <v>96</v>
      </c>
      <c r="K75" s="12" t="s">
        <v>78</v>
      </c>
      <c r="L75" s="87">
        <f>L73-R53</f>
        <v>2.9015444835999999</v>
      </c>
      <c r="M75" s="83"/>
      <c r="N75" s="83"/>
      <c r="O75" s="83"/>
      <c r="V75" s="83"/>
    </row>
    <row r="76" spans="2:22">
      <c r="D76" s="17"/>
      <c r="E76" s="82"/>
      <c r="F76" s="83"/>
      <c r="G76" s="83"/>
      <c r="H76" s="83"/>
      <c r="I76" s="83"/>
      <c r="J76" s="83"/>
      <c r="K76" s="12"/>
      <c r="L76" s="17"/>
      <c r="M76" s="83"/>
      <c r="N76" s="83"/>
      <c r="O76" s="83"/>
      <c r="V76" s="83"/>
    </row>
    <row r="77" spans="2:22">
      <c r="B77" s="11" t="s">
        <v>97</v>
      </c>
      <c r="C77" s="12" t="s">
        <v>45</v>
      </c>
      <c r="D77" s="17">
        <f>110/340</f>
        <v>0.3235294117647059</v>
      </c>
      <c r="E77" s="82"/>
      <c r="F77" s="83"/>
      <c r="G77" s="83"/>
      <c r="H77" s="83"/>
      <c r="I77" s="83"/>
      <c r="J77" s="83" t="s">
        <v>98</v>
      </c>
      <c r="K77" s="12" t="s">
        <v>45</v>
      </c>
      <c r="L77" s="87">
        <f>90/300</f>
        <v>0.3</v>
      </c>
      <c r="M77" s="83"/>
      <c r="N77" s="83" t="s">
        <v>99</v>
      </c>
      <c r="O77" s="83"/>
      <c r="V77" s="83"/>
    </row>
    <row r="78" spans="2:22">
      <c r="C78" s="12" t="s">
        <v>78</v>
      </c>
      <c r="D78" s="87" t="e">
        <f>D77/D49</f>
        <v>#DIV/0!</v>
      </c>
      <c r="E78" s="82"/>
      <c r="F78" s="83"/>
      <c r="G78" s="83"/>
      <c r="H78" s="83"/>
      <c r="I78" s="83"/>
      <c r="J78" s="83"/>
      <c r="K78" s="12" t="s">
        <v>78</v>
      </c>
      <c r="L78" s="87" t="e">
        <f>L77/R49</f>
        <v>#DIV/0!</v>
      </c>
      <c r="M78" s="83"/>
      <c r="N78" s="83"/>
      <c r="O78" s="83"/>
      <c r="V78" s="83"/>
    </row>
    <row r="79" spans="2:22">
      <c r="D79" s="17"/>
      <c r="E79" s="82"/>
      <c r="F79" s="83"/>
      <c r="G79" s="83"/>
      <c r="H79" s="83"/>
      <c r="I79" s="83"/>
      <c r="J79" s="83"/>
      <c r="K79" s="12"/>
      <c r="L79" s="17"/>
      <c r="M79" s="83"/>
      <c r="N79" s="83"/>
      <c r="O79" s="83"/>
      <c r="V79" s="83"/>
    </row>
    <row r="80" spans="2:22">
      <c r="D80" s="87"/>
      <c r="E80" s="82"/>
      <c r="F80" s="83"/>
      <c r="G80" s="83"/>
      <c r="H80" s="83"/>
      <c r="I80" s="83"/>
      <c r="J80" s="83"/>
      <c r="K80" s="12"/>
      <c r="L80" s="87"/>
      <c r="M80" s="83"/>
      <c r="N80" s="83"/>
      <c r="O80" s="83"/>
      <c r="V80" s="83"/>
    </row>
    <row r="81" spans="4:22">
      <c r="D81" s="17"/>
      <c r="E81" s="82"/>
      <c r="F81" s="83"/>
      <c r="G81" s="83"/>
      <c r="H81" s="83"/>
      <c r="I81" s="83"/>
      <c r="J81" s="83"/>
      <c r="L81" s="17"/>
      <c r="M81" s="83"/>
      <c r="N81" s="83"/>
      <c r="O81" s="83"/>
      <c r="V81" s="83"/>
    </row>
    <row r="82" spans="4:22">
      <c r="D82" s="17"/>
      <c r="E82" s="82"/>
      <c r="F82" s="83"/>
      <c r="G82" s="83"/>
      <c r="H82" s="83"/>
      <c r="I82" s="83"/>
      <c r="J82" s="83"/>
      <c r="L82" s="17"/>
      <c r="M82" s="83"/>
      <c r="N82" s="83"/>
      <c r="O82" s="83"/>
      <c r="V82" s="83"/>
    </row>
    <row r="83" spans="4:22">
      <c r="D83" s="17"/>
      <c r="E83" s="82"/>
      <c r="F83" s="83"/>
      <c r="G83" s="83"/>
      <c r="H83" s="83"/>
      <c r="I83" s="83"/>
      <c r="J83" s="83"/>
      <c r="K83" s="12"/>
      <c r="L83" s="17"/>
      <c r="M83" s="83"/>
      <c r="N83" s="83"/>
      <c r="O83" s="83"/>
      <c r="V83" s="83"/>
    </row>
    <row r="84" spans="4:22">
      <c r="D84" s="17"/>
      <c r="E84" s="82"/>
      <c r="F84" s="83"/>
      <c r="G84" s="83"/>
      <c r="H84" s="83"/>
      <c r="I84" s="83"/>
      <c r="J84" s="83"/>
      <c r="L84" s="17"/>
      <c r="M84" s="83"/>
      <c r="N84" s="83"/>
      <c r="O84" s="83"/>
      <c r="V84" s="83"/>
    </row>
    <row r="85" spans="4:22">
      <c r="D85" s="17"/>
      <c r="R85" s="17"/>
    </row>
    <row r="86" spans="4:22">
      <c r="D86" s="17"/>
      <c r="R86" s="17"/>
    </row>
    <row r="87" spans="4:22">
      <c r="D87" s="17"/>
      <c r="P87" s="88"/>
      <c r="R87" s="17"/>
    </row>
    <row r="88" spans="4:22">
      <c r="D88" s="17"/>
      <c r="P88" s="88"/>
      <c r="R88" s="17"/>
    </row>
    <row r="89" spans="4:22">
      <c r="D89" s="17"/>
      <c r="P89" s="88"/>
      <c r="R89" s="17"/>
    </row>
    <row r="90" spans="4:22">
      <c r="D90" s="17"/>
      <c r="R90" s="17"/>
    </row>
    <row r="91" spans="4:22">
      <c r="D91" s="17"/>
      <c r="R91" s="17"/>
    </row>
    <row r="92" spans="4:22">
      <c r="D92" s="17"/>
      <c r="R92" s="17"/>
    </row>
    <row r="93" spans="4:22">
      <c r="D93" s="17"/>
      <c r="R93" s="17"/>
    </row>
    <row r="94" spans="4:22">
      <c r="D94" s="17"/>
      <c r="R94" s="17"/>
    </row>
    <row r="95" spans="4:22">
      <c r="D95" s="17"/>
      <c r="R95" s="17"/>
    </row>
    <row r="96" spans="4:22">
      <c r="D96" s="17"/>
      <c r="R96" s="17"/>
    </row>
    <row r="97" spans="4:18">
      <c r="D97" s="17"/>
      <c r="R97" s="17"/>
    </row>
    <row r="98" spans="4:18">
      <c r="D98" s="17"/>
      <c r="R98" s="17"/>
    </row>
    <row r="99" spans="4:18">
      <c r="D99" s="17"/>
      <c r="R99" s="17"/>
    </row>
    <row r="100" spans="4:18">
      <c r="D100" s="17"/>
    </row>
    <row r="101" spans="4:18">
      <c r="D101" s="17"/>
    </row>
    <row r="102" spans="4:18">
      <c r="D102" s="17"/>
    </row>
    <row r="103" spans="4:18">
      <c r="D103" s="17"/>
    </row>
    <row r="104" spans="4:18">
      <c r="D104" s="17"/>
    </row>
    <row r="105" spans="4:18">
      <c r="D105" s="17"/>
    </row>
    <row r="106" spans="4:18">
      <c r="D106" s="17"/>
    </row>
    <row r="107" spans="4:18">
      <c r="D107" s="17"/>
    </row>
    <row r="108" spans="4:18">
      <c r="D108" s="17"/>
    </row>
    <row r="109" spans="4:18">
      <c r="D109" s="17"/>
    </row>
    <row r="110" spans="4:18">
      <c r="D110" s="17"/>
    </row>
    <row r="111" spans="4:18">
      <c r="D111" s="17"/>
    </row>
    <row r="112" spans="4:18">
      <c r="D112" s="17"/>
    </row>
    <row r="113" spans="4:4">
      <c r="D113" s="17"/>
    </row>
    <row r="114" spans="4:4">
      <c r="D114" s="17"/>
    </row>
    <row r="115" spans="4:4">
      <c r="D115" s="17"/>
    </row>
    <row r="116" spans="4:4">
      <c r="D116" s="17"/>
    </row>
    <row r="117" spans="4:4">
      <c r="D117" s="17"/>
    </row>
    <row r="118" spans="4:4">
      <c r="D118" s="17"/>
    </row>
    <row r="119" spans="4:4">
      <c r="D119" s="17"/>
    </row>
    <row r="120" spans="4:4">
      <c r="D120" s="17"/>
    </row>
    <row r="121" spans="4:4">
      <c r="D121" s="17"/>
    </row>
    <row r="122" spans="4:4">
      <c r="D122" s="17"/>
    </row>
    <row r="123" spans="4:4">
      <c r="D123" s="17"/>
    </row>
    <row r="124" spans="4:4">
      <c r="D124" s="17"/>
    </row>
  </sheetData>
  <mergeCells count="2">
    <mergeCell ref="T2:U2"/>
    <mergeCell ref="I4:J4"/>
  </mergeCells>
  <dataValidations count="1">
    <dataValidation type="list" allowBlank="1" showInputMessage="1" showErrorMessage="1" sqref="B7 J7" xr:uid="{DC494E83-5C4A-4CE1-999C-0EFE0CF1D481}">
      <formula1>Feedstock_Inputs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28DF-2FB0-4DB1-9D12-E639CCED14FF}">
  <dimension ref="A1:H22"/>
  <sheetViews>
    <sheetView workbookViewId="0">
      <selection activeCell="B16" sqref="B16"/>
    </sheetView>
  </sheetViews>
  <sheetFormatPr defaultColWidth="9" defaultRowHeight="15"/>
  <cols>
    <col min="1" max="1" width="9" style="89"/>
    <col min="2" max="2" width="31.125" style="89" bestFit="1" customWidth="1"/>
    <col min="3" max="3" width="23.125" style="89" bestFit="1" customWidth="1"/>
    <col min="4" max="4" width="4.625" style="89" bestFit="1" customWidth="1"/>
    <col min="5" max="5" width="31.375" style="89" bestFit="1" customWidth="1"/>
    <col min="6" max="6" width="26.375" style="89" bestFit="1" customWidth="1"/>
    <col min="7" max="7" width="12.125" style="89" bestFit="1" customWidth="1"/>
    <col min="8" max="8" width="27" style="89" bestFit="1" customWidth="1"/>
    <col min="9" max="16384" width="9" style="89"/>
  </cols>
  <sheetData>
    <row r="1" spans="1:8">
      <c r="A1" s="89" t="s">
        <v>33</v>
      </c>
      <c r="H1" s="89" t="s">
        <v>100</v>
      </c>
    </row>
    <row r="2" spans="1:8">
      <c r="B2" s="89" t="s">
        <v>101</v>
      </c>
      <c r="C2" s="89" t="s">
        <v>102</v>
      </c>
      <c r="D2" s="89" t="s">
        <v>103</v>
      </c>
      <c r="E2" s="89" t="s">
        <v>104</v>
      </c>
      <c r="F2" s="89" t="s">
        <v>105</v>
      </c>
      <c r="G2" s="89" t="s">
        <v>106</v>
      </c>
      <c r="H2" s="89" t="s">
        <v>107</v>
      </c>
    </row>
    <row r="3" spans="1:8">
      <c r="B3" s="89">
        <v>35</v>
      </c>
      <c r="C3" s="89">
        <f>B3/100*2204.622</f>
        <v>771.6176999999999</v>
      </c>
      <c r="D3" s="89">
        <v>0.96</v>
      </c>
      <c r="E3" s="89">
        <f>C3/D3</f>
        <v>803.76843749999989</v>
      </c>
      <c r="F3" s="89">
        <f>E3/300</f>
        <v>2.6792281249999998</v>
      </c>
      <c r="G3" s="89">
        <v>0.5</v>
      </c>
      <c r="H3" s="89">
        <f>F3*G3</f>
        <v>1.3396140624999999</v>
      </c>
    </row>
    <row r="4" spans="1:8">
      <c r="B4" s="89" t="s">
        <v>108</v>
      </c>
      <c r="C4" s="89" t="s">
        <v>109</v>
      </c>
      <c r="D4" s="89" t="s">
        <v>103</v>
      </c>
      <c r="E4" s="89" t="s">
        <v>110</v>
      </c>
      <c r="F4" s="89" t="s">
        <v>111</v>
      </c>
      <c r="G4" s="89" t="s">
        <v>106</v>
      </c>
      <c r="H4" s="89" t="s">
        <v>112</v>
      </c>
    </row>
    <row r="5" spans="1:8">
      <c r="B5" s="89">
        <v>27</v>
      </c>
      <c r="C5" s="89">
        <f>B5/100*2204.622</f>
        <v>595.24793999999997</v>
      </c>
      <c r="D5" s="89">
        <v>0.96</v>
      </c>
      <c r="E5" s="89">
        <f>C5/D5</f>
        <v>620.04993749999994</v>
      </c>
      <c r="F5" s="89">
        <f>E5/300</f>
        <v>2.0668331249999996</v>
      </c>
      <c r="G5" s="89">
        <v>0.5</v>
      </c>
      <c r="H5" s="89">
        <f>F5*G5</f>
        <v>1.0334165624999998</v>
      </c>
    </row>
    <row r="6" spans="1:8">
      <c r="B6" s="89" t="s">
        <v>113</v>
      </c>
      <c r="F6" s="89">
        <f>F5+F3</f>
        <v>4.7460612499999995</v>
      </c>
      <c r="H6" s="89" t="s">
        <v>114</v>
      </c>
    </row>
    <row r="7" spans="1:8">
      <c r="B7" s="89">
        <v>105</v>
      </c>
      <c r="F7" s="89">
        <f>H7+F6</f>
        <v>5.0960612499999991</v>
      </c>
      <c r="H7" s="89">
        <f>B7/300</f>
        <v>0.35</v>
      </c>
    </row>
    <row r="8" spans="1:8">
      <c r="B8" s="89" t="s">
        <v>115</v>
      </c>
      <c r="F8" s="89">
        <f>H9+F7</f>
        <v>5.3960612499999989</v>
      </c>
      <c r="H8" s="89" t="s">
        <v>116</v>
      </c>
    </row>
    <row r="9" spans="1:8">
      <c r="B9" s="89">
        <v>90</v>
      </c>
      <c r="H9" s="89">
        <f>B9/300</f>
        <v>0.3</v>
      </c>
    </row>
    <row r="10" spans="1:8">
      <c r="H10" s="89" t="s">
        <v>117</v>
      </c>
    </row>
    <row r="11" spans="1:8">
      <c r="H11" s="89">
        <v>2.0099999999999998</v>
      </c>
    </row>
    <row r="12" spans="1:8">
      <c r="A12" s="89" t="s">
        <v>118</v>
      </c>
    </row>
    <row r="13" spans="1:8">
      <c r="B13" s="89" t="s">
        <v>101</v>
      </c>
      <c r="C13" s="89" t="s">
        <v>102</v>
      </c>
      <c r="D13" s="89" t="s">
        <v>103</v>
      </c>
      <c r="E13" s="89" t="s">
        <v>104</v>
      </c>
      <c r="F13" s="89" t="s">
        <v>105</v>
      </c>
      <c r="G13" s="89" t="s">
        <v>106</v>
      </c>
      <c r="H13" s="89" t="s">
        <v>107</v>
      </c>
    </row>
    <row r="14" spans="1:8">
      <c r="B14" s="89">
        <v>35</v>
      </c>
      <c r="C14" s="89">
        <f>B14/100*2204.622</f>
        <v>771.6176999999999</v>
      </c>
      <c r="D14" s="89">
        <v>0.94</v>
      </c>
      <c r="E14" s="89">
        <f>C14/D14</f>
        <v>820.86989361702126</v>
      </c>
      <c r="F14" s="89">
        <f>E14/340</f>
        <v>2.4143232165206507</v>
      </c>
      <c r="G14" s="89">
        <v>0.25</v>
      </c>
      <c r="H14" s="89">
        <f>F14*G14</f>
        <v>0.60358080413016268</v>
      </c>
    </row>
    <row r="15" spans="1:8">
      <c r="B15" s="89" t="s">
        <v>108</v>
      </c>
      <c r="C15" s="89" t="s">
        <v>109</v>
      </c>
      <c r="D15" s="89" t="s">
        <v>103</v>
      </c>
      <c r="E15" s="89" t="s">
        <v>110</v>
      </c>
      <c r="F15" s="89" t="s">
        <v>111</v>
      </c>
      <c r="G15" s="89" t="s">
        <v>106</v>
      </c>
      <c r="H15" s="89" t="s">
        <v>112</v>
      </c>
    </row>
    <row r="16" spans="1:8">
      <c r="B16" s="89">
        <v>27</v>
      </c>
      <c r="C16" s="89">
        <f>B16/100*2204.622</f>
        <v>595.24793999999997</v>
      </c>
      <c r="D16" s="89">
        <v>0.94</v>
      </c>
      <c r="E16" s="89">
        <f>C16/D16</f>
        <v>633.24248936170216</v>
      </c>
      <c r="F16" s="89">
        <f>E16/340</f>
        <v>1.8624779098873592</v>
      </c>
      <c r="G16" s="89">
        <v>0.75</v>
      </c>
      <c r="H16" s="89">
        <f>G16*F16</f>
        <v>1.3968584324155193</v>
      </c>
    </row>
    <row r="17" spans="2:8">
      <c r="B17" s="89" t="s">
        <v>113</v>
      </c>
      <c r="H17" s="89" t="s">
        <v>114</v>
      </c>
    </row>
    <row r="18" spans="2:8">
      <c r="B18" s="89">
        <v>136</v>
      </c>
      <c r="H18" s="89">
        <f>B18/340</f>
        <v>0.4</v>
      </c>
    </row>
    <row r="19" spans="2:8">
      <c r="B19" s="89" t="s">
        <v>115</v>
      </c>
      <c r="H19" s="89" t="s">
        <v>116</v>
      </c>
    </row>
    <row r="20" spans="2:8">
      <c r="B20" s="89">
        <v>110</v>
      </c>
      <c r="H20" s="89">
        <f>B20/340</f>
        <v>0.3235294117647059</v>
      </c>
    </row>
    <row r="21" spans="2:8">
      <c r="H21" s="89" t="s">
        <v>117</v>
      </c>
    </row>
    <row r="22" spans="2:8">
      <c r="H22" s="89">
        <v>2.0099999999999998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A80F-CAFC-4314-A8D8-8AAB62A50162}">
  <dimension ref="A1:AC17"/>
  <sheetViews>
    <sheetView tabSelected="1" zoomScale="120" zoomScaleNormal="120" workbookViewId="0">
      <selection activeCell="B4" sqref="B4"/>
    </sheetView>
  </sheetViews>
  <sheetFormatPr defaultColWidth="11" defaultRowHeight="15.75"/>
  <cols>
    <col min="2" max="2" width="24.5" customWidth="1"/>
    <col min="3" max="3" width="36.875" customWidth="1"/>
    <col min="4" max="4" width="13.5" hidden="1" customWidth="1"/>
    <col min="5" max="12" width="0" hidden="1" customWidth="1"/>
  </cols>
  <sheetData>
    <row r="1" spans="1:29" s="96" customFormat="1" ht="18.95" customHeight="1" thickBot="1">
      <c r="A1" s="90" t="s">
        <v>119</v>
      </c>
      <c r="B1" s="91" t="s">
        <v>120</v>
      </c>
      <c r="C1" s="91" t="s">
        <v>121</v>
      </c>
      <c r="D1" s="92" t="s">
        <v>122</v>
      </c>
      <c r="E1" s="93" t="s">
        <v>123</v>
      </c>
      <c r="F1" s="92" t="s">
        <v>124</v>
      </c>
      <c r="G1" s="94" t="s">
        <v>125</v>
      </c>
      <c r="H1" s="94" t="s">
        <v>126</v>
      </c>
      <c r="I1" s="94" t="s">
        <v>127</v>
      </c>
      <c r="J1" s="94" t="s">
        <v>128</v>
      </c>
      <c r="K1" s="94" t="s">
        <v>129</v>
      </c>
      <c r="L1" s="94" t="s">
        <v>130</v>
      </c>
      <c r="M1" s="94" t="s">
        <v>131</v>
      </c>
      <c r="N1" s="94" t="s">
        <v>132</v>
      </c>
      <c r="O1" s="94" t="s">
        <v>133</v>
      </c>
      <c r="P1" s="94" t="s">
        <v>134</v>
      </c>
      <c r="Q1" s="94" t="s">
        <v>135</v>
      </c>
      <c r="R1" s="94" t="s">
        <v>136</v>
      </c>
      <c r="S1" s="94" t="s">
        <v>137</v>
      </c>
      <c r="T1" s="94" t="s">
        <v>138</v>
      </c>
      <c r="U1" s="94" t="s">
        <v>139</v>
      </c>
      <c r="V1" s="94" t="s">
        <v>140</v>
      </c>
      <c r="W1" s="94" t="s">
        <v>141</v>
      </c>
      <c r="X1" s="94" t="s">
        <v>142</v>
      </c>
      <c r="Y1" s="94" t="s">
        <v>143</v>
      </c>
      <c r="Z1" s="94" t="s">
        <v>144</v>
      </c>
      <c r="AA1" s="94" t="s">
        <v>145</v>
      </c>
      <c r="AB1" s="94" t="s">
        <v>146</v>
      </c>
      <c r="AC1" s="95" t="s">
        <v>147</v>
      </c>
    </row>
    <row r="2" spans="1:29" ht="18.95" customHeight="1">
      <c r="A2" s="97" t="s">
        <v>85</v>
      </c>
      <c r="B2" s="98" t="s">
        <v>33</v>
      </c>
      <c r="C2" s="99" t="s">
        <v>148</v>
      </c>
      <c r="D2" s="100">
        <f>HLOOKUP('LCFS Categorized'!$C2,'LCFS Table'!$A$2:$CT$356,28,)</f>
        <v>0.60000000000000009</v>
      </c>
      <c r="E2" s="100">
        <f>HLOOKUP('LCFS Categorized'!$C2,'LCFS Table'!$A$2:$CT$356,29,)</f>
        <v>0.61124999999999996</v>
      </c>
      <c r="F2" s="101">
        <f>HLOOKUP('LCFS Categorized'!$C2,'LCFS Table'!$A$2:$CT$356,30,)</f>
        <v>0.67425000000000002</v>
      </c>
      <c r="G2" s="101">
        <f>HLOOKUP('LCFS Categorized'!$C2,'LCFS Table'!$A$2:$CT$356,31,)</f>
        <v>0.68474999999999997</v>
      </c>
      <c r="H2" s="101">
        <f>HLOOKUP('LCFS Categorized'!$C2,'LCFS Table'!$A$2:$CT$356,32,)</f>
        <v>0.70050000000000001</v>
      </c>
      <c r="I2" s="101">
        <f>HLOOKUP('LCFS Categorized'!$C2,'LCFS Table'!$A$2:$CT$356,33,)</f>
        <v>0.63449999999999995</v>
      </c>
      <c r="J2" s="101">
        <f>HLOOKUP('LCFS Categorized'!$C2,'LCFS Table'!$A$2:$CT$356,34,)</f>
        <v>0.6855</v>
      </c>
      <c r="K2" s="101">
        <f>HLOOKUP('LCFS Categorized'!$C2,'LCFS Table'!$A$2:$CT$356,35,)</f>
        <v>0.71249999999999991</v>
      </c>
      <c r="L2" s="101">
        <f>HLOOKUP('LCFS Categorized'!$C2,'LCFS Table'!$A$2:$CT$356,36,)</f>
        <v>0.70874999999999999</v>
      </c>
      <c r="M2" s="101">
        <f>HLOOKUP('LCFS Categorized'!$C2,'LCFS Table'!$A$2:$CT$356,37,)</f>
        <v>0.70950000000000002</v>
      </c>
      <c r="N2" s="101">
        <f>HLOOKUP('LCFS Categorized'!$C2,'LCFS Table'!$A$2:$CT$356,38,)</f>
        <v>0.77849999999999997</v>
      </c>
      <c r="O2" s="101">
        <f>HLOOKUP('LCFS Categorized'!$C2,'LCFS Table'!$A$2:$CT$356,39,)</f>
        <v>0.73537499999999989</v>
      </c>
      <c r="P2" s="101">
        <f>HLOOKUP('LCFS Categorized'!$C2,'LCFS Table'!$A$2:$CT$356,40,)</f>
        <v>0.81674999999999998</v>
      </c>
      <c r="Q2" s="101">
        <f>HLOOKUP('LCFS Categorized'!$C2,'LCFS Table'!$A$2:$CT$356,41,)</f>
        <v>0.82199999999999984</v>
      </c>
      <c r="R2" s="101">
        <f>HLOOKUP('LCFS Categorized'!$C2,'LCFS Table'!$A$2:$CT$356,42,)</f>
        <v>0.84449999999999992</v>
      </c>
      <c r="S2" s="101">
        <f>HLOOKUP('LCFS Categorized'!$C2,'LCFS Table'!$A$2:$CT$356,43,)</f>
        <v>0.86999999999999988</v>
      </c>
      <c r="T2" s="101">
        <f>HLOOKUP('LCFS Categorized'!$C2,'LCFS Table'!$A$2:$CT$356,44,)</f>
        <v>0.8992500000000001</v>
      </c>
      <c r="U2" s="101">
        <f>HLOOKUP('LCFS Categorized'!$C2,'LCFS Table'!$A$2:$CT$356,45,)</f>
        <v>0.9345</v>
      </c>
      <c r="V2" s="101">
        <f>HLOOKUP('LCFS Categorized'!$C2,'LCFS Table'!$A$2:$CT$356,46,)</f>
        <v>0.94199999999999995</v>
      </c>
      <c r="W2" s="101">
        <f>HLOOKUP('LCFS Categorized'!$C2,'LCFS Table'!$A$2:$CT$356,47,)</f>
        <v>0.94574999999999987</v>
      </c>
      <c r="X2" s="101">
        <f>HLOOKUP('LCFS Categorized'!$C2,'LCFS Table'!$A$2:$CT$356,48,)</f>
        <v>0.88000049999999996</v>
      </c>
      <c r="Y2" s="101">
        <f>HLOOKUP('LCFS Categorized'!$C2,'LCFS Table'!$A$2:$CT$356,49,)</f>
        <v>0.87599999999999989</v>
      </c>
      <c r="Z2" s="101">
        <f>HLOOKUP('LCFS Categorized'!$C2,'LCFS Table'!$A$2:$CT$356,50,)</f>
        <v>0.85650000000000004</v>
      </c>
      <c r="AA2" s="101">
        <f>HLOOKUP('LCFS Categorized'!$C2,'LCFS Table'!$A$2:$CT$356,51,)</f>
        <v>0.68324999999999991</v>
      </c>
      <c r="AB2" s="101">
        <f>HLOOKUP('LCFS Categorized'!$C2,'LCFS Table'!$A$2:$CT$356,52,)</f>
        <v>0.64874999999999994</v>
      </c>
      <c r="AC2" s="102">
        <f>HLOOKUP('LCFS Categorized'!$C2,'LCFS Table'!$A$2:$CT$356,53,)</f>
        <v>0.62624999999999997</v>
      </c>
    </row>
    <row r="3" spans="1:29" ht="18.95" customHeight="1">
      <c r="A3" s="103" t="s">
        <v>85</v>
      </c>
      <c r="B3" s="104" t="s">
        <v>33</v>
      </c>
      <c r="C3" s="105" t="s">
        <v>149</v>
      </c>
      <c r="D3" s="106">
        <f>HLOOKUP('LCFS Categorized'!$C3,'LCFS Table'!$A$2:$CT$356,28,)</f>
        <v>1</v>
      </c>
      <c r="E3" s="106">
        <f>HLOOKUP('LCFS Categorized'!$C3,'LCFS Table'!$A$2:$CT$356,29,)</f>
        <v>1</v>
      </c>
      <c r="F3" s="106">
        <f>HLOOKUP('LCFS Categorized'!$C3,'LCFS Table'!$A$2:$CT$356,30,)</f>
        <v>1</v>
      </c>
      <c r="G3" s="106">
        <f>HLOOKUP('LCFS Categorized'!$C3,'LCFS Table'!$A$2:$CT$356,31,)</f>
        <v>1</v>
      </c>
      <c r="H3" s="106">
        <f>HLOOKUP('LCFS Categorized'!$C3,'LCFS Table'!$A$2:$CT$356,32,)</f>
        <v>1</v>
      </c>
      <c r="I3" s="106">
        <f>HLOOKUP('LCFS Categorized'!$C3,'LCFS Table'!$A$2:$CT$356,33,)</f>
        <v>1</v>
      </c>
      <c r="J3" s="106">
        <f>HLOOKUP('LCFS Categorized'!$C3,'LCFS Table'!$A$2:$CT$356,34,)</f>
        <v>1</v>
      </c>
      <c r="K3" s="106">
        <f>HLOOKUP('LCFS Categorized'!$C3,'LCFS Table'!$A$2:$CT$356,35,)</f>
        <v>1</v>
      </c>
      <c r="L3" s="106">
        <f>HLOOKUP('LCFS Categorized'!$C3,'LCFS Table'!$A$2:$CT$356,36,)</f>
        <v>1</v>
      </c>
      <c r="M3" s="106">
        <f>HLOOKUP('LCFS Categorized'!$C3,'LCFS Table'!$A$2:$CT$356,37,)</f>
        <v>1</v>
      </c>
      <c r="N3" s="106">
        <f>HLOOKUP('LCFS Categorized'!$C3,'LCFS Table'!$A$2:$CT$356,38,)</f>
        <v>1</v>
      </c>
      <c r="O3" s="106">
        <f>HLOOKUP('LCFS Categorized'!$C3,'LCFS Table'!$A$2:$CT$356,39,)</f>
        <v>1</v>
      </c>
      <c r="P3" s="106">
        <f>HLOOKUP('LCFS Categorized'!$C3,'LCFS Table'!$A$2:$CT$356,40,)</f>
        <v>1</v>
      </c>
      <c r="Q3" s="106">
        <f>HLOOKUP('LCFS Categorized'!$C3,'LCFS Table'!$A$2:$CT$356,41,)</f>
        <v>1</v>
      </c>
      <c r="R3" s="106">
        <f>HLOOKUP('LCFS Categorized'!$C3,'LCFS Table'!$A$2:$CT$356,42,)</f>
        <v>1</v>
      </c>
      <c r="S3" s="106">
        <f>HLOOKUP('LCFS Categorized'!$C3,'LCFS Table'!$A$2:$CT$356,43,)</f>
        <v>1</v>
      </c>
      <c r="T3" s="106">
        <f>HLOOKUP('LCFS Categorized'!$C3,'LCFS Table'!$A$2:$CT$356,44,)</f>
        <v>1</v>
      </c>
      <c r="U3" s="106">
        <f>HLOOKUP('LCFS Categorized'!$C3,'LCFS Table'!$A$2:$CT$356,45,)</f>
        <v>1</v>
      </c>
      <c r="V3" s="106">
        <f>HLOOKUP('LCFS Categorized'!$C3,'LCFS Table'!$A$2:$CT$356,46,)</f>
        <v>1</v>
      </c>
      <c r="W3" s="106">
        <f>HLOOKUP('LCFS Categorized'!$C3,'LCFS Table'!$A$2:$CT$356,47,)</f>
        <v>1</v>
      </c>
      <c r="X3" s="106">
        <f>HLOOKUP('LCFS Categorized'!$C3,'LCFS Table'!$A$2:$CT$356,48,)</f>
        <v>1</v>
      </c>
      <c r="Y3" s="106">
        <f>HLOOKUP('LCFS Categorized'!$C3,'LCFS Table'!$A$2:$CT$356,49,)</f>
        <v>1</v>
      </c>
      <c r="Z3" s="106">
        <f>HLOOKUP('LCFS Categorized'!$C3,'LCFS Table'!$A$2:$CT$356,50,)</f>
        <v>1</v>
      </c>
      <c r="AA3" s="106">
        <f>HLOOKUP('LCFS Categorized'!$C3,'LCFS Table'!$A$2:$CT$356,51,)</f>
        <v>1</v>
      </c>
      <c r="AB3" s="106">
        <f>HLOOKUP('LCFS Categorized'!$C3,'LCFS Table'!$A$2:$CT$356,52,)</f>
        <v>1</v>
      </c>
      <c r="AC3" s="107">
        <f>HLOOKUP('LCFS Categorized'!$C3,'LCFS Table'!$A$2:$CT$356,53,)</f>
        <v>1</v>
      </c>
    </row>
    <row r="4" spans="1:29" ht="18.95" customHeight="1">
      <c r="A4" s="108" t="s">
        <v>85</v>
      </c>
      <c r="B4" s="109" t="s">
        <v>33</v>
      </c>
      <c r="C4" s="110" t="s">
        <v>150</v>
      </c>
      <c r="D4" s="100">
        <f>HLOOKUP('LCFS Categorized'!$C4,'LCFS Table'!$A$2:$CT$356,28,)</f>
        <v>1.1925641384415</v>
      </c>
      <c r="E4" s="100">
        <f>HLOOKUP('LCFS Categorized'!$C4,'LCFS Table'!$A$2:$CT$356,29,)</f>
        <v>1.2010435177905001</v>
      </c>
      <c r="F4" s="100">
        <f>HLOOKUP('LCFS Categorized'!$C4,'LCFS Table'!$A$2:$CT$356,30,)</f>
        <v>1.1898386236507499</v>
      </c>
      <c r="G4" s="100">
        <f>HLOOKUP('LCFS Categorized'!$C4,'LCFS Table'!$A$2:$CT$356,31,)</f>
        <v>1.1877187788135002</v>
      </c>
      <c r="H4" s="100">
        <f>HLOOKUP('LCFS Categorized'!$C4,'LCFS Table'!$A$2:$CT$356,32,)</f>
        <v>1.18681027388325</v>
      </c>
      <c r="I4" s="100">
        <f>HLOOKUP('LCFS Categorized'!$C4,'LCFS Table'!$A$2:$CT$356,33,)</f>
        <v>1.1837819241157499</v>
      </c>
      <c r="J4" s="100">
        <f>HLOOKUP('LCFS Categorized'!$C4,'LCFS Table'!$A$2:$CT$356,34,)</f>
        <v>1.1968038281160001</v>
      </c>
      <c r="K4" s="100">
        <f>HLOOKUP('LCFS Categorized'!$C4,'LCFS Table'!$A$2:$CT$356,35,)</f>
        <v>1.2064945473720001</v>
      </c>
      <c r="L4" s="100">
        <f>HLOOKUP('LCFS Categorized'!$C4,'LCFS Table'!$A$2:$CT$356,36,)</f>
        <v>1.20376903258125</v>
      </c>
      <c r="M4" s="100">
        <f>HLOOKUP('LCFS Categorized'!$C4,'LCFS Table'!$A$2:$CT$356,37,)</f>
        <v>1.2116427419767501</v>
      </c>
      <c r="N4" s="100">
        <f>HLOOKUP('LCFS Categorized'!$C4,'LCFS Table'!$A$2:$CT$356,38,)</f>
        <v>1.2119455769534999</v>
      </c>
      <c r="O4" s="100">
        <f>HLOOKUP('LCFS Categorized'!$C4,'LCFS Table'!$A$2:$CT$356,39,)</f>
        <v>1.2081601397441251</v>
      </c>
      <c r="P4" s="100">
        <f>HLOOKUP('LCFS Categorized'!$C4,'LCFS Table'!$A$2:$CT$356,40,)</f>
        <v>1.2077058872790001</v>
      </c>
      <c r="Q4" s="100">
        <f>HLOOKUP('LCFS Categorized'!$C4,'LCFS Table'!$A$2:$CT$356,41,)</f>
        <v>1.2167909365814999</v>
      </c>
      <c r="R4" s="100">
        <f>HLOOKUP('LCFS Categorized'!$C4,'LCFS Table'!$A$2:$CT$356,42,)</f>
        <v>1.22799583072125</v>
      </c>
      <c r="S4" s="100">
        <f>HLOOKUP('LCFS Categorized'!$C4,'LCFS Table'!$A$2:$CT$356,43,)</f>
        <v>1.2361723750934999</v>
      </c>
      <c r="T4" s="100">
        <f>HLOOKUP('LCFS Categorized'!$C4,'LCFS Table'!$A$2:$CT$356,44,)</f>
        <v>1.2573708234659999</v>
      </c>
      <c r="U4" s="100">
        <f>HLOOKUP('LCFS Categorized'!$C4,'LCFS Table'!$A$2:$CT$356,45,)</f>
        <v>1.2561594835590002</v>
      </c>
      <c r="V4" s="100">
        <f>HLOOKUP('LCFS Categorized'!$C4,'LCFS Table'!$A$2:$CT$356,46,)</f>
        <v>1.2649416978847501</v>
      </c>
      <c r="W4" s="100">
        <f>HLOOKUP('LCFS Categorized'!$C4,'LCFS Table'!$A$2:$CT$356,47,)</f>
        <v>1.2597935032800001</v>
      </c>
      <c r="X4" s="100">
        <f>HLOOKUP('LCFS Categorized'!$C4,'LCFS Table'!$A$2:$CT$356,48,)</f>
        <v>1.2537368037450001</v>
      </c>
      <c r="Y4" s="100">
        <f>HLOOKUP('LCFS Categorized'!$C4,'LCFS Table'!$A$2:$CT$356,49,)</f>
        <v>1.2537368037450001</v>
      </c>
      <c r="Z4" s="100">
        <f>HLOOKUP('LCFS Categorized'!$C4,'LCFS Table'!$A$2:$CT$356,50,)</f>
        <v>1.25585664858225</v>
      </c>
      <c r="AA4" s="100">
        <f>HLOOKUP('LCFS Categorized'!$C4,'LCFS Table'!$A$2:$CT$356,51,)</f>
        <v>1.245257424396</v>
      </c>
      <c r="AB4" s="100">
        <f>HLOOKUP('LCFS Categorized'!$C4,'LCFS Table'!$A$2:$CT$356,52,)</f>
        <v>1.2476801042100001</v>
      </c>
      <c r="AC4" s="111">
        <f>HLOOKUP('LCFS Categorized'!$C4,'LCFS Table'!$A$2:$CT$356,53,)</f>
        <v>1.2461659293262499</v>
      </c>
    </row>
    <row r="5" spans="1:29" ht="18.95" customHeight="1">
      <c r="A5" s="103" t="s">
        <v>85</v>
      </c>
      <c r="B5" s="104" t="s">
        <v>33</v>
      </c>
      <c r="C5" s="105" t="s">
        <v>151</v>
      </c>
      <c r="D5" s="106">
        <f>HLOOKUP('LCFS Categorized'!$C5,'LCFS Table'!$A$2:$CT$356,28,)</f>
        <v>0</v>
      </c>
      <c r="E5" s="106">
        <f>HLOOKUP('LCFS Categorized'!$C5,'LCFS Table'!$A$2:$CT$356,29,)</f>
        <v>0</v>
      </c>
      <c r="F5" s="106">
        <f>HLOOKUP('LCFS Categorized'!$C5,'LCFS Table'!$A$2:$CT$356,30,)</f>
        <v>0</v>
      </c>
      <c r="G5" s="106">
        <f>HLOOKUP('LCFS Categorized'!$C5,'LCFS Table'!$A$2:$CT$356,31,)</f>
        <v>0</v>
      </c>
      <c r="H5" s="106">
        <f>HLOOKUP('LCFS Categorized'!$C5,'LCFS Table'!$A$2:$CT$356,32,)</f>
        <v>0</v>
      </c>
      <c r="I5" s="106">
        <f>HLOOKUP('LCFS Categorized'!$C5,'LCFS Table'!$A$2:$CT$356,33,)</f>
        <v>0</v>
      </c>
      <c r="J5" s="106">
        <f>HLOOKUP('LCFS Categorized'!$C5,'LCFS Table'!$A$2:$CT$356,34,)</f>
        <v>0</v>
      </c>
      <c r="K5" s="106">
        <f>HLOOKUP('LCFS Categorized'!$C5,'LCFS Table'!$A$2:$CT$356,35,)</f>
        <v>0</v>
      </c>
      <c r="L5" s="106">
        <f>HLOOKUP('LCFS Categorized'!$C5,'LCFS Table'!$A$2:$CT$356,36,)</f>
        <v>0</v>
      </c>
      <c r="M5" s="106">
        <f>HLOOKUP('LCFS Categorized'!$C5,'LCFS Table'!$A$2:$CT$356,37,)</f>
        <v>0</v>
      </c>
      <c r="N5" s="106">
        <f>HLOOKUP('LCFS Categorized'!$C5,'LCFS Table'!$A$2:$CT$356,38,)</f>
        <v>0</v>
      </c>
      <c r="O5" s="106">
        <f>HLOOKUP('LCFS Categorized'!$C5,'LCFS Table'!$A$2:$CT$356,39,)</f>
        <v>0</v>
      </c>
      <c r="P5" s="106">
        <f>HLOOKUP('LCFS Categorized'!$C5,'LCFS Table'!$A$2:$CT$356,40,)</f>
        <v>0</v>
      </c>
      <c r="Q5" s="106">
        <f>HLOOKUP('LCFS Categorized'!$C5,'LCFS Table'!$A$2:$CT$356,41,)</f>
        <v>0</v>
      </c>
      <c r="R5" s="106">
        <f>HLOOKUP('LCFS Categorized'!$C5,'LCFS Table'!$A$2:$CT$356,42,)</f>
        <v>0</v>
      </c>
      <c r="S5" s="106">
        <f>HLOOKUP('LCFS Categorized'!$C5,'LCFS Table'!$A$2:$CT$356,43,)</f>
        <v>0</v>
      </c>
      <c r="T5" s="106">
        <f>HLOOKUP('LCFS Categorized'!$C5,'LCFS Table'!$A$2:$CT$356,44,)</f>
        <v>0</v>
      </c>
      <c r="U5" s="106">
        <f>HLOOKUP('LCFS Categorized'!$C5,'LCFS Table'!$A$2:$CT$356,45,)</f>
        <v>0</v>
      </c>
      <c r="V5" s="106">
        <f>HLOOKUP('LCFS Categorized'!$C5,'LCFS Table'!$A$2:$CT$356,46,)</f>
        <v>0</v>
      </c>
      <c r="W5" s="106">
        <f>HLOOKUP('LCFS Categorized'!$C5,'LCFS Table'!$A$2:$CT$356,47,)</f>
        <v>0</v>
      </c>
      <c r="X5" s="106">
        <f>HLOOKUP('LCFS Categorized'!$C5,'LCFS Table'!$A$2:$CT$356,48,)</f>
        <v>0</v>
      </c>
      <c r="Y5" s="106">
        <f>HLOOKUP('LCFS Categorized'!$C5,'LCFS Table'!$A$2:$CT$356,49,)</f>
        <v>0</v>
      </c>
      <c r="Z5" s="106">
        <f>HLOOKUP('LCFS Categorized'!$C5,'LCFS Table'!$A$2:$CT$356,50,)</f>
        <v>0</v>
      </c>
      <c r="AA5" s="106">
        <f>HLOOKUP('LCFS Categorized'!$C5,'LCFS Table'!$A$2:$CT$356,51,)</f>
        <v>0</v>
      </c>
      <c r="AB5" s="106">
        <f>HLOOKUP('LCFS Categorized'!$C5,'LCFS Table'!$A$2:$CT$356,52,)</f>
        <v>0</v>
      </c>
      <c r="AC5" s="107">
        <f>HLOOKUP('LCFS Categorized'!$C5,'LCFS Table'!$A$2:$CT$356,53,)</f>
        <v>0</v>
      </c>
    </row>
    <row r="6" spans="1:29" ht="18.95" customHeight="1">
      <c r="A6" s="108" t="s">
        <v>86</v>
      </c>
      <c r="B6" s="109" t="s">
        <v>33</v>
      </c>
      <c r="C6" s="110" t="s">
        <v>152</v>
      </c>
      <c r="D6" s="100">
        <f>HLOOKUP('LCFS Categorized'!$C6,'LCFS Table'!$A$2:$CT$356,28,)</f>
        <v>0</v>
      </c>
      <c r="E6" s="100">
        <f>HLOOKUP('LCFS Categorized'!$C6,'LCFS Table'!$A$2:$CT$356,29,)</f>
        <v>0</v>
      </c>
      <c r="F6" s="100">
        <f>HLOOKUP('LCFS Categorized'!$C6,'LCFS Table'!$A$2:$CT$356,30,)</f>
        <v>0</v>
      </c>
      <c r="G6" s="100">
        <f>HLOOKUP('LCFS Categorized'!$C6,'LCFS Table'!$A$2:$CT$356,31,)</f>
        <v>0</v>
      </c>
      <c r="H6" s="100">
        <f>HLOOKUP('LCFS Categorized'!$C6,'LCFS Table'!$A$2:$CT$356,32,)</f>
        <v>0</v>
      </c>
      <c r="I6" s="100">
        <f>HLOOKUP('LCFS Categorized'!$C6,'LCFS Table'!$A$2:$CT$356,33,)</f>
        <v>0</v>
      </c>
      <c r="J6" s="100">
        <f>HLOOKUP('LCFS Categorized'!$C6,'LCFS Table'!$A$2:$CT$356,34,)</f>
        <v>0</v>
      </c>
      <c r="K6" s="100">
        <f>HLOOKUP('LCFS Categorized'!$C6,'LCFS Table'!$A$2:$CT$356,35,)</f>
        <v>0</v>
      </c>
      <c r="L6" s="100">
        <f>HLOOKUP('LCFS Categorized'!$C6,'LCFS Table'!$A$2:$CT$356,36,)</f>
        <v>0</v>
      </c>
      <c r="M6" s="100">
        <f>HLOOKUP('LCFS Categorized'!$C6,'LCFS Table'!$A$2:$CT$356,37,)</f>
        <v>0</v>
      </c>
      <c r="N6" s="100">
        <f>HLOOKUP('LCFS Categorized'!$C6,'LCFS Table'!$A$2:$CT$356,38,)</f>
        <v>0</v>
      </c>
      <c r="O6" s="100">
        <f>HLOOKUP('LCFS Categorized'!$C6,'LCFS Table'!$A$2:$CT$356,39,)</f>
        <v>0</v>
      </c>
      <c r="P6" s="100">
        <f>HLOOKUP('LCFS Categorized'!$C6,'LCFS Table'!$A$2:$CT$356,40,)</f>
        <v>0</v>
      </c>
      <c r="Q6" s="100">
        <f>HLOOKUP('LCFS Categorized'!$C6,'LCFS Table'!$A$2:$CT$356,41,)</f>
        <v>0</v>
      </c>
      <c r="R6" s="100">
        <f>HLOOKUP('LCFS Categorized'!$C6,'LCFS Table'!$A$2:$CT$356,42,)</f>
        <v>0</v>
      </c>
      <c r="S6" s="100">
        <f>HLOOKUP('LCFS Categorized'!$C6,'LCFS Table'!$A$2:$CT$356,43,)</f>
        <v>0</v>
      </c>
      <c r="T6" s="100">
        <f>HLOOKUP('LCFS Categorized'!$C6,'LCFS Table'!$A$2:$CT$356,44,)</f>
        <v>0</v>
      </c>
      <c r="U6" s="100">
        <f>HLOOKUP('LCFS Categorized'!$C6,'LCFS Table'!$A$2:$CT$356,45,)</f>
        <v>0</v>
      </c>
      <c r="V6" s="100">
        <f>HLOOKUP('LCFS Categorized'!$C6,'LCFS Table'!$A$2:$CT$356,46,)</f>
        <v>0</v>
      </c>
      <c r="W6" s="100">
        <f>HLOOKUP('LCFS Categorized'!$C6,'LCFS Table'!$A$2:$CT$356,47,)</f>
        <v>0</v>
      </c>
      <c r="X6" s="100">
        <f>HLOOKUP('LCFS Categorized'!$C6,'LCFS Table'!$A$2:$CT$356,48,)</f>
        <v>0</v>
      </c>
      <c r="Y6" s="100">
        <f>HLOOKUP('LCFS Categorized'!$C6,'LCFS Table'!$A$2:$CT$356,49,)</f>
        <v>0</v>
      </c>
      <c r="Z6" s="100">
        <f>HLOOKUP('LCFS Categorized'!$C6,'LCFS Table'!$A$2:$CT$356,50,)</f>
        <v>0</v>
      </c>
      <c r="AA6" s="100">
        <f>HLOOKUP('LCFS Categorized'!$C6,'LCFS Table'!$A$2:$CT$356,51,)</f>
        <v>0</v>
      </c>
      <c r="AB6" s="100">
        <f>HLOOKUP('LCFS Categorized'!$C6,'LCFS Table'!$A$2:$CT$356,52,)</f>
        <v>0</v>
      </c>
      <c r="AC6" s="111">
        <f>HLOOKUP('LCFS Categorized'!$C6,'LCFS Table'!$A$2:$CT$356,53,)</f>
        <v>0</v>
      </c>
    </row>
    <row r="7" spans="1:29" ht="18.95" customHeight="1">
      <c r="A7" s="103" t="s">
        <v>86</v>
      </c>
      <c r="B7" s="104" t="s">
        <v>33</v>
      </c>
      <c r="C7" s="105" t="s">
        <v>153</v>
      </c>
      <c r="D7" s="106">
        <f>HLOOKUP('LCFS Categorized'!$C7,'LCFS Table'!$A$2:$CT$356,28,)</f>
        <v>0</v>
      </c>
      <c r="E7" s="106">
        <f>HLOOKUP('LCFS Categorized'!$C7,'LCFS Table'!$A$2:$CT$356,29,)</f>
        <v>0</v>
      </c>
      <c r="F7" s="106">
        <f>HLOOKUP('LCFS Categorized'!$C7,'LCFS Table'!$A$2:$CT$356,30,)</f>
        <v>0</v>
      </c>
      <c r="G7" s="106">
        <f>HLOOKUP('LCFS Categorized'!$C7,'LCFS Table'!$A$2:$CT$356,31,)</f>
        <v>0</v>
      </c>
      <c r="H7" s="106">
        <f>HLOOKUP('LCFS Categorized'!$C7,'LCFS Table'!$A$2:$CT$356,32,)</f>
        <v>0</v>
      </c>
      <c r="I7" s="106">
        <f>HLOOKUP('LCFS Categorized'!$C7,'LCFS Table'!$A$2:$CT$356,33,)</f>
        <v>0</v>
      </c>
      <c r="J7" s="106">
        <f>HLOOKUP('LCFS Categorized'!$C7,'LCFS Table'!$A$2:$CT$356,34,)</f>
        <v>0</v>
      </c>
      <c r="K7" s="106">
        <f>HLOOKUP('LCFS Categorized'!$C7,'LCFS Table'!$A$2:$CT$356,35,)</f>
        <v>0</v>
      </c>
      <c r="L7" s="106">
        <f>HLOOKUP('LCFS Categorized'!$C7,'LCFS Table'!$A$2:$CT$356,36,)</f>
        <v>0</v>
      </c>
      <c r="M7" s="106">
        <f>HLOOKUP('LCFS Categorized'!$C7,'LCFS Table'!$A$2:$CT$356,37,)</f>
        <v>0</v>
      </c>
      <c r="N7" s="106">
        <f>HLOOKUP('LCFS Categorized'!$C7,'LCFS Table'!$A$2:$CT$356,38,)</f>
        <v>0</v>
      </c>
      <c r="O7" s="106">
        <f>HLOOKUP('LCFS Categorized'!$C7,'LCFS Table'!$A$2:$CT$356,39,)</f>
        <v>0</v>
      </c>
      <c r="P7" s="106">
        <f>HLOOKUP('LCFS Categorized'!$C7,'LCFS Table'!$A$2:$CT$356,40,)</f>
        <v>0</v>
      </c>
      <c r="Q7" s="106">
        <f>HLOOKUP('LCFS Categorized'!$C7,'LCFS Table'!$A$2:$CT$356,41,)</f>
        <v>0</v>
      </c>
      <c r="R7" s="106">
        <f>HLOOKUP('LCFS Categorized'!$C7,'LCFS Table'!$A$2:$CT$356,42,)</f>
        <v>0</v>
      </c>
      <c r="S7" s="106">
        <f>HLOOKUP('LCFS Categorized'!$C7,'LCFS Table'!$A$2:$CT$356,43,)</f>
        <v>0</v>
      </c>
      <c r="T7" s="106">
        <f>HLOOKUP('LCFS Categorized'!$C7,'LCFS Table'!$A$2:$CT$356,44,)</f>
        <v>0</v>
      </c>
      <c r="U7" s="106">
        <f>HLOOKUP('LCFS Categorized'!$C7,'LCFS Table'!$A$2:$CT$356,45,)</f>
        <v>0</v>
      </c>
      <c r="V7" s="106">
        <f>HLOOKUP('LCFS Categorized'!$C7,'LCFS Table'!$A$2:$CT$356,46,)</f>
        <v>0</v>
      </c>
      <c r="W7" s="106">
        <f>HLOOKUP('LCFS Categorized'!$C7,'LCFS Table'!$A$2:$CT$356,47,)</f>
        <v>0</v>
      </c>
      <c r="X7" s="106">
        <f>HLOOKUP('LCFS Categorized'!$C7,'LCFS Table'!$A$2:$CT$356,48,)</f>
        <v>0</v>
      </c>
      <c r="Y7" s="106">
        <f>HLOOKUP('LCFS Categorized'!$C7,'LCFS Table'!$A$2:$CT$356,49,)</f>
        <v>0</v>
      </c>
      <c r="Z7" s="106">
        <f>HLOOKUP('LCFS Categorized'!$C7,'LCFS Table'!$A$2:$CT$356,50,)</f>
        <v>0</v>
      </c>
      <c r="AA7" s="106">
        <f>HLOOKUP('LCFS Categorized'!$C7,'LCFS Table'!$A$2:$CT$356,51,)</f>
        <v>0</v>
      </c>
      <c r="AB7" s="106">
        <f>HLOOKUP('LCFS Categorized'!$C7,'LCFS Table'!$A$2:$CT$356,52,)</f>
        <v>0</v>
      </c>
      <c r="AC7" s="107">
        <f>HLOOKUP('LCFS Categorized'!$C7,'LCFS Table'!$A$2:$CT$356,53,)</f>
        <v>0</v>
      </c>
    </row>
    <row r="8" spans="1:29" ht="18.95" customHeight="1">
      <c r="A8" s="108" t="s">
        <v>86</v>
      </c>
      <c r="B8" s="109" t="s">
        <v>33</v>
      </c>
      <c r="C8" s="110" t="s">
        <v>154</v>
      </c>
      <c r="D8" s="100">
        <f>HLOOKUP('LCFS Categorized'!$C8,'LCFS Table'!$A$2:$CT$356,28,)</f>
        <v>0</v>
      </c>
      <c r="E8" s="100">
        <f>HLOOKUP('LCFS Categorized'!$C8,'LCFS Table'!$A$2:$CT$356,29,)</f>
        <v>0</v>
      </c>
      <c r="F8" s="100">
        <f>HLOOKUP('LCFS Categorized'!$C8,'LCFS Table'!$A$2:$CT$356,30,)</f>
        <v>0</v>
      </c>
      <c r="G8" s="100">
        <f>HLOOKUP('LCFS Categorized'!$C8,'LCFS Table'!$A$2:$CT$356,31,)</f>
        <v>0</v>
      </c>
      <c r="H8" s="100">
        <f>HLOOKUP('LCFS Categorized'!$C8,'LCFS Table'!$A$2:$CT$356,32,)</f>
        <v>0</v>
      </c>
      <c r="I8" s="100">
        <f>HLOOKUP('LCFS Categorized'!$C8,'LCFS Table'!$A$2:$CT$356,33,)</f>
        <v>0</v>
      </c>
      <c r="J8" s="100">
        <f>HLOOKUP('LCFS Categorized'!$C8,'LCFS Table'!$A$2:$CT$356,34,)</f>
        <v>0</v>
      </c>
      <c r="K8" s="100">
        <f>HLOOKUP('LCFS Categorized'!$C8,'LCFS Table'!$A$2:$CT$356,35,)</f>
        <v>0</v>
      </c>
      <c r="L8" s="100">
        <f>HLOOKUP('LCFS Categorized'!$C8,'LCFS Table'!$A$2:$CT$356,36,)</f>
        <v>0</v>
      </c>
      <c r="M8" s="100">
        <f>HLOOKUP('LCFS Categorized'!$C8,'LCFS Table'!$A$2:$CT$356,37,)</f>
        <v>0</v>
      </c>
      <c r="N8" s="100">
        <f>HLOOKUP('LCFS Categorized'!$C8,'LCFS Table'!$A$2:$CT$356,38,)</f>
        <v>0</v>
      </c>
      <c r="O8" s="100">
        <f>HLOOKUP('LCFS Categorized'!$C8,'LCFS Table'!$A$2:$CT$356,39,)</f>
        <v>0</v>
      </c>
      <c r="P8" s="100">
        <f>HLOOKUP('LCFS Categorized'!$C8,'LCFS Table'!$A$2:$CT$356,40,)</f>
        <v>0</v>
      </c>
      <c r="Q8" s="100">
        <f>HLOOKUP('LCFS Categorized'!$C8,'LCFS Table'!$A$2:$CT$356,41,)</f>
        <v>0</v>
      </c>
      <c r="R8" s="100">
        <f>HLOOKUP('LCFS Categorized'!$C8,'LCFS Table'!$A$2:$CT$356,42,)</f>
        <v>0</v>
      </c>
      <c r="S8" s="100">
        <f>HLOOKUP('LCFS Categorized'!$C8,'LCFS Table'!$A$2:$CT$356,43,)</f>
        <v>0</v>
      </c>
      <c r="T8" s="100">
        <f>HLOOKUP('LCFS Categorized'!$C8,'LCFS Table'!$A$2:$CT$356,44,)</f>
        <v>0</v>
      </c>
      <c r="U8" s="100">
        <f>HLOOKUP('LCFS Categorized'!$C8,'LCFS Table'!$A$2:$CT$356,45,)</f>
        <v>0</v>
      </c>
      <c r="V8" s="100">
        <f>HLOOKUP('LCFS Categorized'!$C8,'LCFS Table'!$A$2:$CT$356,46,)</f>
        <v>0</v>
      </c>
      <c r="W8" s="100">
        <f>HLOOKUP('LCFS Categorized'!$C8,'LCFS Table'!$A$2:$CT$356,47,)</f>
        <v>0</v>
      </c>
      <c r="X8" s="100">
        <f>HLOOKUP('LCFS Categorized'!$C8,'LCFS Table'!$A$2:$CT$356,48,)</f>
        <v>0</v>
      </c>
      <c r="Y8" s="100">
        <f>HLOOKUP('LCFS Categorized'!$C8,'LCFS Table'!$A$2:$CT$356,49,)</f>
        <v>0</v>
      </c>
      <c r="Z8" s="100">
        <f>HLOOKUP('LCFS Categorized'!$C8,'LCFS Table'!$A$2:$CT$356,50,)</f>
        <v>0</v>
      </c>
      <c r="AA8" s="100">
        <f>HLOOKUP('LCFS Categorized'!$C8,'LCFS Table'!$A$2:$CT$356,51,)</f>
        <v>0</v>
      </c>
      <c r="AB8" s="100">
        <f>HLOOKUP('LCFS Categorized'!$C8,'LCFS Table'!$A$2:$CT$356,52,)</f>
        <v>0</v>
      </c>
      <c r="AC8" s="111">
        <f>HLOOKUP('LCFS Categorized'!$C8,'LCFS Table'!$A$2:$CT$356,53,)</f>
        <v>0</v>
      </c>
    </row>
    <row r="9" spans="1:29" ht="18.95" customHeight="1">
      <c r="A9" s="103" t="s">
        <v>86</v>
      </c>
      <c r="B9" s="104" t="s">
        <v>33</v>
      </c>
      <c r="C9" s="105" t="s">
        <v>155</v>
      </c>
      <c r="D9" s="106">
        <f>HLOOKUP('LCFS Categorized'!$C9,'LCFS Table'!$A$2:$CT$356,28,)</f>
        <v>0</v>
      </c>
      <c r="E9" s="106">
        <f>HLOOKUP('LCFS Categorized'!$C9,'LCFS Table'!$A$2:$CT$356,29,)</f>
        <v>0</v>
      </c>
      <c r="F9" s="106">
        <f>HLOOKUP('LCFS Categorized'!$C9,'LCFS Table'!$A$2:$CT$356,30,)</f>
        <v>0</v>
      </c>
      <c r="G9" s="106">
        <f>HLOOKUP('LCFS Categorized'!$C9,'LCFS Table'!$A$2:$CT$356,31,)</f>
        <v>0</v>
      </c>
      <c r="H9" s="106">
        <f>HLOOKUP('LCFS Categorized'!$C9,'LCFS Table'!$A$2:$CT$356,32,)</f>
        <v>0</v>
      </c>
      <c r="I9" s="106">
        <f>HLOOKUP('LCFS Categorized'!$C9,'LCFS Table'!$A$2:$CT$356,33,)</f>
        <v>0</v>
      </c>
      <c r="J9" s="106">
        <f>HLOOKUP('LCFS Categorized'!$C9,'LCFS Table'!$A$2:$CT$356,34,)</f>
        <v>0</v>
      </c>
      <c r="K9" s="106">
        <f>HLOOKUP('LCFS Categorized'!$C9,'LCFS Table'!$A$2:$CT$356,35,)</f>
        <v>0</v>
      </c>
      <c r="L9" s="106">
        <f>HLOOKUP('LCFS Categorized'!$C9,'LCFS Table'!$A$2:$CT$356,36,)</f>
        <v>0</v>
      </c>
      <c r="M9" s="106">
        <f>HLOOKUP('LCFS Categorized'!$C9,'LCFS Table'!$A$2:$CT$356,37,)</f>
        <v>0</v>
      </c>
      <c r="N9" s="106">
        <f>HLOOKUP('LCFS Categorized'!$C9,'LCFS Table'!$A$2:$CT$356,38,)</f>
        <v>0</v>
      </c>
      <c r="O9" s="106">
        <f>HLOOKUP('LCFS Categorized'!$C9,'LCFS Table'!$A$2:$CT$356,39,)</f>
        <v>0</v>
      </c>
      <c r="P9" s="106">
        <f>HLOOKUP('LCFS Categorized'!$C9,'LCFS Table'!$A$2:$CT$356,40,)</f>
        <v>0</v>
      </c>
      <c r="Q9" s="106">
        <f>HLOOKUP('LCFS Categorized'!$C9,'LCFS Table'!$A$2:$CT$356,41,)</f>
        <v>0</v>
      </c>
      <c r="R9" s="106">
        <f>HLOOKUP('LCFS Categorized'!$C9,'LCFS Table'!$A$2:$CT$356,42,)</f>
        <v>0</v>
      </c>
      <c r="S9" s="106">
        <f>HLOOKUP('LCFS Categorized'!$C9,'LCFS Table'!$A$2:$CT$356,43,)</f>
        <v>0</v>
      </c>
      <c r="T9" s="106">
        <f>HLOOKUP('LCFS Categorized'!$C9,'LCFS Table'!$A$2:$CT$356,44,)</f>
        <v>0</v>
      </c>
      <c r="U9" s="106">
        <f>HLOOKUP('LCFS Categorized'!$C9,'LCFS Table'!$A$2:$CT$356,45,)</f>
        <v>0</v>
      </c>
      <c r="V9" s="106">
        <f>HLOOKUP('LCFS Categorized'!$C9,'LCFS Table'!$A$2:$CT$356,46,)</f>
        <v>0</v>
      </c>
      <c r="W9" s="106">
        <f>HLOOKUP('LCFS Categorized'!$C9,'LCFS Table'!$A$2:$CT$356,47,)</f>
        <v>0</v>
      </c>
      <c r="X9" s="106">
        <f>HLOOKUP('LCFS Categorized'!$C9,'LCFS Table'!$A$2:$CT$356,48,)</f>
        <v>0</v>
      </c>
      <c r="Y9" s="106">
        <f>HLOOKUP('LCFS Categorized'!$C9,'LCFS Table'!$A$2:$CT$356,49,)</f>
        <v>0</v>
      </c>
      <c r="Z9" s="106">
        <f>HLOOKUP('LCFS Categorized'!$C9,'LCFS Table'!$A$2:$CT$356,50,)</f>
        <v>0</v>
      </c>
      <c r="AA9" s="106">
        <f>HLOOKUP('LCFS Categorized'!$C9,'LCFS Table'!$A$2:$CT$356,51,)</f>
        <v>0</v>
      </c>
      <c r="AB9" s="106">
        <f>HLOOKUP('LCFS Categorized'!$C9,'LCFS Table'!$A$2:$CT$356,52,)</f>
        <v>0</v>
      </c>
      <c r="AC9" s="107">
        <f>HLOOKUP('LCFS Categorized'!$C9,'LCFS Table'!$A$2:$CT$356,53,)</f>
        <v>0</v>
      </c>
    </row>
    <row r="10" spans="1:29" ht="18.95" customHeight="1">
      <c r="A10" s="108" t="s">
        <v>85</v>
      </c>
      <c r="B10" s="109" t="s">
        <v>118</v>
      </c>
      <c r="C10" s="110" t="s">
        <v>156</v>
      </c>
      <c r="D10" s="100">
        <f>HLOOKUP('LCFS Categorized'!$C10,'LCFS Table'!$A$2:$CT$356,28,)</f>
        <v>0.68</v>
      </c>
      <c r="E10" s="100">
        <f>HLOOKUP('LCFS Categorized'!$C10,'LCFS Table'!$A$2:$CT$356,29,)</f>
        <v>0.69274999999999998</v>
      </c>
      <c r="F10" s="100">
        <f>HLOOKUP('LCFS Categorized'!$C10,'LCFS Table'!$A$2:$CT$356,30,)</f>
        <v>0.76415</v>
      </c>
      <c r="G10" s="100">
        <f>HLOOKUP('LCFS Categorized'!$C10,'LCFS Table'!$A$2:$CT$356,31,)</f>
        <v>0.77604999999999991</v>
      </c>
      <c r="H10" s="100">
        <f>HLOOKUP('LCFS Categorized'!$C10,'LCFS Table'!$A$2:$CT$356,32,)</f>
        <v>0.79390000000000005</v>
      </c>
      <c r="I10" s="100">
        <f>HLOOKUP('LCFS Categorized'!$C10,'LCFS Table'!$A$2:$CT$356,33,)</f>
        <v>0.71909999999999996</v>
      </c>
      <c r="J10" s="100">
        <f>HLOOKUP('LCFS Categorized'!$C10,'LCFS Table'!$A$2:$CT$356,34,)</f>
        <v>0.77690000000000003</v>
      </c>
      <c r="K10" s="100">
        <f>HLOOKUP('LCFS Categorized'!$C10,'LCFS Table'!$A$2:$CT$356,35,)</f>
        <v>0.8075</v>
      </c>
      <c r="L10" s="100">
        <f>HLOOKUP('LCFS Categorized'!$C10,'LCFS Table'!$A$2:$CT$356,36,)</f>
        <v>0.80324999999999991</v>
      </c>
      <c r="M10" s="100">
        <f>HLOOKUP('LCFS Categorized'!$C10,'LCFS Table'!$A$2:$CT$356,37,)</f>
        <v>0.80409999999999993</v>
      </c>
      <c r="N10" s="100">
        <f>HLOOKUP('LCFS Categorized'!$C10,'LCFS Table'!$A$2:$CT$356,38,)</f>
        <v>0.88229999999999997</v>
      </c>
      <c r="O10" s="100">
        <f>HLOOKUP('LCFS Categorized'!$C10,'LCFS Table'!$A$2:$CT$356,39,)</f>
        <v>0.83342499999999997</v>
      </c>
      <c r="P10" s="100">
        <f>HLOOKUP('LCFS Categorized'!$C10,'LCFS Table'!$A$2:$CT$356,40,)</f>
        <v>0.92564999999999997</v>
      </c>
      <c r="Q10" s="100">
        <f>HLOOKUP('LCFS Categorized'!$C10,'LCFS Table'!$A$2:$CT$356,41,)</f>
        <v>0.93159999999999987</v>
      </c>
      <c r="R10" s="100">
        <f>HLOOKUP('LCFS Categorized'!$C10,'LCFS Table'!$A$2:$CT$356,42,)</f>
        <v>0.95709999999999984</v>
      </c>
      <c r="S10" s="100">
        <f>HLOOKUP('LCFS Categorized'!$C10,'LCFS Table'!$A$2:$CT$356,43,)</f>
        <v>0.98599999999999988</v>
      </c>
      <c r="T10" s="100">
        <f>HLOOKUP('LCFS Categorized'!$C10,'LCFS Table'!$A$2:$CT$356,44,)</f>
        <v>1.01915</v>
      </c>
      <c r="U10" s="100">
        <f>HLOOKUP('LCFS Categorized'!$C10,'LCFS Table'!$A$2:$CT$356,45,)</f>
        <v>1.0590999999999999</v>
      </c>
      <c r="V10" s="100">
        <f>HLOOKUP('LCFS Categorized'!$C10,'LCFS Table'!$A$2:$CT$356,46,)</f>
        <v>1.0675999999999999</v>
      </c>
      <c r="W10" s="100">
        <f>HLOOKUP('LCFS Categorized'!$C10,'LCFS Table'!$A$2:$CT$356,47,)</f>
        <v>1.07185</v>
      </c>
      <c r="X10" s="100">
        <f>HLOOKUP('LCFS Categorized'!$C10,'LCFS Table'!$A$2:$CT$356,48,)</f>
        <v>0.99733389999999988</v>
      </c>
      <c r="Y10" s="100">
        <f>HLOOKUP('LCFS Categorized'!$C10,'LCFS Table'!$A$2:$CT$356,49,)</f>
        <v>0.9927999999999999</v>
      </c>
      <c r="Z10" s="100">
        <f>HLOOKUP('LCFS Categorized'!$C10,'LCFS Table'!$A$2:$CT$356,50,)</f>
        <v>0.97070000000000012</v>
      </c>
      <c r="AA10" s="100">
        <f>HLOOKUP('LCFS Categorized'!$C10,'LCFS Table'!$A$2:$CT$356,51,)</f>
        <v>0.77434999999999987</v>
      </c>
      <c r="AB10" s="100">
        <f>HLOOKUP('LCFS Categorized'!$C10,'LCFS Table'!$A$2:$CT$356,52,)</f>
        <v>0.73524999999999996</v>
      </c>
      <c r="AC10" s="111">
        <f>HLOOKUP('LCFS Categorized'!$C10,'LCFS Table'!$A$2:$CT$356,53,)</f>
        <v>0.70974999999999999</v>
      </c>
    </row>
    <row r="11" spans="1:29" ht="18.95" customHeight="1">
      <c r="A11" s="103" t="s">
        <v>85</v>
      </c>
      <c r="B11" s="104" t="s">
        <v>118</v>
      </c>
      <c r="C11" s="105" t="s">
        <v>157</v>
      </c>
      <c r="D11" s="106">
        <f>HLOOKUP('LCFS Categorized'!$C11,'LCFS Table'!$A$2:$CT$356,28,)</f>
        <v>1</v>
      </c>
      <c r="E11" s="106">
        <f>HLOOKUP('LCFS Categorized'!$C11,'LCFS Table'!$A$2:$CT$356,29,)</f>
        <v>1</v>
      </c>
      <c r="F11" s="106">
        <f>HLOOKUP('LCFS Categorized'!$C11,'LCFS Table'!$A$2:$CT$356,30,)</f>
        <v>1</v>
      </c>
      <c r="G11" s="106">
        <f>HLOOKUP('LCFS Categorized'!$C11,'LCFS Table'!$A$2:$CT$356,31,)</f>
        <v>1</v>
      </c>
      <c r="H11" s="106">
        <f>HLOOKUP('LCFS Categorized'!$C11,'LCFS Table'!$A$2:$CT$356,32,)</f>
        <v>1</v>
      </c>
      <c r="I11" s="106">
        <f>HLOOKUP('LCFS Categorized'!$C11,'LCFS Table'!$A$2:$CT$356,33,)</f>
        <v>1</v>
      </c>
      <c r="J11" s="106">
        <f>HLOOKUP('LCFS Categorized'!$C11,'LCFS Table'!$A$2:$CT$356,34,)</f>
        <v>1</v>
      </c>
      <c r="K11" s="106">
        <f>HLOOKUP('LCFS Categorized'!$C11,'LCFS Table'!$A$2:$CT$356,35,)</f>
        <v>1</v>
      </c>
      <c r="L11" s="106">
        <f>HLOOKUP('LCFS Categorized'!$C11,'LCFS Table'!$A$2:$CT$356,36,)</f>
        <v>1</v>
      </c>
      <c r="M11" s="106">
        <f>HLOOKUP('LCFS Categorized'!$C11,'LCFS Table'!$A$2:$CT$356,37,)</f>
        <v>1</v>
      </c>
      <c r="N11" s="106">
        <f>HLOOKUP('LCFS Categorized'!$C11,'LCFS Table'!$A$2:$CT$356,38,)</f>
        <v>1</v>
      </c>
      <c r="O11" s="106">
        <f>HLOOKUP('LCFS Categorized'!$C11,'LCFS Table'!$A$2:$CT$356,39,)</f>
        <v>1</v>
      </c>
      <c r="P11" s="106">
        <f>HLOOKUP('LCFS Categorized'!$C11,'LCFS Table'!$A$2:$CT$356,40,)</f>
        <v>1</v>
      </c>
      <c r="Q11" s="106">
        <f>HLOOKUP('LCFS Categorized'!$C11,'LCFS Table'!$A$2:$CT$356,41,)</f>
        <v>1</v>
      </c>
      <c r="R11" s="106">
        <f>HLOOKUP('LCFS Categorized'!$C11,'LCFS Table'!$A$2:$CT$356,42,)</f>
        <v>1</v>
      </c>
      <c r="S11" s="106">
        <f>HLOOKUP('LCFS Categorized'!$C11,'LCFS Table'!$A$2:$CT$356,43,)</f>
        <v>1</v>
      </c>
      <c r="T11" s="106">
        <f>HLOOKUP('LCFS Categorized'!$C11,'LCFS Table'!$A$2:$CT$356,44,)</f>
        <v>1</v>
      </c>
      <c r="U11" s="106">
        <f>HLOOKUP('LCFS Categorized'!$C11,'LCFS Table'!$A$2:$CT$356,45,)</f>
        <v>1</v>
      </c>
      <c r="V11" s="106">
        <f>HLOOKUP('LCFS Categorized'!$C11,'LCFS Table'!$A$2:$CT$356,46,)</f>
        <v>1</v>
      </c>
      <c r="W11" s="106">
        <f>HLOOKUP('LCFS Categorized'!$C11,'LCFS Table'!$A$2:$CT$356,47,)</f>
        <v>1</v>
      </c>
      <c r="X11" s="106">
        <f>HLOOKUP('LCFS Categorized'!$C11,'LCFS Table'!$A$2:$CT$356,48,)</f>
        <v>1</v>
      </c>
      <c r="Y11" s="106">
        <f>HLOOKUP('LCFS Categorized'!$C11,'LCFS Table'!$A$2:$CT$356,49,)</f>
        <v>1</v>
      </c>
      <c r="Z11" s="106">
        <f>HLOOKUP('LCFS Categorized'!$C11,'LCFS Table'!$A$2:$CT$356,50,)</f>
        <v>1</v>
      </c>
      <c r="AA11" s="106">
        <f>HLOOKUP('LCFS Categorized'!$C11,'LCFS Table'!$A$2:$CT$356,51,)</f>
        <v>1</v>
      </c>
      <c r="AB11" s="106">
        <f>HLOOKUP('LCFS Categorized'!$C11,'LCFS Table'!$A$2:$CT$356,52,)</f>
        <v>1</v>
      </c>
      <c r="AC11" s="107">
        <f>HLOOKUP('LCFS Categorized'!$C11,'LCFS Table'!$A$2:$CT$356,53,)</f>
        <v>1</v>
      </c>
    </row>
    <row r="12" spans="1:29" ht="18.95" customHeight="1">
      <c r="A12" s="108" t="s">
        <v>85</v>
      </c>
      <c r="B12" s="109" t="s">
        <v>118</v>
      </c>
      <c r="C12" s="110" t="s">
        <v>158</v>
      </c>
      <c r="D12" s="100">
        <f>HLOOKUP('LCFS Categorized'!$C12,'LCFS Table'!$A$2:$CT$356,28,)</f>
        <v>1.7323302385059254</v>
      </c>
      <c r="E12" s="100">
        <f>HLOOKUP('LCFS Categorized'!$C12,'LCFS Table'!$A$2:$CT$356,29,)</f>
        <v>1.7446474672205434</v>
      </c>
      <c r="F12" s="100">
        <f>HLOOKUP('LCFS Categorized'!$C12,'LCFS Table'!$A$2:$CT$356,30,)</f>
        <v>1.7283711292762265</v>
      </c>
      <c r="G12" s="100">
        <f>HLOOKUP('LCFS Categorized'!$C12,'LCFS Table'!$A$2:$CT$356,31,)</f>
        <v>1.7252918220975719</v>
      </c>
      <c r="H12" s="100">
        <f>HLOOKUP('LCFS Categorized'!$C12,'LCFS Table'!$A$2:$CT$356,32,)</f>
        <v>1.7239721190210058</v>
      </c>
      <c r="I12" s="100">
        <f>HLOOKUP('LCFS Categorized'!$C12,'LCFS Table'!$A$2:$CT$356,33,)</f>
        <v>1.7195731087657851</v>
      </c>
      <c r="J12" s="100">
        <f>HLOOKUP('LCFS Categorized'!$C12,'LCFS Table'!$A$2:$CT$356,34,)</f>
        <v>1.7384888528632343</v>
      </c>
      <c r="K12" s="100">
        <f>HLOOKUP('LCFS Categorized'!$C12,'LCFS Table'!$A$2:$CT$356,35,)</f>
        <v>1.7525656856799405</v>
      </c>
      <c r="L12" s="100">
        <f>HLOOKUP('LCFS Categorized'!$C12,'LCFS Table'!$A$2:$CT$356,36,)</f>
        <v>1.7486065764502419</v>
      </c>
      <c r="M12" s="100">
        <f>HLOOKUP('LCFS Categorized'!$C12,'LCFS Table'!$A$2:$CT$356,37,)</f>
        <v>1.7600440031138158</v>
      </c>
      <c r="N12" s="100">
        <f>HLOOKUP('LCFS Categorized'!$C12,'LCFS Table'!$A$2:$CT$356,38,)</f>
        <v>1.7604839041393379</v>
      </c>
      <c r="O12" s="100">
        <f>HLOOKUP('LCFS Categorized'!$C12,'LCFS Table'!$A$2:$CT$356,39,)</f>
        <v>1.7549851413203121</v>
      </c>
      <c r="P12" s="100">
        <f>HLOOKUP('LCFS Categorized'!$C12,'LCFS Table'!$A$2:$CT$356,40,)</f>
        <v>1.754325289782029</v>
      </c>
      <c r="Q12" s="100">
        <f>HLOOKUP('LCFS Categorized'!$C12,'LCFS Table'!$A$2:$CT$356,41,)</f>
        <v>1.7675223205476911</v>
      </c>
      <c r="R12" s="100">
        <f>HLOOKUP('LCFS Categorized'!$C12,'LCFS Table'!$A$2:$CT$356,42,)</f>
        <v>1.7837986584920078</v>
      </c>
      <c r="S12" s="100">
        <f>HLOOKUP('LCFS Categorized'!$C12,'LCFS Table'!$A$2:$CT$356,43,)</f>
        <v>1.7956759861811038</v>
      </c>
      <c r="T12" s="100">
        <f>HLOOKUP('LCFS Categorized'!$C12,'LCFS Table'!$A$2:$CT$356,44,)</f>
        <v>1.826469057967649</v>
      </c>
      <c r="U12" s="100">
        <f>HLOOKUP('LCFS Categorized'!$C12,'LCFS Table'!$A$2:$CT$356,45,)</f>
        <v>1.8247094538655606</v>
      </c>
      <c r="V12" s="100">
        <f>HLOOKUP('LCFS Categorized'!$C12,'LCFS Table'!$A$2:$CT$356,46,)</f>
        <v>1.8374665836057007</v>
      </c>
      <c r="W12" s="100">
        <f>HLOOKUP('LCFS Categorized'!$C12,'LCFS Table'!$A$2:$CT$356,47,)</f>
        <v>1.8299882661718256</v>
      </c>
      <c r="X12" s="100">
        <f>HLOOKUP('LCFS Categorized'!$C12,'LCFS Table'!$A$2:$CT$356,48,)</f>
        <v>1.8211902456613842</v>
      </c>
      <c r="Y12" s="100">
        <f>HLOOKUP('LCFS Categorized'!$C12,'LCFS Table'!$A$2:$CT$356,49,)</f>
        <v>1.8211902456613842</v>
      </c>
      <c r="Z12" s="100">
        <f>HLOOKUP('LCFS Categorized'!$C12,'LCFS Table'!$A$2:$CT$356,50,)</f>
        <v>1.8242695528400386</v>
      </c>
      <c r="AA12" s="100">
        <f>HLOOKUP('LCFS Categorized'!$C12,'LCFS Table'!$A$2:$CT$356,51,)</f>
        <v>1.8088730169467659</v>
      </c>
      <c r="AB12" s="100">
        <f>HLOOKUP('LCFS Categorized'!$C12,'LCFS Table'!$A$2:$CT$356,52,)</f>
        <v>1.8123922251509428</v>
      </c>
      <c r="AC12" s="111">
        <f>HLOOKUP('LCFS Categorized'!$C12,'LCFS Table'!$A$2:$CT$356,53,)</f>
        <v>1.8101927200233323</v>
      </c>
    </row>
    <row r="13" spans="1:29" ht="18.95" customHeight="1">
      <c r="A13" s="103" t="s">
        <v>85</v>
      </c>
      <c r="B13" s="104" t="s">
        <v>118</v>
      </c>
      <c r="C13" s="105" t="s">
        <v>159</v>
      </c>
      <c r="D13" s="106">
        <f>HLOOKUP('LCFS Categorized'!$C13,'LCFS Table'!$A$2:$CT$356,28,)</f>
        <v>0</v>
      </c>
      <c r="E13" s="106">
        <f>HLOOKUP('LCFS Categorized'!$C13,'LCFS Table'!$A$2:$CT$356,29,)</f>
        <v>0</v>
      </c>
      <c r="F13" s="106">
        <f>HLOOKUP('LCFS Categorized'!$C13,'LCFS Table'!$A$2:$CT$356,30,)</f>
        <v>0</v>
      </c>
      <c r="G13" s="106">
        <f>HLOOKUP('LCFS Categorized'!$C13,'LCFS Table'!$A$2:$CT$356,31,)</f>
        <v>0</v>
      </c>
      <c r="H13" s="106">
        <f>HLOOKUP('LCFS Categorized'!$C13,'LCFS Table'!$A$2:$CT$356,32,)</f>
        <v>0</v>
      </c>
      <c r="I13" s="106">
        <f>HLOOKUP('LCFS Categorized'!$C13,'LCFS Table'!$A$2:$CT$356,33,)</f>
        <v>0</v>
      </c>
      <c r="J13" s="106">
        <f>HLOOKUP('LCFS Categorized'!$C13,'LCFS Table'!$A$2:$CT$356,34,)</f>
        <v>0</v>
      </c>
      <c r="K13" s="106">
        <f>HLOOKUP('LCFS Categorized'!$C13,'LCFS Table'!$A$2:$CT$356,35,)</f>
        <v>0</v>
      </c>
      <c r="L13" s="106">
        <f>HLOOKUP('LCFS Categorized'!$C13,'LCFS Table'!$A$2:$CT$356,36,)</f>
        <v>0</v>
      </c>
      <c r="M13" s="106">
        <f>HLOOKUP('LCFS Categorized'!$C13,'LCFS Table'!$A$2:$CT$356,37,)</f>
        <v>0</v>
      </c>
      <c r="N13" s="106">
        <f>HLOOKUP('LCFS Categorized'!$C13,'LCFS Table'!$A$2:$CT$356,38,)</f>
        <v>0</v>
      </c>
      <c r="O13" s="106">
        <f>HLOOKUP('LCFS Categorized'!$C13,'LCFS Table'!$A$2:$CT$356,39,)</f>
        <v>0</v>
      </c>
      <c r="P13" s="106">
        <f>HLOOKUP('LCFS Categorized'!$C13,'LCFS Table'!$A$2:$CT$356,40,)</f>
        <v>0</v>
      </c>
      <c r="Q13" s="106">
        <f>HLOOKUP('LCFS Categorized'!$C13,'LCFS Table'!$A$2:$CT$356,41,)</f>
        <v>0</v>
      </c>
      <c r="R13" s="106">
        <f>HLOOKUP('LCFS Categorized'!$C13,'LCFS Table'!$A$2:$CT$356,42,)</f>
        <v>0</v>
      </c>
      <c r="S13" s="106">
        <f>HLOOKUP('LCFS Categorized'!$C13,'LCFS Table'!$A$2:$CT$356,43,)</f>
        <v>0</v>
      </c>
      <c r="T13" s="106">
        <f>HLOOKUP('LCFS Categorized'!$C13,'LCFS Table'!$A$2:$CT$356,44,)</f>
        <v>0</v>
      </c>
      <c r="U13" s="106">
        <f>HLOOKUP('LCFS Categorized'!$C13,'LCFS Table'!$A$2:$CT$356,45,)</f>
        <v>0</v>
      </c>
      <c r="V13" s="106">
        <f>HLOOKUP('LCFS Categorized'!$C13,'LCFS Table'!$A$2:$CT$356,46,)</f>
        <v>0</v>
      </c>
      <c r="W13" s="106">
        <f>HLOOKUP('LCFS Categorized'!$C13,'LCFS Table'!$A$2:$CT$356,47,)</f>
        <v>0</v>
      </c>
      <c r="X13" s="106">
        <f>HLOOKUP('LCFS Categorized'!$C13,'LCFS Table'!$A$2:$CT$356,48,)</f>
        <v>0</v>
      </c>
      <c r="Y13" s="106">
        <f>HLOOKUP('LCFS Categorized'!$C13,'LCFS Table'!$A$2:$CT$356,49,)</f>
        <v>0</v>
      </c>
      <c r="Z13" s="106">
        <f>HLOOKUP('LCFS Categorized'!$C13,'LCFS Table'!$A$2:$CT$356,50,)</f>
        <v>0</v>
      </c>
      <c r="AA13" s="106">
        <f>HLOOKUP('LCFS Categorized'!$C13,'LCFS Table'!$A$2:$CT$356,51,)</f>
        <v>0</v>
      </c>
      <c r="AB13" s="106">
        <f>HLOOKUP('LCFS Categorized'!$C13,'LCFS Table'!$A$2:$CT$356,52,)</f>
        <v>0</v>
      </c>
      <c r="AC13" s="107">
        <f>HLOOKUP('LCFS Categorized'!$C13,'LCFS Table'!$A$2:$CT$356,53,)</f>
        <v>0</v>
      </c>
    </row>
    <row r="14" spans="1:29" ht="18.95" customHeight="1">
      <c r="A14" s="108" t="s">
        <v>86</v>
      </c>
      <c r="B14" s="109" t="s">
        <v>118</v>
      </c>
      <c r="C14" s="110" t="s">
        <v>160</v>
      </c>
      <c r="D14" s="100">
        <f>HLOOKUP('LCFS Categorized'!$C14,'LCFS Table'!$A$2:$CT$356,28,)</f>
        <v>0</v>
      </c>
      <c r="E14" s="100">
        <f>HLOOKUP('LCFS Categorized'!$C14,'LCFS Table'!$A$2:$CT$356,29,)</f>
        <v>0</v>
      </c>
      <c r="F14" s="100">
        <f>HLOOKUP('LCFS Categorized'!$C14,'LCFS Table'!$A$2:$CT$356,30,)</f>
        <v>0</v>
      </c>
      <c r="G14" s="100">
        <f>HLOOKUP('LCFS Categorized'!$C14,'LCFS Table'!$A$2:$CT$356,31,)</f>
        <v>0</v>
      </c>
      <c r="H14" s="100">
        <f>HLOOKUP('LCFS Categorized'!$C14,'LCFS Table'!$A$2:$CT$356,32,)</f>
        <v>0</v>
      </c>
      <c r="I14" s="100">
        <f>HLOOKUP('LCFS Categorized'!$C14,'LCFS Table'!$A$2:$CT$356,33,)</f>
        <v>0</v>
      </c>
      <c r="J14" s="100">
        <f>HLOOKUP('LCFS Categorized'!$C14,'LCFS Table'!$A$2:$CT$356,34,)</f>
        <v>0</v>
      </c>
      <c r="K14" s="100">
        <f>HLOOKUP('LCFS Categorized'!$C14,'LCFS Table'!$A$2:$CT$356,35,)</f>
        <v>0</v>
      </c>
      <c r="L14" s="100">
        <f>HLOOKUP('LCFS Categorized'!$C14,'LCFS Table'!$A$2:$CT$356,36,)</f>
        <v>0</v>
      </c>
      <c r="M14" s="100">
        <f>HLOOKUP('LCFS Categorized'!$C14,'LCFS Table'!$A$2:$CT$356,37,)</f>
        <v>0</v>
      </c>
      <c r="N14" s="100">
        <f>HLOOKUP('LCFS Categorized'!$C14,'LCFS Table'!$A$2:$CT$356,38,)</f>
        <v>0</v>
      </c>
      <c r="O14" s="100">
        <f>HLOOKUP('LCFS Categorized'!$C14,'LCFS Table'!$A$2:$CT$356,39,)</f>
        <v>0</v>
      </c>
      <c r="P14" s="100">
        <f>HLOOKUP('LCFS Categorized'!$C14,'LCFS Table'!$A$2:$CT$356,40,)</f>
        <v>0</v>
      </c>
      <c r="Q14" s="100">
        <f>HLOOKUP('LCFS Categorized'!$C14,'LCFS Table'!$A$2:$CT$356,41,)</f>
        <v>0</v>
      </c>
      <c r="R14" s="100">
        <f>HLOOKUP('LCFS Categorized'!$C14,'LCFS Table'!$A$2:$CT$356,42,)</f>
        <v>0</v>
      </c>
      <c r="S14" s="100">
        <f>HLOOKUP('LCFS Categorized'!$C14,'LCFS Table'!$A$2:$CT$356,43,)</f>
        <v>0</v>
      </c>
      <c r="T14" s="100">
        <f>HLOOKUP('LCFS Categorized'!$C14,'LCFS Table'!$A$2:$CT$356,44,)</f>
        <v>0</v>
      </c>
      <c r="U14" s="100">
        <f>HLOOKUP('LCFS Categorized'!$C14,'LCFS Table'!$A$2:$CT$356,45,)</f>
        <v>0</v>
      </c>
      <c r="V14" s="100">
        <f>HLOOKUP('LCFS Categorized'!$C14,'LCFS Table'!$A$2:$CT$356,46,)</f>
        <v>0</v>
      </c>
      <c r="W14" s="100">
        <f>HLOOKUP('LCFS Categorized'!$C14,'LCFS Table'!$A$2:$CT$356,47,)</f>
        <v>0</v>
      </c>
      <c r="X14" s="100">
        <f>HLOOKUP('LCFS Categorized'!$C14,'LCFS Table'!$A$2:$CT$356,48,)</f>
        <v>0</v>
      </c>
      <c r="Y14" s="100">
        <f>HLOOKUP('LCFS Categorized'!$C14,'LCFS Table'!$A$2:$CT$356,49,)</f>
        <v>0</v>
      </c>
      <c r="Z14" s="100">
        <f>HLOOKUP('LCFS Categorized'!$C14,'LCFS Table'!$A$2:$CT$356,50,)</f>
        <v>0</v>
      </c>
      <c r="AA14" s="100">
        <f>HLOOKUP('LCFS Categorized'!$C14,'LCFS Table'!$A$2:$CT$356,51,)</f>
        <v>0</v>
      </c>
      <c r="AB14" s="100">
        <f>HLOOKUP('LCFS Categorized'!$C14,'LCFS Table'!$A$2:$CT$356,52,)</f>
        <v>0</v>
      </c>
      <c r="AC14" s="111">
        <f>HLOOKUP('LCFS Categorized'!$C14,'LCFS Table'!$A$2:$CT$356,53,)</f>
        <v>0</v>
      </c>
    </row>
    <row r="15" spans="1:29" ht="18.95" customHeight="1">
      <c r="A15" s="103" t="s">
        <v>86</v>
      </c>
      <c r="B15" s="104" t="s">
        <v>118</v>
      </c>
      <c r="C15" s="105" t="s">
        <v>161</v>
      </c>
      <c r="D15" s="106">
        <f>HLOOKUP('LCFS Categorized'!$C15,'LCFS Table'!$A$2:$CT$356,28,)</f>
        <v>0</v>
      </c>
      <c r="E15" s="106">
        <f>HLOOKUP('LCFS Categorized'!$C15,'LCFS Table'!$A$2:$CT$356,29,)</f>
        <v>0</v>
      </c>
      <c r="F15" s="106">
        <f>HLOOKUP('LCFS Categorized'!$C15,'LCFS Table'!$A$2:$CT$356,30,)</f>
        <v>0</v>
      </c>
      <c r="G15" s="106">
        <f>HLOOKUP('LCFS Categorized'!$C15,'LCFS Table'!$A$2:$CT$356,31,)</f>
        <v>0</v>
      </c>
      <c r="H15" s="106">
        <f>HLOOKUP('LCFS Categorized'!$C15,'LCFS Table'!$A$2:$CT$356,32,)</f>
        <v>0</v>
      </c>
      <c r="I15" s="106">
        <f>HLOOKUP('LCFS Categorized'!$C15,'LCFS Table'!$A$2:$CT$356,33,)</f>
        <v>0</v>
      </c>
      <c r="J15" s="106">
        <f>HLOOKUP('LCFS Categorized'!$C15,'LCFS Table'!$A$2:$CT$356,34,)</f>
        <v>0</v>
      </c>
      <c r="K15" s="106">
        <f>HLOOKUP('LCFS Categorized'!$C15,'LCFS Table'!$A$2:$CT$356,35,)</f>
        <v>0</v>
      </c>
      <c r="L15" s="106">
        <f>HLOOKUP('LCFS Categorized'!$C15,'LCFS Table'!$A$2:$CT$356,36,)</f>
        <v>0</v>
      </c>
      <c r="M15" s="106">
        <f>HLOOKUP('LCFS Categorized'!$C15,'LCFS Table'!$A$2:$CT$356,37,)</f>
        <v>0</v>
      </c>
      <c r="N15" s="106">
        <f>HLOOKUP('LCFS Categorized'!$C15,'LCFS Table'!$A$2:$CT$356,38,)</f>
        <v>0</v>
      </c>
      <c r="O15" s="106">
        <f>HLOOKUP('LCFS Categorized'!$C15,'LCFS Table'!$A$2:$CT$356,39,)</f>
        <v>0</v>
      </c>
      <c r="P15" s="106">
        <f>HLOOKUP('LCFS Categorized'!$C15,'LCFS Table'!$A$2:$CT$356,40,)</f>
        <v>0</v>
      </c>
      <c r="Q15" s="106">
        <f>HLOOKUP('LCFS Categorized'!$C15,'LCFS Table'!$A$2:$CT$356,41,)</f>
        <v>0</v>
      </c>
      <c r="R15" s="106">
        <f>HLOOKUP('LCFS Categorized'!$C15,'LCFS Table'!$A$2:$CT$356,42,)</f>
        <v>0</v>
      </c>
      <c r="S15" s="106">
        <f>HLOOKUP('LCFS Categorized'!$C15,'LCFS Table'!$A$2:$CT$356,43,)</f>
        <v>0</v>
      </c>
      <c r="T15" s="106">
        <f>HLOOKUP('LCFS Categorized'!$C15,'LCFS Table'!$A$2:$CT$356,44,)</f>
        <v>0</v>
      </c>
      <c r="U15" s="106">
        <f>HLOOKUP('LCFS Categorized'!$C15,'LCFS Table'!$A$2:$CT$356,45,)</f>
        <v>0</v>
      </c>
      <c r="V15" s="106">
        <f>HLOOKUP('LCFS Categorized'!$C15,'LCFS Table'!$A$2:$CT$356,46,)</f>
        <v>0</v>
      </c>
      <c r="W15" s="106">
        <f>HLOOKUP('LCFS Categorized'!$C15,'LCFS Table'!$A$2:$CT$356,47,)</f>
        <v>0</v>
      </c>
      <c r="X15" s="106">
        <f>HLOOKUP('LCFS Categorized'!$C15,'LCFS Table'!$A$2:$CT$356,48,)</f>
        <v>0</v>
      </c>
      <c r="Y15" s="106">
        <f>HLOOKUP('LCFS Categorized'!$C15,'LCFS Table'!$A$2:$CT$356,49,)</f>
        <v>0</v>
      </c>
      <c r="Z15" s="106">
        <f>HLOOKUP('LCFS Categorized'!$C15,'LCFS Table'!$A$2:$CT$356,50,)</f>
        <v>0</v>
      </c>
      <c r="AA15" s="106">
        <f>HLOOKUP('LCFS Categorized'!$C15,'LCFS Table'!$A$2:$CT$356,51,)</f>
        <v>0</v>
      </c>
      <c r="AB15" s="106">
        <f>HLOOKUP('LCFS Categorized'!$C15,'LCFS Table'!$A$2:$CT$356,52,)</f>
        <v>0</v>
      </c>
      <c r="AC15" s="107">
        <f>HLOOKUP('LCFS Categorized'!$C15,'LCFS Table'!$A$2:$CT$356,53,)</f>
        <v>0</v>
      </c>
    </row>
    <row r="16" spans="1:29" ht="18.95" customHeight="1">
      <c r="A16" s="108" t="s">
        <v>86</v>
      </c>
      <c r="B16" s="109" t="s">
        <v>118</v>
      </c>
      <c r="C16" s="110" t="s">
        <v>162</v>
      </c>
      <c r="D16" s="100">
        <f>HLOOKUP('LCFS Categorized'!$C16,'LCFS Table'!$A$2:$CT$356,28,)</f>
        <v>0</v>
      </c>
      <c r="E16" s="100">
        <f>HLOOKUP('LCFS Categorized'!$C16,'LCFS Table'!$A$2:$CT$356,29,)</f>
        <v>0</v>
      </c>
      <c r="F16" s="100">
        <f>HLOOKUP('LCFS Categorized'!$C16,'LCFS Table'!$A$2:$CT$356,30,)</f>
        <v>0</v>
      </c>
      <c r="G16" s="100">
        <f>HLOOKUP('LCFS Categorized'!$C16,'LCFS Table'!$A$2:$CT$356,31,)</f>
        <v>0</v>
      </c>
      <c r="H16" s="100">
        <f>HLOOKUP('LCFS Categorized'!$C16,'LCFS Table'!$A$2:$CT$356,32,)</f>
        <v>0</v>
      </c>
      <c r="I16" s="100">
        <f>HLOOKUP('LCFS Categorized'!$C16,'LCFS Table'!$A$2:$CT$356,33,)</f>
        <v>0</v>
      </c>
      <c r="J16" s="100">
        <f>HLOOKUP('LCFS Categorized'!$C16,'LCFS Table'!$A$2:$CT$356,34,)</f>
        <v>0</v>
      </c>
      <c r="K16" s="100">
        <f>HLOOKUP('LCFS Categorized'!$C16,'LCFS Table'!$A$2:$CT$356,35,)</f>
        <v>0</v>
      </c>
      <c r="L16" s="100">
        <f>HLOOKUP('LCFS Categorized'!$C16,'LCFS Table'!$A$2:$CT$356,36,)</f>
        <v>0</v>
      </c>
      <c r="M16" s="100">
        <f>HLOOKUP('LCFS Categorized'!$C16,'LCFS Table'!$A$2:$CT$356,37,)</f>
        <v>0</v>
      </c>
      <c r="N16" s="100">
        <f>HLOOKUP('LCFS Categorized'!$C16,'LCFS Table'!$A$2:$CT$356,38,)</f>
        <v>0</v>
      </c>
      <c r="O16" s="100">
        <f>HLOOKUP('LCFS Categorized'!$C16,'LCFS Table'!$A$2:$CT$356,39,)</f>
        <v>0</v>
      </c>
      <c r="P16" s="100">
        <f>HLOOKUP('LCFS Categorized'!$C16,'LCFS Table'!$A$2:$CT$356,40,)</f>
        <v>0</v>
      </c>
      <c r="Q16" s="100">
        <f>HLOOKUP('LCFS Categorized'!$C16,'LCFS Table'!$A$2:$CT$356,41,)</f>
        <v>0</v>
      </c>
      <c r="R16" s="100">
        <f>HLOOKUP('LCFS Categorized'!$C16,'LCFS Table'!$A$2:$CT$356,42,)</f>
        <v>0</v>
      </c>
      <c r="S16" s="100">
        <f>HLOOKUP('LCFS Categorized'!$C16,'LCFS Table'!$A$2:$CT$356,43,)</f>
        <v>0</v>
      </c>
      <c r="T16" s="100">
        <f>HLOOKUP('LCFS Categorized'!$C16,'LCFS Table'!$A$2:$CT$356,44,)</f>
        <v>0</v>
      </c>
      <c r="U16" s="100">
        <f>HLOOKUP('LCFS Categorized'!$C16,'LCFS Table'!$A$2:$CT$356,45,)</f>
        <v>0</v>
      </c>
      <c r="V16" s="100">
        <f>HLOOKUP('LCFS Categorized'!$C16,'LCFS Table'!$A$2:$CT$356,46,)</f>
        <v>0</v>
      </c>
      <c r="W16" s="100">
        <f>HLOOKUP('LCFS Categorized'!$C16,'LCFS Table'!$A$2:$CT$356,47,)</f>
        <v>0</v>
      </c>
      <c r="X16" s="100">
        <f>HLOOKUP('LCFS Categorized'!$C16,'LCFS Table'!$A$2:$CT$356,48,)</f>
        <v>0</v>
      </c>
      <c r="Y16" s="100">
        <f>HLOOKUP('LCFS Categorized'!$C16,'LCFS Table'!$A$2:$CT$356,49,)</f>
        <v>0</v>
      </c>
      <c r="Z16" s="100">
        <f>HLOOKUP('LCFS Categorized'!$C16,'LCFS Table'!$A$2:$CT$356,50,)</f>
        <v>0</v>
      </c>
      <c r="AA16" s="100">
        <f>HLOOKUP('LCFS Categorized'!$C16,'LCFS Table'!$A$2:$CT$356,51,)</f>
        <v>0</v>
      </c>
      <c r="AB16" s="100">
        <f>HLOOKUP('LCFS Categorized'!$C16,'LCFS Table'!$A$2:$CT$356,52,)</f>
        <v>0</v>
      </c>
      <c r="AC16" s="111">
        <f>HLOOKUP('LCFS Categorized'!$C16,'LCFS Table'!$A$2:$CT$356,53,)</f>
        <v>0</v>
      </c>
    </row>
    <row r="17" spans="1:29" ht="18.95" customHeight="1">
      <c r="A17" s="112" t="s">
        <v>86</v>
      </c>
      <c r="B17" s="113" t="s">
        <v>118</v>
      </c>
      <c r="C17" s="114" t="s">
        <v>163</v>
      </c>
      <c r="D17" s="115">
        <f>HLOOKUP('LCFS Categorized'!$C17,'LCFS Table'!$A$2:$CT$356,28,)</f>
        <v>0.16</v>
      </c>
      <c r="E17" s="115">
        <f>HLOOKUP('LCFS Categorized'!$C17,'LCFS Table'!$A$2:$CT$356,29,)</f>
        <v>0.16</v>
      </c>
      <c r="F17" s="115">
        <f>HLOOKUP('LCFS Categorized'!$C17,'LCFS Table'!$A$2:$CT$356,30,)</f>
        <v>0.16</v>
      </c>
      <c r="G17" s="115">
        <f>HLOOKUP('LCFS Categorized'!$C17,'LCFS Table'!$A$2:$CT$356,31,)</f>
        <v>0.16</v>
      </c>
      <c r="H17" s="115">
        <f>HLOOKUP('LCFS Categorized'!$C17,'LCFS Table'!$A$2:$CT$356,32,)</f>
        <v>0.16</v>
      </c>
      <c r="I17" s="115">
        <f>HLOOKUP('LCFS Categorized'!$C17,'LCFS Table'!$A$2:$CT$356,33,)</f>
        <v>0.16</v>
      </c>
      <c r="J17" s="115">
        <f>HLOOKUP('LCFS Categorized'!$C17,'LCFS Table'!$A$2:$CT$356,34,)</f>
        <v>0.16</v>
      </c>
      <c r="K17" s="115">
        <f>HLOOKUP('LCFS Categorized'!$C17,'LCFS Table'!$A$2:$CT$356,35,)</f>
        <v>0.16</v>
      </c>
      <c r="L17" s="115">
        <f>HLOOKUP('LCFS Categorized'!$C17,'LCFS Table'!$A$2:$CT$356,36,)</f>
        <v>0.16</v>
      </c>
      <c r="M17" s="115">
        <f>HLOOKUP('LCFS Categorized'!$C17,'LCFS Table'!$A$2:$CT$356,37,)</f>
        <v>0.16</v>
      </c>
      <c r="N17" s="115">
        <f>HLOOKUP('LCFS Categorized'!$C17,'LCFS Table'!$A$2:$CT$356,38,)</f>
        <v>0.16</v>
      </c>
      <c r="O17" s="115">
        <f>HLOOKUP('LCFS Categorized'!$C17,'LCFS Table'!$A$2:$CT$356,39,)</f>
        <v>0.16</v>
      </c>
      <c r="P17" s="115">
        <f>HLOOKUP('LCFS Categorized'!$C17,'LCFS Table'!$A$2:$CT$356,40,)</f>
        <v>0.16</v>
      </c>
      <c r="Q17" s="115">
        <f>HLOOKUP('LCFS Categorized'!$C17,'LCFS Table'!$A$2:$CT$356,41,)</f>
        <v>0.16</v>
      </c>
      <c r="R17" s="115">
        <f>HLOOKUP('LCFS Categorized'!$C17,'LCFS Table'!$A$2:$CT$356,42,)</f>
        <v>0.16</v>
      </c>
      <c r="S17" s="115">
        <f>HLOOKUP('LCFS Categorized'!$C17,'LCFS Table'!$A$2:$CT$356,43,)</f>
        <v>0.16</v>
      </c>
      <c r="T17" s="115">
        <f>HLOOKUP('LCFS Categorized'!$C17,'LCFS Table'!$A$2:$CT$356,44,)</f>
        <v>0.16</v>
      </c>
      <c r="U17" s="115">
        <f>HLOOKUP('LCFS Categorized'!$C17,'LCFS Table'!$A$2:$CT$356,45,)</f>
        <v>0.16</v>
      </c>
      <c r="V17" s="115">
        <f>HLOOKUP('LCFS Categorized'!$C17,'LCFS Table'!$A$2:$CT$356,46,)</f>
        <v>0.16</v>
      </c>
      <c r="W17" s="115">
        <f>HLOOKUP('LCFS Categorized'!$C17,'LCFS Table'!$A$2:$CT$356,47,)</f>
        <v>0.16</v>
      </c>
      <c r="X17" s="115">
        <f>HLOOKUP('LCFS Categorized'!$C17,'LCFS Table'!$A$2:$CT$356,48,)</f>
        <v>0.16</v>
      </c>
      <c r="Y17" s="115">
        <f>HLOOKUP('LCFS Categorized'!$C17,'LCFS Table'!$A$2:$CT$356,49,)</f>
        <v>0.16</v>
      </c>
      <c r="Z17" s="115">
        <f>HLOOKUP('LCFS Categorized'!$C17,'LCFS Table'!$A$2:$CT$356,50,)</f>
        <v>0.16</v>
      </c>
      <c r="AA17" s="115">
        <f>HLOOKUP('LCFS Categorized'!$C17,'LCFS Table'!$A$2:$CT$356,51,)</f>
        <v>0.16</v>
      </c>
      <c r="AB17" s="115">
        <f>HLOOKUP('LCFS Categorized'!$C17,'LCFS Table'!$A$2:$CT$356,52,)</f>
        <v>0.16</v>
      </c>
      <c r="AC17" s="116">
        <f>HLOOKUP('LCFS Categorized'!$C17,'LCFS Table'!$A$2:$CT$356,53,)</f>
        <v>0.16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167E28-07A5-4B8F-91FD-7D452E5ED782}">
          <x14:formula1>
            <xm:f>'LCFS Table'!$2:$2</xm:f>
          </x14:formula1>
          <xm:sqref>C2:C17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5E02-E147-4966-A406-BE2DF90908A5}">
  <sheetPr>
    <tabColor theme="8"/>
  </sheetPr>
  <dimension ref="A1:DG356"/>
  <sheetViews>
    <sheetView zoomScale="90" zoomScaleNormal="90" workbookViewId="0">
      <pane xSplit="2" ySplit="2" topLeftCell="C169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11" defaultRowHeight="15.75"/>
  <cols>
    <col min="1" max="10" width="13.375" style="129" customWidth="1"/>
    <col min="11" max="32" width="11" style="129"/>
    <col min="33" max="33" width="12.5" style="129" customWidth="1"/>
    <col min="34" max="44" width="11" style="129"/>
    <col min="45" max="45" width="12.625" style="129" bestFit="1" customWidth="1"/>
    <col min="46" max="49" width="11" style="129"/>
    <col min="50" max="50" width="12.625" style="129" bestFit="1" customWidth="1"/>
    <col min="51" max="58" width="11" style="129"/>
    <col min="59" max="59" width="13.375" style="129" customWidth="1"/>
    <col min="60" max="95" width="11" style="129"/>
    <col min="96" max="96" width="11" style="168"/>
    <col min="97" max="105" width="11" style="129"/>
    <col min="107" max="16384" width="11" style="129"/>
  </cols>
  <sheetData>
    <row r="1" spans="1:111" s="117" customFormat="1" ht="30.95" customHeight="1">
      <c r="E1" s="118" t="s">
        <v>164</v>
      </c>
      <c r="F1" s="118" t="s">
        <v>164</v>
      </c>
      <c r="G1" s="118" t="s">
        <v>164</v>
      </c>
      <c r="H1" s="118" t="s">
        <v>164</v>
      </c>
      <c r="I1" s="118" t="s">
        <v>164</v>
      </c>
      <c r="J1" s="118" t="s">
        <v>164</v>
      </c>
      <c r="K1" s="119" t="s">
        <v>165</v>
      </c>
      <c r="L1" s="119" t="s">
        <v>165</v>
      </c>
      <c r="M1" s="118" t="s">
        <v>164</v>
      </c>
      <c r="N1" s="119" t="s">
        <v>166</v>
      </c>
      <c r="O1" s="119" t="s">
        <v>166</v>
      </c>
      <c r="P1" s="119" t="s">
        <v>166</v>
      </c>
      <c r="Q1" s="119" t="s">
        <v>166</v>
      </c>
      <c r="R1" s="119" t="s">
        <v>166</v>
      </c>
      <c r="S1" s="118" t="s">
        <v>164</v>
      </c>
      <c r="T1" s="118" t="s">
        <v>164</v>
      </c>
      <c r="U1" s="118" t="s">
        <v>164</v>
      </c>
      <c r="V1" s="118" t="s">
        <v>164</v>
      </c>
      <c r="W1" s="118" t="s">
        <v>164</v>
      </c>
      <c r="X1" s="118" t="s">
        <v>164</v>
      </c>
      <c r="Y1" s="118" t="s">
        <v>164</v>
      </c>
      <c r="Z1" s="118" t="s">
        <v>164</v>
      </c>
      <c r="AA1" s="120" t="s">
        <v>167</v>
      </c>
      <c r="AB1" s="120" t="s">
        <v>167</v>
      </c>
      <c r="AC1" s="120" t="s">
        <v>167</v>
      </c>
      <c r="AD1" s="120" t="s">
        <v>167</v>
      </c>
      <c r="AE1" s="120" t="s">
        <v>167</v>
      </c>
      <c r="AF1" s="120" t="s">
        <v>167</v>
      </c>
      <c r="AG1" s="120" t="s">
        <v>167</v>
      </c>
      <c r="AH1" s="120" t="s">
        <v>167</v>
      </c>
      <c r="AI1" s="120" t="s">
        <v>167</v>
      </c>
      <c r="AJ1" s="120" t="s">
        <v>167</v>
      </c>
      <c r="AK1" s="118" t="s">
        <v>164</v>
      </c>
      <c r="AL1" s="118" t="s">
        <v>164</v>
      </c>
      <c r="AM1" s="120" t="s">
        <v>167</v>
      </c>
      <c r="AN1" s="120" t="s">
        <v>167</v>
      </c>
      <c r="AO1" s="118" t="s">
        <v>164</v>
      </c>
      <c r="AP1" s="118" t="s">
        <v>164</v>
      </c>
      <c r="AQ1" s="119" t="s">
        <v>168</v>
      </c>
      <c r="AR1" s="119" t="s">
        <v>168</v>
      </c>
      <c r="AS1" s="118" t="s">
        <v>164</v>
      </c>
      <c r="AT1" s="120" t="s">
        <v>167</v>
      </c>
      <c r="AU1" s="120" t="s">
        <v>167</v>
      </c>
      <c r="AV1" s="120" t="s">
        <v>167</v>
      </c>
      <c r="AW1" s="120" t="s">
        <v>167</v>
      </c>
      <c r="AX1" s="120" t="s">
        <v>167</v>
      </c>
      <c r="AY1" s="120" t="s">
        <v>167</v>
      </c>
      <c r="AZ1" s="120" t="s">
        <v>167</v>
      </c>
      <c r="BA1" s="120" t="s">
        <v>167</v>
      </c>
      <c r="BB1" s="120" t="s">
        <v>167</v>
      </c>
      <c r="BC1" s="118" t="s">
        <v>164</v>
      </c>
      <c r="BD1" s="118" t="s">
        <v>164</v>
      </c>
      <c r="BE1" s="118" t="s">
        <v>164</v>
      </c>
      <c r="BF1" s="118" t="s">
        <v>164</v>
      </c>
      <c r="BG1" s="118" t="s">
        <v>164</v>
      </c>
      <c r="BH1" s="118" t="s">
        <v>164</v>
      </c>
      <c r="BI1" s="118" t="s">
        <v>164</v>
      </c>
      <c r="BJ1" s="118" t="s">
        <v>164</v>
      </c>
      <c r="BK1" s="118" t="s">
        <v>164</v>
      </c>
      <c r="BL1" s="118" t="s">
        <v>164</v>
      </c>
      <c r="BM1" s="118" t="s">
        <v>164</v>
      </c>
      <c r="BN1" s="118" t="s">
        <v>164</v>
      </c>
      <c r="BO1" s="118" t="s">
        <v>164</v>
      </c>
      <c r="BP1" s="118" t="s">
        <v>164</v>
      </c>
      <c r="BQ1" s="118" t="s">
        <v>164</v>
      </c>
      <c r="BR1" s="118" t="s">
        <v>164</v>
      </c>
      <c r="BS1" s="118" t="s">
        <v>164</v>
      </c>
      <c r="BT1" s="118" t="s">
        <v>164</v>
      </c>
      <c r="BU1" s="118" t="s">
        <v>164</v>
      </c>
      <c r="BV1" s="118" t="s">
        <v>164</v>
      </c>
      <c r="BW1" s="120" t="s">
        <v>167</v>
      </c>
      <c r="BX1" s="120" t="s">
        <v>167</v>
      </c>
      <c r="BY1" s="120" t="s">
        <v>167</v>
      </c>
      <c r="BZ1" s="120" t="s">
        <v>167</v>
      </c>
      <c r="CA1" s="120" t="s">
        <v>167</v>
      </c>
      <c r="CB1" s="120" t="s">
        <v>167</v>
      </c>
      <c r="CC1" s="120" t="s">
        <v>167</v>
      </c>
      <c r="CD1" s="120" t="s">
        <v>167</v>
      </c>
      <c r="CE1" s="120" t="s">
        <v>167</v>
      </c>
      <c r="CF1" s="120" t="s">
        <v>167</v>
      </c>
      <c r="CG1" s="120" t="s">
        <v>167</v>
      </c>
      <c r="CH1" s="120" t="s">
        <v>167</v>
      </c>
      <c r="CI1" s="120" t="s">
        <v>167</v>
      </c>
      <c r="CJ1" s="120" t="s">
        <v>167</v>
      </c>
      <c r="CK1" s="120" t="s">
        <v>167</v>
      </c>
      <c r="CL1" s="120" t="s">
        <v>167</v>
      </c>
      <c r="CM1" s="120" t="s">
        <v>167</v>
      </c>
      <c r="CN1" s="120" t="s">
        <v>167</v>
      </c>
      <c r="CO1" s="120" t="s">
        <v>167</v>
      </c>
      <c r="CP1" s="120" t="s">
        <v>167</v>
      </c>
      <c r="CR1" s="121"/>
    </row>
    <row r="2" spans="1:111" ht="135.94999999999999" customHeight="1">
      <c r="A2" s="122" t="s">
        <v>169</v>
      </c>
      <c r="B2" s="123" t="s">
        <v>170</v>
      </c>
      <c r="C2" s="123" t="s">
        <v>171</v>
      </c>
      <c r="D2" s="123" t="s">
        <v>172</v>
      </c>
      <c r="E2" s="124" t="s">
        <v>95</v>
      </c>
      <c r="F2" s="124" t="s">
        <v>96</v>
      </c>
      <c r="G2" s="124" t="s">
        <v>173</v>
      </c>
      <c r="H2" s="124" t="s">
        <v>174</v>
      </c>
      <c r="I2" s="124" t="s">
        <v>175</v>
      </c>
      <c r="J2" s="124" t="s">
        <v>176</v>
      </c>
      <c r="K2" s="125" t="s">
        <v>177</v>
      </c>
      <c r="L2" s="125" t="s">
        <v>178</v>
      </c>
      <c r="M2" s="123" t="s">
        <v>179</v>
      </c>
      <c r="N2" s="125" t="s">
        <v>180</v>
      </c>
      <c r="O2" s="125" t="s">
        <v>181</v>
      </c>
      <c r="P2" s="125" t="s">
        <v>182</v>
      </c>
      <c r="Q2" s="125" t="s">
        <v>183</v>
      </c>
      <c r="R2" s="125" t="s">
        <v>184</v>
      </c>
      <c r="S2" s="126" t="s">
        <v>185</v>
      </c>
      <c r="T2" s="126" t="s">
        <v>186</v>
      </c>
      <c r="U2" s="126" t="s">
        <v>187</v>
      </c>
      <c r="V2" s="124" t="s">
        <v>188</v>
      </c>
      <c r="W2" s="124" t="s">
        <v>189</v>
      </c>
      <c r="X2" s="124" t="s">
        <v>190</v>
      </c>
      <c r="Y2" s="124" t="s">
        <v>191</v>
      </c>
      <c r="Z2" s="124" t="s">
        <v>192</v>
      </c>
      <c r="AA2" s="123" t="s">
        <v>193</v>
      </c>
      <c r="AB2" s="123" t="s">
        <v>194</v>
      </c>
      <c r="AC2" s="123" t="s">
        <v>195</v>
      </c>
      <c r="AD2" s="123" t="s">
        <v>196</v>
      </c>
      <c r="AE2" s="123" t="s">
        <v>197</v>
      </c>
      <c r="AF2" s="123" t="s">
        <v>198</v>
      </c>
      <c r="AG2" s="123" t="s">
        <v>199</v>
      </c>
      <c r="AH2" s="123" t="s">
        <v>200</v>
      </c>
      <c r="AI2" s="123" t="s">
        <v>201</v>
      </c>
      <c r="AJ2" s="123" t="s">
        <v>202</v>
      </c>
      <c r="AK2" s="124" t="s">
        <v>203</v>
      </c>
      <c r="AL2" s="124" t="s">
        <v>204</v>
      </c>
      <c r="AM2" s="123" t="s">
        <v>205</v>
      </c>
      <c r="AN2" s="123" t="s">
        <v>206</v>
      </c>
      <c r="AO2" s="124" t="s">
        <v>207</v>
      </c>
      <c r="AP2" s="124" t="s">
        <v>208</v>
      </c>
      <c r="AQ2" s="125" t="s">
        <v>209</v>
      </c>
      <c r="AR2" s="125" t="s">
        <v>210</v>
      </c>
      <c r="AS2" s="124" t="s">
        <v>211</v>
      </c>
      <c r="AT2" s="124" t="s">
        <v>212</v>
      </c>
      <c r="AU2" s="124" t="s">
        <v>213</v>
      </c>
      <c r="AV2" s="124" t="s">
        <v>214</v>
      </c>
      <c r="AW2" s="124" t="s">
        <v>215</v>
      </c>
      <c r="AX2" s="124" t="s">
        <v>216</v>
      </c>
      <c r="AY2" s="124" t="s">
        <v>217</v>
      </c>
      <c r="AZ2" s="124" t="s">
        <v>218</v>
      </c>
      <c r="BA2" s="124" t="s">
        <v>219</v>
      </c>
      <c r="BB2" s="124" t="s">
        <v>220</v>
      </c>
      <c r="BC2" s="124" t="s">
        <v>158</v>
      </c>
      <c r="BD2" s="124" t="s">
        <v>159</v>
      </c>
      <c r="BE2" s="124" t="s">
        <v>157</v>
      </c>
      <c r="BF2" s="124" t="s">
        <v>156</v>
      </c>
      <c r="BG2" s="124" t="s">
        <v>221</v>
      </c>
      <c r="BH2" s="124" t="s">
        <v>150</v>
      </c>
      <c r="BI2" s="124" t="s">
        <v>151</v>
      </c>
      <c r="BJ2" s="124" t="s">
        <v>149</v>
      </c>
      <c r="BK2" s="124" t="s">
        <v>148</v>
      </c>
      <c r="BL2" s="124" t="s">
        <v>222</v>
      </c>
      <c r="BM2" s="124" t="s">
        <v>162</v>
      </c>
      <c r="BN2" s="124" t="s">
        <v>163</v>
      </c>
      <c r="BO2" s="124" t="s">
        <v>161</v>
      </c>
      <c r="BP2" s="124" t="s">
        <v>160</v>
      </c>
      <c r="BQ2" s="124" t="s">
        <v>223</v>
      </c>
      <c r="BR2" s="124" t="s">
        <v>154</v>
      </c>
      <c r="BS2" s="124" t="s">
        <v>155</v>
      </c>
      <c r="BT2" s="124" t="s">
        <v>153</v>
      </c>
      <c r="BU2" s="124" t="s">
        <v>152</v>
      </c>
      <c r="BV2" s="124" t="s">
        <v>224</v>
      </c>
      <c r="BW2" s="126" t="s">
        <v>225</v>
      </c>
      <c r="BX2" s="126" t="s">
        <v>226</v>
      </c>
      <c r="BY2" s="126" t="s">
        <v>227</v>
      </c>
      <c r="BZ2" s="126" t="s">
        <v>228</v>
      </c>
      <c r="CA2" s="126" t="s">
        <v>229</v>
      </c>
      <c r="CB2" s="126" t="s">
        <v>230</v>
      </c>
      <c r="CC2" s="126" t="s">
        <v>231</v>
      </c>
      <c r="CD2" s="126" t="s">
        <v>232</v>
      </c>
      <c r="CE2" s="126" t="s">
        <v>233</v>
      </c>
      <c r="CF2" s="126" t="s">
        <v>234</v>
      </c>
      <c r="CG2" s="123" t="s">
        <v>235</v>
      </c>
      <c r="CH2" s="123" t="s">
        <v>236</v>
      </c>
      <c r="CI2" s="123" t="s">
        <v>237</v>
      </c>
      <c r="CJ2" s="123" t="s">
        <v>238</v>
      </c>
      <c r="CK2" s="123" t="s">
        <v>239</v>
      </c>
      <c r="CL2" s="123" t="s">
        <v>240</v>
      </c>
      <c r="CM2" s="123" t="s">
        <v>241</v>
      </c>
      <c r="CN2" s="123" t="s">
        <v>242</v>
      </c>
      <c r="CO2" s="123" t="s">
        <v>243</v>
      </c>
      <c r="CP2" s="123" t="s">
        <v>244</v>
      </c>
      <c r="CQ2" s="123" t="s">
        <v>245</v>
      </c>
      <c r="CR2" s="127" t="s">
        <v>246</v>
      </c>
      <c r="CS2" s="123" t="s">
        <v>247</v>
      </c>
      <c r="CT2" s="128" t="s">
        <v>248</v>
      </c>
      <c r="CW2" s="128" t="s">
        <v>249</v>
      </c>
      <c r="CX2" s="128" t="s">
        <v>250</v>
      </c>
      <c r="CY2" s="128" t="s">
        <v>171</v>
      </c>
      <c r="DC2" s="117" t="s">
        <v>251</v>
      </c>
      <c r="DD2" s="117" t="s">
        <v>252</v>
      </c>
      <c r="DE2" s="117" t="s">
        <v>253</v>
      </c>
      <c r="DF2" s="117" t="s">
        <v>254</v>
      </c>
      <c r="DG2" s="117" t="s">
        <v>255</v>
      </c>
    </row>
    <row r="3" spans="1:111" s="146" customFormat="1">
      <c r="A3" s="130">
        <f>'LCFS Table'!$B3-5</f>
        <v>43464</v>
      </c>
      <c r="B3" s="131">
        <v>43469</v>
      </c>
      <c r="C3" s="132">
        <f>YEAR(B3)</f>
        <v>2019</v>
      </c>
      <c r="D3" s="133" t="s">
        <v>256</v>
      </c>
      <c r="E3" s="134"/>
      <c r="F3" s="134">
        <f>('LCFS Table'!$M3)-'LCFS Table'!$J3</f>
        <v>-2.8871069848447499</v>
      </c>
      <c r="G3" s="135"/>
      <c r="H3" s="135">
        <f>'LCFS Table'!$F3+'LCFS Table'!$AX3+'LCFS Table'!$AY3+'LCFS Table'!$AZ3+'LCFS Table'!$BA3+('LCFS Table'!$CQ3*0.9/(0.8/0.99)/100)+(DG3*'LCFS Table'!$AF3)+(DF3*'LCFS Table'!$AG3)</f>
        <v>0.13753867187499996</v>
      </c>
      <c r="I3" s="134">
        <f>('LCFS Table'!$V3+'LCFS Table'!$W3+'LCFS Table'!$X3)/100+(('LCFS Table'!$AI3+'LCFS Table'!$AJ3)/340)</f>
        <v>2.6963964330413019</v>
      </c>
      <c r="J3" s="134">
        <f>(('LCFS Table'!$Y3+'LCFS Table'!$Z3)/100)+(('LCFS Table'!$AM3+'LCFS Table'!$AN3)/300)</f>
        <v>3.1709925781249999</v>
      </c>
      <c r="K3" s="136" t="s">
        <v>257</v>
      </c>
      <c r="L3" s="136">
        <v>322.5</v>
      </c>
      <c r="M3" s="137">
        <f>('LCFS Table'!$L3/100)-'LCFS Table'!$AX3-'LCFS Table'!$AY3-'LCFS Table'!$AZ3-'LCFS Table'!$BA3</f>
        <v>0.2838855932802502</v>
      </c>
      <c r="N3" s="136">
        <v>26</v>
      </c>
      <c r="O3" s="136">
        <v>24.3</v>
      </c>
      <c r="P3" s="136">
        <v>25.05</v>
      </c>
      <c r="Q3" s="136">
        <v>31.978000000000002</v>
      </c>
      <c r="R3" s="136">
        <v>22.65</v>
      </c>
      <c r="S3" s="137">
        <f>'LCFS Table'!$N3 + 'LCFS Table'!$AH3</f>
        <v>30.375</v>
      </c>
      <c r="T3" s="137">
        <f>'LCFS Table'!$Q3+'LCFS Table'!$AH3</f>
        <v>36.353000000000002</v>
      </c>
      <c r="U3" s="137">
        <f>'LCFS Table'!$P3+'LCFS Table'!$AH3</f>
        <v>29.425000000000001</v>
      </c>
      <c r="V3" s="137">
        <f>(('LCFS Table'!$S3/'LCFS Table'!$AA3)*'LCFS Table'!$AC3)*6.48</f>
        <v>104.69680851063831</v>
      </c>
      <c r="W3" s="137">
        <f>(('LCFS Table'!$O3/'LCFS Table'!$AA3)*'LCFS Table'!$AD3)*6.48</f>
        <v>41.878723404255325</v>
      </c>
      <c r="X3" s="137">
        <f>(('LCFS Table'!$U3/'LCFS Table'!$AA3)*'LCFS Table'!$AE3)*6.48</f>
        <v>50.711170212765964</v>
      </c>
      <c r="Y3" s="137">
        <f>(('LCFS Table'!$T3/'LCFS Table'!$AB3)*'LCFS Table'!$AF3)*7.35</f>
        <v>208.74574218750001</v>
      </c>
      <c r="Z3" s="137">
        <f>(('LCFS Table'!$R3/'LCFS Table'!$AB3)*'LCFS Table'!$AG3)*7.35</f>
        <v>43.353515625</v>
      </c>
      <c r="AA3" s="138">
        <v>0.94</v>
      </c>
      <c r="AB3" s="138">
        <v>0.96</v>
      </c>
      <c r="AC3" s="138">
        <v>0.5</v>
      </c>
      <c r="AD3" s="138">
        <v>0.25</v>
      </c>
      <c r="AE3" s="138">
        <v>0.25</v>
      </c>
      <c r="AF3" s="138">
        <v>0.75</v>
      </c>
      <c r="AG3" s="138">
        <v>0.25</v>
      </c>
      <c r="AH3" s="139">
        <v>4.375</v>
      </c>
      <c r="AI3" s="139">
        <v>136</v>
      </c>
      <c r="AJ3" s="139">
        <v>110</v>
      </c>
      <c r="AK3" s="139">
        <f>('LCFS Table'!$AI3/340)*100</f>
        <v>40</v>
      </c>
      <c r="AL3" s="139">
        <f>('LCFS Table'!$AJ3/340)*100</f>
        <v>32.352941176470587</v>
      </c>
      <c r="AM3" s="139">
        <v>105</v>
      </c>
      <c r="AN3" s="139">
        <v>90</v>
      </c>
      <c r="AO3" s="139">
        <f>('LCFS Table'!$AM3/300)*100</f>
        <v>35</v>
      </c>
      <c r="AP3" s="139">
        <f>('LCFS Table'!$AN3/300)*100</f>
        <v>30</v>
      </c>
      <c r="AQ3" s="140">
        <v>189.85</v>
      </c>
      <c r="AR3" s="136">
        <v>0.52749999999999997</v>
      </c>
      <c r="AS3" s="137">
        <v>1.6703041939073129</v>
      </c>
      <c r="AT3" s="137">
        <v>0.16</v>
      </c>
      <c r="AU3" s="137">
        <v>1</v>
      </c>
      <c r="AV3" s="137">
        <f>'LCFS Table'!$AR3*1.7</f>
        <v>0.89674999999999994</v>
      </c>
      <c r="AW3" s="137">
        <v>-2</v>
      </c>
      <c r="AX3" s="137">
        <v>1.1498644067197499</v>
      </c>
      <c r="AY3" s="137">
        <v>0</v>
      </c>
      <c r="AZ3" s="141">
        <v>1</v>
      </c>
      <c r="BA3" s="137">
        <f>'LCFS Table'!$AR3*1.5</f>
        <v>0.79125000000000001</v>
      </c>
      <c r="BB3" s="142">
        <v>-0.8</v>
      </c>
      <c r="BC3" s="137">
        <f>'LCFS Table'!$AS3*'LCFS Table'!$BW3</f>
        <v>1.6703041939073129</v>
      </c>
      <c r="BD3" s="137">
        <f>'LCFS Table'!$AT3*'LCFS Table'!$BX3</f>
        <v>0</v>
      </c>
      <c r="BE3" s="137">
        <f>'LCFS Table'!$AU3*'LCFS Table'!$BY3</f>
        <v>1</v>
      </c>
      <c r="BF3" s="137">
        <f>'LCFS Table'!$AV3*'LCFS Table'!$BZ3</f>
        <v>0.89674999999999994</v>
      </c>
      <c r="BG3" s="137">
        <f>'LCFS Table'!$AW3*'LCFS Table'!$CA3</f>
        <v>2</v>
      </c>
      <c r="BH3" s="137">
        <f>'LCFS Table'!$AX3*'LCFS Table'!$CB3</f>
        <v>1.1498644067197499</v>
      </c>
      <c r="BI3" s="137">
        <f>'LCFS Table'!$AY3*'LCFS Table'!$CC3</f>
        <v>0</v>
      </c>
      <c r="BJ3" s="137">
        <f>'LCFS Table'!$AZ3*'LCFS Table'!$CD3</f>
        <v>1</v>
      </c>
      <c r="BK3" s="137">
        <f>'LCFS Table'!$BA3*'LCFS Table'!$CE3</f>
        <v>0.79125000000000001</v>
      </c>
      <c r="BL3" s="137">
        <f>'LCFS Table'!$BB3*'LCFS Table'!$CF3</f>
        <v>0.8</v>
      </c>
      <c r="BM3" s="137">
        <f>'LCFS Table'!$AS3*'LCFS Table'!$CG3</f>
        <v>0</v>
      </c>
      <c r="BN3" s="137">
        <f>'LCFS Table'!$AT3*'LCFS Table'!$CH3</f>
        <v>0.16</v>
      </c>
      <c r="BO3" s="137">
        <f>'LCFS Table'!$AU3*'LCFS Table'!$CI3</f>
        <v>0</v>
      </c>
      <c r="BP3" s="137">
        <f>'LCFS Table'!$AV3*'LCFS Table'!$CJ3</f>
        <v>0</v>
      </c>
      <c r="BQ3" s="137">
        <f>'LCFS Table'!$AW3*'LCFS Table'!$CK3</f>
        <v>-2</v>
      </c>
      <c r="BR3" s="137">
        <f>'LCFS Table'!$AX3*'LCFS Table'!$CL3</f>
        <v>0</v>
      </c>
      <c r="BS3" s="137">
        <f>'LCFS Table'!$AY3*'LCFS Table'!$CM3</f>
        <v>0</v>
      </c>
      <c r="BT3" s="137">
        <f>'LCFS Table'!$AZ3*'LCFS Table'!$CN3</f>
        <v>0</v>
      </c>
      <c r="BU3" s="137">
        <f>'LCFS Table'!$BA3*'LCFS Table'!$CO3</f>
        <v>0</v>
      </c>
      <c r="BV3" s="142">
        <f>'LCFS Table'!$BB3*'LCFS Table'!$CP3</f>
        <v>-0.8</v>
      </c>
      <c r="BW3" s="138">
        <v>1</v>
      </c>
      <c r="BX3" s="138">
        <v>0</v>
      </c>
      <c r="BY3" s="138">
        <v>1</v>
      </c>
      <c r="BZ3" s="138">
        <v>1</v>
      </c>
      <c r="CA3" s="138">
        <v>-1</v>
      </c>
      <c r="CB3" s="138">
        <v>1</v>
      </c>
      <c r="CC3" s="138">
        <v>0</v>
      </c>
      <c r="CD3" s="138">
        <v>1</v>
      </c>
      <c r="CE3" s="138">
        <v>1</v>
      </c>
      <c r="CF3" s="138">
        <v>-1</v>
      </c>
      <c r="CG3" s="138">
        <f>1-'LCFS Table'!$BW3</f>
        <v>0</v>
      </c>
      <c r="CH3" s="138">
        <f>1-'LCFS Table'!$BX3</f>
        <v>1</v>
      </c>
      <c r="CI3" s="138">
        <f>1-'LCFS Table'!$BY3</f>
        <v>0</v>
      </c>
      <c r="CJ3" s="138">
        <f>1-'LCFS Table'!$BZ3</f>
        <v>0</v>
      </c>
      <c r="CK3" s="138">
        <f>-'LCFS Table'!$CA3</f>
        <v>1</v>
      </c>
      <c r="CL3" s="138">
        <f>1-'LCFS Table'!$CB3</f>
        <v>0</v>
      </c>
      <c r="CM3" s="138">
        <f>1-'LCFS Table'!$CC3</f>
        <v>1</v>
      </c>
      <c r="CN3" s="138">
        <f>1-'LCFS Table'!$CD3</f>
        <v>0</v>
      </c>
      <c r="CO3" s="138">
        <f>1-'LCFS Table'!$CE3</f>
        <v>0</v>
      </c>
      <c r="CP3" s="138">
        <f>-'LCFS Table'!$CF3</f>
        <v>1</v>
      </c>
      <c r="CQ3" s="140">
        <v>7.5</v>
      </c>
      <c r="CR3" s="143">
        <f>('LCFS Table'!$CQ3*0.9/(0.8/0.99)/100)</f>
        <v>8.3531249999999987E-2</v>
      </c>
      <c r="CS3" s="144"/>
      <c r="CT3" s="145"/>
      <c r="CX3" s="146">
        <f>MONTH('LCFS Table'!$B3)</f>
        <v>1</v>
      </c>
      <c r="CY3" s="146">
        <f>YEAR('LCFS Table'!$B3)</f>
        <v>2019</v>
      </c>
    </row>
    <row r="4" spans="1:111" s="146" customFormat="1">
      <c r="A4" s="147">
        <f>'LCFS Table'!$B4-5</f>
        <v>43471</v>
      </c>
      <c r="B4" s="131">
        <v>43476</v>
      </c>
      <c r="C4" s="132">
        <f>YEAR(B4)</f>
        <v>2019</v>
      </c>
      <c r="D4" s="133" t="s">
        <v>258</v>
      </c>
      <c r="E4" s="134"/>
      <c r="F4" s="134">
        <f>('LCFS Table'!$M4)-'LCFS Table'!$J4</f>
        <v>-2.8482970533622498</v>
      </c>
      <c r="G4" s="135"/>
      <c r="H4" s="135">
        <f>'LCFS Table'!$F4+'LCFS Table'!$AX4+'LCFS Table'!$AY4+'LCFS Table'!$AZ4+'LCFS Table'!$BA4+('LCFS Table'!$CQ4*0.9/(0.8/0.99)/100)+(DG4*'LCFS Table'!$AF4)+(DF4*'LCFS Table'!$AG4)</f>
        <v>0.13512695312500039</v>
      </c>
      <c r="I4" s="134">
        <f>('LCFS Table'!$V4+'LCFS Table'!$W4+'LCFS Table'!$X4)/100+(('LCFS Table'!$AI4+'LCFS Table'!$AJ4)/340)</f>
        <v>2.6981198372966206</v>
      </c>
      <c r="J4" s="134">
        <f>(('LCFS Table'!$Y4+'LCFS Table'!$Z4)/100)+(('LCFS Table'!$AM4+'LCFS Table'!$AN4)/300)</f>
        <v>3.1734042968749998</v>
      </c>
      <c r="K4" s="136" t="s">
        <v>257</v>
      </c>
      <c r="L4" s="136">
        <v>322.5</v>
      </c>
      <c r="M4" s="137">
        <f>('LCFS Table'!$L4/100)-'LCFS Table'!$AX4-'LCFS Table'!$AY4-'LCFS Table'!$AZ4-'LCFS Table'!$BA4</f>
        <v>0.32510724351274989</v>
      </c>
      <c r="N4" s="136">
        <v>26</v>
      </c>
      <c r="O4" s="136">
        <v>24.5</v>
      </c>
      <c r="P4" s="136">
        <v>24.95</v>
      </c>
      <c r="Q4" s="136">
        <v>31.82</v>
      </c>
      <c r="R4" s="136">
        <v>23.25</v>
      </c>
      <c r="S4" s="137">
        <f>'LCFS Table'!$N4 + 'LCFS Table'!$AH4</f>
        <v>30.375</v>
      </c>
      <c r="T4" s="137">
        <f>'LCFS Table'!$Q4+'LCFS Table'!$AH4</f>
        <v>36.195</v>
      </c>
      <c r="U4" s="137">
        <f>'LCFS Table'!$P4+'LCFS Table'!$AH4</f>
        <v>29.324999999999999</v>
      </c>
      <c r="V4" s="137">
        <f>(('LCFS Table'!$S4/'LCFS Table'!$AA4)*'LCFS Table'!$AC4)*6.48</f>
        <v>104.69680851063831</v>
      </c>
      <c r="W4" s="137">
        <f>(('LCFS Table'!$O4/'LCFS Table'!$AA4)*'LCFS Table'!$AD4)*6.48</f>
        <v>42.223404255319153</v>
      </c>
      <c r="X4" s="137">
        <f>(('LCFS Table'!$U4/'LCFS Table'!$AA4)*'LCFS Table'!$AE4)*6.48</f>
        <v>50.53882978723405</v>
      </c>
      <c r="Y4" s="137">
        <f>(('LCFS Table'!$T4/'LCFS Table'!$AB4)*'LCFS Table'!$AF4)*7.35</f>
        <v>207.83847656249998</v>
      </c>
      <c r="Z4" s="137">
        <f>(('LCFS Table'!$R4/'LCFS Table'!$AB4)*'LCFS Table'!$AG4)*7.35</f>
        <v>44.501953125</v>
      </c>
      <c r="AA4" s="138">
        <v>0.94</v>
      </c>
      <c r="AB4" s="138">
        <v>0.96</v>
      </c>
      <c r="AC4" s="138">
        <v>0.5</v>
      </c>
      <c r="AD4" s="138">
        <v>0.25</v>
      </c>
      <c r="AE4" s="138">
        <v>0.25</v>
      </c>
      <c r="AF4" s="138">
        <v>0.75</v>
      </c>
      <c r="AG4" s="138">
        <v>0.25</v>
      </c>
      <c r="AH4" s="139">
        <v>4.375</v>
      </c>
      <c r="AI4" s="139">
        <v>136</v>
      </c>
      <c r="AJ4" s="139">
        <v>110</v>
      </c>
      <c r="AK4" s="139">
        <f>('LCFS Table'!$AI4/340)*100</f>
        <v>40</v>
      </c>
      <c r="AL4" s="139">
        <f>('LCFS Table'!$AJ4/340)*100</f>
        <v>32.352941176470587</v>
      </c>
      <c r="AM4" s="139">
        <v>105</v>
      </c>
      <c r="AN4" s="139">
        <v>90</v>
      </c>
      <c r="AO4" s="139">
        <f>('LCFS Table'!$AM4/300)*100</f>
        <v>35</v>
      </c>
      <c r="AP4" s="139">
        <f>('LCFS Table'!$AN4/300)*100</f>
        <v>30</v>
      </c>
      <c r="AQ4" s="140">
        <v>190.35</v>
      </c>
      <c r="AR4" s="136">
        <v>0.498</v>
      </c>
      <c r="AS4" s="137">
        <v>1.6747032041625334</v>
      </c>
      <c r="AT4" s="137">
        <v>0.16</v>
      </c>
      <c r="AU4" s="137">
        <v>1</v>
      </c>
      <c r="AV4" s="137">
        <f>'LCFS Table'!$AR4*1.7</f>
        <v>0.84660000000000002</v>
      </c>
      <c r="AW4" s="137">
        <v>-1</v>
      </c>
      <c r="AX4" s="137">
        <v>1.1528927564872502</v>
      </c>
      <c r="AY4" s="137">
        <v>0</v>
      </c>
      <c r="AZ4" s="141">
        <v>1</v>
      </c>
      <c r="BA4" s="137">
        <f>'LCFS Table'!$AR4*1.5</f>
        <v>0.747</v>
      </c>
      <c r="BB4" s="142">
        <v>0.2</v>
      </c>
      <c r="BC4" s="137">
        <f>'LCFS Table'!$AS4*'LCFS Table'!$BW4</f>
        <v>1.6747032041625334</v>
      </c>
      <c r="BD4" s="137">
        <f>'LCFS Table'!$AT4*'LCFS Table'!$BX4</f>
        <v>0</v>
      </c>
      <c r="BE4" s="137">
        <f>'LCFS Table'!$AU4*'LCFS Table'!$BY4</f>
        <v>1</v>
      </c>
      <c r="BF4" s="137">
        <f>'LCFS Table'!$AV4*'LCFS Table'!$BZ4</f>
        <v>0.84660000000000002</v>
      </c>
      <c r="BG4" s="137">
        <f>'LCFS Table'!$AW4*'LCFS Table'!$CA4</f>
        <v>1</v>
      </c>
      <c r="BH4" s="137">
        <f>'LCFS Table'!$AX4*'LCFS Table'!$CB4</f>
        <v>1.1528927564872502</v>
      </c>
      <c r="BI4" s="137">
        <f>'LCFS Table'!$AY4*'LCFS Table'!$CC4</f>
        <v>0</v>
      </c>
      <c r="BJ4" s="137">
        <f>'LCFS Table'!$AZ4*'LCFS Table'!$CD4</f>
        <v>1</v>
      </c>
      <c r="BK4" s="137">
        <f>'LCFS Table'!$BA4*'LCFS Table'!$CE4</f>
        <v>0.747</v>
      </c>
      <c r="BL4" s="137">
        <f>'LCFS Table'!$BB4*'LCFS Table'!$CF4</f>
        <v>-0.2</v>
      </c>
      <c r="BM4" s="137">
        <f>'LCFS Table'!$AS4*'LCFS Table'!$CG4</f>
        <v>0</v>
      </c>
      <c r="BN4" s="137">
        <f>'LCFS Table'!$AT4*'LCFS Table'!$CH4</f>
        <v>0.16</v>
      </c>
      <c r="BO4" s="137">
        <f>'LCFS Table'!$AU4*'LCFS Table'!$CI4</f>
        <v>0</v>
      </c>
      <c r="BP4" s="137">
        <f>'LCFS Table'!$AV4*'LCFS Table'!$CJ4</f>
        <v>0</v>
      </c>
      <c r="BQ4" s="137">
        <f>'LCFS Table'!$AW4*'LCFS Table'!$CK4</f>
        <v>-1</v>
      </c>
      <c r="BR4" s="137">
        <f>'LCFS Table'!$AX4*'LCFS Table'!$CL4</f>
        <v>0</v>
      </c>
      <c r="BS4" s="137">
        <f>'LCFS Table'!$AY4*'LCFS Table'!$CM4</f>
        <v>0</v>
      </c>
      <c r="BT4" s="137">
        <f>'LCFS Table'!$AZ4*'LCFS Table'!$CN4</f>
        <v>0</v>
      </c>
      <c r="BU4" s="137">
        <f>'LCFS Table'!$BA4*'LCFS Table'!$CO4</f>
        <v>0</v>
      </c>
      <c r="BV4" s="142">
        <f>'LCFS Table'!$BB4*'LCFS Table'!$CP4</f>
        <v>0.2</v>
      </c>
      <c r="BW4" s="138">
        <v>1</v>
      </c>
      <c r="BX4" s="138">
        <v>0</v>
      </c>
      <c r="BY4" s="138">
        <v>1</v>
      </c>
      <c r="BZ4" s="138">
        <v>1</v>
      </c>
      <c r="CA4" s="138">
        <v>-1</v>
      </c>
      <c r="CB4" s="138">
        <v>1</v>
      </c>
      <c r="CC4" s="138">
        <v>0</v>
      </c>
      <c r="CD4" s="138">
        <v>1</v>
      </c>
      <c r="CE4" s="138">
        <v>1</v>
      </c>
      <c r="CF4" s="138">
        <v>-1</v>
      </c>
      <c r="CG4" s="138">
        <f>1-'LCFS Table'!$BW4</f>
        <v>0</v>
      </c>
      <c r="CH4" s="138">
        <f>1-'LCFS Table'!$BX4</f>
        <v>1</v>
      </c>
      <c r="CI4" s="138">
        <f>1-'LCFS Table'!$BY4</f>
        <v>0</v>
      </c>
      <c r="CJ4" s="138">
        <f>1-'LCFS Table'!$BZ4</f>
        <v>0</v>
      </c>
      <c r="CK4" s="138">
        <f>-'LCFS Table'!$CA4</f>
        <v>1</v>
      </c>
      <c r="CL4" s="138">
        <f>1-'LCFS Table'!$CB4</f>
        <v>0</v>
      </c>
      <c r="CM4" s="138">
        <f>1-'LCFS Table'!$CC4</f>
        <v>1</v>
      </c>
      <c r="CN4" s="138">
        <f>1-'LCFS Table'!$CD4</f>
        <v>0</v>
      </c>
      <c r="CO4" s="138">
        <f>1-'LCFS Table'!$CE4</f>
        <v>0</v>
      </c>
      <c r="CP4" s="138">
        <f>-'LCFS Table'!$CF4</f>
        <v>1</v>
      </c>
      <c r="CQ4" s="140">
        <v>7.5</v>
      </c>
      <c r="CR4" s="143">
        <f>('LCFS Table'!$CQ4*0.9/(0.8/0.99)/100)</f>
        <v>8.3531249999999987E-2</v>
      </c>
      <c r="CS4" s="144"/>
      <c r="CT4" s="145"/>
      <c r="CX4" s="146">
        <f>MONTH('LCFS Table'!$B4)</f>
        <v>1</v>
      </c>
      <c r="CY4" s="146">
        <f>YEAR('LCFS Table'!$B4)</f>
        <v>2019</v>
      </c>
    </row>
    <row r="5" spans="1:111" s="153" customFormat="1">
      <c r="A5" s="148">
        <f>'LCFS Table'!$B5-5</f>
        <v>43478</v>
      </c>
      <c r="B5" s="149">
        <v>43483</v>
      </c>
      <c r="C5" s="132">
        <f t="shared" ref="C5:C68" si="0">YEAR(B5)</f>
        <v>2019</v>
      </c>
      <c r="D5" s="150" t="s">
        <v>259</v>
      </c>
      <c r="E5" s="134"/>
      <c r="F5" s="134">
        <f>('LCFS Table'!$M5)-'LCFS Table'!$J5</f>
        <v>-2.9647864453274995</v>
      </c>
      <c r="G5" s="135"/>
      <c r="H5" s="135">
        <f>'LCFS Table'!$F5+'LCFS Table'!$AX5+'LCFS Table'!$AY5+'LCFS Table'!$AZ5+'LCFS Table'!$BA5+('LCFS Table'!$CQ5*0.9/(0.8/0.99)/100)+(DG5*'LCFS Table'!$AF5)+(DF5*'LCFS Table'!$AG5)</f>
        <v>8.3447265625000419E-2</v>
      </c>
      <c r="I5" s="134">
        <f>('LCFS Table'!$V5+'LCFS Table'!$W5+'LCFS Table'!$X5)/100+(('LCFS Table'!$AI5+'LCFS Table'!$AJ5)/340)</f>
        <v>2.7011357947434296</v>
      </c>
      <c r="J5" s="134">
        <f>(('LCFS Table'!$Y5+'LCFS Table'!$Z5)/100)+(('LCFS Table'!$AM5+'LCFS Table'!$AN5)/300)</f>
        <v>3.2250839843749999</v>
      </c>
      <c r="K5" s="136" t="s">
        <v>257</v>
      </c>
      <c r="L5" s="136">
        <v>322.5</v>
      </c>
      <c r="M5" s="137">
        <f>('LCFS Table'!$L5/100)-'LCFS Table'!$AX5-'LCFS Table'!$AY5-'LCFS Table'!$AZ5-'LCFS Table'!$BA5</f>
        <v>0.26029753904750019</v>
      </c>
      <c r="N5" s="136">
        <v>26</v>
      </c>
      <c r="O5" s="136">
        <v>24.875</v>
      </c>
      <c r="P5" s="136">
        <v>24.75</v>
      </c>
      <c r="Q5" s="136">
        <v>32.594999999999999</v>
      </c>
      <c r="R5" s="136">
        <v>23.625</v>
      </c>
      <c r="S5" s="137">
        <f>'LCFS Table'!$N5 + 'LCFS Table'!$AH5</f>
        <v>30.375</v>
      </c>
      <c r="T5" s="137">
        <f>'LCFS Table'!$Q5+'LCFS Table'!$AH5</f>
        <v>36.97</v>
      </c>
      <c r="U5" s="137">
        <f>'LCFS Table'!$P5+'LCFS Table'!$AH5</f>
        <v>29.125</v>
      </c>
      <c r="V5" s="137">
        <f>(('LCFS Table'!$S5/'LCFS Table'!$AA5)*'LCFS Table'!$AC5)*6.48</f>
        <v>104.69680851063831</v>
      </c>
      <c r="W5" s="137">
        <f>(('LCFS Table'!$O5/'LCFS Table'!$AA5)*'LCFS Table'!$AD5)*6.48</f>
        <v>42.869680851063833</v>
      </c>
      <c r="X5" s="137">
        <f>(('LCFS Table'!$U5/'LCFS Table'!$AA5)*'LCFS Table'!$AE5)*6.48</f>
        <v>50.194148936170215</v>
      </c>
      <c r="Y5" s="137">
        <f>(('LCFS Table'!$T5/'LCFS Table'!$AB5)*'LCFS Table'!$AF5)*7.35</f>
        <v>212.28867187499998</v>
      </c>
      <c r="Z5" s="137">
        <f>(('LCFS Table'!$R5/'LCFS Table'!$AB5)*'LCFS Table'!$AG5)*7.35</f>
        <v>45.2197265625</v>
      </c>
      <c r="AA5" s="138">
        <v>0.94</v>
      </c>
      <c r="AB5" s="138">
        <v>0.96</v>
      </c>
      <c r="AC5" s="138">
        <v>0.5</v>
      </c>
      <c r="AD5" s="138">
        <v>0.25</v>
      </c>
      <c r="AE5" s="138">
        <v>0.25</v>
      </c>
      <c r="AF5" s="138">
        <v>0.75</v>
      </c>
      <c r="AG5" s="138">
        <v>0.25</v>
      </c>
      <c r="AH5" s="139">
        <v>4.375</v>
      </c>
      <c r="AI5" s="139">
        <v>136</v>
      </c>
      <c r="AJ5" s="139">
        <v>110</v>
      </c>
      <c r="AK5" s="139">
        <f>('LCFS Table'!$AI5/340)*100</f>
        <v>40</v>
      </c>
      <c r="AL5" s="139">
        <f>('LCFS Table'!$AJ5/340)*100</f>
        <v>32.352941176470587</v>
      </c>
      <c r="AM5" s="139">
        <v>105</v>
      </c>
      <c r="AN5" s="139">
        <v>90</v>
      </c>
      <c r="AO5" s="139">
        <f>('LCFS Table'!$AM5/300)*100</f>
        <v>35</v>
      </c>
      <c r="AP5" s="139">
        <f>('LCFS Table'!$AN5/300)*100</f>
        <v>30</v>
      </c>
      <c r="AQ5" s="140">
        <v>191.5</v>
      </c>
      <c r="AR5" s="136">
        <v>0.53656300000000001</v>
      </c>
      <c r="AS5" s="137">
        <v>1.6848209277495414</v>
      </c>
      <c r="AT5" s="137">
        <v>0.16</v>
      </c>
      <c r="AU5" s="137">
        <v>1</v>
      </c>
      <c r="AV5" s="137">
        <f>'LCFS Table'!$AR5*1.7</f>
        <v>0.91215709999999994</v>
      </c>
      <c r="AW5" s="137">
        <v>0</v>
      </c>
      <c r="AX5" s="137">
        <v>1.1598579609524999</v>
      </c>
      <c r="AY5" s="137">
        <v>0</v>
      </c>
      <c r="AZ5" s="141">
        <v>1</v>
      </c>
      <c r="BA5" s="137">
        <f>'LCFS Table'!$AR5*1.5</f>
        <v>0.80484449999999996</v>
      </c>
      <c r="BB5" s="142">
        <v>1.2</v>
      </c>
      <c r="BC5" s="137">
        <f>'LCFS Table'!$AS5*'LCFS Table'!$BW5</f>
        <v>1.6848209277495414</v>
      </c>
      <c r="BD5" s="137">
        <f>'LCFS Table'!$AT5*'LCFS Table'!$BX5</f>
        <v>0</v>
      </c>
      <c r="BE5" s="137">
        <f>'LCFS Table'!$AU5*'LCFS Table'!$BY5</f>
        <v>1</v>
      </c>
      <c r="BF5" s="137">
        <f>'LCFS Table'!$AV5*'LCFS Table'!$BZ5</f>
        <v>0.91215709999999994</v>
      </c>
      <c r="BG5" s="137">
        <f>'LCFS Table'!$AW5*'LCFS Table'!$CA5</f>
        <v>0</v>
      </c>
      <c r="BH5" s="137">
        <f>'LCFS Table'!$AX5*'LCFS Table'!$CB5</f>
        <v>1.1598579609524999</v>
      </c>
      <c r="BI5" s="137">
        <f>'LCFS Table'!$AY5*'LCFS Table'!$CC5</f>
        <v>0</v>
      </c>
      <c r="BJ5" s="137">
        <f>'LCFS Table'!$AZ5*'LCFS Table'!$CD5</f>
        <v>1</v>
      </c>
      <c r="BK5" s="137">
        <f>'LCFS Table'!$BA5*'LCFS Table'!$CE5</f>
        <v>0.80484449999999996</v>
      </c>
      <c r="BL5" s="137">
        <f>'LCFS Table'!$BB5*'LCFS Table'!$CF5</f>
        <v>-1.2</v>
      </c>
      <c r="BM5" s="137">
        <f>'LCFS Table'!$AS5*'LCFS Table'!$CG5</f>
        <v>0</v>
      </c>
      <c r="BN5" s="137">
        <f>'LCFS Table'!$AT5*'LCFS Table'!$CH5</f>
        <v>0.16</v>
      </c>
      <c r="BO5" s="137">
        <f>'LCFS Table'!$AU5*'LCFS Table'!$CI5</f>
        <v>0</v>
      </c>
      <c r="BP5" s="137">
        <f>'LCFS Table'!$AV5*'LCFS Table'!$CJ5</f>
        <v>0</v>
      </c>
      <c r="BQ5" s="137">
        <f>'LCFS Table'!$AW5*'LCFS Table'!$CK5</f>
        <v>0</v>
      </c>
      <c r="BR5" s="137">
        <f>'LCFS Table'!$AX5*'LCFS Table'!$CL5</f>
        <v>0</v>
      </c>
      <c r="BS5" s="137">
        <f>'LCFS Table'!$AY5*'LCFS Table'!$CM5</f>
        <v>0</v>
      </c>
      <c r="BT5" s="137">
        <f>'LCFS Table'!$AZ5*'LCFS Table'!$CN5</f>
        <v>0</v>
      </c>
      <c r="BU5" s="137">
        <f>'LCFS Table'!$BA5*'LCFS Table'!$CO5</f>
        <v>0</v>
      </c>
      <c r="BV5" s="142">
        <f>'LCFS Table'!$BB5*'LCFS Table'!$CP5</f>
        <v>1.2</v>
      </c>
      <c r="BW5" s="138">
        <v>1</v>
      </c>
      <c r="BX5" s="138">
        <v>0</v>
      </c>
      <c r="BY5" s="138">
        <v>1</v>
      </c>
      <c r="BZ5" s="138">
        <v>1</v>
      </c>
      <c r="CA5" s="138">
        <v>-1</v>
      </c>
      <c r="CB5" s="138">
        <v>1</v>
      </c>
      <c r="CC5" s="138">
        <v>0</v>
      </c>
      <c r="CD5" s="138">
        <v>1</v>
      </c>
      <c r="CE5" s="138">
        <v>1</v>
      </c>
      <c r="CF5" s="138">
        <v>-1</v>
      </c>
      <c r="CG5" s="138">
        <f>1-'LCFS Table'!$BW5</f>
        <v>0</v>
      </c>
      <c r="CH5" s="138">
        <f>1-'LCFS Table'!$BX5</f>
        <v>1</v>
      </c>
      <c r="CI5" s="138">
        <f>1-'LCFS Table'!$BY5</f>
        <v>0</v>
      </c>
      <c r="CJ5" s="138">
        <f>1-'LCFS Table'!$BZ5</f>
        <v>0</v>
      </c>
      <c r="CK5" s="138">
        <f>-'LCFS Table'!$CA5</f>
        <v>1</v>
      </c>
      <c r="CL5" s="138">
        <f>1-'LCFS Table'!$CB5</f>
        <v>0</v>
      </c>
      <c r="CM5" s="138">
        <f>1-'LCFS Table'!$CC5</f>
        <v>1</v>
      </c>
      <c r="CN5" s="138">
        <f>1-'LCFS Table'!$CD5</f>
        <v>0</v>
      </c>
      <c r="CO5" s="138">
        <f>1-'LCFS Table'!$CE5</f>
        <v>0</v>
      </c>
      <c r="CP5" s="138">
        <f>-'LCFS Table'!$CF5</f>
        <v>1</v>
      </c>
      <c r="CQ5" s="140">
        <v>7.5</v>
      </c>
      <c r="CR5" s="151">
        <f>('LCFS Table'!$CQ5*0.9/(0.8/0.99)/100)</f>
        <v>8.3531249999999987E-2</v>
      </c>
      <c r="CS5" s="138"/>
      <c r="CT5" s="152"/>
      <c r="CX5" s="153">
        <f>MONTH('LCFS Table'!$B5)</f>
        <v>1</v>
      </c>
      <c r="CY5" s="153">
        <f>YEAR('LCFS Table'!$B5)</f>
        <v>2019</v>
      </c>
    </row>
    <row r="6" spans="1:111" s="146" customFormat="1">
      <c r="A6" s="147">
        <f>'LCFS Table'!$B6-5</f>
        <v>43485</v>
      </c>
      <c r="B6" s="131">
        <v>43490</v>
      </c>
      <c r="C6" s="154">
        <f t="shared" si="0"/>
        <v>2019</v>
      </c>
      <c r="D6" s="133" t="s">
        <v>260</v>
      </c>
      <c r="E6" s="155"/>
      <c r="F6" s="155">
        <f>('LCFS Table'!$M6)-'LCFS Table'!$J6</f>
        <v>-3.0477759559846249</v>
      </c>
      <c r="G6" s="156"/>
      <c r="H6" s="156">
        <f>'LCFS Table'!$F6+'LCFS Table'!$AX6+'LCFS Table'!$AY6+'LCFS Table'!$AZ6+'LCFS Table'!$BA6+('LCFS Table'!$CQ6*0.9/(0.8/0.99)/100)+(DG6*'LCFS Table'!$AF6)+(DF6*'LCFS Table'!$AG6)</f>
        <v>4.183554687500006E-2</v>
      </c>
      <c r="I6" s="155">
        <f>('LCFS Table'!$V6+'LCFS Table'!$W6+'LCFS Table'!$X6)/100+(('LCFS Table'!$AI6+'LCFS Table'!$AJ6)/340)</f>
        <v>2.7101836670838551</v>
      </c>
      <c r="J6" s="155">
        <f>(('LCFS Table'!$Y6+'LCFS Table'!$Z6)/100)+(('LCFS Table'!$AM6+'LCFS Table'!$AN6)/300)</f>
        <v>3.2666957031249999</v>
      </c>
      <c r="K6" s="136" t="s">
        <v>257</v>
      </c>
      <c r="L6" s="136">
        <v>322.5</v>
      </c>
      <c r="M6" s="136">
        <f>('LCFS Table'!$L6/100)-'LCFS Table'!$AX6-'LCFS Table'!$AY6-'LCFS Table'!$AZ6-'LCFS Table'!$BA6</f>
        <v>0.21891974714037488</v>
      </c>
      <c r="N6" s="136">
        <v>26</v>
      </c>
      <c r="O6" s="136">
        <v>25.3</v>
      </c>
      <c r="P6" s="136">
        <v>24.85</v>
      </c>
      <c r="Q6" s="136">
        <v>33.277999999999999</v>
      </c>
      <c r="R6" s="136">
        <v>23.75</v>
      </c>
      <c r="S6" s="136">
        <f>'LCFS Table'!$N6 + 'LCFS Table'!$AH6</f>
        <v>30.375</v>
      </c>
      <c r="T6" s="136">
        <f>'LCFS Table'!$Q6+'LCFS Table'!$AH6</f>
        <v>37.652999999999999</v>
      </c>
      <c r="U6" s="136">
        <f>'LCFS Table'!$P6+'LCFS Table'!$AH6</f>
        <v>29.225000000000001</v>
      </c>
      <c r="V6" s="136">
        <f>(('LCFS Table'!$S6/'LCFS Table'!$AA6)*'LCFS Table'!$AC6)*6.48</f>
        <v>104.69680851063831</v>
      </c>
      <c r="W6" s="136">
        <f>(('LCFS Table'!$O6/'LCFS Table'!$AA6)*'LCFS Table'!$AD6)*6.48</f>
        <v>43.602127659574471</v>
      </c>
      <c r="X6" s="136">
        <f>(('LCFS Table'!$U6/'LCFS Table'!$AA6)*'LCFS Table'!$AE6)*6.48</f>
        <v>50.366489361702136</v>
      </c>
      <c r="Y6" s="136">
        <f>(('LCFS Table'!$T6/'LCFS Table'!$AB6)*'LCFS Table'!$AF6)*7.35</f>
        <v>216.21058593749999</v>
      </c>
      <c r="Z6" s="136">
        <f>(('LCFS Table'!$R6/'LCFS Table'!$AB6)*'LCFS Table'!$AG6)*7.35</f>
        <v>45.458984375</v>
      </c>
      <c r="AA6" s="144">
        <v>0.94</v>
      </c>
      <c r="AB6" s="144">
        <v>0.96</v>
      </c>
      <c r="AC6" s="144">
        <v>0.5</v>
      </c>
      <c r="AD6" s="144">
        <v>0.25</v>
      </c>
      <c r="AE6" s="144">
        <v>0.25</v>
      </c>
      <c r="AF6" s="144">
        <v>0.75</v>
      </c>
      <c r="AG6" s="144">
        <v>0.25</v>
      </c>
      <c r="AH6" s="157">
        <v>4.375</v>
      </c>
      <c r="AI6" s="157">
        <v>136</v>
      </c>
      <c r="AJ6" s="157">
        <v>110</v>
      </c>
      <c r="AK6" s="157">
        <f>('LCFS Table'!$AI6/340)*100</f>
        <v>40</v>
      </c>
      <c r="AL6" s="157">
        <f>('LCFS Table'!$AJ6/340)*100</f>
        <v>32.352941176470587</v>
      </c>
      <c r="AM6" s="157">
        <v>105</v>
      </c>
      <c r="AN6" s="157">
        <v>90</v>
      </c>
      <c r="AO6" s="157">
        <f>('LCFS Table'!$AM6/300)*100</f>
        <v>35</v>
      </c>
      <c r="AP6" s="157">
        <f>('LCFS Table'!$AN6/300)*100</f>
        <v>30</v>
      </c>
      <c r="AQ6" s="140">
        <v>192.77500000000001</v>
      </c>
      <c r="AR6" s="136">
        <v>0.55899999999999994</v>
      </c>
      <c r="AS6" s="136">
        <v>1.6960384039003542</v>
      </c>
      <c r="AT6" s="136">
        <v>0.16</v>
      </c>
      <c r="AU6" s="137">
        <v>1</v>
      </c>
      <c r="AV6" s="136">
        <f>'LCFS Table'!$AR6*1.7</f>
        <v>0.95029999999999992</v>
      </c>
      <c r="AW6" s="136">
        <v>0</v>
      </c>
      <c r="AX6" s="136">
        <v>1.1675802528596251</v>
      </c>
      <c r="AY6" s="136">
        <v>0</v>
      </c>
      <c r="AZ6" s="141">
        <v>1</v>
      </c>
      <c r="BA6" s="136">
        <f>'LCFS Table'!$AR6*1.5</f>
        <v>0.83849999999999991</v>
      </c>
      <c r="BB6" s="142">
        <v>1.2</v>
      </c>
      <c r="BC6" s="136">
        <f>'LCFS Table'!$AS6*'LCFS Table'!$BW6</f>
        <v>1.6960384039003542</v>
      </c>
      <c r="BD6" s="136">
        <f>'LCFS Table'!$AT6*'LCFS Table'!$BX6</f>
        <v>0</v>
      </c>
      <c r="BE6" s="136">
        <f>'LCFS Table'!$AU6*'LCFS Table'!$BY6</f>
        <v>1</v>
      </c>
      <c r="BF6" s="136">
        <f>'LCFS Table'!$AV6*'LCFS Table'!$BZ6</f>
        <v>0.95029999999999992</v>
      </c>
      <c r="BG6" s="136">
        <f>'LCFS Table'!$AW6*'LCFS Table'!$CA6</f>
        <v>0</v>
      </c>
      <c r="BH6" s="136">
        <f>'LCFS Table'!$AX6*'LCFS Table'!$CB6</f>
        <v>1.1675802528596251</v>
      </c>
      <c r="BI6" s="136">
        <f>'LCFS Table'!$AY6*'LCFS Table'!$CC6</f>
        <v>0</v>
      </c>
      <c r="BJ6" s="136">
        <f>'LCFS Table'!$AZ6*'LCFS Table'!$CD6</f>
        <v>1</v>
      </c>
      <c r="BK6" s="136">
        <f>'LCFS Table'!$BA6*'LCFS Table'!$CE6</f>
        <v>0.83849999999999991</v>
      </c>
      <c r="BL6" s="136">
        <f>'LCFS Table'!$BB6*'LCFS Table'!$CF6</f>
        <v>-1.2</v>
      </c>
      <c r="BM6" s="136">
        <f>'LCFS Table'!$AS6*'LCFS Table'!$CG6</f>
        <v>0</v>
      </c>
      <c r="BN6" s="136">
        <f>'LCFS Table'!$AT6*'LCFS Table'!$CH6</f>
        <v>0.16</v>
      </c>
      <c r="BO6" s="136">
        <f>'LCFS Table'!$AU6*'LCFS Table'!$CI6</f>
        <v>0</v>
      </c>
      <c r="BP6" s="136">
        <f>'LCFS Table'!$AV6*'LCFS Table'!$CJ6</f>
        <v>0</v>
      </c>
      <c r="BQ6" s="136">
        <f>'LCFS Table'!$AW6*'LCFS Table'!$CK6</f>
        <v>0</v>
      </c>
      <c r="BR6" s="136">
        <f>'LCFS Table'!$AX6*'LCFS Table'!$CL6</f>
        <v>0</v>
      </c>
      <c r="BS6" s="136">
        <f>'LCFS Table'!$AY6*'LCFS Table'!$CM6</f>
        <v>0</v>
      </c>
      <c r="BT6" s="136">
        <f>'LCFS Table'!$AZ6*'LCFS Table'!$CN6</f>
        <v>0</v>
      </c>
      <c r="BU6" s="136">
        <f>'LCFS Table'!$BA6*'LCFS Table'!$CO6</f>
        <v>0</v>
      </c>
      <c r="BV6" s="142">
        <f>'LCFS Table'!$BB6*'LCFS Table'!$CP6</f>
        <v>1.2</v>
      </c>
      <c r="BW6" s="144">
        <v>1</v>
      </c>
      <c r="BX6" s="144">
        <v>0</v>
      </c>
      <c r="BY6" s="144">
        <v>1</v>
      </c>
      <c r="BZ6" s="144">
        <v>1</v>
      </c>
      <c r="CA6" s="144">
        <v>-1</v>
      </c>
      <c r="CB6" s="144">
        <v>1</v>
      </c>
      <c r="CC6" s="144">
        <v>0</v>
      </c>
      <c r="CD6" s="144">
        <v>1</v>
      </c>
      <c r="CE6" s="144">
        <v>1</v>
      </c>
      <c r="CF6" s="144">
        <v>-1</v>
      </c>
      <c r="CG6" s="144">
        <f>1-'LCFS Table'!$BW6</f>
        <v>0</v>
      </c>
      <c r="CH6" s="144">
        <f>1-'LCFS Table'!$BX6</f>
        <v>1</v>
      </c>
      <c r="CI6" s="144">
        <f>1-'LCFS Table'!$BY6</f>
        <v>0</v>
      </c>
      <c r="CJ6" s="144">
        <f>1-'LCFS Table'!$BZ6</f>
        <v>0</v>
      </c>
      <c r="CK6" s="144">
        <f>-'LCFS Table'!$CA6</f>
        <v>1</v>
      </c>
      <c r="CL6" s="144">
        <f>1-'LCFS Table'!$CB6</f>
        <v>0</v>
      </c>
      <c r="CM6" s="144">
        <f>1-'LCFS Table'!$CC6</f>
        <v>1</v>
      </c>
      <c r="CN6" s="144">
        <f>1-'LCFS Table'!$CD6</f>
        <v>0</v>
      </c>
      <c r="CO6" s="144">
        <f>1-'LCFS Table'!$CE6</f>
        <v>0</v>
      </c>
      <c r="CP6" s="144">
        <f>-'LCFS Table'!$CF6</f>
        <v>1</v>
      </c>
      <c r="CQ6" s="140">
        <v>7.5</v>
      </c>
      <c r="CR6" s="143">
        <f>('LCFS Table'!$CQ6*0.9/(0.8/0.99)/100)</f>
        <v>8.3531249999999987E-2</v>
      </c>
      <c r="CS6" s="144"/>
      <c r="CT6" s="145"/>
      <c r="CX6" s="146">
        <f>MONTH('LCFS Table'!$B6)</f>
        <v>1</v>
      </c>
      <c r="CY6" s="146">
        <f>YEAR('LCFS Table'!$B6)</f>
        <v>2019</v>
      </c>
    </row>
    <row r="7" spans="1:111" s="153" customFormat="1">
      <c r="A7" s="148">
        <f>'LCFS Table'!$B7-5</f>
        <v>43492</v>
      </c>
      <c r="B7" s="149">
        <v>43497</v>
      </c>
      <c r="C7" s="132">
        <f t="shared" si="0"/>
        <v>2019</v>
      </c>
      <c r="D7" s="150" t="s">
        <v>261</v>
      </c>
      <c r="E7" s="134"/>
      <c r="F7" s="134">
        <f>('LCFS Table'!$M7)-'LCFS Table'!$J7</f>
        <v>-3.0741024677290003</v>
      </c>
      <c r="G7" s="135"/>
      <c r="H7" s="135">
        <f>'LCFS Table'!$F7+'LCFS Table'!$AX7+'LCFS Table'!$AY7+'LCFS Table'!$AZ7+'LCFS Table'!$BA7+('LCFS Table'!$CQ7*0.9/(0.8/0.99)/100)+(DG7*'LCFS Table'!$AF7)+(DF7*'LCFS Table'!$AG7)</f>
        <v>3.7351171874999853E-2</v>
      </c>
      <c r="I7" s="134">
        <f>('LCFS Table'!$V7+'LCFS Table'!$W7+'LCFS Table'!$X7)/100+(('LCFS Table'!$AI7+'LCFS Table'!$AJ7)/340)</f>
        <v>2.716215581977472</v>
      </c>
      <c r="J7" s="134">
        <f>(('LCFS Table'!$Y7+'LCFS Table'!$Z7)/100)+(('LCFS Table'!$AM7+'LCFS Table'!$AN7)/300)</f>
        <v>3.2781800781250001</v>
      </c>
      <c r="K7" s="136" t="s">
        <v>257</v>
      </c>
      <c r="L7" s="136">
        <v>323.2</v>
      </c>
      <c r="M7" s="137">
        <f>('LCFS Table'!$L7/100)-'LCFS Table'!$AX7-'LCFS Table'!$AY7-'LCFS Table'!$AZ7-'LCFS Table'!$BA7</f>
        <v>0.20407761039599959</v>
      </c>
      <c r="N7" s="136">
        <v>26</v>
      </c>
      <c r="O7" s="136">
        <v>25.5</v>
      </c>
      <c r="P7" s="136">
        <v>25</v>
      </c>
      <c r="Q7" s="136">
        <v>33.478000000000002</v>
      </c>
      <c r="R7" s="136">
        <v>23.75</v>
      </c>
      <c r="S7" s="137">
        <f>'LCFS Table'!$N7 + 'LCFS Table'!$AH7</f>
        <v>30.375</v>
      </c>
      <c r="T7" s="137">
        <f>'LCFS Table'!$Q7+'LCFS Table'!$AH7</f>
        <v>37.853000000000002</v>
      </c>
      <c r="U7" s="137">
        <f>'LCFS Table'!$P7+'LCFS Table'!$AH7</f>
        <v>29.375</v>
      </c>
      <c r="V7" s="137">
        <f>(('LCFS Table'!$S7/'LCFS Table'!$AA7)*'LCFS Table'!$AC7)*6.48</f>
        <v>104.69680851063831</v>
      </c>
      <c r="W7" s="137">
        <f>(('LCFS Table'!$O7/'LCFS Table'!$AA7)*'LCFS Table'!$AD7)*6.48</f>
        <v>43.946808510638306</v>
      </c>
      <c r="X7" s="137">
        <f>(('LCFS Table'!$U7/'LCFS Table'!$AA7)*'LCFS Table'!$AE7)*6.48</f>
        <v>50.625</v>
      </c>
      <c r="Y7" s="137">
        <f>(('LCFS Table'!$T7/'LCFS Table'!$AB7)*'LCFS Table'!$AF7)*7.35</f>
        <v>217.35902343750001</v>
      </c>
      <c r="Z7" s="137">
        <f>(('LCFS Table'!$R7/'LCFS Table'!$AB7)*'LCFS Table'!$AG7)*7.35</f>
        <v>45.458984375</v>
      </c>
      <c r="AA7" s="138">
        <v>0.94</v>
      </c>
      <c r="AB7" s="138">
        <v>0.96</v>
      </c>
      <c r="AC7" s="138">
        <v>0.5</v>
      </c>
      <c r="AD7" s="138">
        <v>0.25</v>
      </c>
      <c r="AE7" s="138">
        <v>0.25</v>
      </c>
      <c r="AF7" s="138">
        <v>0.75</v>
      </c>
      <c r="AG7" s="138">
        <v>0.25</v>
      </c>
      <c r="AH7" s="139">
        <v>4.375</v>
      </c>
      <c r="AI7" s="139">
        <v>136</v>
      </c>
      <c r="AJ7" s="139">
        <v>110</v>
      </c>
      <c r="AK7" s="139">
        <f>('LCFS Table'!$AI7/340)*100</f>
        <v>40</v>
      </c>
      <c r="AL7" s="139">
        <f>('LCFS Table'!$AJ7/340)*100</f>
        <v>32.352941176470587</v>
      </c>
      <c r="AM7" s="139">
        <v>105</v>
      </c>
      <c r="AN7" s="139">
        <v>90</v>
      </c>
      <c r="AO7" s="139">
        <f>('LCFS Table'!$AM7/300)*100</f>
        <v>35</v>
      </c>
      <c r="AP7" s="139">
        <f>('LCFS Table'!$AN7/300)*100</f>
        <v>30</v>
      </c>
      <c r="AQ7" s="140">
        <v>194.4</v>
      </c>
      <c r="AR7" s="136">
        <v>0.56700000000000006</v>
      </c>
      <c r="AS7" s="137">
        <v>1.7103351872298216</v>
      </c>
      <c r="AT7" s="137">
        <v>0.16</v>
      </c>
      <c r="AU7" s="137">
        <v>1</v>
      </c>
      <c r="AV7" s="137">
        <f>'LCFS Table'!$AR7*1.7</f>
        <v>0.96390000000000009</v>
      </c>
      <c r="AW7" s="137">
        <v>0</v>
      </c>
      <c r="AX7" s="137">
        <v>1.1774223896040001</v>
      </c>
      <c r="AY7" s="137">
        <v>0</v>
      </c>
      <c r="AZ7" s="141">
        <v>1</v>
      </c>
      <c r="BA7" s="137">
        <f>'LCFS Table'!$AR7*1.5</f>
        <v>0.85050000000000003</v>
      </c>
      <c r="BB7" s="142">
        <v>1.2</v>
      </c>
      <c r="BC7" s="137">
        <f>'LCFS Table'!$AS7*'LCFS Table'!$BW7</f>
        <v>1.7103351872298216</v>
      </c>
      <c r="BD7" s="137">
        <f>'LCFS Table'!$AT7*'LCFS Table'!$BX7</f>
        <v>0</v>
      </c>
      <c r="BE7" s="137">
        <f>'LCFS Table'!$AU7*'LCFS Table'!$BY7</f>
        <v>1</v>
      </c>
      <c r="BF7" s="137">
        <f>'LCFS Table'!$AV7*'LCFS Table'!$BZ7</f>
        <v>0.96390000000000009</v>
      </c>
      <c r="BG7" s="137">
        <f>'LCFS Table'!$AW7*'LCFS Table'!$CA7</f>
        <v>0</v>
      </c>
      <c r="BH7" s="137">
        <f>'LCFS Table'!$AX7*'LCFS Table'!$CB7</f>
        <v>1.1774223896040001</v>
      </c>
      <c r="BI7" s="137">
        <f>'LCFS Table'!$AY7*'LCFS Table'!$CC7</f>
        <v>0</v>
      </c>
      <c r="BJ7" s="137">
        <f>'LCFS Table'!$AZ7*'LCFS Table'!$CD7</f>
        <v>1</v>
      </c>
      <c r="BK7" s="137">
        <f>'LCFS Table'!$BA7*'LCFS Table'!$CE7</f>
        <v>0.85050000000000003</v>
      </c>
      <c r="BL7" s="137">
        <f>'LCFS Table'!$BB7*'LCFS Table'!$CF7</f>
        <v>-1.2</v>
      </c>
      <c r="BM7" s="137">
        <f>'LCFS Table'!$AS7*'LCFS Table'!$CG7</f>
        <v>0</v>
      </c>
      <c r="BN7" s="137">
        <f>'LCFS Table'!$AT7*'LCFS Table'!$CH7</f>
        <v>0.16</v>
      </c>
      <c r="BO7" s="137">
        <f>'LCFS Table'!$AU7*'LCFS Table'!$CI7</f>
        <v>0</v>
      </c>
      <c r="BP7" s="137">
        <f>'LCFS Table'!$AV7*'LCFS Table'!$CJ7</f>
        <v>0</v>
      </c>
      <c r="BQ7" s="137">
        <f>'LCFS Table'!$AW7*'LCFS Table'!$CK7</f>
        <v>0</v>
      </c>
      <c r="BR7" s="137">
        <f>'LCFS Table'!$AX7*'LCFS Table'!$CL7</f>
        <v>0</v>
      </c>
      <c r="BS7" s="137">
        <f>'LCFS Table'!$AY7*'LCFS Table'!$CM7</f>
        <v>0</v>
      </c>
      <c r="BT7" s="137">
        <f>'LCFS Table'!$AZ7*'LCFS Table'!$CN7</f>
        <v>0</v>
      </c>
      <c r="BU7" s="137">
        <f>'LCFS Table'!$BA7*'LCFS Table'!$CO7</f>
        <v>0</v>
      </c>
      <c r="BV7" s="142">
        <f>'LCFS Table'!$BB7*'LCFS Table'!$CP7</f>
        <v>1.2</v>
      </c>
      <c r="BW7" s="138">
        <v>1</v>
      </c>
      <c r="BX7" s="138">
        <v>0</v>
      </c>
      <c r="BY7" s="138">
        <v>1</v>
      </c>
      <c r="BZ7" s="138">
        <v>1</v>
      </c>
      <c r="CA7" s="138">
        <v>-1</v>
      </c>
      <c r="CB7" s="138">
        <v>1</v>
      </c>
      <c r="CC7" s="138">
        <v>0</v>
      </c>
      <c r="CD7" s="138">
        <v>1</v>
      </c>
      <c r="CE7" s="138">
        <v>1</v>
      </c>
      <c r="CF7" s="138">
        <v>-1</v>
      </c>
      <c r="CG7" s="138">
        <f>1-'LCFS Table'!$BW7</f>
        <v>0</v>
      </c>
      <c r="CH7" s="138">
        <f>1-'LCFS Table'!$BX7</f>
        <v>1</v>
      </c>
      <c r="CI7" s="138">
        <f>1-'LCFS Table'!$BY7</f>
        <v>0</v>
      </c>
      <c r="CJ7" s="138">
        <f>1-'LCFS Table'!$BZ7</f>
        <v>0</v>
      </c>
      <c r="CK7" s="138">
        <f>-'LCFS Table'!$CA7</f>
        <v>1</v>
      </c>
      <c r="CL7" s="138">
        <f>1-'LCFS Table'!$CB7</f>
        <v>0</v>
      </c>
      <c r="CM7" s="138">
        <f>1-'LCFS Table'!$CC7</f>
        <v>1</v>
      </c>
      <c r="CN7" s="138">
        <f>1-'LCFS Table'!$CD7</f>
        <v>0</v>
      </c>
      <c r="CO7" s="138">
        <f>1-'LCFS Table'!$CE7</f>
        <v>0</v>
      </c>
      <c r="CP7" s="138">
        <f>-'LCFS Table'!$CF7</f>
        <v>1</v>
      </c>
      <c r="CQ7" s="140">
        <v>7.5</v>
      </c>
      <c r="CR7" s="151">
        <f>('LCFS Table'!$CQ7*0.9/(0.8/0.99)/100)</f>
        <v>8.3531249999999987E-2</v>
      </c>
      <c r="CS7" s="138"/>
      <c r="CT7" s="152"/>
      <c r="CX7" s="153">
        <f>MONTH('LCFS Table'!$B7)</f>
        <v>2</v>
      </c>
      <c r="CY7" s="153">
        <f>YEAR('LCFS Table'!$B7)</f>
        <v>2019</v>
      </c>
    </row>
    <row r="8" spans="1:111" s="146" customFormat="1">
      <c r="A8" s="147">
        <f>'LCFS Table'!$B8-5</f>
        <v>43499</v>
      </c>
      <c r="B8" s="131">
        <v>43504</v>
      </c>
      <c r="C8" s="154">
        <f t="shared" si="0"/>
        <v>2019</v>
      </c>
      <c r="D8" s="133" t="s">
        <v>262</v>
      </c>
      <c r="E8" s="155"/>
      <c r="F8" s="155">
        <f>('LCFS Table'!$M8)-'LCFS Table'!$J8</f>
        <v>-2.9830297280955005</v>
      </c>
      <c r="G8" s="156"/>
      <c r="H8" s="156">
        <f>'LCFS Table'!$F8+'LCFS Table'!$AX8+'LCFS Table'!$AY8+'LCFS Table'!$AZ8+'LCFS Table'!$BA8+('LCFS Table'!$CQ8*0.9/(0.8/0.99)/100)+(DG8*'LCFS Table'!$AF8)+(DF8*'LCFS Table'!$AG8)</f>
        <v>0.11743164062499971</v>
      </c>
      <c r="I8" s="155">
        <f>('LCFS Table'!$V8+'LCFS Table'!$W8+'LCFS Table'!$X8)/100+(('LCFS Table'!$AI8+'LCFS Table'!$AJ8)/340)</f>
        <v>2.7093219649561955</v>
      </c>
      <c r="J8" s="155">
        <f>(('LCFS Table'!$Y8+'LCFS Table'!$Z8)/100)+(('LCFS Table'!$AM8+'LCFS Table'!$AN8)/300)</f>
        <v>3.2380996093750003</v>
      </c>
      <c r="K8" s="136" t="s">
        <v>257</v>
      </c>
      <c r="L8" s="136">
        <v>327.2</v>
      </c>
      <c r="M8" s="136">
        <f>('LCFS Table'!$L8/100)-'LCFS Table'!$AX8-'LCFS Table'!$AY8-'LCFS Table'!$AZ8-'LCFS Table'!$BA8</f>
        <v>0.25506988127949959</v>
      </c>
      <c r="N8" s="136">
        <v>26</v>
      </c>
      <c r="O8" s="136">
        <v>25.5</v>
      </c>
      <c r="P8" s="136">
        <v>24.6</v>
      </c>
      <c r="Q8" s="136">
        <v>32.78</v>
      </c>
      <c r="R8" s="136">
        <v>23.75</v>
      </c>
      <c r="S8" s="136">
        <f>'LCFS Table'!$N8 + 'LCFS Table'!$AH8</f>
        <v>30.375</v>
      </c>
      <c r="T8" s="136">
        <f>'LCFS Table'!$Q8+'LCFS Table'!$AH8</f>
        <v>37.155000000000001</v>
      </c>
      <c r="U8" s="136">
        <f>'LCFS Table'!$P8+'LCFS Table'!$AH8</f>
        <v>28.975000000000001</v>
      </c>
      <c r="V8" s="136">
        <f>(('LCFS Table'!$S8/'LCFS Table'!$AA8)*'LCFS Table'!$AC8)*6.48</f>
        <v>104.69680851063831</v>
      </c>
      <c r="W8" s="136">
        <f>(('LCFS Table'!$O8/'LCFS Table'!$AA8)*'LCFS Table'!$AD8)*6.48</f>
        <v>43.946808510638306</v>
      </c>
      <c r="X8" s="136">
        <f>(('LCFS Table'!$U8/'LCFS Table'!$AA8)*'LCFS Table'!$AE8)*6.48</f>
        <v>49.935638297872345</v>
      </c>
      <c r="Y8" s="136">
        <f>(('LCFS Table'!$T8/'LCFS Table'!$AB8)*'LCFS Table'!$AF8)*7.35</f>
        <v>213.35097656249999</v>
      </c>
      <c r="Z8" s="136">
        <f>(('LCFS Table'!$R8/'LCFS Table'!$AB8)*'LCFS Table'!$AG8)*7.35</f>
        <v>45.458984375</v>
      </c>
      <c r="AA8" s="144">
        <v>0.94</v>
      </c>
      <c r="AB8" s="144">
        <v>0.96</v>
      </c>
      <c r="AC8" s="144">
        <v>0.5</v>
      </c>
      <c r="AD8" s="144">
        <v>0.25</v>
      </c>
      <c r="AE8" s="144">
        <v>0.25</v>
      </c>
      <c r="AF8" s="144">
        <v>0.75</v>
      </c>
      <c r="AG8" s="144">
        <v>0.25</v>
      </c>
      <c r="AH8" s="157">
        <v>4.375</v>
      </c>
      <c r="AI8" s="157">
        <v>136</v>
      </c>
      <c r="AJ8" s="157">
        <v>110</v>
      </c>
      <c r="AK8" s="157">
        <f>('LCFS Table'!$AI8/340)*100</f>
        <v>40</v>
      </c>
      <c r="AL8" s="157">
        <f>('LCFS Table'!$AJ8/340)*100</f>
        <v>32.352941176470587</v>
      </c>
      <c r="AM8" s="157">
        <v>105</v>
      </c>
      <c r="AN8" s="157">
        <v>90</v>
      </c>
      <c r="AO8" s="157">
        <f>('LCFS Table'!$AM8/300)*100</f>
        <v>35</v>
      </c>
      <c r="AP8" s="157">
        <f>('LCFS Table'!$AN8/300)*100</f>
        <v>30</v>
      </c>
      <c r="AQ8" s="140">
        <v>196.3</v>
      </c>
      <c r="AR8" s="136">
        <v>0.55200000000000005</v>
      </c>
      <c r="AS8" s="136">
        <v>1.7270514261996606</v>
      </c>
      <c r="AT8" s="136">
        <v>0.16</v>
      </c>
      <c r="AU8" s="137">
        <v>1</v>
      </c>
      <c r="AV8" s="136">
        <f>'LCFS Table'!$AR8*1.7</f>
        <v>0.93840000000000001</v>
      </c>
      <c r="AW8" s="136">
        <v>0</v>
      </c>
      <c r="AX8" s="136">
        <v>1.1889301187205001</v>
      </c>
      <c r="AY8" s="136">
        <v>0</v>
      </c>
      <c r="AZ8" s="141">
        <v>1</v>
      </c>
      <c r="BA8" s="136">
        <f>'LCFS Table'!$AR8*1.5</f>
        <v>0.82800000000000007</v>
      </c>
      <c r="BB8" s="142">
        <v>1.2</v>
      </c>
      <c r="BC8" s="136">
        <f>'LCFS Table'!$AS8*'LCFS Table'!$BW8</f>
        <v>1.7270514261996606</v>
      </c>
      <c r="BD8" s="136">
        <f>'LCFS Table'!$AT8*'LCFS Table'!$BX8</f>
        <v>0</v>
      </c>
      <c r="BE8" s="136">
        <f>'LCFS Table'!$AU8*'LCFS Table'!$BY8</f>
        <v>1</v>
      </c>
      <c r="BF8" s="136">
        <f>'LCFS Table'!$AV8*'LCFS Table'!$BZ8</f>
        <v>0.93840000000000001</v>
      </c>
      <c r="BG8" s="136">
        <f>'LCFS Table'!$AW8*'LCFS Table'!$CA8</f>
        <v>0</v>
      </c>
      <c r="BH8" s="136">
        <f>'LCFS Table'!$AX8*'LCFS Table'!$CB8</f>
        <v>1.1889301187205001</v>
      </c>
      <c r="BI8" s="136">
        <f>'LCFS Table'!$AY8*'LCFS Table'!$CC8</f>
        <v>0</v>
      </c>
      <c r="BJ8" s="136">
        <f>'LCFS Table'!$AZ8*'LCFS Table'!$CD8</f>
        <v>1</v>
      </c>
      <c r="BK8" s="136">
        <f>'LCFS Table'!$BA8*'LCFS Table'!$CE8</f>
        <v>0.82800000000000007</v>
      </c>
      <c r="BL8" s="136">
        <f>'LCFS Table'!$BB8*'LCFS Table'!$CF8</f>
        <v>-1.2</v>
      </c>
      <c r="BM8" s="136">
        <f>'LCFS Table'!$AS8*'LCFS Table'!$CG8</f>
        <v>0</v>
      </c>
      <c r="BN8" s="136">
        <f>'LCFS Table'!$AT8*'LCFS Table'!$CH8</f>
        <v>0.16</v>
      </c>
      <c r="BO8" s="136">
        <f>'LCFS Table'!$AU8*'LCFS Table'!$CI8</f>
        <v>0</v>
      </c>
      <c r="BP8" s="136">
        <f>'LCFS Table'!$AV8*'LCFS Table'!$CJ8</f>
        <v>0</v>
      </c>
      <c r="BQ8" s="136">
        <f>'LCFS Table'!$AW8*'LCFS Table'!$CK8</f>
        <v>0</v>
      </c>
      <c r="BR8" s="136">
        <f>'LCFS Table'!$AX8*'LCFS Table'!$CL8</f>
        <v>0</v>
      </c>
      <c r="BS8" s="136">
        <f>'LCFS Table'!$AY8*'LCFS Table'!$CM8</f>
        <v>0</v>
      </c>
      <c r="BT8" s="136">
        <f>'LCFS Table'!$AZ8*'LCFS Table'!$CN8</f>
        <v>0</v>
      </c>
      <c r="BU8" s="136">
        <f>'LCFS Table'!$BA8*'LCFS Table'!$CO8</f>
        <v>0</v>
      </c>
      <c r="BV8" s="142">
        <f>'LCFS Table'!$BB8*'LCFS Table'!$CP8</f>
        <v>1.2</v>
      </c>
      <c r="BW8" s="144">
        <v>1</v>
      </c>
      <c r="BX8" s="144">
        <v>0</v>
      </c>
      <c r="BY8" s="144">
        <v>1</v>
      </c>
      <c r="BZ8" s="144">
        <v>1</v>
      </c>
      <c r="CA8" s="144">
        <v>-1</v>
      </c>
      <c r="CB8" s="144">
        <v>1</v>
      </c>
      <c r="CC8" s="144">
        <v>0</v>
      </c>
      <c r="CD8" s="144">
        <v>1</v>
      </c>
      <c r="CE8" s="144">
        <v>1</v>
      </c>
      <c r="CF8" s="144">
        <v>-1</v>
      </c>
      <c r="CG8" s="144">
        <f>1-'LCFS Table'!$BW8</f>
        <v>0</v>
      </c>
      <c r="CH8" s="144">
        <f>1-'LCFS Table'!$BX8</f>
        <v>1</v>
      </c>
      <c r="CI8" s="144">
        <f>1-'LCFS Table'!$BY8</f>
        <v>0</v>
      </c>
      <c r="CJ8" s="144">
        <f>1-'LCFS Table'!$BZ8</f>
        <v>0</v>
      </c>
      <c r="CK8" s="144">
        <f>-'LCFS Table'!$CA8</f>
        <v>1</v>
      </c>
      <c r="CL8" s="144">
        <f>1-'LCFS Table'!$CB8</f>
        <v>0</v>
      </c>
      <c r="CM8" s="144">
        <f>1-'LCFS Table'!$CC8</f>
        <v>1</v>
      </c>
      <c r="CN8" s="144">
        <f>1-'LCFS Table'!$CD8</f>
        <v>0</v>
      </c>
      <c r="CO8" s="144">
        <f>1-'LCFS Table'!$CE8</f>
        <v>0</v>
      </c>
      <c r="CP8" s="144">
        <f>-'LCFS Table'!$CF8</f>
        <v>1</v>
      </c>
      <c r="CQ8" s="140">
        <v>7.5</v>
      </c>
      <c r="CR8" s="143">
        <f>('LCFS Table'!$CQ8*0.9/(0.8/0.99)/100)</f>
        <v>8.3531249999999987E-2</v>
      </c>
      <c r="CS8" s="144"/>
      <c r="CT8" s="145"/>
      <c r="CX8" s="146">
        <f>MONTH('LCFS Table'!$B8)</f>
        <v>2</v>
      </c>
      <c r="CY8" s="146">
        <f>YEAR('LCFS Table'!$B8)</f>
        <v>2019</v>
      </c>
    </row>
    <row r="9" spans="1:111" s="153" customFormat="1">
      <c r="A9" s="148">
        <f>'LCFS Table'!$B9-5</f>
        <v>43506</v>
      </c>
      <c r="B9" s="149">
        <v>43511</v>
      </c>
      <c r="C9" s="132">
        <f t="shared" si="0"/>
        <v>2019</v>
      </c>
      <c r="D9" s="150" t="s">
        <v>263</v>
      </c>
      <c r="E9" s="134"/>
      <c r="F9" s="134">
        <f>('LCFS Table'!$M9)-'LCFS Table'!$J9</f>
        <v>-2.9668887464762506</v>
      </c>
      <c r="G9" s="135"/>
      <c r="H9" s="135">
        <f>'LCFS Table'!$F9+'LCFS Table'!$AX9+'LCFS Table'!$AY9+'LCFS Table'!$AZ9+'LCFS Table'!$BA9+('LCFS Table'!$CQ9*0.9/(0.8/0.99)/100)+(DG9*'LCFS Table'!$AF9)+(DF9*'LCFS Table'!$AG9)</f>
        <v>0.13146093749999949</v>
      </c>
      <c r="I9" s="134">
        <f>('LCFS Table'!$V9+'LCFS Table'!$W9+'LCFS Table'!$X9)/100+(('LCFS Table'!$AI9+'LCFS Table'!$AJ9)/340)</f>
        <v>2.6989815394242807</v>
      </c>
      <c r="J9" s="134">
        <f>(('LCFS Table'!$Y9+'LCFS Table'!$Z9)/100)+(('LCFS Table'!$AM9+'LCFS Table'!$AN9)/300)</f>
        <v>3.2320703124999999</v>
      </c>
      <c r="K9" s="136" t="s">
        <v>257</v>
      </c>
      <c r="L9" s="136">
        <v>328</v>
      </c>
      <c r="M9" s="137">
        <f>('LCFS Table'!$L9/100)-'LCFS Table'!$AX9-'LCFS Table'!$AY9-'LCFS Table'!$AZ9-'LCFS Table'!$BA9</f>
        <v>0.26518156602374954</v>
      </c>
      <c r="N9" s="136">
        <v>26</v>
      </c>
      <c r="O9" s="136">
        <v>25.5</v>
      </c>
      <c r="P9" s="136">
        <v>24</v>
      </c>
      <c r="Q9" s="136">
        <v>32.674999999999997</v>
      </c>
      <c r="R9" s="136">
        <v>23.75</v>
      </c>
      <c r="S9" s="137">
        <f>'LCFS Table'!$N9 + 'LCFS Table'!$AH9</f>
        <v>30.375</v>
      </c>
      <c r="T9" s="137">
        <f>'LCFS Table'!$Q9+'LCFS Table'!$AH9</f>
        <v>37.049999999999997</v>
      </c>
      <c r="U9" s="137">
        <f>'LCFS Table'!$P9+'LCFS Table'!$AH9</f>
        <v>28.375</v>
      </c>
      <c r="V9" s="137">
        <f>(('LCFS Table'!$S9/'LCFS Table'!$AA9)*'LCFS Table'!$AC9)*6.48</f>
        <v>104.69680851063831</v>
      </c>
      <c r="W9" s="137">
        <f>(('LCFS Table'!$O9/'LCFS Table'!$AA9)*'LCFS Table'!$AD9)*6.48</f>
        <v>43.946808510638306</v>
      </c>
      <c r="X9" s="137">
        <f>(('LCFS Table'!$U9/'LCFS Table'!$AA9)*'LCFS Table'!$AE9)*6.48</f>
        <v>48.901595744680854</v>
      </c>
      <c r="Y9" s="137">
        <f>(('LCFS Table'!$T9/'LCFS Table'!$AB9)*'LCFS Table'!$AF9)*7.35</f>
        <v>212.748046875</v>
      </c>
      <c r="Z9" s="137">
        <f>(('LCFS Table'!$R9/'LCFS Table'!$AB9)*'LCFS Table'!$AG9)*7.35</f>
        <v>45.458984375</v>
      </c>
      <c r="AA9" s="138">
        <v>0.94</v>
      </c>
      <c r="AB9" s="138">
        <v>0.96</v>
      </c>
      <c r="AC9" s="138">
        <v>0.5</v>
      </c>
      <c r="AD9" s="138">
        <v>0.25</v>
      </c>
      <c r="AE9" s="138">
        <v>0.25</v>
      </c>
      <c r="AF9" s="138">
        <v>0.75</v>
      </c>
      <c r="AG9" s="138">
        <v>0.25</v>
      </c>
      <c r="AH9" s="139">
        <v>4.375</v>
      </c>
      <c r="AI9" s="139">
        <v>136</v>
      </c>
      <c r="AJ9" s="139">
        <v>110</v>
      </c>
      <c r="AK9" s="139">
        <f>('LCFS Table'!$AI9/340)*100</f>
        <v>40</v>
      </c>
      <c r="AL9" s="139">
        <f>('LCFS Table'!$AJ9/340)*100</f>
        <v>32.352941176470587</v>
      </c>
      <c r="AM9" s="139">
        <v>105</v>
      </c>
      <c r="AN9" s="139">
        <v>90</v>
      </c>
      <c r="AO9" s="139">
        <f>('LCFS Table'!$AM9/300)*100</f>
        <v>35</v>
      </c>
      <c r="AP9" s="139">
        <f>('LCFS Table'!$AN9/300)*100</f>
        <v>30</v>
      </c>
      <c r="AQ9" s="140">
        <v>195.75</v>
      </c>
      <c r="AR9" s="136">
        <v>0.552813</v>
      </c>
      <c r="AS9" s="137">
        <v>1.7222125149189176</v>
      </c>
      <c r="AT9" s="137">
        <v>0.16</v>
      </c>
      <c r="AU9" s="137">
        <v>1</v>
      </c>
      <c r="AV9" s="137">
        <f>'LCFS Table'!$AR9*1.7</f>
        <v>0.93978209999999995</v>
      </c>
      <c r="AW9" s="137">
        <v>0</v>
      </c>
      <c r="AX9" s="137">
        <v>1.18559893397625</v>
      </c>
      <c r="AY9" s="137">
        <v>0</v>
      </c>
      <c r="AZ9" s="141">
        <v>1</v>
      </c>
      <c r="BA9" s="137">
        <f>'LCFS Table'!$AR9*1.5</f>
        <v>0.8292195</v>
      </c>
      <c r="BB9" s="142">
        <v>1.2</v>
      </c>
      <c r="BC9" s="137">
        <f>'LCFS Table'!$AS9*'LCFS Table'!$BW9</f>
        <v>1.7222125149189176</v>
      </c>
      <c r="BD9" s="137">
        <f>'LCFS Table'!$AT9*'LCFS Table'!$BX9</f>
        <v>0</v>
      </c>
      <c r="BE9" s="137">
        <f>'LCFS Table'!$AU9*'LCFS Table'!$BY9</f>
        <v>1</v>
      </c>
      <c r="BF9" s="137">
        <f>'LCFS Table'!$AV9*'LCFS Table'!$BZ9</f>
        <v>0.93978209999999995</v>
      </c>
      <c r="BG9" s="137">
        <f>'LCFS Table'!$AW9*'LCFS Table'!$CA9</f>
        <v>0</v>
      </c>
      <c r="BH9" s="137">
        <f>'LCFS Table'!$AX9*'LCFS Table'!$CB9</f>
        <v>1.18559893397625</v>
      </c>
      <c r="BI9" s="137">
        <f>'LCFS Table'!$AY9*'LCFS Table'!$CC9</f>
        <v>0</v>
      </c>
      <c r="BJ9" s="137">
        <f>'LCFS Table'!$AZ9*'LCFS Table'!$CD9</f>
        <v>1</v>
      </c>
      <c r="BK9" s="137">
        <f>'LCFS Table'!$BA9*'LCFS Table'!$CE9</f>
        <v>0.8292195</v>
      </c>
      <c r="BL9" s="137">
        <f>'LCFS Table'!$BB9*'LCFS Table'!$CF9</f>
        <v>-1.2</v>
      </c>
      <c r="BM9" s="137">
        <f>'LCFS Table'!$AS9*'LCFS Table'!$CG9</f>
        <v>0</v>
      </c>
      <c r="BN9" s="137">
        <f>'LCFS Table'!$AT9*'LCFS Table'!$CH9</f>
        <v>0.16</v>
      </c>
      <c r="BO9" s="137">
        <f>'LCFS Table'!$AU9*'LCFS Table'!$CI9</f>
        <v>0</v>
      </c>
      <c r="BP9" s="137">
        <f>'LCFS Table'!$AV9*'LCFS Table'!$CJ9</f>
        <v>0</v>
      </c>
      <c r="BQ9" s="137">
        <f>'LCFS Table'!$AW9*'LCFS Table'!$CK9</f>
        <v>0</v>
      </c>
      <c r="BR9" s="137">
        <f>'LCFS Table'!$AX9*'LCFS Table'!$CL9</f>
        <v>0</v>
      </c>
      <c r="BS9" s="137">
        <f>'LCFS Table'!$AY9*'LCFS Table'!$CM9</f>
        <v>0</v>
      </c>
      <c r="BT9" s="137">
        <f>'LCFS Table'!$AZ9*'LCFS Table'!$CN9</f>
        <v>0</v>
      </c>
      <c r="BU9" s="137">
        <f>'LCFS Table'!$BA9*'LCFS Table'!$CO9</f>
        <v>0</v>
      </c>
      <c r="BV9" s="142">
        <f>'LCFS Table'!$BB9*'LCFS Table'!$CP9</f>
        <v>1.2</v>
      </c>
      <c r="BW9" s="138">
        <v>1</v>
      </c>
      <c r="BX9" s="138">
        <v>0</v>
      </c>
      <c r="BY9" s="138">
        <v>1</v>
      </c>
      <c r="BZ9" s="138">
        <v>1</v>
      </c>
      <c r="CA9" s="138">
        <v>-1</v>
      </c>
      <c r="CB9" s="138">
        <v>1</v>
      </c>
      <c r="CC9" s="138">
        <v>0</v>
      </c>
      <c r="CD9" s="138">
        <v>1</v>
      </c>
      <c r="CE9" s="138">
        <v>1</v>
      </c>
      <c r="CF9" s="138">
        <v>-1</v>
      </c>
      <c r="CG9" s="138">
        <f>1-'LCFS Table'!$BW9</f>
        <v>0</v>
      </c>
      <c r="CH9" s="138">
        <f>1-'LCFS Table'!$BX9</f>
        <v>1</v>
      </c>
      <c r="CI9" s="138">
        <f>1-'LCFS Table'!$BY9</f>
        <v>0</v>
      </c>
      <c r="CJ9" s="138">
        <f>1-'LCFS Table'!$BZ9</f>
        <v>0</v>
      </c>
      <c r="CK9" s="138">
        <f>-'LCFS Table'!$CA9</f>
        <v>1</v>
      </c>
      <c r="CL9" s="138">
        <f>1-'LCFS Table'!$CB9</f>
        <v>0</v>
      </c>
      <c r="CM9" s="138">
        <f>1-'LCFS Table'!$CC9</f>
        <v>1</v>
      </c>
      <c r="CN9" s="138">
        <f>1-'LCFS Table'!$CD9</f>
        <v>0</v>
      </c>
      <c r="CO9" s="138">
        <f>1-'LCFS Table'!$CE9</f>
        <v>0</v>
      </c>
      <c r="CP9" s="138">
        <f>-'LCFS Table'!$CF9</f>
        <v>1</v>
      </c>
      <c r="CQ9" s="140">
        <v>7.5</v>
      </c>
      <c r="CR9" s="151">
        <f>('LCFS Table'!$CQ9*0.9/(0.8/0.99)/100)</f>
        <v>8.3531249999999987E-2</v>
      </c>
      <c r="CS9" s="138"/>
      <c r="CT9" s="152"/>
      <c r="CX9" s="153">
        <f>MONTH('LCFS Table'!$B9)</f>
        <v>2</v>
      </c>
      <c r="CY9" s="153">
        <f>YEAR('LCFS Table'!$B9)</f>
        <v>2019</v>
      </c>
    </row>
    <row r="10" spans="1:111" s="146" customFormat="1">
      <c r="A10" s="147">
        <f>'LCFS Table'!$B10-5</f>
        <v>43513</v>
      </c>
      <c r="B10" s="131">
        <v>43518</v>
      </c>
      <c r="C10" s="154">
        <f t="shared" si="0"/>
        <v>2019</v>
      </c>
      <c r="D10" s="133" t="s">
        <v>264</v>
      </c>
      <c r="E10" s="155"/>
      <c r="F10" s="155">
        <f>('LCFS Table'!$M10)-'LCFS Table'!$J10</f>
        <v>-2.9444553081419995</v>
      </c>
      <c r="G10" s="156"/>
      <c r="H10" s="156">
        <f>'LCFS Table'!$F10+'LCFS Table'!$AX10+'LCFS Table'!$AY10+'LCFS Table'!$AZ10+'LCFS Table'!$BA10+('LCFS Table'!$CQ10*0.9/(0.8/0.99)/100)+(DG10*'LCFS Table'!$AF10)+(DF10*'LCFS Table'!$AG10)</f>
        <v>0.1239003906250004</v>
      </c>
      <c r="I10" s="155">
        <f>('LCFS Table'!$V10+'LCFS Table'!$W10+'LCFS Table'!$X10)/100+(('LCFS Table'!$AI10+'LCFS Table'!$AJ10)/340)</f>
        <v>2.6968272841051317</v>
      </c>
      <c r="J10" s="155">
        <f>(('LCFS Table'!$Y10+'LCFS Table'!$Z10)/100)+(('LCFS Table'!$AM10+'LCFS Table'!$AN10)/300)</f>
        <v>3.2396308593749996</v>
      </c>
      <c r="K10" s="136" t="s">
        <v>257</v>
      </c>
      <c r="L10" s="136">
        <v>328</v>
      </c>
      <c r="M10" s="136">
        <f>('LCFS Table'!$L10/100)-'LCFS Table'!$AX10-'LCFS Table'!$AY10-'LCFS Table'!$AZ10-'LCFS Table'!$BA10</f>
        <v>0.2951755512330001</v>
      </c>
      <c r="N10" s="136">
        <v>26</v>
      </c>
      <c r="O10" s="136">
        <v>25.5</v>
      </c>
      <c r="P10" s="136">
        <v>23.875</v>
      </c>
      <c r="Q10" s="136">
        <v>32.590000000000003</v>
      </c>
      <c r="R10" s="136">
        <v>24.4</v>
      </c>
      <c r="S10" s="136">
        <f>'LCFS Table'!$N10 + 'LCFS Table'!$AH10</f>
        <v>30.375</v>
      </c>
      <c r="T10" s="136">
        <f>'LCFS Table'!$Q10+'LCFS Table'!$AH10</f>
        <v>36.965000000000003</v>
      </c>
      <c r="U10" s="136">
        <f>'LCFS Table'!$P10+'LCFS Table'!$AH10</f>
        <v>28.25</v>
      </c>
      <c r="V10" s="136">
        <f>(('LCFS Table'!$S10/'LCFS Table'!$AA10)*'LCFS Table'!$AC10)*6.48</f>
        <v>104.69680851063831</v>
      </c>
      <c r="W10" s="136">
        <f>(('LCFS Table'!$O10/'LCFS Table'!$AA10)*'LCFS Table'!$AD10)*6.48</f>
        <v>43.946808510638306</v>
      </c>
      <c r="X10" s="136">
        <f>(('LCFS Table'!$U10/'LCFS Table'!$AA10)*'LCFS Table'!$AE10)*6.48</f>
        <v>48.686170212765965</v>
      </c>
      <c r="Y10" s="136">
        <f>(('LCFS Table'!$T10/'LCFS Table'!$AB10)*'LCFS Table'!$AF10)*7.35</f>
        <v>212.25996093749998</v>
      </c>
      <c r="Z10" s="136">
        <f>(('LCFS Table'!$R10/'LCFS Table'!$AB10)*'LCFS Table'!$AG10)*7.35</f>
        <v>46.703125</v>
      </c>
      <c r="AA10" s="144">
        <v>0.94</v>
      </c>
      <c r="AB10" s="144">
        <v>0.96</v>
      </c>
      <c r="AC10" s="144">
        <v>0.5</v>
      </c>
      <c r="AD10" s="144">
        <v>0.25</v>
      </c>
      <c r="AE10" s="144">
        <v>0.25</v>
      </c>
      <c r="AF10" s="144">
        <v>0.75</v>
      </c>
      <c r="AG10" s="144">
        <v>0.25</v>
      </c>
      <c r="AH10" s="157">
        <v>4.375</v>
      </c>
      <c r="AI10" s="157">
        <v>136</v>
      </c>
      <c r="AJ10" s="157">
        <v>110</v>
      </c>
      <c r="AK10" s="157">
        <f>('LCFS Table'!$AI10/340)*100</f>
        <v>40</v>
      </c>
      <c r="AL10" s="157">
        <f>('LCFS Table'!$AJ10/340)*100</f>
        <v>32.352941176470587</v>
      </c>
      <c r="AM10" s="157">
        <v>105</v>
      </c>
      <c r="AN10" s="157">
        <v>90</v>
      </c>
      <c r="AO10" s="157">
        <f>('LCFS Table'!$AM10/300)*100</f>
        <v>35</v>
      </c>
      <c r="AP10" s="157">
        <f>('LCFS Table'!$AN10/300)*100</f>
        <v>30</v>
      </c>
      <c r="AQ10" s="140">
        <v>196.2</v>
      </c>
      <c r="AR10" s="136">
        <v>0.53100000000000003</v>
      </c>
      <c r="AS10" s="136">
        <v>1.726171624148616</v>
      </c>
      <c r="AT10" s="136">
        <v>0.16</v>
      </c>
      <c r="AU10" s="137">
        <v>1</v>
      </c>
      <c r="AV10" s="136">
        <f>'LCFS Table'!$AR10*1.7</f>
        <v>0.90270000000000006</v>
      </c>
      <c r="AW10" s="136">
        <v>0</v>
      </c>
      <c r="AX10" s="136">
        <v>1.1883244487669999</v>
      </c>
      <c r="AY10" s="136">
        <v>0</v>
      </c>
      <c r="AZ10" s="141">
        <v>1</v>
      </c>
      <c r="BA10" s="136">
        <f>'LCFS Table'!$AR10*1.5</f>
        <v>0.79649999999999999</v>
      </c>
      <c r="BB10" s="142">
        <v>1.2</v>
      </c>
      <c r="BC10" s="136">
        <f>'LCFS Table'!$AS10*'LCFS Table'!$BW10</f>
        <v>1.726171624148616</v>
      </c>
      <c r="BD10" s="136">
        <f>'LCFS Table'!$AT10*'LCFS Table'!$BX10</f>
        <v>0</v>
      </c>
      <c r="BE10" s="136">
        <f>'LCFS Table'!$AU10*'LCFS Table'!$BY10</f>
        <v>1</v>
      </c>
      <c r="BF10" s="136">
        <f>'LCFS Table'!$AV10*'LCFS Table'!$BZ10</f>
        <v>0.90270000000000006</v>
      </c>
      <c r="BG10" s="136">
        <f>'LCFS Table'!$AW10*'LCFS Table'!$CA10</f>
        <v>0</v>
      </c>
      <c r="BH10" s="136">
        <f>'LCFS Table'!$AX10*'LCFS Table'!$CB10</f>
        <v>1.1883244487669999</v>
      </c>
      <c r="BI10" s="136">
        <f>'LCFS Table'!$AY10*'LCFS Table'!$CC10</f>
        <v>0</v>
      </c>
      <c r="BJ10" s="136">
        <f>'LCFS Table'!$AZ10*'LCFS Table'!$CD10</f>
        <v>1</v>
      </c>
      <c r="BK10" s="136">
        <f>'LCFS Table'!$BA10*'LCFS Table'!$CE10</f>
        <v>0.79649999999999999</v>
      </c>
      <c r="BL10" s="136">
        <f>'LCFS Table'!$BB10*'LCFS Table'!$CF10</f>
        <v>-1.2</v>
      </c>
      <c r="BM10" s="136">
        <f>'LCFS Table'!$AS10*'LCFS Table'!$CG10</f>
        <v>0</v>
      </c>
      <c r="BN10" s="136">
        <f>'LCFS Table'!$AT10*'LCFS Table'!$CH10</f>
        <v>0.16</v>
      </c>
      <c r="BO10" s="136">
        <f>'LCFS Table'!$AU10*'LCFS Table'!$CI10</f>
        <v>0</v>
      </c>
      <c r="BP10" s="136">
        <f>'LCFS Table'!$AV10*'LCFS Table'!$CJ10</f>
        <v>0</v>
      </c>
      <c r="BQ10" s="136">
        <f>'LCFS Table'!$AW10*'LCFS Table'!$CK10</f>
        <v>0</v>
      </c>
      <c r="BR10" s="136">
        <f>'LCFS Table'!$AX10*'LCFS Table'!$CL10</f>
        <v>0</v>
      </c>
      <c r="BS10" s="136">
        <f>'LCFS Table'!$AY10*'LCFS Table'!$CM10</f>
        <v>0</v>
      </c>
      <c r="BT10" s="136">
        <f>'LCFS Table'!$AZ10*'LCFS Table'!$CN10</f>
        <v>0</v>
      </c>
      <c r="BU10" s="136">
        <f>'LCFS Table'!$BA10*'LCFS Table'!$CO10</f>
        <v>0</v>
      </c>
      <c r="BV10" s="142">
        <f>'LCFS Table'!$BB10*'LCFS Table'!$CP10</f>
        <v>1.2</v>
      </c>
      <c r="BW10" s="144">
        <v>1</v>
      </c>
      <c r="BX10" s="144">
        <v>0</v>
      </c>
      <c r="BY10" s="144">
        <v>1</v>
      </c>
      <c r="BZ10" s="144">
        <v>1</v>
      </c>
      <c r="CA10" s="144">
        <v>-1</v>
      </c>
      <c r="CB10" s="144">
        <v>1</v>
      </c>
      <c r="CC10" s="144">
        <v>0</v>
      </c>
      <c r="CD10" s="144">
        <v>1</v>
      </c>
      <c r="CE10" s="144">
        <v>1</v>
      </c>
      <c r="CF10" s="144">
        <v>-1</v>
      </c>
      <c r="CG10" s="144">
        <f>1-'LCFS Table'!$BW10</f>
        <v>0</v>
      </c>
      <c r="CH10" s="144">
        <f>1-'LCFS Table'!$BX10</f>
        <v>1</v>
      </c>
      <c r="CI10" s="144">
        <f>1-'LCFS Table'!$BY10</f>
        <v>0</v>
      </c>
      <c r="CJ10" s="144">
        <f>1-'LCFS Table'!$BZ10</f>
        <v>0</v>
      </c>
      <c r="CK10" s="144">
        <f>-'LCFS Table'!$CA10</f>
        <v>1</v>
      </c>
      <c r="CL10" s="144">
        <f>1-'LCFS Table'!$CB10</f>
        <v>0</v>
      </c>
      <c r="CM10" s="144">
        <f>1-'LCFS Table'!$CC10</f>
        <v>1</v>
      </c>
      <c r="CN10" s="144">
        <f>1-'LCFS Table'!$CD10</f>
        <v>0</v>
      </c>
      <c r="CO10" s="144">
        <f>1-'LCFS Table'!$CE10</f>
        <v>0</v>
      </c>
      <c r="CP10" s="144">
        <f>-'LCFS Table'!$CF10</f>
        <v>1</v>
      </c>
      <c r="CQ10" s="140">
        <v>7.5</v>
      </c>
      <c r="CR10" s="143">
        <f>('LCFS Table'!$CQ10*0.9/(0.8/0.99)/100)</f>
        <v>8.3531249999999987E-2</v>
      </c>
      <c r="CS10" s="144"/>
      <c r="CT10" s="145"/>
      <c r="CX10" s="146">
        <f>MONTH('LCFS Table'!$B10)</f>
        <v>2</v>
      </c>
      <c r="CY10" s="146">
        <f>YEAR('LCFS Table'!$B10)</f>
        <v>2019</v>
      </c>
    </row>
    <row r="11" spans="1:111" s="153" customFormat="1">
      <c r="A11" s="148">
        <f>'LCFS Table'!$B11-5</f>
        <v>43520</v>
      </c>
      <c r="B11" s="149">
        <v>43525</v>
      </c>
      <c r="C11" s="132">
        <f t="shared" si="0"/>
        <v>2019</v>
      </c>
      <c r="D11" s="150" t="s">
        <v>265</v>
      </c>
      <c r="E11" s="134"/>
      <c r="F11" s="134">
        <f>('LCFS Table'!$M11)-'LCFS Table'!$J11</f>
        <v>-2.8482016447872507</v>
      </c>
      <c r="G11" s="135"/>
      <c r="H11" s="135">
        <f>'LCFS Table'!$F11+'LCFS Table'!$AX11+'LCFS Table'!$AY11+'LCFS Table'!$AZ11+'LCFS Table'!$BA11+('LCFS Table'!$CQ11*0.9/(0.8/0.99)/100)+(DG11*'LCFS Table'!$AF11)+(DF11*'LCFS Table'!$AG11)</f>
        <v>0.15050585937499944</v>
      </c>
      <c r="I11" s="134">
        <f>('LCFS Table'!$V11+'LCFS Table'!$W11+'LCFS Table'!$X11)/100+(('LCFS Table'!$AI11+'LCFS Table'!$AJ11)/340)</f>
        <v>2.6968272841051317</v>
      </c>
      <c r="J11" s="134">
        <f>(('LCFS Table'!$Y11+'LCFS Table'!$Z11)/100)+(('LCFS Table'!$AM11+'LCFS Table'!$AN11)/300)</f>
        <v>3.2130253906249999</v>
      </c>
      <c r="K11" s="136" t="s">
        <v>257</v>
      </c>
      <c r="L11" s="136">
        <v>328</v>
      </c>
      <c r="M11" s="137">
        <f>('LCFS Table'!$L11/100)-'LCFS Table'!$AX11-'LCFS Table'!$AY11-'LCFS Table'!$AZ11-'LCFS Table'!$BA11</f>
        <v>0.36482374583774946</v>
      </c>
      <c r="N11" s="136">
        <v>26</v>
      </c>
      <c r="O11" s="136">
        <v>25.7</v>
      </c>
      <c r="P11" s="136">
        <v>23.675000000000001</v>
      </c>
      <c r="Q11" s="136">
        <v>32.26</v>
      </c>
      <c r="R11" s="136">
        <v>24</v>
      </c>
      <c r="S11" s="137">
        <f>'LCFS Table'!$N11 + 'LCFS Table'!$AH11</f>
        <v>30.375</v>
      </c>
      <c r="T11" s="137">
        <f>'LCFS Table'!$Q11+'LCFS Table'!$AH11</f>
        <v>36.634999999999998</v>
      </c>
      <c r="U11" s="137">
        <f>'LCFS Table'!$P11+'LCFS Table'!$AH11</f>
        <v>28.05</v>
      </c>
      <c r="V11" s="137">
        <f>(('LCFS Table'!$S11/'LCFS Table'!$AA11)*'LCFS Table'!$AC11)*6.48</f>
        <v>104.69680851063831</v>
      </c>
      <c r="W11" s="137">
        <f>(('LCFS Table'!$O11/'LCFS Table'!$AA11)*'LCFS Table'!$AD11)*6.48</f>
        <v>44.291489361702133</v>
      </c>
      <c r="X11" s="137">
        <f>(('LCFS Table'!$U11/'LCFS Table'!$AA11)*'LCFS Table'!$AE11)*6.48</f>
        <v>48.341489361702138</v>
      </c>
      <c r="Y11" s="137">
        <f>(('LCFS Table'!$T11/'LCFS Table'!$AB11)*'LCFS Table'!$AF11)*7.35</f>
        <v>210.36503906249999</v>
      </c>
      <c r="Z11" s="137">
        <f>(('LCFS Table'!$R11/'LCFS Table'!$AB11)*'LCFS Table'!$AG11)*7.35</f>
        <v>45.9375</v>
      </c>
      <c r="AA11" s="138">
        <v>0.94</v>
      </c>
      <c r="AB11" s="138">
        <v>0.96</v>
      </c>
      <c r="AC11" s="138">
        <v>0.5</v>
      </c>
      <c r="AD11" s="138">
        <v>0.25</v>
      </c>
      <c r="AE11" s="138">
        <v>0.25</v>
      </c>
      <c r="AF11" s="138">
        <v>0.75</v>
      </c>
      <c r="AG11" s="138">
        <v>0.25</v>
      </c>
      <c r="AH11" s="139">
        <v>4.375</v>
      </c>
      <c r="AI11" s="139">
        <v>136</v>
      </c>
      <c r="AJ11" s="139">
        <v>110</v>
      </c>
      <c r="AK11" s="139">
        <f>('LCFS Table'!$AI11/340)*100</f>
        <v>40</v>
      </c>
      <c r="AL11" s="139">
        <f>('LCFS Table'!$AJ11/340)*100</f>
        <v>32.352941176470587</v>
      </c>
      <c r="AM11" s="139">
        <v>105</v>
      </c>
      <c r="AN11" s="139">
        <v>90</v>
      </c>
      <c r="AO11" s="139">
        <f>('LCFS Table'!$AM11/300)*100</f>
        <v>35</v>
      </c>
      <c r="AP11" s="139">
        <f>('LCFS Table'!$AN11/300)*100</f>
        <v>30</v>
      </c>
      <c r="AQ11" s="140">
        <v>195.35</v>
      </c>
      <c r="AR11" s="136">
        <v>0.48799999999999999</v>
      </c>
      <c r="AS11" s="137">
        <v>1.718693306714741</v>
      </c>
      <c r="AT11" s="137">
        <v>0.16</v>
      </c>
      <c r="AU11" s="137">
        <v>1</v>
      </c>
      <c r="AV11" s="137">
        <f>'LCFS Table'!$AR11*1.7</f>
        <v>0.8296</v>
      </c>
      <c r="AW11" s="137">
        <v>0</v>
      </c>
      <c r="AX11" s="137">
        <v>1.1831762541622501</v>
      </c>
      <c r="AY11" s="137">
        <v>0</v>
      </c>
      <c r="AZ11" s="141">
        <v>1</v>
      </c>
      <c r="BA11" s="137">
        <f>'LCFS Table'!$AR11*1.5</f>
        <v>0.73199999999999998</v>
      </c>
      <c r="BB11" s="142">
        <v>1.2</v>
      </c>
      <c r="BC11" s="137">
        <f>'LCFS Table'!$AS11*'LCFS Table'!$BW11</f>
        <v>1.718693306714741</v>
      </c>
      <c r="BD11" s="137">
        <f>'LCFS Table'!$AT11*'LCFS Table'!$BX11</f>
        <v>0</v>
      </c>
      <c r="BE11" s="137">
        <f>'LCFS Table'!$AU11*'LCFS Table'!$BY11</f>
        <v>1</v>
      </c>
      <c r="BF11" s="137">
        <f>'LCFS Table'!$AV11*'LCFS Table'!$BZ11</f>
        <v>0.8296</v>
      </c>
      <c r="BG11" s="137">
        <f>'LCFS Table'!$AW11*'LCFS Table'!$CA11</f>
        <v>0</v>
      </c>
      <c r="BH11" s="137">
        <f>'LCFS Table'!$AX11*'LCFS Table'!$CB11</f>
        <v>1.1831762541622501</v>
      </c>
      <c r="BI11" s="137">
        <f>'LCFS Table'!$AY11*'LCFS Table'!$CC11</f>
        <v>0</v>
      </c>
      <c r="BJ11" s="137">
        <f>'LCFS Table'!$AZ11*'LCFS Table'!$CD11</f>
        <v>1</v>
      </c>
      <c r="BK11" s="137">
        <f>'LCFS Table'!$BA11*'LCFS Table'!$CE11</f>
        <v>0.73199999999999998</v>
      </c>
      <c r="BL11" s="137">
        <f>'LCFS Table'!$BB11*'LCFS Table'!$CF11</f>
        <v>-1.2</v>
      </c>
      <c r="BM11" s="137">
        <f>'LCFS Table'!$AS11*'LCFS Table'!$CG11</f>
        <v>0</v>
      </c>
      <c r="BN11" s="137">
        <f>'LCFS Table'!$AT11*'LCFS Table'!$CH11</f>
        <v>0.16</v>
      </c>
      <c r="BO11" s="137">
        <f>'LCFS Table'!$AU11*'LCFS Table'!$CI11</f>
        <v>0</v>
      </c>
      <c r="BP11" s="137">
        <f>'LCFS Table'!$AV11*'LCFS Table'!$CJ11</f>
        <v>0</v>
      </c>
      <c r="BQ11" s="137">
        <f>'LCFS Table'!$AW11*'LCFS Table'!$CK11</f>
        <v>0</v>
      </c>
      <c r="BR11" s="137">
        <f>'LCFS Table'!$AX11*'LCFS Table'!$CL11</f>
        <v>0</v>
      </c>
      <c r="BS11" s="137">
        <f>'LCFS Table'!$AY11*'LCFS Table'!$CM11</f>
        <v>0</v>
      </c>
      <c r="BT11" s="137">
        <f>'LCFS Table'!$AZ11*'LCFS Table'!$CN11</f>
        <v>0</v>
      </c>
      <c r="BU11" s="137">
        <f>'LCFS Table'!$BA11*'LCFS Table'!$CO11</f>
        <v>0</v>
      </c>
      <c r="BV11" s="142">
        <f>'LCFS Table'!$BB11*'LCFS Table'!$CP11</f>
        <v>1.2</v>
      </c>
      <c r="BW11" s="138">
        <v>1</v>
      </c>
      <c r="BX11" s="138">
        <v>0</v>
      </c>
      <c r="BY11" s="138">
        <v>1</v>
      </c>
      <c r="BZ11" s="138">
        <v>1</v>
      </c>
      <c r="CA11" s="138">
        <v>-1</v>
      </c>
      <c r="CB11" s="138">
        <v>1</v>
      </c>
      <c r="CC11" s="138">
        <v>0</v>
      </c>
      <c r="CD11" s="138">
        <v>1</v>
      </c>
      <c r="CE11" s="138">
        <v>1</v>
      </c>
      <c r="CF11" s="138">
        <v>-1</v>
      </c>
      <c r="CG11" s="138">
        <f>1-'LCFS Table'!$BW11</f>
        <v>0</v>
      </c>
      <c r="CH11" s="138">
        <f>1-'LCFS Table'!$BX11</f>
        <v>1</v>
      </c>
      <c r="CI11" s="138">
        <f>1-'LCFS Table'!$BY11</f>
        <v>0</v>
      </c>
      <c r="CJ11" s="138">
        <f>1-'LCFS Table'!$BZ11</f>
        <v>0</v>
      </c>
      <c r="CK11" s="138">
        <f>-'LCFS Table'!$CA11</f>
        <v>1</v>
      </c>
      <c r="CL11" s="138">
        <f>1-'LCFS Table'!$CB11</f>
        <v>0</v>
      </c>
      <c r="CM11" s="138">
        <f>1-'LCFS Table'!$CC11</f>
        <v>1</v>
      </c>
      <c r="CN11" s="138">
        <f>1-'LCFS Table'!$CD11</f>
        <v>0</v>
      </c>
      <c r="CO11" s="138">
        <f>1-'LCFS Table'!$CE11</f>
        <v>0</v>
      </c>
      <c r="CP11" s="138">
        <f>-'LCFS Table'!$CF11</f>
        <v>1</v>
      </c>
      <c r="CQ11" s="140">
        <v>7.5</v>
      </c>
      <c r="CR11" s="151">
        <f>('LCFS Table'!$CQ11*0.9/(0.8/0.99)/100)</f>
        <v>8.3531249999999987E-2</v>
      </c>
      <c r="CS11" s="138"/>
      <c r="CT11" s="152"/>
      <c r="CX11" s="153">
        <f>MONTH('LCFS Table'!$B11)</f>
        <v>3</v>
      </c>
      <c r="CY11" s="153">
        <f>YEAR('LCFS Table'!$B11)</f>
        <v>2019</v>
      </c>
    </row>
    <row r="12" spans="1:111" s="146" customFormat="1">
      <c r="A12" s="147">
        <f>'LCFS Table'!$B12-5</f>
        <v>43527</v>
      </c>
      <c r="B12" s="131">
        <v>43532</v>
      </c>
      <c r="C12" s="154">
        <f t="shared" si="0"/>
        <v>2019</v>
      </c>
      <c r="D12" s="133" t="s">
        <v>266</v>
      </c>
      <c r="E12" s="155"/>
      <c r="F12" s="155">
        <f>('LCFS Table'!$M12)-'LCFS Table'!$J12</f>
        <v>-2.7659145471942503</v>
      </c>
      <c r="G12" s="156"/>
      <c r="H12" s="156">
        <f>'LCFS Table'!$F12+'LCFS Table'!$AX12+'LCFS Table'!$AY12+'LCFS Table'!$AZ12+'LCFS Table'!$BA12+('LCFS Table'!$CQ12*0.9/(0.8/0.99)/100)+(DG12*'LCFS Table'!$AF12)+(DF12*'LCFS Table'!$AG12)</f>
        <v>0.15900429687499967</v>
      </c>
      <c r="I12" s="155">
        <f>('LCFS Table'!$V12+'LCFS Table'!$W12+'LCFS Table'!$X12)/100+(('LCFS Table'!$AI12+'LCFS Table'!$AJ12)/340)</f>
        <v>2.6989815394242802</v>
      </c>
      <c r="J12" s="155">
        <f>(('LCFS Table'!$Y12+'LCFS Table'!$Z12)/100)+(('LCFS Table'!$AM12+'LCFS Table'!$AN12)/300)</f>
        <v>3.2045269531249998</v>
      </c>
      <c r="K12" s="136" t="s">
        <v>257</v>
      </c>
      <c r="L12" s="136">
        <v>328</v>
      </c>
      <c r="M12" s="136">
        <f>('LCFS Table'!$L12/100)-'LCFS Table'!$AX12-'LCFS Table'!$AY12-'LCFS Table'!$AZ12-'LCFS Table'!$BA12</f>
        <v>0.43861240593074957</v>
      </c>
      <c r="N12" s="136">
        <v>26</v>
      </c>
      <c r="O12" s="136">
        <v>25.75</v>
      </c>
      <c r="P12" s="136">
        <v>23.75</v>
      </c>
      <c r="Q12" s="136">
        <v>32.112000000000002</v>
      </c>
      <c r="R12" s="136">
        <v>24</v>
      </c>
      <c r="S12" s="136">
        <f>'LCFS Table'!$N12 + 'LCFS Table'!$AH12</f>
        <v>30.375</v>
      </c>
      <c r="T12" s="136">
        <f>'LCFS Table'!$Q12+'LCFS Table'!$AH12</f>
        <v>36.487000000000002</v>
      </c>
      <c r="U12" s="136">
        <f>'LCFS Table'!$P12+'LCFS Table'!$AH12</f>
        <v>28.125</v>
      </c>
      <c r="V12" s="136">
        <f>(('LCFS Table'!$S12/'LCFS Table'!$AA12)*'LCFS Table'!$AC12)*6.48</f>
        <v>104.69680851063831</v>
      </c>
      <c r="W12" s="136">
        <f>(('LCFS Table'!$O12/'LCFS Table'!$AA12)*'LCFS Table'!$AD12)*6.48</f>
        <v>44.37765957446809</v>
      </c>
      <c r="X12" s="136">
        <f>(('LCFS Table'!$U12/'LCFS Table'!$AA12)*'LCFS Table'!$AE12)*6.48</f>
        <v>48.47074468085107</v>
      </c>
      <c r="Y12" s="136">
        <f>(('LCFS Table'!$T12/'LCFS Table'!$AB12)*'LCFS Table'!$AF12)*7.35</f>
        <v>209.51519531249997</v>
      </c>
      <c r="Z12" s="136">
        <f>(('LCFS Table'!$R12/'LCFS Table'!$AB12)*'LCFS Table'!$AG12)*7.35</f>
        <v>45.9375</v>
      </c>
      <c r="AA12" s="144">
        <v>0.94</v>
      </c>
      <c r="AB12" s="144">
        <v>0.96</v>
      </c>
      <c r="AC12" s="144">
        <v>0.5</v>
      </c>
      <c r="AD12" s="144">
        <v>0.25</v>
      </c>
      <c r="AE12" s="144">
        <v>0.25</v>
      </c>
      <c r="AF12" s="144">
        <v>0.75</v>
      </c>
      <c r="AG12" s="144">
        <v>0.25</v>
      </c>
      <c r="AH12" s="157">
        <v>4.375</v>
      </c>
      <c r="AI12" s="157">
        <v>136</v>
      </c>
      <c r="AJ12" s="157">
        <v>110</v>
      </c>
      <c r="AK12" s="157">
        <f>('LCFS Table'!$AI12/340)*100</f>
        <v>40</v>
      </c>
      <c r="AL12" s="157">
        <f>('LCFS Table'!$AJ12/340)*100</f>
        <v>32.352941176470587</v>
      </c>
      <c r="AM12" s="157">
        <v>105</v>
      </c>
      <c r="AN12" s="157">
        <v>90</v>
      </c>
      <c r="AO12" s="157">
        <f>('LCFS Table'!$AM12/300)*100</f>
        <v>35</v>
      </c>
      <c r="AP12" s="157">
        <f>('LCFS Table'!$AN12/300)*100</f>
        <v>30</v>
      </c>
      <c r="AQ12" s="140">
        <v>195.55</v>
      </c>
      <c r="AR12" s="136">
        <v>0.43799999999999994</v>
      </c>
      <c r="AS12" s="136">
        <v>1.7204529108168294</v>
      </c>
      <c r="AT12" s="136">
        <v>0.16</v>
      </c>
      <c r="AU12" s="137">
        <v>1</v>
      </c>
      <c r="AV12" s="136">
        <f>'LCFS Table'!$AR12*1.7</f>
        <v>0.74459999999999993</v>
      </c>
      <c r="AW12" s="136">
        <v>0</v>
      </c>
      <c r="AX12" s="136">
        <v>1.1843875940692501</v>
      </c>
      <c r="AY12" s="136">
        <v>0</v>
      </c>
      <c r="AZ12" s="141">
        <v>1</v>
      </c>
      <c r="BA12" s="136">
        <f>'LCFS Table'!$AR12*1.5</f>
        <v>0.65699999999999992</v>
      </c>
      <c r="BB12" s="142">
        <v>1.2</v>
      </c>
      <c r="BC12" s="136">
        <f>'LCFS Table'!$AS12*'LCFS Table'!$BW12</f>
        <v>1.7204529108168294</v>
      </c>
      <c r="BD12" s="136">
        <f>'LCFS Table'!$AT12*'LCFS Table'!$BX12</f>
        <v>0</v>
      </c>
      <c r="BE12" s="136">
        <f>'LCFS Table'!$AU12*'LCFS Table'!$BY12</f>
        <v>1</v>
      </c>
      <c r="BF12" s="136">
        <f>'LCFS Table'!$AV12*'LCFS Table'!$BZ12</f>
        <v>0.74459999999999993</v>
      </c>
      <c r="BG12" s="136">
        <f>'LCFS Table'!$AW12*'LCFS Table'!$CA12</f>
        <v>0</v>
      </c>
      <c r="BH12" s="136">
        <f>'LCFS Table'!$AX12*'LCFS Table'!$CB12</f>
        <v>1.1843875940692501</v>
      </c>
      <c r="BI12" s="136">
        <f>'LCFS Table'!$AY12*'LCFS Table'!$CC12</f>
        <v>0</v>
      </c>
      <c r="BJ12" s="136">
        <f>'LCFS Table'!$AZ12*'LCFS Table'!$CD12</f>
        <v>1</v>
      </c>
      <c r="BK12" s="136">
        <f>'LCFS Table'!$BA12*'LCFS Table'!$CE12</f>
        <v>0.65699999999999992</v>
      </c>
      <c r="BL12" s="136">
        <f>'LCFS Table'!$BB12*'LCFS Table'!$CF12</f>
        <v>-1.2</v>
      </c>
      <c r="BM12" s="136">
        <f>'LCFS Table'!$AS12*'LCFS Table'!$CG12</f>
        <v>0</v>
      </c>
      <c r="BN12" s="136">
        <f>'LCFS Table'!$AT12*'LCFS Table'!$CH12</f>
        <v>0.16</v>
      </c>
      <c r="BO12" s="136">
        <f>'LCFS Table'!$AU12*'LCFS Table'!$CI12</f>
        <v>0</v>
      </c>
      <c r="BP12" s="136">
        <f>'LCFS Table'!$AV12*'LCFS Table'!$CJ12</f>
        <v>0</v>
      </c>
      <c r="BQ12" s="136">
        <f>'LCFS Table'!$AW12*'LCFS Table'!$CK12</f>
        <v>0</v>
      </c>
      <c r="BR12" s="136">
        <f>'LCFS Table'!$AX12*'LCFS Table'!$CL12</f>
        <v>0</v>
      </c>
      <c r="BS12" s="136">
        <f>'LCFS Table'!$AY12*'LCFS Table'!$CM12</f>
        <v>0</v>
      </c>
      <c r="BT12" s="136">
        <f>'LCFS Table'!$AZ12*'LCFS Table'!$CN12</f>
        <v>0</v>
      </c>
      <c r="BU12" s="136">
        <f>'LCFS Table'!$BA12*'LCFS Table'!$CO12</f>
        <v>0</v>
      </c>
      <c r="BV12" s="142">
        <f>'LCFS Table'!$BB12*'LCFS Table'!$CP12</f>
        <v>1.2</v>
      </c>
      <c r="BW12" s="144">
        <v>1</v>
      </c>
      <c r="BX12" s="144">
        <v>0</v>
      </c>
      <c r="BY12" s="144">
        <v>1</v>
      </c>
      <c r="BZ12" s="144">
        <v>1</v>
      </c>
      <c r="CA12" s="144">
        <v>-1</v>
      </c>
      <c r="CB12" s="144">
        <v>1</v>
      </c>
      <c r="CC12" s="144">
        <v>0</v>
      </c>
      <c r="CD12" s="144">
        <v>1</v>
      </c>
      <c r="CE12" s="144">
        <v>1</v>
      </c>
      <c r="CF12" s="144">
        <v>-1</v>
      </c>
      <c r="CG12" s="144">
        <f>1-'LCFS Table'!$BW12</f>
        <v>0</v>
      </c>
      <c r="CH12" s="144">
        <f>1-'LCFS Table'!$BX12</f>
        <v>1</v>
      </c>
      <c r="CI12" s="144">
        <f>1-'LCFS Table'!$BY12</f>
        <v>0</v>
      </c>
      <c r="CJ12" s="144">
        <f>1-'LCFS Table'!$BZ12</f>
        <v>0</v>
      </c>
      <c r="CK12" s="144">
        <f>-'LCFS Table'!$CA12</f>
        <v>1</v>
      </c>
      <c r="CL12" s="144">
        <f>1-'LCFS Table'!$CB12</f>
        <v>0</v>
      </c>
      <c r="CM12" s="144">
        <f>1-'LCFS Table'!$CC12</f>
        <v>1</v>
      </c>
      <c r="CN12" s="144">
        <f>1-'LCFS Table'!$CD12</f>
        <v>0</v>
      </c>
      <c r="CO12" s="144">
        <f>1-'LCFS Table'!$CE12</f>
        <v>0</v>
      </c>
      <c r="CP12" s="144">
        <f>-'LCFS Table'!$CF12</f>
        <v>1</v>
      </c>
      <c r="CQ12" s="140">
        <v>7.5</v>
      </c>
      <c r="CR12" s="143">
        <f>('LCFS Table'!$CQ12*0.9/(0.8/0.99)/100)</f>
        <v>8.3531249999999987E-2</v>
      </c>
      <c r="CS12" s="144"/>
      <c r="CT12" s="145"/>
      <c r="CX12" s="146">
        <f>MONTH('LCFS Table'!$B12)</f>
        <v>3</v>
      </c>
      <c r="CY12" s="146">
        <f>YEAR('LCFS Table'!$B12)</f>
        <v>2019</v>
      </c>
    </row>
    <row r="13" spans="1:111" s="153" customFormat="1">
      <c r="A13" s="148">
        <f>'LCFS Table'!$B13-5</f>
        <v>43534</v>
      </c>
      <c r="B13" s="149">
        <v>43539</v>
      </c>
      <c r="C13" s="132">
        <f t="shared" si="0"/>
        <v>2019</v>
      </c>
      <c r="D13" s="150" t="s">
        <v>267</v>
      </c>
      <c r="E13" s="134"/>
      <c r="F13" s="134">
        <f>('LCFS Table'!$M13)-'LCFS Table'!$J13</f>
        <v>-2.6410784084907499</v>
      </c>
      <c r="G13" s="135"/>
      <c r="H13" s="135">
        <f>'LCFS Table'!$F13+'LCFS Table'!$AX13+'LCFS Table'!$AY13+'LCFS Table'!$AZ13+'LCFS Table'!$BA13+('LCFS Table'!$CQ13*0.9/(0.8/0.99)/100)+(DG13*'LCFS Table'!$AF13)+(DF13*'LCFS Table'!$AG13)</f>
        <v>0.19173476562499997</v>
      </c>
      <c r="I13" s="134">
        <f>('LCFS Table'!$V13+'LCFS Table'!$W13+'LCFS Table'!$X13)/100+(('LCFS Table'!$AI13+'LCFS Table'!$AJ13)/340)</f>
        <v>2.6989815394242802</v>
      </c>
      <c r="J13" s="134">
        <f>(('LCFS Table'!$Y13+'LCFS Table'!$Z13)/100)+(('LCFS Table'!$AM13+'LCFS Table'!$AN13)/300)</f>
        <v>3.1717964843749997</v>
      </c>
      <c r="K13" s="136" t="s">
        <v>257</v>
      </c>
      <c r="L13" s="136">
        <v>328</v>
      </c>
      <c r="M13" s="137">
        <f>('LCFS Table'!$L13/100)-'LCFS Table'!$AX13-'LCFS Table'!$AY13-'LCFS Table'!$AZ13-'LCFS Table'!$BA13</f>
        <v>0.53071807588424991</v>
      </c>
      <c r="N13" s="136">
        <v>26</v>
      </c>
      <c r="O13" s="136">
        <v>25.75</v>
      </c>
      <c r="P13" s="136">
        <v>23.75</v>
      </c>
      <c r="Q13" s="136">
        <v>31.542000000000002</v>
      </c>
      <c r="R13" s="136">
        <v>24</v>
      </c>
      <c r="S13" s="137">
        <f>'LCFS Table'!$N13 + 'LCFS Table'!$AH13</f>
        <v>30.375</v>
      </c>
      <c r="T13" s="137">
        <f>'LCFS Table'!$Q13+'LCFS Table'!$AH13</f>
        <v>35.917000000000002</v>
      </c>
      <c r="U13" s="137">
        <f>'LCFS Table'!$P13+'LCFS Table'!$AH13</f>
        <v>28.125</v>
      </c>
      <c r="V13" s="137">
        <f>(('LCFS Table'!$S13/'LCFS Table'!$AA13)*'LCFS Table'!$AC13)*6.48</f>
        <v>104.69680851063831</v>
      </c>
      <c r="W13" s="137">
        <f>(('LCFS Table'!$O13/'LCFS Table'!$AA13)*'LCFS Table'!$AD13)*6.48</f>
        <v>44.37765957446809</v>
      </c>
      <c r="X13" s="137">
        <f>(('LCFS Table'!$U13/'LCFS Table'!$AA13)*'LCFS Table'!$AE13)*6.48</f>
        <v>48.47074468085107</v>
      </c>
      <c r="Y13" s="137">
        <f>(('LCFS Table'!$T13/'LCFS Table'!$AB13)*'LCFS Table'!$AF13)*7.35</f>
        <v>206.24214843749999</v>
      </c>
      <c r="Z13" s="137">
        <f>(('LCFS Table'!$R13/'LCFS Table'!$AB13)*'LCFS Table'!$AG13)*7.35</f>
        <v>45.9375</v>
      </c>
      <c r="AA13" s="138">
        <v>0.94</v>
      </c>
      <c r="AB13" s="138">
        <v>0.96</v>
      </c>
      <c r="AC13" s="138">
        <v>0.5</v>
      </c>
      <c r="AD13" s="138">
        <v>0.25</v>
      </c>
      <c r="AE13" s="138">
        <v>0.25</v>
      </c>
      <c r="AF13" s="138">
        <v>0.75</v>
      </c>
      <c r="AG13" s="138">
        <v>0.25</v>
      </c>
      <c r="AH13" s="139">
        <v>4.375</v>
      </c>
      <c r="AI13" s="139">
        <v>136</v>
      </c>
      <c r="AJ13" s="139">
        <v>110</v>
      </c>
      <c r="AK13" s="139">
        <f>('LCFS Table'!$AI13/340)*100</f>
        <v>40</v>
      </c>
      <c r="AL13" s="139">
        <f>('LCFS Table'!$AJ13/340)*100</f>
        <v>32.352941176470587</v>
      </c>
      <c r="AM13" s="139">
        <v>105</v>
      </c>
      <c r="AN13" s="139">
        <v>90</v>
      </c>
      <c r="AO13" s="139">
        <f>('LCFS Table'!$AM13/300)*100</f>
        <v>35</v>
      </c>
      <c r="AP13" s="139">
        <f>('LCFS Table'!$AN13/300)*100</f>
        <v>30</v>
      </c>
      <c r="AQ13" s="140">
        <v>195.45</v>
      </c>
      <c r="AR13" s="136">
        <v>0.377</v>
      </c>
      <c r="AS13" s="137">
        <v>1.7195731087657851</v>
      </c>
      <c r="AT13" s="137">
        <v>0.16</v>
      </c>
      <c r="AU13" s="137">
        <v>1</v>
      </c>
      <c r="AV13" s="137">
        <f>'LCFS Table'!$AR13*1.7</f>
        <v>0.64090000000000003</v>
      </c>
      <c r="AW13" s="137">
        <v>0</v>
      </c>
      <c r="AX13" s="137">
        <v>1.1837819241157499</v>
      </c>
      <c r="AY13" s="137">
        <v>0</v>
      </c>
      <c r="AZ13" s="141">
        <v>1</v>
      </c>
      <c r="BA13" s="137">
        <f>'LCFS Table'!$AR13*1.5</f>
        <v>0.5655</v>
      </c>
      <c r="BB13" s="142">
        <v>1.2</v>
      </c>
      <c r="BC13" s="137">
        <f>'LCFS Table'!$AS13*'LCFS Table'!$BW13</f>
        <v>1.7195731087657851</v>
      </c>
      <c r="BD13" s="137">
        <f>'LCFS Table'!$AT13*'LCFS Table'!$BX13</f>
        <v>0</v>
      </c>
      <c r="BE13" s="137">
        <f>'LCFS Table'!$AU13*'LCFS Table'!$BY13</f>
        <v>1</v>
      </c>
      <c r="BF13" s="137">
        <f>'LCFS Table'!$AV13*'LCFS Table'!$BZ13</f>
        <v>0.64090000000000003</v>
      </c>
      <c r="BG13" s="137">
        <f>'LCFS Table'!$AW13*'LCFS Table'!$CA13</f>
        <v>0</v>
      </c>
      <c r="BH13" s="137">
        <f>'LCFS Table'!$AX13*'LCFS Table'!$CB13</f>
        <v>1.1837819241157499</v>
      </c>
      <c r="BI13" s="137">
        <f>'LCFS Table'!$AY13*'LCFS Table'!$CC13</f>
        <v>0</v>
      </c>
      <c r="BJ13" s="137">
        <f>'LCFS Table'!$AZ13*'LCFS Table'!$CD13</f>
        <v>1</v>
      </c>
      <c r="BK13" s="137">
        <f>'LCFS Table'!$BA13*'LCFS Table'!$CE13</f>
        <v>0.5655</v>
      </c>
      <c r="BL13" s="137">
        <f>'LCFS Table'!$BB13*'LCFS Table'!$CF13</f>
        <v>-1.2</v>
      </c>
      <c r="BM13" s="137">
        <f>'LCFS Table'!$AS13*'LCFS Table'!$CG13</f>
        <v>0</v>
      </c>
      <c r="BN13" s="137">
        <f>'LCFS Table'!$AT13*'LCFS Table'!$CH13</f>
        <v>0.16</v>
      </c>
      <c r="BO13" s="137">
        <f>'LCFS Table'!$AU13*'LCFS Table'!$CI13</f>
        <v>0</v>
      </c>
      <c r="BP13" s="137">
        <f>'LCFS Table'!$AV13*'LCFS Table'!$CJ13</f>
        <v>0</v>
      </c>
      <c r="BQ13" s="137">
        <f>'LCFS Table'!$AW13*'LCFS Table'!$CK13</f>
        <v>0</v>
      </c>
      <c r="BR13" s="137">
        <f>'LCFS Table'!$AX13*'LCFS Table'!$CL13</f>
        <v>0</v>
      </c>
      <c r="BS13" s="137">
        <f>'LCFS Table'!$AY13*'LCFS Table'!$CM13</f>
        <v>0</v>
      </c>
      <c r="BT13" s="137">
        <f>'LCFS Table'!$AZ13*'LCFS Table'!$CN13</f>
        <v>0</v>
      </c>
      <c r="BU13" s="137">
        <f>'LCFS Table'!$BA13*'LCFS Table'!$CO13</f>
        <v>0</v>
      </c>
      <c r="BV13" s="142">
        <f>'LCFS Table'!$BB13*'LCFS Table'!$CP13</f>
        <v>1.2</v>
      </c>
      <c r="BW13" s="138">
        <v>1</v>
      </c>
      <c r="BX13" s="138">
        <v>0</v>
      </c>
      <c r="BY13" s="138">
        <v>1</v>
      </c>
      <c r="BZ13" s="138">
        <v>1</v>
      </c>
      <c r="CA13" s="138">
        <v>-1</v>
      </c>
      <c r="CB13" s="138">
        <v>1</v>
      </c>
      <c r="CC13" s="138">
        <v>0</v>
      </c>
      <c r="CD13" s="138">
        <v>1</v>
      </c>
      <c r="CE13" s="138">
        <v>1</v>
      </c>
      <c r="CF13" s="138">
        <v>-1</v>
      </c>
      <c r="CG13" s="138">
        <f>1-'LCFS Table'!$BW13</f>
        <v>0</v>
      </c>
      <c r="CH13" s="138">
        <f>1-'LCFS Table'!$BX13</f>
        <v>1</v>
      </c>
      <c r="CI13" s="138">
        <f>1-'LCFS Table'!$BY13</f>
        <v>0</v>
      </c>
      <c r="CJ13" s="138">
        <f>1-'LCFS Table'!$BZ13</f>
        <v>0</v>
      </c>
      <c r="CK13" s="138">
        <f>-'LCFS Table'!$CA13</f>
        <v>1</v>
      </c>
      <c r="CL13" s="138">
        <f>1-'LCFS Table'!$CB13</f>
        <v>0</v>
      </c>
      <c r="CM13" s="138">
        <f>1-'LCFS Table'!$CC13</f>
        <v>1</v>
      </c>
      <c r="CN13" s="138">
        <f>1-'LCFS Table'!$CD13</f>
        <v>0</v>
      </c>
      <c r="CO13" s="138">
        <f>1-'LCFS Table'!$CE13</f>
        <v>0</v>
      </c>
      <c r="CP13" s="138">
        <f>-'LCFS Table'!$CF13</f>
        <v>1</v>
      </c>
      <c r="CQ13" s="140">
        <v>7.5</v>
      </c>
      <c r="CR13" s="151">
        <f>('LCFS Table'!$CQ13*0.9/(0.8/0.99)/100)</f>
        <v>8.3531249999999987E-2</v>
      </c>
      <c r="CS13" s="138"/>
      <c r="CT13" s="152"/>
      <c r="CX13" s="153">
        <f>MONTH('LCFS Table'!$B13)</f>
        <v>3</v>
      </c>
      <c r="CY13" s="153">
        <f>YEAR('LCFS Table'!$B13)</f>
        <v>2019</v>
      </c>
    </row>
    <row r="14" spans="1:111" s="146" customFormat="1">
      <c r="A14" s="147">
        <f>'LCFS Table'!$B14-5</f>
        <v>43541</v>
      </c>
      <c r="B14" s="158">
        <v>43546</v>
      </c>
      <c r="C14" s="159">
        <f t="shared" si="0"/>
        <v>2019</v>
      </c>
      <c r="D14" s="133" t="s">
        <v>268</v>
      </c>
      <c r="E14" s="155"/>
      <c r="F14" s="155">
        <f>('LCFS Table'!$M14)-'LCFS Table'!$J14</f>
        <v>-2.59670230821725</v>
      </c>
      <c r="G14" s="156"/>
      <c r="H14" s="156">
        <f>'LCFS Table'!$F14+'LCFS Table'!$AX14+'LCFS Table'!$AY14+'LCFS Table'!$AZ14+'LCFS Table'!$BA14+('LCFS Table'!$CQ14*0.9/(0.8/0.99)/100)+(DG14*'LCFS Table'!$AF14)+(DF14*'LCFS Table'!$AG14)</f>
        <v>0.21964179687500002</v>
      </c>
      <c r="I14" s="155">
        <f>('LCFS Table'!$V14+'LCFS Table'!$W14+'LCFS Table'!$X14)/100+(('LCFS Table'!$AI14+'LCFS Table'!$AJ14)/340)</f>
        <v>2.7058751564455576</v>
      </c>
      <c r="J14" s="155">
        <f>(('LCFS Table'!$Y14+'LCFS Table'!$Z14)/100)+(('LCFS Table'!$AM14+'LCFS Table'!$AN14)/300)</f>
        <v>3.1438894531249999</v>
      </c>
      <c r="K14" s="136" t="s">
        <v>257</v>
      </c>
      <c r="L14" s="136">
        <v>328</v>
      </c>
      <c r="M14" s="136">
        <f>('LCFS Table'!$L14/100)-'LCFS Table'!$AX14-'LCFS Table'!$AY14-'LCFS Table'!$AZ14-'LCFS Table'!$BA14</f>
        <v>0.54718714490774978</v>
      </c>
      <c r="N14" s="136">
        <v>26.2</v>
      </c>
      <c r="O14" s="136">
        <v>25.75</v>
      </c>
      <c r="P14" s="136">
        <v>23.75</v>
      </c>
      <c r="Q14" s="136">
        <v>31.056000000000001</v>
      </c>
      <c r="R14" s="136">
        <v>24</v>
      </c>
      <c r="S14" s="136">
        <f>'LCFS Table'!$N14 + 'LCFS Table'!$AH14</f>
        <v>30.574999999999999</v>
      </c>
      <c r="T14" s="136">
        <f>'LCFS Table'!$Q14+'LCFS Table'!$AH14</f>
        <v>35.430999999999997</v>
      </c>
      <c r="U14" s="136">
        <f>'LCFS Table'!$P14+'LCFS Table'!$AH14</f>
        <v>28.125</v>
      </c>
      <c r="V14" s="136">
        <f>(('LCFS Table'!$S14/'LCFS Table'!$AA14)*'LCFS Table'!$AC14)*6.48</f>
        <v>105.38617021276598</v>
      </c>
      <c r="W14" s="136">
        <f>(('LCFS Table'!$O14/'LCFS Table'!$AA14)*'LCFS Table'!$AD14)*6.48</f>
        <v>44.37765957446809</v>
      </c>
      <c r="X14" s="136">
        <f>(('LCFS Table'!$U14/'LCFS Table'!$AA14)*'LCFS Table'!$AE14)*6.48</f>
        <v>48.47074468085107</v>
      </c>
      <c r="Y14" s="136">
        <f>(('LCFS Table'!$T14/'LCFS Table'!$AB14)*'LCFS Table'!$AF14)*7.35</f>
        <v>203.4514453125</v>
      </c>
      <c r="Z14" s="136">
        <f>(('LCFS Table'!$R14/'LCFS Table'!$AB14)*'LCFS Table'!$AG14)*7.35</f>
        <v>45.9375</v>
      </c>
      <c r="AA14" s="144">
        <v>0.94</v>
      </c>
      <c r="AB14" s="144">
        <v>0.96</v>
      </c>
      <c r="AC14" s="144">
        <v>0.5</v>
      </c>
      <c r="AD14" s="144">
        <v>0.25</v>
      </c>
      <c r="AE14" s="144">
        <v>0.25</v>
      </c>
      <c r="AF14" s="144">
        <v>0.75</v>
      </c>
      <c r="AG14" s="144">
        <v>0.25</v>
      </c>
      <c r="AH14" s="157">
        <v>4.375</v>
      </c>
      <c r="AI14" s="157">
        <v>136</v>
      </c>
      <c r="AJ14" s="157">
        <v>110</v>
      </c>
      <c r="AK14" s="157">
        <f>('LCFS Table'!$AI14/340)*100</f>
        <v>40</v>
      </c>
      <c r="AL14" s="157">
        <f>('LCFS Table'!$AJ14/340)*100</f>
        <v>32.352941176470587</v>
      </c>
      <c r="AM14" s="157">
        <v>105</v>
      </c>
      <c r="AN14" s="157">
        <v>90</v>
      </c>
      <c r="AO14" s="157">
        <f>('LCFS Table'!$AM14/300)*100</f>
        <v>35</v>
      </c>
      <c r="AP14" s="157">
        <f>('LCFS Table'!$AN14/300)*100</f>
        <v>30</v>
      </c>
      <c r="AQ14" s="140">
        <v>193.35</v>
      </c>
      <c r="AR14" s="136">
        <v>0.37450000000000006</v>
      </c>
      <c r="AS14" s="136">
        <v>1.7010972656938581</v>
      </c>
      <c r="AT14" s="136">
        <v>0.16</v>
      </c>
      <c r="AU14" s="137">
        <v>1</v>
      </c>
      <c r="AV14" s="136">
        <f>'LCFS Table'!$AR14*1.7</f>
        <v>0.63665000000000005</v>
      </c>
      <c r="AW14" s="136">
        <v>0</v>
      </c>
      <c r="AX14" s="136">
        <v>1.1710628550922499</v>
      </c>
      <c r="AY14" s="136">
        <v>0</v>
      </c>
      <c r="AZ14" s="141">
        <v>1</v>
      </c>
      <c r="BA14" s="136">
        <f>'LCFS Table'!$AR14*1.5</f>
        <v>0.56175000000000008</v>
      </c>
      <c r="BB14" s="142">
        <v>1.2</v>
      </c>
      <c r="BC14" s="136">
        <f>'LCFS Table'!$AS14*'LCFS Table'!$BW14</f>
        <v>1.7010972656938581</v>
      </c>
      <c r="BD14" s="136">
        <f>'LCFS Table'!$AT14*'LCFS Table'!$BX14</f>
        <v>0</v>
      </c>
      <c r="BE14" s="136">
        <f>'LCFS Table'!$AU14*'LCFS Table'!$BY14</f>
        <v>1</v>
      </c>
      <c r="BF14" s="136">
        <f>'LCFS Table'!$AV14*'LCFS Table'!$BZ14</f>
        <v>0.63665000000000005</v>
      </c>
      <c r="BG14" s="136">
        <f>'LCFS Table'!$AW14*'LCFS Table'!$CA14</f>
        <v>0</v>
      </c>
      <c r="BH14" s="136">
        <f>'LCFS Table'!$AX14*'LCFS Table'!$CB14</f>
        <v>1.1710628550922499</v>
      </c>
      <c r="BI14" s="136">
        <f>'LCFS Table'!$AY14*'LCFS Table'!$CC14</f>
        <v>0</v>
      </c>
      <c r="BJ14" s="136">
        <f>'LCFS Table'!$AZ14*'LCFS Table'!$CD14</f>
        <v>1</v>
      </c>
      <c r="BK14" s="136">
        <f>'LCFS Table'!$BA14*'LCFS Table'!$CE14</f>
        <v>0.56175000000000008</v>
      </c>
      <c r="BL14" s="136">
        <f>'LCFS Table'!$BB14*'LCFS Table'!$CF14</f>
        <v>-1.2</v>
      </c>
      <c r="BM14" s="136">
        <f>'LCFS Table'!$AS14*'LCFS Table'!$CG14</f>
        <v>0</v>
      </c>
      <c r="BN14" s="136">
        <f>'LCFS Table'!$AT14*'LCFS Table'!$CH14</f>
        <v>0.16</v>
      </c>
      <c r="BO14" s="136">
        <f>'LCFS Table'!$AU14*'LCFS Table'!$CI14</f>
        <v>0</v>
      </c>
      <c r="BP14" s="136">
        <f>'LCFS Table'!$AV14*'LCFS Table'!$CJ14</f>
        <v>0</v>
      </c>
      <c r="BQ14" s="136">
        <f>'LCFS Table'!$AW14*'LCFS Table'!$CK14</f>
        <v>0</v>
      </c>
      <c r="BR14" s="136">
        <f>'LCFS Table'!$AX14*'LCFS Table'!$CL14</f>
        <v>0</v>
      </c>
      <c r="BS14" s="136">
        <f>'LCFS Table'!$AY14*'LCFS Table'!$CM14</f>
        <v>0</v>
      </c>
      <c r="BT14" s="136">
        <f>'LCFS Table'!$AZ14*'LCFS Table'!$CN14</f>
        <v>0</v>
      </c>
      <c r="BU14" s="136">
        <f>'LCFS Table'!$BA14*'LCFS Table'!$CO14</f>
        <v>0</v>
      </c>
      <c r="BV14" s="142">
        <f>'LCFS Table'!$BB14*'LCFS Table'!$CP14</f>
        <v>1.2</v>
      </c>
      <c r="BW14" s="144">
        <v>1</v>
      </c>
      <c r="BX14" s="144">
        <v>0</v>
      </c>
      <c r="BY14" s="144">
        <v>1</v>
      </c>
      <c r="BZ14" s="144">
        <v>1</v>
      </c>
      <c r="CA14" s="144">
        <v>-1</v>
      </c>
      <c r="CB14" s="144">
        <v>1</v>
      </c>
      <c r="CC14" s="144">
        <v>0</v>
      </c>
      <c r="CD14" s="144">
        <v>1</v>
      </c>
      <c r="CE14" s="144">
        <v>1</v>
      </c>
      <c r="CF14" s="144">
        <v>-1</v>
      </c>
      <c r="CG14" s="144">
        <f>1-'LCFS Table'!$BW14</f>
        <v>0</v>
      </c>
      <c r="CH14" s="144">
        <f>1-'LCFS Table'!$BX14</f>
        <v>1</v>
      </c>
      <c r="CI14" s="144">
        <f>1-'LCFS Table'!$BY14</f>
        <v>0</v>
      </c>
      <c r="CJ14" s="144">
        <f>1-'LCFS Table'!$BZ14</f>
        <v>0</v>
      </c>
      <c r="CK14" s="144">
        <f>-'LCFS Table'!$CA14</f>
        <v>1</v>
      </c>
      <c r="CL14" s="144">
        <f>1-'LCFS Table'!$CB14</f>
        <v>0</v>
      </c>
      <c r="CM14" s="144">
        <f>1-'LCFS Table'!$CC14</f>
        <v>1</v>
      </c>
      <c r="CN14" s="144">
        <f>1-'LCFS Table'!$CD14</f>
        <v>0</v>
      </c>
      <c r="CO14" s="144">
        <f>1-'LCFS Table'!$CE14</f>
        <v>0</v>
      </c>
      <c r="CP14" s="144">
        <f>-'LCFS Table'!$CF14</f>
        <v>1</v>
      </c>
      <c r="CQ14" s="140">
        <v>7.5</v>
      </c>
      <c r="CR14" s="143">
        <f>('LCFS Table'!$CQ14*0.9/(0.8/0.99)/100)</f>
        <v>8.3531249999999987E-2</v>
      </c>
      <c r="CS14" s="144"/>
      <c r="CT14" s="145"/>
      <c r="CX14" s="146">
        <f>MONTH('LCFS Table'!$B14)</f>
        <v>3</v>
      </c>
      <c r="CY14" s="146">
        <f>YEAR('LCFS Table'!$B14)</f>
        <v>2019</v>
      </c>
    </row>
    <row r="15" spans="1:111" s="153" customFormat="1">
      <c r="A15" s="148">
        <f>'LCFS Table'!$B15-5</f>
        <v>43548</v>
      </c>
      <c r="B15" s="160">
        <v>43553</v>
      </c>
      <c r="C15" s="161">
        <f t="shared" si="0"/>
        <v>2019</v>
      </c>
      <c r="D15" s="150" t="s">
        <v>269</v>
      </c>
      <c r="E15" s="134"/>
      <c r="F15" s="134">
        <f>('LCFS Table'!$M15)-'LCFS Table'!$J15</f>
        <v>-2.6421829437342499</v>
      </c>
      <c r="G15" s="135"/>
      <c r="H15" s="135">
        <f>'LCFS Table'!$F15+'LCFS Table'!$AX15+'LCFS Table'!$AY15+'LCFS Table'!$AZ15+'LCFS Table'!$BA15+('LCFS Table'!$CQ15*0.9/(0.8/0.99)/100)+(DG15*'LCFS Table'!$AF15)+(DF15*'LCFS Table'!$AG15)</f>
        <v>0.16839570312500024</v>
      </c>
      <c r="I15" s="134">
        <f>('LCFS Table'!$V15+'LCFS Table'!$W15+'LCFS Table'!$X15)/100+(('LCFS Table'!$AI15+'LCFS Table'!$AJ15)/340)</f>
        <v>2.7429283479349191</v>
      </c>
      <c r="J15" s="134">
        <f>(('LCFS Table'!$Y15+'LCFS Table'!$Z15)/100)+(('LCFS Table'!$AM15+'LCFS Table'!$AN15)/300)</f>
        <v>3.1651355468749998</v>
      </c>
      <c r="K15" s="136" t="s">
        <v>257</v>
      </c>
      <c r="L15" s="136">
        <v>325</v>
      </c>
      <c r="M15" s="137">
        <f>('LCFS Table'!$L15/100)-'LCFS Table'!$AX15-'LCFS Table'!$AY15-'LCFS Table'!$AZ15-'LCFS Table'!$BA15</f>
        <v>0.52295260314074965</v>
      </c>
      <c r="N15" s="136">
        <v>27</v>
      </c>
      <c r="O15" s="136">
        <v>25.75</v>
      </c>
      <c r="P15" s="136">
        <v>24.3</v>
      </c>
      <c r="Q15" s="136">
        <v>31.425999999999998</v>
      </c>
      <c r="R15" s="136">
        <v>24</v>
      </c>
      <c r="S15" s="137">
        <f>'LCFS Table'!$N15 + 'LCFS Table'!$AH15</f>
        <v>31.375</v>
      </c>
      <c r="T15" s="137">
        <f>'LCFS Table'!$Q15+'LCFS Table'!$AH15</f>
        <v>35.801000000000002</v>
      </c>
      <c r="U15" s="137">
        <f>'LCFS Table'!$P15+'LCFS Table'!$AH15</f>
        <v>28.675000000000001</v>
      </c>
      <c r="V15" s="137">
        <f>(('LCFS Table'!$S15/'LCFS Table'!$AA15)*'LCFS Table'!$AC15)*6.48</f>
        <v>108.14361702127663</v>
      </c>
      <c r="W15" s="137">
        <f>(('LCFS Table'!$O15/'LCFS Table'!$AA15)*'LCFS Table'!$AD15)*6.48</f>
        <v>44.37765957446809</v>
      </c>
      <c r="X15" s="137">
        <f>(('LCFS Table'!$U15/'LCFS Table'!$AA15)*'LCFS Table'!$AE15)*6.48</f>
        <v>49.418617021276603</v>
      </c>
      <c r="Y15" s="137">
        <f>(('LCFS Table'!$T15/'LCFS Table'!$AB15)*'LCFS Table'!$AF15)*7.35</f>
        <v>205.5760546875</v>
      </c>
      <c r="Z15" s="137">
        <f>(('LCFS Table'!$R15/'LCFS Table'!$AB15)*'LCFS Table'!$AG15)*7.35</f>
        <v>45.9375</v>
      </c>
      <c r="AA15" s="138">
        <v>0.94</v>
      </c>
      <c r="AB15" s="138">
        <v>0.96</v>
      </c>
      <c r="AC15" s="138">
        <v>0.5</v>
      </c>
      <c r="AD15" s="138">
        <v>0.25</v>
      </c>
      <c r="AE15" s="138">
        <v>0.25</v>
      </c>
      <c r="AF15" s="138">
        <v>0.75</v>
      </c>
      <c r="AG15" s="138">
        <v>0.25</v>
      </c>
      <c r="AH15" s="139">
        <v>4.375</v>
      </c>
      <c r="AI15" s="139">
        <v>136</v>
      </c>
      <c r="AJ15" s="139">
        <v>110</v>
      </c>
      <c r="AK15" s="139">
        <f>('LCFS Table'!$AI15/340)*100</f>
        <v>40</v>
      </c>
      <c r="AL15" s="139">
        <f>('LCFS Table'!$AJ15/340)*100</f>
        <v>32.352941176470587</v>
      </c>
      <c r="AM15" s="139">
        <v>105</v>
      </c>
      <c r="AN15" s="139">
        <v>90</v>
      </c>
      <c r="AO15" s="139">
        <f>('LCFS Table'!$AM15/300)*100</f>
        <v>35</v>
      </c>
      <c r="AP15" s="139">
        <f>('LCFS Table'!$AN15/300)*100</f>
        <v>30</v>
      </c>
      <c r="AQ15" s="140">
        <v>189.55</v>
      </c>
      <c r="AR15" s="136">
        <v>0.38600000000000001</v>
      </c>
      <c r="AS15" s="137">
        <v>1.6676647877541806</v>
      </c>
      <c r="AT15" s="137">
        <v>0.16</v>
      </c>
      <c r="AU15" s="137">
        <v>1</v>
      </c>
      <c r="AV15" s="137">
        <f>'LCFS Table'!$AR15*1.7</f>
        <v>0.65620000000000001</v>
      </c>
      <c r="AW15" s="137">
        <v>0</v>
      </c>
      <c r="AX15" s="137">
        <v>1.1480473968592502</v>
      </c>
      <c r="AY15" s="137">
        <v>0</v>
      </c>
      <c r="AZ15" s="141">
        <v>1</v>
      </c>
      <c r="BA15" s="137">
        <f>'LCFS Table'!$AR15*1.5</f>
        <v>0.57899999999999996</v>
      </c>
      <c r="BB15" s="142">
        <v>1.2</v>
      </c>
      <c r="BC15" s="137">
        <f>'LCFS Table'!$AS15*'LCFS Table'!$BW15</f>
        <v>1.6676647877541806</v>
      </c>
      <c r="BD15" s="137">
        <f>'LCFS Table'!$AT15*'LCFS Table'!$BX15</f>
        <v>0</v>
      </c>
      <c r="BE15" s="137">
        <f>'LCFS Table'!$AU15*'LCFS Table'!$BY15</f>
        <v>1</v>
      </c>
      <c r="BF15" s="137">
        <f>'LCFS Table'!$AV15*'LCFS Table'!$BZ15</f>
        <v>0.65620000000000001</v>
      </c>
      <c r="BG15" s="137">
        <f>'LCFS Table'!$AW15*'LCFS Table'!$CA15</f>
        <v>0</v>
      </c>
      <c r="BH15" s="137">
        <f>'LCFS Table'!$AX15*'LCFS Table'!$CB15</f>
        <v>1.1480473968592502</v>
      </c>
      <c r="BI15" s="137">
        <f>'LCFS Table'!$AY15*'LCFS Table'!$CC15</f>
        <v>0</v>
      </c>
      <c r="BJ15" s="137">
        <f>'LCFS Table'!$AZ15*'LCFS Table'!$CD15</f>
        <v>1</v>
      </c>
      <c r="BK15" s="137">
        <f>'LCFS Table'!$BA15*'LCFS Table'!$CE15</f>
        <v>0.57899999999999996</v>
      </c>
      <c r="BL15" s="137">
        <f>'LCFS Table'!$BB15*'LCFS Table'!$CF15</f>
        <v>-1.2</v>
      </c>
      <c r="BM15" s="137">
        <f>'LCFS Table'!$AS15*'LCFS Table'!$CG15</f>
        <v>0</v>
      </c>
      <c r="BN15" s="137">
        <f>'LCFS Table'!$AT15*'LCFS Table'!$CH15</f>
        <v>0.16</v>
      </c>
      <c r="BO15" s="137">
        <f>'LCFS Table'!$AU15*'LCFS Table'!$CI15</f>
        <v>0</v>
      </c>
      <c r="BP15" s="137">
        <f>'LCFS Table'!$AV15*'LCFS Table'!$CJ15</f>
        <v>0</v>
      </c>
      <c r="BQ15" s="137">
        <f>'LCFS Table'!$AW15*'LCFS Table'!$CK15</f>
        <v>0</v>
      </c>
      <c r="BR15" s="137">
        <f>'LCFS Table'!$AX15*'LCFS Table'!$CL15</f>
        <v>0</v>
      </c>
      <c r="BS15" s="137">
        <f>'LCFS Table'!$AY15*'LCFS Table'!$CM15</f>
        <v>0</v>
      </c>
      <c r="BT15" s="137">
        <f>'LCFS Table'!$AZ15*'LCFS Table'!$CN15</f>
        <v>0</v>
      </c>
      <c r="BU15" s="137">
        <f>'LCFS Table'!$BA15*'LCFS Table'!$CO15</f>
        <v>0</v>
      </c>
      <c r="BV15" s="142">
        <f>'LCFS Table'!$BB15*'LCFS Table'!$CP15</f>
        <v>1.2</v>
      </c>
      <c r="BW15" s="138">
        <v>1</v>
      </c>
      <c r="BX15" s="138">
        <v>0</v>
      </c>
      <c r="BY15" s="138">
        <v>1</v>
      </c>
      <c r="BZ15" s="138">
        <v>1</v>
      </c>
      <c r="CA15" s="138">
        <v>-1</v>
      </c>
      <c r="CB15" s="138">
        <v>1</v>
      </c>
      <c r="CC15" s="138">
        <v>0</v>
      </c>
      <c r="CD15" s="138">
        <v>1</v>
      </c>
      <c r="CE15" s="138">
        <v>1</v>
      </c>
      <c r="CF15" s="138">
        <v>-1</v>
      </c>
      <c r="CG15" s="138">
        <f>1-'LCFS Table'!$BW15</f>
        <v>0</v>
      </c>
      <c r="CH15" s="138">
        <f>1-'LCFS Table'!$BX15</f>
        <v>1</v>
      </c>
      <c r="CI15" s="138">
        <f>1-'LCFS Table'!$BY15</f>
        <v>0</v>
      </c>
      <c r="CJ15" s="138">
        <f>1-'LCFS Table'!$BZ15</f>
        <v>0</v>
      </c>
      <c r="CK15" s="138">
        <f>-'LCFS Table'!$CA15</f>
        <v>1</v>
      </c>
      <c r="CL15" s="138">
        <f>1-'LCFS Table'!$CB15</f>
        <v>0</v>
      </c>
      <c r="CM15" s="138">
        <f>1-'LCFS Table'!$CC15</f>
        <v>1</v>
      </c>
      <c r="CN15" s="138">
        <f>1-'LCFS Table'!$CD15</f>
        <v>0</v>
      </c>
      <c r="CO15" s="138">
        <f>1-'LCFS Table'!$CE15</f>
        <v>0</v>
      </c>
      <c r="CP15" s="138">
        <f>-'LCFS Table'!$CF15</f>
        <v>1</v>
      </c>
      <c r="CQ15" s="140">
        <v>7.5</v>
      </c>
      <c r="CR15" s="151">
        <f>('LCFS Table'!$CQ15*0.9/(0.8/0.99)/100)</f>
        <v>8.3531249999999987E-2</v>
      </c>
      <c r="CS15" s="138"/>
      <c r="CT15" s="152"/>
      <c r="CX15" s="153">
        <f>MONTH('LCFS Table'!$B15)</f>
        <v>3</v>
      </c>
      <c r="CY15" s="153">
        <f>YEAR('LCFS Table'!$B15)</f>
        <v>2019</v>
      </c>
    </row>
    <row r="16" spans="1:111" s="146" customFormat="1">
      <c r="A16" s="147">
        <f>'LCFS Table'!$B16-5</f>
        <v>43555</v>
      </c>
      <c r="B16" s="158">
        <v>43560</v>
      </c>
      <c r="C16" s="159">
        <f t="shared" si="0"/>
        <v>2019</v>
      </c>
      <c r="D16" s="133" t="s">
        <v>270</v>
      </c>
      <c r="E16" s="155"/>
      <c r="F16" s="155">
        <f>('LCFS Table'!$M16)-'LCFS Table'!$J16</f>
        <v>-2.6100481735824994</v>
      </c>
      <c r="G16" s="156"/>
      <c r="H16" s="156">
        <f>'LCFS Table'!$F16+'LCFS Table'!$AX16+'LCFS Table'!$AY16+'LCFS Table'!$AZ16+'LCFS Table'!$BA16+('LCFS Table'!$CQ16*0.9/(0.8/0.99)/100)+(DG16*'LCFS Table'!$AF16)+(DF16*'LCFS Table'!$AG16)</f>
        <v>0.14219414062500063</v>
      </c>
      <c r="I16" s="155">
        <f>('LCFS Table'!$V16+'LCFS Table'!$W16+'LCFS Table'!$X16)/100+(('LCFS Table'!$AI16+'LCFS Table'!$AJ16)/340)</f>
        <v>2.7722262202753445</v>
      </c>
      <c r="J16" s="155">
        <f>(('LCFS Table'!$Y16+'LCFS Table'!$Z16)/100)+(('LCFS Table'!$AM16+'LCFS Table'!$AN16)/300)</f>
        <v>3.1713371093749996</v>
      </c>
      <c r="K16" s="136" t="s">
        <v>257</v>
      </c>
      <c r="L16" s="136">
        <v>323</v>
      </c>
      <c r="M16" s="136">
        <f>('LCFS Table'!$L16/100)-'LCFS Table'!$AX16-'LCFS Table'!$AY16-'LCFS Table'!$AZ16-'LCFS Table'!$BA16</f>
        <v>0.56128893579250017</v>
      </c>
      <c r="N16" s="136">
        <v>27.6</v>
      </c>
      <c r="O16" s="136">
        <v>25.75</v>
      </c>
      <c r="P16" s="136">
        <v>24.8</v>
      </c>
      <c r="Q16" s="136">
        <v>31.533999999999999</v>
      </c>
      <c r="R16" s="136">
        <v>24</v>
      </c>
      <c r="S16" s="136">
        <f>'LCFS Table'!$N16 + 'LCFS Table'!$AH16</f>
        <v>31.975000000000001</v>
      </c>
      <c r="T16" s="136">
        <f>'LCFS Table'!$Q16+'LCFS Table'!$AH16</f>
        <v>35.908999999999999</v>
      </c>
      <c r="U16" s="136">
        <f>'LCFS Table'!$P16+'LCFS Table'!$AH16</f>
        <v>29.175000000000001</v>
      </c>
      <c r="V16" s="136">
        <f>(('LCFS Table'!$S16/'LCFS Table'!$AA16)*'LCFS Table'!$AC16)*6.48</f>
        <v>110.21170212765959</v>
      </c>
      <c r="W16" s="136">
        <f>(('LCFS Table'!$O16/'LCFS Table'!$AA16)*'LCFS Table'!$AD16)*6.48</f>
        <v>44.37765957446809</v>
      </c>
      <c r="X16" s="136">
        <f>(('LCFS Table'!$U16/'LCFS Table'!$AA16)*'LCFS Table'!$AE16)*6.48</f>
        <v>50.280319148936179</v>
      </c>
      <c r="Y16" s="136">
        <f>(('LCFS Table'!$T16/'LCFS Table'!$AB16)*'LCFS Table'!$AF16)*7.35</f>
        <v>206.19621093749998</v>
      </c>
      <c r="Z16" s="136">
        <f>(('LCFS Table'!$R16/'LCFS Table'!$AB16)*'LCFS Table'!$AG16)*7.35</f>
        <v>45.9375</v>
      </c>
      <c r="AA16" s="144">
        <v>0.94</v>
      </c>
      <c r="AB16" s="144">
        <v>0.96</v>
      </c>
      <c r="AC16" s="144">
        <v>0.5</v>
      </c>
      <c r="AD16" s="144">
        <v>0.25</v>
      </c>
      <c r="AE16" s="144">
        <v>0.25</v>
      </c>
      <c r="AF16" s="144">
        <v>0.75</v>
      </c>
      <c r="AG16" s="144">
        <v>0.25</v>
      </c>
      <c r="AH16" s="157">
        <v>4.375</v>
      </c>
      <c r="AI16" s="157">
        <v>136</v>
      </c>
      <c r="AJ16" s="157">
        <v>110</v>
      </c>
      <c r="AK16" s="157">
        <f>('LCFS Table'!$AI16/340)*100</f>
        <v>40</v>
      </c>
      <c r="AL16" s="157">
        <f>('LCFS Table'!$AJ16/340)*100</f>
        <v>32.352941176470587</v>
      </c>
      <c r="AM16" s="157">
        <v>105</v>
      </c>
      <c r="AN16" s="157">
        <v>90</v>
      </c>
      <c r="AO16" s="157">
        <f>('LCFS Table'!$AM16/300)*100</f>
        <v>35</v>
      </c>
      <c r="AP16" s="157">
        <f>('LCFS Table'!$AN16/300)*100</f>
        <v>30</v>
      </c>
      <c r="AQ16" s="140">
        <v>184.5</v>
      </c>
      <c r="AR16" s="136">
        <v>0.36749999999999999</v>
      </c>
      <c r="AS16" s="136">
        <v>1.623234784176451</v>
      </c>
      <c r="AT16" s="136">
        <v>0.16</v>
      </c>
      <c r="AU16" s="137">
        <v>1</v>
      </c>
      <c r="AV16" s="136">
        <f>'LCFS Table'!$AR16*1.7</f>
        <v>0.62475000000000003</v>
      </c>
      <c r="AW16" s="136">
        <v>0</v>
      </c>
      <c r="AX16" s="136">
        <v>1.1174610642075</v>
      </c>
      <c r="AY16" s="136">
        <v>0</v>
      </c>
      <c r="AZ16" s="141">
        <v>1</v>
      </c>
      <c r="BA16" s="136">
        <f>'LCFS Table'!$AR16*1.5</f>
        <v>0.55125000000000002</v>
      </c>
      <c r="BB16" s="142">
        <v>1.2</v>
      </c>
      <c r="BC16" s="136">
        <f>'LCFS Table'!$AS16*'LCFS Table'!$BW16</f>
        <v>1.623234784176451</v>
      </c>
      <c r="BD16" s="136">
        <f>'LCFS Table'!$AT16*'LCFS Table'!$BX16</f>
        <v>0</v>
      </c>
      <c r="BE16" s="136">
        <f>'LCFS Table'!$AU16*'LCFS Table'!$BY16</f>
        <v>1</v>
      </c>
      <c r="BF16" s="136">
        <f>'LCFS Table'!$AV16*'LCFS Table'!$BZ16</f>
        <v>0.62475000000000003</v>
      </c>
      <c r="BG16" s="136">
        <f>'LCFS Table'!$AW16*'LCFS Table'!$CA16</f>
        <v>0</v>
      </c>
      <c r="BH16" s="136">
        <f>'LCFS Table'!$AX16*'LCFS Table'!$CB16</f>
        <v>1.1174610642075</v>
      </c>
      <c r="BI16" s="136">
        <f>'LCFS Table'!$AY16*'LCFS Table'!$CC16</f>
        <v>0</v>
      </c>
      <c r="BJ16" s="136">
        <f>'LCFS Table'!$AZ16*'LCFS Table'!$CD16</f>
        <v>1</v>
      </c>
      <c r="BK16" s="136">
        <f>'LCFS Table'!$BA16*'LCFS Table'!$CE16</f>
        <v>0.55125000000000002</v>
      </c>
      <c r="BL16" s="136">
        <f>'LCFS Table'!$BB16*'LCFS Table'!$CF16</f>
        <v>-1.2</v>
      </c>
      <c r="BM16" s="136">
        <f>'LCFS Table'!$AS16*'LCFS Table'!$CG16</f>
        <v>0</v>
      </c>
      <c r="BN16" s="136">
        <f>'LCFS Table'!$AT16*'LCFS Table'!$CH16</f>
        <v>0.16</v>
      </c>
      <c r="BO16" s="136">
        <f>'LCFS Table'!$AU16*'LCFS Table'!$CI16</f>
        <v>0</v>
      </c>
      <c r="BP16" s="136">
        <f>'LCFS Table'!$AV16*'LCFS Table'!$CJ16</f>
        <v>0</v>
      </c>
      <c r="BQ16" s="136">
        <f>'LCFS Table'!$AW16*'LCFS Table'!$CK16</f>
        <v>0</v>
      </c>
      <c r="BR16" s="136">
        <f>'LCFS Table'!$AX16*'LCFS Table'!$CL16</f>
        <v>0</v>
      </c>
      <c r="BS16" s="136">
        <f>'LCFS Table'!$AY16*'LCFS Table'!$CM16</f>
        <v>0</v>
      </c>
      <c r="BT16" s="136">
        <f>'LCFS Table'!$AZ16*'LCFS Table'!$CN16</f>
        <v>0</v>
      </c>
      <c r="BU16" s="136">
        <f>'LCFS Table'!$BA16*'LCFS Table'!$CO16</f>
        <v>0</v>
      </c>
      <c r="BV16" s="142">
        <f>'LCFS Table'!$BB16*'LCFS Table'!$CP16</f>
        <v>1.2</v>
      </c>
      <c r="BW16" s="144">
        <v>1</v>
      </c>
      <c r="BX16" s="144">
        <v>0</v>
      </c>
      <c r="BY16" s="144">
        <v>1</v>
      </c>
      <c r="BZ16" s="144">
        <v>1</v>
      </c>
      <c r="CA16" s="144">
        <v>-1</v>
      </c>
      <c r="CB16" s="144">
        <v>1</v>
      </c>
      <c r="CC16" s="144">
        <v>0</v>
      </c>
      <c r="CD16" s="144">
        <v>1</v>
      </c>
      <c r="CE16" s="144">
        <v>1</v>
      </c>
      <c r="CF16" s="144">
        <v>-1</v>
      </c>
      <c r="CG16" s="144">
        <f>1-'LCFS Table'!$BW16</f>
        <v>0</v>
      </c>
      <c r="CH16" s="144">
        <f>1-'LCFS Table'!$BX16</f>
        <v>1</v>
      </c>
      <c r="CI16" s="144">
        <f>1-'LCFS Table'!$BY16</f>
        <v>0</v>
      </c>
      <c r="CJ16" s="144">
        <f>1-'LCFS Table'!$BZ16</f>
        <v>0</v>
      </c>
      <c r="CK16" s="144">
        <f>-'LCFS Table'!$CA16</f>
        <v>1</v>
      </c>
      <c r="CL16" s="144">
        <f>1-'LCFS Table'!$CB16</f>
        <v>0</v>
      </c>
      <c r="CM16" s="144">
        <f>1-'LCFS Table'!$CC16</f>
        <v>1</v>
      </c>
      <c r="CN16" s="144">
        <f>1-'LCFS Table'!$CD16</f>
        <v>0</v>
      </c>
      <c r="CO16" s="144">
        <f>1-'LCFS Table'!$CE16</f>
        <v>0</v>
      </c>
      <c r="CP16" s="144">
        <f>-'LCFS Table'!$CF16</f>
        <v>1</v>
      </c>
      <c r="CQ16" s="140">
        <v>7.5</v>
      </c>
      <c r="CR16" s="143">
        <f>('LCFS Table'!$CQ16*0.9/(0.8/0.99)/100)</f>
        <v>8.3531249999999987E-2</v>
      </c>
      <c r="CS16" s="144"/>
      <c r="CT16" s="145"/>
      <c r="CX16" s="146">
        <f>MONTH('LCFS Table'!$B16)</f>
        <v>4</v>
      </c>
      <c r="CY16" s="146">
        <f>YEAR('LCFS Table'!$B16)</f>
        <v>2019</v>
      </c>
    </row>
    <row r="17" spans="1:103" s="153" customFormat="1">
      <c r="A17" s="148">
        <f>'LCFS Table'!$B17-5</f>
        <v>43562</v>
      </c>
      <c r="B17" s="160">
        <v>43567</v>
      </c>
      <c r="C17" s="161">
        <f t="shared" si="0"/>
        <v>2019</v>
      </c>
      <c r="D17" s="150" t="s">
        <v>271</v>
      </c>
      <c r="E17" s="134"/>
      <c r="F17" s="134">
        <f>('LCFS Table'!$M17)-'LCFS Table'!$J17</f>
        <v>-2.5689254208131249</v>
      </c>
      <c r="G17" s="135"/>
      <c r="H17" s="135">
        <f>'LCFS Table'!$F17+'LCFS Table'!$AX17+'LCFS Table'!$AY17+'LCFS Table'!$AZ17+'LCFS Table'!$BA17+('LCFS Table'!$CQ17*0.9/(0.8/0.99)/100)+(DG17*'LCFS Table'!$AF17)+(DF17*'LCFS Table'!$AG17)</f>
        <v>0.15253175781250022</v>
      </c>
      <c r="I17" s="134">
        <f>('LCFS Table'!$V17+'LCFS Table'!$W17+'LCFS Table'!$X17)/100+(('LCFS Table'!$AI17+'LCFS Table'!$AJ17)/340)</f>
        <v>2.787306007509387</v>
      </c>
      <c r="J17" s="134">
        <f>(('LCFS Table'!$Y17+'LCFS Table'!$Z17)/100)+(('LCFS Table'!$AM17+'LCFS Table'!$AN17)/300)</f>
        <v>3.1548857421874996</v>
      </c>
      <c r="K17" s="136" t="s">
        <v>257</v>
      </c>
      <c r="L17" s="136">
        <v>322.5</v>
      </c>
      <c r="M17" s="137">
        <f>('LCFS Table'!$L17/100)-'LCFS Table'!$AX17-'LCFS Table'!$AY17-'LCFS Table'!$AZ17-'LCFS Table'!$BA17</f>
        <v>0.58596032137437493</v>
      </c>
      <c r="N17" s="136">
        <v>28</v>
      </c>
      <c r="O17" s="136">
        <v>25.75</v>
      </c>
      <c r="P17" s="136">
        <v>24.875</v>
      </c>
      <c r="Q17" s="136">
        <v>31.247499999999999</v>
      </c>
      <c r="R17" s="136">
        <v>24</v>
      </c>
      <c r="S17" s="137">
        <f>'LCFS Table'!$N17 + 'LCFS Table'!$AH17</f>
        <v>32.375</v>
      </c>
      <c r="T17" s="137">
        <f>'LCFS Table'!$Q17+'LCFS Table'!$AH17</f>
        <v>35.622500000000002</v>
      </c>
      <c r="U17" s="137">
        <f>'LCFS Table'!$P17+'LCFS Table'!$AH17</f>
        <v>29.25</v>
      </c>
      <c r="V17" s="137">
        <f>(('LCFS Table'!$S17/'LCFS Table'!$AA17)*'LCFS Table'!$AC17)*6.48</f>
        <v>111.59042553191492</v>
      </c>
      <c r="W17" s="137">
        <f>(('LCFS Table'!$O17/'LCFS Table'!$AA17)*'LCFS Table'!$AD17)*6.48</f>
        <v>44.37765957446809</v>
      </c>
      <c r="X17" s="137">
        <f>(('LCFS Table'!$U17/'LCFS Table'!$AA17)*'LCFS Table'!$AE17)*6.48</f>
        <v>50.409574468085111</v>
      </c>
      <c r="Y17" s="137">
        <f>(('LCFS Table'!$T17/'LCFS Table'!$AB17)*'LCFS Table'!$AF17)*7.35</f>
        <v>204.55107421874999</v>
      </c>
      <c r="Z17" s="137">
        <f>(('LCFS Table'!$R17/'LCFS Table'!$AB17)*'LCFS Table'!$AG17)*7.35</f>
        <v>45.9375</v>
      </c>
      <c r="AA17" s="138">
        <v>0.94</v>
      </c>
      <c r="AB17" s="138">
        <v>0.96</v>
      </c>
      <c r="AC17" s="138">
        <v>0.5</v>
      </c>
      <c r="AD17" s="138">
        <v>0.25</v>
      </c>
      <c r="AE17" s="138">
        <v>0.25</v>
      </c>
      <c r="AF17" s="138">
        <v>0.75</v>
      </c>
      <c r="AG17" s="138">
        <v>0.25</v>
      </c>
      <c r="AH17" s="139">
        <v>4.375</v>
      </c>
      <c r="AI17" s="139">
        <v>136</v>
      </c>
      <c r="AJ17" s="139">
        <v>110</v>
      </c>
      <c r="AK17" s="139">
        <f>('LCFS Table'!$AI17/340)*100</f>
        <v>40</v>
      </c>
      <c r="AL17" s="139">
        <f>('LCFS Table'!$AJ17/340)*100</f>
        <v>32.352941176470587</v>
      </c>
      <c r="AM17" s="139">
        <v>105</v>
      </c>
      <c r="AN17" s="139">
        <v>90</v>
      </c>
      <c r="AO17" s="139">
        <f>('LCFS Table'!$AM17/300)*100</f>
        <v>35</v>
      </c>
      <c r="AP17" s="139">
        <f>('LCFS Table'!$AN17/300)*100</f>
        <v>30</v>
      </c>
      <c r="AQ17" s="140">
        <v>180.375</v>
      </c>
      <c r="AR17" s="136">
        <v>0.364375</v>
      </c>
      <c r="AS17" s="137">
        <v>1.58694294957088</v>
      </c>
      <c r="AT17" s="137">
        <v>0.16</v>
      </c>
      <c r="AU17" s="137">
        <v>1</v>
      </c>
      <c r="AV17" s="137">
        <f>'LCFS Table'!$AR17*1.7</f>
        <v>0.61943749999999997</v>
      </c>
      <c r="AW17" s="137">
        <v>0</v>
      </c>
      <c r="AX17" s="137">
        <v>1.0924771786256251</v>
      </c>
      <c r="AY17" s="137">
        <v>0</v>
      </c>
      <c r="AZ17" s="141">
        <v>1</v>
      </c>
      <c r="BA17" s="137">
        <f>'LCFS Table'!$AR17*1.5</f>
        <v>0.54656250000000006</v>
      </c>
      <c r="BB17" s="142">
        <v>1.2</v>
      </c>
      <c r="BC17" s="137">
        <f>'LCFS Table'!$AS17*'LCFS Table'!$BW17</f>
        <v>1.58694294957088</v>
      </c>
      <c r="BD17" s="137">
        <f>'LCFS Table'!$AT17*'LCFS Table'!$BX17</f>
        <v>0</v>
      </c>
      <c r="BE17" s="137">
        <f>'LCFS Table'!$AU17*'LCFS Table'!$BY17</f>
        <v>1</v>
      </c>
      <c r="BF17" s="137">
        <f>'LCFS Table'!$AV17*'LCFS Table'!$BZ17</f>
        <v>0.61943749999999997</v>
      </c>
      <c r="BG17" s="137">
        <f>'LCFS Table'!$AW17*'LCFS Table'!$CA17</f>
        <v>0</v>
      </c>
      <c r="BH17" s="137">
        <f>'LCFS Table'!$AX17*'LCFS Table'!$CB17</f>
        <v>1.0924771786256251</v>
      </c>
      <c r="BI17" s="137">
        <f>'LCFS Table'!$AY17*'LCFS Table'!$CC17</f>
        <v>0</v>
      </c>
      <c r="BJ17" s="137">
        <f>'LCFS Table'!$AZ17*'LCFS Table'!$CD17</f>
        <v>1</v>
      </c>
      <c r="BK17" s="137">
        <f>'LCFS Table'!$BA17*'LCFS Table'!$CE17</f>
        <v>0.54656250000000006</v>
      </c>
      <c r="BL17" s="137">
        <f>'LCFS Table'!$BB17*'LCFS Table'!$CF17</f>
        <v>-1.2</v>
      </c>
      <c r="BM17" s="137">
        <f>'LCFS Table'!$AS17*'LCFS Table'!$CG17</f>
        <v>0</v>
      </c>
      <c r="BN17" s="137">
        <f>'LCFS Table'!$AT17*'LCFS Table'!$CH17</f>
        <v>0.16</v>
      </c>
      <c r="BO17" s="137">
        <f>'LCFS Table'!$AU17*'LCFS Table'!$CI17</f>
        <v>0</v>
      </c>
      <c r="BP17" s="137">
        <f>'LCFS Table'!$AV17*'LCFS Table'!$CJ17</f>
        <v>0</v>
      </c>
      <c r="BQ17" s="137">
        <f>'LCFS Table'!$AW17*'LCFS Table'!$CK17</f>
        <v>0</v>
      </c>
      <c r="BR17" s="137">
        <f>'LCFS Table'!$AX17*'LCFS Table'!$CL17</f>
        <v>0</v>
      </c>
      <c r="BS17" s="137">
        <f>'LCFS Table'!$AY17*'LCFS Table'!$CM17</f>
        <v>0</v>
      </c>
      <c r="BT17" s="137">
        <f>'LCFS Table'!$AZ17*'LCFS Table'!$CN17</f>
        <v>0</v>
      </c>
      <c r="BU17" s="137">
        <f>'LCFS Table'!$BA17*'LCFS Table'!$CO17</f>
        <v>0</v>
      </c>
      <c r="BV17" s="142">
        <f>'LCFS Table'!$BB17*'LCFS Table'!$CP17</f>
        <v>1.2</v>
      </c>
      <c r="BW17" s="138">
        <v>1</v>
      </c>
      <c r="BX17" s="138">
        <v>0</v>
      </c>
      <c r="BY17" s="138">
        <v>1</v>
      </c>
      <c r="BZ17" s="138">
        <v>1</v>
      </c>
      <c r="CA17" s="138">
        <v>-1</v>
      </c>
      <c r="CB17" s="138">
        <v>1</v>
      </c>
      <c r="CC17" s="138">
        <v>0</v>
      </c>
      <c r="CD17" s="138">
        <v>1</v>
      </c>
      <c r="CE17" s="138">
        <v>1</v>
      </c>
      <c r="CF17" s="138">
        <v>-1</v>
      </c>
      <c r="CG17" s="138">
        <f>1-'LCFS Table'!$BW17</f>
        <v>0</v>
      </c>
      <c r="CH17" s="138">
        <f>1-'LCFS Table'!$BX17</f>
        <v>1</v>
      </c>
      <c r="CI17" s="138">
        <f>1-'LCFS Table'!$BY17</f>
        <v>0</v>
      </c>
      <c r="CJ17" s="138">
        <f>1-'LCFS Table'!$BZ17</f>
        <v>0</v>
      </c>
      <c r="CK17" s="138">
        <f>-'LCFS Table'!$CA17</f>
        <v>1</v>
      </c>
      <c r="CL17" s="138">
        <f>1-'LCFS Table'!$CB17</f>
        <v>0</v>
      </c>
      <c r="CM17" s="138">
        <f>1-'LCFS Table'!$CC17</f>
        <v>1</v>
      </c>
      <c r="CN17" s="138">
        <f>1-'LCFS Table'!$CD17</f>
        <v>0</v>
      </c>
      <c r="CO17" s="138">
        <f>1-'LCFS Table'!$CE17</f>
        <v>0</v>
      </c>
      <c r="CP17" s="138">
        <f>-'LCFS Table'!$CF17</f>
        <v>1</v>
      </c>
      <c r="CQ17" s="140">
        <v>7.4</v>
      </c>
      <c r="CR17" s="151">
        <f>('LCFS Table'!$CQ17*0.9/(0.8/0.99)/100)</f>
        <v>8.2417499999999991E-2</v>
      </c>
      <c r="CS17" s="138"/>
      <c r="CT17" s="152"/>
      <c r="CX17" s="153">
        <f>MONTH('LCFS Table'!$B17)</f>
        <v>4</v>
      </c>
      <c r="CY17" s="153">
        <f>YEAR('LCFS Table'!$B17)</f>
        <v>2019</v>
      </c>
    </row>
    <row r="18" spans="1:103" s="146" customFormat="1">
      <c r="A18" s="147">
        <f>'LCFS Table'!$B18-5</f>
        <v>43569</v>
      </c>
      <c r="B18" s="158">
        <v>43574</v>
      </c>
      <c r="C18" s="159">
        <f t="shared" si="0"/>
        <v>2019</v>
      </c>
      <c r="D18" s="133" t="s">
        <v>272</v>
      </c>
      <c r="E18" s="155"/>
      <c r="F18" s="155">
        <f>('LCFS Table'!$M18)-'LCFS Table'!$J18</f>
        <v>-2.4943356137629995</v>
      </c>
      <c r="G18" s="156"/>
      <c r="H18" s="156">
        <f>'LCFS Table'!$F18+'LCFS Table'!$AX18+'LCFS Table'!$AY18+'LCFS Table'!$AZ18+'LCFS Table'!$BA18+('LCFS Table'!$CQ18*0.9/(0.8/0.99)/100)+(DG18*'LCFS Table'!$AF18)+(DF18*'LCFS Table'!$AG18)</f>
        <v>0.2300527343750004</v>
      </c>
      <c r="I18" s="155">
        <f>('LCFS Table'!$V18+'LCFS Table'!$W18+'LCFS Table'!$X18)/100+(('LCFS Table'!$AI18+'LCFS Table'!$AJ18)/340)</f>
        <v>2.787306007509387</v>
      </c>
      <c r="J18" s="155">
        <f>(('LCFS Table'!$Y18+'LCFS Table'!$Z18)/100)+(('LCFS Table'!$AM18+'LCFS Table'!$AN18)/300)</f>
        <v>3.103694140625</v>
      </c>
      <c r="K18" s="136" t="s">
        <v>257</v>
      </c>
      <c r="L18" s="136">
        <v>325.3</v>
      </c>
      <c r="M18" s="136">
        <f>('LCFS Table'!$L18/100)-'LCFS Table'!$AX18-'LCFS Table'!$AY18-'LCFS Table'!$AZ18-'LCFS Table'!$BA18</f>
        <v>0.60935852686200043</v>
      </c>
      <c r="N18" s="136">
        <v>28</v>
      </c>
      <c r="O18" s="136">
        <v>25.75</v>
      </c>
      <c r="P18" s="136">
        <v>24.875</v>
      </c>
      <c r="Q18" s="136">
        <v>30.356000000000002</v>
      </c>
      <c r="R18" s="136">
        <v>24</v>
      </c>
      <c r="S18" s="136">
        <f>'LCFS Table'!$N18 + 'LCFS Table'!$AH18</f>
        <v>32.375</v>
      </c>
      <c r="T18" s="136">
        <f>'LCFS Table'!$Q18+'LCFS Table'!$AH18</f>
        <v>34.731000000000002</v>
      </c>
      <c r="U18" s="136">
        <f>'LCFS Table'!$P18+'LCFS Table'!$AH18</f>
        <v>29.25</v>
      </c>
      <c r="V18" s="136">
        <f>(('LCFS Table'!$S18/'LCFS Table'!$AA18)*'LCFS Table'!$AC18)*6.48</f>
        <v>111.59042553191492</v>
      </c>
      <c r="W18" s="136">
        <f>(('LCFS Table'!$O18/'LCFS Table'!$AA18)*'LCFS Table'!$AD18)*6.48</f>
        <v>44.37765957446809</v>
      </c>
      <c r="X18" s="136">
        <f>(('LCFS Table'!$U18/'LCFS Table'!$AA18)*'LCFS Table'!$AE18)*6.48</f>
        <v>50.409574468085111</v>
      </c>
      <c r="Y18" s="136">
        <f>(('LCFS Table'!$T18/'LCFS Table'!$AB18)*'LCFS Table'!$AF18)*7.35</f>
        <v>199.4319140625</v>
      </c>
      <c r="Z18" s="136">
        <f>(('LCFS Table'!$R18/'LCFS Table'!$AB18)*'LCFS Table'!$AG18)*7.35</f>
        <v>45.9375</v>
      </c>
      <c r="AA18" s="144">
        <v>0.94</v>
      </c>
      <c r="AB18" s="144">
        <v>0.96</v>
      </c>
      <c r="AC18" s="144">
        <v>0.5</v>
      </c>
      <c r="AD18" s="144">
        <v>0.25</v>
      </c>
      <c r="AE18" s="144">
        <v>0.25</v>
      </c>
      <c r="AF18" s="144">
        <v>0.75</v>
      </c>
      <c r="AG18" s="144">
        <v>0.25</v>
      </c>
      <c r="AH18" s="157">
        <v>4.375</v>
      </c>
      <c r="AI18" s="157">
        <v>136</v>
      </c>
      <c r="AJ18" s="157">
        <v>110</v>
      </c>
      <c r="AK18" s="157">
        <f>('LCFS Table'!$AI18/340)*100</f>
        <v>40</v>
      </c>
      <c r="AL18" s="157">
        <f>('LCFS Table'!$AJ18/340)*100</f>
        <v>32.352941176470587</v>
      </c>
      <c r="AM18" s="157">
        <v>105</v>
      </c>
      <c r="AN18" s="157">
        <v>90</v>
      </c>
      <c r="AO18" s="157">
        <f>('LCFS Table'!$AM18/300)*100</f>
        <v>35</v>
      </c>
      <c r="AP18" s="157">
        <f>('LCFS Table'!$AN18/300)*100</f>
        <v>30</v>
      </c>
      <c r="AQ18" s="140">
        <v>186.8</v>
      </c>
      <c r="AR18" s="136">
        <v>0.34149999999999997</v>
      </c>
      <c r="AS18" s="136">
        <v>1.6434702313504663</v>
      </c>
      <c r="AT18" s="136">
        <v>0.16</v>
      </c>
      <c r="AU18" s="137">
        <v>1</v>
      </c>
      <c r="AV18" s="136">
        <f>'LCFS Table'!$AR18*1.7</f>
        <v>0.5805499999999999</v>
      </c>
      <c r="AW18" s="136">
        <v>0</v>
      </c>
      <c r="AX18" s="136">
        <v>1.1313914731379999</v>
      </c>
      <c r="AY18" s="136">
        <v>0</v>
      </c>
      <c r="AZ18" s="141">
        <v>1</v>
      </c>
      <c r="BA18" s="136">
        <f>'LCFS Table'!$AR18*1.5</f>
        <v>0.51224999999999998</v>
      </c>
      <c r="BB18" s="142">
        <v>1.2</v>
      </c>
      <c r="BC18" s="136">
        <f>'LCFS Table'!$AS18*'LCFS Table'!$BW18</f>
        <v>1.6434702313504663</v>
      </c>
      <c r="BD18" s="136">
        <f>'LCFS Table'!$AT18*'LCFS Table'!$BX18</f>
        <v>0</v>
      </c>
      <c r="BE18" s="136">
        <f>'LCFS Table'!$AU18*'LCFS Table'!$BY18</f>
        <v>1</v>
      </c>
      <c r="BF18" s="136">
        <f>'LCFS Table'!$AV18*'LCFS Table'!$BZ18</f>
        <v>0.5805499999999999</v>
      </c>
      <c r="BG18" s="136">
        <f>'LCFS Table'!$AW18*'LCFS Table'!$CA18</f>
        <v>0</v>
      </c>
      <c r="BH18" s="136">
        <f>'LCFS Table'!$AX18*'LCFS Table'!$CB18</f>
        <v>1.1313914731379999</v>
      </c>
      <c r="BI18" s="136">
        <f>'LCFS Table'!$AY18*'LCFS Table'!$CC18</f>
        <v>0</v>
      </c>
      <c r="BJ18" s="136">
        <f>'LCFS Table'!$AZ18*'LCFS Table'!$CD18</f>
        <v>1</v>
      </c>
      <c r="BK18" s="136">
        <f>'LCFS Table'!$BA18*'LCFS Table'!$CE18</f>
        <v>0.51224999999999998</v>
      </c>
      <c r="BL18" s="136">
        <f>'LCFS Table'!$BB18*'LCFS Table'!$CF18</f>
        <v>-1.2</v>
      </c>
      <c r="BM18" s="136">
        <f>'LCFS Table'!$AS18*'LCFS Table'!$CG18</f>
        <v>0</v>
      </c>
      <c r="BN18" s="136">
        <f>'LCFS Table'!$AT18*'LCFS Table'!$CH18</f>
        <v>0.16</v>
      </c>
      <c r="BO18" s="136">
        <f>'LCFS Table'!$AU18*'LCFS Table'!$CI18</f>
        <v>0</v>
      </c>
      <c r="BP18" s="136">
        <f>'LCFS Table'!$AV18*'LCFS Table'!$CJ18</f>
        <v>0</v>
      </c>
      <c r="BQ18" s="136">
        <f>'LCFS Table'!$AW18*'LCFS Table'!$CK18</f>
        <v>0</v>
      </c>
      <c r="BR18" s="136">
        <f>'LCFS Table'!$AX18*'LCFS Table'!$CL18</f>
        <v>0</v>
      </c>
      <c r="BS18" s="136">
        <f>'LCFS Table'!$AY18*'LCFS Table'!$CM18</f>
        <v>0</v>
      </c>
      <c r="BT18" s="136">
        <f>'LCFS Table'!$AZ18*'LCFS Table'!$CN18</f>
        <v>0</v>
      </c>
      <c r="BU18" s="136">
        <f>'LCFS Table'!$BA18*'LCFS Table'!$CO18</f>
        <v>0</v>
      </c>
      <c r="BV18" s="142">
        <f>'LCFS Table'!$BB18*'LCFS Table'!$CP18</f>
        <v>1.2</v>
      </c>
      <c r="BW18" s="144">
        <v>1</v>
      </c>
      <c r="BX18" s="144">
        <v>0</v>
      </c>
      <c r="BY18" s="144">
        <v>1</v>
      </c>
      <c r="BZ18" s="144">
        <v>1</v>
      </c>
      <c r="CA18" s="144">
        <v>-1</v>
      </c>
      <c r="CB18" s="144">
        <v>1</v>
      </c>
      <c r="CC18" s="144">
        <v>0</v>
      </c>
      <c r="CD18" s="144">
        <v>1</v>
      </c>
      <c r="CE18" s="144">
        <v>1</v>
      </c>
      <c r="CF18" s="144">
        <v>-1</v>
      </c>
      <c r="CG18" s="144">
        <f>1-'LCFS Table'!$BW18</f>
        <v>0</v>
      </c>
      <c r="CH18" s="144">
        <f>1-'LCFS Table'!$BX18</f>
        <v>1</v>
      </c>
      <c r="CI18" s="144">
        <f>1-'LCFS Table'!$BY18</f>
        <v>0</v>
      </c>
      <c r="CJ18" s="144">
        <f>1-'LCFS Table'!$BZ18</f>
        <v>0</v>
      </c>
      <c r="CK18" s="144">
        <f>-'LCFS Table'!$CA18</f>
        <v>1</v>
      </c>
      <c r="CL18" s="144">
        <f>1-'LCFS Table'!$CB18</f>
        <v>0</v>
      </c>
      <c r="CM18" s="144">
        <f>1-'LCFS Table'!$CC18</f>
        <v>1</v>
      </c>
      <c r="CN18" s="144">
        <f>1-'LCFS Table'!$CD18</f>
        <v>0</v>
      </c>
      <c r="CO18" s="144">
        <f>1-'LCFS Table'!$CE18</f>
        <v>0</v>
      </c>
      <c r="CP18" s="144">
        <f>-'LCFS Table'!$CF18</f>
        <v>1</v>
      </c>
      <c r="CQ18" s="140">
        <v>7.25</v>
      </c>
      <c r="CR18" s="143">
        <f>('LCFS Table'!$CQ18*0.9/(0.8/0.99)/100)</f>
        <v>8.0746874999999996E-2</v>
      </c>
      <c r="CS18" s="144"/>
      <c r="CT18" s="145"/>
      <c r="CX18" s="146">
        <f>MONTH('LCFS Table'!$B18)</f>
        <v>4</v>
      </c>
      <c r="CY18" s="146">
        <f>YEAR('LCFS Table'!$B18)</f>
        <v>2019</v>
      </c>
    </row>
    <row r="19" spans="1:103" s="153" customFormat="1">
      <c r="A19" s="148">
        <f>'LCFS Table'!$B19-5</f>
        <v>43576</v>
      </c>
      <c r="B19" s="160">
        <v>43581</v>
      </c>
      <c r="C19" s="161">
        <f t="shared" si="0"/>
        <v>2019</v>
      </c>
      <c r="D19" s="150" t="s">
        <v>273</v>
      </c>
      <c r="E19" s="134"/>
      <c r="F19" s="134">
        <f>('LCFS Table'!$M19)-'LCFS Table'!$J19</f>
        <v>-2.4549287365885002</v>
      </c>
      <c r="G19" s="135"/>
      <c r="H19" s="135">
        <f>'LCFS Table'!$F19+'LCFS Table'!$AX19+'LCFS Table'!$AY19+'LCFS Table'!$AZ19+'LCFS Table'!$BA19+('LCFS Table'!$CQ19*0.9/(0.8/0.99)/100)+(DG19*'LCFS Table'!$AF19)+(DF19*'LCFS Table'!$AG19)</f>
        <v>0.27984492187499987</v>
      </c>
      <c r="I19" s="134">
        <f>('LCFS Table'!$V19+'LCFS Table'!$W19+'LCFS Table'!$X19)/100+(('LCFS Table'!$AI19+'LCFS Table'!$AJ19)/340)</f>
        <v>2.7890294117647065</v>
      </c>
      <c r="J19" s="134">
        <f>(('LCFS Table'!$Y19+'LCFS Table'!$Z19)/100)+(('LCFS Table'!$AM19+'LCFS Table'!$AN19)/300)</f>
        <v>3.0759019531249998</v>
      </c>
      <c r="K19" s="136" t="s">
        <v>257</v>
      </c>
      <c r="L19" s="136">
        <v>327.5</v>
      </c>
      <c r="M19" s="137">
        <f>('LCFS Table'!$L19/100)-'LCFS Table'!$AX19-'LCFS Table'!$AY19-'LCFS Table'!$AZ19-'LCFS Table'!$BA19</f>
        <v>0.62097321653649962</v>
      </c>
      <c r="N19" s="136">
        <v>28</v>
      </c>
      <c r="O19" s="136">
        <v>25.75</v>
      </c>
      <c r="P19" s="136">
        <v>24.975000000000001</v>
      </c>
      <c r="Q19" s="136">
        <v>29.872</v>
      </c>
      <c r="R19" s="136">
        <v>24</v>
      </c>
      <c r="S19" s="137">
        <f>'LCFS Table'!$N19 + 'LCFS Table'!$AH19</f>
        <v>32.375</v>
      </c>
      <c r="T19" s="137">
        <f>'LCFS Table'!$Q19+'LCFS Table'!$AH19</f>
        <v>34.247</v>
      </c>
      <c r="U19" s="137">
        <f>'LCFS Table'!$P19+'LCFS Table'!$AH19</f>
        <v>29.35</v>
      </c>
      <c r="V19" s="137">
        <f>(('LCFS Table'!$S19/'LCFS Table'!$AA19)*'LCFS Table'!$AC19)*6.48</f>
        <v>111.59042553191492</v>
      </c>
      <c r="W19" s="137">
        <f>(('LCFS Table'!$O19/'LCFS Table'!$AA19)*'LCFS Table'!$AD19)*6.48</f>
        <v>44.37765957446809</v>
      </c>
      <c r="X19" s="137">
        <f>(('LCFS Table'!$U19/'LCFS Table'!$AA19)*'LCFS Table'!$AE19)*6.48</f>
        <v>50.581914893617032</v>
      </c>
      <c r="Y19" s="137">
        <f>(('LCFS Table'!$T19/'LCFS Table'!$AB19)*'LCFS Table'!$AF19)*7.35</f>
        <v>196.65269531249999</v>
      </c>
      <c r="Z19" s="137">
        <f>(('LCFS Table'!$R19/'LCFS Table'!$AB19)*'LCFS Table'!$AG19)*7.35</f>
        <v>45.9375</v>
      </c>
      <c r="AA19" s="138">
        <v>0.94</v>
      </c>
      <c r="AB19" s="138">
        <v>0.96</v>
      </c>
      <c r="AC19" s="138">
        <v>0.5</v>
      </c>
      <c r="AD19" s="138">
        <v>0.25</v>
      </c>
      <c r="AE19" s="138">
        <v>0.25</v>
      </c>
      <c r="AF19" s="138">
        <v>0.75</v>
      </c>
      <c r="AG19" s="138">
        <v>0.25</v>
      </c>
      <c r="AH19" s="139">
        <v>4.375</v>
      </c>
      <c r="AI19" s="139">
        <v>136</v>
      </c>
      <c r="AJ19" s="139">
        <v>110</v>
      </c>
      <c r="AK19" s="139">
        <f>('LCFS Table'!$AI19/340)*100</f>
        <v>40</v>
      </c>
      <c r="AL19" s="139">
        <f>('LCFS Table'!$AJ19/340)*100</f>
        <v>32.352941176470587</v>
      </c>
      <c r="AM19" s="139">
        <v>105</v>
      </c>
      <c r="AN19" s="139">
        <v>90</v>
      </c>
      <c r="AO19" s="139">
        <f>('LCFS Table'!$AM19/300)*100</f>
        <v>35</v>
      </c>
      <c r="AP19" s="139">
        <f>('LCFS Table'!$AN19/300)*100</f>
        <v>30</v>
      </c>
      <c r="AQ19" s="140">
        <v>186.1</v>
      </c>
      <c r="AR19" s="136">
        <v>0.35125000000000001</v>
      </c>
      <c r="AS19" s="137">
        <v>1.6373116169931572</v>
      </c>
      <c r="AT19" s="137">
        <v>0.16</v>
      </c>
      <c r="AU19" s="137">
        <v>1</v>
      </c>
      <c r="AV19" s="137">
        <f>'LCFS Table'!$AR19*1.7</f>
        <v>0.59712500000000002</v>
      </c>
      <c r="AW19" s="137">
        <v>0</v>
      </c>
      <c r="AX19" s="137">
        <v>1.1271517834635001</v>
      </c>
      <c r="AY19" s="137">
        <v>0</v>
      </c>
      <c r="AZ19" s="141">
        <v>1</v>
      </c>
      <c r="BA19" s="137">
        <f>'LCFS Table'!$AR19*1.5</f>
        <v>0.52687499999999998</v>
      </c>
      <c r="BB19" s="142">
        <v>1.2</v>
      </c>
      <c r="BC19" s="137">
        <f>'LCFS Table'!$AS19*'LCFS Table'!$BW19</f>
        <v>1.6373116169931572</v>
      </c>
      <c r="BD19" s="137">
        <f>'LCFS Table'!$AT19*'LCFS Table'!$BX19</f>
        <v>0</v>
      </c>
      <c r="BE19" s="137">
        <f>'LCFS Table'!$AU19*'LCFS Table'!$BY19</f>
        <v>1</v>
      </c>
      <c r="BF19" s="137">
        <f>'LCFS Table'!$AV19*'LCFS Table'!$BZ19</f>
        <v>0.59712500000000002</v>
      </c>
      <c r="BG19" s="137">
        <f>'LCFS Table'!$AW19*'LCFS Table'!$CA19</f>
        <v>0</v>
      </c>
      <c r="BH19" s="137">
        <f>'LCFS Table'!$AX19*'LCFS Table'!$CB19</f>
        <v>1.1271517834635001</v>
      </c>
      <c r="BI19" s="137">
        <f>'LCFS Table'!$AY19*'LCFS Table'!$CC19</f>
        <v>0</v>
      </c>
      <c r="BJ19" s="137">
        <f>'LCFS Table'!$AZ19*'LCFS Table'!$CD19</f>
        <v>1</v>
      </c>
      <c r="BK19" s="137">
        <f>'LCFS Table'!$BA19*'LCFS Table'!$CE19</f>
        <v>0.52687499999999998</v>
      </c>
      <c r="BL19" s="137">
        <f>'LCFS Table'!$BB19*'LCFS Table'!$CF19</f>
        <v>-1.2</v>
      </c>
      <c r="BM19" s="137">
        <f>'LCFS Table'!$AS19*'LCFS Table'!$CG19</f>
        <v>0</v>
      </c>
      <c r="BN19" s="137">
        <f>'LCFS Table'!$AT19*'LCFS Table'!$CH19</f>
        <v>0.16</v>
      </c>
      <c r="BO19" s="137">
        <f>'LCFS Table'!$AU19*'LCFS Table'!$CI19</f>
        <v>0</v>
      </c>
      <c r="BP19" s="137">
        <f>'LCFS Table'!$AV19*'LCFS Table'!$CJ19</f>
        <v>0</v>
      </c>
      <c r="BQ19" s="137">
        <f>'LCFS Table'!$AW19*'LCFS Table'!$CK19</f>
        <v>0</v>
      </c>
      <c r="BR19" s="137">
        <f>'LCFS Table'!$AX19*'LCFS Table'!$CL19</f>
        <v>0</v>
      </c>
      <c r="BS19" s="137">
        <f>'LCFS Table'!$AY19*'LCFS Table'!$CM19</f>
        <v>0</v>
      </c>
      <c r="BT19" s="137">
        <f>'LCFS Table'!$AZ19*'LCFS Table'!$CN19</f>
        <v>0</v>
      </c>
      <c r="BU19" s="137">
        <f>'LCFS Table'!$BA19*'LCFS Table'!$CO19</f>
        <v>0</v>
      </c>
      <c r="BV19" s="142">
        <f>'LCFS Table'!$BB19*'LCFS Table'!$CP19</f>
        <v>1.2</v>
      </c>
      <c r="BW19" s="138">
        <v>1</v>
      </c>
      <c r="BX19" s="138">
        <v>0</v>
      </c>
      <c r="BY19" s="138">
        <v>1</v>
      </c>
      <c r="BZ19" s="138">
        <v>1</v>
      </c>
      <c r="CA19" s="138">
        <v>-1</v>
      </c>
      <c r="CB19" s="138">
        <v>1</v>
      </c>
      <c r="CC19" s="138">
        <v>0</v>
      </c>
      <c r="CD19" s="138">
        <v>1</v>
      </c>
      <c r="CE19" s="138">
        <v>1</v>
      </c>
      <c r="CF19" s="138">
        <v>-1</v>
      </c>
      <c r="CG19" s="138">
        <f>1-'LCFS Table'!$BW19</f>
        <v>0</v>
      </c>
      <c r="CH19" s="138">
        <f>1-'LCFS Table'!$BX19</f>
        <v>1</v>
      </c>
      <c r="CI19" s="138">
        <f>1-'LCFS Table'!$BY19</f>
        <v>0</v>
      </c>
      <c r="CJ19" s="138">
        <f>1-'LCFS Table'!$BZ19</f>
        <v>0</v>
      </c>
      <c r="CK19" s="138">
        <f>-'LCFS Table'!$CA19</f>
        <v>1</v>
      </c>
      <c r="CL19" s="138">
        <f>1-'LCFS Table'!$CB19</f>
        <v>0</v>
      </c>
      <c r="CM19" s="138">
        <f>1-'LCFS Table'!$CC19</f>
        <v>1</v>
      </c>
      <c r="CN19" s="138">
        <f>1-'LCFS Table'!$CD19</f>
        <v>0</v>
      </c>
      <c r="CO19" s="138">
        <f>1-'LCFS Table'!$CE19</f>
        <v>0</v>
      </c>
      <c r="CP19" s="138">
        <f>-'LCFS Table'!$CF19</f>
        <v>1</v>
      </c>
      <c r="CQ19" s="140">
        <v>7.25</v>
      </c>
      <c r="CR19" s="151">
        <f>('LCFS Table'!$CQ19*0.9/(0.8/0.99)/100)</f>
        <v>8.0746874999999996E-2</v>
      </c>
      <c r="CS19" s="138"/>
      <c r="CT19" s="152"/>
      <c r="CX19" s="153">
        <f>MONTH('LCFS Table'!$B19)</f>
        <v>4</v>
      </c>
      <c r="CY19" s="153">
        <f>YEAR('LCFS Table'!$B19)</f>
        <v>2019</v>
      </c>
    </row>
    <row r="20" spans="1:103" s="146" customFormat="1">
      <c r="A20" s="147">
        <f>'LCFS Table'!$B20-5</f>
        <v>43583</v>
      </c>
      <c r="B20" s="158">
        <v>43588</v>
      </c>
      <c r="C20" s="159">
        <f t="shared" si="0"/>
        <v>2019</v>
      </c>
      <c r="D20" s="133" t="s">
        <v>274</v>
      </c>
      <c r="E20" s="155"/>
      <c r="F20" s="155">
        <f>('LCFS Table'!$M20)-'LCFS Table'!$J20</f>
        <v>-2.4022100101525004</v>
      </c>
      <c r="G20" s="156"/>
      <c r="H20" s="156">
        <f>'LCFS Table'!$F20+'LCFS Table'!$AX20+'LCFS Table'!$AY20+'LCFS Table'!$AZ20+'LCFS Table'!$BA20+('LCFS Table'!$CQ20*0.9/(0.8/0.99)/100)+(DG20*'LCFS Table'!$AF20)+(DF20*'LCFS Table'!$AG20)</f>
        <v>0.30086132812499966</v>
      </c>
      <c r="I20" s="155">
        <f>('LCFS Table'!$V20+'LCFS Table'!$W20+'LCFS Table'!$X20)/100+(('LCFS Table'!$AI20+'LCFS Table'!$AJ20)/340)</f>
        <v>2.7929070713391742</v>
      </c>
      <c r="J20" s="155">
        <f>(('LCFS Table'!$Y20+'LCFS Table'!$Z20)/100)+(('LCFS Table'!$AM20+'LCFS Table'!$AN20)/300)</f>
        <v>3.054885546875</v>
      </c>
      <c r="K20" s="136" t="s">
        <v>257</v>
      </c>
      <c r="L20" s="136">
        <v>327.5</v>
      </c>
      <c r="M20" s="136">
        <f>('LCFS Table'!$L20/100)-'LCFS Table'!$AX20-'LCFS Table'!$AY20-'LCFS Table'!$AZ20-'LCFS Table'!$BA20</f>
        <v>0.65267553672249967</v>
      </c>
      <c r="N20" s="136">
        <v>28</v>
      </c>
      <c r="O20" s="136">
        <v>25.75</v>
      </c>
      <c r="P20" s="136">
        <v>25.2</v>
      </c>
      <c r="Q20" s="136">
        <v>29.506</v>
      </c>
      <c r="R20" s="136">
        <v>24</v>
      </c>
      <c r="S20" s="136">
        <f>'LCFS Table'!$N20 + 'LCFS Table'!$AH20</f>
        <v>32.375</v>
      </c>
      <c r="T20" s="136">
        <f>'LCFS Table'!$Q20+'LCFS Table'!$AH20</f>
        <v>33.881</v>
      </c>
      <c r="U20" s="136">
        <f>'LCFS Table'!$P20+'LCFS Table'!$AH20</f>
        <v>29.574999999999999</v>
      </c>
      <c r="V20" s="136">
        <f>(('LCFS Table'!$S20/'LCFS Table'!$AA20)*'LCFS Table'!$AC20)*6.48</f>
        <v>111.59042553191492</v>
      </c>
      <c r="W20" s="136">
        <f>(('LCFS Table'!$O20/'LCFS Table'!$AA20)*'LCFS Table'!$AD20)*6.48</f>
        <v>44.37765957446809</v>
      </c>
      <c r="X20" s="136">
        <f>(('LCFS Table'!$U20/'LCFS Table'!$AA20)*'LCFS Table'!$AE20)*6.48</f>
        <v>50.969680851063835</v>
      </c>
      <c r="Y20" s="136">
        <f>(('LCFS Table'!$T20/'LCFS Table'!$AB20)*'LCFS Table'!$AF20)*7.35</f>
        <v>194.5510546875</v>
      </c>
      <c r="Z20" s="136">
        <f>(('LCFS Table'!$R20/'LCFS Table'!$AB20)*'LCFS Table'!$AG20)*7.35</f>
        <v>45.9375</v>
      </c>
      <c r="AA20" s="144">
        <v>0.94</v>
      </c>
      <c r="AB20" s="144">
        <v>0.96</v>
      </c>
      <c r="AC20" s="144">
        <v>0.5</v>
      </c>
      <c r="AD20" s="144">
        <v>0.25</v>
      </c>
      <c r="AE20" s="144">
        <v>0.25</v>
      </c>
      <c r="AF20" s="144">
        <v>0.75</v>
      </c>
      <c r="AG20" s="144">
        <v>0.25</v>
      </c>
      <c r="AH20" s="157">
        <v>4.375</v>
      </c>
      <c r="AI20" s="157">
        <v>136</v>
      </c>
      <c r="AJ20" s="157">
        <v>110</v>
      </c>
      <c r="AK20" s="157">
        <f>('LCFS Table'!$AI20/340)*100</f>
        <v>40</v>
      </c>
      <c r="AL20" s="157">
        <f>('LCFS Table'!$AJ20/340)*100</f>
        <v>32.352941176470587</v>
      </c>
      <c r="AM20" s="157">
        <v>105</v>
      </c>
      <c r="AN20" s="157">
        <v>90</v>
      </c>
      <c r="AO20" s="157">
        <f>('LCFS Table'!$AM20/300)*100</f>
        <v>35</v>
      </c>
      <c r="AP20" s="157">
        <f>('LCFS Table'!$AN20/300)*100</f>
        <v>30</v>
      </c>
      <c r="AQ20" s="140">
        <v>186.5</v>
      </c>
      <c r="AR20" s="136">
        <v>0.32850000000000001</v>
      </c>
      <c r="AS20" s="136">
        <v>1.640830825197334</v>
      </c>
      <c r="AT20" s="136">
        <v>0.16</v>
      </c>
      <c r="AU20" s="137">
        <v>1</v>
      </c>
      <c r="AV20" s="136">
        <f>'LCFS Table'!$AR20*1.7</f>
        <v>0.55845</v>
      </c>
      <c r="AW20" s="136">
        <v>0</v>
      </c>
      <c r="AX20" s="136">
        <v>1.1295744632775</v>
      </c>
      <c r="AY20" s="136">
        <v>0</v>
      </c>
      <c r="AZ20" s="141">
        <v>1</v>
      </c>
      <c r="BA20" s="136">
        <f>'LCFS Table'!$AR20*1.5</f>
        <v>0.49275000000000002</v>
      </c>
      <c r="BB20" s="142">
        <v>1.2</v>
      </c>
      <c r="BC20" s="136">
        <f>'LCFS Table'!$AS20*'LCFS Table'!$BW20</f>
        <v>1.640830825197334</v>
      </c>
      <c r="BD20" s="136">
        <f>'LCFS Table'!$AT20*'LCFS Table'!$BX20</f>
        <v>0</v>
      </c>
      <c r="BE20" s="136">
        <f>'LCFS Table'!$AU20*'LCFS Table'!$BY20</f>
        <v>1</v>
      </c>
      <c r="BF20" s="136">
        <f>'LCFS Table'!$AV20*'LCFS Table'!$BZ20</f>
        <v>0.55845</v>
      </c>
      <c r="BG20" s="136">
        <f>'LCFS Table'!$AW20*'LCFS Table'!$CA20</f>
        <v>0</v>
      </c>
      <c r="BH20" s="136">
        <f>'LCFS Table'!$AX20*'LCFS Table'!$CB20</f>
        <v>1.1295744632775</v>
      </c>
      <c r="BI20" s="136">
        <f>'LCFS Table'!$AY20*'LCFS Table'!$CC20</f>
        <v>0</v>
      </c>
      <c r="BJ20" s="136">
        <f>'LCFS Table'!$AZ20*'LCFS Table'!$CD20</f>
        <v>1</v>
      </c>
      <c r="BK20" s="136">
        <f>'LCFS Table'!$BA20*'LCFS Table'!$CE20</f>
        <v>0.49275000000000002</v>
      </c>
      <c r="BL20" s="136">
        <f>'LCFS Table'!$BB20*'LCFS Table'!$CF20</f>
        <v>-1.2</v>
      </c>
      <c r="BM20" s="136">
        <f>'LCFS Table'!$AS20*'LCFS Table'!$CG20</f>
        <v>0</v>
      </c>
      <c r="BN20" s="136">
        <f>'LCFS Table'!$AT20*'LCFS Table'!$CH20</f>
        <v>0.16</v>
      </c>
      <c r="BO20" s="136">
        <f>'LCFS Table'!$AU20*'LCFS Table'!$CI20</f>
        <v>0</v>
      </c>
      <c r="BP20" s="136">
        <f>'LCFS Table'!$AV20*'LCFS Table'!$CJ20</f>
        <v>0</v>
      </c>
      <c r="BQ20" s="136">
        <f>'LCFS Table'!$AW20*'LCFS Table'!$CK20</f>
        <v>0</v>
      </c>
      <c r="BR20" s="136">
        <f>'LCFS Table'!$AX20*'LCFS Table'!$CL20</f>
        <v>0</v>
      </c>
      <c r="BS20" s="136">
        <f>'LCFS Table'!$AY20*'LCFS Table'!$CM20</f>
        <v>0</v>
      </c>
      <c r="BT20" s="136">
        <f>'LCFS Table'!$AZ20*'LCFS Table'!$CN20</f>
        <v>0</v>
      </c>
      <c r="BU20" s="136">
        <f>'LCFS Table'!$BA20*'LCFS Table'!$CO20</f>
        <v>0</v>
      </c>
      <c r="BV20" s="142">
        <f>'LCFS Table'!$BB20*'LCFS Table'!$CP20</f>
        <v>1.2</v>
      </c>
      <c r="BW20" s="144">
        <v>1</v>
      </c>
      <c r="BX20" s="144">
        <v>0</v>
      </c>
      <c r="BY20" s="144">
        <v>1</v>
      </c>
      <c r="BZ20" s="144">
        <v>1</v>
      </c>
      <c r="CA20" s="144">
        <v>-1</v>
      </c>
      <c r="CB20" s="144">
        <v>1</v>
      </c>
      <c r="CC20" s="144">
        <v>0</v>
      </c>
      <c r="CD20" s="144">
        <v>1</v>
      </c>
      <c r="CE20" s="144">
        <v>1</v>
      </c>
      <c r="CF20" s="144">
        <v>-1</v>
      </c>
      <c r="CG20" s="144">
        <f>1-'LCFS Table'!$BW20</f>
        <v>0</v>
      </c>
      <c r="CH20" s="144">
        <f>1-'LCFS Table'!$BX20</f>
        <v>1</v>
      </c>
      <c r="CI20" s="144">
        <f>1-'LCFS Table'!$BY20</f>
        <v>0</v>
      </c>
      <c r="CJ20" s="144">
        <f>1-'LCFS Table'!$BZ20</f>
        <v>0</v>
      </c>
      <c r="CK20" s="144">
        <f>-'LCFS Table'!$CA20</f>
        <v>1</v>
      </c>
      <c r="CL20" s="144">
        <f>1-'LCFS Table'!$CB20</f>
        <v>0</v>
      </c>
      <c r="CM20" s="144">
        <f>1-'LCFS Table'!$CC20</f>
        <v>1</v>
      </c>
      <c r="CN20" s="144">
        <f>1-'LCFS Table'!$CD20</f>
        <v>0</v>
      </c>
      <c r="CO20" s="144">
        <f>1-'LCFS Table'!$CE20</f>
        <v>0</v>
      </c>
      <c r="CP20" s="144">
        <f>-'LCFS Table'!$CF20</f>
        <v>1</v>
      </c>
      <c r="CQ20" s="140">
        <v>7.25</v>
      </c>
      <c r="CR20" s="143">
        <f>('LCFS Table'!$CQ20*0.9/(0.8/0.99)/100)</f>
        <v>8.0746874999999996E-2</v>
      </c>
      <c r="CS20" s="144"/>
      <c r="CT20" s="145"/>
      <c r="CX20" s="146">
        <f>MONTH('LCFS Table'!$B20)</f>
        <v>5</v>
      </c>
      <c r="CY20" s="146">
        <f>YEAR('LCFS Table'!$B20)</f>
        <v>2019</v>
      </c>
    </row>
    <row r="21" spans="1:103" s="153" customFormat="1">
      <c r="A21" s="148">
        <f>'LCFS Table'!$B21-5</f>
        <v>43590</v>
      </c>
      <c r="B21" s="160">
        <v>43595</v>
      </c>
      <c r="C21" s="161">
        <f t="shared" si="0"/>
        <v>2019</v>
      </c>
      <c r="D21" s="150" t="s">
        <v>275</v>
      </c>
      <c r="E21" s="134"/>
      <c r="F21" s="134">
        <f>('LCFS Table'!$M21)-'LCFS Table'!$J21</f>
        <v>-2.421541106077</v>
      </c>
      <c r="G21" s="135"/>
      <c r="H21" s="135">
        <f>'LCFS Table'!$F21+'LCFS Table'!$AX21+'LCFS Table'!$AY21+'LCFS Table'!$AZ21+'LCFS Table'!$BA21+('LCFS Table'!$CQ21*0.9/(0.8/0.99)/100)+(DG21*'LCFS Table'!$AF21)+(DF21*'LCFS Table'!$AG21)</f>
        <v>0.28351992187500008</v>
      </c>
      <c r="I21" s="134">
        <f>('LCFS Table'!$V21+'LCFS Table'!$W21+'LCFS Table'!$X21)/100+(('LCFS Table'!$AI21+'LCFS Table'!$AJ21)/340)</f>
        <v>2.7937687734668342</v>
      </c>
      <c r="J21" s="134">
        <f>(('LCFS Table'!$Y21+'LCFS Table'!$Z21)/100)+(('LCFS Table'!$AM21+'LCFS Table'!$AN21)/300)</f>
        <v>3.0722269531249999</v>
      </c>
      <c r="K21" s="136" t="s">
        <v>257</v>
      </c>
      <c r="L21" s="136">
        <v>327.5</v>
      </c>
      <c r="M21" s="137">
        <f>('LCFS Table'!$L21/100)-'LCFS Table'!$AX21-'LCFS Table'!$AY21-'LCFS Table'!$AZ21-'LCFS Table'!$BA21</f>
        <v>0.65068584704799981</v>
      </c>
      <c r="N21" s="136">
        <v>28</v>
      </c>
      <c r="O21" s="136">
        <v>25.75</v>
      </c>
      <c r="P21" s="136">
        <v>25.25</v>
      </c>
      <c r="Q21" s="136">
        <v>29.808</v>
      </c>
      <c r="R21" s="136">
        <v>24</v>
      </c>
      <c r="S21" s="137">
        <f>'LCFS Table'!$N21 + 'LCFS Table'!$AH21</f>
        <v>32.375</v>
      </c>
      <c r="T21" s="137">
        <f>'LCFS Table'!$Q21+'LCFS Table'!$AH21</f>
        <v>34.183</v>
      </c>
      <c r="U21" s="137">
        <f>'LCFS Table'!$P21+'LCFS Table'!$AH21</f>
        <v>29.625</v>
      </c>
      <c r="V21" s="137">
        <f>(('LCFS Table'!$S21/'LCFS Table'!$AA21)*'LCFS Table'!$AC21)*6.48</f>
        <v>111.59042553191492</v>
      </c>
      <c r="W21" s="137">
        <f>(('LCFS Table'!$O21/'LCFS Table'!$AA21)*'LCFS Table'!$AD21)*6.48</f>
        <v>44.37765957446809</v>
      </c>
      <c r="X21" s="137">
        <f>(('LCFS Table'!$U21/'LCFS Table'!$AA21)*'LCFS Table'!$AE21)*6.48</f>
        <v>51.055851063829799</v>
      </c>
      <c r="Y21" s="137">
        <f>(('LCFS Table'!$T21/'LCFS Table'!$AB21)*'LCFS Table'!$AF21)*7.35</f>
        <v>196.28519531250001</v>
      </c>
      <c r="Z21" s="137">
        <f>(('LCFS Table'!$R21/'LCFS Table'!$AB21)*'LCFS Table'!$AG21)*7.35</f>
        <v>45.9375</v>
      </c>
      <c r="AA21" s="138">
        <v>0.94</v>
      </c>
      <c r="AB21" s="138">
        <v>0.96</v>
      </c>
      <c r="AC21" s="138">
        <v>0.5</v>
      </c>
      <c r="AD21" s="138">
        <v>0.25</v>
      </c>
      <c r="AE21" s="138">
        <v>0.25</v>
      </c>
      <c r="AF21" s="138">
        <v>0.75</v>
      </c>
      <c r="AG21" s="138">
        <v>0.25</v>
      </c>
      <c r="AH21" s="139">
        <v>4.375</v>
      </c>
      <c r="AI21" s="139">
        <v>136</v>
      </c>
      <c r="AJ21" s="139">
        <v>110</v>
      </c>
      <c r="AK21" s="139">
        <f>('LCFS Table'!$AI21/340)*100</f>
        <v>40</v>
      </c>
      <c r="AL21" s="139">
        <f>('LCFS Table'!$AJ21/340)*100</f>
        <v>32.352941176470587</v>
      </c>
      <c r="AM21" s="139">
        <v>105</v>
      </c>
      <c r="AN21" s="139">
        <v>90</v>
      </c>
      <c r="AO21" s="139">
        <f>('LCFS Table'!$AM21/300)*100</f>
        <v>35</v>
      </c>
      <c r="AP21" s="139">
        <f>('LCFS Table'!$AN21/300)*100</f>
        <v>30</v>
      </c>
      <c r="AQ21" s="140">
        <v>187.2</v>
      </c>
      <c r="AR21" s="136">
        <v>0.32700000000000001</v>
      </c>
      <c r="AS21" s="137">
        <v>1.6469894395546429</v>
      </c>
      <c r="AT21" s="137">
        <v>0.16</v>
      </c>
      <c r="AU21" s="137">
        <v>1</v>
      </c>
      <c r="AV21" s="137">
        <f>'LCFS Table'!$AR21*1.7</f>
        <v>0.55590000000000006</v>
      </c>
      <c r="AW21" s="137">
        <v>0</v>
      </c>
      <c r="AX21" s="137">
        <v>1.1338141529520001</v>
      </c>
      <c r="AY21" s="137">
        <v>0</v>
      </c>
      <c r="AZ21" s="141">
        <v>1</v>
      </c>
      <c r="BA21" s="137">
        <f>'LCFS Table'!$AR21*1.5</f>
        <v>0.49050000000000005</v>
      </c>
      <c r="BB21" s="142">
        <v>1.2</v>
      </c>
      <c r="BC21" s="137">
        <f>'LCFS Table'!$AS21*'LCFS Table'!$BW21</f>
        <v>1.6469894395546429</v>
      </c>
      <c r="BD21" s="137">
        <f>'LCFS Table'!$AT21*'LCFS Table'!$BX21</f>
        <v>0</v>
      </c>
      <c r="BE21" s="137">
        <f>'LCFS Table'!$AU21*'LCFS Table'!$BY21</f>
        <v>1</v>
      </c>
      <c r="BF21" s="137">
        <f>'LCFS Table'!$AV21*'LCFS Table'!$BZ21</f>
        <v>0.55590000000000006</v>
      </c>
      <c r="BG21" s="137">
        <f>'LCFS Table'!$AW21*'LCFS Table'!$CA21</f>
        <v>0</v>
      </c>
      <c r="BH21" s="137">
        <f>'LCFS Table'!$AX21*'LCFS Table'!$CB21</f>
        <v>1.1338141529520001</v>
      </c>
      <c r="BI21" s="137">
        <f>'LCFS Table'!$AY21*'LCFS Table'!$CC21</f>
        <v>0</v>
      </c>
      <c r="BJ21" s="137">
        <f>'LCFS Table'!$AZ21*'LCFS Table'!$CD21</f>
        <v>1</v>
      </c>
      <c r="BK21" s="137">
        <f>'LCFS Table'!$BA21*'LCFS Table'!$CE21</f>
        <v>0.49050000000000005</v>
      </c>
      <c r="BL21" s="137">
        <f>'LCFS Table'!$BB21*'LCFS Table'!$CF21</f>
        <v>-1.2</v>
      </c>
      <c r="BM21" s="137">
        <f>'LCFS Table'!$AS21*'LCFS Table'!$CG21</f>
        <v>0</v>
      </c>
      <c r="BN21" s="137">
        <f>'LCFS Table'!$AT21*'LCFS Table'!$CH21</f>
        <v>0.16</v>
      </c>
      <c r="BO21" s="137">
        <f>'LCFS Table'!$AU21*'LCFS Table'!$CI21</f>
        <v>0</v>
      </c>
      <c r="BP21" s="137">
        <f>'LCFS Table'!$AV21*'LCFS Table'!$CJ21</f>
        <v>0</v>
      </c>
      <c r="BQ21" s="137">
        <f>'LCFS Table'!$AW21*'LCFS Table'!$CK21</f>
        <v>0</v>
      </c>
      <c r="BR21" s="137">
        <f>'LCFS Table'!$AX21*'LCFS Table'!$CL21</f>
        <v>0</v>
      </c>
      <c r="BS21" s="137">
        <f>'LCFS Table'!$AY21*'LCFS Table'!$CM21</f>
        <v>0</v>
      </c>
      <c r="BT21" s="137">
        <f>'LCFS Table'!$AZ21*'LCFS Table'!$CN21</f>
        <v>0</v>
      </c>
      <c r="BU21" s="137">
        <f>'LCFS Table'!$BA21*'LCFS Table'!$CO21</f>
        <v>0</v>
      </c>
      <c r="BV21" s="142">
        <f>'LCFS Table'!$BB21*'LCFS Table'!$CP21</f>
        <v>1.2</v>
      </c>
      <c r="BW21" s="138">
        <v>1</v>
      </c>
      <c r="BX21" s="138">
        <v>0</v>
      </c>
      <c r="BY21" s="138">
        <v>1</v>
      </c>
      <c r="BZ21" s="138">
        <v>1</v>
      </c>
      <c r="CA21" s="138">
        <v>-1</v>
      </c>
      <c r="CB21" s="138">
        <v>1</v>
      </c>
      <c r="CC21" s="138">
        <v>0</v>
      </c>
      <c r="CD21" s="138">
        <v>1</v>
      </c>
      <c r="CE21" s="138">
        <v>1</v>
      </c>
      <c r="CF21" s="138">
        <v>-1</v>
      </c>
      <c r="CG21" s="138">
        <f>1-'LCFS Table'!$BW21</f>
        <v>0</v>
      </c>
      <c r="CH21" s="138">
        <f>1-'LCFS Table'!$BX21</f>
        <v>1</v>
      </c>
      <c r="CI21" s="138">
        <f>1-'LCFS Table'!$BY21</f>
        <v>0</v>
      </c>
      <c r="CJ21" s="138">
        <f>1-'LCFS Table'!$BZ21</f>
        <v>0</v>
      </c>
      <c r="CK21" s="138">
        <f>-'LCFS Table'!$CA21</f>
        <v>1</v>
      </c>
      <c r="CL21" s="138">
        <f>1-'LCFS Table'!$CB21</f>
        <v>0</v>
      </c>
      <c r="CM21" s="138">
        <f>1-'LCFS Table'!$CC21</f>
        <v>1</v>
      </c>
      <c r="CN21" s="138">
        <f>1-'LCFS Table'!$CD21</f>
        <v>0</v>
      </c>
      <c r="CO21" s="138">
        <f>1-'LCFS Table'!$CE21</f>
        <v>0</v>
      </c>
      <c r="CP21" s="138">
        <f>-'LCFS Table'!$CF21</f>
        <v>1</v>
      </c>
      <c r="CQ21" s="140">
        <v>7.25</v>
      </c>
      <c r="CR21" s="151">
        <f>('LCFS Table'!$CQ21*0.9/(0.8/0.99)/100)</f>
        <v>8.0746874999999996E-2</v>
      </c>
      <c r="CS21" s="138"/>
      <c r="CT21" s="152"/>
      <c r="CX21" s="153">
        <f>MONTH('LCFS Table'!$B21)</f>
        <v>5</v>
      </c>
      <c r="CY21" s="153">
        <f>YEAR('LCFS Table'!$B21)</f>
        <v>2019</v>
      </c>
    </row>
    <row r="22" spans="1:103" s="146" customFormat="1">
      <c r="A22" s="147">
        <f>'LCFS Table'!$B22-5</f>
        <v>43597</v>
      </c>
      <c r="B22" s="158">
        <v>43602</v>
      </c>
      <c r="C22" s="159">
        <f t="shared" si="0"/>
        <v>2019</v>
      </c>
      <c r="D22" s="133" t="s">
        <v>276</v>
      </c>
      <c r="E22" s="155"/>
      <c r="F22" s="155">
        <f>('LCFS Table'!$M22)-'LCFS Table'!$J22</f>
        <v>-2.4632937217224993</v>
      </c>
      <c r="G22" s="156"/>
      <c r="H22" s="156">
        <f>'LCFS Table'!$F22+'LCFS Table'!$AX22+'LCFS Table'!$AY22+'LCFS Table'!$AZ22+'LCFS Table'!$BA22+('LCFS Table'!$CQ22*0.9/(0.8/0.99)/100)+(DG22*'LCFS Table'!$AF22)+(DF22*'LCFS Table'!$AG22)</f>
        <v>0.23516226562500075</v>
      </c>
      <c r="I22" s="155">
        <f>('LCFS Table'!$V22+'LCFS Table'!$W22+'LCFS Table'!$X22)/100+(('LCFS Table'!$AI22+'LCFS Table'!$AJ22)/340)</f>
        <v>2.8023857947434294</v>
      </c>
      <c r="J22" s="155">
        <f>(('LCFS Table'!$Y22+'LCFS Table'!$Z22)/100)+(('LCFS Table'!$AM22+'LCFS Table'!$AN22)/300)</f>
        <v>3.1061058593749995</v>
      </c>
      <c r="K22" s="136" t="s">
        <v>257</v>
      </c>
      <c r="L22" s="136">
        <v>327.5</v>
      </c>
      <c r="M22" s="136">
        <f>('LCFS Table'!$L22/100)-'LCFS Table'!$AX22-'LCFS Table'!$AY22-'LCFS Table'!$AZ22-'LCFS Table'!$BA22</f>
        <v>0.64281213765250012</v>
      </c>
      <c r="N22" s="136">
        <v>28.25</v>
      </c>
      <c r="O22" s="136">
        <v>25.75</v>
      </c>
      <c r="P22" s="136">
        <v>25.25</v>
      </c>
      <c r="Q22" s="136">
        <v>30.398</v>
      </c>
      <c r="R22" s="136">
        <v>24</v>
      </c>
      <c r="S22" s="136">
        <f>'LCFS Table'!$N22 + 'LCFS Table'!$AH22</f>
        <v>32.625</v>
      </c>
      <c r="T22" s="136">
        <f>'LCFS Table'!$Q22+'LCFS Table'!$AH22</f>
        <v>34.772999999999996</v>
      </c>
      <c r="U22" s="136">
        <f>'LCFS Table'!$P22+'LCFS Table'!$AH22</f>
        <v>29.625</v>
      </c>
      <c r="V22" s="136">
        <f>(('LCFS Table'!$S22/'LCFS Table'!$AA22)*'LCFS Table'!$AC22)*6.48</f>
        <v>112.45212765957447</v>
      </c>
      <c r="W22" s="136">
        <f>(('LCFS Table'!$O22/'LCFS Table'!$AA22)*'LCFS Table'!$AD22)*6.48</f>
        <v>44.37765957446809</v>
      </c>
      <c r="X22" s="136">
        <f>(('LCFS Table'!$U22/'LCFS Table'!$AA22)*'LCFS Table'!$AE22)*6.48</f>
        <v>51.055851063829799</v>
      </c>
      <c r="Y22" s="136">
        <f>(('LCFS Table'!$T22/'LCFS Table'!$AB22)*'LCFS Table'!$AF22)*7.35</f>
        <v>199.67308593749996</v>
      </c>
      <c r="Z22" s="136">
        <f>(('LCFS Table'!$R22/'LCFS Table'!$AB22)*'LCFS Table'!$AG22)*7.35</f>
        <v>45.9375</v>
      </c>
      <c r="AA22" s="144">
        <v>0.94</v>
      </c>
      <c r="AB22" s="144">
        <v>0.96</v>
      </c>
      <c r="AC22" s="144">
        <v>0.5</v>
      </c>
      <c r="AD22" s="144">
        <v>0.25</v>
      </c>
      <c r="AE22" s="144">
        <v>0.25</v>
      </c>
      <c r="AF22" s="144">
        <v>0.75</v>
      </c>
      <c r="AG22" s="144">
        <v>0.25</v>
      </c>
      <c r="AH22" s="157">
        <v>4.375</v>
      </c>
      <c r="AI22" s="157">
        <v>136</v>
      </c>
      <c r="AJ22" s="157">
        <v>110</v>
      </c>
      <c r="AK22" s="157">
        <f>('LCFS Table'!$AI22/340)*100</f>
        <v>40</v>
      </c>
      <c r="AL22" s="157">
        <f>('LCFS Table'!$AJ22/340)*100</f>
        <v>32.352941176470587</v>
      </c>
      <c r="AM22" s="157">
        <v>105</v>
      </c>
      <c r="AN22" s="157">
        <v>90</v>
      </c>
      <c r="AO22" s="157">
        <f>('LCFS Table'!$AM22/300)*100</f>
        <v>35</v>
      </c>
      <c r="AP22" s="157">
        <f>('LCFS Table'!$AN22/300)*100</f>
        <v>30</v>
      </c>
      <c r="AQ22" s="140">
        <v>188.5</v>
      </c>
      <c r="AR22" s="136">
        <v>0.32700000000000001</v>
      </c>
      <c r="AS22" s="136">
        <v>1.6584268662182169</v>
      </c>
      <c r="AT22" s="136">
        <v>0.16</v>
      </c>
      <c r="AU22" s="137">
        <v>1</v>
      </c>
      <c r="AV22" s="136">
        <f>'LCFS Table'!$AR22*1.7</f>
        <v>0.55590000000000006</v>
      </c>
      <c r="AW22" s="136">
        <v>0</v>
      </c>
      <c r="AX22" s="136">
        <v>1.1416878623475</v>
      </c>
      <c r="AY22" s="136">
        <v>0</v>
      </c>
      <c r="AZ22" s="141">
        <v>1</v>
      </c>
      <c r="BA22" s="136">
        <f>'LCFS Table'!$AR22*1.5</f>
        <v>0.49050000000000005</v>
      </c>
      <c r="BB22" s="142">
        <v>1.2</v>
      </c>
      <c r="BC22" s="136">
        <f>'LCFS Table'!$AS22*'LCFS Table'!$BW22</f>
        <v>1.6584268662182169</v>
      </c>
      <c r="BD22" s="136">
        <f>'LCFS Table'!$AT22*'LCFS Table'!$BX22</f>
        <v>0</v>
      </c>
      <c r="BE22" s="136">
        <f>'LCFS Table'!$AU22*'LCFS Table'!$BY22</f>
        <v>1</v>
      </c>
      <c r="BF22" s="136">
        <f>'LCFS Table'!$AV22*'LCFS Table'!$BZ22</f>
        <v>0.55590000000000006</v>
      </c>
      <c r="BG22" s="136">
        <f>'LCFS Table'!$AW22*'LCFS Table'!$CA22</f>
        <v>0</v>
      </c>
      <c r="BH22" s="136">
        <f>'LCFS Table'!$AX22*'LCFS Table'!$CB22</f>
        <v>1.1416878623475</v>
      </c>
      <c r="BI22" s="136">
        <f>'LCFS Table'!$AY22*'LCFS Table'!$CC22</f>
        <v>0</v>
      </c>
      <c r="BJ22" s="136">
        <f>'LCFS Table'!$AZ22*'LCFS Table'!$CD22</f>
        <v>1</v>
      </c>
      <c r="BK22" s="136">
        <f>'LCFS Table'!$BA22*'LCFS Table'!$CE22</f>
        <v>0.49050000000000005</v>
      </c>
      <c r="BL22" s="136">
        <f>'LCFS Table'!$BB22*'LCFS Table'!$CF22</f>
        <v>-1.2</v>
      </c>
      <c r="BM22" s="136">
        <f>'LCFS Table'!$AS22*'LCFS Table'!$CG22</f>
        <v>0</v>
      </c>
      <c r="BN22" s="136">
        <f>'LCFS Table'!$AT22*'LCFS Table'!$CH22</f>
        <v>0.16</v>
      </c>
      <c r="BO22" s="136">
        <f>'LCFS Table'!$AU22*'LCFS Table'!$CI22</f>
        <v>0</v>
      </c>
      <c r="BP22" s="136">
        <f>'LCFS Table'!$AV22*'LCFS Table'!$CJ22</f>
        <v>0</v>
      </c>
      <c r="BQ22" s="136">
        <f>'LCFS Table'!$AW22*'LCFS Table'!$CK22</f>
        <v>0</v>
      </c>
      <c r="BR22" s="136">
        <f>'LCFS Table'!$AX22*'LCFS Table'!$CL22</f>
        <v>0</v>
      </c>
      <c r="BS22" s="136">
        <f>'LCFS Table'!$AY22*'LCFS Table'!$CM22</f>
        <v>0</v>
      </c>
      <c r="BT22" s="136">
        <f>'LCFS Table'!$AZ22*'LCFS Table'!$CN22</f>
        <v>0</v>
      </c>
      <c r="BU22" s="136">
        <f>'LCFS Table'!$BA22*'LCFS Table'!$CO22</f>
        <v>0</v>
      </c>
      <c r="BV22" s="142">
        <f>'LCFS Table'!$BB22*'LCFS Table'!$CP22</f>
        <v>1.2</v>
      </c>
      <c r="BW22" s="144">
        <v>1</v>
      </c>
      <c r="BX22" s="144">
        <v>0</v>
      </c>
      <c r="BY22" s="144">
        <v>1</v>
      </c>
      <c r="BZ22" s="144">
        <v>1</v>
      </c>
      <c r="CA22" s="144">
        <v>-1</v>
      </c>
      <c r="CB22" s="144">
        <v>1</v>
      </c>
      <c r="CC22" s="144">
        <v>0</v>
      </c>
      <c r="CD22" s="144">
        <v>1</v>
      </c>
      <c r="CE22" s="144">
        <v>1</v>
      </c>
      <c r="CF22" s="144">
        <v>-1</v>
      </c>
      <c r="CG22" s="144">
        <f>1-'LCFS Table'!$BW22</f>
        <v>0</v>
      </c>
      <c r="CH22" s="144">
        <f>1-'LCFS Table'!$BX22</f>
        <v>1</v>
      </c>
      <c r="CI22" s="144">
        <f>1-'LCFS Table'!$BY22</f>
        <v>0</v>
      </c>
      <c r="CJ22" s="144">
        <f>1-'LCFS Table'!$BZ22</f>
        <v>0</v>
      </c>
      <c r="CK22" s="144">
        <f>-'LCFS Table'!$CA22</f>
        <v>1</v>
      </c>
      <c r="CL22" s="144">
        <f>1-'LCFS Table'!$CB22</f>
        <v>0</v>
      </c>
      <c r="CM22" s="144">
        <f>1-'LCFS Table'!$CC22</f>
        <v>1</v>
      </c>
      <c r="CN22" s="144">
        <f>1-'LCFS Table'!$CD22</f>
        <v>0</v>
      </c>
      <c r="CO22" s="144">
        <f>1-'LCFS Table'!$CE22</f>
        <v>0</v>
      </c>
      <c r="CP22" s="144">
        <f>-'LCFS Table'!$CF22</f>
        <v>1</v>
      </c>
      <c r="CQ22" s="140">
        <v>5.95</v>
      </c>
      <c r="CR22" s="143">
        <f>('LCFS Table'!$CQ22*0.9/(0.8/0.99)/100)</f>
        <v>6.6268124999999997E-2</v>
      </c>
      <c r="CS22" s="144"/>
      <c r="CT22" s="145"/>
      <c r="CX22" s="146">
        <f>MONTH('LCFS Table'!$B22)</f>
        <v>5</v>
      </c>
      <c r="CY22" s="146">
        <f>YEAR('LCFS Table'!$B22)</f>
        <v>2019</v>
      </c>
    </row>
    <row r="23" spans="1:103" s="153" customFormat="1">
      <c r="A23" s="148">
        <f>'LCFS Table'!$B23-5</f>
        <v>43604</v>
      </c>
      <c r="B23" s="160">
        <v>43609</v>
      </c>
      <c r="C23" s="161">
        <f t="shared" si="0"/>
        <v>2019</v>
      </c>
      <c r="D23" s="150" t="s">
        <v>277</v>
      </c>
      <c r="E23" s="134"/>
      <c r="F23" s="134">
        <f>('LCFS Table'!$M23)-'LCFS Table'!$J23</f>
        <v>-2.5573178040700002</v>
      </c>
      <c r="G23" s="135"/>
      <c r="H23" s="135">
        <f>'LCFS Table'!$F23+'LCFS Table'!$AX23+'LCFS Table'!$AY23+'LCFS Table'!$AZ23+'LCFS Table'!$BA23+('LCFS Table'!$CQ23*0.9/(0.8/0.99)/100)+(DG23*'LCFS Table'!$AF23)+(DF23*'LCFS Table'!$AG23)</f>
        <v>0.18137050781250005</v>
      </c>
      <c r="I23" s="134">
        <f>('LCFS Table'!$V23+'LCFS Table'!$W23+'LCFS Table'!$X23)/100+(('LCFS Table'!$AI23+'LCFS Table'!$AJ23)/340)</f>
        <v>2.8368538798498126</v>
      </c>
      <c r="J23" s="134">
        <f>(('LCFS Table'!$Y23+'LCFS Table'!$Z23)/100)+(('LCFS Table'!$AM23+'LCFS Table'!$AN23)/300)</f>
        <v>3.1548857421874996</v>
      </c>
      <c r="K23" s="136" t="s">
        <v>257</v>
      </c>
      <c r="L23" s="136">
        <v>327.5</v>
      </c>
      <c r="M23" s="137">
        <f>('LCFS Table'!$L23/100)-'LCFS Table'!$AX23-'LCFS Table'!$AY23-'LCFS Table'!$AZ23-'LCFS Table'!$BA23</f>
        <v>0.59756793811749942</v>
      </c>
      <c r="N23" s="136">
        <v>29.25</v>
      </c>
      <c r="O23" s="136">
        <v>25.75</v>
      </c>
      <c r="P23" s="136">
        <v>25.25</v>
      </c>
      <c r="Q23" s="136">
        <v>31.247499999999999</v>
      </c>
      <c r="R23" s="136">
        <v>24</v>
      </c>
      <c r="S23" s="137">
        <f>'LCFS Table'!$N23 + 'LCFS Table'!$AH23</f>
        <v>33.625</v>
      </c>
      <c r="T23" s="137">
        <f>'LCFS Table'!$Q23+'LCFS Table'!$AH23</f>
        <v>35.622500000000002</v>
      </c>
      <c r="U23" s="137">
        <f>'LCFS Table'!$P23+'LCFS Table'!$AH23</f>
        <v>29.625</v>
      </c>
      <c r="V23" s="137">
        <f>(('LCFS Table'!$S23/'LCFS Table'!$AA23)*'LCFS Table'!$AC23)*6.48</f>
        <v>115.89893617021278</v>
      </c>
      <c r="W23" s="137">
        <f>(('LCFS Table'!$O23/'LCFS Table'!$AA23)*'LCFS Table'!$AD23)*6.48</f>
        <v>44.37765957446809</v>
      </c>
      <c r="X23" s="137">
        <f>(('LCFS Table'!$U23/'LCFS Table'!$AA23)*'LCFS Table'!$AE23)*6.48</f>
        <v>51.055851063829799</v>
      </c>
      <c r="Y23" s="137">
        <f>(('LCFS Table'!$T23/'LCFS Table'!$AB23)*'LCFS Table'!$AF23)*7.35</f>
        <v>204.55107421874999</v>
      </c>
      <c r="Z23" s="137">
        <f>(('LCFS Table'!$R23/'LCFS Table'!$AB23)*'LCFS Table'!$AG23)*7.35</f>
        <v>45.9375</v>
      </c>
      <c r="AA23" s="138">
        <v>0.94</v>
      </c>
      <c r="AB23" s="138">
        <v>0.96</v>
      </c>
      <c r="AC23" s="138">
        <v>0.5</v>
      </c>
      <c r="AD23" s="138">
        <v>0.25</v>
      </c>
      <c r="AE23" s="138">
        <v>0.25</v>
      </c>
      <c r="AF23" s="138">
        <v>0.75</v>
      </c>
      <c r="AG23" s="138">
        <v>0.25</v>
      </c>
      <c r="AH23" s="139">
        <v>4.375</v>
      </c>
      <c r="AI23" s="139">
        <v>136</v>
      </c>
      <c r="AJ23" s="139">
        <v>110</v>
      </c>
      <c r="AK23" s="139">
        <f>('LCFS Table'!$AI23/340)*100</f>
        <v>40</v>
      </c>
      <c r="AL23" s="139">
        <f>('LCFS Table'!$AJ23/340)*100</f>
        <v>32.352941176470587</v>
      </c>
      <c r="AM23" s="139">
        <v>105</v>
      </c>
      <c r="AN23" s="139">
        <v>90</v>
      </c>
      <c r="AO23" s="139">
        <f>('LCFS Table'!$AM23/300)*100</f>
        <v>35</v>
      </c>
      <c r="AP23" s="139">
        <f>('LCFS Table'!$AN23/300)*100</f>
        <v>30</v>
      </c>
      <c r="AQ23" s="140">
        <v>189.5</v>
      </c>
      <c r="AR23" s="136">
        <v>0.35312500000000002</v>
      </c>
      <c r="AS23" s="137">
        <v>1.6672248867286583</v>
      </c>
      <c r="AT23" s="137">
        <v>0.16</v>
      </c>
      <c r="AU23" s="137">
        <v>1</v>
      </c>
      <c r="AV23" s="137">
        <f>'LCFS Table'!$AR23*1.7</f>
        <v>0.60031250000000003</v>
      </c>
      <c r="AW23" s="137">
        <v>0</v>
      </c>
      <c r="AX23" s="137">
        <v>1.1477445618825002</v>
      </c>
      <c r="AY23" s="137">
        <v>0</v>
      </c>
      <c r="AZ23" s="141">
        <v>1</v>
      </c>
      <c r="BA23" s="137">
        <f>'LCFS Table'!$AR23*1.5</f>
        <v>0.52968750000000009</v>
      </c>
      <c r="BB23" s="142">
        <v>1.2</v>
      </c>
      <c r="BC23" s="137">
        <f>'LCFS Table'!$AS23*'LCFS Table'!$BW23</f>
        <v>1.6672248867286583</v>
      </c>
      <c r="BD23" s="137">
        <f>'LCFS Table'!$AT23*'LCFS Table'!$BX23</f>
        <v>0</v>
      </c>
      <c r="BE23" s="137">
        <f>'LCFS Table'!$AU23*'LCFS Table'!$BY23</f>
        <v>1</v>
      </c>
      <c r="BF23" s="137">
        <f>'LCFS Table'!$AV23*'LCFS Table'!$BZ23</f>
        <v>0.60031250000000003</v>
      </c>
      <c r="BG23" s="137">
        <f>'LCFS Table'!$AW23*'LCFS Table'!$CA23</f>
        <v>0</v>
      </c>
      <c r="BH23" s="137">
        <f>'LCFS Table'!$AX23*'LCFS Table'!$CB23</f>
        <v>1.1477445618825002</v>
      </c>
      <c r="BI23" s="137">
        <f>'LCFS Table'!$AY23*'LCFS Table'!$CC23</f>
        <v>0</v>
      </c>
      <c r="BJ23" s="137">
        <f>'LCFS Table'!$AZ23*'LCFS Table'!$CD23</f>
        <v>1</v>
      </c>
      <c r="BK23" s="137">
        <f>'LCFS Table'!$BA23*'LCFS Table'!$CE23</f>
        <v>0.52968750000000009</v>
      </c>
      <c r="BL23" s="137">
        <f>'LCFS Table'!$BB23*'LCFS Table'!$CF23</f>
        <v>-1.2</v>
      </c>
      <c r="BM23" s="137">
        <f>'LCFS Table'!$AS23*'LCFS Table'!$CG23</f>
        <v>0</v>
      </c>
      <c r="BN23" s="137">
        <f>'LCFS Table'!$AT23*'LCFS Table'!$CH23</f>
        <v>0.16</v>
      </c>
      <c r="BO23" s="137">
        <f>'LCFS Table'!$AU23*'LCFS Table'!$CI23</f>
        <v>0</v>
      </c>
      <c r="BP23" s="137">
        <f>'LCFS Table'!$AV23*'LCFS Table'!$CJ23</f>
        <v>0</v>
      </c>
      <c r="BQ23" s="137">
        <f>'LCFS Table'!$AW23*'LCFS Table'!$CK23</f>
        <v>0</v>
      </c>
      <c r="BR23" s="137">
        <f>'LCFS Table'!$AX23*'LCFS Table'!$CL23</f>
        <v>0</v>
      </c>
      <c r="BS23" s="137">
        <f>'LCFS Table'!$AY23*'LCFS Table'!$CM23</f>
        <v>0</v>
      </c>
      <c r="BT23" s="137">
        <f>'LCFS Table'!$AZ23*'LCFS Table'!$CN23</f>
        <v>0</v>
      </c>
      <c r="BU23" s="137">
        <f>'LCFS Table'!$BA23*'LCFS Table'!$CO23</f>
        <v>0</v>
      </c>
      <c r="BV23" s="142">
        <f>'LCFS Table'!$BB23*'LCFS Table'!$CP23</f>
        <v>1.2</v>
      </c>
      <c r="BW23" s="138">
        <v>1</v>
      </c>
      <c r="BX23" s="138">
        <v>0</v>
      </c>
      <c r="BY23" s="138">
        <v>1</v>
      </c>
      <c r="BZ23" s="138">
        <v>1</v>
      </c>
      <c r="CA23" s="138">
        <v>-1</v>
      </c>
      <c r="CB23" s="138">
        <v>1</v>
      </c>
      <c r="CC23" s="138">
        <v>0</v>
      </c>
      <c r="CD23" s="138">
        <v>1</v>
      </c>
      <c r="CE23" s="138">
        <v>1</v>
      </c>
      <c r="CF23" s="138">
        <v>-1</v>
      </c>
      <c r="CG23" s="138">
        <f>1-'LCFS Table'!$BW23</f>
        <v>0</v>
      </c>
      <c r="CH23" s="138">
        <f>1-'LCFS Table'!$BX23</f>
        <v>1</v>
      </c>
      <c r="CI23" s="138">
        <f>1-'LCFS Table'!$BY23</f>
        <v>0</v>
      </c>
      <c r="CJ23" s="138">
        <f>1-'LCFS Table'!$BZ23</f>
        <v>0</v>
      </c>
      <c r="CK23" s="138">
        <f>-'LCFS Table'!$CA23</f>
        <v>1</v>
      </c>
      <c r="CL23" s="138">
        <f>1-'LCFS Table'!$CB23</f>
        <v>0</v>
      </c>
      <c r="CM23" s="138">
        <f>1-'LCFS Table'!$CC23</f>
        <v>1</v>
      </c>
      <c r="CN23" s="138">
        <f>1-'LCFS Table'!$CD23</f>
        <v>0</v>
      </c>
      <c r="CO23" s="138">
        <f>1-'LCFS Table'!$CE23</f>
        <v>0</v>
      </c>
      <c r="CP23" s="138">
        <f>-'LCFS Table'!$CF23</f>
        <v>1</v>
      </c>
      <c r="CQ23" s="140">
        <v>5.5</v>
      </c>
      <c r="CR23" s="151">
        <f>('LCFS Table'!$CQ23*0.9/(0.8/0.99)/100)</f>
        <v>6.1256249999999991E-2</v>
      </c>
      <c r="CS23" s="138"/>
      <c r="CT23" s="152"/>
      <c r="CX23" s="153">
        <f>MONTH('LCFS Table'!$B23)</f>
        <v>5</v>
      </c>
      <c r="CY23" s="153">
        <f>YEAR('LCFS Table'!$B23)</f>
        <v>2019</v>
      </c>
    </row>
    <row r="24" spans="1:103" s="146" customFormat="1">
      <c r="A24" s="147">
        <f>'LCFS Table'!$B24-5</f>
        <v>43611</v>
      </c>
      <c r="B24" s="158">
        <v>43616</v>
      </c>
      <c r="C24" s="159">
        <f t="shared" si="0"/>
        <v>2019</v>
      </c>
      <c r="D24" s="133" t="s">
        <v>278</v>
      </c>
      <c r="E24" s="155"/>
      <c r="F24" s="155">
        <f>('LCFS Table'!$M24)-'LCFS Table'!$J24</f>
        <v>-2.6372739058854995</v>
      </c>
      <c r="G24" s="156"/>
      <c r="H24" s="156">
        <f>'LCFS Table'!$F24+'LCFS Table'!$AX24+'LCFS Table'!$AY24+'LCFS Table'!$AZ24+'LCFS Table'!$BA24+('LCFS Table'!$CQ24*0.9/(0.8/0.99)/100)+(DG24*'LCFS Table'!$AF24)+(DF24*'LCFS Table'!$AG24)</f>
        <v>0.16569726562500051</v>
      </c>
      <c r="I24" s="155">
        <f>('LCFS Table'!$V24+'LCFS Table'!$W24+'LCFS Table'!$X24)/100+(('LCFS Table'!$AI24+'LCFS Table'!$AJ24)/340)</f>
        <v>2.8368538798498126</v>
      </c>
      <c r="J24" s="155">
        <f>(('LCFS Table'!$Y24+'LCFS Table'!$Z24)/100)+(('LCFS Table'!$AM24+'LCFS Table'!$AN24)/300)</f>
        <v>3.1405589843749997</v>
      </c>
      <c r="K24" s="136" t="s">
        <v>257</v>
      </c>
      <c r="L24" s="136">
        <v>324.5</v>
      </c>
      <c r="M24" s="136">
        <f>('LCFS Table'!$L24/100)-'LCFS Table'!$AX24-'LCFS Table'!$AY24-'LCFS Table'!$AZ24-'LCFS Table'!$BA24</f>
        <v>0.50328507848950033</v>
      </c>
      <c r="N24" s="136">
        <v>29.25</v>
      </c>
      <c r="O24" s="136">
        <v>25.75</v>
      </c>
      <c r="P24" s="136">
        <v>25.25</v>
      </c>
      <c r="Q24" s="136">
        <v>30.998000000000001</v>
      </c>
      <c r="R24" s="136">
        <v>24</v>
      </c>
      <c r="S24" s="136">
        <f>'LCFS Table'!$N24 + 'LCFS Table'!$AH24</f>
        <v>33.625</v>
      </c>
      <c r="T24" s="136">
        <f>'LCFS Table'!$Q24+'LCFS Table'!$AH24</f>
        <v>35.373000000000005</v>
      </c>
      <c r="U24" s="136">
        <f>'LCFS Table'!$P24+'LCFS Table'!$AH24</f>
        <v>29.625</v>
      </c>
      <c r="V24" s="136">
        <f>(('LCFS Table'!$S24/'LCFS Table'!$AA24)*'LCFS Table'!$AC24)*6.48</f>
        <v>115.89893617021278</v>
      </c>
      <c r="W24" s="136">
        <f>(('LCFS Table'!$O24/'LCFS Table'!$AA24)*'LCFS Table'!$AD24)*6.48</f>
        <v>44.37765957446809</v>
      </c>
      <c r="X24" s="136">
        <f>(('LCFS Table'!$U24/'LCFS Table'!$AA24)*'LCFS Table'!$AE24)*6.48</f>
        <v>51.055851063829799</v>
      </c>
      <c r="Y24" s="136">
        <f>(('LCFS Table'!$T24/'LCFS Table'!$AB24)*'LCFS Table'!$AF24)*7.35</f>
        <v>203.11839843749999</v>
      </c>
      <c r="Z24" s="136">
        <f>(('LCFS Table'!$R24/'LCFS Table'!$AB24)*'LCFS Table'!$AG24)*7.35</f>
        <v>45.9375</v>
      </c>
      <c r="AA24" s="144">
        <v>0.94</v>
      </c>
      <c r="AB24" s="144">
        <v>0.96</v>
      </c>
      <c r="AC24" s="144">
        <v>0.5</v>
      </c>
      <c r="AD24" s="144">
        <v>0.25</v>
      </c>
      <c r="AE24" s="144">
        <v>0.25</v>
      </c>
      <c r="AF24" s="144">
        <v>0.75</v>
      </c>
      <c r="AG24" s="144">
        <v>0.25</v>
      </c>
      <c r="AH24" s="157">
        <v>4.375</v>
      </c>
      <c r="AI24" s="157">
        <v>136</v>
      </c>
      <c r="AJ24" s="157">
        <v>110</v>
      </c>
      <c r="AK24" s="157">
        <f>('LCFS Table'!$AI24/340)*100</f>
        <v>40</v>
      </c>
      <c r="AL24" s="157">
        <f>('LCFS Table'!$AJ24/340)*100</f>
        <v>32.352941176470587</v>
      </c>
      <c r="AM24" s="157">
        <v>105</v>
      </c>
      <c r="AN24" s="157">
        <v>90</v>
      </c>
      <c r="AO24" s="157">
        <f>('LCFS Table'!$AM24/300)*100</f>
        <v>35</v>
      </c>
      <c r="AP24" s="157">
        <f>('LCFS Table'!$AN24/300)*100</f>
        <v>30</v>
      </c>
      <c r="AQ24" s="140">
        <v>190.3</v>
      </c>
      <c r="AR24" s="136">
        <v>0.39274999999999999</v>
      </c>
      <c r="AS24" s="136">
        <v>1.6742633031370115</v>
      </c>
      <c r="AT24" s="136">
        <v>0.16</v>
      </c>
      <c r="AU24" s="137">
        <v>1</v>
      </c>
      <c r="AV24" s="136">
        <f>'LCFS Table'!$AR24*1.7</f>
        <v>0.66767499999999991</v>
      </c>
      <c r="AW24" s="136">
        <v>0</v>
      </c>
      <c r="AX24" s="136">
        <v>1.1525899215105</v>
      </c>
      <c r="AY24" s="136">
        <v>0</v>
      </c>
      <c r="AZ24" s="141">
        <v>1</v>
      </c>
      <c r="BA24" s="136">
        <f>'LCFS Table'!$AR24*1.5</f>
        <v>0.58912500000000001</v>
      </c>
      <c r="BB24" s="142">
        <v>1.2</v>
      </c>
      <c r="BC24" s="136">
        <f>'LCFS Table'!$AS24*'LCFS Table'!$BW24</f>
        <v>1.6742633031370115</v>
      </c>
      <c r="BD24" s="136">
        <f>'LCFS Table'!$AT24*'LCFS Table'!$BX24</f>
        <v>0</v>
      </c>
      <c r="BE24" s="136">
        <f>'LCFS Table'!$AU24*'LCFS Table'!$BY24</f>
        <v>1</v>
      </c>
      <c r="BF24" s="136">
        <f>'LCFS Table'!$AV24*'LCFS Table'!$BZ24</f>
        <v>0.66767499999999991</v>
      </c>
      <c r="BG24" s="136">
        <f>'LCFS Table'!$AW24*'LCFS Table'!$CA24</f>
        <v>0</v>
      </c>
      <c r="BH24" s="136">
        <f>'LCFS Table'!$AX24*'LCFS Table'!$CB24</f>
        <v>1.1525899215105</v>
      </c>
      <c r="BI24" s="136">
        <f>'LCFS Table'!$AY24*'LCFS Table'!$CC24</f>
        <v>0</v>
      </c>
      <c r="BJ24" s="136">
        <f>'LCFS Table'!$AZ24*'LCFS Table'!$CD24</f>
        <v>1</v>
      </c>
      <c r="BK24" s="136">
        <f>'LCFS Table'!$BA24*'LCFS Table'!$CE24</f>
        <v>0.58912500000000001</v>
      </c>
      <c r="BL24" s="136">
        <f>'LCFS Table'!$BB24*'LCFS Table'!$CF24</f>
        <v>-1.2</v>
      </c>
      <c r="BM24" s="136">
        <f>'LCFS Table'!$AS24*'LCFS Table'!$CG24</f>
        <v>0</v>
      </c>
      <c r="BN24" s="136">
        <f>'LCFS Table'!$AT24*'LCFS Table'!$CH24</f>
        <v>0.16</v>
      </c>
      <c r="BO24" s="136">
        <f>'LCFS Table'!$AU24*'LCFS Table'!$CI24</f>
        <v>0</v>
      </c>
      <c r="BP24" s="136">
        <f>'LCFS Table'!$AV24*'LCFS Table'!$CJ24</f>
        <v>0</v>
      </c>
      <c r="BQ24" s="136">
        <f>'LCFS Table'!$AW24*'LCFS Table'!$CK24</f>
        <v>0</v>
      </c>
      <c r="BR24" s="136">
        <f>'LCFS Table'!$AX24*'LCFS Table'!$CL24</f>
        <v>0</v>
      </c>
      <c r="BS24" s="136">
        <f>'LCFS Table'!$AY24*'LCFS Table'!$CM24</f>
        <v>0</v>
      </c>
      <c r="BT24" s="136">
        <f>'LCFS Table'!$AZ24*'LCFS Table'!$CN24</f>
        <v>0</v>
      </c>
      <c r="BU24" s="136">
        <f>'LCFS Table'!$BA24*'LCFS Table'!$CO24</f>
        <v>0</v>
      </c>
      <c r="BV24" s="142">
        <f>'LCFS Table'!$BB24*'LCFS Table'!$CP24</f>
        <v>1.2</v>
      </c>
      <c r="BW24" s="144">
        <v>1</v>
      </c>
      <c r="BX24" s="144">
        <v>0</v>
      </c>
      <c r="BY24" s="144">
        <v>1</v>
      </c>
      <c r="BZ24" s="144">
        <v>1</v>
      </c>
      <c r="CA24" s="144">
        <v>-1</v>
      </c>
      <c r="CB24" s="144">
        <v>1</v>
      </c>
      <c r="CC24" s="144">
        <v>0</v>
      </c>
      <c r="CD24" s="144">
        <v>1</v>
      </c>
      <c r="CE24" s="144">
        <v>1</v>
      </c>
      <c r="CF24" s="144">
        <v>-1</v>
      </c>
      <c r="CG24" s="144">
        <f>1-'LCFS Table'!$BW24</f>
        <v>0</v>
      </c>
      <c r="CH24" s="144">
        <f>1-'LCFS Table'!$BX24</f>
        <v>1</v>
      </c>
      <c r="CI24" s="144">
        <f>1-'LCFS Table'!$BY24</f>
        <v>0</v>
      </c>
      <c r="CJ24" s="144">
        <f>1-'LCFS Table'!$BZ24</f>
        <v>0</v>
      </c>
      <c r="CK24" s="144">
        <f>-'LCFS Table'!$CA24</f>
        <v>1</v>
      </c>
      <c r="CL24" s="144">
        <f>1-'LCFS Table'!$CB24</f>
        <v>0</v>
      </c>
      <c r="CM24" s="144">
        <f>1-'LCFS Table'!$CC24</f>
        <v>1</v>
      </c>
      <c r="CN24" s="144">
        <f>1-'LCFS Table'!$CD24</f>
        <v>0</v>
      </c>
      <c r="CO24" s="144">
        <f>1-'LCFS Table'!$CE24</f>
        <v>0</v>
      </c>
      <c r="CP24" s="144">
        <f>-'LCFS Table'!$CF24</f>
        <v>1</v>
      </c>
      <c r="CQ24" s="140">
        <v>5.5</v>
      </c>
      <c r="CR24" s="143">
        <f>('LCFS Table'!$CQ24*0.9/(0.8/0.99)/100)</f>
        <v>6.1256249999999991E-2</v>
      </c>
      <c r="CS24" s="144"/>
      <c r="CT24" s="145"/>
      <c r="CX24" s="146">
        <f>MONTH('LCFS Table'!$B24)</f>
        <v>5</v>
      </c>
      <c r="CY24" s="146">
        <f>YEAR('LCFS Table'!$B24)</f>
        <v>2019</v>
      </c>
    </row>
    <row r="25" spans="1:103" s="153" customFormat="1">
      <c r="A25" s="148">
        <f>'LCFS Table'!$B25-5</f>
        <v>43618</v>
      </c>
      <c r="B25" s="149">
        <v>43623</v>
      </c>
      <c r="C25" s="132">
        <f t="shared" si="0"/>
        <v>2019</v>
      </c>
      <c r="D25" s="150" t="s">
        <v>279</v>
      </c>
      <c r="E25" s="134"/>
      <c r="F25" s="134">
        <f>('LCFS Table'!$M25)-'LCFS Table'!$J25</f>
        <v>-2.7012952479669998</v>
      </c>
      <c r="G25" s="135"/>
      <c r="H25" s="135">
        <f>'LCFS Table'!$F25+'LCFS Table'!$AX25+'LCFS Table'!$AY25+'LCFS Table'!$AZ25+'LCFS Table'!$BA25+('LCFS Table'!$CQ25*0.9/(0.8/0.99)/100)+(DG25*'LCFS Table'!$AF25)+(DF25*'LCFS Table'!$AG25)</f>
        <v>0.16225195312500026</v>
      </c>
      <c r="I25" s="134">
        <f>('LCFS Table'!$V25+'LCFS Table'!$W25+'LCFS Table'!$X25)/100+(('LCFS Table'!$AI25+'LCFS Table'!$AJ25)/340)</f>
        <v>2.8368538798498126</v>
      </c>
      <c r="J25" s="134">
        <f>(('LCFS Table'!$Y25+'LCFS Table'!$Z25)/100)+(('LCFS Table'!$AM25+'LCFS Table'!$AN25)/300)</f>
        <v>3.1440042968749999</v>
      </c>
      <c r="K25" s="136" t="s">
        <v>257</v>
      </c>
      <c r="L25" s="136">
        <v>324.5</v>
      </c>
      <c r="M25" s="137">
        <f>('LCFS Table'!$L25/100)-'LCFS Table'!$AX25-'LCFS Table'!$AY25-'LCFS Table'!$AZ25-'LCFS Table'!$BA25</f>
        <v>0.442709048908</v>
      </c>
      <c r="N25" s="136">
        <v>29.25</v>
      </c>
      <c r="O25" s="136">
        <v>25.75</v>
      </c>
      <c r="P25" s="136">
        <v>25.25</v>
      </c>
      <c r="Q25" s="136">
        <v>31.058</v>
      </c>
      <c r="R25" s="136">
        <v>24</v>
      </c>
      <c r="S25" s="137">
        <f>'LCFS Table'!$N25 + 'LCFS Table'!$AH25</f>
        <v>33.625</v>
      </c>
      <c r="T25" s="137">
        <f>'LCFS Table'!$Q25+'LCFS Table'!$AH25</f>
        <v>35.433</v>
      </c>
      <c r="U25" s="137">
        <f>'LCFS Table'!$P25+'LCFS Table'!$AH25</f>
        <v>29.625</v>
      </c>
      <c r="V25" s="137">
        <f>(('LCFS Table'!$S25/'LCFS Table'!$AA25)*'LCFS Table'!$AC25)*6.48</f>
        <v>115.89893617021278</v>
      </c>
      <c r="W25" s="137">
        <f>(('LCFS Table'!$O25/'LCFS Table'!$AA25)*'LCFS Table'!$AD25)*6.48</f>
        <v>44.37765957446809</v>
      </c>
      <c r="X25" s="137">
        <f>(('LCFS Table'!$U25/'LCFS Table'!$AA25)*'LCFS Table'!$AE25)*6.48</f>
        <v>51.055851063829799</v>
      </c>
      <c r="Y25" s="137">
        <f>(('LCFS Table'!$T25/'LCFS Table'!$AB25)*'LCFS Table'!$AF25)*7.35</f>
        <v>203.46292968750001</v>
      </c>
      <c r="Z25" s="137">
        <f>(('LCFS Table'!$R25/'LCFS Table'!$AB25)*'LCFS Table'!$AG25)*7.35</f>
        <v>45.9375</v>
      </c>
      <c r="AA25" s="138">
        <v>0.94</v>
      </c>
      <c r="AB25" s="138">
        <v>0.96</v>
      </c>
      <c r="AC25" s="138">
        <v>0.5</v>
      </c>
      <c r="AD25" s="138">
        <v>0.25</v>
      </c>
      <c r="AE25" s="138">
        <v>0.25</v>
      </c>
      <c r="AF25" s="138">
        <v>0.75</v>
      </c>
      <c r="AG25" s="138">
        <v>0.25</v>
      </c>
      <c r="AH25" s="139">
        <v>4.375</v>
      </c>
      <c r="AI25" s="139">
        <v>136</v>
      </c>
      <c r="AJ25" s="139">
        <v>110</v>
      </c>
      <c r="AK25" s="139">
        <f>('LCFS Table'!$AI25/340)*100</f>
        <v>40</v>
      </c>
      <c r="AL25" s="139">
        <f>('LCFS Table'!$AJ25/340)*100</f>
        <v>32.352941176470587</v>
      </c>
      <c r="AM25" s="139">
        <v>105</v>
      </c>
      <c r="AN25" s="139">
        <v>90</v>
      </c>
      <c r="AO25" s="139">
        <f>('LCFS Table'!$AM25/300)*100</f>
        <v>35</v>
      </c>
      <c r="AP25" s="139">
        <f>('LCFS Table'!$AN25/300)*100</f>
        <v>30</v>
      </c>
      <c r="AQ25" s="140">
        <v>191.2</v>
      </c>
      <c r="AR25" s="136">
        <v>0.42950000000000005</v>
      </c>
      <c r="AS25" s="137">
        <v>1.6821815215964087</v>
      </c>
      <c r="AT25" s="137">
        <v>0.16</v>
      </c>
      <c r="AU25" s="137">
        <v>1</v>
      </c>
      <c r="AV25" s="137">
        <f>'LCFS Table'!$AR25*1.7</f>
        <v>0.73015000000000008</v>
      </c>
      <c r="AW25" s="137">
        <v>0</v>
      </c>
      <c r="AX25" s="137">
        <v>1.158040951092</v>
      </c>
      <c r="AY25" s="137">
        <v>0</v>
      </c>
      <c r="AZ25" s="141">
        <v>1</v>
      </c>
      <c r="BA25" s="137">
        <f>'LCFS Table'!$AR25*1.5</f>
        <v>0.6442500000000001</v>
      </c>
      <c r="BB25" s="142">
        <v>1.2</v>
      </c>
      <c r="BC25" s="137">
        <f>'LCFS Table'!$AS25*'LCFS Table'!$BW25</f>
        <v>1.6821815215964087</v>
      </c>
      <c r="BD25" s="137">
        <f>'LCFS Table'!$AT25*'LCFS Table'!$BX25</f>
        <v>0</v>
      </c>
      <c r="BE25" s="137">
        <f>'LCFS Table'!$AU25*'LCFS Table'!$BY25</f>
        <v>1</v>
      </c>
      <c r="BF25" s="137">
        <f>'LCFS Table'!$AV25*'LCFS Table'!$BZ25</f>
        <v>0.73015000000000008</v>
      </c>
      <c r="BG25" s="137">
        <f>'LCFS Table'!$AW25*'LCFS Table'!$CA25</f>
        <v>0</v>
      </c>
      <c r="BH25" s="137">
        <f>'LCFS Table'!$AX25*'LCFS Table'!$CB25</f>
        <v>1.158040951092</v>
      </c>
      <c r="BI25" s="137">
        <f>'LCFS Table'!$AY25*'LCFS Table'!$CC25</f>
        <v>0</v>
      </c>
      <c r="BJ25" s="137">
        <f>'LCFS Table'!$AZ25*'LCFS Table'!$CD25</f>
        <v>1</v>
      </c>
      <c r="BK25" s="137">
        <f>'LCFS Table'!$BA25*'LCFS Table'!$CE25</f>
        <v>0.6442500000000001</v>
      </c>
      <c r="BL25" s="137">
        <f>'LCFS Table'!$BB25*'LCFS Table'!$CF25</f>
        <v>-1.2</v>
      </c>
      <c r="BM25" s="137">
        <f>'LCFS Table'!$AS25*'LCFS Table'!$CG25</f>
        <v>0</v>
      </c>
      <c r="BN25" s="137">
        <f>'LCFS Table'!$AT25*'LCFS Table'!$CH25</f>
        <v>0.16</v>
      </c>
      <c r="BO25" s="137">
        <f>'LCFS Table'!$AU25*'LCFS Table'!$CI25</f>
        <v>0</v>
      </c>
      <c r="BP25" s="137">
        <f>'LCFS Table'!$AV25*'LCFS Table'!$CJ25</f>
        <v>0</v>
      </c>
      <c r="BQ25" s="137">
        <f>'LCFS Table'!$AW25*'LCFS Table'!$CK25</f>
        <v>0</v>
      </c>
      <c r="BR25" s="137">
        <f>'LCFS Table'!$AX25*'LCFS Table'!$CL25</f>
        <v>0</v>
      </c>
      <c r="BS25" s="137">
        <f>'LCFS Table'!$AY25*'LCFS Table'!$CM25</f>
        <v>0</v>
      </c>
      <c r="BT25" s="137">
        <f>'LCFS Table'!$AZ25*'LCFS Table'!$CN25</f>
        <v>0</v>
      </c>
      <c r="BU25" s="137">
        <f>'LCFS Table'!$BA25*'LCFS Table'!$CO25</f>
        <v>0</v>
      </c>
      <c r="BV25" s="142">
        <f>'LCFS Table'!$BB25*'LCFS Table'!$CP25</f>
        <v>1.2</v>
      </c>
      <c r="BW25" s="138">
        <v>1</v>
      </c>
      <c r="BX25" s="138">
        <v>0</v>
      </c>
      <c r="BY25" s="138">
        <v>1</v>
      </c>
      <c r="BZ25" s="138">
        <v>1</v>
      </c>
      <c r="CA25" s="138">
        <v>-1</v>
      </c>
      <c r="CB25" s="138">
        <v>1</v>
      </c>
      <c r="CC25" s="138">
        <v>0</v>
      </c>
      <c r="CD25" s="138">
        <v>1</v>
      </c>
      <c r="CE25" s="138">
        <v>1</v>
      </c>
      <c r="CF25" s="138">
        <v>-1</v>
      </c>
      <c r="CG25" s="138">
        <f>1-'LCFS Table'!$BW25</f>
        <v>0</v>
      </c>
      <c r="CH25" s="138">
        <f>1-'LCFS Table'!$BX25</f>
        <v>1</v>
      </c>
      <c r="CI25" s="138">
        <f>1-'LCFS Table'!$BY25</f>
        <v>0</v>
      </c>
      <c r="CJ25" s="138">
        <f>1-'LCFS Table'!$BZ25</f>
        <v>0</v>
      </c>
      <c r="CK25" s="138">
        <f>-'LCFS Table'!$CA25</f>
        <v>1</v>
      </c>
      <c r="CL25" s="138">
        <f>1-'LCFS Table'!$CB25</f>
        <v>0</v>
      </c>
      <c r="CM25" s="138">
        <f>1-'LCFS Table'!$CC25</f>
        <v>1</v>
      </c>
      <c r="CN25" s="138">
        <f>1-'LCFS Table'!$CD25</f>
        <v>0</v>
      </c>
      <c r="CO25" s="138">
        <f>1-'LCFS Table'!$CE25</f>
        <v>0</v>
      </c>
      <c r="CP25" s="138">
        <f>-'LCFS Table'!$CF25</f>
        <v>1</v>
      </c>
      <c r="CQ25" s="140">
        <v>5.5</v>
      </c>
      <c r="CR25" s="151">
        <f>('LCFS Table'!$CQ25*0.9/(0.8/0.99)/100)</f>
        <v>6.1256249999999991E-2</v>
      </c>
      <c r="CS25" s="138"/>
      <c r="CT25" s="152"/>
      <c r="CX25" s="153">
        <f>MONTH('LCFS Table'!$B25)</f>
        <v>6</v>
      </c>
      <c r="CY25" s="153">
        <f>YEAR('LCFS Table'!$B25)</f>
        <v>2019</v>
      </c>
    </row>
    <row r="26" spans="1:103" s="146" customFormat="1">
      <c r="A26" s="147">
        <f>'LCFS Table'!$B26-5</f>
        <v>43625</v>
      </c>
      <c r="B26" s="131">
        <v>43630</v>
      </c>
      <c r="C26" s="154">
        <f t="shared" si="0"/>
        <v>2019</v>
      </c>
      <c r="D26" s="133" t="s">
        <v>280</v>
      </c>
      <c r="E26" s="155">
        <f>'LCFS Table'!$K26-'LCFS Table'!$I26</f>
        <v>-0.93020068836045056</v>
      </c>
      <c r="F26" s="155">
        <f>('LCFS Table'!$M26)-'LCFS Table'!$J26</f>
        <v>-2.7662550725020001</v>
      </c>
      <c r="G26" s="156">
        <f>'LCFS Table'!$E26+'LCFS Table'!$AS26+'LCFS Table'!$AT26+'LCFS Table'!$AU26+'LCFS Table'!$AV26</f>
        <v>2.7163788537463995</v>
      </c>
      <c r="H26" s="156">
        <f>'LCFS Table'!$F26+'LCFS Table'!$AX26+'LCFS Table'!$AY26+'LCFS Table'!$AZ26+'LCFS Table'!$BA26+('LCFS Table'!$CQ26*0.9/(0.8/0.99)/100)+(DG26*'LCFS Table'!$AF26)+(DF26*'LCFS Table'!$AG26)</f>
        <v>0.16109882812499984</v>
      </c>
      <c r="I26" s="155">
        <f>('LCFS Table'!$V26+'LCFS Table'!$W26+'LCFS Table'!$X26)/100+(('LCFS Table'!$AI26+'LCFS Table'!$AJ26)/340)</f>
        <v>2.8403006883604505</v>
      </c>
      <c r="J26" s="155">
        <f>(('LCFS Table'!$Y26+'LCFS Table'!$Z26)/100)+(('LCFS Table'!$AM26+'LCFS Table'!$AN26)/300)</f>
        <v>3.1931574218750001</v>
      </c>
      <c r="K26" s="136">
        <f>'[1]Fuel Values'!$C26</f>
        <v>1.9100999999999999</v>
      </c>
      <c r="L26" s="136">
        <v>329.3</v>
      </c>
      <c r="M26" s="136">
        <f>('LCFS Table'!$L26/100)-'LCFS Table'!$AX26-'LCFS Table'!$AY26-'LCFS Table'!$AZ26-'LCFS Table'!$BA26</f>
        <v>0.42690234937299998</v>
      </c>
      <c r="N26" s="136">
        <v>29.25</v>
      </c>
      <c r="O26" s="136">
        <v>25.75</v>
      </c>
      <c r="P26" s="136">
        <v>25.45</v>
      </c>
      <c r="Q26" s="136">
        <v>31.914000000000001</v>
      </c>
      <c r="R26" s="136">
        <v>24</v>
      </c>
      <c r="S26" s="136">
        <f>'LCFS Table'!$N26 + 'LCFS Table'!$AH26</f>
        <v>33.625</v>
      </c>
      <c r="T26" s="136">
        <f>'LCFS Table'!$Q26+'LCFS Table'!$AH26</f>
        <v>36.289000000000001</v>
      </c>
      <c r="U26" s="136">
        <f>'LCFS Table'!$P26+'LCFS Table'!$AH26</f>
        <v>29.824999999999999</v>
      </c>
      <c r="V26" s="136">
        <f>(('LCFS Table'!$S26/'LCFS Table'!$AA26)*'LCFS Table'!$AC26)*6.48</f>
        <v>115.89893617021278</v>
      </c>
      <c r="W26" s="136">
        <f>(('LCFS Table'!$O26/'LCFS Table'!$AA26)*'LCFS Table'!$AD26)*6.48</f>
        <v>44.37765957446809</v>
      </c>
      <c r="X26" s="136">
        <f>(('LCFS Table'!$U26/'LCFS Table'!$AA26)*'LCFS Table'!$AE26)*6.48</f>
        <v>51.40053191489362</v>
      </c>
      <c r="Y26" s="136">
        <f>(('LCFS Table'!$T26/'LCFS Table'!$AB26)*'LCFS Table'!$AF26)*7.35</f>
        <v>208.37824218750004</v>
      </c>
      <c r="Z26" s="136">
        <f>(('LCFS Table'!$R26/'LCFS Table'!$AB26)*'LCFS Table'!$AG26)*7.35</f>
        <v>45.9375</v>
      </c>
      <c r="AA26" s="144">
        <v>0.94</v>
      </c>
      <c r="AB26" s="144">
        <v>0.96</v>
      </c>
      <c r="AC26" s="144">
        <v>0.5</v>
      </c>
      <c r="AD26" s="144">
        <v>0.25</v>
      </c>
      <c r="AE26" s="144">
        <v>0.25</v>
      </c>
      <c r="AF26" s="144">
        <v>0.75</v>
      </c>
      <c r="AG26" s="144">
        <v>0.25</v>
      </c>
      <c r="AH26" s="157">
        <v>4.375</v>
      </c>
      <c r="AI26" s="157">
        <v>136</v>
      </c>
      <c r="AJ26" s="157">
        <v>110</v>
      </c>
      <c r="AK26" s="157">
        <f>('LCFS Table'!$AI26/340)*100</f>
        <v>40</v>
      </c>
      <c r="AL26" s="157">
        <f>('LCFS Table'!$AJ26/340)*100</f>
        <v>32.352941176470587</v>
      </c>
      <c r="AM26" s="157">
        <v>105</v>
      </c>
      <c r="AN26" s="157">
        <v>90</v>
      </c>
      <c r="AO26" s="157">
        <f>('LCFS Table'!$AM26/300)*100</f>
        <v>35</v>
      </c>
      <c r="AP26" s="157">
        <f>('LCFS Table'!$AN26/300)*100</f>
        <v>30</v>
      </c>
      <c r="AQ26" s="140">
        <v>192.2</v>
      </c>
      <c r="AR26" s="136">
        <v>0.46799999999999997</v>
      </c>
      <c r="AS26" s="136">
        <v>1.6909795421068503</v>
      </c>
      <c r="AT26" s="136">
        <v>0.16</v>
      </c>
      <c r="AU26" s="137">
        <v>1</v>
      </c>
      <c r="AV26" s="136">
        <f>'LCFS Table'!$AR26*1.7</f>
        <v>0.79559999999999997</v>
      </c>
      <c r="AW26" s="136">
        <v>0</v>
      </c>
      <c r="AX26" s="136">
        <v>1.164097650627</v>
      </c>
      <c r="AY26" s="136">
        <v>0</v>
      </c>
      <c r="AZ26" s="141">
        <v>1</v>
      </c>
      <c r="BA26" s="136">
        <f>'LCFS Table'!$AR26*1.5</f>
        <v>0.70199999999999996</v>
      </c>
      <c r="BB26" s="142">
        <v>1.2</v>
      </c>
      <c r="BC26" s="136">
        <f>'LCFS Table'!$AS26*'LCFS Table'!$BW26</f>
        <v>1.6909795421068503</v>
      </c>
      <c r="BD26" s="136">
        <f>'LCFS Table'!$AT26*'LCFS Table'!$BX26</f>
        <v>0</v>
      </c>
      <c r="BE26" s="136">
        <f>'LCFS Table'!$AU26*'LCFS Table'!$BY26</f>
        <v>1</v>
      </c>
      <c r="BF26" s="136">
        <f>'LCFS Table'!$AV26*'LCFS Table'!$BZ26</f>
        <v>0.79559999999999997</v>
      </c>
      <c r="BG26" s="136">
        <f>'LCFS Table'!$AW26*'LCFS Table'!$CA26</f>
        <v>0</v>
      </c>
      <c r="BH26" s="136">
        <f>'LCFS Table'!$AX26*'LCFS Table'!$CB26</f>
        <v>1.164097650627</v>
      </c>
      <c r="BI26" s="136">
        <f>'LCFS Table'!$AY26*'LCFS Table'!$CC26</f>
        <v>0</v>
      </c>
      <c r="BJ26" s="136">
        <f>'LCFS Table'!$AZ26*'LCFS Table'!$CD26</f>
        <v>1</v>
      </c>
      <c r="BK26" s="136">
        <f>'LCFS Table'!$BA26*'LCFS Table'!$CE26</f>
        <v>0.70199999999999996</v>
      </c>
      <c r="BL26" s="136">
        <f>'LCFS Table'!$BB26*'LCFS Table'!$CF26</f>
        <v>-1.2</v>
      </c>
      <c r="BM26" s="136">
        <f>'LCFS Table'!$AS26*'LCFS Table'!$CG26</f>
        <v>0</v>
      </c>
      <c r="BN26" s="136">
        <f>'LCFS Table'!$AT26*'LCFS Table'!$CH26</f>
        <v>0.16</v>
      </c>
      <c r="BO26" s="136">
        <f>'LCFS Table'!$AU26*'LCFS Table'!$CI26</f>
        <v>0</v>
      </c>
      <c r="BP26" s="136">
        <f>'LCFS Table'!$AV26*'LCFS Table'!$CJ26</f>
        <v>0</v>
      </c>
      <c r="BQ26" s="136">
        <f>'LCFS Table'!$AW26*'LCFS Table'!$CK26</f>
        <v>0</v>
      </c>
      <c r="BR26" s="136">
        <f>'LCFS Table'!$AX26*'LCFS Table'!$CL26</f>
        <v>0</v>
      </c>
      <c r="BS26" s="136">
        <f>'LCFS Table'!$AY26*'LCFS Table'!$CM26</f>
        <v>0</v>
      </c>
      <c r="BT26" s="136">
        <f>'LCFS Table'!$AZ26*'LCFS Table'!$CN26</f>
        <v>0</v>
      </c>
      <c r="BU26" s="136">
        <f>'LCFS Table'!$BA26*'LCFS Table'!$CO26</f>
        <v>0</v>
      </c>
      <c r="BV26" s="142">
        <f>'LCFS Table'!$BB26*'LCFS Table'!$CP26</f>
        <v>1.2</v>
      </c>
      <c r="BW26" s="144">
        <v>1</v>
      </c>
      <c r="BX26" s="144">
        <v>0</v>
      </c>
      <c r="BY26" s="144">
        <v>1</v>
      </c>
      <c r="BZ26" s="144">
        <v>1</v>
      </c>
      <c r="CA26" s="144">
        <v>-1</v>
      </c>
      <c r="CB26" s="144">
        <v>1</v>
      </c>
      <c r="CC26" s="144">
        <v>0</v>
      </c>
      <c r="CD26" s="144">
        <v>1</v>
      </c>
      <c r="CE26" s="144">
        <v>1</v>
      </c>
      <c r="CF26" s="144">
        <v>-1</v>
      </c>
      <c r="CG26" s="144">
        <f>1-'LCFS Table'!$BW26</f>
        <v>0</v>
      </c>
      <c r="CH26" s="144">
        <f>1-'LCFS Table'!$BX26</f>
        <v>1</v>
      </c>
      <c r="CI26" s="144">
        <f>1-'LCFS Table'!$BY26</f>
        <v>0</v>
      </c>
      <c r="CJ26" s="144">
        <f>1-'LCFS Table'!$BZ26</f>
        <v>0</v>
      </c>
      <c r="CK26" s="144">
        <f>-'LCFS Table'!$CA26</f>
        <v>1</v>
      </c>
      <c r="CL26" s="144">
        <f>1-'LCFS Table'!$CB26</f>
        <v>0</v>
      </c>
      <c r="CM26" s="144">
        <f>1-'LCFS Table'!$CC26</f>
        <v>1</v>
      </c>
      <c r="CN26" s="144">
        <f>1-'LCFS Table'!$CD26</f>
        <v>0</v>
      </c>
      <c r="CO26" s="144">
        <f>1-'LCFS Table'!$CE26</f>
        <v>0</v>
      </c>
      <c r="CP26" s="144">
        <f>-'LCFS Table'!$CF26</f>
        <v>1</v>
      </c>
      <c r="CQ26" s="140">
        <v>5.5</v>
      </c>
      <c r="CR26" s="143">
        <f>('LCFS Table'!$CQ26*0.9/(0.8/0.99)/100)</f>
        <v>6.1256249999999991E-2</v>
      </c>
      <c r="CS26" s="144"/>
      <c r="CT26" s="145"/>
      <c r="CW26" s="162">
        <f>'LCFS Table'!$K26-'LCFS Table'!$M26</f>
        <v>1.4831976506269999</v>
      </c>
      <c r="CX26" s="146">
        <f>MONTH('LCFS Table'!$B26)</f>
        <v>6</v>
      </c>
      <c r="CY26" s="146">
        <f>YEAR('LCFS Table'!$B26)</f>
        <v>2019</v>
      </c>
    </row>
    <row r="27" spans="1:103" s="153" customFormat="1">
      <c r="A27" s="148">
        <f>'LCFS Table'!$B27-5</f>
        <v>43632</v>
      </c>
      <c r="B27" s="149">
        <v>43637</v>
      </c>
      <c r="C27" s="132">
        <f t="shared" si="0"/>
        <v>2019</v>
      </c>
      <c r="D27" s="150" t="s">
        <v>281</v>
      </c>
      <c r="E27" s="134">
        <f>'LCFS Table'!$K27-'LCFS Table'!$I27</f>
        <v>-0.93020068836045056</v>
      </c>
      <c r="F27" s="134">
        <f>('LCFS Table'!$M27)-'LCFS Table'!$J27</f>
        <v>-2.7207061020834997</v>
      </c>
      <c r="G27" s="135">
        <f>'LCFS Table'!$E27+'LCFS Table'!$AS27+'LCFS Table'!$AT27+'LCFS Table'!$AU27+'LCFS Table'!$AV27</f>
        <v>2.666497072205797</v>
      </c>
      <c r="H27" s="135">
        <f>'LCFS Table'!$F27+'LCFS Table'!$AX27+'LCFS Table'!$AY27+'LCFS Table'!$AZ27+'LCFS Table'!$BA27+('LCFS Table'!$CQ27*0.9/(0.8/0.99)/100)+(DG27*'LCFS Table'!$AF27)+(DF27*'LCFS Table'!$AG27)</f>
        <v>0.16109882812500029</v>
      </c>
      <c r="I27" s="134">
        <f>('LCFS Table'!$V27+'LCFS Table'!$W27+'LCFS Table'!$X27)/100+(('LCFS Table'!$AI27+'LCFS Table'!$AJ27)/340)</f>
        <v>2.8403006883604505</v>
      </c>
      <c r="J27" s="134">
        <f>(('LCFS Table'!$Y27+'LCFS Table'!$Z27)/100)+(('LCFS Table'!$AM27+'LCFS Table'!$AN27)/300)</f>
        <v>3.1931574218750001</v>
      </c>
      <c r="K27" s="136">
        <f>'[1]Fuel Values'!$C26</f>
        <v>1.9100999999999999</v>
      </c>
      <c r="L27" s="136">
        <f>'[1]Fuel Values'!$B26</f>
        <v>329.3</v>
      </c>
      <c r="M27" s="137">
        <f>('LCFS Table'!$L27/100)-'LCFS Table'!$AX27-'LCFS Table'!$AY27-'LCFS Table'!$AZ27-'LCFS Table'!$BA27</f>
        <v>0.47245131979150012</v>
      </c>
      <c r="N27" s="136">
        <f>[1]BFT!$B26</f>
        <v>29.25</v>
      </c>
      <c r="O27" s="136">
        <f>[1]UCO!$B26</f>
        <v>25.75</v>
      </c>
      <c r="P27" s="136">
        <f>[1]DCO!$B26</f>
        <v>25.45</v>
      </c>
      <c r="Q27" s="136">
        <f>'[1]Soybean Oil'!$B26</f>
        <v>31.914000000000001</v>
      </c>
      <c r="R27" s="136">
        <f>'[1]Yellow Grease'!$B26</f>
        <v>24</v>
      </c>
      <c r="S27" s="137">
        <f>'LCFS Table'!$N27 + 'LCFS Table'!$AH27</f>
        <v>33.625</v>
      </c>
      <c r="T27" s="137">
        <f>'LCFS Table'!$Q27+'LCFS Table'!$AH27</f>
        <v>36.289000000000001</v>
      </c>
      <c r="U27" s="137">
        <f>'LCFS Table'!$P27+'LCFS Table'!$AH27</f>
        <v>29.824999999999999</v>
      </c>
      <c r="V27" s="137">
        <f>(('LCFS Table'!$S27/'LCFS Table'!$AA27)*'LCFS Table'!$AC27)*6.48</f>
        <v>115.89893617021278</v>
      </c>
      <c r="W27" s="137">
        <f>(('LCFS Table'!$O27/'LCFS Table'!$AA27)*'LCFS Table'!$AD27)*6.48</f>
        <v>44.37765957446809</v>
      </c>
      <c r="X27" s="137">
        <f>(('LCFS Table'!$U27/'LCFS Table'!$AA27)*'LCFS Table'!$AE27)*6.48</f>
        <v>51.40053191489362</v>
      </c>
      <c r="Y27" s="137">
        <f>(('LCFS Table'!$T27/'LCFS Table'!$AB27)*'LCFS Table'!$AF27)*7.35</f>
        <v>208.37824218750004</v>
      </c>
      <c r="Z27" s="137">
        <f>(('LCFS Table'!$R27/'LCFS Table'!$AB27)*'LCFS Table'!$AG27)*7.35</f>
        <v>45.9375</v>
      </c>
      <c r="AA27" s="138">
        <v>0.94</v>
      </c>
      <c r="AB27" s="138">
        <v>0.96</v>
      </c>
      <c r="AC27" s="138">
        <v>0.5</v>
      </c>
      <c r="AD27" s="138">
        <v>0.25</v>
      </c>
      <c r="AE27" s="138">
        <v>0.25</v>
      </c>
      <c r="AF27" s="138">
        <v>0.75</v>
      </c>
      <c r="AG27" s="138">
        <v>0.25</v>
      </c>
      <c r="AH27" s="139">
        <v>4.375</v>
      </c>
      <c r="AI27" s="139">
        <v>136</v>
      </c>
      <c r="AJ27" s="139">
        <v>110</v>
      </c>
      <c r="AK27" s="139">
        <f>('LCFS Table'!$AI27/340)*100</f>
        <v>40</v>
      </c>
      <c r="AL27" s="139">
        <f>('LCFS Table'!$AJ27/340)*100</f>
        <v>32.352941176470587</v>
      </c>
      <c r="AM27" s="139">
        <v>105</v>
      </c>
      <c r="AN27" s="139">
        <v>90</v>
      </c>
      <c r="AO27" s="139">
        <f>('LCFS Table'!$AM27/300)*100</f>
        <v>35</v>
      </c>
      <c r="AP27" s="139">
        <f>('LCFS Table'!$AN27/300)*100</f>
        <v>30</v>
      </c>
      <c r="AQ27" s="140">
        <v>193.1</v>
      </c>
      <c r="AR27" s="136">
        <v>0.434</v>
      </c>
      <c r="AS27" s="137">
        <v>1.6988977605662476</v>
      </c>
      <c r="AT27" s="137">
        <v>0.16</v>
      </c>
      <c r="AU27" s="137">
        <v>1</v>
      </c>
      <c r="AV27" s="137">
        <f>'LCFS Table'!$AR27*1.7</f>
        <v>0.73780000000000001</v>
      </c>
      <c r="AW27" s="137">
        <v>0</v>
      </c>
      <c r="AX27" s="137">
        <v>1.1695486802085</v>
      </c>
      <c r="AY27" s="137">
        <v>0</v>
      </c>
      <c r="AZ27" s="141">
        <v>1</v>
      </c>
      <c r="BA27" s="137">
        <f>'LCFS Table'!$AR27*1.5</f>
        <v>0.65100000000000002</v>
      </c>
      <c r="BB27" s="142">
        <v>1.2</v>
      </c>
      <c r="BC27" s="137">
        <f>'LCFS Table'!$AS27*'LCFS Table'!$BW27</f>
        <v>1.6988977605662476</v>
      </c>
      <c r="BD27" s="137">
        <f>'LCFS Table'!$AT27*'LCFS Table'!$BX27</f>
        <v>0</v>
      </c>
      <c r="BE27" s="137">
        <f>'LCFS Table'!$AU27*'LCFS Table'!$BY27</f>
        <v>1</v>
      </c>
      <c r="BF27" s="137">
        <f>'LCFS Table'!$AV27*'LCFS Table'!$BZ27</f>
        <v>0.73780000000000001</v>
      </c>
      <c r="BG27" s="137">
        <f>'LCFS Table'!$AW27*'LCFS Table'!$CA27</f>
        <v>0</v>
      </c>
      <c r="BH27" s="137">
        <f>'LCFS Table'!$AX27*'LCFS Table'!$CB27</f>
        <v>1.1695486802085</v>
      </c>
      <c r="BI27" s="137">
        <f>'LCFS Table'!$AY27*'LCFS Table'!$CC27</f>
        <v>0</v>
      </c>
      <c r="BJ27" s="137">
        <f>'LCFS Table'!$AZ27*'LCFS Table'!$CD27</f>
        <v>1</v>
      </c>
      <c r="BK27" s="137">
        <f>'LCFS Table'!$BA27*'LCFS Table'!$CE27</f>
        <v>0.65100000000000002</v>
      </c>
      <c r="BL27" s="137">
        <f>'LCFS Table'!$BB27*'LCFS Table'!$CF27</f>
        <v>-1.2</v>
      </c>
      <c r="BM27" s="137">
        <f>'LCFS Table'!$AS27*'LCFS Table'!$CG27</f>
        <v>0</v>
      </c>
      <c r="BN27" s="137">
        <f>'LCFS Table'!$AT27*'LCFS Table'!$CH27</f>
        <v>0.16</v>
      </c>
      <c r="BO27" s="137">
        <f>'LCFS Table'!$AU27*'LCFS Table'!$CI27</f>
        <v>0</v>
      </c>
      <c r="BP27" s="137">
        <f>'LCFS Table'!$AV27*'LCFS Table'!$CJ27</f>
        <v>0</v>
      </c>
      <c r="BQ27" s="137">
        <f>'LCFS Table'!$AW27*'LCFS Table'!$CK27</f>
        <v>0</v>
      </c>
      <c r="BR27" s="137">
        <f>'LCFS Table'!$AX27*'LCFS Table'!$CL27</f>
        <v>0</v>
      </c>
      <c r="BS27" s="137">
        <f>'LCFS Table'!$AY27*'LCFS Table'!$CM27</f>
        <v>0</v>
      </c>
      <c r="BT27" s="137">
        <f>'LCFS Table'!$AZ27*'LCFS Table'!$CN27</f>
        <v>0</v>
      </c>
      <c r="BU27" s="137">
        <f>'LCFS Table'!$BA27*'LCFS Table'!$CO27</f>
        <v>0</v>
      </c>
      <c r="BV27" s="142">
        <f>'LCFS Table'!$BB27*'LCFS Table'!$CP27</f>
        <v>1.2</v>
      </c>
      <c r="BW27" s="138">
        <v>1</v>
      </c>
      <c r="BX27" s="138">
        <v>0</v>
      </c>
      <c r="BY27" s="138">
        <v>1</v>
      </c>
      <c r="BZ27" s="138">
        <v>1</v>
      </c>
      <c r="CA27" s="138">
        <v>-1</v>
      </c>
      <c r="CB27" s="138">
        <v>1</v>
      </c>
      <c r="CC27" s="138">
        <v>0</v>
      </c>
      <c r="CD27" s="138">
        <v>1</v>
      </c>
      <c r="CE27" s="138">
        <v>1</v>
      </c>
      <c r="CF27" s="138">
        <v>-1</v>
      </c>
      <c r="CG27" s="138">
        <f>1-'LCFS Table'!$BW27</f>
        <v>0</v>
      </c>
      <c r="CH27" s="138">
        <f>1-'LCFS Table'!$BX27</f>
        <v>1</v>
      </c>
      <c r="CI27" s="138">
        <f>1-'LCFS Table'!$BY27</f>
        <v>0</v>
      </c>
      <c r="CJ27" s="138">
        <f>1-'LCFS Table'!$BZ27</f>
        <v>0</v>
      </c>
      <c r="CK27" s="138">
        <f>-'LCFS Table'!$CA27</f>
        <v>1</v>
      </c>
      <c r="CL27" s="138">
        <f>1-'LCFS Table'!$CB27</f>
        <v>0</v>
      </c>
      <c r="CM27" s="138">
        <f>1-'LCFS Table'!$CC27</f>
        <v>1</v>
      </c>
      <c r="CN27" s="138">
        <f>1-'LCFS Table'!$CD27</f>
        <v>0</v>
      </c>
      <c r="CO27" s="138">
        <f>1-'LCFS Table'!$CE27</f>
        <v>0</v>
      </c>
      <c r="CP27" s="138">
        <f>-'LCFS Table'!$CF27</f>
        <v>1</v>
      </c>
      <c r="CQ27" s="140">
        <v>5.5</v>
      </c>
      <c r="CR27" s="151">
        <f>('LCFS Table'!$CQ27*0.9/(0.8/0.99)/100)</f>
        <v>6.1256249999999991E-2</v>
      </c>
      <c r="CS27" s="138"/>
      <c r="CT27" s="152"/>
      <c r="CW27" s="163">
        <f>'LCFS Table'!$K27-'LCFS Table'!$M27</f>
        <v>1.4376486802084998</v>
      </c>
      <c r="CX27" s="153">
        <f>MONTH('LCFS Table'!$B27)</f>
        <v>6</v>
      </c>
      <c r="CY27" s="153">
        <f>YEAR('LCFS Table'!$B27)</f>
        <v>2019</v>
      </c>
    </row>
    <row r="28" spans="1:103" s="146" customFormat="1">
      <c r="A28" s="147">
        <f>'LCFS Table'!$B28-5</f>
        <v>43639</v>
      </c>
      <c r="B28" s="131">
        <v>43644</v>
      </c>
      <c r="C28" s="154">
        <f t="shared" si="0"/>
        <v>2019</v>
      </c>
      <c r="D28" s="133" t="s">
        <v>282</v>
      </c>
      <c r="E28" s="155">
        <f>'LCFS Table'!$K28-'LCFS Table'!$I28</f>
        <v>-0.89795600750938709</v>
      </c>
      <c r="F28" s="155">
        <f>('LCFS Table'!$M28)-'LCFS Table'!$J28</f>
        <v>-2.6807239874499995</v>
      </c>
      <c r="G28" s="156">
        <f>'LCFS Table'!$E28+'LCFS Table'!$AS28+'LCFS Table'!$AT28+'LCFS Table'!$AU28+'LCFS Table'!$AV28</f>
        <v>2.6916579920266992</v>
      </c>
      <c r="H28" s="156">
        <f>'LCFS Table'!$F28+'LCFS Table'!$AX28+'LCFS Table'!$AY28+'LCFS Table'!$AZ28+'LCFS Table'!$BA28+('LCFS Table'!$CQ28*0.9/(0.8/0.99)/100)+(DG28*'LCFS Table'!$AF28)+(DF28*'LCFS Table'!$AG28)</f>
        <v>0.19047492187500048</v>
      </c>
      <c r="I28" s="155">
        <f>('LCFS Table'!$V28+'LCFS Table'!$W28+'LCFS Table'!$X28)/100+(('LCFS Table'!$AI28+'LCFS Table'!$AJ28)/340)</f>
        <v>2.848056007509387</v>
      </c>
      <c r="J28" s="155">
        <f>(('LCFS Table'!$Y28+'LCFS Table'!$Z28)/100)+(('LCFS Table'!$AM28+'LCFS Table'!$AN28)/300)</f>
        <v>3.1746675781249998</v>
      </c>
      <c r="K28" s="136">
        <f>'[1]Fuel Values'!$C27</f>
        <v>1.9500999999999999</v>
      </c>
      <c r="L28" s="136">
        <f>'[1]Fuel Values'!$B27</f>
        <v>330.5</v>
      </c>
      <c r="M28" s="136">
        <f>('LCFS Table'!$L28/100)-'LCFS Table'!$AX28-'LCFS Table'!$AY28-'LCFS Table'!$AZ28-'LCFS Table'!$BA28</f>
        <v>0.49394359067500015</v>
      </c>
      <c r="N28" s="136">
        <f>[1]BFT!$B27</f>
        <v>29.25</v>
      </c>
      <c r="O28" s="136">
        <f>[1]UCO!$B27</f>
        <v>25.75</v>
      </c>
      <c r="P28" s="136">
        <f>[1]DCO!$B27</f>
        <v>25.9</v>
      </c>
      <c r="Q28" s="136">
        <f>'[1]Soybean Oil'!$B27</f>
        <v>31.591999999999999</v>
      </c>
      <c r="R28" s="136">
        <f>'[1]Yellow Grease'!$B27</f>
        <v>24</v>
      </c>
      <c r="S28" s="136">
        <f>'LCFS Table'!$N28 + 'LCFS Table'!$AH28</f>
        <v>33.625</v>
      </c>
      <c r="T28" s="136">
        <f>'LCFS Table'!$Q28+'LCFS Table'!$AH28</f>
        <v>35.966999999999999</v>
      </c>
      <c r="U28" s="136">
        <f>'LCFS Table'!$P28+'LCFS Table'!$AH28</f>
        <v>30.274999999999999</v>
      </c>
      <c r="V28" s="136">
        <f>(('LCFS Table'!$S28/'LCFS Table'!$AA28)*'LCFS Table'!$AC28)*6.48</f>
        <v>115.89893617021278</v>
      </c>
      <c r="W28" s="136">
        <f>(('LCFS Table'!$O28/'LCFS Table'!$AA28)*'LCFS Table'!$AD28)*6.48</f>
        <v>44.37765957446809</v>
      </c>
      <c r="X28" s="136">
        <f>(('LCFS Table'!$U28/'LCFS Table'!$AA28)*'LCFS Table'!$AE28)*6.48</f>
        <v>52.176063829787239</v>
      </c>
      <c r="Y28" s="136">
        <f>(('LCFS Table'!$T28/'LCFS Table'!$AB28)*'LCFS Table'!$AF28)*7.35</f>
        <v>206.52925781249999</v>
      </c>
      <c r="Z28" s="136">
        <f>(('LCFS Table'!$R28/'LCFS Table'!$AB28)*'LCFS Table'!$AG28)*7.35</f>
        <v>45.9375</v>
      </c>
      <c r="AA28" s="144">
        <v>0.94</v>
      </c>
      <c r="AB28" s="144">
        <v>0.96</v>
      </c>
      <c r="AC28" s="144">
        <v>0.5</v>
      </c>
      <c r="AD28" s="144">
        <v>0.25</v>
      </c>
      <c r="AE28" s="144">
        <v>0.25</v>
      </c>
      <c r="AF28" s="144">
        <v>0.75</v>
      </c>
      <c r="AG28" s="144">
        <v>0.25</v>
      </c>
      <c r="AH28" s="157">
        <v>4.375</v>
      </c>
      <c r="AI28" s="157">
        <v>136</v>
      </c>
      <c r="AJ28" s="157">
        <v>110</v>
      </c>
      <c r="AK28" s="157">
        <f>('LCFS Table'!$AI28/340)*100</f>
        <v>40</v>
      </c>
      <c r="AL28" s="157">
        <f>('LCFS Table'!$AJ28/340)*100</f>
        <v>32.352941176470587</v>
      </c>
      <c r="AM28" s="157">
        <v>105</v>
      </c>
      <c r="AN28" s="157">
        <v>90</v>
      </c>
      <c r="AO28" s="157">
        <f>('LCFS Table'!$AM28/300)*100</f>
        <v>35</v>
      </c>
      <c r="AP28" s="157">
        <f>('LCFS Table'!$AN28/300)*100</f>
        <v>30</v>
      </c>
      <c r="AQ28" s="140">
        <v>195</v>
      </c>
      <c r="AR28" s="136">
        <v>0.42</v>
      </c>
      <c r="AS28" s="136">
        <v>1.7156139995360864</v>
      </c>
      <c r="AT28" s="136">
        <v>0.16</v>
      </c>
      <c r="AU28" s="137">
        <v>1</v>
      </c>
      <c r="AV28" s="136">
        <f>'LCFS Table'!$AR28*1.7</f>
        <v>0.71399999999999997</v>
      </c>
      <c r="AW28" s="136">
        <v>0</v>
      </c>
      <c r="AX28" s="136">
        <v>1.181056409325</v>
      </c>
      <c r="AY28" s="136">
        <v>0</v>
      </c>
      <c r="AZ28" s="141">
        <v>1</v>
      </c>
      <c r="BA28" s="136">
        <f>'LCFS Table'!$AR28*1.5</f>
        <v>0.63</v>
      </c>
      <c r="BB28" s="142">
        <v>1.2</v>
      </c>
      <c r="BC28" s="136">
        <f>'LCFS Table'!$AS28*'LCFS Table'!$BW28</f>
        <v>1.7156139995360864</v>
      </c>
      <c r="BD28" s="136">
        <f>'LCFS Table'!$AT28*'LCFS Table'!$BX28</f>
        <v>0</v>
      </c>
      <c r="BE28" s="136">
        <f>'LCFS Table'!$AU28*'LCFS Table'!$BY28</f>
        <v>1</v>
      </c>
      <c r="BF28" s="136">
        <f>'LCFS Table'!$AV28*'LCFS Table'!$BZ28</f>
        <v>0.71399999999999997</v>
      </c>
      <c r="BG28" s="136">
        <f>'LCFS Table'!$AW28*'LCFS Table'!$CA28</f>
        <v>0</v>
      </c>
      <c r="BH28" s="136">
        <f>'LCFS Table'!$AX28*'LCFS Table'!$CB28</f>
        <v>1.181056409325</v>
      </c>
      <c r="BI28" s="136">
        <f>'LCFS Table'!$AY28*'LCFS Table'!$CC28</f>
        <v>0</v>
      </c>
      <c r="BJ28" s="136">
        <f>'LCFS Table'!$AZ28*'LCFS Table'!$CD28</f>
        <v>1</v>
      </c>
      <c r="BK28" s="136">
        <f>'LCFS Table'!$BA28*'LCFS Table'!$CE28</f>
        <v>0.63</v>
      </c>
      <c r="BL28" s="136">
        <f>'LCFS Table'!$BB28*'LCFS Table'!$CF28</f>
        <v>-1.2</v>
      </c>
      <c r="BM28" s="136">
        <f>'LCFS Table'!$AS28*'LCFS Table'!$CG28</f>
        <v>0</v>
      </c>
      <c r="BN28" s="136">
        <f>'LCFS Table'!$AT28*'LCFS Table'!$CH28</f>
        <v>0.16</v>
      </c>
      <c r="BO28" s="136">
        <f>'LCFS Table'!$AU28*'LCFS Table'!$CI28</f>
        <v>0</v>
      </c>
      <c r="BP28" s="136">
        <f>'LCFS Table'!$AV28*'LCFS Table'!$CJ28</f>
        <v>0</v>
      </c>
      <c r="BQ28" s="136">
        <f>'LCFS Table'!$AW28*'LCFS Table'!$CK28</f>
        <v>0</v>
      </c>
      <c r="BR28" s="136">
        <f>'LCFS Table'!$AX28*'LCFS Table'!$CL28</f>
        <v>0</v>
      </c>
      <c r="BS28" s="136">
        <f>'LCFS Table'!$AY28*'LCFS Table'!$CM28</f>
        <v>0</v>
      </c>
      <c r="BT28" s="136">
        <f>'LCFS Table'!$AZ28*'LCFS Table'!$CN28</f>
        <v>0</v>
      </c>
      <c r="BU28" s="136">
        <f>'LCFS Table'!$BA28*'LCFS Table'!$CO28</f>
        <v>0</v>
      </c>
      <c r="BV28" s="142">
        <f>'LCFS Table'!$BB28*'LCFS Table'!$CP28</f>
        <v>1.2</v>
      </c>
      <c r="BW28" s="144">
        <v>1</v>
      </c>
      <c r="BX28" s="144">
        <v>0</v>
      </c>
      <c r="BY28" s="144">
        <v>1</v>
      </c>
      <c r="BZ28" s="144">
        <v>1</v>
      </c>
      <c r="CA28" s="144">
        <v>-1</v>
      </c>
      <c r="CB28" s="144">
        <v>1</v>
      </c>
      <c r="CC28" s="144">
        <v>0</v>
      </c>
      <c r="CD28" s="144">
        <v>1</v>
      </c>
      <c r="CE28" s="144">
        <v>1</v>
      </c>
      <c r="CF28" s="144">
        <v>-1</v>
      </c>
      <c r="CG28" s="144">
        <f>1-'LCFS Table'!$BW28</f>
        <v>0</v>
      </c>
      <c r="CH28" s="144">
        <f>1-'LCFS Table'!$BX28</f>
        <v>1</v>
      </c>
      <c r="CI28" s="144">
        <f>1-'LCFS Table'!$BY28</f>
        <v>0</v>
      </c>
      <c r="CJ28" s="144">
        <f>1-'LCFS Table'!$BZ28</f>
        <v>0</v>
      </c>
      <c r="CK28" s="144">
        <f>-'LCFS Table'!$CA28</f>
        <v>1</v>
      </c>
      <c r="CL28" s="144">
        <f>1-'LCFS Table'!$CB28</f>
        <v>0</v>
      </c>
      <c r="CM28" s="144">
        <f>1-'LCFS Table'!$CC28</f>
        <v>1</v>
      </c>
      <c r="CN28" s="144">
        <f>1-'LCFS Table'!$CD28</f>
        <v>0</v>
      </c>
      <c r="CO28" s="144">
        <f>1-'LCFS Table'!$CE28</f>
        <v>0</v>
      </c>
      <c r="CP28" s="144">
        <f>-'LCFS Table'!$CF28</f>
        <v>1</v>
      </c>
      <c r="CQ28" s="140">
        <v>5.4</v>
      </c>
      <c r="CR28" s="143">
        <f>('LCFS Table'!$CQ28*0.9/(0.8/0.99)/100)</f>
        <v>6.0142499999999995E-2</v>
      </c>
      <c r="CS28" s="144"/>
      <c r="CT28" s="145"/>
      <c r="CW28" s="164">
        <f>'LCFS Table'!$K28-'LCFS Table'!$M28</f>
        <v>1.4561564093249997</v>
      </c>
      <c r="CX28" s="146">
        <f>MONTH('LCFS Table'!$B28)</f>
        <v>6</v>
      </c>
      <c r="CY28" s="146">
        <f>YEAR('LCFS Table'!$B28)</f>
        <v>2019</v>
      </c>
    </row>
    <row r="29" spans="1:103" s="153" customFormat="1">
      <c r="A29" s="148">
        <f>'LCFS Table'!$B29-5</f>
        <v>43646</v>
      </c>
      <c r="B29" s="149">
        <v>43651</v>
      </c>
      <c r="C29" s="132">
        <f t="shared" si="0"/>
        <v>2019</v>
      </c>
      <c r="D29" s="150" t="s">
        <v>283</v>
      </c>
      <c r="E29" s="134">
        <f>'LCFS Table'!$K29-'LCFS Table'!$I29</f>
        <v>-0.92877941176470613</v>
      </c>
      <c r="F29" s="134">
        <f>('LCFS Table'!$M29)-'LCFS Table'!$J29</f>
        <v>-2.6550826931289997</v>
      </c>
      <c r="G29" s="135">
        <f>'LCFS Table'!$E29+'LCFS Table'!$AS29+'LCFS Table'!$AT29+'LCFS Table'!$AU29+'LCFS Table'!$AV29</f>
        <v>2.6435508267412193</v>
      </c>
      <c r="H29" s="135">
        <f>'LCFS Table'!$F29+'LCFS Table'!$AX29+'LCFS Table'!$AY29+'LCFS Table'!$AZ29+'LCFS Table'!$BA29+('LCFS Table'!$CQ29*0.9/(0.8/0.99)/100)+(DG29*'LCFS Table'!$AF29)+(DF29*'LCFS Table'!$AG29)</f>
        <v>0.1931689453125004</v>
      </c>
      <c r="I29" s="134">
        <f>('LCFS Table'!$V29+'LCFS Table'!$W29+'LCFS Table'!$X29)/100+(('LCFS Table'!$AI29+'LCFS Table'!$AJ29)/340)</f>
        <v>2.8497794117647062</v>
      </c>
      <c r="J29" s="134">
        <f>(('LCFS Table'!$Y29+'LCFS Table'!$Z29)/100)+(('LCFS Table'!$AM29+'LCFS Table'!$AN29)/300)</f>
        <v>3.1675185546874998</v>
      </c>
      <c r="K29" s="136">
        <f>'[1]Fuel Values'!$C28</f>
        <v>1.921</v>
      </c>
      <c r="L29" s="136">
        <f>'[1]Fuel Values'!$B28</f>
        <v>330.5</v>
      </c>
      <c r="M29" s="137">
        <f>('LCFS Table'!$L29/100)-'LCFS Table'!$AX29-'LCFS Table'!$AY29-'LCFS Table'!$AZ29-'LCFS Table'!$BA29</f>
        <v>0.51243586155850007</v>
      </c>
      <c r="N29" s="136">
        <f>[1]BFT!$B28</f>
        <v>29.25</v>
      </c>
      <c r="O29" s="136">
        <f>[1]UCO!$B28</f>
        <v>25.75</v>
      </c>
      <c r="P29" s="136">
        <f>[1]DCO!$B28</f>
        <v>26</v>
      </c>
      <c r="Q29" s="136">
        <f>'[1]Soybean Oil'!$B28</f>
        <v>31.467500000000001</v>
      </c>
      <c r="R29" s="136">
        <f>'[1]Yellow Grease'!$B28</f>
        <v>24</v>
      </c>
      <c r="S29" s="137">
        <f>'LCFS Table'!$N29 + 'LCFS Table'!$AH29</f>
        <v>33.625</v>
      </c>
      <c r="T29" s="137">
        <f>'LCFS Table'!$Q29+'LCFS Table'!$AH29</f>
        <v>35.842500000000001</v>
      </c>
      <c r="U29" s="137">
        <f>'LCFS Table'!$P29+'LCFS Table'!$AH29</f>
        <v>30.375</v>
      </c>
      <c r="V29" s="137">
        <f>(('LCFS Table'!$S29/'LCFS Table'!$AA29)*'LCFS Table'!$AC29)*6.48</f>
        <v>115.89893617021278</v>
      </c>
      <c r="W29" s="137">
        <f>(('LCFS Table'!$O29/'LCFS Table'!$AA29)*'LCFS Table'!$AD29)*6.48</f>
        <v>44.37765957446809</v>
      </c>
      <c r="X29" s="137">
        <f>(('LCFS Table'!$U29/'LCFS Table'!$AA29)*'LCFS Table'!$AE29)*6.48</f>
        <v>52.348404255319153</v>
      </c>
      <c r="Y29" s="137">
        <f>(('LCFS Table'!$T29/'LCFS Table'!$AB29)*'LCFS Table'!$AF29)*7.35</f>
        <v>205.81435546874999</v>
      </c>
      <c r="Z29" s="137">
        <f>(('LCFS Table'!$R29/'LCFS Table'!$AB29)*'LCFS Table'!$AG29)*7.35</f>
        <v>45.9375</v>
      </c>
      <c r="AA29" s="138">
        <v>0.94</v>
      </c>
      <c r="AB29" s="138">
        <v>0.96</v>
      </c>
      <c r="AC29" s="138">
        <v>0.5</v>
      </c>
      <c r="AD29" s="138">
        <v>0.25</v>
      </c>
      <c r="AE29" s="138">
        <v>0.25</v>
      </c>
      <c r="AF29" s="138">
        <v>0.75</v>
      </c>
      <c r="AG29" s="138">
        <v>0.25</v>
      </c>
      <c r="AH29" s="139">
        <v>4.375</v>
      </c>
      <c r="AI29" s="139">
        <v>136</v>
      </c>
      <c r="AJ29" s="139">
        <v>110</v>
      </c>
      <c r="AK29" s="139">
        <f>('LCFS Table'!$AI29/340)*100</f>
        <v>40</v>
      </c>
      <c r="AL29" s="139">
        <f>('LCFS Table'!$AJ29/340)*100</f>
        <v>32.352941176470587</v>
      </c>
      <c r="AM29" s="139">
        <v>105</v>
      </c>
      <c r="AN29" s="139">
        <v>90</v>
      </c>
      <c r="AO29" s="139">
        <f>('LCFS Table'!$AM29/300)*100</f>
        <v>35</v>
      </c>
      <c r="AP29" s="139">
        <f>('LCFS Table'!$AN29/300)*100</f>
        <v>30</v>
      </c>
      <c r="AQ29" s="140">
        <v>196.9</v>
      </c>
      <c r="AR29" s="136">
        <v>0.4</v>
      </c>
      <c r="AS29" s="137">
        <v>1.7323302385059254</v>
      </c>
      <c r="AT29" s="137">
        <v>0.16</v>
      </c>
      <c r="AU29" s="137">
        <v>1</v>
      </c>
      <c r="AV29" s="137">
        <f>'LCFS Table'!$AR29*1.7</f>
        <v>0.68</v>
      </c>
      <c r="AW29" s="137">
        <v>0</v>
      </c>
      <c r="AX29" s="137">
        <v>1.1925641384415</v>
      </c>
      <c r="AY29" s="137">
        <v>0</v>
      </c>
      <c r="AZ29" s="141">
        <v>1</v>
      </c>
      <c r="BA29" s="137">
        <f>'LCFS Table'!$AR29*1.5</f>
        <v>0.60000000000000009</v>
      </c>
      <c r="BB29" s="142">
        <v>1.2</v>
      </c>
      <c r="BC29" s="137">
        <f>'LCFS Table'!$AS29*'LCFS Table'!$BW29</f>
        <v>1.7323302385059254</v>
      </c>
      <c r="BD29" s="137">
        <f>'LCFS Table'!$AT29*'LCFS Table'!$BX29</f>
        <v>0</v>
      </c>
      <c r="BE29" s="137">
        <f>'LCFS Table'!$AU29*'LCFS Table'!$BY29</f>
        <v>1</v>
      </c>
      <c r="BF29" s="137">
        <f>'LCFS Table'!$AV29*'LCFS Table'!$BZ29</f>
        <v>0.68</v>
      </c>
      <c r="BG29" s="137">
        <f>'LCFS Table'!$AW29*'LCFS Table'!$CA29</f>
        <v>0</v>
      </c>
      <c r="BH29" s="137">
        <f>'LCFS Table'!$AX29*'LCFS Table'!$CB29</f>
        <v>1.1925641384415</v>
      </c>
      <c r="BI29" s="137">
        <f>'LCFS Table'!$AY29*'LCFS Table'!$CC29</f>
        <v>0</v>
      </c>
      <c r="BJ29" s="137">
        <f>'LCFS Table'!$AZ29*'LCFS Table'!$CD29</f>
        <v>1</v>
      </c>
      <c r="BK29" s="137">
        <f>'LCFS Table'!$BA29*'LCFS Table'!$CE29</f>
        <v>0.60000000000000009</v>
      </c>
      <c r="BL29" s="137">
        <f>'LCFS Table'!$BB29*'LCFS Table'!$CF29</f>
        <v>-1.2</v>
      </c>
      <c r="BM29" s="137">
        <f>'LCFS Table'!$AS29*'LCFS Table'!$CG29</f>
        <v>0</v>
      </c>
      <c r="BN29" s="137">
        <f>'LCFS Table'!$AT29*'LCFS Table'!$CH29</f>
        <v>0.16</v>
      </c>
      <c r="BO29" s="137">
        <f>'LCFS Table'!$AU29*'LCFS Table'!$CI29</f>
        <v>0</v>
      </c>
      <c r="BP29" s="137">
        <f>'LCFS Table'!$AV29*'LCFS Table'!$CJ29</f>
        <v>0</v>
      </c>
      <c r="BQ29" s="137">
        <f>'LCFS Table'!$AW29*'LCFS Table'!$CK29</f>
        <v>0</v>
      </c>
      <c r="BR29" s="137">
        <f>'LCFS Table'!$AX29*'LCFS Table'!$CL29</f>
        <v>0</v>
      </c>
      <c r="BS29" s="137">
        <f>'LCFS Table'!$AY29*'LCFS Table'!$CM29</f>
        <v>0</v>
      </c>
      <c r="BT29" s="137">
        <f>'LCFS Table'!$AZ29*'LCFS Table'!$CN29</f>
        <v>0</v>
      </c>
      <c r="BU29" s="137">
        <f>'LCFS Table'!$BA29*'LCFS Table'!$CO29</f>
        <v>0</v>
      </c>
      <c r="BV29" s="142">
        <f>'LCFS Table'!$BB29*'LCFS Table'!$CP29</f>
        <v>1.2</v>
      </c>
      <c r="BW29" s="138">
        <v>1</v>
      </c>
      <c r="BX29" s="138">
        <v>0</v>
      </c>
      <c r="BY29" s="138">
        <v>1</v>
      </c>
      <c r="BZ29" s="138">
        <v>1</v>
      </c>
      <c r="CA29" s="138">
        <v>-1</v>
      </c>
      <c r="CB29" s="138">
        <v>1</v>
      </c>
      <c r="CC29" s="138">
        <v>0</v>
      </c>
      <c r="CD29" s="138">
        <v>1</v>
      </c>
      <c r="CE29" s="138">
        <v>1</v>
      </c>
      <c r="CF29" s="138">
        <v>-1</v>
      </c>
      <c r="CG29" s="138">
        <f>1-'LCFS Table'!$BW29</f>
        <v>0</v>
      </c>
      <c r="CH29" s="138">
        <f>1-'LCFS Table'!$BX29</f>
        <v>1</v>
      </c>
      <c r="CI29" s="138">
        <f>1-'LCFS Table'!$BY29</f>
        <v>0</v>
      </c>
      <c r="CJ29" s="138">
        <f>1-'LCFS Table'!$BZ29</f>
        <v>0</v>
      </c>
      <c r="CK29" s="138">
        <f>-'LCFS Table'!$CA29</f>
        <v>1</v>
      </c>
      <c r="CL29" s="138">
        <f>1-'LCFS Table'!$CB29</f>
        <v>0</v>
      </c>
      <c r="CM29" s="138">
        <f>1-'LCFS Table'!$CC29</f>
        <v>1</v>
      </c>
      <c r="CN29" s="138">
        <f>1-'LCFS Table'!$CD29</f>
        <v>0</v>
      </c>
      <c r="CO29" s="138">
        <f>1-'LCFS Table'!$CE29</f>
        <v>0</v>
      </c>
      <c r="CP29" s="138">
        <f>-'LCFS Table'!$CF29</f>
        <v>1</v>
      </c>
      <c r="CQ29" s="140">
        <v>5</v>
      </c>
      <c r="CR29" s="151">
        <f>('LCFS Table'!$CQ29*0.9/(0.8/0.99)/100)</f>
        <v>5.5687499999999994E-2</v>
      </c>
      <c r="CS29" s="138"/>
      <c r="CT29" s="152"/>
      <c r="CW29" s="163">
        <f>'LCFS Table'!$K29-'LCFS Table'!$M29</f>
        <v>1.4085641384415</v>
      </c>
      <c r="CX29" s="153">
        <f>MONTH('LCFS Table'!$B29)</f>
        <v>7</v>
      </c>
      <c r="CY29" s="153">
        <f>YEAR('LCFS Table'!$B29)</f>
        <v>2019</v>
      </c>
    </row>
    <row r="30" spans="1:103" s="146" customFormat="1">
      <c r="A30" s="147">
        <f>'LCFS Table'!$B30-5</f>
        <v>43653</v>
      </c>
      <c r="B30" s="131">
        <v>43658</v>
      </c>
      <c r="C30" s="154">
        <f t="shared" si="0"/>
        <v>2019</v>
      </c>
      <c r="D30" s="133" t="s">
        <v>284</v>
      </c>
      <c r="E30" s="155">
        <f>'LCFS Table'!$K30-'LCFS Table'!$I30</f>
        <v>-0.9079368585732166</v>
      </c>
      <c r="F30" s="155">
        <f>('LCFS Table'!$M30)-'LCFS Table'!$J30</f>
        <v>-2.6802103146654992</v>
      </c>
      <c r="G30" s="156">
        <f>'LCFS Table'!$E30+'LCFS Table'!$AS30+'LCFS Table'!$AT30+'LCFS Table'!$AU30+'LCFS Table'!$AV30</f>
        <v>2.6894606086473267</v>
      </c>
      <c r="H30" s="156">
        <f>'LCFS Table'!$F30+'LCFS Table'!$AX30+'LCFS Table'!$AY30+'LCFS Table'!$AZ30+'LCFS Table'!$BA30+('LCFS Table'!$CQ30*0.9/(0.8/0.99)/100)+(DG30*'LCFS Table'!$AF30)+(DF30*'LCFS Table'!$AG30)</f>
        <v>0.18777070312500088</v>
      </c>
      <c r="I30" s="155">
        <f>('LCFS Table'!$V30+'LCFS Table'!$W30+'LCFS Table'!$X30)/100+(('LCFS Table'!$AI30+'LCFS Table'!$AJ30)/340)</f>
        <v>2.8687368585732167</v>
      </c>
      <c r="J30" s="155">
        <f>(('LCFS Table'!$Y30+'LCFS Table'!$Z30)/100)+(('LCFS Table'!$AM30+'LCFS Table'!$AN30)/300)</f>
        <v>3.1789167968749994</v>
      </c>
      <c r="K30" s="136">
        <f>'[1]Fuel Values'!$C29</f>
        <v>1.9608000000000001</v>
      </c>
      <c r="L30" s="136">
        <f>'[1]Fuel Values'!$B29</f>
        <v>331.1</v>
      </c>
      <c r="M30" s="136">
        <f>('LCFS Table'!$L30/100)-'LCFS Table'!$AX30-'LCFS Table'!$AY30-'LCFS Table'!$AZ30-'LCFS Table'!$BA30</f>
        <v>0.49870648220950031</v>
      </c>
      <c r="N30" s="136">
        <f>[1]BFT!$B29</f>
        <v>29.8</v>
      </c>
      <c r="O30" s="136">
        <f>[1]UCO!$B29</f>
        <v>25.75</v>
      </c>
      <c r="P30" s="136">
        <f>[1]DCO!$B29</f>
        <v>26</v>
      </c>
      <c r="Q30" s="136">
        <f>'[1]Soybean Oil'!$B29</f>
        <v>31.666</v>
      </c>
      <c r="R30" s="136">
        <f>'[1]Yellow Grease'!$B29</f>
        <v>24</v>
      </c>
      <c r="S30" s="136">
        <f>'LCFS Table'!$N30 + 'LCFS Table'!$AH30</f>
        <v>34.174999999999997</v>
      </c>
      <c r="T30" s="136">
        <f>'LCFS Table'!$Q30+'LCFS Table'!$AH30</f>
        <v>36.040999999999997</v>
      </c>
      <c r="U30" s="136">
        <f>'LCFS Table'!$P30+'LCFS Table'!$AH30</f>
        <v>30.375</v>
      </c>
      <c r="V30" s="136">
        <f>(('LCFS Table'!$S30/'LCFS Table'!$AA30)*'LCFS Table'!$AC30)*6.48</f>
        <v>117.79468085106383</v>
      </c>
      <c r="W30" s="136">
        <f>(('LCFS Table'!$O30/'LCFS Table'!$AA30)*'LCFS Table'!$AD30)*6.48</f>
        <v>44.37765957446809</v>
      </c>
      <c r="X30" s="136">
        <f>(('LCFS Table'!$U30/'LCFS Table'!$AA30)*'LCFS Table'!$AE30)*6.48</f>
        <v>52.348404255319153</v>
      </c>
      <c r="Y30" s="136">
        <f>(('LCFS Table'!$T30/'LCFS Table'!$AB30)*'LCFS Table'!$AF30)*7.35</f>
        <v>206.95417968749996</v>
      </c>
      <c r="Z30" s="136">
        <f>(('LCFS Table'!$R30/'LCFS Table'!$AB30)*'LCFS Table'!$AG30)*7.35</f>
        <v>45.9375</v>
      </c>
      <c r="AA30" s="144">
        <v>0.94</v>
      </c>
      <c r="AB30" s="144">
        <v>0.96</v>
      </c>
      <c r="AC30" s="144">
        <v>0.5</v>
      </c>
      <c r="AD30" s="144">
        <v>0.25</v>
      </c>
      <c r="AE30" s="144">
        <v>0.25</v>
      </c>
      <c r="AF30" s="144">
        <v>0.75</v>
      </c>
      <c r="AG30" s="144">
        <v>0.25</v>
      </c>
      <c r="AH30" s="157">
        <v>4.375</v>
      </c>
      <c r="AI30" s="157">
        <v>136</v>
      </c>
      <c r="AJ30" s="157">
        <v>110</v>
      </c>
      <c r="AK30" s="157">
        <f>('LCFS Table'!$AI30/340)*100</f>
        <v>40</v>
      </c>
      <c r="AL30" s="157">
        <f>('LCFS Table'!$AJ30/340)*100</f>
        <v>32.352941176470587</v>
      </c>
      <c r="AM30" s="157">
        <v>105</v>
      </c>
      <c r="AN30" s="157">
        <v>90</v>
      </c>
      <c r="AO30" s="157">
        <f>('LCFS Table'!$AM30/300)*100</f>
        <v>35</v>
      </c>
      <c r="AP30" s="157">
        <f>('LCFS Table'!$AN30/300)*100</f>
        <v>30</v>
      </c>
      <c r="AQ30" s="140">
        <v>198.3</v>
      </c>
      <c r="AR30" s="136">
        <v>0.40749999999999997</v>
      </c>
      <c r="AS30" s="136">
        <v>1.7446474672205434</v>
      </c>
      <c r="AT30" s="136">
        <v>0.16</v>
      </c>
      <c r="AU30" s="137">
        <v>1</v>
      </c>
      <c r="AV30" s="136">
        <f>'LCFS Table'!$AR30*1.7</f>
        <v>0.69274999999999998</v>
      </c>
      <c r="AW30" s="136">
        <v>0</v>
      </c>
      <c r="AX30" s="136">
        <v>1.2010435177905001</v>
      </c>
      <c r="AY30" s="136">
        <v>0</v>
      </c>
      <c r="AZ30" s="141">
        <v>1</v>
      </c>
      <c r="BA30" s="136">
        <f>'LCFS Table'!$AR30*1.5</f>
        <v>0.61124999999999996</v>
      </c>
      <c r="BB30" s="136">
        <v>1.2</v>
      </c>
      <c r="BC30" s="136">
        <f>'LCFS Table'!$AS30*'LCFS Table'!$BW30</f>
        <v>1.7446474672205434</v>
      </c>
      <c r="BD30" s="136">
        <f>'LCFS Table'!$AT30*'LCFS Table'!$BX30</f>
        <v>0</v>
      </c>
      <c r="BE30" s="136">
        <f>'LCFS Table'!$AU30*'LCFS Table'!$BY30</f>
        <v>1</v>
      </c>
      <c r="BF30" s="136">
        <f>'LCFS Table'!$AV30*'LCFS Table'!$BZ30</f>
        <v>0.69274999999999998</v>
      </c>
      <c r="BG30" s="136">
        <f>'LCFS Table'!$AW30*'LCFS Table'!$CA30</f>
        <v>0</v>
      </c>
      <c r="BH30" s="136">
        <f>'LCFS Table'!$AX30*'LCFS Table'!$CB30</f>
        <v>1.2010435177905001</v>
      </c>
      <c r="BI30" s="136">
        <f>'LCFS Table'!$AY30*'LCFS Table'!$CC30</f>
        <v>0</v>
      </c>
      <c r="BJ30" s="136">
        <f>'LCFS Table'!$AZ30*'LCFS Table'!$CD30</f>
        <v>1</v>
      </c>
      <c r="BK30" s="136">
        <f>'LCFS Table'!$BA30*'LCFS Table'!$CE30</f>
        <v>0.61124999999999996</v>
      </c>
      <c r="BL30" s="136">
        <f>'LCFS Table'!$BB30*'LCFS Table'!$CF30</f>
        <v>-1.2</v>
      </c>
      <c r="BM30" s="136">
        <f>'LCFS Table'!$AS30*'LCFS Table'!$CG30</f>
        <v>0</v>
      </c>
      <c r="BN30" s="136">
        <f>'LCFS Table'!$AT30*'LCFS Table'!$CH30</f>
        <v>0.16</v>
      </c>
      <c r="BO30" s="136">
        <f>'LCFS Table'!$AU30*'LCFS Table'!$CI30</f>
        <v>0</v>
      </c>
      <c r="BP30" s="136">
        <f>'LCFS Table'!$AV30*'LCFS Table'!$CJ30</f>
        <v>0</v>
      </c>
      <c r="BQ30" s="136">
        <f>'LCFS Table'!$AW30*'LCFS Table'!$CK30</f>
        <v>0</v>
      </c>
      <c r="BR30" s="136">
        <f>'LCFS Table'!$AX30*'LCFS Table'!$CL30</f>
        <v>0</v>
      </c>
      <c r="BS30" s="136">
        <f>'LCFS Table'!$AY30*'LCFS Table'!$CM30</f>
        <v>0</v>
      </c>
      <c r="BT30" s="136">
        <f>'LCFS Table'!$AZ30*'LCFS Table'!$CN30</f>
        <v>0</v>
      </c>
      <c r="BU30" s="136">
        <f>'LCFS Table'!$BA30*'LCFS Table'!$CO30</f>
        <v>0</v>
      </c>
      <c r="BV30" s="136">
        <f>'LCFS Table'!$BB30*'LCFS Table'!$CP30</f>
        <v>1.2</v>
      </c>
      <c r="BW30" s="144">
        <v>1</v>
      </c>
      <c r="BX30" s="144">
        <v>0</v>
      </c>
      <c r="BY30" s="144">
        <v>1</v>
      </c>
      <c r="BZ30" s="144">
        <v>1</v>
      </c>
      <c r="CA30" s="144">
        <v>-1</v>
      </c>
      <c r="CB30" s="144">
        <v>1</v>
      </c>
      <c r="CC30" s="144">
        <v>0</v>
      </c>
      <c r="CD30" s="144">
        <v>1</v>
      </c>
      <c r="CE30" s="144">
        <v>1</v>
      </c>
      <c r="CF30" s="144">
        <v>-1</v>
      </c>
      <c r="CG30" s="144">
        <f>1-'LCFS Table'!$BW30</f>
        <v>0</v>
      </c>
      <c r="CH30" s="144">
        <f>1-'LCFS Table'!$BX30</f>
        <v>1</v>
      </c>
      <c r="CI30" s="144">
        <f>1-'LCFS Table'!$BY30</f>
        <v>0</v>
      </c>
      <c r="CJ30" s="144">
        <f>1-'LCFS Table'!$BZ30</f>
        <v>0</v>
      </c>
      <c r="CK30" s="144">
        <f>-'LCFS Table'!$CA30</f>
        <v>1</v>
      </c>
      <c r="CL30" s="144">
        <f>1-'LCFS Table'!$CB30</f>
        <v>0</v>
      </c>
      <c r="CM30" s="144">
        <f>1-'LCFS Table'!$CC30</f>
        <v>1</v>
      </c>
      <c r="CN30" s="144">
        <f>1-'LCFS Table'!$CD30</f>
        <v>0</v>
      </c>
      <c r="CO30" s="144">
        <f>1-'LCFS Table'!$CE30</f>
        <v>0</v>
      </c>
      <c r="CP30" s="144">
        <f>-'LCFS Table'!$CF30</f>
        <v>1</v>
      </c>
      <c r="CQ30" s="140">
        <v>5</v>
      </c>
      <c r="CR30" s="143">
        <f>('LCFS Table'!$CQ30*0.9/(0.8/0.99)/100)</f>
        <v>5.5687499999999994E-2</v>
      </c>
      <c r="CS30" s="144"/>
      <c r="CT30" s="145"/>
      <c r="CW30" s="164">
        <f>'LCFS Table'!$K30-'LCFS Table'!$M30</f>
        <v>1.4620935177904997</v>
      </c>
      <c r="CX30" s="146">
        <f>MONTH('LCFS Table'!$B30)</f>
        <v>7</v>
      </c>
      <c r="CY30" s="146">
        <f>YEAR('LCFS Table'!$B30)</f>
        <v>2019</v>
      </c>
    </row>
    <row r="31" spans="1:103" s="153" customFormat="1">
      <c r="A31" s="148">
        <f>'LCFS Table'!$B31-5</f>
        <v>43660</v>
      </c>
      <c r="B31" s="149">
        <v>43665</v>
      </c>
      <c r="C31" s="132">
        <f t="shared" si="0"/>
        <v>2019</v>
      </c>
      <c r="D31" s="150" t="s">
        <v>285</v>
      </c>
      <c r="E31" s="134">
        <f>'LCFS Table'!$K31-'LCFS Table'!$I31</f>
        <v>-0.98094111389236605</v>
      </c>
      <c r="F31" s="134">
        <f>('LCFS Table'!$M31)-'LCFS Table'!$J31</f>
        <v>-2.7097843267757504</v>
      </c>
      <c r="G31" s="135">
        <f>'LCFS Table'!$E31+'LCFS Table'!$AS31+'LCFS Table'!$AT31+'LCFS Table'!$AU31+'LCFS Table'!$AV31</f>
        <v>2.6715800153838605</v>
      </c>
      <c r="H31" s="135">
        <f>'LCFS Table'!$F31+'LCFS Table'!$AX31+'LCFS Table'!$AY31+'LCFS Table'!$AZ31+'LCFS Table'!$BA31+('LCFS Table'!$CQ31*0.9/(0.8/0.99)/100)+(DG31*'LCFS Table'!$AF31)+(DF31*'LCFS Table'!$AG31)</f>
        <v>0.20999179687499947</v>
      </c>
      <c r="I31" s="134">
        <f>('LCFS Table'!$V31+'LCFS Table'!$W31+'LCFS Table'!$X31)/100+(('LCFS Table'!$AI31+'LCFS Table'!$AJ31)/340)</f>
        <v>2.8911411138923659</v>
      </c>
      <c r="J31" s="134">
        <f>(('LCFS Table'!$Y31+'LCFS Table'!$Z31)/100)+(('LCFS Table'!$AM31+'LCFS Table'!$AN31)/300)</f>
        <v>3.168695703125</v>
      </c>
      <c r="K31" s="136">
        <f>'[1]Fuel Values'!$C30</f>
        <v>1.9101999999999999</v>
      </c>
      <c r="L31" s="136">
        <f>'[1]Fuel Values'!$B30</f>
        <v>332.3</v>
      </c>
      <c r="M31" s="137">
        <f>('LCFS Table'!$L31/100)-'LCFS Table'!$AX31-'LCFS Table'!$AY31-'LCFS Table'!$AZ31-'LCFS Table'!$BA31</f>
        <v>0.45891137634924983</v>
      </c>
      <c r="N31" s="136">
        <f>[1]BFT!$B30</f>
        <v>30.7</v>
      </c>
      <c r="O31" s="136">
        <f>[1]UCO!$B30</f>
        <v>25.75</v>
      </c>
      <c r="P31" s="136">
        <f>[1]DCO!$B30</f>
        <v>25.5</v>
      </c>
      <c r="Q31" s="136">
        <f>'[1]Soybean Oil'!$B30</f>
        <v>31.488</v>
      </c>
      <c r="R31" s="136">
        <f>'[1]Yellow Grease'!$B30</f>
        <v>24</v>
      </c>
      <c r="S31" s="137">
        <f>'LCFS Table'!$N31 + 'LCFS Table'!$AH31</f>
        <v>35.075000000000003</v>
      </c>
      <c r="T31" s="137">
        <f>'LCFS Table'!$Q31+'LCFS Table'!$AH31</f>
        <v>35.863</v>
      </c>
      <c r="U31" s="137">
        <f>'LCFS Table'!$P31+'LCFS Table'!$AH31</f>
        <v>29.875</v>
      </c>
      <c r="V31" s="137">
        <f>(('LCFS Table'!$S31/'LCFS Table'!$AA31)*'LCFS Table'!$AC31)*6.48</f>
        <v>120.89680851063832</v>
      </c>
      <c r="W31" s="137">
        <f>(('LCFS Table'!$O31/'LCFS Table'!$AA31)*'LCFS Table'!$AD31)*6.48</f>
        <v>44.37765957446809</v>
      </c>
      <c r="X31" s="137">
        <f>(('LCFS Table'!$U31/'LCFS Table'!$AA31)*'LCFS Table'!$AE31)*6.48</f>
        <v>51.486702127659584</v>
      </c>
      <c r="Y31" s="137">
        <f>(('LCFS Table'!$T31/'LCFS Table'!$AB31)*'LCFS Table'!$AF31)*7.35</f>
        <v>205.9320703125</v>
      </c>
      <c r="Z31" s="137">
        <f>(('LCFS Table'!$R31/'LCFS Table'!$AB31)*'LCFS Table'!$AG31)*7.35</f>
        <v>45.9375</v>
      </c>
      <c r="AA31" s="138">
        <v>0.94</v>
      </c>
      <c r="AB31" s="138">
        <v>0.96</v>
      </c>
      <c r="AC31" s="138">
        <v>0.5</v>
      </c>
      <c r="AD31" s="138">
        <v>0.25</v>
      </c>
      <c r="AE31" s="138">
        <v>0.25</v>
      </c>
      <c r="AF31" s="138">
        <v>0.75</v>
      </c>
      <c r="AG31" s="138">
        <v>0.25</v>
      </c>
      <c r="AH31" s="139">
        <v>4.375</v>
      </c>
      <c r="AI31" s="139">
        <v>136</v>
      </c>
      <c r="AJ31" s="139">
        <v>110</v>
      </c>
      <c r="AK31" s="139">
        <f>('LCFS Table'!$AI31/340)*100</f>
        <v>40</v>
      </c>
      <c r="AL31" s="139">
        <f>('LCFS Table'!$AJ31/340)*100</f>
        <v>32.352941176470587</v>
      </c>
      <c r="AM31" s="139">
        <v>105</v>
      </c>
      <c r="AN31" s="139">
        <v>90</v>
      </c>
      <c r="AO31" s="139">
        <f>('LCFS Table'!$AM31/300)*100</f>
        <v>35</v>
      </c>
      <c r="AP31" s="139">
        <f>('LCFS Table'!$AN31/300)*100</f>
        <v>30</v>
      </c>
      <c r="AQ31" s="140">
        <v>196.45</v>
      </c>
      <c r="AR31" s="136">
        <v>0.44950000000000001</v>
      </c>
      <c r="AS31" s="137">
        <v>1.7283711292762265</v>
      </c>
      <c r="AT31" s="137">
        <v>0.16</v>
      </c>
      <c r="AU31" s="137">
        <v>1</v>
      </c>
      <c r="AV31" s="137">
        <f>'LCFS Table'!$AR31*1.7</f>
        <v>0.76415</v>
      </c>
      <c r="AW31" s="137">
        <v>0</v>
      </c>
      <c r="AX31" s="137">
        <v>1.1898386236507499</v>
      </c>
      <c r="AY31" s="137">
        <v>0</v>
      </c>
      <c r="AZ31" s="141">
        <v>1</v>
      </c>
      <c r="BA31" s="137">
        <f>'LCFS Table'!$AR31*1.5</f>
        <v>0.67425000000000002</v>
      </c>
      <c r="BB31" s="142">
        <v>1.2</v>
      </c>
      <c r="BC31" s="137">
        <f>'LCFS Table'!$AS31*'LCFS Table'!$BW31</f>
        <v>1.7283711292762265</v>
      </c>
      <c r="BD31" s="137">
        <f>'LCFS Table'!$AT31*'LCFS Table'!$BX31</f>
        <v>0</v>
      </c>
      <c r="BE31" s="137">
        <f>'LCFS Table'!$AU31*'LCFS Table'!$BY31</f>
        <v>1</v>
      </c>
      <c r="BF31" s="137">
        <f>'LCFS Table'!$AV31*'LCFS Table'!$BZ31</f>
        <v>0.76415</v>
      </c>
      <c r="BG31" s="137">
        <f>'LCFS Table'!$AW31*'LCFS Table'!$CA31</f>
        <v>0</v>
      </c>
      <c r="BH31" s="137">
        <f>'LCFS Table'!$AX31*'LCFS Table'!$CB31</f>
        <v>1.1898386236507499</v>
      </c>
      <c r="BI31" s="137">
        <f>'LCFS Table'!$AY31*'LCFS Table'!$CC31</f>
        <v>0</v>
      </c>
      <c r="BJ31" s="137">
        <f>'LCFS Table'!$AZ31*'LCFS Table'!$CD31</f>
        <v>1</v>
      </c>
      <c r="BK31" s="137">
        <f>'LCFS Table'!$BA31*'LCFS Table'!$CE31</f>
        <v>0.67425000000000002</v>
      </c>
      <c r="BL31" s="137">
        <f>'LCFS Table'!$BB31*'LCFS Table'!$CF31</f>
        <v>-1.2</v>
      </c>
      <c r="BM31" s="137">
        <f>'LCFS Table'!$AS31*'LCFS Table'!$CG31</f>
        <v>0</v>
      </c>
      <c r="BN31" s="137">
        <f>'LCFS Table'!$AT31*'LCFS Table'!$CH31</f>
        <v>0.16</v>
      </c>
      <c r="BO31" s="137">
        <f>'LCFS Table'!$AU31*'LCFS Table'!$CI31</f>
        <v>0</v>
      </c>
      <c r="BP31" s="137">
        <f>'LCFS Table'!$AV31*'LCFS Table'!$CJ31</f>
        <v>0</v>
      </c>
      <c r="BQ31" s="137">
        <f>'LCFS Table'!$AW31*'LCFS Table'!$CK31</f>
        <v>0</v>
      </c>
      <c r="BR31" s="137">
        <f>'LCFS Table'!$AX31*'LCFS Table'!$CL31</f>
        <v>0</v>
      </c>
      <c r="BS31" s="137">
        <f>'LCFS Table'!$AY31*'LCFS Table'!$CM31</f>
        <v>0</v>
      </c>
      <c r="BT31" s="137">
        <f>'LCFS Table'!$AZ31*'LCFS Table'!$CN31</f>
        <v>0</v>
      </c>
      <c r="BU31" s="137">
        <f>'LCFS Table'!$BA31*'LCFS Table'!$CO31</f>
        <v>0</v>
      </c>
      <c r="BV31" s="142">
        <f>'LCFS Table'!$BB31*'LCFS Table'!$CP31</f>
        <v>1.2</v>
      </c>
      <c r="BW31" s="138">
        <v>1</v>
      </c>
      <c r="BX31" s="138">
        <v>0</v>
      </c>
      <c r="BY31" s="138">
        <v>1</v>
      </c>
      <c r="BZ31" s="138">
        <v>1</v>
      </c>
      <c r="CA31" s="138">
        <v>-1</v>
      </c>
      <c r="CB31" s="138">
        <v>1</v>
      </c>
      <c r="CC31" s="138">
        <v>0</v>
      </c>
      <c r="CD31" s="138">
        <v>1</v>
      </c>
      <c r="CE31" s="138">
        <v>1</v>
      </c>
      <c r="CF31" s="138">
        <v>-1</v>
      </c>
      <c r="CG31" s="138">
        <f>1-'LCFS Table'!$BW31</f>
        <v>0</v>
      </c>
      <c r="CH31" s="138">
        <f>1-'LCFS Table'!$BX31</f>
        <v>1</v>
      </c>
      <c r="CI31" s="138">
        <f>1-'LCFS Table'!$BY31</f>
        <v>0</v>
      </c>
      <c r="CJ31" s="138">
        <f>1-'LCFS Table'!$BZ31</f>
        <v>0</v>
      </c>
      <c r="CK31" s="138">
        <f>-'LCFS Table'!$CA31</f>
        <v>1</v>
      </c>
      <c r="CL31" s="138">
        <f>1-'LCFS Table'!$CB31</f>
        <v>0</v>
      </c>
      <c r="CM31" s="138">
        <f>1-'LCFS Table'!$CC31</f>
        <v>1</v>
      </c>
      <c r="CN31" s="138">
        <f>1-'LCFS Table'!$CD31</f>
        <v>0</v>
      </c>
      <c r="CO31" s="138">
        <f>1-'LCFS Table'!$CE31</f>
        <v>0</v>
      </c>
      <c r="CP31" s="138">
        <f>-'LCFS Table'!$CF31</f>
        <v>1</v>
      </c>
      <c r="CQ31" s="140">
        <v>5</v>
      </c>
      <c r="CR31" s="151">
        <f>('LCFS Table'!$CQ31*0.9/(0.8/0.99)/100)</f>
        <v>5.5687499999999994E-2</v>
      </c>
      <c r="CS31" s="138"/>
      <c r="CT31" s="152"/>
      <c r="CW31" s="163">
        <f>'LCFS Table'!$K31-'LCFS Table'!$M31</f>
        <v>1.4512886236507501</v>
      </c>
      <c r="CX31" s="153">
        <f>MONTH('LCFS Table'!$B31)</f>
        <v>7</v>
      </c>
      <c r="CY31" s="153">
        <f>YEAR('LCFS Table'!$B31)</f>
        <v>2019</v>
      </c>
    </row>
    <row r="32" spans="1:103">
      <c r="A32" s="148">
        <v>43667</v>
      </c>
      <c r="B32" s="149">
        <v>43673</v>
      </c>
      <c r="C32" s="132">
        <f t="shared" si="0"/>
        <v>2019</v>
      </c>
      <c r="D32" s="150" t="s">
        <v>286</v>
      </c>
      <c r="E32" s="134">
        <f>'LCFS Table'!$K32-'LCFS Table'!$I32</f>
        <v>-0.97747302878598297</v>
      </c>
      <c r="F32" s="134">
        <f>('LCFS Table'!$M32)-'LCFS Table'!$J32</f>
        <v>-2.6803074506884998</v>
      </c>
      <c r="G32" s="135">
        <f>'LCFS Table'!$E32+'LCFS Table'!$AS32+'LCFS Table'!$AT32+'LCFS Table'!$AU32+'LCFS Table'!$AV32</f>
        <v>2.6838687933115892</v>
      </c>
      <c r="H32" s="135">
        <f>'LCFS Table'!$F32+'LCFS Table'!$AX32+'LCFS Table'!$AY32+'LCFS Table'!$AZ32+'LCFS Table'!$BA32+('LCFS Table'!$CQ32*0.9/(0.8/0.99)/100)+(DG32*'LCFS Table'!$AF32)+(DF32*'LCFS Table'!$AG32)</f>
        <v>0.24784882812500031</v>
      </c>
      <c r="I32" s="134">
        <f>('LCFS Table'!$V32+'LCFS Table'!$W32+'LCFS Table'!$X32)/100+(('LCFS Table'!$AI32+'LCFS Table'!$AJ32)/340)</f>
        <v>2.8971730287859829</v>
      </c>
      <c r="J32" s="134">
        <f>(('LCFS Table'!$Y32+'LCFS Table'!$Z32)/100)+(('LCFS Table'!$AM32+'LCFS Table'!$AN32)/300)</f>
        <v>3.1628386718749999</v>
      </c>
      <c r="K32" s="136">
        <f>'[1]Fuel Values'!$C31</f>
        <v>1.9197</v>
      </c>
      <c r="L32" s="136">
        <f>'[1]Fuel Values'!$B31</f>
        <v>335.5</v>
      </c>
      <c r="M32" s="137">
        <f>('LCFS Table'!$L32/100)-'LCFS Table'!$AX32-'LCFS Table'!$AY32-'LCFS Table'!$AZ32-'LCFS Table'!$BA32</f>
        <v>0.48253122118649983</v>
      </c>
      <c r="N32" s="136">
        <f>[1]BFT!$B31</f>
        <v>31</v>
      </c>
      <c r="O32" s="136">
        <f>[1]UCO!$B31</f>
        <v>25.75</v>
      </c>
      <c r="P32" s="136">
        <f>[1]DCO!$B31</f>
        <v>25.25</v>
      </c>
      <c r="Q32" s="136">
        <f>'[1]Soybean Oil'!$B31</f>
        <v>31.385999999999999</v>
      </c>
      <c r="R32" s="136">
        <f>'[1]Yellow Grease'!$B31</f>
        <v>24</v>
      </c>
      <c r="S32" s="137">
        <f>'LCFS Table'!$N32 + 'LCFS Table'!$AH32</f>
        <v>35.375</v>
      </c>
      <c r="T32" s="137">
        <f>'LCFS Table'!$Q32+'LCFS Table'!$AH32</f>
        <v>35.760999999999996</v>
      </c>
      <c r="U32" s="137">
        <f>'LCFS Table'!$P32+'LCFS Table'!$AH32</f>
        <v>29.625</v>
      </c>
      <c r="V32" s="137">
        <f>(('LCFS Table'!$S32/'LCFS Table'!$AA32)*'LCFS Table'!$AC32)*6.48</f>
        <v>121.93085106382981</v>
      </c>
      <c r="W32" s="137">
        <f>(('LCFS Table'!$O32/'LCFS Table'!$AA32)*'LCFS Table'!$AD32)*6.48</f>
        <v>44.37765957446809</v>
      </c>
      <c r="X32" s="137">
        <f>(('LCFS Table'!$U32/'LCFS Table'!$AA32)*'LCFS Table'!$AE32)*6.48</f>
        <v>51.055851063829799</v>
      </c>
      <c r="Y32" s="137">
        <f>(('LCFS Table'!$T32/'LCFS Table'!$AB32)*'LCFS Table'!$AF32)*7.35</f>
        <v>205.34636718749999</v>
      </c>
      <c r="Z32" s="137">
        <f>(('LCFS Table'!$R32/'LCFS Table'!$AB32)*'LCFS Table'!$AG32)*7.35</f>
        <v>45.9375</v>
      </c>
      <c r="AA32" s="138">
        <v>0.94</v>
      </c>
      <c r="AB32" s="138">
        <v>0.96</v>
      </c>
      <c r="AC32" s="138">
        <v>0.5</v>
      </c>
      <c r="AD32" s="138">
        <v>0.25</v>
      </c>
      <c r="AE32" s="138">
        <v>0.25</v>
      </c>
      <c r="AF32" s="138">
        <v>0.75</v>
      </c>
      <c r="AG32" s="138">
        <v>0.25</v>
      </c>
      <c r="AH32" s="139">
        <v>4.375</v>
      </c>
      <c r="AI32" s="139">
        <v>136</v>
      </c>
      <c r="AJ32" s="139">
        <v>110</v>
      </c>
      <c r="AK32" s="139">
        <f>('LCFS Table'!$AI32/340)*100</f>
        <v>40</v>
      </c>
      <c r="AL32" s="139">
        <f>('LCFS Table'!$AJ32/340)*100</f>
        <v>32.352941176470587</v>
      </c>
      <c r="AM32" s="139">
        <v>105</v>
      </c>
      <c r="AN32" s="139">
        <v>90</v>
      </c>
      <c r="AO32" s="139">
        <f>('LCFS Table'!$AM32/300)*100</f>
        <v>35</v>
      </c>
      <c r="AP32" s="139">
        <f>('LCFS Table'!$AN32/300)*100</f>
        <v>30</v>
      </c>
      <c r="AQ32" s="140">
        <v>196.1</v>
      </c>
      <c r="AR32" s="136">
        <v>0.45649999999999996</v>
      </c>
      <c r="AS32" s="137">
        <v>1.7252918220975719</v>
      </c>
      <c r="AT32" s="137">
        <v>0.16</v>
      </c>
      <c r="AU32" s="137">
        <v>1</v>
      </c>
      <c r="AV32" s="137">
        <f>'LCFS Table'!$AR32*1.7</f>
        <v>0.77604999999999991</v>
      </c>
      <c r="AW32" s="137">
        <v>0</v>
      </c>
      <c r="AX32" s="137">
        <v>1.1877187788135002</v>
      </c>
      <c r="AY32" s="137">
        <v>0</v>
      </c>
      <c r="AZ32" s="141">
        <v>1</v>
      </c>
      <c r="BA32" s="137">
        <f>'LCFS Table'!$AR32*1.5</f>
        <v>0.68474999999999997</v>
      </c>
      <c r="BB32" s="142">
        <v>1.2</v>
      </c>
      <c r="BC32" s="137">
        <f>'LCFS Table'!$AS32*'LCFS Table'!$BW32</f>
        <v>1.7252918220975719</v>
      </c>
      <c r="BD32" s="137">
        <f>'LCFS Table'!$AT32*'LCFS Table'!$BX32</f>
        <v>0</v>
      </c>
      <c r="BE32" s="137">
        <f>'LCFS Table'!$AU32*'LCFS Table'!$BY32</f>
        <v>1</v>
      </c>
      <c r="BF32" s="137">
        <f>'LCFS Table'!$AV32*'LCFS Table'!$BZ32</f>
        <v>0.77604999999999991</v>
      </c>
      <c r="BG32" s="137">
        <f>'LCFS Table'!$AW32*'LCFS Table'!$CA32</f>
        <v>0</v>
      </c>
      <c r="BH32" s="137">
        <f>'LCFS Table'!$AX32*'LCFS Table'!$CB32</f>
        <v>1.1877187788135002</v>
      </c>
      <c r="BI32" s="137">
        <f>'LCFS Table'!$AY32*'LCFS Table'!$CC32</f>
        <v>0</v>
      </c>
      <c r="BJ32" s="137">
        <f>'LCFS Table'!$AZ32*'LCFS Table'!$CD32</f>
        <v>1</v>
      </c>
      <c r="BK32" s="137">
        <f>'LCFS Table'!$BA32*'LCFS Table'!$CE32</f>
        <v>0.68474999999999997</v>
      </c>
      <c r="BL32" s="137">
        <f>'LCFS Table'!$BB32*'LCFS Table'!$CF32</f>
        <v>-1.2</v>
      </c>
      <c r="BM32" s="137">
        <f>'LCFS Table'!$AS32*'LCFS Table'!$CG32</f>
        <v>0</v>
      </c>
      <c r="BN32" s="137">
        <f>'LCFS Table'!$AT32*'LCFS Table'!$CH32</f>
        <v>0.16</v>
      </c>
      <c r="BO32" s="137">
        <f>'LCFS Table'!$AU32*'LCFS Table'!$CI32</f>
        <v>0</v>
      </c>
      <c r="BP32" s="137">
        <f>'LCFS Table'!$AV32*'LCFS Table'!$CJ32</f>
        <v>0</v>
      </c>
      <c r="BQ32" s="137">
        <f>'LCFS Table'!$AW32*'LCFS Table'!$CK32</f>
        <v>0</v>
      </c>
      <c r="BR32" s="137">
        <f>'LCFS Table'!$AX32*'LCFS Table'!$CL32</f>
        <v>0</v>
      </c>
      <c r="BS32" s="137">
        <f>'LCFS Table'!$AY32*'LCFS Table'!$CM32</f>
        <v>0</v>
      </c>
      <c r="BT32" s="137">
        <f>'LCFS Table'!$AZ32*'LCFS Table'!$CN32</f>
        <v>0</v>
      </c>
      <c r="BU32" s="137">
        <f>'LCFS Table'!$BA32*'LCFS Table'!$CO32</f>
        <v>0</v>
      </c>
      <c r="BV32" s="142">
        <f>'LCFS Table'!$BB32*'LCFS Table'!$CP32</f>
        <v>1.2</v>
      </c>
      <c r="BW32" s="138">
        <v>1</v>
      </c>
      <c r="BX32" s="138">
        <v>0</v>
      </c>
      <c r="BY32" s="138">
        <v>1</v>
      </c>
      <c r="BZ32" s="138">
        <v>1</v>
      </c>
      <c r="CA32" s="138">
        <v>-1</v>
      </c>
      <c r="CB32" s="138">
        <v>1</v>
      </c>
      <c r="CC32" s="138">
        <v>0</v>
      </c>
      <c r="CD32" s="138">
        <v>1</v>
      </c>
      <c r="CE32" s="138">
        <v>1</v>
      </c>
      <c r="CF32" s="138">
        <v>-1</v>
      </c>
      <c r="CG32" s="138">
        <f>1-'LCFS Table'!$BW32</f>
        <v>0</v>
      </c>
      <c r="CH32" s="138">
        <f>1-'LCFS Table'!$BX32</f>
        <v>1</v>
      </c>
      <c r="CI32" s="138">
        <f>1-'LCFS Table'!$BY32</f>
        <v>0</v>
      </c>
      <c r="CJ32" s="138">
        <f>1-'LCFS Table'!$BZ32</f>
        <v>0</v>
      </c>
      <c r="CK32" s="138">
        <f>-'LCFS Table'!$CA32</f>
        <v>1</v>
      </c>
      <c r="CL32" s="138">
        <f>1-'LCFS Table'!$CB32</f>
        <v>0</v>
      </c>
      <c r="CM32" s="138">
        <f>1-'LCFS Table'!$CC32</f>
        <v>1</v>
      </c>
      <c r="CN32" s="138">
        <f>1-'LCFS Table'!$CD32</f>
        <v>0</v>
      </c>
      <c r="CO32" s="138">
        <f>1-'LCFS Table'!$CE32</f>
        <v>0</v>
      </c>
      <c r="CP32" s="138">
        <f>-'LCFS Table'!$CF32</f>
        <v>1</v>
      </c>
      <c r="CQ32" s="140">
        <v>5</v>
      </c>
      <c r="CR32" s="165">
        <f>('LCFS Table'!$CQ32*0.9/(0.8/0.99)/100)</f>
        <v>5.5687499999999994E-2</v>
      </c>
      <c r="CS32" s="166"/>
      <c r="CT32" s="167"/>
      <c r="CW32" s="168">
        <f>'LCFS Table'!$K32-'LCFS Table'!$M32</f>
        <v>1.4371687788135001</v>
      </c>
      <c r="CX32" s="129">
        <f>MONTH('LCFS Table'!$B32)</f>
        <v>7</v>
      </c>
      <c r="CY32" s="129">
        <f>YEAR('LCFS Table'!$B32)</f>
        <v>2019</v>
      </c>
    </row>
    <row r="33" spans="1:103">
      <c r="A33" s="148">
        <v>43674</v>
      </c>
      <c r="B33" s="149">
        <v>43680</v>
      </c>
      <c r="C33" s="132">
        <f t="shared" si="0"/>
        <v>2019</v>
      </c>
      <c r="D33" s="150" t="s">
        <v>287</v>
      </c>
      <c r="E33" s="134">
        <f>'LCFS Table'!$K33-'LCFS Table'!$I33</f>
        <v>-0.98327302878598299</v>
      </c>
      <c r="F33" s="134">
        <f>('LCFS Table'!$M33)-'LCFS Table'!$J33</f>
        <v>-2.6656341020082501</v>
      </c>
      <c r="G33" s="135">
        <f>'LCFS Table'!$E33+'LCFS Table'!$AS33+'LCFS Table'!$AT33+'LCFS Table'!$AU33+'LCFS Table'!$AV33</f>
        <v>2.6945990902350232</v>
      </c>
      <c r="H33" s="135">
        <f>'LCFS Table'!$F33+'LCFS Table'!$AX33+'LCFS Table'!$AY33+'LCFS Table'!$AZ33+'LCFS Table'!$BA33+('LCFS Table'!$CQ33*0.9/(0.8/0.99)/100)+(DG33*'LCFS Table'!$AF33)+(DF33*'LCFS Table'!$AG33)</f>
        <v>0.27457929687499988</v>
      </c>
      <c r="I33" s="134">
        <f>('LCFS Table'!$V33+'LCFS Table'!$W33+'LCFS Table'!$X33)/100+(('LCFS Table'!$AI33+'LCFS Table'!$AJ33)/340)</f>
        <v>2.8971730287859829</v>
      </c>
      <c r="J33" s="134">
        <f>(('LCFS Table'!$Y33+'LCFS Table'!$Z33)/100)+(('LCFS Table'!$AM33+'LCFS Table'!$AN33)/300)</f>
        <v>3.133323828125</v>
      </c>
      <c r="K33" s="136">
        <f>'[1]Fuel Values'!$C32</f>
        <v>1.9138999999999999</v>
      </c>
      <c r="L33" s="136">
        <f>'[1]Fuel Values'!$B32</f>
        <v>335.5</v>
      </c>
      <c r="M33" s="137">
        <f>('LCFS Table'!$L33/100)-'LCFS Table'!$AX33-'LCFS Table'!$AY33-'LCFS Table'!$AZ33-'LCFS Table'!$BA33</f>
        <v>0.46768972611674975</v>
      </c>
      <c r="N33" s="136">
        <f>[1]BFT!$B32</f>
        <v>31</v>
      </c>
      <c r="O33" s="136">
        <f>[1]UCO!$B32</f>
        <v>25.75</v>
      </c>
      <c r="P33" s="136">
        <f>[1]DCO!$B32</f>
        <v>25.25</v>
      </c>
      <c r="Q33" s="136">
        <f>'[1]Soybean Oil'!$B32</f>
        <v>30.872</v>
      </c>
      <c r="R33" s="136">
        <f>'[1]Yellow Grease'!$B32</f>
        <v>24</v>
      </c>
      <c r="S33" s="137">
        <f>'LCFS Table'!$N33 + 'LCFS Table'!$AH33</f>
        <v>35.375</v>
      </c>
      <c r="T33" s="137">
        <f>'LCFS Table'!$Q33+'LCFS Table'!$AH33</f>
        <v>35.247</v>
      </c>
      <c r="U33" s="137">
        <f>'LCFS Table'!$P33+'LCFS Table'!$AH33</f>
        <v>29.625</v>
      </c>
      <c r="V33" s="137">
        <f>(('LCFS Table'!$S33/'LCFS Table'!$AA33)*'LCFS Table'!$AC33)*6.48</f>
        <v>121.93085106382981</v>
      </c>
      <c r="W33" s="137">
        <f>(('LCFS Table'!$O33/'LCFS Table'!$AA33)*'LCFS Table'!$AD33)*6.48</f>
        <v>44.37765957446809</v>
      </c>
      <c r="X33" s="137">
        <f>(('LCFS Table'!$U33/'LCFS Table'!$AA33)*'LCFS Table'!$AE33)*6.48</f>
        <v>51.055851063829799</v>
      </c>
      <c r="Y33" s="137">
        <f>(('LCFS Table'!$T33/'LCFS Table'!$AB33)*'LCFS Table'!$AF33)*7.35</f>
        <v>202.39488281250001</v>
      </c>
      <c r="Z33" s="137">
        <f>(('LCFS Table'!$R33/'LCFS Table'!$AB33)*'LCFS Table'!$AG33)*7.35</f>
        <v>45.9375</v>
      </c>
      <c r="AA33" s="138">
        <v>0.94</v>
      </c>
      <c r="AB33" s="138">
        <v>0.96</v>
      </c>
      <c r="AC33" s="138">
        <v>0.5</v>
      </c>
      <c r="AD33" s="138">
        <v>0.25</v>
      </c>
      <c r="AE33" s="138">
        <v>0.25</v>
      </c>
      <c r="AF33" s="138">
        <v>0.75</v>
      </c>
      <c r="AG33" s="138">
        <v>0.25</v>
      </c>
      <c r="AH33" s="139">
        <v>4.375</v>
      </c>
      <c r="AI33" s="139">
        <v>136</v>
      </c>
      <c r="AJ33" s="139">
        <v>110</v>
      </c>
      <c r="AK33" s="139">
        <f>('LCFS Table'!$AI33/340)*100</f>
        <v>40</v>
      </c>
      <c r="AL33" s="139">
        <f>('LCFS Table'!$AJ33/340)*100</f>
        <v>32.352941176470587</v>
      </c>
      <c r="AM33" s="139">
        <v>105</v>
      </c>
      <c r="AN33" s="139">
        <v>90</v>
      </c>
      <c r="AO33" s="139">
        <f>('LCFS Table'!$AM33/300)*100</f>
        <v>35</v>
      </c>
      <c r="AP33" s="139">
        <f>('LCFS Table'!$AN33/300)*100</f>
        <v>30</v>
      </c>
      <c r="AQ33" s="140">
        <v>195.95</v>
      </c>
      <c r="AR33" s="136">
        <v>0.46700000000000003</v>
      </c>
      <c r="AS33" s="137">
        <v>1.7239721190210058</v>
      </c>
      <c r="AT33" s="137">
        <v>0.16</v>
      </c>
      <c r="AU33" s="137">
        <v>1</v>
      </c>
      <c r="AV33" s="137">
        <f>'LCFS Table'!$AR33*1.7</f>
        <v>0.79390000000000005</v>
      </c>
      <c r="AW33" s="137">
        <v>0</v>
      </c>
      <c r="AX33" s="137">
        <v>1.18681027388325</v>
      </c>
      <c r="AY33" s="137">
        <v>0</v>
      </c>
      <c r="AZ33" s="141">
        <v>1</v>
      </c>
      <c r="BA33" s="137">
        <f>'LCFS Table'!$AR33*1.5</f>
        <v>0.70050000000000001</v>
      </c>
      <c r="BB33" s="142">
        <v>1.2</v>
      </c>
      <c r="BC33" s="137">
        <f>'LCFS Table'!$AS33*'LCFS Table'!$BW33</f>
        <v>1.7239721190210058</v>
      </c>
      <c r="BD33" s="137">
        <f>'LCFS Table'!$AT33*'LCFS Table'!$BX33</f>
        <v>0</v>
      </c>
      <c r="BE33" s="137">
        <f>'LCFS Table'!$AU33*'LCFS Table'!$BY33</f>
        <v>1</v>
      </c>
      <c r="BF33" s="137">
        <f>'LCFS Table'!$AV33*'LCFS Table'!$BZ33</f>
        <v>0.79390000000000005</v>
      </c>
      <c r="BG33" s="137">
        <f>'LCFS Table'!$AW33*'LCFS Table'!$CA33</f>
        <v>0</v>
      </c>
      <c r="BH33" s="137">
        <f>'LCFS Table'!$AX33*'LCFS Table'!$CB33</f>
        <v>1.18681027388325</v>
      </c>
      <c r="BI33" s="137">
        <f>'LCFS Table'!$AY33*'LCFS Table'!$CC33</f>
        <v>0</v>
      </c>
      <c r="BJ33" s="137">
        <f>'LCFS Table'!$AZ33*'LCFS Table'!$CD33</f>
        <v>1</v>
      </c>
      <c r="BK33" s="137">
        <f>'LCFS Table'!$BA33*'LCFS Table'!$CE33</f>
        <v>0.70050000000000001</v>
      </c>
      <c r="BL33" s="137">
        <f>'LCFS Table'!$BB33*'LCFS Table'!$CF33</f>
        <v>-1.2</v>
      </c>
      <c r="BM33" s="137">
        <f>'LCFS Table'!$AS33*'LCFS Table'!$CG33</f>
        <v>0</v>
      </c>
      <c r="BN33" s="137">
        <f>'LCFS Table'!$AT33*'LCFS Table'!$CH33</f>
        <v>0.16</v>
      </c>
      <c r="BO33" s="137">
        <f>'LCFS Table'!$AU33*'LCFS Table'!$CI33</f>
        <v>0</v>
      </c>
      <c r="BP33" s="137">
        <f>'LCFS Table'!$AV33*'LCFS Table'!$CJ33</f>
        <v>0</v>
      </c>
      <c r="BQ33" s="137">
        <f>'LCFS Table'!$AW33*'LCFS Table'!$CK33</f>
        <v>0</v>
      </c>
      <c r="BR33" s="137">
        <f>'LCFS Table'!$AX33*'LCFS Table'!$CL33</f>
        <v>0</v>
      </c>
      <c r="BS33" s="137">
        <f>'LCFS Table'!$AY33*'LCFS Table'!$CM33</f>
        <v>0</v>
      </c>
      <c r="BT33" s="137">
        <f>'LCFS Table'!$AZ33*'LCFS Table'!$CN33</f>
        <v>0</v>
      </c>
      <c r="BU33" s="137">
        <f>'LCFS Table'!$BA33*'LCFS Table'!$CO33</f>
        <v>0</v>
      </c>
      <c r="BV33" s="142">
        <f>'LCFS Table'!$BB33*'LCFS Table'!$CP33</f>
        <v>1.2</v>
      </c>
      <c r="BW33" s="138">
        <v>1</v>
      </c>
      <c r="BX33" s="138">
        <v>0</v>
      </c>
      <c r="BY33" s="138">
        <v>1</v>
      </c>
      <c r="BZ33" s="138">
        <v>1</v>
      </c>
      <c r="CA33" s="138">
        <v>-1</v>
      </c>
      <c r="CB33" s="138">
        <v>1</v>
      </c>
      <c r="CC33" s="138">
        <v>0</v>
      </c>
      <c r="CD33" s="138">
        <v>1</v>
      </c>
      <c r="CE33" s="138">
        <v>1</v>
      </c>
      <c r="CF33" s="138">
        <v>-1</v>
      </c>
      <c r="CG33" s="138">
        <f>1-'LCFS Table'!$BW33</f>
        <v>0</v>
      </c>
      <c r="CH33" s="138">
        <f>1-'LCFS Table'!$BX33</f>
        <v>1</v>
      </c>
      <c r="CI33" s="138">
        <f>1-'LCFS Table'!$BY33</f>
        <v>0</v>
      </c>
      <c r="CJ33" s="138">
        <f>1-'LCFS Table'!$BZ33</f>
        <v>0</v>
      </c>
      <c r="CK33" s="138">
        <f>-'LCFS Table'!$CA33</f>
        <v>1</v>
      </c>
      <c r="CL33" s="138">
        <f>1-'LCFS Table'!$CB33</f>
        <v>0</v>
      </c>
      <c r="CM33" s="138">
        <f>1-'LCFS Table'!$CC33</f>
        <v>1</v>
      </c>
      <c r="CN33" s="138">
        <f>1-'LCFS Table'!$CD33</f>
        <v>0</v>
      </c>
      <c r="CO33" s="138">
        <f>1-'LCFS Table'!$CE33</f>
        <v>0</v>
      </c>
      <c r="CP33" s="138">
        <f>-'LCFS Table'!$CF33</f>
        <v>1</v>
      </c>
      <c r="CQ33" s="140">
        <v>4.75</v>
      </c>
      <c r="CR33" s="165">
        <f>('LCFS Table'!$CQ33*0.9/(0.8/0.99)/100)</f>
        <v>5.2903124999999995E-2</v>
      </c>
      <c r="CS33" s="166"/>
      <c r="CT33" s="167"/>
      <c r="CW33" s="168">
        <f>'LCFS Table'!$K33-'LCFS Table'!$M33</f>
        <v>1.4462102738832501</v>
      </c>
      <c r="CX33" s="129">
        <f>MONTH('LCFS Table'!$B33)</f>
        <v>8</v>
      </c>
      <c r="CY33" s="129">
        <f>YEAR('LCFS Table'!$B33)</f>
        <v>2019</v>
      </c>
    </row>
    <row r="34" spans="1:103">
      <c r="A34" s="148">
        <v>43681</v>
      </c>
      <c r="B34" s="149">
        <v>43687</v>
      </c>
      <c r="C34" s="132">
        <f t="shared" si="0"/>
        <v>2019</v>
      </c>
      <c r="D34" s="150" t="s">
        <v>288</v>
      </c>
      <c r="E34" s="134">
        <f>'LCFS Table'!$K34-'LCFS Table'!$I34</f>
        <v>-1.0770198372966211</v>
      </c>
      <c r="F34" s="134">
        <f>('LCFS Table'!$M34)-'LCFS Table'!$J34</f>
        <v>-2.6129135647407495</v>
      </c>
      <c r="G34" s="135">
        <f>'LCFS Table'!$E34+'LCFS Table'!$AS34+'LCFS Table'!$AT34+'LCFS Table'!$AU34+'LCFS Table'!$AV34</f>
        <v>2.5216532714691642</v>
      </c>
      <c r="H34" s="135">
        <f>'LCFS Table'!$F34+'LCFS Table'!$AX34+'LCFS Table'!$AY34+'LCFS Table'!$AZ34+'LCFS Table'!$BA34+('LCFS Table'!$CQ34*0.9/(0.8/0.99)/100)+(DG34*'LCFS Table'!$AF34)+(DF34*'LCFS Table'!$AG34)</f>
        <v>0.2582714843750003</v>
      </c>
      <c r="I34" s="134">
        <f>('LCFS Table'!$V34+'LCFS Table'!$W34+'LCFS Table'!$X34)/100+(('LCFS Table'!$AI34+'LCFS Table'!$AJ34)/340)</f>
        <v>2.9006198372966212</v>
      </c>
      <c r="J34" s="134">
        <f>(('LCFS Table'!$Y34+'LCFS Table'!$Z34)/100)+(('LCFS Table'!$AM34+'LCFS Table'!$AN34)/300)</f>
        <v>3.1496316406249996</v>
      </c>
      <c r="K34" s="136">
        <f>'[1]Fuel Values'!$C33</f>
        <v>1.8236000000000001</v>
      </c>
      <c r="L34" s="136">
        <f>'[1]Fuel Values'!$B33</f>
        <v>335.5</v>
      </c>
      <c r="M34" s="137">
        <f>('LCFS Table'!$L34/100)-'LCFS Table'!$AX34-'LCFS Table'!$AY34-'LCFS Table'!$AZ34-'LCFS Table'!$BA34</f>
        <v>0.53671807588425013</v>
      </c>
      <c r="N34" s="136">
        <f>[1]BFT!$B33</f>
        <v>31</v>
      </c>
      <c r="O34" s="136">
        <f>[1]UCO!$B33</f>
        <v>25.75</v>
      </c>
      <c r="P34" s="136">
        <f>[1]DCO!$B33</f>
        <v>25.45</v>
      </c>
      <c r="Q34" s="136">
        <f>'[1]Soybean Oil'!$B33</f>
        <v>31.155999999999999</v>
      </c>
      <c r="R34" s="136">
        <f>'[1]Yellow Grease'!$B33</f>
        <v>24</v>
      </c>
      <c r="S34" s="137">
        <f>'LCFS Table'!$N34 + 'LCFS Table'!$AH34</f>
        <v>35.375</v>
      </c>
      <c r="T34" s="137">
        <f>'LCFS Table'!$Q34+'LCFS Table'!$AH34</f>
        <v>35.530999999999999</v>
      </c>
      <c r="U34" s="137">
        <f>'LCFS Table'!$P34+'LCFS Table'!$AH34</f>
        <v>29.824999999999999</v>
      </c>
      <c r="V34" s="137">
        <f>(('LCFS Table'!$S34/'LCFS Table'!$AA34)*'LCFS Table'!$AC34)*6.48</f>
        <v>121.93085106382981</v>
      </c>
      <c r="W34" s="137">
        <f>(('LCFS Table'!$O34/'LCFS Table'!$AA34)*'LCFS Table'!$AD34)*6.48</f>
        <v>44.37765957446809</v>
      </c>
      <c r="X34" s="137">
        <f>(('LCFS Table'!$U34/'LCFS Table'!$AA34)*'LCFS Table'!$AE34)*6.48</f>
        <v>51.40053191489362</v>
      </c>
      <c r="Y34" s="137">
        <f>(('LCFS Table'!$T34/'LCFS Table'!$AB34)*'LCFS Table'!$AF34)*7.35</f>
        <v>204.02566406249997</v>
      </c>
      <c r="Z34" s="137">
        <f>(('LCFS Table'!$R34/'LCFS Table'!$AB34)*'LCFS Table'!$AG34)*7.35</f>
        <v>45.9375</v>
      </c>
      <c r="AA34" s="138">
        <v>0.94</v>
      </c>
      <c r="AB34" s="138">
        <v>0.96</v>
      </c>
      <c r="AC34" s="138">
        <v>0.5</v>
      </c>
      <c r="AD34" s="138">
        <v>0.25</v>
      </c>
      <c r="AE34" s="138">
        <v>0.25</v>
      </c>
      <c r="AF34" s="138">
        <v>0.75</v>
      </c>
      <c r="AG34" s="138">
        <v>0.25</v>
      </c>
      <c r="AH34" s="139">
        <v>4.375</v>
      </c>
      <c r="AI34" s="139">
        <v>136</v>
      </c>
      <c r="AJ34" s="139">
        <v>110</v>
      </c>
      <c r="AK34" s="139">
        <f>('LCFS Table'!$AI34/340)*100</f>
        <v>40</v>
      </c>
      <c r="AL34" s="139">
        <f>('LCFS Table'!$AJ34/340)*100</f>
        <v>32.352941176470587</v>
      </c>
      <c r="AM34" s="139">
        <v>105</v>
      </c>
      <c r="AN34" s="139">
        <v>90</v>
      </c>
      <c r="AO34" s="139">
        <f>('LCFS Table'!$AM34/300)*100</f>
        <v>35</v>
      </c>
      <c r="AP34" s="139">
        <f>('LCFS Table'!$AN34/300)*100</f>
        <v>30</v>
      </c>
      <c r="AQ34" s="140">
        <v>195.45</v>
      </c>
      <c r="AR34" s="136">
        <v>0.42299999999999999</v>
      </c>
      <c r="AS34" s="137">
        <v>1.7195731087657851</v>
      </c>
      <c r="AT34" s="137">
        <v>0.16</v>
      </c>
      <c r="AU34" s="137">
        <v>1</v>
      </c>
      <c r="AV34" s="137">
        <f>'LCFS Table'!$AR34*1.7</f>
        <v>0.71909999999999996</v>
      </c>
      <c r="AW34" s="137">
        <v>0</v>
      </c>
      <c r="AX34" s="137">
        <v>1.1837819241157499</v>
      </c>
      <c r="AY34" s="137">
        <v>0</v>
      </c>
      <c r="AZ34" s="141">
        <v>1</v>
      </c>
      <c r="BA34" s="137">
        <f>'LCFS Table'!$AR34*1.5</f>
        <v>0.63449999999999995</v>
      </c>
      <c r="BB34" s="142">
        <v>1.2</v>
      </c>
      <c r="BC34" s="137">
        <f>'LCFS Table'!$AS34*'LCFS Table'!$BW34</f>
        <v>1.7195731087657851</v>
      </c>
      <c r="BD34" s="137">
        <f>'LCFS Table'!$AT34*'LCFS Table'!$BX34</f>
        <v>0</v>
      </c>
      <c r="BE34" s="137">
        <f>'LCFS Table'!$AU34*'LCFS Table'!$BY34</f>
        <v>1</v>
      </c>
      <c r="BF34" s="137">
        <f>'LCFS Table'!$AV34*'LCFS Table'!$BZ34</f>
        <v>0.71909999999999996</v>
      </c>
      <c r="BG34" s="137">
        <f>'LCFS Table'!$AW34*'LCFS Table'!$CA34</f>
        <v>0</v>
      </c>
      <c r="BH34" s="137">
        <f>'LCFS Table'!$AX34*'LCFS Table'!$CB34</f>
        <v>1.1837819241157499</v>
      </c>
      <c r="BI34" s="137">
        <f>'LCFS Table'!$AY34*'LCFS Table'!$CC34</f>
        <v>0</v>
      </c>
      <c r="BJ34" s="137">
        <f>'LCFS Table'!$AZ34*'LCFS Table'!$CD34</f>
        <v>1</v>
      </c>
      <c r="BK34" s="137">
        <f>'LCFS Table'!$BA34*'LCFS Table'!$CE34</f>
        <v>0.63449999999999995</v>
      </c>
      <c r="BL34" s="137">
        <f>'LCFS Table'!$BB34*'LCFS Table'!$CF34</f>
        <v>-1.2</v>
      </c>
      <c r="BM34" s="137">
        <f>'LCFS Table'!$AS34*'LCFS Table'!$CG34</f>
        <v>0</v>
      </c>
      <c r="BN34" s="137">
        <f>'LCFS Table'!$AT34*'LCFS Table'!$CH34</f>
        <v>0.16</v>
      </c>
      <c r="BO34" s="137">
        <f>'LCFS Table'!$AU34*'LCFS Table'!$CI34</f>
        <v>0</v>
      </c>
      <c r="BP34" s="137">
        <f>'LCFS Table'!$AV34*'LCFS Table'!$CJ34</f>
        <v>0</v>
      </c>
      <c r="BQ34" s="137">
        <f>'LCFS Table'!$AW34*'LCFS Table'!$CK34</f>
        <v>0</v>
      </c>
      <c r="BR34" s="137">
        <f>'LCFS Table'!$AX34*'LCFS Table'!$CL34</f>
        <v>0</v>
      </c>
      <c r="BS34" s="137">
        <f>'LCFS Table'!$AY34*'LCFS Table'!$CM34</f>
        <v>0</v>
      </c>
      <c r="BT34" s="137">
        <f>'LCFS Table'!$AZ34*'LCFS Table'!$CN34</f>
        <v>0</v>
      </c>
      <c r="BU34" s="137">
        <f>'LCFS Table'!$BA34*'LCFS Table'!$CO34</f>
        <v>0</v>
      </c>
      <c r="BV34" s="142">
        <f>'LCFS Table'!$BB34*'LCFS Table'!$CP34</f>
        <v>1.2</v>
      </c>
      <c r="BW34" s="138">
        <v>1</v>
      </c>
      <c r="BX34" s="138">
        <v>0</v>
      </c>
      <c r="BY34" s="138">
        <v>1</v>
      </c>
      <c r="BZ34" s="138">
        <v>1</v>
      </c>
      <c r="CA34" s="138">
        <v>-1</v>
      </c>
      <c r="CB34" s="138">
        <v>1</v>
      </c>
      <c r="CC34" s="138">
        <v>0</v>
      </c>
      <c r="CD34" s="138">
        <v>1</v>
      </c>
      <c r="CE34" s="138">
        <v>1</v>
      </c>
      <c r="CF34" s="138">
        <v>-1</v>
      </c>
      <c r="CG34" s="138">
        <f>1-'LCFS Table'!$BW34</f>
        <v>0</v>
      </c>
      <c r="CH34" s="138">
        <f>1-'LCFS Table'!$BX34</f>
        <v>1</v>
      </c>
      <c r="CI34" s="138">
        <f>1-'LCFS Table'!$BY34</f>
        <v>0</v>
      </c>
      <c r="CJ34" s="138">
        <f>1-'LCFS Table'!$BZ34</f>
        <v>0</v>
      </c>
      <c r="CK34" s="138">
        <f>-'LCFS Table'!$CA34</f>
        <v>1</v>
      </c>
      <c r="CL34" s="138">
        <f>1-'LCFS Table'!$CB34</f>
        <v>0</v>
      </c>
      <c r="CM34" s="138">
        <f>1-'LCFS Table'!$CC34</f>
        <v>1</v>
      </c>
      <c r="CN34" s="138">
        <f>1-'LCFS Table'!$CD34</f>
        <v>0</v>
      </c>
      <c r="CO34" s="138">
        <f>1-'LCFS Table'!$CE34</f>
        <v>0</v>
      </c>
      <c r="CP34" s="138">
        <f>-'LCFS Table'!$CF34</f>
        <v>1</v>
      </c>
      <c r="CQ34" s="140">
        <v>4.75</v>
      </c>
      <c r="CR34" s="165">
        <f>('LCFS Table'!$CQ34*0.9/(0.8/0.99)/100)</f>
        <v>5.2903124999999995E-2</v>
      </c>
      <c r="CS34" s="166"/>
      <c r="CT34" s="167"/>
      <c r="CW34" s="168">
        <f>'LCFS Table'!$K34-'LCFS Table'!$M34</f>
        <v>1.2868819241157499</v>
      </c>
      <c r="CX34" s="129">
        <f>MONTH('LCFS Table'!$B34)</f>
        <v>8</v>
      </c>
      <c r="CY34" s="129">
        <f>YEAR('LCFS Table'!$B34)</f>
        <v>2019</v>
      </c>
    </row>
    <row r="35" spans="1:103">
      <c r="A35" s="148">
        <v>43688</v>
      </c>
      <c r="B35" s="149">
        <v>43694</v>
      </c>
      <c r="C35" s="132">
        <f t="shared" si="0"/>
        <v>2019</v>
      </c>
      <c r="D35" s="150" t="s">
        <v>289</v>
      </c>
      <c r="E35" s="134">
        <f>'LCFS Table'!$K35-'LCFS Table'!$I35</f>
        <v>-1.0666517521902381</v>
      </c>
      <c r="F35" s="134">
        <f>('LCFS Table'!$M35)-'LCFS Table'!$J35</f>
        <v>-2.702864374991</v>
      </c>
      <c r="G35" s="135">
        <f>'LCFS Table'!$E35+'LCFS Table'!$AS35+'LCFS Table'!$AT35+'LCFS Table'!$AU35+'LCFS Table'!$AV35</f>
        <v>2.6087371006729962</v>
      </c>
      <c r="H35" s="135">
        <f>'LCFS Table'!$F35+'LCFS Table'!$AX35+'LCFS Table'!$AY35+'LCFS Table'!$AZ35+'LCFS Table'!$BA35+('LCFS Table'!$CQ35*0.9/(0.8/0.99)/100)+(DG35*'LCFS Table'!$AF35)+(DF35*'LCFS Table'!$AG35)</f>
        <v>0.23234257812500009</v>
      </c>
      <c r="I35" s="134">
        <f>('LCFS Table'!$V35+'LCFS Table'!$W35+'LCFS Table'!$X35)/100+(('LCFS Table'!$AI35+'LCFS Table'!$AJ35)/340)</f>
        <v>2.9066517521902382</v>
      </c>
      <c r="J35" s="134">
        <f>(('LCFS Table'!$Y35+'LCFS Table'!$Z35)/100)+(('LCFS Table'!$AM35+'LCFS Table'!$AN35)/300)</f>
        <v>3.2055605468750001</v>
      </c>
      <c r="K35" s="136">
        <f>'[1]Fuel Values'!$C34</f>
        <v>1.84</v>
      </c>
      <c r="L35" s="136">
        <f>'[1]Fuel Values'!$B34</f>
        <v>338.5</v>
      </c>
      <c r="M35" s="137">
        <f>('LCFS Table'!$L35/100)-'LCFS Table'!$AX35-'LCFS Table'!$AY35-'LCFS Table'!$AZ35-'LCFS Table'!$BA35</f>
        <v>0.50269617188399995</v>
      </c>
      <c r="N35" s="136">
        <f>[1]BFT!$B34</f>
        <v>31</v>
      </c>
      <c r="O35" s="136">
        <f>[1]UCO!$B34</f>
        <v>26.35</v>
      </c>
      <c r="P35" s="136">
        <f>[1]DCO!$B34</f>
        <v>25.2</v>
      </c>
      <c r="Q35" s="136">
        <f>'[1]Soybean Oil'!$B34</f>
        <v>32.130000000000003</v>
      </c>
      <c r="R35" s="136">
        <f>'[1]Yellow Grease'!$B34</f>
        <v>24</v>
      </c>
      <c r="S35" s="137">
        <f>'LCFS Table'!$N35 + 'LCFS Table'!$AH35</f>
        <v>35.375</v>
      </c>
      <c r="T35" s="137">
        <f>'LCFS Table'!$Q35+'LCFS Table'!$AH35</f>
        <v>36.505000000000003</v>
      </c>
      <c r="U35" s="137">
        <f>'LCFS Table'!$P35+'LCFS Table'!$AH35</f>
        <v>29.574999999999999</v>
      </c>
      <c r="V35" s="137">
        <f>(('LCFS Table'!$S35/'LCFS Table'!$AA35)*'LCFS Table'!$AC35)*6.48</f>
        <v>121.93085106382981</v>
      </c>
      <c r="W35" s="137">
        <f>(('LCFS Table'!$O35/'LCFS Table'!$AA35)*'LCFS Table'!$AD35)*6.48</f>
        <v>45.411702127659581</v>
      </c>
      <c r="X35" s="137">
        <f>(('LCFS Table'!$U35/'LCFS Table'!$AA35)*'LCFS Table'!$AE35)*6.48</f>
        <v>50.969680851063835</v>
      </c>
      <c r="Y35" s="137">
        <f>(('LCFS Table'!$T35/'LCFS Table'!$AB35)*'LCFS Table'!$AF35)*7.35</f>
        <v>209.61855468750002</v>
      </c>
      <c r="Z35" s="137">
        <f>(('LCFS Table'!$R35/'LCFS Table'!$AB35)*'LCFS Table'!$AG35)*7.35</f>
        <v>45.9375</v>
      </c>
      <c r="AA35" s="138">
        <v>0.94</v>
      </c>
      <c r="AB35" s="138">
        <v>0.96</v>
      </c>
      <c r="AC35" s="138">
        <v>0.5</v>
      </c>
      <c r="AD35" s="138">
        <v>0.25</v>
      </c>
      <c r="AE35" s="138">
        <v>0.25</v>
      </c>
      <c r="AF35" s="138">
        <v>0.75</v>
      </c>
      <c r="AG35" s="138">
        <v>0.25</v>
      </c>
      <c r="AH35" s="139">
        <v>4.375</v>
      </c>
      <c r="AI35" s="139">
        <v>136</v>
      </c>
      <c r="AJ35" s="139">
        <v>110</v>
      </c>
      <c r="AK35" s="139">
        <f>('LCFS Table'!$AI35/340)*100</f>
        <v>40</v>
      </c>
      <c r="AL35" s="139">
        <f>('LCFS Table'!$AJ35/340)*100</f>
        <v>32.352941176470587</v>
      </c>
      <c r="AM35" s="139">
        <v>105</v>
      </c>
      <c r="AN35" s="139">
        <v>90</v>
      </c>
      <c r="AO35" s="139">
        <f>('LCFS Table'!$AM35/300)*100</f>
        <v>35</v>
      </c>
      <c r="AP35" s="139">
        <f>('LCFS Table'!$AN35/300)*100</f>
        <v>30</v>
      </c>
      <c r="AQ35" s="140">
        <v>197.6</v>
      </c>
      <c r="AR35" s="136">
        <v>0.45700000000000002</v>
      </c>
      <c r="AS35" s="137">
        <v>1.7384888528632343</v>
      </c>
      <c r="AT35" s="137">
        <v>0.16</v>
      </c>
      <c r="AU35" s="137">
        <v>1</v>
      </c>
      <c r="AV35" s="137">
        <f>'LCFS Table'!$AR35*1.7</f>
        <v>0.77690000000000003</v>
      </c>
      <c r="AW35" s="137">
        <v>0</v>
      </c>
      <c r="AX35" s="137">
        <v>1.1968038281160001</v>
      </c>
      <c r="AY35" s="137">
        <v>0</v>
      </c>
      <c r="AZ35" s="141">
        <v>1</v>
      </c>
      <c r="BA35" s="137">
        <f>'LCFS Table'!$AR35*1.5</f>
        <v>0.6855</v>
      </c>
      <c r="BB35" s="142">
        <v>1.2</v>
      </c>
      <c r="BC35" s="137">
        <f>'LCFS Table'!$AS35*'LCFS Table'!$BW35</f>
        <v>1.7384888528632343</v>
      </c>
      <c r="BD35" s="137">
        <f>'LCFS Table'!$AT35*'LCFS Table'!$BX35</f>
        <v>0</v>
      </c>
      <c r="BE35" s="137">
        <f>'LCFS Table'!$AU35*'LCFS Table'!$BY35</f>
        <v>1</v>
      </c>
      <c r="BF35" s="137">
        <f>'LCFS Table'!$AV35*'LCFS Table'!$BZ35</f>
        <v>0.77690000000000003</v>
      </c>
      <c r="BG35" s="137">
        <f>'LCFS Table'!$AW35*'LCFS Table'!$CA35</f>
        <v>0</v>
      </c>
      <c r="BH35" s="137">
        <f>'LCFS Table'!$AX35*'LCFS Table'!$CB35</f>
        <v>1.1968038281160001</v>
      </c>
      <c r="BI35" s="137">
        <f>'LCFS Table'!$AY35*'LCFS Table'!$CC35</f>
        <v>0</v>
      </c>
      <c r="BJ35" s="137">
        <f>'LCFS Table'!$AZ35*'LCFS Table'!$CD35</f>
        <v>1</v>
      </c>
      <c r="BK35" s="137">
        <f>'LCFS Table'!$BA35*'LCFS Table'!$CE35</f>
        <v>0.6855</v>
      </c>
      <c r="BL35" s="137">
        <f>'LCFS Table'!$BB35*'LCFS Table'!$CF35</f>
        <v>-1.2</v>
      </c>
      <c r="BM35" s="137">
        <f>'LCFS Table'!$AS35*'LCFS Table'!$CG35</f>
        <v>0</v>
      </c>
      <c r="BN35" s="137">
        <f>'LCFS Table'!$AT35*'LCFS Table'!$CH35</f>
        <v>0.16</v>
      </c>
      <c r="BO35" s="137">
        <f>'LCFS Table'!$AU35*'LCFS Table'!$CI35</f>
        <v>0</v>
      </c>
      <c r="BP35" s="137">
        <f>'LCFS Table'!$AV35*'LCFS Table'!$CJ35</f>
        <v>0</v>
      </c>
      <c r="BQ35" s="137">
        <f>'LCFS Table'!$AW35*'LCFS Table'!$CK35</f>
        <v>0</v>
      </c>
      <c r="BR35" s="137">
        <f>'LCFS Table'!$AX35*'LCFS Table'!$CL35</f>
        <v>0</v>
      </c>
      <c r="BS35" s="137">
        <f>'LCFS Table'!$AY35*'LCFS Table'!$CM35</f>
        <v>0</v>
      </c>
      <c r="BT35" s="137">
        <f>'LCFS Table'!$AZ35*'LCFS Table'!$CN35</f>
        <v>0</v>
      </c>
      <c r="BU35" s="137">
        <f>'LCFS Table'!$BA35*'LCFS Table'!$CO35</f>
        <v>0</v>
      </c>
      <c r="BV35" s="142">
        <f>'LCFS Table'!$BB35*'LCFS Table'!$CP35</f>
        <v>1.2</v>
      </c>
      <c r="BW35" s="138">
        <v>1</v>
      </c>
      <c r="BX35" s="138">
        <v>0</v>
      </c>
      <c r="BY35" s="138">
        <v>1</v>
      </c>
      <c r="BZ35" s="138">
        <v>1</v>
      </c>
      <c r="CA35" s="138">
        <v>-1</v>
      </c>
      <c r="CB35" s="138">
        <v>1</v>
      </c>
      <c r="CC35" s="138">
        <v>0</v>
      </c>
      <c r="CD35" s="138">
        <v>1</v>
      </c>
      <c r="CE35" s="138">
        <v>1</v>
      </c>
      <c r="CF35" s="138">
        <v>-1</v>
      </c>
      <c r="CG35" s="138">
        <f>1-'LCFS Table'!$BW35</f>
        <v>0</v>
      </c>
      <c r="CH35" s="138">
        <f>1-'LCFS Table'!$BX35</f>
        <v>1</v>
      </c>
      <c r="CI35" s="138">
        <f>1-'LCFS Table'!$BY35</f>
        <v>0</v>
      </c>
      <c r="CJ35" s="138">
        <f>1-'LCFS Table'!$BZ35</f>
        <v>0</v>
      </c>
      <c r="CK35" s="138">
        <f>-'LCFS Table'!$CA35</f>
        <v>1</v>
      </c>
      <c r="CL35" s="138">
        <f>1-'LCFS Table'!$CB35</f>
        <v>0</v>
      </c>
      <c r="CM35" s="138">
        <f>1-'LCFS Table'!$CC35</f>
        <v>1</v>
      </c>
      <c r="CN35" s="138">
        <f>1-'LCFS Table'!$CD35</f>
        <v>0</v>
      </c>
      <c r="CO35" s="138">
        <f>1-'LCFS Table'!$CE35</f>
        <v>0</v>
      </c>
      <c r="CP35" s="138">
        <f>-'LCFS Table'!$CF35</f>
        <v>1</v>
      </c>
      <c r="CQ35" s="140">
        <v>4.75</v>
      </c>
      <c r="CR35" s="165">
        <f>('LCFS Table'!$CQ35*0.9/(0.8/0.99)/100)</f>
        <v>5.2903124999999995E-2</v>
      </c>
      <c r="CS35" s="166"/>
      <c r="CT35" s="167"/>
      <c r="CW35" s="168">
        <f>'LCFS Table'!$K35-'LCFS Table'!$M35</f>
        <v>1.3373038281160001</v>
      </c>
      <c r="CX35" s="129">
        <f>MONTH('LCFS Table'!$B35)</f>
        <v>8</v>
      </c>
      <c r="CY35" s="129">
        <f>YEAR('LCFS Table'!$B35)</f>
        <v>2019</v>
      </c>
    </row>
    <row r="36" spans="1:103">
      <c r="A36" s="148">
        <v>43695</v>
      </c>
      <c r="B36" s="149">
        <v>43701</v>
      </c>
      <c r="C36" s="132">
        <f t="shared" si="0"/>
        <v>2019</v>
      </c>
      <c r="D36" s="150" t="s">
        <v>290</v>
      </c>
      <c r="E36" s="134">
        <f>'LCFS Table'!$K36-'LCFS Table'!$I36</f>
        <v>-1.0477347309136424</v>
      </c>
      <c r="F36" s="134">
        <f>('LCFS Table'!$M36)-'LCFS Table'!$J36</f>
        <v>-2.6957824379969999</v>
      </c>
      <c r="G36" s="135">
        <f>'LCFS Table'!$E36+'LCFS Table'!$AS36+'LCFS Table'!$AT36+'LCFS Table'!$AU36+'LCFS Table'!$AV36</f>
        <v>2.6723309547662981</v>
      </c>
      <c r="H36" s="135">
        <f>'LCFS Table'!$F36+'LCFS Table'!$AX36+'LCFS Table'!$AY36+'LCFS Table'!$AZ36+'LCFS Table'!$BA36+('LCFS Table'!$CQ36*0.9/(0.8/0.99)/100)+(DG36*'LCFS Table'!$AF36)+(DF36*'LCFS Table'!$AG36)</f>
        <v>0.27611523437500013</v>
      </c>
      <c r="I36" s="134">
        <f>('LCFS Table'!$V36+'LCFS Table'!$W36+'LCFS Table'!$X36)/100+(('LCFS Table'!$AI36+'LCFS Table'!$AJ36)/340)</f>
        <v>2.8980347309136425</v>
      </c>
      <c r="J36" s="134">
        <f>(('LCFS Table'!$Y36+'LCFS Table'!$Z36)/100)+(('LCFS Table'!$AM36+'LCFS Table'!$AN36)/300)</f>
        <v>3.1817878906249999</v>
      </c>
      <c r="K36" s="136">
        <f>'[1]Fuel Values'!$C35</f>
        <v>1.8503000000000001</v>
      </c>
      <c r="L36" s="136">
        <f>'[1]Fuel Values'!$B35</f>
        <v>340.5</v>
      </c>
      <c r="M36" s="137">
        <f>('LCFS Table'!$L36/100)-'LCFS Table'!$AX36-'LCFS Table'!$AY36-'LCFS Table'!$AZ36-'LCFS Table'!$BA36</f>
        <v>0.48600545262799999</v>
      </c>
      <c r="N36" s="136">
        <f>[1]BFT!$B35</f>
        <v>31</v>
      </c>
      <c r="O36" s="136">
        <f>[1]UCO!$B35</f>
        <v>26.5</v>
      </c>
      <c r="P36" s="136">
        <f>[1]DCO!$B35</f>
        <v>24.55</v>
      </c>
      <c r="Q36" s="136">
        <f>'[1]Soybean Oil'!$B35</f>
        <v>31.815999999999999</v>
      </c>
      <c r="R36" s="136">
        <f>'[1]Yellow Grease'!$B35</f>
        <v>23.7</v>
      </c>
      <c r="S36" s="137">
        <f>'LCFS Table'!$N36 + 'LCFS Table'!$AH36</f>
        <v>35.375</v>
      </c>
      <c r="T36" s="137">
        <f>'LCFS Table'!$Q36+'LCFS Table'!$AH36</f>
        <v>36.191000000000003</v>
      </c>
      <c r="U36" s="137">
        <f>'LCFS Table'!$P36+'LCFS Table'!$AH36</f>
        <v>28.925000000000001</v>
      </c>
      <c r="V36" s="137">
        <f>(('LCFS Table'!$S36/'LCFS Table'!$AA36)*'LCFS Table'!$AC36)*6.48</f>
        <v>121.93085106382981</v>
      </c>
      <c r="W36" s="137">
        <f>(('LCFS Table'!$O36/'LCFS Table'!$AA36)*'LCFS Table'!$AD36)*6.48</f>
        <v>45.670212765957451</v>
      </c>
      <c r="X36" s="137">
        <f>(('LCFS Table'!$U36/'LCFS Table'!$AA36)*'LCFS Table'!$AE36)*6.48</f>
        <v>49.849468085106395</v>
      </c>
      <c r="Y36" s="137">
        <f>(('LCFS Table'!$T36/'LCFS Table'!$AB36)*'LCFS Table'!$AF36)*7.35</f>
        <v>207.81550781250002</v>
      </c>
      <c r="Z36" s="137">
        <f>(('LCFS Table'!$R36/'LCFS Table'!$AB36)*'LCFS Table'!$AG36)*7.35</f>
        <v>45.36328125</v>
      </c>
      <c r="AA36" s="138">
        <v>0.94</v>
      </c>
      <c r="AB36" s="138">
        <v>0.96</v>
      </c>
      <c r="AC36" s="138">
        <v>0.5</v>
      </c>
      <c r="AD36" s="138">
        <v>0.25</v>
      </c>
      <c r="AE36" s="138">
        <v>0.25</v>
      </c>
      <c r="AF36" s="138">
        <v>0.75</v>
      </c>
      <c r="AG36" s="138">
        <v>0.25</v>
      </c>
      <c r="AH36" s="139">
        <v>4.375</v>
      </c>
      <c r="AI36" s="139">
        <v>136</v>
      </c>
      <c r="AJ36" s="139">
        <v>110</v>
      </c>
      <c r="AK36" s="139">
        <f>('LCFS Table'!$AI36/340)*100</f>
        <v>40</v>
      </c>
      <c r="AL36" s="139">
        <f>('LCFS Table'!$AJ36/340)*100</f>
        <v>32.352941176470587</v>
      </c>
      <c r="AM36" s="139">
        <v>105</v>
      </c>
      <c r="AN36" s="139">
        <v>90</v>
      </c>
      <c r="AO36" s="139">
        <f>('LCFS Table'!$AM36/300)*100</f>
        <v>35</v>
      </c>
      <c r="AP36" s="139">
        <f>('LCFS Table'!$AN36/300)*100</f>
        <v>30</v>
      </c>
      <c r="AQ36" s="140">
        <v>199.2</v>
      </c>
      <c r="AR36" s="136">
        <v>0.47499999999999998</v>
      </c>
      <c r="AS36" s="137">
        <v>1.7525656856799405</v>
      </c>
      <c r="AT36" s="137">
        <v>0.16</v>
      </c>
      <c r="AU36" s="137">
        <v>1</v>
      </c>
      <c r="AV36" s="137">
        <f>'LCFS Table'!$AR36*1.7</f>
        <v>0.8075</v>
      </c>
      <c r="AW36" s="137">
        <v>0</v>
      </c>
      <c r="AX36" s="137">
        <v>1.2064945473720001</v>
      </c>
      <c r="AY36" s="137">
        <v>0</v>
      </c>
      <c r="AZ36" s="141">
        <v>1</v>
      </c>
      <c r="BA36" s="137">
        <f>'LCFS Table'!$AR36*1.5</f>
        <v>0.71249999999999991</v>
      </c>
      <c r="BB36" s="142">
        <v>1.2</v>
      </c>
      <c r="BC36" s="137">
        <f>'LCFS Table'!$AS36*'LCFS Table'!$BW36</f>
        <v>1.7525656856799405</v>
      </c>
      <c r="BD36" s="137">
        <f>'LCFS Table'!$AT36*'LCFS Table'!$BX36</f>
        <v>0</v>
      </c>
      <c r="BE36" s="137">
        <f>'LCFS Table'!$AU36*'LCFS Table'!$BY36</f>
        <v>1</v>
      </c>
      <c r="BF36" s="137">
        <f>'LCFS Table'!$AV36*'LCFS Table'!$BZ36</f>
        <v>0.8075</v>
      </c>
      <c r="BG36" s="137">
        <f>'LCFS Table'!$AW36*'LCFS Table'!$CA36</f>
        <v>0</v>
      </c>
      <c r="BH36" s="137">
        <f>'LCFS Table'!$AX36*'LCFS Table'!$CB36</f>
        <v>1.2064945473720001</v>
      </c>
      <c r="BI36" s="137">
        <f>'LCFS Table'!$AY36*'LCFS Table'!$CC36</f>
        <v>0</v>
      </c>
      <c r="BJ36" s="137">
        <f>'LCFS Table'!$AZ36*'LCFS Table'!$CD36</f>
        <v>1</v>
      </c>
      <c r="BK36" s="137">
        <f>'LCFS Table'!$BA36*'LCFS Table'!$CE36</f>
        <v>0.71249999999999991</v>
      </c>
      <c r="BL36" s="137">
        <f>'LCFS Table'!$BB36*'LCFS Table'!$CF36</f>
        <v>-1.2</v>
      </c>
      <c r="BM36" s="137">
        <f>'LCFS Table'!$AS36*'LCFS Table'!$CG36</f>
        <v>0</v>
      </c>
      <c r="BN36" s="137">
        <f>'LCFS Table'!$AT36*'LCFS Table'!$CH36</f>
        <v>0.16</v>
      </c>
      <c r="BO36" s="137">
        <f>'LCFS Table'!$AU36*'LCFS Table'!$CI36</f>
        <v>0</v>
      </c>
      <c r="BP36" s="137">
        <f>'LCFS Table'!$AV36*'LCFS Table'!$CJ36</f>
        <v>0</v>
      </c>
      <c r="BQ36" s="137">
        <f>'LCFS Table'!$AW36*'LCFS Table'!$CK36</f>
        <v>0</v>
      </c>
      <c r="BR36" s="137">
        <f>'LCFS Table'!$AX36*'LCFS Table'!$CL36</f>
        <v>0</v>
      </c>
      <c r="BS36" s="137">
        <f>'LCFS Table'!$AY36*'LCFS Table'!$CM36</f>
        <v>0</v>
      </c>
      <c r="BT36" s="137">
        <f>'LCFS Table'!$AZ36*'LCFS Table'!$CN36</f>
        <v>0</v>
      </c>
      <c r="BU36" s="137">
        <f>'LCFS Table'!$BA36*'LCFS Table'!$CO36</f>
        <v>0</v>
      </c>
      <c r="BV36" s="142">
        <f>'LCFS Table'!$BB36*'LCFS Table'!$CP36</f>
        <v>1.2</v>
      </c>
      <c r="BW36" s="138">
        <v>1</v>
      </c>
      <c r="BX36" s="138">
        <v>0</v>
      </c>
      <c r="BY36" s="138">
        <v>1</v>
      </c>
      <c r="BZ36" s="138">
        <v>1</v>
      </c>
      <c r="CA36" s="138">
        <v>-1</v>
      </c>
      <c r="CB36" s="138">
        <v>1</v>
      </c>
      <c r="CC36" s="138">
        <v>0</v>
      </c>
      <c r="CD36" s="138">
        <v>1</v>
      </c>
      <c r="CE36" s="138">
        <v>1</v>
      </c>
      <c r="CF36" s="138">
        <v>-1</v>
      </c>
      <c r="CG36" s="138">
        <f>1-'LCFS Table'!$BW36</f>
        <v>0</v>
      </c>
      <c r="CH36" s="138">
        <f>1-'LCFS Table'!$BX36</f>
        <v>1</v>
      </c>
      <c r="CI36" s="138">
        <f>1-'LCFS Table'!$BY36</f>
        <v>0</v>
      </c>
      <c r="CJ36" s="138">
        <f>1-'LCFS Table'!$BZ36</f>
        <v>0</v>
      </c>
      <c r="CK36" s="138">
        <f>-'LCFS Table'!$CA36</f>
        <v>1</v>
      </c>
      <c r="CL36" s="138">
        <f>1-'LCFS Table'!$CB36</f>
        <v>0</v>
      </c>
      <c r="CM36" s="138">
        <f>1-'LCFS Table'!$CC36</f>
        <v>1</v>
      </c>
      <c r="CN36" s="138">
        <f>1-'LCFS Table'!$CD36</f>
        <v>0</v>
      </c>
      <c r="CO36" s="138">
        <f>1-'LCFS Table'!$CE36</f>
        <v>0</v>
      </c>
      <c r="CP36" s="138">
        <f>-'LCFS Table'!$CF36</f>
        <v>1</v>
      </c>
      <c r="CQ36" s="140">
        <v>4.75</v>
      </c>
      <c r="CR36" s="165">
        <f>('LCFS Table'!$CQ36*0.9/(0.8/0.99)/100)</f>
        <v>5.2903124999999995E-2</v>
      </c>
      <c r="CS36" s="166"/>
      <c r="CT36" s="167"/>
      <c r="CW36" s="168">
        <f>'LCFS Table'!$K36-'LCFS Table'!$M36</f>
        <v>1.3642945473720001</v>
      </c>
      <c r="CX36" s="129">
        <f>MONTH('LCFS Table'!$B36)</f>
        <v>8</v>
      </c>
      <c r="CY36" s="129">
        <f>YEAR('LCFS Table'!$B36)</f>
        <v>2019</v>
      </c>
    </row>
    <row r="37" spans="1:103">
      <c r="A37" s="148">
        <v>43702</v>
      </c>
      <c r="B37" s="149">
        <v>43708</v>
      </c>
      <c r="C37" s="132">
        <f t="shared" si="0"/>
        <v>2019</v>
      </c>
      <c r="D37" s="150" t="s">
        <v>291</v>
      </c>
      <c r="E37" s="134">
        <f>'LCFS Table'!$K37-'LCFS Table'!$I37</f>
        <v>-1.0189581351689614</v>
      </c>
      <c r="F37" s="134">
        <f>('LCFS Table'!$M37)-'LCFS Table'!$J37</f>
        <v>-2.6518967669562494</v>
      </c>
      <c r="G37" s="135">
        <f>'LCFS Table'!$E37+'LCFS Table'!$AS37+'LCFS Table'!$AT37+'LCFS Table'!$AU37+'LCFS Table'!$AV37</f>
        <v>2.6928984412812804</v>
      </c>
      <c r="H37" s="135">
        <f>'LCFS Table'!$F37+'LCFS Table'!$AX37+'LCFS Table'!$AY37+'LCFS Table'!$AZ37+'LCFS Table'!$BA37+('LCFS Table'!$CQ37*0.9/(0.8/0.99)/100)+(DG37*'LCFS Table'!$AF37)+(DF37*'LCFS Table'!$AG37)</f>
        <v>0.31352539062500057</v>
      </c>
      <c r="I37" s="134">
        <f>('LCFS Table'!$V37+'LCFS Table'!$W37+'LCFS Table'!$X37)/100+(('LCFS Table'!$AI37+'LCFS Table'!$AJ37)/340)</f>
        <v>2.8592581351689614</v>
      </c>
      <c r="J37" s="134">
        <f>(('LCFS Table'!$Y37+'LCFS Table'!$Z37)/100)+(('LCFS Table'!$AM37+'LCFS Table'!$AN37)/300)</f>
        <v>3.1463777343749997</v>
      </c>
      <c r="K37" s="136">
        <f>'[1]Fuel Values'!$C36</f>
        <v>1.8403</v>
      </c>
      <c r="L37" s="136">
        <f>'[1]Fuel Values'!$B36</f>
        <v>340.7</v>
      </c>
      <c r="M37" s="137">
        <f>('LCFS Table'!$L37/100)-'LCFS Table'!$AX37-'LCFS Table'!$AY37-'LCFS Table'!$AZ37-'LCFS Table'!$BA37</f>
        <v>0.49448096741875003</v>
      </c>
      <c r="N37" s="136">
        <f>[1]BFT!$B36</f>
        <v>30.1</v>
      </c>
      <c r="O37" s="136">
        <f>[1]UCO!$B36</f>
        <v>26.5</v>
      </c>
      <c r="P37" s="136">
        <f>[1]DCO!$B36</f>
        <v>24.1</v>
      </c>
      <c r="Q37" s="136">
        <f>'[1]Soybean Oil'!$B36</f>
        <v>31.265999999999998</v>
      </c>
      <c r="R37" s="136">
        <f>'[1]Yellow Grease'!$B36</f>
        <v>23.5</v>
      </c>
      <c r="S37" s="137">
        <f>'LCFS Table'!$N37 + 'LCFS Table'!$AH37</f>
        <v>34.475000000000001</v>
      </c>
      <c r="T37" s="137">
        <f>'LCFS Table'!$Q37+'LCFS Table'!$AH37</f>
        <v>35.640999999999998</v>
      </c>
      <c r="U37" s="137">
        <f>'LCFS Table'!$P37+'LCFS Table'!$AH37</f>
        <v>28.475000000000001</v>
      </c>
      <c r="V37" s="137">
        <f>(('LCFS Table'!$S37/'LCFS Table'!$AA37)*'LCFS Table'!$AC37)*6.48</f>
        <v>118.82872340425533</v>
      </c>
      <c r="W37" s="137">
        <f>(('LCFS Table'!$O37/'LCFS Table'!$AA37)*'LCFS Table'!$AD37)*6.48</f>
        <v>45.670212765957451</v>
      </c>
      <c r="X37" s="137">
        <f>(('LCFS Table'!$U37/'LCFS Table'!$AA37)*'LCFS Table'!$AE37)*6.48</f>
        <v>49.073936170212775</v>
      </c>
      <c r="Y37" s="137">
        <f>(('LCFS Table'!$T37/'LCFS Table'!$AB37)*'LCFS Table'!$AF37)*7.35</f>
        <v>204.65730468749999</v>
      </c>
      <c r="Z37" s="137">
        <f>(('LCFS Table'!$R37/'LCFS Table'!$AB37)*'LCFS Table'!$AG37)*7.35</f>
        <v>44.98046875</v>
      </c>
      <c r="AA37" s="138">
        <v>0.94</v>
      </c>
      <c r="AB37" s="138">
        <v>0.96</v>
      </c>
      <c r="AC37" s="138">
        <v>0.5</v>
      </c>
      <c r="AD37" s="138">
        <v>0.25</v>
      </c>
      <c r="AE37" s="138">
        <v>0.25</v>
      </c>
      <c r="AF37" s="138">
        <v>0.75</v>
      </c>
      <c r="AG37" s="138">
        <v>0.25</v>
      </c>
      <c r="AH37" s="139">
        <v>4.375</v>
      </c>
      <c r="AI37" s="139">
        <v>136</v>
      </c>
      <c r="AJ37" s="139">
        <v>110</v>
      </c>
      <c r="AK37" s="139">
        <f>('LCFS Table'!$AI37/340)*100</f>
        <v>40</v>
      </c>
      <c r="AL37" s="139">
        <f>('LCFS Table'!$AJ37/340)*100</f>
        <v>32.352941176470587</v>
      </c>
      <c r="AM37" s="139">
        <v>105</v>
      </c>
      <c r="AN37" s="139">
        <v>90</v>
      </c>
      <c r="AO37" s="139">
        <f>('LCFS Table'!$AM37/300)*100</f>
        <v>35</v>
      </c>
      <c r="AP37" s="139">
        <f>('LCFS Table'!$AN37/300)*100</f>
        <v>30</v>
      </c>
      <c r="AQ37" s="140">
        <v>198.75</v>
      </c>
      <c r="AR37" s="136">
        <v>0.47249999999999998</v>
      </c>
      <c r="AS37" s="137">
        <v>1.7486065764502419</v>
      </c>
      <c r="AT37" s="137">
        <v>0.16</v>
      </c>
      <c r="AU37" s="137">
        <v>1</v>
      </c>
      <c r="AV37" s="137">
        <f>'LCFS Table'!$AR37*1.7</f>
        <v>0.80324999999999991</v>
      </c>
      <c r="AW37" s="137">
        <v>0</v>
      </c>
      <c r="AX37" s="137">
        <v>1.20376903258125</v>
      </c>
      <c r="AY37" s="137">
        <v>0</v>
      </c>
      <c r="AZ37" s="141">
        <v>1</v>
      </c>
      <c r="BA37" s="137">
        <f>'LCFS Table'!$AR37*1.5</f>
        <v>0.70874999999999999</v>
      </c>
      <c r="BB37" s="136">
        <v>1.2</v>
      </c>
      <c r="BC37" s="137">
        <f>'LCFS Table'!$AS37*'LCFS Table'!$BW37</f>
        <v>1.7486065764502419</v>
      </c>
      <c r="BD37" s="137">
        <f>'LCFS Table'!$AT37*'LCFS Table'!$BX37</f>
        <v>0</v>
      </c>
      <c r="BE37" s="137">
        <f>'LCFS Table'!$AU37*'LCFS Table'!$BY37</f>
        <v>1</v>
      </c>
      <c r="BF37" s="137">
        <f>'LCFS Table'!$AV37*'LCFS Table'!$BZ37</f>
        <v>0.80324999999999991</v>
      </c>
      <c r="BG37" s="137">
        <f>'LCFS Table'!$AW37*'LCFS Table'!$CA37</f>
        <v>0</v>
      </c>
      <c r="BH37" s="137">
        <f>'LCFS Table'!$AX37*'LCFS Table'!$CB37</f>
        <v>1.20376903258125</v>
      </c>
      <c r="BI37" s="137">
        <f>'LCFS Table'!$AY37*'LCFS Table'!$CC37</f>
        <v>0</v>
      </c>
      <c r="BJ37" s="137">
        <f>'LCFS Table'!$AZ37*'LCFS Table'!$CD37</f>
        <v>1</v>
      </c>
      <c r="BK37" s="137">
        <f>'LCFS Table'!$BA37*'LCFS Table'!$CE37</f>
        <v>0.70874999999999999</v>
      </c>
      <c r="BL37" s="137">
        <f>'LCFS Table'!$BB37*'LCFS Table'!$CF37</f>
        <v>-1.2</v>
      </c>
      <c r="BM37" s="137">
        <f>'LCFS Table'!$AS37*'LCFS Table'!$CG37</f>
        <v>0</v>
      </c>
      <c r="BN37" s="137">
        <f>'LCFS Table'!$AT37*'LCFS Table'!$CH37</f>
        <v>0.16</v>
      </c>
      <c r="BO37" s="137">
        <f>'LCFS Table'!$AU37*'LCFS Table'!$CI37</f>
        <v>0</v>
      </c>
      <c r="BP37" s="137">
        <f>'LCFS Table'!$AV37*'LCFS Table'!$CJ37</f>
        <v>0</v>
      </c>
      <c r="BQ37" s="137">
        <f>'LCFS Table'!$AW37*'LCFS Table'!$CK37</f>
        <v>0</v>
      </c>
      <c r="BR37" s="137">
        <f>'LCFS Table'!$AX37*'LCFS Table'!$CL37</f>
        <v>0</v>
      </c>
      <c r="BS37" s="137">
        <f>'LCFS Table'!$AY37*'LCFS Table'!$CM37</f>
        <v>0</v>
      </c>
      <c r="BT37" s="137">
        <f>'LCFS Table'!$AZ37*'LCFS Table'!$CN37</f>
        <v>0</v>
      </c>
      <c r="BU37" s="137">
        <f>'LCFS Table'!$BA37*'LCFS Table'!$CO37</f>
        <v>0</v>
      </c>
      <c r="BV37" s="136">
        <f>'LCFS Table'!$BB37*'LCFS Table'!$CP37</f>
        <v>1.2</v>
      </c>
      <c r="BW37" s="138">
        <v>1</v>
      </c>
      <c r="BX37" s="138">
        <v>0</v>
      </c>
      <c r="BY37" s="138">
        <v>1</v>
      </c>
      <c r="BZ37" s="138">
        <v>1</v>
      </c>
      <c r="CA37" s="138">
        <v>-1</v>
      </c>
      <c r="CB37" s="138">
        <v>1</v>
      </c>
      <c r="CC37" s="138">
        <v>0</v>
      </c>
      <c r="CD37" s="138">
        <v>1</v>
      </c>
      <c r="CE37" s="138">
        <v>1</v>
      </c>
      <c r="CF37" s="138">
        <v>-1</v>
      </c>
      <c r="CG37" s="138">
        <f>1-'LCFS Table'!$BW37</f>
        <v>0</v>
      </c>
      <c r="CH37" s="138">
        <f>1-'LCFS Table'!$BX37</f>
        <v>1</v>
      </c>
      <c r="CI37" s="138">
        <f>1-'LCFS Table'!$BY37</f>
        <v>0</v>
      </c>
      <c r="CJ37" s="138">
        <f>1-'LCFS Table'!$BZ37</f>
        <v>0</v>
      </c>
      <c r="CK37" s="138">
        <f>-'LCFS Table'!$CA37</f>
        <v>1</v>
      </c>
      <c r="CL37" s="138">
        <f>1-'LCFS Table'!$CB37</f>
        <v>0</v>
      </c>
      <c r="CM37" s="138">
        <f>1-'LCFS Table'!$CC37</f>
        <v>1</v>
      </c>
      <c r="CN37" s="138">
        <f>1-'LCFS Table'!$CD37</f>
        <v>0</v>
      </c>
      <c r="CO37" s="138">
        <f>1-'LCFS Table'!$CE37</f>
        <v>0</v>
      </c>
      <c r="CP37" s="138">
        <f>-'LCFS Table'!$CF37</f>
        <v>1</v>
      </c>
      <c r="CQ37" s="140">
        <v>4.75</v>
      </c>
      <c r="CR37" s="165">
        <f>('LCFS Table'!$CQ37*0.9/(0.8/0.99)/100)</f>
        <v>5.2903124999999995E-2</v>
      </c>
      <c r="CS37" s="166"/>
      <c r="CT37" s="167"/>
      <c r="CW37" s="168">
        <f>'LCFS Table'!$K37-'LCFS Table'!$M37</f>
        <v>1.34581903258125</v>
      </c>
      <c r="CX37" s="129">
        <f>MONTH('LCFS Table'!$B37)</f>
        <v>8</v>
      </c>
      <c r="CY37" s="129">
        <f>YEAR('LCFS Table'!$B37)</f>
        <v>2019</v>
      </c>
    </row>
    <row r="38" spans="1:103">
      <c r="A38" s="148">
        <v>43709</v>
      </c>
      <c r="B38" s="149">
        <v>43715</v>
      </c>
      <c r="C38" s="132">
        <f t="shared" si="0"/>
        <v>2019</v>
      </c>
      <c r="D38" s="150" t="s">
        <v>292</v>
      </c>
      <c r="E38" s="134">
        <f>'LCFS Table'!$K38-'LCFS Table'!$I38</f>
        <v>-0.9251315394242805</v>
      </c>
      <c r="F38" s="134">
        <f>('LCFS Table'!$M38)-'LCFS Table'!$J38</f>
        <v>-2.6752638357267502</v>
      </c>
      <c r="G38" s="135">
        <f>'LCFS Table'!$E38+'LCFS Table'!$AS38+'LCFS Table'!$AT38+'LCFS Table'!$AU38+'LCFS Table'!$AV38</f>
        <v>2.7990124636895355</v>
      </c>
      <c r="H38" s="135">
        <f>'LCFS Table'!$F38+'LCFS Table'!$AX38+'LCFS Table'!$AY38+'LCFS Table'!$AZ38+'LCFS Table'!$BA38+('LCFS Table'!$CQ38*0.9/(0.8/0.99)/100)+(DG38*'LCFS Table'!$AF38)+(DF38*'LCFS Table'!$AG38)</f>
        <v>0.29878203124999997</v>
      </c>
      <c r="I38" s="134">
        <f>('LCFS Table'!$V38+'LCFS Table'!$W38+'LCFS Table'!$X38)/100+(('LCFS Table'!$AI38+'LCFS Table'!$AJ38)/340)</f>
        <v>2.8002315394242805</v>
      </c>
      <c r="J38" s="134">
        <f>(('LCFS Table'!$Y38+'LCFS Table'!$Z38)/100)+(('LCFS Table'!$AM38+'LCFS Table'!$AN38)/300)</f>
        <v>3.1641210937500004</v>
      </c>
      <c r="K38" s="136">
        <f>'[1]Fuel Values'!$C37</f>
        <v>1.8751</v>
      </c>
      <c r="L38" s="136">
        <f>'[1]Fuel Values'!$B37</f>
        <v>341</v>
      </c>
      <c r="M38" s="137">
        <f>('LCFS Table'!$L38/100)-'LCFS Table'!$AX38-'LCFS Table'!$AY38-'LCFS Table'!$AZ38-'LCFS Table'!$BA38</f>
        <v>0.48885725802324997</v>
      </c>
      <c r="N38" s="136">
        <f>[1]BFT!$B37</f>
        <v>28.5</v>
      </c>
      <c r="O38" s="136">
        <f>[1]UCO!$B37</f>
        <v>26.5</v>
      </c>
      <c r="P38" s="136">
        <f>[1]DCO!$B37</f>
        <v>23.875</v>
      </c>
      <c r="Q38" s="136">
        <f>'[1]Soybean Oil'!$B37</f>
        <v>31.574999999999999</v>
      </c>
      <c r="R38" s="136">
        <f>'[1]Yellow Grease'!$B37</f>
        <v>23.5</v>
      </c>
      <c r="S38" s="137">
        <f>'LCFS Table'!$N38 + 'LCFS Table'!$AH38</f>
        <v>32.875</v>
      </c>
      <c r="T38" s="137">
        <f>'LCFS Table'!$Q38+'LCFS Table'!$AH38</f>
        <v>35.950000000000003</v>
      </c>
      <c r="U38" s="137">
        <f>'LCFS Table'!$P38+'LCFS Table'!$AH38</f>
        <v>28.25</v>
      </c>
      <c r="V38" s="137">
        <f>(('LCFS Table'!$S38/'LCFS Table'!$AA38)*'LCFS Table'!$AC38)*6.48</f>
        <v>113.31382978723406</v>
      </c>
      <c r="W38" s="137">
        <f>(('LCFS Table'!$O38/'LCFS Table'!$AA38)*'LCFS Table'!$AD38)*6.48</f>
        <v>45.670212765957451</v>
      </c>
      <c r="X38" s="137">
        <f>(('LCFS Table'!$U38/'LCFS Table'!$AA38)*'LCFS Table'!$AE38)*6.48</f>
        <v>48.686170212765965</v>
      </c>
      <c r="Y38" s="137">
        <f>(('LCFS Table'!$T38/'LCFS Table'!$AB38)*'LCFS Table'!$AF38)*7.35</f>
        <v>206.43164062500003</v>
      </c>
      <c r="Z38" s="137">
        <f>(('LCFS Table'!$R38/'LCFS Table'!$AB38)*'LCFS Table'!$AG38)*7.35</f>
        <v>44.98046875</v>
      </c>
      <c r="AA38" s="138">
        <v>0.94</v>
      </c>
      <c r="AB38" s="138">
        <v>0.96</v>
      </c>
      <c r="AC38" s="138">
        <v>0.5</v>
      </c>
      <c r="AD38" s="138">
        <v>0.25</v>
      </c>
      <c r="AE38" s="138">
        <v>0.25</v>
      </c>
      <c r="AF38" s="138">
        <v>0.75</v>
      </c>
      <c r="AG38" s="138">
        <v>0.25</v>
      </c>
      <c r="AH38" s="139">
        <v>4.375</v>
      </c>
      <c r="AI38" s="139">
        <v>136</v>
      </c>
      <c r="AJ38" s="139">
        <v>110</v>
      </c>
      <c r="AK38" s="139">
        <f>('LCFS Table'!$AI38/340)*100</f>
        <v>40</v>
      </c>
      <c r="AL38" s="139">
        <f>('LCFS Table'!$AJ38/340)*100</f>
        <v>32.352941176470587</v>
      </c>
      <c r="AM38" s="139">
        <v>105</v>
      </c>
      <c r="AN38" s="139">
        <v>90</v>
      </c>
      <c r="AO38" s="139">
        <f>('LCFS Table'!$AM38/300)*100</f>
        <v>35</v>
      </c>
      <c r="AP38" s="139">
        <f>('LCFS Table'!$AN38/300)*100</f>
        <v>30</v>
      </c>
      <c r="AQ38" s="140">
        <v>200.05</v>
      </c>
      <c r="AR38" s="136">
        <v>0.47299999999999998</v>
      </c>
      <c r="AS38" s="137">
        <v>1.7600440031138158</v>
      </c>
      <c r="AT38" s="137">
        <v>0.16</v>
      </c>
      <c r="AU38" s="137">
        <v>1</v>
      </c>
      <c r="AV38" s="137">
        <f>'LCFS Table'!$AR38*1.7</f>
        <v>0.80409999999999993</v>
      </c>
      <c r="AW38" s="137">
        <v>0</v>
      </c>
      <c r="AX38" s="137">
        <v>1.2116427419767501</v>
      </c>
      <c r="AY38" s="137">
        <v>0</v>
      </c>
      <c r="AZ38" s="141">
        <v>1</v>
      </c>
      <c r="BA38" s="137">
        <f>'LCFS Table'!$AR38*1.5</f>
        <v>0.70950000000000002</v>
      </c>
      <c r="BB38" s="142">
        <v>1.2</v>
      </c>
      <c r="BC38" s="137">
        <f>'LCFS Table'!$AS38*'LCFS Table'!$BW38</f>
        <v>1.7600440031138158</v>
      </c>
      <c r="BD38" s="137">
        <f>'LCFS Table'!$AT38*'LCFS Table'!$BX38</f>
        <v>0</v>
      </c>
      <c r="BE38" s="137">
        <f>'LCFS Table'!$AU38*'LCFS Table'!$BY38</f>
        <v>1</v>
      </c>
      <c r="BF38" s="137">
        <f>'LCFS Table'!$AV38*'LCFS Table'!$BZ38</f>
        <v>0.80409999999999993</v>
      </c>
      <c r="BG38" s="137">
        <f>'LCFS Table'!$AW38*'LCFS Table'!$CA38</f>
        <v>0</v>
      </c>
      <c r="BH38" s="137">
        <f>'LCFS Table'!$AX38*'LCFS Table'!$CB38</f>
        <v>1.2116427419767501</v>
      </c>
      <c r="BI38" s="137">
        <f>'LCFS Table'!$AY38*'LCFS Table'!$CC38</f>
        <v>0</v>
      </c>
      <c r="BJ38" s="137">
        <f>'LCFS Table'!$AZ38*'LCFS Table'!$CD38</f>
        <v>1</v>
      </c>
      <c r="BK38" s="137">
        <f>'LCFS Table'!$BA38*'LCFS Table'!$CE38</f>
        <v>0.70950000000000002</v>
      </c>
      <c r="BL38" s="137">
        <f>'LCFS Table'!$BB38*'LCFS Table'!$CF38</f>
        <v>-1.2</v>
      </c>
      <c r="BM38" s="137">
        <f>'LCFS Table'!$AS38*'LCFS Table'!$CG38</f>
        <v>0</v>
      </c>
      <c r="BN38" s="137">
        <f>'LCFS Table'!$AT38*'LCFS Table'!$CH38</f>
        <v>0.16</v>
      </c>
      <c r="BO38" s="137">
        <f>'LCFS Table'!$AU38*'LCFS Table'!$CI38</f>
        <v>0</v>
      </c>
      <c r="BP38" s="137">
        <f>'LCFS Table'!$AV38*'LCFS Table'!$CJ38</f>
        <v>0</v>
      </c>
      <c r="BQ38" s="137">
        <f>'LCFS Table'!$AW38*'LCFS Table'!$CK38</f>
        <v>0</v>
      </c>
      <c r="BR38" s="137">
        <f>'LCFS Table'!$AX38*'LCFS Table'!$CL38</f>
        <v>0</v>
      </c>
      <c r="BS38" s="137">
        <f>'LCFS Table'!$AY38*'LCFS Table'!$CM38</f>
        <v>0</v>
      </c>
      <c r="BT38" s="137">
        <f>'LCFS Table'!$AZ38*'LCFS Table'!$CN38</f>
        <v>0</v>
      </c>
      <c r="BU38" s="137">
        <f>'LCFS Table'!$BA38*'LCFS Table'!$CO38</f>
        <v>0</v>
      </c>
      <c r="BV38" s="142">
        <f>'LCFS Table'!$BB38*'LCFS Table'!$CP38</f>
        <v>1.2</v>
      </c>
      <c r="BW38" s="138">
        <v>1</v>
      </c>
      <c r="BX38" s="138">
        <v>0</v>
      </c>
      <c r="BY38" s="138">
        <v>1</v>
      </c>
      <c r="BZ38" s="138">
        <v>1</v>
      </c>
      <c r="CA38" s="138">
        <v>-1</v>
      </c>
      <c r="CB38" s="138">
        <v>1</v>
      </c>
      <c r="CC38" s="138">
        <v>0</v>
      </c>
      <c r="CD38" s="138">
        <v>1</v>
      </c>
      <c r="CE38" s="138">
        <v>1</v>
      </c>
      <c r="CF38" s="138">
        <v>-1</v>
      </c>
      <c r="CG38" s="138">
        <f>1-'LCFS Table'!$BW38</f>
        <v>0</v>
      </c>
      <c r="CH38" s="138">
        <f>1-'LCFS Table'!$BX38</f>
        <v>1</v>
      </c>
      <c r="CI38" s="138">
        <f>1-'LCFS Table'!$BY38</f>
        <v>0</v>
      </c>
      <c r="CJ38" s="138">
        <f>1-'LCFS Table'!$BZ38</f>
        <v>0</v>
      </c>
      <c r="CK38" s="138">
        <f>-'LCFS Table'!$CA38</f>
        <v>1</v>
      </c>
      <c r="CL38" s="138">
        <f>1-'LCFS Table'!$CB38</f>
        <v>0</v>
      </c>
      <c r="CM38" s="138">
        <f>1-'LCFS Table'!$CC38</f>
        <v>1</v>
      </c>
      <c r="CN38" s="138">
        <f>1-'LCFS Table'!$CD38</f>
        <v>0</v>
      </c>
      <c r="CO38" s="138">
        <f>1-'LCFS Table'!$CE38</f>
        <v>0</v>
      </c>
      <c r="CP38" s="138">
        <f>-'LCFS Table'!$CF38</f>
        <v>1</v>
      </c>
      <c r="CQ38" s="140">
        <v>4.75</v>
      </c>
      <c r="CR38" s="165">
        <f>('LCFS Table'!$CQ38*0.9/(0.8/0.99)/100)</f>
        <v>5.2903124999999995E-2</v>
      </c>
      <c r="CS38" s="166"/>
      <c r="CT38" s="167"/>
      <c r="CW38" s="168">
        <f>'LCFS Table'!$K38-'LCFS Table'!$M38</f>
        <v>1.38624274197675</v>
      </c>
      <c r="CX38" s="129">
        <f>MONTH('LCFS Table'!$B38)</f>
        <v>9</v>
      </c>
      <c r="CY38" s="129">
        <f>YEAR('LCFS Table'!$B38)</f>
        <v>2019</v>
      </c>
    </row>
    <row r="39" spans="1:103">
      <c r="A39" s="148">
        <v>43716</v>
      </c>
      <c r="B39" s="149">
        <v>43722</v>
      </c>
      <c r="C39" s="132">
        <f t="shared" si="0"/>
        <v>2019</v>
      </c>
      <c r="D39" s="150" t="s">
        <v>293</v>
      </c>
      <c r="E39" s="134">
        <f>'LCFS Table'!$K39-'LCFS Table'!$I39</f>
        <v>-0.87866770963704699</v>
      </c>
      <c r="F39" s="134">
        <f>('LCFS Table'!$M39)-'LCFS Table'!$J39</f>
        <v>-2.7286912800784995</v>
      </c>
      <c r="G39" s="135">
        <f>'LCFS Table'!$E39+'LCFS Table'!$AS39+'LCFS Table'!$AT39+'LCFS Table'!$AU39+'LCFS Table'!$AV39</f>
        <v>2.9241161945022904</v>
      </c>
      <c r="H39" s="135">
        <f>'LCFS Table'!$F39+'LCFS Table'!$AX39+'LCFS Table'!$AY39+'LCFS Table'!$AZ39+'LCFS Table'!$BA39+('LCFS Table'!$CQ39*0.9/(0.8/0.99)/100)+(DG39*'LCFS Table'!$AF39)+(DF39*'LCFS Table'!$AG39)</f>
        <v>0.3146574218750004</v>
      </c>
      <c r="I39" s="134">
        <f>('LCFS Table'!$V39+'LCFS Table'!$W39+'LCFS Table'!$X39)/100+(('LCFS Table'!$AI39+'LCFS Table'!$AJ39)/340)</f>
        <v>2.788167709637047</v>
      </c>
      <c r="J39" s="134">
        <f>(('LCFS Table'!$Y39+'LCFS Table'!$Z39)/100)+(('LCFS Table'!$AM39+'LCFS Table'!$AN39)/300)</f>
        <v>3.1662457031249995</v>
      </c>
      <c r="K39" s="136">
        <f>'[1]Fuel Values'!$C38</f>
        <v>1.9095</v>
      </c>
      <c r="L39" s="136">
        <f>'[1]Fuel Values'!$B38</f>
        <v>342.8</v>
      </c>
      <c r="M39" s="137">
        <f>('LCFS Table'!$L39/100)-'LCFS Table'!$AX39-'LCFS Table'!$AY39-'LCFS Table'!$AZ39-'LCFS Table'!$BA39</f>
        <v>0.43755442304649983</v>
      </c>
      <c r="N39" s="136">
        <f>[1]BFT!$B38</f>
        <v>28.1</v>
      </c>
      <c r="O39" s="136">
        <f>[1]UCO!$B38</f>
        <v>26.5</v>
      </c>
      <c r="P39" s="136">
        <f>[1]DCO!$B38</f>
        <v>23.975000000000001</v>
      </c>
      <c r="Q39" s="136">
        <f>'[1]Soybean Oil'!$B38</f>
        <v>31.611999999999998</v>
      </c>
      <c r="R39" s="136">
        <f>'[1]Yellow Grease'!$B38</f>
        <v>23.5</v>
      </c>
      <c r="S39" s="137">
        <f>'LCFS Table'!$N39 + 'LCFS Table'!$AH39</f>
        <v>32.475000000000001</v>
      </c>
      <c r="T39" s="137">
        <f>'LCFS Table'!$Q39+'LCFS Table'!$AH39</f>
        <v>35.986999999999995</v>
      </c>
      <c r="U39" s="137">
        <f>'LCFS Table'!$P39+'LCFS Table'!$AH39</f>
        <v>28.35</v>
      </c>
      <c r="V39" s="137">
        <f>(('LCFS Table'!$S39/'LCFS Table'!$AA39)*'LCFS Table'!$AC39)*6.48</f>
        <v>111.93510638297874</v>
      </c>
      <c r="W39" s="137">
        <f>(('LCFS Table'!$O39/'LCFS Table'!$AA39)*'LCFS Table'!$AD39)*6.48</f>
        <v>45.670212765957451</v>
      </c>
      <c r="X39" s="137">
        <f>(('LCFS Table'!$U39/'LCFS Table'!$AA39)*'LCFS Table'!$AE39)*6.48</f>
        <v>48.858510638297886</v>
      </c>
      <c r="Y39" s="137">
        <f>(('LCFS Table'!$T39/'LCFS Table'!$AB39)*'LCFS Table'!$AF39)*7.35</f>
        <v>206.64410156249997</v>
      </c>
      <c r="Z39" s="137">
        <f>(('LCFS Table'!$R39/'LCFS Table'!$AB39)*'LCFS Table'!$AG39)*7.35</f>
        <v>44.98046875</v>
      </c>
      <c r="AA39" s="138">
        <v>0.94</v>
      </c>
      <c r="AB39" s="138">
        <v>0.96</v>
      </c>
      <c r="AC39" s="138">
        <v>0.5</v>
      </c>
      <c r="AD39" s="138">
        <v>0.25</v>
      </c>
      <c r="AE39" s="138">
        <v>0.25</v>
      </c>
      <c r="AF39" s="138">
        <v>0.75</v>
      </c>
      <c r="AG39" s="138">
        <v>0.25</v>
      </c>
      <c r="AH39" s="139">
        <v>4.375</v>
      </c>
      <c r="AI39" s="139">
        <v>136</v>
      </c>
      <c r="AJ39" s="139">
        <v>110</v>
      </c>
      <c r="AK39" s="139">
        <f>('LCFS Table'!$AI39/340)*100</f>
        <v>40</v>
      </c>
      <c r="AL39" s="139">
        <f>('LCFS Table'!$AJ39/340)*100</f>
        <v>32.352941176470587</v>
      </c>
      <c r="AM39" s="139">
        <v>105</v>
      </c>
      <c r="AN39" s="139">
        <v>90</v>
      </c>
      <c r="AO39" s="139">
        <f>('LCFS Table'!$AM39/300)*100</f>
        <v>35</v>
      </c>
      <c r="AP39" s="139">
        <f>('LCFS Table'!$AN39/300)*100</f>
        <v>30</v>
      </c>
      <c r="AQ39" s="140">
        <v>200.1</v>
      </c>
      <c r="AR39" s="136">
        <v>0.51900000000000002</v>
      </c>
      <c r="AS39" s="137">
        <v>1.7604839041393379</v>
      </c>
      <c r="AT39" s="137">
        <v>0.16</v>
      </c>
      <c r="AU39" s="137">
        <v>1</v>
      </c>
      <c r="AV39" s="137">
        <f>'LCFS Table'!$AR39*1.7</f>
        <v>0.88229999999999997</v>
      </c>
      <c r="AW39" s="137">
        <v>0</v>
      </c>
      <c r="AX39" s="137">
        <v>1.2119455769534999</v>
      </c>
      <c r="AY39" s="137">
        <v>0</v>
      </c>
      <c r="AZ39" s="141">
        <v>1</v>
      </c>
      <c r="BA39" s="137">
        <f>'LCFS Table'!$AR39*1.5</f>
        <v>0.77849999999999997</v>
      </c>
      <c r="BB39" s="142">
        <v>1.2</v>
      </c>
      <c r="BC39" s="137">
        <f>'LCFS Table'!$AS39*'LCFS Table'!$BW39</f>
        <v>1.7604839041393379</v>
      </c>
      <c r="BD39" s="137">
        <f>'LCFS Table'!$AT39*'LCFS Table'!$BX39</f>
        <v>0</v>
      </c>
      <c r="BE39" s="137">
        <f>'LCFS Table'!$AU39*'LCFS Table'!$BY39</f>
        <v>1</v>
      </c>
      <c r="BF39" s="137">
        <f>'LCFS Table'!$AV39*'LCFS Table'!$BZ39</f>
        <v>0.88229999999999997</v>
      </c>
      <c r="BG39" s="137">
        <f>'LCFS Table'!$AW39*'LCFS Table'!$CA39</f>
        <v>0</v>
      </c>
      <c r="BH39" s="137">
        <f>'LCFS Table'!$AX39*'LCFS Table'!$CB39</f>
        <v>1.2119455769534999</v>
      </c>
      <c r="BI39" s="137">
        <f>'LCFS Table'!$AY39*'LCFS Table'!$CC39</f>
        <v>0</v>
      </c>
      <c r="BJ39" s="137">
        <f>'LCFS Table'!$AZ39*'LCFS Table'!$CD39</f>
        <v>1</v>
      </c>
      <c r="BK39" s="137">
        <f>'LCFS Table'!$BA39*'LCFS Table'!$CE39</f>
        <v>0.77849999999999997</v>
      </c>
      <c r="BL39" s="137">
        <f>'LCFS Table'!$BB39*'LCFS Table'!$CF39</f>
        <v>-1.2</v>
      </c>
      <c r="BM39" s="137">
        <f>'LCFS Table'!$AS39*'LCFS Table'!$CG39</f>
        <v>0</v>
      </c>
      <c r="BN39" s="137">
        <f>'LCFS Table'!$AT39*'LCFS Table'!$CH39</f>
        <v>0.16</v>
      </c>
      <c r="BO39" s="137">
        <f>'LCFS Table'!$AU39*'LCFS Table'!$CI39</f>
        <v>0</v>
      </c>
      <c r="BP39" s="137">
        <f>'LCFS Table'!$AV39*'LCFS Table'!$CJ39</f>
        <v>0</v>
      </c>
      <c r="BQ39" s="137">
        <f>'LCFS Table'!$AW39*'LCFS Table'!$CK39</f>
        <v>0</v>
      </c>
      <c r="BR39" s="137">
        <f>'LCFS Table'!$AX39*'LCFS Table'!$CL39</f>
        <v>0</v>
      </c>
      <c r="BS39" s="137">
        <f>'LCFS Table'!$AY39*'LCFS Table'!$CM39</f>
        <v>0</v>
      </c>
      <c r="BT39" s="137">
        <f>'LCFS Table'!$AZ39*'LCFS Table'!$CN39</f>
        <v>0</v>
      </c>
      <c r="BU39" s="137">
        <f>'LCFS Table'!$BA39*'LCFS Table'!$CO39</f>
        <v>0</v>
      </c>
      <c r="BV39" s="142">
        <f>'LCFS Table'!$BB39*'LCFS Table'!$CP39</f>
        <v>1.2</v>
      </c>
      <c r="BW39" s="138">
        <v>1</v>
      </c>
      <c r="BX39" s="138">
        <v>0</v>
      </c>
      <c r="BY39" s="138">
        <v>1</v>
      </c>
      <c r="BZ39" s="138">
        <v>1</v>
      </c>
      <c r="CA39" s="138">
        <v>-1</v>
      </c>
      <c r="CB39" s="138">
        <v>1</v>
      </c>
      <c r="CC39" s="138">
        <v>0</v>
      </c>
      <c r="CD39" s="138">
        <v>1</v>
      </c>
      <c r="CE39" s="138">
        <v>1</v>
      </c>
      <c r="CF39" s="138">
        <v>-1</v>
      </c>
      <c r="CG39" s="138">
        <f>1-'LCFS Table'!$BW39</f>
        <v>0</v>
      </c>
      <c r="CH39" s="138">
        <f>1-'LCFS Table'!$BX39</f>
        <v>1</v>
      </c>
      <c r="CI39" s="138">
        <f>1-'LCFS Table'!$BY39</f>
        <v>0</v>
      </c>
      <c r="CJ39" s="138">
        <f>1-'LCFS Table'!$BZ39</f>
        <v>0</v>
      </c>
      <c r="CK39" s="138">
        <f>-'LCFS Table'!$CA39</f>
        <v>1</v>
      </c>
      <c r="CL39" s="138">
        <f>1-'LCFS Table'!$CB39</f>
        <v>0</v>
      </c>
      <c r="CM39" s="138">
        <f>1-'LCFS Table'!$CC39</f>
        <v>1</v>
      </c>
      <c r="CN39" s="138">
        <f>1-'LCFS Table'!$CD39</f>
        <v>0</v>
      </c>
      <c r="CO39" s="138">
        <f>1-'LCFS Table'!$CE39</f>
        <v>0</v>
      </c>
      <c r="CP39" s="138">
        <f>-'LCFS Table'!$CF39</f>
        <v>1</v>
      </c>
      <c r="CQ39" s="140">
        <v>4.75</v>
      </c>
      <c r="CR39" s="165">
        <f>('LCFS Table'!$CQ39*0.9/(0.8/0.99)/100)</f>
        <v>5.2903124999999995E-2</v>
      </c>
      <c r="CS39" s="166"/>
      <c r="CT39" s="167"/>
      <c r="CW39" s="168">
        <f>'LCFS Table'!$K39-'LCFS Table'!$M39</f>
        <v>1.4719455769535001</v>
      </c>
      <c r="CX39" s="129">
        <f>MONTH('LCFS Table'!$B39)</f>
        <v>9</v>
      </c>
      <c r="CY39" s="129">
        <f>YEAR('LCFS Table'!$B39)</f>
        <v>2019</v>
      </c>
    </row>
    <row r="40" spans="1:103">
      <c r="A40" s="148">
        <v>43723</v>
      </c>
      <c r="B40" s="149">
        <v>43729</v>
      </c>
      <c r="C40" s="132">
        <f t="shared" si="0"/>
        <v>2019</v>
      </c>
      <c r="D40" s="150" t="s">
        <v>294</v>
      </c>
      <c r="E40" s="134">
        <f>'LCFS Table'!$K40-'LCFS Table'!$I40</f>
        <v>-0.74687090112640853</v>
      </c>
      <c r="F40" s="134">
        <f>('LCFS Table'!$M40)-'LCFS Table'!$J40</f>
        <v>-2.7209394366191244</v>
      </c>
      <c r="G40" s="135">
        <f>'LCFS Table'!$E40+'LCFS Table'!$AS40+'LCFS Table'!$AT40+'LCFS Table'!$AU40+'LCFS Table'!$AV40</f>
        <v>3.0015392401939036</v>
      </c>
      <c r="H40" s="135">
        <f>'LCFS Table'!$F40+'LCFS Table'!$AX40+'LCFS Table'!$AY40+'LCFS Table'!$AZ40+'LCFS Table'!$BA40+('LCFS Table'!$CQ40*0.9/(0.8/0.99)/100)+(DG40*'LCFS Table'!$AF40)+(DF40*'LCFS Table'!$AG40)</f>
        <v>0.27605570312500055</v>
      </c>
      <c r="I40" s="134">
        <f>('LCFS Table'!$V40+'LCFS Table'!$W40+'LCFS Table'!$X40)/100+(('LCFS Table'!$AI40+'LCFS Table'!$AJ40)/340)</f>
        <v>2.7644709011264084</v>
      </c>
      <c r="J40" s="134">
        <f>(('LCFS Table'!$Y40+'LCFS Table'!$Z40)/100)+(('LCFS Table'!$AM40+'LCFS Table'!$AN40)/300)</f>
        <v>3.2224042968749993</v>
      </c>
      <c r="K40" s="136">
        <f>'[1]Fuel Values'!$C39</f>
        <v>2.0175999999999998</v>
      </c>
      <c r="L40" s="136">
        <f>'[1]Fuel Values'!$B39</f>
        <v>344.5</v>
      </c>
      <c r="M40" s="137">
        <f>('LCFS Table'!$L40/100)-'LCFS Table'!$AX40-'LCFS Table'!$AY40-'LCFS Table'!$AZ40-'LCFS Table'!$BA40</f>
        <v>0.50146486025587489</v>
      </c>
      <c r="N40" s="136">
        <f>[1]BFT!$B39</f>
        <v>27.5</v>
      </c>
      <c r="O40" s="136">
        <f>[1]UCO!$B39</f>
        <v>26.5</v>
      </c>
      <c r="P40" s="136">
        <f>[1]DCO!$B39</f>
        <v>23.8</v>
      </c>
      <c r="Q40" s="136">
        <f>'[1]Soybean Oil'!$B39</f>
        <v>32.69</v>
      </c>
      <c r="R40" s="136">
        <f>'[1]Yellow Grease'!$B39</f>
        <v>23.2</v>
      </c>
      <c r="S40" s="137">
        <f>'LCFS Table'!$N40 + 'LCFS Table'!$AH40</f>
        <v>31.875</v>
      </c>
      <c r="T40" s="137">
        <f>'LCFS Table'!$Q40+'LCFS Table'!$AH40</f>
        <v>37.064999999999998</v>
      </c>
      <c r="U40" s="137">
        <f>'LCFS Table'!$P40+'LCFS Table'!$AH40</f>
        <v>28.175000000000001</v>
      </c>
      <c r="V40" s="137">
        <f>(('LCFS Table'!$S40/'LCFS Table'!$AA40)*'LCFS Table'!$AC40)*6.48</f>
        <v>109.86702127659576</v>
      </c>
      <c r="W40" s="137">
        <f>(('LCFS Table'!$O40/'LCFS Table'!$AA40)*'LCFS Table'!$AD40)*6.48</f>
        <v>45.670212765957451</v>
      </c>
      <c r="X40" s="137">
        <f>(('LCFS Table'!$U40/'LCFS Table'!$AA40)*'LCFS Table'!$AE40)*6.48</f>
        <v>48.556914893617034</v>
      </c>
      <c r="Y40" s="137">
        <f>(('LCFS Table'!$T40/'LCFS Table'!$AB40)*'LCFS Table'!$AF40)*7.35</f>
        <v>212.83417968749998</v>
      </c>
      <c r="Z40" s="137">
        <f>(('LCFS Table'!$R40/'LCFS Table'!$AB40)*'LCFS Table'!$AG40)*7.35</f>
        <v>44.40625</v>
      </c>
      <c r="AA40" s="138">
        <v>0.94</v>
      </c>
      <c r="AB40" s="138">
        <v>0.96</v>
      </c>
      <c r="AC40" s="138">
        <v>0.5</v>
      </c>
      <c r="AD40" s="138">
        <v>0.25</v>
      </c>
      <c r="AE40" s="138">
        <v>0.25</v>
      </c>
      <c r="AF40" s="138">
        <v>0.75</v>
      </c>
      <c r="AG40" s="138">
        <v>0.25</v>
      </c>
      <c r="AH40" s="139">
        <v>4.375</v>
      </c>
      <c r="AI40" s="139">
        <v>136</v>
      </c>
      <c r="AJ40" s="139">
        <v>110</v>
      </c>
      <c r="AK40" s="139">
        <f>('LCFS Table'!$AI40/340)*100</f>
        <v>40</v>
      </c>
      <c r="AL40" s="139">
        <f>('LCFS Table'!$AJ40/340)*100</f>
        <v>32.352941176470587</v>
      </c>
      <c r="AM40" s="139">
        <v>105</v>
      </c>
      <c r="AN40" s="139">
        <v>90</v>
      </c>
      <c r="AO40" s="139">
        <f>('LCFS Table'!$AM40/300)*100</f>
        <v>35</v>
      </c>
      <c r="AP40" s="139">
        <f>('LCFS Table'!$AN40/300)*100</f>
        <v>30</v>
      </c>
      <c r="AQ40" s="140">
        <v>199.47499999999999</v>
      </c>
      <c r="AR40" s="136">
        <v>0.49024999999999996</v>
      </c>
      <c r="AS40" s="137">
        <v>1.7549851413203121</v>
      </c>
      <c r="AT40" s="137">
        <v>0.16</v>
      </c>
      <c r="AU40" s="137">
        <v>1</v>
      </c>
      <c r="AV40" s="137">
        <f>'LCFS Table'!$AR40*1.7</f>
        <v>0.83342499999999997</v>
      </c>
      <c r="AW40" s="137">
        <v>0</v>
      </c>
      <c r="AX40" s="137">
        <v>1.2081601397441251</v>
      </c>
      <c r="AY40" s="137">
        <v>0</v>
      </c>
      <c r="AZ40" s="141">
        <v>1</v>
      </c>
      <c r="BA40" s="137">
        <f>'LCFS Table'!$AR40*1.5</f>
        <v>0.73537499999999989</v>
      </c>
      <c r="BB40" s="142">
        <v>1.2</v>
      </c>
      <c r="BC40" s="137">
        <f>'LCFS Table'!$AS40*'LCFS Table'!$BW40</f>
        <v>1.7549851413203121</v>
      </c>
      <c r="BD40" s="137">
        <f>'LCFS Table'!$AT40*'LCFS Table'!$BX40</f>
        <v>0</v>
      </c>
      <c r="BE40" s="137">
        <f>'LCFS Table'!$AU40*'LCFS Table'!$BY40</f>
        <v>1</v>
      </c>
      <c r="BF40" s="137">
        <f>'LCFS Table'!$AV40*'LCFS Table'!$BZ40</f>
        <v>0.83342499999999997</v>
      </c>
      <c r="BG40" s="137">
        <f>'LCFS Table'!$AW40*'LCFS Table'!$CA40</f>
        <v>0</v>
      </c>
      <c r="BH40" s="137">
        <f>'LCFS Table'!$AX40*'LCFS Table'!$CB40</f>
        <v>1.2081601397441251</v>
      </c>
      <c r="BI40" s="137">
        <f>'LCFS Table'!$AY40*'LCFS Table'!$CC40</f>
        <v>0</v>
      </c>
      <c r="BJ40" s="137">
        <f>'LCFS Table'!$AZ40*'LCFS Table'!$CD40</f>
        <v>1</v>
      </c>
      <c r="BK40" s="137">
        <f>'LCFS Table'!$BA40*'LCFS Table'!$CE40</f>
        <v>0.73537499999999989</v>
      </c>
      <c r="BL40" s="137">
        <f>'LCFS Table'!$BB40*'LCFS Table'!$CF40</f>
        <v>-1.2</v>
      </c>
      <c r="BM40" s="137">
        <f>'LCFS Table'!$AS40*'LCFS Table'!$CG40</f>
        <v>0</v>
      </c>
      <c r="BN40" s="137">
        <f>'LCFS Table'!$AT40*'LCFS Table'!$CH40</f>
        <v>0.16</v>
      </c>
      <c r="BO40" s="137">
        <f>'LCFS Table'!$AU40*'LCFS Table'!$CI40</f>
        <v>0</v>
      </c>
      <c r="BP40" s="137">
        <f>'LCFS Table'!$AV40*'LCFS Table'!$CJ40</f>
        <v>0</v>
      </c>
      <c r="BQ40" s="137">
        <f>'LCFS Table'!$AW40*'LCFS Table'!$CK40</f>
        <v>0</v>
      </c>
      <c r="BR40" s="137">
        <f>'LCFS Table'!$AX40*'LCFS Table'!$CL40</f>
        <v>0</v>
      </c>
      <c r="BS40" s="137">
        <f>'LCFS Table'!$AY40*'LCFS Table'!$CM40</f>
        <v>0</v>
      </c>
      <c r="BT40" s="137">
        <f>'LCFS Table'!$AZ40*'LCFS Table'!$CN40</f>
        <v>0</v>
      </c>
      <c r="BU40" s="137">
        <f>'LCFS Table'!$BA40*'LCFS Table'!$CO40</f>
        <v>0</v>
      </c>
      <c r="BV40" s="142">
        <f>'LCFS Table'!$BB40*'LCFS Table'!$CP40</f>
        <v>1.2</v>
      </c>
      <c r="BW40" s="138">
        <v>1</v>
      </c>
      <c r="BX40" s="138">
        <v>0</v>
      </c>
      <c r="BY40" s="138">
        <v>1</v>
      </c>
      <c r="BZ40" s="138">
        <v>1</v>
      </c>
      <c r="CA40" s="138">
        <v>-1</v>
      </c>
      <c r="CB40" s="138">
        <v>1</v>
      </c>
      <c r="CC40" s="138">
        <v>0</v>
      </c>
      <c r="CD40" s="138">
        <v>1</v>
      </c>
      <c r="CE40" s="138">
        <v>1</v>
      </c>
      <c r="CF40" s="138">
        <v>-1</v>
      </c>
      <c r="CG40" s="138">
        <f>1-'LCFS Table'!$BW40</f>
        <v>0</v>
      </c>
      <c r="CH40" s="138">
        <f>1-'LCFS Table'!$BX40</f>
        <v>1</v>
      </c>
      <c r="CI40" s="138">
        <f>1-'LCFS Table'!$BY40</f>
        <v>0</v>
      </c>
      <c r="CJ40" s="138">
        <f>1-'LCFS Table'!$BZ40</f>
        <v>0</v>
      </c>
      <c r="CK40" s="138">
        <f>-'LCFS Table'!$CA40</f>
        <v>1</v>
      </c>
      <c r="CL40" s="138">
        <f>1-'LCFS Table'!$CB40</f>
        <v>0</v>
      </c>
      <c r="CM40" s="138">
        <f>1-'LCFS Table'!$CC40</f>
        <v>1</v>
      </c>
      <c r="CN40" s="138">
        <f>1-'LCFS Table'!$CD40</f>
        <v>0</v>
      </c>
      <c r="CO40" s="138">
        <f>1-'LCFS Table'!$CE40</f>
        <v>0</v>
      </c>
      <c r="CP40" s="138">
        <f>-'LCFS Table'!$CF40</f>
        <v>1</v>
      </c>
      <c r="CQ40" s="140">
        <v>4.8</v>
      </c>
      <c r="CR40" s="165">
        <f>('LCFS Table'!$CQ40*0.9/(0.8/0.99)/100)</f>
        <v>5.3460000000000001E-2</v>
      </c>
      <c r="CS40" s="166"/>
      <c r="CT40" s="167"/>
      <c r="CW40" s="168">
        <f>'LCFS Table'!$K40-'LCFS Table'!$M40</f>
        <v>1.5161351397441249</v>
      </c>
      <c r="CX40" s="129">
        <f>MONTH('LCFS Table'!$B40)</f>
        <v>9</v>
      </c>
      <c r="CY40" s="129">
        <f>YEAR('LCFS Table'!$B40)</f>
        <v>2019</v>
      </c>
    </row>
    <row r="41" spans="1:103">
      <c r="A41" s="148">
        <v>43730</v>
      </c>
      <c r="B41" s="149">
        <v>43736</v>
      </c>
      <c r="C41" s="132">
        <f t="shared" si="0"/>
        <v>2019</v>
      </c>
      <c r="D41" s="150" t="s">
        <v>295</v>
      </c>
      <c r="E41" s="134">
        <f>'LCFS Table'!$K41-'LCFS Table'!$I41</f>
        <v>-0.79600919899874878</v>
      </c>
      <c r="F41" s="134">
        <f>('LCFS Table'!$M41)-'LCFS Table'!$J41</f>
        <v>-2.733357840404</v>
      </c>
      <c r="G41" s="135">
        <f>'LCFS Table'!$E41+'LCFS Table'!$AS41+'LCFS Table'!$AT41+'LCFS Table'!$AU41+'LCFS Table'!$AV41</f>
        <v>3.0439660907832802</v>
      </c>
      <c r="H41" s="135">
        <f>'LCFS Table'!$F41+'LCFS Table'!$AX41+'LCFS Table'!$AY41+'LCFS Table'!$AZ41+'LCFS Table'!$BA41+('LCFS Table'!$CQ41*0.9/(0.8/0.99)/100)+(DG41*'LCFS Table'!$AF41)+(DF41*'LCFS Table'!$AG41)</f>
        <v>0.34678554687500007</v>
      </c>
      <c r="I41" s="134">
        <f>('LCFS Table'!$V41+'LCFS Table'!$W41+'LCFS Table'!$X41)/100+(('LCFS Table'!$AI41+'LCFS Table'!$AJ41)/340)</f>
        <v>2.7636091989987488</v>
      </c>
      <c r="J41" s="134">
        <f>(('LCFS Table'!$Y41+'LCFS Table'!$Z41)/100)+(('LCFS Table'!$AM41+'LCFS Table'!$AN41)/300)</f>
        <v>3.1739019531249997</v>
      </c>
      <c r="K41" s="136">
        <f>'[1]Fuel Values'!$C40</f>
        <v>1.9676</v>
      </c>
      <c r="L41" s="136">
        <f>'[1]Fuel Values'!$B40</f>
        <v>346.5</v>
      </c>
      <c r="M41" s="137">
        <f>('LCFS Table'!$L41/100)-'LCFS Table'!$AX41-'LCFS Table'!$AY41-'LCFS Table'!$AZ41-'LCFS Table'!$BA41</f>
        <v>0.44054411272099958</v>
      </c>
      <c r="N41" s="136">
        <f>[1]BFT!$B40</f>
        <v>27.5</v>
      </c>
      <c r="O41" s="136">
        <f>[1]UCO!$B40</f>
        <v>26.5</v>
      </c>
      <c r="P41" s="136">
        <f>[1]DCO!$B40</f>
        <v>23.75</v>
      </c>
      <c r="Q41" s="136">
        <f>'[1]Soybean Oil'!$B40</f>
        <v>31.911999999999999</v>
      </c>
      <c r="R41" s="136">
        <f>'[1]Yellow Grease'!$B40</f>
        <v>23</v>
      </c>
      <c r="S41" s="137">
        <f>'LCFS Table'!$N41 + 'LCFS Table'!$AH41</f>
        <v>31.875</v>
      </c>
      <c r="T41" s="137">
        <f>'LCFS Table'!$Q41+'LCFS Table'!$AH41</f>
        <v>36.286999999999999</v>
      </c>
      <c r="U41" s="137">
        <f>'LCFS Table'!$P41+'LCFS Table'!$AH41</f>
        <v>28.125</v>
      </c>
      <c r="V41" s="137">
        <f>(('LCFS Table'!$S41/'LCFS Table'!$AA41)*'LCFS Table'!$AC41)*6.48</f>
        <v>109.86702127659576</v>
      </c>
      <c r="W41" s="137">
        <f>(('LCFS Table'!$O41/'LCFS Table'!$AA41)*'LCFS Table'!$AD41)*6.48</f>
        <v>45.670212765957451</v>
      </c>
      <c r="X41" s="137">
        <f>(('LCFS Table'!$U41/'LCFS Table'!$AA41)*'LCFS Table'!$AE41)*6.48</f>
        <v>48.47074468085107</v>
      </c>
      <c r="Y41" s="137">
        <f>(('LCFS Table'!$T41/'LCFS Table'!$AB41)*'LCFS Table'!$AF41)*7.35</f>
        <v>208.36675781249997</v>
      </c>
      <c r="Z41" s="137">
        <f>(('LCFS Table'!$R41/'LCFS Table'!$AB41)*'LCFS Table'!$AG41)*7.35</f>
        <v>44.0234375</v>
      </c>
      <c r="AA41" s="138">
        <v>0.94</v>
      </c>
      <c r="AB41" s="138">
        <v>0.96</v>
      </c>
      <c r="AC41" s="138">
        <v>0.5</v>
      </c>
      <c r="AD41" s="138">
        <v>0.25</v>
      </c>
      <c r="AE41" s="138">
        <v>0.25</v>
      </c>
      <c r="AF41" s="138">
        <v>0.75</v>
      </c>
      <c r="AG41" s="138">
        <v>0.25</v>
      </c>
      <c r="AH41" s="139">
        <v>4.375</v>
      </c>
      <c r="AI41" s="139">
        <v>136</v>
      </c>
      <c r="AJ41" s="139">
        <v>110</v>
      </c>
      <c r="AK41" s="139">
        <f>('LCFS Table'!$AI41/340)*100</f>
        <v>40</v>
      </c>
      <c r="AL41" s="139">
        <f>('LCFS Table'!$AJ41/340)*100</f>
        <v>32.352941176470587</v>
      </c>
      <c r="AM41" s="139">
        <v>105</v>
      </c>
      <c r="AN41" s="139">
        <v>90</v>
      </c>
      <c r="AO41" s="139">
        <f>('LCFS Table'!$AM41/300)*100</f>
        <v>35</v>
      </c>
      <c r="AP41" s="139">
        <f>('LCFS Table'!$AN41/300)*100</f>
        <v>30</v>
      </c>
      <c r="AQ41" s="140">
        <v>199.4</v>
      </c>
      <c r="AR41" s="136">
        <v>0.54449999999999998</v>
      </c>
      <c r="AS41" s="137">
        <v>1.754325289782029</v>
      </c>
      <c r="AT41" s="137">
        <v>0.16</v>
      </c>
      <c r="AU41" s="137">
        <v>1</v>
      </c>
      <c r="AV41" s="137">
        <f>'LCFS Table'!$AR41*1.7</f>
        <v>0.92564999999999997</v>
      </c>
      <c r="AW41" s="137">
        <v>0</v>
      </c>
      <c r="AX41" s="137">
        <v>1.2077058872790001</v>
      </c>
      <c r="AY41" s="137">
        <v>0</v>
      </c>
      <c r="AZ41" s="141">
        <v>1</v>
      </c>
      <c r="BA41" s="137">
        <f>'LCFS Table'!$AR41*1.5</f>
        <v>0.81674999999999998</v>
      </c>
      <c r="BB41" s="142">
        <v>1.2</v>
      </c>
      <c r="BC41" s="137">
        <f>'LCFS Table'!$AS41*'LCFS Table'!$BW41</f>
        <v>1.754325289782029</v>
      </c>
      <c r="BD41" s="137">
        <f>'LCFS Table'!$AT41*'LCFS Table'!$BX41</f>
        <v>0</v>
      </c>
      <c r="BE41" s="137">
        <f>'LCFS Table'!$AU41*'LCFS Table'!$BY41</f>
        <v>1</v>
      </c>
      <c r="BF41" s="137">
        <f>'LCFS Table'!$AV41*'LCFS Table'!$BZ41</f>
        <v>0.92564999999999997</v>
      </c>
      <c r="BG41" s="137">
        <f>'LCFS Table'!$AW41*'LCFS Table'!$CA41</f>
        <v>0</v>
      </c>
      <c r="BH41" s="137">
        <f>'LCFS Table'!$AX41*'LCFS Table'!$CB41</f>
        <v>1.2077058872790001</v>
      </c>
      <c r="BI41" s="137">
        <f>'LCFS Table'!$AY41*'LCFS Table'!$CC41</f>
        <v>0</v>
      </c>
      <c r="BJ41" s="137">
        <f>'LCFS Table'!$AZ41*'LCFS Table'!$CD41</f>
        <v>1</v>
      </c>
      <c r="BK41" s="137">
        <f>'LCFS Table'!$BA41*'LCFS Table'!$CE41</f>
        <v>0.81674999999999998</v>
      </c>
      <c r="BL41" s="137">
        <f>'LCFS Table'!$BB41*'LCFS Table'!$CF41</f>
        <v>-1.2</v>
      </c>
      <c r="BM41" s="137">
        <f>'LCFS Table'!$AS41*'LCFS Table'!$CG41</f>
        <v>0</v>
      </c>
      <c r="BN41" s="137">
        <f>'LCFS Table'!$AT41*'LCFS Table'!$CH41</f>
        <v>0.16</v>
      </c>
      <c r="BO41" s="137">
        <f>'LCFS Table'!$AU41*'LCFS Table'!$CI41</f>
        <v>0</v>
      </c>
      <c r="BP41" s="137">
        <f>'LCFS Table'!$AV41*'LCFS Table'!$CJ41</f>
        <v>0</v>
      </c>
      <c r="BQ41" s="137">
        <f>'LCFS Table'!$AW41*'LCFS Table'!$CK41</f>
        <v>0</v>
      </c>
      <c r="BR41" s="137">
        <f>'LCFS Table'!$AX41*'LCFS Table'!$CL41</f>
        <v>0</v>
      </c>
      <c r="BS41" s="137">
        <f>'LCFS Table'!$AY41*'LCFS Table'!$CM41</f>
        <v>0</v>
      </c>
      <c r="BT41" s="137">
        <f>'LCFS Table'!$AZ41*'LCFS Table'!$CN41</f>
        <v>0</v>
      </c>
      <c r="BU41" s="137">
        <f>'LCFS Table'!$BA41*'LCFS Table'!$CO41</f>
        <v>0</v>
      </c>
      <c r="BV41" s="142">
        <f>'LCFS Table'!$BB41*'LCFS Table'!$CP41</f>
        <v>1.2</v>
      </c>
      <c r="BW41" s="138">
        <v>1</v>
      </c>
      <c r="BX41" s="138">
        <v>0</v>
      </c>
      <c r="BY41" s="138">
        <v>1</v>
      </c>
      <c r="BZ41" s="138">
        <v>1</v>
      </c>
      <c r="CA41" s="138">
        <v>-1</v>
      </c>
      <c r="CB41" s="138">
        <v>1</v>
      </c>
      <c r="CC41" s="138">
        <v>0</v>
      </c>
      <c r="CD41" s="138">
        <v>1</v>
      </c>
      <c r="CE41" s="138">
        <v>1</v>
      </c>
      <c r="CF41" s="138">
        <v>-1</v>
      </c>
      <c r="CG41" s="138">
        <f>1-'LCFS Table'!$BW41</f>
        <v>0</v>
      </c>
      <c r="CH41" s="138">
        <f>1-'LCFS Table'!$BX41</f>
        <v>1</v>
      </c>
      <c r="CI41" s="138">
        <f>1-'LCFS Table'!$BY41</f>
        <v>0</v>
      </c>
      <c r="CJ41" s="138">
        <f>1-'LCFS Table'!$BZ41</f>
        <v>0</v>
      </c>
      <c r="CK41" s="138">
        <f>-'LCFS Table'!$CA41</f>
        <v>1</v>
      </c>
      <c r="CL41" s="138">
        <f>1-'LCFS Table'!$CB41</f>
        <v>0</v>
      </c>
      <c r="CM41" s="138">
        <f>1-'LCFS Table'!$CC41</f>
        <v>1</v>
      </c>
      <c r="CN41" s="138">
        <f>1-'LCFS Table'!$CD41</f>
        <v>0</v>
      </c>
      <c r="CO41" s="138">
        <f>1-'LCFS Table'!$CE41</f>
        <v>0</v>
      </c>
      <c r="CP41" s="138">
        <f>-'LCFS Table'!$CF41</f>
        <v>1</v>
      </c>
      <c r="CQ41" s="140">
        <v>5</v>
      </c>
      <c r="CR41" s="165">
        <f>('LCFS Table'!$CQ41*0.9/(0.8/0.99)/100)</f>
        <v>5.5687499999999994E-2</v>
      </c>
      <c r="CS41" s="166"/>
      <c r="CT41" s="167"/>
      <c r="CW41" s="168">
        <f>'LCFS Table'!$K41-'LCFS Table'!$M41</f>
        <v>1.5270558872790003</v>
      </c>
      <c r="CX41" s="129">
        <f>MONTH('LCFS Table'!$B41)</f>
        <v>9</v>
      </c>
      <c r="CY41" s="129">
        <f>YEAR('LCFS Table'!$B41)</f>
        <v>2019</v>
      </c>
    </row>
    <row r="42" spans="1:103">
      <c r="A42" s="148">
        <v>43737</v>
      </c>
      <c r="B42" s="149">
        <v>43743</v>
      </c>
      <c r="C42" s="132">
        <f t="shared" si="0"/>
        <v>2019</v>
      </c>
      <c r="D42" s="150" t="s">
        <v>296</v>
      </c>
      <c r="E42" s="134">
        <f>'LCFS Table'!$K42-'LCFS Table'!$I42</f>
        <v>-0.85549217772215314</v>
      </c>
      <c r="F42" s="134">
        <f>('LCFS Table'!$M42)-'LCFS Table'!$J42</f>
        <v>-2.8231686709565</v>
      </c>
      <c r="G42" s="135">
        <f>'LCFS Table'!$E42+'LCFS Table'!$AS42+'LCFS Table'!$AT42+'LCFS Table'!$AU42+'LCFS Table'!$AV42</f>
        <v>3.0036301428255379</v>
      </c>
      <c r="H42" s="135">
        <f>'LCFS Table'!$F42+'LCFS Table'!$AX42+'LCFS Table'!$AY42+'LCFS Table'!$AZ42+'LCFS Table'!$BA42+('LCFS Table'!$CQ42*0.9/(0.8/0.99)/100)+(DG42*'LCFS Table'!$AF42)+(DF42*'LCFS Table'!$AG42)</f>
        <v>0.27130976562499975</v>
      </c>
      <c r="I42" s="134">
        <f>('LCFS Table'!$V42+'LCFS Table'!$W42+'LCFS Table'!$X42)/100+(('LCFS Table'!$AI42+'LCFS Table'!$AJ42)/340)</f>
        <v>2.7549921777221531</v>
      </c>
      <c r="J42" s="134">
        <f>(('LCFS Table'!$Y42+'LCFS Table'!$Z42)/100)+(('LCFS Table'!$AM42+'LCFS Table'!$AN42)/300)</f>
        <v>3.1953777343750001</v>
      </c>
      <c r="K42" s="136">
        <f>'[1]Fuel Values'!$C41</f>
        <v>1.8995</v>
      </c>
      <c r="L42" s="136">
        <f>'[1]Fuel Values'!$B41</f>
        <v>341.1</v>
      </c>
      <c r="M42" s="137">
        <f>('LCFS Table'!$L42/100)-'LCFS Table'!$AX42-'LCFS Table'!$AY42-'LCFS Table'!$AZ42-'LCFS Table'!$BA42</f>
        <v>0.37220906341850024</v>
      </c>
      <c r="N42" s="136">
        <f>[1]BFT!$B41</f>
        <v>27.35</v>
      </c>
      <c r="O42" s="136">
        <f>[1]UCO!$B41</f>
        <v>26.5</v>
      </c>
      <c r="P42" s="136">
        <f>[1]DCO!$B41</f>
        <v>23.55</v>
      </c>
      <c r="Q42" s="136">
        <f>'[1]Soybean Oil'!$B41</f>
        <v>32.286000000000001</v>
      </c>
      <c r="R42" s="136">
        <f>'[1]Yellow Grease'!$B41</f>
        <v>23</v>
      </c>
      <c r="S42" s="137">
        <f>'LCFS Table'!$N42 + 'LCFS Table'!$AH42</f>
        <v>31.725000000000001</v>
      </c>
      <c r="T42" s="137">
        <f>'LCFS Table'!$Q42+'LCFS Table'!$AH42</f>
        <v>36.661000000000001</v>
      </c>
      <c r="U42" s="137">
        <f>'LCFS Table'!$P42+'LCFS Table'!$AH42</f>
        <v>27.925000000000001</v>
      </c>
      <c r="V42" s="137">
        <f>(('LCFS Table'!$S42/'LCFS Table'!$AA42)*'LCFS Table'!$AC42)*6.48</f>
        <v>109.35000000000001</v>
      </c>
      <c r="W42" s="137">
        <f>(('LCFS Table'!$O42/'LCFS Table'!$AA42)*'LCFS Table'!$AD42)*6.48</f>
        <v>45.670212765957451</v>
      </c>
      <c r="X42" s="137">
        <f>(('LCFS Table'!$U42/'LCFS Table'!$AA42)*'LCFS Table'!$AE42)*6.48</f>
        <v>48.126063829787242</v>
      </c>
      <c r="Y42" s="137">
        <f>(('LCFS Table'!$T42/'LCFS Table'!$AB42)*'LCFS Table'!$AF42)*7.35</f>
        <v>210.51433593750002</v>
      </c>
      <c r="Z42" s="137">
        <f>(('LCFS Table'!$R42/'LCFS Table'!$AB42)*'LCFS Table'!$AG42)*7.35</f>
        <v>44.0234375</v>
      </c>
      <c r="AA42" s="138">
        <v>0.94</v>
      </c>
      <c r="AB42" s="138">
        <v>0.96</v>
      </c>
      <c r="AC42" s="138">
        <v>0.5</v>
      </c>
      <c r="AD42" s="138">
        <v>0.25</v>
      </c>
      <c r="AE42" s="138">
        <v>0.25</v>
      </c>
      <c r="AF42" s="138">
        <v>0.75</v>
      </c>
      <c r="AG42" s="138">
        <v>0.25</v>
      </c>
      <c r="AH42" s="139">
        <v>4.375</v>
      </c>
      <c r="AI42" s="139">
        <v>136</v>
      </c>
      <c r="AJ42" s="139">
        <v>110</v>
      </c>
      <c r="AK42" s="139">
        <f>('LCFS Table'!$AI42/340)*100</f>
        <v>40</v>
      </c>
      <c r="AL42" s="139">
        <f>('LCFS Table'!$AJ42/340)*100</f>
        <v>32.352941176470587</v>
      </c>
      <c r="AM42" s="139">
        <v>105</v>
      </c>
      <c r="AN42" s="139">
        <v>90</v>
      </c>
      <c r="AO42" s="139">
        <f>('LCFS Table'!$AM42/300)*100</f>
        <v>35</v>
      </c>
      <c r="AP42" s="139">
        <f>('LCFS Table'!$AN42/300)*100</f>
        <v>30</v>
      </c>
      <c r="AQ42" s="140">
        <v>200.9</v>
      </c>
      <c r="AR42" s="136">
        <v>0.54799999999999993</v>
      </c>
      <c r="AS42" s="137">
        <v>1.7675223205476911</v>
      </c>
      <c r="AT42" s="137">
        <v>0.16</v>
      </c>
      <c r="AU42" s="137">
        <v>1</v>
      </c>
      <c r="AV42" s="137">
        <f>'LCFS Table'!$AR42*1.7</f>
        <v>0.93159999999999987</v>
      </c>
      <c r="AW42" s="137">
        <v>0</v>
      </c>
      <c r="AX42" s="137">
        <v>1.2167909365814999</v>
      </c>
      <c r="AY42" s="137">
        <v>0</v>
      </c>
      <c r="AZ42" s="141">
        <v>1</v>
      </c>
      <c r="BA42" s="137">
        <f>'LCFS Table'!$AR42*1.5</f>
        <v>0.82199999999999984</v>
      </c>
      <c r="BB42" s="142">
        <v>1.2</v>
      </c>
      <c r="BC42" s="137">
        <f>'LCFS Table'!$AS42*'LCFS Table'!$BW42</f>
        <v>1.7675223205476911</v>
      </c>
      <c r="BD42" s="137">
        <f>'LCFS Table'!$AT42*'LCFS Table'!$BX42</f>
        <v>0</v>
      </c>
      <c r="BE42" s="137">
        <f>'LCFS Table'!$AU42*'LCFS Table'!$BY42</f>
        <v>1</v>
      </c>
      <c r="BF42" s="137">
        <f>'LCFS Table'!$AV42*'LCFS Table'!$BZ42</f>
        <v>0.93159999999999987</v>
      </c>
      <c r="BG42" s="137">
        <f>'LCFS Table'!$AW42*'LCFS Table'!$CA42</f>
        <v>0</v>
      </c>
      <c r="BH42" s="137">
        <f>'LCFS Table'!$AX42*'LCFS Table'!$CB42</f>
        <v>1.2167909365814999</v>
      </c>
      <c r="BI42" s="137">
        <f>'LCFS Table'!$AY42*'LCFS Table'!$CC42</f>
        <v>0</v>
      </c>
      <c r="BJ42" s="137">
        <f>'LCFS Table'!$AZ42*'LCFS Table'!$CD42</f>
        <v>1</v>
      </c>
      <c r="BK42" s="137">
        <f>'LCFS Table'!$BA42*'LCFS Table'!$CE42</f>
        <v>0.82199999999999984</v>
      </c>
      <c r="BL42" s="137">
        <f>'LCFS Table'!$BB42*'LCFS Table'!$CF42</f>
        <v>-1.2</v>
      </c>
      <c r="BM42" s="137">
        <f>'LCFS Table'!$AS42*'LCFS Table'!$CG42</f>
        <v>0</v>
      </c>
      <c r="BN42" s="137">
        <f>'LCFS Table'!$AT42*'LCFS Table'!$CH42</f>
        <v>0.16</v>
      </c>
      <c r="BO42" s="137">
        <f>'LCFS Table'!$AU42*'LCFS Table'!$CI42</f>
        <v>0</v>
      </c>
      <c r="BP42" s="137">
        <f>'LCFS Table'!$AV42*'LCFS Table'!$CJ42</f>
        <v>0</v>
      </c>
      <c r="BQ42" s="137">
        <f>'LCFS Table'!$AW42*'LCFS Table'!$CK42</f>
        <v>0</v>
      </c>
      <c r="BR42" s="137">
        <f>'LCFS Table'!$AX42*'LCFS Table'!$CL42</f>
        <v>0</v>
      </c>
      <c r="BS42" s="137">
        <f>'LCFS Table'!$AY42*'LCFS Table'!$CM42</f>
        <v>0</v>
      </c>
      <c r="BT42" s="137">
        <f>'LCFS Table'!$AZ42*'LCFS Table'!$CN42</f>
        <v>0</v>
      </c>
      <c r="BU42" s="137">
        <f>'LCFS Table'!$BA42*'LCFS Table'!$CO42</f>
        <v>0</v>
      </c>
      <c r="BV42" s="142">
        <f>'LCFS Table'!$BB42*'LCFS Table'!$CP42</f>
        <v>1.2</v>
      </c>
      <c r="BW42" s="138">
        <v>1</v>
      </c>
      <c r="BX42" s="138">
        <v>0</v>
      </c>
      <c r="BY42" s="138">
        <v>1</v>
      </c>
      <c r="BZ42" s="138">
        <v>1</v>
      </c>
      <c r="CA42" s="138">
        <v>-1</v>
      </c>
      <c r="CB42" s="138">
        <v>1</v>
      </c>
      <c r="CC42" s="138">
        <v>0</v>
      </c>
      <c r="CD42" s="138">
        <v>1</v>
      </c>
      <c r="CE42" s="138">
        <v>1</v>
      </c>
      <c r="CF42" s="138">
        <v>-1</v>
      </c>
      <c r="CG42" s="138">
        <f>1-'LCFS Table'!$BW42</f>
        <v>0</v>
      </c>
      <c r="CH42" s="138">
        <f>1-'LCFS Table'!$BX42</f>
        <v>1</v>
      </c>
      <c r="CI42" s="138">
        <f>1-'LCFS Table'!$BY42</f>
        <v>0</v>
      </c>
      <c r="CJ42" s="138">
        <f>1-'LCFS Table'!$BZ42</f>
        <v>0</v>
      </c>
      <c r="CK42" s="138">
        <f>-'LCFS Table'!$CA42</f>
        <v>1</v>
      </c>
      <c r="CL42" s="138">
        <f>1-'LCFS Table'!$CB42</f>
        <v>0</v>
      </c>
      <c r="CM42" s="138">
        <f>1-'LCFS Table'!$CC42</f>
        <v>1</v>
      </c>
      <c r="CN42" s="138">
        <f>1-'LCFS Table'!$CD42</f>
        <v>0</v>
      </c>
      <c r="CO42" s="138">
        <f>1-'LCFS Table'!$CE42</f>
        <v>0</v>
      </c>
      <c r="CP42" s="138">
        <f>-'LCFS Table'!$CF42</f>
        <v>1</v>
      </c>
      <c r="CQ42" s="140">
        <v>5</v>
      </c>
      <c r="CR42" s="165">
        <f>('LCFS Table'!$CQ42*0.9/(0.8/0.99)/100)</f>
        <v>5.5687499999999994E-2</v>
      </c>
      <c r="CS42" s="166"/>
      <c r="CT42" s="167"/>
      <c r="CW42" s="168">
        <f>'LCFS Table'!$K42-'LCFS Table'!$M42</f>
        <v>1.5272909365814997</v>
      </c>
      <c r="CX42" s="129">
        <f>MONTH('LCFS Table'!$B42)</f>
        <v>10</v>
      </c>
      <c r="CY42" s="129">
        <f>YEAR('LCFS Table'!$B42)</f>
        <v>2019</v>
      </c>
    </row>
    <row r="43" spans="1:103">
      <c r="A43" s="148">
        <v>43744</v>
      </c>
      <c r="B43" s="149">
        <v>43750</v>
      </c>
      <c r="C43" s="132">
        <f t="shared" si="0"/>
        <v>2019</v>
      </c>
      <c r="D43" s="150" t="s">
        <v>297</v>
      </c>
      <c r="E43" s="134">
        <f>'LCFS Table'!$K43-'LCFS Table'!$I43</f>
        <v>-0.78401558197747212</v>
      </c>
      <c r="F43" s="134">
        <f>('LCFS Table'!$M43)-'LCFS Table'!$J43</f>
        <v>-2.9157657525962497</v>
      </c>
      <c r="G43" s="135">
        <f>'LCFS Table'!$E43+'LCFS Table'!$AS43+'LCFS Table'!$AT43+'LCFS Table'!$AU43+'LCFS Table'!$AV43</f>
        <v>3.1168830765145357</v>
      </c>
      <c r="H43" s="135">
        <f>'LCFS Table'!$F43+'LCFS Table'!$AX43+'LCFS Table'!$AY43+'LCFS Table'!$AZ43+'LCFS Table'!$BA43+('LCFS Table'!$CQ43*0.9/(0.8/0.99)/100)+(DG43*'LCFS Table'!$AF43)+(DF43*'LCFS Table'!$AG43)</f>
        <v>0.21241757812500017</v>
      </c>
      <c r="I43" s="134">
        <f>('LCFS Table'!$V43+'LCFS Table'!$W43+'LCFS Table'!$X43)/100+(('LCFS Table'!$AI43+'LCFS Table'!$AJ43)/340)</f>
        <v>2.716215581977472</v>
      </c>
      <c r="J43" s="134">
        <f>(('LCFS Table'!$Y43+'LCFS Table'!$Z43)/100)+(('LCFS Table'!$AM43+'LCFS Table'!$AN43)/300)</f>
        <v>3.2182699218749997</v>
      </c>
      <c r="K43" s="136">
        <f>'[1]Fuel Values'!$C42</f>
        <v>1.9321999999999999</v>
      </c>
      <c r="L43" s="136">
        <f>'[1]Fuel Values'!$B42</f>
        <v>337.5</v>
      </c>
      <c r="M43" s="137">
        <f>('LCFS Table'!$L43/100)-'LCFS Table'!$AX43-'LCFS Table'!$AY43-'LCFS Table'!$AZ43-'LCFS Table'!$BA43</f>
        <v>0.30250416927875012</v>
      </c>
      <c r="N43" s="136">
        <f>[1]BFT!$B42</f>
        <v>26.5</v>
      </c>
      <c r="O43" s="136">
        <f>[1]UCO!$B42</f>
        <v>26.5</v>
      </c>
      <c r="P43" s="136">
        <f>[1]DCO!$B42</f>
        <v>23</v>
      </c>
      <c r="Q43" s="136">
        <f>'[1]Soybean Oil'!$B42</f>
        <v>32.817999999999998</v>
      </c>
      <c r="R43" s="136">
        <f>'[1]Yellow Grease'!$B42</f>
        <v>22.6</v>
      </c>
      <c r="S43" s="137">
        <f>'LCFS Table'!$N43 + 'LCFS Table'!$AH43</f>
        <v>30.875</v>
      </c>
      <c r="T43" s="137">
        <f>'LCFS Table'!$Q43+'LCFS Table'!$AH43</f>
        <v>37.192999999999998</v>
      </c>
      <c r="U43" s="137">
        <f>'LCFS Table'!$P43+'LCFS Table'!$AH43</f>
        <v>27.375</v>
      </c>
      <c r="V43" s="137">
        <f>(('LCFS Table'!$S43/'LCFS Table'!$AA43)*'LCFS Table'!$AC43)*6.48</f>
        <v>106.42021276595744</v>
      </c>
      <c r="W43" s="137">
        <f>(('LCFS Table'!$O43/'LCFS Table'!$AA43)*'LCFS Table'!$AD43)*6.48</f>
        <v>45.670212765957451</v>
      </c>
      <c r="X43" s="137">
        <f>(('LCFS Table'!$U43/'LCFS Table'!$AA43)*'LCFS Table'!$AE43)*6.48</f>
        <v>47.178191489361708</v>
      </c>
      <c r="Y43" s="137">
        <f>(('LCFS Table'!$T43/'LCFS Table'!$AB43)*'LCFS Table'!$AF43)*7.35</f>
        <v>213.5691796875</v>
      </c>
      <c r="Z43" s="137">
        <f>(('LCFS Table'!$R43/'LCFS Table'!$AB43)*'LCFS Table'!$AG43)*7.35</f>
        <v>43.2578125</v>
      </c>
      <c r="AA43" s="138">
        <v>0.94</v>
      </c>
      <c r="AB43" s="138">
        <v>0.96</v>
      </c>
      <c r="AC43" s="138">
        <v>0.5</v>
      </c>
      <c r="AD43" s="138">
        <v>0.25</v>
      </c>
      <c r="AE43" s="138">
        <v>0.25</v>
      </c>
      <c r="AF43" s="138">
        <v>0.75</v>
      </c>
      <c r="AG43" s="138">
        <v>0.25</v>
      </c>
      <c r="AH43" s="139">
        <v>4.375</v>
      </c>
      <c r="AI43" s="139">
        <v>136</v>
      </c>
      <c r="AJ43" s="139">
        <v>110</v>
      </c>
      <c r="AK43" s="139">
        <f>('LCFS Table'!$AI43/340)*100</f>
        <v>40</v>
      </c>
      <c r="AL43" s="139">
        <f>('LCFS Table'!$AJ43/340)*100</f>
        <v>32.352941176470587</v>
      </c>
      <c r="AM43" s="139">
        <v>105</v>
      </c>
      <c r="AN43" s="139">
        <v>90</v>
      </c>
      <c r="AO43" s="139">
        <f>('LCFS Table'!$AM43/300)*100</f>
        <v>35</v>
      </c>
      <c r="AP43" s="139">
        <f>('LCFS Table'!$AN43/300)*100</f>
        <v>30</v>
      </c>
      <c r="AQ43" s="140">
        <v>202.75</v>
      </c>
      <c r="AR43" s="136">
        <v>0.56299999999999994</v>
      </c>
      <c r="AS43" s="137">
        <v>1.7837986584920078</v>
      </c>
      <c r="AT43" s="137">
        <v>0.16</v>
      </c>
      <c r="AU43" s="137">
        <v>1</v>
      </c>
      <c r="AV43" s="137">
        <f>'LCFS Table'!$AR43*1.7</f>
        <v>0.95709999999999984</v>
      </c>
      <c r="AW43" s="137">
        <v>0</v>
      </c>
      <c r="AX43" s="137">
        <v>1.22799583072125</v>
      </c>
      <c r="AY43" s="137">
        <v>0</v>
      </c>
      <c r="AZ43" s="141">
        <v>1</v>
      </c>
      <c r="BA43" s="137">
        <f>'LCFS Table'!$AR43*1.5</f>
        <v>0.84449999999999992</v>
      </c>
      <c r="BB43" s="136">
        <v>1.2</v>
      </c>
      <c r="BC43" s="137">
        <f>'LCFS Table'!$AS43*'LCFS Table'!$BW43</f>
        <v>1.7837986584920078</v>
      </c>
      <c r="BD43" s="137">
        <f>'LCFS Table'!$AT43*'LCFS Table'!$BX43</f>
        <v>0</v>
      </c>
      <c r="BE43" s="137">
        <f>'LCFS Table'!$AU43*'LCFS Table'!$BY43</f>
        <v>1</v>
      </c>
      <c r="BF43" s="137">
        <f>'LCFS Table'!$AV43*'LCFS Table'!$BZ43</f>
        <v>0.95709999999999984</v>
      </c>
      <c r="BG43" s="137">
        <f>'LCFS Table'!$AW43*'LCFS Table'!$CA43</f>
        <v>0</v>
      </c>
      <c r="BH43" s="137">
        <f>'LCFS Table'!$AX43*'LCFS Table'!$CB43</f>
        <v>1.22799583072125</v>
      </c>
      <c r="BI43" s="137">
        <f>'LCFS Table'!$AY43*'LCFS Table'!$CC43</f>
        <v>0</v>
      </c>
      <c r="BJ43" s="137">
        <f>'LCFS Table'!$AZ43*'LCFS Table'!$CD43</f>
        <v>1</v>
      </c>
      <c r="BK43" s="137">
        <f>'LCFS Table'!$BA43*'LCFS Table'!$CE43</f>
        <v>0.84449999999999992</v>
      </c>
      <c r="BL43" s="137">
        <f>'LCFS Table'!$BB43*'LCFS Table'!$CF43</f>
        <v>-1.2</v>
      </c>
      <c r="BM43" s="137">
        <f>'LCFS Table'!$AS43*'LCFS Table'!$CG43</f>
        <v>0</v>
      </c>
      <c r="BN43" s="137">
        <f>'LCFS Table'!$AT43*'LCFS Table'!$CH43</f>
        <v>0.16</v>
      </c>
      <c r="BO43" s="137">
        <f>'LCFS Table'!$AU43*'LCFS Table'!$CI43</f>
        <v>0</v>
      </c>
      <c r="BP43" s="137">
        <f>'LCFS Table'!$AV43*'LCFS Table'!$CJ43</f>
        <v>0</v>
      </c>
      <c r="BQ43" s="137">
        <f>'LCFS Table'!$AW43*'LCFS Table'!$CK43</f>
        <v>0</v>
      </c>
      <c r="BR43" s="137">
        <f>'LCFS Table'!$AX43*'LCFS Table'!$CL43</f>
        <v>0</v>
      </c>
      <c r="BS43" s="137">
        <f>'LCFS Table'!$AY43*'LCFS Table'!$CM43</f>
        <v>0</v>
      </c>
      <c r="BT43" s="137">
        <f>'LCFS Table'!$AZ43*'LCFS Table'!$CN43</f>
        <v>0</v>
      </c>
      <c r="BU43" s="137">
        <f>'LCFS Table'!$BA43*'LCFS Table'!$CO43</f>
        <v>0</v>
      </c>
      <c r="BV43" s="136">
        <f>'LCFS Table'!$BB43*'LCFS Table'!$CP43</f>
        <v>1.2</v>
      </c>
      <c r="BW43" s="138">
        <v>1</v>
      </c>
      <c r="BX43" s="138">
        <v>0</v>
      </c>
      <c r="BY43" s="138">
        <v>1</v>
      </c>
      <c r="BZ43" s="138">
        <v>1</v>
      </c>
      <c r="CA43" s="138">
        <v>-1</v>
      </c>
      <c r="CB43" s="138">
        <v>1</v>
      </c>
      <c r="CC43" s="138">
        <v>0</v>
      </c>
      <c r="CD43" s="138">
        <v>1</v>
      </c>
      <c r="CE43" s="138">
        <v>1</v>
      </c>
      <c r="CF43" s="138">
        <v>-1</v>
      </c>
      <c r="CG43" s="138">
        <f>1-'LCFS Table'!$BW43</f>
        <v>0</v>
      </c>
      <c r="CH43" s="138">
        <f>1-'LCFS Table'!$BX43</f>
        <v>1</v>
      </c>
      <c r="CI43" s="138">
        <f>1-'LCFS Table'!$BY43</f>
        <v>0</v>
      </c>
      <c r="CJ43" s="138">
        <f>1-'LCFS Table'!$BZ43</f>
        <v>0</v>
      </c>
      <c r="CK43" s="138">
        <f>-'LCFS Table'!$CA43</f>
        <v>1</v>
      </c>
      <c r="CL43" s="138">
        <f>1-'LCFS Table'!$CB43</f>
        <v>0</v>
      </c>
      <c r="CM43" s="138">
        <f>1-'LCFS Table'!$CC43</f>
        <v>1</v>
      </c>
      <c r="CN43" s="138">
        <f>1-'LCFS Table'!$CD43</f>
        <v>0</v>
      </c>
      <c r="CO43" s="138">
        <f>1-'LCFS Table'!$CE43</f>
        <v>0</v>
      </c>
      <c r="CP43" s="138">
        <f>-'LCFS Table'!$CF43</f>
        <v>1</v>
      </c>
      <c r="CQ43" s="140">
        <v>5</v>
      </c>
      <c r="CR43" s="165">
        <f>('LCFS Table'!$CQ43*0.9/(0.8/0.99)/100)</f>
        <v>5.5687499999999994E-2</v>
      </c>
      <c r="CS43" s="166"/>
      <c r="CT43" s="167"/>
      <c r="CW43" s="168">
        <f>'LCFS Table'!$K43-'LCFS Table'!$M43</f>
        <v>1.6296958307212499</v>
      </c>
      <c r="CX43" s="129">
        <f>MONTH('LCFS Table'!$B43)</f>
        <v>10</v>
      </c>
      <c r="CY43" s="129">
        <f>YEAR('LCFS Table'!$B43)</f>
        <v>2019</v>
      </c>
    </row>
    <row r="44" spans="1:103">
      <c r="A44" s="148">
        <v>43751</v>
      </c>
      <c r="B44" s="149">
        <v>43757</v>
      </c>
      <c r="C44" s="132">
        <f t="shared" si="0"/>
        <v>2019</v>
      </c>
      <c r="D44" s="150" t="s">
        <v>298</v>
      </c>
      <c r="E44" s="134">
        <f>'LCFS Table'!$K44-'LCFS Table'!$I44</f>
        <v>-0.75638153942428055</v>
      </c>
      <c r="F44" s="134">
        <f>('LCFS Table'!$M44)-'LCFS Table'!$J44</f>
        <v>-2.9632235469685</v>
      </c>
      <c r="G44" s="135">
        <f>'LCFS Table'!$E44+'LCFS Table'!$AS44+'LCFS Table'!$AT44+'LCFS Table'!$AU44+'LCFS Table'!$AV44</f>
        <v>3.1852944467568229</v>
      </c>
      <c r="H44" s="135">
        <f>'LCFS Table'!$F44+'LCFS Table'!$AX44+'LCFS Table'!$AY44+'LCFS Table'!$AZ44+'LCFS Table'!$BA44+('LCFS Table'!$CQ44*0.9/(0.8/0.99)/100)+(DG44*'LCFS Table'!$AF44)+(DF44*'LCFS Table'!$AG44)</f>
        <v>0.19863632812499976</v>
      </c>
      <c r="I44" s="134">
        <f>('LCFS Table'!$V44+'LCFS Table'!$W44+'LCFS Table'!$X44)/100+(('LCFS Table'!$AI44+'LCFS Table'!$AJ44)/340)</f>
        <v>2.6989815394242807</v>
      </c>
      <c r="J44" s="134">
        <f>(('LCFS Table'!$Y44+'LCFS Table'!$Z44)/100)+(('LCFS Table'!$AM44+'LCFS Table'!$AN44)/300)</f>
        <v>3.2320511718750002</v>
      </c>
      <c r="K44" s="136">
        <f>'[1]Fuel Values'!$C43</f>
        <v>1.9426000000000001</v>
      </c>
      <c r="L44" s="136">
        <f>'[1]Fuel Values'!$B43</f>
        <v>337.5</v>
      </c>
      <c r="M44" s="137">
        <f>('LCFS Table'!$L44/100)-'LCFS Table'!$AX44-'LCFS Table'!$AY44-'LCFS Table'!$AZ44-'LCFS Table'!$BA44</f>
        <v>0.26882762490650003</v>
      </c>
      <c r="N44" s="136">
        <f>[1]BFT!$B43</f>
        <v>26.3</v>
      </c>
      <c r="O44" s="136">
        <f>[1]UCO!$B43</f>
        <v>26.5</v>
      </c>
      <c r="P44" s="136">
        <f>[1]DCO!$B43</f>
        <v>22.4</v>
      </c>
      <c r="Q44" s="136">
        <f>'[1]Soybean Oil'!$B43</f>
        <v>33.258000000000003</v>
      </c>
      <c r="R44" s="136">
        <f>'[1]Yellow Grease'!$B43</f>
        <v>22</v>
      </c>
      <c r="S44" s="137">
        <f>'LCFS Table'!$N44 + 'LCFS Table'!$AH44</f>
        <v>30.675000000000001</v>
      </c>
      <c r="T44" s="137">
        <f>'LCFS Table'!$Q44+'LCFS Table'!$AH44</f>
        <v>37.633000000000003</v>
      </c>
      <c r="U44" s="137">
        <f>'LCFS Table'!$P44+'LCFS Table'!$AH44</f>
        <v>26.774999999999999</v>
      </c>
      <c r="V44" s="137">
        <f>(('LCFS Table'!$S44/'LCFS Table'!$AA44)*'LCFS Table'!$AC44)*6.48</f>
        <v>105.7308510638298</v>
      </c>
      <c r="W44" s="137">
        <f>(('LCFS Table'!$O44/'LCFS Table'!$AA44)*'LCFS Table'!$AD44)*6.48</f>
        <v>45.670212765957451</v>
      </c>
      <c r="X44" s="137">
        <f>(('LCFS Table'!$U44/'LCFS Table'!$AA44)*'LCFS Table'!$AE44)*6.48</f>
        <v>46.144148936170218</v>
      </c>
      <c r="Y44" s="137">
        <f>(('LCFS Table'!$T44/'LCFS Table'!$AB44)*'LCFS Table'!$AF44)*7.35</f>
        <v>216.09574218750001</v>
      </c>
      <c r="Z44" s="137">
        <f>(('LCFS Table'!$R44/'LCFS Table'!$AB44)*'LCFS Table'!$AG44)*7.35</f>
        <v>42.109375</v>
      </c>
      <c r="AA44" s="138">
        <v>0.94</v>
      </c>
      <c r="AB44" s="138">
        <v>0.96</v>
      </c>
      <c r="AC44" s="138">
        <v>0.5</v>
      </c>
      <c r="AD44" s="138">
        <v>0.25</v>
      </c>
      <c r="AE44" s="138">
        <v>0.25</v>
      </c>
      <c r="AF44" s="138">
        <v>0.75</v>
      </c>
      <c r="AG44" s="138">
        <v>0.25</v>
      </c>
      <c r="AH44" s="139">
        <v>4.375</v>
      </c>
      <c r="AI44" s="139">
        <v>136</v>
      </c>
      <c r="AJ44" s="139">
        <v>110</v>
      </c>
      <c r="AK44" s="139">
        <f>('LCFS Table'!$AI44/340)*100</f>
        <v>40</v>
      </c>
      <c r="AL44" s="139">
        <f>('LCFS Table'!$AJ44/340)*100</f>
        <v>32.352941176470587</v>
      </c>
      <c r="AM44" s="139">
        <v>105</v>
      </c>
      <c r="AN44" s="139">
        <v>90</v>
      </c>
      <c r="AO44" s="139">
        <f>('LCFS Table'!$AM44/300)*100</f>
        <v>35</v>
      </c>
      <c r="AP44" s="139">
        <f>('LCFS Table'!$AN44/300)*100</f>
        <v>30</v>
      </c>
      <c r="AQ44" s="140">
        <v>204.1</v>
      </c>
      <c r="AR44" s="136">
        <v>0.57999999999999996</v>
      </c>
      <c r="AS44" s="137">
        <v>1.7956759861811038</v>
      </c>
      <c r="AT44" s="137">
        <v>0.16</v>
      </c>
      <c r="AU44" s="137">
        <v>1</v>
      </c>
      <c r="AV44" s="137">
        <f>'LCFS Table'!$AR44*1.7</f>
        <v>0.98599999999999988</v>
      </c>
      <c r="AW44" s="137">
        <v>0</v>
      </c>
      <c r="AX44" s="137">
        <v>1.2361723750934999</v>
      </c>
      <c r="AY44" s="137">
        <v>0</v>
      </c>
      <c r="AZ44" s="141">
        <v>1</v>
      </c>
      <c r="BA44" s="137">
        <f>'LCFS Table'!$AR44*1.5</f>
        <v>0.86999999999999988</v>
      </c>
      <c r="BB44" s="136">
        <v>1.2</v>
      </c>
      <c r="BC44" s="137">
        <f>'LCFS Table'!$AS44*'LCFS Table'!$BW44</f>
        <v>1.7956759861811038</v>
      </c>
      <c r="BD44" s="137">
        <f>'LCFS Table'!$AT44*'LCFS Table'!$BX44</f>
        <v>0</v>
      </c>
      <c r="BE44" s="137">
        <f>'LCFS Table'!$AU44*'LCFS Table'!$BY44</f>
        <v>1</v>
      </c>
      <c r="BF44" s="137">
        <f>'LCFS Table'!$AV44*'LCFS Table'!$BZ44</f>
        <v>0.98599999999999988</v>
      </c>
      <c r="BG44" s="137">
        <f>'LCFS Table'!$AW44*'LCFS Table'!$CA44</f>
        <v>0</v>
      </c>
      <c r="BH44" s="137">
        <f>'LCFS Table'!$AX44*'LCFS Table'!$CB44</f>
        <v>1.2361723750934999</v>
      </c>
      <c r="BI44" s="137">
        <f>'LCFS Table'!$AY44*'LCFS Table'!$CC44</f>
        <v>0</v>
      </c>
      <c r="BJ44" s="137">
        <f>'LCFS Table'!$AZ44*'LCFS Table'!$CD44</f>
        <v>1</v>
      </c>
      <c r="BK44" s="137">
        <f>'LCFS Table'!$BA44*'LCFS Table'!$CE44</f>
        <v>0.86999999999999988</v>
      </c>
      <c r="BL44" s="137">
        <f>'LCFS Table'!$BB44*'LCFS Table'!$CF44</f>
        <v>-1.2</v>
      </c>
      <c r="BM44" s="137">
        <f>'LCFS Table'!$AS44*'LCFS Table'!$CG44</f>
        <v>0</v>
      </c>
      <c r="BN44" s="137">
        <f>'LCFS Table'!$AT44*'LCFS Table'!$CH44</f>
        <v>0.16</v>
      </c>
      <c r="BO44" s="137">
        <f>'LCFS Table'!$AU44*'LCFS Table'!$CI44</f>
        <v>0</v>
      </c>
      <c r="BP44" s="137">
        <f>'LCFS Table'!$AV44*'LCFS Table'!$CJ44</f>
        <v>0</v>
      </c>
      <c r="BQ44" s="137">
        <f>'LCFS Table'!$AW44*'LCFS Table'!$CK44</f>
        <v>0</v>
      </c>
      <c r="BR44" s="137">
        <f>'LCFS Table'!$AX44*'LCFS Table'!$CL44</f>
        <v>0</v>
      </c>
      <c r="BS44" s="137">
        <f>'LCFS Table'!$AY44*'LCFS Table'!$CM44</f>
        <v>0</v>
      </c>
      <c r="BT44" s="137">
        <f>'LCFS Table'!$AZ44*'LCFS Table'!$CN44</f>
        <v>0</v>
      </c>
      <c r="BU44" s="137">
        <f>'LCFS Table'!$BA44*'LCFS Table'!$CO44</f>
        <v>0</v>
      </c>
      <c r="BV44" s="136">
        <f>'LCFS Table'!$BB44*'LCFS Table'!$CP44</f>
        <v>1.2</v>
      </c>
      <c r="BW44" s="138">
        <v>1</v>
      </c>
      <c r="BX44" s="138">
        <v>0</v>
      </c>
      <c r="BY44" s="138">
        <v>1</v>
      </c>
      <c r="BZ44" s="138">
        <v>1</v>
      </c>
      <c r="CA44" s="138">
        <v>-1</v>
      </c>
      <c r="CB44" s="138">
        <v>1</v>
      </c>
      <c r="CC44" s="138">
        <v>0</v>
      </c>
      <c r="CD44" s="138">
        <v>1</v>
      </c>
      <c r="CE44" s="138">
        <v>1</v>
      </c>
      <c r="CF44" s="138">
        <v>-1</v>
      </c>
      <c r="CG44" s="138">
        <f>1-'LCFS Table'!$BW44</f>
        <v>0</v>
      </c>
      <c r="CH44" s="138">
        <f>1-'LCFS Table'!$BX44</f>
        <v>1</v>
      </c>
      <c r="CI44" s="138">
        <f>1-'LCFS Table'!$BY44</f>
        <v>0</v>
      </c>
      <c r="CJ44" s="138">
        <f>1-'LCFS Table'!$BZ44</f>
        <v>0</v>
      </c>
      <c r="CK44" s="138">
        <f>-'LCFS Table'!$CA44</f>
        <v>1</v>
      </c>
      <c r="CL44" s="138">
        <f>1-'LCFS Table'!$CB44</f>
        <v>0</v>
      </c>
      <c r="CM44" s="138">
        <f>1-'LCFS Table'!$CC44</f>
        <v>1</v>
      </c>
      <c r="CN44" s="138">
        <f>1-'LCFS Table'!$CD44</f>
        <v>0</v>
      </c>
      <c r="CO44" s="138">
        <f>1-'LCFS Table'!$CE44</f>
        <v>0</v>
      </c>
      <c r="CP44" s="138">
        <f>-'LCFS Table'!$CF44</f>
        <v>1</v>
      </c>
      <c r="CQ44" s="140">
        <v>5</v>
      </c>
      <c r="CR44" s="165">
        <f>('LCFS Table'!$CQ44*0.9/(0.8/0.99)/100)</f>
        <v>5.5687499999999994E-2</v>
      </c>
      <c r="CS44" s="166"/>
      <c r="CT44" s="167"/>
      <c r="CW44" s="168">
        <f>'LCFS Table'!$K44-'LCFS Table'!$M44</f>
        <v>1.6737723750935001</v>
      </c>
      <c r="CX44" s="129">
        <f>MONTH('LCFS Table'!$B44)</f>
        <v>10</v>
      </c>
      <c r="CY44" s="129">
        <f>YEAR('LCFS Table'!$B44)</f>
        <v>2019</v>
      </c>
    </row>
    <row r="45" spans="1:103">
      <c r="A45" s="148">
        <v>43758</v>
      </c>
      <c r="B45" s="149">
        <v>43764</v>
      </c>
      <c r="C45" s="132">
        <f t="shared" si="0"/>
        <v>2019</v>
      </c>
      <c r="D45" s="150" t="s">
        <v>299</v>
      </c>
      <c r="E45" s="134">
        <f>'LCFS Table'!$K45-'LCFS Table'!$I45</f>
        <v>-0.66360813516896133</v>
      </c>
      <c r="F45" s="134">
        <f>('LCFS Table'!$M45)-'LCFS Table'!$J45</f>
        <v>-3.0296165265910009</v>
      </c>
      <c r="G45" s="135">
        <f>'LCFS Table'!$E45+'LCFS Table'!$AS45+'LCFS Table'!$AT45+'LCFS Table'!$AU45+'LCFS Table'!$AV45</f>
        <v>3.3420109227986874</v>
      </c>
      <c r="H45" s="135">
        <f>'LCFS Table'!$F45+'LCFS Table'!$AX45+'LCFS Table'!$AY45+'LCFS Table'!$AZ45+'LCFS Table'!$BA45+('LCFS Table'!$CQ45*0.9/(0.8/0.99)/100)+(DG45*'LCFS Table'!$AF45)+(DF45*'LCFS Table'!$AG45)</f>
        <v>0.18269179687499915</v>
      </c>
      <c r="I45" s="134">
        <f>('LCFS Table'!$V45+'LCFS Table'!$W45+'LCFS Table'!$X45)/100+(('LCFS Table'!$AI45+'LCFS Table'!$AJ45)/340)</f>
        <v>2.6365081351689614</v>
      </c>
      <c r="J45" s="134">
        <f>(('LCFS Table'!$Y45+'LCFS Table'!$Z45)/100)+(('LCFS Table'!$AM45+'LCFS Table'!$AN45)/300)</f>
        <v>3.251995703125</v>
      </c>
      <c r="K45" s="136">
        <f>'[1]Fuel Values'!$C44</f>
        <v>1.9729000000000001</v>
      </c>
      <c r="L45" s="136">
        <f>'[1]Fuel Values'!$B44</f>
        <v>337.9</v>
      </c>
      <c r="M45" s="137">
        <f>('LCFS Table'!$L45/100)-'LCFS Table'!$AX45-'LCFS Table'!$AY45-'LCFS Table'!$AZ45-'LCFS Table'!$BA45</f>
        <v>0.2223791765339993</v>
      </c>
      <c r="N45" s="136">
        <f>[1]BFT!$B44</f>
        <v>24.5</v>
      </c>
      <c r="O45" s="136">
        <f>[1]UCO!$B44</f>
        <v>26.5</v>
      </c>
      <c r="P45" s="136">
        <f>[1]DCO!$B44</f>
        <v>22.375</v>
      </c>
      <c r="Q45" s="136">
        <f>'[1]Soybean Oil'!$B44</f>
        <v>33.872</v>
      </c>
      <c r="R45" s="136">
        <f>'[1]Yellow Grease'!$B44</f>
        <v>21.2</v>
      </c>
      <c r="S45" s="137">
        <f>'LCFS Table'!$N45 + 'LCFS Table'!$AH45</f>
        <v>28.875</v>
      </c>
      <c r="T45" s="137">
        <f>'LCFS Table'!$Q45+'LCFS Table'!$AH45</f>
        <v>38.247</v>
      </c>
      <c r="U45" s="137">
        <f>'LCFS Table'!$P45+'LCFS Table'!$AH45</f>
        <v>26.75</v>
      </c>
      <c r="V45" s="137">
        <f>(('LCFS Table'!$S45/'LCFS Table'!$AA45)*'LCFS Table'!$AC45)*6.48</f>
        <v>99.526595744680861</v>
      </c>
      <c r="W45" s="137">
        <f>(('LCFS Table'!$O45/'LCFS Table'!$AA45)*'LCFS Table'!$AD45)*6.48</f>
        <v>45.670212765957451</v>
      </c>
      <c r="X45" s="137">
        <f>(('LCFS Table'!$U45/'LCFS Table'!$AA45)*'LCFS Table'!$AE45)*6.48</f>
        <v>46.101063829787236</v>
      </c>
      <c r="Y45" s="137">
        <f>(('LCFS Table'!$T45/'LCFS Table'!$AB45)*'LCFS Table'!$AF45)*7.35</f>
        <v>219.62144531250001</v>
      </c>
      <c r="Z45" s="137">
        <f>(('LCFS Table'!$R45/'LCFS Table'!$AB45)*'LCFS Table'!$AG45)*7.35</f>
        <v>40.578124999999993</v>
      </c>
      <c r="AA45" s="138">
        <v>0.94</v>
      </c>
      <c r="AB45" s="138">
        <v>0.96</v>
      </c>
      <c r="AC45" s="138">
        <v>0.5</v>
      </c>
      <c r="AD45" s="138">
        <v>0.25</v>
      </c>
      <c r="AE45" s="138">
        <v>0.25</v>
      </c>
      <c r="AF45" s="138">
        <v>0.75</v>
      </c>
      <c r="AG45" s="138">
        <v>0.25</v>
      </c>
      <c r="AH45" s="139">
        <v>4.375</v>
      </c>
      <c r="AI45" s="139">
        <v>136</v>
      </c>
      <c r="AJ45" s="139">
        <v>110</v>
      </c>
      <c r="AK45" s="139">
        <f>('LCFS Table'!$AI45/340)*100</f>
        <v>40</v>
      </c>
      <c r="AL45" s="139">
        <f>('LCFS Table'!$AJ45/340)*100</f>
        <v>32.352941176470587</v>
      </c>
      <c r="AM45" s="139">
        <v>105</v>
      </c>
      <c r="AN45" s="139">
        <v>90</v>
      </c>
      <c r="AO45" s="139">
        <f>('LCFS Table'!$AM45/300)*100</f>
        <v>35</v>
      </c>
      <c r="AP45" s="139">
        <f>('LCFS Table'!$AN45/300)*100</f>
        <v>30</v>
      </c>
      <c r="AQ45" s="140">
        <v>207.6</v>
      </c>
      <c r="AR45" s="136">
        <v>0.59950000000000003</v>
      </c>
      <c r="AS45" s="137">
        <v>1.826469057967649</v>
      </c>
      <c r="AT45" s="137">
        <v>0.16</v>
      </c>
      <c r="AU45" s="137">
        <v>1</v>
      </c>
      <c r="AV45" s="137">
        <f>'LCFS Table'!$AR45*1.7</f>
        <v>1.01915</v>
      </c>
      <c r="AW45" s="137">
        <v>0</v>
      </c>
      <c r="AX45" s="137">
        <v>1.2573708234659999</v>
      </c>
      <c r="AY45" s="137">
        <v>0</v>
      </c>
      <c r="AZ45" s="141">
        <v>1</v>
      </c>
      <c r="BA45" s="137">
        <f>'LCFS Table'!$AR45*1.5</f>
        <v>0.8992500000000001</v>
      </c>
      <c r="BB45" s="136">
        <v>1.2</v>
      </c>
      <c r="BC45" s="137">
        <f>'LCFS Table'!$AS45*'LCFS Table'!$BW45</f>
        <v>1.826469057967649</v>
      </c>
      <c r="BD45" s="137">
        <f>'LCFS Table'!$AT45*'LCFS Table'!$BX45</f>
        <v>0</v>
      </c>
      <c r="BE45" s="137">
        <f>'LCFS Table'!$AU45*'LCFS Table'!$BY45</f>
        <v>1</v>
      </c>
      <c r="BF45" s="137">
        <f>'LCFS Table'!$AV45*'LCFS Table'!$BZ45</f>
        <v>1.01915</v>
      </c>
      <c r="BG45" s="137">
        <f>'LCFS Table'!$AW45*'LCFS Table'!$CA45</f>
        <v>0</v>
      </c>
      <c r="BH45" s="137">
        <f>'LCFS Table'!$AX45*'LCFS Table'!$CB45</f>
        <v>1.2573708234659999</v>
      </c>
      <c r="BI45" s="137">
        <f>'LCFS Table'!$AY45*'LCFS Table'!$CC45</f>
        <v>0</v>
      </c>
      <c r="BJ45" s="137">
        <f>'LCFS Table'!$AZ45*'LCFS Table'!$CD45</f>
        <v>1</v>
      </c>
      <c r="BK45" s="137">
        <f>'LCFS Table'!$BA45*'LCFS Table'!$CE45</f>
        <v>0.8992500000000001</v>
      </c>
      <c r="BL45" s="137">
        <f>'LCFS Table'!$BB45*'LCFS Table'!$CF45</f>
        <v>-1.2</v>
      </c>
      <c r="BM45" s="137">
        <f>'LCFS Table'!$AS45*'LCFS Table'!$CG45</f>
        <v>0</v>
      </c>
      <c r="BN45" s="137">
        <f>'LCFS Table'!$AT45*'LCFS Table'!$CH45</f>
        <v>0.16</v>
      </c>
      <c r="BO45" s="137">
        <f>'LCFS Table'!$AU45*'LCFS Table'!$CI45</f>
        <v>0</v>
      </c>
      <c r="BP45" s="137">
        <f>'LCFS Table'!$AV45*'LCFS Table'!$CJ45</f>
        <v>0</v>
      </c>
      <c r="BQ45" s="137">
        <f>'LCFS Table'!$AW45*'LCFS Table'!$CK45</f>
        <v>0</v>
      </c>
      <c r="BR45" s="137">
        <f>'LCFS Table'!$AX45*'LCFS Table'!$CL45</f>
        <v>0</v>
      </c>
      <c r="BS45" s="137">
        <f>'LCFS Table'!$AY45*'LCFS Table'!$CM45</f>
        <v>0</v>
      </c>
      <c r="BT45" s="137">
        <f>'LCFS Table'!$AZ45*'LCFS Table'!$CN45</f>
        <v>0</v>
      </c>
      <c r="BU45" s="137">
        <f>'LCFS Table'!$BA45*'LCFS Table'!$CO45</f>
        <v>0</v>
      </c>
      <c r="BV45" s="136">
        <f>'LCFS Table'!$BB45*'LCFS Table'!$CP45</f>
        <v>1.2</v>
      </c>
      <c r="BW45" s="138">
        <v>1</v>
      </c>
      <c r="BX45" s="138">
        <v>0</v>
      </c>
      <c r="BY45" s="138">
        <v>1</v>
      </c>
      <c r="BZ45" s="138">
        <v>1</v>
      </c>
      <c r="CA45" s="138">
        <v>-1</v>
      </c>
      <c r="CB45" s="138">
        <v>1</v>
      </c>
      <c r="CC45" s="138">
        <v>0</v>
      </c>
      <c r="CD45" s="138">
        <v>1</v>
      </c>
      <c r="CE45" s="138">
        <v>1</v>
      </c>
      <c r="CF45" s="138">
        <v>-1</v>
      </c>
      <c r="CG45" s="138">
        <f>1-'LCFS Table'!$BW45</f>
        <v>0</v>
      </c>
      <c r="CH45" s="138">
        <f>1-'LCFS Table'!$BX45</f>
        <v>1</v>
      </c>
      <c r="CI45" s="138">
        <f>1-'LCFS Table'!$BY45</f>
        <v>0</v>
      </c>
      <c r="CJ45" s="138">
        <f>1-'LCFS Table'!$BZ45</f>
        <v>0</v>
      </c>
      <c r="CK45" s="138">
        <f>-'LCFS Table'!$CA45</f>
        <v>1</v>
      </c>
      <c r="CL45" s="138">
        <f>1-'LCFS Table'!$CB45</f>
        <v>0</v>
      </c>
      <c r="CM45" s="138">
        <f>1-'LCFS Table'!$CC45</f>
        <v>1</v>
      </c>
      <c r="CN45" s="138">
        <f>1-'LCFS Table'!$CD45</f>
        <v>0</v>
      </c>
      <c r="CO45" s="138">
        <f>1-'LCFS Table'!$CE45</f>
        <v>0</v>
      </c>
      <c r="CP45" s="138">
        <f>-'LCFS Table'!$CF45</f>
        <v>1</v>
      </c>
      <c r="CQ45" s="140">
        <v>5</v>
      </c>
      <c r="CR45" s="165">
        <f>('LCFS Table'!$CQ45*0.9/(0.8/0.99)/100)</f>
        <v>5.5687499999999994E-2</v>
      </c>
      <c r="CS45" s="166"/>
      <c r="CT45" s="167"/>
      <c r="CW45" s="168">
        <f>'LCFS Table'!$K45-'LCFS Table'!$M45</f>
        <v>1.7505208234660008</v>
      </c>
      <c r="CX45" s="129">
        <f>MONTH('LCFS Table'!$B45)</f>
        <v>10</v>
      </c>
      <c r="CY45" s="129">
        <f>YEAR('LCFS Table'!$B45)</f>
        <v>2019</v>
      </c>
    </row>
    <row r="46" spans="1:103">
      <c r="A46" s="148">
        <v>43765</v>
      </c>
      <c r="B46" s="149">
        <v>43771</v>
      </c>
      <c r="C46" s="132">
        <f t="shared" si="0"/>
        <v>2019</v>
      </c>
      <c r="D46" s="150" t="s">
        <v>300</v>
      </c>
      <c r="E46" s="134">
        <f>'LCFS Table'!$K46-'LCFS Table'!$I46</f>
        <v>-0.67698898623279136</v>
      </c>
      <c r="F46" s="134">
        <f>('LCFS Table'!$M46)-'LCFS Table'!$J46</f>
        <v>-3.0516364366840003</v>
      </c>
      <c r="G46" s="135">
        <f>'LCFS Table'!$E46+'LCFS Table'!$AS46+'LCFS Table'!$AT46+'LCFS Table'!$AU46+'LCFS Table'!$AV46</f>
        <v>3.3668204676327691</v>
      </c>
      <c r="H46" s="135">
        <f>'LCFS Table'!$F46+'LCFS Table'!$AX46+'LCFS Table'!$AY46+'LCFS Table'!$AZ46+'LCFS Table'!$BA46+('LCFS Table'!$CQ46*0.9/(0.8/0.99)/100)+(DG46*'LCFS Table'!$AF46)+(DF46*'LCFS Table'!$AG46)</f>
        <v>0.19610273437499987</v>
      </c>
      <c r="I46" s="134">
        <f>('LCFS Table'!$V46+'LCFS Table'!$W46+'LCFS Table'!$X46)/100+(('LCFS Table'!$AI46+'LCFS Table'!$AJ46)/340)</f>
        <v>2.6166889862327913</v>
      </c>
      <c r="J46" s="134">
        <f>(('LCFS Table'!$Y46+'LCFS Table'!$Z46)/100)+(('LCFS Table'!$AM46+'LCFS Table'!$AN46)/300)</f>
        <v>3.2559769531250002</v>
      </c>
      <c r="K46" s="136">
        <f>'[1]Fuel Values'!$C45</f>
        <v>1.9397</v>
      </c>
      <c r="L46" s="136">
        <f>'[1]Fuel Values'!$B45</f>
        <v>339.5</v>
      </c>
      <c r="M46" s="137">
        <f>('LCFS Table'!$L46/100)-'LCFS Table'!$AX46-'LCFS Table'!$AY46-'LCFS Table'!$AZ46-'LCFS Table'!$BA46</f>
        <v>0.20434051644099982</v>
      </c>
      <c r="N46" s="136">
        <f>[1]BFT!$B45</f>
        <v>24</v>
      </c>
      <c r="O46" s="136">
        <f>[1]UCO!$B45</f>
        <v>26.5</v>
      </c>
      <c r="P46" s="136">
        <f>[1]DCO!$B45</f>
        <v>22.225000000000001</v>
      </c>
      <c r="Q46" s="136">
        <f>'[1]Soybean Oil'!$B45</f>
        <v>34.008000000000003</v>
      </c>
      <c r="R46" s="136">
        <f>'[1]Yellow Grease'!$B45</f>
        <v>21</v>
      </c>
      <c r="S46" s="137">
        <f>'LCFS Table'!$N46 + 'LCFS Table'!$AH46</f>
        <v>28.375</v>
      </c>
      <c r="T46" s="137">
        <f>'LCFS Table'!$Q46+'LCFS Table'!$AH46</f>
        <v>38.383000000000003</v>
      </c>
      <c r="U46" s="137">
        <f>'LCFS Table'!$P46+'LCFS Table'!$AH46</f>
        <v>26.6</v>
      </c>
      <c r="V46" s="137">
        <f>(('LCFS Table'!$S46/'LCFS Table'!$AA46)*'LCFS Table'!$AC46)*6.48</f>
        <v>97.803191489361708</v>
      </c>
      <c r="W46" s="137">
        <f>(('LCFS Table'!$O46/'LCFS Table'!$AA46)*'LCFS Table'!$AD46)*6.48</f>
        <v>45.670212765957451</v>
      </c>
      <c r="X46" s="137">
        <f>(('LCFS Table'!$U46/'LCFS Table'!$AA46)*'LCFS Table'!$AE46)*6.48</f>
        <v>45.842553191489372</v>
      </c>
      <c r="Y46" s="137">
        <f>(('LCFS Table'!$T46/'LCFS Table'!$AB46)*'LCFS Table'!$AF46)*7.35</f>
        <v>220.40238281250001</v>
      </c>
      <c r="Z46" s="137">
        <f>(('LCFS Table'!$R46/'LCFS Table'!$AB46)*'LCFS Table'!$AG46)*7.35</f>
        <v>40.1953125</v>
      </c>
      <c r="AA46" s="138">
        <v>0.94</v>
      </c>
      <c r="AB46" s="138">
        <v>0.96</v>
      </c>
      <c r="AC46" s="138">
        <v>0.5</v>
      </c>
      <c r="AD46" s="138">
        <v>0.25</v>
      </c>
      <c r="AE46" s="138">
        <v>0.25</v>
      </c>
      <c r="AF46" s="138">
        <v>0.75</v>
      </c>
      <c r="AG46" s="138">
        <v>0.25</v>
      </c>
      <c r="AH46" s="139">
        <v>4.375</v>
      </c>
      <c r="AI46" s="139">
        <v>136</v>
      </c>
      <c r="AJ46" s="139">
        <v>110</v>
      </c>
      <c r="AK46" s="139">
        <f>('LCFS Table'!$AI46/340)*100</f>
        <v>40</v>
      </c>
      <c r="AL46" s="139">
        <f>('LCFS Table'!$AJ46/340)*100</f>
        <v>32.352941176470587</v>
      </c>
      <c r="AM46" s="139">
        <v>105</v>
      </c>
      <c r="AN46" s="139">
        <v>90</v>
      </c>
      <c r="AO46" s="139">
        <f>('LCFS Table'!$AM46/300)*100</f>
        <v>35</v>
      </c>
      <c r="AP46" s="139">
        <f>('LCFS Table'!$AN46/300)*100</f>
        <v>30</v>
      </c>
      <c r="AQ46" s="140">
        <v>207.4</v>
      </c>
      <c r="AR46" s="136">
        <v>0.623</v>
      </c>
      <c r="AS46" s="137">
        <v>1.8247094538655606</v>
      </c>
      <c r="AT46" s="137">
        <v>0.16</v>
      </c>
      <c r="AU46" s="137">
        <v>1</v>
      </c>
      <c r="AV46" s="137">
        <f>'LCFS Table'!$AR46*1.7</f>
        <v>1.0590999999999999</v>
      </c>
      <c r="AW46" s="137">
        <v>0</v>
      </c>
      <c r="AX46" s="137">
        <v>1.2561594835590002</v>
      </c>
      <c r="AY46" s="137">
        <v>0</v>
      </c>
      <c r="AZ46" s="141">
        <v>1</v>
      </c>
      <c r="BA46" s="137">
        <f>'LCFS Table'!$AR46*1.5</f>
        <v>0.9345</v>
      </c>
      <c r="BB46" s="136">
        <v>1.2</v>
      </c>
      <c r="BC46" s="137">
        <f>'LCFS Table'!$AS46*'LCFS Table'!$BW46</f>
        <v>1.8247094538655606</v>
      </c>
      <c r="BD46" s="137">
        <f>'LCFS Table'!$AT46*'LCFS Table'!$BX46</f>
        <v>0</v>
      </c>
      <c r="BE46" s="137">
        <f>'LCFS Table'!$AU46*'LCFS Table'!$BY46</f>
        <v>1</v>
      </c>
      <c r="BF46" s="137">
        <f>'LCFS Table'!$AV46*'LCFS Table'!$BZ46</f>
        <v>1.0590999999999999</v>
      </c>
      <c r="BG46" s="137">
        <f>'LCFS Table'!$AW46*'LCFS Table'!$CA46</f>
        <v>0</v>
      </c>
      <c r="BH46" s="137">
        <f>'LCFS Table'!$AX46*'LCFS Table'!$CB46</f>
        <v>1.2561594835590002</v>
      </c>
      <c r="BI46" s="137">
        <f>'LCFS Table'!$AY46*'LCFS Table'!$CC46</f>
        <v>0</v>
      </c>
      <c r="BJ46" s="137">
        <f>'LCFS Table'!$AZ46*'LCFS Table'!$CD46</f>
        <v>1</v>
      </c>
      <c r="BK46" s="137">
        <f>'LCFS Table'!$BA46*'LCFS Table'!$CE46</f>
        <v>0.9345</v>
      </c>
      <c r="BL46" s="137">
        <f>'LCFS Table'!$BB46*'LCFS Table'!$CF46</f>
        <v>-1.2</v>
      </c>
      <c r="BM46" s="137">
        <f>'LCFS Table'!$AS46*'LCFS Table'!$CG46</f>
        <v>0</v>
      </c>
      <c r="BN46" s="137">
        <f>'LCFS Table'!$AT46*'LCFS Table'!$CH46</f>
        <v>0.16</v>
      </c>
      <c r="BO46" s="137">
        <f>'LCFS Table'!$AU46*'LCFS Table'!$CI46</f>
        <v>0</v>
      </c>
      <c r="BP46" s="137">
        <f>'LCFS Table'!$AV46*'LCFS Table'!$CJ46</f>
        <v>0</v>
      </c>
      <c r="BQ46" s="137">
        <f>'LCFS Table'!$AW46*'LCFS Table'!$CK46</f>
        <v>0</v>
      </c>
      <c r="BR46" s="137">
        <f>'LCFS Table'!$AX46*'LCFS Table'!$CL46</f>
        <v>0</v>
      </c>
      <c r="BS46" s="137">
        <f>'LCFS Table'!$AY46*'LCFS Table'!$CM46</f>
        <v>0</v>
      </c>
      <c r="BT46" s="137">
        <f>'LCFS Table'!$AZ46*'LCFS Table'!$CN46</f>
        <v>0</v>
      </c>
      <c r="BU46" s="137">
        <f>'LCFS Table'!$BA46*'LCFS Table'!$CO46</f>
        <v>0</v>
      </c>
      <c r="BV46" s="136">
        <f>'LCFS Table'!$BB46*'LCFS Table'!$CP46</f>
        <v>1.2</v>
      </c>
      <c r="BW46" s="138">
        <v>1</v>
      </c>
      <c r="BX46" s="138">
        <v>0</v>
      </c>
      <c r="BY46" s="138">
        <v>1</v>
      </c>
      <c r="BZ46" s="138">
        <v>1</v>
      </c>
      <c r="CA46" s="138">
        <v>-1</v>
      </c>
      <c r="CB46" s="138">
        <v>1</v>
      </c>
      <c r="CC46" s="138">
        <v>0</v>
      </c>
      <c r="CD46" s="138">
        <v>1</v>
      </c>
      <c r="CE46" s="138">
        <v>1</v>
      </c>
      <c r="CF46" s="138">
        <v>-1</v>
      </c>
      <c r="CG46" s="138">
        <f>1-'LCFS Table'!$BW46</f>
        <v>0</v>
      </c>
      <c r="CH46" s="138">
        <f>1-'LCFS Table'!$BX46</f>
        <v>1</v>
      </c>
      <c r="CI46" s="138">
        <f>1-'LCFS Table'!$BY46</f>
        <v>0</v>
      </c>
      <c r="CJ46" s="138">
        <f>1-'LCFS Table'!$BZ46</f>
        <v>0</v>
      </c>
      <c r="CK46" s="138">
        <f>-'LCFS Table'!$CA46</f>
        <v>1</v>
      </c>
      <c r="CL46" s="138">
        <f>1-'LCFS Table'!$CB46</f>
        <v>0</v>
      </c>
      <c r="CM46" s="138">
        <f>1-'LCFS Table'!$CC46</f>
        <v>1</v>
      </c>
      <c r="CN46" s="138">
        <f>1-'LCFS Table'!$CD46</f>
        <v>0</v>
      </c>
      <c r="CO46" s="138">
        <f>1-'LCFS Table'!$CE46</f>
        <v>0</v>
      </c>
      <c r="CP46" s="138">
        <f>-'LCFS Table'!$CF46</f>
        <v>1</v>
      </c>
      <c r="CQ46" s="140">
        <v>5.125</v>
      </c>
      <c r="CR46" s="165">
        <f>('LCFS Table'!$CQ46*0.9/(0.8/0.99)/100)</f>
        <v>5.707968749999999E-2</v>
      </c>
      <c r="CS46" s="166"/>
      <c r="CT46" s="167"/>
      <c r="CW46" s="168">
        <f>'LCFS Table'!$K46-'LCFS Table'!$M46</f>
        <v>1.7353594835590003</v>
      </c>
      <c r="CX46" s="129">
        <f>MONTH('LCFS Table'!$B46)</f>
        <v>11</v>
      </c>
      <c r="CY46" s="129">
        <f>YEAR('LCFS Table'!$B46)</f>
        <v>2019</v>
      </c>
    </row>
    <row r="47" spans="1:103">
      <c r="A47" s="148">
        <v>43772</v>
      </c>
      <c r="B47" s="149">
        <v>43778</v>
      </c>
      <c r="C47" s="132">
        <f t="shared" si="0"/>
        <v>2019</v>
      </c>
      <c r="D47" s="150" t="s">
        <v>301</v>
      </c>
      <c r="E47" s="134">
        <f>'LCFS Table'!$K47-'LCFS Table'!$I47</f>
        <v>-0.65857834793491898</v>
      </c>
      <c r="F47" s="134">
        <f>('LCFS Table'!$M47)-'LCFS Table'!$J47</f>
        <v>-3.0893764635097503</v>
      </c>
      <c r="G47" s="135">
        <f>'LCFS Table'!$E47+'LCFS Table'!$AS47+'LCFS Table'!$AT47+'LCFS Table'!$AU47+'LCFS Table'!$AV47</f>
        <v>3.4064882356707811</v>
      </c>
      <c r="H47" s="135">
        <f>'LCFS Table'!$F47+'LCFS Table'!$AX47+'LCFS Table'!$AY47+'LCFS Table'!$AZ47+'LCFS Table'!$BA47+('LCFS Table'!$CQ47*0.9/(0.8/0.99)/100)+(DG47*'LCFS Table'!$AF47)+(DF47*'LCFS Table'!$AG47)</f>
        <v>0.18021367187499976</v>
      </c>
      <c r="I47" s="134">
        <f>('LCFS Table'!$V47+'LCFS Table'!$W47+'LCFS Table'!$X47)/100+(('LCFS Table'!$AI47+'LCFS Table'!$AJ47)/340)</f>
        <v>2.6011783479349191</v>
      </c>
      <c r="J47" s="134">
        <f>(('LCFS Table'!$Y47+'LCFS Table'!$Z47)/100)+(('LCFS Table'!$AM47+'LCFS Table'!$AN47)/300)</f>
        <v>3.2894347656249998</v>
      </c>
      <c r="K47" s="136">
        <f>'[1]Fuel Values'!$C46</f>
        <v>1.9426000000000001</v>
      </c>
      <c r="L47" s="136">
        <f>'[1]Fuel Values'!$B46</f>
        <v>340.7</v>
      </c>
      <c r="M47" s="137">
        <f>('LCFS Table'!$L47/100)-'LCFS Table'!$AX47-'LCFS Table'!$AY47-'LCFS Table'!$AZ47-'LCFS Table'!$BA47</f>
        <v>0.20005830211524978</v>
      </c>
      <c r="N47" s="136">
        <f>[1]BFT!$B46</f>
        <v>23.6</v>
      </c>
      <c r="O47" s="136">
        <f>[1]UCO!$B46</f>
        <v>26.5</v>
      </c>
      <c r="P47" s="136">
        <f>[1]DCO!$B46</f>
        <v>22.125</v>
      </c>
      <c r="Q47" s="136">
        <f>'[1]Soybean Oil'!$B46</f>
        <v>34.723999999999997</v>
      </c>
      <c r="R47" s="136">
        <f>'[1]Yellow Grease'!$B46</f>
        <v>20.6</v>
      </c>
      <c r="S47" s="137">
        <f>'LCFS Table'!$N47 + 'LCFS Table'!$AH47</f>
        <v>27.975000000000001</v>
      </c>
      <c r="T47" s="137">
        <f>'LCFS Table'!$Q47+'LCFS Table'!$AH47</f>
        <v>39.098999999999997</v>
      </c>
      <c r="U47" s="137">
        <f>'LCFS Table'!$P47+'LCFS Table'!$AH47</f>
        <v>26.5</v>
      </c>
      <c r="V47" s="137">
        <f>(('LCFS Table'!$S47/'LCFS Table'!$AA47)*'LCFS Table'!$AC47)*6.48</f>
        <v>96.424468085106398</v>
      </c>
      <c r="W47" s="137">
        <f>(('LCFS Table'!$O47/'LCFS Table'!$AA47)*'LCFS Table'!$AD47)*6.48</f>
        <v>45.670212765957451</v>
      </c>
      <c r="X47" s="137">
        <f>(('LCFS Table'!$U47/'LCFS Table'!$AA47)*'LCFS Table'!$AE47)*6.48</f>
        <v>45.670212765957451</v>
      </c>
      <c r="Y47" s="137">
        <f>(('LCFS Table'!$T47/'LCFS Table'!$AB47)*'LCFS Table'!$AF47)*7.35</f>
        <v>224.51378906249997</v>
      </c>
      <c r="Z47" s="137">
        <f>(('LCFS Table'!$R47/'LCFS Table'!$AB47)*'LCFS Table'!$AG47)*7.35</f>
        <v>39.4296875</v>
      </c>
      <c r="AA47" s="138">
        <v>0.94</v>
      </c>
      <c r="AB47" s="138">
        <v>0.96</v>
      </c>
      <c r="AC47" s="138">
        <v>0.5</v>
      </c>
      <c r="AD47" s="138">
        <v>0.25</v>
      </c>
      <c r="AE47" s="138">
        <v>0.25</v>
      </c>
      <c r="AF47" s="138">
        <v>0.75</v>
      </c>
      <c r="AG47" s="138">
        <v>0.25</v>
      </c>
      <c r="AH47" s="139">
        <v>4.375</v>
      </c>
      <c r="AI47" s="139">
        <v>136</v>
      </c>
      <c r="AJ47" s="139">
        <v>110</v>
      </c>
      <c r="AK47" s="139">
        <f>('LCFS Table'!$AI47/340)*100</f>
        <v>40</v>
      </c>
      <c r="AL47" s="139">
        <f>('LCFS Table'!$AJ47/340)*100</f>
        <v>32.352941176470587</v>
      </c>
      <c r="AM47" s="139">
        <v>105</v>
      </c>
      <c r="AN47" s="139">
        <v>90</v>
      </c>
      <c r="AO47" s="139">
        <f>('LCFS Table'!$AM47/300)*100</f>
        <v>35</v>
      </c>
      <c r="AP47" s="139">
        <f>('LCFS Table'!$AN47/300)*100</f>
        <v>30</v>
      </c>
      <c r="AQ47" s="140">
        <v>208.85</v>
      </c>
      <c r="AR47" s="136">
        <v>0.628</v>
      </c>
      <c r="AS47" s="137">
        <v>1.8374665836057007</v>
      </c>
      <c r="AT47" s="137">
        <v>0.16</v>
      </c>
      <c r="AU47" s="137">
        <v>1</v>
      </c>
      <c r="AV47" s="137">
        <f>'LCFS Table'!$AR47*1.7</f>
        <v>1.0675999999999999</v>
      </c>
      <c r="AW47" s="137">
        <v>0</v>
      </c>
      <c r="AX47" s="137">
        <v>1.2649416978847501</v>
      </c>
      <c r="AY47" s="137">
        <v>0</v>
      </c>
      <c r="AZ47" s="141">
        <v>1</v>
      </c>
      <c r="BA47" s="137">
        <f>'LCFS Table'!$AR47*1.5</f>
        <v>0.94199999999999995</v>
      </c>
      <c r="BB47" s="136">
        <v>1.2</v>
      </c>
      <c r="BC47" s="137">
        <f>'LCFS Table'!$AS47*'LCFS Table'!$BW47</f>
        <v>1.8374665836057007</v>
      </c>
      <c r="BD47" s="137">
        <f>'LCFS Table'!$AT47*'LCFS Table'!$BX47</f>
        <v>0</v>
      </c>
      <c r="BE47" s="137">
        <f>'LCFS Table'!$AU47*'LCFS Table'!$BY47</f>
        <v>1</v>
      </c>
      <c r="BF47" s="137">
        <f>'LCFS Table'!$AV47*'LCFS Table'!$BZ47</f>
        <v>1.0675999999999999</v>
      </c>
      <c r="BG47" s="137">
        <f>'LCFS Table'!$AW47*'LCFS Table'!$CA47</f>
        <v>0</v>
      </c>
      <c r="BH47" s="137">
        <f>'LCFS Table'!$AX47*'LCFS Table'!$CB47</f>
        <v>1.2649416978847501</v>
      </c>
      <c r="BI47" s="137">
        <f>'LCFS Table'!$AY47*'LCFS Table'!$CC47</f>
        <v>0</v>
      </c>
      <c r="BJ47" s="137">
        <f>'LCFS Table'!$AZ47*'LCFS Table'!$CD47</f>
        <v>1</v>
      </c>
      <c r="BK47" s="137">
        <f>'LCFS Table'!$BA47*'LCFS Table'!$CE47</f>
        <v>0.94199999999999995</v>
      </c>
      <c r="BL47" s="137">
        <f>'LCFS Table'!$BB47*'LCFS Table'!$CF47</f>
        <v>-1.2</v>
      </c>
      <c r="BM47" s="137">
        <f>'LCFS Table'!$AS47*'LCFS Table'!$CG47</f>
        <v>0</v>
      </c>
      <c r="BN47" s="137">
        <f>'LCFS Table'!$AT47*'LCFS Table'!$CH47</f>
        <v>0.16</v>
      </c>
      <c r="BO47" s="137">
        <f>'LCFS Table'!$AU47*'LCFS Table'!$CI47</f>
        <v>0</v>
      </c>
      <c r="BP47" s="137">
        <f>'LCFS Table'!$AV47*'LCFS Table'!$CJ47</f>
        <v>0</v>
      </c>
      <c r="BQ47" s="137">
        <f>'LCFS Table'!$AW47*'LCFS Table'!$CK47</f>
        <v>0</v>
      </c>
      <c r="BR47" s="137">
        <f>'LCFS Table'!$AX47*'LCFS Table'!$CL47</f>
        <v>0</v>
      </c>
      <c r="BS47" s="137">
        <f>'LCFS Table'!$AY47*'LCFS Table'!$CM47</f>
        <v>0</v>
      </c>
      <c r="BT47" s="137">
        <f>'LCFS Table'!$AZ47*'LCFS Table'!$CN47</f>
        <v>0</v>
      </c>
      <c r="BU47" s="137">
        <f>'LCFS Table'!$BA47*'LCFS Table'!$CO47</f>
        <v>0</v>
      </c>
      <c r="BV47" s="136">
        <f>'LCFS Table'!$BB47*'LCFS Table'!$CP47</f>
        <v>1.2</v>
      </c>
      <c r="BW47" s="138">
        <v>1</v>
      </c>
      <c r="BX47" s="138">
        <v>0</v>
      </c>
      <c r="BY47" s="138">
        <v>1</v>
      </c>
      <c r="BZ47" s="138">
        <v>1</v>
      </c>
      <c r="CA47" s="138">
        <v>-1</v>
      </c>
      <c r="CB47" s="138">
        <v>1</v>
      </c>
      <c r="CC47" s="138">
        <v>0</v>
      </c>
      <c r="CD47" s="138">
        <v>1</v>
      </c>
      <c r="CE47" s="138">
        <v>1</v>
      </c>
      <c r="CF47" s="138">
        <v>-1</v>
      </c>
      <c r="CG47" s="138">
        <f>1-'LCFS Table'!$BW47</f>
        <v>0</v>
      </c>
      <c r="CH47" s="138">
        <f>1-'LCFS Table'!$BX47</f>
        <v>1</v>
      </c>
      <c r="CI47" s="138">
        <f>1-'LCFS Table'!$BY47</f>
        <v>0</v>
      </c>
      <c r="CJ47" s="138">
        <f>1-'LCFS Table'!$BZ47</f>
        <v>0</v>
      </c>
      <c r="CK47" s="138">
        <f>-'LCFS Table'!$CA47</f>
        <v>1</v>
      </c>
      <c r="CL47" s="138">
        <f>1-'LCFS Table'!$CB47</f>
        <v>0</v>
      </c>
      <c r="CM47" s="138">
        <f>1-'LCFS Table'!$CC47</f>
        <v>1</v>
      </c>
      <c r="CN47" s="138">
        <f>1-'LCFS Table'!$CD47</f>
        <v>0</v>
      </c>
      <c r="CO47" s="138">
        <f>1-'LCFS Table'!$CE47</f>
        <v>0</v>
      </c>
      <c r="CP47" s="138">
        <f>-'LCFS Table'!$CF47</f>
        <v>1</v>
      </c>
      <c r="CQ47" s="140">
        <v>5.625</v>
      </c>
      <c r="CR47" s="165">
        <f>('LCFS Table'!$CQ47*0.9/(0.8/0.99)/100)</f>
        <v>6.2648437499999987E-2</v>
      </c>
      <c r="CS47" s="166"/>
      <c r="CT47" s="167"/>
      <c r="CW47" s="168">
        <f>'LCFS Table'!$K47-'LCFS Table'!$M47</f>
        <v>1.7425416978847503</v>
      </c>
      <c r="CX47" s="129">
        <f>MONTH('LCFS Table'!$B47)</f>
        <v>11</v>
      </c>
      <c r="CY47" s="129">
        <f>YEAR('LCFS Table'!$B47)</f>
        <v>2019</v>
      </c>
    </row>
    <row r="48" spans="1:103">
      <c r="A48" s="148">
        <v>43779</v>
      </c>
      <c r="B48" s="149">
        <v>43785</v>
      </c>
      <c r="C48" s="132">
        <f t="shared" si="0"/>
        <v>2019</v>
      </c>
      <c r="D48" s="150" t="s">
        <v>302</v>
      </c>
      <c r="E48" s="134">
        <f>'LCFS Table'!$K48-'LCFS Table'!$I48</f>
        <v>-0.65249749687108904</v>
      </c>
      <c r="F48" s="134">
        <f>('LCFS Table'!$M48)-'LCFS Table'!$J48</f>
        <v>-3.0160399876549997</v>
      </c>
      <c r="G48" s="135">
        <f>'LCFS Table'!$E48+'LCFS Table'!$AS48+'LCFS Table'!$AT48+'LCFS Table'!$AU48+'LCFS Table'!$AV48</f>
        <v>3.4093407693007367</v>
      </c>
      <c r="H48" s="135">
        <f>'LCFS Table'!$F48+'LCFS Table'!$AX48+'LCFS Table'!$AY48+'LCFS Table'!$AZ48+'LCFS Table'!$BA48+('LCFS Table'!$CQ48*0.9/(0.8/0.99)/100)+(DG48*'LCFS Table'!$AF48)+(DF48*'LCFS Table'!$AG48)</f>
        <v>0.2541010156250002</v>
      </c>
      <c r="I48" s="134">
        <f>('LCFS Table'!$V48+'LCFS Table'!$W48+'LCFS Table'!$X48)/100+(('LCFS Table'!$AI48+'LCFS Table'!$AJ48)/340)</f>
        <v>2.580497496871089</v>
      </c>
      <c r="J48" s="134">
        <f>(('LCFS Table'!$Y48+'LCFS Table'!$Z48)/100)+(('LCFS Table'!$AM48+'LCFS Table'!$AN48)/300)</f>
        <v>3.2354964843749996</v>
      </c>
      <c r="K48" s="136">
        <f>'[1]Fuel Values'!$C47</f>
        <v>1.9279999999999999</v>
      </c>
      <c r="L48" s="136">
        <f>'[1]Fuel Values'!$B47</f>
        <v>342.5</v>
      </c>
      <c r="M48" s="137">
        <f>('LCFS Table'!$L48/100)-'LCFS Table'!$AX48-'LCFS Table'!$AY48-'LCFS Table'!$AZ48-'LCFS Table'!$BA48</f>
        <v>0.21945649671999989</v>
      </c>
      <c r="N48" s="136">
        <f>[1]BFT!$B47</f>
        <v>23</v>
      </c>
      <c r="O48" s="136">
        <f>[1]UCO!$B47</f>
        <v>26.5</v>
      </c>
      <c r="P48" s="136">
        <f>[1]DCO!$B47</f>
        <v>22.125</v>
      </c>
      <c r="Q48" s="136">
        <f>'[1]Soybean Oil'!$B47</f>
        <v>33.817999999999998</v>
      </c>
      <c r="R48" s="136">
        <f>'[1]Yellow Grease'!$B47</f>
        <v>20.5</v>
      </c>
      <c r="S48" s="137">
        <f>'LCFS Table'!$N48 + 'LCFS Table'!$AH48</f>
        <v>27.375</v>
      </c>
      <c r="T48" s="137">
        <f>'LCFS Table'!$Q48+'LCFS Table'!$AH48</f>
        <v>38.192999999999998</v>
      </c>
      <c r="U48" s="137">
        <f>'LCFS Table'!$P48+'LCFS Table'!$AH48</f>
        <v>26.5</v>
      </c>
      <c r="V48" s="137">
        <f>(('LCFS Table'!$S48/'LCFS Table'!$AA48)*'LCFS Table'!$AC48)*6.48</f>
        <v>94.356382978723417</v>
      </c>
      <c r="W48" s="137">
        <f>(('LCFS Table'!$O48/'LCFS Table'!$AA48)*'LCFS Table'!$AD48)*6.48</f>
        <v>45.670212765957451</v>
      </c>
      <c r="X48" s="137">
        <f>(('LCFS Table'!$U48/'LCFS Table'!$AA48)*'LCFS Table'!$AE48)*6.48</f>
        <v>45.670212765957451</v>
      </c>
      <c r="Y48" s="137">
        <f>(('LCFS Table'!$T48/'LCFS Table'!$AB48)*'LCFS Table'!$AF48)*7.35</f>
        <v>219.31136718749997</v>
      </c>
      <c r="Z48" s="137">
        <f>(('LCFS Table'!$R48/'LCFS Table'!$AB48)*'LCFS Table'!$AG48)*7.35</f>
        <v>39.23828125</v>
      </c>
      <c r="AA48" s="138">
        <v>0.94</v>
      </c>
      <c r="AB48" s="138">
        <v>0.96</v>
      </c>
      <c r="AC48" s="138">
        <v>0.5</v>
      </c>
      <c r="AD48" s="138">
        <v>0.25</v>
      </c>
      <c r="AE48" s="138">
        <v>0.25</v>
      </c>
      <c r="AF48" s="138">
        <v>0.75</v>
      </c>
      <c r="AG48" s="138">
        <v>0.25</v>
      </c>
      <c r="AH48" s="139">
        <v>4.375</v>
      </c>
      <c r="AI48" s="139">
        <v>136</v>
      </c>
      <c r="AJ48" s="139">
        <v>110</v>
      </c>
      <c r="AK48" s="139">
        <f>('LCFS Table'!$AI48/340)*100</f>
        <v>40</v>
      </c>
      <c r="AL48" s="139">
        <f>('LCFS Table'!$AJ48/340)*100</f>
        <v>32.352941176470587</v>
      </c>
      <c r="AM48" s="139">
        <v>105</v>
      </c>
      <c r="AN48" s="139">
        <v>90</v>
      </c>
      <c r="AO48" s="139">
        <f>('LCFS Table'!$AM48/300)*100</f>
        <v>35</v>
      </c>
      <c r="AP48" s="139">
        <f>('LCFS Table'!$AN48/300)*100</f>
        <v>30</v>
      </c>
      <c r="AQ48" s="140">
        <v>208</v>
      </c>
      <c r="AR48" s="136">
        <v>0.63049999999999995</v>
      </c>
      <c r="AS48" s="137">
        <v>1.8299882661718256</v>
      </c>
      <c r="AT48" s="137">
        <v>0.16</v>
      </c>
      <c r="AU48" s="137">
        <v>1</v>
      </c>
      <c r="AV48" s="137">
        <f>'LCFS Table'!$AR48*1.7</f>
        <v>1.07185</v>
      </c>
      <c r="AW48" s="137">
        <v>0</v>
      </c>
      <c r="AX48" s="137">
        <v>1.2597935032800001</v>
      </c>
      <c r="AY48" s="137">
        <v>0</v>
      </c>
      <c r="AZ48" s="141">
        <v>1</v>
      </c>
      <c r="BA48" s="137">
        <f>'LCFS Table'!$AR48*1.5</f>
        <v>0.94574999999999987</v>
      </c>
      <c r="BB48" s="136">
        <v>1.2</v>
      </c>
      <c r="BC48" s="137">
        <f>'LCFS Table'!$AS48*'LCFS Table'!$BW48</f>
        <v>1.8299882661718256</v>
      </c>
      <c r="BD48" s="137">
        <f>'LCFS Table'!$AT48*'LCFS Table'!$BX48</f>
        <v>0</v>
      </c>
      <c r="BE48" s="137">
        <f>'LCFS Table'!$AU48*'LCFS Table'!$BY48</f>
        <v>1</v>
      </c>
      <c r="BF48" s="137">
        <f>'LCFS Table'!$AV48*'LCFS Table'!$BZ48</f>
        <v>1.07185</v>
      </c>
      <c r="BG48" s="137">
        <f>'LCFS Table'!$AW48*'LCFS Table'!$CA48</f>
        <v>0</v>
      </c>
      <c r="BH48" s="137">
        <f>'LCFS Table'!$AX48*'LCFS Table'!$CB48</f>
        <v>1.2597935032800001</v>
      </c>
      <c r="BI48" s="137">
        <f>'LCFS Table'!$AY48*'LCFS Table'!$CC48</f>
        <v>0</v>
      </c>
      <c r="BJ48" s="137">
        <f>'LCFS Table'!$AZ48*'LCFS Table'!$CD48</f>
        <v>1</v>
      </c>
      <c r="BK48" s="137">
        <f>'LCFS Table'!$BA48*'LCFS Table'!$CE48</f>
        <v>0.94574999999999987</v>
      </c>
      <c r="BL48" s="137">
        <f>'LCFS Table'!$BB48*'LCFS Table'!$CF48</f>
        <v>-1.2</v>
      </c>
      <c r="BM48" s="137">
        <f>'LCFS Table'!$AS48*'LCFS Table'!$CG48</f>
        <v>0</v>
      </c>
      <c r="BN48" s="137">
        <f>'LCFS Table'!$AT48*'LCFS Table'!$CH48</f>
        <v>0.16</v>
      </c>
      <c r="BO48" s="137">
        <f>'LCFS Table'!$AU48*'LCFS Table'!$CI48</f>
        <v>0</v>
      </c>
      <c r="BP48" s="137">
        <f>'LCFS Table'!$AV48*'LCFS Table'!$CJ48</f>
        <v>0</v>
      </c>
      <c r="BQ48" s="137">
        <f>'LCFS Table'!$AW48*'LCFS Table'!$CK48</f>
        <v>0</v>
      </c>
      <c r="BR48" s="137">
        <f>'LCFS Table'!$AX48*'LCFS Table'!$CL48</f>
        <v>0</v>
      </c>
      <c r="BS48" s="137">
        <f>'LCFS Table'!$AY48*'LCFS Table'!$CM48</f>
        <v>0</v>
      </c>
      <c r="BT48" s="137">
        <f>'LCFS Table'!$AZ48*'LCFS Table'!$CN48</f>
        <v>0</v>
      </c>
      <c r="BU48" s="137">
        <f>'LCFS Table'!$BA48*'LCFS Table'!$CO48</f>
        <v>0</v>
      </c>
      <c r="BV48" s="136">
        <f>'LCFS Table'!$BB48*'LCFS Table'!$CP48</f>
        <v>1.2</v>
      </c>
      <c r="BW48" s="138">
        <v>1</v>
      </c>
      <c r="BX48" s="138">
        <v>0</v>
      </c>
      <c r="BY48" s="138">
        <v>1</v>
      </c>
      <c r="BZ48" s="138">
        <v>1</v>
      </c>
      <c r="CA48" s="138">
        <v>-1</v>
      </c>
      <c r="CB48" s="138">
        <v>1</v>
      </c>
      <c r="CC48" s="138">
        <v>0</v>
      </c>
      <c r="CD48" s="138">
        <v>1</v>
      </c>
      <c r="CE48" s="138">
        <v>1</v>
      </c>
      <c r="CF48" s="138">
        <v>-1</v>
      </c>
      <c r="CG48" s="138">
        <f>1-'LCFS Table'!$BW48</f>
        <v>0</v>
      </c>
      <c r="CH48" s="138">
        <f>1-'LCFS Table'!$BX48</f>
        <v>1</v>
      </c>
      <c r="CI48" s="138">
        <f>1-'LCFS Table'!$BY48</f>
        <v>0</v>
      </c>
      <c r="CJ48" s="138">
        <f>1-'LCFS Table'!$BZ48</f>
        <v>0</v>
      </c>
      <c r="CK48" s="138">
        <f>-'LCFS Table'!$CA48</f>
        <v>1</v>
      </c>
      <c r="CL48" s="138">
        <f>1-'LCFS Table'!$CB48</f>
        <v>0</v>
      </c>
      <c r="CM48" s="138">
        <f>1-'LCFS Table'!$CC48</f>
        <v>1</v>
      </c>
      <c r="CN48" s="138">
        <f>1-'LCFS Table'!$CD48</f>
        <v>0</v>
      </c>
      <c r="CO48" s="138">
        <f>1-'LCFS Table'!$CE48</f>
        <v>0</v>
      </c>
      <c r="CP48" s="138">
        <f>-'LCFS Table'!$CF48</f>
        <v>1</v>
      </c>
      <c r="CQ48" s="140">
        <v>5.8</v>
      </c>
      <c r="CR48" s="165">
        <f>('LCFS Table'!$CQ48*0.9/(0.8/0.99)/100)</f>
        <v>6.4597499999999988E-2</v>
      </c>
      <c r="CS48" s="166"/>
      <c r="CT48" s="167"/>
      <c r="CW48" s="168">
        <f>'LCFS Table'!$K48-'LCFS Table'!$M48</f>
        <v>1.70854350328</v>
      </c>
      <c r="CX48" s="129">
        <f>MONTH('LCFS Table'!$B48)</f>
        <v>11</v>
      </c>
      <c r="CY48" s="129">
        <f>YEAR('LCFS Table'!$B48)</f>
        <v>2019</v>
      </c>
    </row>
    <row r="49" spans="1:103">
      <c r="A49" s="148">
        <v>43786</v>
      </c>
      <c r="B49" s="149">
        <v>43792</v>
      </c>
      <c r="C49" s="132">
        <f t="shared" si="0"/>
        <v>2019</v>
      </c>
      <c r="D49" s="150" t="s">
        <v>303</v>
      </c>
      <c r="E49" s="134">
        <f>'LCFS Table'!$K49-'LCFS Table'!$I49</f>
        <v>-0.6738453692115145</v>
      </c>
      <c r="F49" s="134">
        <f>('LCFS Table'!$M49)-'LCFS Table'!$J49</f>
        <v>-2.9275814443700003</v>
      </c>
      <c r="G49" s="135">
        <f>'LCFS Table'!$E49+'LCFS Table'!$AS49+'LCFS Table'!$AT49+'LCFS Table'!$AU49+'LCFS Table'!$AV49</f>
        <v>3.3046787764498697</v>
      </c>
      <c r="H49" s="135">
        <f>'LCFS Table'!$F49+'LCFS Table'!$AX49+'LCFS Table'!$AY49+'LCFS Table'!$AZ49+'LCFS Table'!$BA49+('LCFS Table'!$CQ49*0.9/(0.8/0.99)/100)+(DG49*'LCFS Table'!$AF49)+(DF49*'LCFS Table'!$AG49)</f>
        <v>0.27854960937499967</v>
      </c>
      <c r="I49" s="134">
        <f>('LCFS Table'!$V49+'LCFS Table'!$W49+'LCFS Table'!$X49)/100+(('LCFS Table'!$AI49+'LCFS Table'!$AJ49)/340)</f>
        <v>2.5895453692115145</v>
      </c>
      <c r="J49" s="134">
        <f>(('LCFS Table'!$Y49+'LCFS Table'!$Z49)/100)+(('LCFS Table'!$AM49+'LCFS Table'!$AN49)/300)</f>
        <v>3.2188441406249999</v>
      </c>
      <c r="K49" s="136">
        <f>'[1]Fuel Values'!$C48</f>
        <v>1.9157</v>
      </c>
      <c r="L49" s="136">
        <f>'[1]Fuel Values'!$B48</f>
        <v>342.5</v>
      </c>
      <c r="M49" s="137">
        <f>('LCFS Table'!$L49/100)-'LCFS Table'!$AX49-'LCFS Table'!$AY49-'LCFS Table'!$AZ49-'LCFS Table'!$BA49</f>
        <v>0.29126269625499956</v>
      </c>
      <c r="N49" s="136">
        <f>[1]BFT!$B48</f>
        <v>23</v>
      </c>
      <c r="O49" s="136">
        <f>[1]UCO!$B48</f>
        <v>26.5</v>
      </c>
      <c r="P49" s="136">
        <f>[1]DCO!$B48</f>
        <v>22.65</v>
      </c>
      <c r="Q49" s="136">
        <f>'[1]Soybean Oil'!$B48</f>
        <v>33.527999999999999</v>
      </c>
      <c r="R49" s="136">
        <f>'[1]Yellow Grease'!$B48</f>
        <v>20.5</v>
      </c>
      <c r="S49" s="137">
        <f>'LCFS Table'!$N49 + 'LCFS Table'!$AH49</f>
        <v>27.375</v>
      </c>
      <c r="T49" s="137">
        <f>'LCFS Table'!$Q49+'LCFS Table'!$AH49</f>
        <v>37.902999999999999</v>
      </c>
      <c r="U49" s="137">
        <f>'LCFS Table'!$P49+'LCFS Table'!$AH49</f>
        <v>27.024999999999999</v>
      </c>
      <c r="V49" s="137">
        <f>(('LCFS Table'!$S49/'LCFS Table'!$AA49)*'LCFS Table'!$AC49)*6.48</f>
        <v>94.356382978723417</v>
      </c>
      <c r="W49" s="137">
        <f>(('LCFS Table'!$O49/'LCFS Table'!$AA49)*'LCFS Table'!$AD49)*6.48</f>
        <v>45.670212765957451</v>
      </c>
      <c r="X49" s="137">
        <f>(('LCFS Table'!$U49/'LCFS Table'!$AA49)*'LCFS Table'!$AE49)*6.48</f>
        <v>46.575000000000003</v>
      </c>
      <c r="Y49" s="137">
        <f>(('LCFS Table'!$T49/'LCFS Table'!$AB49)*'LCFS Table'!$AF49)*7.35</f>
        <v>217.64613281250001</v>
      </c>
      <c r="Z49" s="137">
        <f>(('LCFS Table'!$R49/'LCFS Table'!$AB49)*'LCFS Table'!$AG49)*7.35</f>
        <v>39.23828125</v>
      </c>
      <c r="AA49" s="138">
        <v>0.94</v>
      </c>
      <c r="AB49" s="138">
        <v>0.96</v>
      </c>
      <c r="AC49" s="138">
        <v>0.5</v>
      </c>
      <c r="AD49" s="138">
        <v>0.25</v>
      </c>
      <c r="AE49" s="138">
        <v>0.25</v>
      </c>
      <c r="AF49" s="138">
        <v>0.75</v>
      </c>
      <c r="AG49" s="138">
        <v>0.25</v>
      </c>
      <c r="AH49" s="139">
        <v>4.375</v>
      </c>
      <c r="AI49" s="139">
        <v>136</v>
      </c>
      <c r="AJ49" s="139">
        <v>110</v>
      </c>
      <c r="AK49" s="139">
        <f>('LCFS Table'!$AI49/340)*100</f>
        <v>40</v>
      </c>
      <c r="AL49" s="139">
        <f>('LCFS Table'!$AJ49/340)*100</f>
        <v>32.352941176470587</v>
      </c>
      <c r="AM49" s="139">
        <v>105</v>
      </c>
      <c r="AN49" s="139">
        <v>90</v>
      </c>
      <c r="AO49" s="139">
        <f>('LCFS Table'!$AM49/300)*100</f>
        <v>35</v>
      </c>
      <c r="AP49" s="139">
        <f>('LCFS Table'!$AN49/300)*100</f>
        <v>30</v>
      </c>
      <c r="AQ49" s="140">
        <v>207</v>
      </c>
      <c r="AR49" s="136">
        <v>0.58666699999999994</v>
      </c>
      <c r="AS49" s="137">
        <v>1.8211902456613842</v>
      </c>
      <c r="AT49" s="137">
        <v>0.16</v>
      </c>
      <c r="AU49" s="137">
        <v>1</v>
      </c>
      <c r="AV49" s="137">
        <f>'LCFS Table'!$AR49*1.7</f>
        <v>0.99733389999999988</v>
      </c>
      <c r="AW49" s="137">
        <v>0</v>
      </c>
      <c r="AX49" s="137">
        <v>1.2537368037450001</v>
      </c>
      <c r="AY49" s="137">
        <v>0</v>
      </c>
      <c r="AZ49" s="141">
        <v>1</v>
      </c>
      <c r="BA49" s="137">
        <f>'LCFS Table'!$AR49*1.5</f>
        <v>0.88000049999999996</v>
      </c>
      <c r="BB49" s="136">
        <v>1.2</v>
      </c>
      <c r="BC49" s="137">
        <f>'LCFS Table'!$AS49*'LCFS Table'!$BW49</f>
        <v>1.8211902456613842</v>
      </c>
      <c r="BD49" s="137">
        <f>'LCFS Table'!$AT49*'LCFS Table'!$BX49</f>
        <v>0</v>
      </c>
      <c r="BE49" s="137">
        <f>'LCFS Table'!$AU49*'LCFS Table'!$BY49</f>
        <v>1</v>
      </c>
      <c r="BF49" s="137">
        <f>'LCFS Table'!$AV49*'LCFS Table'!$BZ49</f>
        <v>0.99733389999999988</v>
      </c>
      <c r="BG49" s="137">
        <f>'LCFS Table'!$AW49*'LCFS Table'!$CA49</f>
        <v>0</v>
      </c>
      <c r="BH49" s="137">
        <f>'LCFS Table'!$AX49*'LCFS Table'!$CB49</f>
        <v>1.2537368037450001</v>
      </c>
      <c r="BI49" s="137">
        <f>'LCFS Table'!$AY49*'LCFS Table'!$CC49</f>
        <v>0</v>
      </c>
      <c r="BJ49" s="137">
        <f>'LCFS Table'!$AZ49*'LCFS Table'!$CD49</f>
        <v>1</v>
      </c>
      <c r="BK49" s="137">
        <f>'LCFS Table'!$BA49*'LCFS Table'!$CE49</f>
        <v>0.88000049999999996</v>
      </c>
      <c r="BL49" s="137">
        <f>'LCFS Table'!$BB49*'LCFS Table'!$CF49</f>
        <v>-1.2</v>
      </c>
      <c r="BM49" s="137">
        <f>'LCFS Table'!$AS49*'LCFS Table'!$CG49</f>
        <v>0</v>
      </c>
      <c r="BN49" s="137">
        <f>'LCFS Table'!$AT49*'LCFS Table'!$CH49</f>
        <v>0.16</v>
      </c>
      <c r="BO49" s="137">
        <f>'LCFS Table'!$AU49*'LCFS Table'!$CI49</f>
        <v>0</v>
      </c>
      <c r="BP49" s="137">
        <f>'LCFS Table'!$AV49*'LCFS Table'!$CJ49</f>
        <v>0</v>
      </c>
      <c r="BQ49" s="137">
        <f>'LCFS Table'!$AW49*'LCFS Table'!$CK49</f>
        <v>0</v>
      </c>
      <c r="BR49" s="137">
        <f>'LCFS Table'!$AX49*'LCFS Table'!$CL49</f>
        <v>0</v>
      </c>
      <c r="BS49" s="137">
        <f>'LCFS Table'!$AY49*'LCFS Table'!$CM49</f>
        <v>0</v>
      </c>
      <c r="BT49" s="137">
        <f>'LCFS Table'!$AZ49*'LCFS Table'!$CN49</f>
        <v>0</v>
      </c>
      <c r="BU49" s="137">
        <f>'LCFS Table'!$BA49*'LCFS Table'!$CO49</f>
        <v>0</v>
      </c>
      <c r="BV49" s="136">
        <f>'LCFS Table'!$BB49*'LCFS Table'!$CP49</f>
        <v>1.2</v>
      </c>
      <c r="BW49" s="138">
        <v>1</v>
      </c>
      <c r="BX49" s="138">
        <v>0</v>
      </c>
      <c r="BY49" s="138">
        <v>1</v>
      </c>
      <c r="BZ49" s="138">
        <v>1</v>
      </c>
      <c r="CA49" s="138">
        <v>-1</v>
      </c>
      <c r="CB49" s="138">
        <v>1</v>
      </c>
      <c r="CC49" s="138">
        <v>0</v>
      </c>
      <c r="CD49" s="138">
        <v>1</v>
      </c>
      <c r="CE49" s="138">
        <v>1</v>
      </c>
      <c r="CF49" s="138">
        <v>-1</v>
      </c>
      <c r="CG49" s="138">
        <f>1-'LCFS Table'!$BW49</f>
        <v>0</v>
      </c>
      <c r="CH49" s="138">
        <f>1-'LCFS Table'!$BX49</f>
        <v>1</v>
      </c>
      <c r="CI49" s="138">
        <f>1-'LCFS Table'!$BY49</f>
        <v>0</v>
      </c>
      <c r="CJ49" s="138">
        <f>1-'LCFS Table'!$BZ49</f>
        <v>0</v>
      </c>
      <c r="CK49" s="138">
        <f>-'LCFS Table'!$CA49</f>
        <v>1</v>
      </c>
      <c r="CL49" s="138">
        <f>1-'LCFS Table'!$CB49</f>
        <v>0</v>
      </c>
      <c r="CM49" s="138">
        <f>1-'LCFS Table'!$CC49</f>
        <v>1</v>
      </c>
      <c r="CN49" s="138">
        <f>1-'LCFS Table'!$CD49</f>
        <v>0</v>
      </c>
      <c r="CO49" s="138">
        <f>1-'LCFS Table'!$CE49</f>
        <v>0</v>
      </c>
      <c r="CP49" s="138">
        <f>-'LCFS Table'!$CF49</f>
        <v>1</v>
      </c>
      <c r="CQ49" s="140">
        <v>6.5</v>
      </c>
      <c r="CR49" s="165">
        <f>('LCFS Table'!$CQ49*0.9/(0.8/0.99)/100)</f>
        <v>7.2393749999999993E-2</v>
      </c>
      <c r="CS49" s="166"/>
      <c r="CT49" s="167"/>
      <c r="CW49" s="168">
        <f>'LCFS Table'!$K49-'LCFS Table'!$M49</f>
        <v>1.6244373037450004</v>
      </c>
      <c r="CX49" s="129">
        <f>MONTH('LCFS Table'!$B49)</f>
        <v>11</v>
      </c>
      <c r="CY49" s="129">
        <f>YEAR('LCFS Table'!$B49)</f>
        <v>2019</v>
      </c>
    </row>
    <row r="50" spans="1:103">
      <c r="A50" s="148">
        <v>43793</v>
      </c>
      <c r="B50" s="149">
        <v>43799</v>
      </c>
      <c r="C50" s="132">
        <f t="shared" si="0"/>
        <v>2019</v>
      </c>
      <c r="D50" s="150" t="s">
        <v>304</v>
      </c>
      <c r="E50" s="134">
        <f>'LCFS Table'!$K50-'LCFS Table'!$I50</f>
        <v>-0.64656549687108922</v>
      </c>
      <c r="F50" s="134">
        <f>('LCFS Table'!$M50)-'LCFS Table'!$J50</f>
        <v>-2.8684204053075</v>
      </c>
      <c r="G50" s="135">
        <f>'LCFS Table'!$E50+'LCFS Table'!$AS50+'LCFS Table'!$AT50+'LCFS Table'!$AU50+'LCFS Table'!$AV50</f>
        <v>3.3274247487902948</v>
      </c>
      <c r="H50" s="135">
        <f>'LCFS Table'!$F50+'LCFS Table'!$AX50+'LCFS Table'!$AY50+'LCFS Table'!$AZ50+'LCFS Table'!$BA50+('LCFS Table'!$CQ50*0.9/(0.8/0.99)/100)+(DG50*'LCFS Table'!$AF50)+(DF50*'LCFS Table'!$AG50)</f>
        <v>0.33371014843749996</v>
      </c>
      <c r="I50" s="134">
        <f>('LCFS Table'!$V50+'LCFS Table'!$W50+'LCFS Table'!$X50)/100+(('LCFS Table'!$AI50+'LCFS Table'!$AJ50)/340)</f>
        <v>2.6070654968710891</v>
      </c>
      <c r="J50" s="134">
        <f>(('LCFS Table'!$Y50+'LCFS Table'!$Z50)/100)+(('LCFS Table'!$AM50+'LCFS Table'!$AN50)/300)</f>
        <v>3.1720166015625</v>
      </c>
      <c r="K50" s="136">
        <f>'[1]Fuel Values'!$C49</f>
        <v>1.9604999999999999</v>
      </c>
      <c r="L50" s="136">
        <f>'[1]Fuel Values'!$B49</f>
        <v>343.33330000000001</v>
      </c>
      <c r="M50" s="137">
        <f>('LCFS Table'!$L50/100)-'LCFS Table'!$AX50-'LCFS Table'!$AY50-'LCFS Table'!$AZ50-'LCFS Table'!$BA50</f>
        <v>0.30359619625500001</v>
      </c>
      <c r="N50" s="136">
        <f>[1]BFT!$B49</f>
        <v>23.333300000000001</v>
      </c>
      <c r="O50" s="136">
        <f>[1]UCO!$B49</f>
        <v>26.5</v>
      </c>
      <c r="P50" s="136">
        <f>[1]DCO!$B49</f>
        <v>23</v>
      </c>
      <c r="Q50" s="136">
        <f>'[1]Soybean Oil'!$B49</f>
        <v>32.712499999999999</v>
      </c>
      <c r="R50" s="136">
        <f>'[1]Yellow Grease'!$B49</f>
        <v>20.5</v>
      </c>
      <c r="S50" s="137">
        <f>'LCFS Table'!$N50 + 'LCFS Table'!$AH50</f>
        <v>27.708300000000001</v>
      </c>
      <c r="T50" s="137">
        <f>'LCFS Table'!$Q50+'LCFS Table'!$AH50</f>
        <v>37.087499999999999</v>
      </c>
      <c r="U50" s="137">
        <f>'LCFS Table'!$P50+'LCFS Table'!$AH50</f>
        <v>27.375</v>
      </c>
      <c r="V50" s="137">
        <f>(('LCFS Table'!$S50/'LCFS Table'!$AA50)*'LCFS Table'!$AC50)*6.48</f>
        <v>95.505204255319171</v>
      </c>
      <c r="W50" s="137">
        <f>(('LCFS Table'!$O50/'LCFS Table'!$AA50)*'LCFS Table'!$AD50)*6.48</f>
        <v>45.670212765957451</v>
      </c>
      <c r="X50" s="137">
        <f>(('LCFS Table'!$U50/'LCFS Table'!$AA50)*'LCFS Table'!$AE50)*6.48</f>
        <v>47.178191489361708</v>
      </c>
      <c r="Y50" s="137">
        <f>(('LCFS Table'!$T50/'LCFS Table'!$AB50)*'LCFS Table'!$AF50)*7.35</f>
        <v>212.96337890625</v>
      </c>
      <c r="Z50" s="137">
        <f>(('LCFS Table'!$R50/'LCFS Table'!$AB50)*'LCFS Table'!$AG50)*7.35</f>
        <v>39.23828125</v>
      </c>
      <c r="AA50" s="138">
        <v>0.94</v>
      </c>
      <c r="AB50" s="138">
        <v>0.96</v>
      </c>
      <c r="AC50" s="138">
        <v>0.5</v>
      </c>
      <c r="AD50" s="138">
        <v>0.25</v>
      </c>
      <c r="AE50" s="138">
        <v>0.25</v>
      </c>
      <c r="AF50" s="138">
        <v>0.75</v>
      </c>
      <c r="AG50" s="138">
        <v>0.25</v>
      </c>
      <c r="AH50" s="139">
        <v>4.375</v>
      </c>
      <c r="AI50" s="139">
        <v>136</v>
      </c>
      <c r="AJ50" s="139">
        <v>110</v>
      </c>
      <c r="AK50" s="139">
        <f>('LCFS Table'!$AI50/340)*100</f>
        <v>40</v>
      </c>
      <c r="AL50" s="139">
        <f>('LCFS Table'!$AJ50/340)*100</f>
        <v>32.352941176470587</v>
      </c>
      <c r="AM50" s="139">
        <v>105</v>
      </c>
      <c r="AN50" s="139">
        <v>90</v>
      </c>
      <c r="AO50" s="139">
        <f>('LCFS Table'!$AM50/300)*100</f>
        <v>35</v>
      </c>
      <c r="AP50" s="139">
        <f>('LCFS Table'!$AN50/300)*100</f>
        <v>30</v>
      </c>
      <c r="AQ50" s="140">
        <v>207</v>
      </c>
      <c r="AR50" s="136">
        <v>0.58399999999999996</v>
      </c>
      <c r="AS50" s="137">
        <v>1.8211902456613842</v>
      </c>
      <c r="AT50" s="137">
        <v>0.16</v>
      </c>
      <c r="AU50" s="137">
        <v>1</v>
      </c>
      <c r="AV50" s="137">
        <f>'LCFS Table'!$AR50*1.7</f>
        <v>0.9927999999999999</v>
      </c>
      <c r="AW50" s="137">
        <v>0</v>
      </c>
      <c r="AX50" s="137">
        <v>1.2537368037450001</v>
      </c>
      <c r="AY50" s="137">
        <v>0</v>
      </c>
      <c r="AZ50" s="141">
        <v>1</v>
      </c>
      <c r="BA50" s="137">
        <f>'LCFS Table'!$AR50*1.5</f>
        <v>0.87599999999999989</v>
      </c>
      <c r="BB50" s="136">
        <v>1.2</v>
      </c>
      <c r="BC50" s="137">
        <f>'LCFS Table'!$AS50*'LCFS Table'!$BW50</f>
        <v>1.8211902456613842</v>
      </c>
      <c r="BD50" s="137">
        <f>'LCFS Table'!$AT50*'LCFS Table'!$BX50</f>
        <v>0</v>
      </c>
      <c r="BE50" s="137">
        <f>'LCFS Table'!$AU50*'LCFS Table'!$BY50</f>
        <v>1</v>
      </c>
      <c r="BF50" s="137">
        <f>'LCFS Table'!$AV50*'LCFS Table'!$BZ50</f>
        <v>0.9927999999999999</v>
      </c>
      <c r="BG50" s="137">
        <f>'LCFS Table'!$AW50*'LCFS Table'!$CA50</f>
        <v>0</v>
      </c>
      <c r="BH50" s="137">
        <f>'LCFS Table'!$AX50*'LCFS Table'!$CB50</f>
        <v>1.2537368037450001</v>
      </c>
      <c r="BI50" s="137">
        <f>'LCFS Table'!$AY50*'LCFS Table'!$CC50</f>
        <v>0</v>
      </c>
      <c r="BJ50" s="137">
        <f>'LCFS Table'!$AZ50*'LCFS Table'!$CD50</f>
        <v>1</v>
      </c>
      <c r="BK50" s="137">
        <f>'LCFS Table'!$BA50*'LCFS Table'!$CE50</f>
        <v>0.87599999999999989</v>
      </c>
      <c r="BL50" s="137">
        <f>'LCFS Table'!$BB50*'LCFS Table'!$CF50</f>
        <v>-1.2</v>
      </c>
      <c r="BM50" s="137">
        <f>'LCFS Table'!$AS50*'LCFS Table'!$CG50</f>
        <v>0</v>
      </c>
      <c r="BN50" s="137">
        <f>'LCFS Table'!$AT50*'LCFS Table'!$CH50</f>
        <v>0.16</v>
      </c>
      <c r="BO50" s="137">
        <f>'LCFS Table'!$AU50*'LCFS Table'!$CI50</f>
        <v>0</v>
      </c>
      <c r="BP50" s="137">
        <f>'LCFS Table'!$AV50*'LCFS Table'!$CJ50</f>
        <v>0</v>
      </c>
      <c r="BQ50" s="137">
        <f>'LCFS Table'!$AW50*'LCFS Table'!$CK50</f>
        <v>0</v>
      </c>
      <c r="BR50" s="137">
        <f>'LCFS Table'!$AX50*'LCFS Table'!$CL50</f>
        <v>0</v>
      </c>
      <c r="BS50" s="137">
        <f>'LCFS Table'!$AY50*'LCFS Table'!$CM50</f>
        <v>0</v>
      </c>
      <c r="BT50" s="137">
        <f>'LCFS Table'!$AZ50*'LCFS Table'!$CN50</f>
        <v>0</v>
      </c>
      <c r="BU50" s="137">
        <f>'LCFS Table'!$BA50*'LCFS Table'!$CO50</f>
        <v>0</v>
      </c>
      <c r="BV50" s="136">
        <f>'LCFS Table'!$BB50*'LCFS Table'!$CP50</f>
        <v>1.2</v>
      </c>
      <c r="BW50" s="138">
        <v>1</v>
      </c>
      <c r="BX50" s="138">
        <v>0</v>
      </c>
      <c r="BY50" s="138">
        <v>1</v>
      </c>
      <c r="BZ50" s="138">
        <v>1</v>
      </c>
      <c r="CA50" s="138">
        <v>-1</v>
      </c>
      <c r="CB50" s="138">
        <v>1</v>
      </c>
      <c r="CC50" s="138">
        <v>0</v>
      </c>
      <c r="CD50" s="138">
        <v>1</v>
      </c>
      <c r="CE50" s="138">
        <v>1</v>
      </c>
      <c r="CF50" s="138">
        <v>-1</v>
      </c>
      <c r="CG50" s="138">
        <f>1-'LCFS Table'!$BW50</f>
        <v>0</v>
      </c>
      <c r="CH50" s="138">
        <f>1-'LCFS Table'!$BX50</f>
        <v>1</v>
      </c>
      <c r="CI50" s="138">
        <f>1-'LCFS Table'!$BY50</f>
        <v>0</v>
      </c>
      <c r="CJ50" s="138">
        <f>1-'LCFS Table'!$BZ50</f>
        <v>0</v>
      </c>
      <c r="CK50" s="138">
        <f>-'LCFS Table'!$CA50</f>
        <v>1</v>
      </c>
      <c r="CL50" s="138">
        <f>1-'LCFS Table'!$CB50</f>
        <v>0</v>
      </c>
      <c r="CM50" s="138">
        <f>1-'LCFS Table'!$CC50</f>
        <v>1</v>
      </c>
      <c r="CN50" s="138">
        <f>1-'LCFS Table'!$CD50</f>
        <v>0</v>
      </c>
      <c r="CO50" s="138">
        <f>1-'LCFS Table'!$CE50</f>
        <v>0</v>
      </c>
      <c r="CP50" s="138">
        <f>-'LCFS Table'!$CF50</f>
        <v>1</v>
      </c>
      <c r="CQ50" s="140">
        <v>6.5</v>
      </c>
      <c r="CR50" s="165">
        <f>('LCFS Table'!$CQ50*0.9/(0.8/0.99)/100)</f>
        <v>7.2393749999999993E-2</v>
      </c>
      <c r="CS50" s="166"/>
      <c r="CT50" s="167"/>
      <c r="CW50" s="168">
        <f>'LCFS Table'!$K50-'LCFS Table'!$M50</f>
        <v>1.6569038037449999</v>
      </c>
      <c r="CX50" s="129">
        <f>MONTH('LCFS Table'!$B50)</f>
        <v>11</v>
      </c>
      <c r="CY50" s="129">
        <f>YEAR('LCFS Table'!$B50)</f>
        <v>2019</v>
      </c>
    </row>
    <row r="51" spans="1:103">
      <c r="A51" s="148">
        <v>43800</v>
      </c>
      <c r="B51" s="149">
        <v>43806</v>
      </c>
      <c r="C51" s="132">
        <f t="shared" si="0"/>
        <v>2019</v>
      </c>
      <c r="D51" s="150" t="s">
        <v>305</v>
      </c>
      <c r="E51" s="134">
        <f>'LCFS Table'!$K51-'LCFS Table'!$I51</f>
        <v>-0.68801132665832321</v>
      </c>
      <c r="F51" s="134">
        <f>('LCFS Table'!$M51)-'LCFS Table'!$J51</f>
        <v>-2.8427281329572494</v>
      </c>
      <c r="G51" s="135">
        <f>'LCFS Table'!$E51+'LCFS Table'!$AS51+'LCFS Table'!$AT51+'LCFS Table'!$AU51+'LCFS Table'!$AV51</f>
        <v>3.2669582261817149</v>
      </c>
      <c r="H51" s="135">
        <f>'LCFS Table'!$F51+'LCFS Table'!$AX51+'LCFS Table'!$AY51+'LCFS Table'!$AZ51+'LCFS Table'!$BA51+('LCFS Table'!$CQ51*0.9/(0.8/0.99)/100)+(DG51*'LCFS Table'!$AF51)+(DF51*'LCFS Table'!$AG51)</f>
        <v>0.34202226562500065</v>
      </c>
      <c r="I51" s="134">
        <f>('LCFS Table'!$V51+'LCFS Table'!$W51+'LCFS Table'!$X51)/100+(('LCFS Table'!$AI51+'LCFS Table'!$AJ51)/340)</f>
        <v>2.6128113266583233</v>
      </c>
      <c r="J51" s="134">
        <f>(('LCFS Table'!$Y51+'LCFS Table'!$Z51)/100)+(('LCFS Table'!$AM51+'LCFS Table'!$AN51)/300)</f>
        <v>3.1803714843749997</v>
      </c>
      <c r="K51" s="136">
        <f>'[1]Fuel Values'!$C50</f>
        <v>1.9248000000000001</v>
      </c>
      <c r="L51" s="136">
        <f>'[1]Fuel Values'!$B50</f>
        <v>345</v>
      </c>
      <c r="M51" s="137">
        <f>('LCFS Table'!$L51/100)-'LCFS Table'!$AX51-'LCFS Table'!$AY51-'LCFS Table'!$AZ51-'LCFS Table'!$BA51</f>
        <v>0.33764335141775037</v>
      </c>
      <c r="N51" s="136">
        <f>[1]BFT!$B50</f>
        <v>23.5</v>
      </c>
      <c r="O51" s="136">
        <f>[1]UCO!$B50</f>
        <v>26.5</v>
      </c>
      <c r="P51" s="136">
        <f>[1]DCO!$B50</f>
        <v>23</v>
      </c>
      <c r="Q51" s="136">
        <f>'[1]Soybean Oil'!$B50</f>
        <v>32.857999999999997</v>
      </c>
      <c r="R51" s="136">
        <f>'[1]Yellow Grease'!$B50</f>
        <v>20.5</v>
      </c>
      <c r="S51" s="137">
        <f>'LCFS Table'!$N51 + 'LCFS Table'!$AH51</f>
        <v>27.875</v>
      </c>
      <c r="T51" s="137">
        <f>'LCFS Table'!$Q51+'LCFS Table'!$AH51</f>
        <v>37.232999999999997</v>
      </c>
      <c r="U51" s="137">
        <f>'LCFS Table'!$P51+'LCFS Table'!$AH51</f>
        <v>27.375</v>
      </c>
      <c r="V51" s="137">
        <f>(('LCFS Table'!$S51/'LCFS Table'!$AA51)*'LCFS Table'!$AC51)*6.48</f>
        <v>96.07978723404257</v>
      </c>
      <c r="W51" s="137">
        <f>(('LCFS Table'!$O51/'LCFS Table'!$AA51)*'LCFS Table'!$AD51)*6.48</f>
        <v>45.670212765957451</v>
      </c>
      <c r="X51" s="137">
        <f>(('LCFS Table'!$U51/'LCFS Table'!$AA51)*'LCFS Table'!$AE51)*6.48</f>
        <v>47.178191489361708</v>
      </c>
      <c r="Y51" s="137">
        <f>(('LCFS Table'!$T51/'LCFS Table'!$AB51)*'LCFS Table'!$AF51)*7.35</f>
        <v>213.79886718749998</v>
      </c>
      <c r="Z51" s="137">
        <f>(('LCFS Table'!$R51/'LCFS Table'!$AB51)*'LCFS Table'!$AG51)*7.35</f>
        <v>39.23828125</v>
      </c>
      <c r="AA51" s="138">
        <v>0.94</v>
      </c>
      <c r="AB51" s="138">
        <v>0.96</v>
      </c>
      <c r="AC51" s="138">
        <v>0.5</v>
      </c>
      <c r="AD51" s="138">
        <v>0.25</v>
      </c>
      <c r="AE51" s="138">
        <v>0.25</v>
      </c>
      <c r="AF51" s="138">
        <v>0.75</v>
      </c>
      <c r="AG51" s="138">
        <v>0.25</v>
      </c>
      <c r="AH51" s="139">
        <v>4.375</v>
      </c>
      <c r="AI51" s="139">
        <v>136</v>
      </c>
      <c r="AJ51" s="139">
        <v>110</v>
      </c>
      <c r="AK51" s="139">
        <f>('LCFS Table'!$AI51/340)*100</f>
        <v>40</v>
      </c>
      <c r="AL51" s="139">
        <f>('LCFS Table'!$AJ51/340)*100</f>
        <v>32.352941176470587</v>
      </c>
      <c r="AM51" s="139">
        <v>105</v>
      </c>
      <c r="AN51" s="139">
        <v>90</v>
      </c>
      <c r="AO51" s="139">
        <f>('LCFS Table'!$AM51/300)*100</f>
        <v>35</v>
      </c>
      <c r="AP51" s="139">
        <f>('LCFS Table'!$AN51/300)*100</f>
        <v>30</v>
      </c>
      <c r="AQ51" s="140">
        <v>207.35</v>
      </c>
      <c r="AR51" s="136">
        <v>0.57100000000000006</v>
      </c>
      <c r="AS51" s="137">
        <v>1.8242695528400386</v>
      </c>
      <c r="AT51" s="137">
        <v>0.16</v>
      </c>
      <c r="AU51" s="137">
        <v>1</v>
      </c>
      <c r="AV51" s="137">
        <f>'LCFS Table'!$AR51*1.7</f>
        <v>0.97070000000000012</v>
      </c>
      <c r="AW51" s="137">
        <v>0</v>
      </c>
      <c r="AX51" s="137">
        <v>1.25585664858225</v>
      </c>
      <c r="AY51" s="137">
        <v>0</v>
      </c>
      <c r="AZ51" s="141">
        <v>1</v>
      </c>
      <c r="BA51" s="137">
        <f>'LCFS Table'!$AR51*1.5</f>
        <v>0.85650000000000004</v>
      </c>
      <c r="BB51" s="136">
        <v>1.2</v>
      </c>
      <c r="BC51" s="137">
        <f>'LCFS Table'!$AS51*'LCFS Table'!$BW51</f>
        <v>1.8242695528400386</v>
      </c>
      <c r="BD51" s="137">
        <f>'LCFS Table'!$AT51*'LCFS Table'!$BX51</f>
        <v>0</v>
      </c>
      <c r="BE51" s="137">
        <f>'LCFS Table'!$AU51*'LCFS Table'!$BY51</f>
        <v>1</v>
      </c>
      <c r="BF51" s="137">
        <f>'LCFS Table'!$AV51*'LCFS Table'!$BZ51</f>
        <v>0.97070000000000012</v>
      </c>
      <c r="BG51" s="137">
        <f>'LCFS Table'!$AW51*'LCFS Table'!$CA51</f>
        <v>0</v>
      </c>
      <c r="BH51" s="137">
        <f>'LCFS Table'!$AX51*'LCFS Table'!$CB51</f>
        <v>1.25585664858225</v>
      </c>
      <c r="BI51" s="137">
        <f>'LCFS Table'!$AY51*'LCFS Table'!$CC51</f>
        <v>0</v>
      </c>
      <c r="BJ51" s="137">
        <f>'LCFS Table'!$AZ51*'LCFS Table'!$CD51</f>
        <v>1</v>
      </c>
      <c r="BK51" s="137">
        <f>'LCFS Table'!$BA51*'LCFS Table'!$CE51</f>
        <v>0.85650000000000004</v>
      </c>
      <c r="BL51" s="137">
        <f>'LCFS Table'!$BB51*'LCFS Table'!$CF51</f>
        <v>-1.2</v>
      </c>
      <c r="BM51" s="137">
        <f>'LCFS Table'!$AS51*'LCFS Table'!$CG51</f>
        <v>0</v>
      </c>
      <c r="BN51" s="137">
        <f>'LCFS Table'!$AT51*'LCFS Table'!$CH51</f>
        <v>0.16</v>
      </c>
      <c r="BO51" s="137">
        <f>'LCFS Table'!$AU51*'LCFS Table'!$CI51</f>
        <v>0</v>
      </c>
      <c r="BP51" s="137">
        <f>'LCFS Table'!$AV51*'LCFS Table'!$CJ51</f>
        <v>0</v>
      </c>
      <c r="BQ51" s="137">
        <f>'LCFS Table'!$AW51*'LCFS Table'!$CK51</f>
        <v>0</v>
      </c>
      <c r="BR51" s="137">
        <f>'LCFS Table'!$AX51*'LCFS Table'!$CL51</f>
        <v>0</v>
      </c>
      <c r="BS51" s="137">
        <f>'LCFS Table'!$AY51*'LCFS Table'!$CM51</f>
        <v>0</v>
      </c>
      <c r="BT51" s="137">
        <f>'LCFS Table'!$AZ51*'LCFS Table'!$CN51</f>
        <v>0</v>
      </c>
      <c r="BU51" s="137">
        <f>'LCFS Table'!$BA51*'LCFS Table'!$CO51</f>
        <v>0</v>
      </c>
      <c r="BV51" s="136">
        <f>'LCFS Table'!$BB51*'LCFS Table'!$CP51</f>
        <v>1.2</v>
      </c>
      <c r="BW51" s="138">
        <v>1</v>
      </c>
      <c r="BX51" s="138">
        <v>0</v>
      </c>
      <c r="BY51" s="138">
        <v>1</v>
      </c>
      <c r="BZ51" s="138">
        <v>1</v>
      </c>
      <c r="CA51" s="138">
        <v>-1</v>
      </c>
      <c r="CB51" s="138">
        <v>1</v>
      </c>
      <c r="CC51" s="138">
        <v>0</v>
      </c>
      <c r="CD51" s="138">
        <v>1</v>
      </c>
      <c r="CE51" s="138">
        <v>1</v>
      </c>
      <c r="CF51" s="138">
        <v>-1</v>
      </c>
      <c r="CG51" s="138">
        <f>1-'LCFS Table'!$BW51</f>
        <v>0</v>
      </c>
      <c r="CH51" s="138">
        <f>1-'LCFS Table'!$BX51</f>
        <v>1</v>
      </c>
      <c r="CI51" s="138">
        <f>1-'LCFS Table'!$BY51</f>
        <v>0</v>
      </c>
      <c r="CJ51" s="138">
        <f>1-'LCFS Table'!$BZ51</f>
        <v>0</v>
      </c>
      <c r="CK51" s="138">
        <f>-'LCFS Table'!$CA51</f>
        <v>1</v>
      </c>
      <c r="CL51" s="138">
        <f>1-'LCFS Table'!$CB51</f>
        <v>0</v>
      </c>
      <c r="CM51" s="138">
        <f>1-'LCFS Table'!$CC51</f>
        <v>1</v>
      </c>
      <c r="CN51" s="138">
        <f>1-'LCFS Table'!$CD51</f>
        <v>0</v>
      </c>
      <c r="CO51" s="138">
        <f>1-'LCFS Table'!$CE51</f>
        <v>0</v>
      </c>
      <c r="CP51" s="138">
        <f>-'LCFS Table'!$CF51</f>
        <v>1</v>
      </c>
      <c r="CQ51" s="140">
        <v>6.5</v>
      </c>
      <c r="CR51" s="165">
        <f>('LCFS Table'!$CQ51*0.9/(0.8/0.99)/100)</f>
        <v>7.2393749999999993E-2</v>
      </c>
      <c r="CS51" s="166"/>
      <c r="CT51" s="167"/>
      <c r="CW51" s="168">
        <f>'LCFS Table'!$K51-'LCFS Table'!$M51</f>
        <v>1.5871566485822497</v>
      </c>
      <c r="CX51" s="129">
        <f>MONTH('LCFS Table'!$B51)</f>
        <v>12</v>
      </c>
      <c r="CY51" s="129">
        <f>YEAR('LCFS Table'!$B51)</f>
        <v>2019</v>
      </c>
    </row>
    <row r="52" spans="1:103">
      <c r="A52" s="148">
        <v>43807</v>
      </c>
      <c r="B52" s="149">
        <v>43813</v>
      </c>
      <c r="C52" s="132">
        <f t="shared" si="0"/>
        <v>2019</v>
      </c>
      <c r="D52" s="150" t="s">
        <v>306</v>
      </c>
      <c r="E52" s="134">
        <f>'LCFS Table'!$K52-'LCFS Table'!$I52</f>
        <v>-0.70286026282853609</v>
      </c>
      <c r="F52" s="134">
        <f>('LCFS Table'!$M52)-'LCFS Table'!$J52</f>
        <v>-2.7574570337709998</v>
      </c>
      <c r="G52" s="135">
        <f>'LCFS Table'!$E52+'LCFS Table'!$AS52+'LCFS Table'!$AT52+'LCFS Table'!$AU52+'LCFS Table'!$AV52</f>
        <v>3.0403627541182301</v>
      </c>
      <c r="H52" s="135">
        <f>'LCFS Table'!$F52+'LCFS Table'!$AX52+'LCFS Table'!$AY52+'LCFS Table'!$AZ52+'LCFS Table'!$BA52+('LCFS Table'!$CQ52*0.9/(0.8/0.99)/100)+(DG52*'LCFS Table'!$AF52)+(DF52*'LCFS Table'!$AG52)</f>
        <v>0.24511476562500004</v>
      </c>
      <c r="I52" s="134">
        <f>('LCFS Table'!$V52+'LCFS Table'!$W52+'LCFS Table'!$X52)/100+(('LCFS Table'!$AI52+'LCFS Table'!$AJ52)/340)</f>
        <v>2.6679602628285362</v>
      </c>
      <c r="J52" s="134">
        <f>(('LCFS Table'!$Y52+'LCFS Table'!$Z52)/100)+(('LCFS Table'!$AM52+'LCFS Table'!$AN52)/300)</f>
        <v>3.2699496093749998</v>
      </c>
      <c r="K52" s="136">
        <f>'[1]Fuel Values'!$C51</f>
        <v>1.9651000000000001</v>
      </c>
      <c r="L52" s="136">
        <f>'[1]Fuel Values'!$B51</f>
        <v>344.1</v>
      </c>
      <c r="M52" s="137">
        <f>('LCFS Table'!$L52/100)-'LCFS Table'!$AX52-'LCFS Table'!$AY52-'LCFS Table'!$AZ52-'LCFS Table'!$BA52</f>
        <v>0.51249257560400019</v>
      </c>
      <c r="N52" s="136">
        <f>[1]BFT!$B51</f>
        <v>25.1</v>
      </c>
      <c r="O52" s="136">
        <f>[1]UCO!$B51</f>
        <v>26.5</v>
      </c>
      <c r="P52" s="136">
        <f>[1]DCO!$B51</f>
        <v>23</v>
      </c>
      <c r="Q52" s="136">
        <f>'[1]Soybean Oil'!$B51</f>
        <v>34.417999999999999</v>
      </c>
      <c r="R52" s="136">
        <f>'[1]Yellow Grease'!$B51</f>
        <v>20.5</v>
      </c>
      <c r="S52" s="137">
        <f>'LCFS Table'!$N52 + 'LCFS Table'!$AH52</f>
        <v>29.475000000000001</v>
      </c>
      <c r="T52" s="137">
        <f>'LCFS Table'!$Q52+'LCFS Table'!$AH52</f>
        <v>38.792999999999999</v>
      </c>
      <c r="U52" s="137">
        <f>'LCFS Table'!$P52+'LCFS Table'!$AH52</f>
        <v>27.375</v>
      </c>
      <c r="V52" s="137">
        <f>(('LCFS Table'!$S52/'LCFS Table'!$AA52)*'LCFS Table'!$AC52)*6.48</f>
        <v>101.59468085106384</v>
      </c>
      <c r="W52" s="137">
        <f>(('LCFS Table'!$O52/'LCFS Table'!$AA52)*'LCFS Table'!$AD52)*6.48</f>
        <v>45.670212765957451</v>
      </c>
      <c r="X52" s="137">
        <f>(('LCFS Table'!$U52/'LCFS Table'!$AA52)*'LCFS Table'!$AE52)*6.48</f>
        <v>47.178191489361708</v>
      </c>
      <c r="Y52" s="137">
        <f>(('LCFS Table'!$T52/'LCFS Table'!$AB52)*'LCFS Table'!$AF52)*7.35</f>
        <v>222.7566796875</v>
      </c>
      <c r="Z52" s="137">
        <f>(('LCFS Table'!$R52/'LCFS Table'!$AB52)*'LCFS Table'!$AG52)*7.35</f>
        <v>39.23828125</v>
      </c>
      <c r="AA52" s="138">
        <v>0.94</v>
      </c>
      <c r="AB52" s="138">
        <v>0.96</v>
      </c>
      <c r="AC52" s="138">
        <v>0.5</v>
      </c>
      <c r="AD52" s="138">
        <v>0.25</v>
      </c>
      <c r="AE52" s="138">
        <v>0.25</v>
      </c>
      <c r="AF52" s="138">
        <v>0.75</v>
      </c>
      <c r="AG52" s="138">
        <v>0.25</v>
      </c>
      <c r="AH52" s="139">
        <v>4.375</v>
      </c>
      <c r="AI52" s="139">
        <v>136</v>
      </c>
      <c r="AJ52" s="139">
        <v>110</v>
      </c>
      <c r="AK52" s="139">
        <f>('LCFS Table'!$AI52/340)*100</f>
        <v>40</v>
      </c>
      <c r="AL52" s="139">
        <f>('LCFS Table'!$AJ52/340)*100</f>
        <v>32.352941176470587</v>
      </c>
      <c r="AM52" s="139">
        <v>105</v>
      </c>
      <c r="AN52" s="139">
        <v>90</v>
      </c>
      <c r="AO52" s="139">
        <f>('LCFS Table'!$AM52/300)*100</f>
        <v>35</v>
      </c>
      <c r="AP52" s="139">
        <f>('LCFS Table'!$AN52/300)*100</f>
        <v>30</v>
      </c>
      <c r="AQ52" s="140">
        <v>205.6</v>
      </c>
      <c r="AR52" s="136">
        <v>0.45549999999999996</v>
      </c>
      <c r="AS52" s="137">
        <v>1.8088730169467659</v>
      </c>
      <c r="AT52" s="137">
        <v>0.16</v>
      </c>
      <c r="AU52" s="137">
        <v>1</v>
      </c>
      <c r="AV52" s="137">
        <f>'LCFS Table'!$AR52*1.7</f>
        <v>0.77434999999999987</v>
      </c>
      <c r="AW52" s="137">
        <v>0</v>
      </c>
      <c r="AX52" s="137">
        <v>1.245257424396</v>
      </c>
      <c r="AY52" s="137">
        <v>0</v>
      </c>
      <c r="AZ52" s="141">
        <v>1</v>
      </c>
      <c r="BA52" s="137">
        <f>'LCFS Table'!$AR52*1.5</f>
        <v>0.68324999999999991</v>
      </c>
      <c r="BB52" s="136">
        <v>1.2</v>
      </c>
      <c r="BC52" s="137">
        <f>'LCFS Table'!$AS52*'LCFS Table'!$BW52</f>
        <v>1.8088730169467659</v>
      </c>
      <c r="BD52" s="137">
        <f>'LCFS Table'!$AT52*'LCFS Table'!$BX52</f>
        <v>0</v>
      </c>
      <c r="BE52" s="137">
        <f>'LCFS Table'!$AU52*'LCFS Table'!$BY52</f>
        <v>1</v>
      </c>
      <c r="BF52" s="137">
        <f>'LCFS Table'!$AV52*'LCFS Table'!$BZ52</f>
        <v>0.77434999999999987</v>
      </c>
      <c r="BG52" s="137">
        <f>'LCFS Table'!$AW52*'LCFS Table'!$CA52</f>
        <v>0</v>
      </c>
      <c r="BH52" s="137">
        <f>'LCFS Table'!$AX52*'LCFS Table'!$CB52</f>
        <v>1.245257424396</v>
      </c>
      <c r="BI52" s="137">
        <f>'LCFS Table'!$AY52*'LCFS Table'!$CC52</f>
        <v>0</v>
      </c>
      <c r="BJ52" s="137">
        <f>'LCFS Table'!$AZ52*'LCFS Table'!$CD52</f>
        <v>1</v>
      </c>
      <c r="BK52" s="137">
        <f>'LCFS Table'!$BA52*'LCFS Table'!$CE52</f>
        <v>0.68324999999999991</v>
      </c>
      <c r="BL52" s="137">
        <f>'LCFS Table'!$BB52*'LCFS Table'!$CF52</f>
        <v>-1.2</v>
      </c>
      <c r="BM52" s="137">
        <f>'LCFS Table'!$AS52*'LCFS Table'!$CG52</f>
        <v>0</v>
      </c>
      <c r="BN52" s="137">
        <f>'LCFS Table'!$AT52*'LCFS Table'!$CH52</f>
        <v>0.16</v>
      </c>
      <c r="BO52" s="137">
        <f>'LCFS Table'!$AU52*'LCFS Table'!$CI52</f>
        <v>0</v>
      </c>
      <c r="BP52" s="137">
        <f>'LCFS Table'!$AV52*'LCFS Table'!$CJ52</f>
        <v>0</v>
      </c>
      <c r="BQ52" s="137">
        <f>'LCFS Table'!$AW52*'LCFS Table'!$CK52</f>
        <v>0</v>
      </c>
      <c r="BR52" s="137">
        <f>'LCFS Table'!$AX52*'LCFS Table'!$CL52</f>
        <v>0</v>
      </c>
      <c r="BS52" s="137">
        <f>'LCFS Table'!$AY52*'LCFS Table'!$CM52</f>
        <v>0</v>
      </c>
      <c r="BT52" s="137">
        <f>'LCFS Table'!$AZ52*'LCFS Table'!$CN52</f>
        <v>0</v>
      </c>
      <c r="BU52" s="137">
        <f>'LCFS Table'!$BA52*'LCFS Table'!$CO52</f>
        <v>0</v>
      </c>
      <c r="BV52" s="136">
        <f>'LCFS Table'!$BB52*'LCFS Table'!$CP52</f>
        <v>1.2</v>
      </c>
      <c r="BW52" s="138">
        <v>1</v>
      </c>
      <c r="BX52" s="138">
        <v>0</v>
      </c>
      <c r="BY52" s="138">
        <v>1</v>
      </c>
      <c r="BZ52" s="138">
        <v>1</v>
      </c>
      <c r="CA52" s="138">
        <v>-1</v>
      </c>
      <c r="CB52" s="138">
        <v>1</v>
      </c>
      <c r="CC52" s="138">
        <v>0</v>
      </c>
      <c r="CD52" s="138">
        <v>1</v>
      </c>
      <c r="CE52" s="138">
        <v>1</v>
      </c>
      <c r="CF52" s="138">
        <v>-1</v>
      </c>
      <c r="CG52" s="138">
        <f>1-'LCFS Table'!$BW52</f>
        <v>0</v>
      </c>
      <c r="CH52" s="138">
        <f>1-'LCFS Table'!$BX52</f>
        <v>1</v>
      </c>
      <c r="CI52" s="138">
        <f>1-'LCFS Table'!$BY52</f>
        <v>0</v>
      </c>
      <c r="CJ52" s="138">
        <f>1-'LCFS Table'!$BZ52</f>
        <v>0</v>
      </c>
      <c r="CK52" s="138">
        <f>-'LCFS Table'!$CA52</f>
        <v>1</v>
      </c>
      <c r="CL52" s="138">
        <f>1-'LCFS Table'!$CB52</f>
        <v>0</v>
      </c>
      <c r="CM52" s="138">
        <f>1-'LCFS Table'!$CC52</f>
        <v>1</v>
      </c>
      <c r="CN52" s="138">
        <f>1-'LCFS Table'!$CD52</f>
        <v>0</v>
      </c>
      <c r="CO52" s="138">
        <f>1-'LCFS Table'!$CE52</f>
        <v>0</v>
      </c>
      <c r="CP52" s="138">
        <f>-'LCFS Table'!$CF52</f>
        <v>1</v>
      </c>
      <c r="CQ52" s="140">
        <v>6.65</v>
      </c>
      <c r="CR52" s="165">
        <f>('LCFS Table'!$CQ52*0.9/(0.8/0.99)/100)</f>
        <v>7.4064374999999988E-2</v>
      </c>
      <c r="CS52" s="166"/>
      <c r="CT52" s="167"/>
      <c r="CW52" s="168">
        <f>'LCFS Table'!$K52-'LCFS Table'!$M52</f>
        <v>1.4526074243959999</v>
      </c>
      <c r="CX52" s="129">
        <f>MONTH('LCFS Table'!$B52)</f>
        <v>12</v>
      </c>
      <c r="CY52" s="129">
        <f>YEAR('LCFS Table'!$B52)</f>
        <v>2019</v>
      </c>
    </row>
    <row r="53" spans="1:103">
      <c r="A53" s="148">
        <v>43814</v>
      </c>
      <c r="B53" s="149">
        <v>43820</v>
      </c>
      <c r="C53" s="132">
        <f t="shared" si="0"/>
        <v>2019</v>
      </c>
      <c r="D53" s="150" t="s">
        <v>307</v>
      </c>
      <c r="E53" s="134">
        <f>'LCFS Table'!$K53-'LCFS Table'!$I53</f>
        <v>-0.66708153942428039</v>
      </c>
      <c r="F53" s="134">
        <f>('LCFS Table'!$M53)-'LCFS Table'!$J53</f>
        <v>-2.8511617448349993</v>
      </c>
      <c r="G53" s="135">
        <f>'LCFS Table'!$E53+'LCFS Table'!$AS53+'LCFS Table'!$AT53+'LCFS Table'!$AU53+'LCFS Table'!$AV53</f>
        <v>3.0405606857266623</v>
      </c>
      <c r="H53" s="135">
        <f>'LCFS Table'!$F53+'LCFS Table'!$AX53+'LCFS Table'!$AY53+'LCFS Table'!$AZ53+'LCFS Table'!$BA53+('LCFS Table'!$CQ53*0.9/(0.8/0.99)/100)+(DG53*'LCFS Table'!$AF53)+(DF53*'LCFS Table'!$AG53)</f>
        <v>0.12100335937500073</v>
      </c>
      <c r="I53" s="134">
        <f>('LCFS Table'!$V53+'LCFS Table'!$W53+'LCFS Table'!$X53)/100+(('LCFS Table'!$AI53+'LCFS Table'!$AJ53)/340)</f>
        <v>2.6989815394242802</v>
      </c>
      <c r="J53" s="134">
        <f>(('LCFS Table'!$Y53+'LCFS Table'!$Z53)/100)+(('LCFS Table'!$AM53+'LCFS Table'!$AN53)/300)</f>
        <v>3.3897316406249995</v>
      </c>
      <c r="K53" s="136">
        <f>'[1]Fuel Values'!$C52</f>
        <v>2.0318999999999998</v>
      </c>
      <c r="L53" s="136">
        <f>'[1]Fuel Values'!$B52</f>
        <v>343.5</v>
      </c>
      <c r="M53" s="137">
        <f>('LCFS Table'!$L53/100)-'LCFS Table'!$AX53-'LCFS Table'!$AY53-'LCFS Table'!$AZ53-'LCFS Table'!$BA53</f>
        <v>0.53856989579000003</v>
      </c>
      <c r="N53" s="136">
        <f>[1]BFT!$B52</f>
        <v>26</v>
      </c>
      <c r="O53" s="136">
        <f>[1]UCO!$B52</f>
        <v>26.5</v>
      </c>
      <c r="P53" s="136">
        <f>[1]DCO!$B52</f>
        <v>23</v>
      </c>
      <c r="Q53" s="136">
        <f>'[1]Soybean Oil'!$B52</f>
        <v>36.503999999999998</v>
      </c>
      <c r="R53" s="136">
        <f>'[1]Yellow Grease'!$B52</f>
        <v>20.5</v>
      </c>
      <c r="S53" s="137">
        <f>'LCFS Table'!$N53 + 'LCFS Table'!$AH53</f>
        <v>30.375</v>
      </c>
      <c r="T53" s="137">
        <f>'LCFS Table'!$Q53+'LCFS Table'!$AH53</f>
        <v>40.878999999999998</v>
      </c>
      <c r="U53" s="137">
        <f>'LCFS Table'!$P53+'LCFS Table'!$AH53</f>
        <v>27.375</v>
      </c>
      <c r="V53" s="137">
        <f>(('LCFS Table'!$S53/'LCFS Table'!$AA53)*'LCFS Table'!$AC53)*6.48</f>
        <v>104.69680851063831</v>
      </c>
      <c r="W53" s="137">
        <f>(('LCFS Table'!$O53/'LCFS Table'!$AA53)*'LCFS Table'!$AD53)*6.48</f>
        <v>45.670212765957451</v>
      </c>
      <c r="X53" s="137">
        <f>(('LCFS Table'!$U53/'LCFS Table'!$AA53)*'LCFS Table'!$AE53)*6.48</f>
        <v>47.178191489361708</v>
      </c>
      <c r="Y53" s="137">
        <f>(('LCFS Table'!$T53/'LCFS Table'!$AB53)*'LCFS Table'!$AF53)*7.35</f>
        <v>234.73488281249996</v>
      </c>
      <c r="Z53" s="137">
        <f>(('LCFS Table'!$R53/'LCFS Table'!$AB53)*'LCFS Table'!$AG53)*7.35</f>
        <v>39.23828125</v>
      </c>
      <c r="AA53" s="138">
        <v>0.94</v>
      </c>
      <c r="AB53" s="138">
        <v>0.96</v>
      </c>
      <c r="AC53" s="138">
        <v>0.5</v>
      </c>
      <c r="AD53" s="138">
        <v>0.25</v>
      </c>
      <c r="AE53" s="138">
        <v>0.25</v>
      </c>
      <c r="AF53" s="138">
        <v>0.75</v>
      </c>
      <c r="AG53" s="138">
        <v>0.25</v>
      </c>
      <c r="AH53" s="139">
        <v>4.375</v>
      </c>
      <c r="AI53" s="139">
        <v>136</v>
      </c>
      <c r="AJ53" s="139">
        <v>110</v>
      </c>
      <c r="AK53" s="139">
        <f>('LCFS Table'!$AI53/340)*100</f>
        <v>40</v>
      </c>
      <c r="AL53" s="139">
        <f>('LCFS Table'!$AJ53/340)*100</f>
        <v>32.352941176470587</v>
      </c>
      <c r="AM53" s="139">
        <v>105</v>
      </c>
      <c r="AN53" s="139">
        <v>90</v>
      </c>
      <c r="AO53" s="139">
        <f>('LCFS Table'!$AM53/300)*100</f>
        <v>35</v>
      </c>
      <c r="AP53" s="139">
        <f>('LCFS Table'!$AN53/300)*100</f>
        <v>30</v>
      </c>
      <c r="AQ53" s="140">
        <v>206</v>
      </c>
      <c r="AR53" s="136">
        <v>0.4325</v>
      </c>
      <c r="AS53" s="137">
        <v>1.8123922251509428</v>
      </c>
      <c r="AT53" s="137">
        <v>0.16</v>
      </c>
      <c r="AU53" s="137">
        <v>1</v>
      </c>
      <c r="AV53" s="137">
        <f>'LCFS Table'!$AR53*1.7</f>
        <v>0.73524999999999996</v>
      </c>
      <c r="AW53" s="137">
        <v>0</v>
      </c>
      <c r="AX53" s="137">
        <v>1.2476801042100001</v>
      </c>
      <c r="AY53" s="137">
        <v>0</v>
      </c>
      <c r="AZ53" s="141">
        <v>1</v>
      </c>
      <c r="BA53" s="137">
        <f>'LCFS Table'!$AR53*1.5</f>
        <v>0.64874999999999994</v>
      </c>
      <c r="BB53" s="142">
        <v>1.2</v>
      </c>
      <c r="BC53" s="137">
        <f>'LCFS Table'!$AS53*'LCFS Table'!$BW53</f>
        <v>1.8123922251509428</v>
      </c>
      <c r="BD53" s="137">
        <f>'LCFS Table'!$AT53*'LCFS Table'!$BX53</f>
        <v>0</v>
      </c>
      <c r="BE53" s="137">
        <f>'LCFS Table'!$AU53*'LCFS Table'!$BY53</f>
        <v>1</v>
      </c>
      <c r="BF53" s="137">
        <f>'LCFS Table'!$AV53*'LCFS Table'!$BZ53</f>
        <v>0.73524999999999996</v>
      </c>
      <c r="BG53" s="137">
        <f>'LCFS Table'!$AW53*'LCFS Table'!$CA53</f>
        <v>0</v>
      </c>
      <c r="BH53" s="137">
        <f>'LCFS Table'!$AX53*'LCFS Table'!$CB53</f>
        <v>1.2476801042100001</v>
      </c>
      <c r="BI53" s="137">
        <f>'LCFS Table'!$AY53*'LCFS Table'!$CC53</f>
        <v>0</v>
      </c>
      <c r="BJ53" s="137">
        <f>'LCFS Table'!$AZ53*'LCFS Table'!$CD53</f>
        <v>1</v>
      </c>
      <c r="BK53" s="137">
        <f>'LCFS Table'!$BA53*'LCFS Table'!$CE53</f>
        <v>0.64874999999999994</v>
      </c>
      <c r="BL53" s="137">
        <f>'LCFS Table'!$BB53*'LCFS Table'!$CF53</f>
        <v>-1.2</v>
      </c>
      <c r="BM53" s="137">
        <f>'LCFS Table'!$AS53*'LCFS Table'!$CG53</f>
        <v>0</v>
      </c>
      <c r="BN53" s="137">
        <f>'LCFS Table'!$AT53*'LCFS Table'!$CH53</f>
        <v>0.16</v>
      </c>
      <c r="BO53" s="137">
        <f>'LCFS Table'!$AU53*'LCFS Table'!$CI53</f>
        <v>0</v>
      </c>
      <c r="BP53" s="137">
        <f>'LCFS Table'!$AV53*'LCFS Table'!$CJ53</f>
        <v>0</v>
      </c>
      <c r="BQ53" s="137">
        <f>'LCFS Table'!$AW53*'LCFS Table'!$CK53</f>
        <v>0</v>
      </c>
      <c r="BR53" s="137">
        <f>'LCFS Table'!$AX53*'LCFS Table'!$CL53</f>
        <v>0</v>
      </c>
      <c r="BS53" s="137">
        <f>'LCFS Table'!$AY53*'LCFS Table'!$CM53</f>
        <v>0</v>
      </c>
      <c r="BT53" s="137">
        <f>'LCFS Table'!$AZ53*'LCFS Table'!$CN53</f>
        <v>0</v>
      </c>
      <c r="BU53" s="137">
        <f>'LCFS Table'!$BA53*'LCFS Table'!$CO53</f>
        <v>0</v>
      </c>
      <c r="BV53" s="142">
        <f>'LCFS Table'!$BB53*'LCFS Table'!$CP53</f>
        <v>1.2</v>
      </c>
      <c r="BW53" s="138">
        <v>1</v>
      </c>
      <c r="BX53" s="138">
        <v>0</v>
      </c>
      <c r="BY53" s="138">
        <v>1</v>
      </c>
      <c r="BZ53" s="138">
        <v>1</v>
      </c>
      <c r="CA53" s="138">
        <v>-1</v>
      </c>
      <c r="CB53" s="138">
        <v>1</v>
      </c>
      <c r="CC53" s="138">
        <v>0</v>
      </c>
      <c r="CD53" s="138">
        <v>1</v>
      </c>
      <c r="CE53" s="138">
        <v>1</v>
      </c>
      <c r="CF53" s="138">
        <v>-1</v>
      </c>
      <c r="CG53" s="138">
        <f>1-'LCFS Table'!$BW53</f>
        <v>0</v>
      </c>
      <c r="CH53" s="138">
        <f>1-'LCFS Table'!$BX53</f>
        <v>1</v>
      </c>
      <c r="CI53" s="138">
        <f>1-'LCFS Table'!$BY53</f>
        <v>0</v>
      </c>
      <c r="CJ53" s="138">
        <f>1-'LCFS Table'!$BZ53</f>
        <v>0</v>
      </c>
      <c r="CK53" s="138">
        <f>-'LCFS Table'!$CA53</f>
        <v>1</v>
      </c>
      <c r="CL53" s="138">
        <f>1-'LCFS Table'!$CB53</f>
        <v>0</v>
      </c>
      <c r="CM53" s="138">
        <f>1-'LCFS Table'!$CC53</f>
        <v>1</v>
      </c>
      <c r="CN53" s="138">
        <f>1-'LCFS Table'!$CD53</f>
        <v>0</v>
      </c>
      <c r="CO53" s="138">
        <f>1-'LCFS Table'!$CE53</f>
        <v>0</v>
      </c>
      <c r="CP53" s="138">
        <f>-'LCFS Table'!$CF53</f>
        <v>1</v>
      </c>
      <c r="CQ53" s="140">
        <v>6.8</v>
      </c>
      <c r="CR53" s="165">
        <f>('LCFS Table'!$CQ53*0.9/(0.8/0.99)/100)</f>
        <v>7.5734999999999997E-2</v>
      </c>
      <c r="CS53" s="166"/>
      <c r="CT53" s="167"/>
      <c r="CW53" s="168">
        <f>'LCFS Table'!$K53-'LCFS Table'!$M53</f>
        <v>1.4933301042099998</v>
      </c>
      <c r="CX53" s="129">
        <f>MONTH('LCFS Table'!$B53)</f>
        <v>12</v>
      </c>
      <c r="CY53" s="129">
        <f>YEAR('LCFS Table'!$B53)</f>
        <v>2019</v>
      </c>
    </row>
    <row r="54" spans="1:103">
      <c r="A54" s="148">
        <v>43821</v>
      </c>
      <c r="B54" s="149">
        <v>43827</v>
      </c>
      <c r="C54" s="132">
        <f t="shared" si="0"/>
        <v>2019</v>
      </c>
      <c r="D54" s="150" t="s">
        <v>308</v>
      </c>
      <c r="E54" s="134">
        <f>'LCFS Table'!$K54-'LCFS Table'!$I54</f>
        <v>-0.652112922403004</v>
      </c>
      <c r="F54" s="134">
        <f>('LCFS Table'!$M54)-'LCFS Table'!$J54</f>
        <v>-2.8638114371387502</v>
      </c>
      <c r="G54" s="135">
        <f>'LCFS Table'!$E54+'LCFS Table'!$AS54+'LCFS Table'!$AT54+'LCFS Table'!$AU54+'LCFS Table'!$AV54</f>
        <v>3.0278297976203281</v>
      </c>
      <c r="H54" s="135">
        <f>'LCFS Table'!$F54+'LCFS Table'!$AX54+'LCFS Table'!$AY54+'LCFS Table'!$AZ54+'LCFS Table'!$BA54+('LCFS Table'!$CQ54*0.9/(0.8/0.99)/100)+(DG54*'LCFS Table'!$AF54)+(DF54*'LCFS Table'!$AG54)</f>
        <v>8.6566992187499692E-2</v>
      </c>
      <c r="I54" s="134">
        <f>('LCFS Table'!$V54+'LCFS Table'!$W54+'LCFS Table'!$X54)/100+(('LCFS Table'!$AI54+'LCFS Table'!$AJ54)/340)</f>
        <v>2.702212922403004</v>
      </c>
      <c r="J54" s="134">
        <f>(('LCFS Table'!$Y54+'LCFS Table'!$Z54)/100)+(('LCFS Table'!$AM54+'LCFS Table'!$AN54)/300)</f>
        <v>3.4263955078125004</v>
      </c>
      <c r="K54" s="136">
        <f>'[1]Fuel Values'!$C53</f>
        <v>2.0501</v>
      </c>
      <c r="L54" s="136">
        <f>'[1]Fuel Values'!$B53</f>
        <v>343.5</v>
      </c>
      <c r="M54" s="137">
        <f>('LCFS Table'!$L54/100)-'LCFS Table'!$AX54-'LCFS Table'!$AY54-'LCFS Table'!$AZ54-'LCFS Table'!$BA54</f>
        <v>0.56258407067375038</v>
      </c>
      <c r="N54" s="136">
        <f>[1]BFT!$B53</f>
        <v>26</v>
      </c>
      <c r="O54" s="136">
        <f>[1]UCO!$B53</f>
        <v>26.5</v>
      </c>
      <c r="P54" s="136">
        <f>[1]DCO!$B53</f>
        <v>23.1875</v>
      </c>
      <c r="Q54" s="136">
        <f>'[1]Soybean Oil'!$B53</f>
        <v>37.142499999999998</v>
      </c>
      <c r="R54" s="136">
        <f>'[1]Yellow Grease'!$B53</f>
        <v>20.5</v>
      </c>
      <c r="S54" s="137">
        <f>'LCFS Table'!$N54 + 'LCFS Table'!$AH54</f>
        <v>30.375</v>
      </c>
      <c r="T54" s="137">
        <f>'LCFS Table'!$Q54+'LCFS Table'!$AH54</f>
        <v>41.517499999999998</v>
      </c>
      <c r="U54" s="137">
        <f>'LCFS Table'!$P54+'LCFS Table'!$AH54</f>
        <v>27.5625</v>
      </c>
      <c r="V54" s="137">
        <f>(('LCFS Table'!$S54/'LCFS Table'!$AA54)*'LCFS Table'!$AC54)*6.48</f>
        <v>104.69680851063831</v>
      </c>
      <c r="W54" s="137">
        <f>(('LCFS Table'!$O54/'LCFS Table'!$AA54)*'LCFS Table'!$AD54)*6.48</f>
        <v>45.670212765957451</v>
      </c>
      <c r="X54" s="137">
        <f>(('LCFS Table'!$U54/'LCFS Table'!$AA54)*'LCFS Table'!$AE54)*6.48</f>
        <v>47.501329787234049</v>
      </c>
      <c r="Y54" s="137">
        <f>(('LCFS Table'!$T54/'LCFS Table'!$AB54)*'LCFS Table'!$AF54)*7.35</f>
        <v>238.40126953124999</v>
      </c>
      <c r="Z54" s="137">
        <f>(('LCFS Table'!$R54/'LCFS Table'!$AB54)*'LCFS Table'!$AG54)*7.35</f>
        <v>39.23828125</v>
      </c>
      <c r="AA54" s="138">
        <v>0.94</v>
      </c>
      <c r="AB54" s="138">
        <v>0.96</v>
      </c>
      <c r="AC54" s="138">
        <v>0.5</v>
      </c>
      <c r="AD54" s="138">
        <v>0.25</v>
      </c>
      <c r="AE54" s="138">
        <v>0.25</v>
      </c>
      <c r="AF54" s="138">
        <v>0.75</v>
      </c>
      <c r="AG54" s="138">
        <v>0.25</v>
      </c>
      <c r="AH54" s="139">
        <v>4.375</v>
      </c>
      <c r="AI54" s="139">
        <v>136</v>
      </c>
      <c r="AJ54" s="139">
        <v>110</v>
      </c>
      <c r="AK54" s="139">
        <f>('LCFS Table'!$AI54/340)*100</f>
        <v>40</v>
      </c>
      <c r="AL54" s="139">
        <f>('LCFS Table'!$AJ54/340)*100</f>
        <v>32.352941176470587</v>
      </c>
      <c r="AM54" s="139">
        <v>105</v>
      </c>
      <c r="AN54" s="139">
        <v>90</v>
      </c>
      <c r="AO54" s="139">
        <f>('LCFS Table'!$AM54/300)*100</f>
        <v>35</v>
      </c>
      <c r="AP54" s="139">
        <f>('LCFS Table'!$AN54/300)*100</f>
        <v>30</v>
      </c>
      <c r="AQ54" s="140">
        <v>205.75</v>
      </c>
      <c r="AR54" s="136">
        <v>0.41749999999999998</v>
      </c>
      <c r="AS54" s="137">
        <v>1.8101927200233323</v>
      </c>
      <c r="AT54" s="137">
        <v>0.16</v>
      </c>
      <c r="AU54" s="137">
        <v>1</v>
      </c>
      <c r="AV54" s="137">
        <f>'LCFS Table'!$AR54*1.7</f>
        <v>0.70974999999999999</v>
      </c>
      <c r="AW54" s="137">
        <v>0</v>
      </c>
      <c r="AX54" s="137">
        <v>1.2461659293262499</v>
      </c>
      <c r="AY54" s="137">
        <v>0</v>
      </c>
      <c r="AZ54" s="141">
        <v>1</v>
      </c>
      <c r="BA54" s="137">
        <f>'LCFS Table'!$AR54*1.5</f>
        <v>0.62624999999999997</v>
      </c>
      <c r="BB54" s="136">
        <v>1.2</v>
      </c>
      <c r="BC54" s="137">
        <f>'LCFS Table'!$AS54*'LCFS Table'!$BW54</f>
        <v>1.8101927200233323</v>
      </c>
      <c r="BD54" s="137">
        <f>'LCFS Table'!$AT54*'LCFS Table'!$BX54</f>
        <v>0</v>
      </c>
      <c r="BE54" s="137">
        <f>'LCFS Table'!$AU54*'LCFS Table'!$BY54</f>
        <v>1</v>
      </c>
      <c r="BF54" s="137">
        <f>'LCFS Table'!$AV54*'LCFS Table'!$BZ54</f>
        <v>0.70974999999999999</v>
      </c>
      <c r="BG54" s="137">
        <f>'LCFS Table'!$AW54*'LCFS Table'!$CA54</f>
        <v>0</v>
      </c>
      <c r="BH54" s="137">
        <f>'LCFS Table'!$AX54*'LCFS Table'!$CB54</f>
        <v>1.2461659293262499</v>
      </c>
      <c r="BI54" s="137">
        <f>'LCFS Table'!$AY54*'LCFS Table'!$CC54</f>
        <v>0</v>
      </c>
      <c r="BJ54" s="137">
        <f>'LCFS Table'!$AZ54*'LCFS Table'!$CD54</f>
        <v>1</v>
      </c>
      <c r="BK54" s="137">
        <f>'LCFS Table'!$BA54*'LCFS Table'!$CE54</f>
        <v>0.62624999999999997</v>
      </c>
      <c r="BL54" s="137">
        <f>'LCFS Table'!$BB54*'LCFS Table'!$CF54</f>
        <v>-1.2</v>
      </c>
      <c r="BM54" s="137">
        <f>'LCFS Table'!$AS54*'LCFS Table'!$CG54</f>
        <v>0</v>
      </c>
      <c r="BN54" s="137">
        <f>'LCFS Table'!$AT54*'LCFS Table'!$CH54</f>
        <v>0.16</v>
      </c>
      <c r="BO54" s="137">
        <f>'LCFS Table'!$AU54*'LCFS Table'!$CI54</f>
        <v>0</v>
      </c>
      <c r="BP54" s="137">
        <f>'LCFS Table'!$AV54*'LCFS Table'!$CJ54</f>
        <v>0</v>
      </c>
      <c r="BQ54" s="137">
        <f>'LCFS Table'!$AW54*'LCFS Table'!$CK54</f>
        <v>0</v>
      </c>
      <c r="BR54" s="137">
        <f>'LCFS Table'!$AX54*'LCFS Table'!$CL54</f>
        <v>0</v>
      </c>
      <c r="BS54" s="137">
        <f>'LCFS Table'!$AY54*'LCFS Table'!$CM54</f>
        <v>0</v>
      </c>
      <c r="BT54" s="137">
        <f>'LCFS Table'!$AZ54*'LCFS Table'!$CN54</f>
        <v>0</v>
      </c>
      <c r="BU54" s="137">
        <f>'LCFS Table'!$BA54*'LCFS Table'!$CO54</f>
        <v>0</v>
      </c>
      <c r="BV54" s="136">
        <f>'LCFS Table'!$BB54*'LCFS Table'!$CP54</f>
        <v>1.2</v>
      </c>
      <c r="BW54" s="138">
        <v>1</v>
      </c>
      <c r="BX54" s="138">
        <v>0</v>
      </c>
      <c r="BY54" s="138">
        <v>1</v>
      </c>
      <c r="BZ54" s="138">
        <v>1</v>
      </c>
      <c r="CA54" s="138">
        <v>-1</v>
      </c>
      <c r="CB54" s="138">
        <v>1</v>
      </c>
      <c r="CC54" s="138">
        <v>0</v>
      </c>
      <c r="CD54" s="138">
        <v>1</v>
      </c>
      <c r="CE54" s="138">
        <v>1</v>
      </c>
      <c r="CF54" s="138">
        <v>-1</v>
      </c>
      <c r="CG54" s="138">
        <f>1-'LCFS Table'!$BW54</f>
        <v>0</v>
      </c>
      <c r="CH54" s="138">
        <f>1-'LCFS Table'!$BX54</f>
        <v>1</v>
      </c>
      <c r="CI54" s="138">
        <f>1-'LCFS Table'!$BY54</f>
        <v>0</v>
      </c>
      <c r="CJ54" s="138">
        <f>1-'LCFS Table'!$BZ54</f>
        <v>0</v>
      </c>
      <c r="CK54" s="138">
        <f>-'LCFS Table'!$CA54</f>
        <v>1</v>
      </c>
      <c r="CL54" s="138">
        <f>1-'LCFS Table'!$CB54</f>
        <v>0</v>
      </c>
      <c r="CM54" s="138">
        <f>1-'LCFS Table'!$CC54</f>
        <v>1</v>
      </c>
      <c r="CN54" s="138">
        <f>1-'LCFS Table'!$CD54</f>
        <v>0</v>
      </c>
      <c r="CO54" s="138">
        <f>1-'LCFS Table'!$CE54</f>
        <v>0</v>
      </c>
      <c r="CP54" s="138">
        <f>-'LCFS Table'!$CF54</f>
        <v>1</v>
      </c>
      <c r="CQ54" s="140">
        <v>7</v>
      </c>
      <c r="CR54" s="165">
        <f>('LCFS Table'!$CQ54*0.9/(0.8/0.99)/100)</f>
        <v>7.796249999999999E-2</v>
      </c>
      <c r="CS54" s="166"/>
      <c r="CT54" s="167"/>
      <c r="CW54" s="168">
        <f>'LCFS Table'!$K54-'LCFS Table'!$M54</f>
        <v>1.4875159293262497</v>
      </c>
      <c r="CX54" s="129">
        <f>MONTH('LCFS Table'!$B54)</f>
        <v>12</v>
      </c>
      <c r="CY54" s="129">
        <f>YEAR('LCFS Table'!$B54)</f>
        <v>2019</v>
      </c>
    </row>
    <row r="55" spans="1:103" s="180" customFormat="1">
      <c r="A55" s="169">
        <v>43828</v>
      </c>
      <c r="B55" s="170">
        <v>43834</v>
      </c>
      <c r="C55" s="171">
        <f t="shared" si="0"/>
        <v>2020</v>
      </c>
      <c r="D55" s="172" t="s">
        <v>256</v>
      </c>
      <c r="E55" s="173">
        <f>'LCFS Table'!$K55-'LCFS Table'!$I55</f>
        <v>-0.6803528160200254</v>
      </c>
      <c r="F55" s="173">
        <f>('LCFS Table'!$M55)-'LCFS Table'!$J55</f>
        <v>-2.9397623366634997</v>
      </c>
      <c r="G55" s="174">
        <f>'LCFS Table'!$E55+'LCFS Table'!$AS55+'LCFS Table'!$AT55+'LCFS Table'!$AU55+'LCFS Table'!$AV55</f>
        <v>3.0341192111819613</v>
      </c>
      <c r="H55" s="174">
        <f>'LCFS Table'!$F55+'LCFS Table'!$AX55+'LCFS Table'!$AY55+'LCFS Table'!$AZ55+'LCFS Table'!$BA55+('LCFS Table'!$CQ55*0.9/(0.8/0.99)/100)+(DG55*'LCFS Table'!$AF55)+(DF55*'LCFS Table'!$AG55)</f>
        <v>4.0485937500000346E-2</v>
      </c>
      <c r="I55" s="173">
        <f>('LCFS Table'!$V55+'LCFS Table'!$W55+'LCFS Table'!$X55)/100+(('LCFS Table'!$AI55+'LCFS Table'!$AJ55)/340)</f>
        <v>2.7097528160200253</v>
      </c>
      <c r="J55" s="173">
        <f>(('LCFS Table'!$Y55+'LCFS Table'!$Z55)/100)+(('LCFS Table'!$AM55+'LCFS Table'!$AN55)/300)</f>
        <v>3.4724765624999998</v>
      </c>
      <c r="K55" s="140">
        <f>'[1]Fuel Values'!$C54</f>
        <v>2.0293999999999999</v>
      </c>
      <c r="L55" s="140">
        <f>'[1]Fuel Values'!$B54</f>
        <v>343.5</v>
      </c>
      <c r="M55" s="175">
        <f>('LCFS Table'!$L55/100)-'LCFS Table'!$AX55-'LCFS Table'!$AY55-'LCFS Table'!$AZ55-'LCFS Table'!$BA55</f>
        <v>0.53271422583649997</v>
      </c>
      <c r="N55" s="140">
        <f>[1]BFT!$B54</f>
        <v>26</v>
      </c>
      <c r="O55" s="140">
        <f>[1]UCO!$B54</f>
        <v>26.5</v>
      </c>
      <c r="P55" s="140">
        <f>[1]DCO!$B54</f>
        <v>23.625</v>
      </c>
      <c r="Q55" s="140">
        <f>'[1]Soybean Oil'!$B54</f>
        <v>37.945</v>
      </c>
      <c r="R55" s="140">
        <f>'[1]Yellow Grease'!$B54</f>
        <v>20.5</v>
      </c>
      <c r="S55" s="175">
        <f>'LCFS Table'!$N55 + 'LCFS Table'!$AH55</f>
        <v>30.375</v>
      </c>
      <c r="T55" s="175">
        <f>'LCFS Table'!$Q55+'LCFS Table'!$AH55</f>
        <v>42.32</v>
      </c>
      <c r="U55" s="175">
        <f>'LCFS Table'!$P55+'LCFS Table'!$AH55</f>
        <v>28</v>
      </c>
      <c r="V55" s="175">
        <f>(('LCFS Table'!$S55/'LCFS Table'!$AA55)*'LCFS Table'!$AC55)*6.48</f>
        <v>104.69680851063831</v>
      </c>
      <c r="W55" s="175">
        <f>(('LCFS Table'!$O55/'LCFS Table'!$AA55)*'LCFS Table'!$AD55)*6.48</f>
        <v>45.670212765957451</v>
      </c>
      <c r="X55" s="175">
        <f>(('LCFS Table'!$U55/'LCFS Table'!$AA55)*'LCFS Table'!$AE55)*6.48</f>
        <v>48.255319148936181</v>
      </c>
      <c r="Y55" s="175">
        <f>(('LCFS Table'!$T55/'LCFS Table'!$AB55)*'LCFS Table'!$AF55)*7.35</f>
        <v>243.00937499999998</v>
      </c>
      <c r="Z55" s="175">
        <f>(('LCFS Table'!$R55/'LCFS Table'!$AB55)*'LCFS Table'!$AG55)*7.35</f>
        <v>39.23828125</v>
      </c>
      <c r="AA55" s="176">
        <v>0.94</v>
      </c>
      <c r="AB55" s="176">
        <v>0.96</v>
      </c>
      <c r="AC55" s="176">
        <v>0.5</v>
      </c>
      <c r="AD55" s="176">
        <v>0.25</v>
      </c>
      <c r="AE55" s="176">
        <v>0.25</v>
      </c>
      <c r="AF55" s="176">
        <v>0.75</v>
      </c>
      <c r="AG55" s="176">
        <v>0.25</v>
      </c>
      <c r="AH55" s="177">
        <v>4.375</v>
      </c>
      <c r="AI55" s="177">
        <v>136</v>
      </c>
      <c r="AJ55" s="177">
        <v>110</v>
      </c>
      <c r="AK55" s="177">
        <f>('LCFS Table'!$AI55/340)*100</f>
        <v>40</v>
      </c>
      <c r="AL55" s="177">
        <f>('LCFS Table'!$AJ55/340)*100</f>
        <v>32.352941176470587</v>
      </c>
      <c r="AM55" s="177">
        <v>105</v>
      </c>
      <c r="AN55" s="177">
        <v>90</v>
      </c>
      <c r="AO55" s="177">
        <f>('LCFS Table'!$AM55/300)*100</f>
        <v>35</v>
      </c>
      <c r="AP55" s="177">
        <f>('LCFS Table'!$AN55/300)*100</f>
        <v>30</v>
      </c>
      <c r="AQ55" s="140">
        <v>206.1</v>
      </c>
      <c r="AR55" s="175">
        <v>0.436</v>
      </c>
      <c r="AS55" s="175">
        <v>1.8132720272019867</v>
      </c>
      <c r="AT55" s="175">
        <v>0.16</v>
      </c>
      <c r="AU55" s="175">
        <v>1</v>
      </c>
      <c r="AV55" s="175">
        <f>'LCFS Table'!$AR55*1.7</f>
        <v>0.74119999999999997</v>
      </c>
      <c r="AW55" s="175">
        <v>0</v>
      </c>
      <c r="AX55" s="175">
        <v>1.2482857741635001</v>
      </c>
      <c r="AY55" s="175">
        <v>0</v>
      </c>
      <c r="AZ55" s="141">
        <v>1</v>
      </c>
      <c r="BA55" s="175">
        <f>'LCFS Table'!$AR55*1.5</f>
        <v>0.65400000000000003</v>
      </c>
      <c r="BB55" s="175">
        <v>1.2</v>
      </c>
      <c r="BC55" s="175">
        <f>'LCFS Table'!$AS55*'LCFS Table'!$BW55</f>
        <v>1.8132720272019867</v>
      </c>
      <c r="BD55" s="175">
        <f>'LCFS Table'!$AT55*'LCFS Table'!$BX55</f>
        <v>0</v>
      </c>
      <c r="BE55" s="175">
        <f>'LCFS Table'!$AU55*'LCFS Table'!$BY55</f>
        <v>1</v>
      </c>
      <c r="BF55" s="175">
        <f>'LCFS Table'!$AV55*'LCFS Table'!$BZ55</f>
        <v>0.74119999999999997</v>
      </c>
      <c r="BG55" s="175">
        <f>'LCFS Table'!$AW55*'LCFS Table'!$CA55</f>
        <v>0</v>
      </c>
      <c r="BH55" s="175">
        <f>'LCFS Table'!$AX55*'LCFS Table'!$CB55</f>
        <v>1.2482857741635001</v>
      </c>
      <c r="BI55" s="175">
        <f>'LCFS Table'!$AY55*'LCFS Table'!$CC55</f>
        <v>0</v>
      </c>
      <c r="BJ55" s="175">
        <f>'LCFS Table'!$AZ55*'LCFS Table'!$CD55</f>
        <v>1</v>
      </c>
      <c r="BK55" s="175">
        <f>'LCFS Table'!$BA55*'LCFS Table'!$CE55</f>
        <v>0.65400000000000003</v>
      </c>
      <c r="BL55" s="175">
        <f>'LCFS Table'!$BB55*'LCFS Table'!$CF55</f>
        <v>-1.2</v>
      </c>
      <c r="BM55" s="175">
        <f>'LCFS Table'!$AS55*'LCFS Table'!$CG55</f>
        <v>0</v>
      </c>
      <c r="BN55" s="175">
        <f>'LCFS Table'!$AT55*'LCFS Table'!$CH55</f>
        <v>0.16</v>
      </c>
      <c r="BO55" s="175">
        <f>'LCFS Table'!$AU55*'LCFS Table'!$CI55</f>
        <v>0</v>
      </c>
      <c r="BP55" s="175">
        <f>'LCFS Table'!$AV55*'LCFS Table'!$CJ55</f>
        <v>0</v>
      </c>
      <c r="BQ55" s="175">
        <f>'LCFS Table'!$AW55*'LCFS Table'!$CK55</f>
        <v>0</v>
      </c>
      <c r="BR55" s="175">
        <f>'LCFS Table'!$AX55*'LCFS Table'!$CL55</f>
        <v>0</v>
      </c>
      <c r="BS55" s="175">
        <f>'LCFS Table'!$AY55*'LCFS Table'!$CM55</f>
        <v>0</v>
      </c>
      <c r="BT55" s="175">
        <f>'LCFS Table'!$AZ55*'LCFS Table'!$CN55</f>
        <v>0</v>
      </c>
      <c r="BU55" s="175">
        <f>'LCFS Table'!$BA55*'LCFS Table'!$CO55</f>
        <v>0</v>
      </c>
      <c r="BV55" s="175">
        <f>'LCFS Table'!$BB55*'LCFS Table'!$CP55</f>
        <v>1.2</v>
      </c>
      <c r="BW55" s="176">
        <v>1</v>
      </c>
      <c r="BX55" s="176">
        <v>0</v>
      </c>
      <c r="BY55" s="176">
        <v>1</v>
      </c>
      <c r="BZ55" s="176">
        <v>1</v>
      </c>
      <c r="CA55" s="176">
        <v>-1</v>
      </c>
      <c r="CB55" s="176">
        <v>1</v>
      </c>
      <c r="CC55" s="176">
        <v>0</v>
      </c>
      <c r="CD55" s="176">
        <v>1</v>
      </c>
      <c r="CE55" s="176">
        <v>1</v>
      </c>
      <c r="CF55" s="176">
        <v>-1</v>
      </c>
      <c r="CG55" s="176">
        <f>1-'LCFS Table'!$BW55</f>
        <v>0</v>
      </c>
      <c r="CH55" s="176">
        <f>1-'LCFS Table'!$BX55</f>
        <v>1</v>
      </c>
      <c r="CI55" s="176">
        <f>1-'LCFS Table'!$BY55</f>
        <v>0</v>
      </c>
      <c r="CJ55" s="176">
        <f>1-'LCFS Table'!$BZ55</f>
        <v>0</v>
      </c>
      <c r="CK55" s="176">
        <f>-'LCFS Table'!$CA55</f>
        <v>1</v>
      </c>
      <c r="CL55" s="176">
        <f>1-'LCFS Table'!$CB55</f>
        <v>0</v>
      </c>
      <c r="CM55" s="176">
        <f>1-'LCFS Table'!$CC55</f>
        <v>1</v>
      </c>
      <c r="CN55" s="176">
        <f>1-'LCFS Table'!$CD55</f>
        <v>0</v>
      </c>
      <c r="CO55" s="176">
        <f>1-'LCFS Table'!$CE55</f>
        <v>0</v>
      </c>
      <c r="CP55" s="176">
        <f>-'LCFS Table'!$CF55</f>
        <v>1</v>
      </c>
      <c r="CQ55" s="140">
        <v>7</v>
      </c>
      <c r="CR55" s="178">
        <f>('LCFS Table'!$CQ55*0.9/(0.8/0.99)/100)</f>
        <v>7.796249999999999E-2</v>
      </c>
      <c r="CS55" s="176"/>
      <c r="CT55" s="179"/>
      <c r="CW55" s="181">
        <f>'LCFS Table'!$K55-'LCFS Table'!$M55</f>
        <v>1.4966857741634998</v>
      </c>
      <c r="CX55" s="180">
        <f>MONTH('LCFS Table'!$B55)</f>
        <v>1</v>
      </c>
      <c r="CY55" s="180">
        <f>YEAR('LCFS Table'!$B55)</f>
        <v>2020</v>
      </c>
    </row>
    <row r="56" spans="1:103">
      <c r="A56" s="148">
        <v>43835</v>
      </c>
      <c r="B56" s="149">
        <v>43841</v>
      </c>
      <c r="C56" s="132">
        <f t="shared" si="0"/>
        <v>2020</v>
      </c>
      <c r="D56" s="182" t="s">
        <v>258</v>
      </c>
      <c r="E56" s="183">
        <f>'LCFS Table'!$K56-'LCFS Table'!$I56</f>
        <v>-0.79541345431789767</v>
      </c>
      <c r="F56" s="183">
        <f>('LCFS Table'!$M56)-'LCFS Table'!$J56</f>
        <v>-2.8455814625349998</v>
      </c>
      <c r="G56" s="184">
        <f>'LCFS Table'!$E56+'LCFS Table'!$AS56+'LCFS Table'!$AT56+'LCFS Table'!$AU56+'LCFS Table'!$AV56</f>
        <v>2.8355916334381046</v>
      </c>
      <c r="H56" s="184">
        <f>'LCFS Table'!$F56+'LCFS Table'!$AX56+'LCFS Table'!$AY56+'LCFS Table'!$AZ56+'LCFS Table'!$BA56+('LCFS Table'!$CQ56*0.9/(0.8/0.99)/100)+(DG56*'LCFS Table'!$AF56)+(DF56*'LCFS Table'!$AG56)</f>
        <v>5.5208671875000032E-2</v>
      </c>
      <c r="I56" s="183">
        <f>('LCFS Table'!$V56+'LCFS Table'!$W56+'LCFS Table'!$X56)/100+(('LCFS Table'!$AI56+'LCFS Table'!$AJ56)/340)</f>
        <v>2.7860134543178976</v>
      </c>
      <c r="J56" s="183">
        <f>(('LCFS Table'!$Y56+'LCFS Table'!$Z56)/100)+(('LCFS Table'!$AM56+'LCFS Table'!$AN56)/300)</f>
        <v>3.4588675781250005</v>
      </c>
      <c r="K56" s="140">
        <f>'[1]Fuel Values'!$C55</f>
        <v>1.9905999999999999</v>
      </c>
      <c r="L56" s="140">
        <f>'[1]Fuel Values'!$B55</f>
        <v>343.5</v>
      </c>
      <c r="M56" s="185">
        <f>('LCFS Table'!$L56/100)-'LCFS Table'!$AX56-'LCFS Table'!$AY56-'LCFS Table'!$AZ56-'LCFS Table'!$BA56</f>
        <v>0.61328611559000046</v>
      </c>
      <c r="N56" s="140">
        <f>[1]BFT!$B55</f>
        <v>28</v>
      </c>
      <c r="O56" s="140">
        <f>[1]UCO!$B55</f>
        <v>26.5</v>
      </c>
      <c r="P56" s="140">
        <f>[1]DCO!$B55</f>
        <v>24.05</v>
      </c>
      <c r="Q56" s="140">
        <f>'[1]Soybean Oil'!$B55</f>
        <v>37.508000000000003</v>
      </c>
      <c r="R56" s="140">
        <f>'[1]Yellow Grease'!$B55</f>
        <v>21.1</v>
      </c>
      <c r="S56" s="185">
        <f>'LCFS Table'!$N56 + 'LCFS Table'!$AH56</f>
        <v>32.375</v>
      </c>
      <c r="T56" s="185">
        <f>'LCFS Table'!$Q56+'LCFS Table'!$AH56</f>
        <v>41.883000000000003</v>
      </c>
      <c r="U56" s="185">
        <f>'LCFS Table'!$P56+'LCFS Table'!$AH56</f>
        <v>28.425000000000001</v>
      </c>
      <c r="V56" s="185">
        <f>(('LCFS Table'!$S56/'LCFS Table'!$AA56)*'LCFS Table'!$AC56)*6.48</f>
        <v>111.59042553191492</v>
      </c>
      <c r="W56" s="185">
        <f>(('LCFS Table'!$O56/'LCFS Table'!$AA56)*'LCFS Table'!$AD56)*6.48</f>
        <v>45.670212765957451</v>
      </c>
      <c r="X56" s="185">
        <f>(('LCFS Table'!$U56/'LCFS Table'!$AA56)*'LCFS Table'!$AE56)*6.48</f>
        <v>48.987765957446818</v>
      </c>
      <c r="Y56" s="185">
        <f>(('LCFS Table'!$T56/'LCFS Table'!$AB56)*'LCFS Table'!$AF56)*7.35</f>
        <v>240.50003906250001</v>
      </c>
      <c r="Z56" s="185">
        <f>(('LCFS Table'!$R56/'LCFS Table'!$AB56)*'LCFS Table'!$AG56)*7.35</f>
        <v>40.38671875</v>
      </c>
      <c r="AA56" s="138">
        <v>0.94</v>
      </c>
      <c r="AB56" s="138">
        <v>0.96</v>
      </c>
      <c r="AC56" s="138">
        <v>0.5</v>
      </c>
      <c r="AD56" s="138">
        <v>0.25</v>
      </c>
      <c r="AE56" s="138">
        <v>0.25</v>
      </c>
      <c r="AF56" s="138">
        <v>0.75</v>
      </c>
      <c r="AG56" s="138">
        <v>0.25</v>
      </c>
      <c r="AH56" s="139">
        <v>4.375</v>
      </c>
      <c r="AI56" s="139">
        <v>136</v>
      </c>
      <c r="AJ56" s="139">
        <v>110</v>
      </c>
      <c r="AK56" s="186">
        <f>('LCFS Table'!$AI56/340)*100</f>
        <v>40</v>
      </c>
      <c r="AL56" s="186">
        <f>('LCFS Table'!$AJ56/340)*100</f>
        <v>32.352941176470587</v>
      </c>
      <c r="AM56" s="139">
        <v>105</v>
      </c>
      <c r="AN56" s="139">
        <v>90</v>
      </c>
      <c r="AO56" s="139">
        <f>('LCFS Table'!$AM56/300)*100</f>
        <v>35</v>
      </c>
      <c r="AP56" s="139">
        <f>('LCFS Table'!$AN56/300)*100</f>
        <v>30</v>
      </c>
      <c r="AQ56" s="140">
        <v>208.4</v>
      </c>
      <c r="AR56" s="140">
        <v>0.39450000000000002</v>
      </c>
      <c r="AS56" s="185">
        <v>1.8003550877560019</v>
      </c>
      <c r="AT56" s="137">
        <v>0.16</v>
      </c>
      <c r="AU56" s="137">
        <v>1</v>
      </c>
      <c r="AV56" s="185">
        <f>'LCFS Table'!$AR56*1.7</f>
        <v>0.67064999999999997</v>
      </c>
      <c r="AW56" s="137">
        <v>0</v>
      </c>
      <c r="AX56" s="185">
        <v>1.2299638844099998</v>
      </c>
      <c r="AY56" s="137">
        <v>0</v>
      </c>
      <c r="AZ56" s="141">
        <v>1</v>
      </c>
      <c r="BA56" s="185">
        <f>'LCFS Table'!$AR56*1.5</f>
        <v>0.59175</v>
      </c>
      <c r="BB56" s="142">
        <v>1.2</v>
      </c>
      <c r="BC56" s="185">
        <f>'LCFS Table'!$AS56*'LCFS Table'!$BW56</f>
        <v>1.8003550877560019</v>
      </c>
      <c r="BD56" s="185">
        <f>'LCFS Table'!$AT56*'LCFS Table'!$BX56</f>
        <v>0</v>
      </c>
      <c r="BE56" s="185">
        <f>'LCFS Table'!$AU56*'LCFS Table'!$BY56</f>
        <v>1</v>
      </c>
      <c r="BF56" s="137">
        <f>'LCFS Table'!$AV56*'LCFS Table'!$BZ56</f>
        <v>0.67064999999999997</v>
      </c>
      <c r="BG56" s="137">
        <f>'LCFS Table'!$AW56*'LCFS Table'!$CA56</f>
        <v>0</v>
      </c>
      <c r="BH56" s="137">
        <f>'LCFS Table'!$AX56*'LCFS Table'!$CB56</f>
        <v>1.2299638844099998</v>
      </c>
      <c r="BI56" s="137">
        <f>'LCFS Table'!$AY56*'LCFS Table'!$CC56</f>
        <v>0</v>
      </c>
      <c r="BJ56" s="137">
        <f>'LCFS Table'!$AZ56*'LCFS Table'!$CD56</f>
        <v>1</v>
      </c>
      <c r="BK56" s="137">
        <f>'LCFS Table'!$BA56*'LCFS Table'!$CE56</f>
        <v>0.59175</v>
      </c>
      <c r="BL56" s="137">
        <f>'LCFS Table'!$BB56*'LCFS Table'!$CF56</f>
        <v>-1.2</v>
      </c>
      <c r="BM56" s="137">
        <f>'LCFS Table'!$AS56*'LCFS Table'!$CG56</f>
        <v>0</v>
      </c>
      <c r="BN56" s="137">
        <f>'LCFS Table'!$AT56*'LCFS Table'!$CH56</f>
        <v>0.16</v>
      </c>
      <c r="BO56" s="137">
        <f>'LCFS Table'!$AU56*'LCFS Table'!$CI56</f>
        <v>0</v>
      </c>
      <c r="BP56" s="137">
        <f>'LCFS Table'!$AV56*'LCFS Table'!$CJ56</f>
        <v>0</v>
      </c>
      <c r="BQ56" s="137">
        <f>'LCFS Table'!$AW56*'LCFS Table'!$CK56</f>
        <v>0</v>
      </c>
      <c r="BR56" s="137">
        <f>'LCFS Table'!$AX56*'LCFS Table'!$CL56</f>
        <v>0</v>
      </c>
      <c r="BS56" s="137">
        <f>'LCFS Table'!$AY56*'LCFS Table'!$CM56</f>
        <v>0</v>
      </c>
      <c r="BT56" s="137">
        <f>'LCFS Table'!$AZ56*'LCFS Table'!$CN56</f>
        <v>0</v>
      </c>
      <c r="BU56" s="137">
        <f>'LCFS Table'!$BA56*'LCFS Table'!$CO56</f>
        <v>0</v>
      </c>
      <c r="BV56" s="142">
        <f>'LCFS Table'!$BB56*'LCFS Table'!$CP56</f>
        <v>1.2</v>
      </c>
      <c r="BW56" s="138">
        <v>1</v>
      </c>
      <c r="BX56" s="138">
        <v>0</v>
      </c>
      <c r="BY56" s="138">
        <v>1</v>
      </c>
      <c r="BZ56" s="138">
        <v>1</v>
      </c>
      <c r="CA56" s="138">
        <v>-1</v>
      </c>
      <c r="CB56" s="138">
        <v>1</v>
      </c>
      <c r="CC56" s="138">
        <v>0</v>
      </c>
      <c r="CD56" s="138">
        <v>1</v>
      </c>
      <c r="CE56" s="138">
        <v>1</v>
      </c>
      <c r="CF56" s="138">
        <v>-1</v>
      </c>
      <c r="CG56" s="138">
        <f>1-'LCFS Table'!$BW56</f>
        <v>0</v>
      </c>
      <c r="CH56" s="138">
        <f>1-'LCFS Table'!$BX56</f>
        <v>1</v>
      </c>
      <c r="CI56" s="138">
        <f>1-'LCFS Table'!$BY56</f>
        <v>0</v>
      </c>
      <c r="CJ56" s="138">
        <f>1-'LCFS Table'!$BZ56</f>
        <v>0</v>
      </c>
      <c r="CK56" s="138">
        <f>-'LCFS Table'!$CA56</f>
        <v>1</v>
      </c>
      <c r="CL56" s="138">
        <f>1-'LCFS Table'!$CB56</f>
        <v>0</v>
      </c>
      <c r="CM56" s="138">
        <f>1-'LCFS Table'!$CC56</f>
        <v>1</v>
      </c>
      <c r="CN56" s="138">
        <f>1-'LCFS Table'!$CD56</f>
        <v>0</v>
      </c>
      <c r="CO56" s="138">
        <f>1-'LCFS Table'!$CE56</f>
        <v>0</v>
      </c>
      <c r="CP56" s="138">
        <f>-'LCFS Table'!$CF56</f>
        <v>1</v>
      </c>
      <c r="CQ56" s="140">
        <v>7.1</v>
      </c>
      <c r="CR56" s="165">
        <f>('LCFS Table'!$CQ56*0.9/(0.8/0.99)/100)</f>
        <v>7.9076249999999987E-2</v>
      </c>
      <c r="CS56" s="166"/>
      <c r="CT56" s="167"/>
      <c r="CW56" s="168">
        <f>'LCFS Table'!$K56-'LCFS Table'!$M56</f>
        <v>1.3773138844099995</v>
      </c>
      <c r="CX56" s="129">
        <f>MONTH('LCFS Table'!$B56)</f>
        <v>1</v>
      </c>
      <c r="CY56" s="129">
        <f>YEAR('LCFS Table'!$B56)</f>
        <v>2020</v>
      </c>
    </row>
    <row r="57" spans="1:103">
      <c r="A57" s="148">
        <v>43842</v>
      </c>
      <c r="B57" s="149">
        <v>43848</v>
      </c>
      <c r="C57" s="132">
        <f t="shared" si="0"/>
        <v>2020</v>
      </c>
      <c r="D57" s="150" t="s">
        <v>259</v>
      </c>
      <c r="E57" s="187">
        <f>'LCFS Table'!$K57-'LCFS Table'!$I57</f>
        <v>-1.0164134543178978</v>
      </c>
      <c r="F57" s="187">
        <f>('LCFS Table'!$M57)-'LCFS Table'!$J57</f>
        <v>-2.8120260980387495</v>
      </c>
      <c r="G57" s="188">
        <f>'LCFS Table'!$E57+'LCFS Table'!$AS57+'LCFS Table'!$AT57+'LCFS Table'!$AU57+'LCFS Table'!$AV57</f>
        <v>2.6144653543530536</v>
      </c>
      <c r="H57" s="188">
        <f>'LCFS Table'!$F57+'LCFS Table'!$AX57+'LCFS Table'!$AY57+'LCFS Table'!$AZ57+'LCFS Table'!$BA57+('LCFS Table'!$CQ57*0.9/(0.8/0.99)/100)+(DG57*'LCFS Table'!$AF57)+(DF57*'LCFS Table'!$AG57)</f>
        <v>8.606695312500047E-2</v>
      </c>
      <c r="I57" s="187">
        <f>('LCFS Table'!$V57+'LCFS Table'!$W57+'LCFS Table'!$X57)/100+(('LCFS Table'!$AI57+'LCFS Table'!$AJ57)/340)</f>
        <v>2.9075134543178978</v>
      </c>
      <c r="J57" s="187">
        <f>(('LCFS Table'!$Y57+'LCFS Table'!$Z57)/100)+(('LCFS Table'!$AM57+'LCFS Table'!$AN57)/300)</f>
        <v>3.4291230468749996</v>
      </c>
      <c r="K57" s="140">
        <f>'[1]Fuel Values'!$C56</f>
        <v>1.8911</v>
      </c>
      <c r="L57" s="140">
        <f>'[1]Fuel Values'!$B56</f>
        <v>343.5</v>
      </c>
      <c r="M57" s="185">
        <f>('LCFS Table'!$L57/100)-'LCFS Table'!$AX57-'LCFS Table'!$AY57-'LCFS Table'!$AZ57-'LCFS Table'!$BA57</f>
        <v>0.6170969488362501</v>
      </c>
      <c r="N57" s="140">
        <f>[1]BFT!$B56</f>
        <v>31</v>
      </c>
      <c r="O57" s="140">
        <f>[1]UCO!$B56</f>
        <v>26.5</v>
      </c>
      <c r="P57" s="140">
        <f>[1]DCO!$B56</f>
        <v>25.1</v>
      </c>
      <c r="Q57" s="140">
        <f>'[1]Soybean Oil'!$B56</f>
        <v>36.49</v>
      </c>
      <c r="R57" s="140">
        <f>'[1]Yellow Grease'!$B56</f>
        <v>22.6</v>
      </c>
      <c r="S57" s="185">
        <f>'LCFS Table'!$N57 + 'LCFS Table'!$AH57</f>
        <v>35.375</v>
      </c>
      <c r="T57" s="185">
        <f>'LCFS Table'!$Q57+'LCFS Table'!$AH57</f>
        <v>40.865000000000002</v>
      </c>
      <c r="U57" s="185">
        <f>'LCFS Table'!$P57+'LCFS Table'!$AH57</f>
        <v>29.475000000000001</v>
      </c>
      <c r="V57" s="185">
        <f>(('LCFS Table'!$S57/'LCFS Table'!$AA57)*'LCFS Table'!$AC57)*6.48</f>
        <v>121.93085106382981</v>
      </c>
      <c r="W57" s="185">
        <f>(('LCFS Table'!$O57/'LCFS Table'!$AA57)*'LCFS Table'!$AD57)*6.48</f>
        <v>45.670212765957451</v>
      </c>
      <c r="X57" s="185">
        <f>(('LCFS Table'!$U57/'LCFS Table'!$AA57)*'LCFS Table'!$AE57)*6.48</f>
        <v>50.797340425531921</v>
      </c>
      <c r="Y57" s="185">
        <f>(('LCFS Table'!$T57/'LCFS Table'!$AB57)*'LCFS Table'!$AF57)*7.35</f>
        <v>234.65449218749998</v>
      </c>
      <c r="Z57" s="185">
        <f>(('LCFS Table'!$R57/'LCFS Table'!$AB57)*'LCFS Table'!$AG57)*7.35</f>
        <v>43.2578125</v>
      </c>
      <c r="AA57" s="138">
        <v>0.94</v>
      </c>
      <c r="AB57" s="138">
        <v>0.96</v>
      </c>
      <c r="AC57" s="138">
        <v>0.5</v>
      </c>
      <c r="AD57" s="138">
        <v>0.25</v>
      </c>
      <c r="AE57" s="138">
        <v>0.25</v>
      </c>
      <c r="AF57" s="138">
        <v>0.75</v>
      </c>
      <c r="AG57" s="138">
        <v>0.25</v>
      </c>
      <c r="AH57" s="139">
        <v>4.375</v>
      </c>
      <c r="AI57" s="139">
        <v>136</v>
      </c>
      <c r="AJ57" s="139">
        <v>110</v>
      </c>
      <c r="AK57" s="186">
        <f>('LCFS Table'!$AI57/340)*100</f>
        <v>40</v>
      </c>
      <c r="AL57" s="186">
        <f>('LCFS Table'!$AJ57/340)*100</f>
        <v>32.352941176470587</v>
      </c>
      <c r="AM57" s="139">
        <v>105</v>
      </c>
      <c r="AN57" s="139">
        <v>90</v>
      </c>
      <c r="AO57" s="139">
        <f>('LCFS Table'!$AM57/300)*100</f>
        <v>35</v>
      </c>
      <c r="AP57" s="139">
        <f>('LCFS Table'!$AN57/300)*100</f>
        <v>30</v>
      </c>
      <c r="AQ57" s="140">
        <v>210.55</v>
      </c>
      <c r="AR57" s="140">
        <v>0.38350000000000001</v>
      </c>
      <c r="AS57" s="185">
        <v>1.8189288086709512</v>
      </c>
      <c r="AT57" s="137">
        <v>0.16</v>
      </c>
      <c r="AU57" s="137">
        <v>1</v>
      </c>
      <c r="AV57" s="185">
        <f>'LCFS Table'!$AR57*1.7</f>
        <v>0.65195000000000003</v>
      </c>
      <c r="AW57" s="137">
        <v>0</v>
      </c>
      <c r="AX57" s="185">
        <v>1.2426530511637499</v>
      </c>
      <c r="AY57" s="137">
        <v>0</v>
      </c>
      <c r="AZ57" s="141">
        <v>1</v>
      </c>
      <c r="BA57" s="185">
        <f>'LCFS Table'!$AR57*1.5</f>
        <v>0.57525000000000004</v>
      </c>
      <c r="BB57" s="142">
        <v>1.2</v>
      </c>
      <c r="BC57" s="185">
        <f>'LCFS Table'!$AS57*'LCFS Table'!$BW57</f>
        <v>1.8189288086709512</v>
      </c>
      <c r="BD57" s="185">
        <f>'LCFS Table'!$AT57*'LCFS Table'!$BX57</f>
        <v>0</v>
      </c>
      <c r="BE57" s="185">
        <f>'LCFS Table'!$AU57*'LCFS Table'!$BY57</f>
        <v>1</v>
      </c>
      <c r="BF57" s="137">
        <f>'LCFS Table'!$AV57*'LCFS Table'!$BZ57</f>
        <v>0.65195000000000003</v>
      </c>
      <c r="BG57" s="137">
        <f>'LCFS Table'!$AW57*'LCFS Table'!$CA57</f>
        <v>0</v>
      </c>
      <c r="BH57" s="137">
        <f>'LCFS Table'!$AX57*'LCFS Table'!$CB57</f>
        <v>1.2426530511637499</v>
      </c>
      <c r="BI57" s="137">
        <f>'LCFS Table'!$AY57*'LCFS Table'!$CC57</f>
        <v>0</v>
      </c>
      <c r="BJ57" s="137">
        <f>'LCFS Table'!$AZ57*'LCFS Table'!$CD57</f>
        <v>1</v>
      </c>
      <c r="BK57" s="137">
        <f>'LCFS Table'!$BA57*'LCFS Table'!$CE57</f>
        <v>0.57525000000000004</v>
      </c>
      <c r="BL57" s="137">
        <f>'LCFS Table'!$BB57*'LCFS Table'!$CF57</f>
        <v>-1.2</v>
      </c>
      <c r="BM57" s="137">
        <f>'LCFS Table'!$AS57*'LCFS Table'!$CG57</f>
        <v>0</v>
      </c>
      <c r="BN57" s="137">
        <f>'LCFS Table'!$AT57*'LCFS Table'!$CH57</f>
        <v>0.16</v>
      </c>
      <c r="BO57" s="137">
        <f>'LCFS Table'!$AU57*'LCFS Table'!$CI57</f>
        <v>0</v>
      </c>
      <c r="BP57" s="137">
        <f>'LCFS Table'!$AV57*'LCFS Table'!$CJ57</f>
        <v>0</v>
      </c>
      <c r="BQ57" s="137">
        <f>'LCFS Table'!$AW57*'LCFS Table'!$CK57</f>
        <v>0</v>
      </c>
      <c r="BR57" s="137">
        <f>'LCFS Table'!$AX57*'LCFS Table'!$CL57</f>
        <v>0</v>
      </c>
      <c r="BS57" s="137">
        <f>'LCFS Table'!$AY57*'LCFS Table'!$CM57</f>
        <v>0</v>
      </c>
      <c r="BT57" s="137">
        <f>'LCFS Table'!$AZ57*'LCFS Table'!$CN57</f>
        <v>0</v>
      </c>
      <c r="BU57" s="137">
        <f>'LCFS Table'!$BA57*'LCFS Table'!$CO57</f>
        <v>0</v>
      </c>
      <c r="BV57" s="142">
        <f>'LCFS Table'!$BB57*'LCFS Table'!$CP57</f>
        <v>1.2</v>
      </c>
      <c r="BW57" s="138">
        <v>1</v>
      </c>
      <c r="BX57" s="138">
        <v>0</v>
      </c>
      <c r="BY57" s="138">
        <v>1</v>
      </c>
      <c r="BZ57" s="138">
        <v>1</v>
      </c>
      <c r="CA57" s="138">
        <v>-1</v>
      </c>
      <c r="CB57" s="138">
        <v>1</v>
      </c>
      <c r="CC57" s="138">
        <v>0</v>
      </c>
      <c r="CD57" s="138">
        <v>1</v>
      </c>
      <c r="CE57" s="138">
        <v>1</v>
      </c>
      <c r="CF57" s="138">
        <v>-1</v>
      </c>
      <c r="CG57" s="138">
        <f>1-'LCFS Table'!$BW57</f>
        <v>0</v>
      </c>
      <c r="CH57" s="138">
        <f>1-'LCFS Table'!$BX57</f>
        <v>1</v>
      </c>
      <c r="CI57" s="138">
        <f>1-'LCFS Table'!$BY57</f>
        <v>0</v>
      </c>
      <c r="CJ57" s="138">
        <f>1-'LCFS Table'!$BZ57</f>
        <v>0</v>
      </c>
      <c r="CK57" s="138">
        <f>-'LCFS Table'!$CA57</f>
        <v>1</v>
      </c>
      <c r="CL57" s="138">
        <f>1-'LCFS Table'!$CB57</f>
        <v>0</v>
      </c>
      <c r="CM57" s="138">
        <f>1-'LCFS Table'!$CC57</f>
        <v>1</v>
      </c>
      <c r="CN57" s="138">
        <f>1-'LCFS Table'!$CD57</f>
        <v>0</v>
      </c>
      <c r="CO57" s="138">
        <f>1-'LCFS Table'!$CE57</f>
        <v>0</v>
      </c>
      <c r="CP57" s="138">
        <f>-'LCFS Table'!$CF57</f>
        <v>1</v>
      </c>
      <c r="CQ57" s="140">
        <v>7.2</v>
      </c>
      <c r="CR57" s="165">
        <f>('LCFS Table'!$CQ57*0.9/(0.8/0.99)/100)</f>
        <v>8.0189999999999997E-2</v>
      </c>
      <c r="CS57" s="166"/>
      <c r="CT57" s="167"/>
      <c r="CW57" s="168">
        <f>'LCFS Table'!$K57-'LCFS Table'!$M57</f>
        <v>1.2740030511637499</v>
      </c>
      <c r="CX57" s="129">
        <f>MONTH('LCFS Table'!$B57)</f>
        <v>1</v>
      </c>
      <c r="CY57" s="129">
        <f>YEAR('LCFS Table'!$B57)</f>
        <v>2020</v>
      </c>
    </row>
    <row r="58" spans="1:103">
      <c r="A58" s="148">
        <v>43849</v>
      </c>
      <c r="B58" s="149">
        <v>43855</v>
      </c>
      <c r="C58" s="132">
        <f t="shared" si="0"/>
        <v>2020</v>
      </c>
      <c r="D58" s="182" t="s">
        <v>260</v>
      </c>
      <c r="E58" s="187">
        <f>'LCFS Table'!$K58-'LCFS Table'!$I58</f>
        <v>-1.1209953692115147</v>
      </c>
      <c r="F58" s="187">
        <f>('LCFS Table'!$M58)-'LCFS Table'!$J58</f>
        <v>-2.8086656967908747</v>
      </c>
      <c r="G58" s="188">
        <f>'LCFS Table'!$E58+'LCFS Table'!$AS58+'LCFS Table'!$AT58+'LCFS Table'!$AU58+'LCFS Table'!$AV58</f>
        <v>2.5653373112650892</v>
      </c>
      <c r="H58" s="188">
        <f>'LCFS Table'!$F58+'LCFS Table'!$AX58+'LCFS Table'!$AY58+'LCFS Table'!$AZ58+'LCFS Table'!$BA58+('LCFS Table'!$CQ58*0.9/(0.8/0.99)/100)+(DG58*'LCFS Table'!$AF58)+(DF58*'LCFS Table'!$AG58)</f>
        <v>0.13146910156249997</v>
      </c>
      <c r="I58" s="187">
        <f>('LCFS Table'!$V58+'LCFS Table'!$W58+'LCFS Table'!$X58)/100+(('LCFS Table'!$AI58+'LCFS Table'!$AJ58)/340)</f>
        <v>2.9337953692115146</v>
      </c>
      <c r="J58" s="187">
        <f>(('LCFS Table'!$Y58+'LCFS Table'!$Z58)/100)+(('LCFS Table'!$AM58+'LCFS Table'!$AN58)/300)</f>
        <v>3.3809365234375002</v>
      </c>
      <c r="K58" s="140">
        <f>'[1]Fuel Values'!$C57</f>
        <v>1.8128</v>
      </c>
      <c r="L58" s="140">
        <f>'[1]Fuel Values'!$B57</f>
        <v>343.5</v>
      </c>
      <c r="M58" s="185">
        <f>('LCFS Table'!$L58/100)-'LCFS Table'!$AX58-'LCFS Table'!$AY58-'LCFS Table'!$AZ58-'LCFS Table'!$BA58</f>
        <v>0.57227082664662532</v>
      </c>
      <c r="N58" s="140">
        <f>[1]BFT!$B57</f>
        <v>31.5</v>
      </c>
      <c r="O58" s="140">
        <f>[1]UCO!$B57</f>
        <v>26.5</v>
      </c>
      <c r="P58" s="140">
        <f>[1]DCO!$B57</f>
        <v>25.625</v>
      </c>
      <c r="Q58" s="140">
        <f>'[1]Soybean Oil'!$B57</f>
        <v>35.517499999999998</v>
      </c>
      <c r="R58" s="140">
        <f>'[1]Yellow Grease'!$B57</f>
        <v>23</v>
      </c>
      <c r="S58" s="185">
        <f>'LCFS Table'!$N58 + 'LCFS Table'!$AH58</f>
        <v>35.875</v>
      </c>
      <c r="T58" s="185">
        <f>'LCFS Table'!$Q58+'LCFS Table'!$AH58</f>
        <v>39.892499999999998</v>
      </c>
      <c r="U58" s="185">
        <f>'LCFS Table'!$P58+'LCFS Table'!$AH58</f>
        <v>30</v>
      </c>
      <c r="V58" s="185">
        <f>(('LCFS Table'!$S58/'LCFS Table'!$AA58)*'LCFS Table'!$AC58)*6.48</f>
        <v>123.65425531914894</v>
      </c>
      <c r="W58" s="185">
        <f>(('LCFS Table'!$O58/'LCFS Table'!$AA58)*'LCFS Table'!$AD58)*6.48</f>
        <v>45.670212765957451</v>
      </c>
      <c r="X58" s="185">
        <f>(('LCFS Table'!$U58/'LCFS Table'!$AA58)*'LCFS Table'!$AE58)*6.48</f>
        <v>51.702127659574472</v>
      </c>
      <c r="Y58" s="185">
        <f>(('LCFS Table'!$T58/'LCFS Table'!$AB58)*'LCFS Table'!$AF58)*7.35</f>
        <v>229.07021484374999</v>
      </c>
      <c r="Z58" s="185">
        <f>(('LCFS Table'!$R58/'LCFS Table'!$AB58)*'LCFS Table'!$AG58)*7.35</f>
        <v>44.0234375</v>
      </c>
      <c r="AA58" s="138">
        <v>0.94</v>
      </c>
      <c r="AB58" s="138">
        <v>0.96</v>
      </c>
      <c r="AC58" s="138">
        <v>0.5</v>
      </c>
      <c r="AD58" s="138">
        <v>0.25</v>
      </c>
      <c r="AE58" s="138">
        <v>0.25</v>
      </c>
      <c r="AF58" s="138">
        <v>0.75</v>
      </c>
      <c r="AG58" s="138">
        <v>0.25</v>
      </c>
      <c r="AH58" s="139">
        <v>4.375</v>
      </c>
      <c r="AI58" s="139">
        <v>136</v>
      </c>
      <c r="AJ58" s="139">
        <v>110</v>
      </c>
      <c r="AK58" s="186">
        <f>('LCFS Table'!$AI58/340)*100</f>
        <v>40</v>
      </c>
      <c r="AL58" s="186">
        <f>('LCFS Table'!$AJ58/340)*100</f>
        <v>32.352941176470587</v>
      </c>
      <c r="AM58" s="139">
        <v>105</v>
      </c>
      <c r="AN58" s="139">
        <v>90</v>
      </c>
      <c r="AO58" s="139">
        <f>('LCFS Table'!$AM58/300)*100</f>
        <v>35</v>
      </c>
      <c r="AP58" s="139">
        <f>('LCFS Table'!$AN58/300)*100</f>
        <v>30</v>
      </c>
      <c r="AQ58" s="140">
        <v>212.935</v>
      </c>
      <c r="AR58" s="140">
        <v>0.40399999999999997</v>
      </c>
      <c r="AS58" s="185">
        <v>1.8395326804766039</v>
      </c>
      <c r="AT58" s="137">
        <v>0.16</v>
      </c>
      <c r="AU58" s="137">
        <v>1</v>
      </c>
      <c r="AV58" s="185">
        <f>'LCFS Table'!$AR58*1.7</f>
        <v>0.68679999999999997</v>
      </c>
      <c r="AW58" s="137">
        <v>0</v>
      </c>
      <c r="AX58" s="185">
        <v>1.2567291733533748</v>
      </c>
      <c r="AY58" s="137">
        <v>0</v>
      </c>
      <c r="AZ58" s="141">
        <v>1</v>
      </c>
      <c r="BA58" s="185">
        <f>'LCFS Table'!$AR58*1.5</f>
        <v>0.60599999999999998</v>
      </c>
      <c r="BB58" s="142">
        <v>1.2</v>
      </c>
      <c r="BC58" s="185">
        <f>'LCFS Table'!$AS58*'LCFS Table'!$BW58</f>
        <v>1.8395326804766039</v>
      </c>
      <c r="BD58" s="185">
        <f>'LCFS Table'!$AT58*'LCFS Table'!$BX58</f>
        <v>0</v>
      </c>
      <c r="BE58" s="185">
        <f>'LCFS Table'!$AU58*'LCFS Table'!$BY58</f>
        <v>1</v>
      </c>
      <c r="BF58" s="137">
        <f>'LCFS Table'!$AV58*'LCFS Table'!$BZ58</f>
        <v>0.68679999999999997</v>
      </c>
      <c r="BG58" s="137">
        <f>'LCFS Table'!$AW58*'LCFS Table'!$CA58</f>
        <v>0</v>
      </c>
      <c r="BH58" s="137">
        <f>'LCFS Table'!$AX58*'LCFS Table'!$CB58</f>
        <v>1.2567291733533748</v>
      </c>
      <c r="BI58" s="137">
        <f>'LCFS Table'!$AY58*'LCFS Table'!$CC58</f>
        <v>0</v>
      </c>
      <c r="BJ58" s="137">
        <f>'LCFS Table'!$AZ58*'LCFS Table'!$CD58</f>
        <v>1</v>
      </c>
      <c r="BK58" s="137">
        <f>'LCFS Table'!$BA58*'LCFS Table'!$CE58</f>
        <v>0.60599999999999998</v>
      </c>
      <c r="BL58" s="137">
        <f>'LCFS Table'!$BB58*'LCFS Table'!$CF58</f>
        <v>-1.2</v>
      </c>
      <c r="BM58" s="137">
        <f>'LCFS Table'!$AS58*'LCFS Table'!$CG58</f>
        <v>0</v>
      </c>
      <c r="BN58" s="137">
        <f>'LCFS Table'!$AT58*'LCFS Table'!$CH58</f>
        <v>0.16</v>
      </c>
      <c r="BO58" s="137">
        <f>'LCFS Table'!$AU58*'LCFS Table'!$CI58</f>
        <v>0</v>
      </c>
      <c r="BP58" s="137">
        <f>'LCFS Table'!$AV58*'LCFS Table'!$CJ58</f>
        <v>0</v>
      </c>
      <c r="BQ58" s="137">
        <f>'LCFS Table'!$AW58*'LCFS Table'!$CK58</f>
        <v>0</v>
      </c>
      <c r="BR58" s="137">
        <f>'LCFS Table'!$AX58*'LCFS Table'!$CL58</f>
        <v>0</v>
      </c>
      <c r="BS58" s="137">
        <f>'LCFS Table'!$AY58*'LCFS Table'!$CM58</f>
        <v>0</v>
      </c>
      <c r="BT58" s="137">
        <f>'LCFS Table'!$AZ58*'LCFS Table'!$CN58</f>
        <v>0</v>
      </c>
      <c r="BU58" s="137">
        <f>'LCFS Table'!$BA58*'LCFS Table'!$CO58</f>
        <v>0</v>
      </c>
      <c r="BV58" s="142">
        <f>'LCFS Table'!$BB58*'LCFS Table'!$CP58</f>
        <v>1.2</v>
      </c>
      <c r="BW58" s="138">
        <v>1</v>
      </c>
      <c r="BX58" s="138">
        <v>0</v>
      </c>
      <c r="BY58" s="138">
        <v>1</v>
      </c>
      <c r="BZ58" s="138">
        <v>1</v>
      </c>
      <c r="CA58" s="138">
        <v>-1</v>
      </c>
      <c r="CB58" s="138">
        <v>1</v>
      </c>
      <c r="CC58" s="138">
        <v>0</v>
      </c>
      <c r="CD58" s="138">
        <v>1</v>
      </c>
      <c r="CE58" s="138">
        <v>1</v>
      </c>
      <c r="CF58" s="138">
        <v>-1</v>
      </c>
      <c r="CG58" s="138">
        <f>1-'LCFS Table'!$BW58</f>
        <v>0</v>
      </c>
      <c r="CH58" s="138">
        <f>1-'LCFS Table'!$BX58</f>
        <v>1</v>
      </c>
      <c r="CI58" s="138">
        <f>1-'LCFS Table'!$BY58</f>
        <v>0</v>
      </c>
      <c r="CJ58" s="138">
        <f>1-'LCFS Table'!$BZ58</f>
        <v>0</v>
      </c>
      <c r="CK58" s="138">
        <f>-'LCFS Table'!$CA58</f>
        <v>1</v>
      </c>
      <c r="CL58" s="138">
        <f>1-'LCFS Table'!$CB58</f>
        <v>0</v>
      </c>
      <c r="CM58" s="138">
        <f>1-'LCFS Table'!$CC58</f>
        <v>1</v>
      </c>
      <c r="CN58" s="138">
        <f>1-'LCFS Table'!$CD58</f>
        <v>0</v>
      </c>
      <c r="CO58" s="138">
        <f>1-'LCFS Table'!$CE58</f>
        <v>0</v>
      </c>
      <c r="CP58" s="138">
        <f>-'LCFS Table'!$CF58</f>
        <v>1</v>
      </c>
      <c r="CQ58" s="140">
        <v>6.95</v>
      </c>
      <c r="CR58" s="165">
        <f>('LCFS Table'!$CQ58*0.9/(0.8/0.99)/100)</f>
        <v>7.7405624999999992E-2</v>
      </c>
      <c r="CS58" s="166"/>
      <c r="CT58" s="167"/>
      <c r="CW58" s="168">
        <f>'LCFS Table'!$K58-'LCFS Table'!$M58</f>
        <v>1.2405291733533748</v>
      </c>
      <c r="CX58" s="129">
        <f>MONTH('LCFS Table'!$B58)</f>
        <v>1</v>
      </c>
      <c r="CY58" s="129">
        <f>YEAR('LCFS Table'!$B58)</f>
        <v>2020</v>
      </c>
    </row>
    <row r="59" spans="1:103">
      <c r="A59" s="148">
        <v>43856</v>
      </c>
      <c r="B59" s="149">
        <v>43862</v>
      </c>
      <c r="C59" s="132">
        <f t="shared" si="0"/>
        <v>2020</v>
      </c>
      <c r="D59" s="150" t="s">
        <v>261</v>
      </c>
      <c r="E59" s="187">
        <f>'LCFS Table'!$K59-'LCFS Table'!$I59</f>
        <v>-1.3382272841051319</v>
      </c>
      <c r="F59" s="187">
        <f>('LCFS Table'!$M59)-'LCFS Table'!$J59</f>
        <v>-2.7917579853799994</v>
      </c>
      <c r="G59" s="188">
        <f>'LCFS Table'!$E59+'LCFS Table'!$AS59+'LCFS Table'!$AT59+'LCFS Table'!$AU59+'LCFS Table'!$AV59</f>
        <v>2.4383615353423136</v>
      </c>
      <c r="H59" s="188">
        <f>'LCFS Table'!$F59+'LCFS Table'!$AX59+'LCFS Table'!$AY59+'LCFS Table'!$AZ59+'LCFS Table'!$BA59+('LCFS Table'!$CQ59*0.9/(0.8/0.99)/100)+(DG59*'LCFS Table'!$AF59)+(DF59*'LCFS Table'!$AG59)</f>
        <v>0.21460039062500047</v>
      </c>
      <c r="I59" s="187">
        <f>('LCFS Table'!$V59+'LCFS Table'!$W59+'LCFS Table'!$X59)/100+(('LCFS Table'!$AI59+'LCFS Table'!$AJ59)/340)</f>
        <v>3.020827284105132</v>
      </c>
      <c r="J59" s="187">
        <f>(('LCFS Table'!$Y59+'LCFS Table'!$Z59)/100)+(('LCFS Table'!$AM59+'LCFS Table'!$AN59)/300)</f>
        <v>3.2900089843749996</v>
      </c>
      <c r="K59" s="140">
        <f>'[1]Fuel Values'!$C58</f>
        <v>1.6826000000000001</v>
      </c>
      <c r="L59" s="140">
        <f>'[1]Fuel Values'!$B58</f>
        <v>343.5</v>
      </c>
      <c r="M59" s="185">
        <f>('LCFS Table'!$L59/100)-'LCFS Table'!$AX59-'LCFS Table'!$AY59-'LCFS Table'!$AZ59-'LCFS Table'!$BA59</f>
        <v>0.49825099899500036</v>
      </c>
      <c r="N59" s="140">
        <f>[1]BFT!$B58</f>
        <v>33.200000000000003</v>
      </c>
      <c r="O59" s="140">
        <f>[1]UCO!$B58</f>
        <v>27.7</v>
      </c>
      <c r="P59" s="140">
        <f>[1]DCO!$B58</f>
        <v>26.074999999999999</v>
      </c>
      <c r="Q59" s="140">
        <f>'[1]Soybean Oil'!$B58</f>
        <v>33.933999999999997</v>
      </c>
      <c r="R59" s="140">
        <f>'[1]Yellow Grease'!$B58</f>
        <v>23</v>
      </c>
      <c r="S59" s="185">
        <f>'LCFS Table'!$N59 + 'LCFS Table'!$AH59</f>
        <v>37.575000000000003</v>
      </c>
      <c r="T59" s="185">
        <f>'LCFS Table'!$Q59+'LCFS Table'!$AH59</f>
        <v>38.308999999999997</v>
      </c>
      <c r="U59" s="185">
        <f>'LCFS Table'!$P59+'LCFS Table'!$AH59</f>
        <v>30.45</v>
      </c>
      <c r="V59" s="185">
        <f>(('LCFS Table'!$S59/'LCFS Table'!$AA59)*'LCFS Table'!$AC59)*6.48</f>
        <v>129.51382978723407</v>
      </c>
      <c r="W59" s="185">
        <f>(('LCFS Table'!$O59/'LCFS Table'!$AA59)*'LCFS Table'!$AD59)*6.48</f>
        <v>47.738297872340432</v>
      </c>
      <c r="X59" s="185">
        <f>(('LCFS Table'!$U59/'LCFS Table'!$AA59)*'LCFS Table'!$AE59)*6.48</f>
        <v>52.477659574468092</v>
      </c>
      <c r="Y59" s="185">
        <f>(('LCFS Table'!$T59/'LCFS Table'!$AB59)*'LCFS Table'!$AF59)*7.35</f>
        <v>219.97746093749998</v>
      </c>
      <c r="Z59" s="185">
        <f>(('LCFS Table'!$R59/'LCFS Table'!$AB59)*'LCFS Table'!$AG59)*7.35</f>
        <v>44.0234375</v>
      </c>
      <c r="AA59" s="138">
        <v>0.94</v>
      </c>
      <c r="AB59" s="138">
        <v>0.96</v>
      </c>
      <c r="AC59" s="138">
        <v>0.5</v>
      </c>
      <c r="AD59" s="138">
        <v>0.25</v>
      </c>
      <c r="AE59" s="138">
        <v>0.25</v>
      </c>
      <c r="AF59" s="138">
        <v>0.75</v>
      </c>
      <c r="AG59" s="138">
        <v>0.25</v>
      </c>
      <c r="AH59" s="139">
        <v>4.375</v>
      </c>
      <c r="AI59" s="139">
        <v>136</v>
      </c>
      <c r="AJ59" s="139">
        <v>110</v>
      </c>
      <c r="AK59" s="186">
        <f>('LCFS Table'!$AI59/340)*100</f>
        <v>40</v>
      </c>
      <c r="AL59" s="186">
        <f>('LCFS Table'!$AJ59/340)*100</f>
        <v>32.352941176470587</v>
      </c>
      <c r="AM59" s="139">
        <v>105</v>
      </c>
      <c r="AN59" s="139">
        <v>90</v>
      </c>
      <c r="AO59" s="139">
        <f>('LCFS Table'!$AM59/300)*100</f>
        <v>35</v>
      </c>
      <c r="AP59" s="139">
        <f>('LCFS Table'!$AN59/300)*100</f>
        <v>30</v>
      </c>
      <c r="AQ59" s="140">
        <v>216.2</v>
      </c>
      <c r="AR59" s="140">
        <v>0.44049999999999995</v>
      </c>
      <c r="AS59" s="185">
        <v>1.8677388194474454</v>
      </c>
      <c r="AT59" s="137">
        <v>0.16</v>
      </c>
      <c r="AU59" s="137">
        <v>1</v>
      </c>
      <c r="AV59" s="185">
        <f>'LCFS Table'!$AR59*1.7</f>
        <v>0.7488499999999999</v>
      </c>
      <c r="AW59" s="137">
        <v>0</v>
      </c>
      <c r="AX59" s="185">
        <v>1.275999001005</v>
      </c>
      <c r="AY59" s="137">
        <v>0</v>
      </c>
      <c r="AZ59" s="141">
        <v>1</v>
      </c>
      <c r="BA59" s="185">
        <f>'LCFS Table'!$AR59*1.5</f>
        <v>0.66074999999999995</v>
      </c>
      <c r="BB59" s="142">
        <v>1.2</v>
      </c>
      <c r="BC59" s="185">
        <f>'LCFS Table'!$AS59*'LCFS Table'!$BW59</f>
        <v>1.8677388194474454</v>
      </c>
      <c r="BD59" s="185">
        <f>'LCFS Table'!$AT59*'LCFS Table'!$BX59</f>
        <v>0</v>
      </c>
      <c r="BE59" s="185">
        <f>'LCFS Table'!$AU59*'LCFS Table'!$BY59</f>
        <v>1</v>
      </c>
      <c r="BF59" s="137">
        <f>'LCFS Table'!$AV59*'LCFS Table'!$BZ59</f>
        <v>0.7488499999999999</v>
      </c>
      <c r="BG59" s="137">
        <f>'LCFS Table'!$AW59*'LCFS Table'!$CA59</f>
        <v>0</v>
      </c>
      <c r="BH59" s="137">
        <f>'LCFS Table'!$AX59*'LCFS Table'!$CB59</f>
        <v>1.275999001005</v>
      </c>
      <c r="BI59" s="137">
        <f>'LCFS Table'!$AY59*'LCFS Table'!$CC59</f>
        <v>0</v>
      </c>
      <c r="BJ59" s="137">
        <f>'LCFS Table'!$AZ59*'LCFS Table'!$CD59</f>
        <v>1</v>
      </c>
      <c r="BK59" s="137">
        <f>'LCFS Table'!$BA59*'LCFS Table'!$CE59</f>
        <v>0.66074999999999995</v>
      </c>
      <c r="BL59" s="137">
        <f>'LCFS Table'!$BB59*'LCFS Table'!$CF59</f>
        <v>-1.2</v>
      </c>
      <c r="BM59" s="137">
        <f>'LCFS Table'!$AS59*'LCFS Table'!$CG59</f>
        <v>0</v>
      </c>
      <c r="BN59" s="137">
        <f>'LCFS Table'!$AT59*'LCFS Table'!$CH59</f>
        <v>0.16</v>
      </c>
      <c r="BO59" s="137">
        <f>'LCFS Table'!$AU59*'LCFS Table'!$CI59</f>
        <v>0</v>
      </c>
      <c r="BP59" s="137">
        <f>'LCFS Table'!$AV59*'LCFS Table'!$CJ59</f>
        <v>0</v>
      </c>
      <c r="BQ59" s="137">
        <f>'LCFS Table'!$AW59*'LCFS Table'!$CK59</f>
        <v>0</v>
      </c>
      <c r="BR59" s="137">
        <f>'LCFS Table'!$AX59*'LCFS Table'!$CL59</f>
        <v>0</v>
      </c>
      <c r="BS59" s="137">
        <f>'LCFS Table'!$AY59*'LCFS Table'!$CM59</f>
        <v>0</v>
      </c>
      <c r="BT59" s="137">
        <f>'LCFS Table'!$AZ59*'LCFS Table'!$CN59</f>
        <v>0</v>
      </c>
      <c r="BU59" s="137">
        <f>'LCFS Table'!$BA59*'LCFS Table'!$CO59</f>
        <v>0</v>
      </c>
      <c r="BV59" s="142">
        <f>'LCFS Table'!$BB59*'LCFS Table'!$CP59</f>
        <v>1.2</v>
      </c>
      <c r="BW59" s="138">
        <v>1</v>
      </c>
      <c r="BX59" s="138">
        <v>0</v>
      </c>
      <c r="BY59" s="138">
        <v>1</v>
      </c>
      <c r="BZ59" s="138">
        <v>1</v>
      </c>
      <c r="CA59" s="138">
        <v>-1</v>
      </c>
      <c r="CB59" s="138">
        <v>1</v>
      </c>
      <c r="CC59" s="138">
        <v>0</v>
      </c>
      <c r="CD59" s="138">
        <v>1</v>
      </c>
      <c r="CE59" s="138">
        <v>1</v>
      </c>
      <c r="CF59" s="138">
        <v>-1</v>
      </c>
      <c r="CG59" s="138">
        <f>1-'LCFS Table'!$BW59</f>
        <v>0</v>
      </c>
      <c r="CH59" s="138">
        <f>1-'LCFS Table'!$BX59</f>
        <v>1</v>
      </c>
      <c r="CI59" s="138">
        <f>1-'LCFS Table'!$BY59</f>
        <v>0</v>
      </c>
      <c r="CJ59" s="138">
        <f>1-'LCFS Table'!$BZ59</f>
        <v>0</v>
      </c>
      <c r="CK59" s="138">
        <f>-'LCFS Table'!$CA59</f>
        <v>1</v>
      </c>
      <c r="CL59" s="138">
        <f>1-'LCFS Table'!$CB59</f>
        <v>0</v>
      </c>
      <c r="CM59" s="138">
        <f>1-'LCFS Table'!$CC59</f>
        <v>1</v>
      </c>
      <c r="CN59" s="138">
        <f>1-'LCFS Table'!$CD59</f>
        <v>0</v>
      </c>
      <c r="CO59" s="138">
        <f>1-'LCFS Table'!$CE59</f>
        <v>0</v>
      </c>
      <c r="CP59" s="138">
        <f>-'LCFS Table'!$CF59</f>
        <v>1</v>
      </c>
      <c r="CQ59" s="140">
        <v>6.25</v>
      </c>
      <c r="CR59" s="165">
        <f>('LCFS Table'!$CQ59*0.9/(0.8/0.99)/100)</f>
        <v>6.9609374999999987E-2</v>
      </c>
      <c r="CS59" s="166"/>
      <c r="CT59" s="167"/>
      <c r="CW59" s="168">
        <f>'LCFS Table'!$K59-'LCFS Table'!$M59</f>
        <v>1.1843490010049997</v>
      </c>
      <c r="CX59" s="129">
        <f>MONTH('LCFS Table'!$B59)</f>
        <v>2</v>
      </c>
      <c r="CY59" s="129">
        <f>YEAR('LCFS Table'!$B59)</f>
        <v>2020</v>
      </c>
    </row>
    <row r="60" spans="1:103">
      <c r="A60" s="148">
        <v>43863</v>
      </c>
      <c r="B60" s="149">
        <v>43869</v>
      </c>
      <c r="C60" s="132">
        <f t="shared" si="0"/>
        <v>2020</v>
      </c>
      <c r="D60" s="182" t="s">
        <v>262</v>
      </c>
      <c r="E60" s="187">
        <f>'LCFS Table'!$K60-'LCFS Table'!$I60</f>
        <v>-1.427696433041302</v>
      </c>
      <c r="F60" s="187">
        <f>('LCFS Table'!$M60)-'LCFS Table'!$J60</f>
        <v>-2.8278545452549997</v>
      </c>
      <c r="G60" s="188">
        <f>'LCFS Table'!$E60+'LCFS Table'!$AS60+'LCFS Table'!$AT60+'LCFS Table'!$AU60+'LCFS Table'!$AV60</f>
        <v>2.3685976866039358</v>
      </c>
      <c r="H60" s="188">
        <f>'LCFS Table'!$F60+'LCFS Table'!$AX60+'LCFS Table'!$AY60+'LCFS Table'!$AZ60+'LCFS Table'!$BA60+('LCFS Table'!$CQ60*0.9/(0.8/0.99)/100)+(DG60*'LCFS Table'!$AF60)+(DF60*'LCFS Table'!$AG60)</f>
        <v>0.20449414062499993</v>
      </c>
      <c r="I60" s="187">
        <f>('LCFS Table'!$V60+'LCFS Table'!$W60+'LCFS Table'!$X60)/100+(('LCFS Table'!$AI60+'LCFS Table'!$AJ60)/340)</f>
        <v>3.060896433041302</v>
      </c>
      <c r="J60" s="187">
        <f>(('LCFS Table'!$Y60+'LCFS Table'!$Z60)/100)+(('LCFS Table'!$AM60+'LCFS Table'!$AN60)/300)</f>
        <v>3.3001152343749998</v>
      </c>
      <c r="K60" s="140">
        <f>'[1]Fuel Values'!$C59</f>
        <v>1.6332</v>
      </c>
      <c r="L60" s="140">
        <f>'[1]Fuel Values'!$B59</f>
        <v>343.5</v>
      </c>
      <c r="M60" s="185">
        <f>('LCFS Table'!$L60/100)-'LCFS Table'!$AX60-'LCFS Table'!$AY60-'LCFS Table'!$AZ60-'LCFS Table'!$BA60</f>
        <v>0.47226068912000019</v>
      </c>
      <c r="N60" s="140">
        <f>[1]BFT!$B59</f>
        <v>33.5</v>
      </c>
      <c r="O60" s="140">
        <f>[1]UCO!$B59</f>
        <v>28</v>
      </c>
      <c r="P60" s="140">
        <f>[1]DCO!$B59</f>
        <v>27.5</v>
      </c>
      <c r="Q60" s="140">
        <f>'[1]Soybean Oil'!$B59</f>
        <v>34.11</v>
      </c>
      <c r="R60" s="140">
        <f>'[1]Yellow Grease'!$B59</f>
        <v>23</v>
      </c>
      <c r="S60" s="185">
        <f>'LCFS Table'!$N60 + 'LCFS Table'!$AH60</f>
        <v>37.875</v>
      </c>
      <c r="T60" s="185">
        <f>'LCFS Table'!$Q60+'LCFS Table'!$AH60</f>
        <v>38.484999999999999</v>
      </c>
      <c r="U60" s="185">
        <f>'LCFS Table'!$P60+'LCFS Table'!$AH60</f>
        <v>31.875</v>
      </c>
      <c r="V60" s="185">
        <f>(('LCFS Table'!$S60/'LCFS Table'!$AA60)*'LCFS Table'!$AC60)*6.48</f>
        <v>130.54787234042553</v>
      </c>
      <c r="W60" s="185">
        <f>(('LCFS Table'!$O60/'LCFS Table'!$AA60)*'LCFS Table'!$AD60)*6.48</f>
        <v>48.255319148936181</v>
      </c>
      <c r="X60" s="185">
        <f>(('LCFS Table'!$U60/'LCFS Table'!$AA60)*'LCFS Table'!$AE60)*6.48</f>
        <v>54.933510638297882</v>
      </c>
      <c r="Y60" s="185">
        <f>(('LCFS Table'!$T60/'LCFS Table'!$AB60)*'LCFS Table'!$AF60)*7.35</f>
        <v>220.98808593749999</v>
      </c>
      <c r="Z60" s="185">
        <f>(('LCFS Table'!$R60/'LCFS Table'!$AB60)*'LCFS Table'!$AG60)*7.35</f>
        <v>44.0234375</v>
      </c>
      <c r="AA60" s="138">
        <v>0.94</v>
      </c>
      <c r="AB60" s="138">
        <v>0.96</v>
      </c>
      <c r="AC60" s="138">
        <v>0.5</v>
      </c>
      <c r="AD60" s="138">
        <v>0.25</v>
      </c>
      <c r="AE60" s="138">
        <v>0.25</v>
      </c>
      <c r="AF60" s="138">
        <v>0.75</v>
      </c>
      <c r="AG60" s="138">
        <v>0.25</v>
      </c>
      <c r="AH60" s="139">
        <v>4.375</v>
      </c>
      <c r="AI60" s="139">
        <v>136</v>
      </c>
      <c r="AJ60" s="139">
        <v>110</v>
      </c>
      <c r="AK60" s="186">
        <f>('LCFS Table'!$AI60/340)*100</f>
        <v>40</v>
      </c>
      <c r="AL60" s="186">
        <f>('LCFS Table'!$AJ60/340)*100</f>
        <v>32.352941176470587</v>
      </c>
      <c r="AM60" s="139">
        <v>105</v>
      </c>
      <c r="AN60" s="139">
        <v>90</v>
      </c>
      <c r="AO60" s="139">
        <f>('LCFS Table'!$AM60/300)*100</f>
        <v>35</v>
      </c>
      <c r="AP60" s="139">
        <f>('LCFS Table'!$AN60/300)*100</f>
        <v>30</v>
      </c>
      <c r="AQ60" s="140">
        <v>211.2</v>
      </c>
      <c r="AR60" s="140">
        <v>0.47749999999999998</v>
      </c>
      <c r="AS60" s="185">
        <v>1.8245441196452379</v>
      </c>
      <c r="AT60" s="137">
        <v>0.16</v>
      </c>
      <c r="AU60" s="137">
        <v>1</v>
      </c>
      <c r="AV60" s="185">
        <f>'LCFS Table'!$AR60*1.7</f>
        <v>0.81174999999999997</v>
      </c>
      <c r="AW60" s="137">
        <v>0</v>
      </c>
      <c r="AX60" s="185">
        <v>1.2464893108799997</v>
      </c>
      <c r="AY60" s="137">
        <v>0</v>
      </c>
      <c r="AZ60" s="141">
        <v>1</v>
      </c>
      <c r="BA60" s="185">
        <f>'LCFS Table'!$AR60*1.5</f>
        <v>0.71624999999999994</v>
      </c>
      <c r="BB60" s="142">
        <v>1.2</v>
      </c>
      <c r="BC60" s="185">
        <f>'LCFS Table'!$AS60*'LCFS Table'!$BW60</f>
        <v>1.8245441196452379</v>
      </c>
      <c r="BD60" s="185">
        <f>'LCFS Table'!$AT60*'LCFS Table'!$BX60</f>
        <v>0</v>
      </c>
      <c r="BE60" s="185">
        <f>'LCFS Table'!$AU60*'LCFS Table'!$BY60</f>
        <v>1</v>
      </c>
      <c r="BF60" s="137">
        <f>'LCFS Table'!$AV60*'LCFS Table'!$BZ60</f>
        <v>0.81174999999999997</v>
      </c>
      <c r="BG60" s="137">
        <f>'LCFS Table'!$AW60*'LCFS Table'!$CA60</f>
        <v>0</v>
      </c>
      <c r="BH60" s="137">
        <f>'LCFS Table'!$AX60*'LCFS Table'!$CB60</f>
        <v>1.2464893108799997</v>
      </c>
      <c r="BI60" s="137">
        <f>'LCFS Table'!$AY60*'LCFS Table'!$CC60</f>
        <v>0</v>
      </c>
      <c r="BJ60" s="137">
        <f>'LCFS Table'!$AZ60*'LCFS Table'!$CD60</f>
        <v>1</v>
      </c>
      <c r="BK60" s="137">
        <f>'LCFS Table'!$BA60*'LCFS Table'!$CE60</f>
        <v>0.71624999999999994</v>
      </c>
      <c r="BL60" s="137">
        <f>'LCFS Table'!$BB60*'LCFS Table'!$CF60</f>
        <v>-1.2</v>
      </c>
      <c r="BM60" s="137">
        <f>'LCFS Table'!$AS60*'LCFS Table'!$CG60</f>
        <v>0</v>
      </c>
      <c r="BN60" s="137">
        <f>'LCFS Table'!$AT60*'LCFS Table'!$CH60</f>
        <v>0.16</v>
      </c>
      <c r="BO60" s="137">
        <f>'LCFS Table'!$AU60*'LCFS Table'!$CI60</f>
        <v>0</v>
      </c>
      <c r="BP60" s="137">
        <f>'LCFS Table'!$AV60*'LCFS Table'!$CJ60</f>
        <v>0</v>
      </c>
      <c r="BQ60" s="137">
        <f>'LCFS Table'!$AW60*'LCFS Table'!$CK60</f>
        <v>0</v>
      </c>
      <c r="BR60" s="137">
        <f>'LCFS Table'!$AX60*'LCFS Table'!$CL60</f>
        <v>0</v>
      </c>
      <c r="BS60" s="137">
        <f>'LCFS Table'!$AY60*'LCFS Table'!$CM60</f>
        <v>0</v>
      </c>
      <c r="BT60" s="137">
        <f>'LCFS Table'!$AZ60*'LCFS Table'!$CN60</f>
        <v>0</v>
      </c>
      <c r="BU60" s="137">
        <f>'LCFS Table'!$BA60*'LCFS Table'!$CO60</f>
        <v>0</v>
      </c>
      <c r="BV60" s="142">
        <f>'LCFS Table'!$BB60*'LCFS Table'!$CP60</f>
        <v>1.2</v>
      </c>
      <c r="BW60" s="138">
        <v>1</v>
      </c>
      <c r="BX60" s="138">
        <v>0</v>
      </c>
      <c r="BY60" s="138">
        <v>1</v>
      </c>
      <c r="BZ60" s="138">
        <v>1</v>
      </c>
      <c r="CA60" s="138">
        <v>-1</v>
      </c>
      <c r="CB60" s="138">
        <v>1</v>
      </c>
      <c r="CC60" s="138">
        <v>0</v>
      </c>
      <c r="CD60" s="138">
        <v>1</v>
      </c>
      <c r="CE60" s="138">
        <v>1</v>
      </c>
      <c r="CF60" s="138">
        <v>-1</v>
      </c>
      <c r="CG60" s="138">
        <f>1-'LCFS Table'!$BW60</f>
        <v>0</v>
      </c>
      <c r="CH60" s="138">
        <f>1-'LCFS Table'!$BX60</f>
        <v>1</v>
      </c>
      <c r="CI60" s="138">
        <f>1-'LCFS Table'!$BY60</f>
        <v>0</v>
      </c>
      <c r="CJ60" s="138">
        <f>1-'LCFS Table'!$BZ60</f>
        <v>0</v>
      </c>
      <c r="CK60" s="138">
        <f>-'LCFS Table'!$CA60</f>
        <v>1</v>
      </c>
      <c r="CL60" s="138">
        <f>1-'LCFS Table'!$CB60</f>
        <v>0</v>
      </c>
      <c r="CM60" s="138">
        <f>1-'LCFS Table'!$CC60</f>
        <v>1</v>
      </c>
      <c r="CN60" s="138">
        <f>1-'LCFS Table'!$CD60</f>
        <v>0</v>
      </c>
      <c r="CO60" s="138">
        <f>1-'LCFS Table'!$CE60</f>
        <v>0</v>
      </c>
      <c r="CP60" s="138">
        <f>-'LCFS Table'!$CF60</f>
        <v>1</v>
      </c>
      <c r="CQ60" s="140">
        <v>6.25</v>
      </c>
      <c r="CR60" s="165">
        <f>('LCFS Table'!$CQ60*0.9/(0.8/0.99)/100)</f>
        <v>6.9609374999999987E-2</v>
      </c>
      <c r="CS60" s="166"/>
      <c r="CT60" s="167"/>
      <c r="CW60" s="168">
        <f>'LCFS Table'!$K60-'LCFS Table'!$M60</f>
        <v>1.1609393108799999</v>
      </c>
      <c r="CX60" s="129">
        <f>MONTH('LCFS Table'!$B60)</f>
        <v>2</v>
      </c>
      <c r="CY60" s="129">
        <f>YEAR('LCFS Table'!$B60)</f>
        <v>2020</v>
      </c>
    </row>
    <row r="61" spans="1:103">
      <c r="A61" s="148">
        <v>43870</v>
      </c>
      <c r="B61" s="149">
        <v>43876</v>
      </c>
      <c r="C61" s="132">
        <f t="shared" si="0"/>
        <v>2020</v>
      </c>
      <c r="D61" s="150" t="s">
        <v>263</v>
      </c>
      <c r="E61" s="187">
        <f>'LCFS Table'!$K61-'LCFS Table'!$I61</f>
        <v>-1.4111921777221534</v>
      </c>
      <c r="F61" s="187">
        <f>('LCFS Table'!$M61)-'LCFS Table'!$J61</f>
        <v>-2.9163655153187502</v>
      </c>
      <c r="G61" s="188">
        <f>'LCFS Table'!$E61+'LCFS Table'!$AS61+'LCFS Table'!$AT61+'LCFS Table'!$AU61+'LCFS Table'!$AV61</f>
        <v>2.367197599059562</v>
      </c>
      <c r="H61" s="188">
        <f>'LCFS Table'!$F61+'LCFS Table'!$AX61+'LCFS Table'!$AY61+'LCFS Table'!$AZ61+'LCFS Table'!$BA61+('LCFS Table'!$CQ61*0.9/(0.8/0.99)/100)+(DG61*'LCFS Table'!$AF61)+(DF61*'LCFS Table'!$AG61)</f>
        <v>0.10612148437499959</v>
      </c>
      <c r="I61" s="187">
        <f>('LCFS Table'!$V61+'LCFS Table'!$W61+'LCFS Table'!$X61)/100+(('LCFS Table'!$AI61+'LCFS Table'!$AJ61)/340)</f>
        <v>3.0789921777221534</v>
      </c>
      <c r="J61" s="187">
        <f>(('LCFS Table'!$Y61+'LCFS Table'!$Z61)/100)+(('LCFS Table'!$AM61+'LCFS Table'!$AN61)/300)</f>
        <v>3.2944878906250006</v>
      </c>
      <c r="K61" s="140">
        <f>'[1]Fuel Values'!$C60</f>
        <v>1.6677999999999999</v>
      </c>
      <c r="L61" s="140">
        <f>'[1]Fuel Values'!$B60</f>
        <v>333.1</v>
      </c>
      <c r="M61" s="185">
        <f>('LCFS Table'!$L61/100)-'LCFS Table'!$AX61-'LCFS Table'!$AY61-'LCFS Table'!$AZ61-'LCFS Table'!$BA61</f>
        <v>0.37812237530625037</v>
      </c>
      <c r="N61" s="140">
        <f>[1]BFT!$B60</f>
        <v>33.799999999999997</v>
      </c>
      <c r="O61" s="140">
        <f>[1]UCO!$B60</f>
        <v>28</v>
      </c>
      <c r="P61" s="140">
        <f>[1]DCO!$B60</f>
        <v>27.95</v>
      </c>
      <c r="Q61" s="140">
        <f>'[1]Soybean Oil'!$B60</f>
        <v>34.012</v>
      </c>
      <c r="R61" s="140">
        <f>'[1]Yellow Grease'!$B60</f>
        <v>23</v>
      </c>
      <c r="S61" s="185">
        <f>'LCFS Table'!$N61 + 'LCFS Table'!$AH61</f>
        <v>38.174999999999997</v>
      </c>
      <c r="T61" s="185">
        <f>'LCFS Table'!$Q61+'LCFS Table'!$AH61</f>
        <v>38.387</v>
      </c>
      <c r="U61" s="185">
        <f>'LCFS Table'!$P61+'LCFS Table'!$AH61</f>
        <v>32.325000000000003</v>
      </c>
      <c r="V61" s="185">
        <f>(('LCFS Table'!$S61/'LCFS Table'!$AA61)*'LCFS Table'!$AC61)*6.48</f>
        <v>131.58191489361704</v>
      </c>
      <c r="W61" s="185">
        <f>(('LCFS Table'!$O61/'LCFS Table'!$AA61)*'LCFS Table'!$AD61)*6.48</f>
        <v>48.255319148936181</v>
      </c>
      <c r="X61" s="185">
        <f>(('LCFS Table'!$U61/'LCFS Table'!$AA61)*'LCFS Table'!$AE61)*6.48</f>
        <v>55.709042553191502</v>
      </c>
      <c r="Y61" s="185">
        <f>(('LCFS Table'!$T61/'LCFS Table'!$AB61)*'LCFS Table'!$AF61)*7.35</f>
        <v>220.42535156250003</v>
      </c>
      <c r="Z61" s="185">
        <f>(('LCFS Table'!$R61/'LCFS Table'!$AB61)*'LCFS Table'!$AG61)*7.35</f>
        <v>44.0234375</v>
      </c>
      <c r="AA61" s="138">
        <v>0.94</v>
      </c>
      <c r="AB61" s="138">
        <v>0.96</v>
      </c>
      <c r="AC61" s="138">
        <v>0.5</v>
      </c>
      <c r="AD61" s="138">
        <v>0.25</v>
      </c>
      <c r="AE61" s="138">
        <v>0.25</v>
      </c>
      <c r="AF61" s="138">
        <v>0.75</v>
      </c>
      <c r="AG61" s="138">
        <v>0.25</v>
      </c>
      <c r="AH61" s="139">
        <v>4.375</v>
      </c>
      <c r="AI61" s="139">
        <v>136</v>
      </c>
      <c r="AJ61" s="139">
        <v>110</v>
      </c>
      <c r="AK61" s="186">
        <f>('LCFS Table'!$AI61/340)*100</f>
        <v>40</v>
      </c>
      <c r="AL61" s="186">
        <f>('LCFS Table'!$AJ61/340)*100</f>
        <v>32.352941176470587</v>
      </c>
      <c r="AM61" s="139">
        <v>105</v>
      </c>
      <c r="AN61" s="139">
        <v>90</v>
      </c>
      <c r="AO61" s="139">
        <f>('LCFS Table'!$AM61/300)*100</f>
        <v>35</v>
      </c>
      <c r="AP61" s="139">
        <f>('LCFS Table'!$AN61/300)*100</f>
        <v>30</v>
      </c>
      <c r="AQ61" s="140">
        <v>207.75</v>
      </c>
      <c r="AR61" s="140">
        <v>0.48450000000000004</v>
      </c>
      <c r="AS61" s="185">
        <v>1.794739776781715</v>
      </c>
      <c r="AT61" s="137">
        <v>0.16</v>
      </c>
      <c r="AU61" s="137">
        <v>1</v>
      </c>
      <c r="AV61" s="185">
        <f>'LCFS Table'!$AR61*1.7</f>
        <v>0.8236500000000001</v>
      </c>
      <c r="AW61" s="137">
        <v>0</v>
      </c>
      <c r="AX61" s="185">
        <v>1.2261276246937498</v>
      </c>
      <c r="AY61" s="137">
        <v>0</v>
      </c>
      <c r="AZ61" s="141">
        <v>1</v>
      </c>
      <c r="BA61" s="185">
        <f>'LCFS Table'!$AR61*1.5</f>
        <v>0.72675000000000001</v>
      </c>
      <c r="BB61" s="142">
        <v>1.2</v>
      </c>
      <c r="BC61" s="185">
        <f>'LCFS Table'!$AS61*'LCFS Table'!$BW61</f>
        <v>1.794739776781715</v>
      </c>
      <c r="BD61" s="185">
        <f>'LCFS Table'!$AT61*'LCFS Table'!$BX61</f>
        <v>0</v>
      </c>
      <c r="BE61" s="185">
        <f>'LCFS Table'!$AU61*'LCFS Table'!$BY61</f>
        <v>1</v>
      </c>
      <c r="BF61" s="137">
        <f>'LCFS Table'!$AV61*'LCFS Table'!$BZ61</f>
        <v>0.8236500000000001</v>
      </c>
      <c r="BG61" s="137">
        <f>'LCFS Table'!$AW61*'LCFS Table'!$CA61</f>
        <v>0</v>
      </c>
      <c r="BH61" s="137">
        <f>'LCFS Table'!$AX61*'LCFS Table'!$CB61</f>
        <v>1.2261276246937498</v>
      </c>
      <c r="BI61" s="137">
        <f>'LCFS Table'!$AY61*'LCFS Table'!$CC61</f>
        <v>0</v>
      </c>
      <c r="BJ61" s="137">
        <f>'LCFS Table'!$AZ61*'LCFS Table'!$CD61</f>
        <v>1</v>
      </c>
      <c r="BK61" s="137">
        <f>'LCFS Table'!$BA61*'LCFS Table'!$CE61</f>
        <v>0.72675000000000001</v>
      </c>
      <c r="BL61" s="137">
        <f>'LCFS Table'!$BB61*'LCFS Table'!$CF61</f>
        <v>-1.2</v>
      </c>
      <c r="BM61" s="137">
        <f>'LCFS Table'!$AS61*'LCFS Table'!$CG61</f>
        <v>0</v>
      </c>
      <c r="BN61" s="137">
        <f>'LCFS Table'!$AT61*'LCFS Table'!$CH61</f>
        <v>0.16</v>
      </c>
      <c r="BO61" s="137">
        <f>'LCFS Table'!$AU61*'LCFS Table'!$CI61</f>
        <v>0</v>
      </c>
      <c r="BP61" s="137">
        <f>'LCFS Table'!$AV61*'LCFS Table'!$CJ61</f>
        <v>0</v>
      </c>
      <c r="BQ61" s="137">
        <f>'LCFS Table'!$AW61*'LCFS Table'!$CK61</f>
        <v>0</v>
      </c>
      <c r="BR61" s="137">
        <f>'LCFS Table'!$AX61*'LCFS Table'!$CL61</f>
        <v>0</v>
      </c>
      <c r="BS61" s="137">
        <f>'LCFS Table'!$AY61*'LCFS Table'!$CM61</f>
        <v>0</v>
      </c>
      <c r="BT61" s="137">
        <f>'LCFS Table'!$AZ61*'LCFS Table'!$CN61</f>
        <v>0</v>
      </c>
      <c r="BU61" s="137">
        <f>'LCFS Table'!$BA61*'LCFS Table'!$CO61</f>
        <v>0</v>
      </c>
      <c r="BV61" s="142">
        <f>'LCFS Table'!$BB61*'LCFS Table'!$CP61</f>
        <v>1.2</v>
      </c>
      <c r="BW61" s="138">
        <v>1</v>
      </c>
      <c r="BX61" s="138">
        <v>0</v>
      </c>
      <c r="BY61" s="138">
        <v>1</v>
      </c>
      <c r="BZ61" s="138">
        <v>1</v>
      </c>
      <c r="CA61" s="138">
        <v>-1</v>
      </c>
      <c r="CB61" s="138">
        <v>1</v>
      </c>
      <c r="CC61" s="138">
        <v>0</v>
      </c>
      <c r="CD61" s="138">
        <v>1</v>
      </c>
      <c r="CE61" s="138">
        <v>1</v>
      </c>
      <c r="CF61" s="138">
        <v>-1</v>
      </c>
      <c r="CG61" s="138">
        <f>1-'LCFS Table'!$BW61</f>
        <v>0</v>
      </c>
      <c r="CH61" s="138">
        <f>1-'LCFS Table'!$BX61</f>
        <v>1</v>
      </c>
      <c r="CI61" s="138">
        <f>1-'LCFS Table'!$BY61</f>
        <v>0</v>
      </c>
      <c r="CJ61" s="138">
        <f>1-'LCFS Table'!$BZ61</f>
        <v>0</v>
      </c>
      <c r="CK61" s="138">
        <f>-'LCFS Table'!$CA61</f>
        <v>1</v>
      </c>
      <c r="CL61" s="138">
        <f>1-'LCFS Table'!$CB61</f>
        <v>0</v>
      </c>
      <c r="CM61" s="138">
        <f>1-'LCFS Table'!$CC61</f>
        <v>1</v>
      </c>
      <c r="CN61" s="138">
        <f>1-'LCFS Table'!$CD61</f>
        <v>0</v>
      </c>
      <c r="CO61" s="138">
        <f>1-'LCFS Table'!$CE61</f>
        <v>0</v>
      </c>
      <c r="CP61" s="138">
        <f>-'LCFS Table'!$CF61</f>
        <v>1</v>
      </c>
      <c r="CQ61" s="140">
        <v>6.25</v>
      </c>
      <c r="CR61" s="165">
        <f>('LCFS Table'!$CQ61*0.9/(0.8/0.99)/100)</f>
        <v>6.9609374999999987E-2</v>
      </c>
      <c r="CS61" s="166"/>
      <c r="CT61" s="167"/>
      <c r="CW61" s="168">
        <f>'LCFS Table'!$K61-'LCFS Table'!$M61</f>
        <v>1.2896776246937496</v>
      </c>
      <c r="CX61" s="129">
        <f>MONTH('LCFS Table'!$B61)</f>
        <v>2</v>
      </c>
      <c r="CY61" s="129">
        <f>YEAR('LCFS Table'!$B61)</f>
        <v>2020</v>
      </c>
    </row>
    <row r="62" spans="1:103">
      <c r="A62" s="148">
        <v>43877</v>
      </c>
      <c r="B62" s="149">
        <v>43883</v>
      </c>
      <c r="C62" s="132">
        <f t="shared" si="0"/>
        <v>2020</v>
      </c>
      <c r="D62" s="182" t="s">
        <v>264</v>
      </c>
      <c r="E62" s="187">
        <f>'LCFS Table'!$K62-'LCFS Table'!$I62</f>
        <v>-1.4289326032540683</v>
      </c>
      <c r="F62" s="187">
        <f>('LCFS Table'!$M62)-'LCFS Table'!$J62</f>
        <v>-2.9962213846074999</v>
      </c>
      <c r="G62" s="188">
        <f>'LCFS Table'!$E62+'LCFS Table'!$AS62+'LCFS Table'!$AT62+'LCFS Table'!$AU62+'LCFS Table'!$AV62</f>
        <v>2.315398740604786</v>
      </c>
      <c r="H62" s="188">
        <f>'LCFS Table'!$F62+'LCFS Table'!$AX62+'LCFS Table'!$AY62+'LCFS Table'!$AZ62+'LCFS Table'!$BA62+('LCFS Table'!$CQ62*0.9/(0.8/0.99)/100)+(DG62*'LCFS Table'!$AF62)+(DF62*'LCFS Table'!$AG62)</f>
        <v>-3.5625290624999029E-3</v>
      </c>
      <c r="I62" s="187">
        <f>('LCFS Table'!$V62+'LCFS Table'!$W62+'LCFS Table'!$X62)/100+(('LCFS Table'!$AI62+'LCFS Table'!$AJ62)/340)</f>
        <v>3.1298326032540684</v>
      </c>
      <c r="J62" s="187">
        <f>(('LCFS Table'!$Y62+'LCFS Table'!$Z62)/100)+(('LCFS Table'!$AM62+'LCFS Table'!$AN62)/300)</f>
        <v>3.2650400390624998</v>
      </c>
      <c r="K62" s="140">
        <f>'[1]Fuel Values'!$C61</f>
        <v>1.7009000000000001</v>
      </c>
      <c r="L62" s="140">
        <f>'[1]Fuel Values'!$B61</f>
        <v>319.5</v>
      </c>
      <c r="M62" s="185">
        <f>('LCFS Table'!$L62/100)-'LCFS Table'!$AX62-'LCFS Table'!$AY62-'LCFS Table'!$AZ62-'LCFS Table'!$BA62</f>
        <v>0.26881865445499986</v>
      </c>
      <c r="N62" s="140">
        <f>[1]BFT!$B61</f>
        <v>35</v>
      </c>
      <c r="O62" s="140">
        <f>[1]UCO!$B61</f>
        <v>28.25</v>
      </c>
      <c r="P62" s="140">
        <f>[1]DCO!$B61</f>
        <v>28.25</v>
      </c>
      <c r="Q62" s="140">
        <f>'[1]Soybean Oil'!$B61</f>
        <v>33.457500000000003</v>
      </c>
      <c r="R62" s="140">
        <f>'[1]Yellow Grease'!$B61</f>
        <v>23.125</v>
      </c>
      <c r="S62" s="185">
        <f>'LCFS Table'!$N62 + 'LCFS Table'!$AH62</f>
        <v>39.375</v>
      </c>
      <c r="T62" s="185">
        <f>'LCFS Table'!$Q62+'LCFS Table'!$AH62</f>
        <v>37.832500000000003</v>
      </c>
      <c r="U62" s="185">
        <f>'LCFS Table'!$P62+'LCFS Table'!$AH62</f>
        <v>32.625</v>
      </c>
      <c r="V62" s="185">
        <f>(('LCFS Table'!$S62/'LCFS Table'!$AA62)*'LCFS Table'!$AC62)*6.48</f>
        <v>135.718085106383</v>
      </c>
      <c r="W62" s="185">
        <f>(('LCFS Table'!$O62/'LCFS Table'!$AA62)*'LCFS Table'!$AD62)*6.48</f>
        <v>48.686170212765965</v>
      </c>
      <c r="X62" s="185">
        <f>(('LCFS Table'!$U62/'LCFS Table'!$AA62)*'LCFS Table'!$AE62)*6.48</f>
        <v>56.226063829787236</v>
      </c>
      <c r="Y62" s="185">
        <f>(('LCFS Table'!$T62/'LCFS Table'!$AB62)*'LCFS Table'!$AF62)*7.35</f>
        <v>217.24130859375001</v>
      </c>
      <c r="Z62" s="185">
        <f>(('LCFS Table'!$R62/'LCFS Table'!$AB62)*'LCFS Table'!$AG62)*7.35</f>
        <v>44.2626953125</v>
      </c>
      <c r="AA62" s="138">
        <v>0.94</v>
      </c>
      <c r="AB62" s="138">
        <v>0.96</v>
      </c>
      <c r="AC62" s="138">
        <v>0.5</v>
      </c>
      <c r="AD62" s="138">
        <v>0.25</v>
      </c>
      <c r="AE62" s="138">
        <v>0.25</v>
      </c>
      <c r="AF62" s="138">
        <v>0.75</v>
      </c>
      <c r="AG62" s="138">
        <v>0.25</v>
      </c>
      <c r="AH62" s="139">
        <v>4.375</v>
      </c>
      <c r="AI62" s="139">
        <v>136</v>
      </c>
      <c r="AJ62" s="139">
        <v>110</v>
      </c>
      <c r="AK62" s="186">
        <f>('LCFS Table'!$AI62/340)*100</f>
        <v>40</v>
      </c>
      <c r="AL62" s="186">
        <f>('LCFS Table'!$AJ62/340)*100</f>
        <v>32.352941176470587</v>
      </c>
      <c r="AM62" s="139">
        <v>105</v>
      </c>
      <c r="AN62" s="139">
        <v>90</v>
      </c>
      <c r="AO62" s="139">
        <f>('LCFS Table'!$AM62/300)*100</f>
        <v>35</v>
      </c>
      <c r="AP62" s="139">
        <f>('LCFS Table'!$AN62/300)*100</f>
        <v>30</v>
      </c>
      <c r="AQ62" s="140">
        <v>205.8</v>
      </c>
      <c r="AR62" s="140">
        <v>0.47437499999999999</v>
      </c>
      <c r="AS62" s="185">
        <v>1.7778938438588543</v>
      </c>
      <c r="AT62" s="137">
        <v>0.16</v>
      </c>
      <c r="AU62" s="137">
        <v>1</v>
      </c>
      <c r="AV62" s="185">
        <f>'LCFS Table'!$AR62*1.7</f>
        <v>0.80643749999999992</v>
      </c>
      <c r="AW62" s="137">
        <v>0</v>
      </c>
      <c r="AX62" s="185">
        <v>1.214618845545</v>
      </c>
      <c r="AY62" s="137">
        <v>0</v>
      </c>
      <c r="AZ62" s="141">
        <v>1</v>
      </c>
      <c r="BA62" s="185">
        <f>'LCFS Table'!$AR62*1.5</f>
        <v>0.71156249999999999</v>
      </c>
      <c r="BB62" s="136">
        <v>1.2</v>
      </c>
      <c r="BC62" s="185">
        <f>'LCFS Table'!$AS62*'LCFS Table'!$BW62</f>
        <v>1.7778938438588543</v>
      </c>
      <c r="BD62" s="185">
        <f>'LCFS Table'!$AT62*'LCFS Table'!$BX62</f>
        <v>0</v>
      </c>
      <c r="BE62" s="185">
        <f>'LCFS Table'!$AU62*'LCFS Table'!$BY62</f>
        <v>1</v>
      </c>
      <c r="BF62" s="137">
        <f>'LCFS Table'!$AV62*'LCFS Table'!$BZ62</f>
        <v>0.80643749999999992</v>
      </c>
      <c r="BG62" s="137">
        <f>'LCFS Table'!$AW62*'LCFS Table'!$CA62</f>
        <v>0</v>
      </c>
      <c r="BH62" s="137">
        <f>'LCFS Table'!$AX62*'LCFS Table'!$CB62</f>
        <v>1.214618845545</v>
      </c>
      <c r="BI62" s="137">
        <f>'LCFS Table'!$AY62*'LCFS Table'!$CC62</f>
        <v>0</v>
      </c>
      <c r="BJ62" s="137">
        <f>'LCFS Table'!$AZ62*'LCFS Table'!$CD62</f>
        <v>1</v>
      </c>
      <c r="BK62" s="137">
        <f>'LCFS Table'!$BA62*'LCFS Table'!$CE62</f>
        <v>0.71156249999999999</v>
      </c>
      <c r="BL62" s="137">
        <f>'LCFS Table'!$BB62*'LCFS Table'!$CF62</f>
        <v>-1.2</v>
      </c>
      <c r="BM62" s="137">
        <f>'LCFS Table'!$AS62*'LCFS Table'!$CG62</f>
        <v>0</v>
      </c>
      <c r="BN62" s="137">
        <f>'LCFS Table'!$AT62*'LCFS Table'!$CH62</f>
        <v>0.16</v>
      </c>
      <c r="BO62" s="137">
        <f>'LCFS Table'!$AU62*'LCFS Table'!$CI62</f>
        <v>0</v>
      </c>
      <c r="BP62" s="137">
        <f>'LCFS Table'!$AV62*'LCFS Table'!$CJ62</f>
        <v>0</v>
      </c>
      <c r="BQ62" s="137">
        <f>'LCFS Table'!$AW62*'LCFS Table'!$CK62</f>
        <v>0</v>
      </c>
      <c r="BR62" s="137">
        <f>'LCFS Table'!$AX62*'LCFS Table'!$CL62</f>
        <v>0</v>
      </c>
      <c r="BS62" s="137">
        <f>'LCFS Table'!$AY62*'LCFS Table'!$CM62</f>
        <v>0</v>
      </c>
      <c r="BT62" s="137">
        <f>'LCFS Table'!$AZ62*'LCFS Table'!$CN62</f>
        <v>0</v>
      </c>
      <c r="BU62" s="137">
        <f>'LCFS Table'!$BA62*'LCFS Table'!$CO62</f>
        <v>0</v>
      </c>
      <c r="BV62" s="136">
        <f>'LCFS Table'!$BB62*'LCFS Table'!$CP62</f>
        <v>1.2</v>
      </c>
      <c r="BW62" s="138">
        <v>1</v>
      </c>
      <c r="BX62" s="138">
        <v>0</v>
      </c>
      <c r="BY62" s="138">
        <v>1</v>
      </c>
      <c r="BZ62" s="138">
        <v>1</v>
      </c>
      <c r="CA62" s="138">
        <v>-1</v>
      </c>
      <c r="CB62" s="138">
        <v>1</v>
      </c>
      <c r="CC62" s="138">
        <v>0</v>
      </c>
      <c r="CD62" s="138">
        <v>1</v>
      </c>
      <c r="CE62" s="138">
        <v>1</v>
      </c>
      <c r="CF62" s="138">
        <v>-1</v>
      </c>
      <c r="CG62" s="138">
        <f>1-'LCFS Table'!$BW62</f>
        <v>0</v>
      </c>
      <c r="CH62" s="138">
        <f>1-'LCFS Table'!$BX62</f>
        <v>1</v>
      </c>
      <c r="CI62" s="138">
        <f>1-'LCFS Table'!$BY62</f>
        <v>0</v>
      </c>
      <c r="CJ62" s="138">
        <f>1-'LCFS Table'!$BZ62</f>
        <v>0</v>
      </c>
      <c r="CK62" s="138">
        <f>-'LCFS Table'!$CA62</f>
        <v>1</v>
      </c>
      <c r="CL62" s="138">
        <f>1-'LCFS Table'!$CB62</f>
        <v>0</v>
      </c>
      <c r="CM62" s="138">
        <f>1-'LCFS Table'!$CC62</f>
        <v>1</v>
      </c>
      <c r="CN62" s="138">
        <f>1-'LCFS Table'!$CD62</f>
        <v>0</v>
      </c>
      <c r="CO62" s="138">
        <f>1-'LCFS Table'!$CE62</f>
        <v>0</v>
      </c>
      <c r="CP62" s="138">
        <f>-'LCFS Table'!$CF62</f>
        <v>1</v>
      </c>
      <c r="CQ62" s="140">
        <v>5.9687999999999999</v>
      </c>
      <c r="CR62" s="165">
        <f>('LCFS Table'!$CQ62*0.9/(0.8/0.99)/100)</f>
        <v>6.647750999999999E-2</v>
      </c>
      <c r="CS62" s="166"/>
      <c r="CT62" s="167"/>
      <c r="CW62" s="168">
        <f>'LCFS Table'!$K62-'LCFS Table'!$M62</f>
        <v>1.4320813455450003</v>
      </c>
      <c r="CX62" s="129">
        <f>MONTH('LCFS Table'!$B62)</f>
        <v>2</v>
      </c>
      <c r="CY62" s="129">
        <f>YEAR('LCFS Table'!$B62)</f>
        <v>2020</v>
      </c>
    </row>
    <row r="63" spans="1:103">
      <c r="A63" s="148">
        <v>43884</v>
      </c>
      <c r="B63" s="149">
        <v>43890</v>
      </c>
      <c r="C63" s="132">
        <f t="shared" si="0"/>
        <v>2020</v>
      </c>
      <c r="D63" s="150" t="s">
        <v>265</v>
      </c>
      <c r="E63" s="187">
        <f>'LCFS Table'!$K63-'LCFS Table'!$I63</f>
        <v>-1.5962496245306637</v>
      </c>
      <c r="F63" s="187">
        <f>('LCFS Table'!$M63)-'LCFS Table'!$J63</f>
        <v>-2.9410481329650002</v>
      </c>
      <c r="G63" s="188">
        <f>'LCFS Table'!$E63+'LCFS Table'!$AS63+'LCFS Table'!$AT63+'LCFS Table'!$AU63+'LCFS Table'!$AV63</f>
        <v>2.2468500710987511</v>
      </c>
      <c r="H63" s="188">
        <f>'LCFS Table'!$F63+'LCFS Table'!$AX63+'LCFS Table'!$AY63+'LCFS Table'!$AZ63+'LCFS Table'!$BA63+('LCFS Table'!$CQ63*0.9/(0.8/0.99)/100)+(DG63*'LCFS Table'!$AF63)+(DF63*'LCFS Table'!$AG63)</f>
        <v>0.12773476562499952</v>
      </c>
      <c r="I63" s="187">
        <f>('LCFS Table'!$V63+'LCFS Table'!$W63+'LCFS Table'!$X63)/100+(('LCFS Table'!$AI63+'LCFS Table'!$AJ63)/340)</f>
        <v>3.1384496245306637</v>
      </c>
      <c r="J63" s="187">
        <f>(('LCFS Table'!$Y63+'LCFS Table'!$Z63)/100)+(('LCFS Table'!$AM63+'LCFS Table'!$AN63)/300)</f>
        <v>3.1926980468749999</v>
      </c>
      <c r="K63" s="140">
        <f>'[1]Fuel Values'!$C62</f>
        <v>1.5422</v>
      </c>
      <c r="L63" s="140">
        <f>'[1]Fuel Values'!$B62</f>
        <v>325.5</v>
      </c>
      <c r="M63" s="185">
        <f>('LCFS Table'!$L63/100)-'LCFS Table'!$AX63-'LCFS Table'!$AY63-'LCFS Table'!$AZ63-'LCFS Table'!$BA63</f>
        <v>0.25164991390999991</v>
      </c>
      <c r="N63" s="140">
        <f>[1]BFT!$B62</f>
        <v>35</v>
      </c>
      <c r="O63" s="140">
        <f>[1]UCO!$B62</f>
        <v>28.5</v>
      </c>
      <c r="P63" s="140">
        <f>[1]DCO!$B62</f>
        <v>28.5</v>
      </c>
      <c r="Q63" s="140">
        <f>'[1]Soybean Oil'!$B62</f>
        <v>32.155999999999999</v>
      </c>
      <c r="R63" s="140">
        <f>'[1]Yellow Grease'!$B62</f>
        <v>23.25</v>
      </c>
      <c r="S63" s="185">
        <f>'LCFS Table'!$N63 + 'LCFS Table'!$AH63</f>
        <v>39.375</v>
      </c>
      <c r="T63" s="185">
        <f>'LCFS Table'!$Q63+'LCFS Table'!$AH63</f>
        <v>36.530999999999999</v>
      </c>
      <c r="U63" s="185">
        <f>'LCFS Table'!$P63+'LCFS Table'!$AH63</f>
        <v>32.875</v>
      </c>
      <c r="V63" s="185">
        <f>(('LCFS Table'!$S63/'LCFS Table'!$AA63)*'LCFS Table'!$AC63)*6.48</f>
        <v>135.718085106383</v>
      </c>
      <c r="W63" s="185">
        <f>(('LCFS Table'!$O63/'LCFS Table'!$AA63)*'LCFS Table'!$AD63)*6.48</f>
        <v>49.11702127659575</v>
      </c>
      <c r="X63" s="185">
        <f>(('LCFS Table'!$U63/'LCFS Table'!$AA63)*'LCFS Table'!$AE63)*6.48</f>
        <v>56.656914893617028</v>
      </c>
      <c r="Y63" s="185">
        <f>(('LCFS Table'!$T63/'LCFS Table'!$AB63)*'LCFS Table'!$AF63)*7.35</f>
        <v>209.7678515625</v>
      </c>
      <c r="Z63" s="185">
        <f>(('LCFS Table'!$R63/'LCFS Table'!$AB63)*'LCFS Table'!$AG63)*7.35</f>
        <v>44.501953125</v>
      </c>
      <c r="AA63" s="138">
        <v>0.94</v>
      </c>
      <c r="AB63" s="138">
        <v>0.96</v>
      </c>
      <c r="AC63" s="138">
        <v>0.5</v>
      </c>
      <c r="AD63" s="138">
        <v>0.25</v>
      </c>
      <c r="AE63" s="138">
        <v>0.25</v>
      </c>
      <c r="AF63" s="138">
        <v>0.75</v>
      </c>
      <c r="AG63" s="138">
        <v>0.25</v>
      </c>
      <c r="AH63" s="139">
        <v>4.375</v>
      </c>
      <c r="AI63" s="139">
        <v>136</v>
      </c>
      <c r="AJ63" s="139">
        <v>110</v>
      </c>
      <c r="AK63" s="186">
        <f>('LCFS Table'!$AI63/340)*100</f>
        <v>40</v>
      </c>
      <c r="AL63" s="186">
        <f>('LCFS Table'!$AJ63/340)*100</f>
        <v>32.352941176470587</v>
      </c>
      <c r="AM63" s="139">
        <v>105</v>
      </c>
      <c r="AN63" s="139">
        <v>90</v>
      </c>
      <c r="AO63" s="139">
        <f>('LCFS Table'!$AM63/300)*100</f>
        <v>35</v>
      </c>
      <c r="AP63" s="139">
        <f>('LCFS Table'!$AN63/300)*100</f>
        <v>30</v>
      </c>
      <c r="AQ63" s="140">
        <v>211.6</v>
      </c>
      <c r="AR63" s="140">
        <v>0.503</v>
      </c>
      <c r="AS63" s="185">
        <v>1.8279996956294147</v>
      </c>
      <c r="AT63" s="137">
        <v>0.16</v>
      </c>
      <c r="AU63" s="137">
        <v>1</v>
      </c>
      <c r="AV63" s="185">
        <f>'LCFS Table'!$AR63*1.7</f>
        <v>0.85509999999999997</v>
      </c>
      <c r="AW63" s="137">
        <v>0</v>
      </c>
      <c r="AX63" s="185">
        <v>1.2488500860899998</v>
      </c>
      <c r="AY63" s="137">
        <v>0</v>
      </c>
      <c r="AZ63" s="141">
        <v>1</v>
      </c>
      <c r="BA63" s="185">
        <f>'LCFS Table'!$AR63*1.5</f>
        <v>0.75449999999999995</v>
      </c>
      <c r="BB63" s="142">
        <v>1.2</v>
      </c>
      <c r="BC63" s="185">
        <f>'LCFS Table'!$AS63*'LCFS Table'!$BW63</f>
        <v>1.8279996956294147</v>
      </c>
      <c r="BD63" s="185">
        <f>'LCFS Table'!$AT63*'LCFS Table'!$BX63</f>
        <v>0</v>
      </c>
      <c r="BE63" s="185">
        <f>'LCFS Table'!$AU63*'LCFS Table'!$BY63</f>
        <v>1</v>
      </c>
      <c r="BF63" s="137">
        <f>'LCFS Table'!$AV63*'LCFS Table'!$BZ63</f>
        <v>0.85509999999999997</v>
      </c>
      <c r="BG63" s="137">
        <f>'LCFS Table'!$AW63*'LCFS Table'!$CA63</f>
        <v>0</v>
      </c>
      <c r="BH63" s="137">
        <f>'LCFS Table'!$AX63*'LCFS Table'!$CB63</f>
        <v>1.2488500860899998</v>
      </c>
      <c r="BI63" s="137">
        <f>'LCFS Table'!$AY63*'LCFS Table'!$CC63</f>
        <v>0</v>
      </c>
      <c r="BJ63" s="137">
        <f>'LCFS Table'!$AZ63*'LCFS Table'!$CD63</f>
        <v>1</v>
      </c>
      <c r="BK63" s="137">
        <f>'LCFS Table'!$BA63*'LCFS Table'!$CE63</f>
        <v>0.75449999999999995</v>
      </c>
      <c r="BL63" s="137">
        <f>'LCFS Table'!$BB63*'LCFS Table'!$CF63</f>
        <v>-1.2</v>
      </c>
      <c r="BM63" s="137">
        <f>'LCFS Table'!$AS63*'LCFS Table'!$CG63</f>
        <v>0</v>
      </c>
      <c r="BN63" s="137">
        <f>'LCFS Table'!$AT63*'LCFS Table'!$CH63</f>
        <v>0.16</v>
      </c>
      <c r="BO63" s="137">
        <f>'LCFS Table'!$AU63*'LCFS Table'!$CI63</f>
        <v>0</v>
      </c>
      <c r="BP63" s="137">
        <f>'LCFS Table'!$AV63*'LCFS Table'!$CJ63</f>
        <v>0</v>
      </c>
      <c r="BQ63" s="137">
        <f>'LCFS Table'!$AW63*'LCFS Table'!$CK63</f>
        <v>0</v>
      </c>
      <c r="BR63" s="137">
        <f>'LCFS Table'!$AX63*'LCFS Table'!$CL63</f>
        <v>0</v>
      </c>
      <c r="BS63" s="137">
        <f>'LCFS Table'!$AY63*'LCFS Table'!$CM63</f>
        <v>0</v>
      </c>
      <c r="BT63" s="137">
        <f>'LCFS Table'!$AZ63*'LCFS Table'!$CN63</f>
        <v>0</v>
      </c>
      <c r="BU63" s="137">
        <f>'LCFS Table'!$BA63*'LCFS Table'!$CO63</f>
        <v>0</v>
      </c>
      <c r="BV63" s="142">
        <f>'LCFS Table'!$BB63*'LCFS Table'!$CP63</f>
        <v>1.2</v>
      </c>
      <c r="BW63" s="138">
        <v>1</v>
      </c>
      <c r="BX63" s="138">
        <v>0</v>
      </c>
      <c r="BY63" s="138">
        <v>1</v>
      </c>
      <c r="BZ63" s="138">
        <v>1</v>
      </c>
      <c r="CA63" s="138">
        <v>-1</v>
      </c>
      <c r="CB63" s="138">
        <v>1</v>
      </c>
      <c r="CC63" s="138">
        <v>0</v>
      </c>
      <c r="CD63" s="138">
        <v>1</v>
      </c>
      <c r="CE63" s="138">
        <v>1</v>
      </c>
      <c r="CF63" s="138">
        <v>-1</v>
      </c>
      <c r="CG63" s="138">
        <f>1-'LCFS Table'!$BW63</f>
        <v>0</v>
      </c>
      <c r="CH63" s="138">
        <f>1-'LCFS Table'!$BX63</f>
        <v>1</v>
      </c>
      <c r="CI63" s="138">
        <f>1-'LCFS Table'!$BY63</f>
        <v>0</v>
      </c>
      <c r="CJ63" s="138">
        <f>1-'LCFS Table'!$BZ63</f>
        <v>0</v>
      </c>
      <c r="CK63" s="138">
        <f>-'LCFS Table'!$CA63</f>
        <v>1</v>
      </c>
      <c r="CL63" s="138">
        <f>1-'LCFS Table'!$CB63</f>
        <v>0</v>
      </c>
      <c r="CM63" s="138">
        <f>1-'LCFS Table'!$CC63</f>
        <v>1</v>
      </c>
      <c r="CN63" s="138">
        <f>1-'LCFS Table'!$CD63</f>
        <v>0</v>
      </c>
      <c r="CO63" s="138">
        <f>1-'LCFS Table'!$CE63</f>
        <v>0</v>
      </c>
      <c r="CP63" s="138">
        <f>-'LCFS Table'!$CF63</f>
        <v>1</v>
      </c>
      <c r="CQ63" s="140">
        <v>5.875</v>
      </c>
      <c r="CR63" s="165">
        <f>('LCFS Table'!$CQ63*0.9/(0.8/0.99)/100)</f>
        <v>6.5432812499999993E-2</v>
      </c>
      <c r="CS63" s="166"/>
      <c r="CT63" s="167"/>
      <c r="CW63" s="168">
        <f>'LCFS Table'!$K63-'LCFS Table'!$M63</f>
        <v>1.2905500860900001</v>
      </c>
      <c r="CX63" s="129">
        <f>MONTH('LCFS Table'!$B63)</f>
        <v>2</v>
      </c>
      <c r="CY63" s="129">
        <f>YEAR('LCFS Table'!$B63)</f>
        <v>2020</v>
      </c>
    </row>
    <row r="64" spans="1:103">
      <c r="A64" s="148">
        <v>43891</v>
      </c>
      <c r="B64" s="149">
        <v>43897</v>
      </c>
      <c r="C64" s="132">
        <f t="shared" si="0"/>
        <v>2020</v>
      </c>
      <c r="D64" s="182" t="s">
        <v>266</v>
      </c>
      <c r="E64" s="187">
        <f>'LCFS Table'!$K64-'LCFS Table'!$I64</f>
        <v>-1.6479496245306637</v>
      </c>
      <c r="F64" s="187">
        <f>('LCFS Table'!$M64)-'LCFS Table'!$J64</f>
        <v>-2.8787531497724999</v>
      </c>
      <c r="G64" s="188">
        <f>'LCFS Table'!$E64+'LCFS Table'!$AS64+'LCFS Table'!$AT64+'LCFS Table'!$AU64+'LCFS Table'!$AV64</f>
        <v>2.1538359932451172</v>
      </c>
      <c r="H64" s="188">
        <f>'LCFS Table'!$F64+'LCFS Table'!$AX64+'LCFS Table'!$AY64+'LCFS Table'!$AZ64+'LCFS Table'!$BA64+('LCFS Table'!$CQ64*0.9/(0.8/0.99)/100)+(DG64*'LCFS Table'!$AF64)+(DF64*'LCFS Table'!$AG64)</f>
        <v>0.16411914062499988</v>
      </c>
      <c r="I64" s="187">
        <f>('LCFS Table'!$V64+'LCFS Table'!$W64+'LCFS Table'!$X64)/100+(('LCFS Table'!$AI64+'LCFS Table'!$AJ64)/340)</f>
        <v>3.1384496245306637</v>
      </c>
      <c r="J64" s="187">
        <f>(('LCFS Table'!$Y64+'LCFS Table'!$Z64)/100)+(('LCFS Table'!$AM64+'LCFS Table'!$AN64)/300)</f>
        <v>3.2204902343750001</v>
      </c>
      <c r="K64" s="140">
        <f>'[1]Fuel Values'!$C63</f>
        <v>1.4904999999999999</v>
      </c>
      <c r="L64" s="140">
        <f>'[1]Fuel Values'!$B63</f>
        <v>331.5</v>
      </c>
      <c r="M64" s="185">
        <f>('LCFS Table'!$L64/100)-'LCFS Table'!$AX64-'LCFS Table'!$AY64-'LCFS Table'!$AZ64-'LCFS Table'!$BA64</f>
        <v>0.34173708460250019</v>
      </c>
      <c r="N64" s="140">
        <f>[1]BFT!$B63</f>
        <v>35</v>
      </c>
      <c r="O64" s="140">
        <f>[1]UCO!$B63</f>
        <v>28.5</v>
      </c>
      <c r="P64" s="140">
        <f>[1]DCO!$B63</f>
        <v>28.5</v>
      </c>
      <c r="Q64" s="140">
        <f>'[1]Soybean Oil'!$B63</f>
        <v>32.44</v>
      </c>
      <c r="R64" s="140">
        <f>'[1]Yellow Grease'!$B63</f>
        <v>23.85</v>
      </c>
      <c r="S64" s="185">
        <f>'LCFS Table'!$N64 + 'LCFS Table'!$AH64</f>
        <v>39.375</v>
      </c>
      <c r="T64" s="185">
        <f>'LCFS Table'!$Q64+'LCFS Table'!$AH64</f>
        <v>36.814999999999998</v>
      </c>
      <c r="U64" s="185">
        <f>'LCFS Table'!$P64+'LCFS Table'!$AH64</f>
        <v>32.875</v>
      </c>
      <c r="V64" s="185">
        <f>(('LCFS Table'!$S64/'LCFS Table'!$AA64)*'LCFS Table'!$AC64)*6.48</f>
        <v>135.718085106383</v>
      </c>
      <c r="W64" s="185">
        <f>(('LCFS Table'!$O64/'LCFS Table'!$AA64)*'LCFS Table'!$AD64)*6.48</f>
        <v>49.11702127659575</v>
      </c>
      <c r="X64" s="185">
        <f>(('LCFS Table'!$U64/'LCFS Table'!$AA64)*'LCFS Table'!$AE64)*6.48</f>
        <v>56.656914893617028</v>
      </c>
      <c r="Y64" s="185">
        <f>(('LCFS Table'!$T64/'LCFS Table'!$AB64)*'LCFS Table'!$AF64)*7.35</f>
        <v>211.39863281249998</v>
      </c>
      <c r="Z64" s="185">
        <f>(('LCFS Table'!$R64/'LCFS Table'!$AB64)*'LCFS Table'!$AG64)*7.35</f>
        <v>45.650390625000007</v>
      </c>
      <c r="AA64" s="138">
        <v>0.94</v>
      </c>
      <c r="AB64" s="138">
        <v>0.96</v>
      </c>
      <c r="AC64" s="138">
        <v>0.5</v>
      </c>
      <c r="AD64" s="138">
        <v>0.25</v>
      </c>
      <c r="AE64" s="138">
        <v>0.25</v>
      </c>
      <c r="AF64" s="138">
        <v>0.75</v>
      </c>
      <c r="AG64" s="138">
        <v>0.25</v>
      </c>
      <c r="AH64" s="139">
        <v>4.375</v>
      </c>
      <c r="AI64" s="139">
        <v>136</v>
      </c>
      <c r="AJ64" s="139">
        <v>110</v>
      </c>
      <c r="AK64" s="186">
        <f>('LCFS Table'!$AI64/340)*100</f>
        <v>40</v>
      </c>
      <c r="AL64" s="186">
        <f>('LCFS Table'!$AJ64/340)*100</f>
        <v>32.352941176470587</v>
      </c>
      <c r="AM64" s="139">
        <v>105</v>
      </c>
      <c r="AN64" s="139">
        <v>90</v>
      </c>
      <c r="AO64" s="139">
        <f>('LCFS Table'!$AM64/300)*100</f>
        <v>35</v>
      </c>
      <c r="AP64" s="139">
        <f>('LCFS Table'!$AN64/300)*100</f>
        <v>30</v>
      </c>
      <c r="AQ64" s="140">
        <v>207.9</v>
      </c>
      <c r="AR64" s="140">
        <v>0.4975</v>
      </c>
      <c r="AS64" s="185">
        <v>1.7960356177757812</v>
      </c>
      <c r="AT64" s="137">
        <v>0.16</v>
      </c>
      <c r="AU64" s="137">
        <v>1</v>
      </c>
      <c r="AV64" s="185">
        <f>'LCFS Table'!$AR64*1.7</f>
        <v>0.84575</v>
      </c>
      <c r="AW64" s="137">
        <v>0</v>
      </c>
      <c r="AX64" s="185">
        <v>1.2270129153974998</v>
      </c>
      <c r="AY64" s="137">
        <v>0</v>
      </c>
      <c r="AZ64" s="141">
        <v>1</v>
      </c>
      <c r="BA64" s="185">
        <f>'LCFS Table'!$AR64*1.5</f>
        <v>0.74624999999999997</v>
      </c>
      <c r="BB64" s="136">
        <v>1.2</v>
      </c>
      <c r="BC64" s="185">
        <f>'LCFS Table'!$AS64*'LCFS Table'!$BW64</f>
        <v>1.7960356177757812</v>
      </c>
      <c r="BD64" s="185">
        <f>'LCFS Table'!$AT64*'LCFS Table'!$BX64</f>
        <v>0</v>
      </c>
      <c r="BE64" s="185">
        <f>'LCFS Table'!$AU64*'LCFS Table'!$BY64</f>
        <v>1</v>
      </c>
      <c r="BF64" s="137">
        <f>'LCFS Table'!$AV64*'LCFS Table'!$BZ64</f>
        <v>0.84575</v>
      </c>
      <c r="BG64" s="137">
        <f>'LCFS Table'!$AW64*'LCFS Table'!$CA64</f>
        <v>0</v>
      </c>
      <c r="BH64" s="137">
        <f>'LCFS Table'!$AX64*'LCFS Table'!$CB64</f>
        <v>1.2270129153974998</v>
      </c>
      <c r="BI64" s="137">
        <f>'LCFS Table'!$AY64*'LCFS Table'!$CC64</f>
        <v>0</v>
      </c>
      <c r="BJ64" s="137">
        <f>'LCFS Table'!$AZ64*'LCFS Table'!$CD64</f>
        <v>1</v>
      </c>
      <c r="BK64" s="137">
        <f>'LCFS Table'!$BA64*'LCFS Table'!$CE64</f>
        <v>0.74624999999999997</v>
      </c>
      <c r="BL64" s="137">
        <f>'LCFS Table'!$BB64*'LCFS Table'!$CF64</f>
        <v>-1.2</v>
      </c>
      <c r="BM64" s="137">
        <f>'LCFS Table'!$AS64*'LCFS Table'!$CG64</f>
        <v>0</v>
      </c>
      <c r="BN64" s="137">
        <f>'LCFS Table'!$AT64*'LCFS Table'!$CH64</f>
        <v>0.16</v>
      </c>
      <c r="BO64" s="137">
        <f>'LCFS Table'!$AU64*'LCFS Table'!$CI64</f>
        <v>0</v>
      </c>
      <c r="BP64" s="137">
        <f>'LCFS Table'!$AV64*'LCFS Table'!$CJ64</f>
        <v>0</v>
      </c>
      <c r="BQ64" s="137">
        <f>'LCFS Table'!$AW64*'LCFS Table'!$CK64</f>
        <v>0</v>
      </c>
      <c r="BR64" s="137">
        <f>'LCFS Table'!$AX64*'LCFS Table'!$CL64</f>
        <v>0</v>
      </c>
      <c r="BS64" s="137">
        <f>'LCFS Table'!$AY64*'LCFS Table'!$CM64</f>
        <v>0</v>
      </c>
      <c r="BT64" s="137">
        <f>'LCFS Table'!$AZ64*'LCFS Table'!$CN64</f>
        <v>0</v>
      </c>
      <c r="BU64" s="137">
        <f>'LCFS Table'!$BA64*'LCFS Table'!$CO64</f>
        <v>0</v>
      </c>
      <c r="BV64" s="136">
        <f>'LCFS Table'!$BB64*'LCFS Table'!$CP64</f>
        <v>1.2</v>
      </c>
      <c r="BW64" s="138">
        <v>1</v>
      </c>
      <c r="BX64" s="138">
        <v>0</v>
      </c>
      <c r="BY64" s="138">
        <v>1</v>
      </c>
      <c r="BZ64" s="138">
        <v>1</v>
      </c>
      <c r="CA64" s="138">
        <v>-1</v>
      </c>
      <c r="CB64" s="138">
        <v>1</v>
      </c>
      <c r="CC64" s="138">
        <v>0</v>
      </c>
      <c r="CD64" s="138">
        <v>1</v>
      </c>
      <c r="CE64" s="138">
        <v>1</v>
      </c>
      <c r="CF64" s="138">
        <v>-1</v>
      </c>
      <c r="CG64" s="138">
        <f>1-'LCFS Table'!$BW64</f>
        <v>0</v>
      </c>
      <c r="CH64" s="138">
        <f>1-'LCFS Table'!$BX64</f>
        <v>1</v>
      </c>
      <c r="CI64" s="138">
        <f>1-'LCFS Table'!$BY64</f>
        <v>0</v>
      </c>
      <c r="CJ64" s="138">
        <f>1-'LCFS Table'!$BZ64</f>
        <v>0</v>
      </c>
      <c r="CK64" s="138">
        <f>-'LCFS Table'!$CA64</f>
        <v>1</v>
      </c>
      <c r="CL64" s="138">
        <f>1-'LCFS Table'!$CB64</f>
        <v>0</v>
      </c>
      <c r="CM64" s="138">
        <f>1-'LCFS Table'!$CC64</f>
        <v>1</v>
      </c>
      <c r="CN64" s="138">
        <f>1-'LCFS Table'!$CD64</f>
        <v>0</v>
      </c>
      <c r="CO64" s="138">
        <f>1-'LCFS Table'!$CE64</f>
        <v>0</v>
      </c>
      <c r="CP64" s="138">
        <f>-'LCFS Table'!$CF64</f>
        <v>1</v>
      </c>
      <c r="CQ64" s="140">
        <v>6.25</v>
      </c>
      <c r="CR64" s="165">
        <f>('LCFS Table'!$CQ64*0.9/(0.8/0.99)/100)</f>
        <v>6.9609374999999987E-2</v>
      </c>
      <c r="CS64" s="166"/>
      <c r="CT64" s="167"/>
      <c r="CW64" s="168">
        <f>'LCFS Table'!$K64-'LCFS Table'!$M64</f>
        <v>1.1487629153974996</v>
      </c>
      <c r="CX64" s="129">
        <f>MONTH('LCFS Table'!$B64)</f>
        <v>3</v>
      </c>
      <c r="CY64" s="129">
        <f>YEAR('LCFS Table'!$B64)</f>
        <v>2020</v>
      </c>
    </row>
    <row r="65" spans="1:103">
      <c r="A65" s="148">
        <v>43898</v>
      </c>
      <c r="B65" s="149">
        <v>43904</v>
      </c>
      <c r="C65" s="132">
        <f t="shared" si="0"/>
        <v>2020</v>
      </c>
      <c r="D65" s="150" t="s">
        <v>267</v>
      </c>
      <c r="E65" s="187">
        <f>'LCFS Table'!$K65-'LCFS Table'!$I65</f>
        <v>-1.8716368585732173</v>
      </c>
      <c r="F65" s="187">
        <f>('LCFS Table'!$M65)-'LCFS Table'!$J65</f>
        <v>-2.6418792839675005</v>
      </c>
      <c r="G65" s="188">
        <f>'LCFS Table'!$E65+'LCFS Table'!$AS65+'LCFS Table'!$AT65+'LCFS Table'!$AU65+'LCFS Table'!$AV65</f>
        <v>1.7814200519225289</v>
      </c>
      <c r="H65" s="188">
        <f>'LCFS Table'!$F65+'LCFS Table'!$AX65+'LCFS Table'!$AY65+'LCFS Table'!$AZ65+'LCFS Table'!$BA65+('LCFS Table'!$CQ65*0.9/(0.8/0.99)/100)+(DG65*'LCFS Table'!$AF65)+(DF65*'LCFS Table'!$AG65)</f>
        <v>0.30386210937499908</v>
      </c>
      <c r="I65" s="187">
        <f>('LCFS Table'!$V65+'LCFS Table'!$W65+'LCFS Table'!$X65)/100+(('LCFS Table'!$AI65+'LCFS Table'!$AJ65)/340)</f>
        <v>3.0712368585732173</v>
      </c>
      <c r="J65" s="187">
        <f>(('LCFS Table'!$Y65+'LCFS Table'!$Z65)/100)+(('LCFS Table'!$AM65+'LCFS Table'!$AN65)/300)</f>
        <v>3.1055316406250002</v>
      </c>
      <c r="K65" s="140">
        <f>'[1]Fuel Values'!$C64</f>
        <v>1.1996</v>
      </c>
      <c r="L65" s="140">
        <f>'[1]Fuel Values'!$B64</f>
        <v>333.7</v>
      </c>
      <c r="M65" s="185">
        <f>('LCFS Table'!$L65/100)-'LCFS Table'!$AX65-'LCFS Table'!$AY65-'LCFS Table'!$AZ65-'LCFS Table'!$BA65</f>
        <v>0.46365235665749993</v>
      </c>
      <c r="N65" s="140">
        <f>[1]BFT!$B64</f>
        <v>33.200000000000003</v>
      </c>
      <c r="O65" s="140">
        <f>[1]UCO!$B64</f>
        <v>28.5</v>
      </c>
      <c r="P65" s="140">
        <f>[1]DCO!$B64</f>
        <v>28.2</v>
      </c>
      <c r="Q65" s="140">
        <f>'[1]Soybean Oil'!$B64</f>
        <v>30.388000000000002</v>
      </c>
      <c r="R65" s="140">
        <f>'[1]Yellow Grease'!$B64</f>
        <v>24</v>
      </c>
      <c r="S65" s="185">
        <f>'LCFS Table'!$N65 + 'LCFS Table'!$AH65</f>
        <v>37.575000000000003</v>
      </c>
      <c r="T65" s="185">
        <f>'LCFS Table'!$Q65+'LCFS Table'!$AH65</f>
        <v>34.763000000000005</v>
      </c>
      <c r="U65" s="185">
        <f>'LCFS Table'!$P65+'LCFS Table'!$AH65</f>
        <v>32.575000000000003</v>
      </c>
      <c r="V65" s="185">
        <f>(('LCFS Table'!$S65/'LCFS Table'!$AA65)*'LCFS Table'!$AC65)*6.48</f>
        <v>129.51382978723407</v>
      </c>
      <c r="W65" s="185">
        <f>(('LCFS Table'!$O65/'LCFS Table'!$AA65)*'LCFS Table'!$AD65)*6.48</f>
        <v>49.11702127659575</v>
      </c>
      <c r="X65" s="185">
        <f>(('LCFS Table'!$U65/'LCFS Table'!$AA65)*'LCFS Table'!$AE65)*6.48</f>
        <v>56.139893617021293</v>
      </c>
      <c r="Y65" s="185">
        <f>(('LCFS Table'!$T65/'LCFS Table'!$AB65)*'LCFS Table'!$AF65)*7.35</f>
        <v>199.61566406250003</v>
      </c>
      <c r="Z65" s="185">
        <f>(('LCFS Table'!$R65/'LCFS Table'!$AB65)*'LCFS Table'!$AG65)*7.35</f>
        <v>45.9375</v>
      </c>
      <c r="AA65" s="138">
        <v>0.94</v>
      </c>
      <c r="AB65" s="138">
        <v>0.96</v>
      </c>
      <c r="AC65" s="138">
        <v>0.5</v>
      </c>
      <c r="AD65" s="138">
        <v>0.25</v>
      </c>
      <c r="AE65" s="138">
        <v>0.25</v>
      </c>
      <c r="AF65" s="138">
        <v>0.75</v>
      </c>
      <c r="AG65" s="138">
        <v>0.25</v>
      </c>
      <c r="AH65" s="139">
        <v>4.375</v>
      </c>
      <c r="AI65" s="139">
        <v>136</v>
      </c>
      <c r="AJ65" s="139">
        <v>110</v>
      </c>
      <c r="AK65" s="186">
        <f>('LCFS Table'!$AI65/340)*100</f>
        <v>40</v>
      </c>
      <c r="AL65" s="186">
        <f>('LCFS Table'!$AJ65/340)*100</f>
        <v>32.352941176470587</v>
      </c>
      <c r="AM65" s="139">
        <v>105</v>
      </c>
      <c r="AN65" s="139">
        <v>90</v>
      </c>
      <c r="AO65" s="139">
        <f>('LCFS Table'!$AM65/300)*100</f>
        <v>35</v>
      </c>
      <c r="AP65" s="139">
        <f>('LCFS Table'!$AN65/300)*100</f>
        <v>30</v>
      </c>
      <c r="AQ65" s="140">
        <v>189.7</v>
      </c>
      <c r="AR65" s="140">
        <v>0.50249999999999995</v>
      </c>
      <c r="AS65" s="185">
        <v>1.6388069104957463</v>
      </c>
      <c r="AT65" s="137">
        <v>0.16</v>
      </c>
      <c r="AU65" s="137">
        <v>1</v>
      </c>
      <c r="AV65" s="185">
        <f>'LCFS Table'!$AR65*1.7</f>
        <v>0.85424999999999984</v>
      </c>
      <c r="AW65" s="137">
        <v>0</v>
      </c>
      <c r="AX65" s="185">
        <v>1.1195976433424997</v>
      </c>
      <c r="AY65" s="137">
        <v>0</v>
      </c>
      <c r="AZ65" s="141">
        <v>1</v>
      </c>
      <c r="BA65" s="185">
        <f>'LCFS Table'!$AR65*1.5</f>
        <v>0.75374999999999992</v>
      </c>
      <c r="BB65" s="136">
        <v>1.2</v>
      </c>
      <c r="BC65" s="185">
        <f>'LCFS Table'!$AS65*'LCFS Table'!$BW65</f>
        <v>1.6388069104957463</v>
      </c>
      <c r="BD65" s="185">
        <f>'LCFS Table'!$AT65*'LCFS Table'!$BX65</f>
        <v>0</v>
      </c>
      <c r="BE65" s="185">
        <f>'LCFS Table'!$AU65*'LCFS Table'!$BY65</f>
        <v>1</v>
      </c>
      <c r="BF65" s="137">
        <f>'LCFS Table'!$AV65*'LCFS Table'!$BZ65</f>
        <v>0.85424999999999984</v>
      </c>
      <c r="BG65" s="137">
        <f>'LCFS Table'!$AW65*'LCFS Table'!$CA65</f>
        <v>0</v>
      </c>
      <c r="BH65" s="137">
        <f>'LCFS Table'!$AX65*'LCFS Table'!$CB65</f>
        <v>1.1195976433424997</v>
      </c>
      <c r="BI65" s="137">
        <f>'LCFS Table'!$AY65*'LCFS Table'!$CC65</f>
        <v>0</v>
      </c>
      <c r="BJ65" s="137">
        <f>'LCFS Table'!$AZ65*'LCFS Table'!$CD65</f>
        <v>1</v>
      </c>
      <c r="BK65" s="137">
        <f>'LCFS Table'!$BA65*'LCFS Table'!$CE65</f>
        <v>0.75374999999999992</v>
      </c>
      <c r="BL65" s="137">
        <f>'LCFS Table'!$BB65*'LCFS Table'!$CF65</f>
        <v>-1.2</v>
      </c>
      <c r="BM65" s="137">
        <f>'LCFS Table'!$AS65*'LCFS Table'!$CG65</f>
        <v>0</v>
      </c>
      <c r="BN65" s="137">
        <f>'LCFS Table'!$AT65*'LCFS Table'!$CH65</f>
        <v>0.16</v>
      </c>
      <c r="BO65" s="137">
        <f>'LCFS Table'!$AU65*'LCFS Table'!$CI65</f>
        <v>0</v>
      </c>
      <c r="BP65" s="137">
        <f>'LCFS Table'!$AV65*'LCFS Table'!$CJ65</f>
        <v>0</v>
      </c>
      <c r="BQ65" s="137">
        <f>'LCFS Table'!$AW65*'LCFS Table'!$CK65</f>
        <v>0</v>
      </c>
      <c r="BR65" s="137">
        <f>'LCFS Table'!$AX65*'LCFS Table'!$CL65</f>
        <v>0</v>
      </c>
      <c r="BS65" s="137">
        <f>'LCFS Table'!$AY65*'LCFS Table'!$CM65</f>
        <v>0</v>
      </c>
      <c r="BT65" s="137">
        <f>'LCFS Table'!$AZ65*'LCFS Table'!$CN65</f>
        <v>0</v>
      </c>
      <c r="BU65" s="137">
        <f>'LCFS Table'!$BA65*'LCFS Table'!$CO65</f>
        <v>0</v>
      </c>
      <c r="BV65" s="136">
        <f>'LCFS Table'!$BB65*'LCFS Table'!$CP65</f>
        <v>1.2</v>
      </c>
      <c r="BW65" s="138">
        <v>1</v>
      </c>
      <c r="BX65" s="138">
        <v>0</v>
      </c>
      <c r="BY65" s="138">
        <v>1</v>
      </c>
      <c r="BZ65" s="138">
        <v>1</v>
      </c>
      <c r="CA65" s="138">
        <v>-1</v>
      </c>
      <c r="CB65" s="138">
        <v>1</v>
      </c>
      <c r="CC65" s="138">
        <v>0</v>
      </c>
      <c r="CD65" s="138">
        <v>1</v>
      </c>
      <c r="CE65" s="138">
        <v>1</v>
      </c>
      <c r="CF65" s="138">
        <v>-1</v>
      </c>
      <c r="CG65" s="138">
        <f>1-'LCFS Table'!$BW65</f>
        <v>0</v>
      </c>
      <c r="CH65" s="138">
        <f>1-'LCFS Table'!$BX65</f>
        <v>1</v>
      </c>
      <c r="CI65" s="138">
        <f>1-'LCFS Table'!$BY65</f>
        <v>0</v>
      </c>
      <c r="CJ65" s="138">
        <f>1-'LCFS Table'!$BZ65</f>
        <v>0</v>
      </c>
      <c r="CK65" s="138">
        <f>-'LCFS Table'!$CA65</f>
        <v>1</v>
      </c>
      <c r="CL65" s="138">
        <f>1-'LCFS Table'!$CB65</f>
        <v>0</v>
      </c>
      <c r="CM65" s="138">
        <f>1-'LCFS Table'!$CC65</f>
        <v>1</v>
      </c>
      <c r="CN65" s="138">
        <f>1-'LCFS Table'!$CD65</f>
        <v>0</v>
      </c>
      <c r="CO65" s="138">
        <f>1-'LCFS Table'!$CE65</f>
        <v>0</v>
      </c>
      <c r="CP65" s="138">
        <f>-'LCFS Table'!$CF65</f>
        <v>1</v>
      </c>
      <c r="CQ65" s="140">
        <v>6.5</v>
      </c>
      <c r="CR65" s="165">
        <f>('LCFS Table'!$CQ65*0.9/(0.8/0.99)/100)</f>
        <v>7.2393749999999993E-2</v>
      </c>
      <c r="CS65" s="166"/>
      <c r="CT65" s="167"/>
      <c r="CW65" s="168">
        <f>'LCFS Table'!$K65-'LCFS Table'!$M65</f>
        <v>0.73594764334250007</v>
      </c>
      <c r="CX65" s="129">
        <f>MONTH('LCFS Table'!$B65)</f>
        <v>3</v>
      </c>
      <c r="CY65" s="129">
        <f>YEAR('LCFS Table'!$B65)</f>
        <v>2020</v>
      </c>
    </row>
    <row r="66" spans="1:103">
      <c r="A66" s="148">
        <v>43905</v>
      </c>
      <c r="B66" s="149">
        <v>43911</v>
      </c>
      <c r="C66" s="132">
        <f t="shared" si="0"/>
        <v>2020</v>
      </c>
      <c r="D66" s="182" t="s">
        <v>268</v>
      </c>
      <c r="E66" s="187">
        <f>'LCFS Table'!$K66-'LCFS Table'!$I66</f>
        <v>-1.8625177096370469</v>
      </c>
      <c r="F66" s="187">
        <f>('LCFS Table'!$M66)-'LCFS Table'!$J66</f>
        <v>-2.411175864587499</v>
      </c>
      <c r="G66" s="188">
        <f>'LCFS Table'!$E66+'LCFS Table'!$AS66+'LCFS Table'!$AT66+'LCFS Table'!$AU66+'LCFS Table'!$AV66</f>
        <v>1.6696724729061698</v>
      </c>
      <c r="H66" s="188">
        <f>'LCFS Table'!$F66+'LCFS Table'!$AX66+'LCFS Table'!$AY66+'LCFS Table'!$AZ66+'LCFS Table'!$BA66+('LCFS Table'!$CQ66*0.9/(0.8/0.99)/100)+(DG66*'LCFS Table'!$AF66)+(DF66*'LCFS Table'!$AG66)</f>
        <v>0.42998320312500077</v>
      </c>
      <c r="I66" s="187">
        <f>('LCFS Table'!$V66+'LCFS Table'!$W66+'LCFS Table'!$X66)/100+(('LCFS Table'!$AI66+'LCFS Table'!$AJ66)/340)</f>
        <v>2.8894177096370468</v>
      </c>
      <c r="J66" s="187">
        <f>(('LCFS Table'!$Y66+'LCFS Table'!$Z66)/100)+(('LCFS Table'!$AM66+'LCFS Table'!$AN66)/300)</f>
        <v>2.9924105468749995</v>
      </c>
      <c r="K66" s="140">
        <f>'[1]Fuel Values'!$C65</f>
        <v>1.0268999999999999</v>
      </c>
      <c r="L66" s="140">
        <f>'[1]Fuel Values'!$B65</f>
        <v>335</v>
      </c>
      <c r="M66" s="185">
        <f>('LCFS Table'!$L66/100)-'LCFS Table'!$AX66-'LCFS Table'!$AY66-'LCFS Table'!$AZ66-'LCFS Table'!$BA66</f>
        <v>0.58123468228750053</v>
      </c>
      <c r="N66" s="140">
        <f>[1]BFT!$B65</f>
        <v>28.4</v>
      </c>
      <c r="O66" s="140">
        <f>[1]UCO!$B65</f>
        <v>28.5</v>
      </c>
      <c r="P66" s="140">
        <f>[1]DCO!$B65</f>
        <v>27.25</v>
      </c>
      <c r="Q66" s="140">
        <f>'[1]Soybean Oil'!$B65</f>
        <v>28.417999999999999</v>
      </c>
      <c r="R66" s="140">
        <f>'[1]Yellow Grease'!$B65</f>
        <v>24</v>
      </c>
      <c r="S66" s="185">
        <f>'LCFS Table'!$N66 + 'LCFS Table'!$AH66</f>
        <v>32.774999999999999</v>
      </c>
      <c r="T66" s="185">
        <f>'LCFS Table'!$Q66+'LCFS Table'!$AH66</f>
        <v>32.792999999999999</v>
      </c>
      <c r="U66" s="185">
        <f>'LCFS Table'!$P66+'LCFS Table'!$AH66</f>
        <v>31.625</v>
      </c>
      <c r="V66" s="185">
        <f>(('LCFS Table'!$S66/'LCFS Table'!$AA66)*'LCFS Table'!$AC66)*6.48</f>
        <v>112.96914893617021</v>
      </c>
      <c r="W66" s="185">
        <f>(('LCFS Table'!$O66/'LCFS Table'!$AA66)*'LCFS Table'!$AD66)*6.48</f>
        <v>49.11702127659575</v>
      </c>
      <c r="X66" s="185">
        <f>(('LCFS Table'!$U66/'LCFS Table'!$AA66)*'LCFS Table'!$AE66)*6.48</f>
        <v>54.50265957446809</v>
      </c>
      <c r="Y66" s="185">
        <f>(('LCFS Table'!$T66/'LCFS Table'!$AB66)*'LCFS Table'!$AF66)*7.35</f>
        <v>188.30355468749997</v>
      </c>
      <c r="Z66" s="185">
        <f>(('LCFS Table'!$R66/'LCFS Table'!$AB66)*'LCFS Table'!$AG66)*7.35</f>
        <v>45.9375</v>
      </c>
      <c r="AA66" s="138">
        <v>0.94</v>
      </c>
      <c r="AB66" s="138">
        <v>0.96</v>
      </c>
      <c r="AC66" s="138">
        <v>0.5</v>
      </c>
      <c r="AD66" s="138">
        <v>0.25</v>
      </c>
      <c r="AE66" s="138">
        <v>0.25</v>
      </c>
      <c r="AF66" s="138">
        <v>0.75</v>
      </c>
      <c r="AG66" s="138">
        <v>0.25</v>
      </c>
      <c r="AH66" s="139">
        <v>4.375</v>
      </c>
      <c r="AI66" s="139">
        <v>136</v>
      </c>
      <c r="AJ66" s="139">
        <v>110</v>
      </c>
      <c r="AK66" s="186">
        <f>('LCFS Table'!$AI66/340)*100</f>
        <v>40</v>
      </c>
      <c r="AL66" s="186">
        <f>('LCFS Table'!$AJ66/340)*100</f>
        <v>32.352941176470587</v>
      </c>
      <c r="AM66" s="139">
        <v>105</v>
      </c>
      <c r="AN66" s="139">
        <v>90</v>
      </c>
      <c r="AO66" s="139">
        <f>('LCFS Table'!$AM66/300)*100</f>
        <v>35</v>
      </c>
      <c r="AP66" s="139">
        <f>('LCFS Table'!$AN66/300)*100</f>
        <v>30</v>
      </c>
      <c r="AQ66" s="140">
        <v>188.5</v>
      </c>
      <c r="AR66" s="140">
        <v>0.4375</v>
      </c>
      <c r="AS66" s="185">
        <v>1.6284401825432167</v>
      </c>
      <c r="AT66" s="137">
        <v>0.16</v>
      </c>
      <c r="AU66" s="137">
        <v>1</v>
      </c>
      <c r="AV66" s="185">
        <f>'LCFS Table'!$AR66*1.7</f>
        <v>0.74375000000000002</v>
      </c>
      <c r="AW66" s="137">
        <v>0</v>
      </c>
      <c r="AX66" s="185">
        <v>1.1125153177124998</v>
      </c>
      <c r="AY66" s="137">
        <v>0</v>
      </c>
      <c r="AZ66" s="141">
        <v>1</v>
      </c>
      <c r="BA66" s="185">
        <f>'LCFS Table'!$AR66*1.5</f>
        <v>0.65625</v>
      </c>
      <c r="BB66" s="136">
        <v>1.2</v>
      </c>
      <c r="BC66" s="185">
        <f>'LCFS Table'!$AS66*'LCFS Table'!$BW66</f>
        <v>1.6284401825432167</v>
      </c>
      <c r="BD66" s="185">
        <f>'LCFS Table'!$AT66*'LCFS Table'!$BX66</f>
        <v>0</v>
      </c>
      <c r="BE66" s="185">
        <f>'LCFS Table'!$AU66*'LCFS Table'!$BY66</f>
        <v>1</v>
      </c>
      <c r="BF66" s="137">
        <f>'LCFS Table'!$AV66*'LCFS Table'!$BZ66</f>
        <v>0.74375000000000002</v>
      </c>
      <c r="BG66" s="137">
        <f>'LCFS Table'!$AW66*'LCFS Table'!$CA66</f>
        <v>0</v>
      </c>
      <c r="BH66" s="137">
        <f>'LCFS Table'!$AX66*'LCFS Table'!$CB66</f>
        <v>1.1125153177124998</v>
      </c>
      <c r="BI66" s="137">
        <f>'LCFS Table'!$AY66*'LCFS Table'!$CC66</f>
        <v>0</v>
      </c>
      <c r="BJ66" s="137">
        <f>'LCFS Table'!$AZ66*'LCFS Table'!$CD66</f>
        <v>1</v>
      </c>
      <c r="BK66" s="137">
        <f>'LCFS Table'!$BA66*'LCFS Table'!$CE66</f>
        <v>0.65625</v>
      </c>
      <c r="BL66" s="137">
        <f>'LCFS Table'!$BB66*'LCFS Table'!$CF66</f>
        <v>-1.2</v>
      </c>
      <c r="BM66" s="137">
        <f>'LCFS Table'!$AS66*'LCFS Table'!$CG66</f>
        <v>0</v>
      </c>
      <c r="BN66" s="137">
        <f>'LCFS Table'!$AT66*'LCFS Table'!$CH66</f>
        <v>0.16</v>
      </c>
      <c r="BO66" s="137">
        <f>'LCFS Table'!$AU66*'LCFS Table'!$CI66</f>
        <v>0</v>
      </c>
      <c r="BP66" s="137">
        <f>'LCFS Table'!$AV66*'LCFS Table'!$CJ66</f>
        <v>0</v>
      </c>
      <c r="BQ66" s="137">
        <f>'LCFS Table'!$AW66*'LCFS Table'!$CK66</f>
        <v>0</v>
      </c>
      <c r="BR66" s="137">
        <f>'LCFS Table'!$AX66*'LCFS Table'!$CL66</f>
        <v>0</v>
      </c>
      <c r="BS66" s="137">
        <f>'LCFS Table'!$AY66*'LCFS Table'!$CM66</f>
        <v>0</v>
      </c>
      <c r="BT66" s="137">
        <f>'LCFS Table'!$AZ66*'LCFS Table'!$CN66</f>
        <v>0</v>
      </c>
      <c r="BU66" s="137">
        <f>'LCFS Table'!$BA66*'LCFS Table'!$CO66</f>
        <v>0</v>
      </c>
      <c r="BV66" s="136">
        <f>'LCFS Table'!$BB66*'LCFS Table'!$CP66</f>
        <v>1.2</v>
      </c>
      <c r="BW66" s="138">
        <v>1</v>
      </c>
      <c r="BX66" s="138">
        <v>0</v>
      </c>
      <c r="BY66" s="138">
        <v>1</v>
      </c>
      <c r="BZ66" s="138">
        <v>1</v>
      </c>
      <c r="CA66" s="138">
        <v>-1</v>
      </c>
      <c r="CB66" s="138">
        <v>1</v>
      </c>
      <c r="CC66" s="138">
        <v>0</v>
      </c>
      <c r="CD66" s="138">
        <v>1</v>
      </c>
      <c r="CE66" s="138">
        <v>1</v>
      </c>
      <c r="CF66" s="138">
        <v>-1</v>
      </c>
      <c r="CG66" s="138">
        <f>1-'LCFS Table'!$BW66</f>
        <v>0</v>
      </c>
      <c r="CH66" s="138">
        <f>1-'LCFS Table'!$BX66</f>
        <v>1</v>
      </c>
      <c r="CI66" s="138">
        <f>1-'LCFS Table'!$BY66</f>
        <v>0</v>
      </c>
      <c r="CJ66" s="138">
        <f>1-'LCFS Table'!$BZ66</f>
        <v>0</v>
      </c>
      <c r="CK66" s="138">
        <f>-'LCFS Table'!$CA66</f>
        <v>1</v>
      </c>
      <c r="CL66" s="138">
        <f>1-'LCFS Table'!$CB66</f>
        <v>0</v>
      </c>
      <c r="CM66" s="138">
        <f>1-'LCFS Table'!$CC66</f>
        <v>1</v>
      </c>
      <c r="CN66" s="138">
        <f>1-'LCFS Table'!$CD66</f>
        <v>0</v>
      </c>
      <c r="CO66" s="138">
        <f>1-'LCFS Table'!$CE66</f>
        <v>0</v>
      </c>
      <c r="CP66" s="138">
        <f>-'LCFS Table'!$CF66</f>
        <v>1</v>
      </c>
      <c r="CQ66" s="140">
        <v>6.5</v>
      </c>
      <c r="CR66" s="165">
        <f>('LCFS Table'!$CQ66*0.9/(0.8/0.99)/100)</f>
        <v>7.2393749999999993E-2</v>
      </c>
      <c r="CS66" s="166"/>
      <c r="CT66" s="167"/>
      <c r="CW66" s="168">
        <f>'LCFS Table'!$K66-'LCFS Table'!$M66</f>
        <v>0.4456653177124994</v>
      </c>
      <c r="CX66" s="129">
        <f>MONTH('LCFS Table'!$B66)</f>
        <v>3</v>
      </c>
      <c r="CY66" s="129">
        <f>YEAR('LCFS Table'!$B66)</f>
        <v>2020</v>
      </c>
    </row>
    <row r="67" spans="1:103">
      <c r="A67" s="148">
        <v>43912</v>
      </c>
      <c r="B67" s="149">
        <v>43918</v>
      </c>
      <c r="C67" s="132">
        <f t="shared" si="0"/>
        <v>2020</v>
      </c>
      <c r="D67" s="150" t="s">
        <v>269</v>
      </c>
      <c r="E67" s="187">
        <f>'LCFS Table'!$K67-'LCFS Table'!$I67</f>
        <v>-1.8133709011264085</v>
      </c>
      <c r="F67" s="187">
        <f>('LCFS Table'!$M67)-'LCFS Table'!$J67</f>
        <v>-2.6031510914762497</v>
      </c>
      <c r="G67" s="188">
        <f>'LCFS Table'!$E67+'LCFS Table'!$AS67+'LCFS Table'!$AT67+'LCFS Table'!$AU67+'LCFS Table'!$AV67</f>
        <v>1.8939711580390242</v>
      </c>
      <c r="H67" s="188">
        <f>'LCFS Table'!$F67+'LCFS Table'!$AX67+'LCFS Table'!$AY67+'LCFS Table'!$AZ67+'LCFS Table'!$BA67+('LCFS Table'!$CQ67*0.9/(0.8/0.99)/100)+(DG67*'LCFS Table'!$AF67)+(DF67*'LCFS Table'!$AG67)</f>
        <v>0.37612148437500031</v>
      </c>
      <c r="I67" s="187">
        <f>('LCFS Table'!$V67+'LCFS Table'!$W67+'LCFS Table'!$X67)/100+(('LCFS Table'!$AI67+'LCFS Table'!$AJ67)/340)</f>
        <v>2.8859709011264085</v>
      </c>
      <c r="J67" s="187">
        <f>(('LCFS Table'!$Y67+'LCFS Table'!$Z67)/100)+(('LCFS Table'!$AM67+'LCFS Table'!$AN67)/300)</f>
        <v>3.0462722656249999</v>
      </c>
      <c r="K67" s="140">
        <f>'[1]Fuel Values'!$C66</f>
        <v>1.0726</v>
      </c>
      <c r="L67" s="140">
        <f>'[1]Fuel Values'!$B66</f>
        <v>335</v>
      </c>
      <c r="M67" s="185">
        <f>('LCFS Table'!$L67/100)-'LCFS Table'!$AX67-'LCFS Table'!$AY67-'LCFS Table'!$AZ67-'LCFS Table'!$BA67</f>
        <v>0.44312117414875007</v>
      </c>
      <c r="N67" s="140">
        <f>[1]BFT!$B66</f>
        <v>28.4</v>
      </c>
      <c r="O67" s="140">
        <f>[1]UCO!$B66</f>
        <v>28.5</v>
      </c>
      <c r="P67" s="140">
        <f>[1]DCO!$B66</f>
        <v>27.05</v>
      </c>
      <c r="Q67" s="140">
        <f>'[1]Soybean Oil'!$B66</f>
        <v>29.556000000000001</v>
      </c>
      <c r="R67" s="140">
        <f>'[1]Yellow Grease'!$B66</f>
        <v>23.4</v>
      </c>
      <c r="S67" s="185">
        <f>'LCFS Table'!$N67 + 'LCFS Table'!$AH67</f>
        <v>32.774999999999999</v>
      </c>
      <c r="T67" s="185">
        <f>'LCFS Table'!$Q67+'LCFS Table'!$AH67</f>
        <v>33.930999999999997</v>
      </c>
      <c r="U67" s="185">
        <f>'LCFS Table'!$P67+'LCFS Table'!$AH67</f>
        <v>31.425000000000001</v>
      </c>
      <c r="V67" s="185">
        <f>(('LCFS Table'!$S67/'LCFS Table'!$AA67)*'LCFS Table'!$AC67)*6.48</f>
        <v>112.96914893617021</v>
      </c>
      <c r="W67" s="185">
        <f>(('LCFS Table'!$O67/'LCFS Table'!$AA67)*'LCFS Table'!$AD67)*6.48</f>
        <v>49.11702127659575</v>
      </c>
      <c r="X67" s="185">
        <f>(('LCFS Table'!$U67/'LCFS Table'!$AA67)*'LCFS Table'!$AE67)*6.48</f>
        <v>54.15797872340427</v>
      </c>
      <c r="Y67" s="185">
        <f>(('LCFS Table'!$T67/'LCFS Table'!$AB67)*'LCFS Table'!$AF67)*7.35</f>
        <v>194.8381640625</v>
      </c>
      <c r="Z67" s="185">
        <f>(('LCFS Table'!$R67/'LCFS Table'!$AB67)*'LCFS Table'!$AG67)*7.35</f>
        <v>44.7890625</v>
      </c>
      <c r="AA67" s="138">
        <v>0.94</v>
      </c>
      <c r="AB67" s="138">
        <v>0.96</v>
      </c>
      <c r="AC67" s="138">
        <v>0.5</v>
      </c>
      <c r="AD67" s="138">
        <v>0.25</v>
      </c>
      <c r="AE67" s="138">
        <v>0.25</v>
      </c>
      <c r="AF67" s="138">
        <v>0.75</v>
      </c>
      <c r="AG67" s="138">
        <v>0.25</v>
      </c>
      <c r="AH67" s="139">
        <v>4.375</v>
      </c>
      <c r="AI67" s="139">
        <v>136</v>
      </c>
      <c r="AJ67" s="139">
        <v>110</v>
      </c>
      <c r="AK67" s="186">
        <f>('LCFS Table'!$AI67/340)*100</f>
        <v>40</v>
      </c>
      <c r="AL67" s="186">
        <f>('LCFS Table'!$AJ67/340)*100</f>
        <v>32.352941176470587</v>
      </c>
      <c r="AM67" s="139">
        <v>105</v>
      </c>
      <c r="AN67" s="139">
        <v>90</v>
      </c>
      <c r="AO67" s="139">
        <f>('LCFS Table'!$AM67/300)*100</f>
        <v>35</v>
      </c>
      <c r="AP67" s="139">
        <f>('LCFS Table'!$AN67/300)*100</f>
        <v>30</v>
      </c>
      <c r="AQ67" s="140">
        <v>198.05</v>
      </c>
      <c r="AR67" s="140">
        <v>0.49200000000000005</v>
      </c>
      <c r="AS67" s="185">
        <v>1.7109420591654327</v>
      </c>
      <c r="AT67" s="137">
        <v>0.16</v>
      </c>
      <c r="AU67" s="137">
        <v>1</v>
      </c>
      <c r="AV67" s="185">
        <f>'LCFS Table'!$AR67*1.7</f>
        <v>0.83640000000000003</v>
      </c>
      <c r="AW67" s="137">
        <v>0</v>
      </c>
      <c r="AX67" s="185">
        <v>1.1688788258512499</v>
      </c>
      <c r="AY67" s="137">
        <v>0</v>
      </c>
      <c r="AZ67" s="141">
        <v>1</v>
      </c>
      <c r="BA67" s="185">
        <f>'LCFS Table'!$AR67*1.5</f>
        <v>0.7380000000000001</v>
      </c>
      <c r="BB67" s="136">
        <v>1.2</v>
      </c>
      <c r="BC67" s="185">
        <f>'LCFS Table'!$AS67*'LCFS Table'!$BW67</f>
        <v>1.7109420591654327</v>
      </c>
      <c r="BD67" s="185">
        <f>'LCFS Table'!$AT67*'LCFS Table'!$BX67</f>
        <v>0</v>
      </c>
      <c r="BE67" s="185">
        <f>'LCFS Table'!$AU67*'LCFS Table'!$BY67</f>
        <v>1</v>
      </c>
      <c r="BF67" s="137">
        <f>'LCFS Table'!$AV67*'LCFS Table'!$BZ67</f>
        <v>0.83640000000000003</v>
      </c>
      <c r="BG67" s="137">
        <f>'LCFS Table'!$AW67*'LCFS Table'!$CA67</f>
        <v>0</v>
      </c>
      <c r="BH67" s="137">
        <f>'LCFS Table'!$AX67*'LCFS Table'!$CB67</f>
        <v>1.1688788258512499</v>
      </c>
      <c r="BI67" s="137">
        <f>'LCFS Table'!$AY67*'LCFS Table'!$CC67</f>
        <v>0</v>
      </c>
      <c r="BJ67" s="137">
        <f>'LCFS Table'!$AZ67*'LCFS Table'!$CD67</f>
        <v>1</v>
      </c>
      <c r="BK67" s="137">
        <f>'LCFS Table'!$BA67*'LCFS Table'!$CE67</f>
        <v>0.7380000000000001</v>
      </c>
      <c r="BL67" s="137">
        <f>'LCFS Table'!$BB67*'LCFS Table'!$CF67</f>
        <v>-1.2</v>
      </c>
      <c r="BM67" s="137">
        <f>'LCFS Table'!$AS67*'LCFS Table'!$CG67</f>
        <v>0</v>
      </c>
      <c r="BN67" s="137">
        <f>'LCFS Table'!$AT67*'LCFS Table'!$CH67</f>
        <v>0.16</v>
      </c>
      <c r="BO67" s="137">
        <f>'LCFS Table'!$AU67*'LCFS Table'!$CI67</f>
        <v>0</v>
      </c>
      <c r="BP67" s="137">
        <f>'LCFS Table'!$AV67*'LCFS Table'!$CJ67</f>
        <v>0</v>
      </c>
      <c r="BQ67" s="137">
        <f>'LCFS Table'!$AW67*'LCFS Table'!$CK67</f>
        <v>0</v>
      </c>
      <c r="BR67" s="137">
        <f>'LCFS Table'!$AX67*'LCFS Table'!$CL67</f>
        <v>0</v>
      </c>
      <c r="BS67" s="137">
        <f>'LCFS Table'!$AY67*'LCFS Table'!$CM67</f>
        <v>0</v>
      </c>
      <c r="BT67" s="137">
        <f>'LCFS Table'!$AZ67*'LCFS Table'!$CN67</f>
        <v>0</v>
      </c>
      <c r="BU67" s="137">
        <f>'LCFS Table'!$BA67*'LCFS Table'!$CO67</f>
        <v>0</v>
      </c>
      <c r="BV67" s="136">
        <f>'LCFS Table'!$BB67*'LCFS Table'!$CP67</f>
        <v>1.2</v>
      </c>
      <c r="BW67" s="138">
        <v>1</v>
      </c>
      <c r="BX67" s="138">
        <v>0</v>
      </c>
      <c r="BY67" s="138">
        <v>1</v>
      </c>
      <c r="BZ67" s="138">
        <v>1</v>
      </c>
      <c r="CA67" s="138">
        <v>-1</v>
      </c>
      <c r="CB67" s="138">
        <v>1</v>
      </c>
      <c r="CC67" s="138">
        <v>0</v>
      </c>
      <c r="CD67" s="138">
        <v>1</v>
      </c>
      <c r="CE67" s="138">
        <v>1</v>
      </c>
      <c r="CF67" s="138">
        <v>-1</v>
      </c>
      <c r="CG67" s="138">
        <f>1-'LCFS Table'!$BW67</f>
        <v>0</v>
      </c>
      <c r="CH67" s="138">
        <f>1-'LCFS Table'!$BX67</f>
        <v>1</v>
      </c>
      <c r="CI67" s="138">
        <f>1-'LCFS Table'!$BY67</f>
        <v>0</v>
      </c>
      <c r="CJ67" s="138">
        <f>1-'LCFS Table'!$BZ67</f>
        <v>0</v>
      </c>
      <c r="CK67" s="138">
        <f>-'LCFS Table'!$CA67</f>
        <v>1</v>
      </c>
      <c r="CL67" s="138">
        <f>1-'LCFS Table'!$CB67</f>
        <v>0</v>
      </c>
      <c r="CM67" s="138">
        <f>1-'LCFS Table'!$CC67</f>
        <v>1</v>
      </c>
      <c r="CN67" s="138">
        <f>1-'LCFS Table'!$CD67</f>
        <v>0</v>
      </c>
      <c r="CO67" s="138">
        <f>1-'LCFS Table'!$CE67</f>
        <v>0</v>
      </c>
      <c r="CP67" s="138">
        <f>-'LCFS Table'!$CF67</f>
        <v>1</v>
      </c>
      <c r="CQ67" s="140">
        <v>6.5</v>
      </c>
      <c r="CR67" s="165">
        <f>('LCFS Table'!$CQ67*0.9/(0.8/0.99)/100)</f>
        <v>7.2393749999999993E-2</v>
      </c>
      <c r="CS67" s="166"/>
      <c r="CT67" s="167"/>
      <c r="CW67" s="168">
        <f>'LCFS Table'!$K67-'LCFS Table'!$M67</f>
        <v>0.62947882585124992</v>
      </c>
      <c r="CX67" s="129">
        <f>MONTH('LCFS Table'!$B67)</f>
        <v>3</v>
      </c>
      <c r="CY67" s="129">
        <f>YEAR('LCFS Table'!$B67)</f>
        <v>2020</v>
      </c>
    </row>
    <row r="68" spans="1:103">
      <c r="A68" s="148">
        <v>43919</v>
      </c>
      <c r="B68" s="149">
        <v>43925</v>
      </c>
      <c r="C68" s="132">
        <f t="shared" si="0"/>
        <v>2020</v>
      </c>
      <c r="D68" s="182" t="s">
        <v>270</v>
      </c>
      <c r="E68" s="187">
        <f>'LCFS Table'!$K68-'LCFS Table'!$I68</f>
        <v>-1.8381879224030044</v>
      </c>
      <c r="F68" s="187">
        <f>('LCFS Table'!$M68)-'LCFS Table'!$J68</f>
        <v>-2.5234492475968744</v>
      </c>
      <c r="G68" s="188">
        <f>'LCFS Table'!$E68+'LCFS Table'!$AS68+'LCFS Table'!$AT68+'LCFS Table'!$AU68+'LCFS Table'!$AV68</f>
        <v>1.827291862625378</v>
      </c>
      <c r="H68" s="188">
        <f>'LCFS Table'!$F68+'LCFS Table'!$AX68+'LCFS Table'!$AY68+'LCFS Table'!$AZ68+'LCFS Table'!$BA68+('LCFS Table'!$CQ68*0.9/(0.8/0.99)/100)+(DG68*'LCFS Table'!$AF68)+(DF68*'LCFS Table'!$AG68)</f>
        <v>0.43467304687500047</v>
      </c>
      <c r="I68" s="187">
        <f>('LCFS Table'!$V68+'LCFS Table'!$W68+'LCFS Table'!$X68)/100+(('LCFS Table'!$AI68+'LCFS Table'!$AJ68)/340)</f>
        <v>2.8540879224030045</v>
      </c>
      <c r="J68" s="187">
        <f>(('LCFS Table'!$Y68+'LCFS Table'!$Z68)/100)+(('LCFS Table'!$AM68+'LCFS Table'!$AN68)/300)</f>
        <v>3.0327207031249999</v>
      </c>
      <c r="K68" s="140">
        <f>'[1]Fuel Values'!$C67</f>
        <v>1.0159</v>
      </c>
      <c r="L68" s="140">
        <f>'[1]Fuel Values'!$B67</f>
        <v>339.5</v>
      </c>
      <c r="M68" s="185">
        <f>('LCFS Table'!$L68/100)-'LCFS Table'!$AX68-'LCFS Table'!$AY68-'LCFS Table'!$AZ68-'LCFS Table'!$BA68</f>
        <v>0.50927145552812536</v>
      </c>
      <c r="N68" s="140">
        <f>[1]BFT!$B67</f>
        <v>27</v>
      </c>
      <c r="O68" s="140">
        <f>[1]UCO!$B67</f>
        <v>28.5</v>
      </c>
      <c r="P68" s="140">
        <f>[1]DCO!$B67</f>
        <v>28</v>
      </c>
      <c r="Q68" s="140">
        <f>'[1]Soybean Oil'!$B67</f>
        <v>29.52</v>
      </c>
      <c r="R68" s="140">
        <f>'[1]Yellow Grease'!$B67</f>
        <v>22.8</v>
      </c>
      <c r="S68" s="185">
        <f>'LCFS Table'!$N68 + 'LCFS Table'!$AH68</f>
        <v>31.375</v>
      </c>
      <c r="T68" s="185">
        <f>'LCFS Table'!$Q68+'LCFS Table'!$AH68</f>
        <v>33.894999999999996</v>
      </c>
      <c r="U68" s="185">
        <f>'LCFS Table'!$P68+'LCFS Table'!$AH68</f>
        <v>32.375</v>
      </c>
      <c r="V68" s="185">
        <f>(('LCFS Table'!$S68/'LCFS Table'!$AA68)*'LCFS Table'!$AC68)*6.48</f>
        <v>108.14361702127663</v>
      </c>
      <c r="W68" s="185">
        <f>(('LCFS Table'!$O68/'LCFS Table'!$AA68)*'LCFS Table'!$AD68)*6.48</f>
        <v>49.11702127659575</v>
      </c>
      <c r="X68" s="185">
        <f>(('LCFS Table'!$U68/'LCFS Table'!$AA68)*'LCFS Table'!$AE68)*6.48</f>
        <v>55.795212765957459</v>
      </c>
      <c r="Y68" s="185">
        <f>(('LCFS Table'!$T68/'LCFS Table'!$AB68)*'LCFS Table'!$AF68)*7.35</f>
        <v>194.63144531249998</v>
      </c>
      <c r="Z68" s="185">
        <f>(('LCFS Table'!$R68/'LCFS Table'!$AB68)*'LCFS Table'!$AG68)*7.35</f>
        <v>43.640625</v>
      </c>
      <c r="AA68" s="138">
        <v>0.94</v>
      </c>
      <c r="AB68" s="138">
        <v>0.96</v>
      </c>
      <c r="AC68" s="138">
        <v>0.5</v>
      </c>
      <c r="AD68" s="138">
        <v>0.25</v>
      </c>
      <c r="AE68" s="138">
        <v>0.25</v>
      </c>
      <c r="AF68" s="138">
        <v>0.75</v>
      </c>
      <c r="AG68" s="138">
        <v>0.25</v>
      </c>
      <c r="AH68" s="139">
        <v>4.375</v>
      </c>
      <c r="AI68" s="139">
        <v>136</v>
      </c>
      <c r="AJ68" s="139">
        <v>110</v>
      </c>
      <c r="AK68" s="186">
        <f>('LCFS Table'!$AI68/340)*100</f>
        <v>40</v>
      </c>
      <c r="AL68" s="186">
        <f>('LCFS Table'!$AJ68/340)*100</f>
        <v>32.352941176470587</v>
      </c>
      <c r="AM68" s="139">
        <v>105</v>
      </c>
      <c r="AN68" s="139">
        <v>90</v>
      </c>
      <c r="AO68" s="139">
        <f>('LCFS Table'!$AM68/300)*100</f>
        <v>35</v>
      </c>
      <c r="AP68" s="139">
        <f>('LCFS Table'!$AN68/300)*100</f>
        <v>30</v>
      </c>
      <c r="AQ68" s="140">
        <v>188.875</v>
      </c>
      <c r="AR68" s="140">
        <v>0.51400000000000001</v>
      </c>
      <c r="AS68" s="185">
        <v>1.6316797850283824</v>
      </c>
      <c r="AT68" s="137">
        <v>0.16</v>
      </c>
      <c r="AU68" s="137">
        <v>1</v>
      </c>
      <c r="AV68" s="185">
        <f>'LCFS Table'!$AR68*1.7</f>
        <v>0.87380000000000002</v>
      </c>
      <c r="AW68" s="137">
        <v>0</v>
      </c>
      <c r="AX68" s="185">
        <v>1.1147285444718749</v>
      </c>
      <c r="AY68" s="137">
        <v>0</v>
      </c>
      <c r="AZ68" s="141">
        <v>1</v>
      </c>
      <c r="BA68" s="185">
        <f>'LCFS Table'!$AR68*1.5</f>
        <v>0.77100000000000002</v>
      </c>
      <c r="BB68" s="136">
        <v>1.2</v>
      </c>
      <c r="BC68" s="185">
        <f>'LCFS Table'!$AS68*'LCFS Table'!$BW68</f>
        <v>1.6316797850283824</v>
      </c>
      <c r="BD68" s="185">
        <f>'LCFS Table'!$AT68*'LCFS Table'!$BX68</f>
        <v>0</v>
      </c>
      <c r="BE68" s="185">
        <f>'LCFS Table'!$AU68*'LCFS Table'!$BY68</f>
        <v>1</v>
      </c>
      <c r="BF68" s="137">
        <f>'LCFS Table'!$AV68*'LCFS Table'!$BZ68</f>
        <v>0.87380000000000002</v>
      </c>
      <c r="BG68" s="137">
        <f>'LCFS Table'!$AW68*'LCFS Table'!$CA68</f>
        <v>0</v>
      </c>
      <c r="BH68" s="137">
        <f>'LCFS Table'!$AX68*'LCFS Table'!$CB68</f>
        <v>1.1147285444718749</v>
      </c>
      <c r="BI68" s="137">
        <f>'LCFS Table'!$AY68*'LCFS Table'!$CC68</f>
        <v>0</v>
      </c>
      <c r="BJ68" s="137">
        <f>'LCFS Table'!$AZ68*'LCFS Table'!$CD68</f>
        <v>1</v>
      </c>
      <c r="BK68" s="137">
        <f>'LCFS Table'!$BA68*'LCFS Table'!$CE68</f>
        <v>0.77100000000000002</v>
      </c>
      <c r="BL68" s="137">
        <f>'LCFS Table'!$BB68*'LCFS Table'!$CF68</f>
        <v>-1.2</v>
      </c>
      <c r="BM68" s="137">
        <f>'LCFS Table'!$AS68*'LCFS Table'!$CG68</f>
        <v>0</v>
      </c>
      <c r="BN68" s="137">
        <f>'LCFS Table'!$AT68*'LCFS Table'!$CH68</f>
        <v>0.16</v>
      </c>
      <c r="BO68" s="137">
        <f>'LCFS Table'!$AU68*'LCFS Table'!$CI68</f>
        <v>0</v>
      </c>
      <c r="BP68" s="137">
        <f>'LCFS Table'!$AV68*'LCFS Table'!$CJ68</f>
        <v>0</v>
      </c>
      <c r="BQ68" s="137">
        <f>'LCFS Table'!$AW68*'LCFS Table'!$CK68</f>
        <v>0</v>
      </c>
      <c r="BR68" s="137">
        <f>'LCFS Table'!$AX68*'LCFS Table'!$CL68</f>
        <v>0</v>
      </c>
      <c r="BS68" s="137">
        <f>'LCFS Table'!$AY68*'LCFS Table'!$CM68</f>
        <v>0</v>
      </c>
      <c r="BT68" s="137">
        <f>'LCFS Table'!$AZ68*'LCFS Table'!$CN68</f>
        <v>0</v>
      </c>
      <c r="BU68" s="137">
        <f>'LCFS Table'!$BA68*'LCFS Table'!$CO68</f>
        <v>0</v>
      </c>
      <c r="BV68" s="136">
        <f>'LCFS Table'!$BB68*'LCFS Table'!$CP68</f>
        <v>1.2</v>
      </c>
      <c r="BW68" s="138">
        <v>1</v>
      </c>
      <c r="BX68" s="138">
        <v>0</v>
      </c>
      <c r="BY68" s="138">
        <v>1</v>
      </c>
      <c r="BZ68" s="138">
        <v>1</v>
      </c>
      <c r="CA68" s="138">
        <v>-1</v>
      </c>
      <c r="CB68" s="138">
        <v>1</v>
      </c>
      <c r="CC68" s="138">
        <v>0</v>
      </c>
      <c r="CD68" s="138">
        <v>1</v>
      </c>
      <c r="CE68" s="138">
        <v>1</v>
      </c>
      <c r="CF68" s="138">
        <v>-1</v>
      </c>
      <c r="CG68" s="138">
        <f>1-'LCFS Table'!$BW68</f>
        <v>0</v>
      </c>
      <c r="CH68" s="138">
        <f>1-'LCFS Table'!$BX68</f>
        <v>1</v>
      </c>
      <c r="CI68" s="138">
        <f>1-'LCFS Table'!$BY68</f>
        <v>0</v>
      </c>
      <c r="CJ68" s="138">
        <f>1-'LCFS Table'!$BZ68</f>
        <v>0</v>
      </c>
      <c r="CK68" s="138">
        <f>-'LCFS Table'!$CA68</f>
        <v>1</v>
      </c>
      <c r="CL68" s="138">
        <f>1-'LCFS Table'!$CB68</f>
        <v>0</v>
      </c>
      <c r="CM68" s="138">
        <f>1-'LCFS Table'!$CC68</f>
        <v>1</v>
      </c>
      <c r="CN68" s="138">
        <f>1-'LCFS Table'!$CD68</f>
        <v>0</v>
      </c>
      <c r="CO68" s="138">
        <f>1-'LCFS Table'!$CE68</f>
        <v>0</v>
      </c>
      <c r="CP68" s="138">
        <f>-'LCFS Table'!$CF68</f>
        <v>1</v>
      </c>
      <c r="CQ68" s="140">
        <v>6.5</v>
      </c>
      <c r="CR68" s="165">
        <f>('LCFS Table'!$CQ68*0.9/(0.8/0.99)/100)</f>
        <v>7.2393749999999993E-2</v>
      </c>
      <c r="CS68" s="166"/>
      <c r="CT68" s="167"/>
      <c r="CW68" s="168">
        <f>'LCFS Table'!$K68-'LCFS Table'!$M68</f>
        <v>0.50662854447187466</v>
      </c>
      <c r="CX68" s="129">
        <f>MONTH('LCFS Table'!$B68)</f>
        <v>4</v>
      </c>
      <c r="CY68" s="129">
        <f>YEAR('LCFS Table'!$B68)</f>
        <v>2020</v>
      </c>
    </row>
    <row r="69" spans="1:103">
      <c r="A69" s="148">
        <v>43926</v>
      </c>
      <c r="B69" s="149">
        <v>43932</v>
      </c>
      <c r="C69" s="132">
        <f t="shared" ref="C69:C132" si="1">YEAR(B69)</f>
        <v>2020</v>
      </c>
      <c r="D69" s="150" t="s">
        <v>271</v>
      </c>
      <c r="E69" s="187">
        <f>'LCFS Table'!$K69-'LCFS Table'!$I69</f>
        <v>-1.8795357947434297</v>
      </c>
      <c r="F69" s="187">
        <f>('LCFS Table'!$M69)-'LCFS Table'!$J69</f>
        <v>-2.6103712360412503</v>
      </c>
      <c r="G69" s="188">
        <f>'LCFS Table'!$E69+'LCFS Table'!$AS69+'LCFS Table'!$AT69+'LCFS Table'!$AU69+'LCFS Table'!$AV69</f>
        <v>1.8543949285960606</v>
      </c>
      <c r="H69" s="188">
        <f>'LCFS Table'!$F69+'LCFS Table'!$AX69+'LCFS Table'!$AY69+'LCFS Table'!$AZ69+'LCFS Table'!$BA69+('LCFS Table'!$CQ69*0.9/(0.8/0.99)/100)+(DG69*'LCFS Table'!$AF69)+(DF69*'LCFS Table'!$AG69)</f>
        <v>0.40132499999999977</v>
      </c>
      <c r="I69" s="187">
        <f>('LCFS Table'!$V69+'LCFS Table'!$W69+'LCFS Table'!$X69)/100+(('LCFS Table'!$AI69+'LCFS Table'!$AJ69)/340)</f>
        <v>2.9036357947434297</v>
      </c>
      <c r="J69" s="187">
        <f>(('LCFS Table'!$Y69+'LCFS Table'!$Z69)/100)+(('LCFS Table'!$AM69+'LCFS Table'!$AN69)/300)</f>
        <v>3.0674609375000004</v>
      </c>
      <c r="K69" s="140">
        <f>'[1]Fuel Values'!$C68</f>
        <v>1.0241</v>
      </c>
      <c r="L69" s="140">
        <f>'[1]Fuel Values'!$B68</f>
        <v>339.5</v>
      </c>
      <c r="M69" s="185">
        <f>('LCFS Table'!$L69/100)-'LCFS Table'!$AX69-'LCFS Table'!$AY69-'LCFS Table'!$AZ69-'LCFS Table'!$BA69</f>
        <v>0.45708970145874994</v>
      </c>
      <c r="N69" s="140">
        <f>[1]BFT!$B68</f>
        <v>28</v>
      </c>
      <c r="O69" s="140">
        <f>[1]UCO!$B68</f>
        <v>28.5</v>
      </c>
      <c r="P69" s="140">
        <f>[1]DCO!$B68</f>
        <v>28.875</v>
      </c>
      <c r="Q69" s="140">
        <f>'[1]Soybean Oil'!$B68</f>
        <v>30.225000000000001</v>
      </c>
      <c r="R69" s="140">
        <f>'[1]Yellow Grease'!$B68</f>
        <v>22.5</v>
      </c>
      <c r="S69" s="185">
        <f>'LCFS Table'!$N69 + 'LCFS Table'!$AH69</f>
        <v>32.375</v>
      </c>
      <c r="T69" s="185">
        <f>'LCFS Table'!$Q69+'LCFS Table'!$AH69</f>
        <v>34.6</v>
      </c>
      <c r="U69" s="185">
        <f>'LCFS Table'!$P69+'LCFS Table'!$AH69</f>
        <v>33.25</v>
      </c>
      <c r="V69" s="185">
        <f>(('LCFS Table'!$S69/'LCFS Table'!$AA69)*'LCFS Table'!$AC69)*6.48</f>
        <v>111.59042553191492</v>
      </c>
      <c r="W69" s="185">
        <f>(('LCFS Table'!$O69/'LCFS Table'!$AA69)*'LCFS Table'!$AD69)*6.48</f>
        <v>49.11702127659575</v>
      </c>
      <c r="X69" s="185">
        <f>(('LCFS Table'!$U69/'LCFS Table'!$AA69)*'LCFS Table'!$AE69)*6.48</f>
        <v>57.303191489361708</v>
      </c>
      <c r="Y69" s="185">
        <f>(('LCFS Table'!$T69/'LCFS Table'!$AB69)*'LCFS Table'!$AF69)*7.35</f>
        <v>198.67968750000003</v>
      </c>
      <c r="Z69" s="185">
        <f>(('LCFS Table'!$R69/'LCFS Table'!$AB69)*'LCFS Table'!$AG69)*7.35</f>
        <v>43.06640625</v>
      </c>
      <c r="AA69" s="138">
        <v>0.94</v>
      </c>
      <c r="AB69" s="138">
        <v>0.96</v>
      </c>
      <c r="AC69" s="138">
        <v>0.5</v>
      </c>
      <c r="AD69" s="138">
        <v>0.25</v>
      </c>
      <c r="AE69" s="138">
        <v>0.25</v>
      </c>
      <c r="AF69" s="138">
        <v>0.75</v>
      </c>
      <c r="AG69" s="138">
        <v>0.25</v>
      </c>
      <c r="AH69" s="139">
        <v>4.375</v>
      </c>
      <c r="AI69" s="139">
        <v>136</v>
      </c>
      <c r="AJ69" s="139">
        <v>110</v>
      </c>
      <c r="AK69" s="186">
        <f>('LCFS Table'!$AI69/340)*100</f>
        <v>40</v>
      </c>
      <c r="AL69" s="186">
        <f>('LCFS Table'!$AJ69/340)*100</f>
        <v>32.352941176470587</v>
      </c>
      <c r="AM69" s="139">
        <v>105</v>
      </c>
      <c r="AN69" s="139">
        <v>90</v>
      </c>
      <c r="AO69" s="139">
        <f>('LCFS Table'!$AM69/300)*100</f>
        <v>35</v>
      </c>
      <c r="AP69" s="139">
        <f>('LCFS Table'!$AN69/300)*100</f>
        <v>30</v>
      </c>
      <c r="AQ69" s="140">
        <v>193.65</v>
      </c>
      <c r="AR69" s="140">
        <v>0.53</v>
      </c>
      <c r="AS69" s="185">
        <v>1.6729307233394903</v>
      </c>
      <c r="AT69" s="137">
        <v>0.16</v>
      </c>
      <c r="AU69" s="137">
        <v>1</v>
      </c>
      <c r="AV69" s="185">
        <f>'LCFS Table'!$AR69*1.7</f>
        <v>0.90100000000000002</v>
      </c>
      <c r="AW69" s="137">
        <v>0</v>
      </c>
      <c r="AX69" s="185">
        <v>1.14291029854125</v>
      </c>
      <c r="AY69" s="137">
        <v>0</v>
      </c>
      <c r="AZ69" s="141">
        <v>1</v>
      </c>
      <c r="BA69" s="185">
        <f>'LCFS Table'!$AR69*1.5</f>
        <v>0.79500000000000004</v>
      </c>
      <c r="BB69" s="136">
        <v>1.2</v>
      </c>
      <c r="BC69" s="185">
        <f>'LCFS Table'!$AS69*'LCFS Table'!$BW69</f>
        <v>1.6729307233394903</v>
      </c>
      <c r="BD69" s="185">
        <f>'LCFS Table'!$AT69*'LCFS Table'!$BX69</f>
        <v>0</v>
      </c>
      <c r="BE69" s="185">
        <f>'LCFS Table'!$AU69*'LCFS Table'!$BY69</f>
        <v>1</v>
      </c>
      <c r="BF69" s="137">
        <f>'LCFS Table'!$AV69*'LCFS Table'!$BZ69</f>
        <v>0.90100000000000002</v>
      </c>
      <c r="BG69" s="137">
        <f>'LCFS Table'!$AW69*'LCFS Table'!$CA69</f>
        <v>0</v>
      </c>
      <c r="BH69" s="137">
        <f>'LCFS Table'!$AX69*'LCFS Table'!$CB69</f>
        <v>1.14291029854125</v>
      </c>
      <c r="BI69" s="137">
        <f>'LCFS Table'!$AY69*'LCFS Table'!$CC69</f>
        <v>0</v>
      </c>
      <c r="BJ69" s="137">
        <f>'LCFS Table'!$AZ69*'LCFS Table'!$CD69</f>
        <v>1</v>
      </c>
      <c r="BK69" s="137">
        <f>'LCFS Table'!$BA69*'LCFS Table'!$CE69</f>
        <v>0.79500000000000004</v>
      </c>
      <c r="BL69" s="137">
        <f>'LCFS Table'!$BB69*'LCFS Table'!$CF69</f>
        <v>-1.2</v>
      </c>
      <c r="BM69" s="137">
        <f>'LCFS Table'!$AS69*'LCFS Table'!$CG69</f>
        <v>0</v>
      </c>
      <c r="BN69" s="137">
        <f>'LCFS Table'!$AT69*'LCFS Table'!$CH69</f>
        <v>0.16</v>
      </c>
      <c r="BO69" s="137">
        <f>'LCFS Table'!$AU69*'LCFS Table'!$CI69</f>
        <v>0</v>
      </c>
      <c r="BP69" s="137">
        <f>'LCFS Table'!$AV69*'LCFS Table'!$CJ69</f>
        <v>0</v>
      </c>
      <c r="BQ69" s="137">
        <f>'LCFS Table'!$AW69*'LCFS Table'!$CK69</f>
        <v>0</v>
      </c>
      <c r="BR69" s="137">
        <f>'LCFS Table'!$AX69*'LCFS Table'!$CL69</f>
        <v>0</v>
      </c>
      <c r="BS69" s="137">
        <f>'LCFS Table'!$AY69*'LCFS Table'!$CM69</f>
        <v>0</v>
      </c>
      <c r="BT69" s="137">
        <f>'LCFS Table'!$AZ69*'LCFS Table'!$CN69</f>
        <v>0</v>
      </c>
      <c r="BU69" s="137">
        <f>'LCFS Table'!$BA69*'LCFS Table'!$CO69</f>
        <v>0</v>
      </c>
      <c r="BV69" s="136">
        <f>'LCFS Table'!$BB69*'LCFS Table'!$CP69</f>
        <v>1.2</v>
      </c>
      <c r="BW69" s="138">
        <v>1</v>
      </c>
      <c r="BX69" s="138">
        <v>0</v>
      </c>
      <c r="BY69" s="138">
        <v>1</v>
      </c>
      <c r="BZ69" s="138">
        <v>1</v>
      </c>
      <c r="CA69" s="138">
        <v>-1</v>
      </c>
      <c r="CB69" s="138">
        <v>1</v>
      </c>
      <c r="CC69" s="138">
        <v>0</v>
      </c>
      <c r="CD69" s="138">
        <v>1</v>
      </c>
      <c r="CE69" s="138">
        <v>1</v>
      </c>
      <c r="CF69" s="138">
        <v>-1</v>
      </c>
      <c r="CG69" s="138">
        <f>1-'LCFS Table'!$BW69</f>
        <v>0</v>
      </c>
      <c r="CH69" s="138">
        <f>1-'LCFS Table'!$BX69</f>
        <v>1</v>
      </c>
      <c r="CI69" s="138">
        <f>1-'LCFS Table'!$BY69</f>
        <v>0</v>
      </c>
      <c r="CJ69" s="138">
        <f>1-'LCFS Table'!$BZ69</f>
        <v>0</v>
      </c>
      <c r="CK69" s="138">
        <f>-'LCFS Table'!$CA69</f>
        <v>1</v>
      </c>
      <c r="CL69" s="138">
        <f>1-'LCFS Table'!$CB69</f>
        <v>0</v>
      </c>
      <c r="CM69" s="138">
        <f>1-'LCFS Table'!$CC69</f>
        <v>1</v>
      </c>
      <c r="CN69" s="138">
        <f>1-'LCFS Table'!$CD69</f>
        <v>0</v>
      </c>
      <c r="CO69" s="138">
        <f>1-'LCFS Table'!$CE69</f>
        <v>0</v>
      </c>
      <c r="CP69" s="138">
        <f>-'LCFS Table'!$CF69</f>
        <v>1</v>
      </c>
      <c r="CQ69" s="140">
        <v>6.625</v>
      </c>
      <c r="CR69" s="165">
        <f>('LCFS Table'!$CQ69*0.9/(0.8/0.99)/100)</f>
        <v>7.3785937499999996E-2</v>
      </c>
      <c r="CS69" s="166"/>
      <c r="CT69" s="167"/>
      <c r="CW69" s="168">
        <f>'LCFS Table'!$K69-'LCFS Table'!$M69</f>
        <v>0.56701029854125007</v>
      </c>
      <c r="CX69" s="129">
        <f>MONTH('LCFS Table'!$B69)</f>
        <v>4</v>
      </c>
      <c r="CY69" s="129">
        <f>YEAR('LCFS Table'!$B69)</f>
        <v>2020</v>
      </c>
    </row>
    <row r="70" spans="1:103">
      <c r="A70" s="148">
        <v>43933</v>
      </c>
      <c r="B70" s="149">
        <v>43939</v>
      </c>
      <c r="C70" s="132">
        <f t="shared" si="1"/>
        <v>2020</v>
      </c>
      <c r="D70" s="182" t="s">
        <v>272</v>
      </c>
      <c r="E70" s="187">
        <f>'LCFS Table'!$K70-'LCFS Table'!$I70</f>
        <v>-1.9835666458072594</v>
      </c>
      <c r="F70" s="187">
        <f>('LCFS Table'!$M70)-'LCFS Table'!$J70</f>
        <v>-2.5373952797649997</v>
      </c>
      <c r="G70" s="188">
        <f>'LCFS Table'!$E70+'LCFS Table'!$AS70+'LCFS Table'!$AT70+'LCFS Table'!$AU70+'LCFS Table'!$AV70</f>
        <v>1.7397321305342088</v>
      </c>
      <c r="H70" s="188">
        <f>'LCFS Table'!$F70+'LCFS Table'!$AX70+'LCFS Table'!$AY70+'LCFS Table'!$AZ70+'LCFS Table'!$BA70+('LCFS Table'!$CQ70*0.9/(0.8/0.99)/100)+(DG70*'LCFS Table'!$AF70)+(DF70*'LCFS Table'!$AG70)</f>
        <v>0.46918242187500009</v>
      </c>
      <c r="I70" s="187">
        <f>('LCFS Table'!$V70+'LCFS Table'!$W70+'LCFS Table'!$X70)/100+(('LCFS Table'!$AI70+'LCFS Table'!$AJ70)/340)</f>
        <v>2.9445666458072592</v>
      </c>
      <c r="J70" s="187">
        <f>(('LCFS Table'!$Y70+'LCFS Table'!$Z70)/100)+(('LCFS Table'!$AM70+'LCFS Table'!$AN70)/300)</f>
        <v>3.0037800781250001</v>
      </c>
      <c r="K70" s="140">
        <f>'[1]Fuel Values'!$C69</f>
        <v>0.96099999999999997</v>
      </c>
      <c r="L70" s="140">
        <f>'[1]Fuel Values'!$B69</f>
        <v>339.5</v>
      </c>
      <c r="M70" s="185">
        <f>('LCFS Table'!$L70/100)-'LCFS Table'!$AX70-'LCFS Table'!$AY70-'LCFS Table'!$AZ70-'LCFS Table'!$BA70</f>
        <v>0.46638479836000046</v>
      </c>
      <c r="N70" s="140">
        <f>[1]BFT!$B69</f>
        <v>29</v>
      </c>
      <c r="O70" s="140">
        <f>[1]UCO!$B69</f>
        <v>28.5</v>
      </c>
      <c r="P70" s="140">
        <f>[1]DCO!$B69</f>
        <v>29.25</v>
      </c>
      <c r="Q70" s="140">
        <f>'[1]Soybean Oil'!$B69</f>
        <v>29.116</v>
      </c>
      <c r="R70" s="140">
        <f>'[1]Yellow Grease'!$B69</f>
        <v>22.5</v>
      </c>
      <c r="S70" s="185">
        <f>'LCFS Table'!$N70 + 'LCFS Table'!$AH70</f>
        <v>33.375</v>
      </c>
      <c r="T70" s="185">
        <f>'LCFS Table'!$Q70+'LCFS Table'!$AH70</f>
        <v>33.491</v>
      </c>
      <c r="U70" s="185">
        <f>'LCFS Table'!$P70+'LCFS Table'!$AH70</f>
        <v>33.625</v>
      </c>
      <c r="V70" s="185">
        <f>(('LCFS Table'!$S70/'LCFS Table'!$AA70)*'LCFS Table'!$AC70)*6.48</f>
        <v>115.03723404255321</v>
      </c>
      <c r="W70" s="185">
        <f>(('LCFS Table'!$O70/'LCFS Table'!$AA70)*'LCFS Table'!$AD70)*6.48</f>
        <v>49.11702127659575</v>
      </c>
      <c r="X70" s="185">
        <f>(('LCFS Table'!$U70/'LCFS Table'!$AA70)*'LCFS Table'!$AE70)*6.48</f>
        <v>57.949468085106389</v>
      </c>
      <c r="Y70" s="185">
        <f>(('LCFS Table'!$T70/'LCFS Table'!$AB70)*'LCFS Table'!$AF70)*7.35</f>
        <v>192.31160156250002</v>
      </c>
      <c r="Z70" s="185">
        <f>(('LCFS Table'!$R70/'LCFS Table'!$AB70)*'LCFS Table'!$AG70)*7.35</f>
        <v>43.06640625</v>
      </c>
      <c r="AA70" s="138">
        <v>0.94</v>
      </c>
      <c r="AB70" s="138">
        <v>0.96</v>
      </c>
      <c r="AC70" s="138">
        <v>0.5</v>
      </c>
      <c r="AD70" s="138">
        <v>0.25</v>
      </c>
      <c r="AE70" s="138">
        <v>0.25</v>
      </c>
      <c r="AF70" s="138">
        <v>0.75</v>
      </c>
      <c r="AG70" s="138">
        <v>0.25</v>
      </c>
      <c r="AH70" s="139">
        <v>4.375</v>
      </c>
      <c r="AI70" s="139">
        <v>136</v>
      </c>
      <c r="AJ70" s="139">
        <v>110</v>
      </c>
      <c r="AK70" s="186">
        <f>('LCFS Table'!$AI70/340)*100</f>
        <v>40</v>
      </c>
      <c r="AL70" s="186">
        <f>('LCFS Table'!$AJ70/340)*100</f>
        <v>32.352941176470587</v>
      </c>
      <c r="AM70" s="139">
        <v>105</v>
      </c>
      <c r="AN70" s="139">
        <v>90</v>
      </c>
      <c r="AO70" s="139">
        <f>('LCFS Table'!$AM70/300)*100</f>
        <v>35</v>
      </c>
      <c r="AP70" s="139">
        <f>('LCFS Table'!$AN70/300)*100</f>
        <v>30</v>
      </c>
      <c r="AQ70" s="140">
        <v>193.6</v>
      </c>
      <c r="AR70" s="140">
        <v>0.52400000000000002</v>
      </c>
      <c r="AS70" s="185">
        <v>1.6724987763414683</v>
      </c>
      <c r="AT70" s="137">
        <v>0.16</v>
      </c>
      <c r="AU70" s="137">
        <v>1</v>
      </c>
      <c r="AV70" s="185">
        <f>'LCFS Table'!$AR70*1.7</f>
        <v>0.89080000000000004</v>
      </c>
      <c r="AW70" s="137">
        <v>0</v>
      </c>
      <c r="AX70" s="185">
        <v>1.1426152016399997</v>
      </c>
      <c r="AY70" s="137">
        <v>0</v>
      </c>
      <c r="AZ70" s="141">
        <v>1</v>
      </c>
      <c r="BA70" s="185">
        <f>'LCFS Table'!$AR70*1.5</f>
        <v>0.78600000000000003</v>
      </c>
      <c r="BB70" s="136">
        <v>1.2</v>
      </c>
      <c r="BC70" s="185">
        <f>'LCFS Table'!$AS70*'LCFS Table'!$BW70</f>
        <v>1.6724987763414683</v>
      </c>
      <c r="BD70" s="185">
        <f>'LCFS Table'!$AT70*'LCFS Table'!$BX70</f>
        <v>0</v>
      </c>
      <c r="BE70" s="185">
        <f>'LCFS Table'!$AU70*'LCFS Table'!$BY70</f>
        <v>1</v>
      </c>
      <c r="BF70" s="137">
        <f>'LCFS Table'!$AV70*'LCFS Table'!$BZ70</f>
        <v>0.89080000000000004</v>
      </c>
      <c r="BG70" s="137">
        <f>'LCFS Table'!$AW70*'LCFS Table'!$CA70</f>
        <v>0</v>
      </c>
      <c r="BH70" s="137">
        <f>'LCFS Table'!$AX70*'LCFS Table'!$CB70</f>
        <v>1.1426152016399997</v>
      </c>
      <c r="BI70" s="137">
        <f>'LCFS Table'!$AY70*'LCFS Table'!$CC70</f>
        <v>0</v>
      </c>
      <c r="BJ70" s="137">
        <f>'LCFS Table'!$AZ70*'LCFS Table'!$CD70</f>
        <v>1</v>
      </c>
      <c r="BK70" s="137">
        <f>'LCFS Table'!$BA70*'LCFS Table'!$CE70</f>
        <v>0.78600000000000003</v>
      </c>
      <c r="BL70" s="137">
        <f>'LCFS Table'!$BB70*'LCFS Table'!$CF70</f>
        <v>-1.2</v>
      </c>
      <c r="BM70" s="137">
        <f>'LCFS Table'!$AS70*'LCFS Table'!$CG70</f>
        <v>0</v>
      </c>
      <c r="BN70" s="137">
        <f>'LCFS Table'!$AT70*'LCFS Table'!$CH70</f>
        <v>0.16</v>
      </c>
      <c r="BO70" s="137">
        <f>'LCFS Table'!$AU70*'LCFS Table'!$CI70</f>
        <v>0</v>
      </c>
      <c r="BP70" s="137">
        <f>'LCFS Table'!$AV70*'LCFS Table'!$CJ70</f>
        <v>0</v>
      </c>
      <c r="BQ70" s="137">
        <f>'LCFS Table'!$AW70*'LCFS Table'!$CK70</f>
        <v>0</v>
      </c>
      <c r="BR70" s="137">
        <f>'LCFS Table'!$AX70*'LCFS Table'!$CL70</f>
        <v>0</v>
      </c>
      <c r="BS70" s="137">
        <f>'LCFS Table'!$AY70*'LCFS Table'!$CM70</f>
        <v>0</v>
      </c>
      <c r="BT70" s="137">
        <f>'LCFS Table'!$AZ70*'LCFS Table'!$CN70</f>
        <v>0</v>
      </c>
      <c r="BU70" s="137">
        <f>'LCFS Table'!$BA70*'LCFS Table'!$CO70</f>
        <v>0</v>
      </c>
      <c r="BV70" s="136">
        <f>'LCFS Table'!$BB70*'LCFS Table'!$CP70</f>
        <v>1.2</v>
      </c>
      <c r="BW70" s="138">
        <v>1</v>
      </c>
      <c r="BX70" s="138">
        <v>0</v>
      </c>
      <c r="BY70" s="138">
        <v>1</v>
      </c>
      <c r="BZ70" s="138">
        <v>1</v>
      </c>
      <c r="CA70" s="138">
        <v>-1</v>
      </c>
      <c r="CB70" s="138">
        <v>1</v>
      </c>
      <c r="CC70" s="138">
        <v>0</v>
      </c>
      <c r="CD70" s="138">
        <v>1</v>
      </c>
      <c r="CE70" s="138">
        <v>1</v>
      </c>
      <c r="CF70" s="138">
        <v>-1</v>
      </c>
      <c r="CG70" s="138">
        <f>1-'LCFS Table'!$BW70</f>
        <v>0</v>
      </c>
      <c r="CH70" s="138">
        <f>1-'LCFS Table'!$BX70</f>
        <v>1</v>
      </c>
      <c r="CI70" s="138">
        <f>1-'LCFS Table'!$BY70</f>
        <v>0</v>
      </c>
      <c r="CJ70" s="138">
        <f>1-'LCFS Table'!$BZ70</f>
        <v>0</v>
      </c>
      <c r="CK70" s="138">
        <f>-'LCFS Table'!$CA70</f>
        <v>1</v>
      </c>
      <c r="CL70" s="138">
        <f>1-'LCFS Table'!$CB70</f>
        <v>0</v>
      </c>
      <c r="CM70" s="138">
        <f>1-'LCFS Table'!$CC70</f>
        <v>1</v>
      </c>
      <c r="CN70" s="138">
        <f>1-'LCFS Table'!$CD70</f>
        <v>0</v>
      </c>
      <c r="CO70" s="138">
        <f>1-'LCFS Table'!$CE70</f>
        <v>0</v>
      </c>
      <c r="CP70" s="138">
        <f>-'LCFS Table'!$CF70</f>
        <v>1</v>
      </c>
      <c r="CQ70" s="140">
        <v>7</v>
      </c>
      <c r="CR70" s="165">
        <f>('LCFS Table'!$CQ70*0.9/(0.8/0.99)/100)</f>
        <v>7.796249999999999E-2</v>
      </c>
      <c r="CS70" s="166"/>
      <c r="CT70" s="167"/>
      <c r="CW70" s="168">
        <f>'LCFS Table'!$K70-'LCFS Table'!$M70</f>
        <v>0.4946152016399995</v>
      </c>
      <c r="CX70" s="129">
        <f>MONTH('LCFS Table'!$B70)</f>
        <v>4</v>
      </c>
      <c r="CY70" s="129">
        <f>YEAR('LCFS Table'!$B70)</f>
        <v>2020</v>
      </c>
    </row>
    <row r="71" spans="1:103">
      <c r="A71" s="148">
        <v>43940</v>
      </c>
      <c r="B71" s="149">
        <v>43946</v>
      </c>
      <c r="C71" s="132">
        <f t="shared" si="1"/>
        <v>2020</v>
      </c>
      <c r="D71" s="182" t="s">
        <v>273</v>
      </c>
      <c r="E71" s="187">
        <f>'LCFS Table'!$K71-'LCFS Table'!$I71</f>
        <v>-2.3589219649561959</v>
      </c>
      <c r="F71" s="187">
        <f>('LCFS Table'!$M71)-'LCFS Table'!$J71</f>
        <v>-2.4638200920024995</v>
      </c>
      <c r="G71" s="188">
        <f>'LCFS Table'!$E71+'LCFS Table'!$AS71+'LCFS Table'!$AT71+'LCFS Table'!$AU71+'LCFS Table'!$AV71</f>
        <v>1.3473073414050514</v>
      </c>
      <c r="H71" s="188">
        <f>'LCFS Table'!$F71+'LCFS Table'!$AX71+'LCFS Table'!$AY71+'LCFS Table'!$AZ71+'LCFS Table'!$BA71+('LCFS Table'!$CQ71*0.9/(0.8/0.99)/100)+(DG71*'LCFS Table'!$AF71)+(DF71*'LCFS Table'!$AG71)</f>
        <v>0.53746664062500016</v>
      </c>
      <c r="I71" s="187">
        <f>('LCFS Table'!$V71+'LCFS Table'!$W71+'LCFS Table'!$X71)/100+(('LCFS Table'!$AI71+'LCFS Table'!$AJ71)/340)</f>
        <v>3.1143219649561957</v>
      </c>
      <c r="J71" s="187">
        <f>(('LCFS Table'!$Y71+'LCFS Table'!$Z71)/100)+(('LCFS Table'!$AM71+'LCFS Table'!$AN71)/300)</f>
        <v>2.9444058593749998</v>
      </c>
      <c r="K71" s="140">
        <f>'[1]Fuel Values'!$C70</f>
        <v>0.75539999999999996</v>
      </c>
      <c r="L71" s="140">
        <f>'[1]Fuel Values'!$B70</f>
        <v>339.5</v>
      </c>
      <c r="M71" s="185">
        <f>('LCFS Table'!$L71/100)-'LCFS Table'!$AX71-'LCFS Table'!$AY71-'LCFS Table'!$AZ71-'LCFS Table'!$BA71</f>
        <v>0.48058576737250036</v>
      </c>
      <c r="N71" s="140">
        <f>[1]BFT!$B70</f>
        <v>33.700000000000003</v>
      </c>
      <c r="O71" s="140">
        <f>[1]UCO!$B70</f>
        <v>28.5</v>
      </c>
      <c r="P71" s="140">
        <f>[1]DCO!$B70</f>
        <v>29.7</v>
      </c>
      <c r="Q71" s="140">
        <f>'[1]Soybean Oil'!$B70</f>
        <v>27.981999999999999</v>
      </c>
      <c r="R71" s="140">
        <f>'[1]Yellow Grease'!$B70</f>
        <v>22.8</v>
      </c>
      <c r="S71" s="185">
        <f>'LCFS Table'!$N71 + 'LCFS Table'!$AH71</f>
        <v>38.075000000000003</v>
      </c>
      <c r="T71" s="185">
        <f>'LCFS Table'!$Q71+'LCFS Table'!$AH71</f>
        <v>32.356999999999999</v>
      </c>
      <c r="U71" s="185">
        <f>'LCFS Table'!$P71+'LCFS Table'!$AH71</f>
        <v>34.075000000000003</v>
      </c>
      <c r="V71" s="185">
        <f>(('LCFS Table'!$S71/'LCFS Table'!$AA71)*'LCFS Table'!$AC71)*6.48</f>
        <v>131.23723404255321</v>
      </c>
      <c r="W71" s="185">
        <f>(('LCFS Table'!$O71/'LCFS Table'!$AA71)*'LCFS Table'!$AD71)*6.48</f>
        <v>49.11702127659575</v>
      </c>
      <c r="X71" s="185">
        <f>(('LCFS Table'!$U71/'LCFS Table'!$AA71)*'LCFS Table'!$AE71)*6.48</f>
        <v>58.725000000000016</v>
      </c>
      <c r="Y71" s="185">
        <f>(('LCFS Table'!$T71/'LCFS Table'!$AB71)*'LCFS Table'!$AF71)*7.35</f>
        <v>185.79996093749997</v>
      </c>
      <c r="Z71" s="185">
        <f>(('LCFS Table'!$R71/'LCFS Table'!$AB71)*'LCFS Table'!$AG71)*7.35</f>
        <v>43.640625</v>
      </c>
      <c r="AA71" s="138">
        <v>0.94</v>
      </c>
      <c r="AB71" s="138">
        <v>0.96</v>
      </c>
      <c r="AC71" s="138">
        <v>0.5</v>
      </c>
      <c r="AD71" s="138">
        <v>0.25</v>
      </c>
      <c r="AE71" s="138">
        <v>0.25</v>
      </c>
      <c r="AF71" s="138">
        <v>0.75</v>
      </c>
      <c r="AG71" s="138">
        <v>0.25</v>
      </c>
      <c r="AH71" s="139">
        <v>4.375</v>
      </c>
      <c r="AI71" s="139">
        <v>136</v>
      </c>
      <c r="AJ71" s="139">
        <v>110</v>
      </c>
      <c r="AK71" s="186">
        <f>('LCFS Table'!$AI71/340)*100</f>
        <v>40</v>
      </c>
      <c r="AL71" s="186">
        <f>('LCFS Table'!$AJ71/340)*100</f>
        <v>32.352941176470587</v>
      </c>
      <c r="AM71" s="139">
        <v>105</v>
      </c>
      <c r="AN71" s="139">
        <v>90</v>
      </c>
      <c r="AO71" s="139">
        <f>('LCFS Table'!$AM71/300)*100</f>
        <v>35</v>
      </c>
      <c r="AP71" s="139">
        <f>('LCFS Table'!$AN71/300)*100</f>
        <v>30</v>
      </c>
      <c r="AQ71" s="140">
        <v>193.1</v>
      </c>
      <c r="AR71" s="140">
        <v>0.51649999999999996</v>
      </c>
      <c r="AS71" s="185">
        <v>1.6681793063612473</v>
      </c>
      <c r="AT71" s="137">
        <v>0.16</v>
      </c>
      <c r="AU71" s="137">
        <v>1</v>
      </c>
      <c r="AV71" s="185">
        <f>'LCFS Table'!$AR71*1.7</f>
        <v>0.87804999999999989</v>
      </c>
      <c r="AW71" s="137">
        <v>0</v>
      </c>
      <c r="AX71" s="185">
        <v>1.1396642326274997</v>
      </c>
      <c r="AY71" s="137">
        <v>0</v>
      </c>
      <c r="AZ71" s="141">
        <v>1</v>
      </c>
      <c r="BA71" s="185">
        <f>'LCFS Table'!$AR71*1.5</f>
        <v>0.77474999999999994</v>
      </c>
      <c r="BB71" s="136">
        <v>1.2</v>
      </c>
      <c r="BC71" s="185">
        <f>'LCFS Table'!$AS71*'LCFS Table'!$BW71</f>
        <v>1.6681793063612473</v>
      </c>
      <c r="BD71" s="185">
        <f>'LCFS Table'!$AT71*'LCFS Table'!$BX71</f>
        <v>0</v>
      </c>
      <c r="BE71" s="185">
        <f>'LCFS Table'!$AU71*'LCFS Table'!$BY71</f>
        <v>1</v>
      </c>
      <c r="BF71" s="137">
        <f>'LCFS Table'!$AV71*'LCFS Table'!$BZ71</f>
        <v>0.87804999999999989</v>
      </c>
      <c r="BG71" s="137">
        <f>'LCFS Table'!$AW71*'LCFS Table'!$CA71</f>
        <v>0</v>
      </c>
      <c r="BH71" s="137">
        <f>'LCFS Table'!$AX71*'LCFS Table'!$CB71</f>
        <v>1.1396642326274997</v>
      </c>
      <c r="BI71" s="137">
        <f>'LCFS Table'!$AY71*'LCFS Table'!$CC71</f>
        <v>0</v>
      </c>
      <c r="BJ71" s="137">
        <f>'LCFS Table'!$AZ71*'LCFS Table'!$CD71</f>
        <v>1</v>
      </c>
      <c r="BK71" s="137">
        <f>'LCFS Table'!$BA71*'LCFS Table'!$CE71</f>
        <v>0.77474999999999994</v>
      </c>
      <c r="BL71" s="137">
        <f>'LCFS Table'!$BB71*'LCFS Table'!$CF71</f>
        <v>-1.2</v>
      </c>
      <c r="BM71" s="137">
        <f>'LCFS Table'!$AS71*'LCFS Table'!$CG71</f>
        <v>0</v>
      </c>
      <c r="BN71" s="137">
        <f>'LCFS Table'!$AT71*'LCFS Table'!$CH71</f>
        <v>0.16</v>
      </c>
      <c r="BO71" s="137">
        <f>'LCFS Table'!$AU71*'LCFS Table'!$CI71</f>
        <v>0</v>
      </c>
      <c r="BP71" s="137">
        <f>'LCFS Table'!$AV71*'LCFS Table'!$CJ71</f>
        <v>0</v>
      </c>
      <c r="BQ71" s="137">
        <f>'LCFS Table'!$AW71*'LCFS Table'!$CK71</f>
        <v>0</v>
      </c>
      <c r="BR71" s="137">
        <f>'LCFS Table'!$AX71*'LCFS Table'!$CL71</f>
        <v>0</v>
      </c>
      <c r="BS71" s="137">
        <f>'LCFS Table'!$AY71*'LCFS Table'!$CM71</f>
        <v>0</v>
      </c>
      <c r="BT71" s="137">
        <f>'LCFS Table'!$AZ71*'LCFS Table'!$CN71</f>
        <v>0</v>
      </c>
      <c r="BU71" s="137">
        <f>'LCFS Table'!$BA71*'LCFS Table'!$CO71</f>
        <v>0</v>
      </c>
      <c r="BV71" s="136">
        <f>'LCFS Table'!$BB71*'LCFS Table'!$CP71</f>
        <v>1.2</v>
      </c>
      <c r="BW71" s="138">
        <v>1</v>
      </c>
      <c r="BX71" s="138">
        <v>0</v>
      </c>
      <c r="BY71" s="138">
        <v>1</v>
      </c>
      <c r="BZ71" s="138">
        <v>1</v>
      </c>
      <c r="CA71" s="138">
        <v>-1</v>
      </c>
      <c r="CB71" s="138">
        <v>1</v>
      </c>
      <c r="CC71" s="138">
        <v>0</v>
      </c>
      <c r="CD71" s="138">
        <v>1</v>
      </c>
      <c r="CE71" s="138">
        <v>1</v>
      </c>
      <c r="CF71" s="138">
        <v>-1</v>
      </c>
      <c r="CG71" s="138">
        <f>1-'LCFS Table'!$BW71</f>
        <v>0</v>
      </c>
      <c r="CH71" s="138">
        <f>1-'LCFS Table'!$BX71</f>
        <v>1</v>
      </c>
      <c r="CI71" s="138">
        <f>1-'LCFS Table'!$BY71</f>
        <v>0</v>
      </c>
      <c r="CJ71" s="138">
        <f>1-'LCFS Table'!$BZ71</f>
        <v>0</v>
      </c>
      <c r="CK71" s="138">
        <f>-'LCFS Table'!$CA71</f>
        <v>1</v>
      </c>
      <c r="CL71" s="138">
        <f>1-'LCFS Table'!$CB71</f>
        <v>0</v>
      </c>
      <c r="CM71" s="138">
        <f>1-'LCFS Table'!$CC71</f>
        <v>1</v>
      </c>
      <c r="CN71" s="138">
        <f>1-'LCFS Table'!$CD71</f>
        <v>0</v>
      </c>
      <c r="CO71" s="138">
        <f>1-'LCFS Table'!$CE71</f>
        <v>0</v>
      </c>
      <c r="CP71" s="138">
        <f>-'LCFS Table'!$CF71</f>
        <v>1</v>
      </c>
      <c r="CQ71" s="140">
        <v>7.8</v>
      </c>
      <c r="CR71" s="165">
        <f>('LCFS Table'!$CQ71*0.9/(0.8/0.99)/100)</f>
        <v>8.6872499999999991E-2</v>
      </c>
      <c r="CS71" s="166"/>
      <c r="CT71" s="167"/>
      <c r="CW71" s="168">
        <f>'LCFS Table'!$K71-'LCFS Table'!$M71</f>
        <v>0.2748142326274996</v>
      </c>
      <c r="CX71" s="129">
        <f>MONTH('LCFS Table'!$B71)</f>
        <v>4</v>
      </c>
      <c r="CY71" s="129">
        <f>YEAR('LCFS Table'!$B71)</f>
        <v>2020</v>
      </c>
    </row>
    <row r="72" spans="1:103">
      <c r="A72" s="148">
        <v>43947</v>
      </c>
      <c r="B72" s="149">
        <v>43953</v>
      </c>
      <c r="C72" s="132">
        <f t="shared" si="1"/>
        <v>2020</v>
      </c>
      <c r="D72" s="150" t="s">
        <v>274</v>
      </c>
      <c r="E72" s="187">
        <f>'LCFS Table'!$K72-'LCFS Table'!$I72</f>
        <v>-2.416792177722153</v>
      </c>
      <c r="F72" s="187">
        <f>('LCFS Table'!$M72)-'LCFS Table'!$J72</f>
        <v>-2.4884767175274995</v>
      </c>
      <c r="G72" s="188">
        <f>'LCFS Table'!$E72+'LCFS Table'!$AS72+'LCFS Table'!$AT72+'LCFS Table'!$AU72+'LCFS Table'!$AV72</f>
        <v>1.3065760685995356</v>
      </c>
      <c r="H72" s="188">
        <f>'LCFS Table'!$F72+'LCFS Table'!$AX72+'LCFS Table'!$AY72+'LCFS Table'!$AZ72+'LCFS Table'!$BA72+('LCFS Table'!$CQ72*0.9/(0.8/0.99)/100)+(DG72*'LCFS Table'!$AF72)+(DF72*'LCFS Table'!$AG72)</f>
        <v>0.52843945312500007</v>
      </c>
      <c r="I72" s="187">
        <f>('LCFS Table'!$V72+'LCFS Table'!$W72+'LCFS Table'!$X72)/100+(('LCFS Table'!$AI72+'LCFS Table'!$AJ72)/340)</f>
        <v>3.1194921777221531</v>
      </c>
      <c r="J72" s="187">
        <f>(('LCFS Table'!$Y72+'LCFS Table'!$Z72)/100)+(('LCFS Table'!$AM72+'LCFS Table'!$AN72)/300)</f>
        <v>2.9556605468749999</v>
      </c>
      <c r="K72" s="140">
        <f>'[1]Fuel Values'!$C71</f>
        <v>0.70269999999999999</v>
      </c>
      <c r="L72" s="140">
        <f>'[1]Fuel Values'!$B71</f>
        <v>339.5</v>
      </c>
      <c r="M72" s="185">
        <f>('LCFS Table'!$L72/100)-'LCFS Table'!$AX72-'LCFS Table'!$AY72-'LCFS Table'!$AZ72-'LCFS Table'!$BA72</f>
        <v>0.46718382934750036</v>
      </c>
      <c r="N72" s="140">
        <f>[1]BFT!$B71</f>
        <v>34.5</v>
      </c>
      <c r="O72" s="140">
        <f>[1]UCO!$B71</f>
        <v>28.5</v>
      </c>
      <c r="P72" s="140">
        <f>[1]DCO!$B71</f>
        <v>28.4</v>
      </c>
      <c r="Q72" s="140">
        <f>'[1]Soybean Oil'!$B71</f>
        <v>27.777999999999999</v>
      </c>
      <c r="R72" s="140">
        <f>'[1]Yellow Grease'!$B71</f>
        <v>24</v>
      </c>
      <c r="S72" s="185">
        <f>'LCFS Table'!$N72 + 'LCFS Table'!$AH72</f>
        <v>38.875</v>
      </c>
      <c r="T72" s="185">
        <f>'LCFS Table'!$Q72+'LCFS Table'!$AH72</f>
        <v>32.152999999999999</v>
      </c>
      <c r="U72" s="185">
        <f>'LCFS Table'!$P72+'LCFS Table'!$AH72</f>
        <v>32.774999999999999</v>
      </c>
      <c r="V72" s="185">
        <f>(('LCFS Table'!$S72/'LCFS Table'!$AA72)*'LCFS Table'!$AC72)*6.48</f>
        <v>133.99468085106386</v>
      </c>
      <c r="W72" s="185">
        <f>(('LCFS Table'!$O72/'LCFS Table'!$AA72)*'LCFS Table'!$AD72)*6.48</f>
        <v>49.11702127659575</v>
      </c>
      <c r="X72" s="185">
        <f>(('LCFS Table'!$U72/'LCFS Table'!$AA72)*'LCFS Table'!$AE72)*6.48</f>
        <v>56.484574468085107</v>
      </c>
      <c r="Y72" s="185">
        <f>(('LCFS Table'!$T72/'LCFS Table'!$AB72)*'LCFS Table'!$AF72)*7.35</f>
        <v>184.62855468750001</v>
      </c>
      <c r="Z72" s="185">
        <f>(('LCFS Table'!$R72/'LCFS Table'!$AB72)*'LCFS Table'!$AG72)*7.35</f>
        <v>45.9375</v>
      </c>
      <c r="AA72" s="138">
        <v>0.94</v>
      </c>
      <c r="AB72" s="138">
        <v>0.96</v>
      </c>
      <c r="AC72" s="138">
        <v>0.5</v>
      </c>
      <c r="AD72" s="138">
        <v>0.25</v>
      </c>
      <c r="AE72" s="138">
        <v>0.25</v>
      </c>
      <c r="AF72" s="138">
        <v>0.75</v>
      </c>
      <c r="AG72" s="138">
        <v>0.25</v>
      </c>
      <c r="AH72" s="139">
        <v>4.375</v>
      </c>
      <c r="AI72" s="139">
        <v>136</v>
      </c>
      <c r="AJ72" s="139">
        <v>110</v>
      </c>
      <c r="AK72" s="186">
        <f>('LCFS Table'!$AI72/340)*100</f>
        <v>40</v>
      </c>
      <c r="AL72" s="186">
        <f>('LCFS Table'!$AJ72/340)*100</f>
        <v>32.352941176470587</v>
      </c>
      <c r="AM72" s="139">
        <v>105</v>
      </c>
      <c r="AN72" s="139">
        <v>90</v>
      </c>
      <c r="AO72" s="139">
        <f>('LCFS Table'!$AM72/300)*100</f>
        <v>35</v>
      </c>
      <c r="AP72" s="139">
        <f>('LCFS Table'!$AN72/300)*100</f>
        <v>30</v>
      </c>
      <c r="AQ72" s="140">
        <v>194.1</v>
      </c>
      <c r="AR72" s="140">
        <v>0.52149999999999996</v>
      </c>
      <c r="AS72" s="185">
        <v>1.6768182463216887</v>
      </c>
      <c r="AT72" s="137">
        <v>0.16</v>
      </c>
      <c r="AU72" s="137">
        <v>1</v>
      </c>
      <c r="AV72" s="185">
        <f>'LCFS Table'!$AR72*1.7</f>
        <v>0.88654999999999995</v>
      </c>
      <c r="AW72" s="137">
        <v>0</v>
      </c>
      <c r="AX72" s="185">
        <v>1.1455661706524998</v>
      </c>
      <c r="AY72" s="137">
        <v>0</v>
      </c>
      <c r="AZ72" s="141">
        <v>1</v>
      </c>
      <c r="BA72" s="185">
        <f>'LCFS Table'!$AR72*1.5</f>
        <v>0.78224999999999989</v>
      </c>
      <c r="BB72" s="142">
        <v>1.2</v>
      </c>
      <c r="BC72" s="185">
        <f>'LCFS Table'!$AS72*'LCFS Table'!$BW72</f>
        <v>1.6768182463216887</v>
      </c>
      <c r="BD72" s="185">
        <f>'LCFS Table'!$AT72*'LCFS Table'!$BX72</f>
        <v>0</v>
      </c>
      <c r="BE72" s="185">
        <f>'LCFS Table'!$AU72*'LCFS Table'!$BY72</f>
        <v>1</v>
      </c>
      <c r="BF72" s="137">
        <f>'LCFS Table'!$AV72*'LCFS Table'!$BZ72</f>
        <v>0.88654999999999995</v>
      </c>
      <c r="BG72" s="137">
        <f>'LCFS Table'!$AW72*'LCFS Table'!$CA72</f>
        <v>0</v>
      </c>
      <c r="BH72" s="137">
        <f>'LCFS Table'!$AX72*'LCFS Table'!$CB72</f>
        <v>1.1455661706524998</v>
      </c>
      <c r="BI72" s="137">
        <f>'LCFS Table'!$AY72*'LCFS Table'!$CC72</f>
        <v>0</v>
      </c>
      <c r="BJ72" s="137">
        <f>'LCFS Table'!$AZ72*'LCFS Table'!$CD72</f>
        <v>1</v>
      </c>
      <c r="BK72" s="137">
        <f>'LCFS Table'!$BA72*'LCFS Table'!$CE72</f>
        <v>0.78224999999999989</v>
      </c>
      <c r="BL72" s="137">
        <f>'LCFS Table'!$BB72*'LCFS Table'!$CF72</f>
        <v>-1.2</v>
      </c>
      <c r="BM72" s="137">
        <f>'LCFS Table'!$AS72*'LCFS Table'!$CG72</f>
        <v>0</v>
      </c>
      <c r="BN72" s="137">
        <f>'LCFS Table'!$AT72*'LCFS Table'!$CH72</f>
        <v>0.16</v>
      </c>
      <c r="BO72" s="137">
        <f>'LCFS Table'!$AU72*'LCFS Table'!$CI72</f>
        <v>0</v>
      </c>
      <c r="BP72" s="137">
        <f>'LCFS Table'!$AV72*'LCFS Table'!$CJ72</f>
        <v>0</v>
      </c>
      <c r="BQ72" s="137">
        <f>'LCFS Table'!$AW72*'LCFS Table'!$CK72</f>
        <v>0</v>
      </c>
      <c r="BR72" s="137">
        <f>'LCFS Table'!$AX72*'LCFS Table'!$CL72</f>
        <v>0</v>
      </c>
      <c r="BS72" s="137">
        <f>'LCFS Table'!$AY72*'LCFS Table'!$CM72</f>
        <v>0</v>
      </c>
      <c r="BT72" s="137">
        <f>'LCFS Table'!$AZ72*'LCFS Table'!$CN72</f>
        <v>0</v>
      </c>
      <c r="BU72" s="137">
        <f>'LCFS Table'!$BA72*'LCFS Table'!$CO72</f>
        <v>0</v>
      </c>
      <c r="BV72" s="142">
        <f>'LCFS Table'!$BB72*'LCFS Table'!$CP72</f>
        <v>1.2</v>
      </c>
      <c r="BW72" s="138">
        <v>1</v>
      </c>
      <c r="BX72" s="138">
        <v>0</v>
      </c>
      <c r="BY72" s="138">
        <v>1</v>
      </c>
      <c r="BZ72" s="138">
        <v>1</v>
      </c>
      <c r="CA72" s="138">
        <v>-1</v>
      </c>
      <c r="CB72" s="138">
        <v>1</v>
      </c>
      <c r="CC72" s="138">
        <v>0</v>
      </c>
      <c r="CD72" s="138">
        <v>1</v>
      </c>
      <c r="CE72" s="138">
        <v>1</v>
      </c>
      <c r="CF72" s="138">
        <v>-1</v>
      </c>
      <c r="CG72" s="138">
        <f>1-'LCFS Table'!$BW72</f>
        <v>0</v>
      </c>
      <c r="CH72" s="138">
        <f>1-'LCFS Table'!$BX72</f>
        <v>1</v>
      </c>
      <c r="CI72" s="138">
        <f>1-'LCFS Table'!$BY72</f>
        <v>0</v>
      </c>
      <c r="CJ72" s="138">
        <f>1-'LCFS Table'!$BZ72</f>
        <v>0</v>
      </c>
      <c r="CK72" s="138">
        <f>-'LCFS Table'!$CA72</f>
        <v>1</v>
      </c>
      <c r="CL72" s="138">
        <f>1-'LCFS Table'!$CB72</f>
        <v>0</v>
      </c>
      <c r="CM72" s="138">
        <f>1-'LCFS Table'!$CC72</f>
        <v>1</v>
      </c>
      <c r="CN72" s="138">
        <f>1-'LCFS Table'!$CD72</f>
        <v>0</v>
      </c>
      <c r="CO72" s="138">
        <f>1-'LCFS Table'!$CE72</f>
        <v>0</v>
      </c>
      <c r="CP72" s="138">
        <f>-'LCFS Table'!$CF72</f>
        <v>1</v>
      </c>
      <c r="CQ72" s="140">
        <v>8</v>
      </c>
      <c r="CR72" s="165">
        <f>('LCFS Table'!$CQ72*0.9/(0.8/0.99)/100)</f>
        <v>8.9099999999999985E-2</v>
      </c>
      <c r="CS72" s="166"/>
      <c r="CT72" s="167"/>
      <c r="CW72" s="168">
        <f>'LCFS Table'!$K72-'LCFS Table'!$M72</f>
        <v>0.23551617065249963</v>
      </c>
      <c r="CX72" s="129">
        <f>MONTH('LCFS Table'!$B72)</f>
        <v>5</v>
      </c>
      <c r="CY72" s="129">
        <f>YEAR('LCFS Table'!$B72)</f>
        <v>2020</v>
      </c>
    </row>
    <row r="73" spans="1:103">
      <c r="A73" s="148">
        <v>43954</v>
      </c>
      <c r="B73" s="149">
        <v>43960</v>
      </c>
      <c r="C73" s="132">
        <f t="shared" si="1"/>
        <v>2020</v>
      </c>
      <c r="D73" s="182" t="s">
        <v>275</v>
      </c>
      <c r="E73" s="187">
        <f>'LCFS Table'!$K73-'LCFS Table'!$I73</f>
        <v>-2.2438049436796002</v>
      </c>
      <c r="F73" s="187">
        <f>('LCFS Table'!$M73)-'LCFS Table'!$J73</f>
        <v>-2.5517402535024996</v>
      </c>
      <c r="G73" s="188">
        <f>'LCFS Table'!$E73+'LCFS Table'!$AS73+'LCFS Table'!$AT73+'LCFS Table'!$AU73+'LCFS Table'!$AV73</f>
        <v>1.5530637622860619</v>
      </c>
      <c r="H73" s="188">
        <f>'LCFS Table'!$F73+'LCFS Table'!$AX73+'LCFS Table'!$AY73+'LCFS Table'!$AZ73+'LCFS Table'!$BA73+('LCFS Table'!$CQ73*0.9/(0.8/0.99)/100)+(DG73*'LCFS Table'!$AF73)+(DF73*'LCFS Table'!$AG73)</f>
        <v>0.51454335937500018</v>
      </c>
      <c r="I73" s="187">
        <f>('LCFS Table'!$V73+'LCFS Table'!$W73+'LCFS Table'!$X73)/100+(('LCFS Table'!$AI73+'LCFS Table'!$AJ73)/340)</f>
        <v>3.1057049436796</v>
      </c>
      <c r="J73" s="187">
        <f>(('LCFS Table'!$Y73+'LCFS Table'!$Z73)/100)+(('LCFS Table'!$AM73+'LCFS Table'!$AN73)/300)</f>
        <v>2.9695566406249996</v>
      </c>
      <c r="K73" s="140">
        <f>'[1]Fuel Values'!$C72</f>
        <v>0.8619</v>
      </c>
      <c r="L73" s="140">
        <f>'[1]Fuel Values'!$B72</f>
        <v>339.5</v>
      </c>
      <c r="M73" s="185">
        <f>('LCFS Table'!$L73/100)-'LCFS Table'!$AX73-'LCFS Table'!$AY73-'LCFS Table'!$AZ73-'LCFS Table'!$BA73</f>
        <v>0.41781638712250024</v>
      </c>
      <c r="N73" s="140">
        <f>[1]BFT!$B72</f>
        <v>34.5</v>
      </c>
      <c r="O73" s="140">
        <f>[1]UCO!$B72</f>
        <v>28.5</v>
      </c>
      <c r="P73" s="140">
        <f>[1]DCO!$B72</f>
        <v>27.6</v>
      </c>
      <c r="Q73" s="140">
        <f>'[1]Soybean Oil'!$B72</f>
        <v>28.02</v>
      </c>
      <c r="R73" s="140">
        <f>'[1]Yellow Grease'!$B72</f>
        <v>24</v>
      </c>
      <c r="S73" s="185">
        <f>'LCFS Table'!$N73 + 'LCFS Table'!$AH73</f>
        <v>38.875</v>
      </c>
      <c r="T73" s="185">
        <f>'LCFS Table'!$Q73+'LCFS Table'!$AH73</f>
        <v>32.394999999999996</v>
      </c>
      <c r="U73" s="185">
        <f>'LCFS Table'!$P73+'LCFS Table'!$AH73</f>
        <v>31.975000000000001</v>
      </c>
      <c r="V73" s="185">
        <f>(('LCFS Table'!$S73/'LCFS Table'!$AA73)*'LCFS Table'!$AC73)*6.48</f>
        <v>133.99468085106386</v>
      </c>
      <c r="W73" s="185">
        <f>(('LCFS Table'!$O73/'LCFS Table'!$AA73)*'LCFS Table'!$AD73)*6.48</f>
        <v>49.11702127659575</v>
      </c>
      <c r="X73" s="185">
        <f>(('LCFS Table'!$U73/'LCFS Table'!$AA73)*'LCFS Table'!$AE73)*6.48</f>
        <v>55.105851063829796</v>
      </c>
      <c r="Y73" s="185">
        <f>(('LCFS Table'!$T73/'LCFS Table'!$AB73)*'LCFS Table'!$AF73)*7.35</f>
        <v>186.01816406249998</v>
      </c>
      <c r="Z73" s="185">
        <f>(('LCFS Table'!$R73/'LCFS Table'!$AB73)*'LCFS Table'!$AG73)*7.35</f>
        <v>45.9375</v>
      </c>
      <c r="AA73" s="138">
        <v>0.94</v>
      </c>
      <c r="AB73" s="138">
        <v>0.96</v>
      </c>
      <c r="AC73" s="138">
        <v>0.5</v>
      </c>
      <c r="AD73" s="138">
        <v>0.25</v>
      </c>
      <c r="AE73" s="138">
        <v>0.25</v>
      </c>
      <c r="AF73" s="138">
        <v>0.75</v>
      </c>
      <c r="AG73" s="138">
        <v>0.25</v>
      </c>
      <c r="AH73" s="139">
        <v>4.375</v>
      </c>
      <c r="AI73" s="139">
        <v>136</v>
      </c>
      <c r="AJ73" s="139">
        <v>110</v>
      </c>
      <c r="AK73" s="186">
        <f>('LCFS Table'!$AI73/340)*100</f>
        <v>40</v>
      </c>
      <c r="AL73" s="186">
        <f>('LCFS Table'!$AJ73/340)*100</f>
        <v>32.352941176470587</v>
      </c>
      <c r="AM73" s="139">
        <v>105</v>
      </c>
      <c r="AN73" s="139">
        <v>90</v>
      </c>
      <c r="AO73" s="139">
        <f>('LCFS Table'!$AM73/300)*100</f>
        <v>35</v>
      </c>
      <c r="AP73" s="139">
        <f>('LCFS Table'!$AN73/300)*100</f>
        <v>30</v>
      </c>
      <c r="AQ73" s="140">
        <v>203.1</v>
      </c>
      <c r="AR73" s="140">
        <v>0.51900000000000002</v>
      </c>
      <c r="AS73" s="185">
        <v>1.7545687059656621</v>
      </c>
      <c r="AT73" s="137">
        <v>0.16</v>
      </c>
      <c r="AU73" s="137">
        <v>1</v>
      </c>
      <c r="AV73" s="185">
        <f>'LCFS Table'!$AR73*1.7</f>
        <v>0.88229999999999997</v>
      </c>
      <c r="AW73" s="137">
        <v>0</v>
      </c>
      <c r="AX73" s="185">
        <v>1.1986836128774998</v>
      </c>
      <c r="AY73" s="137">
        <v>0</v>
      </c>
      <c r="AZ73" s="141">
        <v>1</v>
      </c>
      <c r="BA73" s="185">
        <f>'LCFS Table'!$AR73*1.5</f>
        <v>0.77849999999999997</v>
      </c>
      <c r="BB73" s="136">
        <v>1.2</v>
      </c>
      <c r="BC73" s="185">
        <f>'LCFS Table'!$AS73*'LCFS Table'!$BW73</f>
        <v>1.7545687059656621</v>
      </c>
      <c r="BD73" s="185">
        <f>'LCFS Table'!$AT73*'LCFS Table'!$BX73</f>
        <v>0</v>
      </c>
      <c r="BE73" s="185">
        <f>'LCFS Table'!$AU73*'LCFS Table'!$BY73</f>
        <v>1</v>
      </c>
      <c r="BF73" s="137">
        <f>'LCFS Table'!$AV73*'LCFS Table'!$BZ73</f>
        <v>0.88229999999999997</v>
      </c>
      <c r="BG73" s="137">
        <f>'LCFS Table'!$AW73*'LCFS Table'!$CA73</f>
        <v>0</v>
      </c>
      <c r="BH73" s="137">
        <f>'LCFS Table'!$AX73*'LCFS Table'!$CB73</f>
        <v>1.1986836128774998</v>
      </c>
      <c r="BI73" s="137">
        <f>'LCFS Table'!$AY73*'LCFS Table'!$CC73</f>
        <v>0</v>
      </c>
      <c r="BJ73" s="137">
        <f>'LCFS Table'!$AZ73*'LCFS Table'!$CD73</f>
        <v>1</v>
      </c>
      <c r="BK73" s="137">
        <f>'LCFS Table'!$BA73*'LCFS Table'!$CE73</f>
        <v>0.77849999999999997</v>
      </c>
      <c r="BL73" s="137">
        <f>'LCFS Table'!$BB73*'LCFS Table'!$CF73</f>
        <v>-1.2</v>
      </c>
      <c r="BM73" s="137">
        <f>'LCFS Table'!$AS73*'LCFS Table'!$CG73</f>
        <v>0</v>
      </c>
      <c r="BN73" s="137">
        <f>'LCFS Table'!$AT73*'LCFS Table'!$CH73</f>
        <v>0.16</v>
      </c>
      <c r="BO73" s="137">
        <f>'LCFS Table'!$AU73*'LCFS Table'!$CI73</f>
        <v>0</v>
      </c>
      <c r="BP73" s="137">
        <f>'LCFS Table'!$AV73*'LCFS Table'!$CJ73</f>
        <v>0</v>
      </c>
      <c r="BQ73" s="137">
        <f>'LCFS Table'!$AW73*'LCFS Table'!$CK73</f>
        <v>0</v>
      </c>
      <c r="BR73" s="137">
        <f>'LCFS Table'!$AX73*'LCFS Table'!$CL73</f>
        <v>0</v>
      </c>
      <c r="BS73" s="137">
        <f>'LCFS Table'!$AY73*'LCFS Table'!$CM73</f>
        <v>0</v>
      </c>
      <c r="BT73" s="137">
        <f>'LCFS Table'!$AZ73*'LCFS Table'!$CN73</f>
        <v>0</v>
      </c>
      <c r="BU73" s="137">
        <f>'LCFS Table'!$BA73*'LCFS Table'!$CO73</f>
        <v>0</v>
      </c>
      <c r="BV73" s="136">
        <f>'LCFS Table'!$BB73*'LCFS Table'!$CP73</f>
        <v>1.2</v>
      </c>
      <c r="BW73" s="138">
        <v>1</v>
      </c>
      <c r="BX73" s="138">
        <v>0</v>
      </c>
      <c r="BY73" s="138">
        <v>1</v>
      </c>
      <c r="BZ73" s="138">
        <v>1</v>
      </c>
      <c r="CA73" s="138">
        <v>-1</v>
      </c>
      <c r="CB73" s="138">
        <v>1</v>
      </c>
      <c r="CC73" s="138">
        <v>0</v>
      </c>
      <c r="CD73" s="138">
        <v>1</v>
      </c>
      <c r="CE73" s="138">
        <v>1</v>
      </c>
      <c r="CF73" s="138">
        <v>-1</v>
      </c>
      <c r="CG73" s="138">
        <f>1-'LCFS Table'!$BW73</f>
        <v>0</v>
      </c>
      <c r="CH73" s="138">
        <f>1-'LCFS Table'!$BX73</f>
        <v>1</v>
      </c>
      <c r="CI73" s="138">
        <f>1-'LCFS Table'!$BY73</f>
        <v>0</v>
      </c>
      <c r="CJ73" s="138">
        <f>1-'LCFS Table'!$BZ73</f>
        <v>0</v>
      </c>
      <c r="CK73" s="138">
        <f>-'LCFS Table'!$CA73</f>
        <v>1</v>
      </c>
      <c r="CL73" s="138">
        <f>1-'LCFS Table'!$CB73</f>
        <v>0</v>
      </c>
      <c r="CM73" s="138">
        <f>1-'LCFS Table'!$CC73</f>
        <v>1</v>
      </c>
      <c r="CN73" s="138">
        <f>1-'LCFS Table'!$CD73</f>
        <v>0</v>
      </c>
      <c r="CO73" s="138">
        <f>1-'LCFS Table'!$CE73</f>
        <v>0</v>
      </c>
      <c r="CP73" s="138">
        <f>-'LCFS Table'!$CF73</f>
        <v>1</v>
      </c>
      <c r="CQ73" s="140">
        <v>8</v>
      </c>
      <c r="CR73" s="165">
        <f>('LCFS Table'!$CQ73*0.9/(0.8/0.99)/100)</f>
        <v>8.9099999999999985E-2</v>
      </c>
      <c r="CS73" s="166"/>
      <c r="CT73" s="167"/>
      <c r="CW73" s="168">
        <f>'LCFS Table'!$K73-'LCFS Table'!$M73</f>
        <v>0.44408361287749976</v>
      </c>
      <c r="CX73" s="129">
        <f>MONTH('LCFS Table'!$B73)</f>
        <v>5</v>
      </c>
      <c r="CY73" s="129">
        <f>YEAR('LCFS Table'!$B73)</f>
        <v>2020</v>
      </c>
    </row>
    <row r="74" spans="1:103">
      <c r="A74" s="148">
        <v>43961</v>
      </c>
      <c r="B74" s="149">
        <v>43967</v>
      </c>
      <c r="C74" s="132">
        <f t="shared" si="1"/>
        <v>2020</v>
      </c>
      <c r="D74" s="182" t="s">
        <v>276</v>
      </c>
      <c r="E74" s="187">
        <f>'LCFS Table'!$K74-'LCFS Table'!$I74</f>
        <v>-2.2163879224030043</v>
      </c>
      <c r="F74" s="187">
        <f>('LCFS Table'!$M74)-'LCFS Table'!$J74</f>
        <v>-2.584788686275</v>
      </c>
      <c r="G74" s="188">
        <f>'LCFS Table'!$E74+'LCFS Table'!$AS74+'LCFS Table'!$AT74+'LCFS Table'!$AU74+'LCFS Table'!$AV74</f>
        <v>1.625933709447938</v>
      </c>
      <c r="H74" s="188">
        <f>'LCFS Table'!$F74+'LCFS Table'!$AX74+'LCFS Table'!$AY74+'LCFS Table'!$AZ74+'LCFS Table'!$BA74+('LCFS Table'!$CQ74*0.9/(0.8/0.99)/100)+(DG74*'LCFS Table'!$AF74)+(DF74*'LCFS Table'!$AG74)</f>
        <v>0.51828117187499978</v>
      </c>
      <c r="I74" s="187">
        <f>('LCFS Table'!$V74+'LCFS Table'!$W74+'LCFS Table'!$X74)/100+(('LCFS Table'!$AI74+'LCFS Table'!$AJ74)/340)</f>
        <v>3.0970879224030043</v>
      </c>
      <c r="J74" s="187">
        <f>(('LCFS Table'!$Y74+'LCFS Table'!$Z74)/100)+(('LCFS Table'!$AM74+'LCFS Table'!$AN74)/300)</f>
        <v>2.9674894531250002</v>
      </c>
      <c r="K74" s="140">
        <f>'[1]Fuel Values'!$C73</f>
        <v>0.88070000000000004</v>
      </c>
      <c r="L74" s="140">
        <f>'[1]Fuel Values'!$B73</f>
        <v>339.5</v>
      </c>
      <c r="M74" s="185">
        <f>('LCFS Table'!$L74/100)-'LCFS Table'!$AX74-'LCFS Table'!$AY74-'LCFS Table'!$AZ74-'LCFS Table'!$BA74</f>
        <v>0.38270076685000021</v>
      </c>
      <c r="N74" s="140">
        <f>[1]BFT!$B73</f>
        <v>34.5</v>
      </c>
      <c r="O74" s="140">
        <f>[1]UCO!$B73</f>
        <v>28.5</v>
      </c>
      <c r="P74" s="140">
        <f>[1]DCO!$B73</f>
        <v>27.1</v>
      </c>
      <c r="Q74" s="140">
        <f>'[1]Soybean Oil'!$B73</f>
        <v>27.984000000000002</v>
      </c>
      <c r="R74" s="140">
        <f>'[1]Yellow Grease'!$B73</f>
        <v>24</v>
      </c>
      <c r="S74" s="185">
        <f>'LCFS Table'!$N74 + 'LCFS Table'!$AH74</f>
        <v>38.875</v>
      </c>
      <c r="T74" s="185">
        <f>'LCFS Table'!$Q74+'LCFS Table'!$AH74</f>
        <v>32.359000000000002</v>
      </c>
      <c r="U74" s="185">
        <f>'LCFS Table'!$P74+'LCFS Table'!$AH74</f>
        <v>31.475000000000001</v>
      </c>
      <c r="V74" s="185">
        <f>(('LCFS Table'!$S74/'LCFS Table'!$AA74)*'LCFS Table'!$AC74)*6.48</f>
        <v>133.99468085106386</v>
      </c>
      <c r="W74" s="185">
        <f>(('LCFS Table'!$O74/'LCFS Table'!$AA74)*'LCFS Table'!$AD74)*6.48</f>
        <v>49.11702127659575</v>
      </c>
      <c r="X74" s="185">
        <f>(('LCFS Table'!$U74/'LCFS Table'!$AA74)*'LCFS Table'!$AE74)*6.48</f>
        <v>54.24414893617022</v>
      </c>
      <c r="Y74" s="185">
        <f>(('LCFS Table'!$T74/'LCFS Table'!$AB74)*'LCFS Table'!$AF74)*7.35</f>
        <v>185.81144531250001</v>
      </c>
      <c r="Z74" s="185">
        <f>(('LCFS Table'!$R74/'LCFS Table'!$AB74)*'LCFS Table'!$AG74)*7.35</f>
        <v>45.9375</v>
      </c>
      <c r="AA74" s="138">
        <v>0.94</v>
      </c>
      <c r="AB74" s="138">
        <v>0.96</v>
      </c>
      <c r="AC74" s="138">
        <v>0.5</v>
      </c>
      <c r="AD74" s="138">
        <v>0.25</v>
      </c>
      <c r="AE74" s="138">
        <v>0.25</v>
      </c>
      <c r="AF74" s="138">
        <v>0.75</v>
      </c>
      <c r="AG74" s="138">
        <v>0.25</v>
      </c>
      <c r="AH74" s="139">
        <v>4.375</v>
      </c>
      <c r="AI74" s="139">
        <v>136</v>
      </c>
      <c r="AJ74" s="139">
        <v>110</v>
      </c>
      <c r="AK74" s="186">
        <f>('LCFS Table'!$AI74/340)*100</f>
        <v>40</v>
      </c>
      <c r="AL74" s="186">
        <f>('LCFS Table'!$AJ74/340)*100</f>
        <v>32.352941176470587</v>
      </c>
      <c r="AM74" s="139">
        <v>105</v>
      </c>
      <c r="AN74" s="139">
        <v>90</v>
      </c>
      <c r="AO74" s="139">
        <f>('LCFS Table'!$AM74/300)*100</f>
        <v>35</v>
      </c>
      <c r="AP74" s="139">
        <f>('LCFS Table'!$AN74/300)*100</f>
        <v>30</v>
      </c>
      <c r="AQ74" s="140">
        <v>206</v>
      </c>
      <c r="AR74" s="140">
        <v>0.53100000000000003</v>
      </c>
      <c r="AS74" s="185">
        <v>1.7796216318509424</v>
      </c>
      <c r="AT74" s="137">
        <v>0.16</v>
      </c>
      <c r="AU74" s="137">
        <v>1</v>
      </c>
      <c r="AV74" s="185">
        <f>'LCFS Table'!$AR74*1.7</f>
        <v>0.90270000000000006</v>
      </c>
      <c r="AW74" s="137">
        <v>0</v>
      </c>
      <c r="AX74" s="185">
        <v>1.2157992331499998</v>
      </c>
      <c r="AY74" s="137">
        <v>0</v>
      </c>
      <c r="AZ74" s="141">
        <v>1</v>
      </c>
      <c r="BA74" s="185">
        <f>'LCFS Table'!$AR74*1.5</f>
        <v>0.79649999999999999</v>
      </c>
      <c r="BB74" s="136">
        <v>1.2</v>
      </c>
      <c r="BC74" s="185">
        <f>'LCFS Table'!$AS74*'LCFS Table'!$BW74</f>
        <v>1.7796216318509424</v>
      </c>
      <c r="BD74" s="185">
        <f>'LCFS Table'!$AT74*'LCFS Table'!$BX74</f>
        <v>0</v>
      </c>
      <c r="BE74" s="185">
        <f>'LCFS Table'!$AU74*'LCFS Table'!$BY74</f>
        <v>1</v>
      </c>
      <c r="BF74" s="137">
        <f>'LCFS Table'!$AV74*'LCFS Table'!$BZ74</f>
        <v>0.90270000000000006</v>
      </c>
      <c r="BG74" s="137">
        <f>'LCFS Table'!$AW74*'LCFS Table'!$CA74</f>
        <v>0</v>
      </c>
      <c r="BH74" s="137">
        <f>'LCFS Table'!$AX74*'LCFS Table'!$CB74</f>
        <v>1.2157992331499998</v>
      </c>
      <c r="BI74" s="137">
        <f>'LCFS Table'!$AY74*'LCFS Table'!$CC74</f>
        <v>0</v>
      </c>
      <c r="BJ74" s="137">
        <f>'LCFS Table'!$AZ74*'LCFS Table'!$CD74</f>
        <v>1</v>
      </c>
      <c r="BK74" s="137">
        <f>'LCFS Table'!$BA74*'LCFS Table'!$CE74</f>
        <v>0.79649999999999999</v>
      </c>
      <c r="BL74" s="137">
        <f>'LCFS Table'!$BB74*'LCFS Table'!$CF74</f>
        <v>-1.2</v>
      </c>
      <c r="BM74" s="137">
        <f>'LCFS Table'!$AS74*'LCFS Table'!$CG74</f>
        <v>0</v>
      </c>
      <c r="BN74" s="137">
        <f>'LCFS Table'!$AT74*'LCFS Table'!$CH74</f>
        <v>0.16</v>
      </c>
      <c r="BO74" s="137">
        <f>'LCFS Table'!$AU74*'LCFS Table'!$CI74</f>
        <v>0</v>
      </c>
      <c r="BP74" s="137">
        <f>'LCFS Table'!$AV74*'LCFS Table'!$CJ74</f>
        <v>0</v>
      </c>
      <c r="BQ74" s="137">
        <f>'LCFS Table'!$AW74*'LCFS Table'!$CK74</f>
        <v>0</v>
      </c>
      <c r="BR74" s="137">
        <f>'LCFS Table'!$AX74*'LCFS Table'!$CL74</f>
        <v>0</v>
      </c>
      <c r="BS74" s="137">
        <f>'LCFS Table'!$AY74*'LCFS Table'!$CM74</f>
        <v>0</v>
      </c>
      <c r="BT74" s="137">
        <f>'LCFS Table'!$AZ74*'LCFS Table'!$CN74</f>
        <v>0</v>
      </c>
      <c r="BU74" s="137">
        <f>'LCFS Table'!$BA74*'LCFS Table'!$CO74</f>
        <v>0</v>
      </c>
      <c r="BV74" s="136">
        <f>'LCFS Table'!$BB74*'LCFS Table'!$CP74</f>
        <v>1.2</v>
      </c>
      <c r="BW74" s="138">
        <v>1</v>
      </c>
      <c r="BX74" s="138">
        <v>0</v>
      </c>
      <c r="BY74" s="138">
        <v>1</v>
      </c>
      <c r="BZ74" s="138">
        <v>1</v>
      </c>
      <c r="CA74" s="138">
        <v>-1</v>
      </c>
      <c r="CB74" s="138">
        <v>1</v>
      </c>
      <c r="CC74" s="138">
        <v>0</v>
      </c>
      <c r="CD74" s="138">
        <v>1</v>
      </c>
      <c r="CE74" s="138">
        <v>1</v>
      </c>
      <c r="CF74" s="138">
        <v>-1</v>
      </c>
      <c r="CG74" s="138">
        <f>1-'LCFS Table'!$BW74</f>
        <v>0</v>
      </c>
      <c r="CH74" s="138">
        <f>1-'LCFS Table'!$BX74</f>
        <v>1</v>
      </c>
      <c r="CI74" s="138">
        <f>1-'LCFS Table'!$BY74</f>
        <v>0</v>
      </c>
      <c r="CJ74" s="138">
        <f>1-'LCFS Table'!$BZ74</f>
        <v>0</v>
      </c>
      <c r="CK74" s="138">
        <f>-'LCFS Table'!$CA74</f>
        <v>1</v>
      </c>
      <c r="CL74" s="138">
        <f>1-'LCFS Table'!$CB74</f>
        <v>0</v>
      </c>
      <c r="CM74" s="138">
        <f>1-'LCFS Table'!$CC74</f>
        <v>1</v>
      </c>
      <c r="CN74" s="138">
        <f>1-'LCFS Table'!$CD74</f>
        <v>0</v>
      </c>
      <c r="CO74" s="138">
        <f>1-'LCFS Table'!$CE74</f>
        <v>0</v>
      </c>
      <c r="CP74" s="138">
        <f>-'LCFS Table'!$CF74</f>
        <v>1</v>
      </c>
      <c r="CQ74" s="140">
        <v>8.15</v>
      </c>
      <c r="CR74" s="165">
        <f>('LCFS Table'!$CQ74*0.9/(0.8/0.99)/100)</f>
        <v>9.0770625000000008E-2</v>
      </c>
      <c r="CS74" s="166"/>
      <c r="CT74" s="167"/>
      <c r="CW74" s="168">
        <f>'LCFS Table'!$K74-'LCFS Table'!$M74</f>
        <v>0.49799923314999983</v>
      </c>
      <c r="CX74" s="129">
        <f>MONTH('LCFS Table'!$B74)</f>
        <v>5</v>
      </c>
      <c r="CY74" s="129">
        <f>YEAR('LCFS Table'!$B74)</f>
        <v>2020</v>
      </c>
    </row>
    <row r="75" spans="1:103">
      <c r="A75" s="148">
        <v>43968</v>
      </c>
      <c r="B75" s="149">
        <v>43974</v>
      </c>
      <c r="C75" s="132">
        <f t="shared" si="1"/>
        <v>2020</v>
      </c>
      <c r="D75" s="150" t="s">
        <v>277</v>
      </c>
      <c r="E75" s="187">
        <f>'LCFS Table'!$K75-'LCFS Table'!$I75</f>
        <v>-2.0850006883604508</v>
      </c>
      <c r="F75" s="187">
        <f>('LCFS Table'!$M75)-'LCFS Table'!$J75</f>
        <v>-2.6683175078343746</v>
      </c>
      <c r="G75" s="188">
        <f>'LCFS Table'!$E75+'LCFS Table'!$AS75+'LCFS Table'!$AT75+'LCFS Table'!$AU75+'LCFS Table'!$AV75</f>
        <v>1.7948384258965402</v>
      </c>
      <c r="H75" s="188">
        <f>'LCFS Table'!$F75+'LCFS Table'!$AX75+'LCFS Table'!$AY75+'LCFS Table'!$AZ75+'LCFS Table'!$BA75+('LCFS Table'!$CQ75*0.9/(0.8/0.99)/100)+(DG75*'LCFS Table'!$AF75)+(DF75*'LCFS Table'!$AG75)</f>
        <v>0.46627539062500029</v>
      </c>
      <c r="I75" s="187">
        <f>('LCFS Table'!$V75+'LCFS Table'!$W75+'LCFS Table'!$X75)/100+(('LCFS Table'!$AI75+'LCFS Table'!$AJ75)/340)</f>
        <v>3.0833006883604508</v>
      </c>
      <c r="J75" s="187">
        <f>(('LCFS Table'!$Y75+'LCFS Table'!$Z75)/100)+(('LCFS Table'!$AM75+'LCFS Table'!$AN75)/300)</f>
        <v>3.0140011718749995</v>
      </c>
      <c r="K75" s="140">
        <f>'[1]Fuel Values'!$C74</f>
        <v>0.99829999999999997</v>
      </c>
      <c r="L75" s="140">
        <f>'[1]Fuel Values'!$B74</f>
        <v>338.7</v>
      </c>
      <c r="M75" s="185">
        <f>('LCFS Table'!$L75/100)-'LCFS Table'!$AX75-'LCFS Table'!$AY75-'LCFS Table'!$AZ75-'LCFS Table'!$BA75</f>
        <v>0.34568366404062489</v>
      </c>
      <c r="N75" s="140">
        <f>[1]BFT!$B74</f>
        <v>34.299999999999997</v>
      </c>
      <c r="O75" s="140">
        <f>[1]UCO!$B74</f>
        <v>28.5</v>
      </c>
      <c r="P75" s="140">
        <f>[1]DCO!$B74</f>
        <v>26.7</v>
      </c>
      <c r="Q75" s="140">
        <f>'[1]Soybean Oil'!$B74</f>
        <v>28.794</v>
      </c>
      <c r="R75" s="140">
        <f>'[1]Yellow Grease'!$B74</f>
        <v>24</v>
      </c>
      <c r="S75" s="185">
        <f>'LCFS Table'!$N75 + 'LCFS Table'!$AH75</f>
        <v>38.674999999999997</v>
      </c>
      <c r="T75" s="185">
        <f>'LCFS Table'!$Q75+'LCFS Table'!$AH75</f>
        <v>33.168999999999997</v>
      </c>
      <c r="U75" s="185">
        <f>'LCFS Table'!$P75+'LCFS Table'!$AH75</f>
        <v>31.074999999999999</v>
      </c>
      <c r="V75" s="185">
        <f>(('LCFS Table'!$S75/'LCFS Table'!$AA75)*'LCFS Table'!$AC75)*6.48</f>
        <v>133.30531914893618</v>
      </c>
      <c r="W75" s="185">
        <f>(('LCFS Table'!$O75/'LCFS Table'!$AA75)*'LCFS Table'!$AD75)*6.48</f>
        <v>49.11702127659575</v>
      </c>
      <c r="X75" s="185">
        <f>(('LCFS Table'!$U75/'LCFS Table'!$AA75)*'LCFS Table'!$AE75)*6.48</f>
        <v>53.554787234042564</v>
      </c>
      <c r="Y75" s="185">
        <f>(('LCFS Table'!$T75/'LCFS Table'!$AB75)*'LCFS Table'!$AF75)*7.35</f>
        <v>190.46261718749997</v>
      </c>
      <c r="Z75" s="185">
        <f>(('LCFS Table'!$R75/'LCFS Table'!$AB75)*'LCFS Table'!$AG75)*7.35</f>
        <v>45.9375</v>
      </c>
      <c r="AA75" s="138">
        <v>0.94</v>
      </c>
      <c r="AB75" s="138">
        <v>0.96</v>
      </c>
      <c r="AC75" s="138">
        <v>0.5</v>
      </c>
      <c r="AD75" s="138">
        <v>0.25</v>
      </c>
      <c r="AE75" s="138">
        <v>0.25</v>
      </c>
      <c r="AF75" s="138">
        <v>0.75</v>
      </c>
      <c r="AG75" s="138">
        <v>0.25</v>
      </c>
      <c r="AH75" s="139">
        <v>4.375</v>
      </c>
      <c r="AI75" s="139">
        <v>136</v>
      </c>
      <c r="AJ75" s="139">
        <v>110</v>
      </c>
      <c r="AK75" s="186">
        <f>('LCFS Table'!$AI75/340)*100</f>
        <v>40</v>
      </c>
      <c r="AL75" s="186">
        <f>('LCFS Table'!$AJ75/340)*100</f>
        <v>32.352941176470587</v>
      </c>
      <c r="AM75" s="139">
        <v>105</v>
      </c>
      <c r="AN75" s="139">
        <v>90</v>
      </c>
      <c r="AO75" s="139">
        <f>('LCFS Table'!$AM75/300)*100</f>
        <v>35</v>
      </c>
      <c r="AP75" s="139">
        <f>('LCFS Table'!$AN75/300)*100</f>
        <v>30</v>
      </c>
      <c r="AQ75" s="140">
        <v>208.375</v>
      </c>
      <c r="AR75" s="140">
        <v>0.54100000000000004</v>
      </c>
      <c r="AS75" s="185">
        <v>1.8001391142569909</v>
      </c>
      <c r="AT75" s="137">
        <v>0.16</v>
      </c>
      <c r="AU75" s="137">
        <v>1</v>
      </c>
      <c r="AV75" s="185">
        <f>'LCFS Table'!$AR75*1.7</f>
        <v>0.91970000000000007</v>
      </c>
      <c r="AW75" s="137">
        <v>0</v>
      </c>
      <c r="AX75" s="185">
        <v>1.2298163359593748</v>
      </c>
      <c r="AY75" s="137">
        <v>0</v>
      </c>
      <c r="AZ75" s="141">
        <v>1</v>
      </c>
      <c r="BA75" s="185">
        <f>'LCFS Table'!$AR75*1.5</f>
        <v>0.81150000000000011</v>
      </c>
      <c r="BB75" s="136">
        <v>1.2</v>
      </c>
      <c r="BC75" s="185">
        <f>'LCFS Table'!$AS75*'LCFS Table'!$BW75</f>
        <v>1.8001391142569909</v>
      </c>
      <c r="BD75" s="185">
        <f>'LCFS Table'!$AT75*'LCFS Table'!$BX75</f>
        <v>0</v>
      </c>
      <c r="BE75" s="185">
        <f>'LCFS Table'!$AU75*'LCFS Table'!$BY75</f>
        <v>1</v>
      </c>
      <c r="BF75" s="137">
        <f>'LCFS Table'!$AV75*'LCFS Table'!$BZ75</f>
        <v>0.91970000000000007</v>
      </c>
      <c r="BG75" s="137">
        <f>'LCFS Table'!$AW75*'LCFS Table'!$CA75</f>
        <v>0</v>
      </c>
      <c r="BH75" s="137">
        <f>'LCFS Table'!$AX75*'LCFS Table'!$CB75</f>
        <v>1.2298163359593748</v>
      </c>
      <c r="BI75" s="137">
        <f>'LCFS Table'!$AY75*'LCFS Table'!$CC75</f>
        <v>0</v>
      </c>
      <c r="BJ75" s="137">
        <f>'LCFS Table'!$AZ75*'LCFS Table'!$CD75</f>
        <v>1</v>
      </c>
      <c r="BK75" s="137">
        <f>'LCFS Table'!$BA75*'LCFS Table'!$CE75</f>
        <v>0.81150000000000011</v>
      </c>
      <c r="BL75" s="137">
        <f>'LCFS Table'!$BB75*'LCFS Table'!$CF75</f>
        <v>-1.2</v>
      </c>
      <c r="BM75" s="137">
        <f>'LCFS Table'!$AS75*'LCFS Table'!$CG75</f>
        <v>0</v>
      </c>
      <c r="BN75" s="137">
        <f>'LCFS Table'!$AT75*'LCFS Table'!$CH75</f>
        <v>0.16</v>
      </c>
      <c r="BO75" s="137">
        <f>'LCFS Table'!$AU75*'LCFS Table'!$CI75</f>
        <v>0</v>
      </c>
      <c r="BP75" s="137">
        <f>'LCFS Table'!$AV75*'LCFS Table'!$CJ75</f>
        <v>0</v>
      </c>
      <c r="BQ75" s="137">
        <f>'LCFS Table'!$AW75*'LCFS Table'!$CK75</f>
        <v>0</v>
      </c>
      <c r="BR75" s="137">
        <f>'LCFS Table'!$AX75*'LCFS Table'!$CL75</f>
        <v>0</v>
      </c>
      <c r="BS75" s="137">
        <f>'LCFS Table'!$AY75*'LCFS Table'!$CM75</f>
        <v>0</v>
      </c>
      <c r="BT75" s="137">
        <f>'LCFS Table'!$AZ75*'LCFS Table'!$CN75</f>
        <v>0</v>
      </c>
      <c r="BU75" s="137">
        <f>'LCFS Table'!$BA75*'LCFS Table'!$CO75</f>
        <v>0</v>
      </c>
      <c r="BV75" s="136">
        <f>'LCFS Table'!$BB75*'LCFS Table'!$CP75</f>
        <v>1.2</v>
      </c>
      <c r="BW75" s="138">
        <v>1</v>
      </c>
      <c r="BX75" s="138">
        <v>0</v>
      </c>
      <c r="BY75" s="138">
        <v>1</v>
      </c>
      <c r="BZ75" s="138">
        <v>1</v>
      </c>
      <c r="CA75" s="138">
        <v>-1</v>
      </c>
      <c r="CB75" s="138">
        <v>1</v>
      </c>
      <c r="CC75" s="138">
        <v>0</v>
      </c>
      <c r="CD75" s="138">
        <v>1</v>
      </c>
      <c r="CE75" s="138">
        <v>1</v>
      </c>
      <c r="CF75" s="138">
        <v>-1</v>
      </c>
      <c r="CG75" s="138">
        <f>1-'LCFS Table'!$BW75</f>
        <v>0</v>
      </c>
      <c r="CH75" s="138">
        <f>1-'LCFS Table'!$BX75</f>
        <v>1</v>
      </c>
      <c r="CI75" s="138">
        <f>1-'LCFS Table'!$BY75</f>
        <v>0</v>
      </c>
      <c r="CJ75" s="138">
        <f>1-'LCFS Table'!$BZ75</f>
        <v>0</v>
      </c>
      <c r="CK75" s="138">
        <f>-'LCFS Table'!$CA75</f>
        <v>1</v>
      </c>
      <c r="CL75" s="138">
        <f>1-'LCFS Table'!$CB75</f>
        <v>0</v>
      </c>
      <c r="CM75" s="138">
        <f>1-'LCFS Table'!$CC75</f>
        <v>1</v>
      </c>
      <c r="CN75" s="138">
        <f>1-'LCFS Table'!$CD75</f>
        <v>0</v>
      </c>
      <c r="CO75" s="138">
        <f>1-'LCFS Table'!$CE75</f>
        <v>0</v>
      </c>
      <c r="CP75" s="138">
        <f>-'LCFS Table'!$CF75</f>
        <v>1</v>
      </c>
      <c r="CQ75" s="140">
        <v>8.375</v>
      </c>
      <c r="CR75" s="165">
        <f>('LCFS Table'!$CQ75*0.9/(0.8/0.99)/100)</f>
        <v>9.3276562500000007E-2</v>
      </c>
      <c r="CS75" s="166"/>
      <c r="CT75" s="167"/>
      <c r="CW75" s="168">
        <f>'LCFS Table'!$K75-'LCFS Table'!$M75</f>
        <v>0.65261633595937507</v>
      </c>
      <c r="CX75" s="129">
        <f>MONTH('LCFS Table'!$B75)</f>
        <v>5</v>
      </c>
      <c r="CY75" s="129">
        <f>YEAR('LCFS Table'!$B75)</f>
        <v>2020</v>
      </c>
    </row>
    <row r="76" spans="1:103">
      <c r="A76" s="148">
        <v>43975</v>
      </c>
      <c r="B76" s="149">
        <v>43981</v>
      </c>
      <c r="C76" s="132">
        <f t="shared" si="1"/>
        <v>2020</v>
      </c>
      <c r="D76" s="182" t="s">
        <v>278</v>
      </c>
      <c r="E76" s="187">
        <f>'LCFS Table'!$K76-'LCFS Table'!$I76</f>
        <v>-1.9691123904881103</v>
      </c>
      <c r="F76" s="187">
        <f>('LCFS Table'!$M76)-'LCFS Table'!$J76</f>
        <v>-2.74689212403625</v>
      </c>
      <c r="G76" s="188">
        <f>'LCFS Table'!$E76+'LCFS Table'!$AS76+'LCFS Table'!$AT76+'LCFS Table'!$AU76+'LCFS Table'!$AV76</f>
        <v>1.9824804041076796</v>
      </c>
      <c r="H76" s="188">
        <f>'LCFS Table'!$F76+'LCFS Table'!$AX76+'LCFS Table'!$AY76+'LCFS Table'!$AZ76+'LCFS Table'!$BA76+('LCFS Table'!$CQ76*0.9/(0.8/0.99)/100)+(DG76*'LCFS Table'!$AF76)+(DF76*'LCFS Table'!$AG76)</f>
        <v>0.4440011718749996</v>
      </c>
      <c r="I76" s="187">
        <f>('LCFS Table'!$V76+'LCFS Table'!$W76+'LCFS Table'!$X76)/100+(('LCFS Table'!$AI76+'LCFS Table'!$AJ76)/340)</f>
        <v>2.9424123904881103</v>
      </c>
      <c r="J76" s="187">
        <f>(('LCFS Table'!$Y76+'LCFS Table'!$Z76)/100)+(('LCFS Table'!$AM76+'LCFS Table'!$AN76)/300)</f>
        <v>3.0292753906250005</v>
      </c>
      <c r="K76" s="140">
        <f>'[1]Fuel Values'!$C75</f>
        <v>0.97330000000000005</v>
      </c>
      <c r="L76" s="140">
        <f>'[1]Fuel Values'!$B75</f>
        <v>338</v>
      </c>
      <c r="M76" s="185">
        <f>('LCFS Table'!$L76/100)-'LCFS Table'!$AX76-'LCFS Table'!$AY76-'LCFS Table'!$AZ76-'LCFS Table'!$BA76</f>
        <v>0.28238326658875046</v>
      </c>
      <c r="N76" s="140">
        <f>[1]BFT!$B75</f>
        <v>30.5</v>
      </c>
      <c r="O76" s="140">
        <f>[1]UCO!$B75</f>
        <v>28.5</v>
      </c>
      <c r="P76" s="140">
        <f>[1]DCO!$B75</f>
        <v>26.125</v>
      </c>
      <c r="Q76" s="140">
        <f>'[1]Soybean Oil'!$B75</f>
        <v>29.06</v>
      </c>
      <c r="R76" s="140">
        <f>'[1]Yellow Grease'!$B75</f>
        <v>24</v>
      </c>
      <c r="S76" s="185">
        <f>'LCFS Table'!$N76 + 'LCFS Table'!$AH76</f>
        <v>34.875</v>
      </c>
      <c r="T76" s="185">
        <f>'LCFS Table'!$Q76+'LCFS Table'!$AH76</f>
        <v>33.435000000000002</v>
      </c>
      <c r="U76" s="185">
        <f>'LCFS Table'!$P76+'LCFS Table'!$AH76</f>
        <v>30.5</v>
      </c>
      <c r="V76" s="185">
        <f>(('LCFS Table'!$S76/'LCFS Table'!$AA76)*'LCFS Table'!$AC76)*6.48</f>
        <v>120.20744680851065</v>
      </c>
      <c r="W76" s="185">
        <f>(('LCFS Table'!$O76/'LCFS Table'!$AA76)*'LCFS Table'!$AD76)*6.48</f>
        <v>49.11702127659575</v>
      </c>
      <c r="X76" s="185">
        <f>(('LCFS Table'!$U76/'LCFS Table'!$AA76)*'LCFS Table'!$AE76)*6.48</f>
        <v>52.563829787234049</v>
      </c>
      <c r="Y76" s="185">
        <f>(('LCFS Table'!$T76/'LCFS Table'!$AB76)*'LCFS Table'!$AF76)*7.35</f>
        <v>191.99003906250005</v>
      </c>
      <c r="Z76" s="185">
        <f>(('LCFS Table'!$R76/'LCFS Table'!$AB76)*'LCFS Table'!$AG76)*7.35</f>
        <v>45.9375</v>
      </c>
      <c r="AA76" s="138">
        <v>0.94</v>
      </c>
      <c r="AB76" s="138">
        <v>0.96</v>
      </c>
      <c r="AC76" s="138">
        <v>0.5</v>
      </c>
      <c r="AD76" s="138">
        <v>0.25</v>
      </c>
      <c r="AE76" s="138">
        <v>0.25</v>
      </c>
      <c r="AF76" s="138">
        <v>0.75</v>
      </c>
      <c r="AG76" s="138">
        <v>0.25</v>
      </c>
      <c r="AH76" s="139">
        <v>4.375</v>
      </c>
      <c r="AI76" s="139">
        <v>136</v>
      </c>
      <c r="AJ76" s="139">
        <v>110</v>
      </c>
      <c r="AK76" s="186">
        <f>('LCFS Table'!$AI76/340)*100</f>
        <v>40</v>
      </c>
      <c r="AL76" s="186">
        <f>('LCFS Table'!$AJ76/340)*100</f>
        <v>32.352941176470587</v>
      </c>
      <c r="AM76" s="139">
        <v>105</v>
      </c>
      <c r="AN76" s="139">
        <v>90</v>
      </c>
      <c r="AO76" s="139">
        <f>('LCFS Table'!$AM76/300)*100</f>
        <v>35</v>
      </c>
      <c r="AP76" s="139">
        <f>('LCFS Table'!$AN76/300)*100</f>
        <v>30</v>
      </c>
      <c r="AQ76" s="140">
        <v>212.45</v>
      </c>
      <c r="AR76" s="140">
        <v>0.5625</v>
      </c>
      <c r="AS76" s="185">
        <v>1.8353427945957899</v>
      </c>
      <c r="AT76" s="137">
        <v>0.16</v>
      </c>
      <c r="AU76" s="137">
        <v>1</v>
      </c>
      <c r="AV76" s="185">
        <f>'LCFS Table'!$AR76*1.7</f>
        <v>0.95624999999999993</v>
      </c>
      <c r="AW76" s="137">
        <v>0</v>
      </c>
      <c r="AX76" s="185">
        <v>1.2538667334112497</v>
      </c>
      <c r="AY76" s="137">
        <v>0</v>
      </c>
      <c r="AZ76" s="141">
        <v>1</v>
      </c>
      <c r="BA76" s="185">
        <f>'LCFS Table'!$AR76*1.5</f>
        <v>0.84375</v>
      </c>
      <c r="BB76" s="136">
        <v>1.2</v>
      </c>
      <c r="BC76" s="185">
        <f>'LCFS Table'!$AS76*'LCFS Table'!$BW76</f>
        <v>1.8353427945957899</v>
      </c>
      <c r="BD76" s="185">
        <f>'LCFS Table'!$AT76*'LCFS Table'!$BX76</f>
        <v>0</v>
      </c>
      <c r="BE76" s="185">
        <f>'LCFS Table'!$AU76*'LCFS Table'!$BY76</f>
        <v>1</v>
      </c>
      <c r="BF76" s="137">
        <f>'LCFS Table'!$AV76*'LCFS Table'!$BZ76</f>
        <v>0.95624999999999993</v>
      </c>
      <c r="BG76" s="137">
        <f>'LCFS Table'!$AW76*'LCFS Table'!$CA76</f>
        <v>0</v>
      </c>
      <c r="BH76" s="137">
        <f>'LCFS Table'!$AX76*'LCFS Table'!$CB76</f>
        <v>1.2538667334112497</v>
      </c>
      <c r="BI76" s="137">
        <f>'LCFS Table'!$AY76*'LCFS Table'!$CC76</f>
        <v>0</v>
      </c>
      <c r="BJ76" s="137">
        <f>'LCFS Table'!$AZ76*'LCFS Table'!$CD76</f>
        <v>1</v>
      </c>
      <c r="BK76" s="137">
        <f>'LCFS Table'!$BA76*'LCFS Table'!$CE76</f>
        <v>0.84375</v>
      </c>
      <c r="BL76" s="137">
        <f>'LCFS Table'!$BB76*'LCFS Table'!$CF76</f>
        <v>-1.2</v>
      </c>
      <c r="BM76" s="137">
        <f>'LCFS Table'!$AS76*'LCFS Table'!$CG76</f>
        <v>0</v>
      </c>
      <c r="BN76" s="137">
        <f>'LCFS Table'!$AT76*'LCFS Table'!$CH76</f>
        <v>0.16</v>
      </c>
      <c r="BO76" s="137">
        <f>'LCFS Table'!$AU76*'LCFS Table'!$CI76</f>
        <v>0</v>
      </c>
      <c r="BP76" s="137">
        <f>'LCFS Table'!$AV76*'LCFS Table'!$CJ76</f>
        <v>0</v>
      </c>
      <c r="BQ76" s="137">
        <f>'LCFS Table'!$AW76*'LCFS Table'!$CK76</f>
        <v>0</v>
      </c>
      <c r="BR76" s="137">
        <f>'LCFS Table'!$AX76*'LCFS Table'!$CL76</f>
        <v>0</v>
      </c>
      <c r="BS76" s="137">
        <f>'LCFS Table'!$AY76*'LCFS Table'!$CM76</f>
        <v>0</v>
      </c>
      <c r="BT76" s="137">
        <f>'LCFS Table'!$AZ76*'LCFS Table'!$CN76</f>
        <v>0</v>
      </c>
      <c r="BU76" s="137">
        <f>'LCFS Table'!$BA76*'LCFS Table'!$CO76</f>
        <v>0</v>
      </c>
      <c r="BV76" s="136">
        <f>'LCFS Table'!$BB76*'LCFS Table'!$CP76</f>
        <v>1.2</v>
      </c>
      <c r="BW76" s="138">
        <v>1</v>
      </c>
      <c r="BX76" s="138">
        <v>0</v>
      </c>
      <c r="BY76" s="138">
        <v>1</v>
      </c>
      <c r="BZ76" s="138">
        <v>1</v>
      </c>
      <c r="CA76" s="138">
        <v>-1</v>
      </c>
      <c r="CB76" s="138">
        <v>1</v>
      </c>
      <c r="CC76" s="138">
        <v>0</v>
      </c>
      <c r="CD76" s="138">
        <v>1</v>
      </c>
      <c r="CE76" s="138">
        <v>1</v>
      </c>
      <c r="CF76" s="138">
        <v>-1</v>
      </c>
      <c r="CG76" s="138">
        <f>1-'LCFS Table'!$BW76</f>
        <v>0</v>
      </c>
      <c r="CH76" s="138">
        <f>1-'LCFS Table'!$BX76</f>
        <v>1</v>
      </c>
      <c r="CI76" s="138">
        <f>1-'LCFS Table'!$BY76</f>
        <v>0</v>
      </c>
      <c r="CJ76" s="138">
        <f>1-'LCFS Table'!$BZ76</f>
        <v>0</v>
      </c>
      <c r="CK76" s="138">
        <f>-'LCFS Table'!$CA76</f>
        <v>1</v>
      </c>
      <c r="CL76" s="138">
        <f>1-'LCFS Table'!$CB76</f>
        <v>0</v>
      </c>
      <c r="CM76" s="138">
        <f>1-'LCFS Table'!$CC76</f>
        <v>1</v>
      </c>
      <c r="CN76" s="138">
        <f>1-'LCFS Table'!$CD76</f>
        <v>0</v>
      </c>
      <c r="CO76" s="138">
        <f>1-'LCFS Table'!$CE76</f>
        <v>0</v>
      </c>
      <c r="CP76" s="138">
        <f>-'LCFS Table'!$CF76</f>
        <v>1</v>
      </c>
      <c r="CQ76" s="140">
        <v>8.375</v>
      </c>
      <c r="CR76" s="165">
        <f>('LCFS Table'!$CQ76*0.9/(0.8/0.99)/100)</f>
        <v>9.3276562500000007E-2</v>
      </c>
      <c r="CS76" s="166"/>
      <c r="CT76" s="167"/>
      <c r="CW76" s="168">
        <f>'LCFS Table'!$K76-'LCFS Table'!$M76</f>
        <v>0.6909167334112496</v>
      </c>
      <c r="CX76" s="129">
        <f>MONTH('LCFS Table'!$B76)</f>
        <v>5</v>
      </c>
      <c r="CY76" s="129">
        <f>YEAR('LCFS Table'!$B76)</f>
        <v>2020</v>
      </c>
    </row>
    <row r="77" spans="1:103">
      <c r="A77" s="148">
        <v>43982</v>
      </c>
      <c r="B77" s="149">
        <v>43988</v>
      </c>
      <c r="C77" s="132">
        <f t="shared" si="1"/>
        <v>2020</v>
      </c>
      <c r="D77" s="182" t="s">
        <v>279</v>
      </c>
      <c r="E77" s="187">
        <f>'LCFS Table'!$K77-'LCFS Table'!$I77</f>
        <v>-1.7654347309136422</v>
      </c>
      <c r="F77" s="187">
        <f>('LCFS Table'!$M77)-'LCFS Table'!$J77</f>
        <v>-2.7676104197299995</v>
      </c>
      <c r="G77" s="188">
        <f>'LCFS Table'!$E77+'LCFS Table'!$AS77+'LCFS Table'!$AT77+'LCFS Table'!$AU77+'LCFS Table'!$AV77</f>
        <v>2.2024204487711541</v>
      </c>
      <c r="H77" s="188">
        <f>'LCFS Table'!$F77+'LCFS Table'!$AX77+'LCFS Table'!$AY77+'LCFS Table'!$AZ77+'LCFS Table'!$BA77+('LCFS Table'!$CQ77*0.9/(0.8/0.99)/100)+(DG77*'LCFS Table'!$AF77)+(DF77*'LCFS Table'!$AG77)</f>
        <v>0.43732695312500036</v>
      </c>
      <c r="I77" s="187">
        <f>('LCFS Table'!$V77+'LCFS Table'!$W77+'LCFS Table'!$X77)/100+(('LCFS Table'!$AI77+'LCFS Table'!$AJ77)/340)</f>
        <v>2.8575347309136423</v>
      </c>
      <c r="J77" s="187">
        <f>(('LCFS Table'!$Y77+'LCFS Table'!$Z77)/100)+(('LCFS Table'!$AM77+'LCFS Table'!$AN77)/300)</f>
        <v>3.0787730468749999</v>
      </c>
      <c r="K77" s="140">
        <f>'[1]Fuel Values'!$C76</f>
        <v>1.0921000000000001</v>
      </c>
      <c r="L77" s="140">
        <f>'[1]Fuel Values'!$B76</f>
        <v>342.7</v>
      </c>
      <c r="M77" s="185">
        <f>('LCFS Table'!$L77/100)-'LCFS Table'!$AX77-'LCFS Table'!$AY77-'LCFS Table'!$AZ77-'LCFS Table'!$BA77</f>
        <v>0.31116262714500009</v>
      </c>
      <c r="N77" s="140">
        <f>[1]BFT!$B76</f>
        <v>28.4</v>
      </c>
      <c r="O77" s="140">
        <f>[1]UCO!$B76</f>
        <v>28.5</v>
      </c>
      <c r="P77" s="140">
        <f>[1]DCO!$B76</f>
        <v>25.4</v>
      </c>
      <c r="Q77" s="140">
        <f>'[1]Soybean Oil'!$B76</f>
        <v>29.922000000000001</v>
      </c>
      <c r="R77" s="140">
        <f>'[1]Yellow Grease'!$B76</f>
        <v>24</v>
      </c>
      <c r="S77" s="185">
        <f>'LCFS Table'!$N77 + 'LCFS Table'!$AH77</f>
        <v>32.774999999999999</v>
      </c>
      <c r="T77" s="185">
        <f>'LCFS Table'!$Q77+'LCFS Table'!$AH77</f>
        <v>34.296999999999997</v>
      </c>
      <c r="U77" s="185">
        <f>'LCFS Table'!$P77+'LCFS Table'!$AH77</f>
        <v>29.774999999999999</v>
      </c>
      <c r="V77" s="185">
        <f>(('LCFS Table'!$S77/'LCFS Table'!$AA77)*'LCFS Table'!$AC77)*6.48</f>
        <v>112.96914893617021</v>
      </c>
      <c r="W77" s="185">
        <f>(('LCFS Table'!$O77/'LCFS Table'!$AA77)*'LCFS Table'!$AD77)*6.48</f>
        <v>49.11702127659575</v>
      </c>
      <c r="X77" s="185">
        <f>(('LCFS Table'!$U77/'LCFS Table'!$AA77)*'LCFS Table'!$AE77)*6.48</f>
        <v>51.314361702127663</v>
      </c>
      <c r="Y77" s="185">
        <f>(('LCFS Table'!$T77/'LCFS Table'!$AB77)*'LCFS Table'!$AF77)*7.35</f>
        <v>196.93980468749999</v>
      </c>
      <c r="Z77" s="185">
        <f>(('LCFS Table'!$R77/'LCFS Table'!$AB77)*'LCFS Table'!$AG77)*7.35</f>
        <v>45.9375</v>
      </c>
      <c r="AA77" s="138">
        <v>0.94</v>
      </c>
      <c r="AB77" s="138">
        <v>0.96</v>
      </c>
      <c r="AC77" s="138">
        <v>0.5</v>
      </c>
      <c r="AD77" s="138">
        <v>0.25</v>
      </c>
      <c r="AE77" s="138">
        <v>0.25</v>
      </c>
      <c r="AF77" s="138">
        <v>0.75</v>
      </c>
      <c r="AG77" s="138">
        <v>0.25</v>
      </c>
      <c r="AH77" s="139">
        <v>4.375</v>
      </c>
      <c r="AI77" s="139">
        <v>136</v>
      </c>
      <c r="AJ77" s="139">
        <v>110</v>
      </c>
      <c r="AK77" s="186">
        <f>('LCFS Table'!$AI77/340)*100</f>
        <v>40</v>
      </c>
      <c r="AL77" s="186">
        <f>('LCFS Table'!$AJ77/340)*100</f>
        <v>32.352941176470587</v>
      </c>
      <c r="AM77" s="139">
        <v>105</v>
      </c>
      <c r="AN77" s="139">
        <v>90</v>
      </c>
      <c r="AO77" s="139">
        <f>('LCFS Table'!$AM77/300)*100</f>
        <v>35</v>
      </c>
      <c r="AP77" s="139">
        <f>('LCFS Table'!$AN77/300)*100</f>
        <v>30</v>
      </c>
      <c r="AQ77" s="140">
        <v>210.2</v>
      </c>
      <c r="AR77" s="140">
        <v>0.58350000000000002</v>
      </c>
      <c r="AS77" s="185">
        <v>1.8159051796847965</v>
      </c>
      <c r="AT77" s="137">
        <v>0.16</v>
      </c>
      <c r="AU77" s="137">
        <v>1</v>
      </c>
      <c r="AV77" s="185">
        <f>'LCFS Table'!$AR77*1.7</f>
        <v>0.99195</v>
      </c>
      <c r="AW77" s="137">
        <v>0</v>
      </c>
      <c r="AX77" s="185">
        <v>1.2405873728549999</v>
      </c>
      <c r="AY77" s="137">
        <v>0</v>
      </c>
      <c r="AZ77" s="141">
        <v>1</v>
      </c>
      <c r="BA77" s="185">
        <f>'LCFS Table'!$AR77*1.5</f>
        <v>0.87525000000000008</v>
      </c>
      <c r="BB77" s="136">
        <v>1.2</v>
      </c>
      <c r="BC77" s="185">
        <f>'LCFS Table'!$AS77*'LCFS Table'!$BW77</f>
        <v>1.8159051796847965</v>
      </c>
      <c r="BD77" s="185">
        <f>'LCFS Table'!$AT77*'LCFS Table'!$BX77</f>
        <v>0</v>
      </c>
      <c r="BE77" s="185">
        <f>'LCFS Table'!$AU77*'LCFS Table'!$BY77</f>
        <v>1</v>
      </c>
      <c r="BF77" s="137">
        <f>'LCFS Table'!$AV77*'LCFS Table'!$BZ77</f>
        <v>0.99195</v>
      </c>
      <c r="BG77" s="137">
        <f>'LCFS Table'!$AW77*'LCFS Table'!$CA77</f>
        <v>0</v>
      </c>
      <c r="BH77" s="137">
        <f>'LCFS Table'!$AX77*'LCFS Table'!$CB77</f>
        <v>1.2405873728549999</v>
      </c>
      <c r="BI77" s="137">
        <f>'LCFS Table'!$AY77*'LCFS Table'!$CC77</f>
        <v>0</v>
      </c>
      <c r="BJ77" s="137">
        <f>'LCFS Table'!$AZ77*'LCFS Table'!$CD77</f>
        <v>1</v>
      </c>
      <c r="BK77" s="137">
        <f>'LCFS Table'!$BA77*'LCFS Table'!$CE77</f>
        <v>0.87525000000000008</v>
      </c>
      <c r="BL77" s="137">
        <f>'LCFS Table'!$BB77*'LCFS Table'!$CF77</f>
        <v>-1.2</v>
      </c>
      <c r="BM77" s="137">
        <f>'LCFS Table'!$AS77*'LCFS Table'!$CG77</f>
        <v>0</v>
      </c>
      <c r="BN77" s="137">
        <f>'LCFS Table'!$AT77*'LCFS Table'!$CH77</f>
        <v>0.16</v>
      </c>
      <c r="BO77" s="137">
        <f>'LCFS Table'!$AU77*'LCFS Table'!$CI77</f>
        <v>0</v>
      </c>
      <c r="BP77" s="137">
        <f>'LCFS Table'!$AV77*'LCFS Table'!$CJ77</f>
        <v>0</v>
      </c>
      <c r="BQ77" s="137">
        <f>'LCFS Table'!$AW77*'LCFS Table'!$CK77</f>
        <v>0</v>
      </c>
      <c r="BR77" s="137">
        <f>'LCFS Table'!$AX77*'LCFS Table'!$CL77</f>
        <v>0</v>
      </c>
      <c r="BS77" s="137">
        <f>'LCFS Table'!$AY77*'LCFS Table'!$CM77</f>
        <v>0</v>
      </c>
      <c r="BT77" s="137">
        <f>'LCFS Table'!$AZ77*'LCFS Table'!$CN77</f>
        <v>0</v>
      </c>
      <c r="BU77" s="137">
        <f>'LCFS Table'!$BA77*'LCFS Table'!$CO77</f>
        <v>0</v>
      </c>
      <c r="BV77" s="136">
        <f>'LCFS Table'!$BB77*'LCFS Table'!$CP77</f>
        <v>1.2</v>
      </c>
      <c r="BW77" s="138">
        <v>1</v>
      </c>
      <c r="BX77" s="138">
        <v>0</v>
      </c>
      <c r="BY77" s="138">
        <v>1</v>
      </c>
      <c r="BZ77" s="138">
        <v>1</v>
      </c>
      <c r="CA77" s="138">
        <v>-1</v>
      </c>
      <c r="CB77" s="138">
        <v>1</v>
      </c>
      <c r="CC77" s="138">
        <v>0</v>
      </c>
      <c r="CD77" s="138">
        <v>1</v>
      </c>
      <c r="CE77" s="138">
        <v>1</v>
      </c>
      <c r="CF77" s="138">
        <v>-1</v>
      </c>
      <c r="CG77" s="138">
        <f>1-'LCFS Table'!$BW77</f>
        <v>0</v>
      </c>
      <c r="CH77" s="138">
        <f>1-'LCFS Table'!$BX77</f>
        <v>1</v>
      </c>
      <c r="CI77" s="138">
        <f>1-'LCFS Table'!$BY77</f>
        <v>0</v>
      </c>
      <c r="CJ77" s="138">
        <f>1-'LCFS Table'!$BZ77</f>
        <v>0</v>
      </c>
      <c r="CK77" s="138">
        <f>-'LCFS Table'!$CA77</f>
        <v>1</v>
      </c>
      <c r="CL77" s="138">
        <f>1-'LCFS Table'!$CB77</f>
        <v>0</v>
      </c>
      <c r="CM77" s="138">
        <f>1-'LCFS Table'!$CC77</f>
        <v>1</v>
      </c>
      <c r="CN77" s="138">
        <f>1-'LCFS Table'!$CD77</f>
        <v>0</v>
      </c>
      <c r="CO77" s="138">
        <f>1-'LCFS Table'!$CE77</f>
        <v>0</v>
      </c>
      <c r="CP77" s="138">
        <f>-'LCFS Table'!$CF77</f>
        <v>1</v>
      </c>
      <c r="CQ77" s="140">
        <v>8</v>
      </c>
      <c r="CR77" s="165">
        <f>('LCFS Table'!$CQ77*0.9/(0.8/0.99)/100)</f>
        <v>8.9099999999999985E-2</v>
      </c>
      <c r="CS77" s="166"/>
      <c r="CT77" s="167"/>
      <c r="CW77" s="168">
        <f>'LCFS Table'!$K77-'LCFS Table'!$M77</f>
        <v>0.78093737285499998</v>
      </c>
      <c r="CX77" s="129">
        <f>MONTH('LCFS Table'!$B77)</f>
        <v>6</v>
      </c>
      <c r="CY77" s="129">
        <f>YEAR('LCFS Table'!$B77)</f>
        <v>2020</v>
      </c>
    </row>
    <row r="78" spans="1:103">
      <c r="A78" s="148">
        <v>43989</v>
      </c>
      <c r="B78" s="149">
        <v>43995</v>
      </c>
      <c r="C78" s="132">
        <f t="shared" si="1"/>
        <v>2020</v>
      </c>
      <c r="D78" s="150" t="s">
        <v>280</v>
      </c>
      <c r="E78" s="187">
        <f>'LCFS Table'!$K78-'LCFS Table'!$I78</f>
        <v>-1.6319411138923658</v>
      </c>
      <c r="F78" s="187">
        <f>('LCFS Table'!$M78)-'LCFS Table'!$J78</f>
        <v>-2.6573143307074996</v>
      </c>
      <c r="G78" s="188">
        <f>'LCFS Table'!$E78+'LCFS Table'!$AS78+'LCFS Table'!$AT78+'LCFS Table'!$AU78+'LCFS Table'!$AV78</f>
        <v>2.2717611399071505</v>
      </c>
      <c r="H78" s="188">
        <f>'LCFS Table'!$F78+'LCFS Table'!$AX78+'LCFS Table'!$AY78+'LCFS Table'!$AZ78+'LCFS Table'!$BA78+('LCFS Table'!$CQ78*0.9/(0.8/0.99)/100)+(DG78*'LCFS Table'!$AF78)+(DF78*'LCFS Table'!$AG78)</f>
        <v>0.49350148437500052</v>
      </c>
      <c r="I78" s="187">
        <f>('LCFS Table'!$V78+'LCFS Table'!$W78+'LCFS Table'!$X78)/100+(('LCFS Table'!$AI78+'LCFS Table'!$AJ78)/340)</f>
        <v>2.7696411138923658</v>
      </c>
      <c r="J78" s="187">
        <f>(('LCFS Table'!$Y78+'LCFS Table'!$Z78)/100)+(('LCFS Table'!$AM78+'LCFS Table'!$AN78)/300)</f>
        <v>3.0680925781249999</v>
      </c>
      <c r="K78" s="140">
        <f>'[1]Fuel Values'!$C77</f>
        <v>1.1376999999999999</v>
      </c>
      <c r="L78" s="140">
        <f>'[1]Fuel Values'!$B77</f>
        <v>347.5</v>
      </c>
      <c r="M78" s="185">
        <f>('LCFS Table'!$L78/100)-'LCFS Table'!$AX78-'LCFS Table'!$AY78-'LCFS Table'!$AZ78-'LCFS Table'!$BA78</f>
        <v>0.41077824741750024</v>
      </c>
      <c r="N78" s="140">
        <f>[1]BFT!$B77</f>
        <v>26.6</v>
      </c>
      <c r="O78" s="140">
        <f>[1]UCO!$B77</f>
        <v>28.5</v>
      </c>
      <c r="P78" s="140">
        <f>[1]DCO!$B77</f>
        <v>23.9</v>
      </c>
      <c r="Q78" s="140">
        <f>'[1]Soybean Oil'!$B77</f>
        <v>29.736000000000001</v>
      </c>
      <c r="R78" s="140">
        <f>'[1]Yellow Grease'!$B77</f>
        <v>24</v>
      </c>
      <c r="S78" s="185">
        <f>'LCFS Table'!$N78 + 'LCFS Table'!$AH78</f>
        <v>30.975000000000001</v>
      </c>
      <c r="T78" s="185">
        <f>'LCFS Table'!$Q78+'LCFS Table'!$AH78</f>
        <v>34.111000000000004</v>
      </c>
      <c r="U78" s="185">
        <f>'LCFS Table'!$P78+'LCFS Table'!$AH78</f>
        <v>28.274999999999999</v>
      </c>
      <c r="V78" s="185">
        <f>(('LCFS Table'!$S78/'LCFS Table'!$AA78)*'LCFS Table'!$AC78)*6.48</f>
        <v>106.7648936170213</v>
      </c>
      <c r="W78" s="185">
        <f>(('LCFS Table'!$O78/'LCFS Table'!$AA78)*'LCFS Table'!$AD78)*6.48</f>
        <v>49.11702127659575</v>
      </c>
      <c r="X78" s="185">
        <f>(('LCFS Table'!$U78/'LCFS Table'!$AA78)*'LCFS Table'!$AE78)*6.48</f>
        <v>48.72925531914894</v>
      </c>
      <c r="Y78" s="185">
        <f>(('LCFS Table'!$T78/'LCFS Table'!$AB78)*'LCFS Table'!$AF78)*7.35</f>
        <v>195.87175781250002</v>
      </c>
      <c r="Z78" s="185">
        <f>(('LCFS Table'!$R78/'LCFS Table'!$AB78)*'LCFS Table'!$AG78)*7.35</f>
        <v>45.9375</v>
      </c>
      <c r="AA78" s="138">
        <v>0.94</v>
      </c>
      <c r="AB78" s="138">
        <v>0.96</v>
      </c>
      <c r="AC78" s="138">
        <v>0.5</v>
      </c>
      <c r="AD78" s="138">
        <v>0.25</v>
      </c>
      <c r="AE78" s="138">
        <v>0.25</v>
      </c>
      <c r="AF78" s="138">
        <v>0.75</v>
      </c>
      <c r="AG78" s="138">
        <v>0.25</v>
      </c>
      <c r="AH78" s="139">
        <v>4.375</v>
      </c>
      <c r="AI78" s="139">
        <v>136</v>
      </c>
      <c r="AJ78" s="139">
        <v>110</v>
      </c>
      <c r="AK78" s="186">
        <f>('LCFS Table'!$AI78/340)*100</f>
        <v>40</v>
      </c>
      <c r="AL78" s="186">
        <f>('LCFS Table'!$AJ78/340)*100</f>
        <v>32.352941176470587</v>
      </c>
      <c r="AM78" s="139">
        <v>105</v>
      </c>
      <c r="AN78" s="139">
        <v>90</v>
      </c>
      <c r="AO78" s="139">
        <f>('LCFS Table'!$AM78/300)*100</f>
        <v>35</v>
      </c>
      <c r="AP78" s="139">
        <f>('LCFS Table'!$AN78/300)*100</f>
        <v>30</v>
      </c>
      <c r="AQ78" s="140">
        <v>207.3</v>
      </c>
      <c r="AR78" s="140">
        <v>0.5605</v>
      </c>
      <c r="AS78" s="185">
        <v>1.7908522537995164</v>
      </c>
      <c r="AT78" s="137">
        <v>0.16</v>
      </c>
      <c r="AU78" s="137">
        <v>1</v>
      </c>
      <c r="AV78" s="185">
        <f>'LCFS Table'!$AR78*1.7</f>
        <v>0.95284999999999997</v>
      </c>
      <c r="AW78" s="137">
        <v>0</v>
      </c>
      <c r="AX78" s="185">
        <v>1.2234717525825001</v>
      </c>
      <c r="AY78" s="137">
        <v>0</v>
      </c>
      <c r="AZ78" s="141">
        <v>1</v>
      </c>
      <c r="BA78" s="185">
        <f>'LCFS Table'!$AR78*1.5</f>
        <v>0.84075</v>
      </c>
      <c r="BB78" s="136">
        <v>1.2</v>
      </c>
      <c r="BC78" s="185">
        <f>'LCFS Table'!$AS78*'LCFS Table'!$BW78</f>
        <v>1.7908522537995164</v>
      </c>
      <c r="BD78" s="185">
        <f>'LCFS Table'!$AT78*'LCFS Table'!$BX78</f>
        <v>0</v>
      </c>
      <c r="BE78" s="185">
        <f>'LCFS Table'!$AU78*'LCFS Table'!$BY78</f>
        <v>1</v>
      </c>
      <c r="BF78" s="137">
        <f>'LCFS Table'!$AV78*'LCFS Table'!$BZ78</f>
        <v>0.95284999999999997</v>
      </c>
      <c r="BG78" s="137">
        <f>'LCFS Table'!$AW78*'LCFS Table'!$CA78</f>
        <v>0</v>
      </c>
      <c r="BH78" s="137">
        <f>'LCFS Table'!$AX78*'LCFS Table'!$CB78</f>
        <v>1.2234717525825001</v>
      </c>
      <c r="BI78" s="137">
        <f>'LCFS Table'!$AY78*'LCFS Table'!$CC78</f>
        <v>0</v>
      </c>
      <c r="BJ78" s="137">
        <f>'LCFS Table'!$AZ78*'LCFS Table'!$CD78</f>
        <v>1</v>
      </c>
      <c r="BK78" s="137">
        <f>'LCFS Table'!$BA78*'LCFS Table'!$CE78</f>
        <v>0.84075</v>
      </c>
      <c r="BL78" s="137">
        <f>'LCFS Table'!$BB78*'LCFS Table'!$CF78</f>
        <v>-1.2</v>
      </c>
      <c r="BM78" s="137">
        <f>'LCFS Table'!$AS78*'LCFS Table'!$CG78</f>
        <v>0</v>
      </c>
      <c r="BN78" s="137">
        <f>'LCFS Table'!$AT78*'LCFS Table'!$CH78</f>
        <v>0.16</v>
      </c>
      <c r="BO78" s="137">
        <f>'LCFS Table'!$AU78*'LCFS Table'!$CI78</f>
        <v>0</v>
      </c>
      <c r="BP78" s="137">
        <f>'LCFS Table'!$AV78*'LCFS Table'!$CJ78</f>
        <v>0</v>
      </c>
      <c r="BQ78" s="137">
        <f>'LCFS Table'!$AW78*'LCFS Table'!$CK78</f>
        <v>0</v>
      </c>
      <c r="BR78" s="137">
        <f>'LCFS Table'!$AX78*'LCFS Table'!$CL78</f>
        <v>0</v>
      </c>
      <c r="BS78" s="137">
        <f>'LCFS Table'!$AY78*'LCFS Table'!$CM78</f>
        <v>0</v>
      </c>
      <c r="BT78" s="137">
        <f>'LCFS Table'!$AZ78*'LCFS Table'!$CN78</f>
        <v>0</v>
      </c>
      <c r="BU78" s="137">
        <f>'LCFS Table'!$BA78*'LCFS Table'!$CO78</f>
        <v>0</v>
      </c>
      <c r="BV78" s="136">
        <f>'LCFS Table'!$BB78*'LCFS Table'!$CP78</f>
        <v>1.2</v>
      </c>
      <c r="BW78" s="138">
        <v>1</v>
      </c>
      <c r="BX78" s="138">
        <v>0</v>
      </c>
      <c r="BY78" s="138">
        <v>1</v>
      </c>
      <c r="BZ78" s="138">
        <v>1</v>
      </c>
      <c r="CA78" s="138">
        <v>-1</v>
      </c>
      <c r="CB78" s="138">
        <v>1</v>
      </c>
      <c r="CC78" s="138">
        <v>0</v>
      </c>
      <c r="CD78" s="138">
        <v>1</v>
      </c>
      <c r="CE78" s="138">
        <v>1</v>
      </c>
      <c r="CF78" s="138">
        <v>-1</v>
      </c>
      <c r="CG78" s="138">
        <f>1-'LCFS Table'!$BW78</f>
        <v>0</v>
      </c>
      <c r="CH78" s="138">
        <f>1-'LCFS Table'!$BX78</f>
        <v>1</v>
      </c>
      <c r="CI78" s="138">
        <f>1-'LCFS Table'!$BY78</f>
        <v>0</v>
      </c>
      <c r="CJ78" s="138">
        <f>1-'LCFS Table'!$BZ78</f>
        <v>0</v>
      </c>
      <c r="CK78" s="138">
        <f>-'LCFS Table'!$CA78</f>
        <v>1</v>
      </c>
      <c r="CL78" s="138">
        <f>1-'LCFS Table'!$CB78</f>
        <v>0</v>
      </c>
      <c r="CM78" s="138">
        <f>1-'LCFS Table'!$CC78</f>
        <v>1</v>
      </c>
      <c r="CN78" s="138">
        <f>1-'LCFS Table'!$CD78</f>
        <v>0</v>
      </c>
      <c r="CO78" s="138">
        <f>1-'LCFS Table'!$CE78</f>
        <v>0</v>
      </c>
      <c r="CP78" s="138">
        <f>-'LCFS Table'!$CF78</f>
        <v>1</v>
      </c>
      <c r="CQ78" s="140">
        <v>7.7750000000000004</v>
      </c>
      <c r="CR78" s="165">
        <f>('LCFS Table'!$CQ78*0.9/(0.8/0.99)/100)</f>
        <v>8.6594062499999999E-2</v>
      </c>
      <c r="CS78" s="166"/>
      <c r="CT78" s="167"/>
      <c r="CW78" s="168">
        <f>'LCFS Table'!$K78-'LCFS Table'!$M78</f>
        <v>0.72692175258249969</v>
      </c>
      <c r="CX78" s="129">
        <f>MONTH('LCFS Table'!$B78)</f>
        <v>6</v>
      </c>
      <c r="CY78" s="129">
        <f>YEAR('LCFS Table'!$B78)</f>
        <v>2020</v>
      </c>
    </row>
    <row r="79" spans="1:103">
      <c r="A79" s="148">
        <v>43996</v>
      </c>
      <c r="B79" s="149">
        <v>44002</v>
      </c>
      <c r="C79" s="132">
        <f t="shared" si="1"/>
        <v>2020</v>
      </c>
      <c r="D79" s="182" t="s">
        <v>281</v>
      </c>
      <c r="E79" s="187">
        <f>'LCFS Table'!$K79-'LCFS Table'!$I79</f>
        <v>-1.4568028160200253</v>
      </c>
      <c r="F79" s="187">
        <f>('LCFS Table'!$M79)-'LCFS Table'!$J79</f>
        <v>-2.6138534743525002</v>
      </c>
      <c r="G79" s="188">
        <f>'LCFS Table'!$E79+'LCFS Table'!$AS79+'LCFS Table'!$AT79+'LCFS Table'!$AU79+'LCFS Table'!$AV79</f>
        <v>2.4579216497874024</v>
      </c>
      <c r="H79" s="188">
        <f>'LCFS Table'!$F79+'LCFS Table'!$AX79+'LCFS Table'!$AY79+'LCFS Table'!$AZ79+'LCFS Table'!$BA79+('LCFS Table'!$CQ79*0.9/(0.8/0.99)/100)+(DG79*'LCFS Table'!$AF79)+(DF79*'LCFS Table'!$AG79)</f>
        <v>0.54424757812499969</v>
      </c>
      <c r="I79" s="187">
        <f>('LCFS Table'!$V79+'LCFS Table'!$W79+'LCFS Table'!$X79)/100+(('LCFS Table'!$AI79+'LCFS Table'!$AJ79)/340)</f>
        <v>2.6490028160200252</v>
      </c>
      <c r="J79" s="187">
        <f>(('LCFS Table'!$Y79+'LCFS Table'!$Z79)/100)+(('LCFS Table'!$AM79+'LCFS Table'!$AN79)/300)</f>
        <v>3.0745621093750004</v>
      </c>
      <c r="K79" s="140">
        <f>'[1]Fuel Values'!$C78</f>
        <v>1.1921999999999999</v>
      </c>
      <c r="L79" s="140">
        <f>'[1]Fuel Values'!$B78</f>
        <v>353.5</v>
      </c>
      <c r="M79" s="185">
        <f>('LCFS Table'!$L79/100)-'LCFS Table'!$AX79-'LCFS Table'!$AY79-'LCFS Table'!$AZ79-'LCFS Table'!$BA79</f>
        <v>0.46070863502250026</v>
      </c>
      <c r="N79" s="140">
        <f>[1]BFT!$B78</f>
        <v>24</v>
      </c>
      <c r="O79" s="140">
        <f>[1]UCO!$B78</f>
        <v>28.5</v>
      </c>
      <c r="P79" s="140">
        <f>[1]DCO!$B78</f>
        <v>22.1</v>
      </c>
      <c r="Q79" s="140">
        <f>'[1]Soybean Oil'!$B78</f>
        <v>29.882000000000001</v>
      </c>
      <c r="R79" s="140">
        <f>'[1]Yellow Grease'!$B78</f>
        <v>23.9</v>
      </c>
      <c r="S79" s="185">
        <f>'LCFS Table'!$N79 + 'LCFS Table'!$AH79</f>
        <v>28.375</v>
      </c>
      <c r="T79" s="185">
        <f>'LCFS Table'!$Q79+'LCFS Table'!$AH79</f>
        <v>34.257000000000005</v>
      </c>
      <c r="U79" s="185">
        <f>'LCFS Table'!$P79+'LCFS Table'!$AH79</f>
        <v>26.475000000000001</v>
      </c>
      <c r="V79" s="185">
        <f>(('LCFS Table'!$S79/'LCFS Table'!$AA79)*'LCFS Table'!$AC79)*6.48</f>
        <v>97.803191489361708</v>
      </c>
      <c r="W79" s="185">
        <f>(('LCFS Table'!$O79/'LCFS Table'!$AA79)*'LCFS Table'!$AD79)*6.48</f>
        <v>49.11702127659575</v>
      </c>
      <c r="X79" s="185">
        <f>(('LCFS Table'!$U79/'LCFS Table'!$AA79)*'LCFS Table'!$AE79)*6.48</f>
        <v>45.627127659574477</v>
      </c>
      <c r="Y79" s="185">
        <f>(('LCFS Table'!$T79/'LCFS Table'!$AB79)*'LCFS Table'!$AF79)*7.35</f>
        <v>196.71011718750003</v>
      </c>
      <c r="Z79" s="185">
        <f>(('LCFS Table'!$R79/'LCFS Table'!$AB79)*'LCFS Table'!$AG79)*7.35</f>
        <v>45.746093749999993</v>
      </c>
      <c r="AA79" s="138">
        <v>0.94</v>
      </c>
      <c r="AB79" s="138">
        <v>0.96</v>
      </c>
      <c r="AC79" s="138">
        <v>0.5</v>
      </c>
      <c r="AD79" s="138">
        <v>0.25</v>
      </c>
      <c r="AE79" s="138">
        <v>0.25</v>
      </c>
      <c r="AF79" s="138">
        <v>0.75</v>
      </c>
      <c r="AG79" s="138">
        <v>0.25</v>
      </c>
      <c r="AH79" s="139">
        <v>4.375</v>
      </c>
      <c r="AI79" s="139">
        <v>136</v>
      </c>
      <c r="AJ79" s="139">
        <v>110</v>
      </c>
      <c r="AK79" s="186">
        <f>('LCFS Table'!$AI79/340)*100</f>
        <v>40</v>
      </c>
      <c r="AL79" s="186">
        <f>('LCFS Table'!$AJ79/340)*100</f>
        <v>32.352941176470587</v>
      </c>
      <c r="AM79" s="139">
        <v>105</v>
      </c>
      <c r="AN79" s="139">
        <v>90</v>
      </c>
      <c r="AO79" s="139">
        <f>('LCFS Table'!$AM79/300)*100</f>
        <v>35</v>
      </c>
      <c r="AP79" s="139">
        <f>('LCFS Table'!$AN79/300)*100</f>
        <v>30</v>
      </c>
      <c r="AQ79" s="140">
        <v>207.1</v>
      </c>
      <c r="AR79" s="140">
        <v>0.56799999999999995</v>
      </c>
      <c r="AS79" s="185">
        <v>1.7891244658074279</v>
      </c>
      <c r="AT79" s="137">
        <v>0.16</v>
      </c>
      <c r="AU79" s="137">
        <v>1</v>
      </c>
      <c r="AV79" s="185">
        <f>'LCFS Table'!$AR79*1.7</f>
        <v>0.9655999999999999</v>
      </c>
      <c r="AW79" s="137">
        <v>0</v>
      </c>
      <c r="AX79" s="185">
        <v>1.2222913649775</v>
      </c>
      <c r="AY79" s="137">
        <v>0</v>
      </c>
      <c r="AZ79" s="141">
        <v>1</v>
      </c>
      <c r="BA79" s="185">
        <f>'LCFS Table'!$AR79*1.5</f>
        <v>0.85199999999999987</v>
      </c>
      <c r="BB79" s="136">
        <v>1.2</v>
      </c>
      <c r="BC79" s="185">
        <f>'LCFS Table'!$AS79*'LCFS Table'!$BW79</f>
        <v>1.7891244658074279</v>
      </c>
      <c r="BD79" s="185">
        <f>'LCFS Table'!$AT79*'LCFS Table'!$BX79</f>
        <v>0</v>
      </c>
      <c r="BE79" s="185">
        <f>'LCFS Table'!$AU79*'LCFS Table'!$BY79</f>
        <v>1</v>
      </c>
      <c r="BF79" s="137">
        <f>'LCFS Table'!$AV79*'LCFS Table'!$BZ79</f>
        <v>0.9655999999999999</v>
      </c>
      <c r="BG79" s="137">
        <f>'LCFS Table'!$AW79*'LCFS Table'!$CA79</f>
        <v>0</v>
      </c>
      <c r="BH79" s="137">
        <f>'LCFS Table'!$AX79*'LCFS Table'!$CB79</f>
        <v>1.2222913649775</v>
      </c>
      <c r="BI79" s="137">
        <f>'LCFS Table'!$AY79*'LCFS Table'!$CC79</f>
        <v>0</v>
      </c>
      <c r="BJ79" s="137">
        <f>'LCFS Table'!$AZ79*'LCFS Table'!$CD79</f>
        <v>1</v>
      </c>
      <c r="BK79" s="137">
        <f>'LCFS Table'!$BA79*'LCFS Table'!$CE79</f>
        <v>0.85199999999999987</v>
      </c>
      <c r="BL79" s="137">
        <f>'LCFS Table'!$BB79*'LCFS Table'!$CF79</f>
        <v>-1.2</v>
      </c>
      <c r="BM79" s="137">
        <f>'LCFS Table'!$AS79*'LCFS Table'!$CG79</f>
        <v>0</v>
      </c>
      <c r="BN79" s="137">
        <f>'LCFS Table'!$AT79*'LCFS Table'!$CH79</f>
        <v>0.16</v>
      </c>
      <c r="BO79" s="137">
        <f>'LCFS Table'!$AU79*'LCFS Table'!$CI79</f>
        <v>0</v>
      </c>
      <c r="BP79" s="137">
        <f>'LCFS Table'!$AV79*'LCFS Table'!$CJ79</f>
        <v>0</v>
      </c>
      <c r="BQ79" s="137">
        <f>'LCFS Table'!$AW79*'LCFS Table'!$CK79</f>
        <v>0</v>
      </c>
      <c r="BR79" s="137">
        <f>'LCFS Table'!$AX79*'LCFS Table'!$CL79</f>
        <v>0</v>
      </c>
      <c r="BS79" s="137">
        <f>'LCFS Table'!$AY79*'LCFS Table'!$CM79</f>
        <v>0</v>
      </c>
      <c r="BT79" s="137">
        <f>'LCFS Table'!$AZ79*'LCFS Table'!$CN79</f>
        <v>0</v>
      </c>
      <c r="BU79" s="137">
        <f>'LCFS Table'!$BA79*'LCFS Table'!$CO79</f>
        <v>0</v>
      </c>
      <c r="BV79" s="136">
        <f>'LCFS Table'!$BB79*'LCFS Table'!$CP79</f>
        <v>1.2</v>
      </c>
      <c r="BW79" s="138">
        <v>1</v>
      </c>
      <c r="BX79" s="138">
        <v>0</v>
      </c>
      <c r="BY79" s="138">
        <v>1</v>
      </c>
      <c r="BZ79" s="138">
        <v>1</v>
      </c>
      <c r="CA79" s="138">
        <v>-1</v>
      </c>
      <c r="CB79" s="138">
        <v>1</v>
      </c>
      <c r="CC79" s="138">
        <v>0</v>
      </c>
      <c r="CD79" s="138">
        <v>1</v>
      </c>
      <c r="CE79" s="138">
        <v>1</v>
      </c>
      <c r="CF79" s="138">
        <v>-1</v>
      </c>
      <c r="CG79" s="138">
        <f>1-'LCFS Table'!$BW79</f>
        <v>0</v>
      </c>
      <c r="CH79" s="138">
        <f>1-'LCFS Table'!$BX79</f>
        <v>1</v>
      </c>
      <c r="CI79" s="138">
        <f>1-'LCFS Table'!$BY79</f>
        <v>0</v>
      </c>
      <c r="CJ79" s="138">
        <f>1-'LCFS Table'!$BZ79</f>
        <v>0</v>
      </c>
      <c r="CK79" s="138">
        <f>-'LCFS Table'!$CA79</f>
        <v>1</v>
      </c>
      <c r="CL79" s="138">
        <f>1-'LCFS Table'!$CB79</f>
        <v>0</v>
      </c>
      <c r="CM79" s="138">
        <f>1-'LCFS Table'!$CC79</f>
        <v>1</v>
      </c>
      <c r="CN79" s="138">
        <f>1-'LCFS Table'!$CD79</f>
        <v>0</v>
      </c>
      <c r="CO79" s="138">
        <f>1-'LCFS Table'!$CE79</f>
        <v>0</v>
      </c>
      <c r="CP79" s="138">
        <f>-'LCFS Table'!$CF79</f>
        <v>1</v>
      </c>
      <c r="CQ79" s="140">
        <v>7.5250000000000004</v>
      </c>
      <c r="CR79" s="165">
        <f>('LCFS Table'!$CQ79*0.9/(0.8/0.99)/100)</f>
        <v>8.3809687499999994E-2</v>
      </c>
      <c r="CS79" s="166"/>
      <c r="CT79" s="167"/>
      <c r="CW79" s="168">
        <f>'LCFS Table'!$K79-'LCFS Table'!$M79</f>
        <v>0.73149136497749967</v>
      </c>
      <c r="CX79" s="129">
        <f>MONTH('LCFS Table'!$B79)</f>
        <v>6</v>
      </c>
      <c r="CY79" s="129">
        <f>YEAR('LCFS Table'!$B79)</f>
        <v>2020</v>
      </c>
    </row>
    <row r="80" spans="1:103">
      <c r="A80" s="148">
        <v>44003</v>
      </c>
      <c r="B80" s="149">
        <v>44009</v>
      </c>
      <c r="C80" s="132">
        <f t="shared" si="1"/>
        <v>2020</v>
      </c>
      <c r="D80" s="182" t="s">
        <v>282</v>
      </c>
      <c r="E80" s="187">
        <f>'LCFS Table'!$K80-'LCFS Table'!$I80</f>
        <v>-1.389411326658323</v>
      </c>
      <c r="F80" s="187">
        <f>('LCFS Table'!$M80)-'LCFS Table'!$J80</f>
        <v>-2.5077871963203124</v>
      </c>
      <c r="G80" s="188">
        <f>'LCFS Table'!$E80+'LCFS Table'!$AS80+'LCFS Table'!$AT80+'LCFS Table'!$AU80+'LCFS Table'!$AV80</f>
        <v>2.4534236840687118</v>
      </c>
      <c r="H80" s="188">
        <f>'LCFS Table'!$F80+'LCFS Table'!$AX80+'LCFS Table'!$AY80+'LCFS Table'!$AZ80+'LCFS Table'!$BA80+('LCFS Table'!$CQ80*0.9/(0.8/0.99)/100)+(DG80*'LCFS Table'!$AF80)+(DF80*'LCFS Table'!$AG80)</f>
        <v>0.58980429687499991</v>
      </c>
      <c r="I80" s="187">
        <f>('LCFS Table'!$V80+'LCFS Table'!$W80+'LCFS Table'!$X80)/100+(('LCFS Table'!$AI80+'LCFS Table'!$AJ80)/340)</f>
        <v>2.5723113266583231</v>
      </c>
      <c r="J80" s="187">
        <f>(('LCFS Table'!$Y80+'LCFS Table'!$Z80)/100)+(('LCFS Table'!$AM80+'LCFS Table'!$AN80)/300)</f>
        <v>3.052550390625</v>
      </c>
      <c r="K80" s="140">
        <f>'[1]Fuel Values'!$C79</f>
        <v>1.1829000000000001</v>
      </c>
      <c r="L80" s="140">
        <f>'[1]Fuel Values'!$B79</f>
        <v>356.3</v>
      </c>
      <c r="M80" s="185">
        <f>('LCFS Table'!$L80/100)-'LCFS Table'!$AX80-'LCFS Table'!$AY80-'LCFS Table'!$AZ80-'LCFS Table'!$BA80</f>
        <v>0.54476319430468756</v>
      </c>
      <c r="N80" s="140">
        <f>[1]BFT!$B79</f>
        <v>22</v>
      </c>
      <c r="O80" s="140">
        <f>[1]UCO!$B79</f>
        <v>28.5</v>
      </c>
      <c r="P80" s="140">
        <f>[1]DCO!$B79</f>
        <v>21.65</v>
      </c>
      <c r="Q80" s="140">
        <f>'[1]Soybean Oil'!$B79</f>
        <v>29.582000000000001</v>
      </c>
      <c r="R80" s="140">
        <f>'[1]Yellow Grease'!$B79</f>
        <v>23.65</v>
      </c>
      <c r="S80" s="185">
        <f>'LCFS Table'!$N80 + 'LCFS Table'!$AH80</f>
        <v>26.375</v>
      </c>
      <c r="T80" s="185">
        <f>'LCFS Table'!$Q80+'LCFS Table'!$AH80</f>
        <v>33.957000000000001</v>
      </c>
      <c r="U80" s="185">
        <f>'LCFS Table'!$P80+'LCFS Table'!$AH80</f>
        <v>26.024999999999999</v>
      </c>
      <c r="V80" s="185">
        <f>(('LCFS Table'!$S80/'LCFS Table'!$AA80)*'LCFS Table'!$AC80)*6.48</f>
        <v>90.909574468085125</v>
      </c>
      <c r="W80" s="185">
        <f>(('LCFS Table'!$O80/'LCFS Table'!$AA80)*'LCFS Table'!$AD80)*6.48</f>
        <v>49.11702127659575</v>
      </c>
      <c r="X80" s="185">
        <f>(('LCFS Table'!$U80/'LCFS Table'!$AA80)*'LCFS Table'!$AE80)*6.48</f>
        <v>44.851595744680857</v>
      </c>
      <c r="Y80" s="185">
        <f>(('LCFS Table'!$T80/'LCFS Table'!$AB80)*'LCFS Table'!$AF80)*7.35</f>
        <v>194.9874609375</v>
      </c>
      <c r="Z80" s="185">
        <f>(('LCFS Table'!$R80/'LCFS Table'!$AB80)*'LCFS Table'!$AG80)*7.35</f>
        <v>45.267578125</v>
      </c>
      <c r="AA80" s="138">
        <v>0.94</v>
      </c>
      <c r="AB80" s="138">
        <v>0.96</v>
      </c>
      <c r="AC80" s="138">
        <v>0.5</v>
      </c>
      <c r="AD80" s="138">
        <v>0.25</v>
      </c>
      <c r="AE80" s="138">
        <v>0.25</v>
      </c>
      <c r="AF80" s="138">
        <v>0.75</v>
      </c>
      <c r="AG80" s="138">
        <v>0.25</v>
      </c>
      <c r="AH80" s="139">
        <v>4.375</v>
      </c>
      <c r="AI80" s="139">
        <v>136</v>
      </c>
      <c r="AJ80" s="139">
        <v>110</v>
      </c>
      <c r="AK80" s="186">
        <f>('LCFS Table'!$AI80/340)*100</f>
        <v>40</v>
      </c>
      <c r="AL80" s="186">
        <f>('LCFS Table'!$AJ80/340)*100</f>
        <v>32.352941176470587</v>
      </c>
      <c r="AM80" s="139">
        <v>105</v>
      </c>
      <c r="AN80" s="139">
        <v>90</v>
      </c>
      <c r="AO80" s="139">
        <f>('LCFS Table'!$AM80/300)*100</f>
        <v>35</v>
      </c>
      <c r="AP80" s="139">
        <f>('LCFS Table'!$AN80/300)*100</f>
        <v>30</v>
      </c>
      <c r="AQ80" s="140">
        <v>202.8125</v>
      </c>
      <c r="AR80" s="140">
        <v>0.54749999999999999</v>
      </c>
      <c r="AS80" s="185">
        <v>1.7520850107270352</v>
      </c>
      <c r="AT80" s="137">
        <v>0.16</v>
      </c>
      <c r="AU80" s="137">
        <v>1</v>
      </c>
      <c r="AV80" s="185">
        <f>'LCFS Table'!$AR80*1.7</f>
        <v>0.93074999999999997</v>
      </c>
      <c r="AW80" s="137">
        <v>0</v>
      </c>
      <c r="AX80" s="185">
        <v>1.1969868056953124</v>
      </c>
      <c r="AY80" s="137">
        <v>0</v>
      </c>
      <c r="AZ80" s="141">
        <v>1</v>
      </c>
      <c r="BA80" s="185">
        <f>'LCFS Table'!$AR80*1.5</f>
        <v>0.82125000000000004</v>
      </c>
      <c r="BB80" s="136">
        <v>1.2</v>
      </c>
      <c r="BC80" s="185">
        <f>'LCFS Table'!$AS80*'LCFS Table'!$BW80</f>
        <v>1.7520850107270352</v>
      </c>
      <c r="BD80" s="185">
        <f>'LCFS Table'!$AT80*'LCFS Table'!$BX80</f>
        <v>0</v>
      </c>
      <c r="BE80" s="185">
        <f>'LCFS Table'!$AU80*'LCFS Table'!$BY80</f>
        <v>1</v>
      </c>
      <c r="BF80" s="137">
        <f>'LCFS Table'!$AV80*'LCFS Table'!$BZ80</f>
        <v>0.93074999999999997</v>
      </c>
      <c r="BG80" s="137">
        <f>'LCFS Table'!$AW80*'LCFS Table'!$CA80</f>
        <v>0</v>
      </c>
      <c r="BH80" s="137">
        <f>'LCFS Table'!$AX80*'LCFS Table'!$CB80</f>
        <v>1.1969868056953124</v>
      </c>
      <c r="BI80" s="137">
        <f>'LCFS Table'!$AY80*'LCFS Table'!$CC80</f>
        <v>0</v>
      </c>
      <c r="BJ80" s="137">
        <f>'LCFS Table'!$AZ80*'LCFS Table'!$CD80</f>
        <v>1</v>
      </c>
      <c r="BK80" s="137">
        <f>'LCFS Table'!$BA80*'LCFS Table'!$CE80</f>
        <v>0.82125000000000004</v>
      </c>
      <c r="BL80" s="137">
        <f>'LCFS Table'!$BB80*'LCFS Table'!$CF80</f>
        <v>-1.2</v>
      </c>
      <c r="BM80" s="137">
        <f>'LCFS Table'!$AS80*'LCFS Table'!$CG80</f>
        <v>0</v>
      </c>
      <c r="BN80" s="137">
        <f>'LCFS Table'!$AT80*'LCFS Table'!$CH80</f>
        <v>0.16</v>
      </c>
      <c r="BO80" s="137">
        <f>'LCFS Table'!$AU80*'LCFS Table'!$CI80</f>
        <v>0</v>
      </c>
      <c r="BP80" s="137">
        <f>'LCFS Table'!$AV80*'LCFS Table'!$CJ80</f>
        <v>0</v>
      </c>
      <c r="BQ80" s="137">
        <f>'LCFS Table'!$AW80*'LCFS Table'!$CK80</f>
        <v>0</v>
      </c>
      <c r="BR80" s="137">
        <f>'LCFS Table'!$AX80*'LCFS Table'!$CL80</f>
        <v>0</v>
      </c>
      <c r="BS80" s="137">
        <f>'LCFS Table'!$AY80*'LCFS Table'!$CM80</f>
        <v>0</v>
      </c>
      <c r="BT80" s="137">
        <f>'LCFS Table'!$AZ80*'LCFS Table'!$CN80</f>
        <v>0</v>
      </c>
      <c r="BU80" s="137">
        <f>'LCFS Table'!$BA80*'LCFS Table'!$CO80</f>
        <v>0</v>
      </c>
      <c r="BV80" s="136">
        <f>'LCFS Table'!$BB80*'LCFS Table'!$CP80</f>
        <v>1.2</v>
      </c>
      <c r="BW80" s="138">
        <v>1</v>
      </c>
      <c r="BX80" s="138">
        <v>0</v>
      </c>
      <c r="BY80" s="138">
        <v>1</v>
      </c>
      <c r="BZ80" s="138">
        <v>1</v>
      </c>
      <c r="CA80" s="138">
        <v>-1</v>
      </c>
      <c r="CB80" s="138">
        <v>1</v>
      </c>
      <c r="CC80" s="138">
        <v>0</v>
      </c>
      <c r="CD80" s="138">
        <v>1</v>
      </c>
      <c r="CE80" s="138">
        <v>1</v>
      </c>
      <c r="CF80" s="138">
        <v>-1</v>
      </c>
      <c r="CG80" s="138">
        <f>1-'LCFS Table'!$BW80</f>
        <v>0</v>
      </c>
      <c r="CH80" s="138">
        <f>1-'LCFS Table'!$BX80</f>
        <v>1</v>
      </c>
      <c r="CI80" s="138">
        <f>1-'LCFS Table'!$BY80</f>
        <v>0</v>
      </c>
      <c r="CJ80" s="138">
        <f>1-'LCFS Table'!$BZ80</f>
        <v>0</v>
      </c>
      <c r="CK80" s="138">
        <f>-'LCFS Table'!$CA80</f>
        <v>1</v>
      </c>
      <c r="CL80" s="138">
        <f>1-'LCFS Table'!$CB80</f>
        <v>0</v>
      </c>
      <c r="CM80" s="138">
        <f>1-'LCFS Table'!$CC80</f>
        <v>1</v>
      </c>
      <c r="CN80" s="138">
        <f>1-'LCFS Table'!$CD80</f>
        <v>0</v>
      </c>
      <c r="CO80" s="138">
        <f>1-'LCFS Table'!$CE80</f>
        <v>0</v>
      </c>
      <c r="CP80" s="138">
        <f>-'LCFS Table'!$CF80</f>
        <v>1</v>
      </c>
      <c r="CQ80" s="140">
        <v>7.125</v>
      </c>
      <c r="CR80" s="165">
        <f>('LCFS Table'!$CQ80*0.9/(0.8/0.99)/100)</f>
        <v>7.9354687500000007E-2</v>
      </c>
      <c r="CS80" s="166"/>
      <c r="CT80" s="167"/>
      <c r="CW80" s="168">
        <f>'LCFS Table'!$K80-'LCFS Table'!$M80</f>
        <v>0.6381368056953125</v>
      </c>
      <c r="CX80" s="129">
        <f>MONTH('LCFS Table'!$B80)</f>
        <v>6</v>
      </c>
      <c r="CY80" s="129">
        <f>YEAR('LCFS Table'!$B80)</f>
        <v>2020</v>
      </c>
    </row>
    <row r="81" spans="1:103">
      <c r="A81" s="148">
        <v>44010</v>
      </c>
      <c r="B81" s="149">
        <v>44016</v>
      </c>
      <c r="C81" s="132">
        <f t="shared" si="1"/>
        <v>2020</v>
      </c>
      <c r="D81" s="150" t="s">
        <v>283</v>
      </c>
      <c r="E81" s="187">
        <f>'LCFS Table'!$K81-'LCFS Table'!$I81</f>
        <v>-1.3575091989987487</v>
      </c>
      <c r="F81" s="187">
        <f>('LCFS Table'!$M81)-'LCFS Table'!$J81</f>
        <v>-2.5513965969249996</v>
      </c>
      <c r="G81" s="188">
        <f>'LCFS Table'!$E81+'LCFS Table'!$AS81+'LCFS Table'!$AT81+'LCFS Table'!$AU81+'LCFS Table'!$AV81</f>
        <v>2.4928343231093244</v>
      </c>
      <c r="H81" s="188">
        <f>'LCFS Table'!$F81+'LCFS Table'!$AX81+'LCFS Table'!$AY81+'LCFS Table'!$AZ81+'LCFS Table'!$BA81+('LCFS Table'!$CQ81*0.9/(0.8/0.99)/100)+(DG81*'LCFS Table'!$AF81)+(DF81*'LCFS Table'!$AG81)</f>
        <v>0.55851972656249993</v>
      </c>
      <c r="I81" s="187">
        <f>('LCFS Table'!$V81+'LCFS Table'!$W81+'LCFS Table'!$X81)/100+(('LCFS Table'!$AI81+'LCFS Table'!$AJ81)/340)</f>
        <v>2.5611091989987487</v>
      </c>
      <c r="J81" s="187">
        <f>(('LCFS Table'!$Y81+'LCFS Table'!$Z81)/100)+(('LCFS Table'!$AM81+'LCFS Table'!$AN81)/300)</f>
        <v>3.0758349609375002</v>
      </c>
      <c r="K81" s="140">
        <f>'[1]Fuel Values'!$C80</f>
        <v>1.2036</v>
      </c>
      <c r="L81" s="140">
        <f>'[1]Fuel Values'!$B80</f>
        <v>355.5</v>
      </c>
      <c r="M81" s="185">
        <f>('LCFS Table'!$L81/100)-'LCFS Table'!$AX81-'LCFS Table'!$AY81-'LCFS Table'!$AZ81-'LCFS Table'!$BA81</f>
        <v>0.52443836401250055</v>
      </c>
      <c r="N81" s="140">
        <f>[1]BFT!$B80</f>
        <v>21.875</v>
      </c>
      <c r="O81" s="140">
        <f>[1]UCO!$B80</f>
        <v>28.5</v>
      </c>
      <c r="P81" s="140">
        <f>[1]DCO!$B80</f>
        <v>21.25</v>
      </c>
      <c r="Q81" s="140">
        <f>'[1]Soybean Oil'!$B80</f>
        <v>30.037500000000001</v>
      </c>
      <c r="R81" s="140">
        <f>'[1]Yellow Grease'!$B80</f>
        <v>23.5</v>
      </c>
      <c r="S81" s="185">
        <f>'LCFS Table'!$N81 + 'LCFS Table'!$AH81</f>
        <v>26.25</v>
      </c>
      <c r="T81" s="185">
        <f>'LCFS Table'!$Q81+'LCFS Table'!$AH81</f>
        <v>34.412500000000001</v>
      </c>
      <c r="U81" s="185">
        <f>'LCFS Table'!$P81+'LCFS Table'!$AH81</f>
        <v>25.625</v>
      </c>
      <c r="V81" s="185">
        <f>(('LCFS Table'!$S81/'LCFS Table'!$AA81)*'LCFS Table'!$AC81)*6.48</f>
        <v>90.478723404255334</v>
      </c>
      <c r="W81" s="185">
        <f>(('LCFS Table'!$O81/'LCFS Table'!$AA81)*'LCFS Table'!$AD81)*6.48</f>
        <v>49.11702127659575</v>
      </c>
      <c r="X81" s="185">
        <f>(('LCFS Table'!$U81/'LCFS Table'!$AA81)*'LCFS Table'!$AE81)*6.48</f>
        <v>44.162234042553195</v>
      </c>
      <c r="Y81" s="185">
        <f>(('LCFS Table'!$T81/'LCFS Table'!$AB81)*'LCFS Table'!$AF81)*7.35</f>
        <v>197.60302734375003</v>
      </c>
      <c r="Z81" s="185">
        <f>(('LCFS Table'!$R81/'LCFS Table'!$AB81)*'LCFS Table'!$AG81)*7.35</f>
        <v>44.98046875</v>
      </c>
      <c r="AA81" s="138">
        <v>0.94</v>
      </c>
      <c r="AB81" s="138">
        <v>0.96</v>
      </c>
      <c r="AC81" s="138">
        <v>0.5</v>
      </c>
      <c r="AD81" s="138">
        <v>0.25</v>
      </c>
      <c r="AE81" s="138">
        <v>0.25</v>
      </c>
      <c r="AF81" s="138">
        <v>0.75</v>
      </c>
      <c r="AG81" s="138">
        <v>0.25</v>
      </c>
      <c r="AH81" s="139">
        <v>4.375</v>
      </c>
      <c r="AI81" s="139">
        <v>136</v>
      </c>
      <c r="AJ81" s="139">
        <v>110</v>
      </c>
      <c r="AK81" s="186">
        <f>('LCFS Table'!$AI81/340)*100</f>
        <v>40</v>
      </c>
      <c r="AL81" s="186">
        <f>('LCFS Table'!$AJ81/340)*100</f>
        <v>32.352941176470587</v>
      </c>
      <c r="AM81" s="139">
        <v>105</v>
      </c>
      <c r="AN81" s="139">
        <v>90</v>
      </c>
      <c r="AO81" s="139">
        <f>('LCFS Table'!$AM81/300)*100</f>
        <v>35</v>
      </c>
      <c r="AP81" s="139">
        <f>('LCFS Table'!$AN81/300)*100</f>
        <v>30</v>
      </c>
      <c r="AQ81" s="140">
        <v>199.5</v>
      </c>
      <c r="AR81" s="140">
        <v>0.56874999999999998</v>
      </c>
      <c r="AS81" s="185">
        <v>1.723468522108073</v>
      </c>
      <c r="AT81" s="137">
        <v>0.16</v>
      </c>
      <c r="AU81" s="137">
        <v>1</v>
      </c>
      <c r="AV81" s="185">
        <f>'LCFS Table'!$AR81*1.7</f>
        <v>0.96687499999999993</v>
      </c>
      <c r="AW81" s="137">
        <v>0</v>
      </c>
      <c r="AX81" s="185">
        <v>1.1774366359874997</v>
      </c>
      <c r="AY81" s="137">
        <v>0</v>
      </c>
      <c r="AZ81" s="141">
        <v>1</v>
      </c>
      <c r="BA81" s="185">
        <f>'LCFS Table'!$AR81*1.5</f>
        <v>0.85312499999999991</v>
      </c>
      <c r="BB81" s="136">
        <v>1.2</v>
      </c>
      <c r="BC81" s="185">
        <f>'LCFS Table'!$AS81*'LCFS Table'!$BW81</f>
        <v>1.723468522108073</v>
      </c>
      <c r="BD81" s="185">
        <f>'LCFS Table'!$AT81*'LCFS Table'!$BX81</f>
        <v>0</v>
      </c>
      <c r="BE81" s="185">
        <f>'LCFS Table'!$AU81*'LCFS Table'!$BY81</f>
        <v>1</v>
      </c>
      <c r="BF81" s="137">
        <f>'LCFS Table'!$AV81*'LCFS Table'!$BZ81</f>
        <v>0.96687499999999993</v>
      </c>
      <c r="BG81" s="137">
        <f>'LCFS Table'!$AW81*'LCFS Table'!$CA81</f>
        <v>0</v>
      </c>
      <c r="BH81" s="137">
        <f>'LCFS Table'!$AX81*'LCFS Table'!$CB81</f>
        <v>1.1774366359874997</v>
      </c>
      <c r="BI81" s="137">
        <f>'LCFS Table'!$AY81*'LCFS Table'!$CC81</f>
        <v>0</v>
      </c>
      <c r="BJ81" s="137">
        <f>'LCFS Table'!$AZ81*'LCFS Table'!$CD81</f>
        <v>1</v>
      </c>
      <c r="BK81" s="137">
        <f>'LCFS Table'!$BA81*'LCFS Table'!$CE81</f>
        <v>0.85312499999999991</v>
      </c>
      <c r="BL81" s="137">
        <f>'LCFS Table'!$BB81*'LCFS Table'!$CF81</f>
        <v>-1.2</v>
      </c>
      <c r="BM81" s="137">
        <f>'LCFS Table'!$AS81*'LCFS Table'!$CG81</f>
        <v>0</v>
      </c>
      <c r="BN81" s="137">
        <f>'LCFS Table'!$AT81*'LCFS Table'!$CH81</f>
        <v>0.16</v>
      </c>
      <c r="BO81" s="137">
        <f>'LCFS Table'!$AU81*'LCFS Table'!$CI81</f>
        <v>0</v>
      </c>
      <c r="BP81" s="137">
        <f>'LCFS Table'!$AV81*'LCFS Table'!$CJ81</f>
        <v>0</v>
      </c>
      <c r="BQ81" s="137">
        <f>'LCFS Table'!$AW81*'LCFS Table'!$CK81</f>
        <v>0</v>
      </c>
      <c r="BR81" s="137">
        <f>'LCFS Table'!$AX81*'LCFS Table'!$CL81</f>
        <v>0</v>
      </c>
      <c r="BS81" s="137">
        <f>'LCFS Table'!$AY81*'LCFS Table'!$CM81</f>
        <v>0</v>
      </c>
      <c r="BT81" s="137">
        <f>'LCFS Table'!$AZ81*'LCFS Table'!$CN81</f>
        <v>0</v>
      </c>
      <c r="BU81" s="137">
        <f>'LCFS Table'!$BA81*'LCFS Table'!$CO81</f>
        <v>0</v>
      </c>
      <c r="BV81" s="136">
        <f>'LCFS Table'!$BB81*'LCFS Table'!$CP81</f>
        <v>1.2</v>
      </c>
      <c r="BW81" s="138">
        <v>1</v>
      </c>
      <c r="BX81" s="138">
        <v>0</v>
      </c>
      <c r="BY81" s="138">
        <v>1</v>
      </c>
      <c r="BZ81" s="138">
        <v>1</v>
      </c>
      <c r="CA81" s="138">
        <v>-1</v>
      </c>
      <c r="CB81" s="138">
        <v>1</v>
      </c>
      <c r="CC81" s="138">
        <v>0</v>
      </c>
      <c r="CD81" s="138">
        <v>1</v>
      </c>
      <c r="CE81" s="138">
        <v>1</v>
      </c>
      <c r="CF81" s="138">
        <v>-1</v>
      </c>
      <c r="CG81" s="138">
        <f>1-'LCFS Table'!$BW81</f>
        <v>0</v>
      </c>
      <c r="CH81" s="138">
        <f>1-'LCFS Table'!$BX81</f>
        <v>1</v>
      </c>
      <c r="CI81" s="138">
        <f>1-'LCFS Table'!$BY81</f>
        <v>0</v>
      </c>
      <c r="CJ81" s="138">
        <f>1-'LCFS Table'!$BZ81</f>
        <v>0</v>
      </c>
      <c r="CK81" s="138">
        <f>-'LCFS Table'!$CA81</f>
        <v>1</v>
      </c>
      <c r="CL81" s="138">
        <f>1-'LCFS Table'!$CB81</f>
        <v>0</v>
      </c>
      <c r="CM81" s="138">
        <f>1-'LCFS Table'!$CC81</f>
        <v>1</v>
      </c>
      <c r="CN81" s="138">
        <f>1-'LCFS Table'!$CD81</f>
        <v>0</v>
      </c>
      <c r="CO81" s="138">
        <f>1-'LCFS Table'!$CE81</f>
        <v>0</v>
      </c>
      <c r="CP81" s="138">
        <f>-'LCFS Table'!$CF81</f>
        <v>1</v>
      </c>
      <c r="CQ81" s="140">
        <v>7.125</v>
      </c>
      <c r="CR81" s="165">
        <f>('LCFS Table'!$CQ81*0.9/(0.8/0.99)/100)</f>
        <v>7.9354687500000007E-2</v>
      </c>
      <c r="CS81" s="166"/>
      <c r="CT81" s="167"/>
      <c r="CW81" s="168">
        <f>'LCFS Table'!$K81-'LCFS Table'!$M81</f>
        <v>0.67916163598749946</v>
      </c>
      <c r="CX81" s="129">
        <f>MONTH('LCFS Table'!$B81)</f>
        <v>7</v>
      </c>
      <c r="CY81" s="129">
        <f>YEAR('LCFS Table'!$B81)</f>
        <v>2020</v>
      </c>
    </row>
    <row r="82" spans="1:103">
      <c r="A82" s="148">
        <v>44017</v>
      </c>
      <c r="B82" s="149">
        <v>44023</v>
      </c>
      <c r="C82" s="132">
        <f t="shared" si="1"/>
        <v>2020</v>
      </c>
      <c r="D82" s="182" t="s">
        <v>284</v>
      </c>
      <c r="E82" s="187">
        <f>'LCFS Table'!$K82-'LCFS Table'!$I82</f>
        <v>-1.3184177096370464</v>
      </c>
      <c r="F82" s="187">
        <f>('LCFS Table'!$M82)-'LCFS Table'!$J82</f>
        <v>-2.5940108490924993</v>
      </c>
      <c r="G82" s="188">
        <f>'LCFS Table'!$E82+'LCFS Table'!$AS82+'LCFS Table'!$AT82+'LCFS Table'!$AU82+'LCFS Table'!$AV82</f>
        <v>2.5248839006609067</v>
      </c>
      <c r="H82" s="188">
        <f>'LCFS Table'!$F82+'LCFS Table'!$AX82+'LCFS Table'!$AY82+'LCFS Table'!$AZ82+'LCFS Table'!$BA82+('LCFS Table'!$CQ82*0.9/(0.8/0.99)/100)+(DG82*'LCFS Table'!$AF82)+(DF82*'LCFS Table'!$AG82)</f>
        <v>0.51795117187500028</v>
      </c>
      <c r="I82" s="187">
        <f>('LCFS Table'!$V82+'LCFS Table'!$W82+'LCFS Table'!$X82)/100+(('LCFS Table'!$AI82+'LCFS Table'!$AJ82)/340)</f>
        <v>2.5654177096370465</v>
      </c>
      <c r="J82" s="187">
        <f>(('LCFS Table'!$Y82+'LCFS Table'!$Z82)/100)+(('LCFS Table'!$AM82+'LCFS Table'!$AN82)/300)</f>
        <v>3.1164035156250001</v>
      </c>
      <c r="K82" s="140">
        <f>'[1]Fuel Values'!$C81</f>
        <v>1.2470000000000001</v>
      </c>
      <c r="L82" s="140">
        <f>'[1]Fuel Values'!$B81</f>
        <v>355.5</v>
      </c>
      <c r="M82" s="185">
        <f>('LCFS Table'!$L82/100)-'LCFS Table'!$AX82-'LCFS Table'!$AY82-'LCFS Table'!$AZ82-'LCFS Table'!$BA82</f>
        <v>0.52239266653250049</v>
      </c>
      <c r="N82" s="140">
        <f>[1]BFT!$B81</f>
        <v>22</v>
      </c>
      <c r="O82" s="140">
        <f>[1]UCO!$B81</f>
        <v>28.5</v>
      </c>
      <c r="P82" s="140">
        <f>[1]DCO!$B81</f>
        <v>21.25</v>
      </c>
      <c r="Q82" s="140">
        <f>'[1]Soybean Oil'!$B81</f>
        <v>30.744</v>
      </c>
      <c r="R82" s="140">
        <f>'[1]Yellow Grease'!$B81</f>
        <v>23.5</v>
      </c>
      <c r="S82" s="185">
        <f>'LCFS Table'!$N82 + 'LCFS Table'!$AH82</f>
        <v>26.375</v>
      </c>
      <c r="T82" s="185">
        <f>'LCFS Table'!$Q82+'LCFS Table'!$AH82</f>
        <v>35.119</v>
      </c>
      <c r="U82" s="185">
        <f>'LCFS Table'!$P82+'LCFS Table'!$AH82</f>
        <v>25.625</v>
      </c>
      <c r="V82" s="185">
        <f>(('LCFS Table'!$S82/'LCFS Table'!$AA82)*'LCFS Table'!$AC82)*6.48</f>
        <v>90.909574468085125</v>
      </c>
      <c r="W82" s="185">
        <f>(('LCFS Table'!$O82/'LCFS Table'!$AA82)*'LCFS Table'!$AD82)*6.48</f>
        <v>49.11702127659575</v>
      </c>
      <c r="X82" s="185">
        <f>(('LCFS Table'!$U82/'LCFS Table'!$AA82)*'LCFS Table'!$AE82)*6.48</f>
        <v>44.162234042553195</v>
      </c>
      <c r="Y82" s="185">
        <f>(('LCFS Table'!$T82/'LCFS Table'!$AB82)*'LCFS Table'!$AF82)*7.35</f>
        <v>201.65988281250003</v>
      </c>
      <c r="Z82" s="185">
        <f>(('LCFS Table'!$R82/'LCFS Table'!$AB82)*'LCFS Table'!$AG82)*7.35</f>
        <v>44.98046875</v>
      </c>
      <c r="AA82" s="138">
        <v>0.94</v>
      </c>
      <c r="AB82" s="138">
        <v>0.96</v>
      </c>
      <c r="AC82" s="138">
        <v>0.5</v>
      </c>
      <c r="AD82" s="138">
        <v>0.25</v>
      </c>
      <c r="AE82" s="138">
        <v>0.25</v>
      </c>
      <c r="AF82" s="138">
        <v>0.75</v>
      </c>
      <c r="AG82" s="138">
        <v>0.25</v>
      </c>
      <c r="AH82" s="139">
        <v>4.375</v>
      </c>
      <c r="AI82" s="139">
        <v>136</v>
      </c>
      <c r="AJ82" s="139">
        <v>110</v>
      </c>
      <c r="AK82" s="186">
        <f>('LCFS Table'!$AI82/340)*100</f>
        <v>40</v>
      </c>
      <c r="AL82" s="186">
        <f>('LCFS Table'!$AJ82/340)*100</f>
        <v>32.352941176470587</v>
      </c>
      <c r="AM82" s="139">
        <v>105</v>
      </c>
      <c r="AN82" s="139">
        <v>90</v>
      </c>
      <c r="AO82" s="139">
        <f>('LCFS Table'!$AM82/300)*100</f>
        <v>35</v>
      </c>
      <c r="AP82" s="139">
        <f>('LCFS Table'!$AN82/300)*100</f>
        <v>30</v>
      </c>
      <c r="AQ82" s="140">
        <v>194.7</v>
      </c>
      <c r="AR82" s="140">
        <v>0.58899999999999997</v>
      </c>
      <c r="AS82" s="185">
        <v>1.6820016102979536</v>
      </c>
      <c r="AT82" s="137">
        <v>0.16</v>
      </c>
      <c r="AU82" s="137">
        <v>1</v>
      </c>
      <c r="AV82" s="185">
        <f>'LCFS Table'!$AR82*1.7</f>
        <v>1.0012999999999999</v>
      </c>
      <c r="AW82" s="137">
        <v>0</v>
      </c>
      <c r="AX82" s="185">
        <v>1.1491073334674997</v>
      </c>
      <c r="AY82" s="137">
        <v>0</v>
      </c>
      <c r="AZ82" s="141">
        <v>1</v>
      </c>
      <c r="BA82" s="185">
        <f>'LCFS Table'!$AR82*1.5</f>
        <v>0.88349999999999995</v>
      </c>
      <c r="BB82" s="136">
        <v>1.2</v>
      </c>
      <c r="BC82" s="185">
        <f>'LCFS Table'!$AS82*'LCFS Table'!$BW82</f>
        <v>1.6820016102979536</v>
      </c>
      <c r="BD82" s="185">
        <f>'LCFS Table'!$AT82*'LCFS Table'!$BX82</f>
        <v>0</v>
      </c>
      <c r="BE82" s="185">
        <f>'LCFS Table'!$AU82*'LCFS Table'!$BY82</f>
        <v>1</v>
      </c>
      <c r="BF82" s="137">
        <f>'LCFS Table'!$AV82*'LCFS Table'!$BZ82</f>
        <v>1.0012999999999999</v>
      </c>
      <c r="BG82" s="137">
        <f>'LCFS Table'!$AW82*'LCFS Table'!$CA82</f>
        <v>0</v>
      </c>
      <c r="BH82" s="137">
        <f>'LCFS Table'!$AX82*'LCFS Table'!$CB82</f>
        <v>1.1491073334674997</v>
      </c>
      <c r="BI82" s="137">
        <f>'LCFS Table'!$AY82*'LCFS Table'!$CC82</f>
        <v>0</v>
      </c>
      <c r="BJ82" s="137">
        <f>'LCFS Table'!$AZ82*'LCFS Table'!$CD82</f>
        <v>1</v>
      </c>
      <c r="BK82" s="137">
        <f>'LCFS Table'!$BA82*'LCFS Table'!$CE82</f>
        <v>0.88349999999999995</v>
      </c>
      <c r="BL82" s="137">
        <f>'LCFS Table'!$BB82*'LCFS Table'!$CF82</f>
        <v>-1.2</v>
      </c>
      <c r="BM82" s="137">
        <f>'LCFS Table'!$AS82*'LCFS Table'!$CG82</f>
        <v>0</v>
      </c>
      <c r="BN82" s="137">
        <f>'LCFS Table'!$AT82*'LCFS Table'!$CH82</f>
        <v>0.16</v>
      </c>
      <c r="BO82" s="137">
        <f>'LCFS Table'!$AU82*'LCFS Table'!$CI82</f>
        <v>0</v>
      </c>
      <c r="BP82" s="137">
        <f>'LCFS Table'!$AV82*'LCFS Table'!$CJ82</f>
        <v>0</v>
      </c>
      <c r="BQ82" s="137">
        <f>'LCFS Table'!$AW82*'LCFS Table'!$CK82</f>
        <v>0</v>
      </c>
      <c r="BR82" s="137">
        <f>'LCFS Table'!$AX82*'LCFS Table'!$CL82</f>
        <v>0</v>
      </c>
      <c r="BS82" s="137">
        <f>'LCFS Table'!$AY82*'LCFS Table'!$CM82</f>
        <v>0</v>
      </c>
      <c r="BT82" s="137">
        <f>'LCFS Table'!$AZ82*'LCFS Table'!$CN82</f>
        <v>0</v>
      </c>
      <c r="BU82" s="137">
        <f>'LCFS Table'!$BA82*'LCFS Table'!$CO82</f>
        <v>0</v>
      </c>
      <c r="BV82" s="136">
        <f>'LCFS Table'!$BB82*'LCFS Table'!$CP82</f>
        <v>1.2</v>
      </c>
      <c r="BW82" s="138">
        <v>1</v>
      </c>
      <c r="BX82" s="138">
        <v>0</v>
      </c>
      <c r="BY82" s="138">
        <v>1</v>
      </c>
      <c r="BZ82" s="138">
        <v>1</v>
      </c>
      <c r="CA82" s="138">
        <v>-1</v>
      </c>
      <c r="CB82" s="138">
        <v>1</v>
      </c>
      <c r="CC82" s="138">
        <v>0</v>
      </c>
      <c r="CD82" s="138">
        <v>1</v>
      </c>
      <c r="CE82" s="138">
        <v>1</v>
      </c>
      <c r="CF82" s="138">
        <v>-1</v>
      </c>
      <c r="CG82" s="138">
        <f>1-'LCFS Table'!$BW82</f>
        <v>0</v>
      </c>
      <c r="CH82" s="138">
        <f>1-'LCFS Table'!$BX82</f>
        <v>1</v>
      </c>
      <c r="CI82" s="138">
        <f>1-'LCFS Table'!$BY82</f>
        <v>0</v>
      </c>
      <c r="CJ82" s="138">
        <f>1-'LCFS Table'!$BZ82</f>
        <v>0</v>
      </c>
      <c r="CK82" s="138">
        <f>-'LCFS Table'!$CA82</f>
        <v>1</v>
      </c>
      <c r="CL82" s="138">
        <f>1-'LCFS Table'!$CB82</f>
        <v>0</v>
      </c>
      <c r="CM82" s="138">
        <f>1-'LCFS Table'!$CC82</f>
        <v>1</v>
      </c>
      <c r="CN82" s="138">
        <f>1-'LCFS Table'!$CD82</f>
        <v>0</v>
      </c>
      <c r="CO82" s="138">
        <f>1-'LCFS Table'!$CE82</f>
        <v>0</v>
      </c>
      <c r="CP82" s="138">
        <f>-'LCFS Table'!$CF82</f>
        <v>1</v>
      </c>
      <c r="CQ82" s="140">
        <v>7.125</v>
      </c>
      <c r="CR82" s="165">
        <f>('LCFS Table'!$CQ82*0.9/(0.8/0.99)/100)</f>
        <v>7.9354687500000007E-2</v>
      </c>
      <c r="CS82" s="166"/>
      <c r="CT82" s="167"/>
      <c r="CW82" s="168">
        <f>'LCFS Table'!$K82-'LCFS Table'!$M82</f>
        <v>0.72460733346749961</v>
      </c>
      <c r="CX82" s="129">
        <f>MONTH('LCFS Table'!$B82)</f>
        <v>7</v>
      </c>
      <c r="CY82" s="129">
        <f>YEAR('LCFS Table'!$B82)</f>
        <v>2020</v>
      </c>
    </row>
    <row r="83" spans="1:103">
      <c r="A83" s="148">
        <v>44024</v>
      </c>
      <c r="B83" s="149">
        <v>44030</v>
      </c>
      <c r="C83" s="132">
        <f t="shared" si="1"/>
        <v>2020</v>
      </c>
      <c r="D83" s="182" t="s">
        <v>285</v>
      </c>
      <c r="E83" s="187">
        <f>'LCFS Table'!$K83-'LCFS Table'!$I83</f>
        <v>-1.3282177096370464</v>
      </c>
      <c r="F83" s="187">
        <f>('LCFS Table'!$M83)-'LCFS Table'!$J83</f>
        <v>-2.6193350678424991</v>
      </c>
      <c r="G83" s="188">
        <f>'LCFS Table'!$E83+'LCFS Table'!$AS83+'LCFS Table'!$AT83+'LCFS Table'!$AU83+'LCFS Table'!$AV83</f>
        <v>2.5150839006609074</v>
      </c>
      <c r="H83" s="188">
        <f>'LCFS Table'!$F83+'LCFS Table'!$AX83+'LCFS Table'!$AY83+'LCFS Table'!$AZ83+'LCFS Table'!$BA83+('LCFS Table'!$CQ83*0.9/(0.8/0.99)/100)+(DG83*'LCFS Table'!$AF83)+(DF83*'LCFS Table'!$AG83)</f>
        <v>0.47452851562500054</v>
      </c>
      <c r="I83" s="187">
        <f>('LCFS Table'!$V83+'LCFS Table'!$W83+'LCFS Table'!$X83)/100+(('LCFS Table'!$AI83+'LCFS Table'!$AJ83)/340)</f>
        <v>2.5654177096370465</v>
      </c>
      <c r="J83" s="187">
        <f>(('LCFS Table'!$Y83+'LCFS Table'!$Z83)/100)+(('LCFS Table'!$AM83+'LCFS Table'!$AN83)/300)</f>
        <v>3.1537277343749994</v>
      </c>
      <c r="K83" s="140">
        <f>'[1]Fuel Values'!$C82</f>
        <v>1.2372000000000001</v>
      </c>
      <c r="L83" s="140">
        <f>'[1]Fuel Values'!$B82</f>
        <v>356.7</v>
      </c>
      <c r="M83" s="185">
        <f>('LCFS Table'!$L83/100)-'LCFS Table'!$AX83-'LCFS Table'!$AY83-'LCFS Table'!$AZ83-'LCFS Table'!$BA83</f>
        <v>0.53439266653250006</v>
      </c>
      <c r="N83" s="140">
        <f>[1]BFT!$B82</f>
        <v>22</v>
      </c>
      <c r="O83" s="140">
        <f>[1]UCO!$B82</f>
        <v>28.5</v>
      </c>
      <c r="P83" s="140">
        <f>[1]DCO!$B82</f>
        <v>21.25</v>
      </c>
      <c r="Q83" s="140">
        <f>'[1]Soybean Oil'!$B82</f>
        <v>31.393999999999998</v>
      </c>
      <c r="R83" s="140">
        <f>'[1]Yellow Grease'!$B82</f>
        <v>23.5</v>
      </c>
      <c r="S83" s="185">
        <f>'LCFS Table'!$N83 + 'LCFS Table'!$AH83</f>
        <v>26.375</v>
      </c>
      <c r="T83" s="185">
        <f>'LCFS Table'!$Q83+'LCFS Table'!$AH83</f>
        <v>35.768999999999998</v>
      </c>
      <c r="U83" s="185">
        <f>'LCFS Table'!$P83+'LCFS Table'!$AH83</f>
        <v>25.625</v>
      </c>
      <c r="V83" s="185">
        <f>(('LCFS Table'!$S83/'LCFS Table'!$AA83)*'LCFS Table'!$AC83)*6.48</f>
        <v>90.909574468085125</v>
      </c>
      <c r="W83" s="185">
        <f>(('LCFS Table'!$O83/'LCFS Table'!$AA83)*'LCFS Table'!$AD83)*6.48</f>
        <v>49.11702127659575</v>
      </c>
      <c r="X83" s="185">
        <f>(('LCFS Table'!$U83/'LCFS Table'!$AA83)*'LCFS Table'!$AE83)*6.48</f>
        <v>44.162234042553195</v>
      </c>
      <c r="Y83" s="185">
        <f>(('LCFS Table'!$T83/'LCFS Table'!$AB83)*'LCFS Table'!$AF83)*7.35</f>
        <v>205.39230468749997</v>
      </c>
      <c r="Z83" s="185">
        <f>(('LCFS Table'!$R83/'LCFS Table'!$AB83)*'LCFS Table'!$AG83)*7.35</f>
        <v>44.98046875</v>
      </c>
      <c r="AA83" s="138">
        <v>0.94</v>
      </c>
      <c r="AB83" s="138">
        <v>0.96</v>
      </c>
      <c r="AC83" s="138">
        <v>0.5</v>
      </c>
      <c r="AD83" s="138">
        <v>0.25</v>
      </c>
      <c r="AE83" s="138">
        <v>0.25</v>
      </c>
      <c r="AF83" s="138">
        <v>0.75</v>
      </c>
      <c r="AG83" s="138">
        <v>0.25</v>
      </c>
      <c r="AH83" s="139">
        <v>4.375</v>
      </c>
      <c r="AI83" s="139">
        <v>136</v>
      </c>
      <c r="AJ83" s="139">
        <v>110</v>
      </c>
      <c r="AK83" s="186">
        <f>('LCFS Table'!$AI83/340)*100</f>
        <v>40</v>
      </c>
      <c r="AL83" s="186">
        <f>('LCFS Table'!$AJ83/340)*100</f>
        <v>32.352941176470587</v>
      </c>
      <c r="AM83" s="139">
        <v>105</v>
      </c>
      <c r="AN83" s="139">
        <v>90</v>
      </c>
      <c r="AO83" s="139">
        <f>('LCFS Table'!$AM83/300)*100</f>
        <v>35</v>
      </c>
      <c r="AP83" s="139">
        <f>('LCFS Table'!$AN83/300)*100</f>
        <v>30</v>
      </c>
      <c r="AQ83" s="140">
        <v>194.7</v>
      </c>
      <c r="AR83" s="140">
        <v>0.58899999999999997</v>
      </c>
      <c r="AS83" s="185">
        <v>1.6820016102979536</v>
      </c>
      <c r="AT83" s="137">
        <v>0.16</v>
      </c>
      <c r="AU83" s="137">
        <v>1</v>
      </c>
      <c r="AV83" s="185">
        <f>'LCFS Table'!$AR83*1.7</f>
        <v>1.0012999999999999</v>
      </c>
      <c r="AW83" s="137">
        <v>0</v>
      </c>
      <c r="AX83" s="185">
        <v>1.1491073334674997</v>
      </c>
      <c r="AY83" s="137">
        <v>0</v>
      </c>
      <c r="AZ83" s="141">
        <v>1</v>
      </c>
      <c r="BA83" s="185">
        <f>'LCFS Table'!$AR83*1.5</f>
        <v>0.88349999999999995</v>
      </c>
      <c r="BB83" s="136">
        <v>1.2</v>
      </c>
      <c r="BC83" s="185">
        <f>'LCFS Table'!$AS83*'LCFS Table'!$BW83</f>
        <v>1.6820016102979536</v>
      </c>
      <c r="BD83" s="185">
        <f>'LCFS Table'!$AT83*'LCFS Table'!$BX83</f>
        <v>0</v>
      </c>
      <c r="BE83" s="185">
        <f>'LCFS Table'!$AU83*'LCFS Table'!$BY83</f>
        <v>1</v>
      </c>
      <c r="BF83" s="137">
        <f>'LCFS Table'!$AV83*'LCFS Table'!$BZ83</f>
        <v>1.0012999999999999</v>
      </c>
      <c r="BG83" s="137">
        <f>'LCFS Table'!$AW83*'LCFS Table'!$CA83</f>
        <v>0</v>
      </c>
      <c r="BH83" s="137">
        <f>'LCFS Table'!$AX83*'LCFS Table'!$CB83</f>
        <v>1.1491073334674997</v>
      </c>
      <c r="BI83" s="137">
        <f>'LCFS Table'!$AY83*'LCFS Table'!$CC83</f>
        <v>0</v>
      </c>
      <c r="BJ83" s="137">
        <f>'LCFS Table'!$AZ83*'LCFS Table'!$CD83</f>
        <v>1</v>
      </c>
      <c r="BK83" s="137">
        <f>'LCFS Table'!$BA83*'LCFS Table'!$CE83</f>
        <v>0.88349999999999995</v>
      </c>
      <c r="BL83" s="137">
        <f>'LCFS Table'!$BB83*'LCFS Table'!$CF83</f>
        <v>-1.2</v>
      </c>
      <c r="BM83" s="137">
        <f>'LCFS Table'!$AS83*'LCFS Table'!$CG83</f>
        <v>0</v>
      </c>
      <c r="BN83" s="137">
        <f>'LCFS Table'!$AT83*'LCFS Table'!$CH83</f>
        <v>0.16</v>
      </c>
      <c r="BO83" s="137">
        <f>'LCFS Table'!$AU83*'LCFS Table'!$CI83</f>
        <v>0</v>
      </c>
      <c r="BP83" s="137">
        <f>'LCFS Table'!$AV83*'LCFS Table'!$CJ83</f>
        <v>0</v>
      </c>
      <c r="BQ83" s="137">
        <f>'LCFS Table'!$AW83*'LCFS Table'!$CK83</f>
        <v>0</v>
      </c>
      <c r="BR83" s="137">
        <f>'LCFS Table'!$AX83*'LCFS Table'!$CL83</f>
        <v>0</v>
      </c>
      <c r="BS83" s="137">
        <f>'LCFS Table'!$AY83*'LCFS Table'!$CM83</f>
        <v>0</v>
      </c>
      <c r="BT83" s="137">
        <f>'LCFS Table'!$AZ83*'LCFS Table'!$CN83</f>
        <v>0</v>
      </c>
      <c r="BU83" s="137">
        <f>'LCFS Table'!$BA83*'LCFS Table'!$CO83</f>
        <v>0</v>
      </c>
      <c r="BV83" s="136">
        <f>'LCFS Table'!$BB83*'LCFS Table'!$CP83</f>
        <v>1.2</v>
      </c>
      <c r="BW83" s="138">
        <v>1</v>
      </c>
      <c r="BX83" s="138">
        <v>0</v>
      </c>
      <c r="BY83" s="138">
        <v>1</v>
      </c>
      <c r="BZ83" s="138">
        <v>1</v>
      </c>
      <c r="CA83" s="138">
        <v>-1</v>
      </c>
      <c r="CB83" s="138">
        <v>1</v>
      </c>
      <c r="CC83" s="138">
        <v>0</v>
      </c>
      <c r="CD83" s="138">
        <v>1</v>
      </c>
      <c r="CE83" s="138">
        <v>1</v>
      </c>
      <c r="CF83" s="138">
        <v>-1</v>
      </c>
      <c r="CG83" s="138">
        <f>1-'LCFS Table'!$BW83</f>
        <v>0</v>
      </c>
      <c r="CH83" s="138">
        <f>1-'LCFS Table'!$BX83</f>
        <v>1</v>
      </c>
      <c r="CI83" s="138">
        <f>1-'LCFS Table'!$BY83</f>
        <v>0</v>
      </c>
      <c r="CJ83" s="138">
        <f>1-'LCFS Table'!$BZ83</f>
        <v>0</v>
      </c>
      <c r="CK83" s="138">
        <f>-'LCFS Table'!$CA83</f>
        <v>1</v>
      </c>
      <c r="CL83" s="138">
        <f>1-'LCFS Table'!$CB83</f>
        <v>0</v>
      </c>
      <c r="CM83" s="138">
        <f>1-'LCFS Table'!$CC83</f>
        <v>1</v>
      </c>
      <c r="CN83" s="138">
        <f>1-'LCFS Table'!$CD83</f>
        <v>0</v>
      </c>
      <c r="CO83" s="138">
        <f>1-'LCFS Table'!$CE83</f>
        <v>0</v>
      </c>
      <c r="CP83" s="138">
        <f>-'LCFS Table'!$CF83</f>
        <v>1</v>
      </c>
      <c r="CQ83" s="140">
        <v>5.5</v>
      </c>
      <c r="CR83" s="165">
        <f>('LCFS Table'!$CQ83*0.9/(0.8/0.99)/100)</f>
        <v>6.1256249999999991E-2</v>
      </c>
      <c r="CS83" s="166"/>
      <c r="CT83" s="167"/>
      <c r="CW83" s="168">
        <f>'LCFS Table'!$K83-'LCFS Table'!$M83</f>
        <v>0.70280733346750002</v>
      </c>
      <c r="CX83" s="129">
        <f>MONTH('LCFS Table'!$B83)</f>
        <v>7</v>
      </c>
      <c r="CY83" s="129">
        <f>YEAR('LCFS Table'!$B83)</f>
        <v>2020</v>
      </c>
    </row>
    <row r="84" spans="1:103">
      <c r="A84" s="148">
        <v>44031</v>
      </c>
      <c r="B84" s="149">
        <v>44037</v>
      </c>
      <c r="C84" s="132">
        <f t="shared" si="1"/>
        <v>2020</v>
      </c>
      <c r="D84" s="150" t="s">
        <v>286</v>
      </c>
      <c r="E84" s="187">
        <f>'LCFS Table'!$K84-'LCFS Table'!$I84</f>
        <v>-1.3989463479349189</v>
      </c>
      <c r="F84" s="187">
        <f>('LCFS Table'!$M84)-'LCFS Table'!$J84</f>
        <v>-2.74726057073</v>
      </c>
      <c r="G84" s="188">
        <f>'LCFS Table'!$E84+'LCFS Table'!$AS84+'LCFS Table'!$AT84+'LCFS Table'!$AU84+'LCFS Table'!$AV84</f>
        <v>2.5173694321454629</v>
      </c>
      <c r="H84" s="188">
        <f>'LCFS Table'!$F84+'LCFS Table'!$AX84+'LCFS Table'!$AY84+'LCFS Table'!$AZ84+'LCFS Table'!$BA84+('LCFS Table'!$CQ84*0.9/(0.8/0.99)/100)+(DG84*'LCFS Table'!$AF84)+(DF84*'LCFS Table'!$AG84)</f>
        <v>0.39265367187499972</v>
      </c>
      <c r="I84" s="187">
        <f>('LCFS Table'!$V84+'LCFS Table'!$W84+'LCFS Table'!$X84)/100+(('LCFS Table'!$AI84+'LCFS Table'!$AJ84)/340)</f>
        <v>2.668246347934919</v>
      </c>
      <c r="J84" s="187">
        <f>(('LCFS Table'!$Y84+'LCFS Table'!$Z84)/100)+(('LCFS Table'!$AM84+'LCFS Table'!$AN84)/300)</f>
        <v>3.2346925781250002</v>
      </c>
      <c r="K84" s="140">
        <f>'[1]Fuel Values'!$C83</f>
        <v>1.2693000000000001</v>
      </c>
      <c r="L84" s="140">
        <f>'[1]Fuel Values'!$B83</f>
        <v>357.5</v>
      </c>
      <c r="M84" s="185">
        <f>('LCFS Table'!$L84/100)-'LCFS Table'!$AX84-'LCFS Table'!$AY84-'LCFS Table'!$AZ84-'LCFS Table'!$BA84</f>
        <v>0.48743200739500048</v>
      </c>
      <c r="N84" s="140">
        <f>[1]BFT!$B83</f>
        <v>24.833300000000001</v>
      </c>
      <c r="O84" s="140">
        <f>[1]UCO!$B83</f>
        <v>28.5</v>
      </c>
      <c r="P84" s="140">
        <f>[1]DCO!$B83</f>
        <v>21.55</v>
      </c>
      <c r="Q84" s="140">
        <f>'[1]Soybean Oil'!$B83</f>
        <v>32.804000000000002</v>
      </c>
      <c r="R84" s="140">
        <f>'[1]Yellow Grease'!$B83</f>
        <v>23.5</v>
      </c>
      <c r="S84" s="185">
        <f>'LCFS Table'!$N84 + 'LCFS Table'!$AH84</f>
        <v>29.208300000000001</v>
      </c>
      <c r="T84" s="185">
        <f>'LCFS Table'!$Q84+'LCFS Table'!$AH84</f>
        <v>37.179000000000002</v>
      </c>
      <c r="U84" s="185">
        <f>'LCFS Table'!$P84+'LCFS Table'!$AH84</f>
        <v>25.925000000000001</v>
      </c>
      <c r="V84" s="185">
        <f>(('LCFS Table'!$S84/'LCFS Table'!$AA84)*'LCFS Table'!$AC84)*6.48</f>
        <v>100.67541702127662</v>
      </c>
      <c r="W84" s="185">
        <f>(('LCFS Table'!$O84/'LCFS Table'!$AA84)*'LCFS Table'!$AD84)*6.48</f>
        <v>49.11702127659575</v>
      </c>
      <c r="X84" s="185">
        <f>(('LCFS Table'!$U84/'LCFS Table'!$AA84)*'LCFS Table'!$AE84)*6.48</f>
        <v>44.679255319148943</v>
      </c>
      <c r="Y84" s="185">
        <f>(('LCFS Table'!$T84/'LCFS Table'!$AB84)*'LCFS Table'!$AF84)*7.35</f>
        <v>213.48878906250002</v>
      </c>
      <c r="Z84" s="185">
        <f>(('LCFS Table'!$R84/'LCFS Table'!$AB84)*'LCFS Table'!$AG84)*7.35</f>
        <v>44.98046875</v>
      </c>
      <c r="AA84" s="138">
        <v>0.94</v>
      </c>
      <c r="AB84" s="138">
        <v>0.96</v>
      </c>
      <c r="AC84" s="138">
        <v>0.5</v>
      </c>
      <c r="AD84" s="138">
        <v>0.25</v>
      </c>
      <c r="AE84" s="138">
        <v>0.25</v>
      </c>
      <c r="AF84" s="138">
        <v>0.75</v>
      </c>
      <c r="AG84" s="138">
        <v>0.25</v>
      </c>
      <c r="AH84" s="139">
        <v>4.375</v>
      </c>
      <c r="AI84" s="139">
        <v>136</v>
      </c>
      <c r="AJ84" s="139">
        <v>110</v>
      </c>
      <c r="AK84" s="186">
        <f>('LCFS Table'!$AI84/340)*100</f>
        <v>40</v>
      </c>
      <c r="AL84" s="186">
        <f>('LCFS Table'!$AJ84/340)*100</f>
        <v>32.352941176470587</v>
      </c>
      <c r="AM84" s="139">
        <v>105</v>
      </c>
      <c r="AN84" s="139">
        <v>90</v>
      </c>
      <c r="AO84" s="139">
        <f>('LCFS Table'!$AM84/300)*100</f>
        <v>35</v>
      </c>
      <c r="AP84" s="139">
        <f>('LCFS Table'!$AN84/300)*100</f>
        <v>30</v>
      </c>
      <c r="AQ84" s="140">
        <v>200.2</v>
      </c>
      <c r="AR84" s="140">
        <v>0.60399999999999998</v>
      </c>
      <c r="AS84" s="185">
        <v>1.729515780080382</v>
      </c>
      <c r="AT84" s="137">
        <v>0.16</v>
      </c>
      <c r="AU84" s="137">
        <v>1</v>
      </c>
      <c r="AV84" s="185">
        <f>'LCFS Table'!$AR84*1.7</f>
        <v>1.0267999999999999</v>
      </c>
      <c r="AW84" s="137">
        <v>0</v>
      </c>
      <c r="AX84" s="185">
        <v>1.1815679926049998</v>
      </c>
      <c r="AY84" s="137">
        <v>0</v>
      </c>
      <c r="AZ84" s="141">
        <v>1</v>
      </c>
      <c r="BA84" s="185">
        <f>'LCFS Table'!$AR84*1.5</f>
        <v>0.90599999999999992</v>
      </c>
      <c r="BB84" s="136">
        <v>1.2</v>
      </c>
      <c r="BC84" s="185">
        <f>'LCFS Table'!$AS84*'LCFS Table'!$BW84</f>
        <v>1.729515780080382</v>
      </c>
      <c r="BD84" s="185">
        <f>'LCFS Table'!$AT84*'LCFS Table'!$BX84</f>
        <v>0</v>
      </c>
      <c r="BE84" s="185">
        <f>'LCFS Table'!$AU84*'LCFS Table'!$BY84</f>
        <v>1</v>
      </c>
      <c r="BF84" s="137">
        <f>'LCFS Table'!$AV84*'LCFS Table'!$BZ84</f>
        <v>1.0267999999999999</v>
      </c>
      <c r="BG84" s="137">
        <f>'LCFS Table'!$AW84*'LCFS Table'!$CA84</f>
        <v>0</v>
      </c>
      <c r="BH84" s="137">
        <f>'LCFS Table'!$AX84*'LCFS Table'!$CB84</f>
        <v>1.1815679926049998</v>
      </c>
      <c r="BI84" s="137">
        <f>'LCFS Table'!$AY84*'LCFS Table'!$CC84</f>
        <v>0</v>
      </c>
      <c r="BJ84" s="137">
        <f>'LCFS Table'!$AZ84*'LCFS Table'!$CD84</f>
        <v>1</v>
      </c>
      <c r="BK84" s="137">
        <f>'LCFS Table'!$BA84*'LCFS Table'!$CE84</f>
        <v>0.90599999999999992</v>
      </c>
      <c r="BL84" s="137">
        <f>'LCFS Table'!$BB84*'LCFS Table'!$CF84</f>
        <v>-1.2</v>
      </c>
      <c r="BM84" s="137">
        <f>'LCFS Table'!$AS84*'LCFS Table'!$CG84</f>
        <v>0</v>
      </c>
      <c r="BN84" s="137">
        <f>'LCFS Table'!$AT84*'LCFS Table'!$CH84</f>
        <v>0.16</v>
      </c>
      <c r="BO84" s="137">
        <f>'LCFS Table'!$AU84*'LCFS Table'!$CI84</f>
        <v>0</v>
      </c>
      <c r="BP84" s="137">
        <f>'LCFS Table'!$AV84*'LCFS Table'!$CJ84</f>
        <v>0</v>
      </c>
      <c r="BQ84" s="137">
        <f>'LCFS Table'!$AW84*'LCFS Table'!$CK84</f>
        <v>0</v>
      </c>
      <c r="BR84" s="137">
        <f>'LCFS Table'!$AX84*'LCFS Table'!$CL84</f>
        <v>0</v>
      </c>
      <c r="BS84" s="137">
        <f>'LCFS Table'!$AY84*'LCFS Table'!$CM84</f>
        <v>0</v>
      </c>
      <c r="BT84" s="137">
        <f>'LCFS Table'!$AZ84*'LCFS Table'!$CN84</f>
        <v>0</v>
      </c>
      <c r="BU84" s="137">
        <f>'LCFS Table'!$BA84*'LCFS Table'!$CO84</f>
        <v>0</v>
      </c>
      <c r="BV84" s="136">
        <f>'LCFS Table'!$BB84*'LCFS Table'!$CP84</f>
        <v>1.2</v>
      </c>
      <c r="BW84" s="138">
        <v>1</v>
      </c>
      <c r="BX84" s="138">
        <v>0</v>
      </c>
      <c r="BY84" s="138">
        <v>1</v>
      </c>
      <c r="BZ84" s="138">
        <v>1</v>
      </c>
      <c r="CA84" s="138">
        <v>-1</v>
      </c>
      <c r="CB84" s="138">
        <v>1</v>
      </c>
      <c r="CC84" s="138">
        <v>0</v>
      </c>
      <c r="CD84" s="138">
        <v>1</v>
      </c>
      <c r="CE84" s="138">
        <v>1</v>
      </c>
      <c r="CF84" s="138">
        <v>-1</v>
      </c>
      <c r="CG84" s="138">
        <f>1-'LCFS Table'!$BW84</f>
        <v>0</v>
      </c>
      <c r="CH84" s="138">
        <f>1-'LCFS Table'!$BX84</f>
        <v>1</v>
      </c>
      <c r="CI84" s="138">
        <f>1-'LCFS Table'!$BY84</f>
        <v>0</v>
      </c>
      <c r="CJ84" s="138">
        <f>1-'LCFS Table'!$BZ84</f>
        <v>0</v>
      </c>
      <c r="CK84" s="138">
        <f>-'LCFS Table'!$CA84</f>
        <v>1</v>
      </c>
      <c r="CL84" s="138">
        <f>1-'LCFS Table'!$CB84</f>
        <v>0</v>
      </c>
      <c r="CM84" s="138">
        <f>1-'LCFS Table'!$CC84</f>
        <v>1</v>
      </c>
      <c r="CN84" s="138">
        <f>1-'LCFS Table'!$CD84</f>
        <v>0</v>
      </c>
      <c r="CO84" s="138">
        <f>1-'LCFS Table'!$CE84</f>
        <v>0</v>
      </c>
      <c r="CP84" s="138">
        <f>-'LCFS Table'!$CF84</f>
        <v>1</v>
      </c>
      <c r="CQ84" s="140">
        <v>4.7</v>
      </c>
      <c r="CR84" s="165">
        <f>('LCFS Table'!$CQ84*0.9/(0.8/0.99)/100)</f>
        <v>5.2346250000000004E-2</v>
      </c>
      <c r="CS84" s="166"/>
      <c r="CT84" s="167"/>
      <c r="CW84" s="168">
        <f>'LCFS Table'!$K84-'LCFS Table'!$M84</f>
        <v>0.78186799260499962</v>
      </c>
      <c r="CX84" s="129">
        <f>MONTH('LCFS Table'!$B84)</f>
        <v>7</v>
      </c>
      <c r="CY84" s="129">
        <f>YEAR('LCFS Table'!$B84)</f>
        <v>2020</v>
      </c>
    </row>
    <row r="85" spans="1:103">
      <c r="A85" s="148">
        <v>44038</v>
      </c>
      <c r="B85" s="149">
        <v>44044</v>
      </c>
      <c r="C85" s="132">
        <f t="shared" si="1"/>
        <v>2020</v>
      </c>
      <c r="D85" s="182" t="s">
        <v>287</v>
      </c>
      <c r="E85" s="187">
        <f>'LCFS Table'!$K85-'LCFS Table'!$I85</f>
        <v>-1.4851645181476851</v>
      </c>
      <c r="F85" s="187">
        <f>('LCFS Table'!$M85)-'LCFS Table'!$J85</f>
        <v>-2.7528099310249989</v>
      </c>
      <c r="G85" s="188">
        <f>'LCFS Table'!$E85+'LCFS Table'!$AS85+'LCFS Table'!$AT85+'LCFS Table'!$AU85+'LCFS Table'!$AV85</f>
        <v>2.4271677140988426</v>
      </c>
      <c r="H85" s="188">
        <f>'LCFS Table'!$F85+'LCFS Table'!$AX85+'LCFS Table'!$AY85+'LCFS Table'!$AZ85+'LCFS Table'!$BA85+('LCFS Table'!$CQ85*0.9/(0.8/0.99)/100)+(DG85*'LCFS Table'!$AF85)+(DF85*'LCFS Table'!$AG85)</f>
        <v>0.38858867187500101</v>
      </c>
      <c r="I85" s="187">
        <f>('LCFS Table'!$V85+'LCFS Table'!$W85+'LCFS Table'!$X85)/100+(('LCFS Table'!$AI85+'LCFS Table'!$AJ85)/340)</f>
        <v>2.7308645181476852</v>
      </c>
      <c r="J85" s="187">
        <f>(('LCFS Table'!$Y85+'LCFS Table'!$Z85)/100)+(('LCFS Table'!$AM85+'LCFS Table'!$AN85)/300)</f>
        <v>3.2365300781249995</v>
      </c>
      <c r="K85" s="140">
        <f>'[1]Fuel Values'!$C84</f>
        <v>1.2457</v>
      </c>
      <c r="L85" s="140">
        <f>'[1]Fuel Values'!$B84</f>
        <v>357.5</v>
      </c>
      <c r="M85" s="185">
        <f>('LCFS Table'!$L85/100)-'LCFS Table'!$AX85-'LCFS Table'!$AY85-'LCFS Table'!$AZ85-'LCFS Table'!$BA85</f>
        <v>0.48372014710000044</v>
      </c>
      <c r="N85" s="140">
        <f>[1]BFT!$B84</f>
        <v>26.25</v>
      </c>
      <c r="O85" s="140">
        <f>[1]UCO!$B84</f>
        <v>28.5</v>
      </c>
      <c r="P85" s="140">
        <f>[1]DCO!$B84</f>
        <v>22.35</v>
      </c>
      <c r="Q85" s="140">
        <f>'[1]Soybean Oil'!$B84</f>
        <v>32.835999999999999</v>
      </c>
      <c r="R85" s="140">
        <f>'[1]Yellow Grease'!$B84</f>
        <v>23.5</v>
      </c>
      <c r="S85" s="185">
        <f>'LCFS Table'!$N85 + 'LCFS Table'!$AH85</f>
        <v>30.625</v>
      </c>
      <c r="T85" s="185">
        <f>'LCFS Table'!$Q85+'LCFS Table'!$AH85</f>
        <v>37.210999999999999</v>
      </c>
      <c r="U85" s="185">
        <f>'LCFS Table'!$P85+'LCFS Table'!$AH85</f>
        <v>26.725000000000001</v>
      </c>
      <c r="V85" s="185">
        <f>(('LCFS Table'!$S85/'LCFS Table'!$AA85)*'LCFS Table'!$AC85)*6.48</f>
        <v>105.55851063829789</v>
      </c>
      <c r="W85" s="185">
        <f>(('LCFS Table'!$O85/'LCFS Table'!$AA85)*'LCFS Table'!$AD85)*6.48</f>
        <v>49.11702127659575</v>
      </c>
      <c r="X85" s="185">
        <f>(('LCFS Table'!$U85/'LCFS Table'!$AA85)*'LCFS Table'!$AE85)*6.48</f>
        <v>46.057978723404268</v>
      </c>
      <c r="Y85" s="185">
        <f>(('LCFS Table'!$T85/'LCFS Table'!$AB85)*'LCFS Table'!$AF85)*7.35</f>
        <v>213.67253906249996</v>
      </c>
      <c r="Z85" s="185">
        <f>(('LCFS Table'!$R85/'LCFS Table'!$AB85)*'LCFS Table'!$AG85)*7.35</f>
        <v>44.98046875</v>
      </c>
      <c r="AA85" s="138">
        <v>0.94</v>
      </c>
      <c r="AB85" s="138">
        <v>0.96</v>
      </c>
      <c r="AC85" s="138">
        <v>0.5</v>
      </c>
      <c r="AD85" s="138">
        <v>0.25</v>
      </c>
      <c r="AE85" s="138">
        <v>0.25</v>
      </c>
      <c r="AF85" s="138">
        <v>0.75</v>
      </c>
      <c r="AG85" s="138">
        <v>0.25</v>
      </c>
      <c r="AH85" s="139">
        <v>4.375</v>
      </c>
      <c r="AI85" s="139">
        <v>136</v>
      </c>
      <c r="AJ85" s="139">
        <v>110</v>
      </c>
      <c r="AK85" s="186">
        <f>('LCFS Table'!$AI85/340)*100</f>
        <v>40</v>
      </c>
      <c r="AL85" s="186">
        <f>('LCFS Table'!$AJ85/340)*100</f>
        <v>32.352941176470587</v>
      </c>
      <c r="AM85" s="139">
        <v>105</v>
      </c>
      <c r="AN85" s="139">
        <v>90</v>
      </c>
      <c r="AO85" s="139">
        <f>('LCFS Table'!$AM85/300)*100</f>
        <v>35</v>
      </c>
      <c r="AP85" s="139">
        <f>('LCFS Table'!$AN85/300)*100</f>
        <v>30</v>
      </c>
      <c r="AQ85" s="140">
        <v>196</v>
      </c>
      <c r="AR85" s="140">
        <v>0.623</v>
      </c>
      <c r="AS85" s="185">
        <v>1.6932322322465276</v>
      </c>
      <c r="AT85" s="137">
        <v>0.16</v>
      </c>
      <c r="AU85" s="137">
        <v>1</v>
      </c>
      <c r="AV85" s="185">
        <f>'LCFS Table'!$AR85*1.7</f>
        <v>1.0590999999999999</v>
      </c>
      <c r="AW85" s="137">
        <v>0</v>
      </c>
      <c r="AX85" s="185">
        <v>1.1567798529</v>
      </c>
      <c r="AY85" s="137">
        <v>0</v>
      </c>
      <c r="AZ85" s="141">
        <v>1</v>
      </c>
      <c r="BA85" s="185">
        <f>'LCFS Table'!$AR85*1.5</f>
        <v>0.9345</v>
      </c>
      <c r="BB85" s="136">
        <v>1.2</v>
      </c>
      <c r="BC85" s="185">
        <f>'LCFS Table'!$AS85*'LCFS Table'!$BW85</f>
        <v>1.6932322322465276</v>
      </c>
      <c r="BD85" s="185">
        <f>'LCFS Table'!$AT85*'LCFS Table'!$BX85</f>
        <v>0</v>
      </c>
      <c r="BE85" s="185">
        <f>'LCFS Table'!$AU85*'LCFS Table'!$BY85</f>
        <v>1</v>
      </c>
      <c r="BF85" s="137">
        <f>'LCFS Table'!$AV85*'LCFS Table'!$BZ85</f>
        <v>1.0590999999999999</v>
      </c>
      <c r="BG85" s="137">
        <f>'LCFS Table'!$AW85*'LCFS Table'!$CA85</f>
        <v>0</v>
      </c>
      <c r="BH85" s="137">
        <f>'LCFS Table'!$AX85*'LCFS Table'!$CB85</f>
        <v>1.1567798529</v>
      </c>
      <c r="BI85" s="137">
        <f>'LCFS Table'!$AY85*'LCFS Table'!$CC85</f>
        <v>0</v>
      </c>
      <c r="BJ85" s="137">
        <f>'LCFS Table'!$AZ85*'LCFS Table'!$CD85</f>
        <v>1</v>
      </c>
      <c r="BK85" s="137">
        <f>'LCFS Table'!$BA85*'LCFS Table'!$CE85</f>
        <v>0.9345</v>
      </c>
      <c r="BL85" s="137">
        <f>'LCFS Table'!$BB85*'LCFS Table'!$CF85</f>
        <v>-1.2</v>
      </c>
      <c r="BM85" s="137">
        <f>'LCFS Table'!$AS85*'LCFS Table'!$CG85</f>
        <v>0</v>
      </c>
      <c r="BN85" s="137">
        <f>'LCFS Table'!$AT85*'LCFS Table'!$CH85</f>
        <v>0.16</v>
      </c>
      <c r="BO85" s="137">
        <f>'LCFS Table'!$AU85*'LCFS Table'!$CI85</f>
        <v>0</v>
      </c>
      <c r="BP85" s="137">
        <f>'LCFS Table'!$AV85*'LCFS Table'!$CJ85</f>
        <v>0</v>
      </c>
      <c r="BQ85" s="137">
        <f>'LCFS Table'!$AW85*'LCFS Table'!$CK85</f>
        <v>0</v>
      </c>
      <c r="BR85" s="137">
        <f>'LCFS Table'!$AX85*'LCFS Table'!$CL85</f>
        <v>0</v>
      </c>
      <c r="BS85" s="137">
        <f>'LCFS Table'!$AY85*'LCFS Table'!$CM85</f>
        <v>0</v>
      </c>
      <c r="BT85" s="137">
        <f>'LCFS Table'!$AZ85*'LCFS Table'!$CN85</f>
        <v>0</v>
      </c>
      <c r="BU85" s="137">
        <f>'LCFS Table'!$BA85*'LCFS Table'!$CO85</f>
        <v>0</v>
      </c>
      <c r="BV85" s="136">
        <f>'LCFS Table'!$BB85*'LCFS Table'!$CP85</f>
        <v>1.2</v>
      </c>
      <c r="BW85" s="138">
        <v>1</v>
      </c>
      <c r="BX85" s="138">
        <v>0</v>
      </c>
      <c r="BY85" s="138">
        <v>1</v>
      </c>
      <c r="BZ85" s="138">
        <v>1</v>
      </c>
      <c r="CA85" s="138">
        <v>-1</v>
      </c>
      <c r="CB85" s="138">
        <v>1</v>
      </c>
      <c r="CC85" s="138">
        <v>0</v>
      </c>
      <c r="CD85" s="138">
        <v>1</v>
      </c>
      <c r="CE85" s="138">
        <v>1</v>
      </c>
      <c r="CF85" s="138">
        <v>-1</v>
      </c>
      <c r="CG85" s="138">
        <f>1-'LCFS Table'!$BW85</f>
        <v>0</v>
      </c>
      <c r="CH85" s="138">
        <f>1-'LCFS Table'!$BX85</f>
        <v>1</v>
      </c>
      <c r="CI85" s="138">
        <f>1-'LCFS Table'!$BY85</f>
        <v>0</v>
      </c>
      <c r="CJ85" s="138">
        <f>1-'LCFS Table'!$BZ85</f>
        <v>0</v>
      </c>
      <c r="CK85" s="138">
        <f>-'LCFS Table'!$CA85</f>
        <v>1</v>
      </c>
      <c r="CL85" s="138">
        <f>1-'LCFS Table'!$CB85</f>
        <v>0</v>
      </c>
      <c r="CM85" s="138">
        <f>1-'LCFS Table'!$CC85</f>
        <v>1</v>
      </c>
      <c r="CN85" s="138">
        <f>1-'LCFS Table'!$CD85</f>
        <v>0</v>
      </c>
      <c r="CO85" s="138">
        <f>1-'LCFS Table'!$CE85</f>
        <v>0</v>
      </c>
      <c r="CP85" s="138">
        <f>-'LCFS Table'!$CF85</f>
        <v>1</v>
      </c>
      <c r="CQ85" s="140">
        <v>4.5</v>
      </c>
      <c r="CR85" s="165">
        <f>('LCFS Table'!$CQ85*0.9/(0.8/0.99)/100)</f>
        <v>5.011874999999999E-2</v>
      </c>
      <c r="CS85" s="166"/>
      <c r="CT85" s="167"/>
      <c r="CW85" s="168">
        <f>'LCFS Table'!$K85-'LCFS Table'!$M85</f>
        <v>0.76197985289999959</v>
      </c>
      <c r="CX85" s="129">
        <f>MONTH('LCFS Table'!$B85)</f>
        <v>8</v>
      </c>
      <c r="CY85" s="129">
        <f>YEAR('LCFS Table'!$B85)</f>
        <v>2020</v>
      </c>
    </row>
    <row r="86" spans="1:103">
      <c r="A86" s="148">
        <v>44045</v>
      </c>
      <c r="B86" s="149">
        <v>44051</v>
      </c>
      <c r="C86" s="132">
        <f t="shared" si="1"/>
        <v>2020</v>
      </c>
      <c r="D86" s="182" t="s">
        <v>288</v>
      </c>
      <c r="E86" s="187">
        <f>'LCFS Table'!$K86-'LCFS Table'!$I86</f>
        <v>-1.5261666458072594</v>
      </c>
      <c r="F86" s="187">
        <f>('LCFS Table'!$M86)-'LCFS Table'!$J86</f>
        <v>-2.8278095045549998</v>
      </c>
      <c r="G86" s="188">
        <f>'LCFS Table'!$E86+'LCFS Table'!$AS86+'LCFS Table'!$AT86+'LCFS Table'!$AU86+'LCFS Table'!$AV86</f>
        <v>2.3755765545500322</v>
      </c>
      <c r="H86" s="188">
        <f>'LCFS Table'!$F86+'LCFS Table'!$AX86+'LCFS Table'!$AY86+'LCFS Table'!$AZ86+'LCFS Table'!$BA86+('LCFS Table'!$CQ86*0.9/(0.8/0.99)/100)+(DG86*'LCFS Table'!$AF86)+(DF86*'LCFS Table'!$AG86)</f>
        <v>0.30906367187500006</v>
      </c>
      <c r="I86" s="187">
        <f>('LCFS Table'!$V86+'LCFS Table'!$W86+'LCFS Table'!$X86)/100+(('LCFS Table'!$AI86+'LCFS Table'!$AJ86)/340)</f>
        <v>2.7825666458072593</v>
      </c>
      <c r="J86" s="187">
        <f>(('LCFS Table'!$Y86+'LCFS Table'!$Z86)/100)+(('LCFS Table'!$AM86+'LCFS Table'!$AN86)/300)</f>
        <v>3.3210550781250001</v>
      </c>
      <c r="K86" s="140">
        <f>'[1]Fuel Values'!$C85</f>
        <v>1.2564</v>
      </c>
      <c r="L86" s="140">
        <f>'[1]Fuel Values'!$B85</f>
        <v>358</v>
      </c>
      <c r="M86" s="185">
        <f>('LCFS Table'!$L86/100)-'LCFS Table'!$AX86-'LCFS Table'!$AY86-'LCFS Table'!$AZ86-'LCFS Table'!$BA86</f>
        <v>0.49324557357000021</v>
      </c>
      <c r="N86" s="140">
        <f>[1]BFT!$B85</f>
        <v>27.2</v>
      </c>
      <c r="O86" s="140">
        <f>[1]UCO!$B85</f>
        <v>28.9</v>
      </c>
      <c r="P86" s="140">
        <f>[1]DCO!$B85</f>
        <v>23.05</v>
      </c>
      <c r="Q86" s="140">
        <f>'[1]Soybean Oil'!$B85</f>
        <v>34.308</v>
      </c>
      <c r="R86" s="140">
        <f>'[1]Yellow Grease'!$B85</f>
        <v>23.5</v>
      </c>
      <c r="S86" s="185">
        <f>'LCFS Table'!$N86 + 'LCFS Table'!$AH86</f>
        <v>31.574999999999999</v>
      </c>
      <c r="T86" s="185">
        <f>'LCFS Table'!$Q86+'LCFS Table'!$AH86</f>
        <v>38.683</v>
      </c>
      <c r="U86" s="185">
        <f>'LCFS Table'!$P86+'LCFS Table'!$AH86</f>
        <v>27.425000000000001</v>
      </c>
      <c r="V86" s="185">
        <f>(('LCFS Table'!$S86/'LCFS Table'!$AA86)*'LCFS Table'!$AC86)*6.48</f>
        <v>108.83297872340427</v>
      </c>
      <c r="W86" s="185">
        <f>(('LCFS Table'!$O86/'LCFS Table'!$AA86)*'LCFS Table'!$AD86)*6.48</f>
        <v>49.806382978723406</v>
      </c>
      <c r="X86" s="185">
        <f>(('LCFS Table'!$U86/'LCFS Table'!$AA86)*'LCFS Table'!$AE86)*6.48</f>
        <v>47.264361702127665</v>
      </c>
      <c r="Y86" s="185">
        <f>(('LCFS Table'!$T86/'LCFS Table'!$AB86)*'LCFS Table'!$AF86)*7.35</f>
        <v>222.12503906250001</v>
      </c>
      <c r="Z86" s="185">
        <f>(('LCFS Table'!$R86/'LCFS Table'!$AB86)*'LCFS Table'!$AG86)*7.35</f>
        <v>44.98046875</v>
      </c>
      <c r="AA86" s="138">
        <v>0.94</v>
      </c>
      <c r="AB86" s="138">
        <v>0.96</v>
      </c>
      <c r="AC86" s="138">
        <v>0.5</v>
      </c>
      <c r="AD86" s="138">
        <v>0.25</v>
      </c>
      <c r="AE86" s="138">
        <v>0.25</v>
      </c>
      <c r="AF86" s="138">
        <v>0.75</v>
      </c>
      <c r="AG86" s="138">
        <v>0.25</v>
      </c>
      <c r="AH86" s="139">
        <v>4.375</v>
      </c>
      <c r="AI86" s="139">
        <v>136</v>
      </c>
      <c r="AJ86" s="139">
        <v>110</v>
      </c>
      <c r="AK86" s="186">
        <f>('LCFS Table'!$AI86/340)*100</f>
        <v>40</v>
      </c>
      <c r="AL86" s="186">
        <f>('LCFS Table'!$AJ86/340)*100</f>
        <v>32.352941176470587</v>
      </c>
      <c r="AM86" s="139">
        <v>105</v>
      </c>
      <c r="AN86" s="139">
        <v>90</v>
      </c>
      <c r="AO86" s="139">
        <f>('LCFS Table'!$AM86/300)*100</f>
        <v>35</v>
      </c>
      <c r="AP86" s="139">
        <f>('LCFS Table'!$AN86/300)*100</f>
        <v>30</v>
      </c>
      <c r="AQ86" s="140">
        <v>193.2</v>
      </c>
      <c r="AR86" s="140">
        <v>0.63100000000000001</v>
      </c>
      <c r="AS86" s="185">
        <v>1.6690432003572915</v>
      </c>
      <c r="AT86" s="137">
        <v>0.16</v>
      </c>
      <c r="AU86" s="137">
        <v>1</v>
      </c>
      <c r="AV86" s="185">
        <f>'LCFS Table'!$AR86*1.7</f>
        <v>1.0727</v>
      </c>
      <c r="AW86" s="137">
        <v>0</v>
      </c>
      <c r="AX86" s="185">
        <v>1.1402544264299999</v>
      </c>
      <c r="AY86" s="137">
        <v>0</v>
      </c>
      <c r="AZ86" s="141">
        <v>1</v>
      </c>
      <c r="BA86" s="185">
        <f>'LCFS Table'!$AR86*1.5</f>
        <v>0.94650000000000001</v>
      </c>
      <c r="BB86" s="136">
        <v>1.2</v>
      </c>
      <c r="BC86" s="185">
        <f>'LCFS Table'!$AS86*'LCFS Table'!$BW86</f>
        <v>1.6690432003572915</v>
      </c>
      <c r="BD86" s="185">
        <f>'LCFS Table'!$AT86*'LCFS Table'!$BX86</f>
        <v>0</v>
      </c>
      <c r="BE86" s="185">
        <f>'LCFS Table'!$AU86*'LCFS Table'!$BY86</f>
        <v>1</v>
      </c>
      <c r="BF86" s="137">
        <f>'LCFS Table'!$AV86*'LCFS Table'!$BZ86</f>
        <v>1.0727</v>
      </c>
      <c r="BG86" s="137">
        <f>'LCFS Table'!$AW86*'LCFS Table'!$CA86</f>
        <v>0</v>
      </c>
      <c r="BH86" s="137">
        <f>'LCFS Table'!$AX86*'LCFS Table'!$CB86</f>
        <v>1.1402544264299999</v>
      </c>
      <c r="BI86" s="137">
        <f>'LCFS Table'!$AY86*'LCFS Table'!$CC86</f>
        <v>0</v>
      </c>
      <c r="BJ86" s="137">
        <f>'LCFS Table'!$AZ86*'LCFS Table'!$CD86</f>
        <v>1</v>
      </c>
      <c r="BK86" s="137">
        <f>'LCFS Table'!$BA86*'LCFS Table'!$CE86</f>
        <v>0.94650000000000001</v>
      </c>
      <c r="BL86" s="137">
        <f>'LCFS Table'!$BB86*'LCFS Table'!$CF86</f>
        <v>-1.2</v>
      </c>
      <c r="BM86" s="137">
        <f>'LCFS Table'!$AS86*'LCFS Table'!$CG86</f>
        <v>0</v>
      </c>
      <c r="BN86" s="137">
        <f>'LCFS Table'!$AT86*'LCFS Table'!$CH86</f>
        <v>0.16</v>
      </c>
      <c r="BO86" s="137">
        <f>'LCFS Table'!$AU86*'LCFS Table'!$CI86</f>
        <v>0</v>
      </c>
      <c r="BP86" s="137">
        <f>'LCFS Table'!$AV86*'LCFS Table'!$CJ86</f>
        <v>0</v>
      </c>
      <c r="BQ86" s="137">
        <f>'LCFS Table'!$AW86*'LCFS Table'!$CK86</f>
        <v>0</v>
      </c>
      <c r="BR86" s="137">
        <f>'LCFS Table'!$AX86*'LCFS Table'!$CL86</f>
        <v>0</v>
      </c>
      <c r="BS86" s="137">
        <f>'LCFS Table'!$AY86*'LCFS Table'!$CM86</f>
        <v>0</v>
      </c>
      <c r="BT86" s="137">
        <f>'LCFS Table'!$AZ86*'LCFS Table'!$CN86</f>
        <v>0</v>
      </c>
      <c r="BU86" s="137">
        <f>'LCFS Table'!$BA86*'LCFS Table'!$CO86</f>
        <v>0</v>
      </c>
      <c r="BV86" s="136">
        <f>'LCFS Table'!$BB86*'LCFS Table'!$CP86</f>
        <v>1.2</v>
      </c>
      <c r="BW86" s="138">
        <v>1</v>
      </c>
      <c r="BX86" s="138">
        <v>0</v>
      </c>
      <c r="BY86" s="138">
        <v>1</v>
      </c>
      <c r="BZ86" s="138">
        <v>1</v>
      </c>
      <c r="CA86" s="138">
        <v>-1</v>
      </c>
      <c r="CB86" s="138">
        <v>1</v>
      </c>
      <c r="CC86" s="138">
        <v>0</v>
      </c>
      <c r="CD86" s="138">
        <v>1</v>
      </c>
      <c r="CE86" s="138">
        <v>1</v>
      </c>
      <c r="CF86" s="138">
        <v>-1</v>
      </c>
      <c r="CG86" s="138">
        <f>1-'LCFS Table'!$BW86</f>
        <v>0</v>
      </c>
      <c r="CH86" s="138">
        <f>1-'LCFS Table'!$BX86</f>
        <v>1</v>
      </c>
      <c r="CI86" s="138">
        <f>1-'LCFS Table'!$BY86</f>
        <v>0</v>
      </c>
      <c r="CJ86" s="138">
        <f>1-'LCFS Table'!$BZ86</f>
        <v>0</v>
      </c>
      <c r="CK86" s="138">
        <f>-'LCFS Table'!$CA86</f>
        <v>1</v>
      </c>
      <c r="CL86" s="138">
        <f>1-'LCFS Table'!$CB86</f>
        <v>0</v>
      </c>
      <c r="CM86" s="138">
        <f>1-'LCFS Table'!$CC86</f>
        <v>1</v>
      </c>
      <c r="CN86" s="138">
        <f>1-'LCFS Table'!$CD86</f>
        <v>0</v>
      </c>
      <c r="CO86" s="138">
        <f>1-'LCFS Table'!$CE86</f>
        <v>0</v>
      </c>
      <c r="CP86" s="138">
        <f>-'LCFS Table'!$CF86</f>
        <v>1</v>
      </c>
      <c r="CQ86" s="140">
        <v>4.5</v>
      </c>
      <c r="CR86" s="165">
        <f>('LCFS Table'!$CQ86*0.9/(0.8/0.99)/100)</f>
        <v>5.011874999999999E-2</v>
      </c>
      <c r="CS86" s="166"/>
      <c r="CT86" s="167"/>
      <c r="CW86" s="168">
        <f>'LCFS Table'!$K86-'LCFS Table'!$M86</f>
        <v>0.76315442642999975</v>
      </c>
      <c r="CX86" s="129">
        <f>MONTH('LCFS Table'!$B86)</f>
        <v>8</v>
      </c>
      <c r="CY86" s="129">
        <f>YEAR('LCFS Table'!$B86)</f>
        <v>2020</v>
      </c>
    </row>
    <row r="87" spans="1:103">
      <c r="A87" s="148">
        <v>44052</v>
      </c>
      <c r="B87" s="149">
        <v>44058</v>
      </c>
      <c r="C87" s="132">
        <f t="shared" si="1"/>
        <v>2020</v>
      </c>
      <c r="D87" s="150" t="s">
        <v>289</v>
      </c>
      <c r="E87" s="187">
        <f>'LCFS Table'!$K87-'LCFS Table'!$I87</f>
        <v>-1.6895730287859831</v>
      </c>
      <c r="F87" s="187">
        <f>('LCFS Table'!$M87)-'LCFS Table'!$J87</f>
        <v>-2.7878960657424994</v>
      </c>
      <c r="G87" s="188">
        <f>'LCFS Table'!$E87+'LCFS Table'!$AS87+'LCFS Table'!$AT87+'LCFS Table'!$AU87+'LCFS Table'!$AV87</f>
        <v>2.1650728216702042</v>
      </c>
      <c r="H87" s="188">
        <f>'LCFS Table'!$F87+'LCFS Table'!$AX87+'LCFS Table'!$AY87+'LCFS Table'!$AZ87+'LCFS Table'!$BA87+('LCFS Table'!$CQ87*0.9/(0.8/0.99)/100)+(DG87*'LCFS Table'!$AF87)+(DF87*'LCFS Table'!$AG87)</f>
        <v>0.31172226562500027</v>
      </c>
      <c r="I87" s="187">
        <f>('LCFS Table'!$V87+'LCFS Table'!$W87+'LCFS Table'!$X87)/100+(('LCFS Table'!$AI87+'LCFS Table'!$AJ87)/340)</f>
        <v>2.9376730287859831</v>
      </c>
      <c r="J87" s="187">
        <f>(('LCFS Table'!$Y87+'LCFS Table'!$Z87)/100)+(('LCFS Table'!$AM87+'LCFS Table'!$AN87)/300)</f>
        <v>3.3383964843749996</v>
      </c>
      <c r="K87" s="140">
        <f>'[1]Fuel Values'!$C86</f>
        <v>1.2481</v>
      </c>
      <c r="L87" s="140">
        <f>'[1]Fuel Values'!$B86</f>
        <v>360</v>
      </c>
      <c r="M87" s="185">
        <f>('LCFS Table'!$L87/100)-'LCFS Table'!$AX87-'LCFS Table'!$AY87-'LCFS Table'!$AZ87-'LCFS Table'!$BA87</f>
        <v>0.55050041863250021</v>
      </c>
      <c r="N87" s="140">
        <f>[1]BFT!$B86</f>
        <v>31</v>
      </c>
      <c r="O87" s="140">
        <f>[1]UCO!$B86</f>
        <v>29.5</v>
      </c>
      <c r="P87" s="140">
        <f>[1]DCO!$B86</f>
        <v>23.85</v>
      </c>
      <c r="Q87" s="140">
        <f>'[1]Soybean Oil'!$B86</f>
        <v>34.61</v>
      </c>
      <c r="R87" s="140">
        <f>'[1]Yellow Grease'!$B86</f>
        <v>23.5</v>
      </c>
      <c r="S87" s="185">
        <f>'LCFS Table'!$N87 + 'LCFS Table'!$AH87</f>
        <v>35.375</v>
      </c>
      <c r="T87" s="185">
        <f>'LCFS Table'!$Q87+'LCFS Table'!$AH87</f>
        <v>38.984999999999999</v>
      </c>
      <c r="U87" s="185">
        <f>'LCFS Table'!$P87+'LCFS Table'!$AH87</f>
        <v>28.225000000000001</v>
      </c>
      <c r="V87" s="185">
        <f>(('LCFS Table'!$S87/'LCFS Table'!$AA87)*'LCFS Table'!$AC87)*6.48</f>
        <v>121.93085106382981</v>
      </c>
      <c r="W87" s="185">
        <f>(('LCFS Table'!$O87/'LCFS Table'!$AA87)*'LCFS Table'!$AD87)*6.48</f>
        <v>50.840425531914903</v>
      </c>
      <c r="X87" s="185">
        <f>(('LCFS Table'!$U87/'LCFS Table'!$AA87)*'LCFS Table'!$AE87)*6.48</f>
        <v>48.643085106382991</v>
      </c>
      <c r="Y87" s="185">
        <f>(('LCFS Table'!$T87/'LCFS Table'!$AB87)*'LCFS Table'!$AF87)*7.35</f>
        <v>223.85917968749999</v>
      </c>
      <c r="Z87" s="185">
        <f>(('LCFS Table'!$R87/'LCFS Table'!$AB87)*'LCFS Table'!$AG87)*7.35</f>
        <v>44.98046875</v>
      </c>
      <c r="AA87" s="138">
        <v>0.94</v>
      </c>
      <c r="AB87" s="138">
        <v>0.96</v>
      </c>
      <c r="AC87" s="138">
        <v>0.5</v>
      </c>
      <c r="AD87" s="138">
        <v>0.25</v>
      </c>
      <c r="AE87" s="138">
        <v>0.25</v>
      </c>
      <c r="AF87" s="138">
        <v>0.75</v>
      </c>
      <c r="AG87" s="138">
        <v>0.25</v>
      </c>
      <c r="AH87" s="139">
        <v>4.375</v>
      </c>
      <c r="AI87" s="139">
        <v>136</v>
      </c>
      <c r="AJ87" s="139">
        <v>110</v>
      </c>
      <c r="AK87" s="186">
        <f>('LCFS Table'!$AI87/340)*100</f>
        <v>40</v>
      </c>
      <c r="AL87" s="186">
        <f>('LCFS Table'!$AJ87/340)*100</f>
        <v>32.352941176470587</v>
      </c>
      <c r="AM87" s="139">
        <v>105</v>
      </c>
      <c r="AN87" s="139">
        <v>90</v>
      </c>
      <c r="AO87" s="139">
        <f>('LCFS Table'!$AM87/300)*100</f>
        <v>35</v>
      </c>
      <c r="AP87" s="139">
        <f>('LCFS Table'!$AN87/300)*100</f>
        <v>30</v>
      </c>
      <c r="AQ87" s="140">
        <v>190.7</v>
      </c>
      <c r="AR87" s="140">
        <v>0.61599999999999999</v>
      </c>
      <c r="AS87" s="185">
        <v>1.6474458504561877</v>
      </c>
      <c r="AT87" s="137">
        <v>0.16</v>
      </c>
      <c r="AU87" s="137">
        <v>1</v>
      </c>
      <c r="AV87" s="185">
        <f>'LCFS Table'!$AR87*1.7</f>
        <v>1.0471999999999999</v>
      </c>
      <c r="AW87" s="137">
        <v>0</v>
      </c>
      <c r="AX87" s="185">
        <v>1.1254995813674997</v>
      </c>
      <c r="AY87" s="137">
        <v>0</v>
      </c>
      <c r="AZ87" s="141">
        <v>1</v>
      </c>
      <c r="BA87" s="185">
        <f>'LCFS Table'!$AR87*1.5</f>
        <v>0.92399999999999993</v>
      </c>
      <c r="BB87" s="136">
        <v>1.2</v>
      </c>
      <c r="BC87" s="185">
        <f>'LCFS Table'!$AS87*'LCFS Table'!$BW87</f>
        <v>1.6474458504561877</v>
      </c>
      <c r="BD87" s="185">
        <f>'LCFS Table'!$AT87*'LCFS Table'!$BX87</f>
        <v>0</v>
      </c>
      <c r="BE87" s="185">
        <f>'LCFS Table'!$AU87*'LCFS Table'!$BY87</f>
        <v>1</v>
      </c>
      <c r="BF87" s="137">
        <f>'LCFS Table'!$AV87*'LCFS Table'!$BZ87</f>
        <v>1.0471999999999999</v>
      </c>
      <c r="BG87" s="137">
        <f>'LCFS Table'!$AW87*'LCFS Table'!$CA87</f>
        <v>0</v>
      </c>
      <c r="BH87" s="137">
        <f>'LCFS Table'!$AX87*'LCFS Table'!$CB87</f>
        <v>1.1254995813674997</v>
      </c>
      <c r="BI87" s="137">
        <f>'LCFS Table'!$AY87*'LCFS Table'!$CC87</f>
        <v>0</v>
      </c>
      <c r="BJ87" s="137">
        <f>'LCFS Table'!$AZ87*'LCFS Table'!$CD87</f>
        <v>1</v>
      </c>
      <c r="BK87" s="137">
        <f>'LCFS Table'!$BA87*'LCFS Table'!$CE87</f>
        <v>0.92399999999999993</v>
      </c>
      <c r="BL87" s="137">
        <f>'LCFS Table'!$BB87*'LCFS Table'!$CF87</f>
        <v>-1.2</v>
      </c>
      <c r="BM87" s="137">
        <f>'LCFS Table'!$AS87*'LCFS Table'!$CG87</f>
        <v>0</v>
      </c>
      <c r="BN87" s="137">
        <f>'LCFS Table'!$AT87*'LCFS Table'!$CH87</f>
        <v>0.16</v>
      </c>
      <c r="BO87" s="137">
        <f>'LCFS Table'!$AU87*'LCFS Table'!$CI87</f>
        <v>0</v>
      </c>
      <c r="BP87" s="137">
        <f>'LCFS Table'!$AV87*'LCFS Table'!$CJ87</f>
        <v>0</v>
      </c>
      <c r="BQ87" s="137">
        <f>'LCFS Table'!$AW87*'LCFS Table'!$CK87</f>
        <v>0</v>
      </c>
      <c r="BR87" s="137">
        <f>'LCFS Table'!$AX87*'LCFS Table'!$CL87</f>
        <v>0</v>
      </c>
      <c r="BS87" s="137">
        <f>'LCFS Table'!$AY87*'LCFS Table'!$CM87</f>
        <v>0</v>
      </c>
      <c r="BT87" s="137">
        <f>'LCFS Table'!$AZ87*'LCFS Table'!$CN87</f>
        <v>0</v>
      </c>
      <c r="BU87" s="137">
        <f>'LCFS Table'!$BA87*'LCFS Table'!$CO87</f>
        <v>0</v>
      </c>
      <c r="BV87" s="136">
        <f>'LCFS Table'!$BB87*'LCFS Table'!$CP87</f>
        <v>1.2</v>
      </c>
      <c r="BW87" s="138">
        <v>1</v>
      </c>
      <c r="BX87" s="138">
        <v>0</v>
      </c>
      <c r="BY87" s="138">
        <v>1</v>
      </c>
      <c r="BZ87" s="138">
        <v>1</v>
      </c>
      <c r="CA87" s="138">
        <v>-1</v>
      </c>
      <c r="CB87" s="138">
        <v>1</v>
      </c>
      <c r="CC87" s="138">
        <v>0</v>
      </c>
      <c r="CD87" s="138">
        <v>1</v>
      </c>
      <c r="CE87" s="138">
        <v>1</v>
      </c>
      <c r="CF87" s="138">
        <v>-1</v>
      </c>
      <c r="CG87" s="138">
        <f>1-'LCFS Table'!$BW87</f>
        <v>0</v>
      </c>
      <c r="CH87" s="138">
        <f>1-'LCFS Table'!$BX87</f>
        <v>1</v>
      </c>
      <c r="CI87" s="138">
        <f>1-'LCFS Table'!$BY87</f>
        <v>0</v>
      </c>
      <c r="CJ87" s="138">
        <f>1-'LCFS Table'!$BZ87</f>
        <v>0</v>
      </c>
      <c r="CK87" s="138">
        <f>-'LCFS Table'!$CA87</f>
        <v>1</v>
      </c>
      <c r="CL87" s="138">
        <f>1-'LCFS Table'!$CB87</f>
        <v>0</v>
      </c>
      <c r="CM87" s="138">
        <f>1-'LCFS Table'!$CC87</f>
        <v>1</v>
      </c>
      <c r="CN87" s="138">
        <f>1-'LCFS Table'!$CD87</f>
        <v>0</v>
      </c>
      <c r="CO87" s="138">
        <f>1-'LCFS Table'!$CE87</f>
        <v>0</v>
      </c>
      <c r="CP87" s="138">
        <f>-'LCFS Table'!$CF87</f>
        <v>1</v>
      </c>
      <c r="CQ87" s="140">
        <v>4.5</v>
      </c>
      <c r="CR87" s="165">
        <f>('LCFS Table'!$CQ87*0.9/(0.8/0.99)/100)</f>
        <v>5.011874999999999E-2</v>
      </c>
      <c r="CS87" s="166"/>
      <c r="CT87" s="167"/>
      <c r="CW87" s="168">
        <f>'LCFS Table'!$K87-'LCFS Table'!$M87</f>
        <v>0.69759958136749978</v>
      </c>
      <c r="CX87" s="129">
        <f>MONTH('LCFS Table'!$B87)</f>
        <v>8</v>
      </c>
      <c r="CY87" s="129">
        <f>YEAR('LCFS Table'!$B87)</f>
        <v>2020</v>
      </c>
    </row>
    <row r="88" spans="1:103">
      <c r="A88" s="148">
        <v>44059</v>
      </c>
      <c r="B88" s="149">
        <v>44065</v>
      </c>
      <c r="C88" s="132">
        <f t="shared" si="1"/>
        <v>2020</v>
      </c>
      <c r="D88" s="182" t="s">
        <v>290</v>
      </c>
      <c r="E88" s="187">
        <f>'LCFS Table'!$K88-'LCFS Table'!$I88</f>
        <v>-1.7048687734668342</v>
      </c>
      <c r="F88" s="187">
        <f>('LCFS Table'!$M88)-'LCFS Table'!$J88</f>
        <v>-2.82797807152</v>
      </c>
      <c r="G88" s="188">
        <f>'LCFS Table'!$E88+'LCFS Table'!$AS88+'LCFS Table'!$AT88+'LCFS Table'!$AU88+'LCFS Table'!$AV88</f>
        <v>2.2108520310249569</v>
      </c>
      <c r="H88" s="188">
        <f>'LCFS Table'!$F88+'LCFS Table'!$AX88+'LCFS Table'!$AY88+'LCFS Table'!$AZ88+'LCFS Table'!$BA88+('LCFS Table'!$CQ88*0.9/(0.8/0.99)/100)+(DG88*'LCFS Table'!$AF88)+(DF88*'LCFS Table'!$AG88)</f>
        <v>0.32540789062500014</v>
      </c>
      <c r="I88" s="187">
        <f>('LCFS Table'!$V88+'LCFS Table'!$W88+'LCFS Table'!$X88)/100+(('LCFS Table'!$AI88+'LCFS Table'!$AJ88)/340)</f>
        <v>2.9557687734668341</v>
      </c>
      <c r="J88" s="187">
        <f>(('LCFS Table'!$Y88+'LCFS Table'!$Z88)/100)+(('LCFS Table'!$AM88+'LCFS Table'!$AN88)/300)</f>
        <v>3.3650402343749999</v>
      </c>
      <c r="K88" s="140">
        <f>'[1]Fuel Values'!$C87</f>
        <v>1.2508999999999999</v>
      </c>
      <c r="L88" s="140">
        <f>'[1]Fuel Values'!$B87</f>
        <v>364.2</v>
      </c>
      <c r="M88" s="185">
        <f>('LCFS Table'!$L88/100)-'LCFS Table'!$AX88-'LCFS Table'!$AY88-'LCFS Table'!$AZ88-'LCFS Table'!$BA88</f>
        <v>0.53706216285499975</v>
      </c>
      <c r="N88" s="140">
        <f>[1]BFT!$B87</f>
        <v>31</v>
      </c>
      <c r="O88" s="140">
        <f>[1]UCO!$B87</f>
        <v>29.5</v>
      </c>
      <c r="P88" s="140">
        <f>[1]DCO!$B87</f>
        <v>24.9</v>
      </c>
      <c r="Q88" s="140">
        <f>'[1]Soybean Oil'!$B87</f>
        <v>35.073999999999998</v>
      </c>
      <c r="R88" s="140">
        <f>'[1]Yellow Grease'!$B87</f>
        <v>23.5</v>
      </c>
      <c r="S88" s="185">
        <f>'LCFS Table'!$N88 + 'LCFS Table'!$AH88</f>
        <v>35.375</v>
      </c>
      <c r="T88" s="185">
        <f>'LCFS Table'!$Q88+'LCFS Table'!$AH88</f>
        <v>39.448999999999998</v>
      </c>
      <c r="U88" s="185">
        <f>'LCFS Table'!$P88+'LCFS Table'!$AH88</f>
        <v>29.274999999999999</v>
      </c>
      <c r="V88" s="185">
        <f>(('LCFS Table'!$S88/'LCFS Table'!$AA88)*'LCFS Table'!$AC88)*6.48</f>
        <v>121.93085106382981</v>
      </c>
      <c r="W88" s="185">
        <f>(('LCFS Table'!$O88/'LCFS Table'!$AA88)*'LCFS Table'!$AD88)*6.48</f>
        <v>50.840425531914903</v>
      </c>
      <c r="X88" s="185">
        <f>(('LCFS Table'!$U88/'LCFS Table'!$AA88)*'LCFS Table'!$AE88)*6.48</f>
        <v>50.452659574468093</v>
      </c>
      <c r="Y88" s="185">
        <f>(('LCFS Table'!$T88/'LCFS Table'!$AB88)*'LCFS Table'!$AF88)*7.35</f>
        <v>226.5235546875</v>
      </c>
      <c r="Z88" s="185">
        <f>(('LCFS Table'!$R88/'LCFS Table'!$AB88)*'LCFS Table'!$AG88)*7.35</f>
        <v>44.98046875</v>
      </c>
      <c r="AA88" s="138">
        <v>0.94</v>
      </c>
      <c r="AB88" s="138">
        <v>0.96</v>
      </c>
      <c r="AC88" s="138">
        <v>0.5</v>
      </c>
      <c r="AD88" s="138">
        <v>0.25</v>
      </c>
      <c r="AE88" s="138">
        <v>0.25</v>
      </c>
      <c r="AF88" s="138">
        <v>0.75</v>
      </c>
      <c r="AG88" s="138">
        <v>0.25</v>
      </c>
      <c r="AH88" s="139">
        <v>4.375</v>
      </c>
      <c r="AI88" s="139">
        <v>136</v>
      </c>
      <c r="AJ88" s="139">
        <v>110</v>
      </c>
      <c r="AK88" s="186">
        <f>('LCFS Table'!$AI88/340)*100</f>
        <v>40</v>
      </c>
      <c r="AL88" s="186">
        <f>('LCFS Table'!$AJ88/340)*100</f>
        <v>32.352941176470587</v>
      </c>
      <c r="AM88" s="139">
        <v>105</v>
      </c>
      <c r="AN88" s="139">
        <v>90</v>
      </c>
      <c r="AO88" s="139">
        <f>('LCFS Table'!$AM88/300)*100</f>
        <v>35</v>
      </c>
      <c r="AP88" s="139">
        <f>('LCFS Table'!$AN88/300)*100</f>
        <v>30</v>
      </c>
      <c r="AQ88" s="140">
        <v>189.8</v>
      </c>
      <c r="AR88" s="140">
        <v>0.65650000000000008</v>
      </c>
      <c r="AS88" s="185">
        <v>1.6396708044917907</v>
      </c>
      <c r="AT88" s="137">
        <v>0.16</v>
      </c>
      <c r="AU88" s="137">
        <v>1</v>
      </c>
      <c r="AV88" s="185">
        <f>'LCFS Table'!$AR88*1.7</f>
        <v>1.1160500000000002</v>
      </c>
      <c r="AW88" s="137">
        <v>0</v>
      </c>
      <c r="AX88" s="185">
        <v>1.120187837145</v>
      </c>
      <c r="AY88" s="137">
        <v>0</v>
      </c>
      <c r="AZ88" s="141">
        <v>1</v>
      </c>
      <c r="BA88" s="185">
        <f>'LCFS Table'!$AR88*1.5</f>
        <v>0.98475000000000013</v>
      </c>
      <c r="BB88" s="136">
        <v>1.2</v>
      </c>
      <c r="BC88" s="185">
        <f>'LCFS Table'!$AS88*'LCFS Table'!$BW88</f>
        <v>1.6396708044917907</v>
      </c>
      <c r="BD88" s="185">
        <f>'LCFS Table'!$AT88*'LCFS Table'!$BX88</f>
        <v>0</v>
      </c>
      <c r="BE88" s="185">
        <f>'LCFS Table'!$AU88*'LCFS Table'!$BY88</f>
        <v>1</v>
      </c>
      <c r="BF88" s="137">
        <f>'LCFS Table'!$AV88*'LCFS Table'!$BZ88</f>
        <v>1.1160500000000002</v>
      </c>
      <c r="BG88" s="137">
        <f>'LCFS Table'!$AW88*'LCFS Table'!$CA88</f>
        <v>0</v>
      </c>
      <c r="BH88" s="137">
        <f>'LCFS Table'!$AX88*'LCFS Table'!$CB88</f>
        <v>1.120187837145</v>
      </c>
      <c r="BI88" s="137">
        <f>'LCFS Table'!$AY88*'LCFS Table'!$CC88</f>
        <v>0</v>
      </c>
      <c r="BJ88" s="137">
        <f>'LCFS Table'!$AZ88*'LCFS Table'!$CD88</f>
        <v>1</v>
      </c>
      <c r="BK88" s="137">
        <f>'LCFS Table'!$BA88*'LCFS Table'!$CE88</f>
        <v>0.98475000000000013</v>
      </c>
      <c r="BL88" s="137">
        <f>'LCFS Table'!$BB88*'LCFS Table'!$CF88</f>
        <v>-1.2</v>
      </c>
      <c r="BM88" s="137">
        <f>'LCFS Table'!$AS88*'LCFS Table'!$CG88</f>
        <v>0</v>
      </c>
      <c r="BN88" s="137">
        <f>'LCFS Table'!$AT88*'LCFS Table'!$CH88</f>
        <v>0.16</v>
      </c>
      <c r="BO88" s="137">
        <f>'LCFS Table'!$AU88*'LCFS Table'!$CI88</f>
        <v>0</v>
      </c>
      <c r="BP88" s="137">
        <f>'LCFS Table'!$AV88*'LCFS Table'!$CJ88</f>
        <v>0</v>
      </c>
      <c r="BQ88" s="137">
        <f>'LCFS Table'!$AW88*'LCFS Table'!$CK88</f>
        <v>0</v>
      </c>
      <c r="BR88" s="137">
        <f>'LCFS Table'!$AX88*'LCFS Table'!$CL88</f>
        <v>0</v>
      </c>
      <c r="BS88" s="137">
        <f>'LCFS Table'!$AY88*'LCFS Table'!$CM88</f>
        <v>0</v>
      </c>
      <c r="BT88" s="137">
        <f>'LCFS Table'!$AZ88*'LCFS Table'!$CN88</f>
        <v>0</v>
      </c>
      <c r="BU88" s="137">
        <f>'LCFS Table'!$BA88*'LCFS Table'!$CO88</f>
        <v>0</v>
      </c>
      <c r="BV88" s="136">
        <f>'LCFS Table'!$BB88*'LCFS Table'!$CP88</f>
        <v>1.2</v>
      </c>
      <c r="BW88" s="138">
        <v>1</v>
      </c>
      <c r="BX88" s="138">
        <v>0</v>
      </c>
      <c r="BY88" s="138">
        <v>1</v>
      </c>
      <c r="BZ88" s="138">
        <v>1</v>
      </c>
      <c r="CA88" s="138">
        <v>-1</v>
      </c>
      <c r="CB88" s="138">
        <v>1</v>
      </c>
      <c r="CC88" s="138">
        <v>0</v>
      </c>
      <c r="CD88" s="138">
        <v>1</v>
      </c>
      <c r="CE88" s="138">
        <v>1</v>
      </c>
      <c r="CF88" s="138">
        <v>-1</v>
      </c>
      <c r="CG88" s="138">
        <f>1-'LCFS Table'!$BW88</f>
        <v>0</v>
      </c>
      <c r="CH88" s="138">
        <f>1-'LCFS Table'!$BX88</f>
        <v>1</v>
      </c>
      <c r="CI88" s="138">
        <f>1-'LCFS Table'!$BY88</f>
        <v>0</v>
      </c>
      <c r="CJ88" s="138">
        <f>1-'LCFS Table'!$BZ88</f>
        <v>0</v>
      </c>
      <c r="CK88" s="138">
        <f>-'LCFS Table'!$CA88</f>
        <v>1</v>
      </c>
      <c r="CL88" s="138">
        <f>1-'LCFS Table'!$CB88</f>
        <v>0</v>
      </c>
      <c r="CM88" s="138">
        <f>1-'LCFS Table'!$CC88</f>
        <v>1</v>
      </c>
      <c r="CN88" s="138">
        <f>1-'LCFS Table'!$CD88</f>
        <v>0</v>
      </c>
      <c r="CO88" s="138">
        <f>1-'LCFS Table'!$CE88</f>
        <v>0</v>
      </c>
      <c r="CP88" s="138">
        <f>-'LCFS Table'!$CF88</f>
        <v>1</v>
      </c>
      <c r="CQ88" s="140">
        <v>4.3499999999999996</v>
      </c>
      <c r="CR88" s="165">
        <f>('LCFS Table'!$CQ88*0.9/(0.8/0.99)/100)</f>
        <v>4.8448124999999988E-2</v>
      </c>
      <c r="CS88" s="166"/>
      <c r="CT88" s="167"/>
      <c r="CW88" s="168">
        <f>'LCFS Table'!$K88-'LCFS Table'!$M88</f>
        <v>0.71383783714500015</v>
      </c>
      <c r="CX88" s="129">
        <f>MONTH('LCFS Table'!$B88)</f>
        <v>8</v>
      </c>
      <c r="CY88" s="129">
        <f>YEAR('LCFS Table'!$B88)</f>
        <v>2020</v>
      </c>
    </row>
    <row r="89" spans="1:103">
      <c r="A89" s="148">
        <v>44066</v>
      </c>
      <c r="B89" s="149">
        <v>44072</v>
      </c>
      <c r="C89" s="132">
        <f t="shared" si="1"/>
        <v>2020</v>
      </c>
      <c r="D89" s="182" t="s">
        <v>291</v>
      </c>
      <c r="E89" s="187">
        <f>'LCFS Table'!$K89-'LCFS Table'!$I89</f>
        <v>-1.7262411138923659</v>
      </c>
      <c r="F89" s="187">
        <f>('LCFS Table'!$M89)-'LCFS Table'!$J89</f>
        <v>-2.9444637306574997</v>
      </c>
      <c r="G89" s="188">
        <f>'LCFS Table'!$E89+'LCFS Table'!$AS89+'LCFS Table'!$AT89+'LCFS Table'!$AU89+'LCFS Table'!$AV89</f>
        <v>2.2820438603818527</v>
      </c>
      <c r="H89" s="188">
        <f>'LCFS Table'!$F89+'LCFS Table'!$AX89+'LCFS Table'!$AY89+'LCFS Table'!$AZ89+'LCFS Table'!$BA89+('LCFS Table'!$CQ89*0.9/(0.8/0.99)/100)+(DG89*'LCFS Table'!$AF89)+(DF89*'LCFS Table'!$AG89)</f>
        <v>0.27166601562500015</v>
      </c>
      <c r="I89" s="187">
        <f>('LCFS Table'!$V89+'LCFS Table'!$W89+'LCFS Table'!$X89)/100+(('LCFS Table'!$AI89+'LCFS Table'!$AJ89)/340)</f>
        <v>2.9721411138923659</v>
      </c>
      <c r="J89" s="187">
        <f>(('LCFS Table'!$Y89+'LCFS Table'!$Z89)/100)+(('LCFS Table'!$AM89+'LCFS Table'!$AN89)/300)</f>
        <v>3.4373152343750002</v>
      </c>
      <c r="K89" s="140">
        <f>'[1]Fuel Values'!$C88</f>
        <v>1.2459</v>
      </c>
      <c r="L89" s="140">
        <f>'[1]Fuel Values'!$B88</f>
        <v>367</v>
      </c>
      <c r="M89" s="185">
        <f>('LCFS Table'!$L89/100)-'LCFS Table'!$AX89-'LCFS Table'!$AY89-'LCFS Table'!$AZ89-'LCFS Table'!$BA89</f>
        <v>0.49285150371750031</v>
      </c>
      <c r="N89" s="140">
        <f>[1]BFT!$B88</f>
        <v>31</v>
      </c>
      <c r="O89" s="140">
        <f>[1]UCO!$B88</f>
        <v>29.5</v>
      </c>
      <c r="P89" s="140">
        <f>[1]DCO!$B88</f>
        <v>25.85</v>
      </c>
      <c r="Q89" s="140">
        <f>'[1]Soybean Oil'!$B88</f>
        <v>36.265999999999998</v>
      </c>
      <c r="R89" s="140">
        <f>'[1]Yellow Grease'!$B88</f>
        <v>23.7</v>
      </c>
      <c r="S89" s="185">
        <f>'LCFS Table'!$N89 + 'LCFS Table'!$AH89</f>
        <v>35.375</v>
      </c>
      <c r="T89" s="185">
        <f>'LCFS Table'!$Q89+'LCFS Table'!$AH89</f>
        <v>40.640999999999998</v>
      </c>
      <c r="U89" s="185">
        <f>'LCFS Table'!$P89+'LCFS Table'!$AH89</f>
        <v>30.225000000000001</v>
      </c>
      <c r="V89" s="185">
        <f>(('LCFS Table'!$S89/'LCFS Table'!$AA89)*'LCFS Table'!$AC89)*6.48</f>
        <v>121.93085106382981</v>
      </c>
      <c r="W89" s="185">
        <f>(('LCFS Table'!$O89/'LCFS Table'!$AA89)*'LCFS Table'!$AD89)*6.48</f>
        <v>50.840425531914903</v>
      </c>
      <c r="X89" s="185">
        <f>(('LCFS Table'!$U89/'LCFS Table'!$AA89)*'LCFS Table'!$AE89)*6.48</f>
        <v>52.089893617021282</v>
      </c>
      <c r="Y89" s="185">
        <f>(('LCFS Table'!$T89/'LCFS Table'!$AB89)*'LCFS Table'!$AF89)*7.35</f>
        <v>233.36824218750002</v>
      </c>
      <c r="Z89" s="185">
        <f>(('LCFS Table'!$R89/'LCFS Table'!$AB89)*'LCFS Table'!$AG89)*7.35</f>
        <v>45.36328125</v>
      </c>
      <c r="AA89" s="138">
        <v>0.94</v>
      </c>
      <c r="AB89" s="138">
        <v>0.96</v>
      </c>
      <c r="AC89" s="138">
        <v>0.5</v>
      </c>
      <c r="AD89" s="138">
        <v>0.25</v>
      </c>
      <c r="AE89" s="138">
        <v>0.25</v>
      </c>
      <c r="AF89" s="138">
        <v>0.75</v>
      </c>
      <c r="AG89" s="138">
        <v>0.25</v>
      </c>
      <c r="AH89" s="139">
        <v>4.375</v>
      </c>
      <c r="AI89" s="139">
        <v>136</v>
      </c>
      <c r="AJ89" s="139">
        <v>110</v>
      </c>
      <c r="AK89" s="186">
        <f>('LCFS Table'!$AI89/340)*100</f>
        <v>40</v>
      </c>
      <c r="AL89" s="186">
        <f>('LCFS Table'!$AJ89/340)*100</f>
        <v>32.352941176470587</v>
      </c>
      <c r="AM89" s="139">
        <v>105</v>
      </c>
      <c r="AN89" s="139">
        <v>90</v>
      </c>
      <c r="AO89" s="139">
        <f>('LCFS Table'!$AM89/300)*100</f>
        <v>35</v>
      </c>
      <c r="AP89" s="139">
        <f>('LCFS Table'!$AN89/300)*100</f>
        <v>30</v>
      </c>
      <c r="AQ89" s="140">
        <v>195.3</v>
      </c>
      <c r="AR89" s="140">
        <v>0.68299999999999994</v>
      </c>
      <c r="AS89" s="185">
        <v>1.6871849742742187</v>
      </c>
      <c r="AT89" s="137">
        <v>0.16</v>
      </c>
      <c r="AU89" s="137">
        <v>1</v>
      </c>
      <c r="AV89" s="185">
        <f>'LCFS Table'!$AR89*1.7</f>
        <v>1.1610999999999998</v>
      </c>
      <c r="AW89" s="137">
        <v>0</v>
      </c>
      <c r="AX89" s="185">
        <v>1.1526484962824999</v>
      </c>
      <c r="AY89" s="137">
        <v>0</v>
      </c>
      <c r="AZ89" s="141">
        <v>1</v>
      </c>
      <c r="BA89" s="185">
        <f>'LCFS Table'!$AR89*1.5</f>
        <v>1.0245</v>
      </c>
      <c r="BB89" s="136">
        <v>1.2</v>
      </c>
      <c r="BC89" s="185">
        <f>'LCFS Table'!$AS89*'LCFS Table'!$BW89</f>
        <v>1.6871849742742187</v>
      </c>
      <c r="BD89" s="185">
        <f>'LCFS Table'!$AT89*'LCFS Table'!$BX89</f>
        <v>0</v>
      </c>
      <c r="BE89" s="185">
        <f>'LCFS Table'!$AU89*'LCFS Table'!$BY89</f>
        <v>1</v>
      </c>
      <c r="BF89" s="137">
        <f>'LCFS Table'!$AV89*'LCFS Table'!$BZ89</f>
        <v>1.1610999999999998</v>
      </c>
      <c r="BG89" s="137">
        <f>'LCFS Table'!$AW89*'LCFS Table'!$CA89</f>
        <v>0</v>
      </c>
      <c r="BH89" s="137">
        <f>'LCFS Table'!$AX89*'LCFS Table'!$CB89</f>
        <v>1.1526484962824999</v>
      </c>
      <c r="BI89" s="137">
        <f>'LCFS Table'!$AY89*'LCFS Table'!$CC89</f>
        <v>0</v>
      </c>
      <c r="BJ89" s="137">
        <f>'LCFS Table'!$AZ89*'LCFS Table'!$CD89</f>
        <v>1</v>
      </c>
      <c r="BK89" s="137">
        <f>'LCFS Table'!$BA89*'LCFS Table'!$CE89</f>
        <v>1.0245</v>
      </c>
      <c r="BL89" s="137">
        <f>'LCFS Table'!$BB89*'LCFS Table'!$CF89</f>
        <v>-1.2</v>
      </c>
      <c r="BM89" s="137">
        <f>'LCFS Table'!$AS89*'LCFS Table'!$CG89</f>
        <v>0</v>
      </c>
      <c r="BN89" s="137">
        <f>'LCFS Table'!$AT89*'LCFS Table'!$CH89</f>
        <v>0.16</v>
      </c>
      <c r="BO89" s="137">
        <f>'LCFS Table'!$AU89*'LCFS Table'!$CI89</f>
        <v>0</v>
      </c>
      <c r="BP89" s="137">
        <f>'LCFS Table'!$AV89*'LCFS Table'!$CJ89</f>
        <v>0</v>
      </c>
      <c r="BQ89" s="137">
        <f>'LCFS Table'!$AW89*'LCFS Table'!$CK89</f>
        <v>0</v>
      </c>
      <c r="BR89" s="137">
        <f>'LCFS Table'!$AX89*'LCFS Table'!$CL89</f>
        <v>0</v>
      </c>
      <c r="BS89" s="137">
        <f>'LCFS Table'!$AY89*'LCFS Table'!$CM89</f>
        <v>0</v>
      </c>
      <c r="BT89" s="137">
        <f>'LCFS Table'!$AZ89*'LCFS Table'!$CN89</f>
        <v>0</v>
      </c>
      <c r="BU89" s="137">
        <f>'LCFS Table'!$BA89*'LCFS Table'!$CO89</f>
        <v>0</v>
      </c>
      <c r="BV89" s="136">
        <f>'LCFS Table'!$BB89*'LCFS Table'!$CP89</f>
        <v>1.2</v>
      </c>
      <c r="BW89" s="138">
        <v>1</v>
      </c>
      <c r="BX89" s="138">
        <v>0</v>
      </c>
      <c r="BY89" s="138">
        <v>1</v>
      </c>
      <c r="BZ89" s="138">
        <v>1</v>
      </c>
      <c r="CA89" s="138">
        <v>-1</v>
      </c>
      <c r="CB89" s="138">
        <v>1</v>
      </c>
      <c r="CC89" s="138">
        <v>0</v>
      </c>
      <c r="CD89" s="138">
        <v>1</v>
      </c>
      <c r="CE89" s="138">
        <v>1</v>
      </c>
      <c r="CF89" s="138">
        <v>-1</v>
      </c>
      <c r="CG89" s="138">
        <f>1-'LCFS Table'!$BW89</f>
        <v>0</v>
      </c>
      <c r="CH89" s="138">
        <f>1-'LCFS Table'!$BX89</f>
        <v>1</v>
      </c>
      <c r="CI89" s="138">
        <f>1-'LCFS Table'!$BY89</f>
        <v>0</v>
      </c>
      <c r="CJ89" s="138">
        <f>1-'LCFS Table'!$BZ89</f>
        <v>0</v>
      </c>
      <c r="CK89" s="138">
        <f>-'LCFS Table'!$CA89</f>
        <v>1</v>
      </c>
      <c r="CL89" s="138">
        <f>1-'LCFS Table'!$CB89</f>
        <v>0</v>
      </c>
      <c r="CM89" s="138">
        <f>1-'LCFS Table'!$CC89</f>
        <v>1</v>
      </c>
      <c r="CN89" s="138">
        <f>1-'LCFS Table'!$CD89</f>
        <v>0</v>
      </c>
      <c r="CO89" s="138">
        <f>1-'LCFS Table'!$CE89</f>
        <v>0</v>
      </c>
      <c r="CP89" s="138">
        <f>-'LCFS Table'!$CF89</f>
        <v>1</v>
      </c>
      <c r="CQ89" s="140">
        <v>3.5</v>
      </c>
      <c r="CR89" s="165">
        <f>('LCFS Table'!$CQ89*0.9/(0.8/0.99)/100)</f>
        <v>3.8981249999999995E-2</v>
      </c>
      <c r="CS89" s="166"/>
      <c r="CT89" s="167"/>
      <c r="CW89" s="168">
        <f>'LCFS Table'!$K89-'LCFS Table'!$M89</f>
        <v>0.7530484962824997</v>
      </c>
      <c r="CX89" s="129">
        <f>MONTH('LCFS Table'!$B89)</f>
        <v>8</v>
      </c>
      <c r="CY89" s="129">
        <f>YEAR('LCFS Table'!$B89)</f>
        <v>2020</v>
      </c>
    </row>
    <row r="90" spans="1:103">
      <c r="A90" s="148">
        <v>44073</v>
      </c>
      <c r="B90" s="149">
        <v>44079</v>
      </c>
      <c r="C90" s="132">
        <f t="shared" si="1"/>
        <v>2020</v>
      </c>
      <c r="D90" s="150" t="s">
        <v>292</v>
      </c>
      <c r="E90" s="187">
        <f>'LCFS Table'!$K90-'LCFS Table'!$I90</f>
        <v>-1.7924751564455572</v>
      </c>
      <c r="F90" s="187">
        <f>('LCFS Table'!$M90)-'LCFS Table'!$J90</f>
        <v>-2.9743612332171869</v>
      </c>
      <c r="G90" s="188">
        <f>'LCFS Table'!$E90+'LCFS Table'!$AS90+'LCFS Table'!$AT90+'LCFS Table'!$AU90+'LCFS Table'!$AV90</f>
        <v>2.3122242269446569</v>
      </c>
      <c r="H90" s="188">
        <f>'LCFS Table'!$F90+'LCFS Table'!$AX90+'LCFS Table'!$AY90+'LCFS Table'!$AZ90+'LCFS Table'!$BA90+('LCFS Table'!$CQ90*0.9/(0.8/0.99)/100)+(DG90*'LCFS Table'!$AF90)+(DF90*'LCFS Table'!$AG90)</f>
        <v>0.31878382812500045</v>
      </c>
      <c r="I90" s="187">
        <f>('LCFS Table'!$V90+'LCFS Table'!$W90+'LCFS Table'!$X90)/100+(('LCFS Table'!$AI90+'LCFS Table'!$AJ90)/340)</f>
        <v>2.9893751564455573</v>
      </c>
      <c r="J90" s="187">
        <f>(('LCFS Table'!$Y90+'LCFS Table'!$Z90)/100)+(('LCFS Table'!$AM90+'LCFS Table'!$AN90)/300)</f>
        <v>3.4779699218749998</v>
      </c>
      <c r="K90" s="140">
        <f>'[1]Fuel Values'!$C89</f>
        <v>1.1969000000000001</v>
      </c>
      <c r="L90" s="140">
        <f>'[1]Fuel Values'!$B89</f>
        <v>376</v>
      </c>
      <c r="M90" s="185">
        <f>('LCFS Table'!$L90/100)-'LCFS Table'!$AX90-'LCFS Table'!$AY90-'LCFS Table'!$AZ90-'LCFS Table'!$BA90</f>
        <v>0.50360868865781261</v>
      </c>
      <c r="N90" s="140">
        <f>[1]BFT!$B89</f>
        <v>31</v>
      </c>
      <c r="O90" s="140">
        <f>[1]UCO!$B89</f>
        <v>29.5</v>
      </c>
      <c r="P90" s="140">
        <f>[1]DCO!$B89</f>
        <v>26.85</v>
      </c>
      <c r="Q90" s="140">
        <f>'[1]Soybean Oil'!$B89</f>
        <v>36.874000000000002</v>
      </c>
      <c r="R90" s="140">
        <f>'[1]Yellow Grease'!$B89</f>
        <v>24</v>
      </c>
      <c r="S90" s="185">
        <f>'LCFS Table'!$N90 + 'LCFS Table'!$AH90</f>
        <v>35.375</v>
      </c>
      <c r="T90" s="185">
        <f>'LCFS Table'!$Q90+'LCFS Table'!$AH90</f>
        <v>41.249000000000002</v>
      </c>
      <c r="U90" s="185">
        <f>'LCFS Table'!$P90+'LCFS Table'!$AH90</f>
        <v>31.225000000000001</v>
      </c>
      <c r="V90" s="185">
        <f>(('LCFS Table'!$S90/'LCFS Table'!$AA90)*'LCFS Table'!$AC90)*6.48</f>
        <v>121.93085106382981</v>
      </c>
      <c r="W90" s="185">
        <f>(('LCFS Table'!$O90/'LCFS Table'!$AA90)*'LCFS Table'!$AD90)*6.48</f>
        <v>50.840425531914903</v>
      </c>
      <c r="X90" s="185">
        <f>(('LCFS Table'!$U90/'LCFS Table'!$AA90)*'LCFS Table'!$AE90)*6.48</f>
        <v>53.813297872340428</v>
      </c>
      <c r="Y90" s="185">
        <f>(('LCFS Table'!$T90/'LCFS Table'!$AB90)*'LCFS Table'!$AF90)*7.35</f>
        <v>236.85949218749997</v>
      </c>
      <c r="Z90" s="185">
        <f>(('LCFS Table'!$R90/'LCFS Table'!$AB90)*'LCFS Table'!$AG90)*7.35</f>
        <v>45.9375</v>
      </c>
      <c r="AA90" s="138">
        <v>0.94</v>
      </c>
      <c r="AB90" s="138">
        <v>0.96</v>
      </c>
      <c r="AC90" s="138">
        <v>0.5</v>
      </c>
      <c r="AD90" s="138">
        <v>0.25</v>
      </c>
      <c r="AE90" s="138">
        <v>0.25</v>
      </c>
      <c r="AF90" s="138">
        <v>0.75</v>
      </c>
      <c r="AG90" s="138">
        <v>0.25</v>
      </c>
      <c r="AH90" s="139">
        <v>4.375</v>
      </c>
      <c r="AI90" s="139">
        <v>136</v>
      </c>
      <c r="AJ90" s="139">
        <v>110</v>
      </c>
      <c r="AK90" s="186">
        <f>('LCFS Table'!$AI90/340)*100</f>
        <v>40</v>
      </c>
      <c r="AL90" s="186">
        <f>('LCFS Table'!$AJ90/340)*100</f>
        <v>32.352941176470587</v>
      </c>
      <c r="AM90" s="139">
        <v>105</v>
      </c>
      <c r="AN90" s="139">
        <v>90</v>
      </c>
      <c r="AO90" s="139">
        <f>('LCFS Table'!$AM90/300)*100</f>
        <v>35</v>
      </c>
      <c r="AP90" s="139">
        <f>('LCFS Table'!$AN90/300)*100</f>
        <v>30</v>
      </c>
      <c r="AQ90" s="140">
        <v>198.6875</v>
      </c>
      <c r="AR90" s="140">
        <v>0.72250000000000003</v>
      </c>
      <c r="AS90" s="185">
        <v>1.7164493833902141</v>
      </c>
      <c r="AT90" s="137">
        <v>0.16</v>
      </c>
      <c r="AU90" s="137">
        <v>1</v>
      </c>
      <c r="AV90" s="185">
        <f>'LCFS Table'!$AR90*1.7</f>
        <v>1.2282500000000001</v>
      </c>
      <c r="AW90" s="137">
        <v>0</v>
      </c>
      <c r="AX90" s="185">
        <v>1.1726413113421874</v>
      </c>
      <c r="AY90" s="137">
        <v>0</v>
      </c>
      <c r="AZ90" s="141">
        <v>1</v>
      </c>
      <c r="BA90" s="185">
        <f>'LCFS Table'!$AR90*1.5</f>
        <v>1.08375</v>
      </c>
      <c r="BB90" s="136">
        <v>1.2</v>
      </c>
      <c r="BC90" s="185">
        <f>'LCFS Table'!$AS90*'LCFS Table'!$BW90</f>
        <v>1.7164493833902141</v>
      </c>
      <c r="BD90" s="185">
        <f>'LCFS Table'!$AT90*'LCFS Table'!$BX90</f>
        <v>0</v>
      </c>
      <c r="BE90" s="185">
        <f>'LCFS Table'!$AU90*'LCFS Table'!$BY90</f>
        <v>1</v>
      </c>
      <c r="BF90" s="137">
        <f>'LCFS Table'!$AV90*'LCFS Table'!$BZ90</f>
        <v>1.2282500000000001</v>
      </c>
      <c r="BG90" s="137">
        <f>'LCFS Table'!$AW90*'LCFS Table'!$CA90</f>
        <v>0</v>
      </c>
      <c r="BH90" s="137">
        <f>'LCFS Table'!$AX90*'LCFS Table'!$CB90</f>
        <v>1.1726413113421874</v>
      </c>
      <c r="BI90" s="137">
        <f>'LCFS Table'!$AY90*'LCFS Table'!$CC90</f>
        <v>0</v>
      </c>
      <c r="BJ90" s="137">
        <f>'LCFS Table'!$AZ90*'LCFS Table'!$CD90</f>
        <v>1</v>
      </c>
      <c r="BK90" s="137">
        <f>'LCFS Table'!$BA90*'LCFS Table'!$CE90</f>
        <v>1.08375</v>
      </c>
      <c r="BL90" s="137">
        <f>'LCFS Table'!$BB90*'LCFS Table'!$CF90</f>
        <v>-1.2</v>
      </c>
      <c r="BM90" s="137">
        <f>'LCFS Table'!$AS90*'LCFS Table'!$CG90</f>
        <v>0</v>
      </c>
      <c r="BN90" s="137">
        <f>'LCFS Table'!$AT90*'LCFS Table'!$CH90</f>
        <v>0.16</v>
      </c>
      <c r="BO90" s="137">
        <f>'LCFS Table'!$AU90*'LCFS Table'!$CI90</f>
        <v>0</v>
      </c>
      <c r="BP90" s="137">
        <f>'LCFS Table'!$AV90*'LCFS Table'!$CJ90</f>
        <v>0</v>
      </c>
      <c r="BQ90" s="137">
        <f>'LCFS Table'!$AW90*'LCFS Table'!$CK90</f>
        <v>0</v>
      </c>
      <c r="BR90" s="137">
        <f>'LCFS Table'!$AX90*'LCFS Table'!$CL90</f>
        <v>0</v>
      </c>
      <c r="BS90" s="137">
        <f>'LCFS Table'!$AY90*'LCFS Table'!$CM90</f>
        <v>0</v>
      </c>
      <c r="BT90" s="137">
        <f>'LCFS Table'!$AZ90*'LCFS Table'!$CN90</f>
        <v>0</v>
      </c>
      <c r="BU90" s="137">
        <f>'LCFS Table'!$BA90*'LCFS Table'!$CO90</f>
        <v>0</v>
      </c>
      <c r="BV90" s="136">
        <f>'LCFS Table'!$BB90*'LCFS Table'!$CP90</f>
        <v>1.2</v>
      </c>
      <c r="BW90" s="138">
        <v>1</v>
      </c>
      <c r="BX90" s="138">
        <v>0</v>
      </c>
      <c r="BY90" s="138">
        <v>1</v>
      </c>
      <c r="BZ90" s="138">
        <v>1</v>
      </c>
      <c r="CA90" s="138">
        <v>-1</v>
      </c>
      <c r="CB90" s="138">
        <v>1</v>
      </c>
      <c r="CC90" s="138">
        <v>0</v>
      </c>
      <c r="CD90" s="138">
        <v>1</v>
      </c>
      <c r="CE90" s="138">
        <v>1</v>
      </c>
      <c r="CF90" s="138">
        <v>-1</v>
      </c>
      <c r="CG90" s="138">
        <f>1-'LCFS Table'!$BW90</f>
        <v>0</v>
      </c>
      <c r="CH90" s="138">
        <f>1-'LCFS Table'!$BX90</f>
        <v>1</v>
      </c>
      <c r="CI90" s="138">
        <f>1-'LCFS Table'!$BY90</f>
        <v>0</v>
      </c>
      <c r="CJ90" s="138">
        <f>1-'LCFS Table'!$BZ90</f>
        <v>0</v>
      </c>
      <c r="CK90" s="138">
        <f>-'LCFS Table'!$CA90</f>
        <v>1</v>
      </c>
      <c r="CL90" s="138">
        <f>1-'LCFS Table'!$CB90</f>
        <v>0</v>
      </c>
      <c r="CM90" s="138">
        <f>1-'LCFS Table'!$CC90</f>
        <v>1</v>
      </c>
      <c r="CN90" s="138">
        <f>1-'LCFS Table'!$CD90</f>
        <v>0</v>
      </c>
      <c r="CO90" s="138">
        <f>1-'LCFS Table'!$CE90</f>
        <v>0</v>
      </c>
      <c r="CP90" s="138">
        <f>-'LCFS Table'!$CF90</f>
        <v>1</v>
      </c>
      <c r="CQ90" s="140">
        <v>3.3</v>
      </c>
      <c r="CR90" s="165">
        <f>('LCFS Table'!$CQ90*0.9/(0.8/0.99)/100)</f>
        <v>3.6753749999999995E-2</v>
      </c>
      <c r="CS90" s="166"/>
      <c r="CT90" s="167"/>
      <c r="CW90" s="168">
        <f>'LCFS Table'!$K90-'LCFS Table'!$M90</f>
        <v>0.69329131134218747</v>
      </c>
      <c r="CX90" s="129">
        <f>MONTH('LCFS Table'!$B90)</f>
        <v>9</v>
      </c>
      <c r="CY90" s="129">
        <f>YEAR('LCFS Table'!$B90)</f>
        <v>2020</v>
      </c>
    </row>
    <row r="91" spans="1:103">
      <c r="A91" s="148">
        <v>44080</v>
      </c>
      <c r="B91" s="149">
        <v>44086</v>
      </c>
      <c r="C91" s="132">
        <f t="shared" si="1"/>
        <v>2020</v>
      </c>
      <c r="D91" s="182" t="s">
        <v>293</v>
      </c>
      <c r="E91" s="187">
        <f>'LCFS Table'!$K91-'LCFS Table'!$I91</f>
        <v>-1.8975687734668338</v>
      </c>
      <c r="F91" s="187">
        <f>('LCFS Table'!$M91)-'LCFS Table'!$J91</f>
        <v>-2.9736086044099994</v>
      </c>
      <c r="G91" s="188">
        <f>'LCFS Table'!$E91+'LCFS Table'!$AS91+'LCFS Table'!$AT91+'LCFS Table'!$AU91+'LCFS Table'!$AV91</f>
        <v>2.2414870647836498</v>
      </c>
      <c r="H91" s="188">
        <f>'LCFS Table'!$F91+'LCFS Table'!$AX91+'LCFS Table'!$AY91+'LCFS Table'!$AZ91+'LCFS Table'!$BA91+('LCFS Table'!$CQ91*0.9/(0.8/0.99)/100)+(DG91*'LCFS Table'!$AF91)+(DF91*'LCFS Table'!$AG91)</f>
        <v>0.35409042968750037</v>
      </c>
      <c r="I91" s="187">
        <f>('LCFS Table'!$V91+'LCFS Table'!$W91+'LCFS Table'!$X91)/100+(('LCFS Table'!$AI91+'LCFS Table'!$AJ91)/340)</f>
        <v>2.9962687734668338</v>
      </c>
      <c r="J91" s="187">
        <f>(('LCFS Table'!$Y91+'LCFS Table'!$Z91)/100)+(('LCFS Table'!$AM91+'LCFS Table'!$AN91)/300)</f>
        <v>3.4796064453124993</v>
      </c>
      <c r="K91" s="140">
        <f>'[1]Fuel Values'!$C90</f>
        <v>1.0987</v>
      </c>
      <c r="L91" s="140">
        <f>'[1]Fuel Values'!$B90</f>
        <v>379.75</v>
      </c>
      <c r="M91" s="185">
        <f>('LCFS Table'!$L91/100)-'LCFS Table'!$AX91-'LCFS Table'!$AY91-'LCFS Table'!$AZ91-'LCFS Table'!$BA91</f>
        <v>0.50599784090249988</v>
      </c>
      <c r="N91" s="140">
        <f>[1]BFT!$B90</f>
        <v>31</v>
      </c>
      <c r="O91" s="140">
        <f>[1]UCO!$B90</f>
        <v>29.5</v>
      </c>
      <c r="P91" s="140">
        <f>[1]DCO!$B90</f>
        <v>27.25</v>
      </c>
      <c r="Q91" s="140">
        <f>'[1]Soybean Oil'!$B90</f>
        <v>36.902500000000003</v>
      </c>
      <c r="R91" s="140">
        <f>'[1]Yellow Grease'!$B90</f>
        <v>24</v>
      </c>
      <c r="S91" s="185">
        <f>'LCFS Table'!$N91 + 'LCFS Table'!$AH91</f>
        <v>35.375</v>
      </c>
      <c r="T91" s="185">
        <f>'LCFS Table'!$Q91+'LCFS Table'!$AH91</f>
        <v>41.277500000000003</v>
      </c>
      <c r="U91" s="185">
        <f>'LCFS Table'!$P91+'LCFS Table'!$AH91</f>
        <v>31.625</v>
      </c>
      <c r="V91" s="185">
        <f>(('LCFS Table'!$S91/'LCFS Table'!$AA91)*'LCFS Table'!$AC91)*6.48</f>
        <v>121.93085106382981</v>
      </c>
      <c r="W91" s="185">
        <f>(('LCFS Table'!$O91/'LCFS Table'!$AA91)*'LCFS Table'!$AD91)*6.48</f>
        <v>50.840425531914903</v>
      </c>
      <c r="X91" s="185">
        <f>(('LCFS Table'!$U91/'LCFS Table'!$AA91)*'LCFS Table'!$AE91)*6.48</f>
        <v>54.50265957446809</v>
      </c>
      <c r="Y91" s="185">
        <f>(('LCFS Table'!$T91/'LCFS Table'!$AB91)*'LCFS Table'!$AF91)*7.35</f>
        <v>237.02314453124998</v>
      </c>
      <c r="Z91" s="185">
        <f>(('LCFS Table'!$R91/'LCFS Table'!$AB91)*'LCFS Table'!$AG91)*7.35</f>
        <v>45.9375</v>
      </c>
      <c r="AA91" s="138">
        <v>0.94</v>
      </c>
      <c r="AB91" s="138">
        <v>0.96</v>
      </c>
      <c r="AC91" s="138">
        <v>0.5</v>
      </c>
      <c r="AD91" s="138">
        <v>0.25</v>
      </c>
      <c r="AE91" s="138">
        <v>0.25</v>
      </c>
      <c r="AF91" s="138">
        <v>0.75</v>
      </c>
      <c r="AG91" s="138">
        <v>0.25</v>
      </c>
      <c r="AH91" s="139">
        <v>4.375</v>
      </c>
      <c r="AI91" s="139">
        <v>136</v>
      </c>
      <c r="AJ91" s="139">
        <v>110</v>
      </c>
      <c r="AK91" s="186">
        <f>('LCFS Table'!$AI91/340)*100</f>
        <v>40</v>
      </c>
      <c r="AL91" s="186">
        <f>('LCFS Table'!$AJ91/340)*100</f>
        <v>32.352941176470587</v>
      </c>
      <c r="AM91" s="139">
        <v>105</v>
      </c>
      <c r="AN91" s="139">
        <v>90</v>
      </c>
      <c r="AO91" s="139">
        <f>('LCFS Table'!$AM91/300)*100</f>
        <v>35</v>
      </c>
      <c r="AP91" s="139">
        <f>('LCFS Table'!$AN91/300)*100</f>
        <v>30</v>
      </c>
      <c r="AQ91" s="140">
        <v>195.9</v>
      </c>
      <c r="AR91" s="140">
        <v>0.75687499999999996</v>
      </c>
      <c r="AS91" s="185">
        <v>1.6923683382504835</v>
      </c>
      <c r="AT91" s="137">
        <v>0.16</v>
      </c>
      <c r="AU91" s="137">
        <v>1</v>
      </c>
      <c r="AV91" s="185">
        <f>'LCFS Table'!$AR91*1.7</f>
        <v>1.2866875</v>
      </c>
      <c r="AW91" s="137">
        <v>0</v>
      </c>
      <c r="AX91" s="185">
        <v>1.1561896590974998</v>
      </c>
      <c r="AY91" s="137">
        <v>0</v>
      </c>
      <c r="AZ91" s="141">
        <v>1</v>
      </c>
      <c r="BA91" s="185">
        <f>'LCFS Table'!$AR91*1.5</f>
        <v>1.1353124999999999</v>
      </c>
      <c r="BB91" s="136">
        <v>1.2</v>
      </c>
      <c r="BC91" s="185">
        <f>'LCFS Table'!$AS91*'LCFS Table'!$BW91</f>
        <v>1.6923683382504835</v>
      </c>
      <c r="BD91" s="185">
        <f>'LCFS Table'!$AT91*'LCFS Table'!$BX91</f>
        <v>0</v>
      </c>
      <c r="BE91" s="185">
        <f>'LCFS Table'!$AU91*'LCFS Table'!$BY91</f>
        <v>1</v>
      </c>
      <c r="BF91" s="137">
        <f>'LCFS Table'!$AV91*'LCFS Table'!$BZ91</f>
        <v>1.2866875</v>
      </c>
      <c r="BG91" s="137">
        <f>'LCFS Table'!$AW91*'LCFS Table'!$CA91</f>
        <v>0</v>
      </c>
      <c r="BH91" s="137">
        <f>'LCFS Table'!$AX91*'LCFS Table'!$CB91</f>
        <v>1.1561896590974998</v>
      </c>
      <c r="BI91" s="137">
        <f>'LCFS Table'!$AY91*'LCFS Table'!$CC91</f>
        <v>0</v>
      </c>
      <c r="BJ91" s="137">
        <f>'LCFS Table'!$AZ91*'LCFS Table'!$CD91</f>
        <v>1</v>
      </c>
      <c r="BK91" s="137">
        <f>'LCFS Table'!$BA91*'LCFS Table'!$CE91</f>
        <v>1.1353124999999999</v>
      </c>
      <c r="BL91" s="137">
        <f>'LCFS Table'!$BB91*'LCFS Table'!$CF91</f>
        <v>-1.2</v>
      </c>
      <c r="BM91" s="137">
        <f>'LCFS Table'!$AS91*'LCFS Table'!$CG91</f>
        <v>0</v>
      </c>
      <c r="BN91" s="137">
        <f>'LCFS Table'!$AT91*'LCFS Table'!$CH91</f>
        <v>0.16</v>
      </c>
      <c r="BO91" s="137">
        <f>'LCFS Table'!$AU91*'LCFS Table'!$CI91</f>
        <v>0</v>
      </c>
      <c r="BP91" s="137">
        <f>'LCFS Table'!$AV91*'LCFS Table'!$CJ91</f>
        <v>0</v>
      </c>
      <c r="BQ91" s="137">
        <f>'LCFS Table'!$AW91*'LCFS Table'!$CK91</f>
        <v>0</v>
      </c>
      <c r="BR91" s="137">
        <f>'LCFS Table'!$AX91*'LCFS Table'!$CL91</f>
        <v>0</v>
      </c>
      <c r="BS91" s="137">
        <f>'LCFS Table'!$AY91*'LCFS Table'!$CM91</f>
        <v>0</v>
      </c>
      <c r="BT91" s="137">
        <f>'LCFS Table'!$AZ91*'LCFS Table'!$CN91</f>
        <v>0</v>
      </c>
      <c r="BU91" s="137">
        <f>'LCFS Table'!$BA91*'LCFS Table'!$CO91</f>
        <v>0</v>
      </c>
      <c r="BV91" s="136">
        <f>'LCFS Table'!$BB91*'LCFS Table'!$CP91</f>
        <v>1.2</v>
      </c>
      <c r="BW91" s="138">
        <v>1</v>
      </c>
      <c r="BX91" s="138">
        <v>0</v>
      </c>
      <c r="BY91" s="138">
        <v>1</v>
      </c>
      <c r="BZ91" s="138">
        <v>1</v>
      </c>
      <c r="CA91" s="138">
        <v>-1</v>
      </c>
      <c r="CB91" s="138">
        <v>1</v>
      </c>
      <c r="CC91" s="138">
        <v>0</v>
      </c>
      <c r="CD91" s="138">
        <v>1</v>
      </c>
      <c r="CE91" s="138">
        <v>1</v>
      </c>
      <c r="CF91" s="138">
        <v>-1</v>
      </c>
      <c r="CG91" s="138">
        <f>1-'LCFS Table'!$BW91</f>
        <v>0</v>
      </c>
      <c r="CH91" s="138">
        <f>1-'LCFS Table'!$BX91</f>
        <v>1</v>
      </c>
      <c r="CI91" s="138">
        <f>1-'LCFS Table'!$BY91</f>
        <v>0</v>
      </c>
      <c r="CJ91" s="138">
        <f>1-'LCFS Table'!$BZ91</f>
        <v>0</v>
      </c>
      <c r="CK91" s="138">
        <f>-'LCFS Table'!$CA91</f>
        <v>1</v>
      </c>
      <c r="CL91" s="138">
        <f>1-'LCFS Table'!$CB91</f>
        <v>0</v>
      </c>
      <c r="CM91" s="138">
        <f>1-'LCFS Table'!$CC91</f>
        <v>1</v>
      </c>
      <c r="CN91" s="138">
        <f>1-'LCFS Table'!$CD91</f>
        <v>0</v>
      </c>
      <c r="CO91" s="138">
        <f>1-'LCFS Table'!$CE91</f>
        <v>0</v>
      </c>
      <c r="CP91" s="138">
        <f>-'LCFS Table'!$CF91</f>
        <v>1</v>
      </c>
      <c r="CQ91" s="140">
        <v>3.25</v>
      </c>
      <c r="CR91" s="165">
        <f>('LCFS Table'!$CQ91*0.9/(0.8/0.99)/100)</f>
        <v>3.6196874999999996E-2</v>
      </c>
      <c r="CS91" s="166"/>
      <c r="CT91" s="167"/>
      <c r="CW91" s="168">
        <f>'LCFS Table'!$K91-'LCFS Table'!$M91</f>
        <v>0.59270215909750013</v>
      </c>
      <c r="CX91" s="129">
        <f>MONTH('LCFS Table'!$B91)</f>
        <v>9</v>
      </c>
      <c r="CY91" s="129">
        <f>YEAR('LCFS Table'!$B91)</f>
        <v>2020</v>
      </c>
    </row>
    <row r="92" spans="1:103">
      <c r="A92" s="148">
        <v>44087</v>
      </c>
      <c r="B92" s="149">
        <v>44093</v>
      </c>
      <c r="C92" s="132">
        <f t="shared" si="1"/>
        <v>2020</v>
      </c>
      <c r="D92" s="182" t="s">
        <v>294</v>
      </c>
      <c r="E92" s="187">
        <f>'LCFS Table'!$K92-'LCFS Table'!$I92</f>
        <v>-1.881349624530664</v>
      </c>
      <c r="F92" s="187">
        <f>('LCFS Table'!$M92)-'LCFS Table'!$J92</f>
        <v>-3.0224548632724995</v>
      </c>
      <c r="G92" s="188">
        <f>'LCFS Table'!$E92+'LCFS Table'!$AS92+'LCFS Table'!$AT92+'LCFS Table'!$AU92+'LCFS Table'!$AV92</f>
        <v>2.3516965936407024</v>
      </c>
      <c r="H92" s="188">
        <f>'LCFS Table'!$F92+'LCFS Table'!$AX92+'LCFS Table'!$AY92+'LCFS Table'!$AZ92+'LCFS Table'!$BA92+('LCFS Table'!$CQ92*0.9/(0.8/0.99)/100)+(DG92*'LCFS Table'!$AF92)+(DF92*'LCFS Table'!$AG92)</f>
        <v>0.38473554687500056</v>
      </c>
      <c r="I92" s="187">
        <f>('LCFS Table'!$V92+'LCFS Table'!$W92+'LCFS Table'!$X92)/100+(('LCFS Table'!$AI92+'LCFS Table'!$AJ92)/340)</f>
        <v>3.016949624530664</v>
      </c>
      <c r="J92" s="187">
        <f>(('LCFS Table'!$Y92+'LCFS Table'!$Z92)/100)+(('LCFS Table'!$AM92+'LCFS Table'!$AN92)/300)</f>
        <v>3.561461328125</v>
      </c>
      <c r="K92" s="140">
        <f>'[1]Fuel Values'!$C91</f>
        <v>1.1355999999999999</v>
      </c>
      <c r="L92" s="140">
        <f>'[1]Fuel Values'!$B91</f>
        <v>391</v>
      </c>
      <c r="M92" s="185">
        <f>('LCFS Table'!$L92/100)-'LCFS Table'!$AX92-'LCFS Table'!$AY92-'LCFS Table'!$AZ92-'LCFS Table'!$BA92</f>
        <v>0.53900646485250037</v>
      </c>
      <c r="N92" s="140">
        <f>[1]BFT!$B91</f>
        <v>31</v>
      </c>
      <c r="O92" s="140">
        <f>[1]UCO!$B91</f>
        <v>29.5</v>
      </c>
      <c r="P92" s="140">
        <f>[1]DCO!$B91</f>
        <v>28.45</v>
      </c>
      <c r="Q92" s="140">
        <f>'[1]Soybean Oil'!$B91</f>
        <v>38.328000000000003</v>
      </c>
      <c r="R92" s="140">
        <f>'[1]Yellow Grease'!$B91</f>
        <v>24</v>
      </c>
      <c r="S92" s="185">
        <f>'LCFS Table'!$N92 + 'LCFS Table'!$AH92</f>
        <v>35.375</v>
      </c>
      <c r="T92" s="185">
        <f>'LCFS Table'!$Q92+'LCFS Table'!$AH92</f>
        <v>42.703000000000003</v>
      </c>
      <c r="U92" s="185">
        <f>'LCFS Table'!$P92+'LCFS Table'!$AH92</f>
        <v>32.825000000000003</v>
      </c>
      <c r="V92" s="185">
        <f>(('LCFS Table'!$S92/'LCFS Table'!$AA92)*'LCFS Table'!$AC92)*6.48</f>
        <v>121.93085106382981</v>
      </c>
      <c r="W92" s="185">
        <f>(('LCFS Table'!$O92/'LCFS Table'!$AA92)*'LCFS Table'!$AD92)*6.48</f>
        <v>50.840425531914903</v>
      </c>
      <c r="X92" s="185">
        <f>(('LCFS Table'!$U92/'LCFS Table'!$AA92)*'LCFS Table'!$AE92)*6.48</f>
        <v>56.570744680851078</v>
      </c>
      <c r="Y92" s="185">
        <f>(('LCFS Table'!$T92/'LCFS Table'!$AB92)*'LCFS Table'!$AF92)*7.35</f>
        <v>245.20863281249999</v>
      </c>
      <c r="Z92" s="185">
        <f>(('LCFS Table'!$R92/'LCFS Table'!$AB92)*'LCFS Table'!$AG92)*7.35</f>
        <v>45.9375</v>
      </c>
      <c r="AA92" s="138">
        <v>0.94</v>
      </c>
      <c r="AB92" s="138">
        <v>0.96</v>
      </c>
      <c r="AC92" s="138">
        <v>0.5</v>
      </c>
      <c r="AD92" s="138">
        <v>0.25</v>
      </c>
      <c r="AE92" s="138">
        <v>0.25</v>
      </c>
      <c r="AF92" s="138">
        <v>0.75</v>
      </c>
      <c r="AG92" s="138">
        <v>0.25</v>
      </c>
      <c r="AH92" s="139">
        <v>4.375</v>
      </c>
      <c r="AI92" s="139">
        <v>136</v>
      </c>
      <c r="AJ92" s="139">
        <v>110</v>
      </c>
      <c r="AK92" s="186">
        <f>('LCFS Table'!$AI92/340)*100</f>
        <v>40</v>
      </c>
      <c r="AL92" s="186">
        <f>('LCFS Table'!$AJ92/340)*100</f>
        <v>32.352941176470587</v>
      </c>
      <c r="AM92" s="139">
        <v>105</v>
      </c>
      <c r="AN92" s="139">
        <v>90</v>
      </c>
      <c r="AO92" s="139">
        <f>('LCFS Table'!$AM92/300)*100</f>
        <v>35</v>
      </c>
      <c r="AP92" s="139">
        <f>('LCFS Table'!$AN92/300)*100</f>
        <v>30</v>
      </c>
      <c r="AQ92" s="140">
        <v>197.9</v>
      </c>
      <c r="AR92" s="140">
        <v>0.80200000000000005</v>
      </c>
      <c r="AS92" s="185">
        <v>1.7096462181713665</v>
      </c>
      <c r="AT92" s="137">
        <v>0.16</v>
      </c>
      <c r="AU92" s="137">
        <v>1</v>
      </c>
      <c r="AV92" s="185">
        <f>'LCFS Table'!$AR92*1.7</f>
        <v>1.3633999999999999</v>
      </c>
      <c r="AW92" s="137">
        <v>0</v>
      </c>
      <c r="AX92" s="185">
        <v>1.1679935351474999</v>
      </c>
      <c r="AY92" s="137">
        <v>0</v>
      </c>
      <c r="AZ92" s="141">
        <v>1</v>
      </c>
      <c r="BA92" s="185">
        <f>'LCFS Table'!$AR92*1.5</f>
        <v>1.2030000000000001</v>
      </c>
      <c r="BB92" s="136">
        <v>1.2</v>
      </c>
      <c r="BC92" s="185">
        <f>'LCFS Table'!$AS92*'LCFS Table'!$BW92</f>
        <v>1.7096462181713665</v>
      </c>
      <c r="BD92" s="185">
        <f>'LCFS Table'!$AT92*'LCFS Table'!$BX92</f>
        <v>0</v>
      </c>
      <c r="BE92" s="185">
        <f>'LCFS Table'!$AU92*'LCFS Table'!$BY92</f>
        <v>1</v>
      </c>
      <c r="BF92" s="137">
        <f>'LCFS Table'!$AV92*'LCFS Table'!$BZ92</f>
        <v>1.3633999999999999</v>
      </c>
      <c r="BG92" s="137">
        <f>'LCFS Table'!$AW92*'LCFS Table'!$CA92</f>
        <v>0</v>
      </c>
      <c r="BH92" s="137">
        <f>'LCFS Table'!$AX92*'LCFS Table'!$CB92</f>
        <v>1.1679935351474999</v>
      </c>
      <c r="BI92" s="137">
        <f>'LCFS Table'!$AY92*'LCFS Table'!$CC92</f>
        <v>0</v>
      </c>
      <c r="BJ92" s="137">
        <f>'LCFS Table'!$AZ92*'LCFS Table'!$CD92</f>
        <v>1</v>
      </c>
      <c r="BK92" s="137">
        <f>'LCFS Table'!$BA92*'LCFS Table'!$CE92</f>
        <v>1.2030000000000001</v>
      </c>
      <c r="BL92" s="137">
        <f>'LCFS Table'!$BB92*'LCFS Table'!$CF92</f>
        <v>-1.2</v>
      </c>
      <c r="BM92" s="137">
        <f>'LCFS Table'!$AS92*'LCFS Table'!$CG92</f>
        <v>0</v>
      </c>
      <c r="BN92" s="137">
        <f>'LCFS Table'!$AT92*'LCFS Table'!$CH92</f>
        <v>0.16</v>
      </c>
      <c r="BO92" s="137">
        <f>'LCFS Table'!$AU92*'LCFS Table'!$CI92</f>
        <v>0</v>
      </c>
      <c r="BP92" s="137">
        <f>'LCFS Table'!$AV92*'LCFS Table'!$CJ92</f>
        <v>0</v>
      </c>
      <c r="BQ92" s="137">
        <f>'LCFS Table'!$AW92*'LCFS Table'!$CK92</f>
        <v>0</v>
      </c>
      <c r="BR92" s="137">
        <f>'LCFS Table'!$AX92*'LCFS Table'!$CL92</f>
        <v>0</v>
      </c>
      <c r="BS92" s="137">
        <f>'LCFS Table'!$AY92*'LCFS Table'!$CM92</f>
        <v>0</v>
      </c>
      <c r="BT92" s="137">
        <f>'LCFS Table'!$AZ92*'LCFS Table'!$CN92</f>
        <v>0</v>
      </c>
      <c r="BU92" s="137">
        <f>'LCFS Table'!$BA92*'LCFS Table'!$CO92</f>
        <v>0</v>
      </c>
      <c r="BV92" s="136">
        <f>'LCFS Table'!$BB92*'LCFS Table'!$CP92</f>
        <v>1.2</v>
      </c>
      <c r="BW92" s="138">
        <v>1</v>
      </c>
      <c r="BX92" s="138">
        <v>0</v>
      </c>
      <c r="BY92" s="138">
        <v>1</v>
      </c>
      <c r="BZ92" s="138">
        <v>1</v>
      </c>
      <c r="CA92" s="138">
        <v>-1</v>
      </c>
      <c r="CB92" s="138">
        <v>1</v>
      </c>
      <c r="CC92" s="138">
        <v>0</v>
      </c>
      <c r="CD92" s="138">
        <v>1</v>
      </c>
      <c r="CE92" s="138">
        <v>1</v>
      </c>
      <c r="CF92" s="138">
        <v>-1</v>
      </c>
      <c r="CG92" s="138">
        <f>1-'LCFS Table'!$BW92</f>
        <v>0</v>
      </c>
      <c r="CH92" s="138">
        <f>1-'LCFS Table'!$BX92</f>
        <v>1</v>
      </c>
      <c r="CI92" s="138">
        <f>1-'LCFS Table'!$BY92</f>
        <v>0</v>
      </c>
      <c r="CJ92" s="138">
        <f>1-'LCFS Table'!$BZ92</f>
        <v>0</v>
      </c>
      <c r="CK92" s="138">
        <f>-'LCFS Table'!$CA92</f>
        <v>1</v>
      </c>
      <c r="CL92" s="138">
        <f>1-'LCFS Table'!$CB92</f>
        <v>0</v>
      </c>
      <c r="CM92" s="138">
        <f>1-'LCFS Table'!$CC92</f>
        <v>1</v>
      </c>
      <c r="CN92" s="138">
        <f>1-'LCFS Table'!$CD92</f>
        <v>0</v>
      </c>
      <c r="CO92" s="138">
        <f>1-'LCFS Table'!$CE92</f>
        <v>0</v>
      </c>
      <c r="CP92" s="138">
        <f>-'LCFS Table'!$CF92</f>
        <v>1</v>
      </c>
      <c r="CQ92" s="140">
        <v>3.25</v>
      </c>
      <c r="CR92" s="165">
        <f>('LCFS Table'!$CQ92*0.9/(0.8/0.99)/100)</f>
        <v>3.6196874999999996E-2</v>
      </c>
      <c r="CS92" s="166"/>
      <c r="CT92" s="167"/>
      <c r="CW92" s="168">
        <f>'LCFS Table'!$K92-'LCFS Table'!$M92</f>
        <v>0.59659353514749958</v>
      </c>
      <c r="CX92" s="129">
        <f>MONTH('LCFS Table'!$B92)</f>
        <v>9</v>
      </c>
      <c r="CY92" s="129">
        <f>YEAR('LCFS Table'!$B92)</f>
        <v>2020</v>
      </c>
    </row>
    <row r="93" spans="1:103">
      <c r="A93" s="148">
        <v>44094</v>
      </c>
      <c r="B93" s="149">
        <v>44100</v>
      </c>
      <c r="C93" s="132">
        <f t="shared" si="1"/>
        <v>2020</v>
      </c>
      <c r="D93" s="150" t="s">
        <v>295</v>
      </c>
      <c r="E93" s="187">
        <f>'LCFS Table'!$K93-'LCFS Table'!$I93</f>
        <v>-1.9271709011264084</v>
      </c>
      <c r="F93" s="187">
        <f>('LCFS Table'!$M93)-'LCFS Table'!$J93</f>
        <v>-2.8239692479887504</v>
      </c>
      <c r="G93" s="188">
        <f>'LCFS Table'!$E93+'LCFS Table'!$AS93+'LCFS Table'!$AT93+'LCFS Table'!$AU93+'LCFS Table'!$AV93</f>
        <v>2.265590628019245</v>
      </c>
      <c r="H93" s="188">
        <f>'LCFS Table'!$F93+'LCFS Table'!$AX93+'LCFS Table'!$AY93+'LCFS Table'!$AZ93+'LCFS Table'!$BA93+('LCFS Table'!$CQ93*0.9/(0.8/0.99)/100)+(DG93*'LCFS Table'!$AF93)+(DF93*'LCFS Table'!$AG93)</f>
        <v>0.55546742187499965</v>
      </c>
      <c r="I93" s="187">
        <f>('LCFS Table'!$V93+'LCFS Table'!$W93+'LCFS Table'!$X93)/100+(('LCFS Table'!$AI93+'LCFS Table'!$AJ93)/340)</f>
        <v>3.0479709011264084</v>
      </c>
      <c r="J93" s="187">
        <f>(('LCFS Table'!$Y93+'LCFS Table'!$Z93)/100)+(('LCFS Table'!$AM93+'LCFS Table'!$AN93)/300)</f>
        <v>3.474639453125</v>
      </c>
      <c r="K93" s="140">
        <f>'[1]Fuel Values'!$C92</f>
        <v>1.1208</v>
      </c>
      <c r="L93" s="140">
        <f>'[1]Fuel Values'!$B92</f>
        <v>398.5</v>
      </c>
      <c r="M93" s="185">
        <f>('LCFS Table'!$L93/100)-'LCFS Table'!$AX93-'LCFS Table'!$AY93-'LCFS Table'!$AZ93-'LCFS Table'!$BA93</f>
        <v>0.65067020513624962</v>
      </c>
      <c r="N93" s="140">
        <f>[1]BFT!$B92</f>
        <v>31.4</v>
      </c>
      <c r="O93" s="140">
        <f>[1]UCO!$B92</f>
        <v>29.5</v>
      </c>
      <c r="P93" s="140">
        <f>[1]DCO!$B92</f>
        <v>29.45</v>
      </c>
      <c r="Q93" s="140">
        <f>'[1]Soybean Oil'!$B92</f>
        <v>36.816000000000003</v>
      </c>
      <c r="R93" s="140">
        <f>'[1]Yellow Grease'!$B92</f>
        <v>24</v>
      </c>
      <c r="S93" s="185">
        <f>'LCFS Table'!$N93 + 'LCFS Table'!$AH93</f>
        <v>35.774999999999999</v>
      </c>
      <c r="T93" s="185">
        <f>'LCFS Table'!$Q93+'LCFS Table'!$AH93</f>
        <v>41.191000000000003</v>
      </c>
      <c r="U93" s="185">
        <f>'LCFS Table'!$P93+'LCFS Table'!$AH93</f>
        <v>33.825000000000003</v>
      </c>
      <c r="V93" s="185">
        <f>(('LCFS Table'!$S93/'LCFS Table'!$AA93)*'LCFS Table'!$AC93)*6.48</f>
        <v>123.30957446808512</v>
      </c>
      <c r="W93" s="185">
        <f>(('LCFS Table'!$O93/'LCFS Table'!$AA93)*'LCFS Table'!$AD93)*6.48</f>
        <v>50.840425531914903</v>
      </c>
      <c r="X93" s="185">
        <f>(('LCFS Table'!$U93/'LCFS Table'!$AA93)*'LCFS Table'!$AE93)*6.48</f>
        <v>58.294148936170224</v>
      </c>
      <c r="Y93" s="185">
        <f>(('LCFS Table'!$T93/'LCFS Table'!$AB93)*'LCFS Table'!$AF93)*7.35</f>
        <v>236.52644531250002</v>
      </c>
      <c r="Z93" s="185">
        <f>(('LCFS Table'!$R93/'LCFS Table'!$AB93)*'LCFS Table'!$AG93)*7.35</f>
        <v>45.9375</v>
      </c>
      <c r="AA93" s="138">
        <v>0.94</v>
      </c>
      <c r="AB93" s="138">
        <v>0.96</v>
      </c>
      <c r="AC93" s="138">
        <v>0.5</v>
      </c>
      <c r="AD93" s="138">
        <v>0.25</v>
      </c>
      <c r="AE93" s="138">
        <v>0.25</v>
      </c>
      <c r="AF93" s="138">
        <v>0.75</v>
      </c>
      <c r="AG93" s="138">
        <v>0.25</v>
      </c>
      <c r="AH93" s="139">
        <v>4.375</v>
      </c>
      <c r="AI93" s="139">
        <v>136</v>
      </c>
      <c r="AJ93" s="139">
        <v>110</v>
      </c>
      <c r="AK93" s="186">
        <f>('LCFS Table'!$AI93/340)*100</f>
        <v>40</v>
      </c>
      <c r="AL93" s="186">
        <f>('LCFS Table'!$AJ93/340)*100</f>
        <v>32.352941176470587</v>
      </c>
      <c r="AM93" s="139">
        <v>105</v>
      </c>
      <c r="AN93" s="139">
        <v>90</v>
      </c>
      <c r="AO93" s="139">
        <f>('LCFS Table'!$AM93/300)*100</f>
        <v>35</v>
      </c>
      <c r="AP93" s="139">
        <f>('LCFS Table'!$AN93/300)*100</f>
        <v>30</v>
      </c>
      <c r="AQ93" s="140">
        <v>198.55</v>
      </c>
      <c r="AR93" s="140">
        <v>0.77500000000000002</v>
      </c>
      <c r="AS93" s="185">
        <v>1.7152615291456534</v>
      </c>
      <c r="AT93" s="137">
        <v>0.16</v>
      </c>
      <c r="AU93" s="137">
        <v>1</v>
      </c>
      <c r="AV93" s="185">
        <f>'LCFS Table'!$AR93*1.7</f>
        <v>1.3174999999999999</v>
      </c>
      <c r="AW93" s="137">
        <v>0</v>
      </c>
      <c r="AX93" s="185">
        <v>1.1718297948637499</v>
      </c>
      <c r="AY93" s="137">
        <v>0</v>
      </c>
      <c r="AZ93" s="141">
        <v>1</v>
      </c>
      <c r="BA93" s="185">
        <f>'LCFS Table'!$AR93*1.5</f>
        <v>1.1625000000000001</v>
      </c>
      <c r="BB93" s="136">
        <v>1.2</v>
      </c>
      <c r="BC93" s="185">
        <f>'LCFS Table'!$AS93*'LCFS Table'!$BW93</f>
        <v>1.7152615291456534</v>
      </c>
      <c r="BD93" s="185">
        <f>'LCFS Table'!$AT93*'LCFS Table'!$BX93</f>
        <v>0</v>
      </c>
      <c r="BE93" s="185">
        <f>'LCFS Table'!$AU93*'LCFS Table'!$BY93</f>
        <v>1</v>
      </c>
      <c r="BF93" s="137">
        <f>'LCFS Table'!$AV93*'LCFS Table'!$BZ93</f>
        <v>1.3174999999999999</v>
      </c>
      <c r="BG93" s="137">
        <f>'LCFS Table'!$AW93*'LCFS Table'!$CA93</f>
        <v>0</v>
      </c>
      <c r="BH93" s="137">
        <f>'LCFS Table'!$AX93*'LCFS Table'!$CB93</f>
        <v>1.1718297948637499</v>
      </c>
      <c r="BI93" s="137">
        <f>'LCFS Table'!$AY93*'LCFS Table'!$CC93</f>
        <v>0</v>
      </c>
      <c r="BJ93" s="137">
        <f>'LCFS Table'!$AZ93*'LCFS Table'!$CD93</f>
        <v>1</v>
      </c>
      <c r="BK93" s="137">
        <f>'LCFS Table'!$BA93*'LCFS Table'!$CE93</f>
        <v>1.1625000000000001</v>
      </c>
      <c r="BL93" s="137">
        <f>'LCFS Table'!$BB93*'LCFS Table'!$CF93</f>
        <v>-1.2</v>
      </c>
      <c r="BM93" s="137">
        <f>'LCFS Table'!$AS93*'LCFS Table'!$CG93</f>
        <v>0</v>
      </c>
      <c r="BN93" s="137">
        <f>'LCFS Table'!$AT93*'LCFS Table'!$CH93</f>
        <v>0.16</v>
      </c>
      <c r="BO93" s="137">
        <f>'LCFS Table'!$AU93*'LCFS Table'!$CI93</f>
        <v>0</v>
      </c>
      <c r="BP93" s="137">
        <f>'LCFS Table'!$AV93*'LCFS Table'!$CJ93</f>
        <v>0</v>
      </c>
      <c r="BQ93" s="137">
        <f>'LCFS Table'!$AW93*'LCFS Table'!$CK93</f>
        <v>0</v>
      </c>
      <c r="BR93" s="137">
        <f>'LCFS Table'!$AX93*'LCFS Table'!$CL93</f>
        <v>0</v>
      </c>
      <c r="BS93" s="137">
        <f>'LCFS Table'!$AY93*'LCFS Table'!$CM93</f>
        <v>0</v>
      </c>
      <c r="BT93" s="137">
        <f>'LCFS Table'!$AZ93*'LCFS Table'!$CN93</f>
        <v>0</v>
      </c>
      <c r="BU93" s="137">
        <f>'LCFS Table'!$BA93*'LCFS Table'!$CO93</f>
        <v>0</v>
      </c>
      <c r="BV93" s="136">
        <f>'LCFS Table'!$BB93*'LCFS Table'!$CP93</f>
        <v>1.2</v>
      </c>
      <c r="BW93" s="138">
        <v>1</v>
      </c>
      <c r="BX93" s="138">
        <v>0</v>
      </c>
      <c r="BY93" s="138">
        <v>1</v>
      </c>
      <c r="BZ93" s="138">
        <v>1</v>
      </c>
      <c r="CA93" s="138">
        <v>-1</v>
      </c>
      <c r="CB93" s="138">
        <v>1</v>
      </c>
      <c r="CC93" s="138">
        <v>0</v>
      </c>
      <c r="CD93" s="138">
        <v>1</v>
      </c>
      <c r="CE93" s="138">
        <v>1</v>
      </c>
      <c r="CF93" s="138">
        <v>-1</v>
      </c>
      <c r="CG93" s="138">
        <f>1-'LCFS Table'!$BW93</f>
        <v>0</v>
      </c>
      <c r="CH93" s="138">
        <f>1-'LCFS Table'!$BX93</f>
        <v>1</v>
      </c>
      <c r="CI93" s="138">
        <f>1-'LCFS Table'!$BY93</f>
        <v>0</v>
      </c>
      <c r="CJ93" s="138">
        <f>1-'LCFS Table'!$BZ93</f>
        <v>0</v>
      </c>
      <c r="CK93" s="138">
        <f>-'LCFS Table'!$CA93</f>
        <v>1</v>
      </c>
      <c r="CL93" s="138">
        <f>1-'LCFS Table'!$CB93</f>
        <v>0</v>
      </c>
      <c r="CM93" s="138">
        <f>1-'LCFS Table'!$CC93</f>
        <v>1</v>
      </c>
      <c r="CN93" s="138">
        <f>1-'LCFS Table'!$CD93</f>
        <v>0</v>
      </c>
      <c r="CO93" s="138">
        <f>1-'LCFS Table'!$CE93</f>
        <v>0</v>
      </c>
      <c r="CP93" s="138">
        <f>-'LCFS Table'!$CF93</f>
        <v>1</v>
      </c>
      <c r="CQ93" s="140">
        <v>4.05</v>
      </c>
      <c r="CR93" s="165">
        <f>('LCFS Table'!$CQ93*0.9/(0.8/0.99)/100)</f>
        <v>4.5106874999999998E-2</v>
      </c>
      <c r="CS93" s="166"/>
      <c r="CT93" s="167"/>
      <c r="CW93" s="168">
        <f>'LCFS Table'!$K93-'LCFS Table'!$M93</f>
        <v>0.47012979486375039</v>
      </c>
      <c r="CX93" s="129">
        <f>MONTH('LCFS Table'!$B93)</f>
        <v>9</v>
      </c>
      <c r="CY93" s="129">
        <f>YEAR('LCFS Table'!$B93)</f>
        <v>2020</v>
      </c>
    </row>
    <row r="94" spans="1:103">
      <c r="A94" s="148">
        <v>44101</v>
      </c>
      <c r="B94" s="149">
        <v>44107</v>
      </c>
      <c r="C94" s="132">
        <f t="shared" si="1"/>
        <v>2020</v>
      </c>
      <c r="D94" s="182" t="s">
        <v>296</v>
      </c>
      <c r="E94" s="187">
        <f>'LCFS Table'!$K94-'LCFS Table'!$I94</f>
        <v>-1.9451517521902377</v>
      </c>
      <c r="F94" s="187">
        <f>('LCFS Table'!$M94)-'LCFS Table'!$J94</f>
        <v>-2.7840582062349997</v>
      </c>
      <c r="G94" s="188">
        <f>'LCFS Table'!$E94+'LCFS Table'!$AS94+'LCFS Table'!$AT94+'LCFS Table'!$AU94+'LCFS Table'!$AV94</f>
        <v>2.1848360560404667</v>
      </c>
      <c r="H94" s="188">
        <f>'LCFS Table'!$F94+'LCFS Table'!$AX94+'LCFS Table'!$AY94+'LCFS Table'!$AZ94+'LCFS Table'!$BA94+('LCFS Table'!$CQ94*0.9/(0.8/0.99)/100)+(DG94*'LCFS Table'!$AF94)+(DF94*'LCFS Table'!$AG94)</f>
        <v>0.54730898437500031</v>
      </c>
      <c r="I94" s="187">
        <f>('LCFS Table'!$V94+'LCFS Table'!$W94+'LCFS Table'!$X94)/100+(('LCFS Table'!$AI94+'LCFS Table'!$AJ94)/340)</f>
        <v>3.0686517521902377</v>
      </c>
      <c r="J94" s="187">
        <f>(('LCFS Table'!$Y94+'LCFS Table'!$Z94)/100)+(('LCFS Table'!$AM94+'LCFS Table'!$AN94)/300)</f>
        <v>3.4564175781249995</v>
      </c>
      <c r="K94" s="140">
        <f>'[1]Fuel Values'!$C93</f>
        <v>1.1234999999999999</v>
      </c>
      <c r="L94" s="140">
        <f>'[1]Fuel Values'!$B93</f>
        <v>395.5</v>
      </c>
      <c r="M94" s="185">
        <f>('LCFS Table'!$L94/100)-'LCFS Table'!$AX94-'LCFS Table'!$AY94-'LCFS Table'!$AZ94-'LCFS Table'!$BA94</f>
        <v>0.67235937189000006</v>
      </c>
      <c r="N94" s="140">
        <f>[1]BFT!$B93</f>
        <v>31.5</v>
      </c>
      <c r="O94" s="140">
        <f>[1]UCO!$B93</f>
        <v>29.85</v>
      </c>
      <c r="P94" s="140">
        <f>[1]DCO!$B93</f>
        <v>30.1</v>
      </c>
      <c r="Q94" s="140">
        <f>'[1]Soybean Oil'!$B93</f>
        <v>36.432000000000002</v>
      </c>
      <c r="R94" s="140">
        <f>'[1]Yellow Grease'!$B93</f>
        <v>24.2</v>
      </c>
      <c r="S94" s="185">
        <f>'LCFS Table'!$N94 + 'LCFS Table'!$AH94</f>
        <v>35.875</v>
      </c>
      <c r="T94" s="185">
        <f>'LCFS Table'!$Q94+'LCFS Table'!$AH94</f>
        <v>40.807000000000002</v>
      </c>
      <c r="U94" s="185">
        <f>'LCFS Table'!$P94+'LCFS Table'!$AH94</f>
        <v>34.475000000000001</v>
      </c>
      <c r="V94" s="185">
        <f>(('LCFS Table'!$S94/'LCFS Table'!$AA94)*'LCFS Table'!$AC94)*6.48</f>
        <v>123.65425531914894</v>
      </c>
      <c r="W94" s="185">
        <f>(('LCFS Table'!$O94/'LCFS Table'!$AA94)*'LCFS Table'!$AD94)*6.48</f>
        <v>51.443617021276602</v>
      </c>
      <c r="X94" s="185">
        <f>(('LCFS Table'!$U94/'LCFS Table'!$AA94)*'LCFS Table'!$AE94)*6.48</f>
        <v>59.414361702127664</v>
      </c>
      <c r="Y94" s="185">
        <f>(('LCFS Table'!$T94/'LCFS Table'!$AB94)*'LCFS Table'!$AF94)*7.35</f>
        <v>234.32144531249997</v>
      </c>
      <c r="Z94" s="185">
        <f>(('LCFS Table'!$R94/'LCFS Table'!$AB94)*'LCFS Table'!$AG94)*7.35</f>
        <v>46.320312499999993</v>
      </c>
      <c r="AA94" s="138">
        <v>0.94</v>
      </c>
      <c r="AB94" s="138">
        <v>0.96</v>
      </c>
      <c r="AC94" s="138">
        <v>0.5</v>
      </c>
      <c r="AD94" s="138">
        <v>0.25</v>
      </c>
      <c r="AE94" s="138">
        <v>0.25</v>
      </c>
      <c r="AF94" s="138">
        <v>0.75</v>
      </c>
      <c r="AG94" s="138">
        <v>0.25</v>
      </c>
      <c r="AH94" s="139">
        <v>4.375</v>
      </c>
      <c r="AI94" s="139">
        <v>136</v>
      </c>
      <c r="AJ94" s="139">
        <v>110</v>
      </c>
      <c r="AK94" s="186">
        <f>('LCFS Table'!$AI94/340)*100</f>
        <v>40</v>
      </c>
      <c r="AL94" s="186">
        <f>('LCFS Table'!$AJ94/340)*100</f>
        <v>32.352941176470587</v>
      </c>
      <c r="AM94" s="139">
        <v>105</v>
      </c>
      <c r="AN94" s="139">
        <v>90</v>
      </c>
      <c r="AO94" s="139">
        <f>('LCFS Table'!$AM94/300)*100</f>
        <v>35</v>
      </c>
      <c r="AP94" s="139">
        <f>('LCFS Table'!$AN94/300)*100</f>
        <v>30</v>
      </c>
      <c r="AQ94" s="140">
        <v>196.4</v>
      </c>
      <c r="AR94" s="140">
        <v>0.74900000000000011</v>
      </c>
      <c r="AS94" s="185">
        <v>1.6966878082307044</v>
      </c>
      <c r="AT94" s="137">
        <v>0.16</v>
      </c>
      <c r="AU94" s="137">
        <v>1</v>
      </c>
      <c r="AV94" s="185">
        <f>'LCFS Table'!$AR94*1.7</f>
        <v>1.2733000000000001</v>
      </c>
      <c r="AW94" s="137">
        <v>0</v>
      </c>
      <c r="AX94" s="185">
        <v>1.1591406281099998</v>
      </c>
      <c r="AY94" s="137">
        <v>0</v>
      </c>
      <c r="AZ94" s="141">
        <v>1</v>
      </c>
      <c r="BA94" s="185">
        <f>'LCFS Table'!$AR94*1.5</f>
        <v>1.1235000000000002</v>
      </c>
      <c r="BB94" s="136">
        <v>1.2</v>
      </c>
      <c r="BC94" s="185">
        <f>'LCFS Table'!$AS94*'LCFS Table'!$BW94</f>
        <v>1.6966878082307044</v>
      </c>
      <c r="BD94" s="185">
        <f>'LCFS Table'!$AT94*'LCFS Table'!$BX94</f>
        <v>0</v>
      </c>
      <c r="BE94" s="185">
        <f>'LCFS Table'!$AU94*'LCFS Table'!$BY94</f>
        <v>1</v>
      </c>
      <c r="BF94" s="137">
        <f>'LCFS Table'!$AV94*'LCFS Table'!$BZ94</f>
        <v>1.2733000000000001</v>
      </c>
      <c r="BG94" s="137">
        <f>'LCFS Table'!$AW94*'LCFS Table'!$CA94</f>
        <v>0</v>
      </c>
      <c r="BH94" s="137">
        <f>'LCFS Table'!$AX94*'LCFS Table'!$CB94</f>
        <v>1.1591406281099998</v>
      </c>
      <c r="BI94" s="137">
        <f>'LCFS Table'!$AY94*'LCFS Table'!$CC94</f>
        <v>0</v>
      </c>
      <c r="BJ94" s="137">
        <f>'LCFS Table'!$AZ94*'LCFS Table'!$CD94</f>
        <v>1</v>
      </c>
      <c r="BK94" s="137">
        <f>'LCFS Table'!$BA94*'LCFS Table'!$CE94</f>
        <v>1.1235000000000002</v>
      </c>
      <c r="BL94" s="137">
        <f>'LCFS Table'!$BB94*'LCFS Table'!$CF94</f>
        <v>-1.2</v>
      </c>
      <c r="BM94" s="137">
        <f>'LCFS Table'!$AS94*'LCFS Table'!$CG94</f>
        <v>0</v>
      </c>
      <c r="BN94" s="137">
        <f>'LCFS Table'!$AT94*'LCFS Table'!$CH94</f>
        <v>0.16</v>
      </c>
      <c r="BO94" s="137">
        <f>'LCFS Table'!$AU94*'LCFS Table'!$CI94</f>
        <v>0</v>
      </c>
      <c r="BP94" s="137">
        <f>'LCFS Table'!$AV94*'LCFS Table'!$CJ94</f>
        <v>0</v>
      </c>
      <c r="BQ94" s="137">
        <f>'LCFS Table'!$AW94*'LCFS Table'!$CK94</f>
        <v>0</v>
      </c>
      <c r="BR94" s="137">
        <f>'LCFS Table'!$AX94*'LCFS Table'!$CL94</f>
        <v>0</v>
      </c>
      <c r="BS94" s="137">
        <f>'LCFS Table'!$AY94*'LCFS Table'!$CM94</f>
        <v>0</v>
      </c>
      <c r="BT94" s="137">
        <f>'LCFS Table'!$AZ94*'LCFS Table'!$CN94</f>
        <v>0</v>
      </c>
      <c r="BU94" s="137">
        <f>'LCFS Table'!$BA94*'LCFS Table'!$CO94</f>
        <v>0</v>
      </c>
      <c r="BV94" s="136">
        <f>'LCFS Table'!$BB94*'LCFS Table'!$CP94</f>
        <v>1.2</v>
      </c>
      <c r="BW94" s="138">
        <v>1</v>
      </c>
      <c r="BX94" s="138">
        <v>0</v>
      </c>
      <c r="BY94" s="138">
        <v>1</v>
      </c>
      <c r="BZ94" s="138">
        <v>1</v>
      </c>
      <c r="CA94" s="138">
        <v>-1</v>
      </c>
      <c r="CB94" s="138">
        <v>1</v>
      </c>
      <c r="CC94" s="138">
        <v>0</v>
      </c>
      <c r="CD94" s="138">
        <v>1</v>
      </c>
      <c r="CE94" s="138">
        <v>1</v>
      </c>
      <c r="CF94" s="138">
        <v>-1</v>
      </c>
      <c r="CG94" s="138">
        <f>1-'LCFS Table'!$BW94</f>
        <v>0</v>
      </c>
      <c r="CH94" s="138">
        <f>1-'LCFS Table'!$BX94</f>
        <v>1</v>
      </c>
      <c r="CI94" s="138">
        <f>1-'LCFS Table'!$BY94</f>
        <v>0</v>
      </c>
      <c r="CJ94" s="138">
        <f>1-'LCFS Table'!$BZ94</f>
        <v>0</v>
      </c>
      <c r="CK94" s="138">
        <f>-'LCFS Table'!$CA94</f>
        <v>1</v>
      </c>
      <c r="CL94" s="138">
        <f>1-'LCFS Table'!$CB94</f>
        <v>0</v>
      </c>
      <c r="CM94" s="138">
        <f>1-'LCFS Table'!$CC94</f>
        <v>1</v>
      </c>
      <c r="CN94" s="138">
        <f>1-'LCFS Table'!$CD94</f>
        <v>0</v>
      </c>
      <c r="CO94" s="138">
        <f>1-'LCFS Table'!$CE94</f>
        <v>0</v>
      </c>
      <c r="CP94" s="138">
        <f>-'LCFS Table'!$CF94</f>
        <v>1</v>
      </c>
      <c r="CQ94" s="140">
        <v>4.375</v>
      </c>
      <c r="CR94" s="165">
        <f>('LCFS Table'!$CQ94*0.9/(0.8/0.99)/100)</f>
        <v>4.8726562499999994E-2</v>
      </c>
      <c r="CS94" s="166"/>
      <c r="CT94" s="167"/>
      <c r="CW94" s="168">
        <f>'LCFS Table'!$K94-'LCFS Table'!$M94</f>
        <v>0.45114062810999989</v>
      </c>
      <c r="CX94" s="129">
        <f>MONTH('LCFS Table'!$B94)</f>
        <v>10</v>
      </c>
      <c r="CY94" s="129">
        <f>YEAR('LCFS Table'!$B94)</f>
        <v>2020</v>
      </c>
    </row>
    <row r="95" spans="1:103">
      <c r="A95" s="148">
        <v>44108</v>
      </c>
      <c r="B95" s="149">
        <v>44114</v>
      </c>
      <c r="C95" s="132">
        <f t="shared" si="1"/>
        <v>2020</v>
      </c>
      <c r="D95" s="182" t="s">
        <v>297</v>
      </c>
      <c r="E95" s="187">
        <f>'LCFS Table'!$K95-'LCFS Table'!$I95</f>
        <v>-1.8965847309136423</v>
      </c>
      <c r="F95" s="187">
        <f>('LCFS Table'!$M95)-'LCFS Table'!$J95</f>
        <v>-2.8717916678949997</v>
      </c>
      <c r="G95" s="188">
        <f>'LCFS Table'!$E95+'LCFS Table'!$AS95+'LCFS Table'!$AT95+'LCFS Table'!$AU95+'LCFS Table'!$AV95</f>
        <v>2.2595307733803556</v>
      </c>
      <c r="H95" s="188">
        <f>'LCFS Table'!$F95+'LCFS Table'!$AX95+'LCFS Table'!$AY95+'LCFS Table'!$AZ95+'LCFS Table'!$BA95+('LCFS Table'!$CQ95*0.9/(0.8/0.99)/100)+(DG95*'LCFS Table'!$AF95)+(DF95*'LCFS Table'!$AG95)</f>
        <v>0.48538242187500008</v>
      </c>
      <c r="I95" s="187">
        <f>('LCFS Table'!$V95+'LCFS Table'!$W95+'LCFS Table'!$X95)/100+(('LCFS Table'!$AI95+'LCFS Table'!$AJ95)/340)</f>
        <v>3.0802847309136423</v>
      </c>
      <c r="J95" s="187">
        <f>(('LCFS Table'!$Y95+'LCFS Table'!$Z95)/100)+(('LCFS Table'!$AM95+'LCFS Table'!$AN95)/300)</f>
        <v>3.4883441406249998</v>
      </c>
      <c r="K95" s="140">
        <f>'[1]Fuel Values'!$C94</f>
        <v>1.1837</v>
      </c>
      <c r="L95" s="140">
        <f>'[1]Fuel Values'!$B94</f>
        <v>392.5</v>
      </c>
      <c r="M95" s="185">
        <f>('LCFS Table'!$L95/100)-'LCFS Table'!$AX95-'LCFS Table'!$AY95-'LCFS Table'!$AZ95-'LCFS Table'!$BA95</f>
        <v>0.61655247273000002</v>
      </c>
      <c r="N95" s="140">
        <f>[1]BFT!$B94</f>
        <v>31.5</v>
      </c>
      <c r="O95" s="140">
        <f>[1]UCO!$B94</f>
        <v>30.125</v>
      </c>
      <c r="P95" s="140">
        <f>[1]DCO!$B94</f>
        <v>30.5</v>
      </c>
      <c r="Q95" s="140">
        <f>'[1]Soybean Oil'!$B94</f>
        <v>36.887999999999998</v>
      </c>
      <c r="R95" s="140">
        <f>'[1]Yellow Grease'!$B94</f>
        <v>24.5</v>
      </c>
      <c r="S95" s="185">
        <f>'LCFS Table'!$N95 + 'LCFS Table'!$AH95</f>
        <v>35.875</v>
      </c>
      <c r="T95" s="185">
        <f>'LCFS Table'!$Q95+'LCFS Table'!$AH95</f>
        <v>41.262999999999998</v>
      </c>
      <c r="U95" s="185">
        <f>'LCFS Table'!$P95+'LCFS Table'!$AH95</f>
        <v>34.875</v>
      </c>
      <c r="V95" s="185">
        <f>(('LCFS Table'!$S95/'LCFS Table'!$AA95)*'LCFS Table'!$AC95)*6.48</f>
        <v>123.65425531914894</v>
      </c>
      <c r="W95" s="185">
        <f>(('LCFS Table'!$O95/'LCFS Table'!$AA95)*'LCFS Table'!$AD95)*6.48</f>
        <v>51.917553191489368</v>
      </c>
      <c r="X95" s="185">
        <f>(('LCFS Table'!$U95/'LCFS Table'!$AA95)*'LCFS Table'!$AE95)*6.48</f>
        <v>60.103723404255327</v>
      </c>
      <c r="Y95" s="185">
        <f>(('LCFS Table'!$T95/'LCFS Table'!$AB95)*'LCFS Table'!$AF95)*7.35</f>
        <v>236.9398828125</v>
      </c>
      <c r="Z95" s="185">
        <f>(('LCFS Table'!$R95/'LCFS Table'!$AB95)*'LCFS Table'!$AG95)*7.35</f>
        <v>46.89453125</v>
      </c>
      <c r="AA95" s="138">
        <v>0.94</v>
      </c>
      <c r="AB95" s="138">
        <v>0.96</v>
      </c>
      <c r="AC95" s="138">
        <v>0.5</v>
      </c>
      <c r="AD95" s="138">
        <v>0.25</v>
      </c>
      <c r="AE95" s="138">
        <v>0.25</v>
      </c>
      <c r="AF95" s="138">
        <v>0.75</v>
      </c>
      <c r="AG95" s="138">
        <v>0.25</v>
      </c>
      <c r="AH95" s="139">
        <v>4.375</v>
      </c>
      <c r="AI95" s="139">
        <v>136</v>
      </c>
      <c r="AJ95" s="139">
        <v>110</v>
      </c>
      <c r="AK95" s="186">
        <f>('LCFS Table'!$AI95/340)*100</f>
        <v>40</v>
      </c>
      <c r="AL95" s="186">
        <f>('LCFS Table'!$AJ95/340)*100</f>
        <v>32.352941176470587</v>
      </c>
      <c r="AM95" s="139">
        <v>105</v>
      </c>
      <c r="AN95" s="139">
        <v>90</v>
      </c>
      <c r="AO95" s="139">
        <f>('LCFS Table'!$AM95/300)*100</f>
        <v>35</v>
      </c>
      <c r="AP95" s="139">
        <f>('LCFS Table'!$AN95/300)*100</f>
        <v>30</v>
      </c>
      <c r="AQ95" s="140">
        <v>194.8</v>
      </c>
      <c r="AR95" s="140">
        <v>0.77249999999999996</v>
      </c>
      <c r="AS95" s="185">
        <v>1.6828655042939982</v>
      </c>
      <c r="AT95" s="137">
        <v>0.16</v>
      </c>
      <c r="AU95" s="137">
        <v>1</v>
      </c>
      <c r="AV95" s="185">
        <f>'LCFS Table'!$AR95*1.7</f>
        <v>1.3132499999999998</v>
      </c>
      <c r="AW95" s="137">
        <v>0</v>
      </c>
      <c r="AX95" s="185">
        <v>1.1496975272699999</v>
      </c>
      <c r="AY95" s="137">
        <v>0</v>
      </c>
      <c r="AZ95" s="141">
        <v>1</v>
      </c>
      <c r="BA95" s="185">
        <f>'LCFS Table'!$AR95*1.5</f>
        <v>1.1587499999999999</v>
      </c>
      <c r="BB95" s="136">
        <v>1.2</v>
      </c>
      <c r="BC95" s="185">
        <f>'LCFS Table'!$AS95*'LCFS Table'!$BW95</f>
        <v>1.6828655042939982</v>
      </c>
      <c r="BD95" s="185">
        <f>'LCFS Table'!$AT95*'LCFS Table'!$BX95</f>
        <v>0</v>
      </c>
      <c r="BE95" s="185">
        <f>'LCFS Table'!$AU95*'LCFS Table'!$BY95</f>
        <v>1</v>
      </c>
      <c r="BF95" s="137">
        <f>'LCFS Table'!$AV95*'LCFS Table'!$BZ95</f>
        <v>1.3132499999999998</v>
      </c>
      <c r="BG95" s="137">
        <f>'LCFS Table'!$AW95*'LCFS Table'!$CA95</f>
        <v>0</v>
      </c>
      <c r="BH95" s="137">
        <f>'LCFS Table'!$AX95*'LCFS Table'!$CB95</f>
        <v>1.1496975272699999</v>
      </c>
      <c r="BI95" s="137">
        <f>'LCFS Table'!$AY95*'LCFS Table'!$CC95</f>
        <v>0</v>
      </c>
      <c r="BJ95" s="137">
        <f>'LCFS Table'!$AZ95*'LCFS Table'!$CD95</f>
        <v>1</v>
      </c>
      <c r="BK95" s="137">
        <f>'LCFS Table'!$BA95*'LCFS Table'!$CE95</f>
        <v>1.1587499999999999</v>
      </c>
      <c r="BL95" s="137">
        <f>'LCFS Table'!$BB95*'LCFS Table'!$CF95</f>
        <v>-1.2</v>
      </c>
      <c r="BM95" s="137">
        <f>'LCFS Table'!$AS95*'LCFS Table'!$CG95</f>
        <v>0</v>
      </c>
      <c r="BN95" s="137">
        <f>'LCFS Table'!$AT95*'LCFS Table'!$CH95</f>
        <v>0.16</v>
      </c>
      <c r="BO95" s="137">
        <f>'LCFS Table'!$AU95*'LCFS Table'!$CI95</f>
        <v>0</v>
      </c>
      <c r="BP95" s="137">
        <f>'LCFS Table'!$AV95*'LCFS Table'!$CJ95</f>
        <v>0</v>
      </c>
      <c r="BQ95" s="137">
        <f>'LCFS Table'!$AW95*'LCFS Table'!$CK95</f>
        <v>0</v>
      </c>
      <c r="BR95" s="137">
        <f>'LCFS Table'!$AX95*'LCFS Table'!$CL95</f>
        <v>0</v>
      </c>
      <c r="BS95" s="137">
        <f>'LCFS Table'!$AY95*'LCFS Table'!$CM95</f>
        <v>0</v>
      </c>
      <c r="BT95" s="137">
        <f>'LCFS Table'!$AZ95*'LCFS Table'!$CN95</f>
        <v>0</v>
      </c>
      <c r="BU95" s="137">
        <f>'LCFS Table'!$BA95*'LCFS Table'!$CO95</f>
        <v>0</v>
      </c>
      <c r="BV95" s="136">
        <f>'LCFS Table'!$BB95*'LCFS Table'!$CP95</f>
        <v>1.2</v>
      </c>
      <c r="BW95" s="138">
        <v>1</v>
      </c>
      <c r="BX95" s="138">
        <v>0</v>
      </c>
      <c r="BY95" s="138">
        <v>1</v>
      </c>
      <c r="BZ95" s="138">
        <v>1</v>
      </c>
      <c r="CA95" s="138">
        <v>-1</v>
      </c>
      <c r="CB95" s="138">
        <v>1</v>
      </c>
      <c r="CC95" s="138">
        <v>0</v>
      </c>
      <c r="CD95" s="138">
        <v>1</v>
      </c>
      <c r="CE95" s="138">
        <v>1</v>
      </c>
      <c r="CF95" s="138">
        <v>-1</v>
      </c>
      <c r="CG95" s="138">
        <f>1-'LCFS Table'!$BW95</f>
        <v>0</v>
      </c>
      <c r="CH95" s="138">
        <f>1-'LCFS Table'!$BX95</f>
        <v>1</v>
      </c>
      <c r="CI95" s="138">
        <f>1-'LCFS Table'!$BY95</f>
        <v>0</v>
      </c>
      <c r="CJ95" s="138">
        <f>1-'LCFS Table'!$BZ95</f>
        <v>0</v>
      </c>
      <c r="CK95" s="138">
        <f>-'LCFS Table'!$CA95</f>
        <v>1</v>
      </c>
      <c r="CL95" s="138">
        <f>1-'LCFS Table'!$CB95</f>
        <v>0</v>
      </c>
      <c r="CM95" s="138">
        <f>1-'LCFS Table'!$CC95</f>
        <v>1</v>
      </c>
      <c r="CN95" s="138">
        <f>1-'LCFS Table'!$CD95</f>
        <v>0</v>
      </c>
      <c r="CO95" s="138">
        <f>1-'LCFS Table'!$CE95</f>
        <v>0</v>
      </c>
      <c r="CP95" s="138">
        <f>-'LCFS Table'!$CF95</f>
        <v>1</v>
      </c>
      <c r="CQ95" s="140">
        <v>4.375</v>
      </c>
      <c r="CR95" s="165">
        <f>('LCFS Table'!$CQ95*0.9/(0.8/0.99)/100)</f>
        <v>4.8726562499999994E-2</v>
      </c>
      <c r="CS95" s="166"/>
      <c r="CT95" s="167"/>
      <c r="CW95" s="168">
        <f>'LCFS Table'!$K95-'LCFS Table'!$M95</f>
        <v>0.56714752726999995</v>
      </c>
      <c r="CX95" s="129">
        <f>MONTH('LCFS Table'!$B95)</f>
        <v>10</v>
      </c>
      <c r="CY95" s="129">
        <f>YEAR('LCFS Table'!$B95)</f>
        <v>2020</v>
      </c>
    </row>
    <row r="96" spans="1:103">
      <c r="A96" s="148">
        <v>44115</v>
      </c>
      <c r="B96" s="149">
        <v>44121</v>
      </c>
      <c r="C96" s="132">
        <f t="shared" si="1"/>
        <v>2020</v>
      </c>
      <c r="D96" s="150" t="s">
        <v>298</v>
      </c>
      <c r="E96" s="187">
        <f>'LCFS Table'!$K96-'LCFS Table'!$I96</f>
        <v>-1.8929847309136423</v>
      </c>
      <c r="F96" s="187">
        <f>('LCFS Table'!$M96)-'LCFS Table'!$J96</f>
        <v>-2.9216052713612495</v>
      </c>
      <c r="G96" s="188">
        <f>'LCFS Table'!$E96+'LCFS Table'!$AS96+'LCFS Table'!$AT96+'LCFS Table'!$AU96+'LCFS Table'!$AV96</f>
        <v>2.3061460843546424</v>
      </c>
      <c r="H96" s="188">
        <f>'LCFS Table'!$F96+'LCFS Table'!$AX96+'LCFS Table'!$AY96+'LCFS Table'!$AZ96+'LCFS Table'!$BA96+('LCFS Table'!$CQ96*0.9/(0.8/0.99)/100)+(DG96*'LCFS Table'!$AF96)+(DF96*'LCFS Table'!$AG96)</f>
        <v>0.47574632812500001</v>
      </c>
      <c r="I96" s="187">
        <f>('LCFS Table'!$V96+'LCFS Table'!$W96+'LCFS Table'!$X96)/100+(('LCFS Table'!$AI96+'LCFS Table'!$AJ96)/340)</f>
        <v>3.0802847309136423</v>
      </c>
      <c r="J96" s="187">
        <f>(('LCFS Table'!$Y96+'LCFS Table'!$Z96)/100)+(('LCFS Table'!$AM96+'LCFS Table'!$AN96)/300)</f>
        <v>3.5013214843749996</v>
      </c>
      <c r="K96" s="140">
        <f>'[1]Fuel Values'!$C95</f>
        <v>1.1873</v>
      </c>
      <c r="L96" s="140">
        <f>'[1]Fuel Values'!$B95</f>
        <v>392.5</v>
      </c>
      <c r="M96" s="185">
        <f>('LCFS Table'!$L96/100)-'LCFS Table'!$AX96-'LCFS Table'!$AY96-'LCFS Table'!$AZ96-'LCFS Table'!$BA96</f>
        <v>0.57971621301375009</v>
      </c>
      <c r="N96" s="140">
        <f>[1]BFT!$B95</f>
        <v>31.5</v>
      </c>
      <c r="O96" s="140">
        <f>[1]UCO!$B95</f>
        <v>30.125</v>
      </c>
      <c r="P96" s="140">
        <f>[1]DCO!$B95</f>
        <v>30.5</v>
      </c>
      <c r="Q96" s="140">
        <f>'[1]Soybean Oil'!$B95</f>
        <v>37.113999999999997</v>
      </c>
      <c r="R96" s="140">
        <f>'[1]Yellow Grease'!$B95</f>
        <v>24.5</v>
      </c>
      <c r="S96" s="185">
        <f>'LCFS Table'!$N96 + 'LCFS Table'!$AH96</f>
        <v>35.875</v>
      </c>
      <c r="T96" s="185">
        <f>'LCFS Table'!$Q96+'LCFS Table'!$AH96</f>
        <v>41.488999999999997</v>
      </c>
      <c r="U96" s="185">
        <f>'LCFS Table'!$P96+'LCFS Table'!$AH96</f>
        <v>34.875</v>
      </c>
      <c r="V96" s="185">
        <f>(('LCFS Table'!$S96/'LCFS Table'!$AA96)*'LCFS Table'!$AC96)*6.48</f>
        <v>123.65425531914894</v>
      </c>
      <c r="W96" s="185">
        <f>(('LCFS Table'!$O96/'LCFS Table'!$AA96)*'LCFS Table'!$AD96)*6.48</f>
        <v>51.917553191489368</v>
      </c>
      <c r="X96" s="185">
        <f>(('LCFS Table'!$U96/'LCFS Table'!$AA96)*'LCFS Table'!$AE96)*6.48</f>
        <v>60.103723404255327</v>
      </c>
      <c r="Y96" s="185">
        <f>(('LCFS Table'!$T96/'LCFS Table'!$AB96)*'LCFS Table'!$AF96)*7.35</f>
        <v>238.23761718749998</v>
      </c>
      <c r="Z96" s="185">
        <f>(('LCFS Table'!$R96/'LCFS Table'!$AB96)*'LCFS Table'!$AG96)*7.35</f>
        <v>46.89453125</v>
      </c>
      <c r="AA96" s="138">
        <v>0.94</v>
      </c>
      <c r="AB96" s="138">
        <v>0.96</v>
      </c>
      <c r="AC96" s="138">
        <v>0.5</v>
      </c>
      <c r="AD96" s="138">
        <v>0.25</v>
      </c>
      <c r="AE96" s="138">
        <v>0.25</v>
      </c>
      <c r="AF96" s="138">
        <v>0.75</v>
      </c>
      <c r="AG96" s="138">
        <v>0.25</v>
      </c>
      <c r="AH96" s="139">
        <v>4.375</v>
      </c>
      <c r="AI96" s="139">
        <v>136</v>
      </c>
      <c r="AJ96" s="139">
        <v>110</v>
      </c>
      <c r="AK96" s="186">
        <f>('LCFS Table'!$AI96/340)*100</f>
        <v>40</v>
      </c>
      <c r="AL96" s="186">
        <f>('LCFS Table'!$AJ96/340)*100</f>
        <v>32.352941176470587</v>
      </c>
      <c r="AM96" s="139">
        <v>105</v>
      </c>
      <c r="AN96" s="139">
        <v>90</v>
      </c>
      <c r="AO96" s="139">
        <f>('LCFS Table'!$AM96/300)*100</f>
        <v>35</v>
      </c>
      <c r="AP96" s="139">
        <f>('LCFS Table'!$AN96/300)*100</f>
        <v>30</v>
      </c>
      <c r="AQ96" s="140">
        <v>195.45</v>
      </c>
      <c r="AR96" s="140">
        <v>0.79449999999999998</v>
      </c>
      <c r="AS96" s="185">
        <v>1.6884808152682846</v>
      </c>
      <c r="AT96" s="137">
        <v>0.16</v>
      </c>
      <c r="AU96" s="137">
        <v>1</v>
      </c>
      <c r="AV96" s="185">
        <f>'LCFS Table'!$AR96*1.7</f>
        <v>1.3506499999999999</v>
      </c>
      <c r="AW96" s="137">
        <v>0</v>
      </c>
      <c r="AX96" s="185">
        <v>1.1535337869862496</v>
      </c>
      <c r="AY96" s="137">
        <v>0</v>
      </c>
      <c r="AZ96" s="141">
        <v>1</v>
      </c>
      <c r="BA96" s="185">
        <f>'LCFS Table'!$AR96*1.5</f>
        <v>1.1917499999999999</v>
      </c>
      <c r="BB96" s="136">
        <v>1.2</v>
      </c>
      <c r="BC96" s="185">
        <f>'LCFS Table'!$AS96*'LCFS Table'!$BW96</f>
        <v>1.6884808152682846</v>
      </c>
      <c r="BD96" s="185">
        <f>'LCFS Table'!$AT96*'LCFS Table'!$BX96</f>
        <v>0</v>
      </c>
      <c r="BE96" s="185">
        <f>'LCFS Table'!$AU96*'LCFS Table'!$BY96</f>
        <v>1</v>
      </c>
      <c r="BF96" s="137">
        <f>'LCFS Table'!$AV96*'LCFS Table'!$BZ96</f>
        <v>1.3506499999999999</v>
      </c>
      <c r="BG96" s="137">
        <f>'LCFS Table'!$AW96*'LCFS Table'!$CA96</f>
        <v>0</v>
      </c>
      <c r="BH96" s="137">
        <f>'LCFS Table'!$AX96*'LCFS Table'!$CB96</f>
        <v>1.1535337869862496</v>
      </c>
      <c r="BI96" s="137">
        <f>'LCFS Table'!$AY96*'LCFS Table'!$CC96</f>
        <v>0</v>
      </c>
      <c r="BJ96" s="137">
        <f>'LCFS Table'!$AZ96*'LCFS Table'!$CD96</f>
        <v>1</v>
      </c>
      <c r="BK96" s="137">
        <f>'LCFS Table'!$BA96*'LCFS Table'!$CE96</f>
        <v>1.1917499999999999</v>
      </c>
      <c r="BL96" s="137">
        <f>'LCFS Table'!$BB96*'LCFS Table'!$CF96</f>
        <v>-1.2</v>
      </c>
      <c r="BM96" s="137">
        <f>'LCFS Table'!$AS96*'LCFS Table'!$CG96</f>
        <v>0</v>
      </c>
      <c r="BN96" s="137">
        <f>'LCFS Table'!$AT96*'LCFS Table'!$CH96</f>
        <v>0.16</v>
      </c>
      <c r="BO96" s="137">
        <f>'LCFS Table'!$AU96*'LCFS Table'!$CI96</f>
        <v>0</v>
      </c>
      <c r="BP96" s="137">
        <f>'LCFS Table'!$AV96*'LCFS Table'!$CJ96</f>
        <v>0</v>
      </c>
      <c r="BQ96" s="137">
        <f>'LCFS Table'!$AW96*'LCFS Table'!$CK96</f>
        <v>0</v>
      </c>
      <c r="BR96" s="137">
        <f>'LCFS Table'!$AX96*'LCFS Table'!$CL96</f>
        <v>0</v>
      </c>
      <c r="BS96" s="137">
        <f>'LCFS Table'!$AY96*'LCFS Table'!$CM96</f>
        <v>0</v>
      </c>
      <c r="BT96" s="137">
        <f>'LCFS Table'!$AZ96*'LCFS Table'!$CN96</f>
        <v>0</v>
      </c>
      <c r="BU96" s="137">
        <f>'LCFS Table'!$BA96*'LCFS Table'!$CO96</f>
        <v>0</v>
      </c>
      <c r="BV96" s="136">
        <f>'LCFS Table'!$BB96*'LCFS Table'!$CP96</f>
        <v>1.2</v>
      </c>
      <c r="BW96" s="138">
        <v>1</v>
      </c>
      <c r="BX96" s="138">
        <v>0</v>
      </c>
      <c r="BY96" s="138">
        <v>1</v>
      </c>
      <c r="BZ96" s="138">
        <v>1</v>
      </c>
      <c r="CA96" s="138">
        <v>-1</v>
      </c>
      <c r="CB96" s="138">
        <v>1</v>
      </c>
      <c r="CC96" s="138">
        <v>0</v>
      </c>
      <c r="CD96" s="138">
        <v>1</v>
      </c>
      <c r="CE96" s="138">
        <v>1</v>
      </c>
      <c r="CF96" s="138">
        <v>-1</v>
      </c>
      <c r="CG96" s="138">
        <f>1-'LCFS Table'!$BW96</f>
        <v>0</v>
      </c>
      <c r="CH96" s="138">
        <f>1-'LCFS Table'!$BX96</f>
        <v>1</v>
      </c>
      <c r="CI96" s="138">
        <f>1-'LCFS Table'!$BY96</f>
        <v>0</v>
      </c>
      <c r="CJ96" s="138">
        <f>1-'LCFS Table'!$BZ96</f>
        <v>0</v>
      </c>
      <c r="CK96" s="138">
        <f>-'LCFS Table'!$CA96</f>
        <v>1</v>
      </c>
      <c r="CL96" s="138">
        <f>1-'LCFS Table'!$CB96</f>
        <v>0</v>
      </c>
      <c r="CM96" s="138">
        <f>1-'LCFS Table'!$CC96</f>
        <v>1</v>
      </c>
      <c r="CN96" s="138">
        <f>1-'LCFS Table'!$CD96</f>
        <v>0</v>
      </c>
      <c r="CO96" s="138">
        <f>1-'LCFS Table'!$CE96</f>
        <v>0</v>
      </c>
      <c r="CP96" s="138">
        <f>-'LCFS Table'!$CF96</f>
        <v>1</v>
      </c>
      <c r="CQ96" s="140">
        <v>4.6749999999999998</v>
      </c>
      <c r="CR96" s="165">
        <f>('LCFS Table'!$CQ96*0.9/(0.8/0.99)/100)</f>
        <v>5.2067812499999991E-2</v>
      </c>
      <c r="CS96" s="166"/>
      <c r="CT96" s="167"/>
      <c r="CW96" s="168">
        <f>'LCFS Table'!$K96-'LCFS Table'!$M96</f>
        <v>0.60758378698624993</v>
      </c>
      <c r="CX96" s="129">
        <f>MONTH('LCFS Table'!$B96)</f>
        <v>10</v>
      </c>
      <c r="CY96" s="129">
        <f>YEAR('LCFS Table'!$B96)</f>
        <v>2020</v>
      </c>
    </row>
    <row r="97" spans="1:103">
      <c r="A97" s="148">
        <v>44122</v>
      </c>
      <c r="B97" s="149">
        <v>44128</v>
      </c>
      <c r="C97" s="132">
        <f t="shared" si="1"/>
        <v>2020</v>
      </c>
      <c r="D97" s="182" t="s">
        <v>299</v>
      </c>
      <c r="E97" s="187">
        <f>'LCFS Table'!$K97-'LCFS Table'!$I97</f>
        <v>-1.9273719649561958</v>
      </c>
      <c r="F97" s="187">
        <f>('LCFS Table'!$M97)-'LCFS Table'!$J97</f>
        <v>-2.9133143774537498</v>
      </c>
      <c r="G97" s="188">
        <f>'LCFS Table'!$E97+'LCFS Table'!$AS97+'LCFS Table'!$AT97+'LCFS Table'!$AU97+'LCFS Table'!$AV97</f>
        <v>2.2955171683239568</v>
      </c>
      <c r="H97" s="188">
        <f>'LCFS Table'!$F97+'LCFS Table'!$AX97+'LCFS Table'!$AY97+'LCFS Table'!$AZ97+'LCFS Table'!$BA97+('LCFS Table'!$CQ97*0.9/(0.8/0.99)/100)+(DG97*'LCFS Table'!$AF97)+(DF97*'LCFS Table'!$AG97)</f>
        <v>0.50746570312500017</v>
      </c>
      <c r="I97" s="187">
        <f>('LCFS Table'!$V97+'LCFS Table'!$W97+'LCFS Table'!$X97)/100+(('LCFS Table'!$AI97+'LCFS Table'!$AJ97)/340)</f>
        <v>3.0940719649561959</v>
      </c>
      <c r="J97" s="187">
        <f>(('LCFS Table'!$Y97+'LCFS Table'!$Z97)/100)+(('LCFS Table'!$AM97+'LCFS Table'!$AN97)/300)</f>
        <v>3.5015511718749996</v>
      </c>
      <c r="K97" s="140">
        <f>'[1]Fuel Values'!$C96</f>
        <v>1.1667000000000001</v>
      </c>
      <c r="L97" s="140">
        <f>'[1]Fuel Values'!$B96</f>
        <v>395.5</v>
      </c>
      <c r="M97" s="185">
        <f>('LCFS Table'!$L97/100)-'LCFS Table'!$AX97-'LCFS Table'!$AY97-'LCFS Table'!$AZ97-'LCFS Table'!$BA97</f>
        <v>0.5882367944212501</v>
      </c>
      <c r="N97" s="140">
        <f>[1]BFT!$B96</f>
        <v>31.6</v>
      </c>
      <c r="O97" s="140">
        <f>[1]UCO!$B96</f>
        <v>30.125</v>
      </c>
      <c r="P97" s="140">
        <f>[1]DCO!$B96</f>
        <v>31.1</v>
      </c>
      <c r="Q97" s="140">
        <f>'[1]Soybean Oil'!$B96</f>
        <v>37.118000000000002</v>
      </c>
      <c r="R97" s="140">
        <f>'[1]Yellow Grease'!$B96</f>
        <v>24.5</v>
      </c>
      <c r="S97" s="185">
        <f>'LCFS Table'!$N97 + 'LCFS Table'!$AH97</f>
        <v>35.975000000000001</v>
      </c>
      <c r="T97" s="185">
        <f>'LCFS Table'!$Q97+'LCFS Table'!$AH97</f>
        <v>41.493000000000002</v>
      </c>
      <c r="U97" s="185">
        <f>'LCFS Table'!$P97+'LCFS Table'!$AH97</f>
        <v>35.475000000000001</v>
      </c>
      <c r="V97" s="185">
        <f>(('LCFS Table'!$S97/'LCFS Table'!$AA97)*'LCFS Table'!$AC97)*6.48</f>
        <v>123.9989361702128</v>
      </c>
      <c r="W97" s="185">
        <f>(('LCFS Table'!$O97/'LCFS Table'!$AA97)*'LCFS Table'!$AD97)*6.48</f>
        <v>51.917553191489368</v>
      </c>
      <c r="X97" s="185">
        <f>(('LCFS Table'!$U97/'LCFS Table'!$AA97)*'LCFS Table'!$AE97)*6.48</f>
        <v>61.13776595744681</v>
      </c>
      <c r="Y97" s="185">
        <f>(('LCFS Table'!$T97/'LCFS Table'!$AB97)*'LCFS Table'!$AF97)*7.35</f>
        <v>238.2605859375</v>
      </c>
      <c r="Z97" s="185">
        <f>(('LCFS Table'!$R97/'LCFS Table'!$AB97)*'LCFS Table'!$AG97)*7.35</f>
        <v>46.89453125</v>
      </c>
      <c r="AA97" s="138">
        <v>0.94</v>
      </c>
      <c r="AB97" s="138">
        <v>0.96</v>
      </c>
      <c r="AC97" s="138">
        <v>0.5</v>
      </c>
      <c r="AD97" s="138">
        <v>0.25</v>
      </c>
      <c r="AE97" s="138">
        <v>0.25</v>
      </c>
      <c r="AF97" s="138">
        <v>0.75</v>
      </c>
      <c r="AG97" s="138">
        <v>0.25</v>
      </c>
      <c r="AH97" s="139">
        <v>4.375</v>
      </c>
      <c r="AI97" s="139">
        <v>136</v>
      </c>
      <c r="AJ97" s="139">
        <v>110</v>
      </c>
      <c r="AK97" s="186">
        <f>('LCFS Table'!$AI97/340)*100</f>
        <v>40</v>
      </c>
      <c r="AL97" s="186">
        <f>('LCFS Table'!$AJ97/340)*100</f>
        <v>32.352941176470587</v>
      </c>
      <c r="AM97" s="139">
        <v>105</v>
      </c>
      <c r="AN97" s="139">
        <v>90</v>
      </c>
      <c r="AO97" s="139">
        <f>('LCFS Table'!$AM97/300)*100</f>
        <v>35</v>
      </c>
      <c r="AP97" s="139">
        <f>('LCFS Table'!$AN97/300)*100</f>
        <v>30</v>
      </c>
      <c r="AQ97" s="140">
        <v>195.15</v>
      </c>
      <c r="AR97" s="140">
        <v>0.81</v>
      </c>
      <c r="AS97" s="185">
        <v>1.6858891332801524</v>
      </c>
      <c r="AT97" s="137">
        <v>0.16</v>
      </c>
      <c r="AU97" s="137">
        <v>1</v>
      </c>
      <c r="AV97" s="185">
        <f>'LCFS Table'!$AR97*1.7</f>
        <v>1.377</v>
      </c>
      <c r="AW97" s="137">
        <v>0</v>
      </c>
      <c r="AX97" s="185">
        <v>1.1517632055787499</v>
      </c>
      <c r="AY97" s="137">
        <v>0</v>
      </c>
      <c r="AZ97" s="141">
        <v>1</v>
      </c>
      <c r="BA97" s="185">
        <f>'LCFS Table'!$AR97*1.5</f>
        <v>1.2150000000000001</v>
      </c>
      <c r="BB97" s="136">
        <v>1.2</v>
      </c>
      <c r="BC97" s="185">
        <f>'LCFS Table'!$AS97*'LCFS Table'!$BW97</f>
        <v>1.6858891332801524</v>
      </c>
      <c r="BD97" s="185">
        <f>'LCFS Table'!$AT97*'LCFS Table'!$BX97</f>
        <v>0</v>
      </c>
      <c r="BE97" s="185">
        <f>'LCFS Table'!$AU97*'LCFS Table'!$BY97</f>
        <v>1</v>
      </c>
      <c r="BF97" s="137">
        <f>'LCFS Table'!$AV97*'LCFS Table'!$BZ97</f>
        <v>1.377</v>
      </c>
      <c r="BG97" s="137">
        <f>'LCFS Table'!$AW97*'LCFS Table'!$CA97</f>
        <v>0</v>
      </c>
      <c r="BH97" s="137">
        <f>'LCFS Table'!$AX97*'LCFS Table'!$CB97</f>
        <v>1.1517632055787499</v>
      </c>
      <c r="BI97" s="137">
        <f>'LCFS Table'!$AY97*'LCFS Table'!$CC97</f>
        <v>0</v>
      </c>
      <c r="BJ97" s="137">
        <f>'LCFS Table'!$AZ97*'LCFS Table'!$CD97</f>
        <v>1</v>
      </c>
      <c r="BK97" s="137">
        <f>'LCFS Table'!$BA97*'LCFS Table'!$CE97</f>
        <v>1.2150000000000001</v>
      </c>
      <c r="BL97" s="137">
        <f>'LCFS Table'!$BB97*'LCFS Table'!$CF97</f>
        <v>-1.2</v>
      </c>
      <c r="BM97" s="137">
        <f>'LCFS Table'!$AS97*'LCFS Table'!$CG97</f>
        <v>0</v>
      </c>
      <c r="BN97" s="137">
        <f>'LCFS Table'!$AT97*'LCFS Table'!$CH97</f>
        <v>0.16</v>
      </c>
      <c r="BO97" s="137">
        <f>'LCFS Table'!$AU97*'LCFS Table'!$CI97</f>
        <v>0</v>
      </c>
      <c r="BP97" s="137">
        <f>'LCFS Table'!$AV97*'LCFS Table'!$CJ97</f>
        <v>0</v>
      </c>
      <c r="BQ97" s="137">
        <f>'LCFS Table'!$AW97*'LCFS Table'!$CK97</f>
        <v>0</v>
      </c>
      <c r="BR97" s="137">
        <f>'LCFS Table'!$AX97*'LCFS Table'!$CL97</f>
        <v>0</v>
      </c>
      <c r="BS97" s="137">
        <f>'LCFS Table'!$AY97*'LCFS Table'!$CM97</f>
        <v>0</v>
      </c>
      <c r="BT97" s="137">
        <f>'LCFS Table'!$AZ97*'LCFS Table'!$CN97</f>
        <v>0</v>
      </c>
      <c r="BU97" s="137">
        <f>'LCFS Table'!$BA97*'LCFS Table'!$CO97</f>
        <v>0</v>
      </c>
      <c r="BV97" s="136">
        <f>'LCFS Table'!$BB97*'LCFS Table'!$CP97</f>
        <v>1.2</v>
      </c>
      <c r="BW97" s="138">
        <v>1</v>
      </c>
      <c r="BX97" s="138">
        <v>0</v>
      </c>
      <c r="BY97" s="138">
        <v>1</v>
      </c>
      <c r="BZ97" s="138">
        <v>1</v>
      </c>
      <c r="CA97" s="138">
        <v>-1</v>
      </c>
      <c r="CB97" s="138">
        <v>1</v>
      </c>
      <c r="CC97" s="138">
        <v>0</v>
      </c>
      <c r="CD97" s="138">
        <v>1</v>
      </c>
      <c r="CE97" s="138">
        <v>1</v>
      </c>
      <c r="CF97" s="138">
        <v>-1</v>
      </c>
      <c r="CG97" s="138">
        <f>1-'LCFS Table'!$BW97</f>
        <v>0</v>
      </c>
      <c r="CH97" s="138">
        <f>1-'LCFS Table'!$BX97</f>
        <v>1</v>
      </c>
      <c r="CI97" s="138">
        <f>1-'LCFS Table'!$BY97</f>
        <v>0</v>
      </c>
      <c r="CJ97" s="138">
        <f>1-'LCFS Table'!$BZ97</f>
        <v>0</v>
      </c>
      <c r="CK97" s="138">
        <f>-'LCFS Table'!$CA97</f>
        <v>1</v>
      </c>
      <c r="CL97" s="138">
        <f>1-'LCFS Table'!$CB97</f>
        <v>0</v>
      </c>
      <c r="CM97" s="138">
        <f>1-'LCFS Table'!$CC97</f>
        <v>1</v>
      </c>
      <c r="CN97" s="138">
        <f>1-'LCFS Table'!$CD97</f>
        <v>0</v>
      </c>
      <c r="CO97" s="138">
        <f>1-'LCFS Table'!$CE97</f>
        <v>0</v>
      </c>
      <c r="CP97" s="138">
        <f>-'LCFS Table'!$CF97</f>
        <v>1</v>
      </c>
      <c r="CQ97" s="140">
        <v>4.8499999999999996</v>
      </c>
      <c r="CR97" s="165">
        <f>('LCFS Table'!$CQ97*0.9/(0.8/0.99)/100)</f>
        <v>5.4016874999999992E-2</v>
      </c>
      <c r="CS97" s="166"/>
      <c r="CT97" s="167"/>
      <c r="CW97" s="168">
        <f>'LCFS Table'!$K97-'LCFS Table'!$M97</f>
        <v>0.57846320557874997</v>
      </c>
      <c r="CX97" s="129">
        <f>MONTH('LCFS Table'!$B97)</f>
        <v>10</v>
      </c>
      <c r="CY97" s="129">
        <f>YEAR('LCFS Table'!$B97)</f>
        <v>2020</v>
      </c>
    </row>
    <row r="98" spans="1:103">
      <c r="A98" s="148">
        <v>44129</v>
      </c>
      <c r="B98" s="149">
        <v>44135</v>
      </c>
      <c r="C98" s="132">
        <f t="shared" si="1"/>
        <v>2020</v>
      </c>
      <c r="D98" s="182" t="s">
        <v>300</v>
      </c>
      <c r="E98" s="187">
        <f>'LCFS Table'!$K98-'LCFS Table'!$I98</f>
        <v>-1.9972230287859829</v>
      </c>
      <c r="F98" s="187">
        <f>('LCFS Table'!$M98)-'LCFS Table'!$J98</f>
        <v>-2.9154169089662503</v>
      </c>
      <c r="G98" s="188">
        <f>'LCFS Table'!$E98+'LCFS Table'!$AS98+'LCFS Table'!$AT98+'LCFS Table'!$AU98+'LCFS Table'!$AV98</f>
        <v>2.2563355744743903</v>
      </c>
      <c r="H98" s="188">
        <f>'LCFS Table'!$F98+'LCFS Table'!$AX98+'LCFS Table'!$AY98+'LCFS Table'!$AZ98+'LCFS Table'!$BA98+('LCFS Table'!$CQ98*0.9/(0.8/0.99)/100)+(DG98*'LCFS Table'!$AF98)+(DF98*'LCFS Table'!$AG98)</f>
        <v>0.54186632812499969</v>
      </c>
      <c r="I98" s="187">
        <f>('LCFS Table'!$V98+'LCFS Table'!$W98+'LCFS Table'!$X98)/100+(('LCFS Table'!$AI98+'LCFS Table'!$AJ98)/340)</f>
        <v>3.1199230287859829</v>
      </c>
      <c r="J98" s="187">
        <f>(('LCFS Table'!$Y98+'LCFS Table'!$Z98)/100)+(('LCFS Table'!$AM98+'LCFS Table'!$AN98)/300)</f>
        <v>3.5224527343749998</v>
      </c>
      <c r="K98" s="140">
        <f>'[1]Fuel Values'!$C97</f>
        <v>1.1227</v>
      </c>
      <c r="L98" s="140">
        <f>'[1]Fuel Values'!$B97</f>
        <v>400</v>
      </c>
      <c r="M98" s="185">
        <f>('LCFS Table'!$L98/100)-'LCFS Table'!$AX98-'LCFS Table'!$AY98-'LCFS Table'!$AZ98-'LCFS Table'!$BA98</f>
        <v>0.60703582540874979</v>
      </c>
      <c r="N98" s="140">
        <f>[1]BFT!$B97</f>
        <v>32</v>
      </c>
      <c r="O98" s="140">
        <f>[1]UCO!$B97</f>
        <v>30.125</v>
      </c>
      <c r="P98" s="140">
        <f>[1]DCO!$B97</f>
        <v>31.8</v>
      </c>
      <c r="Q98" s="140">
        <f>'[1]Soybean Oil'!$B97</f>
        <v>37.481999999999999</v>
      </c>
      <c r="R98" s="140">
        <f>'[1]Yellow Grease'!$B97</f>
        <v>24.5</v>
      </c>
      <c r="S98" s="185">
        <f>'LCFS Table'!$N98 + 'LCFS Table'!$AH98</f>
        <v>36.375</v>
      </c>
      <c r="T98" s="185">
        <f>'LCFS Table'!$Q98+'LCFS Table'!$AH98</f>
        <v>41.856999999999999</v>
      </c>
      <c r="U98" s="185">
        <f>'LCFS Table'!$P98+'LCFS Table'!$AH98</f>
        <v>36.174999999999997</v>
      </c>
      <c r="V98" s="185">
        <f>(('LCFS Table'!$S98/'LCFS Table'!$AA98)*'LCFS Table'!$AC98)*6.48</f>
        <v>125.3776595744681</v>
      </c>
      <c r="W98" s="185">
        <f>(('LCFS Table'!$O98/'LCFS Table'!$AA98)*'LCFS Table'!$AD98)*6.48</f>
        <v>51.917553191489368</v>
      </c>
      <c r="X98" s="185">
        <f>(('LCFS Table'!$U98/'LCFS Table'!$AA98)*'LCFS Table'!$AE98)*6.48</f>
        <v>62.344148936170214</v>
      </c>
      <c r="Y98" s="185">
        <f>(('LCFS Table'!$T98/'LCFS Table'!$AB98)*'LCFS Table'!$AF98)*7.35</f>
        <v>240.35074218749997</v>
      </c>
      <c r="Z98" s="185">
        <f>(('LCFS Table'!$R98/'LCFS Table'!$AB98)*'LCFS Table'!$AG98)*7.35</f>
        <v>46.89453125</v>
      </c>
      <c r="AA98" s="138">
        <v>0.94</v>
      </c>
      <c r="AB98" s="138">
        <v>0.96</v>
      </c>
      <c r="AC98" s="138">
        <v>0.5</v>
      </c>
      <c r="AD98" s="138">
        <v>0.25</v>
      </c>
      <c r="AE98" s="138">
        <v>0.25</v>
      </c>
      <c r="AF98" s="138">
        <v>0.75</v>
      </c>
      <c r="AG98" s="138">
        <v>0.25</v>
      </c>
      <c r="AH98" s="139">
        <v>4.375</v>
      </c>
      <c r="AI98" s="139">
        <v>136</v>
      </c>
      <c r="AJ98" s="139">
        <v>110</v>
      </c>
      <c r="AK98" s="186">
        <f>('LCFS Table'!$AI98/340)*100</f>
        <v>40</v>
      </c>
      <c r="AL98" s="186">
        <f>('LCFS Table'!$AJ98/340)*100</f>
        <v>32.352941176470587</v>
      </c>
      <c r="AM98" s="139">
        <v>105</v>
      </c>
      <c r="AN98" s="139">
        <v>90</v>
      </c>
      <c r="AO98" s="139">
        <f>('LCFS Table'!$AM98/300)*100</f>
        <v>35</v>
      </c>
      <c r="AP98" s="139">
        <f>('LCFS Table'!$AN98/300)*100</f>
        <v>30</v>
      </c>
      <c r="AQ98" s="140">
        <v>195.65</v>
      </c>
      <c r="AR98" s="140">
        <v>0.82550000000000001</v>
      </c>
      <c r="AS98" s="185">
        <v>1.6902086032603734</v>
      </c>
      <c r="AT98" s="137">
        <v>0.16</v>
      </c>
      <c r="AU98" s="137">
        <v>1</v>
      </c>
      <c r="AV98" s="185">
        <f>'LCFS Table'!$AR98*1.7</f>
        <v>1.4033499999999999</v>
      </c>
      <c r="AW98" s="137">
        <v>0</v>
      </c>
      <c r="AX98" s="185">
        <v>1.1547141745912499</v>
      </c>
      <c r="AY98" s="137">
        <v>0</v>
      </c>
      <c r="AZ98" s="141">
        <v>1</v>
      </c>
      <c r="BA98" s="185">
        <f>'LCFS Table'!$AR98*1.5</f>
        <v>1.2382500000000001</v>
      </c>
      <c r="BB98" s="136">
        <v>1.2</v>
      </c>
      <c r="BC98" s="185">
        <f>'LCFS Table'!$AS98*'LCFS Table'!$BW98</f>
        <v>1.6902086032603734</v>
      </c>
      <c r="BD98" s="185">
        <f>'LCFS Table'!$AT98*'LCFS Table'!$BX98</f>
        <v>0</v>
      </c>
      <c r="BE98" s="185">
        <f>'LCFS Table'!$AU98*'LCFS Table'!$BY98</f>
        <v>1</v>
      </c>
      <c r="BF98" s="137">
        <f>'LCFS Table'!$AV98*'LCFS Table'!$BZ98</f>
        <v>1.4033499999999999</v>
      </c>
      <c r="BG98" s="137">
        <f>'LCFS Table'!$AW98*'LCFS Table'!$CA98</f>
        <v>0</v>
      </c>
      <c r="BH98" s="137">
        <f>'LCFS Table'!$AX98*'LCFS Table'!$CB98</f>
        <v>1.1547141745912499</v>
      </c>
      <c r="BI98" s="137">
        <f>'LCFS Table'!$AY98*'LCFS Table'!$CC98</f>
        <v>0</v>
      </c>
      <c r="BJ98" s="137">
        <f>'LCFS Table'!$AZ98*'LCFS Table'!$CD98</f>
        <v>1</v>
      </c>
      <c r="BK98" s="137">
        <f>'LCFS Table'!$BA98*'LCFS Table'!$CE98</f>
        <v>1.2382500000000001</v>
      </c>
      <c r="BL98" s="137">
        <f>'LCFS Table'!$BB98*'LCFS Table'!$CF98</f>
        <v>-1.2</v>
      </c>
      <c r="BM98" s="137">
        <f>'LCFS Table'!$AS98*'LCFS Table'!$CG98</f>
        <v>0</v>
      </c>
      <c r="BN98" s="137">
        <f>'LCFS Table'!$AT98*'LCFS Table'!$CH98</f>
        <v>0.16</v>
      </c>
      <c r="BO98" s="137">
        <f>'LCFS Table'!$AU98*'LCFS Table'!$CI98</f>
        <v>0</v>
      </c>
      <c r="BP98" s="137">
        <f>'LCFS Table'!$AV98*'LCFS Table'!$CJ98</f>
        <v>0</v>
      </c>
      <c r="BQ98" s="137">
        <f>'LCFS Table'!$AW98*'LCFS Table'!$CK98</f>
        <v>0</v>
      </c>
      <c r="BR98" s="137">
        <f>'LCFS Table'!$AX98*'LCFS Table'!$CL98</f>
        <v>0</v>
      </c>
      <c r="BS98" s="137">
        <f>'LCFS Table'!$AY98*'LCFS Table'!$CM98</f>
        <v>0</v>
      </c>
      <c r="BT98" s="137">
        <f>'LCFS Table'!$AZ98*'LCFS Table'!$CN98</f>
        <v>0</v>
      </c>
      <c r="BU98" s="137">
        <f>'LCFS Table'!$BA98*'LCFS Table'!$CO98</f>
        <v>0</v>
      </c>
      <c r="BV98" s="136">
        <f>'LCFS Table'!$BB98*'LCFS Table'!$CP98</f>
        <v>1.2</v>
      </c>
      <c r="BW98" s="138">
        <v>1</v>
      </c>
      <c r="BX98" s="138">
        <v>0</v>
      </c>
      <c r="BY98" s="138">
        <v>1</v>
      </c>
      <c r="BZ98" s="138">
        <v>1</v>
      </c>
      <c r="CA98" s="138">
        <v>-1</v>
      </c>
      <c r="CB98" s="138">
        <v>1</v>
      </c>
      <c r="CC98" s="138">
        <v>0</v>
      </c>
      <c r="CD98" s="138">
        <v>1</v>
      </c>
      <c r="CE98" s="138">
        <v>1</v>
      </c>
      <c r="CF98" s="138">
        <v>-1</v>
      </c>
      <c r="CG98" s="138">
        <f>1-'LCFS Table'!$BW98</f>
        <v>0</v>
      </c>
      <c r="CH98" s="138">
        <f>1-'LCFS Table'!$BX98</f>
        <v>1</v>
      </c>
      <c r="CI98" s="138">
        <f>1-'LCFS Table'!$BY98</f>
        <v>0</v>
      </c>
      <c r="CJ98" s="138">
        <f>1-'LCFS Table'!$BZ98</f>
        <v>0</v>
      </c>
      <c r="CK98" s="138">
        <f>-'LCFS Table'!$CA98</f>
        <v>1</v>
      </c>
      <c r="CL98" s="138">
        <f>1-'LCFS Table'!$CB98</f>
        <v>0</v>
      </c>
      <c r="CM98" s="138">
        <f>1-'LCFS Table'!$CC98</f>
        <v>1</v>
      </c>
      <c r="CN98" s="138">
        <f>1-'LCFS Table'!$CD98</f>
        <v>0</v>
      </c>
      <c r="CO98" s="138">
        <f>1-'LCFS Table'!$CE98</f>
        <v>0</v>
      </c>
      <c r="CP98" s="138">
        <f>-'LCFS Table'!$CF98</f>
        <v>1</v>
      </c>
      <c r="CQ98" s="140">
        <v>5.7750000000000004</v>
      </c>
      <c r="CR98" s="165">
        <f>('LCFS Table'!$CQ98*0.9/(0.8/0.99)/100)</f>
        <v>6.4319062499999996E-2</v>
      </c>
      <c r="CS98" s="166"/>
      <c r="CT98" s="167"/>
      <c r="CW98" s="168">
        <f>'LCFS Table'!$K98-'LCFS Table'!$M98</f>
        <v>0.51566417459125025</v>
      </c>
      <c r="CX98" s="129">
        <f>MONTH('LCFS Table'!$B98)</f>
        <v>10</v>
      </c>
      <c r="CY98" s="129">
        <f>YEAR('LCFS Table'!$B98)</f>
        <v>2020</v>
      </c>
    </row>
    <row r="99" spans="1:103">
      <c r="A99" s="148">
        <v>44136</v>
      </c>
      <c r="B99" s="149">
        <v>44142</v>
      </c>
      <c r="C99" s="132">
        <f t="shared" si="1"/>
        <v>2020</v>
      </c>
      <c r="D99" s="150" t="s">
        <v>301</v>
      </c>
      <c r="E99" s="187">
        <f>'LCFS Table'!$K99-'LCFS Table'!$I99</f>
        <v>-1.9696623904881105</v>
      </c>
      <c r="F99" s="187">
        <f>('LCFS Table'!$M99)-'LCFS Table'!$J99</f>
        <v>-3.0113771137975003</v>
      </c>
      <c r="G99" s="188">
        <f>'LCFS Table'!$E99+'LCFS Table'!$AS99+'LCFS Table'!$AT99+'LCFS Table'!$AU99+'LCFS Table'!$AV99</f>
        <v>2.3272727676436977</v>
      </c>
      <c r="H99" s="188">
        <f>'LCFS Table'!$F99+'LCFS Table'!$AX99+'LCFS Table'!$AY99+'LCFS Table'!$AZ99+'LCFS Table'!$BA99+('LCFS Table'!$CQ99*0.9/(0.8/0.99)/100)+(DG99*'LCFS Table'!$AF99)+(DF99*'LCFS Table'!$AG99)</f>
        <v>0.48109335937499964</v>
      </c>
      <c r="I99" s="187">
        <f>('LCFS Table'!$V99+'LCFS Table'!$W99+'LCFS Table'!$X99)/100+(('LCFS Table'!$AI99+'LCFS Table'!$AJ99)/340)</f>
        <v>3.1246623904881106</v>
      </c>
      <c r="J99" s="187">
        <f>(('LCFS Table'!$Y99+'LCFS Table'!$Z99)/100)+(('LCFS Table'!$AM99+'LCFS Table'!$AN99)/300)</f>
        <v>3.5857316406250002</v>
      </c>
      <c r="K99" s="140">
        <f>'[1]Fuel Values'!$C98</f>
        <v>1.155</v>
      </c>
      <c r="L99" s="140">
        <f>'[1]Fuel Values'!$B98</f>
        <v>400</v>
      </c>
      <c r="M99" s="185">
        <f>('LCFS Table'!$L99/100)-'LCFS Table'!$AX99-'LCFS Table'!$AY99-'LCFS Table'!$AZ99-'LCFS Table'!$BA99</f>
        <v>0.57435452682749988</v>
      </c>
      <c r="N99" s="140">
        <f>[1]BFT!$B98</f>
        <v>32</v>
      </c>
      <c r="O99" s="140">
        <f>[1]UCO!$B98</f>
        <v>30.2</v>
      </c>
      <c r="P99" s="140">
        <f>[1]DCO!$B98</f>
        <v>32</v>
      </c>
      <c r="Q99" s="140">
        <f>'[1]Soybean Oil'!$B98</f>
        <v>38.584000000000003</v>
      </c>
      <c r="R99" s="140">
        <f>'[1]Yellow Grease'!$B98</f>
        <v>24.5</v>
      </c>
      <c r="S99" s="185">
        <f>'LCFS Table'!$N99 + 'LCFS Table'!$AH99</f>
        <v>36.375</v>
      </c>
      <c r="T99" s="185">
        <f>'LCFS Table'!$Q99+'LCFS Table'!$AH99</f>
        <v>42.959000000000003</v>
      </c>
      <c r="U99" s="185">
        <f>'LCFS Table'!$P99+'LCFS Table'!$AH99</f>
        <v>36.375</v>
      </c>
      <c r="V99" s="185">
        <f>(('LCFS Table'!$S99/'LCFS Table'!$AA99)*'LCFS Table'!$AC99)*6.48</f>
        <v>125.3776595744681</v>
      </c>
      <c r="W99" s="185">
        <f>(('LCFS Table'!$O99/'LCFS Table'!$AA99)*'LCFS Table'!$AD99)*6.48</f>
        <v>52.0468085106383</v>
      </c>
      <c r="X99" s="185">
        <f>(('LCFS Table'!$U99/'LCFS Table'!$AA99)*'LCFS Table'!$AE99)*6.48</f>
        <v>62.688829787234049</v>
      </c>
      <c r="Y99" s="185">
        <f>(('LCFS Table'!$T99/'LCFS Table'!$AB99)*'LCFS Table'!$AF99)*7.35</f>
        <v>246.67863281250001</v>
      </c>
      <c r="Z99" s="185">
        <f>(('LCFS Table'!$R99/'LCFS Table'!$AB99)*'LCFS Table'!$AG99)*7.35</f>
        <v>46.89453125</v>
      </c>
      <c r="AA99" s="138">
        <v>0.94</v>
      </c>
      <c r="AB99" s="138">
        <v>0.96</v>
      </c>
      <c r="AC99" s="138">
        <v>0.5</v>
      </c>
      <c r="AD99" s="138">
        <v>0.25</v>
      </c>
      <c r="AE99" s="138">
        <v>0.25</v>
      </c>
      <c r="AF99" s="138">
        <v>0.75</v>
      </c>
      <c r="AG99" s="138">
        <v>0.25</v>
      </c>
      <c r="AH99" s="139">
        <v>4.375</v>
      </c>
      <c r="AI99" s="139">
        <v>136</v>
      </c>
      <c r="AJ99" s="139">
        <v>110</v>
      </c>
      <c r="AK99" s="186">
        <f>('LCFS Table'!$AI99/340)*100</f>
        <v>40</v>
      </c>
      <c r="AL99" s="186">
        <f>('LCFS Table'!$AJ99/340)*100</f>
        <v>32.352941176470587</v>
      </c>
      <c r="AM99" s="139">
        <v>105</v>
      </c>
      <c r="AN99" s="139">
        <v>90</v>
      </c>
      <c r="AO99" s="139">
        <f>('LCFS Table'!$AM99/300)*100</f>
        <v>35</v>
      </c>
      <c r="AP99" s="139">
        <f>('LCFS Table'!$AN99/300)*100</f>
        <v>30</v>
      </c>
      <c r="AQ99" s="140">
        <v>198.9</v>
      </c>
      <c r="AR99" s="140">
        <v>0.83450000000000002</v>
      </c>
      <c r="AS99" s="185">
        <v>1.7182851581318082</v>
      </c>
      <c r="AT99" s="137">
        <v>0.16</v>
      </c>
      <c r="AU99" s="137">
        <v>1</v>
      </c>
      <c r="AV99" s="185">
        <f>'LCFS Table'!$AR99*1.7</f>
        <v>1.41865</v>
      </c>
      <c r="AW99" s="137">
        <v>0</v>
      </c>
      <c r="AX99" s="185">
        <v>1.1738954731725</v>
      </c>
      <c r="AY99" s="137">
        <v>0</v>
      </c>
      <c r="AZ99" s="141">
        <v>1</v>
      </c>
      <c r="BA99" s="185">
        <f>'LCFS Table'!$AR99*1.5</f>
        <v>1.2517499999999999</v>
      </c>
      <c r="BB99" s="136">
        <v>1.2</v>
      </c>
      <c r="BC99" s="185">
        <f>'LCFS Table'!$AS99*'LCFS Table'!$BW99</f>
        <v>1.7182851581318082</v>
      </c>
      <c r="BD99" s="185">
        <f>'LCFS Table'!$AT99*'LCFS Table'!$BX99</f>
        <v>0</v>
      </c>
      <c r="BE99" s="185">
        <f>'LCFS Table'!$AU99*'LCFS Table'!$BY99</f>
        <v>1</v>
      </c>
      <c r="BF99" s="137">
        <f>'LCFS Table'!$AV99*'LCFS Table'!$BZ99</f>
        <v>1.41865</v>
      </c>
      <c r="BG99" s="137">
        <f>'LCFS Table'!$AW99*'LCFS Table'!$CA99</f>
        <v>0</v>
      </c>
      <c r="BH99" s="137">
        <f>'LCFS Table'!$AX99*'LCFS Table'!$CB99</f>
        <v>1.1738954731725</v>
      </c>
      <c r="BI99" s="137">
        <f>'LCFS Table'!$AY99*'LCFS Table'!$CC99</f>
        <v>0</v>
      </c>
      <c r="BJ99" s="137">
        <f>'LCFS Table'!$AZ99*'LCFS Table'!$CD99</f>
        <v>1</v>
      </c>
      <c r="BK99" s="137">
        <f>'LCFS Table'!$BA99*'LCFS Table'!$CE99</f>
        <v>1.2517499999999999</v>
      </c>
      <c r="BL99" s="137">
        <f>'LCFS Table'!$BB99*'LCFS Table'!$CF99</f>
        <v>-1.2</v>
      </c>
      <c r="BM99" s="137">
        <f>'LCFS Table'!$AS99*'LCFS Table'!$CG99</f>
        <v>0</v>
      </c>
      <c r="BN99" s="137">
        <f>'LCFS Table'!$AT99*'LCFS Table'!$CH99</f>
        <v>0.16</v>
      </c>
      <c r="BO99" s="137">
        <f>'LCFS Table'!$AU99*'LCFS Table'!$CI99</f>
        <v>0</v>
      </c>
      <c r="BP99" s="137">
        <f>'LCFS Table'!$AV99*'LCFS Table'!$CJ99</f>
        <v>0</v>
      </c>
      <c r="BQ99" s="137">
        <f>'LCFS Table'!$AW99*'LCFS Table'!$CK99</f>
        <v>0</v>
      </c>
      <c r="BR99" s="137">
        <f>'LCFS Table'!$AX99*'LCFS Table'!$CL99</f>
        <v>0</v>
      </c>
      <c r="BS99" s="137">
        <f>'LCFS Table'!$AY99*'LCFS Table'!$CM99</f>
        <v>0</v>
      </c>
      <c r="BT99" s="137">
        <f>'LCFS Table'!$AZ99*'LCFS Table'!$CN99</f>
        <v>0</v>
      </c>
      <c r="BU99" s="137">
        <f>'LCFS Table'!$BA99*'LCFS Table'!$CO99</f>
        <v>0</v>
      </c>
      <c r="BV99" s="136">
        <f>'LCFS Table'!$BB99*'LCFS Table'!$CP99</f>
        <v>1.2</v>
      </c>
      <c r="BW99" s="138">
        <v>1</v>
      </c>
      <c r="BX99" s="138">
        <v>0</v>
      </c>
      <c r="BY99" s="138">
        <v>1</v>
      </c>
      <c r="BZ99" s="138">
        <v>1</v>
      </c>
      <c r="CA99" s="138">
        <v>-1</v>
      </c>
      <c r="CB99" s="138">
        <v>1</v>
      </c>
      <c r="CC99" s="138">
        <v>0</v>
      </c>
      <c r="CD99" s="138">
        <v>1</v>
      </c>
      <c r="CE99" s="138">
        <v>1</v>
      </c>
      <c r="CF99" s="138">
        <v>-1</v>
      </c>
      <c r="CG99" s="138">
        <f>1-'LCFS Table'!$BW99</f>
        <v>0</v>
      </c>
      <c r="CH99" s="138">
        <f>1-'LCFS Table'!$BX99</f>
        <v>1</v>
      </c>
      <c r="CI99" s="138">
        <f>1-'LCFS Table'!$BY99</f>
        <v>0</v>
      </c>
      <c r="CJ99" s="138">
        <f>1-'LCFS Table'!$BZ99</f>
        <v>0</v>
      </c>
      <c r="CK99" s="138">
        <f>-'LCFS Table'!$CA99</f>
        <v>1</v>
      </c>
      <c r="CL99" s="138">
        <f>1-'LCFS Table'!$CB99</f>
        <v>0</v>
      </c>
      <c r="CM99" s="138">
        <f>1-'LCFS Table'!$CC99</f>
        <v>1</v>
      </c>
      <c r="CN99" s="138">
        <f>1-'LCFS Table'!$CD99</f>
        <v>0</v>
      </c>
      <c r="CO99" s="138">
        <f>1-'LCFS Table'!$CE99</f>
        <v>0</v>
      </c>
      <c r="CP99" s="138">
        <f>-'LCFS Table'!$CF99</f>
        <v>1</v>
      </c>
      <c r="CQ99" s="140">
        <v>6</v>
      </c>
      <c r="CR99" s="165">
        <f>('LCFS Table'!$CQ99*0.9/(0.8/0.99)/100)</f>
        <v>6.6824999999999996E-2</v>
      </c>
      <c r="CS99" s="166"/>
      <c r="CT99" s="167"/>
      <c r="CW99" s="168">
        <f>'LCFS Table'!$K99-'LCFS Table'!$M99</f>
        <v>0.58064547317250015</v>
      </c>
      <c r="CX99" s="129">
        <f>MONTH('LCFS Table'!$B99)</f>
        <v>11</v>
      </c>
      <c r="CY99" s="129">
        <f>YEAR('LCFS Table'!$B99)</f>
        <v>2020</v>
      </c>
    </row>
    <row r="100" spans="1:103">
      <c r="A100" s="148">
        <v>44143</v>
      </c>
      <c r="B100" s="149">
        <v>44149</v>
      </c>
      <c r="C100" s="132">
        <f t="shared" si="1"/>
        <v>2020</v>
      </c>
      <c r="D100" s="182" t="s">
        <v>302</v>
      </c>
      <c r="E100" s="187">
        <f>'LCFS Table'!$K100-'LCFS Table'!$I100</f>
        <v>-1.907428347934919</v>
      </c>
      <c r="F100" s="187">
        <f>('LCFS Table'!$M100)-'LCFS Table'!$J100</f>
        <v>-3.1970184365387491</v>
      </c>
      <c r="G100" s="188">
        <f>'LCFS Table'!$E100+'LCFS Table'!$AS100+'LCFS Table'!$AT100+'LCFS Table'!$AU100+'LCFS Table'!$AV100</f>
        <v>2.4641110611316175</v>
      </c>
      <c r="H100" s="188">
        <f>'LCFS Table'!$F100+'LCFS Table'!$AX100+'LCFS Table'!$AY100+'LCFS Table'!$AZ100+'LCFS Table'!$BA100+('LCFS Table'!$CQ100*0.9/(0.8/0.99)/100)+(DG100*'LCFS Table'!$AF100)+(DF100*'LCFS Table'!$AG100)</f>
        <v>0.35844023437500072</v>
      </c>
      <c r="I100" s="187">
        <f>('LCFS Table'!$V100+'LCFS Table'!$W100+'LCFS Table'!$X100)/100+(('LCFS Table'!$AI100+'LCFS Table'!$AJ100)/340)</f>
        <v>3.1479283479349189</v>
      </c>
      <c r="J100" s="187">
        <f>(('LCFS Table'!$Y100+'LCFS Table'!$Z100)/100)+(('LCFS Table'!$AM100+'LCFS Table'!$AN100)/300)</f>
        <v>3.7083847656249995</v>
      </c>
      <c r="K100" s="140">
        <f>'[1]Fuel Values'!$C99</f>
        <v>1.2404999999999999</v>
      </c>
      <c r="L100" s="140">
        <f>'[1]Fuel Values'!$B99</f>
        <v>400</v>
      </c>
      <c r="M100" s="185">
        <f>('LCFS Table'!$L100/100)-'LCFS Table'!$AX100-'LCFS Table'!$AY100-'LCFS Table'!$AZ100-'LCFS Table'!$BA100</f>
        <v>0.51136632908625024</v>
      </c>
      <c r="N100" s="140">
        <f>[1]BFT!$B99</f>
        <v>32</v>
      </c>
      <c r="O100" s="140">
        <f>[1]UCO!$B99</f>
        <v>30.8</v>
      </c>
      <c r="P100" s="140">
        <f>[1]DCO!$B99</f>
        <v>32.75</v>
      </c>
      <c r="Q100" s="140">
        <f>'[1]Soybean Oil'!$B99</f>
        <v>40.72</v>
      </c>
      <c r="R100" s="140">
        <f>'[1]Yellow Grease'!$B99</f>
        <v>24.5</v>
      </c>
      <c r="S100" s="185">
        <f>'LCFS Table'!$N100 + 'LCFS Table'!$AH100</f>
        <v>36.375</v>
      </c>
      <c r="T100" s="185">
        <f>'LCFS Table'!$Q100+'LCFS Table'!$AH100</f>
        <v>45.094999999999999</v>
      </c>
      <c r="U100" s="185">
        <f>'LCFS Table'!$P100+'LCFS Table'!$AH100</f>
        <v>37.125</v>
      </c>
      <c r="V100" s="185">
        <f>(('LCFS Table'!$S100/'LCFS Table'!$AA100)*'LCFS Table'!$AC100)*6.48</f>
        <v>125.3776595744681</v>
      </c>
      <c r="W100" s="185">
        <f>(('LCFS Table'!$O100/'LCFS Table'!$AA100)*'LCFS Table'!$AD100)*6.48</f>
        <v>53.080851063829797</v>
      </c>
      <c r="X100" s="185">
        <f>(('LCFS Table'!$U100/'LCFS Table'!$AA100)*'LCFS Table'!$AE100)*6.48</f>
        <v>63.981382978723417</v>
      </c>
      <c r="Y100" s="185">
        <f>(('LCFS Table'!$T100/'LCFS Table'!$AB100)*'LCFS Table'!$AF100)*7.35</f>
        <v>258.94394531249998</v>
      </c>
      <c r="Z100" s="185">
        <f>(('LCFS Table'!$R100/'LCFS Table'!$AB100)*'LCFS Table'!$AG100)*7.35</f>
        <v>46.89453125</v>
      </c>
      <c r="AA100" s="138">
        <v>0.94</v>
      </c>
      <c r="AB100" s="138">
        <v>0.96</v>
      </c>
      <c r="AC100" s="138">
        <v>0.5</v>
      </c>
      <c r="AD100" s="138">
        <v>0.25</v>
      </c>
      <c r="AE100" s="138">
        <v>0.25</v>
      </c>
      <c r="AF100" s="138">
        <v>0.75</v>
      </c>
      <c r="AG100" s="138">
        <v>0.25</v>
      </c>
      <c r="AH100" s="139">
        <v>4.375</v>
      </c>
      <c r="AI100" s="139">
        <v>136</v>
      </c>
      <c r="AJ100" s="139">
        <v>110</v>
      </c>
      <c r="AK100" s="186">
        <f>('LCFS Table'!$AI100/340)*100</f>
        <v>40</v>
      </c>
      <c r="AL100" s="186">
        <f>('LCFS Table'!$AJ100/340)*100</f>
        <v>32.352941176470587</v>
      </c>
      <c r="AM100" s="139">
        <v>105</v>
      </c>
      <c r="AN100" s="139">
        <v>90</v>
      </c>
      <c r="AO100" s="139">
        <f>('LCFS Table'!$AM100/300)*100</f>
        <v>35</v>
      </c>
      <c r="AP100" s="139">
        <f>('LCFS Table'!$AN100/300)*100</f>
        <v>30</v>
      </c>
      <c r="AQ100" s="140">
        <v>200.55</v>
      </c>
      <c r="AR100" s="140">
        <v>0.87</v>
      </c>
      <c r="AS100" s="185">
        <v>1.7325394090665365</v>
      </c>
      <c r="AT100" s="137">
        <v>0.16</v>
      </c>
      <c r="AU100" s="137">
        <v>1</v>
      </c>
      <c r="AV100" s="185">
        <f>'LCFS Table'!$AR100*1.7</f>
        <v>1.4789999999999999</v>
      </c>
      <c r="AW100" s="137">
        <v>0</v>
      </c>
      <c r="AX100" s="185">
        <v>1.1836336709137498</v>
      </c>
      <c r="AY100" s="137">
        <v>0</v>
      </c>
      <c r="AZ100" s="141">
        <v>1</v>
      </c>
      <c r="BA100" s="185">
        <f>'LCFS Table'!$AR100*1.5</f>
        <v>1.3049999999999999</v>
      </c>
      <c r="BB100" s="136">
        <v>1.2</v>
      </c>
      <c r="BC100" s="185">
        <f>'LCFS Table'!$AS100*'LCFS Table'!$BW100</f>
        <v>1.7325394090665365</v>
      </c>
      <c r="BD100" s="185">
        <f>'LCFS Table'!$AT100*'LCFS Table'!$BX100</f>
        <v>0</v>
      </c>
      <c r="BE100" s="185">
        <f>'LCFS Table'!$AU100*'LCFS Table'!$BY100</f>
        <v>1</v>
      </c>
      <c r="BF100" s="137">
        <f>'LCFS Table'!$AV100*'LCFS Table'!$BZ100</f>
        <v>1.4789999999999999</v>
      </c>
      <c r="BG100" s="137">
        <f>'LCFS Table'!$AW100*'LCFS Table'!$CA100</f>
        <v>0</v>
      </c>
      <c r="BH100" s="137">
        <f>'LCFS Table'!$AX100*'LCFS Table'!$CB100</f>
        <v>1.1836336709137498</v>
      </c>
      <c r="BI100" s="137">
        <f>'LCFS Table'!$AY100*'LCFS Table'!$CC100</f>
        <v>0</v>
      </c>
      <c r="BJ100" s="137">
        <f>'LCFS Table'!$AZ100*'LCFS Table'!$CD100</f>
        <v>1</v>
      </c>
      <c r="BK100" s="137">
        <f>'LCFS Table'!$BA100*'LCFS Table'!$CE100</f>
        <v>1.3049999999999999</v>
      </c>
      <c r="BL100" s="137">
        <f>'LCFS Table'!$BB100*'LCFS Table'!$CF100</f>
        <v>-1.2</v>
      </c>
      <c r="BM100" s="137">
        <f>'LCFS Table'!$AS100*'LCFS Table'!$CG100</f>
        <v>0</v>
      </c>
      <c r="BN100" s="137">
        <f>'LCFS Table'!$AT100*'LCFS Table'!$CH100</f>
        <v>0.16</v>
      </c>
      <c r="BO100" s="137">
        <f>'LCFS Table'!$AU100*'LCFS Table'!$CI100</f>
        <v>0</v>
      </c>
      <c r="BP100" s="137">
        <f>'LCFS Table'!$AV100*'LCFS Table'!$CJ100</f>
        <v>0</v>
      </c>
      <c r="BQ100" s="137">
        <f>'LCFS Table'!$AW100*'LCFS Table'!$CK100</f>
        <v>0</v>
      </c>
      <c r="BR100" s="137">
        <f>'LCFS Table'!$AX100*'LCFS Table'!$CL100</f>
        <v>0</v>
      </c>
      <c r="BS100" s="137">
        <f>'LCFS Table'!$AY100*'LCFS Table'!$CM100</f>
        <v>0</v>
      </c>
      <c r="BT100" s="137">
        <f>'LCFS Table'!$AZ100*'LCFS Table'!$CN100</f>
        <v>0</v>
      </c>
      <c r="BU100" s="137">
        <f>'LCFS Table'!$BA100*'LCFS Table'!$CO100</f>
        <v>0</v>
      </c>
      <c r="BV100" s="136">
        <f>'LCFS Table'!$BB100*'LCFS Table'!$CP100</f>
        <v>1.2</v>
      </c>
      <c r="BW100" s="138">
        <v>1</v>
      </c>
      <c r="BX100" s="138">
        <v>0</v>
      </c>
      <c r="BY100" s="138">
        <v>1</v>
      </c>
      <c r="BZ100" s="138">
        <v>1</v>
      </c>
      <c r="CA100" s="138">
        <v>-1</v>
      </c>
      <c r="CB100" s="138">
        <v>1</v>
      </c>
      <c r="CC100" s="138">
        <v>0</v>
      </c>
      <c r="CD100" s="138">
        <v>1</v>
      </c>
      <c r="CE100" s="138">
        <v>1</v>
      </c>
      <c r="CF100" s="138">
        <v>-1</v>
      </c>
      <c r="CG100" s="138">
        <f>1-'LCFS Table'!$BW100</f>
        <v>0</v>
      </c>
      <c r="CH100" s="138">
        <f>1-'LCFS Table'!$BX100</f>
        <v>1</v>
      </c>
      <c r="CI100" s="138">
        <f>1-'LCFS Table'!$BY100</f>
        <v>0</v>
      </c>
      <c r="CJ100" s="138">
        <f>1-'LCFS Table'!$BZ100</f>
        <v>0</v>
      </c>
      <c r="CK100" s="138">
        <f>-'LCFS Table'!$CA100</f>
        <v>1</v>
      </c>
      <c r="CL100" s="138">
        <f>1-'LCFS Table'!$CB100</f>
        <v>0</v>
      </c>
      <c r="CM100" s="138">
        <f>1-'LCFS Table'!$CC100</f>
        <v>1</v>
      </c>
      <c r="CN100" s="138">
        <f>1-'LCFS Table'!$CD100</f>
        <v>0</v>
      </c>
      <c r="CO100" s="138">
        <f>1-'LCFS Table'!$CE100</f>
        <v>0</v>
      </c>
      <c r="CP100" s="138">
        <f>-'LCFS Table'!$CF100</f>
        <v>1</v>
      </c>
      <c r="CQ100" s="140">
        <v>6</v>
      </c>
      <c r="CR100" s="165">
        <f>('LCFS Table'!$CQ100*0.9/(0.8/0.99)/100)</f>
        <v>6.6824999999999996E-2</v>
      </c>
      <c r="CS100" s="166"/>
      <c r="CT100" s="167"/>
      <c r="CW100" s="168">
        <f>'LCFS Table'!$K100-'LCFS Table'!$M100</f>
        <v>0.7291336709137497</v>
      </c>
      <c r="CX100" s="129">
        <f>MONTH('LCFS Table'!$B100)</f>
        <v>11</v>
      </c>
      <c r="CY100" s="129">
        <f>YEAR('LCFS Table'!$B100)</f>
        <v>2020</v>
      </c>
    </row>
    <row r="101" spans="1:103">
      <c r="A101" s="148">
        <v>44150</v>
      </c>
      <c r="B101" s="149">
        <v>44156</v>
      </c>
      <c r="C101" s="132">
        <f t="shared" si="1"/>
        <v>2020</v>
      </c>
      <c r="D101" s="182" t="s">
        <v>303</v>
      </c>
      <c r="E101" s="187">
        <f>'LCFS Table'!$K101-'LCFS Table'!$I101</f>
        <v>-1.8973623904881103</v>
      </c>
      <c r="F101" s="187">
        <f>('LCFS Table'!$M101)-'LCFS Table'!$J101</f>
        <v>-3.2245038458124826</v>
      </c>
      <c r="G101" s="188">
        <f>'LCFS Table'!$E101+'LCFS Table'!$AS101+'LCFS Table'!$AT101+'LCFS Table'!$AU101+'LCFS Table'!$AV101</f>
        <v>2.5134952252988882</v>
      </c>
      <c r="H101" s="188">
        <f>'LCFS Table'!$F101+'LCFS Table'!$AX101+'LCFS Table'!$AY101+'LCFS Table'!$AZ101+'LCFS Table'!$BA101+('LCFS Table'!$CQ101*0.9/(0.8/0.99)/100)+(DG101*'LCFS Table'!$AF101)+(DF101*'LCFS Table'!$AG101)</f>
        <v>0.36923476562499924</v>
      </c>
      <c r="I101" s="187">
        <f>('LCFS Table'!$V101+'LCFS Table'!$W101+'LCFS Table'!$X101)/100+(('LCFS Table'!$AI101+'LCFS Table'!$AJ101)/340)</f>
        <v>3.1651623904881103</v>
      </c>
      <c r="J101" s="187">
        <f>(('LCFS Table'!$Y101+'LCFS Table'!$Z101)/100)+(('LCFS Table'!$AM101+'LCFS Table'!$AN101)/300)</f>
        <v>3.8003746093750004</v>
      </c>
      <c r="K101" s="140">
        <f>'[1]Fuel Values'!$C100</f>
        <v>1.2678</v>
      </c>
      <c r="L101" s="140">
        <f>'[1]Fuel Values'!$B100</f>
        <v>410</v>
      </c>
      <c r="M101" s="185">
        <f>('LCFS Table'!$L101/100)-'LCFS Table'!$AX101-'LCFS Table'!$AY101-'LCFS Table'!$AZ101-'LCFS Table'!$BA101</f>
        <v>0.57587076356251776</v>
      </c>
      <c r="N101" s="140">
        <f>[1]BFT!$B100</f>
        <v>32</v>
      </c>
      <c r="O101" s="140">
        <f>[1]UCO!$B100</f>
        <v>31.15</v>
      </c>
      <c r="P101" s="140">
        <f>[1]DCO!$B100</f>
        <v>33.4</v>
      </c>
      <c r="Q101" s="140">
        <f>'[1]Soybean Oil'!$B100</f>
        <v>42.322000000000003</v>
      </c>
      <c r="R101" s="140">
        <f>'[1]Yellow Grease'!$B100</f>
        <v>24.5</v>
      </c>
      <c r="S101" s="185">
        <f>'LCFS Table'!$N101 + 'LCFS Table'!$AH101</f>
        <v>36.375</v>
      </c>
      <c r="T101" s="185">
        <f>'LCFS Table'!$Q101+'LCFS Table'!$AH101</f>
        <v>46.697000000000003</v>
      </c>
      <c r="U101" s="185">
        <f>'LCFS Table'!$P101+'LCFS Table'!$AH101</f>
        <v>37.774999999999999</v>
      </c>
      <c r="V101" s="185">
        <f>(('LCFS Table'!$S101/'LCFS Table'!$AA101)*'LCFS Table'!$AC101)*6.48</f>
        <v>125.3776595744681</v>
      </c>
      <c r="W101" s="185">
        <f>(('LCFS Table'!$O101/'LCFS Table'!$AA101)*'LCFS Table'!$AD101)*6.48</f>
        <v>53.684042553191489</v>
      </c>
      <c r="X101" s="185">
        <f>(('LCFS Table'!$U101/'LCFS Table'!$AA101)*'LCFS Table'!$AE101)*6.48</f>
        <v>65.10159574468085</v>
      </c>
      <c r="Y101" s="185">
        <f>(('LCFS Table'!$T101/'LCFS Table'!$AB101)*'LCFS Table'!$AF101)*7.35</f>
        <v>268.14292968750004</v>
      </c>
      <c r="Z101" s="185">
        <f>(('LCFS Table'!$R101/'LCFS Table'!$AB101)*'LCFS Table'!$AG101)*7.35</f>
        <v>46.89453125</v>
      </c>
      <c r="AA101" s="138">
        <v>0.94</v>
      </c>
      <c r="AB101" s="138">
        <v>0.96</v>
      </c>
      <c r="AC101" s="138">
        <v>0.5</v>
      </c>
      <c r="AD101" s="138">
        <v>0.25</v>
      </c>
      <c r="AE101" s="138">
        <v>0.25</v>
      </c>
      <c r="AF101" s="138">
        <v>0.75</v>
      </c>
      <c r="AG101" s="138">
        <v>0.25</v>
      </c>
      <c r="AH101" s="139">
        <v>4.375</v>
      </c>
      <c r="AI101" s="139">
        <v>136</v>
      </c>
      <c r="AJ101" s="139">
        <v>110</v>
      </c>
      <c r="AK101" s="186">
        <f>('LCFS Table'!$AI101/340)*100</f>
        <v>40</v>
      </c>
      <c r="AL101" s="186">
        <f>('LCFS Table'!$AJ101/340)*100</f>
        <v>32.352941176470587</v>
      </c>
      <c r="AM101" s="139">
        <v>105</v>
      </c>
      <c r="AN101" s="139">
        <v>90</v>
      </c>
      <c r="AO101" s="139">
        <f>('LCFS Table'!$AM101/300)*100</f>
        <v>35</v>
      </c>
      <c r="AP101" s="139">
        <f>('LCFS Table'!$AN101/300)*100</f>
        <v>30</v>
      </c>
      <c r="AQ101" s="140">
        <v>200.08330000000001</v>
      </c>
      <c r="AR101" s="140">
        <v>0.89549999999999996</v>
      </c>
      <c r="AS101" s="185">
        <v>1.7285076157869985</v>
      </c>
      <c r="AT101" s="137">
        <v>0.16</v>
      </c>
      <c r="AU101" s="137">
        <v>1</v>
      </c>
      <c r="AV101" s="185">
        <f>'LCFS Table'!$AR101*1.7</f>
        <v>1.5223499999999999</v>
      </c>
      <c r="AW101" s="137">
        <v>0</v>
      </c>
      <c r="AX101" s="185">
        <v>1.1808792364374823</v>
      </c>
      <c r="AY101" s="137">
        <v>0</v>
      </c>
      <c r="AZ101" s="141">
        <v>1</v>
      </c>
      <c r="BA101" s="185">
        <f>'LCFS Table'!$AR101*1.5</f>
        <v>1.3432499999999998</v>
      </c>
      <c r="BB101" s="136">
        <v>1.2</v>
      </c>
      <c r="BC101" s="185">
        <f>'LCFS Table'!$AS101*'LCFS Table'!$BW101</f>
        <v>1.7285076157869985</v>
      </c>
      <c r="BD101" s="185">
        <f>'LCFS Table'!$AT101*'LCFS Table'!$BX101</f>
        <v>0</v>
      </c>
      <c r="BE101" s="185">
        <f>'LCFS Table'!$AU101*'LCFS Table'!$BY101</f>
        <v>1</v>
      </c>
      <c r="BF101" s="137">
        <f>'LCFS Table'!$AV101*'LCFS Table'!$BZ101</f>
        <v>1.5223499999999999</v>
      </c>
      <c r="BG101" s="137">
        <f>'LCFS Table'!$AW101*'LCFS Table'!$CA101</f>
        <v>0</v>
      </c>
      <c r="BH101" s="137">
        <f>'LCFS Table'!$AX101*'LCFS Table'!$CB101</f>
        <v>1.1808792364374823</v>
      </c>
      <c r="BI101" s="137">
        <f>'LCFS Table'!$AY101*'LCFS Table'!$CC101</f>
        <v>0</v>
      </c>
      <c r="BJ101" s="137">
        <f>'LCFS Table'!$AZ101*'LCFS Table'!$CD101</f>
        <v>1</v>
      </c>
      <c r="BK101" s="137">
        <f>'LCFS Table'!$BA101*'LCFS Table'!$CE101</f>
        <v>1.3432499999999998</v>
      </c>
      <c r="BL101" s="137">
        <f>'LCFS Table'!$BB101*'LCFS Table'!$CF101</f>
        <v>-1.2</v>
      </c>
      <c r="BM101" s="137">
        <f>'LCFS Table'!$AS101*'LCFS Table'!$CG101</f>
        <v>0</v>
      </c>
      <c r="BN101" s="137">
        <f>'LCFS Table'!$AT101*'LCFS Table'!$CH101</f>
        <v>0.16</v>
      </c>
      <c r="BO101" s="137">
        <f>'LCFS Table'!$AU101*'LCFS Table'!$CI101</f>
        <v>0</v>
      </c>
      <c r="BP101" s="137">
        <f>'LCFS Table'!$AV101*'LCFS Table'!$CJ101</f>
        <v>0</v>
      </c>
      <c r="BQ101" s="137">
        <f>'LCFS Table'!$AW101*'LCFS Table'!$CK101</f>
        <v>0</v>
      </c>
      <c r="BR101" s="137">
        <f>'LCFS Table'!$AX101*'LCFS Table'!$CL101</f>
        <v>0</v>
      </c>
      <c r="BS101" s="137">
        <f>'LCFS Table'!$AY101*'LCFS Table'!$CM101</f>
        <v>0</v>
      </c>
      <c r="BT101" s="137">
        <f>'LCFS Table'!$AZ101*'LCFS Table'!$CN101</f>
        <v>0</v>
      </c>
      <c r="BU101" s="137">
        <f>'LCFS Table'!$BA101*'LCFS Table'!$CO101</f>
        <v>0</v>
      </c>
      <c r="BV101" s="136">
        <f>'LCFS Table'!$BB101*'LCFS Table'!$CP101</f>
        <v>1.2</v>
      </c>
      <c r="BW101" s="138">
        <v>1</v>
      </c>
      <c r="BX101" s="138">
        <v>0</v>
      </c>
      <c r="BY101" s="138">
        <v>1</v>
      </c>
      <c r="BZ101" s="138">
        <v>1</v>
      </c>
      <c r="CA101" s="138">
        <v>-1</v>
      </c>
      <c r="CB101" s="138">
        <v>1</v>
      </c>
      <c r="CC101" s="138">
        <v>0</v>
      </c>
      <c r="CD101" s="138">
        <v>1</v>
      </c>
      <c r="CE101" s="138">
        <v>1</v>
      </c>
      <c r="CF101" s="138">
        <v>-1</v>
      </c>
      <c r="CG101" s="138">
        <f>1-'LCFS Table'!$BW101</f>
        <v>0</v>
      </c>
      <c r="CH101" s="138">
        <f>1-'LCFS Table'!$BX101</f>
        <v>1</v>
      </c>
      <c r="CI101" s="138">
        <f>1-'LCFS Table'!$BY101</f>
        <v>0</v>
      </c>
      <c r="CJ101" s="138">
        <f>1-'LCFS Table'!$BZ101</f>
        <v>0</v>
      </c>
      <c r="CK101" s="138">
        <f>-'LCFS Table'!$CA101</f>
        <v>1</v>
      </c>
      <c r="CL101" s="138">
        <f>1-'LCFS Table'!$CB101</f>
        <v>0</v>
      </c>
      <c r="CM101" s="138">
        <f>1-'LCFS Table'!$CC101</f>
        <v>1</v>
      </c>
      <c r="CN101" s="138">
        <f>1-'LCFS Table'!$CD101</f>
        <v>0</v>
      </c>
      <c r="CO101" s="138">
        <f>1-'LCFS Table'!$CE101</f>
        <v>0</v>
      </c>
      <c r="CP101" s="138">
        <f>-'LCFS Table'!$CF101</f>
        <v>1</v>
      </c>
      <c r="CQ101" s="140">
        <v>6.25</v>
      </c>
      <c r="CR101" s="165">
        <f>('LCFS Table'!$CQ101*0.9/(0.8/0.99)/100)</f>
        <v>6.9609374999999987E-2</v>
      </c>
      <c r="CS101" s="166"/>
      <c r="CT101" s="167"/>
      <c r="CW101" s="168">
        <f>'LCFS Table'!$K101-'LCFS Table'!$M101</f>
        <v>0.69192923643748228</v>
      </c>
      <c r="CX101" s="129">
        <f>MONTH('LCFS Table'!$B101)</f>
        <v>11</v>
      </c>
      <c r="CY101" s="129">
        <f>YEAR('LCFS Table'!$B101)</f>
        <v>2020</v>
      </c>
    </row>
    <row r="102" spans="1:103">
      <c r="A102" s="148">
        <v>44157</v>
      </c>
      <c r="B102" s="149">
        <v>44163</v>
      </c>
      <c r="C102" s="132">
        <f t="shared" si="1"/>
        <v>2020</v>
      </c>
      <c r="D102" s="150" t="s">
        <v>304</v>
      </c>
      <c r="E102" s="187">
        <f>'LCFS Table'!$K102-'LCFS Table'!$I102</f>
        <v>-1.8178991351689615</v>
      </c>
      <c r="F102" s="187">
        <f>('LCFS Table'!$M102)-'LCFS Table'!$J102</f>
        <v>-3.0969317504174998</v>
      </c>
      <c r="G102" s="188">
        <f>'LCFS Table'!$E102+'LCFS Table'!$AS102+'LCFS Table'!$AT102+'LCFS Table'!$AU102+'LCFS Table'!$AV102</f>
        <v>2.5860327449114204</v>
      </c>
      <c r="H102" s="188">
        <f>'LCFS Table'!$F102+'LCFS Table'!$AX102+'LCFS Table'!$AY102+'LCFS Table'!$AZ102+'LCFS Table'!$BA102+('LCFS Table'!$CQ102*0.9/(0.8/0.99)/100)+(DG102*'LCFS Table'!$AF102)+(DF102*'LCFS Table'!$AG102)</f>
        <v>0.49049511718750005</v>
      </c>
      <c r="I102" s="187">
        <f>('LCFS Table'!$V102+'LCFS Table'!$W102+'LCFS Table'!$X102)/100+(('LCFS Table'!$AI102+'LCFS Table'!$AJ102)/340)</f>
        <v>3.1800991351689616</v>
      </c>
      <c r="J102" s="187">
        <f>(('LCFS Table'!$Y102+'LCFS Table'!$Z102)/100)+(('LCFS Table'!$AM102+'LCFS Table'!$AN102)/300)</f>
        <v>3.8291142578124999</v>
      </c>
      <c r="K102" s="140">
        <f>'[1]Fuel Values'!$C101</f>
        <v>1.3622000000000001</v>
      </c>
      <c r="L102" s="140">
        <f>'[1]Fuel Values'!$B101</f>
        <v>425</v>
      </c>
      <c r="M102" s="185">
        <f>('LCFS Table'!$L102/100)-'LCFS Table'!$AX102-'LCFS Table'!$AY102-'LCFS Table'!$AZ102-'LCFS Table'!$BA102</f>
        <v>0.73218250739500013</v>
      </c>
      <c r="N102" s="140">
        <f>[1]BFT!$B101</f>
        <v>32</v>
      </c>
      <c r="O102" s="140">
        <f>[1]UCO!$B101</f>
        <v>31.25</v>
      </c>
      <c r="P102" s="140">
        <f>[1]DCO!$B101</f>
        <v>34.166699999999999</v>
      </c>
      <c r="Q102" s="140">
        <f>'[1]Soybean Oil'!$B101</f>
        <v>42.822499999999998</v>
      </c>
      <c r="R102" s="140">
        <f>'[1]Yellow Grease'!$B101</f>
        <v>24.5</v>
      </c>
      <c r="S102" s="185">
        <f>'LCFS Table'!$N102 + 'LCFS Table'!$AH102</f>
        <v>36.375</v>
      </c>
      <c r="T102" s="185">
        <f>'LCFS Table'!$Q102+'LCFS Table'!$AH102</f>
        <v>47.197499999999998</v>
      </c>
      <c r="U102" s="185">
        <f>'LCFS Table'!$P102+'LCFS Table'!$AH102</f>
        <v>38.541699999999999</v>
      </c>
      <c r="V102" s="185">
        <f>(('LCFS Table'!$S102/'LCFS Table'!$AA102)*'LCFS Table'!$AC102)*6.48</f>
        <v>125.3776595744681</v>
      </c>
      <c r="W102" s="185">
        <f>(('LCFS Table'!$O102/'LCFS Table'!$AA102)*'LCFS Table'!$AD102)*6.48</f>
        <v>53.856382978723417</v>
      </c>
      <c r="X102" s="185">
        <f>(('LCFS Table'!$U102/'LCFS Table'!$AA102)*'LCFS Table'!$AE102)*6.48</f>
        <v>66.422929787234054</v>
      </c>
      <c r="Y102" s="185">
        <f>(('LCFS Table'!$T102/'LCFS Table'!$AB102)*'LCFS Table'!$AF102)*7.35</f>
        <v>271.01689453124999</v>
      </c>
      <c r="Z102" s="185">
        <f>(('LCFS Table'!$R102/'LCFS Table'!$AB102)*'LCFS Table'!$AG102)*7.35</f>
        <v>46.89453125</v>
      </c>
      <c r="AA102" s="138">
        <v>0.94</v>
      </c>
      <c r="AB102" s="138">
        <v>0.96</v>
      </c>
      <c r="AC102" s="138">
        <v>0.5</v>
      </c>
      <c r="AD102" s="138">
        <v>0.25</v>
      </c>
      <c r="AE102" s="138">
        <v>0.25</v>
      </c>
      <c r="AF102" s="138">
        <v>0.75</v>
      </c>
      <c r="AG102" s="138">
        <v>0.25</v>
      </c>
      <c r="AH102" s="139">
        <v>4.375</v>
      </c>
      <c r="AI102" s="139">
        <v>136</v>
      </c>
      <c r="AJ102" s="139">
        <v>110</v>
      </c>
      <c r="AK102" s="186">
        <f>('LCFS Table'!$AI102/340)*100</f>
        <v>40</v>
      </c>
      <c r="AL102" s="186">
        <f>('LCFS Table'!$AJ102/340)*100</f>
        <v>32.352941176470587</v>
      </c>
      <c r="AM102" s="139">
        <v>105</v>
      </c>
      <c r="AN102" s="139">
        <v>90</v>
      </c>
      <c r="AO102" s="139">
        <f>('LCFS Table'!$AM102/300)*100</f>
        <v>35</v>
      </c>
      <c r="AP102" s="139">
        <f>('LCFS Table'!$AN102/300)*100</f>
        <v>30</v>
      </c>
      <c r="AQ102" s="140">
        <v>200.2</v>
      </c>
      <c r="AR102" s="140">
        <v>0.89083299999999999</v>
      </c>
      <c r="AS102" s="185">
        <v>1.729515780080382</v>
      </c>
      <c r="AT102" s="137">
        <v>0.16</v>
      </c>
      <c r="AU102" s="137">
        <v>1</v>
      </c>
      <c r="AV102" s="185">
        <f>'LCFS Table'!$AR102*1.7</f>
        <v>1.5144161</v>
      </c>
      <c r="AW102" s="137">
        <v>0</v>
      </c>
      <c r="AX102" s="185">
        <v>1.1815679926049998</v>
      </c>
      <c r="AY102" s="137">
        <v>0</v>
      </c>
      <c r="AZ102" s="141">
        <v>1</v>
      </c>
      <c r="BA102" s="185">
        <f>'LCFS Table'!$AR102*1.5</f>
        <v>1.3362495000000001</v>
      </c>
      <c r="BB102" s="142">
        <v>1.2</v>
      </c>
      <c r="BC102" s="185">
        <f>'LCFS Table'!$AS102*'LCFS Table'!$BW102</f>
        <v>1.729515780080382</v>
      </c>
      <c r="BD102" s="185">
        <f>'LCFS Table'!$AT102*'LCFS Table'!$BX102</f>
        <v>0</v>
      </c>
      <c r="BE102" s="185">
        <f>'LCFS Table'!$AU102*'LCFS Table'!$BY102</f>
        <v>1</v>
      </c>
      <c r="BF102" s="137">
        <f>'LCFS Table'!$AV102*'LCFS Table'!$BZ102</f>
        <v>1.5144161</v>
      </c>
      <c r="BG102" s="137">
        <f>'LCFS Table'!$AW102*'LCFS Table'!$CA102</f>
        <v>0</v>
      </c>
      <c r="BH102" s="137">
        <f>'LCFS Table'!$AX102*'LCFS Table'!$CB102</f>
        <v>1.1815679926049998</v>
      </c>
      <c r="BI102" s="137">
        <f>'LCFS Table'!$AY102*'LCFS Table'!$CC102</f>
        <v>0</v>
      </c>
      <c r="BJ102" s="137">
        <f>'LCFS Table'!$AZ102*'LCFS Table'!$CD102</f>
        <v>1</v>
      </c>
      <c r="BK102" s="137">
        <f>'LCFS Table'!$BA102*'LCFS Table'!$CE102</f>
        <v>1.3362495000000001</v>
      </c>
      <c r="BL102" s="137">
        <f>'LCFS Table'!$BB102*'LCFS Table'!$CF102</f>
        <v>-1.2</v>
      </c>
      <c r="BM102" s="137">
        <f>'LCFS Table'!$AS102*'LCFS Table'!$CG102</f>
        <v>0</v>
      </c>
      <c r="BN102" s="137">
        <f>'LCFS Table'!$AT102*'LCFS Table'!$CH102</f>
        <v>0.16</v>
      </c>
      <c r="BO102" s="137">
        <f>'LCFS Table'!$AU102*'LCFS Table'!$CI102</f>
        <v>0</v>
      </c>
      <c r="BP102" s="137">
        <f>'LCFS Table'!$AV102*'LCFS Table'!$CJ102</f>
        <v>0</v>
      </c>
      <c r="BQ102" s="137">
        <f>'LCFS Table'!$AW102*'LCFS Table'!$CK102</f>
        <v>0</v>
      </c>
      <c r="BR102" s="137">
        <f>'LCFS Table'!$AX102*'LCFS Table'!$CL102</f>
        <v>0</v>
      </c>
      <c r="BS102" s="137">
        <f>'LCFS Table'!$AY102*'LCFS Table'!$CM102</f>
        <v>0</v>
      </c>
      <c r="BT102" s="137">
        <f>'LCFS Table'!$AZ102*'LCFS Table'!$CN102</f>
        <v>0</v>
      </c>
      <c r="BU102" s="137">
        <f>'LCFS Table'!$BA102*'LCFS Table'!$CO102</f>
        <v>0</v>
      </c>
      <c r="BV102" s="142">
        <f>'LCFS Table'!$BB102*'LCFS Table'!$CP102</f>
        <v>1.2</v>
      </c>
      <c r="BW102" s="138">
        <v>1</v>
      </c>
      <c r="BX102" s="138">
        <v>0</v>
      </c>
      <c r="BY102" s="138">
        <v>1</v>
      </c>
      <c r="BZ102" s="138">
        <v>1</v>
      </c>
      <c r="CA102" s="138">
        <v>-1</v>
      </c>
      <c r="CB102" s="138">
        <v>1</v>
      </c>
      <c r="CC102" s="138">
        <v>0</v>
      </c>
      <c r="CD102" s="138">
        <v>1</v>
      </c>
      <c r="CE102" s="138">
        <v>1</v>
      </c>
      <c r="CF102" s="138">
        <v>-1</v>
      </c>
      <c r="CG102" s="138">
        <f>1-'LCFS Table'!$BW102</f>
        <v>0</v>
      </c>
      <c r="CH102" s="138">
        <f>1-'LCFS Table'!$BX102</f>
        <v>1</v>
      </c>
      <c r="CI102" s="138">
        <f>1-'LCFS Table'!$BY102</f>
        <v>0</v>
      </c>
      <c r="CJ102" s="138">
        <f>1-'LCFS Table'!$BZ102</f>
        <v>0</v>
      </c>
      <c r="CK102" s="138">
        <f>-'LCFS Table'!$CA102</f>
        <v>1</v>
      </c>
      <c r="CL102" s="138">
        <f>1-'LCFS Table'!$CB102</f>
        <v>0</v>
      </c>
      <c r="CM102" s="138">
        <f>1-'LCFS Table'!$CC102</f>
        <v>1</v>
      </c>
      <c r="CN102" s="138">
        <f>1-'LCFS Table'!$CD102</f>
        <v>0</v>
      </c>
      <c r="CO102" s="138">
        <f>1-'LCFS Table'!$CE102</f>
        <v>0</v>
      </c>
      <c r="CP102" s="138">
        <f>-'LCFS Table'!$CF102</f>
        <v>1</v>
      </c>
      <c r="CQ102" s="140">
        <v>6.25</v>
      </c>
      <c r="CR102" s="165">
        <f>('LCFS Table'!$CQ102*0.9/(0.8/0.99)/100)</f>
        <v>6.9609374999999987E-2</v>
      </c>
      <c r="CS102" s="166"/>
      <c r="CT102" s="167"/>
      <c r="CW102" s="168">
        <f>'LCFS Table'!$K102-'LCFS Table'!$M102</f>
        <v>0.63001749260499995</v>
      </c>
      <c r="CX102" s="129">
        <f>MONTH('LCFS Table'!$B102)</f>
        <v>11</v>
      </c>
      <c r="CY102" s="129">
        <f>YEAR('LCFS Table'!$B102)</f>
        <v>2020</v>
      </c>
    </row>
    <row r="103" spans="1:103">
      <c r="A103" s="148">
        <v>44164</v>
      </c>
      <c r="B103" s="149">
        <v>44170</v>
      </c>
      <c r="C103" s="132">
        <f t="shared" si="1"/>
        <v>2020</v>
      </c>
      <c r="D103" s="182" t="s">
        <v>305</v>
      </c>
      <c r="E103" s="187">
        <f>'LCFS Table'!$K103-'LCFS Table'!$I103</f>
        <v>-1.8199772841051314</v>
      </c>
      <c r="F103" s="187">
        <f>('LCFS Table'!$M103)-'LCFS Table'!$J103</f>
        <v>-3.16962932309375</v>
      </c>
      <c r="G103" s="188">
        <f>'LCFS Table'!$E103+'LCFS Table'!$AS103+'LCFS Table'!$AT103+'LCFS Table'!$AU103+'LCFS Table'!$AV103</f>
        <v>2.6269620330326102</v>
      </c>
      <c r="H103" s="188">
        <f>'LCFS Table'!$F103+'LCFS Table'!$AX103+'LCFS Table'!$AY103+'LCFS Table'!$AZ103+'LCFS Table'!$BA103+('LCFS Table'!$CQ103*0.9/(0.8/0.99)/100)+(DG103*'LCFS Table'!$AF103)+(DF103*'LCFS Table'!$AG103)</f>
        <v>0.45824023437500006</v>
      </c>
      <c r="I103" s="187">
        <f>('LCFS Table'!$V103+'LCFS Table'!$W103+'LCFS Table'!$X103)/100+(('LCFS Table'!$AI103+'LCFS Table'!$AJ103)/340)</f>
        <v>3.2030772841051314</v>
      </c>
      <c r="J103" s="187">
        <f>(('LCFS Table'!$Y103+'LCFS Table'!$Z103)/100)+(('LCFS Table'!$AM103+'LCFS Table'!$AN103)/300)</f>
        <v>3.8913691406250002</v>
      </c>
      <c r="K103" s="140">
        <f>'[1]Fuel Values'!$C102</f>
        <v>1.3831</v>
      </c>
      <c r="L103" s="140">
        <f>'[1]Fuel Values'!$B102</f>
        <v>428</v>
      </c>
      <c r="M103" s="185">
        <f>('LCFS Table'!$L103/100)-'LCFS Table'!$AX103-'LCFS Table'!$AY103-'LCFS Table'!$AZ103-'LCFS Table'!$BA103</f>
        <v>0.72173981753125016</v>
      </c>
      <c r="N103" s="140">
        <f>[1]BFT!$B102</f>
        <v>32</v>
      </c>
      <c r="O103" s="140">
        <f>[1]UCO!$B102</f>
        <v>32.049999999999997</v>
      </c>
      <c r="P103" s="140">
        <f>[1]DCO!$B102</f>
        <v>34.700000000000003</v>
      </c>
      <c r="Q103" s="140">
        <f>'[1]Soybean Oil'!$B102</f>
        <v>43.54</v>
      </c>
      <c r="R103" s="140">
        <f>'[1]Yellow Grease'!$B102</f>
        <v>25.6</v>
      </c>
      <c r="S103" s="185">
        <f>'LCFS Table'!$N103 + 'LCFS Table'!$AH103</f>
        <v>36.375</v>
      </c>
      <c r="T103" s="185">
        <f>'LCFS Table'!$Q103+'LCFS Table'!$AH103</f>
        <v>47.914999999999999</v>
      </c>
      <c r="U103" s="185">
        <f>'LCFS Table'!$P103+'LCFS Table'!$AH103</f>
        <v>39.075000000000003</v>
      </c>
      <c r="V103" s="185">
        <f>(('LCFS Table'!$S103/'LCFS Table'!$AA103)*'LCFS Table'!$AC103)*6.48</f>
        <v>125.3776595744681</v>
      </c>
      <c r="W103" s="185">
        <f>(('LCFS Table'!$O103/'LCFS Table'!$AA103)*'LCFS Table'!$AD103)*6.48</f>
        <v>55.235106382978728</v>
      </c>
      <c r="X103" s="185">
        <f>(('LCFS Table'!$U103/'LCFS Table'!$AA103)*'LCFS Table'!$AE103)*6.48</f>
        <v>67.342021276595759</v>
      </c>
      <c r="Y103" s="185">
        <f>(('LCFS Table'!$T103/'LCFS Table'!$AB103)*'LCFS Table'!$AF103)*7.35</f>
        <v>275.13691406250001</v>
      </c>
      <c r="Z103" s="185">
        <f>(('LCFS Table'!$R103/'LCFS Table'!$AB103)*'LCFS Table'!$AG103)*7.35</f>
        <v>49</v>
      </c>
      <c r="AA103" s="138">
        <v>0.94</v>
      </c>
      <c r="AB103" s="138">
        <v>0.96</v>
      </c>
      <c r="AC103" s="138">
        <v>0.5</v>
      </c>
      <c r="AD103" s="138">
        <v>0.25</v>
      </c>
      <c r="AE103" s="138">
        <v>0.25</v>
      </c>
      <c r="AF103" s="138">
        <v>0.75</v>
      </c>
      <c r="AG103" s="138">
        <v>0.25</v>
      </c>
      <c r="AH103" s="139">
        <v>4.375</v>
      </c>
      <c r="AI103" s="139">
        <v>136</v>
      </c>
      <c r="AJ103" s="139">
        <v>110</v>
      </c>
      <c r="AK103" s="186">
        <f>('LCFS Table'!$AI103/340)*100</f>
        <v>40</v>
      </c>
      <c r="AL103" s="186">
        <f>('LCFS Table'!$AJ103/340)*100</f>
        <v>32.352941176470587</v>
      </c>
      <c r="AM103" s="139">
        <v>105</v>
      </c>
      <c r="AN103" s="139">
        <v>90</v>
      </c>
      <c r="AO103" s="139">
        <f>('LCFS Table'!$AM103/300)*100</f>
        <v>35</v>
      </c>
      <c r="AP103" s="139">
        <f>('LCFS Table'!$AN103/300)*100</f>
        <v>30</v>
      </c>
      <c r="AQ103" s="140">
        <v>198.75</v>
      </c>
      <c r="AR103" s="140">
        <v>0.92349999999999999</v>
      </c>
      <c r="AS103" s="185">
        <v>1.7169893171377417</v>
      </c>
      <c r="AT103" s="137">
        <v>0.16</v>
      </c>
      <c r="AU103" s="137">
        <v>1</v>
      </c>
      <c r="AV103" s="185">
        <f>'LCFS Table'!$AR103*1.7</f>
        <v>1.56995</v>
      </c>
      <c r="AW103" s="137">
        <v>0</v>
      </c>
      <c r="AX103" s="185">
        <v>1.17301018246875</v>
      </c>
      <c r="AY103" s="137">
        <v>0</v>
      </c>
      <c r="AZ103" s="141">
        <v>1</v>
      </c>
      <c r="BA103" s="185">
        <f>'LCFS Table'!$AR103*1.5</f>
        <v>1.3852500000000001</v>
      </c>
      <c r="BB103" s="142">
        <v>1.2</v>
      </c>
      <c r="BC103" s="185">
        <f>'LCFS Table'!$AS103*'LCFS Table'!$BW103</f>
        <v>1.7169893171377417</v>
      </c>
      <c r="BD103" s="185">
        <f>'LCFS Table'!$AT103*'LCFS Table'!$BX103</f>
        <v>0</v>
      </c>
      <c r="BE103" s="185">
        <f>'LCFS Table'!$AU103*'LCFS Table'!$BY103</f>
        <v>1</v>
      </c>
      <c r="BF103" s="137">
        <f>'LCFS Table'!$AV103*'LCFS Table'!$BZ103</f>
        <v>1.56995</v>
      </c>
      <c r="BG103" s="137">
        <f>'LCFS Table'!$AW103*'LCFS Table'!$CA103</f>
        <v>0</v>
      </c>
      <c r="BH103" s="137">
        <f>'LCFS Table'!$AX103*'LCFS Table'!$CB103</f>
        <v>1.17301018246875</v>
      </c>
      <c r="BI103" s="137">
        <f>'LCFS Table'!$AY103*'LCFS Table'!$CC103</f>
        <v>0</v>
      </c>
      <c r="BJ103" s="137">
        <f>'LCFS Table'!$AZ103*'LCFS Table'!$CD103</f>
        <v>1</v>
      </c>
      <c r="BK103" s="137">
        <f>'LCFS Table'!$BA103*'LCFS Table'!$CE103</f>
        <v>1.3852500000000001</v>
      </c>
      <c r="BL103" s="137">
        <f>'LCFS Table'!$BB103*'LCFS Table'!$CF103</f>
        <v>-1.2</v>
      </c>
      <c r="BM103" s="137">
        <f>'LCFS Table'!$AS103*'LCFS Table'!$CG103</f>
        <v>0</v>
      </c>
      <c r="BN103" s="137">
        <f>'LCFS Table'!$AT103*'LCFS Table'!$CH103</f>
        <v>0.16</v>
      </c>
      <c r="BO103" s="137">
        <f>'LCFS Table'!$AU103*'LCFS Table'!$CI103</f>
        <v>0</v>
      </c>
      <c r="BP103" s="137">
        <f>'LCFS Table'!$AV103*'LCFS Table'!$CJ103</f>
        <v>0</v>
      </c>
      <c r="BQ103" s="137">
        <f>'LCFS Table'!$AW103*'LCFS Table'!$CK103</f>
        <v>0</v>
      </c>
      <c r="BR103" s="137">
        <f>'LCFS Table'!$AX103*'LCFS Table'!$CL103</f>
        <v>0</v>
      </c>
      <c r="BS103" s="137">
        <f>'LCFS Table'!$AY103*'LCFS Table'!$CM103</f>
        <v>0</v>
      </c>
      <c r="BT103" s="137">
        <f>'LCFS Table'!$AZ103*'LCFS Table'!$CN103</f>
        <v>0</v>
      </c>
      <c r="BU103" s="137">
        <f>'LCFS Table'!$BA103*'LCFS Table'!$CO103</f>
        <v>0</v>
      </c>
      <c r="BV103" s="142">
        <f>'LCFS Table'!$BB103*'LCFS Table'!$CP103</f>
        <v>1.2</v>
      </c>
      <c r="BW103" s="138">
        <v>1</v>
      </c>
      <c r="BX103" s="138">
        <v>0</v>
      </c>
      <c r="BY103" s="138">
        <v>1</v>
      </c>
      <c r="BZ103" s="138">
        <v>1</v>
      </c>
      <c r="CA103" s="138">
        <v>-1</v>
      </c>
      <c r="CB103" s="138">
        <v>1</v>
      </c>
      <c r="CC103" s="138">
        <v>0</v>
      </c>
      <c r="CD103" s="138">
        <v>1</v>
      </c>
      <c r="CE103" s="138">
        <v>1</v>
      </c>
      <c r="CF103" s="138">
        <v>-1</v>
      </c>
      <c r="CG103" s="138">
        <f>1-'LCFS Table'!$BW103</f>
        <v>0</v>
      </c>
      <c r="CH103" s="138">
        <f>1-'LCFS Table'!$BX103</f>
        <v>1</v>
      </c>
      <c r="CI103" s="138">
        <f>1-'LCFS Table'!$BY103</f>
        <v>0</v>
      </c>
      <c r="CJ103" s="138">
        <f>1-'LCFS Table'!$BZ103</f>
        <v>0</v>
      </c>
      <c r="CK103" s="138">
        <f>-'LCFS Table'!$CA103</f>
        <v>1</v>
      </c>
      <c r="CL103" s="138">
        <f>1-'LCFS Table'!$CB103</f>
        <v>0</v>
      </c>
      <c r="CM103" s="138">
        <f>1-'LCFS Table'!$CC103</f>
        <v>1</v>
      </c>
      <c r="CN103" s="138">
        <f>1-'LCFS Table'!$CD103</f>
        <v>0</v>
      </c>
      <c r="CO103" s="138">
        <f>1-'LCFS Table'!$CE103</f>
        <v>0</v>
      </c>
      <c r="CP103" s="138">
        <f>-'LCFS Table'!$CF103</f>
        <v>1</v>
      </c>
      <c r="CQ103" s="140">
        <v>6.25</v>
      </c>
      <c r="CR103" s="165">
        <f>('LCFS Table'!$CQ103*0.9/(0.8/0.99)/100)</f>
        <v>6.9609374999999987E-2</v>
      </c>
      <c r="CS103" s="166"/>
      <c r="CT103" s="167"/>
      <c r="CW103" s="168">
        <f>'LCFS Table'!$K103-'LCFS Table'!$M103</f>
        <v>0.66136018246874984</v>
      </c>
      <c r="CX103" s="129">
        <f>MONTH('LCFS Table'!$B103)</f>
        <v>12</v>
      </c>
      <c r="CY103" s="129">
        <f>YEAR('LCFS Table'!$B103)</f>
        <v>2020</v>
      </c>
    </row>
    <row r="104" spans="1:103">
      <c r="A104" s="148">
        <v>44171</v>
      </c>
      <c r="B104" s="149">
        <v>44177</v>
      </c>
      <c r="C104" s="132">
        <f t="shared" si="1"/>
        <v>2020</v>
      </c>
      <c r="D104" s="182" t="s">
        <v>306</v>
      </c>
      <c r="E104" s="187">
        <f>'LCFS Table'!$K104-'LCFS Table'!$I104</f>
        <v>-1.8620240926157696</v>
      </c>
      <c r="F104" s="187">
        <f>('LCFS Table'!$M104)-'LCFS Table'!$J104</f>
        <v>-3.2949656917912495</v>
      </c>
      <c r="G104" s="188">
        <f>'LCFS Table'!$E104+'LCFS Table'!$AS104+'LCFS Table'!$AT104+'LCFS Table'!$AU104+'LCFS Table'!$AV104</f>
        <v>2.7277013305259281</v>
      </c>
      <c r="H104" s="188">
        <f>'LCFS Table'!$F104+'LCFS Table'!$AX104+'LCFS Table'!$AY104+'LCFS Table'!$AZ104+'LCFS Table'!$BA104+('LCFS Table'!$CQ104*0.9/(0.8/0.99)/100)+(DG104*'LCFS Table'!$AF104)+(DF104*'LCFS Table'!$AG104)</f>
        <v>0.46463242187500031</v>
      </c>
      <c r="I104" s="187">
        <f>('LCFS Table'!$V104+'LCFS Table'!$W104+'LCFS Table'!$X104)/100+(('LCFS Table'!$AI104+'LCFS Table'!$AJ104)/340)</f>
        <v>3.2875240926157696</v>
      </c>
      <c r="J104" s="187">
        <f>(('LCFS Table'!$Y104+'LCFS Table'!$Z104)/100)+(('LCFS Table'!$AM104+'LCFS Table'!$AN104)/300)</f>
        <v>3.9355457031249999</v>
      </c>
      <c r="K104" s="140">
        <f>'[1]Fuel Values'!$C103</f>
        <v>1.4255</v>
      </c>
      <c r="L104" s="140">
        <f>'[1]Fuel Values'!$B103</f>
        <v>432.5</v>
      </c>
      <c r="M104" s="185">
        <f>('LCFS Table'!$L104/100)-'LCFS Table'!$AX104-'LCFS Table'!$AY104-'LCFS Table'!$AZ104-'LCFS Table'!$BA104</f>
        <v>0.64058001133375031</v>
      </c>
      <c r="N104" s="140">
        <f>[1]BFT!$B103</f>
        <v>34.299999999999997</v>
      </c>
      <c r="O104" s="140">
        <f>[1]UCO!$B103</f>
        <v>32.25</v>
      </c>
      <c r="P104" s="140">
        <f>[1]DCO!$B103</f>
        <v>34.799999999999997</v>
      </c>
      <c r="Q104" s="140">
        <f>'[1]Soybean Oil'!$B103</f>
        <v>44.176000000000002</v>
      </c>
      <c r="R104" s="140">
        <f>'[1]Yellow Grease'!$B103</f>
        <v>26</v>
      </c>
      <c r="S104" s="185">
        <f>'LCFS Table'!$N104 + 'LCFS Table'!$AH104</f>
        <v>38.674999999999997</v>
      </c>
      <c r="T104" s="185">
        <f>'LCFS Table'!$Q104+'LCFS Table'!$AH104</f>
        <v>48.551000000000002</v>
      </c>
      <c r="U104" s="185">
        <f>'LCFS Table'!$P104+'LCFS Table'!$AH104</f>
        <v>39.174999999999997</v>
      </c>
      <c r="V104" s="185">
        <f>(('LCFS Table'!$S104/'LCFS Table'!$AA104)*'LCFS Table'!$AC104)*6.48</f>
        <v>133.30531914893618</v>
      </c>
      <c r="W104" s="185">
        <f>(('LCFS Table'!$O104/'LCFS Table'!$AA104)*'LCFS Table'!$AD104)*6.48</f>
        <v>55.579787234042563</v>
      </c>
      <c r="X104" s="185">
        <f>(('LCFS Table'!$U104/'LCFS Table'!$AA104)*'LCFS Table'!$AE104)*6.48</f>
        <v>67.514361702127673</v>
      </c>
      <c r="Y104" s="185">
        <f>(('LCFS Table'!$T104/'LCFS Table'!$AB104)*'LCFS Table'!$AF104)*7.35</f>
        <v>278.7889453125</v>
      </c>
      <c r="Z104" s="185">
        <f>(('LCFS Table'!$R104/'LCFS Table'!$AB104)*'LCFS Table'!$AG104)*7.35</f>
        <v>49.765625</v>
      </c>
      <c r="AA104" s="138">
        <v>0.94</v>
      </c>
      <c r="AB104" s="138">
        <v>0.96</v>
      </c>
      <c r="AC104" s="138">
        <v>0.5</v>
      </c>
      <c r="AD104" s="138">
        <v>0.25</v>
      </c>
      <c r="AE104" s="138">
        <v>0.25</v>
      </c>
      <c r="AF104" s="138">
        <v>0.75</v>
      </c>
      <c r="AG104" s="138">
        <v>0.25</v>
      </c>
      <c r="AH104" s="139">
        <v>4.375</v>
      </c>
      <c r="AI104" s="139">
        <v>136</v>
      </c>
      <c r="AJ104" s="139">
        <v>110</v>
      </c>
      <c r="AK104" s="186">
        <f>('LCFS Table'!$AI104/340)*100</f>
        <v>40</v>
      </c>
      <c r="AL104" s="186">
        <f>('LCFS Table'!$AJ104/340)*100</f>
        <v>32.352941176470587</v>
      </c>
      <c r="AM104" s="139">
        <v>105</v>
      </c>
      <c r="AN104" s="139">
        <v>90</v>
      </c>
      <c r="AO104" s="139">
        <f>('LCFS Table'!$AM104/300)*100</f>
        <v>35</v>
      </c>
      <c r="AP104" s="139">
        <f>('LCFS Table'!$AN104/300)*100</f>
        <v>30</v>
      </c>
      <c r="AQ104" s="140">
        <v>198.65</v>
      </c>
      <c r="AR104" s="140">
        <v>1.008</v>
      </c>
      <c r="AS104" s="185">
        <v>1.7161254231416976</v>
      </c>
      <c r="AT104" s="137">
        <v>0.16</v>
      </c>
      <c r="AU104" s="137">
        <v>1</v>
      </c>
      <c r="AV104" s="185">
        <f>'LCFS Table'!$AR104*1.7</f>
        <v>1.7136</v>
      </c>
      <c r="AW104" s="137">
        <v>0</v>
      </c>
      <c r="AX104" s="185">
        <v>1.1724199886662499</v>
      </c>
      <c r="AY104" s="137">
        <v>0</v>
      </c>
      <c r="AZ104" s="141">
        <v>1</v>
      </c>
      <c r="BA104" s="185">
        <f>'LCFS Table'!$AR104*1.5</f>
        <v>1.512</v>
      </c>
      <c r="BB104" s="142">
        <v>1.2</v>
      </c>
      <c r="BC104" s="185">
        <f>'LCFS Table'!$AS104*'LCFS Table'!$BW104</f>
        <v>1.7161254231416976</v>
      </c>
      <c r="BD104" s="185">
        <f>'LCFS Table'!$AT104*'LCFS Table'!$BX104</f>
        <v>0</v>
      </c>
      <c r="BE104" s="185">
        <f>'LCFS Table'!$AU104*'LCFS Table'!$BY104</f>
        <v>1</v>
      </c>
      <c r="BF104" s="137">
        <f>'LCFS Table'!$AV104*'LCFS Table'!$BZ104</f>
        <v>1.7136</v>
      </c>
      <c r="BG104" s="137">
        <f>'LCFS Table'!$AW104*'LCFS Table'!$CA104</f>
        <v>0</v>
      </c>
      <c r="BH104" s="137">
        <f>'LCFS Table'!$AX104*'LCFS Table'!$CB104</f>
        <v>1.1724199886662499</v>
      </c>
      <c r="BI104" s="137">
        <f>'LCFS Table'!$AY104*'LCFS Table'!$CC104</f>
        <v>0</v>
      </c>
      <c r="BJ104" s="137">
        <f>'LCFS Table'!$AZ104*'LCFS Table'!$CD104</f>
        <v>1</v>
      </c>
      <c r="BK104" s="137">
        <f>'LCFS Table'!$BA104*'LCFS Table'!$CE104</f>
        <v>1.512</v>
      </c>
      <c r="BL104" s="137">
        <f>'LCFS Table'!$BB104*'LCFS Table'!$CF104</f>
        <v>-1.2</v>
      </c>
      <c r="BM104" s="137">
        <f>'LCFS Table'!$AS104*'LCFS Table'!$CG104</f>
        <v>0</v>
      </c>
      <c r="BN104" s="137">
        <f>'LCFS Table'!$AT104*'LCFS Table'!$CH104</f>
        <v>0.16</v>
      </c>
      <c r="BO104" s="137">
        <f>'LCFS Table'!$AU104*'LCFS Table'!$CI104</f>
        <v>0</v>
      </c>
      <c r="BP104" s="137">
        <f>'LCFS Table'!$AV104*'LCFS Table'!$CJ104</f>
        <v>0</v>
      </c>
      <c r="BQ104" s="137">
        <f>'LCFS Table'!$AW104*'LCFS Table'!$CK104</f>
        <v>0</v>
      </c>
      <c r="BR104" s="137">
        <f>'LCFS Table'!$AX104*'LCFS Table'!$CL104</f>
        <v>0</v>
      </c>
      <c r="BS104" s="137">
        <f>'LCFS Table'!$AY104*'LCFS Table'!$CM104</f>
        <v>0</v>
      </c>
      <c r="BT104" s="137">
        <f>'LCFS Table'!$AZ104*'LCFS Table'!$CN104</f>
        <v>0</v>
      </c>
      <c r="BU104" s="137">
        <f>'LCFS Table'!$BA104*'LCFS Table'!$CO104</f>
        <v>0</v>
      </c>
      <c r="BV104" s="142">
        <f>'LCFS Table'!$BB104*'LCFS Table'!$CP104</f>
        <v>1.2</v>
      </c>
      <c r="BW104" s="138">
        <v>1</v>
      </c>
      <c r="BX104" s="138">
        <v>0</v>
      </c>
      <c r="BY104" s="138">
        <v>1</v>
      </c>
      <c r="BZ104" s="138">
        <v>1</v>
      </c>
      <c r="CA104" s="138">
        <v>-1</v>
      </c>
      <c r="CB104" s="138">
        <v>1</v>
      </c>
      <c r="CC104" s="138">
        <v>0</v>
      </c>
      <c r="CD104" s="138">
        <v>1</v>
      </c>
      <c r="CE104" s="138">
        <v>1</v>
      </c>
      <c r="CF104" s="138">
        <v>-1</v>
      </c>
      <c r="CG104" s="138">
        <f>1-'LCFS Table'!$BW104</f>
        <v>0</v>
      </c>
      <c r="CH104" s="138">
        <f>1-'LCFS Table'!$BX104</f>
        <v>1</v>
      </c>
      <c r="CI104" s="138">
        <f>1-'LCFS Table'!$BY104</f>
        <v>0</v>
      </c>
      <c r="CJ104" s="138">
        <f>1-'LCFS Table'!$BZ104</f>
        <v>0</v>
      </c>
      <c r="CK104" s="138">
        <f>-'LCFS Table'!$CA104</f>
        <v>1</v>
      </c>
      <c r="CL104" s="138">
        <f>1-'LCFS Table'!$CB104</f>
        <v>0</v>
      </c>
      <c r="CM104" s="138">
        <f>1-'LCFS Table'!$CC104</f>
        <v>1</v>
      </c>
      <c r="CN104" s="138">
        <f>1-'LCFS Table'!$CD104</f>
        <v>0</v>
      </c>
      <c r="CO104" s="138">
        <f>1-'LCFS Table'!$CE104</f>
        <v>0</v>
      </c>
      <c r="CP104" s="138">
        <f>-'LCFS Table'!$CF104</f>
        <v>1</v>
      </c>
      <c r="CQ104" s="140">
        <v>6.75</v>
      </c>
      <c r="CR104" s="165">
        <f>('LCFS Table'!$CQ104*0.9/(0.8/0.99)/100)</f>
        <v>7.5178124999999985E-2</v>
      </c>
      <c r="CS104" s="166"/>
      <c r="CT104" s="167"/>
      <c r="CW104" s="168">
        <f>'LCFS Table'!$K104-'LCFS Table'!$M104</f>
        <v>0.78491998866624968</v>
      </c>
      <c r="CX104" s="129">
        <f>MONTH('LCFS Table'!$B104)</f>
        <v>12</v>
      </c>
      <c r="CY104" s="129">
        <f>YEAR('LCFS Table'!$B104)</f>
        <v>2020</v>
      </c>
    </row>
    <row r="105" spans="1:103">
      <c r="A105" s="148">
        <v>44178</v>
      </c>
      <c r="B105" s="149">
        <v>44184</v>
      </c>
      <c r="C105" s="132">
        <f t="shared" si="1"/>
        <v>2020</v>
      </c>
      <c r="D105" s="150" t="s">
        <v>307</v>
      </c>
      <c r="E105" s="187">
        <f>'LCFS Table'!$K105-'LCFS Table'!$I105</f>
        <v>-1.9016517521902383</v>
      </c>
      <c r="F105" s="187">
        <f>('LCFS Table'!$M105)-'LCFS Table'!$J105</f>
        <v>-3.29509621385</v>
      </c>
      <c r="G105" s="188">
        <f>'LCFS Table'!$E105+'LCFS Table'!$AS105+'LCFS Table'!$AT105+'LCFS Table'!$AU105+'LCFS Table'!$AV105</f>
        <v>2.6145972999376137</v>
      </c>
      <c r="H105" s="188">
        <f>'LCFS Table'!$F105+'LCFS Table'!$AX105+'LCFS Table'!$AY105+'LCFS Table'!$AZ105+'LCFS Table'!$BA105+('LCFS Table'!$CQ105*0.9/(0.8/0.99)/100)+(DG105*'LCFS Table'!$AF105)+(DF105*'LCFS Table'!$AG105)</f>
        <v>0.39906757812499982</v>
      </c>
      <c r="I105" s="187">
        <f>('LCFS Table'!$V105+'LCFS Table'!$W105+'LCFS Table'!$X105)/100+(('LCFS Table'!$AI105+'LCFS Table'!$AJ105)/340)</f>
        <v>3.3926517521902384</v>
      </c>
      <c r="J105" s="187">
        <f>(('LCFS Table'!$Y105+'LCFS Table'!$Z105)/100)+(('LCFS Table'!$AM105+'LCFS Table'!$AN105)/300)</f>
        <v>4.0361105468750003</v>
      </c>
      <c r="K105" s="140">
        <f>'[1]Fuel Values'!$C104</f>
        <v>1.4910000000000001</v>
      </c>
      <c r="L105" s="140">
        <f>'[1]Fuel Values'!$B104</f>
        <v>436</v>
      </c>
      <c r="M105" s="185">
        <f>('LCFS Table'!$L105/100)-'LCFS Table'!$AX105-'LCFS Table'!$AY105-'LCFS Table'!$AZ105-'LCFS Table'!$BA105</f>
        <v>0.74101433302500053</v>
      </c>
      <c r="N105" s="140">
        <f>[1]BFT!$B104</f>
        <v>36.5</v>
      </c>
      <c r="O105" s="140">
        <f>[1]UCO!$B104</f>
        <v>33.299999999999997</v>
      </c>
      <c r="P105" s="140">
        <f>[1]DCO!$B104</f>
        <v>35.450000000000003</v>
      </c>
      <c r="Q105" s="140">
        <f>'[1]Soybean Oil'!$B104</f>
        <v>45.643999999999998</v>
      </c>
      <c r="R105" s="140">
        <f>'[1]Yellow Grease'!$B104</f>
        <v>26.85</v>
      </c>
      <c r="S105" s="185">
        <f>'LCFS Table'!$N105 + 'LCFS Table'!$AH105</f>
        <v>40.875</v>
      </c>
      <c r="T105" s="185">
        <f>'LCFS Table'!$Q105+'LCFS Table'!$AH105</f>
        <v>50.018999999999998</v>
      </c>
      <c r="U105" s="185">
        <f>'LCFS Table'!$P105+'LCFS Table'!$AH105</f>
        <v>39.825000000000003</v>
      </c>
      <c r="V105" s="185">
        <f>(('LCFS Table'!$S105/'LCFS Table'!$AA105)*'LCFS Table'!$AC105)*6.48</f>
        <v>140.88829787234044</v>
      </c>
      <c r="W105" s="185">
        <f>(('LCFS Table'!$O105/'LCFS Table'!$AA105)*'LCFS Table'!$AD105)*6.48</f>
        <v>57.389361702127665</v>
      </c>
      <c r="X105" s="185">
        <f>(('LCFS Table'!$U105/'LCFS Table'!$AA105)*'LCFS Table'!$AE105)*6.48</f>
        <v>68.63457446808512</v>
      </c>
      <c r="Y105" s="185">
        <f>(('LCFS Table'!$T105/'LCFS Table'!$AB105)*'LCFS Table'!$AF105)*7.35</f>
        <v>287.21847656249997</v>
      </c>
      <c r="Z105" s="185">
        <f>(('LCFS Table'!$R105/'LCFS Table'!$AB105)*'LCFS Table'!$AG105)*7.35</f>
        <v>51.392578125000007</v>
      </c>
      <c r="AA105" s="138">
        <v>0.94</v>
      </c>
      <c r="AB105" s="138">
        <v>0.96</v>
      </c>
      <c r="AC105" s="138">
        <v>0.5</v>
      </c>
      <c r="AD105" s="138">
        <v>0.25</v>
      </c>
      <c r="AE105" s="138">
        <v>0.25</v>
      </c>
      <c r="AF105" s="138">
        <v>0.75</v>
      </c>
      <c r="AG105" s="138">
        <v>0.25</v>
      </c>
      <c r="AH105" s="139">
        <v>4.375</v>
      </c>
      <c r="AI105" s="139">
        <v>136</v>
      </c>
      <c r="AJ105" s="139">
        <v>110</v>
      </c>
      <c r="AK105" s="186">
        <f>('LCFS Table'!$AI105/340)*100</f>
        <v>40</v>
      </c>
      <c r="AL105" s="186">
        <f>('LCFS Table'!$AJ105/340)*100</f>
        <v>32.352941176470587</v>
      </c>
      <c r="AM105" s="139">
        <v>105</v>
      </c>
      <c r="AN105" s="139">
        <v>90</v>
      </c>
      <c r="AO105" s="139">
        <f>('LCFS Table'!$AM105/300)*100</f>
        <v>35</v>
      </c>
      <c r="AP105" s="139">
        <f>('LCFS Table'!$AN105/300)*100</f>
        <v>30</v>
      </c>
      <c r="AQ105" s="140">
        <v>199</v>
      </c>
      <c r="AR105" s="140">
        <v>0.96299999999999997</v>
      </c>
      <c r="AS105" s="185">
        <v>1.7191490521278521</v>
      </c>
      <c r="AT105" s="137">
        <v>0.16</v>
      </c>
      <c r="AU105" s="137">
        <v>1</v>
      </c>
      <c r="AV105" s="185">
        <f>'LCFS Table'!$AR105*1.7</f>
        <v>1.6371</v>
      </c>
      <c r="AW105" s="137">
        <v>0</v>
      </c>
      <c r="AX105" s="185">
        <v>1.1744856669749999</v>
      </c>
      <c r="AY105" s="137">
        <v>0</v>
      </c>
      <c r="AZ105" s="141">
        <v>1</v>
      </c>
      <c r="BA105" s="185">
        <f>'LCFS Table'!$AR105*1.5</f>
        <v>1.4444999999999999</v>
      </c>
      <c r="BB105" s="142">
        <v>1.2</v>
      </c>
      <c r="BC105" s="185">
        <f>'LCFS Table'!$AS105*'LCFS Table'!$BW105</f>
        <v>1.7191490521278521</v>
      </c>
      <c r="BD105" s="185">
        <f>'LCFS Table'!$AT105*'LCFS Table'!$BX105</f>
        <v>0</v>
      </c>
      <c r="BE105" s="185">
        <f>'LCFS Table'!$AU105*'LCFS Table'!$BY105</f>
        <v>1</v>
      </c>
      <c r="BF105" s="137">
        <f>'LCFS Table'!$AV105*'LCFS Table'!$BZ105</f>
        <v>1.6371</v>
      </c>
      <c r="BG105" s="137">
        <f>'LCFS Table'!$AW105*'LCFS Table'!$CA105</f>
        <v>0</v>
      </c>
      <c r="BH105" s="137">
        <f>'LCFS Table'!$AX105*'LCFS Table'!$CB105</f>
        <v>1.1744856669749999</v>
      </c>
      <c r="BI105" s="137">
        <f>'LCFS Table'!$AY105*'LCFS Table'!$CC105</f>
        <v>0</v>
      </c>
      <c r="BJ105" s="137">
        <f>'LCFS Table'!$AZ105*'LCFS Table'!$CD105</f>
        <v>1</v>
      </c>
      <c r="BK105" s="137">
        <f>'LCFS Table'!$BA105*'LCFS Table'!$CE105</f>
        <v>1.4444999999999999</v>
      </c>
      <c r="BL105" s="137">
        <f>'LCFS Table'!$BB105*'LCFS Table'!$CF105</f>
        <v>-1.2</v>
      </c>
      <c r="BM105" s="137">
        <f>'LCFS Table'!$AS105*'LCFS Table'!$CG105</f>
        <v>0</v>
      </c>
      <c r="BN105" s="137">
        <f>'LCFS Table'!$AT105*'LCFS Table'!$CH105</f>
        <v>0.16</v>
      </c>
      <c r="BO105" s="137">
        <f>'LCFS Table'!$AU105*'LCFS Table'!$CI105</f>
        <v>0</v>
      </c>
      <c r="BP105" s="137">
        <f>'LCFS Table'!$AV105*'LCFS Table'!$CJ105</f>
        <v>0</v>
      </c>
      <c r="BQ105" s="137">
        <f>'LCFS Table'!$AW105*'LCFS Table'!$CK105</f>
        <v>0</v>
      </c>
      <c r="BR105" s="137">
        <f>'LCFS Table'!$AX105*'LCFS Table'!$CL105</f>
        <v>0</v>
      </c>
      <c r="BS105" s="137">
        <f>'LCFS Table'!$AY105*'LCFS Table'!$CM105</f>
        <v>0</v>
      </c>
      <c r="BT105" s="137">
        <f>'LCFS Table'!$AZ105*'LCFS Table'!$CN105</f>
        <v>0</v>
      </c>
      <c r="BU105" s="137">
        <f>'LCFS Table'!$BA105*'LCFS Table'!$CO105</f>
        <v>0</v>
      </c>
      <c r="BV105" s="142">
        <f>'LCFS Table'!$BB105*'LCFS Table'!$CP105</f>
        <v>1.2</v>
      </c>
      <c r="BW105" s="138">
        <v>1</v>
      </c>
      <c r="BX105" s="138">
        <v>0</v>
      </c>
      <c r="BY105" s="138">
        <v>1</v>
      </c>
      <c r="BZ105" s="138">
        <v>1</v>
      </c>
      <c r="CA105" s="138">
        <v>-1</v>
      </c>
      <c r="CB105" s="138">
        <v>1</v>
      </c>
      <c r="CC105" s="138">
        <v>0</v>
      </c>
      <c r="CD105" s="138">
        <v>1</v>
      </c>
      <c r="CE105" s="138">
        <v>1</v>
      </c>
      <c r="CF105" s="138">
        <v>-1</v>
      </c>
      <c r="CG105" s="138">
        <f>1-'LCFS Table'!$BW105</f>
        <v>0</v>
      </c>
      <c r="CH105" s="138">
        <f>1-'LCFS Table'!$BX105</f>
        <v>1</v>
      </c>
      <c r="CI105" s="138">
        <f>1-'LCFS Table'!$BY105</f>
        <v>0</v>
      </c>
      <c r="CJ105" s="138">
        <f>1-'LCFS Table'!$BZ105</f>
        <v>0</v>
      </c>
      <c r="CK105" s="138">
        <f>-'LCFS Table'!$CA105</f>
        <v>1</v>
      </c>
      <c r="CL105" s="138">
        <f>1-'LCFS Table'!$CB105</f>
        <v>0</v>
      </c>
      <c r="CM105" s="138">
        <f>1-'LCFS Table'!$CC105</f>
        <v>1</v>
      </c>
      <c r="CN105" s="138">
        <f>1-'LCFS Table'!$CD105</f>
        <v>0</v>
      </c>
      <c r="CO105" s="138">
        <f>1-'LCFS Table'!$CE105</f>
        <v>0</v>
      </c>
      <c r="CP105" s="138">
        <f>-'LCFS Table'!$CF105</f>
        <v>1</v>
      </c>
      <c r="CQ105" s="140">
        <v>6.75</v>
      </c>
      <c r="CR105" s="165">
        <f>('LCFS Table'!$CQ105*0.9/(0.8/0.99)/100)</f>
        <v>7.5178124999999985E-2</v>
      </c>
      <c r="CS105" s="166"/>
      <c r="CT105" s="167"/>
      <c r="CW105" s="168">
        <f>'LCFS Table'!$K105-'LCFS Table'!$M105</f>
        <v>0.74998566697499958</v>
      </c>
      <c r="CX105" s="129">
        <f>MONTH('LCFS Table'!$B105)</f>
        <v>12</v>
      </c>
      <c r="CY105" s="129">
        <f>YEAR('LCFS Table'!$B105)</f>
        <v>2020</v>
      </c>
    </row>
    <row r="106" spans="1:103">
      <c r="A106" s="148">
        <v>44185</v>
      </c>
      <c r="B106" s="149">
        <v>44191</v>
      </c>
      <c r="C106" s="132">
        <f t="shared" si="1"/>
        <v>2020</v>
      </c>
      <c r="D106" s="182" t="s">
        <v>308</v>
      </c>
      <c r="E106" s="187">
        <f>'LCFS Table'!$K106-'LCFS Table'!$I106</f>
        <v>-1.9595623904881103</v>
      </c>
      <c r="F106" s="187">
        <f>('LCFS Table'!$M106)-'LCFS Table'!$J106</f>
        <v>-3.2509776197718754</v>
      </c>
      <c r="G106" s="188">
        <f>'LCFS Table'!$E106+'LCFS Table'!$AS106+'LCFS Table'!$AT106+'LCFS Table'!$AU106+'LCFS Table'!$AV106</f>
        <v>2.565312324164466</v>
      </c>
      <c r="H106" s="188">
        <f>'LCFS Table'!$F106+'LCFS Table'!$AX106+'LCFS Table'!$AY106+'LCFS Table'!$AZ106+'LCFS Table'!$BA106+('LCFS Table'!$CQ106*0.9/(0.8/0.99)/100)+(DG106*'LCFS Table'!$AF106)+(DF106*'LCFS Table'!$AG106)</f>
        <v>0.45465683593749945</v>
      </c>
      <c r="I106" s="187">
        <f>('LCFS Table'!$V106+'LCFS Table'!$W106+'LCFS Table'!$X106)/100+(('LCFS Table'!$AI106+'LCFS Table'!$AJ106)/340)</f>
        <v>3.4486623904881104</v>
      </c>
      <c r="J106" s="187">
        <f>(('LCFS Table'!$Y106+'LCFS Table'!$Z106)/100)+(('LCFS Table'!$AM106+'LCFS Table'!$AN106)/300)</f>
        <v>4.1233056640625003</v>
      </c>
      <c r="K106" s="140">
        <f>'[1]Fuel Values'!$C105</f>
        <v>1.4891000000000001</v>
      </c>
      <c r="L106" s="140">
        <f>'[1]Fuel Values'!$B105</f>
        <v>450</v>
      </c>
      <c r="M106" s="185">
        <f>('LCFS Table'!$L106/100)-'LCFS Table'!$AX106-'LCFS Table'!$AY106-'LCFS Table'!$AZ106-'LCFS Table'!$BA106</f>
        <v>0.87232804429062516</v>
      </c>
      <c r="N106" s="140">
        <f>[1]BFT!$B105</f>
        <v>37.5</v>
      </c>
      <c r="O106" s="140">
        <f>[1]UCO!$B105</f>
        <v>34.25</v>
      </c>
      <c r="P106" s="140">
        <f>[1]DCO!$B105</f>
        <v>35.75</v>
      </c>
      <c r="Q106" s="140">
        <f>'[1]Soybean Oil'!$B105</f>
        <v>46.862499999999997</v>
      </c>
      <c r="R106" s="140">
        <f>'[1]Yellow Grease'!$B105</f>
        <v>27.75</v>
      </c>
      <c r="S106" s="185">
        <f>'LCFS Table'!$N106 + 'LCFS Table'!$AH106</f>
        <v>41.875</v>
      </c>
      <c r="T106" s="185">
        <f>'LCFS Table'!$Q106+'LCFS Table'!$AH106</f>
        <v>51.237499999999997</v>
      </c>
      <c r="U106" s="185">
        <f>'LCFS Table'!$P106+'LCFS Table'!$AH106</f>
        <v>40.125</v>
      </c>
      <c r="V106" s="185">
        <f>(('LCFS Table'!$S106/'LCFS Table'!$AA106)*'LCFS Table'!$AC106)*6.48</f>
        <v>144.33510638297875</v>
      </c>
      <c r="W106" s="185">
        <f>(('LCFS Table'!$O106/'LCFS Table'!$AA106)*'LCFS Table'!$AD106)*6.48</f>
        <v>59.026595744680854</v>
      </c>
      <c r="X106" s="185">
        <f>(('LCFS Table'!$U106/'LCFS Table'!$AA106)*'LCFS Table'!$AE106)*6.48</f>
        <v>69.151595744680861</v>
      </c>
      <c r="Y106" s="185">
        <f>(('LCFS Table'!$T106/'LCFS Table'!$AB106)*'LCFS Table'!$AF106)*7.35</f>
        <v>294.21533203125</v>
      </c>
      <c r="Z106" s="185">
        <f>(('LCFS Table'!$R106/'LCFS Table'!$AB106)*'LCFS Table'!$AG106)*7.35</f>
        <v>53.115234375</v>
      </c>
      <c r="AA106" s="138">
        <v>0.94</v>
      </c>
      <c r="AB106" s="138">
        <v>0.96</v>
      </c>
      <c r="AC106" s="138">
        <v>0.5</v>
      </c>
      <c r="AD106" s="138">
        <v>0.25</v>
      </c>
      <c r="AE106" s="138">
        <v>0.25</v>
      </c>
      <c r="AF106" s="138">
        <v>0.75</v>
      </c>
      <c r="AG106" s="138">
        <v>0.25</v>
      </c>
      <c r="AH106" s="139">
        <v>4.375</v>
      </c>
      <c r="AI106" s="139">
        <v>136</v>
      </c>
      <c r="AJ106" s="139">
        <v>110</v>
      </c>
      <c r="AK106" s="186">
        <f>('LCFS Table'!$AI106/340)*100</f>
        <v>40</v>
      </c>
      <c r="AL106" s="186">
        <f>('LCFS Table'!$AJ106/340)*100</f>
        <v>32.352941176470587</v>
      </c>
      <c r="AM106" s="139">
        <v>105</v>
      </c>
      <c r="AN106" s="139">
        <v>90</v>
      </c>
      <c r="AO106" s="139">
        <f>('LCFS Table'!$AM106/300)*100</f>
        <v>35</v>
      </c>
      <c r="AP106" s="139">
        <f>('LCFS Table'!$AN106/300)*100</f>
        <v>30</v>
      </c>
      <c r="AQ106" s="140">
        <v>198.375</v>
      </c>
      <c r="AR106" s="140">
        <v>0.97124999999999995</v>
      </c>
      <c r="AS106" s="185">
        <v>1.7137497146525762</v>
      </c>
      <c r="AT106" s="137">
        <v>0.16</v>
      </c>
      <c r="AU106" s="137">
        <v>1</v>
      </c>
      <c r="AV106" s="185">
        <f>'LCFS Table'!$AR106*1.7</f>
        <v>1.651125</v>
      </c>
      <c r="AW106" s="137">
        <v>0</v>
      </c>
      <c r="AX106" s="185">
        <v>1.1707969557093749</v>
      </c>
      <c r="AY106" s="137">
        <v>0</v>
      </c>
      <c r="AZ106" s="141">
        <v>1</v>
      </c>
      <c r="BA106" s="185">
        <f>'LCFS Table'!$AR106*1.5</f>
        <v>1.4568749999999999</v>
      </c>
      <c r="BB106" s="142">
        <v>1.2</v>
      </c>
      <c r="BC106" s="185">
        <f>'LCFS Table'!$AS106*'LCFS Table'!$BW106</f>
        <v>1.7137497146525762</v>
      </c>
      <c r="BD106" s="185">
        <f>'LCFS Table'!$AT106*'LCFS Table'!$BX106</f>
        <v>0</v>
      </c>
      <c r="BE106" s="185">
        <f>'LCFS Table'!$AU106*'LCFS Table'!$BY106</f>
        <v>1</v>
      </c>
      <c r="BF106" s="137">
        <f>'LCFS Table'!$AV106*'LCFS Table'!$BZ106</f>
        <v>1.651125</v>
      </c>
      <c r="BG106" s="137">
        <f>'LCFS Table'!$AW106*'LCFS Table'!$CA106</f>
        <v>0</v>
      </c>
      <c r="BH106" s="137">
        <f>'LCFS Table'!$AX106*'LCFS Table'!$CB106</f>
        <v>1.1707969557093749</v>
      </c>
      <c r="BI106" s="137">
        <f>'LCFS Table'!$AY106*'LCFS Table'!$CC106</f>
        <v>0</v>
      </c>
      <c r="BJ106" s="137">
        <f>'LCFS Table'!$AZ106*'LCFS Table'!$CD106</f>
        <v>1</v>
      </c>
      <c r="BK106" s="137">
        <f>'LCFS Table'!$BA106*'LCFS Table'!$CE106</f>
        <v>1.4568749999999999</v>
      </c>
      <c r="BL106" s="137">
        <f>'LCFS Table'!$BB106*'LCFS Table'!$CF106</f>
        <v>-1.2</v>
      </c>
      <c r="BM106" s="137">
        <f>'LCFS Table'!$AS106*'LCFS Table'!$CG106</f>
        <v>0</v>
      </c>
      <c r="BN106" s="137">
        <f>'LCFS Table'!$AT106*'LCFS Table'!$CH106</f>
        <v>0.16</v>
      </c>
      <c r="BO106" s="137">
        <f>'LCFS Table'!$AU106*'LCFS Table'!$CI106</f>
        <v>0</v>
      </c>
      <c r="BP106" s="137">
        <f>'LCFS Table'!$AV106*'LCFS Table'!$CJ106</f>
        <v>0</v>
      </c>
      <c r="BQ106" s="137">
        <f>'LCFS Table'!$AW106*'LCFS Table'!$CK106</f>
        <v>0</v>
      </c>
      <c r="BR106" s="137">
        <f>'LCFS Table'!$AX106*'LCFS Table'!$CL106</f>
        <v>0</v>
      </c>
      <c r="BS106" s="137">
        <f>'LCFS Table'!$AY106*'LCFS Table'!$CM106</f>
        <v>0</v>
      </c>
      <c r="BT106" s="137">
        <f>'LCFS Table'!$AZ106*'LCFS Table'!$CN106</f>
        <v>0</v>
      </c>
      <c r="BU106" s="137">
        <f>'LCFS Table'!$BA106*'LCFS Table'!$CO106</f>
        <v>0</v>
      </c>
      <c r="BV106" s="142">
        <f>'LCFS Table'!$BB106*'LCFS Table'!$CP106</f>
        <v>1.2</v>
      </c>
      <c r="BW106" s="138">
        <v>1</v>
      </c>
      <c r="BX106" s="138">
        <v>0</v>
      </c>
      <c r="BY106" s="138">
        <v>1</v>
      </c>
      <c r="BZ106" s="138">
        <v>1</v>
      </c>
      <c r="CA106" s="138">
        <v>-1</v>
      </c>
      <c r="CB106" s="138">
        <v>1</v>
      </c>
      <c r="CC106" s="138">
        <v>0</v>
      </c>
      <c r="CD106" s="138">
        <v>1</v>
      </c>
      <c r="CE106" s="138">
        <v>1</v>
      </c>
      <c r="CF106" s="138">
        <v>-1</v>
      </c>
      <c r="CG106" s="138">
        <f>1-'LCFS Table'!$BW106</f>
        <v>0</v>
      </c>
      <c r="CH106" s="138">
        <f>1-'LCFS Table'!$BX106</f>
        <v>1</v>
      </c>
      <c r="CI106" s="138">
        <f>1-'LCFS Table'!$BY106</f>
        <v>0</v>
      </c>
      <c r="CJ106" s="138">
        <f>1-'LCFS Table'!$BZ106</f>
        <v>0</v>
      </c>
      <c r="CK106" s="138">
        <f>-'LCFS Table'!$CA106</f>
        <v>1</v>
      </c>
      <c r="CL106" s="138">
        <f>1-'LCFS Table'!$CB106</f>
        <v>0</v>
      </c>
      <c r="CM106" s="138">
        <f>1-'LCFS Table'!$CC106</f>
        <v>1</v>
      </c>
      <c r="CN106" s="138">
        <f>1-'LCFS Table'!$CD106</f>
        <v>0</v>
      </c>
      <c r="CO106" s="138">
        <f>1-'LCFS Table'!$CE106</f>
        <v>0</v>
      </c>
      <c r="CP106" s="138">
        <f>-'LCFS Table'!$CF106</f>
        <v>1</v>
      </c>
      <c r="CQ106" s="140">
        <v>7</v>
      </c>
      <c r="CR106" s="165">
        <f>('LCFS Table'!$CQ106*0.9/(0.8/0.99)/100)</f>
        <v>7.796249999999999E-2</v>
      </c>
      <c r="CS106" s="166"/>
      <c r="CT106" s="167"/>
      <c r="CW106" s="168">
        <f>'LCFS Table'!$K106-'LCFS Table'!$M106</f>
        <v>0.61677195570937493</v>
      </c>
      <c r="CX106" s="129">
        <f>MONTH('LCFS Table'!$B106)</f>
        <v>12</v>
      </c>
      <c r="CY106" s="129">
        <f>YEAR('LCFS Table'!$B106)</f>
        <v>2020</v>
      </c>
    </row>
    <row r="107" spans="1:103" s="180" customFormat="1">
      <c r="A107" s="169">
        <v>44192</v>
      </c>
      <c r="B107" s="170">
        <v>44198</v>
      </c>
      <c r="C107" s="171">
        <f t="shared" si="1"/>
        <v>2021</v>
      </c>
      <c r="D107" s="172" t="s">
        <v>309</v>
      </c>
      <c r="E107" s="173">
        <f>'LCFS Table'!$K107-'LCFS Table'!$I107</f>
        <v>-1.9672794117647061</v>
      </c>
      <c r="F107" s="173">
        <f>('LCFS Table'!$M107)-'LCFS Table'!$J107</f>
        <v>-3.3816270836068325</v>
      </c>
      <c r="G107" s="174">
        <f>'LCFS Table'!$E107+'LCFS Table'!$AS107+'LCFS Table'!$AT107+'LCFS Table'!$AU107+'LCFS Table'!$AV107</f>
        <v>2.5861735364260441</v>
      </c>
      <c r="H107" s="174">
        <f>'LCFS Table'!$F107+'LCFS Table'!$AX107+'LCFS Table'!$AY107+'LCFS Table'!$AZ107+'LCFS Table'!$BA107+('LCFS Table'!$CQ107*0.9/(0.8/0.99)/100)+(DG107*'LCFS Table'!$AF107)+(DF107*'LCFS Table'!$AG107)</f>
        <v>0.34818710937500003</v>
      </c>
      <c r="I107" s="173">
        <f>('LCFS Table'!$V107+'LCFS Table'!$W107+'LCFS Table'!$X107)/100+(('LCFS Table'!$AI107+'LCFS Table'!$AJ107)/340)</f>
        <v>3.4572794117647061</v>
      </c>
      <c r="J107" s="173">
        <f>(('LCFS Table'!$Y107+'LCFS Table'!$Z107)/100)+(('LCFS Table'!$AM107+'LCFS Table'!$AN107)/300)</f>
        <v>4.229775390625</v>
      </c>
      <c r="K107" s="189">
        <f>'[1]Fuel Values'!$C106</f>
        <v>1.49</v>
      </c>
      <c r="L107" s="189">
        <f>'[1]Fuel Values'!$B106</f>
        <v>450</v>
      </c>
      <c r="M107" s="175">
        <f>('LCFS Table'!$L107/100)-'LCFS Table'!$AX107-'LCFS Table'!$AY107-'LCFS Table'!$AZ107-'LCFS Table'!$BA107</f>
        <v>0.84814830701816746</v>
      </c>
      <c r="N107" s="189">
        <f>[1]BFT!$B106</f>
        <v>37.5</v>
      </c>
      <c r="O107" s="189">
        <f>[1]UCO!$B106</f>
        <v>34.75</v>
      </c>
      <c r="P107" s="189">
        <f>[1]DCO!$B106</f>
        <v>35.75</v>
      </c>
      <c r="Q107" s="189">
        <f>'[1]Soybean Oil'!$B106</f>
        <v>48.55</v>
      </c>
      <c r="R107" s="189">
        <f>'[1]Yellow Grease'!$B106</f>
        <v>28.25</v>
      </c>
      <c r="S107" s="175">
        <f>'LCFS Table'!$N107 + 'LCFS Table'!$AH107</f>
        <v>41.875</v>
      </c>
      <c r="T107" s="175">
        <f>'LCFS Table'!$Q107+'LCFS Table'!$AH107</f>
        <v>52.924999999999997</v>
      </c>
      <c r="U107" s="175">
        <f>'LCFS Table'!$P107+'LCFS Table'!$AH107</f>
        <v>40.125</v>
      </c>
      <c r="V107" s="175">
        <f>(('LCFS Table'!$S107/'LCFS Table'!$AA107)*'LCFS Table'!$AC107)*6.48</f>
        <v>144.33510638297875</v>
      </c>
      <c r="W107" s="175">
        <f>(('LCFS Table'!$O107/'LCFS Table'!$AA107)*'LCFS Table'!$AD107)*6.48</f>
        <v>59.888297872340431</v>
      </c>
      <c r="X107" s="175">
        <f>(('LCFS Table'!$U107/'LCFS Table'!$AA107)*'LCFS Table'!$AE107)*6.48</f>
        <v>69.151595744680861</v>
      </c>
      <c r="Y107" s="175">
        <f>(('LCFS Table'!$T107/'LCFS Table'!$AB107)*'LCFS Table'!$AF107)*7.35</f>
        <v>303.9052734375</v>
      </c>
      <c r="Z107" s="175">
        <f>(('LCFS Table'!$R107/'LCFS Table'!$AB107)*'LCFS Table'!$AG107)*7.35</f>
        <v>54.072265625</v>
      </c>
      <c r="AA107" s="176">
        <v>0.94</v>
      </c>
      <c r="AB107" s="176">
        <v>0.96</v>
      </c>
      <c r="AC107" s="176">
        <v>0.5</v>
      </c>
      <c r="AD107" s="176">
        <v>0.25</v>
      </c>
      <c r="AE107" s="176">
        <v>0.25</v>
      </c>
      <c r="AF107" s="176">
        <v>0.75</v>
      </c>
      <c r="AG107" s="176">
        <v>0.25</v>
      </c>
      <c r="AH107" s="177">
        <v>4.375</v>
      </c>
      <c r="AI107" s="177">
        <v>136</v>
      </c>
      <c r="AJ107" s="177">
        <v>110</v>
      </c>
      <c r="AK107" s="177">
        <f>('LCFS Table'!$AI107/340)*100</f>
        <v>40</v>
      </c>
      <c r="AL107" s="177">
        <f>('LCFS Table'!$AJ107/340)*100</f>
        <v>32.352941176470587</v>
      </c>
      <c r="AM107" s="177">
        <v>105</v>
      </c>
      <c r="AN107" s="177">
        <v>90</v>
      </c>
      <c r="AO107" s="177">
        <f>('LCFS Table'!$AM107/300)*100</f>
        <v>35</v>
      </c>
      <c r="AP107" s="177">
        <f>('LCFS Table'!$AN107/300)*100</f>
        <v>30</v>
      </c>
      <c r="AQ107" s="175">
        <f>[3]Sheet1!$K58</f>
        <v>198.97730000000001</v>
      </c>
      <c r="AR107" s="175">
        <v>0.98499999999999999</v>
      </c>
      <c r="AS107" s="175">
        <v>1.7189529481907502</v>
      </c>
      <c r="AT107" s="175">
        <v>0.16</v>
      </c>
      <c r="AU107" s="175">
        <v>1</v>
      </c>
      <c r="AV107" s="175">
        <f>'LCFS Table'!$AR107*1.7</f>
        <v>1.6744999999999999</v>
      </c>
      <c r="AW107" s="175">
        <v>0</v>
      </c>
      <c r="AX107" s="175">
        <v>1.1743516929818325</v>
      </c>
      <c r="AY107" s="175">
        <v>0</v>
      </c>
      <c r="AZ107" s="141">
        <v>1</v>
      </c>
      <c r="BA107" s="175">
        <f>'LCFS Table'!$AR107*1.5</f>
        <v>1.4775</v>
      </c>
      <c r="BB107" s="175">
        <v>1.2</v>
      </c>
      <c r="BC107" s="175">
        <f>'LCFS Table'!$AS107*'LCFS Table'!$BW107</f>
        <v>1.7189529481907502</v>
      </c>
      <c r="BD107" s="175">
        <f>'LCFS Table'!$AT107*'LCFS Table'!$BX107</f>
        <v>0</v>
      </c>
      <c r="BE107" s="175">
        <f>'LCFS Table'!$AU107*'LCFS Table'!$BY107</f>
        <v>1</v>
      </c>
      <c r="BF107" s="175">
        <f>'LCFS Table'!$AV107*'LCFS Table'!$BZ107</f>
        <v>1.6744999999999999</v>
      </c>
      <c r="BG107" s="175">
        <f>'LCFS Table'!$AW107*'LCFS Table'!$CA107</f>
        <v>0</v>
      </c>
      <c r="BH107" s="175">
        <f>'LCFS Table'!$AX107*'LCFS Table'!$CB107</f>
        <v>1.1743516929818325</v>
      </c>
      <c r="BI107" s="175">
        <f>'LCFS Table'!$AY107*'LCFS Table'!$CC107</f>
        <v>0</v>
      </c>
      <c r="BJ107" s="175">
        <f>'LCFS Table'!$AZ107*'LCFS Table'!$CD107</f>
        <v>1</v>
      </c>
      <c r="BK107" s="175">
        <f>'LCFS Table'!$BA107*'LCFS Table'!$CE107</f>
        <v>1.4775</v>
      </c>
      <c r="BL107" s="175">
        <f>'LCFS Table'!$BB107*'LCFS Table'!$CF107</f>
        <v>-1.2</v>
      </c>
      <c r="BM107" s="175">
        <f>'LCFS Table'!$AS107*'LCFS Table'!$CG107</f>
        <v>0</v>
      </c>
      <c r="BN107" s="175">
        <f>'LCFS Table'!$AT107*'LCFS Table'!$CH107</f>
        <v>0.16</v>
      </c>
      <c r="BO107" s="175">
        <f>'LCFS Table'!$AU107*'LCFS Table'!$CI107</f>
        <v>0</v>
      </c>
      <c r="BP107" s="175">
        <f>'LCFS Table'!$AV107*'LCFS Table'!$CJ107</f>
        <v>0</v>
      </c>
      <c r="BQ107" s="175">
        <f>'LCFS Table'!$AW107*'LCFS Table'!$CK107</f>
        <v>0</v>
      </c>
      <c r="BR107" s="175">
        <f>'LCFS Table'!$AX107*'LCFS Table'!$CL107</f>
        <v>0</v>
      </c>
      <c r="BS107" s="175">
        <f>'LCFS Table'!$AY107*'LCFS Table'!$CM107</f>
        <v>0</v>
      </c>
      <c r="BT107" s="175">
        <f>'LCFS Table'!$AZ107*'LCFS Table'!$CN107</f>
        <v>0</v>
      </c>
      <c r="BU107" s="175">
        <f>'LCFS Table'!$BA107*'LCFS Table'!$CO107</f>
        <v>0</v>
      </c>
      <c r="BV107" s="175">
        <f>'LCFS Table'!$BB107*'LCFS Table'!$CP107</f>
        <v>1.2</v>
      </c>
      <c r="BW107" s="176">
        <v>1</v>
      </c>
      <c r="BX107" s="176">
        <v>0</v>
      </c>
      <c r="BY107" s="176">
        <v>1</v>
      </c>
      <c r="BZ107" s="176">
        <v>1</v>
      </c>
      <c r="CA107" s="176">
        <v>-1</v>
      </c>
      <c r="CB107" s="176">
        <v>1</v>
      </c>
      <c r="CC107" s="176">
        <v>0</v>
      </c>
      <c r="CD107" s="176">
        <v>1</v>
      </c>
      <c r="CE107" s="176">
        <v>1</v>
      </c>
      <c r="CF107" s="176">
        <v>-1</v>
      </c>
      <c r="CG107" s="176">
        <f>1-'LCFS Table'!$BW107</f>
        <v>0</v>
      </c>
      <c r="CH107" s="176">
        <f>1-'LCFS Table'!$BX107</f>
        <v>1</v>
      </c>
      <c r="CI107" s="176">
        <f>1-'LCFS Table'!$BY107</f>
        <v>0</v>
      </c>
      <c r="CJ107" s="176">
        <f>1-'LCFS Table'!$BZ107</f>
        <v>0</v>
      </c>
      <c r="CK107" s="176">
        <f>-'LCFS Table'!$CA107</f>
        <v>1</v>
      </c>
      <c r="CL107" s="176">
        <f>1-'LCFS Table'!$CB107</f>
        <v>0</v>
      </c>
      <c r="CM107" s="176">
        <f>1-'LCFS Table'!$CC107</f>
        <v>1</v>
      </c>
      <c r="CN107" s="176">
        <f>1-'LCFS Table'!$CD107</f>
        <v>0</v>
      </c>
      <c r="CO107" s="176">
        <f>1-'LCFS Table'!$CE107</f>
        <v>0</v>
      </c>
      <c r="CP107" s="176">
        <f>-'LCFS Table'!$CF107</f>
        <v>1</v>
      </c>
      <c r="CQ107" s="140">
        <v>7</v>
      </c>
      <c r="CR107" s="178">
        <f>('LCFS Table'!$CQ107*0.9/(0.8/0.99)/100)</f>
        <v>7.796249999999999E-2</v>
      </c>
      <c r="CS107" s="176"/>
      <c r="CT107" s="179"/>
      <c r="CW107" s="181">
        <f>'LCFS Table'!$K107-'LCFS Table'!$M107</f>
        <v>0.64185169298183253</v>
      </c>
      <c r="CX107" s="180">
        <f>MONTH('LCFS Table'!$B107)</f>
        <v>1</v>
      </c>
      <c r="CY107" s="180">
        <f>YEAR('LCFS Table'!$B107)</f>
        <v>2021</v>
      </c>
    </row>
    <row r="108" spans="1:103">
      <c r="A108" s="148">
        <v>44199</v>
      </c>
      <c r="B108" s="149">
        <v>44205</v>
      </c>
      <c r="C108" s="132">
        <f t="shared" si="1"/>
        <v>2021</v>
      </c>
      <c r="D108" s="182" t="s">
        <v>256</v>
      </c>
      <c r="E108" s="187">
        <f>'LCFS Table'!$K108-'LCFS Table'!$I108</f>
        <v>-1.9744432415519402</v>
      </c>
      <c r="F108" s="187">
        <f>('LCFS Table'!$M108)-'LCFS Table'!$J108</f>
        <v>-3.4769050006674997</v>
      </c>
      <c r="G108" s="188">
        <f>'LCFS Table'!$E108+'LCFS Table'!$AS108+'LCFS Table'!$AT108+'LCFS Table'!$AU108+'LCFS Table'!$AV108</f>
        <v>2.6189400438640447</v>
      </c>
      <c r="H108" s="188">
        <f>'LCFS Table'!$F108+'LCFS Table'!$AX108+'LCFS Table'!$AY108+'LCFS Table'!$AZ108+'LCFS Table'!$BA108+('LCFS Table'!$CQ108*0.9/(0.8/0.99)/100)+(DG108*'LCFS Table'!$AF108)+(DF108*'LCFS Table'!$AG108)</f>
        <v>0.28686773437500035</v>
      </c>
      <c r="I108" s="187">
        <f>('LCFS Table'!$V108+'LCFS Table'!$W108+'LCFS Table'!$X108)/100+(('LCFS Table'!$AI108+'LCFS Table'!$AJ108)/340)</f>
        <v>3.5098432415519403</v>
      </c>
      <c r="J108" s="187">
        <f>(('LCFS Table'!$Y108+'LCFS Table'!$Z108)/100)+(('LCFS Table'!$AM108+'LCFS Table'!$AN108)/300)</f>
        <v>4.2933222656250001</v>
      </c>
      <c r="K108" s="189">
        <f>'[1]Fuel Values'!$C107</f>
        <v>1.5354000000000001</v>
      </c>
      <c r="L108" s="189">
        <f>'[1]Fuel Values'!$B107</f>
        <v>450</v>
      </c>
      <c r="M108" s="185">
        <f>('LCFS Table'!$L108/100)-'LCFS Table'!$AX108-'LCFS Table'!$AY108-'LCFS Table'!$AZ108-'LCFS Table'!$BA108</f>
        <v>0.81641726495750033</v>
      </c>
      <c r="N108" s="189">
        <f>[1]BFT!$B107</f>
        <v>38</v>
      </c>
      <c r="O108" s="189">
        <f>[1]UCO!$B107</f>
        <v>35.15</v>
      </c>
      <c r="P108" s="189">
        <f>[1]DCO!$B107</f>
        <v>37.4</v>
      </c>
      <c r="Q108" s="189">
        <f>'[1]Soybean Oil'!$B107</f>
        <v>49.39</v>
      </c>
      <c r="R108" s="189">
        <f>'[1]Yellow Grease'!$B107</f>
        <v>29.05</v>
      </c>
      <c r="S108" s="185">
        <f>'LCFS Table'!$N108 + 'LCFS Table'!$AH108</f>
        <v>42.375</v>
      </c>
      <c r="T108" s="185">
        <f>'LCFS Table'!$Q108+'LCFS Table'!$AH108</f>
        <v>53.765000000000001</v>
      </c>
      <c r="U108" s="185">
        <f>'LCFS Table'!$P108+'LCFS Table'!$AH108</f>
        <v>41.774999999999999</v>
      </c>
      <c r="V108" s="185">
        <f>(('LCFS Table'!$S108/'LCFS Table'!$AA108)*'LCFS Table'!$AC108)*6.48</f>
        <v>146.05851063829789</v>
      </c>
      <c r="W108" s="185">
        <f>(('LCFS Table'!$O108/'LCFS Table'!$AA108)*'LCFS Table'!$AD108)*6.48</f>
        <v>60.577659574468093</v>
      </c>
      <c r="X108" s="185">
        <f>(('LCFS Table'!$U108/'LCFS Table'!$AA108)*'LCFS Table'!$AE108)*6.48</f>
        <v>71.995212765957461</v>
      </c>
      <c r="Y108" s="185">
        <f>(('LCFS Table'!$T108/'LCFS Table'!$AB108)*'LCFS Table'!$AF108)*7.35</f>
        <v>308.72871093750001</v>
      </c>
      <c r="Z108" s="185">
        <f>(('LCFS Table'!$R108/'LCFS Table'!$AB108)*'LCFS Table'!$AG108)*7.35</f>
        <v>55.603515625</v>
      </c>
      <c r="AA108" s="138">
        <v>0.94</v>
      </c>
      <c r="AB108" s="138">
        <v>0.96</v>
      </c>
      <c r="AC108" s="138">
        <v>0.5</v>
      </c>
      <c r="AD108" s="138">
        <v>0.25</v>
      </c>
      <c r="AE108" s="138">
        <v>0.25</v>
      </c>
      <c r="AF108" s="138">
        <v>0.75</v>
      </c>
      <c r="AG108" s="138">
        <v>0.25</v>
      </c>
      <c r="AH108" s="139">
        <v>4.375</v>
      </c>
      <c r="AI108" s="139">
        <v>136</v>
      </c>
      <c r="AJ108" s="139">
        <v>110</v>
      </c>
      <c r="AK108" s="186">
        <f>('LCFS Table'!$AI108/340)*100</f>
        <v>40</v>
      </c>
      <c r="AL108" s="186">
        <f>('LCFS Table'!$AJ108/340)*100</f>
        <v>32.352941176470587</v>
      </c>
      <c r="AM108" s="139">
        <v>105</v>
      </c>
      <c r="AN108" s="139">
        <v>90</v>
      </c>
      <c r="AO108" s="139">
        <f>('LCFS Table'!$AM108/300)*100</f>
        <v>35</v>
      </c>
      <c r="AP108" s="139">
        <f>('LCFS Table'!$AN108/300)*100</f>
        <v>30</v>
      </c>
      <c r="AQ108" s="140">
        <v>199.3</v>
      </c>
      <c r="AR108" s="140">
        <v>1.026</v>
      </c>
      <c r="AS108" s="185">
        <v>1.6891832854159847</v>
      </c>
      <c r="AT108" s="137">
        <v>0.16</v>
      </c>
      <c r="AU108" s="137">
        <v>1</v>
      </c>
      <c r="AV108" s="185">
        <f>'LCFS Table'!$AR108*1.7</f>
        <v>1.7442</v>
      </c>
      <c r="AW108" s="137">
        <v>0</v>
      </c>
      <c r="AX108" s="185">
        <v>1.1445827350424997</v>
      </c>
      <c r="AY108" s="137">
        <v>0</v>
      </c>
      <c r="AZ108" s="141">
        <v>1</v>
      </c>
      <c r="BA108" s="185">
        <f>'LCFS Table'!$AR108*1.5</f>
        <v>1.5390000000000001</v>
      </c>
      <c r="BB108" s="142">
        <v>1.2</v>
      </c>
      <c r="BC108" s="185">
        <f>'LCFS Table'!$AS108*'LCFS Table'!$BW108</f>
        <v>1.6891832854159847</v>
      </c>
      <c r="BD108" s="185">
        <f>'LCFS Table'!$AT108*'LCFS Table'!$BX108</f>
        <v>0</v>
      </c>
      <c r="BE108" s="185">
        <f>'LCFS Table'!$AU108*'LCFS Table'!$BY108</f>
        <v>1</v>
      </c>
      <c r="BF108" s="137">
        <f>'LCFS Table'!$AV108*'LCFS Table'!$BZ108</f>
        <v>1.7442</v>
      </c>
      <c r="BG108" s="137">
        <f>'LCFS Table'!$AW108*'LCFS Table'!$CA108</f>
        <v>0</v>
      </c>
      <c r="BH108" s="137">
        <f>'LCFS Table'!$AX108*'LCFS Table'!$CB108</f>
        <v>1.1445827350424997</v>
      </c>
      <c r="BI108" s="137">
        <f>'LCFS Table'!$AY108*'LCFS Table'!$CC108</f>
        <v>0</v>
      </c>
      <c r="BJ108" s="137">
        <f>'LCFS Table'!$AZ108*'LCFS Table'!$CD108</f>
        <v>1</v>
      </c>
      <c r="BK108" s="137">
        <f>'LCFS Table'!$BA108*'LCFS Table'!$CE108</f>
        <v>1.5390000000000001</v>
      </c>
      <c r="BL108" s="137">
        <f>'LCFS Table'!$BB108*'LCFS Table'!$CF108</f>
        <v>-1.2</v>
      </c>
      <c r="BM108" s="137">
        <f>'LCFS Table'!$AS108*'LCFS Table'!$CG108</f>
        <v>0</v>
      </c>
      <c r="BN108" s="137">
        <f>'LCFS Table'!$AT108*'LCFS Table'!$CH108</f>
        <v>0.16</v>
      </c>
      <c r="BO108" s="137">
        <f>'LCFS Table'!$AU108*'LCFS Table'!$CI108</f>
        <v>0</v>
      </c>
      <c r="BP108" s="137">
        <f>'LCFS Table'!$AV108*'LCFS Table'!$CJ108</f>
        <v>0</v>
      </c>
      <c r="BQ108" s="137">
        <f>'LCFS Table'!$AW108*'LCFS Table'!$CK108</f>
        <v>0</v>
      </c>
      <c r="BR108" s="137">
        <f>'LCFS Table'!$AX108*'LCFS Table'!$CL108</f>
        <v>0</v>
      </c>
      <c r="BS108" s="137">
        <f>'LCFS Table'!$AY108*'LCFS Table'!$CM108</f>
        <v>0</v>
      </c>
      <c r="BT108" s="137">
        <f>'LCFS Table'!$AZ108*'LCFS Table'!$CN108</f>
        <v>0</v>
      </c>
      <c r="BU108" s="137">
        <f>'LCFS Table'!$BA108*'LCFS Table'!$CO108</f>
        <v>0</v>
      </c>
      <c r="BV108" s="142">
        <f>'LCFS Table'!$BB108*'LCFS Table'!$CP108</f>
        <v>1.2</v>
      </c>
      <c r="BW108" s="138">
        <v>1</v>
      </c>
      <c r="BX108" s="138">
        <v>0</v>
      </c>
      <c r="BY108" s="138">
        <v>1</v>
      </c>
      <c r="BZ108" s="138">
        <v>1</v>
      </c>
      <c r="CA108" s="138">
        <v>-1</v>
      </c>
      <c r="CB108" s="138">
        <v>1</v>
      </c>
      <c r="CC108" s="138">
        <v>0</v>
      </c>
      <c r="CD108" s="138">
        <v>1</v>
      </c>
      <c r="CE108" s="138">
        <v>1</v>
      </c>
      <c r="CF108" s="138">
        <v>-1</v>
      </c>
      <c r="CG108" s="138">
        <f>1-'LCFS Table'!$BW108</f>
        <v>0</v>
      </c>
      <c r="CH108" s="138">
        <f>1-'LCFS Table'!$BX108</f>
        <v>1</v>
      </c>
      <c r="CI108" s="138">
        <f>1-'LCFS Table'!$BY108</f>
        <v>0</v>
      </c>
      <c r="CJ108" s="138">
        <f>1-'LCFS Table'!$BZ108</f>
        <v>0</v>
      </c>
      <c r="CK108" s="138">
        <f>-'LCFS Table'!$CA108</f>
        <v>1</v>
      </c>
      <c r="CL108" s="138">
        <f>1-'LCFS Table'!$CB108</f>
        <v>0</v>
      </c>
      <c r="CM108" s="138">
        <f>1-'LCFS Table'!$CC108</f>
        <v>1</v>
      </c>
      <c r="CN108" s="138">
        <f>1-'LCFS Table'!$CD108</f>
        <v>0</v>
      </c>
      <c r="CO108" s="138">
        <f>1-'LCFS Table'!$CE108</f>
        <v>0</v>
      </c>
      <c r="CP108" s="138">
        <f>-'LCFS Table'!$CF108</f>
        <v>1</v>
      </c>
      <c r="CQ108" s="140">
        <v>7.2</v>
      </c>
      <c r="CR108" s="165">
        <f>('LCFS Table'!$CQ108*0.9/(0.8/0.99)/100)</f>
        <v>8.0189999999999997E-2</v>
      </c>
      <c r="CS108" s="166"/>
      <c r="CT108" s="167"/>
      <c r="CW108" s="168">
        <f>'LCFS Table'!$K108-'LCFS Table'!$M108</f>
        <v>0.71898273504249977</v>
      </c>
      <c r="CX108" s="129">
        <f>MONTH('LCFS Table'!$B108)</f>
        <v>1</v>
      </c>
      <c r="CY108" s="129">
        <f>YEAR('LCFS Table'!$B108)</f>
        <v>2021</v>
      </c>
    </row>
    <row r="109" spans="1:103">
      <c r="A109" s="148">
        <v>44206</v>
      </c>
      <c r="B109" s="149">
        <v>44212</v>
      </c>
      <c r="C109" s="132">
        <f t="shared" si="1"/>
        <v>2021</v>
      </c>
      <c r="D109" s="150" t="s">
        <v>258</v>
      </c>
      <c r="E109" s="187">
        <f>'LCFS Table'!$K109-'LCFS Table'!$I109</f>
        <v>-2.0259049436795995</v>
      </c>
      <c r="F109" s="187">
        <f>('LCFS Table'!$M109)-'LCFS Table'!$J109</f>
        <v>-3.3583147332337497</v>
      </c>
      <c r="G109" s="188">
        <f>'LCFS Table'!$E109+'LCFS Table'!$AS109+'LCFS Table'!$AT109+'LCFS Table'!$AU109+'LCFS Table'!$AV109</f>
        <v>2.4590581665132016</v>
      </c>
      <c r="H109" s="188">
        <f>'LCFS Table'!$F109+'LCFS Table'!$AX109+'LCFS Table'!$AY109+'LCFS Table'!$AZ109+'LCFS Table'!$BA109+('LCFS Table'!$CQ109*0.9/(0.8/0.99)/100)+(DG109*'LCFS Table'!$AF109)+(DF109*'LCFS Table'!$AG109)</f>
        <v>0.30992382812500002</v>
      </c>
      <c r="I109" s="187">
        <f>('LCFS Table'!$V109+'LCFS Table'!$W109+'LCFS Table'!$X109)/100+(('LCFS Table'!$AI109+'LCFS Table'!$AJ109)/340)</f>
        <v>3.6322049436795996</v>
      </c>
      <c r="J109" s="187">
        <f>(('LCFS Table'!$Y109+'LCFS Table'!$Z109)/100)+(('LCFS Table'!$AM109+'LCFS Table'!$AN109)/300)</f>
        <v>4.273607421875</v>
      </c>
      <c r="K109" s="189">
        <f>'[1]Fuel Values'!$C108</f>
        <v>1.6063000000000001</v>
      </c>
      <c r="L109" s="189">
        <f>'[1]Fuel Values'!$B108</f>
        <v>450</v>
      </c>
      <c r="M109" s="185">
        <f>('LCFS Table'!$L109/100)-'LCFS Table'!$AX109-'LCFS Table'!$AY109-'LCFS Table'!$AZ109-'LCFS Table'!$BA109</f>
        <v>0.91529268864125024</v>
      </c>
      <c r="N109" s="189">
        <f>[1]BFT!$B108</f>
        <v>40</v>
      </c>
      <c r="O109" s="189">
        <f>[1]UCO!$B108</f>
        <v>35.950000000000003</v>
      </c>
      <c r="P109" s="189">
        <f>[1]DCO!$B108</f>
        <v>39.700000000000003</v>
      </c>
      <c r="Q109" s="189">
        <f>'[1]Soybean Oil'!$B108</f>
        <v>48.58</v>
      </c>
      <c r="R109" s="189">
        <f>'[1]Yellow Grease'!$B108</f>
        <v>30.45</v>
      </c>
      <c r="S109" s="185">
        <f>'LCFS Table'!$N109 + 'LCFS Table'!$AH109</f>
        <v>44.375</v>
      </c>
      <c r="T109" s="185">
        <f>'LCFS Table'!$Q109+'LCFS Table'!$AH109</f>
        <v>52.954999999999998</v>
      </c>
      <c r="U109" s="185">
        <f>'LCFS Table'!$P109+'LCFS Table'!$AH109</f>
        <v>44.075000000000003</v>
      </c>
      <c r="V109" s="185">
        <f>(('LCFS Table'!$S109/'LCFS Table'!$AA109)*'LCFS Table'!$AC109)*6.48</f>
        <v>152.95212765957447</v>
      </c>
      <c r="W109" s="185">
        <f>(('LCFS Table'!$O109/'LCFS Table'!$AA109)*'LCFS Table'!$AD109)*6.48</f>
        <v>61.956382978723411</v>
      </c>
      <c r="X109" s="185">
        <f>(('LCFS Table'!$U109/'LCFS Table'!$AA109)*'LCFS Table'!$AE109)*6.48</f>
        <v>75.959042553191509</v>
      </c>
      <c r="Y109" s="185">
        <f>(('LCFS Table'!$T109/'LCFS Table'!$AB109)*'LCFS Table'!$AF109)*7.35</f>
        <v>304.07753906249997</v>
      </c>
      <c r="Z109" s="185">
        <f>(('LCFS Table'!$R109/'LCFS Table'!$AB109)*'LCFS Table'!$AG109)*7.35</f>
        <v>58.283203125</v>
      </c>
      <c r="AA109" s="138">
        <v>0.94</v>
      </c>
      <c r="AB109" s="138">
        <v>0.96</v>
      </c>
      <c r="AC109" s="138">
        <v>0.5</v>
      </c>
      <c r="AD109" s="138">
        <v>0.25</v>
      </c>
      <c r="AE109" s="138">
        <v>0.25</v>
      </c>
      <c r="AF109" s="138">
        <v>0.75</v>
      </c>
      <c r="AG109" s="138">
        <v>0.25</v>
      </c>
      <c r="AH109" s="139">
        <v>4.375</v>
      </c>
      <c r="AI109" s="139">
        <v>136</v>
      </c>
      <c r="AJ109" s="139">
        <v>110</v>
      </c>
      <c r="AK109" s="186">
        <f>('LCFS Table'!$AI109/340)*100</f>
        <v>40</v>
      </c>
      <c r="AL109" s="186">
        <f>('LCFS Table'!$AJ109/340)*100</f>
        <v>32.352941176470587</v>
      </c>
      <c r="AM109" s="139">
        <v>105</v>
      </c>
      <c r="AN109" s="139">
        <v>90</v>
      </c>
      <c r="AO109" s="139">
        <f>('LCFS Table'!$AM109/300)*100</f>
        <v>35</v>
      </c>
      <c r="AP109" s="139">
        <f>('LCFS Table'!$AN109/300)*100</f>
        <v>30</v>
      </c>
      <c r="AQ109" s="140">
        <v>201.15</v>
      </c>
      <c r="AR109" s="140">
        <v>0.95299999999999996</v>
      </c>
      <c r="AS109" s="185">
        <v>1.7048631101928013</v>
      </c>
      <c r="AT109" s="137">
        <v>0.16</v>
      </c>
      <c r="AU109" s="137">
        <v>1</v>
      </c>
      <c r="AV109" s="185">
        <f>'LCFS Table'!$AR109*1.7</f>
        <v>1.6200999999999999</v>
      </c>
      <c r="AW109" s="137">
        <v>0</v>
      </c>
      <c r="AX109" s="185">
        <v>1.1552073113587498</v>
      </c>
      <c r="AY109" s="137">
        <v>0</v>
      </c>
      <c r="AZ109" s="141">
        <v>1</v>
      </c>
      <c r="BA109" s="185">
        <f>'LCFS Table'!$AR109*1.5</f>
        <v>1.4295</v>
      </c>
      <c r="BB109" s="142">
        <v>1.2</v>
      </c>
      <c r="BC109" s="185">
        <f>'LCFS Table'!$AS109*'LCFS Table'!$BW109</f>
        <v>1.7048631101928013</v>
      </c>
      <c r="BD109" s="185">
        <f>'LCFS Table'!$AT109*'LCFS Table'!$BX109</f>
        <v>0</v>
      </c>
      <c r="BE109" s="185">
        <f>'LCFS Table'!$AU109*'LCFS Table'!$BY109</f>
        <v>1</v>
      </c>
      <c r="BF109" s="137">
        <f>'LCFS Table'!$AV109*'LCFS Table'!$BZ109</f>
        <v>1.6200999999999999</v>
      </c>
      <c r="BG109" s="137">
        <f>'LCFS Table'!$AW109*'LCFS Table'!$CA109</f>
        <v>0</v>
      </c>
      <c r="BH109" s="137">
        <f>'LCFS Table'!$AX109*'LCFS Table'!$CB109</f>
        <v>1.1552073113587498</v>
      </c>
      <c r="BI109" s="137">
        <f>'LCFS Table'!$AY109*'LCFS Table'!$CC109</f>
        <v>0</v>
      </c>
      <c r="BJ109" s="137">
        <f>'LCFS Table'!$AZ109*'LCFS Table'!$CD109</f>
        <v>1</v>
      </c>
      <c r="BK109" s="137">
        <f>'LCFS Table'!$BA109*'LCFS Table'!$CE109</f>
        <v>1.4295</v>
      </c>
      <c r="BL109" s="137">
        <f>'LCFS Table'!$BB109*'LCFS Table'!$CF109</f>
        <v>-1.2</v>
      </c>
      <c r="BM109" s="137">
        <f>'LCFS Table'!$AS109*'LCFS Table'!$CG109</f>
        <v>0</v>
      </c>
      <c r="BN109" s="137">
        <f>'LCFS Table'!$AT109*'LCFS Table'!$CH109</f>
        <v>0.16</v>
      </c>
      <c r="BO109" s="137">
        <f>'LCFS Table'!$AU109*'LCFS Table'!$CI109</f>
        <v>0</v>
      </c>
      <c r="BP109" s="137">
        <f>'LCFS Table'!$AV109*'LCFS Table'!$CJ109</f>
        <v>0</v>
      </c>
      <c r="BQ109" s="137">
        <f>'LCFS Table'!$AW109*'LCFS Table'!$CK109</f>
        <v>0</v>
      </c>
      <c r="BR109" s="137">
        <f>'LCFS Table'!$AX109*'LCFS Table'!$CL109</f>
        <v>0</v>
      </c>
      <c r="BS109" s="137">
        <f>'LCFS Table'!$AY109*'LCFS Table'!$CM109</f>
        <v>0</v>
      </c>
      <c r="BT109" s="137">
        <f>'LCFS Table'!$AZ109*'LCFS Table'!$CN109</f>
        <v>0</v>
      </c>
      <c r="BU109" s="137">
        <f>'LCFS Table'!$BA109*'LCFS Table'!$CO109</f>
        <v>0</v>
      </c>
      <c r="BV109" s="142">
        <f>'LCFS Table'!$BB109*'LCFS Table'!$CP109</f>
        <v>1.2</v>
      </c>
      <c r="BW109" s="138">
        <v>1</v>
      </c>
      <c r="BX109" s="138">
        <v>0</v>
      </c>
      <c r="BY109" s="138">
        <v>1</v>
      </c>
      <c r="BZ109" s="138">
        <v>1</v>
      </c>
      <c r="CA109" s="138">
        <v>-1</v>
      </c>
      <c r="CB109" s="138">
        <v>1</v>
      </c>
      <c r="CC109" s="138">
        <v>0</v>
      </c>
      <c r="CD109" s="138">
        <v>1</v>
      </c>
      <c r="CE109" s="138">
        <v>1</v>
      </c>
      <c r="CF109" s="138">
        <v>-1</v>
      </c>
      <c r="CG109" s="138">
        <f>1-'LCFS Table'!$BW109</f>
        <v>0</v>
      </c>
      <c r="CH109" s="138">
        <f>1-'LCFS Table'!$BX109</f>
        <v>1</v>
      </c>
      <c r="CI109" s="138">
        <f>1-'LCFS Table'!$BY109</f>
        <v>0</v>
      </c>
      <c r="CJ109" s="138">
        <f>1-'LCFS Table'!$BZ109</f>
        <v>0</v>
      </c>
      <c r="CK109" s="138">
        <f>-'LCFS Table'!$CA109</f>
        <v>1</v>
      </c>
      <c r="CL109" s="138">
        <f>1-'LCFS Table'!$CB109</f>
        <v>0</v>
      </c>
      <c r="CM109" s="138">
        <f>1-'LCFS Table'!$CC109</f>
        <v>1</v>
      </c>
      <c r="CN109" s="138">
        <f>1-'LCFS Table'!$CD109</f>
        <v>0</v>
      </c>
      <c r="CO109" s="138">
        <f>1-'LCFS Table'!$CE109</f>
        <v>0</v>
      </c>
      <c r="CP109" s="138">
        <f>-'LCFS Table'!$CF109</f>
        <v>1</v>
      </c>
      <c r="CQ109" s="140">
        <v>7.5</v>
      </c>
      <c r="CR109" s="165">
        <f>('LCFS Table'!$CQ109*0.9/(0.8/0.99)/100)</f>
        <v>8.3531249999999987E-2</v>
      </c>
      <c r="CS109" s="166"/>
      <c r="CT109" s="167"/>
      <c r="CW109" s="168">
        <f>'LCFS Table'!$K109-'LCFS Table'!$M109</f>
        <v>0.69100731135874982</v>
      </c>
      <c r="CX109" s="129">
        <f>MONTH('LCFS Table'!$B109)</f>
        <v>1</v>
      </c>
      <c r="CY109" s="129">
        <f>YEAR('LCFS Table'!$B109)</f>
        <v>2021</v>
      </c>
    </row>
    <row r="110" spans="1:103">
      <c r="A110" s="148">
        <v>44213</v>
      </c>
      <c r="B110" s="149">
        <v>44219</v>
      </c>
      <c r="C110" s="132">
        <f t="shared" si="1"/>
        <v>2021</v>
      </c>
      <c r="D110" s="182" t="s">
        <v>259</v>
      </c>
      <c r="E110" s="187">
        <f>'LCFS Table'!$K110-'LCFS Table'!$I110</f>
        <v>-2.0774219649561951</v>
      </c>
      <c r="F110" s="187">
        <f>('LCFS Table'!$M110)-'LCFS Table'!$J110</f>
        <v>-3.2524885406906252</v>
      </c>
      <c r="G110" s="188">
        <f>'LCFS Table'!$E110+'LCFS Table'!$AS110+'LCFS Table'!$AT110+'LCFS Table'!$AU110+'LCFS Table'!$AV110</f>
        <v>2.5063542557125951</v>
      </c>
      <c r="H110" s="188">
        <f>'LCFS Table'!$F110+'LCFS Table'!$AX110+'LCFS Table'!$AY110+'LCFS Table'!$AZ110+'LCFS Table'!$BA110+('LCFS Table'!$CQ110*0.9/(0.8/0.99)/100)+(DG110*'LCFS Table'!$AF110)+(DF110*'LCFS Table'!$AG110)</f>
        <v>0.50298144531249955</v>
      </c>
      <c r="I110" s="187">
        <f>('LCFS Table'!$V110+'LCFS Table'!$W110+'LCFS Table'!$X110)/100+(('LCFS Table'!$AI110+'LCFS Table'!$AJ110)/340)</f>
        <v>3.6813219649561955</v>
      </c>
      <c r="J110" s="187">
        <f>(('LCFS Table'!$Y110+'LCFS Table'!$Z110)/100)+(('LCFS Table'!$AM110+'LCFS Table'!$AN110)/300)</f>
        <v>4.3205498046875004</v>
      </c>
      <c r="K110" s="190">
        <f>'[1]Fuel Values'!$C109</f>
        <v>1.6039000000000001</v>
      </c>
      <c r="L110" s="190">
        <f>'[1]Fuel Values'!$B109</f>
        <v>474</v>
      </c>
      <c r="M110" s="185">
        <f>('LCFS Table'!$L110/100)-'LCFS Table'!$AX110-'LCFS Table'!$AY110-'LCFS Table'!$AZ110-'LCFS Table'!$BA110</f>
        <v>1.0680612639968754</v>
      </c>
      <c r="N110" s="190">
        <f>[1]BFT!$B109</f>
        <v>40</v>
      </c>
      <c r="O110" s="190">
        <f>[1]UCO!$B109</f>
        <v>37.5</v>
      </c>
      <c r="P110" s="190">
        <f>[1]DCO!$B109</f>
        <v>41</v>
      </c>
      <c r="Q110" s="190">
        <f>'[1]Soybean Oil'!$B109</f>
        <v>48.984999999999999</v>
      </c>
      <c r="R110" s="190">
        <f>'[1]Yellow Grease'!$B109</f>
        <v>31.6875</v>
      </c>
      <c r="S110" s="185">
        <f>'LCFS Table'!$N110 + 'LCFS Table'!$AH110</f>
        <v>44.375</v>
      </c>
      <c r="T110" s="185">
        <f>'LCFS Table'!$Q110+'LCFS Table'!$AH110</f>
        <v>53.36</v>
      </c>
      <c r="U110" s="185">
        <f>'LCFS Table'!$P110+'LCFS Table'!$AH110</f>
        <v>45.375</v>
      </c>
      <c r="V110" s="185">
        <f>(('LCFS Table'!$S110/'LCFS Table'!$AA110)*'LCFS Table'!$AC110)*6.48</f>
        <v>152.95212765957447</v>
      </c>
      <c r="W110" s="185">
        <f>(('LCFS Table'!$O110/'LCFS Table'!$AA110)*'LCFS Table'!$AD110)*6.48</f>
        <v>64.627659574468098</v>
      </c>
      <c r="X110" s="185">
        <f>(('LCFS Table'!$U110/'LCFS Table'!$AA110)*'LCFS Table'!$AE110)*6.48</f>
        <v>78.199468085106389</v>
      </c>
      <c r="Y110" s="185">
        <f>(('LCFS Table'!$T110/'LCFS Table'!$AB110)*'LCFS Table'!$AF110)*7.35</f>
        <v>306.40312499999999</v>
      </c>
      <c r="Z110" s="185">
        <f>(('LCFS Table'!$R110/'LCFS Table'!$AB110)*'LCFS Table'!$AG110)*7.35</f>
        <v>60.65185546875</v>
      </c>
      <c r="AA110" s="138">
        <v>0.94</v>
      </c>
      <c r="AB110" s="138">
        <v>0.96</v>
      </c>
      <c r="AC110" s="138">
        <v>0.5</v>
      </c>
      <c r="AD110" s="138">
        <v>0.25</v>
      </c>
      <c r="AE110" s="138">
        <v>0.25</v>
      </c>
      <c r="AF110" s="138">
        <v>0.75</v>
      </c>
      <c r="AG110" s="138">
        <v>0.25</v>
      </c>
      <c r="AH110" s="139">
        <v>4.375</v>
      </c>
      <c r="AI110" s="139">
        <v>136</v>
      </c>
      <c r="AJ110" s="139">
        <v>110</v>
      </c>
      <c r="AK110" s="186">
        <f>('LCFS Table'!$AI110/340)*100</f>
        <v>40</v>
      </c>
      <c r="AL110" s="186">
        <f>('LCFS Table'!$AJ110/340)*100</f>
        <v>32.352941176470587</v>
      </c>
      <c r="AM110" s="139">
        <v>105</v>
      </c>
      <c r="AN110" s="139">
        <v>90</v>
      </c>
      <c r="AO110" s="139">
        <f>('LCFS Table'!$AM110/300)*100</f>
        <v>35</v>
      </c>
      <c r="AP110" s="139">
        <f>('LCFS Table'!$AN110/300)*100</f>
        <v>30</v>
      </c>
      <c r="AQ110" s="140">
        <v>201.125</v>
      </c>
      <c r="AR110" s="140">
        <v>1.01125</v>
      </c>
      <c r="AS110" s="185">
        <v>1.7046512206687903</v>
      </c>
      <c r="AT110" s="137">
        <v>0.16</v>
      </c>
      <c r="AU110" s="137">
        <v>1</v>
      </c>
      <c r="AV110" s="185">
        <f>'LCFS Table'!$AR110*1.7</f>
        <v>1.719125</v>
      </c>
      <c r="AW110" s="137">
        <v>0</v>
      </c>
      <c r="AX110" s="185">
        <v>1.1550637360031248</v>
      </c>
      <c r="AY110" s="137">
        <v>0</v>
      </c>
      <c r="AZ110" s="141">
        <v>1</v>
      </c>
      <c r="BA110" s="185">
        <f>'LCFS Table'!$AR110*1.5</f>
        <v>1.516875</v>
      </c>
      <c r="BB110" s="142">
        <v>1.2</v>
      </c>
      <c r="BC110" s="185">
        <f>'LCFS Table'!$AS110*'LCFS Table'!$BW110</f>
        <v>1.7046512206687903</v>
      </c>
      <c r="BD110" s="185">
        <f>'LCFS Table'!$AT110*'LCFS Table'!$BX110</f>
        <v>0</v>
      </c>
      <c r="BE110" s="185">
        <f>'LCFS Table'!$AU110*'LCFS Table'!$BY110</f>
        <v>1</v>
      </c>
      <c r="BF110" s="137">
        <f>'LCFS Table'!$AV110*'LCFS Table'!$BZ110</f>
        <v>1.719125</v>
      </c>
      <c r="BG110" s="137">
        <f>'LCFS Table'!$AW110*'LCFS Table'!$CA110</f>
        <v>0</v>
      </c>
      <c r="BH110" s="137">
        <f>'LCFS Table'!$AX110*'LCFS Table'!$CB110</f>
        <v>1.1550637360031248</v>
      </c>
      <c r="BI110" s="137">
        <f>'LCFS Table'!$AY110*'LCFS Table'!$CC110</f>
        <v>0</v>
      </c>
      <c r="BJ110" s="137">
        <f>'LCFS Table'!$AZ110*'LCFS Table'!$CD110</f>
        <v>1</v>
      </c>
      <c r="BK110" s="137">
        <f>'LCFS Table'!$BA110*'LCFS Table'!$CE110</f>
        <v>1.516875</v>
      </c>
      <c r="BL110" s="137">
        <f>'LCFS Table'!$BB110*'LCFS Table'!$CF110</f>
        <v>-1.2</v>
      </c>
      <c r="BM110" s="137">
        <f>'LCFS Table'!$AS110*'LCFS Table'!$CG110</f>
        <v>0</v>
      </c>
      <c r="BN110" s="137">
        <f>'LCFS Table'!$AT110*'LCFS Table'!$CH110</f>
        <v>0.16</v>
      </c>
      <c r="BO110" s="137">
        <f>'LCFS Table'!$AU110*'LCFS Table'!$CI110</f>
        <v>0</v>
      </c>
      <c r="BP110" s="137">
        <f>'LCFS Table'!$AV110*'LCFS Table'!$CJ110</f>
        <v>0</v>
      </c>
      <c r="BQ110" s="137">
        <f>'LCFS Table'!$AW110*'LCFS Table'!$CK110</f>
        <v>0</v>
      </c>
      <c r="BR110" s="137">
        <f>'LCFS Table'!$AX110*'LCFS Table'!$CL110</f>
        <v>0</v>
      </c>
      <c r="BS110" s="137">
        <f>'LCFS Table'!$AY110*'LCFS Table'!$CM110</f>
        <v>0</v>
      </c>
      <c r="BT110" s="137">
        <f>'LCFS Table'!$AZ110*'LCFS Table'!$CN110</f>
        <v>0</v>
      </c>
      <c r="BU110" s="137">
        <f>'LCFS Table'!$BA110*'LCFS Table'!$CO110</f>
        <v>0</v>
      </c>
      <c r="BV110" s="142">
        <f>'LCFS Table'!$BB110*'LCFS Table'!$CP110</f>
        <v>1.2</v>
      </c>
      <c r="BW110" s="138">
        <v>1</v>
      </c>
      <c r="BX110" s="138">
        <v>0</v>
      </c>
      <c r="BY110" s="138">
        <v>1</v>
      </c>
      <c r="BZ110" s="138">
        <v>1</v>
      </c>
      <c r="CA110" s="138">
        <v>-1</v>
      </c>
      <c r="CB110" s="138">
        <v>1</v>
      </c>
      <c r="CC110" s="138">
        <v>0</v>
      </c>
      <c r="CD110" s="138">
        <v>1</v>
      </c>
      <c r="CE110" s="138">
        <v>1</v>
      </c>
      <c r="CF110" s="138">
        <v>-1</v>
      </c>
      <c r="CG110" s="138">
        <f>1-'LCFS Table'!$BW110</f>
        <v>0</v>
      </c>
      <c r="CH110" s="138">
        <f>1-'LCFS Table'!$BX110</f>
        <v>1</v>
      </c>
      <c r="CI110" s="138">
        <f>1-'LCFS Table'!$BY110</f>
        <v>0</v>
      </c>
      <c r="CJ110" s="138">
        <f>1-'LCFS Table'!$BZ110</f>
        <v>0</v>
      </c>
      <c r="CK110" s="138">
        <f>-'LCFS Table'!$CA110</f>
        <v>1</v>
      </c>
      <c r="CL110" s="138">
        <f>1-'LCFS Table'!$CB110</f>
        <v>0</v>
      </c>
      <c r="CM110" s="138">
        <f>1-'LCFS Table'!$CC110</f>
        <v>1</v>
      </c>
      <c r="CN110" s="138">
        <f>1-'LCFS Table'!$CD110</f>
        <v>0</v>
      </c>
      <c r="CO110" s="138">
        <f>1-'LCFS Table'!$CE110</f>
        <v>0</v>
      </c>
      <c r="CP110" s="138">
        <f>-'LCFS Table'!$CF110</f>
        <v>1</v>
      </c>
      <c r="CQ110" s="140">
        <v>7.5</v>
      </c>
      <c r="CR110" s="165">
        <f>('LCFS Table'!$CQ110*0.9/(0.8/0.99)/100)</f>
        <v>8.3531249999999987E-2</v>
      </c>
      <c r="CS110" s="166"/>
      <c r="CT110" s="167"/>
      <c r="CW110" s="168">
        <f>'LCFS Table'!$K110-'LCFS Table'!$M110</f>
        <v>0.5358387360031247</v>
      </c>
      <c r="CX110" s="129">
        <f>MONTH('LCFS Table'!$B110)</f>
        <v>1</v>
      </c>
      <c r="CY110" s="129">
        <f>YEAR('LCFS Table'!$B110)</f>
        <v>2021</v>
      </c>
    </row>
    <row r="111" spans="1:103">
      <c r="A111" s="148">
        <v>44220</v>
      </c>
      <c r="B111" s="149">
        <v>44226</v>
      </c>
      <c r="C111" s="132">
        <f t="shared" si="1"/>
        <v>2021</v>
      </c>
      <c r="D111" s="150" t="s">
        <v>260</v>
      </c>
      <c r="E111" s="187">
        <f>'LCFS Table'!$K111-'LCFS Table'!$I111</f>
        <v>-2.1306943053817275</v>
      </c>
      <c r="F111" s="187">
        <f>('LCFS Table'!$M111)-'LCFS Table'!$J111</f>
        <v>-3.4053857825306251</v>
      </c>
      <c r="G111" s="188">
        <f>'LCFS Table'!$E111+'LCFS Table'!$AS111+'LCFS Table'!$AT111+'LCFS Table'!$AU111+'LCFS Table'!$AV111</f>
        <v>2.5972326143096947</v>
      </c>
      <c r="H111" s="188">
        <f>'LCFS Table'!$F111+'LCFS Table'!$AX111+'LCFS Table'!$AY111+'LCFS Table'!$AZ111+'LCFS Table'!$BA111+('LCFS Table'!$CQ111*0.9/(0.8/0.99)/100)+(DG111*'LCFS Table'!$AF111)+(DF111*'LCFS Table'!$AG111)</f>
        <v>0.48265585937499983</v>
      </c>
      <c r="I111" s="187">
        <f>('LCFS Table'!$V111+'LCFS Table'!$W111+'LCFS Table'!$X111)/100+(('LCFS Table'!$AI111+'LCFS Table'!$AJ111)/340)</f>
        <v>3.7381943053817275</v>
      </c>
      <c r="J111" s="187">
        <f>(('LCFS Table'!$Y111+'LCFS Table'!$Z111)/100)+(('LCFS Table'!$AM111+'LCFS Table'!$AN111)/300)</f>
        <v>4.4208753906250005</v>
      </c>
      <c r="K111" s="190">
        <f>'[1]Fuel Values'!$C110</f>
        <v>1.6074999999999999</v>
      </c>
      <c r="L111" s="190">
        <f>'[1]Fuel Values'!$B110</f>
        <v>482</v>
      </c>
      <c r="M111" s="185">
        <f>('LCFS Table'!$L111/100)-'LCFS Table'!$AX111-'LCFS Table'!$AY111-'LCFS Table'!$AZ111-'LCFS Table'!$BA111</f>
        <v>1.0154896080943754</v>
      </c>
      <c r="N111" s="190">
        <f>[1]BFT!$B110</f>
        <v>41</v>
      </c>
      <c r="O111" s="190">
        <f>[1]UCO!$B110</f>
        <v>38</v>
      </c>
      <c r="P111" s="190">
        <f>[1]DCO!$B110</f>
        <v>41.8</v>
      </c>
      <c r="Q111" s="190">
        <f>'[1]Soybean Oil'!$B110</f>
        <v>50.628</v>
      </c>
      <c r="R111" s="190">
        <f>'[1]Yellow Grease'!$B110</f>
        <v>32</v>
      </c>
      <c r="S111" s="185">
        <f>'LCFS Table'!$N111 + 'LCFS Table'!$AH111</f>
        <v>45.375</v>
      </c>
      <c r="T111" s="185">
        <f>'LCFS Table'!$Q111+'LCFS Table'!$AH111</f>
        <v>55.003</v>
      </c>
      <c r="U111" s="185">
        <f>'LCFS Table'!$P111+'LCFS Table'!$AH111</f>
        <v>46.174999999999997</v>
      </c>
      <c r="V111" s="185">
        <f>(('LCFS Table'!$S111/'LCFS Table'!$AA111)*'LCFS Table'!$AC111)*6.48</f>
        <v>156.39893617021278</v>
      </c>
      <c r="W111" s="185">
        <f>(('LCFS Table'!$O111/'LCFS Table'!$AA111)*'LCFS Table'!$AD111)*6.48</f>
        <v>65.489361702127667</v>
      </c>
      <c r="X111" s="185">
        <f>(('LCFS Table'!$U111/'LCFS Table'!$AA111)*'LCFS Table'!$AE111)*6.48</f>
        <v>79.578191489361714</v>
      </c>
      <c r="Y111" s="185">
        <f>(('LCFS Table'!$T111/'LCFS Table'!$AB111)*'LCFS Table'!$AF111)*7.35</f>
        <v>315.83753906250001</v>
      </c>
      <c r="Z111" s="185">
        <f>(('LCFS Table'!$R111/'LCFS Table'!$AB111)*'LCFS Table'!$AG111)*7.35</f>
        <v>61.25</v>
      </c>
      <c r="AA111" s="138">
        <v>0.94</v>
      </c>
      <c r="AB111" s="138">
        <v>0.96</v>
      </c>
      <c r="AC111" s="138">
        <v>0.5</v>
      </c>
      <c r="AD111" s="138">
        <v>0.25</v>
      </c>
      <c r="AE111" s="138">
        <v>0.25</v>
      </c>
      <c r="AF111" s="138">
        <v>0.75</v>
      </c>
      <c r="AG111" s="138">
        <v>0.25</v>
      </c>
      <c r="AH111" s="139">
        <v>4.375</v>
      </c>
      <c r="AI111" s="139">
        <v>136</v>
      </c>
      <c r="AJ111" s="139">
        <v>110</v>
      </c>
      <c r="AK111" s="186">
        <f>('LCFS Table'!$AI111/340)*100</f>
        <v>40</v>
      </c>
      <c r="AL111" s="186">
        <f>('LCFS Table'!$AJ111/340)*100</f>
        <v>32.352941176470587</v>
      </c>
      <c r="AM111" s="139">
        <v>105</v>
      </c>
      <c r="AN111" s="139">
        <v>90</v>
      </c>
      <c r="AO111" s="139">
        <f>('LCFS Table'!$AM111/300)*100</f>
        <v>35</v>
      </c>
      <c r="AP111" s="139">
        <f>('LCFS Table'!$AN111/300)*100</f>
        <v>30</v>
      </c>
      <c r="AQ111" s="140">
        <v>198.02500000000001</v>
      </c>
      <c r="AR111" s="140">
        <v>1.1115000000000002</v>
      </c>
      <c r="AS111" s="185">
        <v>1.6783769196914218</v>
      </c>
      <c r="AT111" s="137">
        <v>0.16</v>
      </c>
      <c r="AU111" s="137">
        <v>1</v>
      </c>
      <c r="AV111" s="185">
        <f>'LCFS Table'!$AR111*1.7</f>
        <v>1.8895500000000003</v>
      </c>
      <c r="AW111" s="137">
        <v>0</v>
      </c>
      <c r="AX111" s="185">
        <v>1.1372603919056248</v>
      </c>
      <c r="AY111" s="137">
        <v>0</v>
      </c>
      <c r="AZ111" s="141">
        <v>1</v>
      </c>
      <c r="BA111" s="185">
        <f>'LCFS Table'!$AR111*1.5</f>
        <v>1.6672500000000001</v>
      </c>
      <c r="BB111" s="142">
        <v>1.2</v>
      </c>
      <c r="BC111" s="185">
        <f>'LCFS Table'!$AS111*'LCFS Table'!$BW111</f>
        <v>1.6783769196914218</v>
      </c>
      <c r="BD111" s="185">
        <f>'LCFS Table'!$AT111*'LCFS Table'!$BX111</f>
        <v>0</v>
      </c>
      <c r="BE111" s="185">
        <f>'LCFS Table'!$AU111*'LCFS Table'!$BY111</f>
        <v>1</v>
      </c>
      <c r="BF111" s="137">
        <f>'LCFS Table'!$AV111*'LCFS Table'!$BZ111</f>
        <v>1.8895500000000003</v>
      </c>
      <c r="BG111" s="137">
        <f>'LCFS Table'!$AW111*'LCFS Table'!$CA111</f>
        <v>0</v>
      </c>
      <c r="BH111" s="137">
        <f>'LCFS Table'!$AX111*'LCFS Table'!$CB111</f>
        <v>1.1372603919056248</v>
      </c>
      <c r="BI111" s="137">
        <f>'LCFS Table'!$AY111*'LCFS Table'!$CC111</f>
        <v>0</v>
      </c>
      <c r="BJ111" s="137">
        <f>'LCFS Table'!$AZ111*'LCFS Table'!$CD111</f>
        <v>1</v>
      </c>
      <c r="BK111" s="137">
        <f>'LCFS Table'!$BA111*'LCFS Table'!$CE111</f>
        <v>1.6672500000000001</v>
      </c>
      <c r="BL111" s="137">
        <f>'LCFS Table'!$BB111*'LCFS Table'!$CF111</f>
        <v>-1.2</v>
      </c>
      <c r="BM111" s="137">
        <f>'LCFS Table'!$AS111*'LCFS Table'!$CG111</f>
        <v>0</v>
      </c>
      <c r="BN111" s="137">
        <f>'LCFS Table'!$AT111*'LCFS Table'!$CH111</f>
        <v>0.16</v>
      </c>
      <c r="BO111" s="137">
        <f>'LCFS Table'!$AU111*'LCFS Table'!$CI111</f>
        <v>0</v>
      </c>
      <c r="BP111" s="137">
        <f>'LCFS Table'!$AV111*'LCFS Table'!$CJ111</f>
        <v>0</v>
      </c>
      <c r="BQ111" s="137">
        <f>'LCFS Table'!$AW111*'LCFS Table'!$CK111</f>
        <v>0</v>
      </c>
      <c r="BR111" s="137">
        <f>'LCFS Table'!$AX111*'LCFS Table'!$CL111</f>
        <v>0</v>
      </c>
      <c r="BS111" s="137">
        <f>'LCFS Table'!$AY111*'LCFS Table'!$CM111</f>
        <v>0</v>
      </c>
      <c r="BT111" s="137">
        <f>'LCFS Table'!$AZ111*'LCFS Table'!$CN111</f>
        <v>0</v>
      </c>
      <c r="BU111" s="137">
        <f>'LCFS Table'!$BA111*'LCFS Table'!$CO111</f>
        <v>0</v>
      </c>
      <c r="BV111" s="142">
        <f>'LCFS Table'!$BB111*'LCFS Table'!$CP111</f>
        <v>1.2</v>
      </c>
      <c r="BW111" s="138">
        <v>1</v>
      </c>
      <c r="BX111" s="138">
        <v>0</v>
      </c>
      <c r="BY111" s="138">
        <v>1</v>
      </c>
      <c r="BZ111" s="138">
        <v>1</v>
      </c>
      <c r="CA111" s="138">
        <v>-1</v>
      </c>
      <c r="CB111" s="138">
        <v>1</v>
      </c>
      <c r="CC111" s="138">
        <v>0</v>
      </c>
      <c r="CD111" s="138">
        <v>1</v>
      </c>
      <c r="CE111" s="138">
        <v>1</v>
      </c>
      <c r="CF111" s="138">
        <v>-1</v>
      </c>
      <c r="CG111" s="138">
        <f>1-'LCFS Table'!$BW111</f>
        <v>0</v>
      </c>
      <c r="CH111" s="138">
        <f>1-'LCFS Table'!$BX111</f>
        <v>1</v>
      </c>
      <c r="CI111" s="138">
        <f>1-'LCFS Table'!$BY111</f>
        <v>0</v>
      </c>
      <c r="CJ111" s="138">
        <f>1-'LCFS Table'!$BZ111</f>
        <v>0</v>
      </c>
      <c r="CK111" s="138">
        <f>-'LCFS Table'!$CA111</f>
        <v>1</v>
      </c>
      <c r="CL111" s="138">
        <f>1-'LCFS Table'!$CB111</f>
        <v>0</v>
      </c>
      <c r="CM111" s="138">
        <f>1-'LCFS Table'!$CC111</f>
        <v>1</v>
      </c>
      <c r="CN111" s="138">
        <f>1-'LCFS Table'!$CD111</f>
        <v>0</v>
      </c>
      <c r="CO111" s="138">
        <f>1-'LCFS Table'!$CE111</f>
        <v>0</v>
      </c>
      <c r="CP111" s="138">
        <f>-'LCFS Table'!$CF111</f>
        <v>1</v>
      </c>
      <c r="CQ111" s="140">
        <v>7.5</v>
      </c>
      <c r="CR111" s="165">
        <f>('LCFS Table'!$CQ111*0.9/(0.8/0.99)/100)</f>
        <v>8.3531249999999987E-2</v>
      </c>
      <c r="CS111" s="166"/>
      <c r="CT111" s="167"/>
      <c r="CW111" s="168">
        <f>'LCFS Table'!$K111-'LCFS Table'!$M111</f>
        <v>0.59201039190562454</v>
      </c>
      <c r="CX111" s="129">
        <f>MONTH('LCFS Table'!$B111)</f>
        <v>1</v>
      </c>
      <c r="CY111" s="129">
        <f>YEAR('LCFS Table'!$B111)</f>
        <v>2021</v>
      </c>
    </row>
    <row r="112" spans="1:103">
      <c r="A112" s="148">
        <v>44227</v>
      </c>
      <c r="B112" s="149">
        <v>44233</v>
      </c>
      <c r="C112" s="132">
        <f t="shared" si="1"/>
        <v>2021</v>
      </c>
      <c r="D112" s="182" t="s">
        <v>261</v>
      </c>
      <c r="E112" s="187">
        <f>'LCFS Table'!$K112-'LCFS Table'!$I112</f>
        <v>-2.1110687734668341</v>
      </c>
      <c r="F112" s="187">
        <f>('LCFS Table'!$M112)-'LCFS Table'!$J112</f>
        <v>-3.3912954540887488</v>
      </c>
      <c r="G112" s="188">
        <f>'LCFS Table'!$E112+'LCFS Table'!$AS112+'LCFS Table'!$AT112+'LCFS Table'!$AU112+'LCFS Table'!$AV112</f>
        <v>2.5857445728503472</v>
      </c>
      <c r="H112" s="188">
        <f>'LCFS Table'!$F112+'LCFS Table'!$AX112+'LCFS Table'!$AY112+'LCFS Table'!$AZ112+'LCFS Table'!$BA112+('LCFS Table'!$CQ112*0.9/(0.8/0.99)/100)+(DG112*'LCFS Table'!$AF112)+(DF112*'LCFS Table'!$AG112)</f>
        <v>0.48645351562500116</v>
      </c>
      <c r="I112" s="187">
        <f>('LCFS Table'!$V112+'LCFS Table'!$W112+'LCFS Table'!$X112)/100+(('LCFS Table'!$AI112+'LCFS Table'!$AJ112)/340)</f>
        <v>3.8062687734668343</v>
      </c>
      <c r="J112" s="187">
        <f>(('LCFS Table'!$Y112+'LCFS Table'!$Z112)/100)+(('LCFS Table'!$AM112+'LCFS Table'!$AN112)/300)</f>
        <v>4.4254308593749991</v>
      </c>
      <c r="K112" s="190">
        <f>'[1]Fuel Values'!$C111</f>
        <v>1.6952</v>
      </c>
      <c r="L112" s="190">
        <f>'[1]Fuel Values'!$B111</f>
        <v>482</v>
      </c>
      <c r="M112" s="185">
        <f>('LCFS Table'!$L112/100)-'LCFS Table'!$AX112-'LCFS Table'!$AY112-'LCFS Table'!$AZ112-'LCFS Table'!$BA112</f>
        <v>1.0341354052862504</v>
      </c>
      <c r="N112" s="190">
        <f>[1]BFT!$B111</f>
        <v>42.5</v>
      </c>
      <c r="O112" s="190">
        <f>[1]UCO!$B111</f>
        <v>38.6</v>
      </c>
      <c r="P112" s="190">
        <f>[1]DCO!$B111</f>
        <v>42.15</v>
      </c>
      <c r="Q112" s="190">
        <f>'[1]Soybean Oil'!$B111</f>
        <v>50.173999999999999</v>
      </c>
      <c r="R112" s="190">
        <f>'[1]Yellow Grease'!$B111</f>
        <v>33.6</v>
      </c>
      <c r="S112" s="185">
        <f>'LCFS Table'!$N112 + 'LCFS Table'!$AH112</f>
        <v>46.875</v>
      </c>
      <c r="T112" s="185">
        <f>'LCFS Table'!$Q112+'LCFS Table'!$AH112</f>
        <v>54.548999999999999</v>
      </c>
      <c r="U112" s="185">
        <f>'LCFS Table'!$P112+'LCFS Table'!$AH112</f>
        <v>46.524999999999999</v>
      </c>
      <c r="V112" s="185">
        <f>(('LCFS Table'!$S112/'LCFS Table'!$AA112)*'LCFS Table'!$AC112)*6.48</f>
        <v>161.56914893617025</v>
      </c>
      <c r="W112" s="185">
        <f>(('LCFS Table'!$O112/'LCFS Table'!$AA112)*'LCFS Table'!$AD112)*6.48</f>
        <v>66.523404255319164</v>
      </c>
      <c r="X112" s="185">
        <f>(('LCFS Table'!$U112/'LCFS Table'!$AA112)*'LCFS Table'!$AE112)*6.48</f>
        <v>80.18138297872342</v>
      </c>
      <c r="Y112" s="185">
        <f>(('LCFS Table'!$T112/'LCFS Table'!$AB112)*'LCFS Table'!$AF112)*7.35</f>
        <v>313.23058593749994</v>
      </c>
      <c r="Z112" s="185">
        <f>(('LCFS Table'!$R112/'LCFS Table'!$AB112)*'LCFS Table'!$AG112)*7.35</f>
        <v>64.3125</v>
      </c>
      <c r="AA112" s="138">
        <v>0.94</v>
      </c>
      <c r="AB112" s="138">
        <v>0.96</v>
      </c>
      <c r="AC112" s="138">
        <v>0.5</v>
      </c>
      <c r="AD112" s="138">
        <v>0.25</v>
      </c>
      <c r="AE112" s="138">
        <v>0.25</v>
      </c>
      <c r="AF112" s="138">
        <v>0.75</v>
      </c>
      <c r="AG112" s="138">
        <v>0.25</v>
      </c>
      <c r="AH112" s="139">
        <v>4.375</v>
      </c>
      <c r="AI112" s="139">
        <v>136</v>
      </c>
      <c r="AJ112" s="139">
        <v>110</v>
      </c>
      <c r="AK112" s="186">
        <f>('LCFS Table'!$AI112/340)*100</f>
        <v>40</v>
      </c>
      <c r="AL112" s="186">
        <f>('LCFS Table'!$AJ112/340)*100</f>
        <v>32.352941176470587</v>
      </c>
      <c r="AM112" s="139">
        <v>105</v>
      </c>
      <c r="AN112" s="139">
        <v>90</v>
      </c>
      <c r="AO112" s="139">
        <f>('LCFS Table'!$AM112/300)*100</f>
        <v>35</v>
      </c>
      <c r="AP112" s="139">
        <f>('LCFS Table'!$AN112/300)*100</f>
        <v>30</v>
      </c>
      <c r="AQ112" s="140">
        <v>192.95</v>
      </c>
      <c r="AR112" s="140">
        <v>1.1185</v>
      </c>
      <c r="AS112" s="185">
        <v>1.6353633463171811</v>
      </c>
      <c r="AT112" s="137">
        <v>0.16</v>
      </c>
      <c r="AU112" s="137">
        <v>1</v>
      </c>
      <c r="AV112" s="185">
        <f>'LCFS Table'!$AR112*1.7</f>
        <v>1.9014500000000001</v>
      </c>
      <c r="AW112" s="137">
        <v>0</v>
      </c>
      <c r="AX112" s="185">
        <v>1.1081145947137498</v>
      </c>
      <c r="AY112" s="137">
        <v>0</v>
      </c>
      <c r="AZ112" s="141">
        <v>1</v>
      </c>
      <c r="BA112" s="185">
        <f>'LCFS Table'!$AR112*1.5</f>
        <v>1.6777500000000001</v>
      </c>
      <c r="BB112" s="142">
        <v>1.2</v>
      </c>
      <c r="BC112" s="185">
        <f>'LCFS Table'!$AS112*'LCFS Table'!$BW112</f>
        <v>1.6353633463171811</v>
      </c>
      <c r="BD112" s="185">
        <f>'LCFS Table'!$AT112*'LCFS Table'!$BX112</f>
        <v>0</v>
      </c>
      <c r="BE112" s="185">
        <f>'LCFS Table'!$AU112*'LCFS Table'!$BY112</f>
        <v>1</v>
      </c>
      <c r="BF112" s="137">
        <f>'LCFS Table'!$AV112*'LCFS Table'!$BZ112</f>
        <v>1.9014500000000001</v>
      </c>
      <c r="BG112" s="137">
        <f>'LCFS Table'!$AW112*'LCFS Table'!$CA112</f>
        <v>0</v>
      </c>
      <c r="BH112" s="137">
        <f>'LCFS Table'!$AX112*'LCFS Table'!$CB112</f>
        <v>1.1081145947137498</v>
      </c>
      <c r="BI112" s="137">
        <f>'LCFS Table'!$AY112*'LCFS Table'!$CC112</f>
        <v>0</v>
      </c>
      <c r="BJ112" s="137">
        <f>'LCFS Table'!$AZ112*'LCFS Table'!$CD112</f>
        <v>1</v>
      </c>
      <c r="BK112" s="137">
        <f>'LCFS Table'!$BA112*'LCFS Table'!$CE112</f>
        <v>1.6777500000000001</v>
      </c>
      <c r="BL112" s="137">
        <f>'LCFS Table'!$BB112*'LCFS Table'!$CF112</f>
        <v>-1.2</v>
      </c>
      <c r="BM112" s="137">
        <f>'LCFS Table'!$AS112*'LCFS Table'!$CG112</f>
        <v>0</v>
      </c>
      <c r="BN112" s="137">
        <f>'LCFS Table'!$AT112*'LCFS Table'!$CH112</f>
        <v>0.16</v>
      </c>
      <c r="BO112" s="137">
        <f>'LCFS Table'!$AU112*'LCFS Table'!$CI112</f>
        <v>0</v>
      </c>
      <c r="BP112" s="137">
        <f>'LCFS Table'!$AV112*'LCFS Table'!$CJ112</f>
        <v>0</v>
      </c>
      <c r="BQ112" s="137">
        <f>'LCFS Table'!$AW112*'LCFS Table'!$CK112</f>
        <v>0</v>
      </c>
      <c r="BR112" s="137">
        <f>'LCFS Table'!$AX112*'LCFS Table'!$CL112</f>
        <v>0</v>
      </c>
      <c r="BS112" s="137">
        <f>'LCFS Table'!$AY112*'LCFS Table'!$CM112</f>
        <v>0</v>
      </c>
      <c r="BT112" s="137">
        <f>'LCFS Table'!$AZ112*'LCFS Table'!$CN112</f>
        <v>0</v>
      </c>
      <c r="BU112" s="137">
        <f>'LCFS Table'!$BA112*'LCFS Table'!$CO112</f>
        <v>0</v>
      </c>
      <c r="BV112" s="142">
        <f>'LCFS Table'!$BB112*'LCFS Table'!$CP112</f>
        <v>1.2</v>
      </c>
      <c r="BW112" s="138">
        <v>1</v>
      </c>
      <c r="BX112" s="138">
        <v>0</v>
      </c>
      <c r="BY112" s="138">
        <v>1</v>
      </c>
      <c r="BZ112" s="138">
        <v>1</v>
      </c>
      <c r="CA112" s="138">
        <v>-1</v>
      </c>
      <c r="CB112" s="138">
        <v>1</v>
      </c>
      <c r="CC112" s="138">
        <v>0</v>
      </c>
      <c r="CD112" s="138">
        <v>1</v>
      </c>
      <c r="CE112" s="138">
        <v>1</v>
      </c>
      <c r="CF112" s="138">
        <v>-1</v>
      </c>
      <c r="CG112" s="138">
        <f>1-'LCFS Table'!$BW112</f>
        <v>0</v>
      </c>
      <c r="CH112" s="138">
        <f>1-'LCFS Table'!$BX112</f>
        <v>1</v>
      </c>
      <c r="CI112" s="138">
        <f>1-'LCFS Table'!$BY112</f>
        <v>0</v>
      </c>
      <c r="CJ112" s="138">
        <f>1-'LCFS Table'!$BZ112</f>
        <v>0</v>
      </c>
      <c r="CK112" s="138">
        <f>-'LCFS Table'!$CA112</f>
        <v>1</v>
      </c>
      <c r="CL112" s="138">
        <f>1-'LCFS Table'!$CB112</f>
        <v>0</v>
      </c>
      <c r="CM112" s="138">
        <f>1-'LCFS Table'!$CC112</f>
        <v>1</v>
      </c>
      <c r="CN112" s="138">
        <f>1-'LCFS Table'!$CD112</f>
        <v>0</v>
      </c>
      <c r="CO112" s="138">
        <f>1-'LCFS Table'!$CE112</f>
        <v>0</v>
      </c>
      <c r="CP112" s="138">
        <f>-'LCFS Table'!$CF112</f>
        <v>1</v>
      </c>
      <c r="CQ112" s="140">
        <v>8.25</v>
      </c>
      <c r="CR112" s="165">
        <f>('LCFS Table'!$CQ112*0.9/(0.8/0.99)/100)</f>
        <v>9.188437499999999E-2</v>
      </c>
      <c r="CS112" s="166"/>
      <c r="CT112" s="167"/>
      <c r="CW112" s="168">
        <f>'LCFS Table'!$K112-'LCFS Table'!$M112</f>
        <v>0.66106459471374968</v>
      </c>
      <c r="CX112" s="129">
        <f>MONTH('LCFS Table'!$B112)</f>
        <v>2</v>
      </c>
      <c r="CY112" s="129">
        <f>YEAR('LCFS Table'!$B112)</f>
        <v>2021</v>
      </c>
    </row>
    <row r="113" spans="1:103">
      <c r="A113" s="148">
        <v>44234</v>
      </c>
      <c r="B113" s="149">
        <v>44240</v>
      </c>
      <c r="C113" s="132">
        <f t="shared" si="1"/>
        <v>2021</v>
      </c>
      <c r="D113" s="150" t="s">
        <v>262</v>
      </c>
      <c r="E113" s="187">
        <f>'LCFS Table'!$K113-'LCFS Table'!$I113</f>
        <v>-2.0761602628285365</v>
      </c>
      <c r="F113" s="187">
        <f>('LCFS Table'!$M113)-'LCFS Table'!$J113</f>
        <v>-3.2472916491099983</v>
      </c>
      <c r="G113" s="188">
        <f>'LCFS Table'!$E113+'LCFS Table'!$AS113+'LCFS Table'!$AT113+'LCFS Table'!$AU113+'LCFS Table'!$AV113</f>
        <v>2.5267366301524903</v>
      </c>
      <c r="H113" s="188">
        <f>'LCFS Table'!$F113+'LCFS Table'!$AX113+'LCFS Table'!$AY113+'LCFS Table'!$AZ113+'LCFS Table'!$BA113+('LCFS Table'!$CQ113*0.9/(0.8/0.99)/100)+(DG113*'LCFS Table'!$AF113)+(DF113*'LCFS Table'!$AG113)</f>
        <v>0.54819726562500115</v>
      </c>
      <c r="I113" s="187">
        <f>('LCFS Table'!$V113+'LCFS Table'!$W113+'LCFS Table'!$X113)/100+(('LCFS Table'!$AI113+'LCFS Table'!$AJ113)/340)</f>
        <v>3.8424602628285363</v>
      </c>
      <c r="J113" s="187">
        <f>(('LCFS Table'!$Y113+'LCFS Table'!$Z113)/100)+(('LCFS Table'!$AM113+'LCFS Table'!$AN113)/300)</f>
        <v>4.5016871093749993</v>
      </c>
      <c r="K113" s="190">
        <f>'[1]Fuel Values'!$C112</f>
        <v>1.7663</v>
      </c>
      <c r="L113" s="190">
        <f>'[1]Fuel Values'!$B112</f>
        <v>495.8</v>
      </c>
      <c r="M113" s="185">
        <f>('LCFS Table'!$L113/100)-'LCFS Table'!$AX113-'LCFS Table'!$AY113-'LCFS Table'!$AZ113-'LCFS Table'!$BA113</f>
        <v>1.2543954602650007</v>
      </c>
      <c r="N113" s="190">
        <f>[1]BFT!$B112</f>
        <v>42.9</v>
      </c>
      <c r="O113" s="190">
        <f>[1]UCO!$B112</f>
        <v>39</v>
      </c>
      <c r="P113" s="190">
        <f>[1]DCO!$B112</f>
        <v>43.05</v>
      </c>
      <c r="Q113" s="190">
        <f>'[1]Soybean Oil'!$B112</f>
        <v>51.201999999999998</v>
      </c>
      <c r="R113" s="190">
        <f>'[1]Yellow Grease'!$B112</f>
        <v>34.5</v>
      </c>
      <c r="S113" s="185">
        <f>'LCFS Table'!$N113 + 'LCFS Table'!$AH113</f>
        <v>47.274999999999999</v>
      </c>
      <c r="T113" s="185">
        <f>'LCFS Table'!$Q113+'LCFS Table'!$AH113</f>
        <v>55.576999999999998</v>
      </c>
      <c r="U113" s="185">
        <f>'LCFS Table'!$P113+'LCFS Table'!$AH113</f>
        <v>47.424999999999997</v>
      </c>
      <c r="V113" s="185">
        <f>(('LCFS Table'!$S113/'LCFS Table'!$AA113)*'LCFS Table'!$AC113)*6.48</f>
        <v>162.94787234042553</v>
      </c>
      <c r="W113" s="185">
        <f>(('LCFS Table'!$O113/'LCFS Table'!$AA113)*'LCFS Table'!$AD113)*6.48</f>
        <v>67.21276595744682</v>
      </c>
      <c r="X113" s="185">
        <f>(('LCFS Table'!$U113/'LCFS Table'!$AA113)*'LCFS Table'!$AE113)*6.48</f>
        <v>81.732446808510645</v>
      </c>
      <c r="Y113" s="185">
        <f>(('LCFS Table'!$T113/'LCFS Table'!$AB113)*'LCFS Table'!$AF113)*7.35</f>
        <v>319.13355468749995</v>
      </c>
      <c r="Z113" s="185">
        <f>(('LCFS Table'!$R113/'LCFS Table'!$AB113)*'LCFS Table'!$AG113)*7.35</f>
        <v>66.03515625</v>
      </c>
      <c r="AA113" s="138">
        <v>0.94</v>
      </c>
      <c r="AB113" s="138">
        <v>0.96</v>
      </c>
      <c r="AC113" s="138">
        <v>0.5</v>
      </c>
      <c r="AD113" s="138">
        <v>0.25</v>
      </c>
      <c r="AE113" s="138">
        <v>0.25</v>
      </c>
      <c r="AF113" s="138">
        <v>0.75</v>
      </c>
      <c r="AG113" s="138">
        <v>0.25</v>
      </c>
      <c r="AH113" s="139">
        <v>4.375</v>
      </c>
      <c r="AI113" s="139">
        <v>136</v>
      </c>
      <c r="AJ113" s="139">
        <v>110</v>
      </c>
      <c r="AK113" s="186">
        <f>('LCFS Table'!$AI113/340)*100</f>
        <v>40</v>
      </c>
      <c r="AL113" s="186">
        <f>('LCFS Table'!$AJ113/340)*100</f>
        <v>32.352941176470587</v>
      </c>
      <c r="AM113" s="139">
        <v>105</v>
      </c>
      <c r="AN113" s="139">
        <v>90</v>
      </c>
      <c r="AO113" s="139">
        <f>('LCFS Table'!$AM113/300)*100</f>
        <v>35</v>
      </c>
      <c r="AP113" s="139">
        <f>('LCFS Table'!$AN113/300)*100</f>
        <v>30</v>
      </c>
      <c r="AQ113" s="140">
        <v>192.6</v>
      </c>
      <c r="AR113" s="140">
        <v>1.0649999999999999</v>
      </c>
      <c r="AS113" s="185">
        <v>1.6323968929810269</v>
      </c>
      <c r="AT113" s="137">
        <v>0.16</v>
      </c>
      <c r="AU113" s="137">
        <v>1</v>
      </c>
      <c r="AV113" s="185">
        <f>'LCFS Table'!$AR113*1.7</f>
        <v>1.8104999999999998</v>
      </c>
      <c r="AW113" s="137">
        <v>0</v>
      </c>
      <c r="AX113" s="185">
        <v>1.1061045397349996</v>
      </c>
      <c r="AY113" s="137">
        <v>0</v>
      </c>
      <c r="AZ113" s="141">
        <v>1</v>
      </c>
      <c r="BA113" s="185">
        <f>'LCFS Table'!$AR113*1.5</f>
        <v>1.5974999999999999</v>
      </c>
      <c r="BB113" s="142">
        <v>1.2</v>
      </c>
      <c r="BC113" s="185">
        <f>'LCFS Table'!$AS113*'LCFS Table'!$BW113</f>
        <v>1.6323968929810269</v>
      </c>
      <c r="BD113" s="185">
        <f>'LCFS Table'!$AT113*'LCFS Table'!$BX113</f>
        <v>0</v>
      </c>
      <c r="BE113" s="185">
        <f>'LCFS Table'!$AU113*'LCFS Table'!$BY113</f>
        <v>1</v>
      </c>
      <c r="BF113" s="137">
        <f>'LCFS Table'!$AV113*'LCFS Table'!$BZ113</f>
        <v>1.8104999999999998</v>
      </c>
      <c r="BG113" s="137">
        <f>'LCFS Table'!$AW113*'LCFS Table'!$CA113</f>
        <v>0</v>
      </c>
      <c r="BH113" s="137">
        <f>'LCFS Table'!$AX113*'LCFS Table'!$CB113</f>
        <v>1.1061045397349996</v>
      </c>
      <c r="BI113" s="137">
        <f>'LCFS Table'!$AY113*'LCFS Table'!$CC113</f>
        <v>0</v>
      </c>
      <c r="BJ113" s="137">
        <f>'LCFS Table'!$AZ113*'LCFS Table'!$CD113</f>
        <v>1</v>
      </c>
      <c r="BK113" s="137">
        <f>'LCFS Table'!$BA113*'LCFS Table'!$CE113</f>
        <v>1.5974999999999999</v>
      </c>
      <c r="BL113" s="137">
        <f>'LCFS Table'!$BB113*'LCFS Table'!$CF113</f>
        <v>-1.2</v>
      </c>
      <c r="BM113" s="137">
        <f>'LCFS Table'!$AS113*'LCFS Table'!$CG113</f>
        <v>0</v>
      </c>
      <c r="BN113" s="137">
        <f>'LCFS Table'!$AT113*'LCFS Table'!$CH113</f>
        <v>0.16</v>
      </c>
      <c r="BO113" s="137">
        <f>'LCFS Table'!$AU113*'LCFS Table'!$CI113</f>
        <v>0</v>
      </c>
      <c r="BP113" s="137">
        <f>'LCFS Table'!$AV113*'LCFS Table'!$CJ113</f>
        <v>0</v>
      </c>
      <c r="BQ113" s="137">
        <f>'LCFS Table'!$AW113*'LCFS Table'!$CK113</f>
        <v>0</v>
      </c>
      <c r="BR113" s="137">
        <f>'LCFS Table'!$AX113*'LCFS Table'!$CL113</f>
        <v>0</v>
      </c>
      <c r="BS113" s="137">
        <f>'LCFS Table'!$AY113*'LCFS Table'!$CM113</f>
        <v>0</v>
      </c>
      <c r="BT113" s="137">
        <f>'LCFS Table'!$AZ113*'LCFS Table'!$CN113</f>
        <v>0</v>
      </c>
      <c r="BU113" s="137">
        <f>'LCFS Table'!$BA113*'LCFS Table'!$CO113</f>
        <v>0</v>
      </c>
      <c r="BV113" s="142">
        <f>'LCFS Table'!$BB113*'LCFS Table'!$CP113</f>
        <v>1.2</v>
      </c>
      <c r="BW113" s="138">
        <v>1</v>
      </c>
      <c r="BX113" s="138">
        <v>0</v>
      </c>
      <c r="BY113" s="138">
        <v>1</v>
      </c>
      <c r="BZ113" s="138">
        <v>1</v>
      </c>
      <c r="CA113" s="138">
        <v>-1</v>
      </c>
      <c r="CB113" s="138">
        <v>1</v>
      </c>
      <c r="CC113" s="138">
        <v>0</v>
      </c>
      <c r="CD113" s="138">
        <v>1</v>
      </c>
      <c r="CE113" s="138">
        <v>1</v>
      </c>
      <c r="CF113" s="138">
        <v>-1</v>
      </c>
      <c r="CG113" s="138">
        <f>1-'LCFS Table'!$BW113</f>
        <v>0</v>
      </c>
      <c r="CH113" s="138">
        <f>1-'LCFS Table'!$BX113</f>
        <v>1</v>
      </c>
      <c r="CI113" s="138">
        <f>1-'LCFS Table'!$BY113</f>
        <v>0</v>
      </c>
      <c r="CJ113" s="138">
        <f>1-'LCFS Table'!$BZ113</f>
        <v>0</v>
      </c>
      <c r="CK113" s="138">
        <f>-'LCFS Table'!$CA113</f>
        <v>1</v>
      </c>
      <c r="CL113" s="138">
        <f>1-'LCFS Table'!$CB113</f>
        <v>0</v>
      </c>
      <c r="CM113" s="138">
        <f>1-'LCFS Table'!$CC113</f>
        <v>1</v>
      </c>
      <c r="CN113" s="138">
        <f>1-'LCFS Table'!$CD113</f>
        <v>0</v>
      </c>
      <c r="CO113" s="138">
        <f>1-'LCFS Table'!$CE113</f>
        <v>0</v>
      </c>
      <c r="CP113" s="138">
        <f>-'LCFS Table'!$CF113</f>
        <v>1</v>
      </c>
      <c r="CQ113" s="140">
        <v>8.25</v>
      </c>
      <c r="CR113" s="165">
        <f>('LCFS Table'!$CQ113*0.9/(0.8/0.99)/100)</f>
        <v>9.188437499999999E-2</v>
      </c>
      <c r="CS113" s="166"/>
      <c r="CT113" s="167"/>
      <c r="CW113" s="168">
        <f>'LCFS Table'!$K113-'LCFS Table'!$M113</f>
        <v>0.51190453973499928</v>
      </c>
      <c r="CX113" s="129">
        <f>MONTH('LCFS Table'!$B113)</f>
        <v>2</v>
      </c>
      <c r="CY113" s="129">
        <f>YEAR('LCFS Table'!$B113)</f>
        <v>2021</v>
      </c>
    </row>
    <row r="114" spans="1:103">
      <c r="A114" s="148">
        <v>44241</v>
      </c>
      <c r="B114" s="149">
        <v>44247</v>
      </c>
      <c r="C114" s="132">
        <f t="shared" si="1"/>
        <v>2021</v>
      </c>
      <c r="D114" s="182" t="s">
        <v>263</v>
      </c>
      <c r="E114" s="187">
        <f>'LCFS Table'!$K114-'LCFS Table'!$I114</f>
        <v>-2.0545389862327914</v>
      </c>
      <c r="F114" s="187">
        <f>('LCFS Table'!$M114)-'LCFS Table'!$J114</f>
        <v>-3.2072685195625001</v>
      </c>
      <c r="G114" s="188">
        <f>'LCFS Table'!$E114+'LCFS Table'!$AS114+'LCFS Table'!$AT114+'LCFS Table'!$AU114+'LCFS Table'!$AV114</f>
        <v>2.519885348652191</v>
      </c>
      <c r="H114" s="188">
        <f>'LCFS Table'!$F114+'LCFS Table'!$AX114+'LCFS Table'!$AY114+'LCFS Table'!$AZ114+'LCFS Table'!$BA114+('LCFS Table'!$CQ114*0.9/(0.8/0.99)/100)+(DG114*'LCFS Table'!$AF114)+(DF114*'LCFS Table'!$AG114)</f>
        <v>0.56605546874999979</v>
      </c>
      <c r="I114" s="187">
        <f>('LCFS Table'!$V114+'LCFS Table'!$W114+'LCFS Table'!$X114)/100+(('LCFS Table'!$AI114+'LCFS Table'!$AJ114)/340)</f>
        <v>3.8924389862327917</v>
      </c>
      <c r="J114" s="187">
        <f>(('LCFS Table'!$Y114+'LCFS Table'!$Z114)/100)+(('LCFS Table'!$AM114+'LCFS Table'!$AN114)/300)</f>
        <v>4.57861328125</v>
      </c>
      <c r="K114" s="190">
        <f>'[1]Fuel Values'!$C113</f>
        <v>1.8379000000000001</v>
      </c>
      <c r="L114" s="190">
        <f>'[1]Fuel Values'!$B113</f>
        <v>505</v>
      </c>
      <c r="M114" s="185">
        <f>('LCFS Table'!$L114/100)-'LCFS Table'!$AX114-'LCFS Table'!$AY114-'LCFS Table'!$AZ114-'LCFS Table'!$BA114</f>
        <v>1.3713447616874999</v>
      </c>
      <c r="N114" s="190">
        <f>[1]BFT!$B113</f>
        <v>44</v>
      </c>
      <c r="O114" s="190">
        <f>[1]UCO!$B113</f>
        <v>39</v>
      </c>
      <c r="P114" s="190">
        <f>[1]DCO!$B113</f>
        <v>43.75</v>
      </c>
      <c r="Q114" s="190">
        <f>'[1]Soybean Oil'!$B113</f>
        <v>52.25</v>
      </c>
      <c r="R114" s="190">
        <f>'[1]Yellow Grease'!$B113</f>
        <v>35.375</v>
      </c>
      <c r="S114" s="185">
        <f>'LCFS Table'!$N114 + 'LCFS Table'!$AH114</f>
        <v>48.375</v>
      </c>
      <c r="T114" s="185">
        <f>'LCFS Table'!$Q114+'LCFS Table'!$AH114</f>
        <v>56.625</v>
      </c>
      <c r="U114" s="185">
        <f>'LCFS Table'!$P114+'LCFS Table'!$AH114</f>
        <v>48.125</v>
      </c>
      <c r="V114" s="185">
        <f>(('LCFS Table'!$S114/'LCFS Table'!$AA114)*'LCFS Table'!$AC114)*6.48</f>
        <v>166.7393617021277</v>
      </c>
      <c r="W114" s="185">
        <f>(('LCFS Table'!$O114/'LCFS Table'!$AA114)*'LCFS Table'!$AD114)*6.48</f>
        <v>67.21276595744682</v>
      </c>
      <c r="X114" s="185">
        <f>(('LCFS Table'!$U114/'LCFS Table'!$AA114)*'LCFS Table'!$AE114)*6.48</f>
        <v>82.938829787234056</v>
      </c>
      <c r="Y114" s="185">
        <f>(('LCFS Table'!$T114/'LCFS Table'!$AB114)*'LCFS Table'!$AF114)*7.35</f>
        <v>325.1513671875</v>
      </c>
      <c r="Z114" s="185">
        <f>(('LCFS Table'!$R114/'LCFS Table'!$AB114)*'LCFS Table'!$AG114)*7.35</f>
        <v>67.7099609375</v>
      </c>
      <c r="AA114" s="138">
        <v>0.94</v>
      </c>
      <c r="AB114" s="138">
        <v>0.96</v>
      </c>
      <c r="AC114" s="138">
        <v>0.5</v>
      </c>
      <c r="AD114" s="138">
        <v>0.25</v>
      </c>
      <c r="AE114" s="138">
        <v>0.25</v>
      </c>
      <c r="AF114" s="138">
        <v>0.75</v>
      </c>
      <c r="AG114" s="138">
        <v>0.25</v>
      </c>
      <c r="AH114" s="139">
        <v>4.375</v>
      </c>
      <c r="AI114" s="139">
        <v>136</v>
      </c>
      <c r="AJ114" s="139">
        <v>110</v>
      </c>
      <c r="AK114" s="186">
        <f>('LCFS Table'!$AI114/340)*100</f>
        <v>40</v>
      </c>
      <c r="AL114" s="186">
        <f>('LCFS Table'!$AJ114/340)*100</f>
        <v>32.352941176470587</v>
      </c>
      <c r="AM114" s="139">
        <v>105</v>
      </c>
      <c r="AN114" s="139">
        <v>90</v>
      </c>
      <c r="AO114" s="139">
        <f>('LCFS Table'!$AM114/300)*100</f>
        <v>35</v>
      </c>
      <c r="AP114" s="139">
        <f>('LCFS Table'!$AN114/300)*100</f>
        <v>30</v>
      </c>
      <c r="AQ114" s="140">
        <v>192.5</v>
      </c>
      <c r="AR114" s="140">
        <v>1.0487500000000001</v>
      </c>
      <c r="AS114" s="185">
        <v>1.6315493348849825</v>
      </c>
      <c r="AT114" s="137">
        <v>0.16</v>
      </c>
      <c r="AU114" s="137">
        <v>1</v>
      </c>
      <c r="AV114" s="185">
        <f>'LCFS Table'!$AR114*1.7</f>
        <v>1.782875</v>
      </c>
      <c r="AW114" s="137">
        <v>0</v>
      </c>
      <c r="AX114" s="185">
        <v>1.1055302383124999</v>
      </c>
      <c r="AY114" s="137">
        <v>0</v>
      </c>
      <c r="AZ114" s="141">
        <v>1</v>
      </c>
      <c r="BA114" s="185">
        <f>'LCFS Table'!$AR114*1.5</f>
        <v>1.5731250000000001</v>
      </c>
      <c r="BB114" s="142">
        <v>1.2</v>
      </c>
      <c r="BC114" s="185">
        <f>'LCFS Table'!$AS114*'LCFS Table'!$BW114</f>
        <v>1.6315493348849825</v>
      </c>
      <c r="BD114" s="185">
        <f>'LCFS Table'!$AT114*'LCFS Table'!$BX114</f>
        <v>0</v>
      </c>
      <c r="BE114" s="185">
        <f>'LCFS Table'!$AU114*'LCFS Table'!$BY114</f>
        <v>1</v>
      </c>
      <c r="BF114" s="137">
        <f>'LCFS Table'!$AV114*'LCFS Table'!$BZ114</f>
        <v>1.782875</v>
      </c>
      <c r="BG114" s="137">
        <f>'LCFS Table'!$AW114*'LCFS Table'!$CA114</f>
        <v>0</v>
      </c>
      <c r="BH114" s="137">
        <f>'LCFS Table'!$AX114*'LCFS Table'!$CB114</f>
        <v>1.1055302383124999</v>
      </c>
      <c r="BI114" s="137">
        <f>'LCFS Table'!$AY114*'LCFS Table'!$CC114</f>
        <v>0</v>
      </c>
      <c r="BJ114" s="137">
        <f>'LCFS Table'!$AZ114*'LCFS Table'!$CD114</f>
        <v>1</v>
      </c>
      <c r="BK114" s="137">
        <f>'LCFS Table'!$BA114*'LCFS Table'!$CE114</f>
        <v>1.5731250000000001</v>
      </c>
      <c r="BL114" s="137">
        <f>'LCFS Table'!$BB114*'LCFS Table'!$CF114</f>
        <v>-1.2</v>
      </c>
      <c r="BM114" s="137">
        <f>'LCFS Table'!$AS114*'LCFS Table'!$CG114</f>
        <v>0</v>
      </c>
      <c r="BN114" s="137">
        <f>'LCFS Table'!$AT114*'LCFS Table'!$CH114</f>
        <v>0.16</v>
      </c>
      <c r="BO114" s="137">
        <f>'LCFS Table'!$AU114*'LCFS Table'!$CI114</f>
        <v>0</v>
      </c>
      <c r="BP114" s="137">
        <f>'LCFS Table'!$AV114*'LCFS Table'!$CJ114</f>
        <v>0</v>
      </c>
      <c r="BQ114" s="137">
        <f>'LCFS Table'!$AW114*'LCFS Table'!$CK114</f>
        <v>0</v>
      </c>
      <c r="BR114" s="137">
        <f>'LCFS Table'!$AX114*'LCFS Table'!$CL114</f>
        <v>0</v>
      </c>
      <c r="BS114" s="137">
        <f>'LCFS Table'!$AY114*'LCFS Table'!$CM114</f>
        <v>0</v>
      </c>
      <c r="BT114" s="137">
        <f>'LCFS Table'!$AZ114*'LCFS Table'!$CN114</f>
        <v>0</v>
      </c>
      <c r="BU114" s="137">
        <f>'LCFS Table'!$BA114*'LCFS Table'!$CO114</f>
        <v>0</v>
      </c>
      <c r="BV114" s="142">
        <f>'LCFS Table'!$BB114*'LCFS Table'!$CP114</f>
        <v>1.2</v>
      </c>
      <c r="BW114" s="138">
        <v>1</v>
      </c>
      <c r="BX114" s="138">
        <v>0</v>
      </c>
      <c r="BY114" s="138">
        <v>1</v>
      </c>
      <c r="BZ114" s="138">
        <v>1</v>
      </c>
      <c r="CA114" s="138">
        <v>-1</v>
      </c>
      <c r="CB114" s="138">
        <v>1</v>
      </c>
      <c r="CC114" s="138">
        <v>0</v>
      </c>
      <c r="CD114" s="138">
        <v>1</v>
      </c>
      <c r="CE114" s="138">
        <v>1</v>
      </c>
      <c r="CF114" s="138">
        <v>-1</v>
      </c>
      <c r="CG114" s="138">
        <f>1-'LCFS Table'!$BW114</f>
        <v>0</v>
      </c>
      <c r="CH114" s="138">
        <f>1-'LCFS Table'!$BX114</f>
        <v>1</v>
      </c>
      <c r="CI114" s="138">
        <f>1-'LCFS Table'!$BY114</f>
        <v>0</v>
      </c>
      <c r="CJ114" s="138">
        <f>1-'LCFS Table'!$BZ114</f>
        <v>0</v>
      </c>
      <c r="CK114" s="138">
        <f>-'LCFS Table'!$CA114</f>
        <v>1</v>
      </c>
      <c r="CL114" s="138">
        <f>1-'LCFS Table'!$CB114</f>
        <v>0</v>
      </c>
      <c r="CM114" s="138">
        <f>1-'LCFS Table'!$CC114</f>
        <v>1</v>
      </c>
      <c r="CN114" s="138">
        <f>1-'LCFS Table'!$CD114</f>
        <v>0</v>
      </c>
      <c r="CO114" s="138">
        <f>1-'LCFS Table'!$CE114</f>
        <v>0</v>
      </c>
      <c r="CP114" s="138">
        <f>-'LCFS Table'!$CF114</f>
        <v>1</v>
      </c>
      <c r="CQ114" s="140">
        <v>8.5</v>
      </c>
      <c r="CR114" s="165">
        <f>('LCFS Table'!$CQ114*0.9/(0.8/0.99)/100)</f>
        <v>9.4668749999999996E-2</v>
      </c>
      <c r="CS114" s="166"/>
      <c r="CT114" s="167"/>
      <c r="CW114" s="168">
        <f>'LCFS Table'!$K114-'LCFS Table'!$M114</f>
        <v>0.46655523831250023</v>
      </c>
      <c r="CX114" s="129">
        <f>MONTH('LCFS Table'!$B114)</f>
        <v>2</v>
      </c>
      <c r="CY114" s="129">
        <f>YEAR('LCFS Table'!$B114)</f>
        <v>2021</v>
      </c>
    </row>
    <row r="115" spans="1:103">
      <c r="A115" s="148">
        <v>44248</v>
      </c>
      <c r="B115" s="149">
        <v>44254</v>
      </c>
      <c r="C115" s="132">
        <f t="shared" si="1"/>
        <v>2021</v>
      </c>
      <c r="D115" s="150" t="s">
        <v>264</v>
      </c>
      <c r="E115" s="187">
        <f>'LCFS Table'!$K115-'LCFS Table'!$I115</f>
        <v>-2.1157219649561956</v>
      </c>
      <c r="F115" s="187">
        <f>('LCFS Table'!$M115)-'LCFS Table'!$J115</f>
        <v>-3.6037519335074997</v>
      </c>
      <c r="G115" s="188">
        <f>'LCFS Table'!$E115+'LCFS Table'!$AS115+'LCFS Table'!$AT115+'LCFS Table'!$AU115+'LCFS Table'!$AV115</f>
        <v>2.646948067081317</v>
      </c>
      <c r="H115" s="188">
        <f>'LCFS Table'!$F115+'LCFS Table'!$AX115+'LCFS Table'!$AY115+'LCFS Table'!$AZ115+'LCFS Table'!$BA115+('LCFS Table'!$CQ115*0.9/(0.8/0.99)/100)+(DG115*'LCFS Table'!$AF115)+(DF115*'LCFS Table'!$AG115)</f>
        <v>0.33358867187499952</v>
      </c>
      <c r="I115" s="187">
        <f>('LCFS Table'!$V115+'LCFS Table'!$W115+'LCFS Table'!$X115)/100+(('LCFS Table'!$AI115+'LCFS Table'!$AJ115)/340)</f>
        <v>4.0053219649561953</v>
      </c>
      <c r="J115" s="187">
        <f>(('LCFS Table'!$Y115+'LCFS Table'!$Z115)/100)+(('LCFS Table'!$AM115+'LCFS Table'!$AN115)/300)</f>
        <v>4.8510800781250003</v>
      </c>
      <c r="K115" s="190">
        <f>'[1]Fuel Values'!$C114</f>
        <v>1.8895999999999999</v>
      </c>
      <c r="L115" s="190">
        <f>'[1]Fuel Values'!$B114</f>
        <v>509</v>
      </c>
      <c r="M115" s="185">
        <f>('LCFS Table'!$L115/100)-'LCFS Table'!$AX115-'LCFS Table'!$AY115-'LCFS Table'!$AZ115-'LCFS Table'!$BA115</f>
        <v>1.2473281446175006</v>
      </c>
      <c r="N115" s="190">
        <f>[1]BFT!$B114</f>
        <v>46.4</v>
      </c>
      <c r="O115" s="190">
        <f>[1]UCO!$B114</f>
        <v>39.4</v>
      </c>
      <c r="P115" s="190">
        <f>[1]DCO!$B114</f>
        <v>45.1</v>
      </c>
      <c r="Q115" s="190">
        <f>'[1]Soybean Oil'!$B114</f>
        <v>56.72</v>
      </c>
      <c r="R115" s="190">
        <f>'[1]Yellow Grease'!$B114</f>
        <v>36.200000000000003</v>
      </c>
      <c r="S115" s="185">
        <f>'LCFS Table'!$N115 + 'LCFS Table'!$AH115</f>
        <v>50.774999999999999</v>
      </c>
      <c r="T115" s="185">
        <f>'LCFS Table'!$Q115+'LCFS Table'!$AH115</f>
        <v>61.094999999999999</v>
      </c>
      <c r="U115" s="185">
        <f>'LCFS Table'!$P115+'LCFS Table'!$AH115</f>
        <v>49.475000000000001</v>
      </c>
      <c r="V115" s="185">
        <f>(('LCFS Table'!$S115/'LCFS Table'!$AA115)*'LCFS Table'!$AC115)*6.48</f>
        <v>175.01170212765959</v>
      </c>
      <c r="W115" s="185">
        <f>(('LCFS Table'!$O115/'LCFS Table'!$AA115)*'LCFS Table'!$AD115)*6.48</f>
        <v>67.902127659574475</v>
      </c>
      <c r="X115" s="185">
        <f>(('LCFS Table'!$U115/'LCFS Table'!$AA115)*'LCFS Table'!$AE115)*6.48</f>
        <v>85.2654255319149</v>
      </c>
      <c r="Y115" s="185">
        <f>(('LCFS Table'!$T115/'LCFS Table'!$AB115)*'LCFS Table'!$AF115)*7.35</f>
        <v>350.81894531249998</v>
      </c>
      <c r="Z115" s="185">
        <f>(('LCFS Table'!$R115/'LCFS Table'!$AB115)*'LCFS Table'!$AG115)*7.35</f>
        <v>69.2890625</v>
      </c>
      <c r="AA115" s="138">
        <v>0.94</v>
      </c>
      <c r="AB115" s="138">
        <v>0.96</v>
      </c>
      <c r="AC115" s="138">
        <v>0.5</v>
      </c>
      <c r="AD115" s="138">
        <v>0.25</v>
      </c>
      <c r="AE115" s="138">
        <v>0.25</v>
      </c>
      <c r="AF115" s="138">
        <v>0.75</v>
      </c>
      <c r="AG115" s="138">
        <v>0.25</v>
      </c>
      <c r="AH115" s="139">
        <v>4.375</v>
      </c>
      <c r="AI115" s="139">
        <v>136</v>
      </c>
      <c r="AJ115" s="139">
        <v>110</v>
      </c>
      <c r="AK115" s="186">
        <f>('LCFS Table'!$AI115/340)*100</f>
        <v>40</v>
      </c>
      <c r="AL115" s="186">
        <f>('LCFS Table'!$AJ115/340)*100</f>
        <v>32.352941176470587</v>
      </c>
      <c r="AM115" s="139">
        <v>105</v>
      </c>
      <c r="AN115" s="139">
        <v>90</v>
      </c>
      <c r="AO115" s="139">
        <f>('LCFS Table'!$AM115/300)*100</f>
        <v>35</v>
      </c>
      <c r="AP115" s="139">
        <f>('LCFS Table'!$AN115/300)*100</f>
        <v>30</v>
      </c>
      <c r="AQ115" s="140">
        <v>193.7</v>
      </c>
      <c r="AR115" s="140">
        <v>1.1535</v>
      </c>
      <c r="AS115" s="185">
        <v>1.6417200320375125</v>
      </c>
      <c r="AT115" s="137">
        <v>0.16</v>
      </c>
      <c r="AU115" s="137">
        <v>1</v>
      </c>
      <c r="AV115" s="185">
        <f>'LCFS Table'!$AR115*1.7</f>
        <v>1.96095</v>
      </c>
      <c r="AW115" s="137">
        <v>0</v>
      </c>
      <c r="AX115" s="185">
        <v>1.1124218553824996</v>
      </c>
      <c r="AY115" s="137">
        <v>0</v>
      </c>
      <c r="AZ115" s="141">
        <v>1</v>
      </c>
      <c r="BA115" s="185">
        <f>'LCFS Table'!$AR115*1.5</f>
        <v>1.7302499999999998</v>
      </c>
      <c r="BB115" s="142">
        <v>1.2</v>
      </c>
      <c r="BC115" s="185">
        <f>'LCFS Table'!$AS115*'LCFS Table'!$BW115</f>
        <v>1.6417200320375125</v>
      </c>
      <c r="BD115" s="185">
        <f>'LCFS Table'!$AT115*'LCFS Table'!$BX115</f>
        <v>0</v>
      </c>
      <c r="BE115" s="185">
        <f>'LCFS Table'!$AU115*'LCFS Table'!$BY115</f>
        <v>1</v>
      </c>
      <c r="BF115" s="137">
        <f>'LCFS Table'!$AV115*'LCFS Table'!$BZ115</f>
        <v>1.96095</v>
      </c>
      <c r="BG115" s="137">
        <f>'LCFS Table'!$AW115*'LCFS Table'!$CA115</f>
        <v>0</v>
      </c>
      <c r="BH115" s="137">
        <f>'LCFS Table'!$AX115*'LCFS Table'!$CB115</f>
        <v>1.1124218553824996</v>
      </c>
      <c r="BI115" s="137">
        <f>'LCFS Table'!$AY115*'LCFS Table'!$CC115</f>
        <v>0</v>
      </c>
      <c r="BJ115" s="137">
        <f>'LCFS Table'!$AZ115*'LCFS Table'!$CD115</f>
        <v>1</v>
      </c>
      <c r="BK115" s="137">
        <f>'LCFS Table'!$BA115*'LCFS Table'!$CE115</f>
        <v>1.7302499999999998</v>
      </c>
      <c r="BL115" s="137">
        <f>'LCFS Table'!$BB115*'LCFS Table'!$CF115</f>
        <v>-1.2</v>
      </c>
      <c r="BM115" s="137">
        <f>'LCFS Table'!$AS115*'LCFS Table'!$CG115</f>
        <v>0</v>
      </c>
      <c r="BN115" s="137">
        <f>'LCFS Table'!$AT115*'LCFS Table'!$CH115</f>
        <v>0.16</v>
      </c>
      <c r="BO115" s="137">
        <f>'LCFS Table'!$AU115*'LCFS Table'!$CI115</f>
        <v>0</v>
      </c>
      <c r="BP115" s="137">
        <f>'LCFS Table'!$AV115*'LCFS Table'!$CJ115</f>
        <v>0</v>
      </c>
      <c r="BQ115" s="137">
        <f>'LCFS Table'!$AW115*'LCFS Table'!$CK115</f>
        <v>0</v>
      </c>
      <c r="BR115" s="137">
        <f>'LCFS Table'!$AX115*'LCFS Table'!$CL115</f>
        <v>0</v>
      </c>
      <c r="BS115" s="137">
        <f>'LCFS Table'!$AY115*'LCFS Table'!$CM115</f>
        <v>0</v>
      </c>
      <c r="BT115" s="137">
        <f>'LCFS Table'!$AZ115*'LCFS Table'!$CN115</f>
        <v>0</v>
      </c>
      <c r="BU115" s="137">
        <f>'LCFS Table'!$BA115*'LCFS Table'!$CO115</f>
        <v>0</v>
      </c>
      <c r="BV115" s="142">
        <f>'LCFS Table'!$BB115*'LCFS Table'!$CP115</f>
        <v>1.2</v>
      </c>
      <c r="BW115" s="138">
        <v>1</v>
      </c>
      <c r="BX115" s="138">
        <v>0</v>
      </c>
      <c r="BY115" s="138">
        <v>1</v>
      </c>
      <c r="BZ115" s="138">
        <v>1</v>
      </c>
      <c r="CA115" s="138">
        <v>-1</v>
      </c>
      <c r="CB115" s="138">
        <v>1</v>
      </c>
      <c r="CC115" s="138">
        <v>0</v>
      </c>
      <c r="CD115" s="138">
        <v>1</v>
      </c>
      <c r="CE115" s="138">
        <v>1</v>
      </c>
      <c r="CF115" s="138">
        <v>-1</v>
      </c>
      <c r="CG115" s="138">
        <f>1-'LCFS Table'!$BW115</f>
        <v>0</v>
      </c>
      <c r="CH115" s="138">
        <f>1-'LCFS Table'!$BX115</f>
        <v>1</v>
      </c>
      <c r="CI115" s="138">
        <f>1-'LCFS Table'!$BY115</f>
        <v>0</v>
      </c>
      <c r="CJ115" s="138">
        <f>1-'LCFS Table'!$BZ115</f>
        <v>0</v>
      </c>
      <c r="CK115" s="138">
        <f>-'LCFS Table'!$CA115</f>
        <v>1</v>
      </c>
      <c r="CL115" s="138">
        <f>1-'LCFS Table'!$CB115</f>
        <v>0</v>
      </c>
      <c r="CM115" s="138">
        <f>1-'LCFS Table'!$CC115</f>
        <v>1</v>
      </c>
      <c r="CN115" s="138">
        <f>1-'LCFS Table'!$CD115</f>
        <v>0</v>
      </c>
      <c r="CO115" s="138">
        <f>1-'LCFS Table'!$CE115</f>
        <v>0</v>
      </c>
      <c r="CP115" s="138">
        <f>-'LCFS Table'!$CF115</f>
        <v>1</v>
      </c>
      <c r="CQ115" s="140">
        <v>8.5</v>
      </c>
      <c r="CR115" s="165">
        <f>('LCFS Table'!$CQ115*0.9/(0.8/0.99)/100)</f>
        <v>9.4668749999999996E-2</v>
      </c>
      <c r="CS115" s="166"/>
      <c r="CT115" s="167"/>
      <c r="CW115" s="168">
        <f>'LCFS Table'!$K115-'LCFS Table'!$M115</f>
        <v>0.64227185538249931</v>
      </c>
      <c r="CX115" s="129">
        <f>MONTH('LCFS Table'!$B115)</f>
        <v>2</v>
      </c>
      <c r="CY115" s="129">
        <f>YEAR('LCFS Table'!$B115)</f>
        <v>2021</v>
      </c>
    </row>
    <row r="116" spans="1:103">
      <c r="A116" s="148">
        <v>44255</v>
      </c>
      <c r="B116" s="149">
        <v>44261</v>
      </c>
      <c r="C116" s="132">
        <f t="shared" si="1"/>
        <v>2021</v>
      </c>
      <c r="D116" s="182" t="s">
        <v>265</v>
      </c>
      <c r="E116" s="187">
        <f>'LCFS Table'!$K116-'LCFS Table'!$I116</f>
        <v>-2.2140347309136414</v>
      </c>
      <c r="F116" s="187">
        <f>('LCFS Table'!$M116)-'LCFS Table'!$J116</f>
        <v>-3.7248438812675002</v>
      </c>
      <c r="G116" s="188">
        <f>'LCFS Table'!$E116+'LCFS Table'!$AS116+'LCFS Table'!$AT116+'LCFS Table'!$AU116+'LCFS Table'!$AV116</f>
        <v>2.7415462306605778</v>
      </c>
      <c r="H116" s="188">
        <f>'LCFS Table'!$F116+'LCFS Table'!$AX116+'LCFS Table'!$AY116+'LCFS Table'!$AZ116+'LCFS Table'!$BA116+('LCFS Table'!$CQ116*0.9/(0.8/0.99)/100)+(DG116*'LCFS Table'!$AF116)+(DF116*'LCFS Table'!$AG116)</f>
        <v>0.37993554687499975</v>
      </c>
      <c r="I116" s="187">
        <f>('LCFS Table'!$V116+'LCFS Table'!$W116+'LCFS Table'!$X116)/100+(('LCFS Table'!$AI116+'LCFS Table'!$AJ116)/340)</f>
        <v>4.0725347309136417</v>
      </c>
      <c r="J116" s="187">
        <f>(('LCFS Table'!$Y116+'LCFS Table'!$Z116)/100)+(('LCFS Table'!$AM116+'LCFS Table'!$AN116)/300)</f>
        <v>4.9247332031250002</v>
      </c>
      <c r="K116" s="190">
        <f>'[1]Fuel Values'!$C115</f>
        <v>1.8585</v>
      </c>
      <c r="L116" s="190">
        <f>'[1]Fuel Values'!$B115</f>
        <v>521</v>
      </c>
      <c r="M116" s="185">
        <f>('LCFS Table'!$L116/100)-'LCFS Table'!$AX116-'LCFS Table'!$AY116-'LCFS Table'!$AZ116-'LCFS Table'!$BA116</f>
        <v>1.1998893218575</v>
      </c>
      <c r="N116" s="190">
        <f>[1]BFT!$B115</f>
        <v>47</v>
      </c>
      <c r="O116" s="190">
        <f>[1]UCO!$B115</f>
        <v>40</v>
      </c>
      <c r="P116" s="190">
        <f>[1]DCO!$B115</f>
        <v>47.2</v>
      </c>
      <c r="Q116" s="190">
        <f>'[1]Soybean Oil'!$B115</f>
        <v>57.735999999999997</v>
      </c>
      <c r="R116" s="190">
        <f>'[1]Yellow Grease'!$B115</f>
        <v>37</v>
      </c>
      <c r="S116" s="185">
        <f>'LCFS Table'!$N116 + 'LCFS Table'!$AH116</f>
        <v>51.375</v>
      </c>
      <c r="T116" s="185">
        <f>'LCFS Table'!$Q116+'LCFS Table'!$AH116</f>
        <v>62.110999999999997</v>
      </c>
      <c r="U116" s="185">
        <f>'LCFS Table'!$P116+'LCFS Table'!$AH116</f>
        <v>51.575000000000003</v>
      </c>
      <c r="V116" s="185">
        <f>(('LCFS Table'!$S116/'LCFS Table'!$AA116)*'LCFS Table'!$AC116)*6.48</f>
        <v>177.07978723404256</v>
      </c>
      <c r="W116" s="185">
        <f>(('LCFS Table'!$O116/'LCFS Table'!$AA116)*'LCFS Table'!$AD116)*6.48</f>
        <v>68.936170212765958</v>
      </c>
      <c r="X116" s="185">
        <f>(('LCFS Table'!$U116/'LCFS Table'!$AA116)*'LCFS Table'!$AE116)*6.48</f>
        <v>88.88457446808512</v>
      </c>
      <c r="Y116" s="185">
        <f>(('LCFS Table'!$T116/'LCFS Table'!$AB116)*'LCFS Table'!$AF116)*7.35</f>
        <v>356.65300781249999</v>
      </c>
      <c r="Z116" s="185">
        <f>(('LCFS Table'!$R116/'LCFS Table'!$AB116)*'LCFS Table'!$AG116)*7.35</f>
        <v>70.8203125</v>
      </c>
      <c r="AA116" s="138">
        <v>0.94</v>
      </c>
      <c r="AB116" s="138">
        <v>0.96</v>
      </c>
      <c r="AC116" s="138">
        <v>0.5</v>
      </c>
      <c r="AD116" s="138">
        <v>0.25</v>
      </c>
      <c r="AE116" s="138">
        <v>0.25</v>
      </c>
      <c r="AF116" s="138">
        <v>0.75</v>
      </c>
      <c r="AG116" s="138">
        <v>0.25</v>
      </c>
      <c r="AH116" s="139">
        <v>4.375</v>
      </c>
      <c r="AI116" s="139">
        <v>136</v>
      </c>
      <c r="AJ116" s="139">
        <v>110</v>
      </c>
      <c r="AK116" s="186">
        <f>('LCFS Table'!$AI116/340)*100</f>
        <v>40</v>
      </c>
      <c r="AL116" s="186">
        <f>('LCFS Table'!$AJ116/340)*100</f>
        <v>32.352941176470587</v>
      </c>
      <c r="AM116" s="139">
        <v>105</v>
      </c>
      <c r="AN116" s="139">
        <v>90</v>
      </c>
      <c r="AO116" s="139">
        <f>('LCFS Table'!$AM116/300)*100</f>
        <v>35</v>
      </c>
      <c r="AP116" s="139">
        <f>('LCFS Table'!$AN116/300)*100</f>
        <v>30</v>
      </c>
      <c r="AQ116" s="140">
        <v>195.3</v>
      </c>
      <c r="AR116" s="140">
        <v>1.2590000000000001</v>
      </c>
      <c r="AS116" s="185">
        <v>1.655280961574219</v>
      </c>
      <c r="AT116" s="137">
        <v>0.16</v>
      </c>
      <c r="AU116" s="137">
        <v>1</v>
      </c>
      <c r="AV116" s="185">
        <f>'LCFS Table'!$AR116*1.7</f>
        <v>2.1403000000000003</v>
      </c>
      <c r="AW116" s="137">
        <v>0</v>
      </c>
      <c r="AX116" s="185">
        <v>1.1216106781424999</v>
      </c>
      <c r="AY116" s="137">
        <v>0</v>
      </c>
      <c r="AZ116" s="141">
        <v>1</v>
      </c>
      <c r="BA116" s="185">
        <f>'LCFS Table'!$AR116*1.5</f>
        <v>1.8885000000000001</v>
      </c>
      <c r="BB116" s="142">
        <v>1.2</v>
      </c>
      <c r="BC116" s="185">
        <f>'LCFS Table'!$AS116*'LCFS Table'!$BW116</f>
        <v>1.655280961574219</v>
      </c>
      <c r="BD116" s="185">
        <f>'LCFS Table'!$AT116*'LCFS Table'!$BX116</f>
        <v>0</v>
      </c>
      <c r="BE116" s="185">
        <f>'LCFS Table'!$AU116*'LCFS Table'!$BY116</f>
        <v>1</v>
      </c>
      <c r="BF116" s="137">
        <f>'LCFS Table'!$AV116*'LCFS Table'!$BZ116</f>
        <v>2.1403000000000003</v>
      </c>
      <c r="BG116" s="137">
        <f>'LCFS Table'!$AW116*'LCFS Table'!$CA116</f>
        <v>0</v>
      </c>
      <c r="BH116" s="137">
        <f>'LCFS Table'!$AX116*'LCFS Table'!$CB116</f>
        <v>1.1216106781424999</v>
      </c>
      <c r="BI116" s="137">
        <f>'LCFS Table'!$AY116*'LCFS Table'!$CC116</f>
        <v>0</v>
      </c>
      <c r="BJ116" s="137">
        <f>'LCFS Table'!$AZ116*'LCFS Table'!$CD116</f>
        <v>1</v>
      </c>
      <c r="BK116" s="137">
        <f>'LCFS Table'!$BA116*'LCFS Table'!$CE116</f>
        <v>1.8885000000000001</v>
      </c>
      <c r="BL116" s="137">
        <f>'LCFS Table'!$BB116*'LCFS Table'!$CF116</f>
        <v>-1.2</v>
      </c>
      <c r="BM116" s="137">
        <f>'LCFS Table'!$AS116*'LCFS Table'!$CG116</f>
        <v>0</v>
      </c>
      <c r="BN116" s="137">
        <f>'LCFS Table'!$AT116*'LCFS Table'!$CH116</f>
        <v>0.16</v>
      </c>
      <c r="BO116" s="137">
        <f>'LCFS Table'!$AU116*'LCFS Table'!$CI116</f>
        <v>0</v>
      </c>
      <c r="BP116" s="137">
        <f>'LCFS Table'!$AV116*'LCFS Table'!$CJ116</f>
        <v>0</v>
      </c>
      <c r="BQ116" s="137">
        <f>'LCFS Table'!$AW116*'LCFS Table'!$CK116</f>
        <v>0</v>
      </c>
      <c r="BR116" s="137">
        <f>'LCFS Table'!$AX116*'LCFS Table'!$CL116</f>
        <v>0</v>
      </c>
      <c r="BS116" s="137">
        <f>'LCFS Table'!$AY116*'LCFS Table'!$CM116</f>
        <v>0</v>
      </c>
      <c r="BT116" s="137">
        <f>'LCFS Table'!$AZ116*'LCFS Table'!$CN116</f>
        <v>0</v>
      </c>
      <c r="BU116" s="137">
        <f>'LCFS Table'!$BA116*'LCFS Table'!$CO116</f>
        <v>0</v>
      </c>
      <c r="BV116" s="142">
        <f>'LCFS Table'!$BB116*'LCFS Table'!$CP116</f>
        <v>1.2</v>
      </c>
      <c r="BW116" s="138">
        <v>1</v>
      </c>
      <c r="BX116" s="138">
        <v>0</v>
      </c>
      <c r="BY116" s="138">
        <v>1</v>
      </c>
      <c r="BZ116" s="138">
        <v>1</v>
      </c>
      <c r="CA116" s="138">
        <v>-1</v>
      </c>
      <c r="CB116" s="138">
        <v>1</v>
      </c>
      <c r="CC116" s="138">
        <v>0</v>
      </c>
      <c r="CD116" s="138">
        <v>1</v>
      </c>
      <c r="CE116" s="138">
        <v>1</v>
      </c>
      <c r="CF116" s="138">
        <v>-1</v>
      </c>
      <c r="CG116" s="138">
        <f>1-'LCFS Table'!$BW116</f>
        <v>0</v>
      </c>
      <c r="CH116" s="138">
        <f>1-'LCFS Table'!$BX116</f>
        <v>1</v>
      </c>
      <c r="CI116" s="138">
        <f>1-'LCFS Table'!$BY116</f>
        <v>0</v>
      </c>
      <c r="CJ116" s="138">
        <f>1-'LCFS Table'!$BZ116</f>
        <v>0</v>
      </c>
      <c r="CK116" s="138">
        <f>-'LCFS Table'!$CA116</f>
        <v>1</v>
      </c>
      <c r="CL116" s="138">
        <f>1-'LCFS Table'!$CB116</f>
        <v>0</v>
      </c>
      <c r="CM116" s="138">
        <f>1-'LCFS Table'!$CC116</f>
        <v>1</v>
      </c>
      <c r="CN116" s="138">
        <f>1-'LCFS Table'!$CD116</f>
        <v>0</v>
      </c>
      <c r="CO116" s="138">
        <f>1-'LCFS Table'!$CE116</f>
        <v>0</v>
      </c>
      <c r="CP116" s="138">
        <f>-'LCFS Table'!$CF116</f>
        <v>1</v>
      </c>
      <c r="CQ116" s="140">
        <v>8.5</v>
      </c>
      <c r="CR116" s="165">
        <f>('LCFS Table'!$CQ116*0.9/(0.8/0.99)/100)</f>
        <v>9.4668749999999996E-2</v>
      </c>
      <c r="CS116" s="166"/>
      <c r="CT116" s="167"/>
      <c r="CW116" s="168">
        <f>'LCFS Table'!$K116-'LCFS Table'!$M116</f>
        <v>0.65861067814250007</v>
      </c>
      <c r="CX116" s="129">
        <f>MONTH('LCFS Table'!$B116)</f>
        <v>3</v>
      </c>
      <c r="CY116" s="129">
        <f>YEAR('LCFS Table'!$B116)</f>
        <v>2021</v>
      </c>
    </row>
    <row r="117" spans="1:103">
      <c r="A117" s="148">
        <v>44262</v>
      </c>
      <c r="B117" s="149">
        <v>44268</v>
      </c>
      <c r="C117" s="132">
        <f t="shared" si="1"/>
        <v>2021</v>
      </c>
      <c r="D117" s="150" t="s">
        <v>266</v>
      </c>
      <c r="E117" s="187">
        <f>'LCFS Table'!$K117-'LCFS Table'!$I117</f>
        <v>-2.2339389862327916</v>
      </c>
      <c r="F117" s="187">
        <f>('LCFS Table'!$M117)-'LCFS Table'!$J117</f>
        <v>-4.0692149564187501</v>
      </c>
      <c r="G117" s="188">
        <f>'LCFS Table'!$E117+'LCFS Table'!$AS117+'LCFS Table'!$AT117+'LCFS Table'!$AU117+'LCFS Table'!$AV117</f>
        <v>2.9575059867736262</v>
      </c>
      <c r="H117" s="188">
        <f>'LCFS Table'!$F117+'LCFS Table'!$AX117+'LCFS Table'!$AY117+'LCFS Table'!$AZ117+'LCFS Table'!$BA117+('LCFS Table'!$CQ117*0.9/(0.8/0.99)/100)+(DG117*'LCFS Table'!$AF117)+(DF117*'LCFS Table'!$AG117)</f>
        <v>0.25264414062500007</v>
      </c>
      <c r="I117" s="187">
        <f>('LCFS Table'!$V117+'LCFS Table'!$W117+'LCFS Table'!$X117)/100+(('LCFS Table'!$AI117+'LCFS Table'!$AJ117)/340)</f>
        <v>4.1759389862327918</v>
      </c>
      <c r="J117" s="187">
        <f>(('LCFS Table'!$Y117+'LCFS Table'!$Z117)/100)+(('LCFS Table'!$AM117+'LCFS Table'!$AN117)/300)</f>
        <v>5.2517699218750007</v>
      </c>
      <c r="K117" s="190">
        <f>'[1]Fuel Values'!$C116</f>
        <v>1.9419999999999999</v>
      </c>
      <c r="L117" s="190">
        <f>'[1]Fuel Values'!$B116</f>
        <v>540</v>
      </c>
      <c r="M117" s="185">
        <f>('LCFS Table'!$L117/100)-'LCFS Table'!$AX117-'LCFS Table'!$AY117-'LCFS Table'!$AZ117-'LCFS Table'!$BA117</f>
        <v>1.1825549654562506</v>
      </c>
      <c r="N117" s="190">
        <f>[1]BFT!$B116</f>
        <v>47.5</v>
      </c>
      <c r="O117" s="190">
        <f>[1]UCO!$B116</f>
        <v>42.1</v>
      </c>
      <c r="P117" s="190">
        <f>[1]DCO!$B116</f>
        <v>50.1</v>
      </c>
      <c r="Q117" s="190">
        <f>'[1]Soybean Oil'!$B116</f>
        <v>62.898000000000003</v>
      </c>
      <c r="R117" s="190">
        <f>'[1]Yellow Grease'!$B116</f>
        <v>38.6</v>
      </c>
      <c r="S117" s="185">
        <f>'LCFS Table'!$N117 + 'LCFS Table'!$AH117</f>
        <v>51.875</v>
      </c>
      <c r="T117" s="185">
        <f>'LCFS Table'!$Q117+'LCFS Table'!$AH117</f>
        <v>67.272999999999996</v>
      </c>
      <c r="U117" s="185">
        <f>'LCFS Table'!$P117+'LCFS Table'!$AH117</f>
        <v>54.475000000000001</v>
      </c>
      <c r="V117" s="185">
        <f>(('LCFS Table'!$S117/'LCFS Table'!$AA117)*'LCFS Table'!$AC117)*6.48</f>
        <v>178.80319148936172</v>
      </c>
      <c r="W117" s="185">
        <f>(('LCFS Table'!$O117/'LCFS Table'!$AA117)*'LCFS Table'!$AD117)*6.48</f>
        <v>72.555319148936178</v>
      </c>
      <c r="X117" s="185">
        <f>(('LCFS Table'!$U117/'LCFS Table'!$AA117)*'LCFS Table'!$AE117)*6.48</f>
        <v>93.88244680851065</v>
      </c>
      <c r="Y117" s="185">
        <f>(('LCFS Table'!$T117/'LCFS Table'!$AB117)*'LCFS Table'!$AF117)*7.35</f>
        <v>386.29417968749999</v>
      </c>
      <c r="Z117" s="185">
        <f>(('LCFS Table'!$R117/'LCFS Table'!$AB117)*'LCFS Table'!$AG117)*7.35</f>
        <v>73.8828125</v>
      </c>
      <c r="AA117" s="138">
        <v>0.94</v>
      </c>
      <c r="AB117" s="138">
        <v>0.96</v>
      </c>
      <c r="AC117" s="138">
        <v>0.5</v>
      </c>
      <c r="AD117" s="138">
        <v>0.25</v>
      </c>
      <c r="AE117" s="138">
        <v>0.25</v>
      </c>
      <c r="AF117" s="138">
        <v>0.75</v>
      </c>
      <c r="AG117" s="138">
        <v>0.25</v>
      </c>
      <c r="AH117" s="139">
        <v>4.375</v>
      </c>
      <c r="AI117" s="139">
        <v>136</v>
      </c>
      <c r="AJ117" s="139">
        <v>110</v>
      </c>
      <c r="AK117" s="186">
        <f>('LCFS Table'!$AI117/340)*100</f>
        <v>40</v>
      </c>
      <c r="AL117" s="186">
        <f>('LCFS Table'!$AJ117/340)*100</f>
        <v>32.352941176470587</v>
      </c>
      <c r="AM117" s="139">
        <v>105</v>
      </c>
      <c r="AN117" s="139">
        <v>90</v>
      </c>
      <c r="AO117" s="139">
        <f>('LCFS Table'!$AM117/300)*100</f>
        <v>35</v>
      </c>
      <c r="AP117" s="139">
        <f>('LCFS Table'!$AN117/300)*100</f>
        <v>30</v>
      </c>
      <c r="AQ117" s="140">
        <v>195.75</v>
      </c>
      <c r="AR117" s="140">
        <v>1.3955000000000002</v>
      </c>
      <c r="AS117" s="185">
        <v>1.6590949730064175</v>
      </c>
      <c r="AT117" s="137">
        <v>0.16</v>
      </c>
      <c r="AU117" s="137">
        <v>1</v>
      </c>
      <c r="AV117" s="185">
        <f>'LCFS Table'!$AR117*1.7</f>
        <v>2.3723500000000004</v>
      </c>
      <c r="AW117" s="137">
        <v>0</v>
      </c>
      <c r="AX117" s="185">
        <v>1.1241950345437499</v>
      </c>
      <c r="AY117" s="137">
        <v>0</v>
      </c>
      <c r="AZ117" s="141">
        <v>1</v>
      </c>
      <c r="BA117" s="185">
        <f>'LCFS Table'!$AR117*1.5</f>
        <v>2.0932500000000003</v>
      </c>
      <c r="BB117" s="142">
        <v>1.2</v>
      </c>
      <c r="BC117" s="185">
        <f>'LCFS Table'!$AS117*'LCFS Table'!$BW117</f>
        <v>1.6590949730064175</v>
      </c>
      <c r="BD117" s="185">
        <f>'LCFS Table'!$AT117*'LCFS Table'!$BX117</f>
        <v>0</v>
      </c>
      <c r="BE117" s="185">
        <f>'LCFS Table'!$AU117*'LCFS Table'!$BY117</f>
        <v>1</v>
      </c>
      <c r="BF117" s="137">
        <f>'LCFS Table'!$AV117*'LCFS Table'!$BZ117</f>
        <v>2.3723500000000004</v>
      </c>
      <c r="BG117" s="137">
        <f>'LCFS Table'!$AW117*'LCFS Table'!$CA117</f>
        <v>0</v>
      </c>
      <c r="BH117" s="137">
        <f>'LCFS Table'!$AX117*'LCFS Table'!$CB117</f>
        <v>1.1241950345437499</v>
      </c>
      <c r="BI117" s="137">
        <f>'LCFS Table'!$AY117*'LCFS Table'!$CC117</f>
        <v>0</v>
      </c>
      <c r="BJ117" s="137">
        <f>'LCFS Table'!$AZ117*'LCFS Table'!$CD117</f>
        <v>1</v>
      </c>
      <c r="BK117" s="137">
        <f>'LCFS Table'!$BA117*'LCFS Table'!$CE117</f>
        <v>2.0932500000000003</v>
      </c>
      <c r="BL117" s="137">
        <f>'LCFS Table'!$BB117*'LCFS Table'!$CF117</f>
        <v>-1.2</v>
      </c>
      <c r="BM117" s="137">
        <f>'LCFS Table'!$AS117*'LCFS Table'!$CG117</f>
        <v>0</v>
      </c>
      <c r="BN117" s="137">
        <f>'LCFS Table'!$AT117*'LCFS Table'!$CH117</f>
        <v>0.16</v>
      </c>
      <c r="BO117" s="137">
        <f>'LCFS Table'!$AU117*'LCFS Table'!$CI117</f>
        <v>0</v>
      </c>
      <c r="BP117" s="137">
        <f>'LCFS Table'!$AV117*'LCFS Table'!$CJ117</f>
        <v>0</v>
      </c>
      <c r="BQ117" s="137">
        <f>'LCFS Table'!$AW117*'LCFS Table'!$CK117</f>
        <v>0</v>
      </c>
      <c r="BR117" s="137">
        <f>'LCFS Table'!$AX117*'LCFS Table'!$CL117</f>
        <v>0</v>
      </c>
      <c r="BS117" s="137">
        <f>'LCFS Table'!$AY117*'LCFS Table'!$CM117</f>
        <v>0</v>
      </c>
      <c r="BT117" s="137">
        <f>'LCFS Table'!$AZ117*'LCFS Table'!$CN117</f>
        <v>0</v>
      </c>
      <c r="BU117" s="137">
        <f>'LCFS Table'!$BA117*'LCFS Table'!$CO117</f>
        <v>0</v>
      </c>
      <c r="BV117" s="142">
        <f>'LCFS Table'!$BB117*'LCFS Table'!$CP117</f>
        <v>1.2</v>
      </c>
      <c r="BW117" s="138">
        <v>1</v>
      </c>
      <c r="BX117" s="138">
        <v>0</v>
      </c>
      <c r="BY117" s="138">
        <v>1</v>
      </c>
      <c r="BZ117" s="138">
        <v>1</v>
      </c>
      <c r="CA117" s="138">
        <v>-1</v>
      </c>
      <c r="CB117" s="138">
        <v>1</v>
      </c>
      <c r="CC117" s="138">
        <v>0</v>
      </c>
      <c r="CD117" s="138">
        <v>1</v>
      </c>
      <c r="CE117" s="138">
        <v>1</v>
      </c>
      <c r="CF117" s="138">
        <v>-1</v>
      </c>
      <c r="CG117" s="138">
        <f>1-'LCFS Table'!$BW117</f>
        <v>0</v>
      </c>
      <c r="CH117" s="138">
        <f>1-'LCFS Table'!$BX117</f>
        <v>1</v>
      </c>
      <c r="CI117" s="138">
        <f>1-'LCFS Table'!$BY117</f>
        <v>0</v>
      </c>
      <c r="CJ117" s="138">
        <f>1-'LCFS Table'!$BZ117</f>
        <v>0</v>
      </c>
      <c r="CK117" s="138">
        <f>-'LCFS Table'!$CA117</f>
        <v>1</v>
      </c>
      <c r="CL117" s="138">
        <f>1-'LCFS Table'!$CB117</f>
        <v>0</v>
      </c>
      <c r="CM117" s="138">
        <f>1-'LCFS Table'!$CC117</f>
        <v>1</v>
      </c>
      <c r="CN117" s="138">
        <f>1-'LCFS Table'!$CD117</f>
        <v>0</v>
      </c>
      <c r="CO117" s="138">
        <f>1-'LCFS Table'!$CE117</f>
        <v>0</v>
      </c>
      <c r="CP117" s="138">
        <f>-'LCFS Table'!$CF117</f>
        <v>1</v>
      </c>
      <c r="CQ117" s="140">
        <v>9.375</v>
      </c>
      <c r="CR117" s="165">
        <f>('LCFS Table'!$CQ117*0.9/(0.8/0.99)/100)</f>
        <v>0.10441406249999999</v>
      </c>
      <c r="CS117" s="166"/>
      <c r="CT117" s="167"/>
      <c r="CW117" s="168">
        <f>'LCFS Table'!$K117-'LCFS Table'!$M117</f>
        <v>0.75944503454374934</v>
      </c>
      <c r="CX117" s="129">
        <f>MONTH('LCFS Table'!$B117)</f>
        <v>3</v>
      </c>
      <c r="CY117" s="129">
        <f>YEAR('LCFS Table'!$B117)</f>
        <v>2021</v>
      </c>
    </row>
    <row r="118" spans="1:103">
      <c r="A118" s="148">
        <v>44269</v>
      </c>
      <c r="B118" s="149">
        <v>44275</v>
      </c>
      <c r="C118" s="132">
        <f t="shared" si="1"/>
        <v>2021</v>
      </c>
      <c r="D118" s="182" t="s">
        <v>267</v>
      </c>
      <c r="E118" s="187">
        <f>'LCFS Table'!$K118-'LCFS Table'!$I118</f>
        <v>-2.4034687734668347</v>
      </c>
      <c r="F118" s="187">
        <f>('LCFS Table'!$M118)-'LCFS Table'!$J118</f>
        <v>-4.1405760685631243</v>
      </c>
      <c r="G118" s="188">
        <f>'LCFS Table'!$E118+'LCFS Table'!$AS118+'LCFS Table'!$AT118+'LCFS Table'!$AU118+'LCFS Table'!$AV118</f>
        <v>2.8583143100155715</v>
      </c>
      <c r="H118" s="188">
        <f>'LCFS Table'!$F118+'LCFS Table'!$AX118+'LCFS Table'!$AY118+'LCFS Table'!$AZ118+'LCFS Table'!$BA118+('LCFS Table'!$CQ118*0.9/(0.8/0.99)/100)+(DG118*'LCFS Table'!$AF118)+(DF118*'LCFS Table'!$AG118)</f>
        <v>0.24478164062500019</v>
      </c>
      <c r="I118" s="187">
        <f>('LCFS Table'!$V118+'LCFS Table'!$W118+'LCFS Table'!$X118)/100+(('LCFS Table'!$AI118+'LCFS Table'!$AJ118)/340)</f>
        <v>4.2922687734668346</v>
      </c>
      <c r="J118" s="187">
        <f>(('LCFS Table'!$Y118+'LCFS Table'!$Z118)/100)+(('LCFS Table'!$AM118+'LCFS Table'!$AN118)/300)</f>
        <v>5.3610246093749998</v>
      </c>
      <c r="K118" s="190">
        <f>'[1]Fuel Values'!$C117</f>
        <v>1.8888</v>
      </c>
      <c r="L118" s="190">
        <f>'[1]Fuel Values'!$B117</f>
        <v>550</v>
      </c>
      <c r="M118" s="185">
        <f>('LCFS Table'!$L118/100)-'LCFS Table'!$AX118-'LCFS Table'!$AY118-'LCFS Table'!$AZ118-'LCFS Table'!$BA118</f>
        <v>1.2204485408118755</v>
      </c>
      <c r="N118" s="190">
        <f>[1]BFT!$B117</f>
        <v>49.5</v>
      </c>
      <c r="O118" s="190">
        <f>[1]UCO!$B117</f>
        <v>42.7</v>
      </c>
      <c r="P118" s="190">
        <f>[1]DCO!$B117</f>
        <v>52.25</v>
      </c>
      <c r="Q118" s="190">
        <f>'[1]Soybean Oil'!$B117</f>
        <v>64.433999999999997</v>
      </c>
      <c r="R118" s="190">
        <f>'[1]Yellow Grease'!$B117</f>
        <v>39.700000000000003</v>
      </c>
      <c r="S118" s="185">
        <f>'LCFS Table'!$N118 + 'LCFS Table'!$AH118</f>
        <v>53.875</v>
      </c>
      <c r="T118" s="185">
        <f>'LCFS Table'!$Q118+'LCFS Table'!$AH118</f>
        <v>68.808999999999997</v>
      </c>
      <c r="U118" s="185">
        <f>'LCFS Table'!$P118+'LCFS Table'!$AH118</f>
        <v>56.625</v>
      </c>
      <c r="V118" s="185">
        <f>(('LCFS Table'!$S118/'LCFS Table'!$AA118)*'LCFS Table'!$AC118)*6.48</f>
        <v>185.69680851063833</v>
      </c>
      <c r="W118" s="185">
        <f>(('LCFS Table'!$O118/'LCFS Table'!$AA118)*'LCFS Table'!$AD118)*6.48</f>
        <v>73.589361702127675</v>
      </c>
      <c r="X118" s="185">
        <f>(('LCFS Table'!$U118/'LCFS Table'!$AA118)*'LCFS Table'!$AE118)*6.48</f>
        <v>97.58776595744682</v>
      </c>
      <c r="Y118" s="185">
        <f>(('LCFS Table'!$T118/'LCFS Table'!$AB118)*'LCFS Table'!$AF118)*7.35</f>
        <v>395.11417968749998</v>
      </c>
      <c r="Z118" s="185">
        <f>(('LCFS Table'!$R118/'LCFS Table'!$AB118)*'LCFS Table'!$AG118)*7.35</f>
        <v>75.98828125</v>
      </c>
      <c r="AA118" s="138">
        <v>0.94</v>
      </c>
      <c r="AB118" s="138">
        <v>0.96</v>
      </c>
      <c r="AC118" s="138">
        <v>0.5</v>
      </c>
      <c r="AD118" s="138">
        <v>0.25</v>
      </c>
      <c r="AE118" s="138">
        <v>0.25</v>
      </c>
      <c r="AF118" s="138">
        <v>0.75</v>
      </c>
      <c r="AG118" s="138">
        <v>0.25</v>
      </c>
      <c r="AH118" s="139">
        <v>4.375</v>
      </c>
      <c r="AI118" s="139">
        <v>136</v>
      </c>
      <c r="AJ118" s="139">
        <v>110</v>
      </c>
      <c r="AK118" s="186">
        <f>('LCFS Table'!$AI118/340)*100</f>
        <v>40</v>
      </c>
      <c r="AL118" s="186">
        <f>('LCFS Table'!$AJ118/340)*100</f>
        <v>32.352941176470587</v>
      </c>
      <c r="AM118" s="139">
        <v>105</v>
      </c>
      <c r="AN118" s="139">
        <v>90</v>
      </c>
      <c r="AO118" s="139">
        <f>('LCFS Table'!$AM118/300)*100</f>
        <v>35</v>
      </c>
      <c r="AP118" s="139">
        <f>('LCFS Table'!$AN118/300)*100</f>
        <v>30</v>
      </c>
      <c r="AQ118" s="140">
        <v>195.72499999999999</v>
      </c>
      <c r="AR118" s="140">
        <v>1.4369999999999998</v>
      </c>
      <c r="AS118" s="185">
        <v>1.6588830834824062</v>
      </c>
      <c r="AT118" s="137">
        <v>0.16</v>
      </c>
      <c r="AU118" s="137">
        <v>1</v>
      </c>
      <c r="AV118" s="185">
        <f>'LCFS Table'!$AR118*1.7</f>
        <v>2.4428999999999998</v>
      </c>
      <c r="AW118" s="137">
        <v>0</v>
      </c>
      <c r="AX118" s="185">
        <v>1.1240514591881248</v>
      </c>
      <c r="AY118" s="137">
        <v>0</v>
      </c>
      <c r="AZ118" s="141">
        <v>1</v>
      </c>
      <c r="BA118" s="185">
        <f>'LCFS Table'!$AR118*1.5</f>
        <v>2.1555</v>
      </c>
      <c r="BB118" s="142">
        <v>1.2</v>
      </c>
      <c r="BC118" s="185">
        <f>'LCFS Table'!$AS118*'LCFS Table'!$BW118</f>
        <v>1.6588830834824062</v>
      </c>
      <c r="BD118" s="185">
        <f>'LCFS Table'!$AT118*'LCFS Table'!$BX118</f>
        <v>0</v>
      </c>
      <c r="BE118" s="185">
        <f>'LCFS Table'!$AU118*'LCFS Table'!$BY118</f>
        <v>1</v>
      </c>
      <c r="BF118" s="137">
        <f>'LCFS Table'!$AV118*'LCFS Table'!$BZ118</f>
        <v>2.4428999999999998</v>
      </c>
      <c r="BG118" s="137">
        <f>'LCFS Table'!$AW118*'LCFS Table'!$CA118</f>
        <v>0</v>
      </c>
      <c r="BH118" s="137">
        <f>'LCFS Table'!$AX118*'LCFS Table'!$CB118</f>
        <v>1.1240514591881248</v>
      </c>
      <c r="BI118" s="137">
        <f>'LCFS Table'!$AY118*'LCFS Table'!$CC118</f>
        <v>0</v>
      </c>
      <c r="BJ118" s="137">
        <f>'LCFS Table'!$AZ118*'LCFS Table'!$CD118</f>
        <v>1</v>
      </c>
      <c r="BK118" s="137">
        <f>'LCFS Table'!$BA118*'LCFS Table'!$CE118</f>
        <v>2.1555</v>
      </c>
      <c r="BL118" s="137">
        <f>'LCFS Table'!$BB118*'LCFS Table'!$CF118</f>
        <v>-1.2</v>
      </c>
      <c r="BM118" s="137">
        <f>'LCFS Table'!$AS118*'LCFS Table'!$CG118</f>
        <v>0</v>
      </c>
      <c r="BN118" s="137">
        <f>'LCFS Table'!$AT118*'LCFS Table'!$CH118</f>
        <v>0.16</v>
      </c>
      <c r="BO118" s="137">
        <f>'LCFS Table'!$AU118*'LCFS Table'!$CI118</f>
        <v>0</v>
      </c>
      <c r="BP118" s="137">
        <f>'LCFS Table'!$AV118*'LCFS Table'!$CJ118</f>
        <v>0</v>
      </c>
      <c r="BQ118" s="137">
        <f>'LCFS Table'!$AW118*'LCFS Table'!$CK118</f>
        <v>0</v>
      </c>
      <c r="BR118" s="137">
        <f>'LCFS Table'!$AX118*'LCFS Table'!$CL118</f>
        <v>0</v>
      </c>
      <c r="BS118" s="137">
        <f>'LCFS Table'!$AY118*'LCFS Table'!$CM118</f>
        <v>0</v>
      </c>
      <c r="BT118" s="137">
        <f>'LCFS Table'!$AZ118*'LCFS Table'!$CN118</f>
        <v>0</v>
      </c>
      <c r="BU118" s="137">
        <f>'LCFS Table'!$BA118*'LCFS Table'!$CO118</f>
        <v>0</v>
      </c>
      <c r="BV118" s="142">
        <f>'LCFS Table'!$BB118*'LCFS Table'!$CP118</f>
        <v>1.2</v>
      </c>
      <c r="BW118" s="138">
        <v>1</v>
      </c>
      <c r="BX118" s="138">
        <v>0</v>
      </c>
      <c r="BY118" s="138">
        <v>1</v>
      </c>
      <c r="BZ118" s="138">
        <v>1</v>
      </c>
      <c r="CA118" s="138">
        <v>-1</v>
      </c>
      <c r="CB118" s="138">
        <v>1</v>
      </c>
      <c r="CC118" s="138">
        <v>0</v>
      </c>
      <c r="CD118" s="138">
        <v>1</v>
      </c>
      <c r="CE118" s="138">
        <v>1</v>
      </c>
      <c r="CF118" s="138">
        <v>-1</v>
      </c>
      <c r="CG118" s="138">
        <f>1-'LCFS Table'!$BW118</f>
        <v>0</v>
      </c>
      <c r="CH118" s="138">
        <f>1-'LCFS Table'!$BX118</f>
        <v>1</v>
      </c>
      <c r="CI118" s="138">
        <f>1-'LCFS Table'!$BY118</f>
        <v>0</v>
      </c>
      <c r="CJ118" s="138">
        <f>1-'LCFS Table'!$BZ118</f>
        <v>0</v>
      </c>
      <c r="CK118" s="138">
        <f>-'LCFS Table'!$CA118</f>
        <v>1</v>
      </c>
      <c r="CL118" s="138">
        <f>1-'LCFS Table'!$CB118</f>
        <v>0</v>
      </c>
      <c r="CM118" s="138">
        <f>1-'LCFS Table'!$CC118</f>
        <v>1</v>
      </c>
      <c r="CN118" s="138">
        <f>1-'LCFS Table'!$CD118</f>
        <v>0</v>
      </c>
      <c r="CO118" s="138">
        <f>1-'LCFS Table'!$CE118</f>
        <v>0</v>
      </c>
      <c r="CP118" s="138">
        <f>-'LCFS Table'!$CF118</f>
        <v>1</v>
      </c>
      <c r="CQ118" s="140">
        <v>9.5</v>
      </c>
      <c r="CR118" s="165">
        <f>('LCFS Table'!$CQ118*0.9/(0.8/0.99)/100)</f>
        <v>0.10580624999999999</v>
      </c>
      <c r="CS118" s="166"/>
      <c r="CT118" s="167"/>
      <c r="CW118" s="168">
        <f>'LCFS Table'!$K118-'LCFS Table'!$M118</f>
        <v>0.66835145918812455</v>
      </c>
      <c r="CX118" s="129">
        <f>MONTH('LCFS Table'!$B118)</f>
        <v>3</v>
      </c>
      <c r="CY118" s="129">
        <f>YEAR('LCFS Table'!$B118)</f>
        <v>2021</v>
      </c>
    </row>
    <row r="119" spans="1:103">
      <c r="A119" s="148">
        <v>44276</v>
      </c>
      <c r="B119" s="149">
        <v>44282</v>
      </c>
      <c r="C119" s="132">
        <f t="shared" si="1"/>
        <v>2021</v>
      </c>
      <c r="D119" s="150" t="s">
        <v>268</v>
      </c>
      <c r="E119" s="187">
        <f>'LCFS Table'!$K119-'LCFS Table'!$I119</f>
        <v>-2.6685006883604512</v>
      </c>
      <c r="F119" s="187">
        <f>('LCFS Table'!$M119)-'LCFS Table'!$J119</f>
        <v>-4.2066165953575005</v>
      </c>
      <c r="G119" s="188">
        <f>'LCFS Table'!$E119+'LCFS Table'!$AS119+'LCFS Table'!$AT119+'LCFS Table'!$AU119+'LCFS Table'!$AV119</f>
        <v>2.5609170198352955</v>
      </c>
      <c r="H119" s="188">
        <f>'LCFS Table'!$F119+'LCFS Table'!$AX119+'LCFS Table'!$AY119+'LCFS Table'!$AZ119+'LCFS Table'!$BA119+('LCFS Table'!$CQ119*0.9/(0.8/0.99)/100)+(DG119*'LCFS Table'!$AF119)+(DF119*'LCFS Table'!$AG119)</f>
        <v>0.16063945312499939</v>
      </c>
      <c r="I119" s="187">
        <f>('LCFS Table'!$V119+'LCFS Table'!$W119+'LCFS Table'!$X119)/100+(('LCFS Table'!$AI119+'LCFS Table'!$AJ119)/340)</f>
        <v>4.5008006883604512</v>
      </c>
      <c r="J119" s="187">
        <f>(('LCFS Table'!$Y119+'LCFS Table'!$Z119)/100)+(('LCFS Table'!$AM119+'LCFS Table'!$AN119)/300)</f>
        <v>5.4451667968750002</v>
      </c>
      <c r="K119" s="190">
        <f>'[1]Fuel Values'!$C118</f>
        <v>1.8323</v>
      </c>
      <c r="L119" s="190">
        <f>'[1]Fuel Values'!$B118</f>
        <v>550</v>
      </c>
      <c r="M119" s="185">
        <f>('LCFS Table'!$L119/100)-'LCFS Table'!$AX119-'LCFS Table'!$AY119-'LCFS Table'!$AZ119-'LCFS Table'!$BA119</f>
        <v>1.2385502015175001</v>
      </c>
      <c r="N119" s="190">
        <f>[1]BFT!$B118</f>
        <v>54.6</v>
      </c>
      <c r="O119" s="190">
        <f>[1]UCO!$B118</f>
        <v>43.2</v>
      </c>
      <c r="P119" s="190">
        <f>[1]DCO!$B118</f>
        <v>53.65</v>
      </c>
      <c r="Q119" s="190">
        <f>'[1]Soybean Oil'!$B118</f>
        <v>65.665999999999997</v>
      </c>
      <c r="R119" s="190">
        <f>'[1]Yellow Grease'!$B118</f>
        <v>40.4</v>
      </c>
      <c r="S119" s="185">
        <f>'LCFS Table'!$N119 + 'LCFS Table'!$AH119</f>
        <v>58.975000000000001</v>
      </c>
      <c r="T119" s="185">
        <f>'LCFS Table'!$Q119+'LCFS Table'!$AH119</f>
        <v>70.040999999999997</v>
      </c>
      <c r="U119" s="185">
        <f>'LCFS Table'!$P119+'LCFS Table'!$AH119</f>
        <v>58.024999999999999</v>
      </c>
      <c r="V119" s="185">
        <f>(('LCFS Table'!$S119/'LCFS Table'!$AA119)*'LCFS Table'!$AC119)*6.48</f>
        <v>203.27553191489366</v>
      </c>
      <c r="W119" s="185">
        <f>(('LCFS Table'!$O119/'LCFS Table'!$AA119)*'LCFS Table'!$AD119)*6.48</f>
        <v>74.451063829787245</v>
      </c>
      <c r="X119" s="185">
        <f>(('LCFS Table'!$U119/'LCFS Table'!$AA119)*'LCFS Table'!$AE119)*6.48</f>
        <v>100.00053191489363</v>
      </c>
      <c r="Y119" s="185">
        <f>(('LCFS Table'!$T119/'LCFS Table'!$AB119)*'LCFS Table'!$AF119)*7.35</f>
        <v>402.18855468749996</v>
      </c>
      <c r="Z119" s="185">
        <f>(('LCFS Table'!$R119/'LCFS Table'!$AB119)*'LCFS Table'!$AG119)*7.35</f>
        <v>77.328125</v>
      </c>
      <c r="AA119" s="138">
        <v>0.94</v>
      </c>
      <c r="AB119" s="138">
        <v>0.96</v>
      </c>
      <c r="AC119" s="138">
        <v>0.5</v>
      </c>
      <c r="AD119" s="138">
        <v>0.25</v>
      </c>
      <c r="AE119" s="138">
        <v>0.25</v>
      </c>
      <c r="AF119" s="138">
        <v>0.75</v>
      </c>
      <c r="AG119" s="138">
        <v>0.25</v>
      </c>
      <c r="AH119" s="139">
        <v>4.375</v>
      </c>
      <c r="AI119" s="139">
        <v>136</v>
      </c>
      <c r="AJ119" s="139">
        <v>110</v>
      </c>
      <c r="AK119" s="186">
        <f>('LCFS Table'!$AI119/340)*100</f>
        <v>40</v>
      </c>
      <c r="AL119" s="186">
        <f>('LCFS Table'!$AJ119/340)*100</f>
        <v>32.352941176470587</v>
      </c>
      <c r="AM119" s="139">
        <v>105</v>
      </c>
      <c r="AN119" s="139">
        <v>90</v>
      </c>
      <c r="AO119" s="139">
        <f>('LCFS Table'!$AM119/300)*100</f>
        <v>35</v>
      </c>
      <c r="AP119" s="139">
        <f>('LCFS Table'!$AN119/300)*100</f>
        <v>30</v>
      </c>
      <c r="AQ119" s="140">
        <v>189.7</v>
      </c>
      <c r="AR119" s="140">
        <v>1.4480000000000002</v>
      </c>
      <c r="AS119" s="185">
        <v>1.6078177081957465</v>
      </c>
      <c r="AT119" s="137">
        <v>0.16</v>
      </c>
      <c r="AU119" s="137">
        <v>1</v>
      </c>
      <c r="AV119" s="185">
        <f>'LCFS Table'!$AR119*1.7</f>
        <v>2.4616000000000002</v>
      </c>
      <c r="AW119" s="137">
        <v>0</v>
      </c>
      <c r="AX119" s="185">
        <v>1.0894497984824998</v>
      </c>
      <c r="AY119" s="137">
        <v>0</v>
      </c>
      <c r="AZ119" s="141">
        <v>1</v>
      </c>
      <c r="BA119" s="185">
        <f>'LCFS Table'!$AR119*1.5</f>
        <v>2.1720000000000002</v>
      </c>
      <c r="BB119" s="142">
        <v>1.2</v>
      </c>
      <c r="BC119" s="185">
        <f>'LCFS Table'!$AS119*'LCFS Table'!$BW119</f>
        <v>1.6078177081957465</v>
      </c>
      <c r="BD119" s="185">
        <f>'LCFS Table'!$AT119*'LCFS Table'!$BX119</f>
        <v>0</v>
      </c>
      <c r="BE119" s="185">
        <f>'LCFS Table'!$AU119*'LCFS Table'!$BY119</f>
        <v>1</v>
      </c>
      <c r="BF119" s="137">
        <f>'LCFS Table'!$AV119*'LCFS Table'!$BZ119</f>
        <v>2.4616000000000002</v>
      </c>
      <c r="BG119" s="137">
        <f>'LCFS Table'!$AW119*'LCFS Table'!$CA119</f>
        <v>0</v>
      </c>
      <c r="BH119" s="137">
        <f>'LCFS Table'!$AX119*'LCFS Table'!$CB119</f>
        <v>1.0894497984824998</v>
      </c>
      <c r="BI119" s="137">
        <f>'LCFS Table'!$AY119*'LCFS Table'!$CC119</f>
        <v>0</v>
      </c>
      <c r="BJ119" s="137">
        <f>'LCFS Table'!$AZ119*'LCFS Table'!$CD119</f>
        <v>1</v>
      </c>
      <c r="BK119" s="137">
        <f>'LCFS Table'!$BA119*'LCFS Table'!$CE119</f>
        <v>2.1720000000000002</v>
      </c>
      <c r="BL119" s="137">
        <f>'LCFS Table'!$BB119*'LCFS Table'!$CF119</f>
        <v>-1.2</v>
      </c>
      <c r="BM119" s="137">
        <f>'LCFS Table'!$AS119*'LCFS Table'!$CG119</f>
        <v>0</v>
      </c>
      <c r="BN119" s="137">
        <f>'LCFS Table'!$AT119*'LCFS Table'!$CH119</f>
        <v>0.16</v>
      </c>
      <c r="BO119" s="137">
        <f>'LCFS Table'!$AU119*'LCFS Table'!$CI119</f>
        <v>0</v>
      </c>
      <c r="BP119" s="137">
        <f>'LCFS Table'!$AV119*'LCFS Table'!$CJ119</f>
        <v>0</v>
      </c>
      <c r="BQ119" s="137">
        <f>'LCFS Table'!$AW119*'LCFS Table'!$CK119</f>
        <v>0</v>
      </c>
      <c r="BR119" s="137">
        <f>'LCFS Table'!$AX119*'LCFS Table'!$CL119</f>
        <v>0</v>
      </c>
      <c r="BS119" s="137">
        <f>'LCFS Table'!$AY119*'LCFS Table'!$CM119</f>
        <v>0</v>
      </c>
      <c r="BT119" s="137">
        <f>'LCFS Table'!$AZ119*'LCFS Table'!$CN119</f>
        <v>0</v>
      </c>
      <c r="BU119" s="137">
        <f>'LCFS Table'!$BA119*'LCFS Table'!$CO119</f>
        <v>0</v>
      </c>
      <c r="BV119" s="142">
        <f>'LCFS Table'!$BB119*'LCFS Table'!$CP119</f>
        <v>1.2</v>
      </c>
      <c r="BW119" s="138">
        <v>1</v>
      </c>
      <c r="BX119" s="138">
        <v>0</v>
      </c>
      <c r="BY119" s="138">
        <v>1</v>
      </c>
      <c r="BZ119" s="138">
        <v>1</v>
      </c>
      <c r="CA119" s="138">
        <v>-1</v>
      </c>
      <c r="CB119" s="138">
        <v>1</v>
      </c>
      <c r="CC119" s="138">
        <v>0</v>
      </c>
      <c r="CD119" s="138">
        <v>1</v>
      </c>
      <c r="CE119" s="138">
        <v>1</v>
      </c>
      <c r="CF119" s="138">
        <v>-1</v>
      </c>
      <c r="CG119" s="138">
        <f>1-'LCFS Table'!$BW119</f>
        <v>0</v>
      </c>
      <c r="CH119" s="138">
        <f>1-'LCFS Table'!$BX119</f>
        <v>1</v>
      </c>
      <c r="CI119" s="138">
        <f>1-'LCFS Table'!$BY119</f>
        <v>0</v>
      </c>
      <c r="CJ119" s="138">
        <f>1-'LCFS Table'!$BZ119</f>
        <v>0</v>
      </c>
      <c r="CK119" s="138">
        <f>-'LCFS Table'!$CA119</f>
        <v>1</v>
      </c>
      <c r="CL119" s="138">
        <f>1-'LCFS Table'!$CB119</f>
        <v>0</v>
      </c>
      <c r="CM119" s="138">
        <f>1-'LCFS Table'!$CC119</f>
        <v>1</v>
      </c>
      <c r="CN119" s="138">
        <f>1-'LCFS Table'!$CD119</f>
        <v>0</v>
      </c>
      <c r="CO119" s="138">
        <f>1-'LCFS Table'!$CE119</f>
        <v>0</v>
      </c>
      <c r="CP119" s="138">
        <f>-'LCFS Table'!$CF119</f>
        <v>1</v>
      </c>
      <c r="CQ119" s="140">
        <v>9.5</v>
      </c>
      <c r="CR119" s="165">
        <f>('LCFS Table'!$CQ119*0.9/(0.8/0.99)/100)</f>
        <v>0.10580624999999999</v>
      </c>
      <c r="CS119" s="166"/>
      <c r="CT119" s="167"/>
      <c r="CW119" s="168">
        <f>'LCFS Table'!$K119-'LCFS Table'!$M119</f>
        <v>0.59374979848249998</v>
      </c>
      <c r="CX119" s="129">
        <f>MONTH('LCFS Table'!$B119)</f>
        <v>3</v>
      </c>
      <c r="CY119" s="129">
        <f>YEAR('LCFS Table'!$B119)</f>
        <v>2021</v>
      </c>
    </row>
    <row r="120" spans="1:103">
      <c r="A120" s="148">
        <v>44283</v>
      </c>
      <c r="B120" s="149">
        <v>44289</v>
      </c>
      <c r="C120" s="132">
        <f t="shared" si="1"/>
        <v>2021</v>
      </c>
      <c r="D120" s="182" t="s">
        <v>269</v>
      </c>
      <c r="E120" s="187">
        <f>'LCFS Table'!$K120-'LCFS Table'!$I120</f>
        <v>-2.7368326032540677</v>
      </c>
      <c r="F120" s="187">
        <f>('LCFS Table'!$M120)-'LCFS Table'!$J120</f>
        <v>-3.8934045407312499</v>
      </c>
      <c r="G120" s="188">
        <f>'LCFS Table'!$E120+'LCFS Table'!$AS120+'LCFS Table'!$AT120+'LCFS Table'!$AU120+'LCFS Table'!$AV120</f>
        <v>2.3477565601479347</v>
      </c>
      <c r="H120" s="188">
        <f>'LCFS Table'!$F120+'LCFS Table'!$AX120+'LCFS Table'!$AY120+'LCFS Table'!$AZ120+'LCFS Table'!$BA120+('LCFS Table'!$CQ120*0.9/(0.8/0.99)/100)+(DG120*'LCFS Table'!$AF120)+(DF120*'LCFS Table'!$AG120)</f>
        <v>0.35848535156249972</v>
      </c>
      <c r="I120" s="187">
        <f>('LCFS Table'!$V120+'LCFS Table'!$W120+'LCFS Table'!$X120)/100+(('LCFS Table'!$AI120+'LCFS Table'!$AJ120)/340)</f>
        <v>4.547332603254068</v>
      </c>
      <c r="J120" s="187">
        <f>(('LCFS Table'!$Y120+'LCFS Table'!$Z120)/100)+(('LCFS Table'!$AM120+'LCFS Table'!$AN120)/300)</f>
        <v>5.2528896484375007</v>
      </c>
      <c r="K120" s="190">
        <f>'[1]Fuel Values'!$C119</f>
        <v>1.8105</v>
      </c>
      <c r="L120" s="190">
        <f>'[1]Fuel Values'!$B119</f>
        <v>550</v>
      </c>
      <c r="M120" s="185">
        <f>('LCFS Table'!$L120/100)-'LCFS Table'!$AX120-'LCFS Table'!$AY120-'LCFS Table'!$AZ120-'LCFS Table'!$BA120</f>
        <v>1.3594851077062509</v>
      </c>
      <c r="N120" s="190">
        <f>[1]BFT!$B119</f>
        <v>55.5</v>
      </c>
      <c r="O120" s="190">
        <f>[1]UCO!$B119</f>
        <v>43.5</v>
      </c>
      <c r="P120" s="190">
        <f>[1]DCO!$B119</f>
        <v>54.25</v>
      </c>
      <c r="Q120" s="190">
        <f>'[1]Soybean Oil'!$B119</f>
        <v>62.1175</v>
      </c>
      <c r="R120" s="190">
        <f>'[1]Yellow Grease'!$B119</f>
        <v>41</v>
      </c>
      <c r="S120" s="185">
        <f>'LCFS Table'!$N120 + 'LCFS Table'!$AH120</f>
        <v>59.875</v>
      </c>
      <c r="T120" s="185">
        <f>'LCFS Table'!$Q120+'LCFS Table'!$AH120</f>
        <v>66.492500000000007</v>
      </c>
      <c r="U120" s="185">
        <f>'LCFS Table'!$P120+'LCFS Table'!$AH120</f>
        <v>58.625</v>
      </c>
      <c r="V120" s="185">
        <f>(('LCFS Table'!$S120/'LCFS Table'!$AA120)*'LCFS Table'!$AC120)*6.48</f>
        <v>206.37765957446811</v>
      </c>
      <c r="W120" s="185">
        <f>(('LCFS Table'!$O120/'LCFS Table'!$AA120)*'LCFS Table'!$AD120)*6.48</f>
        <v>74.968085106382986</v>
      </c>
      <c r="X120" s="185">
        <f>(('LCFS Table'!$U120/'LCFS Table'!$AA120)*'LCFS Table'!$AE120)*6.48</f>
        <v>101.03457446808513</v>
      </c>
      <c r="Y120" s="185">
        <f>(('LCFS Table'!$T120/'LCFS Table'!$AB120)*'LCFS Table'!$AF120)*7.35</f>
        <v>381.81240234375002</v>
      </c>
      <c r="Z120" s="185">
        <f>(('LCFS Table'!$R120/'LCFS Table'!$AB120)*'LCFS Table'!$AG120)*7.35</f>
        <v>78.4765625</v>
      </c>
      <c r="AA120" s="138">
        <v>0.94</v>
      </c>
      <c r="AB120" s="138">
        <v>0.96</v>
      </c>
      <c r="AC120" s="138">
        <v>0.5</v>
      </c>
      <c r="AD120" s="138">
        <v>0.25</v>
      </c>
      <c r="AE120" s="138">
        <v>0.25</v>
      </c>
      <c r="AF120" s="138">
        <v>0.75</v>
      </c>
      <c r="AG120" s="138">
        <v>0.25</v>
      </c>
      <c r="AH120" s="139">
        <v>4.375</v>
      </c>
      <c r="AI120" s="139">
        <v>136</v>
      </c>
      <c r="AJ120" s="139">
        <v>110</v>
      </c>
      <c r="AK120" s="186">
        <f>('LCFS Table'!$AI120/340)*100</f>
        <v>40</v>
      </c>
      <c r="AL120" s="186">
        <f>('LCFS Table'!$AJ120/340)*100</f>
        <v>32.352941176470587</v>
      </c>
      <c r="AM120" s="139">
        <v>105</v>
      </c>
      <c r="AN120" s="139">
        <v>90</v>
      </c>
      <c r="AO120" s="139">
        <f>('LCFS Table'!$AM120/300)*100</f>
        <v>35</v>
      </c>
      <c r="AP120" s="139">
        <f>('LCFS Table'!$AN120/300)*100</f>
        <v>30</v>
      </c>
      <c r="AQ120" s="140">
        <v>185.75</v>
      </c>
      <c r="AR120" s="140">
        <v>1.3825000000000001</v>
      </c>
      <c r="AS120" s="185">
        <v>1.5743391634020028</v>
      </c>
      <c r="AT120" s="137">
        <v>0.16</v>
      </c>
      <c r="AU120" s="137">
        <v>1</v>
      </c>
      <c r="AV120" s="185">
        <f>'LCFS Table'!$AR120*1.7</f>
        <v>2.35025</v>
      </c>
      <c r="AW120" s="137">
        <v>0</v>
      </c>
      <c r="AX120" s="185">
        <v>1.0667648922937496</v>
      </c>
      <c r="AY120" s="137">
        <v>0</v>
      </c>
      <c r="AZ120" s="141">
        <v>1</v>
      </c>
      <c r="BA120" s="185">
        <f>'LCFS Table'!$AR120*1.5</f>
        <v>2.07375</v>
      </c>
      <c r="BB120" s="142">
        <v>1.2</v>
      </c>
      <c r="BC120" s="185">
        <f>'LCFS Table'!$AS120*'LCFS Table'!$BW120</f>
        <v>1.5743391634020028</v>
      </c>
      <c r="BD120" s="185">
        <f>'LCFS Table'!$AT120*'LCFS Table'!$BX120</f>
        <v>0</v>
      </c>
      <c r="BE120" s="185">
        <f>'LCFS Table'!$AU120*'LCFS Table'!$BY120</f>
        <v>1</v>
      </c>
      <c r="BF120" s="137">
        <f>'LCFS Table'!$AV120*'LCFS Table'!$BZ120</f>
        <v>2.35025</v>
      </c>
      <c r="BG120" s="137">
        <f>'LCFS Table'!$AW120*'LCFS Table'!$CA120</f>
        <v>0</v>
      </c>
      <c r="BH120" s="137">
        <f>'LCFS Table'!$AX120*'LCFS Table'!$CB120</f>
        <v>1.0667648922937496</v>
      </c>
      <c r="BI120" s="137">
        <f>'LCFS Table'!$AY120*'LCFS Table'!$CC120</f>
        <v>0</v>
      </c>
      <c r="BJ120" s="137">
        <f>'LCFS Table'!$AZ120*'LCFS Table'!$CD120</f>
        <v>1</v>
      </c>
      <c r="BK120" s="137">
        <f>'LCFS Table'!$BA120*'LCFS Table'!$CE120</f>
        <v>2.07375</v>
      </c>
      <c r="BL120" s="137">
        <f>'LCFS Table'!$BB120*'LCFS Table'!$CF120</f>
        <v>-1.2</v>
      </c>
      <c r="BM120" s="137">
        <f>'LCFS Table'!$AS120*'LCFS Table'!$CG120</f>
        <v>0</v>
      </c>
      <c r="BN120" s="137">
        <f>'LCFS Table'!$AT120*'LCFS Table'!$CH120</f>
        <v>0.16</v>
      </c>
      <c r="BO120" s="137">
        <f>'LCFS Table'!$AU120*'LCFS Table'!$CI120</f>
        <v>0</v>
      </c>
      <c r="BP120" s="137">
        <f>'LCFS Table'!$AV120*'LCFS Table'!$CJ120</f>
        <v>0</v>
      </c>
      <c r="BQ120" s="137">
        <f>'LCFS Table'!$AW120*'LCFS Table'!$CK120</f>
        <v>0</v>
      </c>
      <c r="BR120" s="137">
        <f>'LCFS Table'!$AX120*'LCFS Table'!$CL120</f>
        <v>0</v>
      </c>
      <c r="BS120" s="137">
        <f>'LCFS Table'!$AY120*'LCFS Table'!$CM120</f>
        <v>0</v>
      </c>
      <c r="BT120" s="137">
        <f>'LCFS Table'!$AZ120*'LCFS Table'!$CN120</f>
        <v>0</v>
      </c>
      <c r="BU120" s="137">
        <f>'LCFS Table'!$BA120*'LCFS Table'!$CO120</f>
        <v>0</v>
      </c>
      <c r="BV120" s="142">
        <f>'LCFS Table'!$BB120*'LCFS Table'!$CP120</f>
        <v>1.2</v>
      </c>
      <c r="BW120" s="138">
        <v>1</v>
      </c>
      <c r="BX120" s="138">
        <v>0</v>
      </c>
      <c r="BY120" s="138">
        <v>1</v>
      </c>
      <c r="BZ120" s="138">
        <v>1</v>
      </c>
      <c r="CA120" s="138">
        <v>-1</v>
      </c>
      <c r="CB120" s="138">
        <v>1</v>
      </c>
      <c r="CC120" s="138">
        <v>0</v>
      </c>
      <c r="CD120" s="138">
        <v>1</v>
      </c>
      <c r="CE120" s="138">
        <v>1</v>
      </c>
      <c r="CF120" s="138">
        <v>-1</v>
      </c>
      <c r="CG120" s="138">
        <f>1-'LCFS Table'!$BW120</f>
        <v>0</v>
      </c>
      <c r="CH120" s="138">
        <f>1-'LCFS Table'!$BX120</f>
        <v>1</v>
      </c>
      <c r="CI120" s="138">
        <f>1-'LCFS Table'!$BY120</f>
        <v>0</v>
      </c>
      <c r="CJ120" s="138">
        <f>1-'LCFS Table'!$BZ120</f>
        <v>0</v>
      </c>
      <c r="CK120" s="138">
        <f>-'LCFS Table'!$CA120</f>
        <v>1</v>
      </c>
      <c r="CL120" s="138">
        <f>1-'LCFS Table'!$CB120</f>
        <v>0</v>
      </c>
      <c r="CM120" s="138">
        <f>1-'LCFS Table'!$CC120</f>
        <v>1</v>
      </c>
      <c r="CN120" s="138">
        <f>1-'LCFS Table'!$CD120</f>
        <v>0</v>
      </c>
      <c r="CO120" s="138">
        <f>1-'LCFS Table'!$CE120</f>
        <v>0</v>
      </c>
      <c r="CP120" s="138">
        <f>-'LCFS Table'!$CF120</f>
        <v>1</v>
      </c>
      <c r="CQ120" s="140">
        <v>10</v>
      </c>
      <c r="CR120" s="165">
        <f>('LCFS Table'!$CQ120*0.9/(0.8/0.99)/100)</f>
        <v>0.11137499999999999</v>
      </c>
      <c r="CS120" s="166"/>
      <c r="CT120" s="167"/>
      <c r="CW120" s="168">
        <f>'LCFS Table'!$K120-'LCFS Table'!$M120</f>
        <v>0.45101489229374914</v>
      </c>
      <c r="CX120" s="129">
        <f>MONTH('LCFS Table'!$B120)</f>
        <v>4</v>
      </c>
      <c r="CY120" s="129">
        <f>YEAR('LCFS Table'!$B120)</f>
        <v>2021</v>
      </c>
    </row>
    <row r="121" spans="1:103">
      <c r="A121" s="148">
        <v>44290</v>
      </c>
      <c r="B121" s="149">
        <v>44296</v>
      </c>
      <c r="C121" s="132">
        <f t="shared" si="1"/>
        <v>2021</v>
      </c>
      <c r="D121" s="150" t="s">
        <v>270</v>
      </c>
      <c r="E121" s="187">
        <f>'LCFS Table'!$K121-'LCFS Table'!$I121</f>
        <v>-2.6639645181476856</v>
      </c>
      <c r="F121" s="187">
        <f>('LCFS Table'!$M121)-'LCFS Table'!$J121</f>
        <v>-3.8507076853262499</v>
      </c>
      <c r="G121" s="188">
        <f>'LCFS Table'!$E121+'LCFS Table'!$AS121+'LCFS Table'!$AT121+'LCFS Table'!$AU121+'LCFS Table'!$AV121</f>
        <v>2.425902904243094</v>
      </c>
      <c r="H121" s="188">
        <f>'LCFS Table'!$F121+'LCFS Table'!$AX121+'LCFS Table'!$AY121+'LCFS Table'!$AZ121+'LCFS Table'!$BA121+('LCFS Table'!$CQ121*0.9/(0.8/0.99)/100)+(DG121*'LCFS Table'!$AF121)+(DF121*'LCFS Table'!$AG121)</f>
        <v>0.41850820312499981</v>
      </c>
      <c r="I121" s="187">
        <f>('LCFS Table'!$V121+'LCFS Table'!$W121+'LCFS Table'!$X121)/100+(('LCFS Table'!$AI121+'LCFS Table'!$AJ121)/340)</f>
        <v>4.4723645181476854</v>
      </c>
      <c r="J121" s="187">
        <f>(('LCFS Table'!$Y121+'LCFS Table'!$Z121)/100)+(('LCFS Table'!$AM121+'LCFS Table'!$AN121)/300)</f>
        <v>5.3128667968750003</v>
      </c>
      <c r="K121" s="190">
        <f>'[1]Fuel Values'!$C120</f>
        <v>1.8084</v>
      </c>
      <c r="L121" s="190">
        <f>'[1]Fuel Values'!$B120</f>
        <v>562</v>
      </c>
      <c r="M121" s="185">
        <f>('LCFS Table'!$L121/100)-'LCFS Table'!$AX121-'LCFS Table'!$AY121-'LCFS Table'!$AZ121-'LCFS Table'!$BA121</f>
        <v>1.4621591115487504</v>
      </c>
      <c r="N121" s="190">
        <f>[1]BFT!$B120</f>
        <v>54.6</v>
      </c>
      <c r="O121" s="190">
        <f>[1]UCO!$B120</f>
        <v>43.5</v>
      </c>
      <c r="P121" s="190">
        <f>[1]DCO!$B120</f>
        <v>51.7</v>
      </c>
      <c r="Q121" s="190">
        <f>'[1]Soybean Oil'!$B120</f>
        <v>63.161999999999999</v>
      </c>
      <c r="R121" s="190">
        <f>'[1]Yellow Grease'!$B120</f>
        <v>41</v>
      </c>
      <c r="S121" s="185">
        <f>'LCFS Table'!$N121 + 'LCFS Table'!$AH121</f>
        <v>58.975000000000001</v>
      </c>
      <c r="T121" s="185">
        <f>'LCFS Table'!$Q121+'LCFS Table'!$AH121</f>
        <v>67.537000000000006</v>
      </c>
      <c r="U121" s="185">
        <f>'LCFS Table'!$P121+'LCFS Table'!$AH121</f>
        <v>56.075000000000003</v>
      </c>
      <c r="V121" s="185">
        <f>(('LCFS Table'!$S121/'LCFS Table'!$AA121)*'LCFS Table'!$AC121)*6.48</f>
        <v>203.27553191489366</v>
      </c>
      <c r="W121" s="185">
        <f>(('LCFS Table'!$O121/'LCFS Table'!$AA121)*'LCFS Table'!$AD121)*6.48</f>
        <v>74.968085106382986</v>
      </c>
      <c r="X121" s="185">
        <f>(('LCFS Table'!$U121/'LCFS Table'!$AA121)*'LCFS Table'!$AE121)*6.48</f>
        <v>96.639893617021301</v>
      </c>
      <c r="Y121" s="185">
        <f>(('LCFS Table'!$T121/'LCFS Table'!$AB121)*'LCFS Table'!$AF121)*7.35</f>
        <v>387.8101171875</v>
      </c>
      <c r="Z121" s="185">
        <f>(('LCFS Table'!$R121/'LCFS Table'!$AB121)*'LCFS Table'!$AG121)*7.35</f>
        <v>78.4765625</v>
      </c>
      <c r="AA121" s="138">
        <v>0.94</v>
      </c>
      <c r="AB121" s="138">
        <v>0.96</v>
      </c>
      <c r="AC121" s="138">
        <v>0.5</v>
      </c>
      <c r="AD121" s="138">
        <v>0.25</v>
      </c>
      <c r="AE121" s="138">
        <v>0.25</v>
      </c>
      <c r="AF121" s="138">
        <v>0.75</v>
      </c>
      <c r="AG121" s="138">
        <v>0.25</v>
      </c>
      <c r="AH121" s="139">
        <v>4.375</v>
      </c>
      <c r="AI121" s="139">
        <v>136</v>
      </c>
      <c r="AJ121" s="139">
        <v>110</v>
      </c>
      <c r="AK121" s="186">
        <f>('LCFS Table'!$AI121/340)*100</f>
        <v>40</v>
      </c>
      <c r="AL121" s="186">
        <f>('LCFS Table'!$AJ121/340)*100</f>
        <v>32.352941176470587</v>
      </c>
      <c r="AM121" s="139">
        <v>105</v>
      </c>
      <c r="AN121" s="139">
        <v>90</v>
      </c>
      <c r="AO121" s="139">
        <f>('LCFS Table'!$AM121/300)*100</f>
        <v>35</v>
      </c>
      <c r="AP121" s="139">
        <f>('LCFS Table'!$AN121/300)*100</f>
        <v>30</v>
      </c>
      <c r="AQ121" s="140">
        <v>178.45</v>
      </c>
      <c r="AR121" s="140">
        <v>1.4219999999999999</v>
      </c>
      <c r="AS121" s="185">
        <v>1.5124674223907799</v>
      </c>
      <c r="AT121" s="137">
        <v>0.16</v>
      </c>
      <c r="AU121" s="137">
        <v>1</v>
      </c>
      <c r="AV121" s="185">
        <f>'LCFS Table'!$AR121*1.7</f>
        <v>2.4173999999999998</v>
      </c>
      <c r="AW121" s="137">
        <v>0</v>
      </c>
      <c r="AX121" s="185">
        <v>1.0248408884512497</v>
      </c>
      <c r="AY121" s="137">
        <v>0</v>
      </c>
      <c r="AZ121" s="141">
        <v>1</v>
      </c>
      <c r="BA121" s="185">
        <f>'LCFS Table'!$AR121*1.5</f>
        <v>2.133</v>
      </c>
      <c r="BB121" s="142">
        <v>1.2</v>
      </c>
      <c r="BC121" s="185">
        <f>'LCFS Table'!$AS121*'LCFS Table'!$BW121</f>
        <v>1.5124674223907799</v>
      </c>
      <c r="BD121" s="185">
        <f>'LCFS Table'!$AT121*'LCFS Table'!$BX121</f>
        <v>0</v>
      </c>
      <c r="BE121" s="185">
        <f>'LCFS Table'!$AU121*'LCFS Table'!$BY121</f>
        <v>1</v>
      </c>
      <c r="BF121" s="137">
        <f>'LCFS Table'!$AV121*'LCFS Table'!$BZ121</f>
        <v>2.4173999999999998</v>
      </c>
      <c r="BG121" s="137">
        <f>'LCFS Table'!$AW121*'LCFS Table'!$CA121</f>
        <v>0</v>
      </c>
      <c r="BH121" s="137">
        <f>'LCFS Table'!$AX121*'LCFS Table'!$CB121</f>
        <v>1.0248408884512497</v>
      </c>
      <c r="BI121" s="137">
        <f>'LCFS Table'!$AY121*'LCFS Table'!$CC121</f>
        <v>0</v>
      </c>
      <c r="BJ121" s="137">
        <f>'LCFS Table'!$AZ121*'LCFS Table'!$CD121</f>
        <v>1</v>
      </c>
      <c r="BK121" s="137">
        <f>'LCFS Table'!$BA121*'LCFS Table'!$CE121</f>
        <v>2.133</v>
      </c>
      <c r="BL121" s="137">
        <f>'LCFS Table'!$BB121*'LCFS Table'!$CF121</f>
        <v>-1.2</v>
      </c>
      <c r="BM121" s="137">
        <f>'LCFS Table'!$AS121*'LCFS Table'!$CG121</f>
        <v>0</v>
      </c>
      <c r="BN121" s="137">
        <f>'LCFS Table'!$AT121*'LCFS Table'!$CH121</f>
        <v>0.16</v>
      </c>
      <c r="BO121" s="137">
        <f>'LCFS Table'!$AU121*'LCFS Table'!$CI121</f>
        <v>0</v>
      </c>
      <c r="BP121" s="137">
        <f>'LCFS Table'!$AV121*'LCFS Table'!$CJ121</f>
        <v>0</v>
      </c>
      <c r="BQ121" s="137">
        <f>'LCFS Table'!$AW121*'LCFS Table'!$CK121</f>
        <v>0</v>
      </c>
      <c r="BR121" s="137">
        <f>'LCFS Table'!$AX121*'LCFS Table'!$CL121</f>
        <v>0</v>
      </c>
      <c r="BS121" s="137">
        <f>'LCFS Table'!$AY121*'LCFS Table'!$CM121</f>
        <v>0</v>
      </c>
      <c r="BT121" s="137">
        <f>'LCFS Table'!$AZ121*'LCFS Table'!$CN121</f>
        <v>0</v>
      </c>
      <c r="BU121" s="137">
        <f>'LCFS Table'!$BA121*'LCFS Table'!$CO121</f>
        <v>0</v>
      </c>
      <c r="BV121" s="142">
        <f>'LCFS Table'!$BB121*'LCFS Table'!$CP121</f>
        <v>1.2</v>
      </c>
      <c r="BW121" s="138">
        <v>1</v>
      </c>
      <c r="BX121" s="138">
        <v>0</v>
      </c>
      <c r="BY121" s="138">
        <v>1</v>
      </c>
      <c r="BZ121" s="138">
        <v>1</v>
      </c>
      <c r="CA121" s="138">
        <v>-1</v>
      </c>
      <c r="CB121" s="138">
        <v>1</v>
      </c>
      <c r="CC121" s="138">
        <v>0</v>
      </c>
      <c r="CD121" s="138">
        <v>1</v>
      </c>
      <c r="CE121" s="138">
        <v>1</v>
      </c>
      <c r="CF121" s="138">
        <v>-1</v>
      </c>
      <c r="CG121" s="138">
        <f>1-'LCFS Table'!$BW121</f>
        <v>0</v>
      </c>
      <c r="CH121" s="138">
        <f>1-'LCFS Table'!$BX121</f>
        <v>1</v>
      </c>
      <c r="CI121" s="138">
        <f>1-'LCFS Table'!$BY121</f>
        <v>0</v>
      </c>
      <c r="CJ121" s="138">
        <f>1-'LCFS Table'!$BZ121</f>
        <v>0</v>
      </c>
      <c r="CK121" s="138">
        <f>-'LCFS Table'!$CA121</f>
        <v>1</v>
      </c>
      <c r="CL121" s="138">
        <f>1-'LCFS Table'!$CB121</f>
        <v>0</v>
      </c>
      <c r="CM121" s="138">
        <f>1-'LCFS Table'!$CC121</f>
        <v>1</v>
      </c>
      <c r="CN121" s="138">
        <f>1-'LCFS Table'!$CD121</f>
        <v>0</v>
      </c>
      <c r="CO121" s="138">
        <f>1-'LCFS Table'!$CE121</f>
        <v>0</v>
      </c>
      <c r="CP121" s="138">
        <f>-'LCFS Table'!$CF121</f>
        <v>1</v>
      </c>
      <c r="CQ121" s="140">
        <v>10</v>
      </c>
      <c r="CR121" s="165">
        <f>('LCFS Table'!$CQ121*0.9/(0.8/0.99)/100)</f>
        <v>0.11137499999999999</v>
      </c>
      <c r="CS121" s="166"/>
      <c r="CT121" s="167"/>
      <c r="CW121" s="168">
        <f>'LCFS Table'!$K121-'LCFS Table'!$M121</f>
        <v>0.34624088845124956</v>
      </c>
      <c r="CX121" s="129">
        <f>MONTH('LCFS Table'!$B121)</f>
        <v>4</v>
      </c>
      <c r="CY121" s="129">
        <f>YEAR('LCFS Table'!$B121)</f>
        <v>2021</v>
      </c>
    </row>
    <row r="122" spans="1:103">
      <c r="A122" s="148">
        <v>44297</v>
      </c>
      <c r="B122" s="149">
        <v>44303</v>
      </c>
      <c r="C122" s="132">
        <f t="shared" si="1"/>
        <v>2021</v>
      </c>
      <c r="D122" s="182" t="s">
        <v>271</v>
      </c>
      <c r="E122" s="187">
        <f>'LCFS Table'!$K122-'LCFS Table'!$I122</f>
        <v>-2.5027304755944937</v>
      </c>
      <c r="F122" s="187">
        <f>('LCFS Table'!$M122)-'LCFS Table'!$J122</f>
        <v>-3.86819848394875</v>
      </c>
      <c r="G122" s="188">
        <f>'LCFS Table'!$E122+'LCFS Table'!$AS122+'LCFS Table'!$AT122+'LCFS Table'!$AU122+'LCFS Table'!$AV122</f>
        <v>2.5530856668132134</v>
      </c>
      <c r="H122" s="188">
        <f>'LCFS Table'!$F122+'LCFS Table'!$AX122+'LCFS Table'!$AY122+'LCFS Table'!$AZ122+'LCFS Table'!$BA122+('LCFS Table'!$CQ122*0.9/(0.8/0.99)/100)+(DG122*'LCFS Table'!$AF122)+(DF122*'LCFS Table'!$AG122)</f>
        <v>0.36732773437499966</v>
      </c>
      <c r="I122" s="187">
        <f>('LCFS Table'!$V122+'LCFS Table'!$W122+'LCFS Table'!$X122)/100+(('LCFS Table'!$AI122+'LCFS Table'!$AJ122)/340)</f>
        <v>4.3741304755944936</v>
      </c>
      <c r="J122" s="187">
        <f>(('LCFS Table'!$Y122+'LCFS Table'!$Z122)/100)+(('LCFS Table'!$AM122+'LCFS Table'!$AN122)/300)</f>
        <v>5.5440472656250002</v>
      </c>
      <c r="K122" s="190">
        <f>'[1]Fuel Values'!$C121</f>
        <v>1.8714</v>
      </c>
      <c r="L122" s="190">
        <f>'[1]Fuel Values'!$B121</f>
        <v>580</v>
      </c>
      <c r="M122" s="185">
        <f>('LCFS Table'!$L122/100)-'LCFS Table'!$AX122-'LCFS Table'!$AY122-'LCFS Table'!$AZ122-'LCFS Table'!$BA122</f>
        <v>1.6758487816762502</v>
      </c>
      <c r="N122" s="190">
        <f>[1]BFT!$B121</f>
        <v>53</v>
      </c>
      <c r="O122" s="190">
        <f>[1]UCO!$B121</f>
        <v>43.5</v>
      </c>
      <c r="P122" s="190">
        <f>[1]DCO!$B121</f>
        <v>49.2</v>
      </c>
      <c r="Q122" s="190">
        <f>'[1]Soybean Oil'!$B121</f>
        <v>67.188000000000002</v>
      </c>
      <c r="R122" s="190">
        <f>'[1]Yellow Grease'!$B121</f>
        <v>41</v>
      </c>
      <c r="S122" s="185">
        <f>'LCFS Table'!$N122 + 'LCFS Table'!$AH122</f>
        <v>57.375</v>
      </c>
      <c r="T122" s="185">
        <f>'LCFS Table'!$Q122+'LCFS Table'!$AH122</f>
        <v>71.563000000000002</v>
      </c>
      <c r="U122" s="185">
        <f>'LCFS Table'!$P122+'LCFS Table'!$AH122</f>
        <v>53.575000000000003</v>
      </c>
      <c r="V122" s="185">
        <f>(('LCFS Table'!$S122/'LCFS Table'!$AA122)*'LCFS Table'!$AC122)*6.48</f>
        <v>197.76063829787236</v>
      </c>
      <c r="W122" s="185">
        <f>(('LCFS Table'!$O122/'LCFS Table'!$AA122)*'LCFS Table'!$AD122)*6.48</f>
        <v>74.968085106382986</v>
      </c>
      <c r="X122" s="185">
        <f>(('LCFS Table'!$U122/'LCFS Table'!$AA122)*'LCFS Table'!$AE122)*6.48</f>
        <v>92.331382978723411</v>
      </c>
      <c r="Y122" s="185">
        <f>(('LCFS Table'!$T122/'LCFS Table'!$AB122)*'LCFS Table'!$AF122)*7.35</f>
        <v>410.9281640625</v>
      </c>
      <c r="Z122" s="185">
        <f>(('LCFS Table'!$R122/'LCFS Table'!$AB122)*'LCFS Table'!$AG122)*7.35</f>
        <v>78.4765625</v>
      </c>
      <c r="AA122" s="138">
        <v>0.94</v>
      </c>
      <c r="AB122" s="138">
        <v>0.96</v>
      </c>
      <c r="AC122" s="138">
        <v>0.5</v>
      </c>
      <c r="AD122" s="138">
        <v>0.25</v>
      </c>
      <c r="AE122" s="138">
        <v>0.25</v>
      </c>
      <c r="AF122" s="138">
        <v>0.75</v>
      </c>
      <c r="AG122" s="138">
        <v>0.25</v>
      </c>
      <c r="AH122" s="139">
        <v>4.375</v>
      </c>
      <c r="AI122" s="139">
        <v>136</v>
      </c>
      <c r="AJ122" s="139">
        <v>110</v>
      </c>
      <c r="AK122" s="186">
        <f>('LCFS Table'!$AI122/340)*100</f>
        <v>40</v>
      </c>
      <c r="AL122" s="186">
        <f>('LCFS Table'!$AJ122/340)*100</f>
        <v>32.352941176470587</v>
      </c>
      <c r="AM122" s="139">
        <v>105</v>
      </c>
      <c r="AN122" s="139">
        <v>90</v>
      </c>
      <c r="AO122" s="139">
        <f>('LCFS Table'!$AM122/300)*100</f>
        <v>35</v>
      </c>
      <c r="AP122" s="139">
        <f>('LCFS Table'!$AN122/300)*100</f>
        <v>30</v>
      </c>
      <c r="AQ122" s="140">
        <v>180.55</v>
      </c>
      <c r="AR122" s="140">
        <v>1.3915</v>
      </c>
      <c r="AS122" s="185">
        <v>1.5302661424077073</v>
      </c>
      <c r="AT122" s="137">
        <v>0.16</v>
      </c>
      <c r="AU122" s="137">
        <v>1</v>
      </c>
      <c r="AV122" s="185">
        <f>'LCFS Table'!$AR122*1.7</f>
        <v>2.3655499999999998</v>
      </c>
      <c r="AW122" s="137">
        <v>0</v>
      </c>
      <c r="AX122" s="185">
        <v>1.0369012183237498</v>
      </c>
      <c r="AY122" s="137">
        <v>0</v>
      </c>
      <c r="AZ122" s="141">
        <v>1</v>
      </c>
      <c r="BA122" s="185">
        <f>'LCFS Table'!$AR122*1.5</f>
        <v>2.08725</v>
      </c>
      <c r="BB122" s="142">
        <v>1.2</v>
      </c>
      <c r="BC122" s="185">
        <f>'LCFS Table'!$AS122*'LCFS Table'!$BW122</f>
        <v>1.5302661424077073</v>
      </c>
      <c r="BD122" s="185">
        <f>'LCFS Table'!$AT122*'LCFS Table'!$BX122</f>
        <v>0</v>
      </c>
      <c r="BE122" s="185">
        <f>'LCFS Table'!$AU122*'LCFS Table'!$BY122</f>
        <v>1</v>
      </c>
      <c r="BF122" s="137">
        <f>'LCFS Table'!$AV122*'LCFS Table'!$BZ122</f>
        <v>2.3655499999999998</v>
      </c>
      <c r="BG122" s="137">
        <f>'LCFS Table'!$AW122*'LCFS Table'!$CA122</f>
        <v>0</v>
      </c>
      <c r="BH122" s="137">
        <f>'LCFS Table'!$AX122*'LCFS Table'!$CB122</f>
        <v>1.0369012183237498</v>
      </c>
      <c r="BI122" s="137">
        <f>'LCFS Table'!$AY122*'LCFS Table'!$CC122</f>
        <v>0</v>
      </c>
      <c r="BJ122" s="137">
        <f>'LCFS Table'!$AZ122*'LCFS Table'!$CD122</f>
        <v>1</v>
      </c>
      <c r="BK122" s="137">
        <f>'LCFS Table'!$BA122*'LCFS Table'!$CE122</f>
        <v>2.08725</v>
      </c>
      <c r="BL122" s="137">
        <f>'LCFS Table'!$BB122*'LCFS Table'!$CF122</f>
        <v>-1.2</v>
      </c>
      <c r="BM122" s="137">
        <f>'LCFS Table'!$AS122*'LCFS Table'!$CG122</f>
        <v>0</v>
      </c>
      <c r="BN122" s="137">
        <f>'LCFS Table'!$AT122*'LCFS Table'!$CH122</f>
        <v>0.16</v>
      </c>
      <c r="BO122" s="137">
        <f>'LCFS Table'!$AU122*'LCFS Table'!$CI122</f>
        <v>0</v>
      </c>
      <c r="BP122" s="137">
        <f>'LCFS Table'!$AV122*'LCFS Table'!$CJ122</f>
        <v>0</v>
      </c>
      <c r="BQ122" s="137">
        <f>'LCFS Table'!$AW122*'LCFS Table'!$CK122</f>
        <v>0</v>
      </c>
      <c r="BR122" s="137">
        <f>'LCFS Table'!$AX122*'LCFS Table'!$CL122</f>
        <v>0</v>
      </c>
      <c r="BS122" s="137">
        <f>'LCFS Table'!$AY122*'LCFS Table'!$CM122</f>
        <v>0</v>
      </c>
      <c r="BT122" s="137">
        <f>'LCFS Table'!$AZ122*'LCFS Table'!$CN122</f>
        <v>0</v>
      </c>
      <c r="BU122" s="137">
        <f>'LCFS Table'!$BA122*'LCFS Table'!$CO122</f>
        <v>0</v>
      </c>
      <c r="BV122" s="142">
        <f>'LCFS Table'!$BB122*'LCFS Table'!$CP122</f>
        <v>1.2</v>
      </c>
      <c r="BW122" s="138">
        <v>1</v>
      </c>
      <c r="BX122" s="138">
        <v>0</v>
      </c>
      <c r="BY122" s="138">
        <v>1</v>
      </c>
      <c r="BZ122" s="138">
        <v>1</v>
      </c>
      <c r="CA122" s="138">
        <v>-1</v>
      </c>
      <c r="CB122" s="138">
        <v>1</v>
      </c>
      <c r="CC122" s="138">
        <v>0</v>
      </c>
      <c r="CD122" s="138">
        <v>1</v>
      </c>
      <c r="CE122" s="138">
        <v>1</v>
      </c>
      <c r="CF122" s="138">
        <v>-1</v>
      </c>
      <c r="CG122" s="138">
        <f>1-'LCFS Table'!$BW122</f>
        <v>0</v>
      </c>
      <c r="CH122" s="138">
        <f>1-'LCFS Table'!$BX122</f>
        <v>1</v>
      </c>
      <c r="CI122" s="138">
        <f>1-'LCFS Table'!$BY122</f>
        <v>0</v>
      </c>
      <c r="CJ122" s="138">
        <f>1-'LCFS Table'!$BZ122</f>
        <v>0</v>
      </c>
      <c r="CK122" s="138">
        <f>-'LCFS Table'!$CA122</f>
        <v>1</v>
      </c>
      <c r="CL122" s="138">
        <f>1-'LCFS Table'!$CB122</f>
        <v>0</v>
      </c>
      <c r="CM122" s="138">
        <f>1-'LCFS Table'!$CC122</f>
        <v>1</v>
      </c>
      <c r="CN122" s="138">
        <f>1-'LCFS Table'!$CD122</f>
        <v>0</v>
      </c>
      <c r="CO122" s="138">
        <f>1-'LCFS Table'!$CE122</f>
        <v>0</v>
      </c>
      <c r="CP122" s="138">
        <f>-'LCFS Table'!$CF122</f>
        <v>1</v>
      </c>
      <c r="CQ122" s="140">
        <v>10</v>
      </c>
      <c r="CR122" s="165">
        <f>('LCFS Table'!$CQ122*0.9/(0.8/0.99)/100)</f>
        <v>0.11137499999999999</v>
      </c>
      <c r="CS122" s="166"/>
      <c r="CT122" s="167"/>
      <c r="CW122" s="168">
        <f>'LCFS Table'!$K122-'LCFS Table'!$M122</f>
        <v>0.19555121832374978</v>
      </c>
      <c r="CX122" s="129">
        <f>MONTH('LCFS Table'!$B122)</f>
        <v>4</v>
      </c>
      <c r="CY122" s="129">
        <f>YEAR('LCFS Table'!$B122)</f>
        <v>2021</v>
      </c>
    </row>
    <row r="123" spans="1:103">
      <c r="A123" s="148">
        <v>44304</v>
      </c>
      <c r="B123" s="149">
        <v>44310</v>
      </c>
      <c r="C123" s="132">
        <f t="shared" si="1"/>
        <v>2021</v>
      </c>
      <c r="D123" s="150" t="s">
        <v>272</v>
      </c>
      <c r="E123" s="187">
        <f>'LCFS Table'!$K123-'LCFS Table'!$I123</f>
        <v>-2.4653177096370458</v>
      </c>
      <c r="F123" s="187">
        <f>('LCFS Table'!$M123)-'LCFS Table'!$J123</f>
        <v>-4.5277619697850007</v>
      </c>
      <c r="G123" s="188">
        <f>'LCFS Table'!$E123+'LCFS Table'!$AS123+'LCFS Table'!$AT123+'LCFS Table'!$AU123+'LCFS Table'!$AV123</f>
        <v>2.6505443070164763</v>
      </c>
      <c r="H123" s="188">
        <f>'LCFS Table'!$F123+'LCFS Table'!$AX123+'LCFS Table'!$AY123+'LCFS Table'!$AZ123+'LCFS Table'!$BA123+('LCFS Table'!$CQ123*0.9/(0.8/0.99)/100)+(DG123*'LCFS Table'!$AF123)+(DF123*'LCFS Table'!$AG123)</f>
        <v>-0.23066367187500103</v>
      </c>
      <c r="I123" s="187">
        <f>('LCFS Table'!$V123+'LCFS Table'!$W123+'LCFS Table'!$X123)/100+(('LCFS Table'!$AI123+'LCFS Table'!$AJ123)/340)</f>
        <v>4.3474177096370461</v>
      </c>
      <c r="J123" s="187">
        <f>(('LCFS Table'!$Y123+'LCFS Table'!$Z123)/100)+(('LCFS Table'!$AM123+'LCFS Table'!$AN123)/300)</f>
        <v>6.1420386718750004</v>
      </c>
      <c r="K123" s="190">
        <f>'[1]Fuel Values'!$C122</f>
        <v>1.8821000000000001</v>
      </c>
      <c r="L123" s="190">
        <f>'[1]Fuel Values'!$B122</f>
        <v>580</v>
      </c>
      <c r="M123" s="185">
        <f>('LCFS Table'!$L123/100)-'LCFS Table'!$AX123-'LCFS Table'!$AY123-'LCFS Table'!$AZ123-'LCFS Table'!$BA123</f>
        <v>1.6142767020899997</v>
      </c>
      <c r="N123" s="190">
        <f>[1]BFT!$B122</f>
        <v>53</v>
      </c>
      <c r="O123" s="190">
        <f>[1]UCO!$B122</f>
        <v>43.5</v>
      </c>
      <c r="P123" s="190">
        <f>[1]DCO!$B122</f>
        <v>47.65</v>
      </c>
      <c r="Q123" s="190">
        <f>'[1]Soybean Oil'!$B122</f>
        <v>77.602000000000004</v>
      </c>
      <c r="R123" s="190">
        <f>'[1]Yellow Grease'!$B122</f>
        <v>41</v>
      </c>
      <c r="S123" s="185">
        <f>'LCFS Table'!$N123 + 'LCFS Table'!$AH123</f>
        <v>57.375</v>
      </c>
      <c r="T123" s="185">
        <f>'LCFS Table'!$Q123+'LCFS Table'!$AH123</f>
        <v>81.977000000000004</v>
      </c>
      <c r="U123" s="185">
        <f>'LCFS Table'!$P123+'LCFS Table'!$AH123</f>
        <v>52.024999999999999</v>
      </c>
      <c r="V123" s="185">
        <f>(('LCFS Table'!$S123/'LCFS Table'!$AA123)*'LCFS Table'!$AC123)*6.48</f>
        <v>197.76063829787236</v>
      </c>
      <c r="W123" s="185">
        <f>(('LCFS Table'!$O123/'LCFS Table'!$AA123)*'LCFS Table'!$AD123)*6.48</f>
        <v>74.968085106382986</v>
      </c>
      <c r="X123" s="185">
        <f>(('LCFS Table'!$U123/'LCFS Table'!$AA123)*'LCFS Table'!$AE123)*6.48</f>
        <v>89.660106382978725</v>
      </c>
      <c r="Y123" s="185">
        <f>(('LCFS Table'!$T123/'LCFS Table'!$AB123)*'LCFS Table'!$AF123)*7.35</f>
        <v>470.72730468750001</v>
      </c>
      <c r="Z123" s="185">
        <f>(('LCFS Table'!$R123/'LCFS Table'!$AB123)*'LCFS Table'!$AG123)*7.35</f>
        <v>78.4765625</v>
      </c>
      <c r="AA123" s="138">
        <v>0.94</v>
      </c>
      <c r="AB123" s="138">
        <v>0.96</v>
      </c>
      <c r="AC123" s="138">
        <v>0.5</v>
      </c>
      <c r="AD123" s="138">
        <v>0.25</v>
      </c>
      <c r="AE123" s="138">
        <v>0.25</v>
      </c>
      <c r="AF123" s="138">
        <v>0.75</v>
      </c>
      <c r="AG123" s="138">
        <v>0.25</v>
      </c>
      <c r="AH123" s="139">
        <v>4.375</v>
      </c>
      <c r="AI123" s="139">
        <v>136</v>
      </c>
      <c r="AJ123" s="139">
        <v>110</v>
      </c>
      <c r="AK123" s="186">
        <f>('LCFS Table'!$AI123/340)*100</f>
        <v>40</v>
      </c>
      <c r="AL123" s="186">
        <f>('LCFS Table'!$AJ123/340)*100</f>
        <v>32.352941176470587</v>
      </c>
      <c r="AM123" s="139">
        <v>105</v>
      </c>
      <c r="AN123" s="139">
        <v>90</v>
      </c>
      <c r="AO123" s="139">
        <f>('LCFS Table'!$AM123/300)*100</f>
        <v>35</v>
      </c>
      <c r="AP123" s="139">
        <f>('LCFS Table'!$AN123/300)*100</f>
        <v>30</v>
      </c>
      <c r="AQ123" s="140">
        <v>175.6</v>
      </c>
      <c r="AR123" s="140">
        <v>1.4515</v>
      </c>
      <c r="AS123" s="185">
        <v>1.4883120166535218</v>
      </c>
      <c r="AT123" s="137">
        <v>0.16</v>
      </c>
      <c r="AU123" s="137">
        <v>1</v>
      </c>
      <c r="AV123" s="185">
        <f>'LCFS Table'!$AR123*1.7</f>
        <v>2.4675500000000001</v>
      </c>
      <c r="AW123" s="137">
        <v>0</v>
      </c>
      <c r="AX123" s="185">
        <v>1.0084732979099997</v>
      </c>
      <c r="AY123" s="137">
        <v>0</v>
      </c>
      <c r="AZ123" s="141">
        <v>1</v>
      </c>
      <c r="BA123" s="185">
        <f>'LCFS Table'!$AR123*1.5</f>
        <v>2.1772499999999999</v>
      </c>
      <c r="BB123" s="142">
        <v>1.2</v>
      </c>
      <c r="BC123" s="185">
        <f>'LCFS Table'!$AS123*'LCFS Table'!$BW123</f>
        <v>1.4883120166535218</v>
      </c>
      <c r="BD123" s="185">
        <f>'LCFS Table'!$AT123*'LCFS Table'!$BX123</f>
        <v>0</v>
      </c>
      <c r="BE123" s="185">
        <f>'LCFS Table'!$AU123*'LCFS Table'!$BY123</f>
        <v>1</v>
      </c>
      <c r="BF123" s="137">
        <f>'LCFS Table'!$AV123*'LCFS Table'!$BZ123</f>
        <v>2.4675500000000001</v>
      </c>
      <c r="BG123" s="137">
        <f>'LCFS Table'!$AW123*'LCFS Table'!$CA123</f>
        <v>0</v>
      </c>
      <c r="BH123" s="137">
        <f>'LCFS Table'!$AX123*'LCFS Table'!$CB123</f>
        <v>1.0084732979099997</v>
      </c>
      <c r="BI123" s="137">
        <f>'LCFS Table'!$AY123*'LCFS Table'!$CC123</f>
        <v>0</v>
      </c>
      <c r="BJ123" s="137">
        <f>'LCFS Table'!$AZ123*'LCFS Table'!$CD123</f>
        <v>1</v>
      </c>
      <c r="BK123" s="137">
        <f>'LCFS Table'!$BA123*'LCFS Table'!$CE123</f>
        <v>2.1772499999999999</v>
      </c>
      <c r="BL123" s="137">
        <f>'LCFS Table'!$BB123*'LCFS Table'!$CF123</f>
        <v>-1.2</v>
      </c>
      <c r="BM123" s="137">
        <f>'LCFS Table'!$AS123*'LCFS Table'!$CG123</f>
        <v>0</v>
      </c>
      <c r="BN123" s="137">
        <f>'LCFS Table'!$AT123*'LCFS Table'!$CH123</f>
        <v>0.16</v>
      </c>
      <c r="BO123" s="137">
        <f>'LCFS Table'!$AU123*'LCFS Table'!$CI123</f>
        <v>0</v>
      </c>
      <c r="BP123" s="137">
        <f>'LCFS Table'!$AV123*'LCFS Table'!$CJ123</f>
        <v>0</v>
      </c>
      <c r="BQ123" s="137">
        <f>'LCFS Table'!$AW123*'LCFS Table'!$CK123</f>
        <v>0</v>
      </c>
      <c r="BR123" s="137">
        <f>'LCFS Table'!$AX123*'LCFS Table'!$CL123</f>
        <v>0</v>
      </c>
      <c r="BS123" s="137">
        <f>'LCFS Table'!$AY123*'LCFS Table'!$CM123</f>
        <v>0</v>
      </c>
      <c r="BT123" s="137">
        <f>'LCFS Table'!$AZ123*'LCFS Table'!$CN123</f>
        <v>0</v>
      </c>
      <c r="BU123" s="137">
        <f>'LCFS Table'!$BA123*'LCFS Table'!$CO123</f>
        <v>0</v>
      </c>
      <c r="BV123" s="142">
        <f>'LCFS Table'!$BB123*'LCFS Table'!$CP123</f>
        <v>1.2</v>
      </c>
      <c r="BW123" s="138">
        <v>1</v>
      </c>
      <c r="BX123" s="138">
        <v>0</v>
      </c>
      <c r="BY123" s="138">
        <v>1</v>
      </c>
      <c r="BZ123" s="138">
        <v>1</v>
      </c>
      <c r="CA123" s="138">
        <v>-1</v>
      </c>
      <c r="CB123" s="138">
        <v>1</v>
      </c>
      <c r="CC123" s="138">
        <v>0</v>
      </c>
      <c r="CD123" s="138">
        <v>1</v>
      </c>
      <c r="CE123" s="138">
        <v>1</v>
      </c>
      <c r="CF123" s="138">
        <v>-1</v>
      </c>
      <c r="CG123" s="138">
        <f>1-'LCFS Table'!$BW123</f>
        <v>0</v>
      </c>
      <c r="CH123" s="138">
        <f>1-'LCFS Table'!$BX123</f>
        <v>1</v>
      </c>
      <c r="CI123" s="138">
        <f>1-'LCFS Table'!$BY123</f>
        <v>0</v>
      </c>
      <c r="CJ123" s="138">
        <f>1-'LCFS Table'!$BZ123</f>
        <v>0</v>
      </c>
      <c r="CK123" s="138">
        <f>-'LCFS Table'!$CA123</f>
        <v>1</v>
      </c>
      <c r="CL123" s="138">
        <f>1-'LCFS Table'!$CB123</f>
        <v>0</v>
      </c>
      <c r="CM123" s="138">
        <f>1-'LCFS Table'!$CC123</f>
        <v>1</v>
      </c>
      <c r="CN123" s="138">
        <f>1-'LCFS Table'!$CD123</f>
        <v>0</v>
      </c>
      <c r="CO123" s="138">
        <f>1-'LCFS Table'!$CE123</f>
        <v>0</v>
      </c>
      <c r="CP123" s="138">
        <f>-'LCFS Table'!$CF123</f>
        <v>1</v>
      </c>
      <c r="CQ123" s="140">
        <v>10</v>
      </c>
      <c r="CR123" s="165">
        <f>('LCFS Table'!$CQ123*0.9/(0.8/0.99)/100)</f>
        <v>0.11137499999999999</v>
      </c>
      <c r="CS123" s="166"/>
      <c r="CT123" s="167"/>
      <c r="CW123" s="168">
        <f>'LCFS Table'!$K123-'LCFS Table'!$M123</f>
        <v>0.26782329791000037</v>
      </c>
      <c r="CX123" s="129">
        <f>MONTH('LCFS Table'!$B123)</f>
        <v>4</v>
      </c>
      <c r="CY123" s="129">
        <f>YEAR('LCFS Table'!$B123)</f>
        <v>2021</v>
      </c>
    </row>
    <row r="124" spans="1:103">
      <c r="A124" s="148">
        <v>44311</v>
      </c>
      <c r="B124" s="149">
        <v>44317</v>
      </c>
      <c r="C124" s="132">
        <f t="shared" si="1"/>
        <v>2021</v>
      </c>
      <c r="D124" s="182" t="s">
        <v>273</v>
      </c>
      <c r="E124" s="187">
        <f>'LCFS Table'!$K124-'LCFS Table'!$I124</f>
        <v>-2.4068389862327919</v>
      </c>
      <c r="F124" s="187">
        <f>('LCFS Table'!$M124)-'LCFS Table'!$J124</f>
        <v>-4.9223341940737511</v>
      </c>
      <c r="G124" s="188">
        <f>'LCFS Table'!$E124+'LCFS Table'!$AS124+'LCFS Table'!$AT124+'LCFS Table'!$AU124+'LCFS Table'!$AV124</f>
        <v>2.927899251372708</v>
      </c>
      <c r="H124" s="188">
        <f>'LCFS Table'!$F124+'LCFS Table'!$AX124+'LCFS Table'!$AY124+'LCFS Table'!$AZ124+'LCFS Table'!$BA124+('LCFS Table'!$CQ124*0.9/(0.8/0.99)/100)+(DG124*'LCFS Table'!$AF124)+(DF124*'LCFS Table'!$AG124)</f>
        <v>-0.43202304687500104</v>
      </c>
      <c r="I124" s="187">
        <f>('LCFS Table'!$V124+'LCFS Table'!$W124+'LCFS Table'!$X124)/100+(('LCFS Table'!$AI124+'LCFS Table'!$AJ124)/340)</f>
        <v>4.3379389862327917</v>
      </c>
      <c r="J124" s="187">
        <f>(('LCFS Table'!$Y124+'LCFS Table'!$Z124)/100)+(('LCFS Table'!$AM124+'LCFS Table'!$AN124)/300)</f>
        <v>6.3433980468750004</v>
      </c>
      <c r="K124" s="190">
        <f>'[1]Fuel Values'!$C123</f>
        <v>1.9311</v>
      </c>
      <c r="L124" s="190">
        <f>'[1]Fuel Values'!$B123</f>
        <v>580</v>
      </c>
      <c r="M124" s="185">
        <f>('LCFS Table'!$L124/100)-'LCFS Table'!$AX124-'LCFS Table'!$AY124-'LCFS Table'!$AZ124-'LCFS Table'!$BA124</f>
        <v>1.4210638528012494</v>
      </c>
      <c r="N124" s="190">
        <f>[1]BFT!$B123</f>
        <v>53</v>
      </c>
      <c r="O124" s="190">
        <f>[1]UCO!$B123</f>
        <v>43.65</v>
      </c>
      <c r="P124" s="190">
        <f>[1]DCO!$B123</f>
        <v>46.95</v>
      </c>
      <c r="Q124" s="190">
        <f>'[1]Soybean Oil'!$B123</f>
        <v>81.042000000000002</v>
      </c>
      <c r="R124" s="190">
        <f>'[1]Yellow Grease'!$B123</f>
        <v>41.2</v>
      </c>
      <c r="S124" s="185">
        <f>'LCFS Table'!$N124 + 'LCFS Table'!$AH124</f>
        <v>57.375</v>
      </c>
      <c r="T124" s="185">
        <f>'LCFS Table'!$Q124+'LCFS Table'!$AH124</f>
        <v>85.417000000000002</v>
      </c>
      <c r="U124" s="185">
        <f>'LCFS Table'!$P124+'LCFS Table'!$AH124</f>
        <v>51.325000000000003</v>
      </c>
      <c r="V124" s="185">
        <f>(('LCFS Table'!$S124/'LCFS Table'!$AA124)*'LCFS Table'!$AC124)*6.48</f>
        <v>197.76063829787236</v>
      </c>
      <c r="W124" s="185">
        <f>(('LCFS Table'!$O124/'LCFS Table'!$AA124)*'LCFS Table'!$AD124)*6.48</f>
        <v>75.226595744680864</v>
      </c>
      <c r="X124" s="185">
        <f>(('LCFS Table'!$U124/'LCFS Table'!$AA124)*'LCFS Table'!$AE124)*6.48</f>
        <v>88.453723404255342</v>
      </c>
      <c r="Y124" s="185">
        <f>(('LCFS Table'!$T124/'LCFS Table'!$AB124)*'LCFS Table'!$AF124)*7.35</f>
        <v>490.48042968750002</v>
      </c>
      <c r="Z124" s="185">
        <f>(('LCFS Table'!$R124/'LCFS Table'!$AB124)*'LCFS Table'!$AG124)*7.35</f>
        <v>78.859375</v>
      </c>
      <c r="AA124" s="138">
        <v>0.94</v>
      </c>
      <c r="AB124" s="138">
        <v>0.96</v>
      </c>
      <c r="AC124" s="138">
        <v>0.5</v>
      </c>
      <c r="AD124" s="138">
        <v>0.25</v>
      </c>
      <c r="AE124" s="138">
        <v>0.25</v>
      </c>
      <c r="AF124" s="138">
        <v>0.75</v>
      </c>
      <c r="AG124" s="138">
        <v>0.25</v>
      </c>
      <c r="AH124" s="139">
        <v>4.375</v>
      </c>
      <c r="AI124" s="139">
        <v>136</v>
      </c>
      <c r="AJ124" s="139">
        <v>110</v>
      </c>
      <c r="AK124" s="186">
        <f>('LCFS Table'!$AI124/340)*100</f>
        <v>40</v>
      </c>
      <c r="AL124" s="186">
        <f>('LCFS Table'!$AJ124/340)*100</f>
        <v>32.352941176470587</v>
      </c>
      <c r="AM124" s="139">
        <v>105</v>
      </c>
      <c r="AN124" s="139">
        <v>90</v>
      </c>
      <c r="AO124" s="139">
        <f>('LCFS Table'!$AM124/300)*100</f>
        <v>35</v>
      </c>
      <c r="AP124" s="139">
        <f>('LCFS Table'!$AN124/300)*100</f>
        <v>30</v>
      </c>
      <c r="AQ124" s="140">
        <v>175.55</v>
      </c>
      <c r="AR124" s="140">
        <v>1.5805</v>
      </c>
      <c r="AS124" s="185">
        <v>1.4878882376055</v>
      </c>
      <c r="AT124" s="137">
        <v>0.16</v>
      </c>
      <c r="AU124" s="137">
        <v>1</v>
      </c>
      <c r="AV124" s="185">
        <f>'LCFS Table'!$AR124*1.7</f>
        <v>2.6868499999999997</v>
      </c>
      <c r="AW124" s="137">
        <v>0</v>
      </c>
      <c r="AX124" s="185">
        <v>1.0081861471987499</v>
      </c>
      <c r="AY124" s="137">
        <v>0</v>
      </c>
      <c r="AZ124" s="141">
        <v>1</v>
      </c>
      <c r="BA124" s="185">
        <f>'LCFS Table'!$AR124*1.5</f>
        <v>2.3707500000000001</v>
      </c>
      <c r="BB124" s="142">
        <v>1.2</v>
      </c>
      <c r="BC124" s="185">
        <f>'LCFS Table'!$AS124*'LCFS Table'!$BW124</f>
        <v>1.4878882376055</v>
      </c>
      <c r="BD124" s="185">
        <f>'LCFS Table'!$AT124*'LCFS Table'!$BX124</f>
        <v>0</v>
      </c>
      <c r="BE124" s="185">
        <f>'LCFS Table'!$AU124*'LCFS Table'!$BY124</f>
        <v>1</v>
      </c>
      <c r="BF124" s="137">
        <f>'LCFS Table'!$AV124*'LCFS Table'!$BZ124</f>
        <v>2.6868499999999997</v>
      </c>
      <c r="BG124" s="137">
        <f>'LCFS Table'!$AW124*'LCFS Table'!$CA124</f>
        <v>0</v>
      </c>
      <c r="BH124" s="137">
        <f>'LCFS Table'!$AX124*'LCFS Table'!$CB124</f>
        <v>1.0081861471987499</v>
      </c>
      <c r="BI124" s="137">
        <f>'LCFS Table'!$AY124*'LCFS Table'!$CC124</f>
        <v>0</v>
      </c>
      <c r="BJ124" s="137">
        <f>'LCFS Table'!$AZ124*'LCFS Table'!$CD124</f>
        <v>1</v>
      </c>
      <c r="BK124" s="137">
        <f>'LCFS Table'!$BA124*'LCFS Table'!$CE124</f>
        <v>2.3707500000000001</v>
      </c>
      <c r="BL124" s="137">
        <f>'LCFS Table'!$BB124*'LCFS Table'!$CF124</f>
        <v>-1.2</v>
      </c>
      <c r="BM124" s="137">
        <f>'LCFS Table'!$AS124*'LCFS Table'!$CG124</f>
        <v>0</v>
      </c>
      <c r="BN124" s="137">
        <f>'LCFS Table'!$AT124*'LCFS Table'!$CH124</f>
        <v>0.16</v>
      </c>
      <c r="BO124" s="137">
        <f>'LCFS Table'!$AU124*'LCFS Table'!$CI124</f>
        <v>0</v>
      </c>
      <c r="BP124" s="137">
        <f>'LCFS Table'!$AV124*'LCFS Table'!$CJ124</f>
        <v>0</v>
      </c>
      <c r="BQ124" s="137">
        <f>'LCFS Table'!$AW124*'LCFS Table'!$CK124</f>
        <v>0</v>
      </c>
      <c r="BR124" s="137">
        <f>'LCFS Table'!$AX124*'LCFS Table'!$CL124</f>
        <v>0</v>
      </c>
      <c r="BS124" s="137">
        <f>'LCFS Table'!$AY124*'LCFS Table'!$CM124</f>
        <v>0</v>
      </c>
      <c r="BT124" s="137">
        <f>'LCFS Table'!$AZ124*'LCFS Table'!$CN124</f>
        <v>0</v>
      </c>
      <c r="BU124" s="137">
        <f>'LCFS Table'!$BA124*'LCFS Table'!$CO124</f>
        <v>0</v>
      </c>
      <c r="BV124" s="142">
        <f>'LCFS Table'!$BB124*'LCFS Table'!$CP124</f>
        <v>1.2</v>
      </c>
      <c r="BW124" s="138">
        <v>1</v>
      </c>
      <c r="BX124" s="138">
        <v>0</v>
      </c>
      <c r="BY124" s="138">
        <v>1</v>
      </c>
      <c r="BZ124" s="138">
        <v>1</v>
      </c>
      <c r="CA124" s="138">
        <v>-1</v>
      </c>
      <c r="CB124" s="138">
        <v>1</v>
      </c>
      <c r="CC124" s="138">
        <v>0</v>
      </c>
      <c r="CD124" s="138">
        <v>1</v>
      </c>
      <c r="CE124" s="138">
        <v>1</v>
      </c>
      <c r="CF124" s="138">
        <v>-1</v>
      </c>
      <c r="CG124" s="138">
        <f>1-'LCFS Table'!$BW124</f>
        <v>0</v>
      </c>
      <c r="CH124" s="138">
        <f>1-'LCFS Table'!$BX124</f>
        <v>1</v>
      </c>
      <c r="CI124" s="138">
        <f>1-'LCFS Table'!$BY124</f>
        <v>0</v>
      </c>
      <c r="CJ124" s="138">
        <f>1-'LCFS Table'!$BZ124</f>
        <v>0</v>
      </c>
      <c r="CK124" s="138">
        <f>-'LCFS Table'!$CA124</f>
        <v>1</v>
      </c>
      <c r="CL124" s="138">
        <f>1-'LCFS Table'!$CB124</f>
        <v>0</v>
      </c>
      <c r="CM124" s="138">
        <f>1-'LCFS Table'!$CC124</f>
        <v>1</v>
      </c>
      <c r="CN124" s="138">
        <f>1-'LCFS Table'!$CD124</f>
        <v>0</v>
      </c>
      <c r="CO124" s="138">
        <f>1-'LCFS Table'!$CE124</f>
        <v>0</v>
      </c>
      <c r="CP124" s="138">
        <f>-'LCFS Table'!$CF124</f>
        <v>1</v>
      </c>
      <c r="CQ124" s="140">
        <v>10</v>
      </c>
      <c r="CR124" s="165">
        <f>('LCFS Table'!$CQ124*0.9/(0.8/0.99)/100)</f>
        <v>0.11137499999999999</v>
      </c>
      <c r="CS124" s="166"/>
      <c r="CT124" s="167"/>
      <c r="CW124" s="168">
        <f>'LCFS Table'!$K124-'LCFS Table'!$M124</f>
        <v>0.51003614719875068</v>
      </c>
      <c r="CX124" s="129">
        <f>MONTH('LCFS Table'!$B124)</f>
        <v>5</v>
      </c>
      <c r="CY124" s="129">
        <f>YEAR('LCFS Table'!$B124)</f>
        <v>2021</v>
      </c>
    </row>
    <row r="125" spans="1:103">
      <c r="A125" s="148">
        <v>44318</v>
      </c>
      <c r="B125" s="149">
        <v>44324</v>
      </c>
      <c r="C125" s="132">
        <f t="shared" si="1"/>
        <v>2021</v>
      </c>
      <c r="D125" s="150" t="s">
        <v>274</v>
      </c>
      <c r="E125" s="187">
        <f>'LCFS Table'!$K125-'LCFS Table'!$I125</f>
        <v>-2.3984198372966201</v>
      </c>
      <c r="F125" s="187">
        <f>('LCFS Table'!$M125)-'LCFS Table'!$J125</f>
        <v>-5.3825279399862502</v>
      </c>
      <c r="G125" s="188">
        <f>'LCFS Table'!$E125+'LCFS Table'!$AS125+'LCFS Table'!$AT125+'LCFS Table'!$AU125+'LCFS Table'!$AV125</f>
        <v>3.2786608384726317</v>
      </c>
      <c r="H125" s="188">
        <f>'LCFS Table'!$F125+'LCFS Table'!$AX125+'LCFS Table'!$AY125+'LCFS Table'!$AZ125+'LCFS Table'!$BA125+('LCFS Table'!$CQ125*0.9/(0.8/0.99)/100)+(DG125*'LCFS Table'!$AF125)+(DF125*'LCFS Table'!$AG125)</f>
        <v>-0.59376367187500056</v>
      </c>
      <c r="I125" s="187">
        <f>('LCFS Table'!$V125+'LCFS Table'!$W125+'LCFS Table'!$X125)/100+(('LCFS Table'!$AI125+'LCFS Table'!$AJ125)/340)</f>
        <v>4.3991198372966203</v>
      </c>
      <c r="J125" s="187">
        <f>(('LCFS Table'!$Y125+'LCFS Table'!$Z125)/100)+(('LCFS Table'!$AM125+'LCFS Table'!$AN125)/300)</f>
        <v>6.516276171875</v>
      </c>
      <c r="K125" s="190">
        <f>'[1]Fuel Values'!$C124</f>
        <v>2.0007000000000001</v>
      </c>
      <c r="L125" s="190">
        <f>'[1]Fuel Values'!$B124</f>
        <v>580</v>
      </c>
      <c r="M125" s="185">
        <f>('LCFS Table'!$L125/100)-'LCFS Table'!$AX125-'LCFS Table'!$AY125-'LCFS Table'!$AZ125-'LCFS Table'!$BA125</f>
        <v>1.1337482318887502</v>
      </c>
      <c r="N125" s="190">
        <f>[1]BFT!$B124</f>
        <v>53.8</v>
      </c>
      <c r="O125" s="190">
        <f>[1]UCO!$B124</f>
        <v>44.4</v>
      </c>
      <c r="P125" s="190">
        <f>[1]DCO!$B124</f>
        <v>48.15</v>
      </c>
      <c r="Q125" s="190">
        <f>'[1]Soybean Oil'!$B124</f>
        <v>83.786000000000001</v>
      </c>
      <c r="R125" s="190">
        <f>'[1]Yellow Grease'!$B124</f>
        <v>42</v>
      </c>
      <c r="S125" s="185">
        <f>'LCFS Table'!$N125 + 'LCFS Table'!$AH125</f>
        <v>58.174999999999997</v>
      </c>
      <c r="T125" s="185">
        <f>'LCFS Table'!$Q125+'LCFS Table'!$AH125</f>
        <v>88.161000000000001</v>
      </c>
      <c r="U125" s="185">
        <f>'LCFS Table'!$P125+'LCFS Table'!$AH125</f>
        <v>52.524999999999999</v>
      </c>
      <c r="V125" s="185">
        <f>(('LCFS Table'!$S125/'LCFS Table'!$AA125)*'LCFS Table'!$AC125)*6.48</f>
        <v>200.51808510638298</v>
      </c>
      <c r="W125" s="185">
        <f>(('LCFS Table'!$O125/'LCFS Table'!$AA125)*'LCFS Table'!$AD125)*6.48</f>
        <v>76.519148936170225</v>
      </c>
      <c r="X125" s="185">
        <f>(('LCFS Table'!$U125/'LCFS Table'!$AA125)*'LCFS Table'!$AE125)*6.48</f>
        <v>90.521808510638294</v>
      </c>
      <c r="Y125" s="185">
        <f>(('LCFS Table'!$T125/'LCFS Table'!$AB125)*'LCFS Table'!$AF125)*7.35</f>
        <v>506.23699218749999</v>
      </c>
      <c r="Z125" s="185">
        <f>(('LCFS Table'!$R125/'LCFS Table'!$AB125)*'LCFS Table'!$AG125)*7.35</f>
        <v>80.390625</v>
      </c>
      <c r="AA125" s="138">
        <v>0.94</v>
      </c>
      <c r="AB125" s="138">
        <v>0.96</v>
      </c>
      <c r="AC125" s="138">
        <v>0.5</v>
      </c>
      <c r="AD125" s="138">
        <v>0.25</v>
      </c>
      <c r="AE125" s="138">
        <v>0.25</v>
      </c>
      <c r="AF125" s="138">
        <v>0.75</v>
      </c>
      <c r="AG125" s="138">
        <v>0.25</v>
      </c>
      <c r="AH125" s="139">
        <v>4.375</v>
      </c>
      <c r="AI125" s="139">
        <v>136</v>
      </c>
      <c r="AJ125" s="139">
        <v>110</v>
      </c>
      <c r="AK125" s="186">
        <f>('LCFS Table'!$AI125/340)*100</f>
        <v>40</v>
      </c>
      <c r="AL125" s="186">
        <f>('LCFS Table'!$AJ125/340)*100</f>
        <v>32.352941176470587</v>
      </c>
      <c r="AM125" s="139">
        <v>105</v>
      </c>
      <c r="AN125" s="139">
        <v>90</v>
      </c>
      <c r="AO125" s="139">
        <f>('LCFS Table'!$AM125/300)*100</f>
        <v>35</v>
      </c>
      <c r="AP125" s="139">
        <f>('LCFS Table'!$AN125/300)*100</f>
        <v>30</v>
      </c>
      <c r="AQ125" s="140">
        <v>184.05</v>
      </c>
      <c r="AR125" s="140">
        <v>1.7394999999999998</v>
      </c>
      <c r="AS125" s="185">
        <v>1.5599306757692524</v>
      </c>
      <c r="AT125" s="137">
        <v>0.16</v>
      </c>
      <c r="AU125" s="137">
        <v>1</v>
      </c>
      <c r="AV125" s="185">
        <f>'LCFS Table'!$AR125*1.7</f>
        <v>2.9571499999999995</v>
      </c>
      <c r="AW125" s="137">
        <v>0</v>
      </c>
      <c r="AX125" s="185">
        <v>1.0570017681112498</v>
      </c>
      <c r="AY125" s="137">
        <v>0</v>
      </c>
      <c r="AZ125" s="141">
        <v>1</v>
      </c>
      <c r="BA125" s="185">
        <f>'LCFS Table'!$AR125*1.5</f>
        <v>2.6092499999999998</v>
      </c>
      <c r="BB125" s="142">
        <v>1.2</v>
      </c>
      <c r="BC125" s="185">
        <f>'LCFS Table'!$AS125*'LCFS Table'!$BW125</f>
        <v>1.5599306757692524</v>
      </c>
      <c r="BD125" s="185">
        <f>'LCFS Table'!$AT125*'LCFS Table'!$BX125</f>
        <v>0</v>
      </c>
      <c r="BE125" s="185">
        <f>'LCFS Table'!$AU125*'LCFS Table'!$BY125</f>
        <v>1</v>
      </c>
      <c r="BF125" s="137">
        <f>'LCFS Table'!$AV125*'LCFS Table'!$BZ125</f>
        <v>2.9571499999999995</v>
      </c>
      <c r="BG125" s="137">
        <f>'LCFS Table'!$AW125*'LCFS Table'!$CA125</f>
        <v>0</v>
      </c>
      <c r="BH125" s="137">
        <f>'LCFS Table'!$AX125*'LCFS Table'!$CB125</f>
        <v>1.0570017681112498</v>
      </c>
      <c r="BI125" s="137">
        <f>'LCFS Table'!$AY125*'LCFS Table'!$CC125</f>
        <v>0</v>
      </c>
      <c r="BJ125" s="137">
        <f>'LCFS Table'!$AZ125*'LCFS Table'!$CD125</f>
        <v>1</v>
      </c>
      <c r="BK125" s="137">
        <f>'LCFS Table'!$BA125*'LCFS Table'!$CE125</f>
        <v>2.6092499999999998</v>
      </c>
      <c r="BL125" s="137">
        <f>'LCFS Table'!$BB125*'LCFS Table'!$CF125</f>
        <v>-1.2</v>
      </c>
      <c r="BM125" s="137">
        <f>'LCFS Table'!$AS125*'LCFS Table'!$CG125</f>
        <v>0</v>
      </c>
      <c r="BN125" s="137">
        <f>'LCFS Table'!$AT125*'LCFS Table'!$CH125</f>
        <v>0.16</v>
      </c>
      <c r="BO125" s="137">
        <f>'LCFS Table'!$AU125*'LCFS Table'!$CI125</f>
        <v>0</v>
      </c>
      <c r="BP125" s="137">
        <f>'LCFS Table'!$AV125*'LCFS Table'!$CJ125</f>
        <v>0</v>
      </c>
      <c r="BQ125" s="137">
        <f>'LCFS Table'!$AW125*'LCFS Table'!$CK125</f>
        <v>0</v>
      </c>
      <c r="BR125" s="137">
        <f>'LCFS Table'!$AX125*'LCFS Table'!$CL125</f>
        <v>0</v>
      </c>
      <c r="BS125" s="137">
        <f>'LCFS Table'!$AY125*'LCFS Table'!$CM125</f>
        <v>0</v>
      </c>
      <c r="BT125" s="137">
        <f>'LCFS Table'!$AZ125*'LCFS Table'!$CN125</f>
        <v>0</v>
      </c>
      <c r="BU125" s="137">
        <f>'LCFS Table'!$BA125*'LCFS Table'!$CO125</f>
        <v>0</v>
      </c>
      <c r="BV125" s="142">
        <f>'LCFS Table'!$BB125*'LCFS Table'!$CP125</f>
        <v>1.2</v>
      </c>
      <c r="BW125" s="138">
        <v>1</v>
      </c>
      <c r="BX125" s="138">
        <v>0</v>
      </c>
      <c r="BY125" s="138">
        <v>1</v>
      </c>
      <c r="BZ125" s="138">
        <v>1</v>
      </c>
      <c r="CA125" s="138">
        <v>-1</v>
      </c>
      <c r="CB125" s="138">
        <v>1</v>
      </c>
      <c r="CC125" s="138">
        <v>0</v>
      </c>
      <c r="CD125" s="138">
        <v>1</v>
      </c>
      <c r="CE125" s="138">
        <v>1</v>
      </c>
      <c r="CF125" s="138">
        <v>-1</v>
      </c>
      <c r="CG125" s="138">
        <f>1-'LCFS Table'!$BW125</f>
        <v>0</v>
      </c>
      <c r="CH125" s="138">
        <f>1-'LCFS Table'!$BX125</f>
        <v>1</v>
      </c>
      <c r="CI125" s="138">
        <f>1-'LCFS Table'!$BY125</f>
        <v>0</v>
      </c>
      <c r="CJ125" s="138">
        <f>1-'LCFS Table'!$BZ125</f>
        <v>0</v>
      </c>
      <c r="CK125" s="138">
        <f>-'LCFS Table'!$CA125</f>
        <v>1</v>
      </c>
      <c r="CL125" s="138">
        <f>1-'LCFS Table'!$CB125</f>
        <v>0</v>
      </c>
      <c r="CM125" s="138">
        <f>1-'LCFS Table'!$CC125</f>
        <v>1</v>
      </c>
      <c r="CN125" s="138">
        <f>1-'LCFS Table'!$CD125</f>
        <v>0</v>
      </c>
      <c r="CO125" s="138">
        <f>1-'LCFS Table'!$CE125</f>
        <v>0</v>
      </c>
      <c r="CP125" s="138">
        <f>-'LCFS Table'!$CF125</f>
        <v>1</v>
      </c>
      <c r="CQ125" s="140">
        <v>11</v>
      </c>
      <c r="CR125" s="165">
        <f>('LCFS Table'!$CQ125*0.9/(0.8/0.99)/100)</f>
        <v>0.12251249999999998</v>
      </c>
      <c r="CS125" s="166"/>
      <c r="CT125" s="167"/>
      <c r="CW125" s="168">
        <f>'LCFS Table'!$K125-'LCFS Table'!$M125</f>
        <v>0.86695176811124997</v>
      </c>
      <c r="CX125" s="129">
        <f>MONTH('LCFS Table'!$B125)</f>
        <v>5</v>
      </c>
      <c r="CY125" s="129">
        <f>YEAR('LCFS Table'!$B125)</f>
        <v>2021</v>
      </c>
    </row>
    <row r="126" spans="1:103">
      <c r="A126" s="148">
        <v>44325</v>
      </c>
      <c r="B126" s="149">
        <v>44331</v>
      </c>
      <c r="C126" s="132">
        <f t="shared" si="1"/>
        <v>2021</v>
      </c>
      <c r="D126" s="182" t="s">
        <v>275</v>
      </c>
      <c r="E126" s="187">
        <f>'LCFS Table'!$K126-'LCFS Table'!$I126</f>
        <v>-2.4095453692115152</v>
      </c>
      <c r="F126" s="187">
        <f>('LCFS Table'!$M126)-'LCFS Table'!$J126</f>
        <v>-5.9023674882000003</v>
      </c>
      <c r="G126" s="188">
        <f>'LCFS Table'!$E126+'LCFS Table'!$AS126+'LCFS Table'!$AT126+'LCFS Table'!$AU126+'LCFS Table'!$AV126</f>
        <v>3.5730382703910388</v>
      </c>
      <c r="H126" s="188">
        <f>'LCFS Table'!$F126+'LCFS Table'!$AX126+'LCFS Table'!$AY126+'LCFS Table'!$AZ126+'LCFS Table'!$BA126+('LCFS Table'!$CQ126*0.9/(0.8/0.99)/100)+(DG126*'LCFS Table'!$AF126)+(DF126*'LCFS Table'!$AG126)</f>
        <v>-0.85473007812500057</v>
      </c>
      <c r="I126" s="187">
        <f>('LCFS Table'!$V126+'LCFS Table'!$W126+'LCFS Table'!$X126)/100+(('LCFS Table'!$AI126+'LCFS Table'!$AJ126)/340)</f>
        <v>4.4525453692115153</v>
      </c>
      <c r="J126" s="187">
        <f>(('LCFS Table'!$Y126+'LCFS Table'!$Z126)/100)+(('LCFS Table'!$AM126+'LCFS Table'!$AN126)/300)</f>
        <v>7.0116738281250006</v>
      </c>
      <c r="K126" s="190">
        <f>'[1]Fuel Values'!$C125</f>
        <v>2.0430000000000001</v>
      </c>
      <c r="L126" s="190">
        <f>'[1]Fuel Values'!$B125</f>
        <v>604</v>
      </c>
      <c r="M126" s="185">
        <f>('LCFS Table'!$L126/100)-'LCFS Table'!$AX126-'LCFS Table'!$AY126-'LCFS Table'!$AZ126-'LCFS Table'!$BA126</f>
        <v>1.1093063399250003</v>
      </c>
      <c r="N126" s="190">
        <f>[1]BFT!$B125</f>
        <v>54</v>
      </c>
      <c r="O126" s="190">
        <f>[1]UCO!$B125</f>
        <v>44.9</v>
      </c>
      <c r="P126" s="190">
        <f>[1]DCO!$B125</f>
        <v>50.35</v>
      </c>
      <c r="Q126" s="190">
        <f>'[1]Soybean Oil'!$B125</f>
        <v>92.28</v>
      </c>
      <c r="R126" s="190">
        <f>'[1]Yellow Grease'!$B125</f>
        <v>42.4</v>
      </c>
      <c r="S126" s="185">
        <f>'LCFS Table'!$N126 + 'LCFS Table'!$AH126</f>
        <v>58.375</v>
      </c>
      <c r="T126" s="185">
        <f>'LCFS Table'!$Q126+'LCFS Table'!$AH126</f>
        <v>96.655000000000001</v>
      </c>
      <c r="U126" s="185">
        <f>'LCFS Table'!$P126+'LCFS Table'!$AH126</f>
        <v>54.725000000000001</v>
      </c>
      <c r="V126" s="185">
        <f>(('LCFS Table'!$S126/'LCFS Table'!$AA126)*'LCFS Table'!$AC126)*6.48</f>
        <v>201.20744680851067</v>
      </c>
      <c r="W126" s="185">
        <f>(('LCFS Table'!$O126/'LCFS Table'!$AA126)*'LCFS Table'!$AD126)*6.48</f>
        <v>77.380851063829795</v>
      </c>
      <c r="X126" s="185">
        <f>(('LCFS Table'!$U126/'LCFS Table'!$AA126)*'LCFS Table'!$AE126)*6.48</f>
        <v>94.313297872340442</v>
      </c>
      <c r="Y126" s="185">
        <f>(('LCFS Table'!$T126/'LCFS Table'!$AB126)*'LCFS Table'!$AF126)*7.35</f>
        <v>555.01113281250002</v>
      </c>
      <c r="Z126" s="185">
        <f>(('LCFS Table'!$R126/'LCFS Table'!$AB126)*'LCFS Table'!$AG126)*7.35</f>
        <v>81.156249999999986</v>
      </c>
      <c r="AA126" s="138">
        <v>0.94</v>
      </c>
      <c r="AB126" s="138">
        <v>0.96</v>
      </c>
      <c r="AC126" s="138">
        <v>0.5</v>
      </c>
      <c r="AD126" s="138">
        <v>0.25</v>
      </c>
      <c r="AE126" s="138">
        <v>0.25</v>
      </c>
      <c r="AF126" s="138">
        <v>0.75</v>
      </c>
      <c r="AG126" s="138">
        <v>0.25</v>
      </c>
      <c r="AH126" s="139">
        <v>4.375</v>
      </c>
      <c r="AI126" s="139">
        <v>136</v>
      </c>
      <c r="AJ126" s="139">
        <v>110</v>
      </c>
      <c r="AK126" s="186">
        <f>('LCFS Table'!$AI126/340)*100</f>
        <v>40</v>
      </c>
      <c r="AL126" s="186">
        <f>('LCFS Table'!$AJ126/340)*100</f>
        <v>32.352941176470587</v>
      </c>
      <c r="AM126" s="139">
        <v>105</v>
      </c>
      <c r="AN126" s="139">
        <v>90</v>
      </c>
      <c r="AO126" s="139">
        <f>('LCFS Table'!$AM126/300)*100</f>
        <v>35</v>
      </c>
      <c r="AP126" s="139">
        <f>('LCFS Table'!$AN126/300)*100</f>
        <v>30</v>
      </c>
      <c r="AQ126" s="140">
        <v>187</v>
      </c>
      <c r="AR126" s="140">
        <v>1.9044999999999999</v>
      </c>
      <c r="AS126" s="185">
        <v>1.5849336396025546</v>
      </c>
      <c r="AT126" s="137">
        <v>0.16</v>
      </c>
      <c r="AU126" s="137">
        <v>1</v>
      </c>
      <c r="AV126" s="185">
        <f>'LCFS Table'!$AR126*1.7</f>
        <v>3.2376499999999995</v>
      </c>
      <c r="AW126" s="137">
        <v>0</v>
      </c>
      <c r="AX126" s="185">
        <v>1.0739436600749999</v>
      </c>
      <c r="AY126" s="137">
        <v>0</v>
      </c>
      <c r="AZ126" s="141">
        <v>1</v>
      </c>
      <c r="BA126" s="185">
        <f>'LCFS Table'!$AR126*1.5</f>
        <v>2.8567499999999999</v>
      </c>
      <c r="BB126" s="142">
        <v>1.2</v>
      </c>
      <c r="BC126" s="185">
        <f>'LCFS Table'!$AS126*'LCFS Table'!$BW126</f>
        <v>1.5849336396025546</v>
      </c>
      <c r="BD126" s="185">
        <f>'LCFS Table'!$AT126*'LCFS Table'!$BX126</f>
        <v>0</v>
      </c>
      <c r="BE126" s="185">
        <f>'LCFS Table'!$AU126*'LCFS Table'!$BY126</f>
        <v>1</v>
      </c>
      <c r="BF126" s="137">
        <f>'LCFS Table'!$AV126*'LCFS Table'!$BZ126</f>
        <v>3.2376499999999995</v>
      </c>
      <c r="BG126" s="137">
        <f>'LCFS Table'!$AW126*'LCFS Table'!$CA126</f>
        <v>0</v>
      </c>
      <c r="BH126" s="137">
        <f>'LCFS Table'!$AX126*'LCFS Table'!$CB126</f>
        <v>1.0739436600749999</v>
      </c>
      <c r="BI126" s="137">
        <f>'LCFS Table'!$AY126*'LCFS Table'!$CC126</f>
        <v>0</v>
      </c>
      <c r="BJ126" s="137">
        <f>'LCFS Table'!$AZ126*'LCFS Table'!$CD126</f>
        <v>1</v>
      </c>
      <c r="BK126" s="137">
        <f>'LCFS Table'!$BA126*'LCFS Table'!$CE126</f>
        <v>2.8567499999999999</v>
      </c>
      <c r="BL126" s="137">
        <f>'LCFS Table'!$BB126*'LCFS Table'!$CF126</f>
        <v>-1.2</v>
      </c>
      <c r="BM126" s="137">
        <f>'LCFS Table'!$AS126*'LCFS Table'!$CG126</f>
        <v>0</v>
      </c>
      <c r="BN126" s="137">
        <f>'LCFS Table'!$AT126*'LCFS Table'!$CH126</f>
        <v>0.16</v>
      </c>
      <c r="BO126" s="137">
        <f>'LCFS Table'!$AU126*'LCFS Table'!$CI126</f>
        <v>0</v>
      </c>
      <c r="BP126" s="137">
        <f>'LCFS Table'!$AV126*'LCFS Table'!$CJ126</f>
        <v>0</v>
      </c>
      <c r="BQ126" s="137">
        <f>'LCFS Table'!$AW126*'LCFS Table'!$CK126</f>
        <v>0</v>
      </c>
      <c r="BR126" s="137">
        <f>'LCFS Table'!$AX126*'LCFS Table'!$CL126</f>
        <v>0</v>
      </c>
      <c r="BS126" s="137">
        <f>'LCFS Table'!$AY126*'LCFS Table'!$CM126</f>
        <v>0</v>
      </c>
      <c r="BT126" s="137">
        <f>'LCFS Table'!$AZ126*'LCFS Table'!$CN126</f>
        <v>0</v>
      </c>
      <c r="BU126" s="137">
        <f>'LCFS Table'!$BA126*'LCFS Table'!$CO126</f>
        <v>0</v>
      </c>
      <c r="BV126" s="142">
        <f>'LCFS Table'!$BB126*'LCFS Table'!$CP126</f>
        <v>1.2</v>
      </c>
      <c r="BW126" s="138">
        <v>1</v>
      </c>
      <c r="BX126" s="138">
        <v>0</v>
      </c>
      <c r="BY126" s="138">
        <v>1</v>
      </c>
      <c r="BZ126" s="138">
        <v>1</v>
      </c>
      <c r="CA126" s="138">
        <v>-1</v>
      </c>
      <c r="CB126" s="138">
        <v>1</v>
      </c>
      <c r="CC126" s="138">
        <v>0</v>
      </c>
      <c r="CD126" s="138">
        <v>1</v>
      </c>
      <c r="CE126" s="138">
        <v>1</v>
      </c>
      <c r="CF126" s="138">
        <v>-1</v>
      </c>
      <c r="CG126" s="138">
        <f>1-'LCFS Table'!$BW126</f>
        <v>0</v>
      </c>
      <c r="CH126" s="138">
        <f>1-'LCFS Table'!$BX126</f>
        <v>1</v>
      </c>
      <c r="CI126" s="138">
        <f>1-'LCFS Table'!$BY126</f>
        <v>0</v>
      </c>
      <c r="CJ126" s="138">
        <f>1-'LCFS Table'!$BZ126</f>
        <v>0</v>
      </c>
      <c r="CK126" s="138">
        <f>-'LCFS Table'!$CA126</f>
        <v>1</v>
      </c>
      <c r="CL126" s="138">
        <f>1-'LCFS Table'!$CB126</f>
        <v>0</v>
      </c>
      <c r="CM126" s="138">
        <f>1-'LCFS Table'!$CC126</f>
        <v>1</v>
      </c>
      <c r="CN126" s="138">
        <f>1-'LCFS Table'!$CD126</f>
        <v>0</v>
      </c>
      <c r="CO126" s="138">
        <f>1-'LCFS Table'!$CE126</f>
        <v>0</v>
      </c>
      <c r="CP126" s="138">
        <f>-'LCFS Table'!$CF126</f>
        <v>1</v>
      </c>
      <c r="CQ126" s="140">
        <v>10.5</v>
      </c>
      <c r="CR126" s="165">
        <f>('LCFS Table'!$CQ126*0.9/(0.8/0.99)/100)</f>
        <v>0.11694374999999999</v>
      </c>
      <c r="CS126" s="166"/>
      <c r="CT126" s="167"/>
      <c r="CW126" s="168">
        <f>'LCFS Table'!$K126-'LCFS Table'!$M126</f>
        <v>0.93369366007499988</v>
      </c>
      <c r="CX126" s="129">
        <f>MONTH('LCFS Table'!$B126)</f>
        <v>5</v>
      </c>
      <c r="CY126" s="129">
        <f>YEAR('LCFS Table'!$B126)</f>
        <v>2021</v>
      </c>
    </row>
    <row r="127" spans="1:103">
      <c r="A127" s="148">
        <v>44332</v>
      </c>
      <c r="B127" s="149">
        <v>44338</v>
      </c>
      <c r="C127" s="132">
        <f t="shared" si="1"/>
        <v>2021</v>
      </c>
      <c r="D127" s="150" t="s">
        <v>276</v>
      </c>
      <c r="E127" s="187">
        <f>'LCFS Table'!$K127-'LCFS Table'!$I127</f>
        <v>-2.5556389862327911</v>
      </c>
      <c r="F127" s="187">
        <f>('LCFS Table'!$M127)-'LCFS Table'!$J127</f>
        <v>-6.1729735583950003</v>
      </c>
      <c r="G127" s="188">
        <f>'LCFS Table'!$E127+'LCFS Table'!$AS127+'LCFS Table'!$AT127+'LCFS Table'!$AU127+'LCFS Table'!$AV127</f>
        <v>3.5246653505222931</v>
      </c>
      <c r="H127" s="188">
        <f>'LCFS Table'!$F127+'LCFS Table'!$AX127+'LCFS Table'!$AY127+'LCFS Table'!$AZ127+'LCFS Table'!$BA127+('LCFS Table'!$CQ127*0.9/(0.8/0.99)/100)+(DG127*'LCFS Table'!$AF127)+(DF127*'LCFS Table'!$AG127)</f>
        <v>-1.0411945312500004</v>
      </c>
      <c r="I127" s="187">
        <f>('LCFS Table'!$V127+'LCFS Table'!$W127+'LCFS Table'!$X127)/100+(('LCFS Table'!$AI127+'LCFS Table'!$AJ127)/340)</f>
        <v>4.5809389862327912</v>
      </c>
      <c r="J127" s="187">
        <f>(('LCFS Table'!$Y127+'LCFS Table'!$Z127)/100)+(('LCFS Table'!$AM127+'LCFS Table'!$AN127)/300)</f>
        <v>7.3581382812500005</v>
      </c>
      <c r="K127" s="190">
        <f>'[1]Fuel Values'!$C126</f>
        <v>2.0253000000000001</v>
      </c>
      <c r="L127" s="190">
        <f>'[1]Fuel Values'!$B126</f>
        <v>620</v>
      </c>
      <c r="M127" s="185">
        <f>('LCFS Table'!$L127/100)-'LCFS Table'!$AX127-'LCFS Table'!$AY127-'LCFS Table'!$AZ127-'LCFS Table'!$BA127</f>
        <v>1.1851647228550002</v>
      </c>
      <c r="N127" s="190">
        <f>[1]BFT!$B126</f>
        <v>56</v>
      </c>
      <c r="O127" s="190">
        <f>[1]UCO!$B126</f>
        <v>45.7</v>
      </c>
      <c r="P127" s="190">
        <f>[1]DCO!$B126</f>
        <v>53</v>
      </c>
      <c r="Q127" s="190">
        <f>'[1]Soybean Oil'!$B126</f>
        <v>98.072000000000003</v>
      </c>
      <c r="R127" s="190">
        <f>'[1]Yellow Grease'!$B126</f>
        <v>43.125</v>
      </c>
      <c r="S127" s="185">
        <f>'LCFS Table'!$N127 + 'LCFS Table'!$AH127</f>
        <v>60.375</v>
      </c>
      <c r="T127" s="185">
        <f>'LCFS Table'!$Q127+'LCFS Table'!$AH127</f>
        <v>102.447</v>
      </c>
      <c r="U127" s="185">
        <f>'LCFS Table'!$P127+'LCFS Table'!$AH127</f>
        <v>57.375</v>
      </c>
      <c r="V127" s="185">
        <f>(('LCFS Table'!$S127/'LCFS Table'!$AA127)*'LCFS Table'!$AC127)*6.48</f>
        <v>208.10106382978725</v>
      </c>
      <c r="W127" s="185">
        <f>(('LCFS Table'!$O127/'LCFS Table'!$AA127)*'LCFS Table'!$AD127)*6.48</f>
        <v>78.75957446808512</v>
      </c>
      <c r="X127" s="185">
        <f>(('LCFS Table'!$U127/'LCFS Table'!$AA127)*'LCFS Table'!$AE127)*6.48</f>
        <v>98.880319148936181</v>
      </c>
      <c r="Y127" s="185">
        <f>(('LCFS Table'!$T127/'LCFS Table'!$AB127)*'LCFS Table'!$AF127)*7.35</f>
        <v>588.26988281249999</v>
      </c>
      <c r="Z127" s="185">
        <f>(('LCFS Table'!$R127/'LCFS Table'!$AB127)*'LCFS Table'!$AG127)*7.35</f>
        <v>82.5439453125</v>
      </c>
      <c r="AA127" s="138">
        <v>0.94</v>
      </c>
      <c r="AB127" s="138">
        <v>0.96</v>
      </c>
      <c r="AC127" s="138">
        <v>0.5</v>
      </c>
      <c r="AD127" s="138">
        <v>0.25</v>
      </c>
      <c r="AE127" s="138">
        <v>0.25</v>
      </c>
      <c r="AF127" s="138">
        <v>0.75</v>
      </c>
      <c r="AG127" s="138">
        <v>0.25</v>
      </c>
      <c r="AH127" s="139">
        <v>4.375</v>
      </c>
      <c r="AI127" s="139">
        <v>136</v>
      </c>
      <c r="AJ127" s="139">
        <v>110</v>
      </c>
      <c r="AK127" s="186">
        <f>('LCFS Table'!$AI127/340)*100</f>
        <v>40</v>
      </c>
      <c r="AL127" s="186">
        <f>('LCFS Table'!$AJ127/340)*100</f>
        <v>32.352941176470587</v>
      </c>
      <c r="AM127" s="139">
        <v>105</v>
      </c>
      <c r="AN127" s="139">
        <v>90</v>
      </c>
      <c r="AO127" s="139">
        <f>('LCFS Table'!$AM127/300)*100</f>
        <v>35</v>
      </c>
      <c r="AP127" s="139">
        <f>('LCFS Table'!$AN127/300)*100</f>
        <v>30</v>
      </c>
      <c r="AQ127" s="140">
        <f>'[1]LCFS Values'!$B126</f>
        <v>188.2</v>
      </c>
      <c r="AR127" s="140">
        <f>'[1]RIN Values'!$B126/100</f>
        <v>1.956</v>
      </c>
      <c r="AS127" s="185">
        <v>1.5951043367550843</v>
      </c>
      <c r="AT127" s="137">
        <v>0.16</v>
      </c>
      <c r="AU127" s="137">
        <v>1</v>
      </c>
      <c r="AV127" s="185">
        <f>'LCFS Table'!$AR127*1.7</f>
        <v>3.3251999999999997</v>
      </c>
      <c r="AW127" s="137">
        <v>0</v>
      </c>
      <c r="AX127" s="185">
        <v>1.0808352771449996</v>
      </c>
      <c r="AY127" s="137">
        <v>0</v>
      </c>
      <c r="AZ127" s="141">
        <v>1</v>
      </c>
      <c r="BA127" s="185">
        <f>'LCFS Table'!$AR127*1.5</f>
        <v>2.9340000000000002</v>
      </c>
      <c r="BB127" s="142">
        <v>1.2</v>
      </c>
      <c r="BC127" s="185">
        <f>'LCFS Table'!$AS127*'LCFS Table'!$BW127</f>
        <v>1.5951043367550843</v>
      </c>
      <c r="BD127" s="185">
        <f>'LCFS Table'!$AT127*'LCFS Table'!$BX127</f>
        <v>0</v>
      </c>
      <c r="BE127" s="185">
        <f>'LCFS Table'!$AU127*'LCFS Table'!$BY127</f>
        <v>1</v>
      </c>
      <c r="BF127" s="137">
        <f>'LCFS Table'!$AV127*'LCFS Table'!$BZ127</f>
        <v>3.3251999999999997</v>
      </c>
      <c r="BG127" s="137">
        <f>'LCFS Table'!$AW127*'LCFS Table'!$CA127</f>
        <v>0</v>
      </c>
      <c r="BH127" s="137">
        <f>'LCFS Table'!$AX127*'LCFS Table'!$CB127</f>
        <v>1.0808352771449996</v>
      </c>
      <c r="BI127" s="137">
        <f>'LCFS Table'!$AY127*'LCFS Table'!$CC127</f>
        <v>0</v>
      </c>
      <c r="BJ127" s="137">
        <f>'LCFS Table'!$AZ127*'LCFS Table'!$CD127</f>
        <v>1</v>
      </c>
      <c r="BK127" s="137">
        <f>'LCFS Table'!$BA127*'LCFS Table'!$CE127</f>
        <v>2.9340000000000002</v>
      </c>
      <c r="BL127" s="137">
        <f>'LCFS Table'!$BB127*'LCFS Table'!$CF127</f>
        <v>-1.2</v>
      </c>
      <c r="BM127" s="137">
        <f>'LCFS Table'!$AS127*'LCFS Table'!$CG127</f>
        <v>0</v>
      </c>
      <c r="BN127" s="137">
        <f>'LCFS Table'!$AT127*'LCFS Table'!$CH127</f>
        <v>0.16</v>
      </c>
      <c r="BO127" s="137">
        <f>'LCFS Table'!$AU127*'LCFS Table'!$CI127</f>
        <v>0</v>
      </c>
      <c r="BP127" s="137">
        <f>'LCFS Table'!$AV127*'LCFS Table'!$CJ127</f>
        <v>0</v>
      </c>
      <c r="BQ127" s="137">
        <f>'LCFS Table'!$AW127*'LCFS Table'!$CK127</f>
        <v>0</v>
      </c>
      <c r="BR127" s="137">
        <f>'LCFS Table'!$AX127*'LCFS Table'!$CL127</f>
        <v>0</v>
      </c>
      <c r="BS127" s="137">
        <f>'LCFS Table'!$AY127*'LCFS Table'!$CM127</f>
        <v>0</v>
      </c>
      <c r="BT127" s="137">
        <f>'LCFS Table'!$AZ127*'LCFS Table'!$CN127</f>
        <v>0</v>
      </c>
      <c r="BU127" s="137">
        <f>'LCFS Table'!$BA127*'LCFS Table'!$CO127</f>
        <v>0</v>
      </c>
      <c r="BV127" s="142">
        <f>'LCFS Table'!$BB127*'LCFS Table'!$CP127</f>
        <v>1.2</v>
      </c>
      <c r="BW127" s="138">
        <v>1</v>
      </c>
      <c r="BX127" s="138">
        <v>0</v>
      </c>
      <c r="BY127" s="138">
        <v>1</v>
      </c>
      <c r="BZ127" s="138">
        <v>1</v>
      </c>
      <c r="CA127" s="138">
        <v>-1</v>
      </c>
      <c r="CB127" s="138">
        <v>1</v>
      </c>
      <c r="CC127" s="138">
        <v>0</v>
      </c>
      <c r="CD127" s="138">
        <v>1</v>
      </c>
      <c r="CE127" s="138">
        <v>1</v>
      </c>
      <c r="CF127" s="138">
        <v>-1</v>
      </c>
      <c r="CG127" s="138">
        <f>1-'LCFS Table'!$BW127</f>
        <v>0</v>
      </c>
      <c r="CH127" s="138">
        <f>1-'LCFS Table'!$BX127</f>
        <v>1</v>
      </c>
      <c r="CI127" s="138">
        <f>1-'LCFS Table'!$BY127</f>
        <v>0</v>
      </c>
      <c r="CJ127" s="138">
        <f>1-'LCFS Table'!$BZ127</f>
        <v>0</v>
      </c>
      <c r="CK127" s="138">
        <f>-'LCFS Table'!$CA127</f>
        <v>1</v>
      </c>
      <c r="CL127" s="138">
        <f>1-'LCFS Table'!$CB127</f>
        <v>0</v>
      </c>
      <c r="CM127" s="138">
        <f>1-'LCFS Table'!$CC127</f>
        <v>1</v>
      </c>
      <c r="CN127" s="138">
        <f>1-'LCFS Table'!$CD127</f>
        <v>0</v>
      </c>
      <c r="CO127" s="138">
        <f>1-'LCFS Table'!$CE127</f>
        <v>0</v>
      </c>
      <c r="CP127" s="138">
        <f>-'LCFS Table'!$CF127</f>
        <v>1</v>
      </c>
      <c r="CQ127" s="140">
        <v>10.5</v>
      </c>
      <c r="CR127" s="165">
        <f>('LCFS Table'!$CQ127*0.9/(0.8/0.99)/100)</f>
        <v>0.11694374999999999</v>
      </c>
      <c r="CS127" s="166"/>
      <c r="CT127" s="167"/>
      <c r="CW127" s="168">
        <f>'LCFS Table'!$K127-'LCFS Table'!$M127</f>
        <v>0.84013527714499991</v>
      </c>
      <c r="CX127" s="129">
        <f>MONTH('LCFS Table'!$B127)</f>
        <v>5</v>
      </c>
      <c r="CY127" s="129">
        <f>YEAR('LCFS Table'!$B127)</f>
        <v>2021</v>
      </c>
    </row>
    <row r="128" spans="1:103">
      <c r="A128" s="148">
        <v>44339</v>
      </c>
      <c r="B128" s="149">
        <v>44345</v>
      </c>
      <c r="C128" s="132">
        <f t="shared" si="1"/>
        <v>2021</v>
      </c>
      <c r="D128" s="182" t="s">
        <v>277</v>
      </c>
      <c r="E128" s="187">
        <f>'LCFS Table'!$K128-'LCFS Table'!$I128</f>
        <v>-2.5658772841051323</v>
      </c>
      <c r="F128" s="187">
        <f>('LCFS Table'!$M128)-'LCFS Table'!$J128</f>
        <v>-6.1095707579024996</v>
      </c>
      <c r="G128" s="188">
        <f>'LCFS Table'!$E128+'LCFS Table'!$AS128+'LCFS Table'!$AT128+'LCFS Table'!$AU128+'LCFS Table'!$AV128</f>
        <v>3.5058367022035855</v>
      </c>
      <c r="H128" s="188">
        <f>'LCFS Table'!$F128+'LCFS Table'!$AX128+'LCFS Table'!$AY128+'LCFS Table'!$AZ128+'LCFS Table'!$BA128+('LCFS Table'!$CQ128*0.9/(0.8/0.99)/100)+(DG128*'LCFS Table'!$AF128)+(DF128*'LCFS Table'!$AG128)</f>
        <v>-0.9917925781249991</v>
      </c>
      <c r="I128" s="187">
        <f>('LCFS Table'!$V128+'LCFS Table'!$W128+'LCFS Table'!$X128)/100+(('LCFS Table'!$AI128+'LCFS Table'!$AJ128)/340)</f>
        <v>4.6205772841051322</v>
      </c>
      <c r="J128" s="187">
        <f>(('LCFS Table'!$Y128+'LCFS Table'!$Z128)/100)+(('LCFS Table'!$AM128+'LCFS Table'!$AN128)/300)</f>
        <v>7.3087363281249997</v>
      </c>
      <c r="K128" s="190">
        <f>'[1]Fuel Values'!$C127</f>
        <v>2.0547</v>
      </c>
      <c r="L128" s="190">
        <f>'[1]Fuel Values'!$B127</f>
        <v>620</v>
      </c>
      <c r="M128" s="185">
        <f>('LCFS Table'!$L128/100)-'LCFS Table'!$AX128-'LCFS Table'!$AY128-'LCFS Table'!$AZ128-'LCFS Table'!$BA128</f>
        <v>1.1991655702225006</v>
      </c>
      <c r="N128" s="190">
        <f>[1]BFT!$B127</f>
        <v>56</v>
      </c>
      <c r="O128" s="190">
        <f>[1]UCO!$B127</f>
        <v>46.55</v>
      </c>
      <c r="P128" s="190">
        <f>[1]DCO!$B127</f>
        <v>54.45</v>
      </c>
      <c r="Q128" s="190">
        <f>'[1]Soybean Oil'!$B127</f>
        <v>97.02</v>
      </c>
      <c r="R128" s="190">
        <f>'[1]Yellow Grease'!$B127</f>
        <v>43.7</v>
      </c>
      <c r="S128" s="185">
        <f>'LCFS Table'!$N128 + 'LCFS Table'!$AH128</f>
        <v>60.375</v>
      </c>
      <c r="T128" s="185">
        <f>'LCFS Table'!$Q128+'LCFS Table'!$AH128</f>
        <v>101.395</v>
      </c>
      <c r="U128" s="185">
        <f>'LCFS Table'!$P128+'LCFS Table'!$AH128</f>
        <v>58.825000000000003</v>
      </c>
      <c r="V128" s="185">
        <f>(('LCFS Table'!$S128/'LCFS Table'!$AA128)*'LCFS Table'!$AC128)*6.48</f>
        <v>208.10106382978725</v>
      </c>
      <c r="W128" s="185">
        <f>(('LCFS Table'!$O128/'LCFS Table'!$AA128)*'LCFS Table'!$AD128)*6.48</f>
        <v>80.224468085106395</v>
      </c>
      <c r="X128" s="185">
        <f>(('LCFS Table'!$U128/'LCFS Table'!$AA128)*'LCFS Table'!$AE128)*6.48</f>
        <v>101.37925531914895</v>
      </c>
      <c r="Y128" s="185">
        <f>(('LCFS Table'!$T128/'LCFS Table'!$AB128)*'LCFS Table'!$AF128)*7.35</f>
        <v>582.22910156249998</v>
      </c>
      <c r="Z128" s="185">
        <f>(('LCFS Table'!$R128/'LCFS Table'!$AB128)*'LCFS Table'!$AG128)*7.35</f>
        <v>83.64453125</v>
      </c>
      <c r="AA128" s="138">
        <v>0.94</v>
      </c>
      <c r="AB128" s="138">
        <v>0.96</v>
      </c>
      <c r="AC128" s="138">
        <v>0.5</v>
      </c>
      <c r="AD128" s="138">
        <v>0.25</v>
      </c>
      <c r="AE128" s="138">
        <v>0.25</v>
      </c>
      <c r="AF128" s="138">
        <v>0.75</v>
      </c>
      <c r="AG128" s="138">
        <v>0.25</v>
      </c>
      <c r="AH128" s="139">
        <v>4.375</v>
      </c>
      <c r="AI128" s="139">
        <v>136</v>
      </c>
      <c r="AJ128" s="139">
        <v>110</v>
      </c>
      <c r="AK128" s="186">
        <f>('LCFS Table'!$AI128/340)*100</f>
        <v>40</v>
      </c>
      <c r="AL128" s="186">
        <f>('LCFS Table'!$AJ128/340)*100</f>
        <v>32.352941176470587</v>
      </c>
      <c r="AM128" s="139">
        <v>105</v>
      </c>
      <c r="AN128" s="139">
        <v>90</v>
      </c>
      <c r="AO128" s="139">
        <f>('LCFS Table'!$AM128/300)*100</f>
        <v>35</v>
      </c>
      <c r="AP128" s="139">
        <f>('LCFS Table'!$AN128/300)*100</f>
        <v>30</v>
      </c>
      <c r="AQ128" s="140">
        <f>'[1]LCFS Values'!$B127</f>
        <v>191.9</v>
      </c>
      <c r="AR128" s="140">
        <f>'[1]RIN Values'!$B127/100</f>
        <v>1.9325000000000001</v>
      </c>
      <c r="AS128" s="185">
        <v>1.6264639863087178</v>
      </c>
      <c r="AT128" s="137">
        <v>0.16</v>
      </c>
      <c r="AU128" s="137">
        <v>1</v>
      </c>
      <c r="AV128" s="185">
        <f>'LCFS Table'!$AR128*1.7</f>
        <v>3.28525</v>
      </c>
      <c r="AW128" s="137">
        <v>0</v>
      </c>
      <c r="AX128" s="185">
        <v>1.1020844297774999</v>
      </c>
      <c r="AY128" s="137">
        <v>0</v>
      </c>
      <c r="AZ128" s="141">
        <v>1</v>
      </c>
      <c r="BA128" s="185">
        <f>'LCFS Table'!$AR128*1.5</f>
        <v>2.8987500000000002</v>
      </c>
      <c r="BB128" s="142">
        <v>1.2</v>
      </c>
      <c r="BC128" s="185">
        <f>'LCFS Table'!$AS128*'LCFS Table'!$BW128</f>
        <v>1.6264639863087178</v>
      </c>
      <c r="BD128" s="185">
        <f>'LCFS Table'!$AT128*'LCFS Table'!$BX128</f>
        <v>0</v>
      </c>
      <c r="BE128" s="185">
        <f>'LCFS Table'!$AU128*'LCFS Table'!$BY128</f>
        <v>1</v>
      </c>
      <c r="BF128" s="137">
        <f>'LCFS Table'!$AV128*'LCFS Table'!$BZ128</f>
        <v>3.28525</v>
      </c>
      <c r="BG128" s="137">
        <f>'LCFS Table'!$AW128*'LCFS Table'!$CA128</f>
        <v>0</v>
      </c>
      <c r="BH128" s="137">
        <f>'LCFS Table'!$AX128*'LCFS Table'!$CB128</f>
        <v>1.1020844297774999</v>
      </c>
      <c r="BI128" s="137">
        <f>'LCFS Table'!$AY128*'LCFS Table'!$CC128</f>
        <v>0</v>
      </c>
      <c r="BJ128" s="137">
        <f>'LCFS Table'!$AZ128*'LCFS Table'!$CD128</f>
        <v>1</v>
      </c>
      <c r="BK128" s="137">
        <f>'LCFS Table'!$BA128*'LCFS Table'!$CE128</f>
        <v>2.8987500000000002</v>
      </c>
      <c r="BL128" s="137">
        <f>'LCFS Table'!$BB128*'LCFS Table'!$CF128</f>
        <v>-1.2</v>
      </c>
      <c r="BM128" s="137">
        <f>'LCFS Table'!$AS128*'LCFS Table'!$CG128</f>
        <v>0</v>
      </c>
      <c r="BN128" s="137">
        <f>'LCFS Table'!$AT128*'LCFS Table'!$CH128</f>
        <v>0.16</v>
      </c>
      <c r="BO128" s="137">
        <f>'LCFS Table'!$AU128*'LCFS Table'!$CI128</f>
        <v>0</v>
      </c>
      <c r="BP128" s="137">
        <f>'LCFS Table'!$AV128*'LCFS Table'!$CJ128</f>
        <v>0</v>
      </c>
      <c r="BQ128" s="137">
        <f>'LCFS Table'!$AW128*'LCFS Table'!$CK128</f>
        <v>0</v>
      </c>
      <c r="BR128" s="137">
        <f>'LCFS Table'!$AX128*'LCFS Table'!$CL128</f>
        <v>0</v>
      </c>
      <c r="BS128" s="137">
        <f>'LCFS Table'!$AY128*'LCFS Table'!$CM128</f>
        <v>0</v>
      </c>
      <c r="BT128" s="137">
        <f>'LCFS Table'!$AZ128*'LCFS Table'!$CN128</f>
        <v>0</v>
      </c>
      <c r="BU128" s="137">
        <f>'LCFS Table'!$BA128*'LCFS Table'!$CO128</f>
        <v>0</v>
      </c>
      <c r="BV128" s="142">
        <f>'LCFS Table'!$BB128*'LCFS Table'!$CP128</f>
        <v>1.2</v>
      </c>
      <c r="BW128" s="138">
        <v>1</v>
      </c>
      <c r="BX128" s="138">
        <v>0</v>
      </c>
      <c r="BY128" s="138">
        <v>1</v>
      </c>
      <c r="BZ128" s="138">
        <v>1</v>
      </c>
      <c r="CA128" s="138">
        <v>-1</v>
      </c>
      <c r="CB128" s="138">
        <v>1</v>
      </c>
      <c r="CC128" s="138">
        <v>0</v>
      </c>
      <c r="CD128" s="138">
        <v>1</v>
      </c>
      <c r="CE128" s="138">
        <v>1</v>
      </c>
      <c r="CF128" s="138">
        <v>-1</v>
      </c>
      <c r="CG128" s="138">
        <f>1-'LCFS Table'!$BW128</f>
        <v>0</v>
      </c>
      <c r="CH128" s="138">
        <f>1-'LCFS Table'!$BX128</f>
        <v>1</v>
      </c>
      <c r="CI128" s="138">
        <f>1-'LCFS Table'!$BY128</f>
        <v>0</v>
      </c>
      <c r="CJ128" s="138">
        <f>1-'LCFS Table'!$BZ128</f>
        <v>0</v>
      </c>
      <c r="CK128" s="138">
        <f>-'LCFS Table'!$CA128</f>
        <v>1</v>
      </c>
      <c r="CL128" s="138">
        <f>1-'LCFS Table'!$CB128</f>
        <v>0</v>
      </c>
      <c r="CM128" s="138">
        <f>1-'LCFS Table'!$CC128</f>
        <v>1</v>
      </c>
      <c r="CN128" s="138">
        <f>1-'LCFS Table'!$CD128</f>
        <v>0</v>
      </c>
      <c r="CO128" s="138">
        <f>1-'LCFS Table'!$CE128</f>
        <v>0</v>
      </c>
      <c r="CP128" s="138">
        <f>-'LCFS Table'!$CF128</f>
        <v>1</v>
      </c>
      <c r="CQ128" s="140">
        <v>10.5</v>
      </c>
      <c r="CR128" s="165">
        <f>('LCFS Table'!$CQ128*0.9/(0.8/0.99)/100)</f>
        <v>0.11694374999999999</v>
      </c>
      <c r="CS128" s="166"/>
      <c r="CT128" s="167"/>
      <c r="CW128" s="168">
        <f>'LCFS Table'!$K128-'LCFS Table'!$M128</f>
        <v>0.85553442977749938</v>
      </c>
      <c r="CX128" s="129">
        <f>MONTH('LCFS Table'!$B128)</f>
        <v>5</v>
      </c>
      <c r="CY128" s="129">
        <f>YEAR('LCFS Table'!$B128)</f>
        <v>2021</v>
      </c>
    </row>
    <row r="129" spans="1:103">
      <c r="A129" s="148">
        <v>44346</v>
      </c>
      <c r="B129" s="149">
        <v>44352</v>
      </c>
      <c r="C129" s="132">
        <f t="shared" si="1"/>
        <v>2021</v>
      </c>
      <c r="D129" s="150" t="s">
        <v>278</v>
      </c>
      <c r="E129" s="187">
        <f>'LCFS Table'!$K129-'LCFS Table'!$I129</f>
        <v>-2.5352512202753443</v>
      </c>
      <c r="F129" s="187">
        <f>('LCFS Table'!$M129)-'LCFS Table'!$J129</f>
        <v>-6.3623340525906258</v>
      </c>
      <c r="G129" s="188">
        <f>'LCFS Table'!$E129+'LCFS Table'!$AS129+'LCFS Table'!$AT129+'LCFS Table'!$AU129+'LCFS Table'!$AV129</f>
        <v>3.5851075622296933</v>
      </c>
      <c r="H129" s="188">
        <f>'LCFS Table'!$F129+'LCFS Table'!$AX129+'LCFS Table'!$AY129+'LCFS Table'!$AZ129+'LCFS Table'!$BA129+('LCFS Table'!$CQ129*0.9/(0.8/0.99)/100)+(DG129*'LCFS Table'!$AF129)+(DF129*'LCFS Table'!$AG129)</f>
        <v>-1.1973234375000006</v>
      </c>
      <c r="I129" s="187">
        <f>('LCFS Table'!$V129+'LCFS Table'!$W129+'LCFS Table'!$X129)/100+(('LCFS Table'!$AI129+'LCFS Table'!$AJ129)/340)</f>
        <v>4.6453512202753444</v>
      </c>
      <c r="J129" s="187">
        <f>(('LCFS Table'!$Y129+'LCFS Table'!$Z129)/100)+(('LCFS Table'!$AM129+'LCFS Table'!$AN129)/300)</f>
        <v>7.5448359375000003</v>
      </c>
      <c r="K129" s="190">
        <f>'[1]Fuel Values'!$C128</f>
        <v>2.1101000000000001</v>
      </c>
      <c r="L129" s="190">
        <f>'[1]Fuel Values'!$B128</f>
        <v>622.5</v>
      </c>
      <c r="M129" s="185">
        <f>('LCFS Table'!$L129/100)-'LCFS Table'!$AX129-'LCFS Table'!$AY129-'LCFS Table'!$AZ129-'LCFS Table'!$BA129</f>
        <v>1.1825018849093745</v>
      </c>
      <c r="N129" s="190">
        <f>[1]BFT!$B128</f>
        <v>56</v>
      </c>
      <c r="O129" s="190">
        <f>[1]UCO!$B128</f>
        <v>46.75</v>
      </c>
      <c r="P129" s="190">
        <f>[1]DCO!$B128</f>
        <v>55.6875</v>
      </c>
      <c r="Q129" s="190">
        <f>'[1]Soybean Oil'!$B128</f>
        <v>100.99</v>
      </c>
      <c r="R129" s="190">
        <f>'[1]Yellow Grease'!$B128</f>
        <v>44.125</v>
      </c>
      <c r="S129" s="185">
        <f>'LCFS Table'!$N129 + 'LCFS Table'!$AH129</f>
        <v>60.375</v>
      </c>
      <c r="T129" s="185">
        <f>'LCFS Table'!$Q129+'LCFS Table'!$AH129</f>
        <v>105.36499999999999</v>
      </c>
      <c r="U129" s="185">
        <f>'LCFS Table'!$P129+'LCFS Table'!$AH129</f>
        <v>60.0625</v>
      </c>
      <c r="V129" s="185">
        <f>(('LCFS Table'!$S129/'LCFS Table'!$AA129)*'LCFS Table'!$AC129)*6.48</f>
        <v>208.10106382978725</v>
      </c>
      <c r="W129" s="185">
        <f>(('LCFS Table'!$O129/'LCFS Table'!$AA129)*'LCFS Table'!$AD129)*6.48</f>
        <v>80.569148936170222</v>
      </c>
      <c r="X129" s="185">
        <f>(('LCFS Table'!$U129/'LCFS Table'!$AA129)*'LCFS Table'!$AE129)*6.48</f>
        <v>103.5119680851064</v>
      </c>
      <c r="Y129" s="185">
        <f>(('LCFS Table'!$T129/'LCFS Table'!$AB129)*'LCFS Table'!$AF129)*7.35</f>
        <v>605.02558593749995</v>
      </c>
      <c r="Z129" s="185">
        <f>(('LCFS Table'!$R129/'LCFS Table'!$AB129)*'LCFS Table'!$AG129)*7.35</f>
        <v>84.4580078125</v>
      </c>
      <c r="AA129" s="138">
        <v>0.94</v>
      </c>
      <c r="AB129" s="138">
        <v>0.96</v>
      </c>
      <c r="AC129" s="138">
        <v>0.5</v>
      </c>
      <c r="AD129" s="138">
        <v>0.25</v>
      </c>
      <c r="AE129" s="138">
        <v>0.25</v>
      </c>
      <c r="AF129" s="138">
        <v>0.75</v>
      </c>
      <c r="AG129" s="138">
        <v>0.25</v>
      </c>
      <c r="AH129" s="139">
        <v>4.375</v>
      </c>
      <c r="AI129" s="139">
        <v>136</v>
      </c>
      <c r="AJ129" s="139">
        <v>110</v>
      </c>
      <c r="AK129" s="186">
        <f>('LCFS Table'!$AI129/340)*100</f>
        <v>40</v>
      </c>
      <c r="AL129" s="186">
        <f>('LCFS Table'!$AJ129/340)*100</f>
        <v>32.352941176470587</v>
      </c>
      <c r="AM129" s="139">
        <v>105</v>
      </c>
      <c r="AN129" s="139">
        <v>90</v>
      </c>
      <c r="AO129" s="139">
        <f>('LCFS Table'!$AM129/300)*100</f>
        <v>35</v>
      </c>
      <c r="AP129" s="139">
        <f>('LCFS Table'!$AN129/300)*100</f>
        <v>30</v>
      </c>
      <c r="AQ129" s="140">
        <f>'[1]LCFS Values'!$B128</f>
        <v>192.625</v>
      </c>
      <c r="AR129" s="140">
        <f>'[1]RIN Values'!$B128/100</f>
        <v>1.9575</v>
      </c>
      <c r="AS129" s="185">
        <v>1.6326087825050377</v>
      </c>
      <c r="AT129" s="137">
        <v>0.16</v>
      </c>
      <c r="AU129" s="137">
        <v>1</v>
      </c>
      <c r="AV129" s="185">
        <f>'LCFS Table'!$AR129*1.7</f>
        <v>3.32775</v>
      </c>
      <c r="AW129" s="137">
        <v>0</v>
      </c>
      <c r="AX129" s="185">
        <v>1.1062481150906247</v>
      </c>
      <c r="AY129" s="137">
        <v>0</v>
      </c>
      <c r="AZ129" s="141">
        <v>1</v>
      </c>
      <c r="BA129" s="185">
        <f>'LCFS Table'!$AR129*1.5</f>
        <v>2.9362500000000002</v>
      </c>
      <c r="BB129" s="142">
        <v>1.2</v>
      </c>
      <c r="BC129" s="185">
        <f>'LCFS Table'!$AS129*'LCFS Table'!$BW129</f>
        <v>1.6326087825050377</v>
      </c>
      <c r="BD129" s="185">
        <f>'LCFS Table'!$AT129*'LCFS Table'!$BX129</f>
        <v>0</v>
      </c>
      <c r="BE129" s="185">
        <f>'LCFS Table'!$AU129*'LCFS Table'!$BY129</f>
        <v>1</v>
      </c>
      <c r="BF129" s="137">
        <f>'LCFS Table'!$AV129*'LCFS Table'!$BZ129</f>
        <v>3.32775</v>
      </c>
      <c r="BG129" s="137">
        <f>'LCFS Table'!$AW129*'LCFS Table'!$CA129</f>
        <v>0</v>
      </c>
      <c r="BH129" s="137">
        <f>'LCFS Table'!$AX129*'LCFS Table'!$CB129</f>
        <v>1.1062481150906247</v>
      </c>
      <c r="BI129" s="137">
        <f>'LCFS Table'!$AY129*'LCFS Table'!$CC129</f>
        <v>0</v>
      </c>
      <c r="BJ129" s="137">
        <f>'LCFS Table'!$AZ129*'LCFS Table'!$CD129</f>
        <v>1</v>
      </c>
      <c r="BK129" s="137">
        <f>'LCFS Table'!$BA129*'LCFS Table'!$CE129</f>
        <v>2.9362500000000002</v>
      </c>
      <c r="BL129" s="137">
        <f>'LCFS Table'!$BB129*'LCFS Table'!$CF129</f>
        <v>-1.2</v>
      </c>
      <c r="BM129" s="137">
        <f>'LCFS Table'!$AS129*'LCFS Table'!$CG129</f>
        <v>0</v>
      </c>
      <c r="BN129" s="137">
        <f>'LCFS Table'!$AT129*'LCFS Table'!$CH129</f>
        <v>0.16</v>
      </c>
      <c r="BO129" s="137">
        <f>'LCFS Table'!$AU129*'LCFS Table'!$CI129</f>
        <v>0</v>
      </c>
      <c r="BP129" s="137">
        <f>'LCFS Table'!$AV129*'LCFS Table'!$CJ129</f>
        <v>0</v>
      </c>
      <c r="BQ129" s="137">
        <f>'LCFS Table'!$AW129*'LCFS Table'!$CK129</f>
        <v>0</v>
      </c>
      <c r="BR129" s="137">
        <f>'LCFS Table'!$AX129*'LCFS Table'!$CL129</f>
        <v>0</v>
      </c>
      <c r="BS129" s="137">
        <f>'LCFS Table'!$AY129*'LCFS Table'!$CM129</f>
        <v>0</v>
      </c>
      <c r="BT129" s="137">
        <f>'LCFS Table'!$AZ129*'LCFS Table'!$CN129</f>
        <v>0</v>
      </c>
      <c r="BU129" s="137">
        <f>'LCFS Table'!$BA129*'LCFS Table'!$CO129</f>
        <v>0</v>
      </c>
      <c r="BV129" s="142">
        <f>'LCFS Table'!$BB129*'LCFS Table'!$CP129</f>
        <v>1.2</v>
      </c>
      <c r="BW129" s="138">
        <v>1</v>
      </c>
      <c r="BX129" s="138">
        <v>0</v>
      </c>
      <c r="BY129" s="138">
        <v>1</v>
      </c>
      <c r="BZ129" s="138">
        <v>1</v>
      </c>
      <c r="CA129" s="138">
        <v>-1</v>
      </c>
      <c r="CB129" s="138">
        <v>1</v>
      </c>
      <c r="CC129" s="138">
        <v>0</v>
      </c>
      <c r="CD129" s="138">
        <v>1</v>
      </c>
      <c r="CE129" s="138">
        <v>1</v>
      </c>
      <c r="CF129" s="138">
        <v>-1</v>
      </c>
      <c r="CG129" s="138">
        <f>1-'LCFS Table'!$BW129</f>
        <v>0</v>
      </c>
      <c r="CH129" s="138">
        <f>1-'LCFS Table'!$BX129</f>
        <v>1</v>
      </c>
      <c r="CI129" s="138">
        <f>1-'LCFS Table'!$BY129</f>
        <v>0</v>
      </c>
      <c r="CJ129" s="138">
        <f>1-'LCFS Table'!$BZ129</f>
        <v>0</v>
      </c>
      <c r="CK129" s="138">
        <f>-'LCFS Table'!$CA129</f>
        <v>1</v>
      </c>
      <c r="CL129" s="138">
        <f>1-'LCFS Table'!$CB129</f>
        <v>0</v>
      </c>
      <c r="CM129" s="138">
        <f>1-'LCFS Table'!$CC129</f>
        <v>1</v>
      </c>
      <c r="CN129" s="138">
        <f>1-'LCFS Table'!$CD129</f>
        <v>0</v>
      </c>
      <c r="CO129" s="138">
        <f>1-'LCFS Table'!$CE129</f>
        <v>0</v>
      </c>
      <c r="CP129" s="138">
        <f>-'LCFS Table'!$CF129</f>
        <v>1</v>
      </c>
      <c r="CQ129" s="140">
        <v>11</v>
      </c>
      <c r="CR129" s="165">
        <f>('LCFS Table'!$CQ129*0.9/(0.8/0.99)/100)</f>
        <v>0.12251249999999998</v>
      </c>
      <c r="CS129" s="166"/>
      <c r="CT129" s="167"/>
      <c r="CW129" s="168">
        <f>'LCFS Table'!$K129-'LCFS Table'!$M129</f>
        <v>0.92759811509062562</v>
      </c>
      <c r="CX129" s="129">
        <f>MONTH('LCFS Table'!$B129)</f>
        <v>6</v>
      </c>
      <c r="CY129" s="129">
        <f>YEAR('LCFS Table'!$B129)</f>
        <v>2021</v>
      </c>
    </row>
    <row r="130" spans="1:103">
      <c r="A130" s="148">
        <v>44353</v>
      </c>
      <c r="B130" s="149">
        <v>44359</v>
      </c>
      <c r="C130" s="132">
        <f t="shared" si="1"/>
        <v>2021</v>
      </c>
      <c r="D130" s="182" t="s">
        <v>279</v>
      </c>
      <c r="E130" s="187">
        <f>'LCFS Table'!$K130-'LCFS Table'!$I130</f>
        <v>-2.6110326032540687</v>
      </c>
      <c r="F130" s="187">
        <f>('LCFS Table'!$M130)-'LCFS Table'!$J130</f>
        <v>-6.2740958777725</v>
      </c>
      <c r="G130" s="188">
        <f>'LCFS Table'!$E130+'LCFS Table'!$AS130+'LCFS Table'!$AT130+'LCFS Table'!$AU130+'LCFS Table'!$AV130</f>
        <v>3.547400918286296</v>
      </c>
      <c r="H130" s="188">
        <f>'LCFS Table'!$F130+'LCFS Table'!$AX130+'LCFS Table'!$AY130+'LCFS Table'!$AZ130+'LCFS Table'!$BA130+('LCFS Table'!$CQ130*0.9/(0.8/0.99)/100)+(DG130*'LCFS Table'!$AF130)+(DF130*'LCFS Table'!$AG130)</f>
        <v>-1.0728433593749997</v>
      </c>
      <c r="I130" s="187">
        <f>('LCFS Table'!$V130+'LCFS Table'!$W130+'LCFS Table'!$X130)/100+(('LCFS Table'!$AI130+'LCFS Table'!$AJ130)/340)</f>
        <v>4.7498326032540685</v>
      </c>
      <c r="J130" s="187">
        <f>(('LCFS Table'!$Y130+'LCFS Table'!$Z130)/100)+(('LCFS Table'!$AM130+'LCFS Table'!$AN130)/300)</f>
        <v>7.6753558593750002</v>
      </c>
      <c r="K130" s="190">
        <f>'[1]Fuel Values'!$C129</f>
        <v>2.1387999999999998</v>
      </c>
      <c r="L130" s="190">
        <f>'[1]Fuel Values'!$B129</f>
        <v>648</v>
      </c>
      <c r="M130" s="185">
        <f>('LCFS Table'!$L130/100)-'LCFS Table'!$AX130-'LCFS Table'!$AY130-'LCFS Table'!$AZ130-'LCFS Table'!$BA130</f>
        <v>1.4012599816025002</v>
      </c>
      <c r="N130" s="190">
        <f>[1]BFT!$B129</f>
        <v>57.6</v>
      </c>
      <c r="O130" s="190">
        <f>[1]UCO!$B129</f>
        <v>47.65</v>
      </c>
      <c r="P130" s="190">
        <f>[1]DCO!$B129</f>
        <v>57.65</v>
      </c>
      <c r="Q130" s="190">
        <f>'[1]Soybean Oil'!$B129</f>
        <v>103.08799999999999</v>
      </c>
      <c r="R130" s="190">
        <f>'[1]Yellow Grease'!$B129</f>
        <v>44.65</v>
      </c>
      <c r="S130" s="185">
        <f>'LCFS Table'!$N130 + 'LCFS Table'!$AH130</f>
        <v>61.975000000000001</v>
      </c>
      <c r="T130" s="185">
        <f>'LCFS Table'!$Q130+'LCFS Table'!$AH130</f>
        <v>107.46299999999999</v>
      </c>
      <c r="U130" s="185">
        <f>'LCFS Table'!$P130+'LCFS Table'!$AH130</f>
        <v>62.024999999999999</v>
      </c>
      <c r="V130" s="185">
        <f>(('LCFS Table'!$S130/'LCFS Table'!$AA130)*'LCFS Table'!$AC130)*6.48</f>
        <v>213.61595744680855</v>
      </c>
      <c r="W130" s="185">
        <f>(('LCFS Table'!$O130/'LCFS Table'!$AA130)*'LCFS Table'!$AD130)*6.48</f>
        <v>82.120212765957461</v>
      </c>
      <c r="X130" s="185">
        <f>(('LCFS Table'!$U130/'LCFS Table'!$AA130)*'LCFS Table'!$AE130)*6.48</f>
        <v>106.89414893617021</v>
      </c>
      <c r="Y130" s="185">
        <f>(('LCFS Table'!$T130/'LCFS Table'!$AB130)*'LCFS Table'!$AF130)*7.35</f>
        <v>617.07269531249995</v>
      </c>
      <c r="Z130" s="185">
        <f>(('LCFS Table'!$R130/'LCFS Table'!$AB130)*'LCFS Table'!$AG130)*7.35</f>
        <v>85.462890624999986</v>
      </c>
      <c r="AA130" s="138">
        <v>0.94</v>
      </c>
      <c r="AB130" s="138">
        <v>0.96</v>
      </c>
      <c r="AC130" s="138">
        <v>0.5</v>
      </c>
      <c r="AD130" s="138">
        <v>0.25</v>
      </c>
      <c r="AE130" s="138">
        <v>0.25</v>
      </c>
      <c r="AF130" s="138">
        <v>0.75</v>
      </c>
      <c r="AG130" s="138">
        <v>0.25</v>
      </c>
      <c r="AH130" s="139">
        <v>4.375</v>
      </c>
      <c r="AI130" s="139">
        <v>136</v>
      </c>
      <c r="AJ130" s="139">
        <v>110</v>
      </c>
      <c r="AK130" s="186">
        <f>('LCFS Table'!$AI130/340)*100</f>
        <v>40</v>
      </c>
      <c r="AL130" s="186">
        <f>('LCFS Table'!$AJ130/340)*100</f>
        <v>32.352941176470587</v>
      </c>
      <c r="AM130" s="139">
        <v>105</v>
      </c>
      <c r="AN130" s="139">
        <v>90</v>
      </c>
      <c r="AO130" s="139">
        <f>('LCFS Table'!$AM130/300)*100</f>
        <v>35</v>
      </c>
      <c r="AP130" s="139">
        <f>('LCFS Table'!$AN130/300)*100</f>
        <v>30</v>
      </c>
      <c r="AQ130" s="140">
        <f>'[1]LCFS Values'!$B129</f>
        <v>191.1</v>
      </c>
      <c r="AR130" s="140">
        <f>'[1]RIN Values'!$B129/100</f>
        <v>1.9875</v>
      </c>
      <c r="AS130" s="185">
        <v>1.6196835215403647</v>
      </c>
      <c r="AT130" s="137">
        <v>0.16</v>
      </c>
      <c r="AU130" s="137">
        <v>1</v>
      </c>
      <c r="AV130" s="185">
        <f>'LCFS Table'!$AR130*1.7</f>
        <v>3.3787500000000001</v>
      </c>
      <c r="AW130" s="137">
        <v>0</v>
      </c>
      <c r="AX130" s="185">
        <v>1.0974900183974998</v>
      </c>
      <c r="AY130" s="137">
        <v>0</v>
      </c>
      <c r="AZ130" s="141">
        <v>1</v>
      </c>
      <c r="BA130" s="185">
        <f>'LCFS Table'!$AR130*1.5</f>
        <v>2.9812500000000002</v>
      </c>
      <c r="BB130" s="142">
        <v>1.2</v>
      </c>
      <c r="BC130" s="185">
        <f>'LCFS Table'!$AS130*'LCFS Table'!$BW130</f>
        <v>1.6196835215403647</v>
      </c>
      <c r="BD130" s="185">
        <f>'LCFS Table'!$AT130*'LCFS Table'!$BX130</f>
        <v>0</v>
      </c>
      <c r="BE130" s="185">
        <f>'LCFS Table'!$AU130*'LCFS Table'!$BY130</f>
        <v>1</v>
      </c>
      <c r="BF130" s="137">
        <f>'LCFS Table'!$AV130*'LCFS Table'!$BZ130</f>
        <v>3.3787500000000001</v>
      </c>
      <c r="BG130" s="137">
        <f>'LCFS Table'!$AW130*'LCFS Table'!$CA130</f>
        <v>0</v>
      </c>
      <c r="BH130" s="137">
        <f>'LCFS Table'!$AX130*'LCFS Table'!$CB130</f>
        <v>1.0974900183974998</v>
      </c>
      <c r="BI130" s="137">
        <f>'LCFS Table'!$AY130*'LCFS Table'!$CC130</f>
        <v>0</v>
      </c>
      <c r="BJ130" s="137">
        <f>'LCFS Table'!$AZ130*'LCFS Table'!$CD130</f>
        <v>1</v>
      </c>
      <c r="BK130" s="137">
        <f>'LCFS Table'!$BA130*'LCFS Table'!$CE130</f>
        <v>2.9812500000000002</v>
      </c>
      <c r="BL130" s="137">
        <f>'LCFS Table'!$BB130*'LCFS Table'!$CF130</f>
        <v>-1.2</v>
      </c>
      <c r="BM130" s="137">
        <f>'LCFS Table'!$AS130*'LCFS Table'!$CG130</f>
        <v>0</v>
      </c>
      <c r="BN130" s="137">
        <f>'LCFS Table'!$AT130*'LCFS Table'!$CH130</f>
        <v>0.16</v>
      </c>
      <c r="BO130" s="137">
        <f>'LCFS Table'!$AU130*'LCFS Table'!$CI130</f>
        <v>0</v>
      </c>
      <c r="BP130" s="137">
        <f>'LCFS Table'!$AV130*'LCFS Table'!$CJ130</f>
        <v>0</v>
      </c>
      <c r="BQ130" s="137">
        <f>'LCFS Table'!$AW130*'LCFS Table'!$CK130</f>
        <v>0</v>
      </c>
      <c r="BR130" s="137">
        <f>'LCFS Table'!$AX130*'LCFS Table'!$CL130</f>
        <v>0</v>
      </c>
      <c r="BS130" s="137">
        <f>'LCFS Table'!$AY130*'LCFS Table'!$CM130</f>
        <v>0</v>
      </c>
      <c r="BT130" s="137">
        <f>'LCFS Table'!$AZ130*'LCFS Table'!$CN130</f>
        <v>0</v>
      </c>
      <c r="BU130" s="137">
        <f>'LCFS Table'!$BA130*'LCFS Table'!$CO130</f>
        <v>0</v>
      </c>
      <c r="BV130" s="142">
        <f>'LCFS Table'!$BB130*'LCFS Table'!$CP130</f>
        <v>1.2</v>
      </c>
      <c r="BW130" s="138">
        <v>1</v>
      </c>
      <c r="BX130" s="138">
        <v>0</v>
      </c>
      <c r="BY130" s="138">
        <v>1</v>
      </c>
      <c r="BZ130" s="138">
        <v>1</v>
      </c>
      <c r="CA130" s="138">
        <v>-1</v>
      </c>
      <c r="CB130" s="138">
        <v>1</v>
      </c>
      <c r="CC130" s="138">
        <v>0</v>
      </c>
      <c r="CD130" s="138">
        <v>1</v>
      </c>
      <c r="CE130" s="138">
        <v>1</v>
      </c>
      <c r="CF130" s="138">
        <v>-1</v>
      </c>
      <c r="CG130" s="138">
        <f>1-'LCFS Table'!$BW130</f>
        <v>0</v>
      </c>
      <c r="CH130" s="138">
        <f>1-'LCFS Table'!$BX130</f>
        <v>1</v>
      </c>
      <c r="CI130" s="138">
        <f>1-'LCFS Table'!$BY130</f>
        <v>0</v>
      </c>
      <c r="CJ130" s="138">
        <f>1-'LCFS Table'!$BZ130</f>
        <v>0</v>
      </c>
      <c r="CK130" s="138">
        <f>-'LCFS Table'!$CA130</f>
        <v>1</v>
      </c>
      <c r="CL130" s="138">
        <f>1-'LCFS Table'!$CB130</f>
        <v>0</v>
      </c>
      <c r="CM130" s="138">
        <f>1-'LCFS Table'!$CC130</f>
        <v>1</v>
      </c>
      <c r="CN130" s="138">
        <f>1-'LCFS Table'!$CD130</f>
        <v>0</v>
      </c>
      <c r="CO130" s="138">
        <f>1-'LCFS Table'!$CE130</f>
        <v>0</v>
      </c>
      <c r="CP130" s="138">
        <f>-'LCFS Table'!$CF130</f>
        <v>1</v>
      </c>
      <c r="CQ130" s="140">
        <v>11</v>
      </c>
      <c r="CR130" s="165">
        <f>('LCFS Table'!$CQ130*0.9/(0.8/0.99)/100)</f>
        <v>0.12251249999999998</v>
      </c>
      <c r="CS130" s="166"/>
      <c r="CT130" s="167"/>
      <c r="CW130" s="168">
        <f>'LCFS Table'!$K130-'LCFS Table'!$M130</f>
        <v>0.73754001839749961</v>
      </c>
      <c r="CX130" s="129">
        <f>MONTH('LCFS Table'!$B130)</f>
        <v>6</v>
      </c>
      <c r="CY130" s="129">
        <f>YEAR('LCFS Table'!$B130)</f>
        <v>2021</v>
      </c>
    </row>
    <row r="131" spans="1:103">
      <c r="A131" s="148">
        <v>44360</v>
      </c>
      <c r="B131" s="149">
        <v>44366</v>
      </c>
      <c r="C131" s="132">
        <f t="shared" si="1"/>
        <v>2021</v>
      </c>
      <c r="D131" s="150" t="s">
        <v>280</v>
      </c>
      <c r="E131" s="187">
        <f>'LCFS Table'!$K131-'LCFS Table'!$I131</f>
        <v>-2.7017900500625789</v>
      </c>
      <c r="F131" s="187">
        <f>('LCFS Table'!$M131)-'LCFS Table'!$J131</f>
        <v>-5.012400327576251</v>
      </c>
      <c r="G131" s="188">
        <f>'LCFS Table'!$E131+'LCFS Table'!$AS131+'LCFS Table'!$AT131+'LCFS Table'!$AU131+'LCFS Table'!$AV131</f>
        <v>2.6768331819326154</v>
      </c>
      <c r="H131" s="188">
        <f>'LCFS Table'!$F131+'LCFS Table'!$AX131+'LCFS Table'!$AY131+'LCFS Table'!$AZ131+'LCFS Table'!$BA131+('LCFS Table'!$CQ131*0.9/(0.8/0.99)/100)+(DG131*'LCFS Table'!$AF131)+(DF131*'LCFS Table'!$AG131)</f>
        <v>-0.48570679687500129</v>
      </c>
      <c r="I131" s="187">
        <f>('LCFS Table'!$V131+'LCFS Table'!$W131+'LCFS Table'!$X131)/100+(('LCFS Table'!$AI131+'LCFS Table'!$AJ131)/340)</f>
        <v>4.8092900500625788</v>
      </c>
      <c r="J131" s="187">
        <f>(('LCFS Table'!$Y131+'LCFS Table'!$Z131)/100)+(('LCFS Table'!$AM131+'LCFS Table'!$AN131)/300)</f>
        <v>7.2171292968750009</v>
      </c>
      <c r="K131" s="190">
        <f>'[1]Fuel Values'!$C130</f>
        <v>2.1074999999999999</v>
      </c>
      <c r="L131" s="190">
        <f>'[1]Fuel Values'!$B130</f>
        <v>660</v>
      </c>
      <c r="M131" s="185">
        <f>('LCFS Table'!$L131/100)-'LCFS Table'!$AX131-'LCFS Table'!$AY131-'LCFS Table'!$AZ131-'LCFS Table'!$BA131</f>
        <v>2.20472896929875</v>
      </c>
      <c r="N131" s="190">
        <f>[1]BFT!$B130</f>
        <v>59</v>
      </c>
      <c r="O131" s="190">
        <f>[1]UCO!$B130</f>
        <v>50.2</v>
      </c>
      <c r="P131" s="190">
        <f>[1]DCO!$B130</f>
        <v>55.75</v>
      </c>
      <c r="Q131" s="190">
        <f>'[1]Soybean Oil'!$B130</f>
        <v>94.858000000000004</v>
      </c>
      <c r="R131" s="190">
        <f>'[1]Yellow Grease'!$B130</f>
        <v>45.4</v>
      </c>
      <c r="S131" s="185">
        <f>'LCFS Table'!$N131 + 'LCFS Table'!$AH131</f>
        <v>63.375</v>
      </c>
      <c r="T131" s="185">
        <f>'LCFS Table'!$Q131+'LCFS Table'!$AH131</f>
        <v>99.233000000000004</v>
      </c>
      <c r="U131" s="185">
        <f>'LCFS Table'!$P131+'LCFS Table'!$AH131</f>
        <v>60.125</v>
      </c>
      <c r="V131" s="185">
        <f>(('LCFS Table'!$S131/'LCFS Table'!$AA131)*'LCFS Table'!$AC131)*6.48</f>
        <v>218.44148936170214</v>
      </c>
      <c r="W131" s="185">
        <f>(('LCFS Table'!$O131/'LCFS Table'!$AA131)*'LCFS Table'!$AD131)*6.48</f>
        <v>86.514893617021301</v>
      </c>
      <c r="X131" s="185">
        <f>(('LCFS Table'!$U131/'LCFS Table'!$AA131)*'LCFS Table'!$AE131)*6.48</f>
        <v>103.61968085106385</v>
      </c>
      <c r="Y131" s="185">
        <f>(('LCFS Table'!$T131/'LCFS Table'!$AB131)*'LCFS Table'!$AF131)*7.35</f>
        <v>569.81449218750004</v>
      </c>
      <c r="Z131" s="185">
        <f>(('LCFS Table'!$R131/'LCFS Table'!$AB131)*'LCFS Table'!$AG131)*7.35</f>
        <v>86.898437499999986</v>
      </c>
      <c r="AA131" s="138">
        <v>0.94</v>
      </c>
      <c r="AB131" s="138">
        <v>0.96</v>
      </c>
      <c r="AC131" s="138">
        <v>0.5</v>
      </c>
      <c r="AD131" s="138">
        <v>0.25</v>
      </c>
      <c r="AE131" s="138">
        <v>0.25</v>
      </c>
      <c r="AF131" s="138">
        <v>0.75</v>
      </c>
      <c r="AG131" s="138">
        <v>0.25</v>
      </c>
      <c r="AH131" s="139">
        <v>4.375</v>
      </c>
      <c r="AI131" s="139">
        <v>136</v>
      </c>
      <c r="AJ131" s="139">
        <v>110</v>
      </c>
      <c r="AK131" s="186">
        <f>('LCFS Table'!$AI131/340)*100</f>
        <v>40</v>
      </c>
      <c r="AL131" s="186">
        <f>('LCFS Table'!$AJ131/340)*100</f>
        <v>32.352941176470587</v>
      </c>
      <c r="AM131" s="139">
        <v>105</v>
      </c>
      <c r="AN131" s="139">
        <v>90</v>
      </c>
      <c r="AO131" s="139">
        <f>('LCFS Table'!$AM131/300)*100</f>
        <v>35</v>
      </c>
      <c r="AP131" s="139">
        <f>('LCFS Table'!$AN131/300)*100</f>
        <v>30</v>
      </c>
      <c r="AQ131" s="140">
        <f>'[1]LCFS Values'!$B130</f>
        <v>188.45</v>
      </c>
      <c r="AR131" s="140">
        <f>'[1]RIN Values'!$B130/100</f>
        <v>1.5419999999999998</v>
      </c>
      <c r="AS131" s="185">
        <v>1.5972232319951947</v>
      </c>
      <c r="AT131" s="137">
        <v>0.16</v>
      </c>
      <c r="AU131" s="137">
        <v>1</v>
      </c>
      <c r="AV131" s="185">
        <f>'LCFS Table'!$AR131*1.7</f>
        <v>2.6213999999999995</v>
      </c>
      <c r="AW131" s="137">
        <v>0</v>
      </c>
      <c r="AX131" s="185">
        <v>1.0822710307012497</v>
      </c>
      <c r="AY131" s="137">
        <v>0</v>
      </c>
      <c r="AZ131" s="141">
        <v>1</v>
      </c>
      <c r="BA131" s="185">
        <f>'LCFS Table'!$AR131*1.5</f>
        <v>2.3129999999999997</v>
      </c>
      <c r="BB131" s="142">
        <v>1.2</v>
      </c>
      <c r="BC131" s="185">
        <f>'LCFS Table'!$AS131*'LCFS Table'!$BW131</f>
        <v>1.5972232319951947</v>
      </c>
      <c r="BD131" s="185">
        <f>'LCFS Table'!$AT131*'LCFS Table'!$BX131</f>
        <v>0</v>
      </c>
      <c r="BE131" s="185">
        <f>'LCFS Table'!$AU131*'LCFS Table'!$BY131</f>
        <v>1</v>
      </c>
      <c r="BF131" s="137">
        <f>'LCFS Table'!$AV131*'LCFS Table'!$BZ131</f>
        <v>2.6213999999999995</v>
      </c>
      <c r="BG131" s="137">
        <f>'LCFS Table'!$AW131*'LCFS Table'!$CA131</f>
        <v>0</v>
      </c>
      <c r="BH131" s="137">
        <f>'LCFS Table'!$AX131*'LCFS Table'!$CB131</f>
        <v>1.0822710307012497</v>
      </c>
      <c r="BI131" s="137">
        <f>'LCFS Table'!$AY131*'LCFS Table'!$CC131</f>
        <v>0</v>
      </c>
      <c r="BJ131" s="137">
        <f>'LCFS Table'!$AZ131*'LCFS Table'!$CD131</f>
        <v>1</v>
      </c>
      <c r="BK131" s="137">
        <f>'LCFS Table'!$BA131*'LCFS Table'!$CE131</f>
        <v>2.3129999999999997</v>
      </c>
      <c r="BL131" s="137">
        <f>'LCFS Table'!$BB131*'LCFS Table'!$CF131</f>
        <v>-1.2</v>
      </c>
      <c r="BM131" s="137">
        <f>'LCFS Table'!$AS131*'LCFS Table'!$CG131</f>
        <v>0</v>
      </c>
      <c r="BN131" s="137">
        <f>'LCFS Table'!$AT131*'LCFS Table'!$CH131</f>
        <v>0.16</v>
      </c>
      <c r="BO131" s="137">
        <f>'LCFS Table'!$AU131*'LCFS Table'!$CI131</f>
        <v>0</v>
      </c>
      <c r="BP131" s="137">
        <f>'LCFS Table'!$AV131*'LCFS Table'!$CJ131</f>
        <v>0</v>
      </c>
      <c r="BQ131" s="137">
        <f>'LCFS Table'!$AW131*'LCFS Table'!$CK131</f>
        <v>0</v>
      </c>
      <c r="BR131" s="137">
        <f>'LCFS Table'!$AX131*'LCFS Table'!$CL131</f>
        <v>0</v>
      </c>
      <c r="BS131" s="137">
        <f>'LCFS Table'!$AY131*'LCFS Table'!$CM131</f>
        <v>0</v>
      </c>
      <c r="BT131" s="137">
        <f>'LCFS Table'!$AZ131*'LCFS Table'!$CN131</f>
        <v>0</v>
      </c>
      <c r="BU131" s="137">
        <f>'LCFS Table'!$BA131*'LCFS Table'!$CO131</f>
        <v>0</v>
      </c>
      <c r="BV131" s="142">
        <f>'LCFS Table'!$BB131*'LCFS Table'!$CP131</f>
        <v>1.2</v>
      </c>
      <c r="BW131" s="138">
        <v>1</v>
      </c>
      <c r="BX131" s="138">
        <v>0</v>
      </c>
      <c r="BY131" s="138">
        <v>1</v>
      </c>
      <c r="BZ131" s="138">
        <v>1</v>
      </c>
      <c r="CA131" s="138">
        <v>-1</v>
      </c>
      <c r="CB131" s="138">
        <v>1</v>
      </c>
      <c r="CC131" s="138">
        <v>0</v>
      </c>
      <c r="CD131" s="138">
        <v>1</v>
      </c>
      <c r="CE131" s="138">
        <v>1</v>
      </c>
      <c r="CF131" s="138">
        <v>-1</v>
      </c>
      <c r="CG131" s="138">
        <f>1-'LCFS Table'!$BW131</f>
        <v>0</v>
      </c>
      <c r="CH131" s="138">
        <f>1-'LCFS Table'!$BX131</f>
        <v>1</v>
      </c>
      <c r="CI131" s="138">
        <f>1-'LCFS Table'!$BY131</f>
        <v>0</v>
      </c>
      <c r="CJ131" s="138">
        <f>1-'LCFS Table'!$BZ131</f>
        <v>0</v>
      </c>
      <c r="CK131" s="138">
        <f>-'LCFS Table'!$CA131</f>
        <v>1</v>
      </c>
      <c r="CL131" s="138">
        <f>1-'LCFS Table'!$CB131</f>
        <v>0</v>
      </c>
      <c r="CM131" s="138">
        <f>1-'LCFS Table'!$CC131</f>
        <v>1</v>
      </c>
      <c r="CN131" s="138">
        <f>1-'LCFS Table'!$CD131</f>
        <v>0</v>
      </c>
      <c r="CO131" s="138">
        <f>1-'LCFS Table'!$CE131</f>
        <v>0</v>
      </c>
      <c r="CP131" s="138">
        <f>-'LCFS Table'!$CF131</f>
        <v>1</v>
      </c>
      <c r="CQ131" s="140">
        <v>11.8</v>
      </c>
      <c r="CR131" s="165">
        <f>('LCFS Table'!$CQ131*0.9/(0.8/0.99)/100)</f>
        <v>0.1314225</v>
      </c>
      <c r="CS131" s="166"/>
      <c r="CT131" s="167"/>
      <c r="CW131" s="168">
        <f>'LCFS Table'!$K131-'LCFS Table'!$M131</f>
        <v>-9.7228969298750023E-2</v>
      </c>
      <c r="CX131" s="129">
        <f>MONTH('LCFS Table'!$B131)</f>
        <v>6</v>
      </c>
      <c r="CY131" s="129">
        <f>YEAR('LCFS Table'!$B131)</f>
        <v>2021</v>
      </c>
    </row>
    <row r="132" spans="1:103">
      <c r="A132" s="148">
        <v>44367</v>
      </c>
      <c r="B132" s="149">
        <v>44373</v>
      </c>
      <c r="C132" s="132">
        <f t="shared" si="1"/>
        <v>2021</v>
      </c>
      <c r="D132" s="182" t="s">
        <v>281</v>
      </c>
      <c r="E132" s="187">
        <f>'LCFS Table'!$K132-'LCFS Table'!$I132</f>
        <v>-2.6210538798498129</v>
      </c>
      <c r="F132" s="187">
        <f>('LCFS Table'!$M132)-'LCFS Table'!$J132</f>
        <v>-5.2285025617774998</v>
      </c>
      <c r="G132" s="188">
        <f>'LCFS Table'!$E132+'LCFS Table'!$AS132+'LCFS Table'!$AT132+'LCFS Table'!$AU132+'LCFS Table'!$AV132</f>
        <v>2.9722322016566971</v>
      </c>
      <c r="H132" s="188">
        <f>'LCFS Table'!$F132+'LCFS Table'!$AX132+'LCFS Table'!$AY132+'LCFS Table'!$AZ132+'LCFS Table'!$BA132+('LCFS Table'!$CQ132*0.9/(0.8/0.99)/100)+(DG132*'LCFS Table'!$AF132)+(DF132*'LCFS Table'!$AG132)</f>
        <v>-0.46738820312500079</v>
      </c>
      <c r="I132" s="187">
        <f>('LCFS Table'!$V132+'LCFS Table'!$W132+'LCFS Table'!$X132)/100+(('LCFS Table'!$AI132+'LCFS Table'!$AJ132)/340)</f>
        <v>4.780853879849813</v>
      </c>
      <c r="J132" s="187">
        <f>(('LCFS Table'!$Y132+'LCFS Table'!$Z132)/100)+(('LCFS Table'!$AM132+'LCFS Table'!$AN132)/300)</f>
        <v>7.0611332031250011</v>
      </c>
      <c r="K132" s="190">
        <f>'[1]Fuel Values'!$C131</f>
        <v>2.1598000000000002</v>
      </c>
      <c r="L132" s="190">
        <f>'[1]Fuel Values'!$B131</f>
        <v>642</v>
      </c>
      <c r="M132" s="185">
        <f>('LCFS Table'!$L132/100)-'LCFS Table'!$AX132-'LCFS Table'!$AY132-'LCFS Table'!$AZ132-'LCFS Table'!$BA132</f>
        <v>1.8326306413475009</v>
      </c>
      <c r="N132" s="190">
        <f>[1]BFT!$B131</f>
        <v>59</v>
      </c>
      <c r="O132" s="190">
        <f>[1]UCO!$B131</f>
        <v>51</v>
      </c>
      <c r="P132" s="190">
        <f>[1]DCO!$B131</f>
        <v>53.3</v>
      </c>
      <c r="Q132" s="190">
        <f>'[1]Soybean Oil'!$B131</f>
        <v>92.108000000000004</v>
      </c>
      <c r="R132" s="190">
        <f>'[1]Yellow Grease'!$B131</f>
        <v>45.5</v>
      </c>
      <c r="S132" s="185">
        <f>'LCFS Table'!$N132 + 'LCFS Table'!$AH132</f>
        <v>63.375</v>
      </c>
      <c r="T132" s="185">
        <f>'LCFS Table'!$Q132+'LCFS Table'!$AH132</f>
        <v>96.483000000000004</v>
      </c>
      <c r="U132" s="185">
        <f>'LCFS Table'!$P132+'LCFS Table'!$AH132</f>
        <v>57.674999999999997</v>
      </c>
      <c r="V132" s="185">
        <f>(('LCFS Table'!$S132/'LCFS Table'!$AA132)*'LCFS Table'!$AC132)*6.48</f>
        <v>218.44148936170214</v>
      </c>
      <c r="W132" s="185">
        <f>(('LCFS Table'!$O132/'LCFS Table'!$AA132)*'LCFS Table'!$AD132)*6.48</f>
        <v>87.893617021276611</v>
      </c>
      <c r="X132" s="185">
        <f>(('LCFS Table'!$U132/'LCFS Table'!$AA132)*'LCFS Table'!$AE132)*6.48</f>
        <v>99.397340425531922</v>
      </c>
      <c r="Y132" s="185">
        <f>(('LCFS Table'!$T132/'LCFS Table'!$AB132)*'LCFS Table'!$AF132)*7.35</f>
        <v>554.02347656250004</v>
      </c>
      <c r="Z132" s="185">
        <f>(('LCFS Table'!$R132/'LCFS Table'!$AB132)*'LCFS Table'!$AG132)*7.35</f>
        <v>87.08984375</v>
      </c>
      <c r="AA132" s="138">
        <v>0.94</v>
      </c>
      <c r="AB132" s="138">
        <v>0.96</v>
      </c>
      <c r="AC132" s="138">
        <v>0.5</v>
      </c>
      <c r="AD132" s="138">
        <v>0.25</v>
      </c>
      <c r="AE132" s="138">
        <v>0.25</v>
      </c>
      <c r="AF132" s="138">
        <v>0.75</v>
      </c>
      <c r="AG132" s="138">
        <v>0.25</v>
      </c>
      <c r="AH132" s="139">
        <v>4.375</v>
      </c>
      <c r="AI132" s="139">
        <v>136</v>
      </c>
      <c r="AJ132" s="139">
        <v>110</v>
      </c>
      <c r="AK132" s="186">
        <f>('LCFS Table'!$AI132/340)*100</f>
        <v>40</v>
      </c>
      <c r="AL132" s="186">
        <f>('LCFS Table'!$AJ132/340)*100</f>
        <v>32.352941176470587</v>
      </c>
      <c r="AM132" s="139">
        <v>105</v>
      </c>
      <c r="AN132" s="139">
        <v>90</v>
      </c>
      <c r="AO132" s="139">
        <f>('LCFS Table'!$AM132/300)*100</f>
        <v>35</v>
      </c>
      <c r="AP132" s="139">
        <f>('LCFS Table'!$AN132/300)*100</f>
        <v>30</v>
      </c>
      <c r="AQ132" s="140">
        <f>'[1]LCFS Values'!$B131</f>
        <v>186.9</v>
      </c>
      <c r="AR132" s="140">
        <f>'[1]RIN Values'!$B131/100</f>
        <v>1.6759999999999999</v>
      </c>
      <c r="AS132" s="185">
        <v>1.5840860815065103</v>
      </c>
      <c r="AT132" s="137">
        <v>0.16</v>
      </c>
      <c r="AU132" s="137">
        <v>1</v>
      </c>
      <c r="AV132" s="185">
        <f>'LCFS Table'!$AR132*1.7</f>
        <v>2.8491999999999997</v>
      </c>
      <c r="AW132" s="137">
        <v>0</v>
      </c>
      <c r="AX132" s="185">
        <v>1.0733693586524997</v>
      </c>
      <c r="AY132" s="137">
        <v>0</v>
      </c>
      <c r="AZ132" s="141">
        <v>1</v>
      </c>
      <c r="BA132" s="185">
        <f>'LCFS Table'!$AR132*1.5</f>
        <v>2.5139999999999998</v>
      </c>
      <c r="BB132" s="142">
        <v>1.2</v>
      </c>
      <c r="BC132" s="185">
        <f>'LCFS Table'!$AS132*'LCFS Table'!$BW132</f>
        <v>1.5840860815065103</v>
      </c>
      <c r="BD132" s="185">
        <f>'LCFS Table'!$AT132*'LCFS Table'!$BX132</f>
        <v>0</v>
      </c>
      <c r="BE132" s="185">
        <f>'LCFS Table'!$AU132*'LCFS Table'!$BY132</f>
        <v>1</v>
      </c>
      <c r="BF132" s="137">
        <f>'LCFS Table'!$AV132*'LCFS Table'!$BZ132</f>
        <v>2.8491999999999997</v>
      </c>
      <c r="BG132" s="137">
        <f>'LCFS Table'!$AW132*'LCFS Table'!$CA132</f>
        <v>0</v>
      </c>
      <c r="BH132" s="137">
        <f>'LCFS Table'!$AX132*'LCFS Table'!$CB132</f>
        <v>1.0733693586524997</v>
      </c>
      <c r="BI132" s="137">
        <f>'LCFS Table'!$AY132*'LCFS Table'!$CC132</f>
        <v>0</v>
      </c>
      <c r="BJ132" s="137">
        <f>'LCFS Table'!$AZ132*'LCFS Table'!$CD132</f>
        <v>1</v>
      </c>
      <c r="BK132" s="137">
        <f>'LCFS Table'!$BA132*'LCFS Table'!$CE132</f>
        <v>2.5139999999999998</v>
      </c>
      <c r="BL132" s="137">
        <f>'LCFS Table'!$BB132*'LCFS Table'!$CF132</f>
        <v>-1.2</v>
      </c>
      <c r="BM132" s="137">
        <f>'LCFS Table'!$AS132*'LCFS Table'!$CG132</f>
        <v>0</v>
      </c>
      <c r="BN132" s="137">
        <f>'LCFS Table'!$AT132*'LCFS Table'!$CH132</f>
        <v>0.16</v>
      </c>
      <c r="BO132" s="137">
        <f>'LCFS Table'!$AU132*'LCFS Table'!$CI132</f>
        <v>0</v>
      </c>
      <c r="BP132" s="137">
        <f>'LCFS Table'!$AV132*'LCFS Table'!$CJ132</f>
        <v>0</v>
      </c>
      <c r="BQ132" s="137">
        <f>'LCFS Table'!$AW132*'LCFS Table'!$CK132</f>
        <v>0</v>
      </c>
      <c r="BR132" s="137">
        <f>'LCFS Table'!$AX132*'LCFS Table'!$CL132</f>
        <v>0</v>
      </c>
      <c r="BS132" s="137">
        <f>'LCFS Table'!$AY132*'LCFS Table'!$CM132</f>
        <v>0</v>
      </c>
      <c r="BT132" s="137">
        <f>'LCFS Table'!$AZ132*'LCFS Table'!$CN132</f>
        <v>0</v>
      </c>
      <c r="BU132" s="137">
        <f>'LCFS Table'!$BA132*'LCFS Table'!$CO132</f>
        <v>0</v>
      </c>
      <c r="BV132" s="142">
        <f>'LCFS Table'!$BB132*'LCFS Table'!$CP132</f>
        <v>1.2</v>
      </c>
      <c r="BW132" s="138">
        <v>1</v>
      </c>
      <c r="BX132" s="138">
        <v>0</v>
      </c>
      <c r="BY132" s="138">
        <v>1</v>
      </c>
      <c r="BZ132" s="138">
        <v>1</v>
      </c>
      <c r="CA132" s="138">
        <v>-1</v>
      </c>
      <c r="CB132" s="138">
        <v>1</v>
      </c>
      <c r="CC132" s="138">
        <v>0</v>
      </c>
      <c r="CD132" s="138">
        <v>1</v>
      </c>
      <c r="CE132" s="138">
        <v>1</v>
      </c>
      <c r="CF132" s="138">
        <v>-1</v>
      </c>
      <c r="CG132" s="138">
        <f>1-'LCFS Table'!$BW132</f>
        <v>0</v>
      </c>
      <c r="CH132" s="138">
        <f>1-'LCFS Table'!$BX132</f>
        <v>1</v>
      </c>
      <c r="CI132" s="138">
        <f>1-'LCFS Table'!$BY132</f>
        <v>0</v>
      </c>
      <c r="CJ132" s="138">
        <f>1-'LCFS Table'!$BZ132</f>
        <v>0</v>
      </c>
      <c r="CK132" s="138">
        <f>-'LCFS Table'!$CA132</f>
        <v>1</v>
      </c>
      <c r="CL132" s="138">
        <f>1-'LCFS Table'!$CB132</f>
        <v>0</v>
      </c>
      <c r="CM132" s="138">
        <f>1-'LCFS Table'!$CC132</f>
        <v>1</v>
      </c>
      <c r="CN132" s="138">
        <f>1-'LCFS Table'!$CD132</f>
        <v>0</v>
      </c>
      <c r="CO132" s="138">
        <f>1-'LCFS Table'!$CE132</f>
        <v>0</v>
      </c>
      <c r="CP132" s="138">
        <f>-'LCFS Table'!$CF132</f>
        <v>1</v>
      </c>
      <c r="CQ132" s="140">
        <v>15.6</v>
      </c>
      <c r="CR132" s="165">
        <f>('LCFS Table'!$CQ132*0.9/(0.8/0.99)/100)</f>
        <v>0.17374499999999998</v>
      </c>
      <c r="CS132" s="166"/>
      <c r="CT132" s="167"/>
      <c r="CW132" s="168">
        <f>'LCFS Table'!$K132-'LCFS Table'!$M132</f>
        <v>0.3271693586524993</v>
      </c>
      <c r="CX132" s="129">
        <f>MONTH('LCFS Table'!$B132)</f>
        <v>6</v>
      </c>
      <c r="CY132" s="129">
        <f>YEAR('LCFS Table'!$B132)</f>
        <v>2021</v>
      </c>
    </row>
    <row r="133" spans="1:103">
      <c r="A133" s="148">
        <v>44374</v>
      </c>
      <c r="B133" s="149">
        <v>44380</v>
      </c>
      <c r="C133" s="132">
        <f t="shared" ref="C133:C153" si="2">YEAR(B133)</f>
        <v>2021</v>
      </c>
      <c r="D133" s="150" t="s">
        <v>282</v>
      </c>
      <c r="E133" s="187">
        <f>'LCFS Table'!$K133-'LCFS Table'!$I133</f>
        <v>-2.7462879224030048</v>
      </c>
      <c r="F133" s="187">
        <f>('LCFS Table'!$M133)-'LCFS Table'!$J133</f>
        <v>-5.627452710567499</v>
      </c>
      <c r="G133" s="188">
        <f>'LCFS Table'!$E133+'LCFS Table'!$AS133+'LCFS Table'!$AT133+'LCFS Table'!$AU133+'LCFS Table'!$AV133</f>
        <v>2.8020360676459166</v>
      </c>
      <c r="H133" s="188">
        <f>'LCFS Table'!$F133+'LCFS Table'!$AX133+'LCFS Table'!$AY133+'LCFS Table'!$AZ133+'LCFS Table'!$BA133+('LCFS Table'!$CQ133*0.9/(0.8/0.99)/100)+(DG133*'LCFS Table'!$AF133)+(DF133*'LCFS Table'!$AG133)</f>
        <v>-0.88973945312499891</v>
      </c>
      <c r="I133" s="187">
        <f>('LCFS Table'!$V133+'LCFS Table'!$W133+'LCFS Table'!$X133)/100+(('LCFS Table'!$AI133+'LCFS Table'!$AJ133)/340)</f>
        <v>4.8790879224030048</v>
      </c>
      <c r="J133" s="187">
        <f>(('LCFS Table'!$Y133+'LCFS Table'!$Z133)/100)+(('LCFS Table'!$AM133+'LCFS Table'!$AN133)/300)</f>
        <v>7.3735082031249988</v>
      </c>
      <c r="K133" s="190">
        <f>'[1]Fuel Values'!$C132</f>
        <v>2.1328</v>
      </c>
      <c r="L133" s="190">
        <f>'[1]Fuel Values'!$B132</f>
        <v>630</v>
      </c>
      <c r="M133" s="185">
        <f>('LCFS Table'!$L133/100)-'LCFS Table'!$AX133-'LCFS Table'!$AY133-'LCFS Table'!$AZ133-'LCFS Table'!$BA133</f>
        <v>1.7460554925574998</v>
      </c>
      <c r="N133" s="190">
        <f>[1]BFT!$B132</f>
        <v>61</v>
      </c>
      <c r="O133" s="190">
        <f>[1]UCO!$B132</f>
        <v>51</v>
      </c>
      <c r="P133" s="190">
        <f>[1]DCO!$B132</f>
        <v>55</v>
      </c>
      <c r="Q133" s="190">
        <f>'[1]Soybean Oil'!$B132</f>
        <v>97.548000000000002</v>
      </c>
      <c r="R133" s="190">
        <f>'[1]Yellow Grease'!$B132</f>
        <v>45.5</v>
      </c>
      <c r="S133" s="185">
        <f>'LCFS Table'!$N133 + 'LCFS Table'!$AH133</f>
        <v>65.375</v>
      </c>
      <c r="T133" s="185">
        <f>'LCFS Table'!$Q133+'LCFS Table'!$AH133</f>
        <v>101.923</v>
      </c>
      <c r="U133" s="185">
        <f>'LCFS Table'!$P133+'LCFS Table'!$AH133</f>
        <v>59.375</v>
      </c>
      <c r="V133" s="185">
        <f>(('LCFS Table'!$S133/'LCFS Table'!$AA133)*'LCFS Table'!$AC133)*6.48</f>
        <v>225.33510638297878</v>
      </c>
      <c r="W133" s="185">
        <f>(('LCFS Table'!$O133/'LCFS Table'!$AA133)*'LCFS Table'!$AD133)*6.48</f>
        <v>87.893617021276611</v>
      </c>
      <c r="X133" s="185">
        <f>(('LCFS Table'!$U133/'LCFS Table'!$AA133)*'LCFS Table'!$AE133)*6.48</f>
        <v>102.32712765957447</v>
      </c>
      <c r="Y133" s="185">
        <f>(('LCFS Table'!$T133/'LCFS Table'!$AB133)*'LCFS Table'!$AF133)*7.35</f>
        <v>585.26097656249988</v>
      </c>
      <c r="Z133" s="185">
        <f>(('LCFS Table'!$R133/'LCFS Table'!$AB133)*'LCFS Table'!$AG133)*7.35</f>
        <v>87.08984375</v>
      </c>
      <c r="AA133" s="138">
        <v>0.94</v>
      </c>
      <c r="AB133" s="138">
        <v>0.96</v>
      </c>
      <c r="AC133" s="138">
        <v>0.5</v>
      </c>
      <c r="AD133" s="138">
        <v>0.25</v>
      </c>
      <c r="AE133" s="138">
        <v>0.25</v>
      </c>
      <c r="AF133" s="138">
        <v>0.75</v>
      </c>
      <c r="AG133" s="138">
        <v>0.25</v>
      </c>
      <c r="AH133" s="139">
        <v>4.375</v>
      </c>
      <c r="AI133" s="139">
        <v>136</v>
      </c>
      <c r="AJ133" s="139">
        <v>110</v>
      </c>
      <c r="AK133" s="186">
        <f>('LCFS Table'!$AI133/340)*100</f>
        <v>40</v>
      </c>
      <c r="AL133" s="186">
        <f>('LCFS Table'!$AJ133/340)*100</f>
        <v>32.352941176470587</v>
      </c>
      <c r="AM133" s="139">
        <v>105</v>
      </c>
      <c r="AN133" s="139">
        <v>90</v>
      </c>
      <c r="AO133" s="139">
        <f>('LCFS Table'!$AM133/300)*100</f>
        <v>35</v>
      </c>
      <c r="AP133" s="139">
        <f>('LCFS Table'!$AN133/300)*100</f>
        <v>30</v>
      </c>
      <c r="AQ133" s="140">
        <f>'[1]LCFS Values'!$B132</f>
        <v>183.3</v>
      </c>
      <c r="AR133" s="140">
        <f>'[1]RIN Values'!$B132/100</f>
        <v>1.6675</v>
      </c>
      <c r="AS133" s="185">
        <v>1.5535739900489212</v>
      </c>
      <c r="AT133" s="137">
        <v>0.16</v>
      </c>
      <c r="AU133" s="137">
        <v>1</v>
      </c>
      <c r="AV133" s="185">
        <f>'LCFS Table'!$AR133*1.7</f>
        <v>2.8347500000000001</v>
      </c>
      <c r="AW133" s="137">
        <v>0</v>
      </c>
      <c r="AX133" s="185">
        <v>1.0526945074424998</v>
      </c>
      <c r="AY133" s="137">
        <v>0</v>
      </c>
      <c r="AZ133" s="141">
        <v>1</v>
      </c>
      <c r="BA133" s="185">
        <f>'LCFS Table'!$AR133*1.5</f>
        <v>2.5012499999999998</v>
      </c>
      <c r="BB133" s="142">
        <v>1.2</v>
      </c>
      <c r="BC133" s="185">
        <f>'LCFS Table'!$AS133*'LCFS Table'!$BW133</f>
        <v>1.5535739900489212</v>
      </c>
      <c r="BD133" s="185">
        <f>'LCFS Table'!$AT133*'LCFS Table'!$BX133</f>
        <v>0</v>
      </c>
      <c r="BE133" s="185">
        <f>'LCFS Table'!$AU133*'LCFS Table'!$BY133</f>
        <v>1</v>
      </c>
      <c r="BF133" s="137">
        <f>'LCFS Table'!$AV133*'LCFS Table'!$BZ133</f>
        <v>2.8347500000000001</v>
      </c>
      <c r="BG133" s="137">
        <f>'LCFS Table'!$AW133*'LCFS Table'!$CA133</f>
        <v>0</v>
      </c>
      <c r="BH133" s="137">
        <f>'LCFS Table'!$AX133*'LCFS Table'!$CB133</f>
        <v>1.0526945074424998</v>
      </c>
      <c r="BI133" s="137">
        <f>'LCFS Table'!$AY133*'LCFS Table'!$CC133</f>
        <v>0</v>
      </c>
      <c r="BJ133" s="137">
        <f>'LCFS Table'!$AZ133*'LCFS Table'!$CD133</f>
        <v>1</v>
      </c>
      <c r="BK133" s="137">
        <f>'LCFS Table'!$BA133*'LCFS Table'!$CE133</f>
        <v>2.5012499999999998</v>
      </c>
      <c r="BL133" s="137">
        <f>'LCFS Table'!$BB133*'LCFS Table'!$CF133</f>
        <v>-1.2</v>
      </c>
      <c r="BM133" s="137">
        <f>'LCFS Table'!$AS133*'LCFS Table'!$CG133</f>
        <v>0</v>
      </c>
      <c r="BN133" s="137">
        <f>'LCFS Table'!$AT133*'LCFS Table'!$CH133</f>
        <v>0.16</v>
      </c>
      <c r="BO133" s="137">
        <f>'LCFS Table'!$AU133*'LCFS Table'!$CI133</f>
        <v>0</v>
      </c>
      <c r="BP133" s="137">
        <f>'LCFS Table'!$AV133*'LCFS Table'!$CJ133</f>
        <v>0</v>
      </c>
      <c r="BQ133" s="137">
        <f>'LCFS Table'!$AW133*'LCFS Table'!$CK133</f>
        <v>0</v>
      </c>
      <c r="BR133" s="137">
        <f>'LCFS Table'!$AX133*'LCFS Table'!$CL133</f>
        <v>0</v>
      </c>
      <c r="BS133" s="137">
        <f>'LCFS Table'!$AY133*'LCFS Table'!$CM133</f>
        <v>0</v>
      </c>
      <c r="BT133" s="137">
        <f>'LCFS Table'!$AZ133*'LCFS Table'!$CN133</f>
        <v>0</v>
      </c>
      <c r="BU133" s="137">
        <f>'LCFS Table'!$BA133*'LCFS Table'!$CO133</f>
        <v>0</v>
      </c>
      <c r="BV133" s="142">
        <f>'LCFS Table'!$BB133*'LCFS Table'!$CP133</f>
        <v>1.2</v>
      </c>
      <c r="BW133" s="138">
        <v>1</v>
      </c>
      <c r="BX133" s="138">
        <v>0</v>
      </c>
      <c r="BY133" s="138">
        <v>1</v>
      </c>
      <c r="BZ133" s="138">
        <v>1</v>
      </c>
      <c r="CA133" s="138">
        <v>-1</v>
      </c>
      <c r="CB133" s="138">
        <v>1</v>
      </c>
      <c r="CC133" s="138">
        <v>0</v>
      </c>
      <c r="CD133" s="138">
        <v>1</v>
      </c>
      <c r="CE133" s="138">
        <v>1</v>
      </c>
      <c r="CF133" s="138">
        <v>-1</v>
      </c>
      <c r="CG133" s="138">
        <f>1-'LCFS Table'!$BW133</f>
        <v>0</v>
      </c>
      <c r="CH133" s="138">
        <f>1-'LCFS Table'!$BX133</f>
        <v>1</v>
      </c>
      <c r="CI133" s="138">
        <f>1-'LCFS Table'!$BY133</f>
        <v>0</v>
      </c>
      <c r="CJ133" s="138">
        <f>1-'LCFS Table'!$BZ133</f>
        <v>0</v>
      </c>
      <c r="CK133" s="138">
        <f>-'LCFS Table'!$CA133</f>
        <v>1</v>
      </c>
      <c r="CL133" s="138">
        <f>1-'LCFS Table'!$CB133</f>
        <v>0</v>
      </c>
      <c r="CM133" s="138">
        <f>1-'LCFS Table'!$CC133</f>
        <v>1</v>
      </c>
      <c r="CN133" s="138">
        <f>1-'LCFS Table'!$CD133</f>
        <v>0</v>
      </c>
      <c r="CO133" s="138">
        <f>1-'LCFS Table'!$CE133</f>
        <v>0</v>
      </c>
      <c r="CP133" s="138">
        <f>-'LCFS Table'!$CF133</f>
        <v>1</v>
      </c>
      <c r="CQ133" s="140">
        <v>16.5</v>
      </c>
      <c r="CR133" s="165">
        <f>('LCFS Table'!$CQ133*0.9/(0.8/0.99)/100)</f>
        <v>0.18376874999999998</v>
      </c>
      <c r="CS133" s="166"/>
      <c r="CT133" s="167"/>
      <c r="CW133" s="168">
        <f>'LCFS Table'!$K133-'LCFS Table'!$M133</f>
        <v>0.38674450744250022</v>
      </c>
      <c r="CX133" s="129">
        <f>MONTH('LCFS Table'!$B133)</f>
        <v>7</v>
      </c>
      <c r="CY133" s="129">
        <f>YEAR('LCFS Table'!$B133)</f>
        <v>2021</v>
      </c>
    </row>
    <row r="134" spans="1:103">
      <c r="A134" s="148">
        <v>44381</v>
      </c>
      <c r="B134" s="149">
        <v>44387</v>
      </c>
      <c r="C134" s="132">
        <f t="shared" si="2"/>
        <v>2021</v>
      </c>
      <c r="D134" s="182" t="s">
        <v>283</v>
      </c>
      <c r="E134" s="187">
        <f>'LCFS Table'!$K134-'LCFS Table'!$I134</f>
        <v>-2.794773028785984</v>
      </c>
      <c r="F134" s="187">
        <f>('LCFS Table'!$M134)-'LCFS Table'!$J134</f>
        <v>-5.2295751549500018</v>
      </c>
      <c r="G134" s="188">
        <f>'LCFS Table'!$E134+'LCFS Table'!$AS134+'LCFS Table'!$AT134+'LCFS Table'!$AU134+'LCFS Table'!$AV134</f>
        <v>2.5864062536132595</v>
      </c>
      <c r="H134" s="188">
        <f>'LCFS Table'!$F134+'LCFS Table'!$AX134+'LCFS Table'!$AY134+'LCFS Table'!$AZ134+'LCFS Table'!$BA134+('LCFS Table'!$CQ134*0.9/(0.8/0.99)/100)+(DG134*'LCFS Table'!$AF134)+(DF134*'LCFS Table'!$AG134)</f>
        <v>-0.63274785156250157</v>
      </c>
      <c r="I134" s="187">
        <f>('LCFS Table'!$V134+'LCFS Table'!$W134+'LCFS Table'!$X134)/100+(('LCFS Table'!$AI134+'LCFS Table'!$AJ134)/340)</f>
        <v>4.9221730287859842</v>
      </c>
      <c r="J134" s="187">
        <f>(('LCFS Table'!$Y134+'LCFS Table'!$Z134)/100)+(('LCFS Table'!$AM134+'LCFS Table'!$AN134)/300)</f>
        <v>7.116516601562501</v>
      </c>
      <c r="K134" s="190">
        <f>'[1]Fuel Values'!$C133</f>
        <v>2.1274000000000002</v>
      </c>
      <c r="L134" s="190">
        <f>'[1]Fuel Values'!$B133</f>
        <v>630</v>
      </c>
      <c r="M134" s="185">
        <f>('LCFS Table'!$L134/100)-'LCFS Table'!$AX134-'LCFS Table'!$AY134-'LCFS Table'!$AZ134-'LCFS Table'!$BA134</f>
        <v>1.8869414466124996</v>
      </c>
      <c r="N134" s="190">
        <f>[1]BFT!$B133</f>
        <v>61</v>
      </c>
      <c r="O134" s="190">
        <f>[1]UCO!$B133</f>
        <v>51</v>
      </c>
      <c r="P134" s="190">
        <f>[1]DCO!$B133</f>
        <v>57.5</v>
      </c>
      <c r="Q134" s="190">
        <f>'[1]Soybean Oil'!$B133</f>
        <v>93.072500000000005</v>
      </c>
      <c r="R134" s="190">
        <f>'[1]Yellow Grease'!$B133</f>
        <v>45.5</v>
      </c>
      <c r="S134" s="185">
        <f>'LCFS Table'!$N134 + 'LCFS Table'!$AH134</f>
        <v>65.375</v>
      </c>
      <c r="T134" s="185">
        <f>'LCFS Table'!$Q134+'LCFS Table'!$AH134</f>
        <v>97.447500000000005</v>
      </c>
      <c r="U134" s="185">
        <f>'LCFS Table'!$P134+'LCFS Table'!$AH134</f>
        <v>61.875</v>
      </c>
      <c r="V134" s="185">
        <f>(('LCFS Table'!$S134/'LCFS Table'!$AA134)*'LCFS Table'!$AC134)*6.48</f>
        <v>225.33510638297878</v>
      </c>
      <c r="W134" s="185">
        <f>(('LCFS Table'!$O134/'LCFS Table'!$AA134)*'LCFS Table'!$AD134)*6.48</f>
        <v>87.893617021276611</v>
      </c>
      <c r="X134" s="185">
        <f>(('LCFS Table'!$U134/'LCFS Table'!$AA134)*'LCFS Table'!$AE134)*6.48</f>
        <v>106.63563829787236</v>
      </c>
      <c r="Y134" s="185">
        <f>(('LCFS Table'!$T134/'LCFS Table'!$AB134)*'LCFS Table'!$AF134)*7.35</f>
        <v>559.56181640625005</v>
      </c>
      <c r="Z134" s="185">
        <f>(('LCFS Table'!$R134/'LCFS Table'!$AB134)*'LCFS Table'!$AG134)*7.35</f>
        <v>87.08984375</v>
      </c>
      <c r="AA134" s="138">
        <v>0.94</v>
      </c>
      <c r="AB134" s="138">
        <v>0.96</v>
      </c>
      <c r="AC134" s="138">
        <v>0.5</v>
      </c>
      <c r="AD134" s="138">
        <v>0.25</v>
      </c>
      <c r="AE134" s="138">
        <v>0.25</v>
      </c>
      <c r="AF134" s="138">
        <v>0.75</v>
      </c>
      <c r="AG134" s="138">
        <v>0.25</v>
      </c>
      <c r="AH134" s="139">
        <v>4.375</v>
      </c>
      <c r="AI134" s="139">
        <v>136</v>
      </c>
      <c r="AJ134" s="139">
        <v>110</v>
      </c>
      <c r="AK134" s="186">
        <f>('LCFS Table'!$AI134/340)*100</f>
        <v>40</v>
      </c>
      <c r="AL134" s="186">
        <f>('LCFS Table'!$AJ134/340)*100</f>
        <v>32.352941176470587</v>
      </c>
      <c r="AM134" s="139">
        <v>105</v>
      </c>
      <c r="AN134" s="139">
        <v>90</v>
      </c>
      <c r="AO134" s="139">
        <f>('LCFS Table'!$AM134/300)*100</f>
        <v>35</v>
      </c>
      <c r="AP134" s="139">
        <f>('LCFS Table'!$AN134/300)*100</f>
        <v>30</v>
      </c>
      <c r="AQ134" s="140">
        <f>'[1]LCFS Values'!$B133</f>
        <v>179.5</v>
      </c>
      <c r="AR134" s="140">
        <f>'[1]RIN Values'!$B133/100</f>
        <v>1.588125</v>
      </c>
      <c r="AS134" s="185">
        <v>1.5213667823992436</v>
      </c>
      <c r="AT134" s="137">
        <v>0.16</v>
      </c>
      <c r="AU134" s="137">
        <v>1</v>
      </c>
      <c r="AV134" s="185">
        <f>'LCFS Table'!$AR134*1.7</f>
        <v>2.6998124999999997</v>
      </c>
      <c r="AW134" s="137">
        <v>0</v>
      </c>
      <c r="AX134" s="185">
        <v>1.0308710533874998</v>
      </c>
      <c r="AY134" s="137">
        <v>0</v>
      </c>
      <c r="AZ134" s="141">
        <v>1</v>
      </c>
      <c r="BA134" s="185">
        <f>'LCFS Table'!$AR134*1.5</f>
        <v>2.3821875000000001</v>
      </c>
      <c r="BB134" s="142">
        <v>1.2</v>
      </c>
      <c r="BC134" s="185">
        <f>'LCFS Table'!$AS134*'LCFS Table'!$BW134</f>
        <v>1.5213667823992436</v>
      </c>
      <c r="BD134" s="185">
        <f>'LCFS Table'!$AT134*'LCFS Table'!$BX134</f>
        <v>0</v>
      </c>
      <c r="BE134" s="185">
        <f>'LCFS Table'!$AU134*'LCFS Table'!$BY134</f>
        <v>1</v>
      </c>
      <c r="BF134" s="137">
        <f>'LCFS Table'!$AV134*'LCFS Table'!$BZ134</f>
        <v>2.6998124999999997</v>
      </c>
      <c r="BG134" s="137">
        <f>'LCFS Table'!$AW134*'LCFS Table'!$CA134</f>
        <v>0</v>
      </c>
      <c r="BH134" s="137">
        <f>'LCFS Table'!$AX134*'LCFS Table'!$CB134</f>
        <v>1.0308710533874998</v>
      </c>
      <c r="BI134" s="137">
        <f>'LCFS Table'!$AY134*'LCFS Table'!$CC134</f>
        <v>0</v>
      </c>
      <c r="BJ134" s="137">
        <f>'LCFS Table'!$AZ134*'LCFS Table'!$CD134</f>
        <v>1</v>
      </c>
      <c r="BK134" s="137">
        <f>'LCFS Table'!$BA134*'LCFS Table'!$CE134</f>
        <v>2.3821875000000001</v>
      </c>
      <c r="BL134" s="137">
        <f>'LCFS Table'!$BB134*'LCFS Table'!$CF134</f>
        <v>-1.2</v>
      </c>
      <c r="BM134" s="137">
        <f>'LCFS Table'!$AS134*'LCFS Table'!$CG134</f>
        <v>0</v>
      </c>
      <c r="BN134" s="137">
        <f>'LCFS Table'!$AT134*'LCFS Table'!$CH134</f>
        <v>0.16</v>
      </c>
      <c r="BO134" s="137">
        <f>'LCFS Table'!$AU134*'LCFS Table'!$CI134</f>
        <v>0</v>
      </c>
      <c r="BP134" s="137">
        <f>'LCFS Table'!$AV134*'LCFS Table'!$CJ134</f>
        <v>0</v>
      </c>
      <c r="BQ134" s="137">
        <f>'LCFS Table'!$AW134*'LCFS Table'!$CK134</f>
        <v>0</v>
      </c>
      <c r="BR134" s="137">
        <f>'LCFS Table'!$AX134*'LCFS Table'!$CL134</f>
        <v>0</v>
      </c>
      <c r="BS134" s="137">
        <f>'LCFS Table'!$AY134*'LCFS Table'!$CM134</f>
        <v>0</v>
      </c>
      <c r="BT134" s="137">
        <f>'LCFS Table'!$AZ134*'LCFS Table'!$CN134</f>
        <v>0</v>
      </c>
      <c r="BU134" s="137">
        <f>'LCFS Table'!$BA134*'LCFS Table'!$CO134</f>
        <v>0</v>
      </c>
      <c r="BV134" s="142">
        <f>'LCFS Table'!$BB134*'LCFS Table'!$CP134</f>
        <v>1.2</v>
      </c>
      <c r="BW134" s="138">
        <v>1</v>
      </c>
      <c r="BX134" s="138">
        <v>0</v>
      </c>
      <c r="BY134" s="138">
        <v>1</v>
      </c>
      <c r="BZ134" s="138">
        <v>1</v>
      </c>
      <c r="CA134" s="138">
        <v>-1</v>
      </c>
      <c r="CB134" s="138">
        <v>1</v>
      </c>
      <c r="CC134" s="138">
        <v>0</v>
      </c>
      <c r="CD134" s="138">
        <v>1</v>
      </c>
      <c r="CE134" s="138">
        <v>1</v>
      </c>
      <c r="CF134" s="138">
        <v>-1</v>
      </c>
      <c r="CG134" s="138">
        <f>1-'LCFS Table'!$BW134</f>
        <v>0</v>
      </c>
      <c r="CH134" s="138">
        <f>1-'LCFS Table'!$BX134</f>
        <v>1</v>
      </c>
      <c r="CI134" s="138">
        <f>1-'LCFS Table'!$BY134</f>
        <v>0</v>
      </c>
      <c r="CJ134" s="138">
        <f>1-'LCFS Table'!$BZ134</f>
        <v>0</v>
      </c>
      <c r="CK134" s="138">
        <f>-'LCFS Table'!$CA134</f>
        <v>1</v>
      </c>
      <c r="CL134" s="138">
        <f>1-'LCFS Table'!$CB134</f>
        <v>0</v>
      </c>
      <c r="CM134" s="138">
        <f>1-'LCFS Table'!$CC134</f>
        <v>1</v>
      </c>
      <c r="CN134" s="138">
        <f>1-'LCFS Table'!$CD134</f>
        <v>0</v>
      </c>
      <c r="CO134" s="138">
        <f>1-'LCFS Table'!$CE134</f>
        <v>0</v>
      </c>
      <c r="CP134" s="138">
        <f>-'LCFS Table'!$CF134</f>
        <v>1</v>
      </c>
      <c r="CQ134" s="140">
        <v>16.5</v>
      </c>
      <c r="CR134" s="165">
        <f>('LCFS Table'!$CQ134*0.9/(0.8/0.99)/100)</f>
        <v>0.18376874999999998</v>
      </c>
      <c r="CS134" s="166"/>
      <c r="CT134" s="167"/>
      <c r="CW134" s="168">
        <f>'LCFS Table'!$K134-'LCFS Table'!$M134</f>
        <v>0.24045855338750055</v>
      </c>
      <c r="CX134" s="129">
        <f>MONTH('LCFS Table'!$B134)</f>
        <v>7</v>
      </c>
      <c r="CY134" s="129">
        <f>YEAR('LCFS Table'!$B134)</f>
        <v>2021</v>
      </c>
    </row>
    <row r="135" spans="1:103">
      <c r="A135" s="148">
        <v>44388</v>
      </c>
      <c r="B135" s="149">
        <v>44394</v>
      </c>
      <c r="C135" s="132">
        <f t="shared" si="2"/>
        <v>2021</v>
      </c>
      <c r="D135" s="150" t="s">
        <v>284</v>
      </c>
      <c r="E135" s="187">
        <f>'LCFS Table'!$K135-'LCFS Table'!$I135</f>
        <v>-2.8309304755944935</v>
      </c>
      <c r="F135" s="187">
        <f>('LCFS Table'!$M135)-'LCFS Table'!$J135</f>
        <v>-5.1431018590099988</v>
      </c>
      <c r="G135" s="188">
        <f>'LCFS Table'!$E135+'LCFS Table'!$AS135+'LCFS Table'!$AT135+'LCFS Table'!$AU135+'LCFS Table'!$AV135</f>
        <v>2.5917571220194691</v>
      </c>
      <c r="H135" s="188">
        <f>'LCFS Table'!$F135+'LCFS Table'!$AX135+'LCFS Table'!$AY135+'LCFS Table'!$AZ135+'LCFS Table'!$BA135+('LCFS Table'!$CQ135*0.9/(0.8/0.99)/100)+(DG135*'LCFS Table'!$AF135)+(DF135*'LCFS Table'!$AG135)</f>
        <v>-0.50461679687499927</v>
      </c>
      <c r="I135" s="187">
        <f>('LCFS Table'!$V135+'LCFS Table'!$W135+'LCFS Table'!$X135)/100+(('LCFS Table'!$AI135+'LCFS Table'!$AJ135)/340)</f>
        <v>4.9816304755944936</v>
      </c>
      <c r="J135" s="187">
        <f>(('LCFS Table'!$Y135+'LCFS Table'!$Z135)/100)+(('LCFS Table'!$AM135+'LCFS Table'!$AN135)/300)</f>
        <v>7.0483855468750001</v>
      </c>
      <c r="K135" s="190">
        <f>'[1]Fuel Values'!$C134</f>
        <v>2.1507000000000001</v>
      </c>
      <c r="L135" s="190">
        <f>'[1]Fuel Values'!$B134</f>
        <v>636</v>
      </c>
      <c r="M135" s="185">
        <f>('LCFS Table'!$L135/100)-'LCFS Table'!$AX135-'LCFS Table'!$AY135-'LCFS Table'!$AZ135-'LCFS Table'!$BA135</f>
        <v>1.9052836878650008</v>
      </c>
      <c r="N135" s="190">
        <f>[1]BFT!$B134</f>
        <v>61.6</v>
      </c>
      <c r="O135" s="190">
        <f>[1]UCO!$B134</f>
        <v>51</v>
      </c>
      <c r="P135" s="190">
        <f>[1]DCO!$B134</f>
        <v>59.75</v>
      </c>
      <c r="Q135" s="190">
        <f>'[1]Soybean Oil'!$B134</f>
        <v>91.885999999999996</v>
      </c>
      <c r="R135" s="190">
        <f>'[1]Yellow Grease'!$B134</f>
        <v>45.5</v>
      </c>
      <c r="S135" s="185">
        <f>'LCFS Table'!$N135 + 'LCFS Table'!$AH135</f>
        <v>65.974999999999994</v>
      </c>
      <c r="T135" s="185">
        <f>'LCFS Table'!$Q135+'LCFS Table'!$AH135</f>
        <v>96.260999999999996</v>
      </c>
      <c r="U135" s="185">
        <f>'LCFS Table'!$P135+'LCFS Table'!$AH135</f>
        <v>64.125</v>
      </c>
      <c r="V135" s="185">
        <f>(('LCFS Table'!$S135/'LCFS Table'!$AA135)*'LCFS Table'!$AC135)*6.48</f>
        <v>227.40319148936172</v>
      </c>
      <c r="W135" s="185">
        <f>(('LCFS Table'!$O135/'LCFS Table'!$AA135)*'LCFS Table'!$AD135)*6.48</f>
        <v>87.893617021276611</v>
      </c>
      <c r="X135" s="185">
        <f>(('LCFS Table'!$U135/'LCFS Table'!$AA135)*'LCFS Table'!$AE135)*6.48</f>
        <v>110.51329787234044</v>
      </c>
      <c r="Y135" s="185">
        <f>(('LCFS Table'!$T135/'LCFS Table'!$AB135)*'LCFS Table'!$AF135)*7.35</f>
        <v>552.74871093749994</v>
      </c>
      <c r="Z135" s="185">
        <f>(('LCFS Table'!$R135/'LCFS Table'!$AB135)*'LCFS Table'!$AG135)*7.35</f>
        <v>87.08984375</v>
      </c>
      <c r="AA135" s="138">
        <v>0.94</v>
      </c>
      <c r="AB135" s="138">
        <v>0.96</v>
      </c>
      <c r="AC135" s="138">
        <v>0.5</v>
      </c>
      <c r="AD135" s="138">
        <v>0.25</v>
      </c>
      <c r="AE135" s="138">
        <v>0.25</v>
      </c>
      <c r="AF135" s="138">
        <v>0.75</v>
      </c>
      <c r="AG135" s="138">
        <v>0.25</v>
      </c>
      <c r="AH135" s="139">
        <v>4.375</v>
      </c>
      <c r="AI135" s="139">
        <v>136</v>
      </c>
      <c r="AJ135" s="139">
        <v>110</v>
      </c>
      <c r="AK135" s="186">
        <f>('LCFS Table'!$AI135/340)*100</f>
        <v>40</v>
      </c>
      <c r="AL135" s="186">
        <f>('LCFS Table'!$AJ135/340)*100</f>
        <v>32.352941176470587</v>
      </c>
      <c r="AM135" s="139">
        <v>105</v>
      </c>
      <c r="AN135" s="139">
        <v>90</v>
      </c>
      <c r="AO135" s="139">
        <f>('LCFS Table'!$AM135/300)*100</f>
        <v>35</v>
      </c>
      <c r="AP135" s="139">
        <f>('LCFS Table'!$AN135/300)*100</f>
        <v>30</v>
      </c>
      <c r="AQ135" s="140">
        <f>'[1]LCFS Values'!$B134</f>
        <v>176.6</v>
      </c>
      <c r="AR135" s="140">
        <f>'[1]RIN Values'!$B134/100</f>
        <v>1.6269999999999998</v>
      </c>
      <c r="AS135" s="185">
        <v>1.4967875976139633</v>
      </c>
      <c r="AT135" s="137">
        <v>0.16</v>
      </c>
      <c r="AU135" s="137">
        <v>1</v>
      </c>
      <c r="AV135" s="185">
        <f>'LCFS Table'!$AR135*1.7</f>
        <v>2.7658999999999994</v>
      </c>
      <c r="AW135" s="137">
        <v>0</v>
      </c>
      <c r="AX135" s="185">
        <v>1.0142163121349996</v>
      </c>
      <c r="AY135" s="137">
        <v>0</v>
      </c>
      <c r="AZ135" s="141">
        <v>1</v>
      </c>
      <c r="BA135" s="185">
        <f>'LCFS Table'!$AR135*1.5</f>
        <v>2.4404999999999997</v>
      </c>
      <c r="BB135" s="142">
        <v>1.2</v>
      </c>
      <c r="BC135" s="185">
        <f>'LCFS Table'!$AS135*'LCFS Table'!$BW135</f>
        <v>1.4967875976139633</v>
      </c>
      <c r="BD135" s="185">
        <f>'LCFS Table'!$AT135*'LCFS Table'!$BX135</f>
        <v>0</v>
      </c>
      <c r="BE135" s="185">
        <f>'LCFS Table'!$AU135*'LCFS Table'!$BY135</f>
        <v>1</v>
      </c>
      <c r="BF135" s="137">
        <f>'LCFS Table'!$AV135*'LCFS Table'!$BZ135</f>
        <v>2.7658999999999994</v>
      </c>
      <c r="BG135" s="137">
        <f>'LCFS Table'!$AW135*'LCFS Table'!$CA135</f>
        <v>0</v>
      </c>
      <c r="BH135" s="137">
        <f>'LCFS Table'!$AX135*'LCFS Table'!$CB135</f>
        <v>1.0142163121349996</v>
      </c>
      <c r="BI135" s="137">
        <f>'LCFS Table'!$AY135*'LCFS Table'!$CC135</f>
        <v>0</v>
      </c>
      <c r="BJ135" s="137">
        <f>'LCFS Table'!$AZ135*'LCFS Table'!$CD135</f>
        <v>1</v>
      </c>
      <c r="BK135" s="137">
        <f>'LCFS Table'!$BA135*'LCFS Table'!$CE135</f>
        <v>2.4404999999999997</v>
      </c>
      <c r="BL135" s="137">
        <f>'LCFS Table'!$BB135*'LCFS Table'!$CF135</f>
        <v>-1.2</v>
      </c>
      <c r="BM135" s="137">
        <f>'LCFS Table'!$AS135*'LCFS Table'!$CG135</f>
        <v>0</v>
      </c>
      <c r="BN135" s="137">
        <f>'LCFS Table'!$AT135*'LCFS Table'!$CH135</f>
        <v>0.16</v>
      </c>
      <c r="BO135" s="137">
        <f>'LCFS Table'!$AU135*'LCFS Table'!$CI135</f>
        <v>0</v>
      </c>
      <c r="BP135" s="137">
        <f>'LCFS Table'!$AV135*'LCFS Table'!$CJ135</f>
        <v>0</v>
      </c>
      <c r="BQ135" s="137">
        <f>'LCFS Table'!$AW135*'LCFS Table'!$CK135</f>
        <v>0</v>
      </c>
      <c r="BR135" s="137">
        <f>'LCFS Table'!$AX135*'LCFS Table'!$CL135</f>
        <v>0</v>
      </c>
      <c r="BS135" s="137">
        <f>'LCFS Table'!$AY135*'LCFS Table'!$CM135</f>
        <v>0</v>
      </c>
      <c r="BT135" s="137">
        <f>'LCFS Table'!$AZ135*'LCFS Table'!$CN135</f>
        <v>0</v>
      </c>
      <c r="BU135" s="137">
        <f>'LCFS Table'!$BA135*'LCFS Table'!$CO135</f>
        <v>0</v>
      </c>
      <c r="BV135" s="142">
        <f>'LCFS Table'!$BB135*'LCFS Table'!$CP135</f>
        <v>1.2</v>
      </c>
      <c r="BW135" s="138">
        <v>1</v>
      </c>
      <c r="BX135" s="138">
        <v>0</v>
      </c>
      <c r="BY135" s="138">
        <v>1</v>
      </c>
      <c r="BZ135" s="138">
        <v>1</v>
      </c>
      <c r="CA135" s="138">
        <v>-1</v>
      </c>
      <c r="CB135" s="138">
        <v>1</v>
      </c>
      <c r="CC135" s="138">
        <v>0</v>
      </c>
      <c r="CD135" s="138">
        <v>1</v>
      </c>
      <c r="CE135" s="138">
        <v>1</v>
      </c>
      <c r="CF135" s="138">
        <v>-1</v>
      </c>
      <c r="CG135" s="138">
        <f>1-'LCFS Table'!$BW135</f>
        <v>0</v>
      </c>
      <c r="CH135" s="138">
        <f>1-'LCFS Table'!$BX135</f>
        <v>1</v>
      </c>
      <c r="CI135" s="138">
        <f>1-'LCFS Table'!$BY135</f>
        <v>0</v>
      </c>
      <c r="CJ135" s="138">
        <f>1-'LCFS Table'!$BZ135</f>
        <v>0</v>
      </c>
      <c r="CK135" s="138">
        <f>-'LCFS Table'!$CA135</f>
        <v>1</v>
      </c>
      <c r="CL135" s="138">
        <f>1-'LCFS Table'!$CB135</f>
        <v>0</v>
      </c>
      <c r="CM135" s="138">
        <f>1-'LCFS Table'!$CC135</f>
        <v>1</v>
      </c>
      <c r="CN135" s="138">
        <f>1-'LCFS Table'!$CD135</f>
        <v>0</v>
      </c>
      <c r="CO135" s="138">
        <f>1-'LCFS Table'!$CE135</f>
        <v>0</v>
      </c>
      <c r="CP135" s="138">
        <f>-'LCFS Table'!$CF135</f>
        <v>1</v>
      </c>
      <c r="CQ135" s="140">
        <v>16.5</v>
      </c>
      <c r="CR135" s="165">
        <f>('LCFS Table'!$CQ135*0.9/(0.8/0.99)/100)</f>
        <v>0.18376874999999998</v>
      </c>
      <c r="CS135" s="166"/>
      <c r="CT135" s="167"/>
      <c r="CW135" s="168">
        <f>'LCFS Table'!$K135-'LCFS Table'!$M135</f>
        <v>0.24541631213499926</v>
      </c>
      <c r="CX135" s="129">
        <f>MONTH('LCFS Table'!$B135)</f>
        <v>7</v>
      </c>
      <c r="CY135" s="129">
        <f>YEAR('LCFS Table'!$B135)</f>
        <v>2021</v>
      </c>
    </row>
    <row r="136" spans="1:103">
      <c r="A136" s="148">
        <v>44395</v>
      </c>
      <c r="B136" s="149">
        <v>44401</v>
      </c>
      <c r="C136" s="132">
        <f t="shared" si="2"/>
        <v>2021</v>
      </c>
      <c r="D136" s="182" t="s">
        <v>285</v>
      </c>
      <c r="E136" s="187">
        <f>'LCFS Table'!$K136-'LCFS Table'!$I136</f>
        <v>-3.0269304755944932</v>
      </c>
      <c r="F136" s="187">
        <f>('LCFS Table'!$M136)-'LCFS Table'!$J136</f>
        <v>-5.0507918391849991</v>
      </c>
      <c r="G136" s="188">
        <f>'LCFS Table'!$E136+'LCFS Table'!$AS136+'LCFS Table'!$AT136+'LCFS Table'!$AU136+'LCFS Table'!$AV136</f>
        <v>2.4347838649007945</v>
      </c>
      <c r="H136" s="188">
        <f>'LCFS Table'!$F136+'LCFS Table'!$AX136+'LCFS Table'!$AY136+'LCFS Table'!$AZ136+'LCFS Table'!$BA136+('LCFS Table'!$CQ136*0.9/(0.8/0.99)/100)+(DG136*'LCFS Table'!$AF136)+(DF136*'LCFS Table'!$AG136)</f>
        <v>-0.3830777343749992</v>
      </c>
      <c r="I136" s="187">
        <f>('LCFS Table'!$V136+'LCFS Table'!$W136+'LCFS Table'!$X136)/100+(('LCFS Table'!$AI136+'LCFS Table'!$AJ136)/340)</f>
        <v>5.0221304755944933</v>
      </c>
      <c r="J136" s="187">
        <f>(('LCFS Table'!$Y136+'LCFS Table'!$Z136)/100)+(('LCFS Table'!$AM136+'LCFS Table'!$AN136)/300)</f>
        <v>6.966846484375</v>
      </c>
      <c r="K136" s="190">
        <f>'[1]Fuel Values'!$C135</f>
        <v>1.9952000000000001</v>
      </c>
      <c r="L136" s="190">
        <f>'[1]Fuel Values'!$B135</f>
        <v>640</v>
      </c>
      <c r="M136" s="185">
        <f>('LCFS Table'!$L136/100)-'LCFS Table'!$AX136-'LCFS Table'!$AY136-'LCFS Table'!$AZ136-'LCFS Table'!$BA136</f>
        <v>1.9160546451900005</v>
      </c>
      <c r="N136" s="190">
        <f>[1]BFT!$B135</f>
        <v>62</v>
      </c>
      <c r="O136" s="190">
        <f>[1]UCO!$B135</f>
        <v>51.8</v>
      </c>
      <c r="P136" s="190">
        <f>[1]DCO!$B135</f>
        <v>60.5</v>
      </c>
      <c r="Q136" s="190">
        <f>'[1]Soybean Oil'!$B135</f>
        <v>90.266000000000005</v>
      </c>
      <c r="R136" s="190">
        <f>'[1]Yellow Grease'!$B135</f>
        <v>46.1</v>
      </c>
      <c r="S136" s="185">
        <f>'LCFS Table'!$N136 + 'LCFS Table'!$AH136</f>
        <v>66.375</v>
      </c>
      <c r="T136" s="185">
        <f>'LCFS Table'!$Q136+'LCFS Table'!$AH136</f>
        <v>94.641000000000005</v>
      </c>
      <c r="U136" s="185">
        <f>'LCFS Table'!$P136+'LCFS Table'!$AH136</f>
        <v>64.875</v>
      </c>
      <c r="V136" s="185">
        <f>(('LCFS Table'!$S136/'LCFS Table'!$AA136)*'LCFS Table'!$AC136)*6.48</f>
        <v>228.78191489361706</v>
      </c>
      <c r="W136" s="185">
        <f>(('LCFS Table'!$O136/'LCFS Table'!$AA136)*'LCFS Table'!$AD136)*6.48</f>
        <v>89.272340425531922</v>
      </c>
      <c r="X136" s="185">
        <f>(('LCFS Table'!$U136/'LCFS Table'!$AA136)*'LCFS Table'!$AE136)*6.48</f>
        <v>111.80585106382981</v>
      </c>
      <c r="Y136" s="185">
        <f>(('LCFS Table'!$T136/'LCFS Table'!$AB136)*'LCFS Table'!$AF136)*7.35</f>
        <v>543.44636718749996</v>
      </c>
      <c r="Z136" s="185">
        <f>(('LCFS Table'!$R136/'LCFS Table'!$AB136)*'LCFS Table'!$AG136)*7.35</f>
        <v>88.23828125</v>
      </c>
      <c r="AA136" s="138">
        <v>0.94</v>
      </c>
      <c r="AB136" s="138">
        <v>0.96</v>
      </c>
      <c r="AC136" s="138">
        <v>0.5</v>
      </c>
      <c r="AD136" s="138">
        <v>0.25</v>
      </c>
      <c r="AE136" s="138">
        <v>0.25</v>
      </c>
      <c r="AF136" s="138">
        <v>0.75</v>
      </c>
      <c r="AG136" s="138">
        <v>0.25</v>
      </c>
      <c r="AH136" s="139">
        <v>4.375</v>
      </c>
      <c r="AI136" s="139">
        <v>136</v>
      </c>
      <c r="AJ136" s="139">
        <v>110</v>
      </c>
      <c r="AK136" s="186">
        <f>('LCFS Table'!$AI136/340)*100</f>
        <v>40</v>
      </c>
      <c r="AL136" s="186">
        <f>('LCFS Table'!$AJ136/340)*100</f>
        <v>32.352941176470587</v>
      </c>
      <c r="AM136" s="139">
        <v>105</v>
      </c>
      <c r="AN136" s="139">
        <v>90</v>
      </c>
      <c r="AO136" s="139">
        <f>('LCFS Table'!$AM136/300)*100</f>
        <v>35</v>
      </c>
      <c r="AP136" s="139">
        <f>('LCFS Table'!$AN136/300)*100</f>
        <v>30</v>
      </c>
      <c r="AQ136" s="140">
        <f>'[1]LCFS Values'!$B135</f>
        <v>179.6</v>
      </c>
      <c r="AR136" s="140">
        <f>'[1]RIN Values'!$B135/100</f>
        <v>1.635</v>
      </c>
      <c r="AS136" s="185">
        <v>1.5222143404952877</v>
      </c>
      <c r="AT136" s="137">
        <v>0.16</v>
      </c>
      <c r="AU136" s="137">
        <v>1</v>
      </c>
      <c r="AV136" s="185">
        <f>'LCFS Table'!$AR136*1.7</f>
        <v>2.7795000000000001</v>
      </c>
      <c r="AW136" s="137">
        <v>0</v>
      </c>
      <c r="AX136" s="185">
        <v>1.0314453548099998</v>
      </c>
      <c r="AY136" s="137">
        <v>0</v>
      </c>
      <c r="AZ136" s="141">
        <v>1</v>
      </c>
      <c r="BA136" s="185">
        <f>'LCFS Table'!$AR136*1.5</f>
        <v>2.4525000000000001</v>
      </c>
      <c r="BB136" s="142">
        <v>1.2</v>
      </c>
      <c r="BC136" s="185">
        <f>'LCFS Table'!$AS136*'LCFS Table'!$BW136</f>
        <v>1.5222143404952877</v>
      </c>
      <c r="BD136" s="185">
        <f>'LCFS Table'!$AT136*'LCFS Table'!$BX136</f>
        <v>0</v>
      </c>
      <c r="BE136" s="185">
        <f>'LCFS Table'!$AU136*'LCFS Table'!$BY136</f>
        <v>1</v>
      </c>
      <c r="BF136" s="137">
        <f>'LCFS Table'!$AV136*'LCFS Table'!$BZ136</f>
        <v>2.7795000000000001</v>
      </c>
      <c r="BG136" s="137">
        <f>'LCFS Table'!$AW136*'LCFS Table'!$CA136</f>
        <v>0</v>
      </c>
      <c r="BH136" s="137">
        <f>'LCFS Table'!$AX136*'LCFS Table'!$CB136</f>
        <v>1.0314453548099998</v>
      </c>
      <c r="BI136" s="137">
        <f>'LCFS Table'!$AY136*'LCFS Table'!$CC136</f>
        <v>0</v>
      </c>
      <c r="BJ136" s="137">
        <f>'LCFS Table'!$AZ136*'LCFS Table'!$CD136</f>
        <v>1</v>
      </c>
      <c r="BK136" s="137">
        <f>'LCFS Table'!$BA136*'LCFS Table'!$CE136</f>
        <v>2.4525000000000001</v>
      </c>
      <c r="BL136" s="137">
        <f>'LCFS Table'!$BB136*'LCFS Table'!$CF136</f>
        <v>-1.2</v>
      </c>
      <c r="BM136" s="137">
        <f>'LCFS Table'!$AS136*'LCFS Table'!$CG136</f>
        <v>0</v>
      </c>
      <c r="BN136" s="137">
        <f>'LCFS Table'!$AT136*'LCFS Table'!$CH136</f>
        <v>0.16</v>
      </c>
      <c r="BO136" s="137">
        <f>'LCFS Table'!$AU136*'LCFS Table'!$CI136</f>
        <v>0</v>
      </c>
      <c r="BP136" s="137">
        <f>'LCFS Table'!$AV136*'LCFS Table'!$CJ136</f>
        <v>0</v>
      </c>
      <c r="BQ136" s="137">
        <f>'LCFS Table'!$AW136*'LCFS Table'!$CK136</f>
        <v>0</v>
      </c>
      <c r="BR136" s="137">
        <f>'LCFS Table'!$AX136*'LCFS Table'!$CL136</f>
        <v>0</v>
      </c>
      <c r="BS136" s="137">
        <f>'LCFS Table'!$AY136*'LCFS Table'!$CM136</f>
        <v>0</v>
      </c>
      <c r="BT136" s="137">
        <f>'LCFS Table'!$AZ136*'LCFS Table'!$CN136</f>
        <v>0</v>
      </c>
      <c r="BU136" s="137">
        <f>'LCFS Table'!$BA136*'LCFS Table'!$CO136</f>
        <v>0</v>
      </c>
      <c r="BV136" s="142">
        <f>'LCFS Table'!$BB136*'LCFS Table'!$CP136</f>
        <v>1.2</v>
      </c>
      <c r="BW136" s="138">
        <v>1</v>
      </c>
      <c r="BX136" s="138">
        <v>0</v>
      </c>
      <c r="BY136" s="138">
        <v>1</v>
      </c>
      <c r="BZ136" s="138">
        <v>1</v>
      </c>
      <c r="CA136" s="138">
        <v>-1</v>
      </c>
      <c r="CB136" s="138">
        <v>1</v>
      </c>
      <c r="CC136" s="138">
        <v>0</v>
      </c>
      <c r="CD136" s="138">
        <v>1</v>
      </c>
      <c r="CE136" s="138">
        <v>1</v>
      </c>
      <c r="CF136" s="138">
        <v>-1</v>
      </c>
      <c r="CG136" s="138">
        <f>1-'LCFS Table'!$BW136</f>
        <v>0</v>
      </c>
      <c r="CH136" s="138">
        <f>1-'LCFS Table'!$BX136</f>
        <v>1</v>
      </c>
      <c r="CI136" s="138">
        <f>1-'LCFS Table'!$BY136</f>
        <v>0</v>
      </c>
      <c r="CJ136" s="138">
        <f>1-'LCFS Table'!$BZ136</f>
        <v>0</v>
      </c>
      <c r="CK136" s="138">
        <f>-'LCFS Table'!$CA136</f>
        <v>1</v>
      </c>
      <c r="CL136" s="138">
        <f>1-'LCFS Table'!$CB136</f>
        <v>0</v>
      </c>
      <c r="CM136" s="138">
        <f>1-'LCFS Table'!$CC136</f>
        <v>1</v>
      </c>
      <c r="CN136" s="138">
        <f>1-'LCFS Table'!$CD136</f>
        <v>0</v>
      </c>
      <c r="CO136" s="138">
        <f>1-'LCFS Table'!$CE136</f>
        <v>0</v>
      </c>
      <c r="CP136" s="138">
        <f>-'LCFS Table'!$CF136</f>
        <v>1</v>
      </c>
      <c r="CQ136" s="140">
        <v>16.5</v>
      </c>
      <c r="CR136" s="165">
        <f>('LCFS Table'!$CQ136*0.9/(0.8/0.99)/100)</f>
        <v>0.18376874999999998</v>
      </c>
      <c r="CS136" s="166"/>
      <c r="CT136" s="167"/>
      <c r="CW136" s="168">
        <f>'LCFS Table'!$K136-'LCFS Table'!$M136</f>
        <v>7.9145354809999624E-2</v>
      </c>
      <c r="CX136" s="129">
        <f>MONTH('LCFS Table'!$B136)</f>
        <v>7</v>
      </c>
      <c r="CY136" s="129">
        <f>YEAR('LCFS Table'!$B136)</f>
        <v>2021</v>
      </c>
    </row>
    <row r="137" spans="1:103">
      <c r="A137" s="148">
        <v>44402</v>
      </c>
      <c r="B137" s="149">
        <v>44408</v>
      </c>
      <c r="C137" s="132">
        <f t="shared" si="2"/>
        <v>2021</v>
      </c>
      <c r="D137" s="150" t="s">
        <v>286</v>
      </c>
      <c r="E137" s="187">
        <f>'LCFS Table'!$K137-'LCFS Table'!$I137</f>
        <v>-2.9441879224030041</v>
      </c>
      <c r="F137" s="187">
        <f>('LCFS Table'!$M137)-'LCFS Table'!$J137</f>
        <v>-5.431657757677498</v>
      </c>
      <c r="G137" s="188">
        <f>'LCFS Table'!$E137+'LCFS Table'!$AS137+'LCFS Table'!$AT137+'LCFS Table'!$AU137+'LCFS Table'!$AV137</f>
        <v>2.7240446733408574</v>
      </c>
      <c r="H137" s="188">
        <f>'LCFS Table'!$F137+'LCFS Table'!$AX137+'LCFS Table'!$AY137+'LCFS Table'!$AZ137+'LCFS Table'!$BA137+('LCFS Table'!$CQ137*0.9/(0.8/0.99)/100)+(DG137*'LCFS Table'!$AF137)+(DF137*'LCFS Table'!$AG137)</f>
        <v>-0.56727148437499775</v>
      </c>
      <c r="I137" s="187">
        <f>('LCFS Table'!$V137+'LCFS Table'!$W137+'LCFS Table'!$X137)/100+(('LCFS Table'!$AI137+'LCFS Table'!$AJ137)/340)</f>
        <v>5.1220879224030043</v>
      </c>
      <c r="J137" s="187">
        <f>(('LCFS Table'!$Y137+'LCFS Table'!$Z137)/100)+(('LCFS Table'!$AM137+'LCFS Table'!$AN137)/300)</f>
        <v>7.1677464843749989</v>
      </c>
      <c r="K137" s="190">
        <f>'[1]Fuel Values'!$C136</f>
        <v>2.1779000000000002</v>
      </c>
      <c r="L137" s="190">
        <f>'[1]Fuel Values'!$B136</f>
        <v>640</v>
      </c>
      <c r="M137" s="185">
        <f>('LCFS Table'!$L137/100)-'LCFS Table'!$AX137-'LCFS Table'!$AY137-'LCFS Table'!$AZ137-'LCFS Table'!$BA137</f>
        <v>1.7360887266975009</v>
      </c>
      <c r="N137" s="190">
        <f>[1]BFT!$B136</f>
        <v>62.6</v>
      </c>
      <c r="O137" s="190">
        <f>[1]UCO!$B136</f>
        <v>54.2</v>
      </c>
      <c r="P137" s="190">
        <f>[1]DCO!$B136</f>
        <v>62.7</v>
      </c>
      <c r="Q137" s="190">
        <f>'[1]Soybean Oil'!$B136</f>
        <v>93.097999999999999</v>
      </c>
      <c r="R137" s="190">
        <f>'[1]Yellow Grease'!$B136</f>
        <v>48.1</v>
      </c>
      <c r="S137" s="185">
        <f>'LCFS Table'!$N137 + 'LCFS Table'!$AH137</f>
        <v>66.974999999999994</v>
      </c>
      <c r="T137" s="185">
        <f>'LCFS Table'!$Q137+'LCFS Table'!$AH137</f>
        <v>97.472999999999999</v>
      </c>
      <c r="U137" s="185">
        <f>'LCFS Table'!$P137+'LCFS Table'!$AH137</f>
        <v>67.075000000000003</v>
      </c>
      <c r="V137" s="185">
        <f>(('LCFS Table'!$S137/'LCFS Table'!$AA137)*'LCFS Table'!$AC137)*6.48</f>
        <v>230.85000000000002</v>
      </c>
      <c r="W137" s="185">
        <f>(('LCFS Table'!$O137/'LCFS Table'!$AA137)*'LCFS Table'!$AD137)*6.48</f>
        <v>93.408510638297884</v>
      </c>
      <c r="X137" s="185">
        <f>(('LCFS Table'!$U137/'LCFS Table'!$AA137)*'LCFS Table'!$AE137)*6.48</f>
        <v>115.59734042553194</v>
      </c>
      <c r="Y137" s="185">
        <f>(('LCFS Table'!$T137/'LCFS Table'!$AB137)*'LCFS Table'!$AF137)*7.35</f>
        <v>559.70824218749988</v>
      </c>
      <c r="Z137" s="185">
        <f>(('LCFS Table'!$R137/'LCFS Table'!$AB137)*'LCFS Table'!$AG137)*7.35</f>
        <v>92.06640625</v>
      </c>
      <c r="AA137" s="138">
        <v>0.94</v>
      </c>
      <c r="AB137" s="138">
        <v>0.96</v>
      </c>
      <c r="AC137" s="138">
        <v>0.5</v>
      </c>
      <c r="AD137" s="138">
        <v>0.25</v>
      </c>
      <c r="AE137" s="138">
        <v>0.25</v>
      </c>
      <c r="AF137" s="138">
        <v>0.75</v>
      </c>
      <c r="AG137" s="138">
        <v>0.25</v>
      </c>
      <c r="AH137" s="139">
        <v>4.375</v>
      </c>
      <c r="AI137" s="139">
        <v>136</v>
      </c>
      <c r="AJ137" s="139">
        <v>110</v>
      </c>
      <c r="AK137" s="186">
        <f>('LCFS Table'!$AI137/340)*100</f>
        <v>40</v>
      </c>
      <c r="AL137" s="186">
        <f>('LCFS Table'!$AJ137/340)*100</f>
        <v>32.352941176470587</v>
      </c>
      <c r="AM137" s="139">
        <v>105</v>
      </c>
      <c r="AN137" s="139">
        <v>90</v>
      </c>
      <c r="AO137" s="139">
        <f>('LCFS Table'!$AM137/300)*100</f>
        <v>35</v>
      </c>
      <c r="AP137" s="139">
        <f>('LCFS Table'!$AN137/300)*100</f>
        <v>30</v>
      </c>
      <c r="AQ137" s="140">
        <f>'[1]LCFS Values'!$B136</f>
        <v>180.9</v>
      </c>
      <c r="AR137" s="140">
        <f>'[1]RIN Values'!$B136/100</f>
        <v>1.75</v>
      </c>
      <c r="AS137" s="185">
        <v>1.5332325957438615</v>
      </c>
      <c r="AT137" s="137">
        <v>0.16</v>
      </c>
      <c r="AU137" s="137">
        <v>1</v>
      </c>
      <c r="AV137" s="185">
        <f>'LCFS Table'!$AR137*1.7</f>
        <v>2.9750000000000001</v>
      </c>
      <c r="AW137" s="137">
        <v>0</v>
      </c>
      <c r="AX137" s="185">
        <v>1.0389112733024999</v>
      </c>
      <c r="AY137" s="137">
        <v>0</v>
      </c>
      <c r="AZ137" s="141">
        <v>1</v>
      </c>
      <c r="BA137" s="185">
        <f>'LCFS Table'!$AR137*1.5</f>
        <v>2.625</v>
      </c>
      <c r="BB137" s="142">
        <v>1.2</v>
      </c>
      <c r="BC137" s="185">
        <f>'LCFS Table'!$AS137*'LCFS Table'!$BW137</f>
        <v>1.5332325957438615</v>
      </c>
      <c r="BD137" s="185">
        <f>'LCFS Table'!$AT137*'LCFS Table'!$BX137</f>
        <v>0</v>
      </c>
      <c r="BE137" s="185">
        <f>'LCFS Table'!$AU137*'LCFS Table'!$BY137</f>
        <v>1</v>
      </c>
      <c r="BF137" s="137">
        <f>'LCFS Table'!$AV137*'LCFS Table'!$BZ137</f>
        <v>2.9750000000000001</v>
      </c>
      <c r="BG137" s="137">
        <f>'LCFS Table'!$AW137*'LCFS Table'!$CA137</f>
        <v>0</v>
      </c>
      <c r="BH137" s="137">
        <f>'LCFS Table'!$AX137*'LCFS Table'!$CB137</f>
        <v>1.0389112733024999</v>
      </c>
      <c r="BI137" s="137">
        <f>'LCFS Table'!$AY137*'LCFS Table'!$CC137</f>
        <v>0</v>
      </c>
      <c r="BJ137" s="137">
        <f>'LCFS Table'!$AZ137*'LCFS Table'!$CD137</f>
        <v>1</v>
      </c>
      <c r="BK137" s="137">
        <f>'LCFS Table'!$BA137*'LCFS Table'!$CE137</f>
        <v>2.625</v>
      </c>
      <c r="BL137" s="137">
        <f>'LCFS Table'!$BB137*'LCFS Table'!$CF137</f>
        <v>-1.2</v>
      </c>
      <c r="BM137" s="137">
        <f>'LCFS Table'!$AS137*'LCFS Table'!$CG137</f>
        <v>0</v>
      </c>
      <c r="BN137" s="137">
        <f>'LCFS Table'!$AT137*'LCFS Table'!$CH137</f>
        <v>0.16</v>
      </c>
      <c r="BO137" s="137">
        <f>'LCFS Table'!$AU137*'LCFS Table'!$CI137</f>
        <v>0</v>
      </c>
      <c r="BP137" s="137">
        <f>'LCFS Table'!$AV137*'LCFS Table'!$CJ137</f>
        <v>0</v>
      </c>
      <c r="BQ137" s="137">
        <f>'LCFS Table'!$AW137*'LCFS Table'!$CK137</f>
        <v>0</v>
      </c>
      <c r="BR137" s="137">
        <f>'LCFS Table'!$AX137*'LCFS Table'!$CL137</f>
        <v>0</v>
      </c>
      <c r="BS137" s="137">
        <f>'LCFS Table'!$AY137*'LCFS Table'!$CM137</f>
        <v>0</v>
      </c>
      <c r="BT137" s="137">
        <f>'LCFS Table'!$AZ137*'LCFS Table'!$CN137</f>
        <v>0</v>
      </c>
      <c r="BU137" s="137">
        <f>'LCFS Table'!$BA137*'LCFS Table'!$CO137</f>
        <v>0</v>
      </c>
      <c r="BV137" s="142">
        <f>'LCFS Table'!$BB137*'LCFS Table'!$CP137</f>
        <v>1.2</v>
      </c>
      <c r="BW137" s="138">
        <v>1</v>
      </c>
      <c r="BX137" s="138">
        <v>0</v>
      </c>
      <c r="BY137" s="138">
        <v>1</v>
      </c>
      <c r="BZ137" s="138">
        <v>1</v>
      </c>
      <c r="CA137" s="138">
        <v>-1</v>
      </c>
      <c r="CB137" s="138">
        <v>1</v>
      </c>
      <c r="CC137" s="138">
        <v>0</v>
      </c>
      <c r="CD137" s="138">
        <v>1</v>
      </c>
      <c r="CE137" s="138">
        <v>1</v>
      </c>
      <c r="CF137" s="138">
        <v>-1</v>
      </c>
      <c r="CG137" s="138">
        <f>1-'LCFS Table'!$BW137</f>
        <v>0</v>
      </c>
      <c r="CH137" s="138">
        <f>1-'LCFS Table'!$BX137</f>
        <v>1</v>
      </c>
      <c r="CI137" s="138">
        <f>1-'LCFS Table'!$BY137</f>
        <v>0</v>
      </c>
      <c r="CJ137" s="138">
        <f>1-'LCFS Table'!$BZ137</f>
        <v>0</v>
      </c>
      <c r="CK137" s="138">
        <f>-'LCFS Table'!$CA137</f>
        <v>1</v>
      </c>
      <c r="CL137" s="138">
        <f>1-'LCFS Table'!$CB137</f>
        <v>0</v>
      </c>
      <c r="CM137" s="138">
        <f>1-'LCFS Table'!$CC137</f>
        <v>1</v>
      </c>
      <c r="CN137" s="138">
        <f>1-'LCFS Table'!$CD137</f>
        <v>0</v>
      </c>
      <c r="CO137" s="138">
        <f>1-'LCFS Table'!$CE137</f>
        <v>0</v>
      </c>
      <c r="CP137" s="138">
        <f>-'LCFS Table'!$CF137</f>
        <v>1</v>
      </c>
      <c r="CQ137" s="140">
        <v>18</v>
      </c>
      <c r="CR137" s="165">
        <f>('LCFS Table'!$CQ137*0.9/(0.8/0.99)/100)</f>
        <v>0.20047499999999996</v>
      </c>
      <c r="CS137" s="166"/>
      <c r="CT137" s="167"/>
      <c r="CW137" s="168">
        <f>'LCFS Table'!$K137-'LCFS Table'!$M137</f>
        <v>0.44181127330249925</v>
      </c>
      <c r="CX137" s="129">
        <f>MONTH('LCFS Table'!$B137)</f>
        <v>7</v>
      </c>
      <c r="CY137" s="129">
        <f>YEAR('LCFS Table'!$B137)</f>
        <v>2021</v>
      </c>
    </row>
    <row r="138" spans="1:103">
      <c r="A138" s="148">
        <v>44409</v>
      </c>
      <c r="B138" s="149">
        <v>44415</v>
      </c>
      <c r="C138" s="132">
        <f t="shared" si="2"/>
        <v>2021</v>
      </c>
      <c r="D138" s="182" t="s">
        <v>287</v>
      </c>
      <c r="E138" s="187">
        <f>'LCFS Table'!$K138-'LCFS Table'!$I138</f>
        <v>-3.1256028160200255</v>
      </c>
      <c r="F138" s="187">
        <f>('LCFS Table'!$M138)-'LCFS Table'!$J138</f>
        <v>-5.2762286943600003</v>
      </c>
      <c r="G138" s="188">
        <f>'LCFS Table'!$E138+'LCFS Table'!$AS138+'LCFS Table'!$AT138+'LCFS Table'!$AU138+'LCFS Table'!$AV138</f>
        <v>2.6428882673565868</v>
      </c>
      <c r="H138" s="188">
        <f>'LCFS Table'!$F138+'LCFS Table'!$AX138+'LCFS Table'!$AY138+'LCFS Table'!$AZ138+'LCFS Table'!$BA138+('LCFS Table'!$CQ138*0.9/(0.8/0.99)/100)+(DG138*'LCFS Table'!$AF138)+(DF138*'LCFS Table'!$AG138)</f>
        <v>-0.32632929687500045</v>
      </c>
      <c r="I138" s="187">
        <f>('LCFS Table'!$V138+'LCFS Table'!$W138+'LCFS Table'!$X138)/100+(('LCFS Table'!$AI138+'LCFS Table'!$AJ138)/340)</f>
        <v>5.2410028160200257</v>
      </c>
      <c r="J138" s="187">
        <f>(('LCFS Table'!$Y138+'LCFS Table'!$Z138)/100)+(('LCFS Table'!$AM138+'LCFS Table'!$AN138)/300)</f>
        <v>6.9268042968750008</v>
      </c>
      <c r="K138" s="190">
        <f>'[1]Fuel Values'!$C137</f>
        <v>2.1154000000000002</v>
      </c>
      <c r="L138" s="190">
        <f>'[1]Fuel Values'!$B137</f>
        <v>640</v>
      </c>
      <c r="M138" s="185">
        <f>('LCFS Table'!$L138/100)-'LCFS Table'!$AX138-'LCFS Table'!$AY138-'LCFS Table'!$AZ138-'LCFS Table'!$BA138</f>
        <v>1.6505756025150005</v>
      </c>
      <c r="N138" s="190">
        <f>[1]BFT!$B137</f>
        <v>65</v>
      </c>
      <c r="O138" s="190">
        <f>[1]UCO!$B137</f>
        <v>56</v>
      </c>
      <c r="P138" s="190">
        <f>[1]DCO!$B137</f>
        <v>63</v>
      </c>
      <c r="Q138" s="190">
        <f>'[1]Soybean Oil'!$B137</f>
        <v>88.352000000000004</v>
      </c>
      <c r="R138" s="190">
        <f>'[1]Yellow Grease'!$B137</f>
        <v>49.75</v>
      </c>
      <c r="S138" s="185">
        <f>'LCFS Table'!$N138 + 'LCFS Table'!$AH138</f>
        <v>69.375</v>
      </c>
      <c r="T138" s="185">
        <f>'LCFS Table'!$Q138+'LCFS Table'!$AH138</f>
        <v>92.727000000000004</v>
      </c>
      <c r="U138" s="185">
        <f>'LCFS Table'!$P138+'LCFS Table'!$AH138</f>
        <v>67.375</v>
      </c>
      <c r="V138" s="185">
        <f>(('LCFS Table'!$S138/'LCFS Table'!$AA138)*'LCFS Table'!$AC138)*6.48</f>
        <v>239.12234042553195</v>
      </c>
      <c r="W138" s="185">
        <f>(('LCFS Table'!$O138/'LCFS Table'!$AA138)*'LCFS Table'!$AD138)*6.48</f>
        <v>96.510638297872362</v>
      </c>
      <c r="X138" s="185">
        <f>(('LCFS Table'!$U138/'LCFS Table'!$AA138)*'LCFS Table'!$AE138)*6.48</f>
        <v>116.11436170212768</v>
      </c>
      <c r="Y138" s="185">
        <f>(('LCFS Table'!$T138/'LCFS Table'!$AB138)*'LCFS Table'!$AF138)*7.35</f>
        <v>532.45582031250001</v>
      </c>
      <c r="Z138" s="185">
        <f>(('LCFS Table'!$R138/'LCFS Table'!$AB138)*'LCFS Table'!$AG138)*7.35</f>
        <v>95.224609375</v>
      </c>
      <c r="AA138" s="138">
        <v>0.94</v>
      </c>
      <c r="AB138" s="138">
        <v>0.96</v>
      </c>
      <c r="AC138" s="138">
        <v>0.5</v>
      </c>
      <c r="AD138" s="138">
        <v>0.25</v>
      </c>
      <c r="AE138" s="138">
        <v>0.25</v>
      </c>
      <c r="AF138" s="138">
        <v>0.75</v>
      </c>
      <c r="AG138" s="138">
        <v>0.25</v>
      </c>
      <c r="AH138" s="139">
        <v>4.375</v>
      </c>
      <c r="AI138" s="139">
        <v>136</v>
      </c>
      <c r="AJ138" s="139">
        <v>110</v>
      </c>
      <c r="AK138" s="186">
        <f>('LCFS Table'!$AI138/340)*100</f>
        <v>40</v>
      </c>
      <c r="AL138" s="186">
        <f>('LCFS Table'!$AJ138/340)*100</f>
        <v>32.352941176470587</v>
      </c>
      <c r="AM138" s="139">
        <v>105</v>
      </c>
      <c r="AN138" s="139">
        <v>90</v>
      </c>
      <c r="AO138" s="139">
        <f>('LCFS Table'!$AM138/300)*100</f>
        <v>35</v>
      </c>
      <c r="AP138" s="139">
        <f>('LCFS Table'!$AN138/300)*100</f>
        <v>30</v>
      </c>
      <c r="AQ138" s="140">
        <f>'[1]LCFS Values'!$B137</f>
        <v>182.6</v>
      </c>
      <c r="AR138" s="140">
        <f>'[1]RIN Values'!$B137/100</f>
        <v>1.8005000000000002</v>
      </c>
      <c r="AS138" s="185">
        <v>1.5476410833766121</v>
      </c>
      <c r="AT138" s="137">
        <v>0.16</v>
      </c>
      <c r="AU138" s="137">
        <v>1</v>
      </c>
      <c r="AV138" s="185">
        <f>'LCFS Table'!$AR138*1.7</f>
        <v>3.0608500000000003</v>
      </c>
      <c r="AW138" s="137">
        <v>0</v>
      </c>
      <c r="AX138" s="185">
        <v>1.0486743974849997</v>
      </c>
      <c r="AY138" s="137">
        <v>0</v>
      </c>
      <c r="AZ138" s="141">
        <v>1</v>
      </c>
      <c r="BA138" s="185">
        <f>'LCFS Table'!$AR138*1.5</f>
        <v>2.7007500000000002</v>
      </c>
      <c r="BB138" s="142">
        <v>1.2</v>
      </c>
      <c r="BC138" s="185">
        <f>'LCFS Table'!$AS138*'LCFS Table'!$BW138</f>
        <v>1.5476410833766121</v>
      </c>
      <c r="BD138" s="185">
        <f>'LCFS Table'!$AT138*'LCFS Table'!$BX138</f>
        <v>0</v>
      </c>
      <c r="BE138" s="185">
        <f>'LCFS Table'!$AU138*'LCFS Table'!$BY138</f>
        <v>1</v>
      </c>
      <c r="BF138" s="137">
        <f>'LCFS Table'!$AV138*'LCFS Table'!$BZ138</f>
        <v>3.0608500000000003</v>
      </c>
      <c r="BG138" s="137">
        <f>'LCFS Table'!$AW138*'LCFS Table'!$CA138</f>
        <v>0</v>
      </c>
      <c r="BH138" s="137">
        <f>'LCFS Table'!$AX138*'LCFS Table'!$CB138</f>
        <v>1.0486743974849997</v>
      </c>
      <c r="BI138" s="137">
        <f>'LCFS Table'!$AY138*'LCFS Table'!$CC138</f>
        <v>0</v>
      </c>
      <c r="BJ138" s="137">
        <f>'LCFS Table'!$AZ138*'LCFS Table'!$CD138</f>
        <v>1</v>
      </c>
      <c r="BK138" s="137">
        <f>'LCFS Table'!$BA138*'LCFS Table'!$CE138</f>
        <v>2.7007500000000002</v>
      </c>
      <c r="BL138" s="137">
        <f>'LCFS Table'!$BB138*'LCFS Table'!$CF138</f>
        <v>-1.2</v>
      </c>
      <c r="BM138" s="137">
        <f>'LCFS Table'!$AS138*'LCFS Table'!$CG138</f>
        <v>0</v>
      </c>
      <c r="BN138" s="137">
        <f>'LCFS Table'!$AT138*'LCFS Table'!$CH138</f>
        <v>0.16</v>
      </c>
      <c r="BO138" s="137">
        <f>'LCFS Table'!$AU138*'LCFS Table'!$CI138</f>
        <v>0</v>
      </c>
      <c r="BP138" s="137">
        <f>'LCFS Table'!$AV138*'LCFS Table'!$CJ138</f>
        <v>0</v>
      </c>
      <c r="BQ138" s="137">
        <f>'LCFS Table'!$AW138*'LCFS Table'!$CK138</f>
        <v>0</v>
      </c>
      <c r="BR138" s="137">
        <f>'LCFS Table'!$AX138*'LCFS Table'!$CL138</f>
        <v>0</v>
      </c>
      <c r="BS138" s="137">
        <f>'LCFS Table'!$AY138*'LCFS Table'!$CM138</f>
        <v>0</v>
      </c>
      <c r="BT138" s="137">
        <f>'LCFS Table'!$AZ138*'LCFS Table'!$CN138</f>
        <v>0</v>
      </c>
      <c r="BU138" s="137">
        <f>'LCFS Table'!$BA138*'LCFS Table'!$CO138</f>
        <v>0</v>
      </c>
      <c r="BV138" s="142">
        <f>'LCFS Table'!$BB138*'LCFS Table'!$CP138</f>
        <v>1.2</v>
      </c>
      <c r="BW138" s="138">
        <v>1</v>
      </c>
      <c r="BX138" s="138">
        <v>0</v>
      </c>
      <c r="BY138" s="138">
        <v>1</v>
      </c>
      <c r="BZ138" s="138">
        <v>1</v>
      </c>
      <c r="CA138" s="138">
        <v>-1</v>
      </c>
      <c r="CB138" s="138">
        <v>1</v>
      </c>
      <c r="CC138" s="138">
        <v>0</v>
      </c>
      <c r="CD138" s="138">
        <v>1</v>
      </c>
      <c r="CE138" s="138">
        <v>1</v>
      </c>
      <c r="CF138" s="138">
        <v>-1</v>
      </c>
      <c r="CG138" s="138">
        <f>1-'LCFS Table'!$BW138</f>
        <v>0</v>
      </c>
      <c r="CH138" s="138">
        <f>1-'LCFS Table'!$BX138</f>
        <v>1</v>
      </c>
      <c r="CI138" s="138">
        <f>1-'LCFS Table'!$BY138</f>
        <v>0</v>
      </c>
      <c r="CJ138" s="138">
        <f>1-'LCFS Table'!$BZ138</f>
        <v>0</v>
      </c>
      <c r="CK138" s="138">
        <f>-'LCFS Table'!$CA138</f>
        <v>1</v>
      </c>
      <c r="CL138" s="138">
        <f>1-'LCFS Table'!$CB138</f>
        <v>0</v>
      </c>
      <c r="CM138" s="138">
        <f>1-'LCFS Table'!$CC138</f>
        <v>1</v>
      </c>
      <c r="CN138" s="138">
        <f>1-'LCFS Table'!$CD138</f>
        <v>0</v>
      </c>
      <c r="CO138" s="138">
        <f>1-'LCFS Table'!$CE138</f>
        <v>0</v>
      </c>
      <c r="CP138" s="138">
        <f>-'LCFS Table'!$CF138</f>
        <v>1</v>
      </c>
      <c r="CQ138" s="140">
        <v>18</v>
      </c>
      <c r="CR138" s="165">
        <f>('LCFS Table'!$CQ138*0.9/(0.8/0.99)/100)</f>
        <v>0.20047499999999996</v>
      </c>
      <c r="CS138" s="166"/>
      <c r="CT138" s="167"/>
      <c r="CW138" s="168">
        <f>'LCFS Table'!$K138-'LCFS Table'!$M138</f>
        <v>0.46482439748499971</v>
      </c>
      <c r="CX138" s="129">
        <f>MONTH('LCFS Table'!$B138)</f>
        <v>8</v>
      </c>
      <c r="CY138" s="129">
        <f>YEAR('LCFS Table'!$B138)</f>
        <v>2021</v>
      </c>
    </row>
    <row r="139" spans="1:103">
      <c r="A139" s="148">
        <v>44416</v>
      </c>
      <c r="B139" s="149">
        <v>44422</v>
      </c>
      <c r="C139" s="132">
        <f t="shared" si="2"/>
        <v>2021</v>
      </c>
      <c r="D139" s="150" t="s">
        <v>288</v>
      </c>
      <c r="E139" s="187">
        <f>'LCFS Table'!$K139-'LCFS Table'!$I139</f>
        <v>-3.1636517521902392</v>
      </c>
      <c r="F139" s="187">
        <f>('LCFS Table'!$M139)-'LCFS Table'!$J139</f>
        <v>-4.9897066912124988</v>
      </c>
      <c r="G139" s="188">
        <f>'LCFS Table'!$E139+'LCFS Table'!$AS139+'LCFS Table'!$AT139+'LCFS Table'!$AU139+'LCFS Table'!$AV139</f>
        <v>2.5989161921298871</v>
      </c>
      <c r="H139" s="188">
        <f>'LCFS Table'!$F139+'LCFS Table'!$AX139+'LCFS Table'!$AY139+'LCFS Table'!$AZ139+'LCFS Table'!$BA139+('LCFS Table'!$CQ139*0.9/(0.8/0.99)/100)+(DG139*'LCFS Table'!$AF139)+(DF139*'LCFS Table'!$AG139)</f>
        <v>-3.1987109374999045E-2</v>
      </c>
      <c r="I139" s="187">
        <f>('LCFS Table'!$V139+'LCFS Table'!$W139+'LCFS Table'!$X139)/100+(('LCFS Table'!$AI139+'LCFS Table'!$AJ139)/340)</f>
        <v>5.2556517521902393</v>
      </c>
      <c r="J139" s="187">
        <f>(('LCFS Table'!$Y139+'LCFS Table'!$Z139)/100)+(('LCFS Table'!$AM139+'LCFS Table'!$AN139)/300)</f>
        <v>6.6435996093750003</v>
      </c>
      <c r="K139" s="190">
        <f>'[1]Fuel Values'!$C138</f>
        <v>2.0920000000000001</v>
      </c>
      <c r="L139" s="190">
        <f>'[1]Fuel Values'!$B138</f>
        <v>640</v>
      </c>
      <c r="M139" s="185">
        <f>('LCFS Table'!$L139/100)-'LCFS Table'!$AX139-'LCFS Table'!$AY139-'LCFS Table'!$AZ139-'LCFS Table'!$BA139</f>
        <v>1.6538929181625011</v>
      </c>
      <c r="N139" s="190">
        <f>[1]BFT!$B138</f>
        <v>65</v>
      </c>
      <c r="O139" s="190">
        <f>[1]UCO!$B138</f>
        <v>56</v>
      </c>
      <c r="P139" s="190">
        <f>[1]DCO!$B138</f>
        <v>63.85</v>
      </c>
      <c r="Q139" s="190">
        <f>'[1]Soybean Oil'!$B138</f>
        <v>83.42</v>
      </c>
      <c r="R139" s="190">
        <f>'[1]Yellow Grease'!$B138</f>
        <v>49.75</v>
      </c>
      <c r="S139" s="185">
        <f>'LCFS Table'!$N139 + 'LCFS Table'!$AH139</f>
        <v>69.375</v>
      </c>
      <c r="T139" s="185">
        <f>'LCFS Table'!$Q139+'LCFS Table'!$AH139</f>
        <v>87.795000000000002</v>
      </c>
      <c r="U139" s="185">
        <f>'LCFS Table'!$P139+'LCFS Table'!$AH139</f>
        <v>68.224999999999994</v>
      </c>
      <c r="V139" s="185">
        <f>(('LCFS Table'!$S139/'LCFS Table'!$AA139)*'LCFS Table'!$AC139)*6.48</f>
        <v>239.12234042553195</v>
      </c>
      <c r="W139" s="185">
        <f>(('LCFS Table'!$O139/'LCFS Table'!$AA139)*'LCFS Table'!$AD139)*6.48</f>
        <v>96.510638297872362</v>
      </c>
      <c r="X139" s="185">
        <f>(('LCFS Table'!$U139/'LCFS Table'!$AA139)*'LCFS Table'!$AE139)*6.48</f>
        <v>117.57925531914894</v>
      </c>
      <c r="Y139" s="185">
        <f>(('LCFS Table'!$T139/'LCFS Table'!$AB139)*'LCFS Table'!$AF139)*7.35</f>
        <v>504.13535156249998</v>
      </c>
      <c r="Z139" s="185">
        <f>(('LCFS Table'!$R139/'LCFS Table'!$AB139)*'LCFS Table'!$AG139)*7.35</f>
        <v>95.224609375</v>
      </c>
      <c r="AA139" s="138">
        <v>0.94</v>
      </c>
      <c r="AB139" s="138">
        <v>0.96</v>
      </c>
      <c r="AC139" s="138">
        <v>0.5</v>
      </c>
      <c r="AD139" s="138">
        <v>0.25</v>
      </c>
      <c r="AE139" s="138">
        <v>0.25</v>
      </c>
      <c r="AF139" s="138">
        <v>0.75</v>
      </c>
      <c r="AG139" s="138">
        <v>0.25</v>
      </c>
      <c r="AH139" s="139">
        <v>4.375</v>
      </c>
      <c r="AI139" s="139">
        <v>136</v>
      </c>
      <c r="AJ139" s="139">
        <v>110</v>
      </c>
      <c r="AK139" s="186">
        <f>('LCFS Table'!$AI139/340)*100</f>
        <v>40</v>
      </c>
      <c r="AL139" s="186">
        <f>('LCFS Table'!$AJ139/340)*100</f>
        <v>32.352941176470587</v>
      </c>
      <c r="AM139" s="139">
        <v>105</v>
      </c>
      <c r="AN139" s="139">
        <v>90</v>
      </c>
      <c r="AO139" s="139">
        <f>('LCFS Table'!$AM139/300)*100</f>
        <v>35</v>
      </c>
      <c r="AP139" s="139">
        <f>('LCFS Table'!$AN139/300)*100</f>
        <v>30</v>
      </c>
      <c r="AQ139" s="140">
        <f>'[1]LCFS Values'!$B138</f>
        <v>181.5</v>
      </c>
      <c r="AR139" s="140">
        <f>'[1]RIN Values'!$B138/100</f>
        <v>1.8025</v>
      </c>
      <c r="AS139" s="185">
        <v>1.5383179443201265</v>
      </c>
      <c r="AT139" s="137">
        <v>0.16</v>
      </c>
      <c r="AU139" s="137">
        <v>1</v>
      </c>
      <c r="AV139" s="185">
        <f>'LCFS Table'!$AR139*1.7</f>
        <v>3.0642499999999999</v>
      </c>
      <c r="AW139" s="137">
        <v>0</v>
      </c>
      <c r="AX139" s="185">
        <v>1.0423570818374999</v>
      </c>
      <c r="AY139" s="137">
        <v>0</v>
      </c>
      <c r="AZ139" s="141">
        <v>1</v>
      </c>
      <c r="BA139" s="185">
        <f>'LCFS Table'!$AR139*1.5</f>
        <v>2.7037499999999999</v>
      </c>
      <c r="BB139" s="142">
        <v>1.2</v>
      </c>
      <c r="BC139" s="185">
        <f>'LCFS Table'!$AS139*'LCFS Table'!$BW139</f>
        <v>1.5383179443201265</v>
      </c>
      <c r="BD139" s="185">
        <f>'LCFS Table'!$AT139*'LCFS Table'!$BX139</f>
        <v>0</v>
      </c>
      <c r="BE139" s="185">
        <f>'LCFS Table'!$AU139*'LCFS Table'!$BY139</f>
        <v>1</v>
      </c>
      <c r="BF139" s="137">
        <f>'LCFS Table'!$AV139*'LCFS Table'!$BZ139</f>
        <v>3.0642499999999999</v>
      </c>
      <c r="BG139" s="137">
        <f>'LCFS Table'!$AW139*'LCFS Table'!$CA139</f>
        <v>0</v>
      </c>
      <c r="BH139" s="137">
        <f>'LCFS Table'!$AX139*'LCFS Table'!$CB139</f>
        <v>1.0423570818374999</v>
      </c>
      <c r="BI139" s="137">
        <f>'LCFS Table'!$AY139*'LCFS Table'!$CC139</f>
        <v>0</v>
      </c>
      <c r="BJ139" s="137">
        <f>'LCFS Table'!$AZ139*'LCFS Table'!$CD139</f>
        <v>1</v>
      </c>
      <c r="BK139" s="137">
        <f>'LCFS Table'!$BA139*'LCFS Table'!$CE139</f>
        <v>2.7037499999999999</v>
      </c>
      <c r="BL139" s="137">
        <f>'LCFS Table'!$BB139*'LCFS Table'!$CF139</f>
        <v>-1.2</v>
      </c>
      <c r="BM139" s="137">
        <f>'LCFS Table'!$AS139*'LCFS Table'!$CG139</f>
        <v>0</v>
      </c>
      <c r="BN139" s="137">
        <f>'LCFS Table'!$AT139*'LCFS Table'!$CH139</f>
        <v>0.16</v>
      </c>
      <c r="BO139" s="137">
        <f>'LCFS Table'!$AU139*'LCFS Table'!$CI139</f>
        <v>0</v>
      </c>
      <c r="BP139" s="137">
        <f>'LCFS Table'!$AV139*'LCFS Table'!$CJ139</f>
        <v>0</v>
      </c>
      <c r="BQ139" s="137">
        <f>'LCFS Table'!$AW139*'LCFS Table'!$CK139</f>
        <v>0</v>
      </c>
      <c r="BR139" s="137">
        <f>'LCFS Table'!$AX139*'LCFS Table'!$CL139</f>
        <v>0</v>
      </c>
      <c r="BS139" s="137">
        <f>'LCFS Table'!$AY139*'LCFS Table'!$CM139</f>
        <v>0</v>
      </c>
      <c r="BT139" s="137">
        <f>'LCFS Table'!$AZ139*'LCFS Table'!$CN139</f>
        <v>0</v>
      </c>
      <c r="BU139" s="137">
        <f>'LCFS Table'!$BA139*'LCFS Table'!$CO139</f>
        <v>0</v>
      </c>
      <c r="BV139" s="142">
        <f>'LCFS Table'!$BB139*'LCFS Table'!$CP139</f>
        <v>1.2</v>
      </c>
      <c r="BW139" s="138">
        <v>1</v>
      </c>
      <c r="BX139" s="138">
        <v>0</v>
      </c>
      <c r="BY139" s="138">
        <v>1</v>
      </c>
      <c r="BZ139" s="138">
        <v>1</v>
      </c>
      <c r="CA139" s="138">
        <v>-1</v>
      </c>
      <c r="CB139" s="138">
        <v>1</v>
      </c>
      <c r="CC139" s="138">
        <v>0</v>
      </c>
      <c r="CD139" s="138">
        <v>1</v>
      </c>
      <c r="CE139" s="138">
        <v>1</v>
      </c>
      <c r="CF139" s="138">
        <v>-1</v>
      </c>
      <c r="CG139" s="138">
        <f>1-'LCFS Table'!$BW139</f>
        <v>0</v>
      </c>
      <c r="CH139" s="138">
        <f>1-'LCFS Table'!$BX139</f>
        <v>1</v>
      </c>
      <c r="CI139" s="138">
        <f>1-'LCFS Table'!$BY139</f>
        <v>0</v>
      </c>
      <c r="CJ139" s="138">
        <f>1-'LCFS Table'!$BZ139</f>
        <v>0</v>
      </c>
      <c r="CK139" s="138">
        <f>-'LCFS Table'!$CA139</f>
        <v>1</v>
      </c>
      <c r="CL139" s="138">
        <f>1-'LCFS Table'!$CB139</f>
        <v>0</v>
      </c>
      <c r="CM139" s="138">
        <f>1-'LCFS Table'!$CC139</f>
        <v>1</v>
      </c>
      <c r="CN139" s="138">
        <f>1-'LCFS Table'!$CD139</f>
        <v>0</v>
      </c>
      <c r="CO139" s="138">
        <f>1-'LCFS Table'!$CE139</f>
        <v>0</v>
      </c>
      <c r="CP139" s="138">
        <f>-'LCFS Table'!$CF139</f>
        <v>1</v>
      </c>
      <c r="CQ139" s="140">
        <v>19</v>
      </c>
      <c r="CR139" s="165">
        <f>('LCFS Table'!$CQ139*0.9/(0.8/0.99)/100)</f>
        <v>0.21161249999999998</v>
      </c>
      <c r="CS139" s="166"/>
      <c r="CT139" s="167"/>
      <c r="CW139" s="168">
        <f>'LCFS Table'!$K139-'LCFS Table'!$M139</f>
        <v>0.43810708183749902</v>
      </c>
      <c r="CX139" s="129">
        <f>MONTH('LCFS Table'!$B139)</f>
        <v>8</v>
      </c>
      <c r="CY139" s="129">
        <f>YEAR('LCFS Table'!$B139)</f>
        <v>2021</v>
      </c>
    </row>
    <row r="140" spans="1:103">
      <c r="A140" s="148">
        <v>44423</v>
      </c>
      <c r="B140" s="149">
        <v>44429</v>
      </c>
      <c r="C140" s="132">
        <f t="shared" si="2"/>
        <v>2021</v>
      </c>
      <c r="D140" s="182" t="s">
        <v>289</v>
      </c>
      <c r="E140" s="187">
        <f>'LCFS Table'!$K140-'LCFS Table'!$I140</f>
        <v>-3.3498709011264087</v>
      </c>
      <c r="F140" s="187">
        <f>('LCFS Table'!$M140)-'LCFS Table'!$J140</f>
        <v>-4.8266530061037489</v>
      </c>
      <c r="G140" s="188">
        <f>'LCFS Table'!$E140+'LCFS Table'!$AS140+'LCFS Table'!$AT140+'LCFS Table'!$AU140+'LCFS Table'!$AV140</f>
        <v>2.2814001250892098</v>
      </c>
      <c r="H140" s="188">
        <f>'LCFS Table'!$F140+'LCFS Table'!$AX140+'LCFS Table'!$AY140+'LCFS Table'!$AZ140+'LCFS Table'!$BA140+('LCFS Table'!$CQ140*0.9/(0.8/0.99)/100)+(DG140*'LCFS Table'!$AF140)+(DF140*'LCFS Table'!$AG140)</f>
        <v>5.0624609375000601E-2</v>
      </c>
      <c r="I140" s="187">
        <f>('LCFS Table'!$V140+'LCFS Table'!$W140+'LCFS Table'!$X140)/100+(('LCFS Table'!$AI140+'LCFS Table'!$AJ140)/340)</f>
        <v>5.3564709011264089</v>
      </c>
      <c r="J140" s="187">
        <f>(('LCFS Table'!$Y140+'LCFS Table'!$Z140)/100)+(('LCFS Table'!$AM140+'LCFS Table'!$AN140)/300)</f>
        <v>6.5144003906250001</v>
      </c>
      <c r="K140" s="190">
        <f>'[1]Fuel Values'!$C139</f>
        <v>2.0066000000000002</v>
      </c>
      <c r="L140" s="190">
        <f>'[1]Fuel Values'!$B139</f>
        <v>632</v>
      </c>
      <c r="M140" s="185">
        <f>('LCFS Table'!$L140/100)-'LCFS Table'!$AX140-'LCFS Table'!$AY140-'LCFS Table'!$AZ140-'LCFS Table'!$BA140</f>
        <v>1.6877473845212512</v>
      </c>
      <c r="N140" s="190">
        <f>[1]BFT!$B139</f>
        <v>67.400000000000006</v>
      </c>
      <c r="O140" s="190">
        <f>[1]UCO!$B139</f>
        <v>56</v>
      </c>
      <c r="P140" s="190">
        <f>[1]DCO!$B139</f>
        <v>64.900000000000006</v>
      </c>
      <c r="Q140" s="190">
        <f>'[1]Soybean Oil'!$B139</f>
        <v>81.17</v>
      </c>
      <c r="R140" s="190">
        <f>'[1]Yellow Grease'!$B139</f>
        <v>49.75</v>
      </c>
      <c r="S140" s="185">
        <f>'LCFS Table'!$N140 + 'LCFS Table'!$AH140</f>
        <v>71.775000000000006</v>
      </c>
      <c r="T140" s="185">
        <f>'LCFS Table'!$Q140+'LCFS Table'!$AH140</f>
        <v>85.545000000000002</v>
      </c>
      <c r="U140" s="185">
        <f>'LCFS Table'!$P140+'LCFS Table'!$AH140</f>
        <v>69.275000000000006</v>
      </c>
      <c r="V140" s="185">
        <f>(('LCFS Table'!$S140/'LCFS Table'!$AA140)*'LCFS Table'!$AC140)*6.48</f>
        <v>247.3946808510639</v>
      </c>
      <c r="W140" s="185">
        <f>(('LCFS Table'!$O140/'LCFS Table'!$AA140)*'LCFS Table'!$AD140)*6.48</f>
        <v>96.510638297872362</v>
      </c>
      <c r="X140" s="185">
        <f>(('LCFS Table'!$U140/'LCFS Table'!$AA140)*'LCFS Table'!$AE140)*6.48</f>
        <v>119.38882978723406</v>
      </c>
      <c r="Y140" s="185">
        <f>(('LCFS Table'!$T140/'LCFS Table'!$AB140)*'LCFS Table'!$AF140)*7.35</f>
        <v>491.21542968749998</v>
      </c>
      <c r="Z140" s="185">
        <f>(('LCFS Table'!$R140/'LCFS Table'!$AB140)*'LCFS Table'!$AG140)*7.35</f>
        <v>95.224609375</v>
      </c>
      <c r="AA140" s="138">
        <v>0.94</v>
      </c>
      <c r="AB140" s="138">
        <v>0.96</v>
      </c>
      <c r="AC140" s="138">
        <v>0.5</v>
      </c>
      <c r="AD140" s="138">
        <v>0.25</v>
      </c>
      <c r="AE140" s="138">
        <v>0.25</v>
      </c>
      <c r="AF140" s="138">
        <v>0.75</v>
      </c>
      <c r="AG140" s="138">
        <v>0.25</v>
      </c>
      <c r="AH140" s="139">
        <v>4.375</v>
      </c>
      <c r="AI140" s="139">
        <v>136</v>
      </c>
      <c r="AJ140" s="139">
        <v>110</v>
      </c>
      <c r="AK140" s="186">
        <f>('LCFS Table'!$AI140/340)*100</f>
        <v>40</v>
      </c>
      <c r="AL140" s="186">
        <f>('LCFS Table'!$AJ140/340)*100</f>
        <v>32.352941176470587</v>
      </c>
      <c r="AM140" s="139">
        <v>105</v>
      </c>
      <c r="AN140" s="139">
        <v>90</v>
      </c>
      <c r="AO140" s="139">
        <f>('LCFS Table'!$AM140/300)*100</f>
        <v>35</v>
      </c>
      <c r="AP140" s="139">
        <f>('LCFS Table'!$AN140/300)*100</f>
        <v>30</v>
      </c>
      <c r="AQ140" s="140">
        <f>'[1]LCFS Values'!$B139</f>
        <v>180.35</v>
      </c>
      <c r="AR140" s="140">
        <f>'[1]RIN Values'!$B139/100</f>
        <v>1.7309999999999999</v>
      </c>
      <c r="AS140" s="185">
        <v>1.5285710262156187</v>
      </c>
      <c r="AT140" s="137">
        <v>0.16</v>
      </c>
      <c r="AU140" s="137">
        <v>1</v>
      </c>
      <c r="AV140" s="185">
        <f>'LCFS Table'!$AR140*1.7</f>
        <v>2.9426999999999999</v>
      </c>
      <c r="AW140" s="137">
        <v>0</v>
      </c>
      <c r="AX140" s="185">
        <v>1.0357526154787497</v>
      </c>
      <c r="AY140" s="137">
        <v>0</v>
      </c>
      <c r="AZ140" s="141">
        <v>1</v>
      </c>
      <c r="BA140" s="185">
        <f>'LCFS Table'!$AR140*1.5</f>
        <v>2.5964999999999998</v>
      </c>
      <c r="BB140" s="142">
        <v>1.2</v>
      </c>
      <c r="BC140" s="185">
        <f>'LCFS Table'!$AS140*'LCFS Table'!$BW140</f>
        <v>1.5285710262156187</v>
      </c>
      <c r="BD140" s="185">
        <f>'LCFS Table'!$AT140*'LCFS Table'!$BX140</f>
        <v>0</v>
      </c>
      <c r="BE140" s="185">
        <f>'LCFS Table'!$AU140*'LCFS Table'!$BY140</f>
        <v>1</v>
      </c>
      <c r="BF140" s="137">
        <f>'LCFS Table'!$AV140*'LCFS Table'!$BZ140</f>
        <v>2.9426999999999999</v>
      </c>
      <c r="BG140" s="137">
        <f>'LCFS Table'!$AW140*'LCFS Table'!$CA140</f>
        <v>0</v>
      </c>
      <c r="BH140" s="137">
        <f>'LCFS Table'!$AX140*'LCFS Table'!$CB140</f>
        <v>1.0357526154787497</v>
      </c>
      <c r="BI140" s="137">
        <f>'LCFS Table'!$AY140*'LCFS Table'!$CC140</f>
        <v>0</v>
      </c>
      <c r="BJ140" s="137">
        <f>'LCFS Table'!$AZ140*'LCFS Table'!$CD140</f>
        <v>1</v>
      </c>
      <c r="BK140" s="137">
        <f>'LCFS Table'!$BA140*'LCFS Table'!$CE140</f>
        <v>2.5964999999999998</v>
      </c>
      <c r="BL140" s="137">
        <f>'LCFS Table'!$BB140*'LCFS Table'!$CF140</f>
        <v>-1.2</v>
      </c>
      <c r="BM140" s="137">
        <f>'LCFS Table'!$AS140*'LCFS Table'!$CG140</f>
        <v>0</v>
      </c>
      <c r="BN140" s="137">
        <f>'LCFS Table'!$AT140*'LCFS Table'!$CH140</f>
        <v>0.16</v>
      </c>
      <c r="BO140" s="137">
        <f>'LCFS Table'!$AU140*'LCFS Table'!$CI140</f>
        <v>0</v>
      </c>
      <c r="BP140" s="137">
        <f>'LCFS Table'!$AV140*'LCFS Table'!$CJ140</f>
        <v>0</v>
      </c>
      <c r="BQ140" s="137">
        <f>'LCFS Table'!$AW140*'LCFS Table'!$CK140</f>
        <v>0</v>
      </c>
      <c r="BR140" s="137">
        <f>'LCFS Table'!$AX140*'LCFS Table'!$CL140</f>
        <v>0</v>
      </c>
      <c r="BS140" s="137">
        <f>'LCFS Table'!$AY140*'LCFS Table'!$CM140</f>
        <v>0</v>
      </c>
      <c r="BT140" s="137">
        <f>'LCFS Table'!$AZ140*'LCFS Table'!$CN140</f>
        <v>0</v>
      </c>
      <c r="BU140" s="137">
        <f>'LCFS Table'!$BA140*'LCFS Table'!$CO140</f>
        <v>0</v>
      </c>
      <c r="BV140" s="142">
        <f>'LCFS Table'!$BB140*'LCFS Table'!$CP140</f>
        <v>1.2</v>
      </c>
      <c r="BW140" s="138">
        <v>1</v>
      </c>
      <c r="BX140" s="138">
        <v>0</v>
      </c>
      <c r="BY140" s="138">
        <v>1</v>
      </c>
      <c r="BZ140" s="138">
        <v>1</v>
      </c>
      <c r="CA140" s="138">
        <v>-1</v>
      </c>
      <c r="CB140" s="138">
        <v>1</v>
      </c>
      <c r="CC140" s="138">
        <v>0</v>
      </c>
      <c r="CD140" s="138">
        <v>1</v>
      </c>
      <c r="CE140" s="138">
        <v>1</v>
      </c>
      <c r="CF140" s="138">
        <v>-1</v>
      </c>
      <c r="CG140" s="138">
        <f>1-'LCFS Table'!$BW140</f>
        <v>0</v>
      </c>
      <c r="CH140" s="138">
        <f>1-'LCFS Table'!$BX140</f>
        <v>1</v>
      </c>
      <c r="CI140" s="138">
        <f>1-'LCFS Table'!$BY140</f>
        <v>0</v>
      </c>
      <c r="CJ140" s="138">
        <f>1-'LCFS Table'!$BZ140</f>
        <v>0</v>
      </c>
      <c r="CK140" s="138">
        <f>-'LCFS Table'!$CA140</f>
        <v>1</v>
      </c>
      <c r="CL140" s="138">
        <f>1-'LCFS Table'!$CB140</f>
        <v>0</v>
      </c>
      <c r="CM140" s="138">
        <f>1-'LCFS Table'!$CC140</f>
        <v>1</v>
      </c>
      <c r="CN140" s="138">
        <f>1-'LCFS Table'!$CD140</f>
        <v>0</v>
      </c>
      <c r="CO140" s="138">
        <f>1-'LCFS Table'!$CE140</f>
        <v>0</v>
      </c>
      <c r="CP140" s="138">
        <f>-'LCFS Table'!$CF140</f>
        <v>1</v>
      </c>
      <c r="CQ140" s="140">
        <v>22</v>
      </c>
      <c r="CR140" s="165">
        <f>('LCFS Table'!$CQ140*0.9/(0.8/0.99)/100)</f>
        <v>0.24502499999999997</v>
      </c>
      <c r="CS140" s="166"/>
      <c r="CT140" s="167"/>
      <c r="CW140" s="168">
        <f>'LCFS Table'!$K140-'LCFS Table'!$M140</f>
        <v>0.31885261547874899</v>
      </c>
      <c r="CX140" s="129">
        <f>MONTH('LCFS Table'!$B140)</f>
        <v>8</v>
      </c>
      <c r="CY140" s="129">
        <f>YEAR('LCFS Table'!$B140)</f>
        <v>2021</v>
      </c>
    </row>
    <row r="141" spans="1:103">
      <c r="A141" s="148">
        <v>44430</v>
      </c>
      <c r="B141" s="149">
        <v>44436</v>
      </c>
      <c r="C141" s="132">
        <f t="shared" si="2"/>
        <v>2021</v>
      </c>
      <c r="D141" s="150" t="s">
        <v>290</v>
      </c>
      <c r="E141" s="187">
        <f>'LCFS Table'!$K141-'LCFS Table'!$I141</f>
        <v>-3.2923751564455586</v>
      </c>
      <c r="F141" s="187">
        <f>('LCFS Table'!$M141)-'LCFS Table'!$J141</f>
        <v>-4.6622606263825013</v>
      </c>
      <c r="G141" s="188">
        <f>'LCFS Table'!$E141+'LCFS Table'!$AS141+'LCFS Table'!$AT141+'LCFS Table'!$AU141+'LCFS Table'!$AV141</f>
        <v>2.1005111611853318</v>
      </c>
      <c r="H141" s="188">
        <f>'LCFS Table'!$F141+'LCFS Table'!$AX141+'LCFS Table'!$AY141+'LCFS Table'!$AZ141+'LCFS Table'!$BA141+('LCFS Table'!$CQ141*0.9/(0.8/0.99)/100)+(DG141*'LCFS Table'!$AF141)+(DF141*'LCFS Table'!$AG141)</f>
        <v>7.5410156249983429E-3</v>
      </c>
      <c r="I141" s="187">
        <f>('LCFS Table'!$V141+'LCFS Table'!$W141+'LCFS Table'!$X141)/100+(('LCFS Table'!$AI141+'LCFS Table'!$AJ141)/340)</f>
        <v>5.3788751564455586</v>
      </c>
      <c r="J141" s="187">
        <f>(('LCFS Table'!$Y141+'LCFS Table'!$Z141)/100)+(('LCFS Table'!$AM141+'LCFS Table'!$AN141)/300)</f>
        <v>6.537483984375001</v>
      </c>
      <c r="K141" s="190">
        <f>'[1]Fuel Values'!$C140</f>
        <v>2.0865</v>
      </c>
      <c r="L141" s="190">
        <f>'[1]Fuel Values'!$B140</f>
        <v>630</v>
      </c>
      <c r="M141" s="185">
        <f>('LCFS Table'!$L141/100)-'LCFS Table'!$AX141-'LCFS Table'!$AY141-'LCFS Table'!$AZ141-'LCFS Table'!$BA141</f>
        <v>1.8752233579925002</v>
      </c>
      <c r="N141" s="190">
        <f>[1]BFT!$B140</f>
        <v>68</v>
      </c>
      <c r="O141" s="190">
        <f>[1]UCO!$B140</f>
        <v>56</v>
      </c>
      <c r="P141" s="190">
        <f>[1]DCO!$B140</f>
        <v>65</v>
      </c>
      <c r="Q141" s="190">
        <f>'[1]Soybean Oil'!$B140</f>
        <v>81.572000000000003</v>
      </c>
      <c r="R141" s="190">
        <f>'[1]Yellow Grease'!$B140</f>
        <v>49.75</v>
      </c>
      <c r="S141" s="185">
        <f>'LCFS Table'!$N141 + 'LCFS Table'!$AH141</f>
        <v>72.375</v>
      </c>
      <c r="T141" s="185">
        <f>'LCFS Table'!$Q141+'LCFS Table'!$AH141</f>
        <v>85.947000000000003</v>
      </c>
      <c r="U141" s="185">
        <f>'LCFS Table'!$P141+'LCFS Table'!$AH141</f>
        <v>69.375</v>
      </c>
      <c r="V141" s="185">
        <f>(('LCFS Table'!$S141/'LCFS Table'!$AA141)*'LCFS Table'!$AC141)*6.48</f>
        <v>249.46276595744683</v>
      </c>
      <c r="W141" s="185">
        <f>(('LCFS Table'!$O141/'LCFS Table'!$AA141)*'LCFS Table'!$AD141)*6.48</f>
        <v>96.510638297872362</v>
      </c>
      <c r="X141" s="185">
        <f>(('LCFS Table'!$U141/'LCFS Table'!$AA141)*'LCFS Table'!$AE141)*6.48</f>
        <v>119.56117021276597</v>
      </c>
      <c r="Y141" s="185">
        <f>(('LCFS Table'!$T141/'LCFS Table'!$AB141)*'LCFS Table'!$AF141)*7.35</f>
        <v>493.52378906250004</v>
      </c>
      <c r="Z141" s="185">
        <f>(('LCFS Table'!$R141/'LCFS Table'!$AB141)*'LCFS Table'!$AG141)*7.35</f>
        <v>95.224609375</v>
      </c>
      <c r="AA141" s="138">
        <v>0.94</v>
      </c>
      <c r="AB141" s="138">
        <v>0.96</v>
      </c>
      <c r="AC141" s="138">
        <v>0.5</v>
      </c>
      <c r="AD141" s="138">
        <v>0.25</v>
      </c>
      <c r="AE141" s="138">
        <v>0.25</v>
      </c>
      <c r="AF141" s="138">
        <v>0.75</v>
      </c>
      <c r="AG141" s="138">
        <v>0.25</v>
      </c>
      <c r="AH141" s="139">
        <v>4.375</v>
      </c>
      <c r="AI141" s="139">
        <v>136</v>
      </c>
      <c r="AJ141" s="139">
        <v>110</v>
      </c>
      <c r="AK141" s="186">
        <f>('LCFS Table'!$AI141/340)*100</f>
        <v>40</v>
      </c>
      <c r="AL141" s="186">
        <f>('LCFS Table'!$AJ141/340)*100</f>
        <v>32.352941176470587</v>
      </c>
      <c r="AM141" s="139">
        <v>105</v>
      </c>
      <c r="AN141" s="139">
        <v>90</v>
      </c>
      <c r="AO141" s="139">
        <f>('LCFS Table'!$AM141/300)*100</f>
        <v>35</v>
      </c>
      <c r="AP141" s="139">
        <f>('LCFS Table'!$AN141/300)*100</f>
        <v>30</v>
      </c>
      <c r="AQ141" s="140">
        <f>'[1]LCFS Values'!$B140</f>
        <v>178.7</v>
      </c>
      <c r="AR141" s="140">
        <f>'[1]RIN Values'!$B140/100</f>
        <v>1.599</v>
      </c>
      <c r="AS141" s="185">
        <v>1.5145863176308905</v>
      </c>
      <c r="AT141" s="137">
        <v>0.16</v>
      </c>
      <c r="AU141" s="137">
        <v>1</v>
      </c>
      <c r="AV141" s="185">
        <f>'LCFS Table'!$AR141*1.7</f>
        <v>2.7182999999999997</v>
      </c>
      <c r="AW141" s="137">
        <v>0</v>
      </c>
      <c r="AX141" s="185">
        <v>1.0262766420074998</v>
      </c>
      <c r="AY141" s="137">
        <v>0</v>
      </c>
      <c r="AZ141" s="141">
        <v>1</v>
      </c>
      <c r="BA141" s="185">
        <f>'LCFS Table'!$AR141*1.5</f>
        <v>2.3984999999999999</v>
      </c>
      <c r="BB141" s="142">
        <v>1.2</v>
      </c>
      <c r="BC141" s="185">
        <f>'LCFS Table'!$AS141*'LCFS Table'!$BW141</f>
        <v>1.5145863176308905</v>
      </c>
      <c r="BD141" s="185">
        <f>'LCFS Table'!$AT141*'LCFS Table'!$BX141</f>
        <v>0</v>
      </c>
      <c r="BE141" s="185">
        <f>'LCFS Table'!$AU141*'LCFS Table'!$BY141</f>
        <v>1</v>
      </c>
      <c r="BF141" s="137">
        <f>'LCFS Table'!$AV141*'LCFS Table'!$BZ141</f>
        <v>2.7182999999999997</v>
      </c>
      <c r="BG141" s="137">
        <f>'LCFS Table'!$AW141*'LCFS Table'!$CA141</f>
        <v>0</v>
      </c>
      <c r="BH141" s="137">
        <f>'LCFS Table'!$AX141*'LCFS Table'!$CB141</f>
        <v>1.0262766420074998</v>
      </c>
      <c r="BI141" s="137">
        <f>'LCFS Table'!$AY141*'LCFS Table'!$CC141</f>
        <v>0</v>
      </c>
      <c r="BJ141" s="137">
        <f>'LCFS Table'!$AZ141*'LCFS Table'!$CD141</f>
        <v>1</v>
      </c>
      <c r="BK141" s="137">
        <f>'LCFS Table'!$BA141*'LCFS Table'!$CE141</f>
        <v>2.3984999999999999</v>
      </c>
      <c r="BL141" s="137">
        <f>'LCFS Table'!$BB141*'LCFS Table'!$CF141</f>
        <v>-1.2</v>
      </c>
      <c r="BM141" s="137">
        <f>'LCFS Table'!$AS141*'LCFS Table'!$CG141</f>
        <v>0</v>
      </c>
      <c r="BN141" s="137">
        <f>'LCFS Table'!$AT141*'LCFS Table'!$CH141</f>
        <v>0.16</v>
      </c>
      <c r="BO141" s="137">
        <f>'LCFS Table'!$AU141*'LCFS Table'!$CI141</f>
        <v>0</v>
      </c>
      <c r="BP141" s="137">
        <f>'LCFS Table'!$AV141*'LCFS Table'!$CJ141</f>
        <v>0</v>
      </c>
      <c r="BQ141" s="137">
        <f>'LCFS Table'!$AW141*'LCFS Table'!$CK141</f>
        <v>0</v>
      </c>
      <c r="BR141" s="137">
        <f>'LCFS Table'!$AX141*'LCFS Table'!$CL141</f>
        <v>0</v>
      </c>
      <c r="BS141" s="137">
        <f>'LCFS Table'!$AY141*'LCFS Table'!$CM141</f>
        <v>0</v>
      </c>
      <c r="BT141" s="137">
        <f>'LCFS Table'!$AZ141*'LCFS Table'!$CN141</f>
        <v>0</v>
      </c>
      <c r="BU141" s="137">
        <f>'LCFS Table'!$BA141*'LCFS Table'!$CO141</f>
        <v>0</v>
      </c>
      <c r="BV141" s="142">
        <f>'LCFS Table'!$BB141*'LCFS Table'!$CP141</f>
        <v>1.2</v>
      </c>
      <c r="BW141" s="138">
        <v>1</v>
      </c>
      <c r="BX141" s="138">
        <v>0</v>
      </c>
      <c r="BY141" s="138">
        <v>1</v>
      </c>
      <c r="BZ141" s="138">
        <v>1</v>
      </c>
      <c r="CA141" s="138">
        <v>-1</v>
      </c>
      <c r="CB141" s="138">
        <v>1</v>
      </c>
      <c r="CC141" s="138">
        <v>0</v>
      </c>
      <c r="CD141" s="138">
        <v>1</v>
      </c>
      <c r="CE141" s="138">
        <v>1</v>
      </c>
      <c r="CF141" s="138">
        <v>-1</v>
      </c>
      <c r="CG141" s="138">
        <f>1-'LCFS Table'!$BW141</f>
        <v>0</v>
      </c>
      <c r="CH141" s="138">
        <f>1-'LCFS Table'!$BX141</f>
        <v>1</v>
      </c>
      <c r="CI141" s="138">
        <f>1-'LCFS Table'!$BY141</f>
        <v>0</v>
      </c>
      <c r="CJ141" s="138">
        <f>1-'LCFS Table'!$BZ141</f>
        <v>0</v>
      </c>
      <c r="CK141" s="138">
        <f>-'LCFS Table'!$CA141</f>
        <v>1</v>
      </c>
      <c r="CL141" s="138">
        <f>1-'LCFS Table'!$CB141</f>
        <v>0</v>
      </c>
      <c r="CM141" s="138">
        <f>1-'LCFS Table'!$CC141</f>
        <v>1</v>
      </c>
      <c r="CN141" s="138">
        <f>1-'LCFS Table'!$CD141</f>
        <v>0</v>
      </c>
      <c r="CO141" s="138">
        <f>1-'LCFS Table'!$CE141</f>
        <v>0</v>
      </c>
      <c r="CP141" s="138">
        <f>-'LCFS Table'!$CF141</f>
        <v>1</v>
      </c>
      <c r="CQ141" s="140">
        <v>22</v>
      </c>
      <c r="CR141" s="165">
        <f>('LCFS Table'!$CQ141*0.9/(0.8/0.99)/100)</f>
        <v>0.24502499999999997</v>
      </c>
      <c r="CS141" s="166"/>
      <c r="CT141" s="167"/>
      <c r="CW141" s="168">
        <f>'LCFS Table'!$K141-'LCFS Table'!$M141</f>
        <v>0.21127664200749985</v>
      </c>
      <c r="CX141" s="129">
        <f>MONTH('LCFS Table'!$B141)</f>
        <v>8</v>
      </c>
      <c r="CY141" s="129">
        <f>YEAR('LCFS Table'!$B141)</f>
        <v>2021</v>
      </c>
    </row>
    <row r="142" spans="1:103" s="204" customFormat="1">
      <c r="A142" s="191">
        <v>44437</v>
      </c>
      <c r="B142" s="192">
        <v>44443</v>
      </c>
      <c r="C142" s="193">
        <f t="shared" si="2"/>
        <v>2021</v>
      </c>
      <c r="D142" s="194" t="s">
        <v>291</v>
      </c>
      <c r="E142" s="195">
        <f>'LCFS Table'!$K142-'LCFS Table'!$I142</f>
        <v>-2.9795134543178978</v>
      </c>
      <c r="F142" s="195">
        <f>('LCFS Table'!$M142)-'LCFS Table'!$J142</f>
        <v>-4.2988423186649989</v>
      </c>
      <c r="G142" s="196">
        <f>'LCFS Table'!$E142+'LCFS Table'!$AS142+'LCFS Table'!$AT142+'LCFS Table'!$AU142+'LCFS Table'!$AV142</f>
        <v>2.3649790271039768</v>
      </c>
      <c r="H142" s="196">
        <f>'LCFS Table'!$F142+'LCFS Table'!$AX142+'LCFS Table'!$AY142+'LCFS Table'!$AZ142+'LCFS Table'!$BA142+('LCFS Table'!$CQ142*0.9/(0.8/0.99)/100)+(DG142*'LCFS Table'!$AF142)+(DF142*'LCFS Table'!$AG142)</f>
        <v>0.33225039062500039</v>
      </c>
      <c r="I142" s="195">
        <f>('LCFS Table'!$V142+'LCFS Table'!$W142+'LCFS Table'!$X142)/100+(('LCFS Table'!$AI142+'LCFS Table'!$AJ142)/340)</f>
        <v>5.1350134543178978</v>
      </c>
      <c r="J142" s="195">
        <f>(('LCFS Table'!$Y142+'LCFS Table'!$Z142)/100)+(('LCFS Table'!$AM142+'LCFS Table'!$AN142)/300)</f>
        <v>6.1327746093749989</v>
      </c>
      <c r="K142" s="197">
        <f>'[1]Fuel Values'!$C141</f>
        <v>2.1555</v>
      </c>
      <c r="L142" s="197">
        <f>'[1]Fuel Values'!$B141</f>
        <v>622</v>
      </c>
      <c r="M142" s="198">
        <f>('LCFS Table'!$L142/100)-'LCFS Table'!$AX142-'LCFS Table'!$AY142-'LCFS Table'!$AZ142-'LCFS Table'!$BA142</f>
        <v>1.8339322907100004</v>
      </c>
      <c r="N142" s="197">
        <f>[1]BFT!$B141</f>
        <v>63.3</v>
      </c>
      <c r="O142" s="197">
        <f>[1]UCO!$B141</f>
        <v>56</v>
      </c>
      <c r="P142" s="197">
        <f>[1]DCO!$B141</f>
        <v>60.25</v>
      </c>
      <c r="Q142" s="197">
        <f>'[1]Soybean Oil'!$B141</f>
        <v>74.123999999999995</v>
      </c>
      <c r="R142" s="197">
        <f>'[1]Yellow Grease'!$B141</f>
        <v>50.95</v>
      </c>
      <c r="S142" s="198">
        <f>'LCFS Table'!$N142 + 'LCFS Table'!$AH142</f>
        <v>67.674999999999997</v>
      </c>
      <c r="T142" s="198">
        <f>'LCFS Table'!$Q142+'LCFS Table'!$AH142</f>
        <v>78.498999999999995</v>
      </c>
      <c r="U142" s="198">
        <f>'LCFS Table'!$P142+'LCFS Table'!$AH142</f>
        <v>64.625</v>
      </c>
      <c r="V142" s="198">
        <f>(('LCFS Table'!$S142/'LCFS Table'!$AA142)*'LCFS Table'!$AC142)*6.48</f>
        <v>233.26276595744685</v>
      </c>
      <c r="W142" s="198">
        <f>(('LCFS Table'!$O142/'LCFS Table'!$AA142)*'LCFS Table'!$AD142)*6.48</f>
        <v>96.510638297872362</v>
      </c>
      <c r="X142" s="198">
        <f>(('LCFS Table'!$U142/'LCFS Table'!$AA142)*'LCFS Table'!$AE142)*6.48</f>
        <v>111.37500000000001</v>
      </c>
      <c r="Y142" s="198">
        <f>(('LCFS Table'!$T142/'LCFS Table'!$AB142)*'LCFS Table'!$AF142)*7.35</f>
        <v>450.75597656249994</v>
      </c>
      <c r="Z142" s="198">
        <f>(('LCFS Table'!$R142/'LCFS Table'!$AB142)*'LCFS Table'!$AG142)*7.35</f>
        <v>97.521484375</v>
      </c>
      <c r="AA142" s="199">
        <v>0.94</v>
      </c>
      <c r="AB142" s="199">
        <v>0.96</v>
      </c>
      <c r="AC142" s="199">
        <v>0.5</v>
      </c>
      <c r="AD142" s="199">
        <v>0.25</v>
      </c>
      <c r="AE142" s="199">
        <v>0.25</v>
      </c>
      <c r="AF142" s="199">
        <v>0.75</v>
      </c>
      <c r="AG142" s="199">
        <v>0.25</v>
      </c>
      <c r="AH142" s="186">
        <v>4.375</v>
      </c>
      <c r="AI142" s="186">
        <v>136</v>
      </c>
      <c r="AJ142" s="186">
        <v>110</v>
      </c>
      <c r="AK142" s="186">
        <f>('LCFS Table'!$AI142/340)*100</f>
        <v>40</v>
      </c>
      <c r="AL142" s="186">
        <f>('LCFS Table'!$AJ142/340)*100</f>
        <v>32.352941176470587</v>
      </c>
      <c r="AM142" s="186">
        <v>105</v>
      </c>
      <c r="AN142" s="186">
        <v>90</v>
      </c>
      <c r="AO142" s="186">
        <f>('LCFS Table'!$AM142/300)*100</f>
        <v>35</v>
      </c>
      <c r="AP142" s="186">
        <f>('LCFS Table'!$AN142/300)*100</f>
        <v>30</v>
      </c>
      <c r="AQ142" s="140">
        <f>'[1]LCFS Values'!$B141</f>
        <v>176.4</v>
      </c>
      <c r="AR142" s="140">
        <f>'[1]RIN Values'!$B141/100</f>
        <v>1.5819999999999999</v>
      </c>
      <c r="AS142" s="198">
        <v>1.4950924814218749</v>
      </c>
      <c r="AT142" s="198">
        <v>0.16</v>
      </c>
      <c r="AU142" s="198">
        <v>1</v>
      </c>
      <c r="AV142" s="198">
        <f>'LCFS Table'!$AR142*1.7</f>
        <v>2.6893999999999996</v>
      </c>
      <c r="AW142" s="198">
        <v>0</v>
      </c>
      <c r="AX142" s="198">
        <v>1.0130677092899998</v>
      </c>
      <c r="AY142" s="198">
        <v>0</v>
      </c>
      <c r="AZ142" s="200">
        <v>1</v>
      </c>
      <c r="BA142" s="198">
        <f>'LCFS Table'!$AR142*1.5</f>
        <v>2.3729999999999998</v>
      </c>
      <c r="BB142" s="201">
        <v>1.2</v>
      </c>
      <c r="BC142" s="198">
        <f>'LCFS Table'!$AS142*'LCFS Table'!$BW142</f>
        <v>1.4950924814218749</v>
      </c>
      <c r="BD142" s="198">
        <f>'LCFS Table'!$AT142*'LCFS Table'!$BX142</f>
        <v>0</v>
      </c>
      <c r="BE142" s="198">
        <f>'LCFS Table'!$AU142*'LCFS Table'!$BY142</f>
        <v>1</v>
      </c>
      <c r="BF142" s="198">
        <f>'LCFS Table'!$AV142*'LCFS Table'!$BZ142</f>
        <v>2.6893999999999996</v>
      </c>
      <c r="BG142" s="198">
        <f>'LCFS Table'!$AW142*'LCFS Table'!$CA142</f>
        <v>0</v>
      </c>
      <c r="BH142" s="198">
        <f>'LCFS Table'!$AX142*'LCFS Table'!$CB142</f>
        <v>1.0130677092899998</v>
      </c>
      <c r="BI142" s="198">
        <f>'LCFS Table'!$AY142*'LCFS Table'!$CC142</f>
        <v>0</v>
      </c>
      <c r="BJ142" s="198">
        <f>'LCFS Table'!$AZ142*'LCFS Table'!$CD142</f>
        <v>1</v>
      </c>
      <c r="BK142" s="198">
        <f>'LCFS Table'!$BA142*'LCFS Table'!$CE142</f>
        <v>2.3729999999999998</v>
      </c>
      <c r="BL142" s="198">
        <f>'LCFS Table'!$BB142*'LCFS Table'!$CF142</f>
        <v>-1.2</v>
      </c>
      <c r="BM142" s="198">
        <f>'LCFS Table'!$AS142*'LCFS Table'!$CG142</f>
        <v>0</v>
      </c>
      <c r="BN142" s="198">
        <f>'LCFS Table'!$AT142*'LCFS Table'!$CH142</f>
        <v>0.16</v>
      </c>
      <c r="BO142" s="198">
        <f>'LCFS Table'!$AU142*'LCFS Table'!$CI142</f>
        <v>0</v>
      </c>
      <c r="BP142" s="198">
        <f>'LCFS Table'!$AV142*'LCFS Table'!$CJ142</f>
        <v>0</v>
      </c>
      <c r="BQ142" s="198">
        <f>'LCFS Table'!$AW142*'LCFS Table'!$CK142</f>
        <v>0</v>
      </c>
      <c r="BR142" s="198">
        <f>'LCFS Table'!$AX142*'LCFS Table'!$CL142</f>
        <v>0</v>
      </c>
      <c r="BS142" s="198">
        <f>'LCFS Table'!$AY142*'LCFS Table'!$CM142</f>
        <v>0</v>
      </c>
      <c r="BT142" s="198">
        <f>'LCFS Table'!$AZ142*'LCFS Table'!$CN142</f>
        <v>0</v>
      </c>
      <c r="BU142" s="198">
        <f>'LCFS Table'!$BA142*'LCFS Table'!$CO142</f>
        <v>0</v>
      </c>
      <c r="BV142" s="201">
        <f>'LCFS Table'!$BB142*'LCFS Table'!$CP142</f>
        <v>1.2</v>
      </c>
      <c r="BW142" s="199">
        <v>1</v>
      </c>
      <c r="BX142" s="199">
        <v>0</v>
      </c>
      <c r="BY142" s="199">
        <v>1</v>
      </c>
      <c r="BZ142" s="199">
        <v>1</v>
      </c>
      <c r="CA142" s="199">
        <v>-1</v>
      </c>
      <c r="CB142" s="199">
        <v>1</v>
      </c>
      <c r="CC142" s="199">
        <v>0</v>
      </c>
      <c r="CD142" s="199">
        <v>1</v>
      </c>
      <c r="CE142" s="199">
        <v>1</v>
      </c>
      <c r="CF142" s="199">
        <v>-1</v>
      </c>
      <c r="CG142" s="199">
        <f>1-'LCFS Table'!$BW142</f>
        <v>0</v>
      </c>
      <c r="CH142" s="199">
        <f>1-'LCFS Table'!$BX142</f>
        <v>1</v>
      </c>
      <c r="CI142" s="199">
        <f>1-'LCFS Table'!$BY142</f>
        <v>0</v>
      </c>
      <c r="CJ142" s="199">
        <f>1-'LCFS Table'!$BZ142</f>
        <v>0</v>
      </c>
      <c r="CK142" s="199">
        <f>-'LCFS Table'!$CA142</f>
        <v>1</v>
      </c>
      <c r="CL142" s="199">
        <f>1-'LCFS Table'!$CB142</f>
        <v>0</v>
      </c>
      <c r="CM142" s="199">
        <f>1-'LCFS Table'!$CC142</f>
        <v>1</v>
      </c>
      <c r="CN142" s="199">
        <f>1-'LCFS Table'!$CD142</f>
        <v>0</v>
      </c>
      <c r="CO142" s="199">
        <f>1-'LCFS Table'!$CE142</f>
        <v>0</v>
      </c>
      <c r="CP142" s="199">
        <f>-'LCFS Table'!$CF142</f>
        <v>1</v>
      </c>
      <c r="CQ142" s="140">
        <v>22</v>
      </c>
      <c r="CR142" s="202">
        <f>('LCFS Table'!$CQ142*0.9/(0.8/0.99)/100)</f>
        <v>0.24502499999999997</v>
      </c>
      <c r="CS142" s="199"/>
      <c r="CT142" s="203"/>
      <c r="CW142" s="205">
        <f>'LCFS Table'!$K142-'LCFS Table'!$M142</f>
        <v>0.32156770928999956</v>
      </c>
      <c r="CX142" s="204">
        <f>MONTH('LCFS Table'!$B142)</f>
        <v>9</v>
      </c>
      <c r="CY142" s="204">
        <f>YEAR('LCFS Table'!$B142)</f>
        <v>2021</v>
      </c>
    </row>
    <row r="143" spans="1:103">
      <c r="A143" s="148">
        <v>44444</v>
      </c>
      <c r="B143" s="149">
        <v>44450</v>
      </c>
      <c r="C143" s="132">
        <f t="shared" si="2"/>
        <v>2021</v>
      </c>
      <c r="D143" s="150" t="s">
        <v>292</v>
      </c>
      <c r="E143" s="187">
        <f>'LCFS Table'!$K143-'LCFS Table'!$I143</f>
        <v>-2.7778474968710896</v>
      </c>
      <c r="F143" s="187">
        <f>('LCFS Table'!$M143)-'LCFS Table'!$J143</f>
        <v>-4.375044610195312</v>
      </c>
      <c r="G143" s="188">
        <f>'LCFS Table'!$E143+'LCFS Table'!$AS143+'LCFS Table'!$AT143+'LCFS Table'!$AU143+'LCFS Table'!$AV143</f>
        <v>2.4574623854540976</v>
      </c>
      <c r="H143" s="188">
        <f>'LCFS Table'!$F143+'LCFS Table'!$AX143+'LCFS Table'!$AY143+'LCFS Table'!$AZ143+'LCFS Table'!$BA143+('LCFS Table'!$CQ143*0.9/(0.8/0.99)/100)+(DG143*'LCFS Table'!$AF143)+(DF143*'LCFS Table'!$AG143)</f>
        <v>0.17027500000000009</v>
      </c>
      <c r="I143" s="187">
        <f>('LCFS Table'!$V143+'LCFS Table'!$W143+'LCFS Table'!$X143)/100+(('LCFS Table'!$AI143+'LCFS Table'!$AJ143)/340)</f>
        <v>4.9092474968710897</v>
      </c>
      <c r="J143" s="187">
        <f>(('LCFS Table'!$Y143+'LCFS Table'!$Z143)/100)+(('LCFS Table'!$AM143+'LCFS Table'!$AN143)/300)</f>
        <v>6.1747499999999995</v>
      </c>
      <c r="K143" s="190">
        <f>'[1]Fuel Values'!$C142</f>
        <v>2.1314000000000002</v>
      </c>
      <c r="L143" s="190">
        <f>'[1]Fuel Values'!$B142</f>
        <v>610</v>
      </c>
      <c r="M143" s="185">
        <f>('LCFS Table'!$L143/100)-'LCFS Table'!$AX143-'LCFS Table'!$AY143-'LCFS Table'!$AZ143-'LCFS Table'!$BA143</f>
        <v>1.7997053898046875</v>
      </c>
      <c r="N143" s="190">
        <f>[1]BFT!$B142</f>
        <v>61</v>
      </c>
      <c r="O143" s="190">
        <f>[1]UCO!$B142</f>
        <v>56</v>
      </c>
      <c r="P143" s="190">
        <f>[1]DCO!$B142</f>
        <v>51.75</v>
      </c>
      <c r="Q143" s="190">
        <f>'[1]Soybean Oil'!$B142</f>
        <v>75.504999999999995</v>
      </c>
      <c r="R143" s="190">
        <f>'[1]Yellow Grease'!$B142</f>
        <v>49</v>
      </c>
      <c r="S143" s="185">
        <f>'LCFS Table'!$N143 + 'LCFS Table'!$AH143</f>
        <v>65.375</v>
      </c>
      <c r="T143" s="185">
        <f>'LCFS Table'!$Q143+'LCFS Table'!$AH143</f>
        <v>79.88</v>
      </c>
      <c r="U143" s="185">
        <f>'LCFS Table'!$P143+'LCFS Table'!$AH143</f>
        <v>56.125</v>
      </c>
      <c r="V143" s="185">
        <f>(('LCFS Table'!$S143/'LCFS Table'!$AA143)*'LCFS Table'!$AC143)*6.48</f>
        <v>225.33510638297878</v>
      </c>
      <c r="W143" s="185">
        <f>(('LCFS Table'!$O143/'LCFS Table'!$AA143)*'LCFS Table'!$AD143)*6.48</f>
        <v>96.510638297872362</v>
      </c>
      <c r="X143" s="185">
        <f>(('LCFS Table'!$U143/'LCFS Table'!$AA143)*'LCFS Table'!$AE143)*6.48</f>
        <v>96.726063829787236</v>
      </c>
      <c r="Y143" s="185">
        <f>(('LCFS Table'!$T143/'LCFS Table'!$AB143)*'LCFS Table'!$AF143)*7.35</f>
        <v>458.68593749999997</v>
      </c>
      <c r="Z143" s="185">
        <f>(('LCFS Table'!$R143/'LCFS Table'!$AB143)*'LCFS Table'!$AG143)*7.35</f>
        <v>93.7890625</v>
      </c>
      <c r="AA143" s="138">
        <v>0.94</v>
      </c>
      <c r="AB143" s="138">
        <v>0.96</v>
      </c>
      <c r="AC143" s="138">
        <v>0.5</v>
      </c>
      <c r="AD143" s="138">
        <v>0.25</v>
      </c>
      <c r="AE143" s="138">
        <v>0.25</v>
      </c>
      <c r="AF143" s="138">
        <v>0.75</v>
      </c>
      <c r="AG143" s="138">
        <v>0.25</v>
      </c>
      <c r="AH143" s="139">
        <v>4.375</v>
      </c>
      <c r="AI143" s="139">
        <v>136</v>
      </c>
      <c r="AJ143" s="139">
        <v>110</v>
      </c>
      <c r="AK143" s="186">
        <f>('LCFS Table'!$AI143/340)*100</f>
        <v>40</v>
      </c>
      <c r="AL143" s="186">
        <f>('LCFS Table'!$AJ143/340)*100</f>
        <v>32.352941176470587</v>
      </c>
      <c r="AM143" s="139">
        <v>105</v>
      </c>
      <c r="AN143" s="139">
        <v>90</v>
      </c>
      <c r="AO143" s="139">
        <f>('LCFS Table'!$AM143/300)*100</f>
        <v>35</v>
      </c>
      <c r="AP143" s="139">
        <f>('LCFS Table'!$AN143/300)*100</f>
        <v>30</v>
      </c>
      <c r="AQ143" s="140">
        <f>'[1]LCFS Values'!$B142</f>
        <v>170.3125</v>
      </c>
      <c r="AR143" s="140">
        <f>'[1]RIN Values'!$B142/100</f>
        <v>1.548125</v>
      </c>
      <c r="AS143" s="185">
        <v>1.4434973823251875</v>
      </c>
      <c r="AT143" s="137">
        <v>0.16</v>
      </c>
      <c r="AU143" s="137">
        <v>1</v>
      </c>
      <c r="AV143" s="185">
        <f>'LCFS Table'!$AR143*1.7</f>
        <v>2.6318124999999997</v>
      </c>
      <c r="AW143" s="137">
        <v>0</v>
      </c>
      <c r="AX143" s="185">
        <v>0.97810711019531227</v>
      </c>
      <c r="AY143" s="137">
        <v>0</v>
      </c>
      <c r="AZ143" s="141">
        <v>1</v>
      </c>
      <c r="BA143" s="185">
        <f>'LCFS Table'!$AR143*1.5</f>
        <v>2.3221875000000001</v>
      </c>
      <c r="BB143" s="142">
        <v>1.2</v>
      </c>
      <c r="BC143" s="185">
        <f>'LCFS Table'!$AS143*'LCFS Table'!$BW143</f>
        <v>1.4434973823251875</v>
      </c>
      <c r="BD143" s="185">
        <f>'LCFS Table'!$AT143*'LCFS Table'!$BX143</f>
        <v>0</v>
      </c>
      <c r="BE143" s="185">
        <f>'LCFS Table'!$AU143*'LCFS Table'!$BY143</f>
        <v>1</v>
      </c>
      <c r="BF143" s="137">
        <f>'LCFS Table'!$AV143*'LCFS Table'!$BZ143</f>
        <v>2.6318124999999997</v>
      </c>
      <c r="BG143" s="137">
        <f>'LCFS Table'!$AW143*'LCFS Table'!$CA143</f>
        <v>0</v>
      </c>
      <c r="BH143" s="137">
        <f>'LCFS Table'!$AX143*'LCFS Table'!$CB143</f>
        <v>0.97810711019531227</v>
      </c>
      <c r="BI143" s="137">
        <f>'LCFS Table'!$AY143*'LCFS Table'!$CC143</f>
        <v>0</v>
      </c>
      <c r="BJ143" s="137">
        <f>'LCFS Table'!$AZ143*'LCFS Table'!$CD143</f>
        <v>1</v>
      </c>
      <c r="BK143" s="137">
        <f>'LCFS Table'!$BA143*'LCFS Table'!$CE143</f>
        <v>2.3221875000000001</v>
      </c>
      <c r="BL143" s="137">
        <f>'LCFS Table'!$BB143*'LCFS Table'!$CF143</f>
        <v>-1.2</v>
      </c>
      <c r="BM143" s="137">
        <f>'LCFS Table'!$AS143*'LCFS Table'!$CG143</f>
        <v>0</v>
      </c>
      <c r="BN143" s="137">
        <f>'LCFS Table'!$AT143*'LCFS Table'!$CH143</f>
        <v>0.16</v>
      </c>
      <c r="BO143" s="137">
        <f>'LCFS Table'!$AU143*'LCFS Table'!$CI143</f>
        <v>0</v>
      </c>
      <c r="BP143" s="137">
        <f>'LCFS Table'!$AV143*'LCFS Table'!$CJ143</f>
        <v>0</v>
      </c>
      <c r="BQ143" s="137">
        <f>'LCFS Table'!$AW143*'LCFS Table'!$CK143</f>
        <v>0</v>
      </c>
      <c r="BR143" s="137">
        <f>'LCFS Table'!$AX143*'LCFS Table'!$CL143</f>
        <v>0</v>
      </c>
      <c r="BS143" s="137">
        <f>'LCFS Table'!$AY143*'LCFS Table'!$CM143</f>
        <v>0</v>
      </c>
      <c r="BT143" s="137">
        <f>'LCFS Table'!$AZ143*'LCFS Table'!$CN143</f>
        <v>0</v>
      </c>
      <c r="BU143" s="137">
        <f>'LCFS Table'!$BA143*'LCFS Table'!$CO143</f>
        <v>0</v>
      </c>
      <c r="BV143" s="142">
        <f>'LCFS Table'!$BB143*'LCFS Table'!$CP143</f>
        <v>1.2</v>
      </c>
      <c r="BW143" s="138">
        <v>1</v>
      </c>
      <c r="BX143" s="138">
        <v>0</v>
      </c>
      <c r="BY143" s="138">
        <v>1</v>
      </c>
      <c r="BZ143" s="138">
        <v>1</v>
      </c>
      <c r="CA143" s="138">
        <v>-1</v>
      </c>
      <c r="CB143" s="138">
        <v>1</v>
      </c>
      <c r="CC143" s="138">
        <v>0</v>
      </c>
      <c r="CD143" s="138">
        <v>1</v>
      </c>
      <c r="CE143" s="138">
        <v>1</v>
      </c>
      <c r="CF143" s="138">
        <v>-1</v>
      </c>
      <c r="CG143" s="138">
        <f>1-'LCFS Table'!$BW143</f>
        <v>0</v>
      </c>
      <c r="CH143" s="138">
        <f>1-'LCFS Table'!$BX143</f>
        <v>1</v>
      </c>
      <c r="CI143" s="138">
        <f>1-'LCFS Table'!$BY143</f>
        <v>0</v>
      </c>
      <c r="CJ143" s="138">
        <f>1-'LCFS Table'!$BZ143</f>
        <v>0</v>
      </c>
      <c r="CK143" s="138">
        <f>-'LCFS Table'!$CA143</f>
        <v>1</v>
      </c>
      <c r="CL143" s="138">
        <f>1-'LCFS Table'!$CB143</f>
        <v>0</v>
      </c>
      <c r="CM143" s="138">
        <f>1-'LCFS Table'!$CC143</f>
        <v>1</v>
      </c>
      <c r="CN143" s="138">
        <f>1-'LCFS Table'!$CD143</f>
        <v>0</v>
      </c>
      <c r="CO143" s="138">
        <f>1-'LCFS Table'!$CE143</f>
        <v>0</v>
      </c>
      <c r="CP143" s="138">
        <f>-'LCFS Table'!$CF143</f>
        <v>1</v>
      </c>
      <c r="CQ143" s="140">
        <v>22</v>
      </c>
      <c r="CR143" s="165">
        <f>('LCFS Table'!$CQ143*0.9/(0.8/0.99)/100)</f>
        <v>0.24502499999999997</v>
      </c>
      <c r="CS143" s="166"/>
      <c r="CT143" s="167"/>
      <c r="CW143" s="168">
        <f>'LCFS Table'!$K143-'LCFS Table'!$M143</f>
        <v>0.33169461019531266</v>
      </c>
      <c r="CX143" s="129">
        <f>MONTH('LCFS Table'!$B143)</f>
        <v>9</v>
      </c>
      <c r="CY143" s="129">
        <f>YEAR('LCFS Table'!$B143)</f>
        <v>2021</v>
      </c>
    </row>
    <row r="144" spans="1:103">
      <c r="A144" s="148">
        <v>44451</v>
      </c>
      <c r="B144" s="149">
        <v>44457</v>
      </c>
      <c r="C144" s="132">
        <f t="shared" si="2"/>
        <v>2021</v>
      </c>
      <c r="D144" s="182" t="s">
        <v>293</v>
      </c>
      <c r="E144" s="187">
        <f>'LCFS Table'!$K144-'LCFS Table'!$I144</f>
        <v>-2.7248964330413026</v>
      </c>
      <c r="F144" s="187">
        <f>('LCFS Table'!$M144)-'LCFS Table'!$J144</f>
        <v>-4.2915836277312494</v>
      </c>
      <c r="G144" s="188">
        <f>'LCFS Table'!$E144+'LCFS Table'!$AS144+'LCFS Table'!$AT144+'LCFS Table'!$AU144+'LCFS Table'!$AV144</f>
        <v>2.3167700635529744</v>
      </c>
      <c r="H144" s="188">
        <f>'LCFS Table'!$F144+'LCFS Table'!$AX144+'LCFS Table'!$AY144+'LCFS Table'!$AZ144+'LCFS Table'!$BA144+('LCFS Table'!$CQ144*0.9/(0.8/0.99)/100)+(DG144*'LCFS Table'!$AF144)+(DF144*'LCFS Table'!$AG144)</f>
        <v>8.6453515625000504E-2</v>
      </c>
      <c r="I144" s="187">
        <f>('LCFS Table'!$V144+'LCFS Table'!$W144+'LCFS Table'!$X144)/100+(('LCFS Table'!$AI144+'LCFS Table'!$AJ144)/340)</f>
        <v>4.9238964330413024</v>
      </c>
      <c r="J144" s="187">
        <f>(('LCFS Table'!$Y144+'LCFS Table'!$Z144)/100)+(('LCFS Table'!$AM144+'LCFS Table'!$AN144)/300)</f>
        <v>6.2085714843749997</v>
      </c>
      <c r="K144" s="190">
        <f>'[1]Fuel Values'!$C143</f>
        <v>2.1989999999999998</v>
      </c>
      <c r="L144" s="190">
        <f>'[1]Fuel Values'!$B143</f>
        <v>605</v>
      </c>
      <c r="M144" s="185">
        <f>('LCFS Table'!$L144/100)-'LCFS Table'!$AX144-'LCFS Table'!$AY144-'LCFS Table'!$AZ144-'LCFS Table'!$BA144</f>
        <v>1.9169878566437499</v>
      </c>
      <c r="N144" s="190">
        <f>[1]BFT!$B143</f>
        <v>63</v>
      </c>
      <c r="O144" s="190">
        <f>[1]UCO!$B143</f>
        <v>54</v>
      </c>
      <c r="P144" s="190">
        <f>[1]DCO!$B143</f>
        <v>50.6</v>
      </c>
      <c r="Q144" s="190">
        <f>'[1]Soybean Oil'!$B143</f>
        <v>76.394000000000005</v>
      </c>
      <c r="R144" s="190">
        <f>'[1]Yellow Grease'!$B143</f>
        <v>48.1</v>
      </c>
      <c r="S144" s="185">
        <f>'LCFS Table'!$N144 + 'LCFS Table'!$AH144</f>
        <v>67.375</v>
      </c>
      <c r="T144" s="185">
        <f>'LCFS Table'!$Q144+'LCFS Table'!$AH144</f>
        <v>80.769000000000005</v>
      </c>
      <c r="U144" s="185">
        <f>'LCFS Table'!$P144+'LCFS Table'!$AH144</f>
        <v>54.975000000000001</v>
      </c>
      <c r="V144" s="185">
        <f>(('LCFS Table'!$S144/'LCFS Table'!$AA144)*'LCFS Table'!$AC144)*6.48</f>
        <v>232.22872340425536</v>
      </c>
      <c r="W144" s="185">
        <f>(('LCFS Table'!$O144/'LCFS Table'!$AA144)*'LCFS Table'!$AD144)*6.48</f>
        <v>93.063829787234056</v>
      </c>
      <c r="X144" s="185">
        <f>(('LCFS Table'!$U144/'LCFS Table'!$AA144)*'LCFS Table'!$AE144)*6.48</f>
        <v>94.74414893617022</v>
      </c>
      <c r="Y144" s="185">
        <f>(('LCFS Table'!$T144/'LCFS Table'!$AB144)*'LCFS Table'!$AF144)*7.35</f>
        <v>463.79074218750003</v>
      </c>
      <c r="Z144" s="185">
        <f>(('LCFS Table'!$R144/'LCFS Table'!$AB144)*'LCFS Table'!$AG144)*7.35</f>
        <v>92.06640625</v>
      </c>
      <c r="AA144" s="138">
        <v>0.94</v>
      </c>
      <c r="AB144" s="138">
        <v>0.96</v>
      </c>
      <c r="AC144" s="138">
        <v>0.5</v>
      </c>
      <c r="AD144" s="138">
        <v>0.25</v>
      </c>
      <c r="AE144" s="138">
        <v>0.25</v>
      </c>
      <c r="AF144" s="138">
        <v>0.75</v>
      </c>
      <c r="AG144" s="138">
        <v>0.25</v>
      </c>
      <c r="AH144" s="139">
        <v>4.375</v>
      </c>
      <c r="AI144" s="139">
        <v>136</v>
      </c>
      <c r="AJ144" s="139">
        <v>110</v>
      </c>
      <c r="AK144" s="186">
        <f>('LCFS Table'!$AI144/340)*100</f>
        <v>40</v>
      </c>
      <c r="AL144" s="186">
        <f>('LCFS Table'!$AJ144/340)*100</f>
        <v>32.352941176470587</v>
      </c>
      <c r="AM144" s="139">
        <v>105</v>
      </c>
      <c r="AN144" s="139">
        <v>90</v>
      </c>
      <c r="AO144" s="139">
        <f>('LCFS Table'!$AM144/300)*100</f>
        <v>35</v>
      </c>
      <c r="AP144" s="139">
        <f>('LCFS Table'!$AN144/300)*100</f>
        <v>30</v>
      </c>
      <c r="AQ144" s="140">
        <f>'[1]LCFS Values'!$B143</f>
        <v>168.25</v>
      </c>
      <c r="AR144" s="140">
        <f>'[1]RIN Values'!$B143/100</f>
        <v>1.4444999999999999</v>
      </c>
      <c r="AS144" s="185">
        <v>1.426016496594277</v>
      </c>
      <c r="AT144" s="137">
        <v>0.16</v>
      </c>
      <c r="AU144" s="137">
        <v>1</v>
      </c>
      <c r="AV144" s="185">
        <f>'LCFS Table'!$AR144*1.7</f>
        <v>2.4556499999999999</v>
      </c>
      <c r="AW144" s="137">
        <v>0</v>
      </c>
      <c r="AX144" s="185">
        <v>0.96626214335624983</v>
      </c>
      <c r="AY144" s="137">
        <v>0</v>
      </c>
      <c r="AZ144" s="141">
        <v>1</v>
      </c>
      <c r="BA144" s="185">
        <f>'LCFS Table'!$AR144*1.5</f>
        <v>2.16675</v>
      </c>
      <c r="BB144" s="142">
        <v>1.2</v>
      </c>
      <c r="BC144" s="185">
        <f>'LCFS Table'!$AS144*'LCFS Table'!$BW144</f>
        <v>1.426016496594277</v>
      </c>
      <c r="BD144" s="185">
        <f>'LCFS Table'!$AT144*'LCFS Table'!$BX144</f>
        <v>0</v>
      </c>
      <c r="BE144" s="185">
        <f>'LCFS Table'!$AU144*'LCFS Table'!$BY144</f>
        <v>1</v>
      </c>
      <c r="BF144" s="137">
        <f>'LCFS Table'!$AV144*'LCFS Table'!$BZ144</f>
        <v>2.4556499999999999</v>
      </c>
      <c r="BG144" s="137">
        <f>'LCFS Table'!$AW144*'LCFS Table'!$CA144</f>
        <v>0</v>
      </c>
      <c r="BH144" s="137">
        <f>'LCFS Table'!$AX144*'LCFS Table'!$CB144</f>
        <v>0.96626214335624983</v>
      </c>
      <c r="BI144" s="137">
        <f>'LCFS Table'!$AY144*'LCFS Table'!$CC144</f>
        <v>0</v>
      </c>
      <c r="BJ144" s="137">
        <f>'LCFS Table'!$AZ144*'LCFS Table'!$CD144</f>
        <v>1</v>
      </c>
      <c r="BK144" s="137">
        <f>'LCFS Table'!$BA144*'LCFS Table'!$CE144</f>
        <v>2.16675</v>
      </c>
      <c r="BL144" s="137">
        <f>'LCFS Table'!$BB144*'LCFS Table'!$CF144</f>
        <v>-1.2</v>
      </c>
      <c r="BM144" s="137">
        <f>'LCFS Table'!$AS144*'LCFS Table'!$CG144</f>
        <v>0</v>
      </c>
      <c r="BN144" s="137">
        <f>'LCFS Table'!$AT144*'LCFS Table'!$CH144</f>
        <v>0.16</v>
      </c>
      <c r="BO144" s="137">
        <f>'LCFS Table'!$AU144*'LCFS Table'!$CI144</f>
        <v>0</v>
      </c>
      <c r="BP144" s="137">
        <f>'LCFS Table'!$AV144*'LCFS Table'!$CJ144</f>
        <v>0</v>
      </c>
      <c r="BQ144" s="137">
        <f>'LCFS Table'!$AW144*'LCFS Table'!$CK144</f>
        <v>0</v>
      </c>
      <c r="BR144" s="137">
        <f>'LCFS Table'!$AX144*'LCFS Table'!$CL144</f>
        <v>0</v>
      </c>
      <c r="BS144" s="137">
        <f>'LCFS Table'!$AY144*'LCFS Table'!$CM144</f>
        <v>0</v>
      </c>
      <c r="BT144" s="137">
        <f>'LCFS Table'!$AZ144*'LCFS Table'!$CN144</f>
        <v>0</v>
      </c>
      <c r="BU144" s="137">
        <f>'LCFS Table'!$BA144*'LCFS Table'!$CO144</f>
        <v>0</v>
      </c>
      <c r="BV144" s="142">
        <f>'LCFS Table'!$BB144*'LCFS Table'!$CP144</f>
        <v>1.2</v>
      </c>
      <c r="BW144" s="138">
        <v>1</v>
      </c>
      <c r="BX144" s="138">
        <v>0</v>
      </c>
      <c r="BY144" s="138">
        <v>1</v>
      </c>
      <c r="BZ144" s="138">
        <v>1</v>
      </c>
      <c r="CA144" s="138">
        <v>-1</v>
      </c>
      <c r="CB144" s="138">
        <v>1</v>
      </c>
      <c r="CC144" s="138">
        <v>0</v>
      </c>
      <c r="CD144" s="138">
        <v>1</v>
      </c>
      <c r="CE144" s="138">
        <v>1</v>
      </c>
      <c r="CF144" s="138">
        <v>-1</v>
      </c>
      <c r="CG144" s="138">
        <f>1-'LCFS Table'!$BW144</f>
        <v>0</v>
      </c>
      <c r="CH144" s="138">
        <f>1-'LCFS Table'!$BX144</f>
        <v>1</v>
      </c>
      <c r="CI144" s="138">
        <f>1-'LCFS Table'!$BY144</f>
        <v>0</v>
      </c>
      <c r="CJ144" s="138">
        <f>1-'LCFS Table'!$BZ144</f>
        <v>0</v>
      </c>
      <c r="CK144" s="138">
        <f>-'LCFS Table'!$CA144</f>
        <v>1</v>
      </c>
      <c r="CL144" s="138">
        <f>1-'LCFS Table'!$CB144</f>
        <v>0</v>
      </c>
      <c r="CM144" s="138">
        <f>1-'LCFS Table'!$CC144</f>
        <v>1</v>
      </c>
      <c r="CN144" s="138">
        <f>1-'LCFS Table'!$CD144</f>
        <v>0</v>
      </c>
      <c r="CO144" s="138">
        <f>1-'LCFS Table'!$CE144</f>
        <v>0</v>
      </c>
      <c r="CP144" s="138">
        <f>-'LCFS Table'!$CF144</f>
        <v>1</v>
      </c>
      <c r="CQ144" s="140">
        <v>22</v>
      </c>
      <c r="CR144" s="165">
        <f>('LCFS Table'!$CQ144*0.9/(0.8/0.99)/100)</f>
        <v>0.24502499999999997</v>
      </c>
      <c r="CS144" s="166"/>
      <c r="CT144" s="167"/>
      <c r="CW144" s="168">
        <f>'LCFS Table'!$K144-'LCFS Table'!$M144</f>
        <v>0.28201214335624991</v>
      </c>
      <c r="CX144" s="129">
        <f>MONTH('LCFS Table'!$B144)</f>
        <v>9</v>
      </c>
      <c r="CY144" s="129">
        <f>YEAR('LCFS Table'!$B144)</f>
        <v>2021</v>
      </c>
    </row>
    <row r="145" spans="1:103">
      <c r="A145" s="148">
        <v>44458</v>
      </c>
      <c r="B145" s="149">
        <v>44464</v>
      </c>
      <c r="C145" s="132">
        <f t="shared" si="2"/>
        <v>2021</v>
      </c>
      <c r="D145" s="150" t="s">
        <v>294</v>
      </c>
      <c r="E145" s="187">
        <f>'LCFS Table'!$K145-'LCFS Table'!$I145</f>
        <v>-2.7035198372966214</v>
      </c>
      <c r="F145" s="187">
        <f>('LCFS Table'!$M145)-'LCFS Table'!$J145</f>
        <v>-4.09809109298625</v>
      </c>
      <c r="G145" s="188">
        <f>'LCFS Table'!$E145+'LCFS Table'!$AS145+'LCFS Table'!$AT145+'LCFS Table'!$AU145+'LCFS Table'!$AV145</f>
        <v>2.1044992192638015</v>
      </c>
      <c r="H145" s="188">
        <f>'LCFS Table'!$F145+'LCFS Table'!$AX145+'LCFS Table'!$AY145+'LCFS Table'!$AZ145+'LCFS Table'!$BA145+('LCFS Table'!$CQ145*0.9/(0.8/0.99)/100)+(DG145*'LCFS Table'!$AF145)+(DF145*'LCFS Table'!$AG145)</f>
        <v>0.10335039062500007</v>
      </c>
      <c r="I145" s="187">
        <f>('LCFS Table'!$V145+'LCFS Table'!$W145+'LCFS Table'!$X145)/100+(('LCFS Table'!$AI145+'LCFS Table'!$AJ145)/340)</f>
        <v>4.9256198372966216</v>
      </c>
      <c r="J145" s="187">
        <f>(('LCFS Table'!$Y145+'LCFS Table'!$Z145)/100)+(('LCFS Table'!$AM145+'LCFS Table'!$AN145)/300)</f>
        <v>6.0139496093749996</v>
      </c>
      <c r="K145" s="190">
        <f>'[1]Fuel Values'!$C144</f>
        <v>2.2221000000000002</v>
      </c>
      <c r="L145" s="190">
        <f>'[1]Fuel Values'!$B144</f>
        <v>585</v>
      </c>
      <c r="M145" s="185">
        <f>('LCFS Table'!$L145/100)-'LCFS Table'!$AX145-'LCFS Table'!$AY145-'LCFS Table'!$AZ145-'LCFS Table'!$BA145</f>
        <v>1.9158585163887496</v>
      </c>
      <c r="N145" s="190">
        <f>[1]BFT!$B144</f>
        <v>63</v>
      </c>
      <c r="O145" s="190">
        <f>[1]UCO!$B144</f>
        <v>51</v>
      </c>
      <c r="P145" s="190">
        <f>[1]DCO!$B144</f>
        <v>53.7</v>
      </c>
      <c r="Q145" s="190">
        <f>'[1]Soybean Oil'!$B144</f>
        <v>73.537999999999997</v>
      </c>
      <c r="R145" s="190">
        <f>'[1]Yellow Grease'!$B144</f>
        <v>46.5</v>
      </c>
      <c r="S145" s="185">
        <f>'LCFS Table'!$N145 + 'LCFS Table'!$AH145</f>
        <v>67.375</v>
      </c>
      <c r="T145" s="185">
        <f>'LCFS Table'!$Q145+'LCFS Table'!$AH145</f>
        <v>77.912999999999997</v>
      </c>
      <c r="U145" s="185">
        <f>'LCFS Table'!$P145+'LCFS Table'!$AH145</f>
        <v>58.075000000000003</v>
      </c>
      <c r="V145" s="185">
        <f>(('LCFS Table'!$S145/'LCFS Table'!$AA145)*'LCFS Table'!$AC145)*6.48</f>
        <v>232.22872340425536</v>
      </c>
      <c r="W145" s="185">
        <f>(('LCFS Table'!$O145/'LCFS Table'!$AA145)*'LCFS Table'!$AD145)*6.48</f>
        <v>87.893617021276611</v>
      </c>
      <c r="X145" s="185">
        <f>(('LCFS Table'!$U145/'LCFS Table'!$AA145)*'LCFS Table'!$AE145)*6.48</f>
        <v>100.08670212765959</v>
      </c>
      <c r="Y145" s="185">
        <f>(('LCFS Table'!$T145/'LCFS Table'!$AB145)*'LCFS Table'!$AF145)*7.35</f>
        <v>447.39105468749995</v>
      </c>
      <c r="Z145" s="185">
        <f>(('LCFS Table'!$R145/'LCFS Table'!$AB145)*'LCFS Table'!$AG145)*7.35</f>
        <v>89.00390625</v>
      </c>
      <c r="AA145" s="138">
        <v>0.94</v>
      </c>
      <c r="AB145" s="138">
        <v>0.96</v>
      </c>
      <c r="AC145" s="138">
        <v>0.5</v>
      </c>
      <c r="AD145" s="138">
        <v>0.25</v>
      </c>
      <c r="AE145" s="138">
        <v>0.25</v>
      </c>
      <c r="AF145" s="138">
        <v>0.75</v>
      </c>
      <c r="AG145" s="138">
        <v>0.25</v>
      </c>
      <c r="AH145" s="139">
        <v>4.375</v>
      </c>
      <c r="AI145" s="139">
        <v>136</v>
      </c>
      <c r="AJ145" s="139">
        <v>110</v>
      </c>
      <c r="AK145" s="186">
        <f>('LCFS Table'!$AI145/340)*100</f>
        <v>40</v>
      </c>
      <c r="AL145" s="186">
        <f>('LCFS Table'!$AJ145/340)*100</f>
        <v>32.352941176470587</v>
      </c>
      <c r="AM145" s="139">
        <v>105</v>
      </c>
      <c r="AN145" s="139">
        <v>90</v>
      </c>
      <c r="AO145" s="139">
        <f>('LCFS Table'!$AM145/300)*100</f>
        <v>35</v>
      </c>
      <c r="AP145" s="139">
        <f>('LCFS Table'!$AN145/300)*100</f>
        <v>30</v>
      </c>
      <c r="AQ145" s="140">
        <f>'[1]LCFS Values'!$B144</f>
        <v>164.05</v>
      </c>
      <c r="AR145" s="140">
        <f>'[1]RIN Values'!$B144/100</f>
        <v>1.3280000000000001</v>
      </c>
      <c r="AS145" s="185">
        <v>1.3904190565604229</v>
      </c>
      <c r="AT145" s="137">
        <v>0.16</v>
      </c>
      <c r="AU145" s="137">
        <v>1</v>
      </c>
      <c r="AV145" s="185">
        <f>'LCFS Table'!$AR145*1.7</f>
        <v>2.2576000000000001</v>
      </c>
      <c r="AW145" s="137">
        <v>0</v>
      </c>
      <c r="AX145" s="185">
        <v>0.94214148361124983</v>
      </c>
      <c r="AY145" s="137">
        <v>0</v>
      </c>
      <c r="AZ145" s="141">
        <v>1</v>
      </c>
      <c r="BA145" s="185">
        <f>'LCFS Table'!$AR145*1.5</f>
        <v>1.992</v>
      </c>
      <c r="BB145" s="142">
        <v>1.2</v>
      </c>
      <c r="BC145" s="185">
        <f>'LCFS Table'!$AS145*'LCFS Table'!$BW145</f>
        <v>1.3904190565604229</v>
      </c>
      <c r="BD145" s="185">
        <f>'LCFS Table'!$AT145*'LCFS Table'!$BX145</f>
        <v>0</v>
      </c>
      <c r="BE145" s="185">
        <f>'LCFS Table'!$AU145*'LCFS Table'!$BY145</f>
        <v>1</v>
      </c>
      <c r="BF145" s="137">
        <f>'LCFS Table'!$AV145*'LCFS Table'!$BZ145</f>
        <v>2.2576000000000001</v>
      </c>
      <c r="BG145" s="137">
        <f>'LCFS Table'!$AW145*'LCFS Table'!$CA145</f>
        <v>0</v>
      </c>
      <c r="BH145" s="137">
        <f>'LCFS Table'!$AX145*'LCFS Table'!$CB145</f>
        <v>0.94214148361124983</v>
      </c>
      <c r="BI145" s="137">
        <f>'LCFS Table'!$AY145*'LCFS Table'!$CC145</f>
        <v>0</v>
      </c>
      <c r="BJ145" s="137">
        <f>'LCFS Table'!$AZ145*'LCFS Table'!$CD145</f>
        <v>1</v>
      </c>
      <c r="BK145" s="137">
        <f>'LCFS Table'!$BA145*'LCFS Table'!$CE145</f>
        <v>1.992</v>
      </c>
      <c r="BL145" s="137">
        <f>'LCFS Table'!$BB145*'LCFS Table'!$CF145</f>
        <v>-1.2</v>
      </c>
      <c r="BM145" s="137">
        <f>'LCFS Table'!$AS145*'LCFS Table'!$CG145</f>
        <v>0</v>
      </c>
      <c r="BN145" s="137">
        <f>'LCFS Table'!$AT145*'LCFS Table'!$CH145</f>
        <v>0.16</v>
      </c>
      <c r="BO145" s="137">
        <f>'LCFS Table'!$AU145*'LCFS Table'!$CI145</f>
        <v>0</v>
      </c>
      <c r="BP145" s="137">
        <f>'LCFS Table'!$AV145*'LCFS Table'!$CJ145</f>
        <v>0</v>
      </c>
      <c r="BQ145" s="137">
        <f>'LCFS Table'!$AW145*'LCFS Table'!$CK145</f>
        <v>0</v>
      </c>
      <c r="BR145" s="137">
        <f>'LCFS Table'!$AX145*'LCFS Table'!$CL145</f>
        <v>0</v>
      </c>
      <c r="BS145" s="137">
        <f>'LCFS Table'!$AY145*'LCFS Table'!$CM145</f>
        <v>0</v>
      </c>
      <c r="BT145" s="137">
        <f>'LCFS Table'!$AZ145*'LCFS Table'!$CN145</f>
        <v>0</v>
      </c>
      <c r="BU145" s="137">
        <f>'LCFS Table'!$BA145*'LCFS Table'!$CO145</f>
        <v>0</v>
      </c>
      <c r="BV145" s="142">
        <f>'LCFS Table'!$BB145*'LCFS Table'!$CP145</f>
        <v>1.2</v>
      </c>
      <c r="BW145" s="138">
        <v>1</v>
      </c>
      <c r="BX145" s="138">
        <v>0</v>
      </c>
      <c r="BY145" s="138">
        <v>1</v>
      </c>
      <c r="BZ145" s="138">
        <v>1</v>
      </c>
      <c r="CA145" s="138">
        <v>-1</v>
      </c>
      <c r="CB145" s="138">
        <v>1</v>
      </c>
      <c r="CC145" s="138">
        <v>0</v>
      </c>
      <c r="CD145" s="138">
        <v>1</v>
      </c>
      <c r="CE145" s="138">
        <v>1</v>
      </c>
      <c r="CF145" s="138">
        <v>-1</v>
      </c>
      <c r="CG145" s="138">
        <f>1-'LCFS Table'!$BW145</f>
        <v>0</v>
      </c>
      <c r="CH145" s="138">
        <f>1-'LCFS Table'!$BX145</f>
        <v>1</v>
      </c>
      <c r="CI145" s="138">
        <f>1-'LCFS Table'!$BY145</f>
        <v>0</v>
      </c>
      <c r="CJ145" s="138">
        <f>1-'LCFS Table'!$BZ145</f>
        <v>0</v>
      </c>
      <c r="CK145" s="138">
        <f>-'LCFS Table'!$CA145</f>
        <v>1</v>
      </c>
      <c r="CL145" s="138">
        <f>1-'LCFS Table'!$CB145</f>
        <v>0</v>
      </c>
      <c r="CM145" s="138">
        <f>1-'LCFS Table'!$CC145</f>
        <v>1</v>
      </c>
      <c r="CN145" s="138">
        <f>1-'LCFS Table'!$CD145</f>
        <v>0</v>
      </c>
      <c r="CO145" s="138">
        <f>1-'LCFS Table'!$CE145</f>
        <v>0</v>
      </c>
      <c r="CP145" s="138">
        <f>-'LCFS Table'!$CF145</f>
        <v>1</v>
      </c>
      <c r="CQ145" s="140">
        <v>24</v>
      </c>
      <c r="CR145" s="165">
        <f>('LCFS Table'!$CQ145*0.9/(0.8/0.99)/100)</f>
        <v>0.26729999999999998</v>
      </c>
      <c r="CS145" s="166"/>
      <c r="CT145" s="167"/>
      <c r="CW145" s="168">
        <f>'LCFS Table'!$K145-'LCFS Table'!$M145</f>
        <v>0.30624148361125059</v>
      </c>
      <c r="CX145" s="129">
        <f>MONTH('LCFS Table'!$B145)</f>
        <v>9</v>
      </c>
      <c r="CY145" s="129">
        <f>YEAR('LCFS Table'!$B145)</f>
        <v>2021</v>
      </c>
    </row>
    <row r="146" spans="1:103">
      <c r="A146" s="148">
        <v>44465</v>
      </c>
      <c r="B146" s="149">
        <v>44471</v>
      </c>
      <c r="C146" s="132">
        <f t="shared" si="2"/>
        <v>2021</v>
      </c>
      <c r="D146" s="182" t="s">
        <v>295</v>
      </c>
      <c r="E146" s="187">
        <f>'LCFS Table'!$K146-'LCFS Table'!$I146</f>
        <v>-2.6534006883604517</v>
      </c>
      <c r="F146" s="187">
        <f>('LCFS Table'!$M146)-'LCFS Table'!$J146</f>
        <v>-4.3245725475724992</v>
      </c>
      <c r="G146" s="188">
        <f>'LCFS Table'!$E146+'LCFS Table'!$AS146+'LCFS Table'!$AT146+'LCFS Table'!$AU146+'LCFS Table'!$AV146</f>
        <v>2.1755642424457857</v>
      </c>
      <c r="H146" s="188">
        <f>'LCFS Table'!$F146+'LCFS Table'!$AX146+'LCFS Table'!$AY146+'LCFS Table'!$AZ146+'LCFS Table'!$BA146+('LCFS Table'!$CQ146*0.9/(0.8/0.99)/100)+(DG146*'LCFS Table'!$AF146)+(DF146*'LCFS Table'!$AG146)</f>
        <v>-8.4921484374999634E-2</v>
      </c>
      <c r="I146" s="187">
        <f>('LCFS Table'!$V146+'LCFS Table'!$W146+'LCFS Table'!$X146)/100+(('LCFS Table'!$AI146+'LCFS Table'!$AJ146)/340)</f>
        <v>4.9868006883604519</v>
      </c>
      <c r="J146" s="187">
        <f>(('LCFS Table'!$Y146+'LCFS Table'!$Z146)/100)+(('LCFS Table'!$AM146+'LCFS Table'!$AN146)/300)</f>
        <v>6.1883589843750002</v>
      </c>
      <c r="K146" s="190">
        <f>'[1]Fuel Values'!$C145</f>
        <v>2.3334000000000001</v>
      </c>
      <c r="L146" s="190">
        <f>'[1]Fuel Values'!$B145</f>
        <v>582.5</v>
      </c>
      <c r="M146" s="185">
        <f>('LCFS Table'!$L146/100)-'LCFS Table'!$AX146-'LCFS Table'!$AY146-'LCFS Table'!$AZ146-'LCFS Table'!$BA146</f>
        <v>1.8637864368025006</v>
      </c>
      <c r="N146" s="190">
        <f>[1]BFT!$B145</f>
        <v>63</v>
      </c>
      <c r="O146" s="190">
        <f>[1]UCO!$B145</f>
        <v>51.1</v>
      </c>
      <c r="P146" s="190">
        <f>[1]DCO!$B145</f>
        <v>57.15</v>
      </c>
      <c r="Q146" s="190">
        <f>'[1]Soybean Oil'!$B145</f>
        <v>76.492000000000004</v>
      </c>
      <c r="R146" s="190">
        <f>'[1]Yellow Grease'!$B145</f>
        <v>46.75</v>
      </c>
      <c r="S146" s="185">
        <f>'LCFS Table'!$N146 + 'LCFS Table'!$AH146</f>
        <v>67.375</v>
      </c>
      <c r="T146" s="185">
        <f>'LCFS Table'!$Q146+'LCFS Table'!$AH146</f>
        <v>80.867000000000004</v>
      </c>
      <c r="U146" s="185">
        <f>'LCFS Table'!$P146+'LCFS Table'!$AH146</f>
        <v>61.524999999999999</v>
      </c>
      <c r="V146" s="185">
        <f>(('LCFS Table'!$S146/'LCFS Table'!$AA146)*'LCFS Table'!$AC146)*6.48</f>
        <v>232.22872340425536</v>
      </c>
      <c r="W146" s="185">
        <f>(('LCFS Table'!$O146/'LCFS Table'!$AA146)*'LCFS Table'!$AD146)*6.48</f>
        <v>88.065957446808525</v>
      </c>
      <c r="X146" s="185">
        <f>(('LCFS Table'!$U146/'LCFS Table'!$AA146)*'LCFS Table'!$AE146)*6.48</f>
        <v>106.03244680851066</v>
      </c>
      <c r="Y146" s="185">
        <f>(('LCFS Table'!$T146/'LCFS Table'!$AB146)*'LCFS Table'!$AF146)*7.35</f>
        <v>464.35347656250002</v>
      </c>
      <c r="Z146" s="185">
        <f>(('LCFS Table'!$R146/'LCFS Table'!$AB146)*'LCFS Table'!$AG146)*7.35</f>
        <v>89.482421875</v>
      </c>
      <c r="AA146" s="138">
        <v>0.94</v>
      </c>
      <c r="AB146" s="138">
        <v>0.96</v>
      </c>
      <c r="AC146" s="138">
        <v>0.5</v>
      </c>
      <c r="AD146" s="138">
        <v>0.25</v>
      </c>
      <c r="AE146" s="138">
        <v>0.25</v>
      </c>
      <c r="AF146" s="138">
        <v>0.75</v>
      </c>
      <c r="AG146" s="138">
        <v>0.25</v>
      </c>
      <c r="AH146" s="139">
        <v>4.375</v>
      </c>
      <c r="AI146" s="139">
        <v>136</v>
      </c>
      <c r="AJ146" s="139">
        <v>110</v>
      </c>
      <c r="AK146" s="186">
        <f>('LCFS Table'!$AI146/340)*100</f>
        <v>40</v>
      </c>
      <c r="AL146" s="186">
        <f>('LCFS Table'!$AJ146/340)*100</f>
        <v>32.352941176470587</v>
      </c>
      <c r="AM146" s="139">
        <v>105</v>
      </c>
      <c r="AN146" s="139">
        <v>90</v>
      </c>
      <c r="AO146" s="139">
        <f>('LCFS Table'!$AM146/300)*100</f>
        <v>35</v>
      </c>
      <c r="AP146" s="139">
        <f>('LCFS Table'!$AN146/300)*100</f>
        <v>30</v>
      </c>
      <c r="AQ146" s="140">
        <f>'[1]LCFS Values'!$B145</f>
        <v>159.1</v>
      </c>
      <c r="AR146" s="140">
        <f>'[1]RIN Values'!$B145/100</f>
        <v>1.365</v>
      </c>
      <c r="AS146" s="185">
        <v>1.3484649308062375</v>
      </c>
      <c r="AT146" s="137">
        <v>0.16</v>
      </c>
      <c r="AU146" s="137">
        <v>1</v>
      </c>
      <c r="AV146" s="185">
        <f>'LCFS Table'!$AR146*1.7</f>
        <v>2.3205</v>
      </c>
      <c r="AW146" s="137">
        <v>0</v>
      </c>
      <c r="AX146" s="185">
        <v>0.91371356319749986</v>
      </c>
      <c r="AY146" s="137">
        <v>0</v>
      </c>
      <c r="AZ146" s="141">
        <v>1</v>
      </c>
      <c r="BA146" s="185">
        <f>'LCFS Table'!$AR146*1.5</f>
        <v>2.0474999999999999</v>
      </c>
      <c r="BB146" s="142">
        <v>1.2</v>
      </c>
      <c r="BC146" s="185">
        <f>'LCFS Table'!$AS146*'LCFS Table'!$BW146</f>
        <v>1.3484649308062375</v>
      </c>
      <c r="BD146" s="185">
        <f>'LCFS Table'!$AT146*'LCFS Table'!$BX146</f>
        <v>0</v>
      </c>
      <c r="BE146" s="185">
        <f>'LCFS Table'!$AU146*'LCFS Table'!$BY146</f>
        <v>1</v>
      </c>
      <c r="BF146" s="137">
        <f>'LCFS Table'!$AV146*'LCFS Table'!$BZ146</f>
        <v>2.3205</v>
      </c>
      <c r="BG146" s="137">
        <f>'LCFS Table'!$AW146*'LCFS Table'!$CA146</f>
        <v>0</v>
      </c>
      <c r="BH146" s="137">
        <f>'LCFS Table'!$AX146*'LCFS Table'!$CB146</f>
        <v>0.91371356319749986</v>
      </c>
      <c r="BI146" s="137">
        <f>'LCFS Table'!$AY146*'LCFS Table'!$CC146</f>
        <v>0</v>
      </c>
      <c r="BJ146" s="137">
        <f>'LCFS Table'!$AZ146*'LCFS Table'!$CD146</f>
        <v>1</v>
      </c>
      <c r="BK146" s="137">
        <f>'LCFS Table'!$BA146*'LCFS Table'!$CE146</f>
        <v>2.0474999999999999</v>
      </c>
      <c r="BL146" s="137">
        <f>'LCFS Table'!$BB146*'LCFS Table'!$CF146</f>
        <v>-1.2</v>
      </c>
      <c r="BM146" s="137">
        <f>'LCFS Table'!$AS146*'LCFS Table'!$CG146</f>
        <v>0</v>
      </c>
      <c r="BN146" s="137">
        <f>'LCFS Table'!$AT146*'LCFS Table'!$CH146</f>
        <v>0.16</v>
      </c>
      <c r="BO146" s="137">
        <f>'LCFS Table'!$AU146*'LCFS Table'!$CI146</f>
        <v>0</v>
      </c>
      <c r="BP146" s="137">
        <f>'LCFS Table'!$AV146*'LCFS Table'!$CJ146</f>
        <v>0</v>
      </c>
      <c r="BQ146" s="137">
        <f>'LCFS Table'!$AW146*'LCFS Table'!$CK146</f>
        <v>0</v>
      </c>
      <c r="BR146" s="137">
        <f>'LCFS Table'!$AX146*'LCFS Table'!$CL146</f>
        <v>0</v>
      </c>
      <c r="BS146" s="137">
        <f>'LCFS Table'!$AY146*'LCFS Table'!$CM146</f>
        <v>0</v>
      </c>
      <c r="BT146" s="137">
        <f>'LCFS Table'!$AZ146*'LCFS Table'!$CN146</f>
        <v>0</v>
      </c>
      <c r="BU146" s="137">
        <f>'LCFS Table'!$BA146*'LCFS Table'!$CO146</f>
        <v>0</v>
      </c>
      <c r="BV146" s="142">
        <f>'LCFS Table'!$BB146*'LCFS Table'!$CP146</f>
        <v>1.2</v>
      </c>
      <c r="BW146" s="138">
        <v>1</v>
      </c>
      <c r="BX146" s="138">
        <v>0</v>
      </c>
      <c r="BY146" s="138">
        <v>1</v>
      </c>
      <c r="BZ146" s="138">
        <v>1</v>
      </c>
      <c r="CA146" s="138">
        <v>-1</v>
      </c>
      <c r="CB146" s="138">
        <v>1</v>
      </c>
      <c r="CC146" s="138">
        <v>0</v>
      </c>
      <c r="CD146" s="138">
        <v>1</v>
      </c>
      <c r="CE146" s="138">
        <v>1</v>
      </c>
      <c r="CF146" s="138">
        <v>-1</v>
      </c>
      <c r="CG146" s="138">
        <f>1-'LCFS Table'!$BW146</f>
        <v>0</v>
      </c>
      <c r="CH146" s="138">
        <f>1-'LCFS Table'!$BX146</f>
        <v>1</v>
      </c>
      <c r="CI146" s="138">
        <f>1-'LCFS Table'!$BY146</f>
        <v>0</v>
      </c>
      <c r="CJ146" s="138">
        <f>1-'LCFS Table'!$BZ146</f>
        <v>0</v>
      </c>
      <c r="CK146" s="138">
        <f>-'LCFS Table'!$CA146</f>
        <v>1</v>
      </c>
      <c r="CL146" s="138">
        <f>1-'LCFS Table'!$CB146</f>
        <v>0</v>
      </c>
      <c r="CM146" s="138">
        <f>1-'LCFS Table'!$CC146</f>
        <v>1</v>
      </c>
      <c r="CN146" s="138">
        <f>1-'LCFS Table'!$CD146</f>
        <v>0</v>
      </c>
      <c r="CO146" s="138">
        <f>1-'LCFS Table'!$CE146</f>
        <v>0</v>
      </c>
      <c r="CP146" s="138">
        <f>-'LCFS Table'!$CF146</f>
        <v>1</v>
      </c>
      <c r="CQ146" s="140">
        <v>25</v>
      </c>
      <c r="CR146" s="165">
        <f>('LCFS Table'!$CQ146*0.9/(0.8/0.99)/100)</f>
        <v>0.27843749999999995</v>
      </c>
      <c r="CS146" s="166"/>
      <c r="CT146" s="167"/>
      <c r="CW146" s="168">
        <f>'LCFS Table'!$K146-'LCFS Table'!$M146</f>
        <v>0.46961356319749958</v>
      </c>
      <c r="CX146" s="129">
        <f>MONTH('LCFS Table'!$B146)</f>
        <v>10</v>
      </c>
      <c r="CY146" s="129">
        <f>YEAR('LCFS Table'!$B146)</f>
        <v>2021</v>
      </c>
    </row>
    <row r="147" spans="1:103">
      <c r="A147" s="148">
        <v>44472</v>
      </c>
      <c r="B147" s="149">
        <v>44478</v>
      </c>
      <c r="C147" s="132">
        <f t="shared" si="2"/>
        <v>2021</v>
      </c>
      <c r="D147" s="150" t="s">
        <v>296</v>
      </c>
      <c r="E147" s="187">
        <f>'LCFS Table'!$K147-'LCFS Table'!$I147</f>
        <v>-2.7121687734668338</v>
      </c>
      <c r="F147" s="187">
        <f>('LCFS Table'!$M147)-'LCFS Table'!$J147</f>
        <v>-4.8139573070149995</v>
      </c>
      <c r="G147" s="188">
        <f>'LCFS Table'!$E147+'LCFS Table'!$AS147+'LCFS Table'!$AT147+'LCFS Table'!$AU147+'LCFS Table'!$AV147</f>
        <v>2.3725655745088607</v>
      </c>
      <c r="H147" s="188">
        <f>'LCFS Table'!$F147+'LCFS Table'!$AX147+'LCFS Table'!$AY147+'LCFS Table'!$AZ147+'LCFS Table'!$BA147+('LCFS Table'!$CQ147*0.9/(0.8/0.99)/100)+(DG147*'LCFS Table'!$AF147)+(DF147*'LCFS Table'!$AG147)</f>
        <v>-0.35435429687499992</v>
      </c>
      <c r="I147" s="187">
        <f>('LCFS Table'!$V147+'LCFS Table'!$W147+'LCFS Table'!$X147)/100+(('LCFS Table'!$AI147+'LCFS Table'!$AJ147)/340)</f>
        <v>5.1832687734668337</v>
      </c>
      <c r="J147" s="187">
        <f>(('LCFS Table'!$Y147+'LCFS Table'!$Z147)/100)+(('LCFS Table'!$AM147+'LCFS Table'!$AN147)/300)</f>
        <v>6.3577917968749995</v>
      </c>
      <c r="K147" s="190">
        <f>'[1]Fuel Values'!$C146</f>
        <v>2.4710999999999999</v>
      </c>
      <c r="L147" s="190">
        <f>'[1]Fuel Values'!$B146</f>
        <v>572.5</v>
      </c>
      <c r="M147" s="185">
        <f>('LCFS Table'!$L147/100)-'LCFS Table'!$AX147-'LCFS Table'!$AY147-'LCFS Table'!$AZ147-'LCFS Table'!$BA147</f>
        <v>1.54383448986</v>
      </c>
      <c r="N147" s="190">
        <f>[1]BFT!$B146</f>
        <v>66.5</v>
      </c>
      <c r="O147" s="190">
        <f>[1]UCO!$B146</f>
        <v>53.5</v>
      </c>
      <c r="P147" s="190">
        <f>[1]DCO!$B146</f>
        <v>59.15</v>
      </c>
      <c r="Q147" s="190">
        <f>'[1]Soybean Oil'!$B146</f>
        <v>78.775999999999996</v>
      </c>
      <c r="R147" s="190">
        <f>'[1]Yellow Grease'!$B146</f>
        <v>48.75</v>
      </c>
      <c r="S147" s="185">
        <f>'LCFS Table'!$N147 + 'LCFS Table'!$AH147</f>
        <v>70.875</v>
      </c>
      <c r="T147" s="185">
        <f>'LCFS Table'!$Q147+'LCFS Table'!$AH147</f>
        <v>83.150999999999996</v>
      </c>
      <c r="U147" s="185">
        <f>'LCFS Table'!$P147+'LCFS Table'!$AH147</f>
        <v>63.524999999999999</v>
      </c>
      <c r="V147" s="185">
        <f>(('LCFS Table'!$S147/'LCFS Table'!$AA147)*'LCFS Table'!$AC147)*6.48</f>
        <v>244.29255319148936</v>
      </c>
      <c r="W147" s="185">
        <f>(('LCFS Table'!$O147/'LCFS Table'!$AA147)*'LCFS Table'!$AD147)*6.48</f>
        <v>92.202127659574472</v>
      </c>
      <c r="X147" s="185">
        <f>(('LCFS Table'!$U147/'LCFS Table'!$AA147)*'LCFS Table'!$AE147)*6.48</f>
        <v>109.47925531914895</v>
      </c>
      <c r="Y147" s="185">
        <f>(('LCFS Table'!$T147/'LCFS Table'!$AB147)*'LCFS Table'!$AF147)*7.35</f>
        <v>477.46863281249989</v>
      </c>
      <c r="Z147" s="185">
        <f>(('LCFS Table'!$R147/'LCFS Table'!$AB147)*'LCFS Table'!$AG147)*7.35</f>
        <v>93.310546875</v>
      </c>
      <c r="AA147" s="138">
        <v>0.94</v>
      </c>
      <c r="AB147" s="138">
        <v>0.96</v>
      </c>
      <c r="AC147" s="138">
        <v>0.5</v>
      </c>
      <c r="AD147" s="138">
        <v>0.25</v>
      </c>
      <c r="AE147" s="138">
        <v>0.25</v>
      </c>
      <c r="AF147" s="138">
        <v>0.75</v>
      </c>
      <c r="AG147" s="138">
        <v>0.25</v>
      </c>
      <c r="AH147" s="139">
        <v>4.375</v>
      </c>
      <c r="AI147" s="139">
        <v>136</v>
      </c>
      <c r="AJ147" s="139">
        <v>110</v>
      </c>
      <c r="AK147" s="186">
        <f>('LCFS Table'!$AI147/340)*100</f>
        <v>40</v>
      </c>
      <c r="AL147" s="186">
        <f>('LCFS Table'!$AJ147/340)*100</f>
        <v>32.352941176470587</v>
      </c>
      <c r="AM147" s="139">
        <v>105</v>
      </c>
      <c r="AN147" s="139">
        <v>90</v>
      </c>
      <c r="AO147" s="139">
        <f>('LCFS Table'!$AM147/300)*100</f>
        <v>35</v>
      </c>
      <c r="AP147" s="139">
        <f>('LCFS Table'!$AN147/300)*100</f>
        <v>30</v>
      </c>
      <c r="AQ147" s="140">
        <f>'[1]LCFS Values'!$B146</f>
        <v>162.4</v>
      </c>
      <c r="AR147" s="140">
        <f>'[1]RIN Values'!$B146/100</f>
        <v>1.4990000000000001</v>
      </c>
      <c r="AS147" s="185">
        <v>1.3764343479756946</v>
      </c>
      <c r="AT147" s="137">
        <v>0.16</v>
      </c>
      <c r="AU147" s="137">
        <v>1</v>
      </c>
      <c r="AV147" s="185">
        <f>'LCFS Table'!$AR147*1.7</f>
        <v>2.5483000000000002</v>
      </c>
      <c r="AW147" s="137">
        <v>0</v>
      </c>
      <c r="AX147" s="185">
        <v>0.93266551013999976</v>
      </c>
      <c r="AY147" s="137">
        <v>0</v>
      </c>
      <c r="AZ147" s="141">
        <v>1</v>
      </c>
      <c r="BA147" s="185">
        <f>'LCFS Table'!$AR147*1.5</f>
        <v>2.2484999999999999</v>
      </c>
      <c r="BB147" s="142">
        <v>1.2</v>
      </c>
      <c r="BC147" s="185">
        <f>'LCFS Table'!$AS147*'LCFS Table'!$BW147</f>
        <v>1.3764343479756946</v>
      </c>
      <c r="BD147" s="185">
        <f>'LCFS Table'!$AT147*'LCFS Table'!$BX147</f>
        <v>0</v>
      </c>
      <c r="BE147" s="185">
        <f>'LCFS Table'!$AU147*'LCFS Table'!$BY147</f>
        <v>1</v>
      </c>
      <c r="BF147" s="137">
        <f>'LCFS Table'!$AV147*'LCFS Table'!$BZ147</f>
        <v>2.5483000000000002</v>
      </c>
      <c r="BG147" s="137">
        <f>'LCFS Table'!$AW147*'LCFS Table'!$CA147</f>
        <v>0</v>
      </c>
      <c r="BH147" s="137">
        <f>'LCFS Table'!$AX147*'LCFS Table'!$CB147</f>
        <v>0.93266551013999976</v>
      </c>
      <c r="BI147" s="137">
        <f>'LCFS Table'!$AY147*'LCFS Table'!$CC147</f>
        <v>0</v>
      </c>
      <c r="BJ147" s="137">
        <f>'LCFS Table'!$AZ147*'LCFS Table'!$CD147</f>
        <v>1</v>
      </c>
      <c r="BK147" s="137">
        <f>'LCFS Table'!$BA147*'LCFS Table'!$CE147</f>
        <v>2.2484999999999999</v>
      </c>
      <c r="BL147" s="137">
        <f>'LCFS Table'!$BB147*'LCFS Table'!$CF147</f>
        <v>-1.2</v>
      </c>
      <c r="BM147" s="137">
        <f>'LCFS Table'!$AS147*'LCFS Table'!$CG147</f>
        <v>0</v>
      </c>
      <c r="BN147" s="137">
        <f>'LCFS Table'!$AT147*'LCFS Table'!$CH147</f>
        <v>0.16</v>
      </c>
      <c r="BO147" s="137">
        <f>'LCFS Table'!$AU147*'LCFS Table'!$CI147</f>
        <v>0</v>
      </c>
      <c r="BP147" s="137">
        <f>'LCFS Table'!$AV147*'LCFS Table'!$CJ147</f>
        <v>0</v>
      </c>
      <c r="BQ147" s="137">
        <f>'LCFS Table'!$AW147*'LCFS Table'!$CK147</f>
        <v>0</v>
      </c>
      <c r="BR147" s="137">
        <f>'LCFS Table'!$AX147*'LCFS Table'!$CL147</f>
        <v>0</v>
      </c>
      <c r="BS147" s="137">
        <f>'LCFS Table'!$AY147*'LCFS Table'!$CM147</f>
        <v>0</v>
      </c>
      <c r="BT147" s="137">
        <f>'LCFS Table'!$AZ147*'LCFS Table'!$CN147</f>
        <v>0</v>
      </c>
      <c r="BU147" s="137">
        <f>'LCFS Table'!$BA147*'LCFS Table'!$CO147</f>
        <v>0</v>
      </c>
      <c r="BV147" s="142">
        <f>'LCFS Table'!$BB147*'LCFS Table'!$CP147</f>
        <v>1.2</v>
      </c>
      <c r="BW147" s="138">
        <v>1</v>
      </c>
      <c r="BX147" s="138">
        <v>0</v>
      </c>
      <c r="BY147" s="138">
        <v>1</v>
      </c>
      <c r="BZ147" s="138">
        <v>1</v>
      </c>
      <c r="CA147" s="138">
        <v>-1</v>
      </c>
      <c r="CB147" s="138">
        <v>1</v>
      </c>
      <c r="CC147" s="138">
        <v>0</v>
      </c>
      <c r="CD147" s="138">
        <v>1</v>
      </c>
      <c r="CE147" s="138">
        <v>1</v>
      </c>
      <c r="CF147" s="138">
        <v>-1</v>
      </c>
      <c r="CG147" s="138">
        <f>1-'LCFS Table'!$BW147</f>
        <v>0</v>
      </c>
      <c r="CH147" s="138">
        <f>1-'LCFS Table'!$BX147</f>
        <v>1</v>
      </c>
      <c r="CI147" s="138">
        <f>1-'LCFS Table'!$BY147</f>
        <v>0</v>
      </c>
      <c r="CJ147" s="138">
        <f>1-'LCFS Table'!$BZ147</f>
        <v>0</v>
      </c>
      <c r="CK147" s="138">
        <f>-'LCFS Table'!$CA147</f>
        <v>1</v>
      </c>
      <c r="CL147" s="138">
        <f>1-'LCFS Table'!$CB147</f>
        <v>0</v>
      </c>
      <c r="CM147" s="138">
        <f>1-'LCFS Table'!$CC147</f>
        <v>1</v>
      </c>
      <c r="CN147" s="138">
        <f>1-'LCFS Table'!$CD147</f>
        <v>0</v>
      </c>
      <c r="CO147" s="138">
        <f>1-'LCFS Table'!$CE147</f>
        <v>0</v>
      </c>
      <c r="CP147" s="138">
        <f>-'LCFS Table'!$CF147</f>
        <v>1</v>
      </c>
      <c r="CQ147" s="140">
        <v>25</v>
      </c>
      <c r="CR147" s="165">
        <f>('LCFS Table'!$CQ147*0.9/(0.8/0.99)/100)</f>
        <v>0.27843749999999995</v>
      </c>
      <c r="CS147" s="166"/>
      <c r="CT147" s="167"/>
      <c r="CW147" s="168">
        <f>'LCFS Table'!$K147-'LCFS Table'!$M147</f>
        <v>0.9272655101399998</v>
      </c>
      <c r="CX147" s="129">
        <f>MONTH('LCFS Table'!$B147)</f>
        <v>10</v>
      </c>
      <c r="CY147" s="129">
        <f>YEAR('LCFS Table'!$B147)</f>
        <v>2021</v>
      </c>
    </row>
    <row r="148" spans="1:103">
      <c r="A148" s="148">
        <v>44479</v>
      </c>
      <c r="B148" s="149">
        <v>44485</v>
      </c>
      <c r="C148" s="132">
        <f t="shared" si="2"/>
        <v>2021</v>
      </c>
      <c r="D148" s="182" t="s">
        <v>297</v>
      </c>
      <c r="E148" s="187">
        <f>'LCFS Table'!$K148-'LCFS Table'!$I148</f>
        <v>-2.7292709011264087</v>
      </c>
      <c r="F148" s="187">
        <f>('LCFS Table'!$M148)-'LCFS Table'!$J148</f>
        <v>-4.6166729362049983</v>
      </c>
      <c r="G148" s="188">
        <f>'LCFS Table'!$E148+'LCFS Table'!$AS148+'LCFS Table'!$AT148+'LCFS Table'!$AU148+'LCFS Table'!$AV148</f>
        <v>2.4385094888378771</v>
      </c>
      <c r="H148" s="188">
        <f>'LCFS Table'!$F148+'LCFS Table'!$AX148+'LCFS Table'!$AY148+'LCFS Table'!$AZ148+'LCFS Table'!$BA148+('LCFS Table'!$CQ148*0.9/(0.8/0.99)/100)+(DG148*'LCFS Table'!$AF148)+(DF148*'LCFS Table'!$AG148)</f>
        <v>-7.6783203124998867E-2</v>
      </c>
      <c r="I148" s="187">
        <f>('LCFS Table'!$V148+'LCFS Table'!$W148+'LCFS Table'!$X148)/100+(('LCFS Table'!$AI148+'LCFS Table'!$AJ148)/340)</f>
        <v>5.2754709011264085</v>
      </c>
      <c r="J148" s="187">
        <f>(('LCFS Table'!$Y148+'LCFS Table'!$Z148)/100)+(('LCFS Table'!$AM148+'LCFS Table'!$AN148)/300)</f>
        <v>6.3602800781249993</v>
      </c>
      <c r="K148" s="190">
        <f>'[1]Fuel Values'!$C147</f>
        <v>2.5461999999999998</v>
      </c>
      <c r="L148" s="190">
        <f>'[1]Fuel Values'!$B147</f>
        <v>598</v>
      </c>
      <c r="M148" s="185">
        <f>('LCFS Table'!$L148/100)-'LCFS Table'!$AX148-'LCFS Table'!$AY148-'LCFS Table'!$AZ148-'LCFS Table'!$BA148</f>
        <v>1.743607141920001</v>
      </c>
      <c r="N148" s="190">
        <f>[1]BFT!$B147</f>
        <v>68.5</v>
      </c>
      <c r="O148" s="190">
        <f>[1]UCO!$B147</f>
        <v>54.5</v>
      </c>
      <c r="P148" s="190">
        <f>[1]DCO!$B147</f>
        <v>59.5</v>
      </c>
      <c r="Q148" s="190">
        <f>'[1]Soybean Oil'!$B147</f>
        <v>78.736000000000004</v>
      </c>
      <c r="R148" s="190">
        <f>'[1]Yellow Grease'!$B147</f>
        <v>49</v>
      </c>
      <c r="S148" s="185">
        <f>'LCFS Table'!$N148 + 'LCFS Table'!$AH148</f>
        <v>72.875</v>
      </c>
      <c r="T148" s="185">
        <f>'LCFS Table'!$Q148+'LCFS Table'!$AH148</f>
        <v>83.111000000000004</v>
      </c>
      <c r="U148" s="185">
        <f>'LCFS Table'!$P148+'LCFS Table'!$AH148</f>
        <v>63.875</v>
      </c>
      <c r="V148" s="185">
        <f>(('LCFS Table'!$S148/'LCFS Table'!$AA148)*'LCFS Table'!$AC148)*6.48</f>
        <v>251.186170212766</v>
      </c>
      <c r="W148" s="185">
        <f>(('LCFS Table'!$O148/'LCFS Table'!$AA148)*'LCFS Table'!$AD148)*6.48</f>
        <v>93.925531914893625</v>
      </c>
      <c r="X148" s="185">
        <f>(('LCFS Table'!$U148/'LCFS Table'!$AA148)*'LCFS Table'!$AE148)*6.48</f>
        <v>110.08244680851065</v>
      </c>
      <c r="Y148" s="185">
        <f>(('LCFS Table'!$T148/'LCFS Table'!$AB148)*'LCFS Table'!$AF148)*7.35</f>
        <v>477.23894531249999</v>
      </c>
      <c r="Z148" s="185">
        <f>(('LCFS Table'!$R148/'LCFS Table'!$AB148)*'LCFS Table'!$AG148)*7.35</f>
        <v>93.7890625</v>
      </c>
      <c r="AA148" s="138">
        <v>0.94</v>
      </c>
      <c r="AB148" s="138">
        <v>0.96</v>
      </c>
      <c r="AC148" s="138">
        <v>0.5</v>
      </c>
      <c r="AD148" s="138">
        <v>0.25</v>
      </c>
      <c r="AE148" s="138">
        <v>0.25</v>
      </c>
      <c r="AF148" s="138">
        <v>0.75</v>
      </c>
      <c r="AG148" s="138">
        <v>0.25</v>
      </c>
      <c r="AH148" s="139">
        <v>4.375</v>
      </c>
      <c r="AI148" s="139">
        <v>136</v>
      </c>
      <c r="AJ148" s="139">
        <v>110</v>
      </c>
      <c r="AK148" s="186">
        <f>('LCFS Table'!$AI148/340)*100</f>
        <v>40</v>
      </c>
      <c r="AL148" s="186">
        <f>('LCFS Table'!$AJ148/340)*100</f>
        <v>32.352941176470587</v>
      </c>
      <c r="AM148" s="139">
        <v>105</v>
      </c>
      <c r="AN148" s="139">
        <v>90</v>
      </c>
      <c r="AO148" s="139">
        <f>('LCFS Table'!$AM148/300)*100</f>
        <v>35</v>
      </c>
      <c r="AP148" s="139">
        <f>('LCFS Table'!$AN148/300)*100</f>
        <v>30</v>
      </c>
      <c r="AQ148" s="140">
        <f>'[1]LCFS Values'!$B147</f>
        <v>172.8</v>
      </c>
      <c r="AR148" s="140">
        <f>'[1]RIN Values'!$B147/100</f>
        <v>1.496</v>
      </c>
      <c r="AS148" s="185">
        <v>1.4645803899642857</v>
      </c>
      <c r="AT148" s="137">
        <v>0.16</v>
      </c>
      <c r="AU148" s="137">
        <v>1</v>
      </c>
      <c r="AV148" s="185">
        <f>'LCFS Table'!$AR148*1.7</f>
        <v>2.5432000000000001</v>
      </c>
      <c r="AW148" s="137">
        <v>0</v>
      </c>
      <c r="AX148" s="185">
        <v>0.99239285807999977</v>
      </c>
      <c r="AY148" s="137">
        <v>0</v>
      </c>
      <c r="AZ148" s="141">
        <v>1</v>
      </c>
      <c r="BA148" s="185">
        <f>'LCFS Table'!$AR148*1.5</f>
        <v>2.2439999999999998</v>
      </c>
      <c r="BB148" s="142">
        <v>1.2</v>
      </c>
      <c r="BC148" s="185">
        <f>'LCFS Table'!$AS148*'LCFS Table'!$BW148</f>
        <v>1.4645803899642857</v>
      </c>
      <c r="BD148" s="185">
        <f>'LCFS Table'!$AT148*'LCFS Table'!$BX148</f>
        <v>0</v>
      </c>
      <c r="BE148" s="185">
        <f>'LCFS Table'!$AU148*'LCFS Table'!$BY148</f>
        <v>1</v>
      </c>
      <c r="BF148" s="137">
        <f>'LCFS Table'!$AV148*'LCFS Table'!$BZ148</f>
        <v>2.5432000000000001</v>
      </c>
      <c r="BG148" s="137">
        <f>'LCFS Table'!$AW148*'LCFS Table'!$CA148</f>
        <v>0</v>
      </c>
      <c r="BH148" s="137">
        <f>'LCFS Table'!$AX148*'LCFS Table'!$CB148</f>
        <v>0.99239285807999977</v>
      </c>
      <c r="BI148" s="137">
        <f>'LCFS Table'!$AY148*'LCFS Table'!$CC148</f>
        <v>0</v>
      </c>
      <c r="BJ148" s="137">
        <f>'LCFS Table'!$AZ148*'LCFS Table'!$CD148</f>
        <v>1</v>
      </c>
      <c r="BK148" s="137">
        <f>'LCFS Table'!$BA148*'LCFS Table'!$CE148</f>
        <v>2.2439999999999998</v>
      </c>
      <c r="BL148" s="137">
        <f>'LCFS Table'!$BB148*'LCFS Table'!$CF148</f>
        <v>-1.2</v>
      </c>
      <c r="BM148" s="137">
        <f>'LCFS Table'!$AS148*'LCFS Table'!$CG148</f>
        <v>0</v>
      </c>
      <c r="BN148" s="137">
        <f>'LCFS Table'!$AT148*'LCFS Table'!$CH148</f>
        <v>0.16</v>
      </c>
      <c r="BO148" s="137">
        <f>'LCFS Table'!$AU148*'LCFS Table'!$CI148</f>
        <v>0</v>
      </c>
      <c r="BP148" s="137">
        <f>'LCFS Table'!$AV148*'LCFS Table'!$CJ148</f>
        <v>0</v>
      </c>
      <c r="BQ148" s="137">
        <f>'LCFS Table'!$AW148*'LCFS Table'!$CK148</f>
        <v>0</v>
      </c>
      <c r="BR148" s="137">
        <f>'LCFS Table'!$AX148*'LCFS Table'!$CL148</f>
        <v>0</v>
      </c>
      <c r="BS148" s="137">
        <f>'LCFS Table'!$AY148*'LCFS Table'!$CM148</f>
        <v>0</v>
      </c>
      <c r="BT148" s="137">
        <f>'LCFS Table'!$AZ148*'LCFS Table'!$CN148</f>
        <v>0</v>
      </c>
      <c r="BU148" s="137">
        <f>'LCFS Table'!$BA148*'LCFS Table'!$CO148</f>
        <v>0</v>
      </c>
      <c r="BV148" s="142">
        <f>'LCFS Table'!$BB148*'LCFS Table'!$CP148</f>
        <v>1.2</v>
      </c>
      <c r="BW148" s="138">
        <v>1</v>
      </c>
      <c r="BX148" s="138">
        <v>0</v>
      </c>
      <c r="BY148" s="138">
        <v>1</v>
      </c>
      <c r="BZ148" s="138">
        <v>1</v>
      </c>
      <c r="CA148" s="138">
        <v>-1</v>
      </c>
      <c r="CB148" s="138">
        <v>1</v>
      </c>
      <c r="CC148" s="138">
        <v>0</v>
      </c>
      <c r="CD148" s="138">
        <v>1</v>
      </c>
      <c r="CE148" s="138">
        <v>1</v>
      </c>
      <c r="CF148" s="138">
        <v>-1</v>
      </c>
      <c r="CG148" s="138">
        <f>1-'LCFS Table'!$BW148</f>
        <v>0</v>
      </c>
      <c r="CH148" s="138">
        <f>1-'LCFS Table'!$BX148</f>
        <v>1</v>
      </c>
      <c r="CI148" s="138">
        <f>1-'LCFS Table'!$BY148</f>
        <v>0</v>
      </c>
      <c r="CJ148" s="138">
        <f>1-'LCFS Table'!$BZ148</f>
        <v>0</v>
      </c>
      <c r="CK148" s="138">
        <f>-'LCFS Table'!$CA148</f>
        <v>1</v>
      </c>
      <c r="CL148" s="138">
        <f>1-'LCFS Table'!$CB148</f>
        <v>0</v>
      </c>
      <c r="CM148" s="138">
        <f>1-'LCFS Table'!$CC148</f>
        <v>1</v>
      </c>
      <c r="CN148" s="138">
        <f>1-'LCFS Table'!$CD148</f>
        <v>0</v>
      </c>
      <c r="CO148" s="138">
        <f>1-'LCFS Table'!$CE148</f>
        <v>0</v>
      </c>
      <c r="CP148" s="138">
        <f>-'LCFS Table'!$CF148</f>
        <v>1</v>
      </c>
      <c r="CQ148" s="140">
        <v>27.25</v>
      </c>
      <c r="CR148" s="165">
        <f>('LCFS Table'!$CQ148*0.9/(0.8/0.99)/100)</f>
        <v>0.303496875</v>
      </c>
      <c r="CS148" s="166"/>
      <c r="CT148" s="167"/>
      <c r="CW148" s="168">
        <f>'LCFS Table'!$K148-'LCFS Table'!$M148</f>
        <v>0.80259285807999881</v>
      </c>
      <c r="CX148" s="129">
        <f>MONTH('LCFS Table'!$B148)</f>
        <v>10</v>
      </c>
      <c r="CY148" s="129">
        <f>YEAR('LCFS Table'!$B148)</f>
        <v>2021</v>
      </c>
    </row>
    <row r="149" spans="1:103">
      <c r="A149" s="148">
        <v>44486</v>
      </c>
      <c r="B149" s="149">
        <v>44492</v>
      </c>
      <c r="C149" s="132">
        <f t="shared" si="2"/>
        <v>2021</v>
      </c>
      <c r="D149" s="182" t="s">
        <v>298</v>
      </c>
      <c r="E149" s="187">
        <f>'LCFS Table'!$K149-'LCFS Table'!$I149</f>
        <v>-2.7674134543178974</v>
      </c>
      <c r="F149" s="187">
        <f>('LCFS Table'!$M149)-'LCFS Table'!$J149</f>
        <v>-4.6903818895649998</v>
      </c>
      <c r="G149" s="188">
        <f>'LCFS Table'!$E149+'LCFS Table'!$AS149+'LCFS Table'!$AT149+'LCFS Table'!$AU149+'LCFS Table'!$AV149</f>
        <v>2.6069755413413285</v>
      </c>
      <c r="H149" s="188">
        <f>'LCFS Table'!$F149+'LCFS Table'!$AX149+'LCFS Table'!$AY149+'LCFS Table'!$AZ149+'LCFS Table'!$BA149+('LCFS Table'!$CQ149*0.9/(0.8/0.99)/100)+(DG149*'LCFS Table'!$AF149)+(DF149*'LCFS Table'!$AG149)</f>
        <v>3.5974609374999744E-2</v>
      </c>
      <c r="I149" s="187">
        <f>('LCFS Table'!$V149+'LCFS Table'!$W149+'LCFS Table'!$X149)/100+(('LCFS Table'!$AI149+'LCFS Table'!$AJ149)/340)</f>
        <v>5.3375134543178975</v>
      </c>
      <c r="J149" s="187">
        <f>(('LCFS Table'!$Y149+'LCFS Table'!$Z149)/100)+(('LCFS Table'!$AM149+'LCFS Table'!$AN149)/300)</f>
        <v>6.5375222656250003</v>
      </c>
      <c r="K149" s="190">
        <f>'[1]Fuel Values'!$C148</f>
        <v>2.5701000000000001</v>
      </c>
      <c r="L149" s="190">
        <f>'[1]Fuel Values'!$B148</f>
        <v>627</v>
      </c>
      <c r="M149" s="185">
        <f>('LCFS Table'!$L149/100)-'LCFS Table'!$AX149-'LCFS Table'!$AY149-'LCFS Table'!$AZ149-'LCFS Table'!$BA149</f>
        <v>1.84714037606</v>
      </c>
      <c r="N149" s="190">
        <f>[1]BFT!$B148</f>
        <v>68.8</v>
      </c>
      <c r="O149" s="190">
        <f>[1]UCO!$B148</f>
        <v>54.9</v>
      </c>
      <c r="P149" s="190">
        <f>[1]DCO!$B148</f>
        <v>62.1</v>
      </c>
      <c r="Q149" s="190">
        <f>'[1]Soybean Oil'!$B148</f>
        <v>81.456000000000003</v>
      </c>
      <c r="R149" s="190">
        <f>'[1]Yellow Grease'!$B148</f>
        <v>50.1</v>
      </c>
      <c r="S149" s="185">
        <f>'LCFS Table'!$N149 + 'LCFS Table'!$AH149</f>
        <v>73.174999999999997</v>
      </c>
      <c r="T149" s="185">
        <f>'LCFS Table'!$Q149+'LCFS Table'!$AH149</f>
        <v>85.831000000000003</v>
      </c>
      <c r="U149" s="185">
        <f>'LCFS Table'!$P149+'LCFS Table'!$AH149</f>
        <v>66.474999999999994</v>
      </c>
      <c r="V149" s="185">
        <f>(('LCFS Table'!$S149/'LCFS Table'!$AA149)*'LCFS Table'!$AC149)*6.48</f>
        <v>252.22021276595748</v>
      </c>
      <c r="W149" s="185">
        <f>(('LCFS Table'!$O149/'LCFS Table'!$AA149)*'LCFS Table'!$AD149)*6.48</f>
        <v>94.614893617021281</v>
      </c>
      <c r="X149" s="185">
        <f>(('LCFS Table'!$U149/'LCFS Table'!$AA149)*'LCFS Table'!$AE149)*6.48</f>
        <v>114.56329787234043</v>
      </c>
      <c r="Y149" s="185">
        <f>(('LCFS Table'!$T149/'LCFS Table'!$AB149)*'LCFS Table'!$AF149)*7.35</f>
        <v>492.85769531250008</v>
      </c>
      <c r="Z149" s="185">
        <f>(('LCFS Table'!$R149/'LCFS Table'!$AB149)*'LCFS Table'!$AG149)*7.35</f>
        <v>95.89453125</v>
      </c>
      <c r="AA149" s="138">
        <v>0.94</v>
      </c>
      <c r="AB149" s="138">
        <v>0.96</v>
      </c>
      <c r="AC149" s="138">
        <v>0.5</v>
      </c>
      <c r="AD149" s="138">
        <v>0.25</v>
      </c>
      <c r="AE149" s="138">
        <v>0.25</v>
      </c>
      <c r="AF149" s="138">
        <v>0.75</v>
      </c>
      <c r="AG149" s="138">
        <v>0.25</v>
      </c>
      <c r="AH149" s="139">
        <v>4.375</v>
      </c>
      <c r="AI149" s="139">
        <v>136</v>
      </c>
      <c r="AJ149" s="139">
        <v>110</v>
      </c>
      <c r="AK149" s="186">
        <f>('LCFS Table'!$AI149/340)*100</f>
        <v>40</v>
      </c>
      <c r="AL149" s="186">
        <f>('LCFS Table'!$AJ149/340)*100</f>
        <v>32.352941176470587</v>
      </c>
      <c r="AM149" s="139">
        <v>105</v>
      </c>
      <c r="AN149" s="139">
        <v>90</v>
      </c>
      <c r="AO149" s="139">
        <f>('LCFS Table'!$AM149/300)*100</f>
        <v>35</v>
      </c>
      <c r="AP149" s="139">
        <f>('LCFS Table'!$AN149/300)*100</f>
        <v>30</v>
      </c>
      <c r="AQ149" s="140">
        <f>'[1]LCFS Values'!$B148</f>
        <v>170.4</v>
      </c>
      <c r="AR149" s="140">
        <f>'[1]RIN Values'!$B148/100</f>
        <v>1.6294999999999999</v>
      </c>
      <c r="AS149" s="185">
        <v>1.4442389956592261</v>
      </c>
      <c r="AT149" s="137">
        <v>0.16</v>
      </c>
      <c r="AU149" s="137">
        <v>1</v>
      </c>
      <c r="AV149" s="185">
        <f>'LCFS Table'!$AR149*1.7</f>
        <v>2.7701499999999997</v>
      </c>
      <c r="AW149" s="137">
        <v>0</v>
      </c>
      <c r="AX149" s="185">
        <v>0.97860962393999973</v>
      </c>
      <c r="AY149" s="137">
        <v>0</v>
      </c>
      <c r="AZ149" s="141">
        <v>1</v>
      </c>
      <c r="BA149" s="185">
        <f>'LCFS Table'!$AR149*1.5</f>
        <v>2.4442499999999998</v>
      </c>
      <c r="BB149" s="142">
        <v>1.2</v>
      </c>
      <c r="BC149" s="185">
        <f>'LCFS Table'!$AS149*'LCFS Table'!$BW149</f>
        <v>1.4442389956592261</v>
      </c>
      <c r="BD149" s="185">
        <f>'LCFS Table'!$AT149*'LCFS Table'!$BX149</f>
        <v>0</v>
      </c>
      <c r="BE149" s="185">
        <f>'LCFS Table'!$AU149*'LCFS Table'!$BY149</f>
        <v>1</v>
      </c>
      <c r="BF149" s="137">
        <f>'LCFS Table'!$AV149*'LCFS Table'!$BZ149</f>
        <v>2.7701499999999997</v>
      </c>
      <c r="BG149" s="137">
        <f>'LCFS Table'!$AW149*'LCFS Table'!$CA149</f>
        <v>0</v>
      </c>
      <c r="BH149" s="137">
        <f>'LCFS Table'!$AX149*'LCFS Table'!$CB149</f>
        <v>0.97860962393999973</v>
      </c>
      <c r="BI149" s="137">
        <f>'LCFS Table'!$AY149*'LCFS Table'!$CC149</f>
        <v>0</v>
      </c>
      <c r="BJ149" s="137">
        <f>'LCFS Table'!$AZ149*'LCFS Table'!$CD149</f>
        <v>1</v>
      </c>
      <c r="BK149" s="137">
        <f>'LCFS Table'!$BA149*'LCFS Table'!$CE149</f>
        <v>2.4442499999999998</v>
      </c>
      <c r="BL149" s="137">
        <f>'LCFS Table'!$BB149*'LCFS Table'!$CF149</f>
        <v>-1.2</v>
      </c>
      <c r="BM149" s="137">
        <f>'LCFS Table'!$AS149*'LCFS Table'!$CG149</f>
        <v>0</v>
      </c>
      <c r="BN149" s="137">
        <f>'LCFS Table'!$AT149*'LCFS Table'!$CH149</f>
        <v>0.16</v>
      </c>
      <c r="BO149" s="137">
        <f>'LCFS Table'!$AU149*'LCFS Table'!$CI149</f>
        <v>0</v>
      </c>
      <c r="BP149" s="137">
        <f>'LCFS Table'!$AV149*'LCFS Table'!$CJ149</f>
        <v>0</v>
      </c>
      <c r="BQ149" s="137">
        <f>'LCFS Table'!$AW149*'LCFS Table'!$CK149</f>
        <v>0</v>
      </c>
      <c r="BR149" s="137">
        <f>'LCFS Table'!$AX149*'LCFS Table'!$CL149</f>
        <v>0</v>
      </c>
      <c r="BS149" s="137">
        <f>'LCFS Table'!$AY149*'LCFS Table'!$CM149</f>
        <v>0</v>
      </c>
      <c r="BT149" s="137">
        <f>'LCFS Table'!$AZ149*'LCFS Table'!$CN149</f>
        <v>0</v>
      </c>
      <c r="BU149" s="137">
        <f>'LCFS Table'!$BA149*'LCFS Table'!$CO149</f>
        <v>0</v>
      </c>
      <c r="BV149" s="142">
        <f>'LCFS Table'!$BB149*'LCFS Table'!$CP149</f>
        <v>1.2</v>
      </c>
      <c r="BW149" s="138">
        <v>1</v>
      </c>
      <c r="BX149" s="138">
        <v>0</v>
      </c>
      <c r="BY149" s="138">
        <v>1</v>
      </c>
      <c r="BZ149" s="138">
        <v>1</v>
      </c>
      <c r="CA149" s="138">
        <v>-1</v>
      </c>
      <c r="CB149" s="138">
        <v>1</v>
      </c>
      <c r="CC149" s="138">
        <v>0</v>
      </c>
      <c r="CD149" s="138">
        <v>1</v>
      </c>
      <c r="CE149" s="138">
        <v>1</v>
      </c>
      <c r="CF149" s="138">
        <v>-1</v>
      </c>
      <c r="CG149" s="138">
        <f>1-'LCFS Table'!$BW149</f>
        <v>0</v>
      </c>
      <c r="CH149" s="138">
        <f>1-'LCFS Table'!$BX149</f>
        <v>1</v>
      </c>
      <c r="CI149" s="138">
        <f>1-'LCFS Table'!$BY149</f>
        <v>0</v>
      </c>
      <c r="CJ149" s="138">
        <f>1-'LCFS Table'!$BZ149</f>
        <v>0</v>
      </c>
      <c r="CK149" s="138">
        <f>-'LCFS Table'!$CA149</f>
        <v>1</v>
      </c>
      <c r="CL149" s="138">
        <f>1-'LCFS Table'!$CB149</f>
        <v>0</v>
      </c>
      <c r="CM149" s="138">
        <f>1-'LCFS Table'!$CC149</f>
        <v>1</v>
      </c>
      <c r="CN149" s="138">
        <f>1-'LCFS Table'!$CD149</f>
        <v>0</v>
      </c>
      <c r="CO149" s="138">
        <f>1-'LCFS Table'!$CE149</f>
        <v>0</v>
      </c>
      <c r="CP149" s="138">
        <f>-'LCFS Table'!$CF149</f>
        <v>1</v>
      </c>
      <c r="CQ149" s="140">
        <v>27.25</v>
      </c>
      <c r="CR149" s="165">
        <f>('LCFS Table'!$CQ149*0.9/(0.8/0.99)/100)</f>
        <v>0.303496875</v>
      </c>
      <c r="CS149" s="166"/>
      <c r="CT149" s="167"/>
      <c r="CW149" s="168">
        <f>'LCFS Table'!$K149-'LCFS Table'!$M149</f>
        <v>0.72295962394000002</v>
      </c>
      <c r="CX149" s="129">
        <f>MONTH('LCFS Table'!$B149)</f>
        <v>10</v>
      </c>
      <c r="CY149" s="129">
        <f>YEAR('LCFS Table'!$B149)</f>
        <v>2021</v>
      </c>
    </row>
    <row r="150" spans="1:103">
      <c r="A150" s="148">
        <v>44493</v>
      </c>
      <c r="B150" s="149">
        <v>44499</v>
      </c>
      <c r="C150" s="132">
        <f t="shared" si="2"/>
        <v>2021</v>
      </c>
      <c r="D150" s="150" t="s">
        <v>299</v>
      </c>
      <c r="E150" s="187">
        <f>'LCFS Table'!$K150-'LCFS Table'!$I150</f>
        <v>-2.8719432415519406</v>
      </c>
      <c r="F150" s="187">
        <f>('LCFS Table'!$M150)-'LCFS Table'!$J150</f>
        <v>-4.1437448876437504</v>
      </c>
      <c r="G150" s="188">
        <f>'LCFS Table'!$E150+'LCFS Table'!$AS150+'LCFS Table'!$AT150+'LCFS Table'!$AU150+'LCFS Table'!$AV150</f>
        <v>2.125559883601674</v>
      </c>
      <c r="H150" s="188">
        <f>'LCFS Table'!$F150+'LCFS Table'!$AX150+'LCFS Table'!$AY150+'LCFS Table'!$AZ150+'LCFS Table'!$BA150+('LCFS Table'!$CQ150*0.9/(0.8/0.99)/100)+(DG150*'LCFS Table'!$AF150)+(DF150*'LCFS Table'!$AG150)</f>
        <v>0.25862710937499933</v>
      </c>
      <c r="I150" s="187">
        <f>('LCFS Table'!$V150+'LCFS Table'!$W150+'LCFS Table'!$X150)/100+(('LCFS Table'!$AI150+'LCFS Table'!$AJ150)/340)</f>
        <v>5.4133432415519405</v>
      </c>
      <c r="J150" s="187">
        <f>(('LCFS Table'!$Y150+'LCFS Table'!$Z150)/100)+(('LCFS Table'!$AM150+'LCFS Table'!$AN150)/300)</f>
        <v>6.4970972656250003</v>
      </c>
      <c r="K150" s="190">
        <f>'[1]Fuel Values'!$C149</f>
        <v>2.5413999999999999</v>
      </c>
      <c r="L150" s="190">
        <f>'[1]Fuel Values'!$B149</f>
        <v>645</v>
      </c>
      <c r="M150" s="185">
        <f>('LCFS Table'!$L150/100)-'LCFS Table'!$AX150-'LCFS Table'!$AY150-'LCFS Table'!$AZ150-'LCFS Table'!$BA150</f>
        <v>2.3533523779812504</v>
      </c>
      <c r="N150" s="190">
        <f>[1]BFT!$B149</f>
        <v>70</v>
      </c>
      <c r="O150" s="190">
        <f>[1]UCO!$B149</f>
        <v>55.5</v>
      </c>
      <c r="P150" s="190">
        <f>[1]DCO!$B149</f>
        <v>63.5</v>
      </c>
      <c r="Q150" s="190">
        <f>'[1]Soybean Oil'!$B149</f>
        <v>80.201999999999998</v>
      </c>
      <c r="R150" s="190">
        <f>'[1]Yellow Grease'!$B149</f>
        <v>51.75</v>
      </c>
      <c r="S150" s="185">
        <f>'LCFS Table'!$N150 + 'LCFS Table'!$AH150</f>
        <v>74.375</v>
      </c>
      <c r="T150" s="185">
        <f>'LCFS Table'!$Q150+'LCFS Table'!$AH150</f>
        <v>84.576999999999998</v>
      </c>
      <c r="U150" s="185">
        <f>'LCFS Table'!$P150+'LCFS Table'!$AH150</f>
        <v>67.875</v>
      </c>
      <c r="V150" s="185">
        <f>(('LCFS Table'!$S150/'LCFS Table'!$AA150)*'LCFS Table'!$AC150)*6.48</f>
        <v>256.35638297872345</v>
      </c>
      <c r="W150" s="185">
        <f>(('LCFS Table'!$O150/'LCFS Table'!$AA150)*'LCFS Table'!$AD150)*6.48</f>
        <v>95.648936170212778</v>
      </c>
      <c r="X150" s="185">
        <f>(('LCFS Table'!$U150/'LCFS Table'!$AA150)*'LCFS Table'!$AE150)*6.48</f>
        <v>116.97606382978724</v>
      </c>
      <c r="Y150" s="185">
        <f>(('LCFS Table'!$T150/'LCFS Table'!$AB150)*'LCFS Table'!$AF150)*7.35</f>
        <v>485.65699218750001</v>
      </c>
      <c r="Z150" s="185">
        <f>(('LCFS Table'!$R150/'LCFS Table'!$AB150)*'LCFS Table'!$AG150)*7.35</f>
        <v>99.052734375</v>
      </c>
      <c r="AA150" s="138">
        <v>0.94</v>
      </c>
      <c r="AB150" s="138">
        <v>0.96</v>
      </c>
      <c r="AC150" s="138">
        <v>0.5</v>
      </c>
      <c r="AD150" s="138">
        <v>0.25</v>
      </c>
      <c r="AE150" s="138">
        <v>0.25</v>
      </c>
      <c r="AF150" s="138">
        <v>0.75</v>
      </c>
      <c r="AG150" s="138">
        <v>0.25</v>
      </c>
      <c r="AH150" s="139">
        <v>4.375</v>
      </c>
      <c r="AI150" s="139">
        <v>136</v>
      </c>
      <c r="AJ150" s="139">
        <v>110</v>
      </c>
      <c r="AK150" s="186">
        <f>('LCFS Table'!$AI150/340)*100</f>
        <v>40</v>
      </c>
      <c r="AL150" s="186">
        <f>('LCFS Table'!$AJ150/340)*100</f>
        <v>32.352941176470587</v>
      </c>
      <c r="AM150" s="139">
        <v>105</v>
      </c>
      <c r="AN150" s="139">
        <v>90</v>
      </c>
      <c r="AO150" s="139">
        <f>('LCFS Table'!$AM150/300)*100</f>
        <v>35</v>
      </c>
      <c r="AP150" s="139">
        <f>('LCFS Table'!$AN150/300)*100</f>
        <v>30</v>
      </c>
      <c r="AQ150" s="140">
        <f>'[1]LCFS Values'!$B149</f>
        <v>166.75</v>
      </c>
      <c r="AR150" s="140">
        <f>'[1]RIN Values'!$B149/100</f>
        <v>1.4259999999999999</v>
      </c>
      <c r="AS150" s="185">
        <v>1.4133031251536148</v>
      </c>
      <c r="AT150" s="137">
        <v>0.16</v>
      </c>
      <c r="AU150" s="137">
        <v>1</v>
      </c>
      <c r="AV150" s="185">
        <f>'LCFS Table'!$AR150*1.7</f>
        <v>2.4241999999999999</v>
      </c>
      <c r="AW150" s="137">
        <v>0</v>
      </c>
      <c r="AX150" s="185">
        <v>0.95764762201874976</v>
      </c>
      <c r="AY150" s="137">
        <v>0</v>
      </c>
      <c r="AZ150" s="141">
        <v>1</v>
      </c>
      <c r="BA150" s="185">
        <f>'LCFS Table'!$AR150*1.5</f>
        <v>2.1389999999999998</v>
      </c>
      <c r="BB150" s="142">
        <v>1.2</v>
      </c>
      <c r="BC150" s="185">
        <f>'LCFS Table'!$AS150*'LCFS Table'!$BW150</f>
        <v>1.4133031251536148</v>
      </c>
      <c r="BD150" s="185">
        <f>'LCFS Table'!$AT150*'LCFS Table'!$BX150</f>
        <v>0</v>
      </c>
      <c r="BE150" s="185">
        <f>'LCFS Table'!$AU150*'LCFS Table'!$BY150</f>
        <v>1</v>
      </c>
      <c r="BF150" s="137">
        <f>'LCFS Table'!$AV150*'LCFS Table'!$BZ150</f>
        <v>2.4241999999999999</v>
      </c>
      <c r="BG150" s="137">
        <f>'LCFS Table'!$AW150*'LCFS Table'!$CA150</f>
        <v>0</v>
      </c>
      <c r="BH150" s="137">
        <f>'LCFS Table'!$AX150*'LCFS Table'!$CB150</f>
        <v>0.95764762201874976</v>
      </c>
      <c r="BI150" s="137">
        <f>'LCFS Table'!$AY150*'LCFS Table'!$CC150</f>
        <v>0</v>
      </c>
      <c r="BJ150" s="137">
        <f>'LCFS Table'!$AZ150*'LCFS Table'!$CD150</f>
        <v>1</v>
      </c>
      <c r="BK150" s="137">
        <f>'LCFS Table'!$BA150*'LCFS Table'!$CE150</f>
        <v>2.1389999999999998</v>
      </c>
      <c r="BL150" s="137">
        <f>'LCFS Table'!$BB150*'LCFS Table'!$CF150</f>
        <v>-1.2</v>
      </c>
      <c r="BM150" s="137">
        <f>'LCFS Table'!$AS150*'LCFS Table'!$CG150</f>
        <v>0</v>
      </c>
      <c r="BN150" s="137">
        <f>'LCFS Table'!$AT150*'LCFS Table'!$CH150</f>
        <v>0.16</v>
      </c>
      <c r="BO150" s="137">
        <f>'LCFS Table'!$AU150*'LCFS Table'!$CI150</f>
        <v>0</v>
      </c>
      <c r="BP150" s="137">
        <f>'LCFS Table'!$AV150*'LCFS Table'!$CJ150</f>
        <v>0</v>
      </c>
      <c r="BQ150" s="137">
        <f>'LCFS Table'!$AW150*'LCFS Table'!$CK150</f>
        <v>0</v>
      </c>
      <c r="BR150" s="137">
        <f>'LCFS Table'!$AX150*'LCFS Table'!$CL150</f>
        <v>0</v>
      </c>
      <c r="BS150" s="137">
        <f>'LCFS Table'!$AY150*'LCFS Table'!$CM150</f>
        <v>0</v>
      </c>
      <c r="BT150" s="137">
        <f>'LCFS Table'!$AZ150*'LCFS Table'!$CN150</f>
        <v>0</v>
      </c>
      <c r="BU150" s="137">
        <f>'LCFS Table'!$BA150*'LCFS Table'!$CO150</f>
        <v>0</v>
      </c>
      <c r="BV150" s="142">
        <f>'LCFS Table'!$BB150*'LCFS Table'!$CP150</f>
        <v>1.2</v>
      </c>
      <c r="BW150" s="138">
        <v>1</v>
      </c>
      <c r="BX150" s="138">
        <v>0</v>
      </c>
      <c r="BY150" s="138">
        <v>1</v>
      </c>
      <c r="BZ150" s="138">
        <v>1</v>
      </c>
      <c r="CA150" s="138">
        <v>-1</v>
      </c>
      <c r="CB150" s="138">
        <v>1</v>
      </c>
      <c r="CC150" s="138">
        <v>0</v>
      </c>
      <c r="CD150" s="138">
        <v>1</v>
      </c>
      <c r="CE150" s="138">
        <v>1</v>
      </c>
      <c r="CF150" s="138">
        <v>-1</v>
      </c>
      <c r="CG150" s="138">
        <f>1-'LCFS Table'!$BW150</f>
        <v>0</v>
      </c>
      <c r="CH150" s="138">
        <f>1-'LCFS Table'!$BX150</f>
        <v>1</v>
      </c>
      <c r="CI150" s="138">
        <f>1-'LCFS Table'!$BY150</f>
        <v>0</v>
      </c>
      <c r="CJ150" s="138">
        <f>1-'LCFS Table'!$BZ150</f>
        <v>0</v>
      </c>
      <c r="CK150" s="138">
        <f>-'LCFS Table'!$CA150</f>
        <v>1</v>
      </c>
      <c r="CL150" s="138">
        <f>1-'LCFS Table'!$CB150</f>
        <v>0</v>
      </c>
      <c r="CM150" s="138">
        <f>1-'LCFS Table'!$CC150</f>
        <v>1</v>
      </c>
      <c r="CN150" s="138">
        <f>1-'LCFS Table'!$CD150</f>
        <v>0</v>
      </c>
      <c r="CO150" s="138">
        <f>1-'LCFS Table'!$CE150</f>
        <v>0</v>
      </c>
      <c r="CP150" s="138">
        <f>-'LCFS Table'!$CF150</f>
        <v>1</v>
      </c>
      <c r="CQ150" s="140">
        <v>27.45</v>
      </c>
      <c r="CR150" s="165">
        <f>('LCFS Table'!$CQ150*0.9/(0.8/0.99)/100)</f>
        <v>0.30572437499999994</v>
      </c>
      <c r="CS150" s="166"/>
      <c r="CT150" s="167"/>
      <c r="CW150" s="168">
        <f>'LCFS Table'!$K150-'LCFS Table'!$M150</f>
        <v>0.18804762201874947</v>
      </c>
      <c r="CX150" s="129">
        <f>MONTH('LCFS Table'!$B150)</f>
        <v>10</v>
      </c>
      <c r="CY150" s="129">
        <f>YEAR('LCFS Table'!$B150)</f>
        <v>2021</v>
      </c>
    </row>
    <row r="151" spans="1:103">
      <c r="A151" s="148">
        <v>44500</v>
      </c>
      <c r="B151" s="149">
        <v>44506</v>
      </c>
      <c r="C151" s="132">
        <f t="shared" si="2"/>
        <v>2021</v>
      </c>
      <c r="D151" s="182" t="s">
        <v>300</v>
      </c>
      <c r="E151" s="187">
        <f>'LCFS Table'!$K151-'LCFS Table'!$I151</f>
        <v>-2.9265560075093875</v>
      </c>
      <c r="F151" s="187">
        <f>('LCFS Table'!$M151)-'LCFS Table'!$J151</f>
        <v>-3.9848975392949999</v>
      </c>
      <c r="G151" s="188">
        <f>'LCFS Table'!$E151+'LCFS Table'!$AS151+'LCFS Table'!$AT151+'LCFS Table'!$AU151+'LCFS Table'!$AV151</f>
        <v>1.9458053194720109</v>
      </c>
      <c r="H151" s="188">
        <f>'LCFS Table'!$F151+'LCFS Table'!$AX151+'LCFS Table'!$AY151+'LCFS Table'!$AZ151+'LCFS Table'!$BA151+('LCFS Table'!$CQ151*0.9/(0.8/0.99)/100)+(DG151*'LCFS Table'!$AF151)+(DF151*'LCFS Table'!$AG151)</f>
        <v>0.33587992187499938</v>
      </c>
      <c r="I151" s="187">
        <f>('LCFS Table'!$V151+'LCFS Table'!$W151+'LCFS Table'!$X151)/100+(('LCFS Table'!$AI151+'LCFS Table'!$AJ151)/340)</f>
        <v>5.3995560075093874</v>
      </c>
      <c r="J151" s="187">
        <f>(('LCFS Table'!$Y151+'LCFS Table'!$Z151)/100)+(('LCFS Table'!$AM151+'LCFS Table'!$AN151)/300)</f>
        <v>6.4320957031250003</v>
      </c>
      <c r="K151" s="190">
        <f>'[1]Fuel Values'!$C150</f>
        <v>2.4729999999999999</v>
      </c>
      <c r="L151" s="190">
        <f>'[1]Fuel Values'!$B150</f>
        <v>645</v>
      </c>
      <c r="M151" s="185">
        <f>('LCFS Table'!$L151/100)-'LCFS Table'!$AX151-'LCFS Table'!$AY151-'LCFS Table'!$AZ151-'LCFS Table'!$BA151</f>
        <v>2.4471981638300004</v>
      </c>
      <c r="N151" s="190">
        <f>[1]BFT!$B150</f>
        <v>70</v>
      </c>
      <c r="O151" s="190">
        <f>[1]UCO!$B150</f>
        <v>56.3</v>
      </c>
      <c r="P151" s="190">
        <f>[1]DCO!$B150</f>
        <v>61.9</v>
      </c>
      <c r="Q151" s="190">
        <f>'[1]Soybean Oil'!$B150</f>
        <v>78.77</v>
      </c>
      <c r="R151" s="190">
        <f>'[1]Yellow Grease'!$B150</f>
        <v>52.65</v>
      </c>
      <c r="S151" s="185">
        <f>'LCFS Table'!$N151 + 'LCFS Table'!$AH151</f>
        <v>74.375</v>
      </c>
      <c r="T151" s="185">
        <f>'LCFS Table'!$Q151+'LCFS Table'!$AH151</f>
        <v>83.144999999999996</v>
      </c>
      <c r="U151" s="185">
        <f>'LCFS Table'!$P151+'LCFS Table'!$AH151</f>
        <v>66.275000000000006</v>
      </c>
      <c r="V151" s="185">
        <f>(('LCFS Table'!$S151/'LCFS Table'!$AA151)*'LCFS Table'!$AC151)*6.48</f>
        <v>256.35638297872345</v>
      </c>
      <c r="W151" s="185">
        <f>(('LCFS Table'!$O151/'LCFS Table'!$AA151)*'LCFS Table'!$AD151)*6.48</f>
        <v>97.027659574468089</v>
      </c>
      <c r="X151" s="185">
        <f>(('LCFS Table'!$U151/'LCFS Table'!$AA151)*'LCFS Table'!$AE151)*6.48</f>
        <v>114.21861702127661</v>
      </c>
      <c r="Y151" s="185">
        <f>(('LCFS Table'!$T151/'LCFS Table'!$AB151)*'LCFS Table'!$AF151)*7.35</f>
        <v>477.43417968749998</v>
      </c>
      <c r="Z151" s="185">
        <f>(('LCFS Table'!$R151/'LCFS Table'!$AB151)*'LCFS Table'!$AG151)*7.35</f>
        <v>100.775390625</v>
      </c>
      <c r="AA151" s="138">
        <v>0.94</v>
      </c>
      <c r="AB151" s="138">
        <v>0.96</v>
      </c>
      <c r="AC151" s="138">
        <v>0.5</v>
      </c>
      <c r="AD151" s="138">
        <v>0.25</v>
      </c>
      <c r="AE151" s="138">
        <v>0.25</v>
      </c>
      <c r="AF151" s="138">
        <v>0.75</v>
      </c>
      <c r="AG151" s="138">
        <v>0.25</v>
      </c>
      <c r="AH151" s="139">
        <v>4.375</v>
      </c>
      <c r="AI151" s="139">
        <v>136</v>
      </c>
      <c r="AJ151" s="139">
        <v>110</v>
      </c>
      <c r="AK151" s="186">
        <f>('LCFS Table'!$AI151/340)*100</f>
        <v>40</v>
      </c>
      <c r="AL151" s="186">
        <f>('LCFS Table'!$AJ151/340)*100</f>
        <v>32.352941176470587</v>
      </c>
      <c r="AM151" s="139">
        <v>105</v>
      </c>
      <c r="AN151" s="139">
        <v>90</v>
      </c>
      <c r="AO151" s="139">
        <f>('LCFS Table'!$AM151/300)*100</f>
        <v>35</v>
      </c>
      <c r="AP151" s="139">
        <f>('LCFS Table'!$AN151/300)*100</f>
        <v>30</v>
      </c>
      <c r="AQ151" s="140">
        <f>'[1]LCFS Values'!$B150</f>
        <v>157.19999999999999</v>
      </c>
      <c r="AR151" s="140">
        <f>'[1]RIN Values'!$B150/100</f>
        <v>1.4</v>
      </c>
      <c r="AS151" s="185">
        <v>1.3323613269813985</v>
      </c>
      <c r="AT151" s="137">
        <v>0.16</v>
      </c>
      <c r="AU151" s="137">
        <v>1</v>
      </c>
      <c r="AV151" s="185">
        <f>'LCFS Table'!$AR151*1.7</f>
        <v>2.38</v>
      </c>
      <c r="AW151" s="137">
        <v>0</v>
      </c>
      <c r="AX151" s="185">
        <v>0.90280183616999976</v>
      </c>
      <c r="AY151" s="137">
        <v>0</v>
      </c>
      <c r="AZ151" s="141">
        <v>1</v>
      </c>
      <c r="BA151" s="185">
        <f>'LCFS Table'!$AR151*1.5</f>
        <v>2.0999999999999996</v>
      </c>
      <c r="BB151" s="142">
        <v>1.2</v>
      </c>
      <c r="BC151" s="185">
        <f>'LCFS Table'!$AS151*'LCFS Table'!$BW151</f>
        <v>1.3323613269813985</v>
      </c>
      <c r="BD151" s="185">
        <f>'LCFS Table'!$AT151*'LCFS Table'!$BX151</f>
        <v>0</v>
      </c>
      <c r="BE151" s="185">
        <f>'LCFS Table'!$AU151*'LCFS Table'!$BY151</f>
        <v>1</v>
      </c>
      <c r="BF151" s="137">
        <f>'LCFS Table'!$AV151*'LCFS Table'!$BZ151</f>
        <v>2.38</v>
      </c>
      <c r="BG151" s="137">
        <f>'LCFS Table'!$AW151*'LCFS Table'!$CA151</f>
        <v>0</v>
      </c>
      <c r="BH151" s="137">
        <f>'LCFS Table'!$AX151*'LCFS Table'!$CB151</f>
        <v>0.90280183616999976</v>
      </c>
      <c r="BI151" s="137">
        <f>'LCFS Table'!$AY151*'LCFS Table'!$CC151</f>
        <v>0</v>
      </c>
      <c r="BJ151" s="137">
        <f>'LCFS Table'!$AZ151*'LCFS Table'!$CD151</f>
        <v>1</v>
      </c>
      <c r="BK151" s="137">
        <f>'LCFS Table'!$BA151*'LCFS Table'!$CE151</f>
        <v>2.0999999999999996</v>
      </c>
      <c r="BL151" s="137">
        <f>'LCFS Table'!$BB151*'LCFS Table'!$CF151</f>
        <v>-1.2</v>
      </c>
      <c r="BM151" s="137">
        <f>'LCFS Table'!$AS151*'LCFS Table'!$CG151</f>
        <v>0</v>
      </c>
      <c r="BN151" s="137">
        <f>'LCFS Table'!$AT151*'LCFS Table'!$CH151</f>
        <v>0.16</v>
      </c>
      <c r="BO151" s="137">
        <f>'LCFS Table'!$AU151*'LCFS Table'!$CI151</f>
        <v>0</v>
      </c>
      <c r="BP151" s="137">
        <f>'LCFS Table'!$AV151*'LCFS Table'!$CJ151</f>
        <v>0</v>
      </c>
      <c r="BQ151" s="137">
        <f>'LCFS Table'!$AW151*'LCFS Table'!$CK151</f>
        <v>0</v>
      </c>
      <c r="BR151" s="137">
        <f>'LCFS Table'!$AX151*'LCFS Table'!$CL151</f>
        <v>0</v>
      </c>
      <c r="BS151" s="137">
        <f>'LCFS Table'!$AY151*'LCFS Table'!$CM151</f>
        <v>0</v>
      </c>
      <c r="BT151" s="137">
        <f>'LCFS Table'!$AZ151*'LCFS Table'!$CN151</f>
        <v>0</v>
      </c>
      <c r="BU151" s="137">
        <f>'LCFS Table'!$BA151*'LCFS Table'!$CO151</f>
        <v>0</v>
      </c>
      <c r="BV151" s="142">
        <f>'LCFS Table'!$BB151*'LCFS Table'!$CP151</f>
        <v>1.2</v>
      </c>
      <c r="BW151" s="138">
        <v>1</v>
      </c>
      <c r="BX151" s="138">
        <v>0</v>
      </c>
      <c r="BY151" s="138">
        <v>1</v>
      </c>
      <c r="BZ151" s="138">
        <v>1</v>
      </c>
      <c r="CA151" s="138">
        <v>-1</v>
      </c>
      <c r="CB151" s="138">
        <v>1</v>
      </c>
      <c r="CC151" s="138">
        <v>0</v>
      </c>
      <c r="CD151" s="138">
        <v>1</v>
      </c>
      <c r="CE151" s="138">
        <v>1</v>
      </c>
      <c r="CF151" s="138">
        <v>-1</v>
      </c>
      <c r="CG151" s="138">
        <f>1-'LCFS Table'!$BW151</f>
        <v>0</v>
      </c>
      <c r="CH151" s="138">
        <f>1-'LCFS Table'!$BX151</f>
        <v>1</v>
      </c>
      <c r="CI151" s="138">
        <f>1-'LCFS Table'!$BY151</f>
        <v>0</v>
      </c>
      <c r="CJ151" s="138">
        <f>1-'LCFS Table'!$BZ151</f>
        <v>0</v>
      </c>
      <c r="CK151" s="138">
        <f>-'LCFS Table'!$CA151</f>
        <v>1</v>
      </c>
      <c r="CL151" s="138">
        <f>1-'LCFS Table'!$CB151</f>
        <v>0</v>
      </c>
      <c r="CM151" s="138">
        <f>1-'LCFS Table'!$CC151</f>
        <v>1</v>
      </c>
      <c r="CN151" s="138">
        <f>1-'LCFS Table'!$CD151</f>
        <v>0</v>
      </c>
      <c r="CO151" s="138">
        <f>1-'LCFS Table'!$CE151</f>
        <v>0</v>
      </c>
      <c r="CP151" s="138">
        <f>-'LCFS Table'!$CF151</f>
        <v>1</v>
      </c>
      <c r="CQ151" s="140">
        <v>28.55</v>
      </c>
      <c r="CR151" s="165">
        <f>('LCFS Table'!$CQ151*0.9/(0.8/0.99)/100)</f>
        <v>0.31797562499999998</v>
      </c>
      <c r="CS151" s="166"/>
      <c r="CT151" s="167"/>
      <c r="CW151" s="168">
        <f>'LCFS Table'!$K151-'LCFS Table'!$M151</f>
        <v>2.5801836169999426E-2</v>
      </c>
      <c r="CX151" s="129">
        <f>MONTH('LCFS Table'!$B151)</f>
        <v>11</v>
      </c>
      <c r="CY151" s="129">
        <f>YEAR('LCFS Table'!$B151)</f>
        <v>2021</v>
      </c>
    </row>
    <row r="152" spans="1:103">
      <c r="A152" s="148">
        <v>44507</v>
      </c>
      <c r="B152" s="149">
        <v>44513</v>
      </c>
      <c r="C152" s="132">
        <f>YEAR(B152)</f>
        <v>2021</v>
      </c>
      <c r="D152" s="150" t="s">
        <v>301</v>
      </c>
      <c r="E152" s="187">
        <f>'LCFS Table'!$K152-'LCFS Table'!$I152</f>
        <v>-2.852956007509388</v>
      </c>
      <c r="F152" s="187">
        <f>('LCFS Table'!$M152)-'LCFS Table'!$J152</f>
        <v>-3.8155992423075005</v>
      </c>
      <c r="G152" s="188">
        <f>'LCFS Table'!$E152+'LCFS Table'!$AS152+'LCFS Table'!$AT152+'LCFS Table'!$AU152+'LCFS Table'!$AV152</f>
        <v>1.8180896241895828</v>
      </c>
      <c r="H152" s="188">
        <f>'LCFS Table'!$F152+'LCFS Table'!$AX152+'LCFS Table'!$AY152+'LCFS Table'!$AZ152+'LCFS Table'!$BA152+('LCFS Table'!$CQ152*0.9/(0.8/0.99)/100)+(DG152*'LCFS Table'!$AF152)+(DF152*'LCFS Table'!$AG152)</f>
        <v>0.32539726562499938</v>
      </c>
      <c r="I152" s="187">
        <f>('LCFS Table'!$V152+'LCFS Table'!$W152+'LCFS Table'!$X152)/100+(('LCFS Table'!$AI152+'LCFS Table'!$AJ152)/340)</f>
        <v>5.3185560075093878</v>
      </c>
      <c r="J152" s="187">
        <f>(('LCFS Table'!$Y152+'LCFS Table'!$Z152)/100)+(('LCFS Table'!$AM152+'LCFS Table'!$AN152)/300)</f>
        <v>6.3708839843750003</v>
      </c>
      <c r="K152" s="190">
        <f>'[1]Fuel Values'!$C151</f>
        <v>2.4655999999999998</v>
      </c>
      <c r="L152" s="190">
        <f>'[1]Fuel Values'!$B151</f>
        <v>639</v>
      </c>
      <c r="M152" s="185">
        <f>('LCFS Table'!$L152/100)-'LCFS Table'!$AX152-'LCFS Table'!$AY152-'LCFS Table'!$AZ152-'LCFS Table'!$BA152</f>
        <v>2.5552847420674998</v>
      </c>
      <c r="N152" s="190">
        <f>[1]BFT!$B151</f>
        <v>68.2</v>
      </c>
      <c r="O152" s="190">
        <f>[1]UCO!$B151</f>
        <v>57.5</v>
      </c>
      <c r="P152" s="190">
        <f>[1]DCO!$B151</f>
        <v>59.6</v>
      </c>
      <c r="Q152" s="190">
        <f>'[1]Soybean Oil'!$B151</f>
        <v>77.254000000000005</v>
      </c>
      <c r="R152" s="190">
        <f>'[1]Yellow Grease'!$B151</f>
        <v>54</v>
      </c>
      <c r="S152" s="185">
        <f>'LCFS Table'!$N152 + 'LCFS Table'!$AH152</f>
        <v>72.575000000000003</v>
      </c>
      <c r="T152" s="185">
        <f>'LCFS Table'!$Q152+'LCFS Table'!$AH152</f>
        <v>81.629000000000005</v>
      </c>
      <c r="U152" s="185">
        <f>'LCFS Table'!$P152+'LCFS Table'!$AH152</f>
        <v>63.975000000000001</v>
      </c>
      <c r="V152" s="185">
        <f>(('LCFS Table'!$S152/'LCFS Table'!$AA152)*'LCFS Table'!$AC152)*6.48</f>
        <v>250.15212765957449</v>
      </c>
      <c r="W152" s="185">
        <f>(('LCFS Table'!$O152/'LCFS Table'!$AA152)*'LCFS Table'!$AD152)*6.48</f>
        <v>99.095744680851084</v>
      </c>
      <c r="X152" s="185">
        <f>(('LCFS Table'!$U152/'LCFS Table'!$AA152)*'LCFS Table'!$AE152)*6.48</f>
        <v>110.25478723404257</v>
      </c>
      <c r="Y152" s="185">
        <f>(('LCFS Table'!$T152/'LCFS Table'!$AB152)*'LCFS Table'!$AF152)*7.35</f>
        <v>468.72902343750008</v>
      </c>
      <c r="Z152" s="185">
        <f>(('LCFS Table'!$R152/'LCFS Table'!$AB152)*'LCFS Table'!$AG152)*7.35</f>
        <v>103.359375</v>
      </c>
      <c r="AA152" s="138">
        <v>0.94</v>
      </c>
      <c r="AB152" s="138">
        <v>0.96</v>
      </c>
      <c r="AC152" s="138">
        <v>0.5</v>
      </c>
      <c r="AD152" s="138">
        <v>0.25</v>
      </c>
      <c r="AE152" s="138">
        <v>0.25</v>
      </c>
      <c r="AF152" s="138">
        <v>0.75</v>
      </c>
      <c r="AG152" s="138">
        <v>0.25</v>
      </c>
      <c r="AH152" s="139">
        <v>4.375</v>
      </c>
      <c r="AI152" s="139">
        <v>136</v>
      </c>
      <c r="AJ152" s="139">
        <v>110</v>
      </c>
      <c r="AK152" s="186">
        <f>('LCFS Table'!$AI152/340)*100</f>
        <v>40</v>
      </c>
      <c r="AL152" s="186">
        <f>('LCFS Table'!$AJ152/340)*100</f>
        <v>32.352941176470587</v>
      </c>
      <c r="AM152" s="139">
        <v>105</v>
      </c>
      <c r="AN152" s="139">
        <v>90</v>
      </c>
      <c r="AO152" s="139">
        <f>('LCFS Table'!$AM152/300)*100</f>
        <v>35</v>
      </c>
      <c r="AP152" s="139">
        <f>('LCFS Table'!$AN152/300)*100</f>
        <v>30</v>
      </c>
      <c r="AQ152" s="140">
        <f>'[1]LCFS Values'!$B151</f>
        <v>151.69999999999999</v>
      </c>
      <c r="AR152" s="140">
        <f>'[1]RIN Values'!$B151/100</f>
        <v>1.3090000000000002</v>
      </c>
      <c r="AS152" s="185">
        <v>1.2857456316989706</v>
      </c>
      <c r="AT152" s="137">
        <v>0.16</v>
      </c>
      <c r="AU152" s="137">
        <v>1</v>
      </c>
      <c r="AV152" s="185">
        <f>'LCFS Table'!$AR152*1.7</f>
        <v>2.2253000000000003</v>
      </c>
      <c r="AW152" s="137">
        <v>0</v>
      </c>
      <c r="AX152" s="185">
        <v>0.87121525793249976</v>
      </c>
      <c r="AY152" s="137">
        <v>0</v>
      </c>
      <c r="AZ152" s="141">
        <v>1</v>
      </c>
      <c r="BA152" s="185">
        <f>'LCFS Table'!$AR152*1.5</f>
        <v>1.9635000000000002</v>
      </c>
      <c r="BB152" s="142">
        <v>1.2</v>
      </c>
      <c r="BC152" s="185">
        <f>'LCFS Table'!$AS152*'LCFS Table'!$BW152</f>
        <v>1.2857456316989706</v>
      </c>
      <c r="BD152" s="185">
        <f>'LCFS Table'!$AT152*'LCFS Table'!$BX152</f>
        <v>0</v>
      </c>
      <c r="BE152" s="185">
        <f>'LCFS Table'!$AU152*'LCFS Table'!$BY152</f>
        <v>1</v>
      </c>
      <c r="BF152" s="137">
        <f>'LCFS Table'!$AV152*'LCFS Table'!$BZ152</f>
        <v>2.2253000000000003</v>
      </c>
      <c r="BG152" s="137">
        <f>'LCFS Table'!$AW152*'LCFS Table'!$CA152</f>
        <v>0</v>
      </c>
      <c r="BH152" s="137">
        <f>'LCFS Table'!$AX152*'LCFS Table'!$CB152</f>
        <v>0.87121525793249976</v>
      </c>
      <c r="BI152" s="137">
        <f>'LCFS Table'!$AY152*'LCFS Table'!$CC152</f>
        <v>0</v>
      </c>
      <c r="BJ152" s="137">
        <f>'LCFS Table'!$AZ152*'LCFS Table'!$CD152</f>
        <v>1</v>
      </c>
      <c r="BK152" s="137">
        <f>'LCFS Table'!$BA152*'LCFS Table'!$CE152</f>
        <v>1.9635000000000002</v>
      </c>
      <c r="BL152" s="137">
        <f>'LCFS Table'!$BB152*'LCFS Table'!$CF152</f>
        <v>-1.2</v>
      </c>
      <c r="BM152" s="137">
        <f>'LCFS Table'!$AS152*'LCFS Table'!$CG152</f>
        <v>0</v>
      </c>
      <c r="BN152" s="137">
        <f>'LCFS Table'!$AT152*'LCFS Table'!$CH152</f>
        <v>0.16</v>
      </c>
      <c r="BO152" s="137">
        <f>'LCFS Table'!$AU152*'LCFS Table'!$CI152</f>
        <v>0</v>
      </c>
      <c r="BP152" s="137">
        <f>'LCFS Table'!$AV152*'LCFS Table'!$CJ152</f>
        <v>0</v>
      </c>
      <c r="BQ152" s="137">
        <f>'LCFS Table'!$AW152*'LCFS Table'!$CK152</f>
        <v>0</v>
      </c>
      <c r="BR152" s="137">
        <f>'LCFS Table'!$AX152*'LCFS Table'!$CL152</f>
        <v>0</v>
      </c>
      <c r="BS152" s="137">
        <f>'LCFS Table'!$AY152*'LCFS Table'!$CM152</f>
        <v>0</v>
      </c>
      <c r="BT152" s="137">
        <f>'LCFS Table'!$AZ152*'LCFS Table'!$CN152</f>
        <v>0</v>
      </c>
      <c r="BU152" s="137">
        <f>'LCFS Table'!$BA152*'LCFS Table'!$CO152</f>
        <v>0</v>
      </c>
      <c r="BV152" s="142">
        <f>'LCFS Table'!$BB152*'LCFS Table'!$CP152</f>
        <v>1.2</v>
      </c>
      <c r="BW152" s="138">
        <v>1</v>
      </c>
      <c r="BX152" s="138">
        <v>0</v>
      </c>
      <c r="BY152" s="138">
        <v>1</v>
      </c>
      <c r="BZ152" s="138">
        <v>1</v>
      </c>
      <c r="CA152" s="138">
        <v>-1</v>
      </c>
      <c r="CB152" s="138">
        <v>1</v>
      </c>
      <c r="CC152" s="138">
        <v>0</v>
      </c>
      <c r="CD152" s="138">
        <v>1</v>
      </c>
      <c r="CE152" s="138">
        <v>1</v>
      </c>
      <c r="CF152" s="138">
        <v>-1</v>
      </c>
      <c r="CG152" s="138">
        <f>1-'LCFS Table'!$BW152</f>
        <v>0</v>
      </c>
      <c r="CH152" s="138">
        <f>1-'LCFS Table'!$BX152</f>
        <v>1</v>
      </c>
      <c r="CI152" s="138">
        <f>1-'LCFS Table'!$BY152</f>
        <v>0</v>
      </c>
      <c r="CJ152" s="138">
        <f>1-'LCFS Table'!$BZ152</f>
        <v>0</v>
      </c>
      <c r="CK152" s="138">
        <f>-'LCFS Table'!$CA152</f>
        <v>1</v>
      </c>
      <c r="CL152" s="138">
        <f>1-'LCFS Table'!$CB152</f>
        <v>0</v>
      </c>
      <c r="CM152" s="138">
        <f>1-'LCFS Table'!$CC152</f>
        <v>1</v>
      </c>
      <c r="CN152" s="138">
        <f>1-'LCFS Table'!$CD152</f>
        <v>0</v>
      </c>
      <c r="CO152" s="138">
        <f>1-'LCFS Table'!$CE152</f>
        <v>0</v>
      </c>
      <c r="CP152" s="138">
        <f>-'LCFS Table'!$CF152</f>
        <v>1</v>
      </c>
      <c r="CQ152" s="140">
        <v>27.5</v>
      </c>
      <c r="CR152" s="165">
        <f>('LCFS Table'!$CQ152*0.9/(0.8/0.99)/100)</f>
        <v>0.30628124999999995</v>
      </c>
      <c r="CS152" s="166"/>
      <c r="CT152" s="167"/>
      <c r="CW152" s="168">
        <f>'LCFS Table'!$K152-'LCFS Table'!$M152</f>
        <v>-8.968474206749999E-2</v>
      </c>
      <c r="CX152" s="129">
        <f>MONTH('LCFS Table'!$B152)</f>
        <v>11</v>
      </c>
      <c r="CY152" s="129">
        <f>YEAR('LCFS Table'!$B152)</f>
        <v>2021</v>
      </c>
    </row>
    <row r="153" spans="1:103">
      <c r="A153" s="148">
        <v>44514</v>
      </c>
      <c r="B153" s="149">
        <v>44520</v>
      </c>
      <c r="C153" s="132">
        <f>YEAR(B153)</f>
        <v>2021</v>
      </c>
      <c r="D153" s="182" t="s">
        <v>302</v>
      </c>
      <c r="E153" s="187">
        <f>'LCFS Table'!$K153-'LCFS Table'!$I153</f>
        <v>-2.7068666458072599</v>
      </c>
      <c r="F153" s="187">
        <f>('LCFS Table'!$M153)-'LCFS Table'!$J153</f>
        <v>-3.8196392265700001</v>
      </c>
      <c r="G153" s="188">
        <f>'LCFS Table'!$E153+'LCFS Table'!$AS153+'LCFS Table'!$AT153+'LCFS Table'!$AU153+'LCFS Table'!$AV153</f>
        <v>1.9430632906092824</v>
      </c>
      <c r="H153" s="188">
        <f>'LCFS Table'!$F153+'LCFS Table'!$AX153+'LCFS Table'!$AY153+'LCFS Table'!$AZ153+'LCFS Table'!$BA153+('LCFS Table'!$CQ153*0.9/(0.8/0.99)/100)+(DG153*'LCFS Table'!$AF153)+(DF153*'LCFS Table'!$AG153)</f>
        <v>0.31227070312499972</v>
      </c>
      <c r="I153" s="187">
        <f>('LCFS Table'!$V153+'LCFS Table'!$W153+'LCFS Table'!$X153)/100+(('LCFS Table'!$AI153+'LCFS Table'!$AJ153)/340)</f>
        <v>5.0910666458072598</v>
      </c>
      <c r="J153" s="187">
        <f>(('LCFS Table'!$Y153+'LCFS Table'!$Z153)/100)+(('LCFS Table'!$AM153+'LCFS Table'!$AN153)/300)</f>
        <v>6.3440105468749994</v>
      </c>
      <c r="K153" s="190">
        <f>'[1]Fuel Values'!$C152</f>
        <v>2.3841999999999999</v>
      </c>
      <c r="L153" s="190">
        <f>'[1]Fuel Values'!$B152</f>
        <v>635</v>
      </c>
      <c r="M153" s="185">
        <f>('LCFS Table'!$L153/100)-'LCFS Table'!$AX153-'LCFS Table'!$AY153-'LCFS Table'!$AZ153-'LCFS Table'!$BA153</f>
        <v>2.5243713203049993</v>
      </c>
      <c r="N153" s="190">
        <f>[1]BFT!$B152</f>
        <v>62.8</v>
      </c>
      <c r="O153" s="190">
        <f>[1]UCO!$B152</f>
        <v>57.5</v>
      </c>
      <c r="P153" s="190">
        <f>[1]DCO!$B152</f>
        <v>57.2</v>
      </c>
      <c r="Q153" s="190">
        <f>'[1]Soybean Oil'!$B152</f>
        <v>76.786000000000001</v>
      </c>
      <c r="R153" s="190">
        <f>'[1]Yellow Grease'!$B152</f>
        <v>54</v>
      </c>
      <c r="S153" s="185">
        <f>'LCFS Table'!$N153 + 'LCFS Table'!$AH153</f>
        <v>67.174999999999997</v>
      </c>
      <c r="T153" s="185">
        <f>'LCFS Table'!$Q153+'LCFS Table'!$AH153</f>
        <v>81.161000000000001</v>
      </c>
      <c r="U153" s="185">
        <f>'LCFS Table'!$P153+'LCFS Table'!$AH153</f>
        <v>61.575000000000003</v>
      </c>
      <c r="V153" s="185">
        <f>(('LCFS Table'!$S153/'LCFS Table'!$AA153)*'LCFS Table'!$AC153)*6.48</f>
        <v>231.53936170212768</v>
      </c>
      <c r="W153" s="185">
        <f>(('LCFS Table'!$O153/'LCFS Table'!$AA153)*'LCFS Table'!$AD153)*6.48</f>
        <v>99.095744680851084</v>
      </c>
      <c r="X153" s="185">
        <f>(('LCFS Table'!$U153/'LCFS Table'!$AA153)*'LCFS Table'!$AE153)*6.48</f>
        <v>106.11861702127662</v>
      </c>
      <c r="Y153" s="185">
        <f>(('LCFS Table'!$T153/'LCFS Table'!$AB153)*'LCFS Table'!$AF153)*7.35</f>
        <v>466.04167968749999</v>
      </c>
      <c r="Z153" s="185">
        <f>(('LCFS Table'!$R153/'LCFS Table'!$AB153)*'LCFS Table'!$AG153)*7.35</f>
        <v>103.359375</v>
      </c>
      <c r="AA153" s="138">
        <v>0.94</v>
      </c>
      <c r="AB153" s="138">
        <v>0.96</v>
      </c>
      <c r="AC153" s="138">
        <v>0.5</v>
      </c>
      <c r="AD153" s="138">
        <v>0.25</v>
      </c>
      <c r="AE153" s="138">
        <v>0.25</v>
      </c>
      <c r="AF153" s="138">
        <v>0.75</v>
      </c>
      <c r="AG153" s="138">
        <v>0.25</v>
      </c>
      <c r="AH153" s="139">
        <v>4.375</v>
      </c>
      <c r="AI153" s="139">
        <v>136</v>
      </c>
      <c r="AJ153" s="139">
        <v>110</v>
      </c>
      <c r="AK153" s="186">
        <f>('LCFS Table'!$AI153/340)*100</f>
        <v>40</v>
      </c>
      <c r="AL153" s="186">
        <f>('LCFS Table'!$AJ153/340)*100</f>
        <v>32.352941176470587</v>
      </c>
      <c r="AM153" s="139">
        <v>105</v>
      </c>
      <c r="AN153" s="139">
        <v>90</v>
      </c>
      <c r="AO153" s="139">
        <f>('LCFS Table'!$AM153/300)*100</f>
        <v>35</v>
      </c>
      <c r="AP153" s="139">
        <f>('LCFS Table'!$AN153/300)*100</f>
        <v>30</v>
      </c>
      <c r="AQ153" s="140">
        <f>'[1]LCFS Values'!$B152</f>
        <v>146.19999999999999</v>
      </c>
      <c r="AR153" s="140">
        <f>'[1]RIN Values'!$B152/100</f>
        <v>1.3240000000000001</v>
      </c>
      <c r="AS153" s="185">
        <v>1.2391299364165425</v>
      </c>
      <c r="AT153" s="137">
        <v>0.16</v>
      </c>
      <c r="AU153" s="137">
        <v>1</v>
      </c>
      <c r="AV153" s="185">
        <f>'LCFS Table'!$AR153*1.7</f>
        <v>2.2507999999999999</v>
      </c>
      <c r="AW153" s="137">
        <v>0</v>
      </c>
      <c r="AX153" s="185">
        <v>0.83962867969499977</v>
      </c>
      <c r="AY153" s="137">
        <v>0</v>
      </c>
      <c r="AZ153" s="141">
        <v>1</v>
      </c>
      <c r="BA153" s="185">
        <f>'LCFS Table'!$AR153*1.5</f>
        <v>1.9860000000000002</v>
      </c>
      <c r="BB153" s="142">
        <v>1.2</v>
      </c>
      <c r="BC153" s="185">
        <f>'LCFS Table'!$AS153*'LCFS Table'!$BW153</f>
        <v>1.2391299364165425</v>
      </c>
      <c r="BD153" s="185">
        <f>'LCFS Table'!$AT153*'LCFS Table'!$BX153</f>
        <v>0</v>
      </c>
      <c r="BE153" s="185">
        <f>'LCFS Table'!$AU153*'LCFS Table'!$BY153</f>
        <v>1</v>
      </c>
      <c r="BF153" s="137">
        <f>'LCFS Table'!$AV153*'LCFS Table'!$BZ153</f>
        <v>2.2507999999999999</v>
      </c>
      <c r="BG153" s="137">
        <f>'LCFS Table'!$AW153*'LCFS Table'!$CA153</f>
        <v>0</v>
      </c>
      <c r="BH153" s="137">
        <f>'LCFS Table'!$AX153*'LCFS Table'!$CB153</f>
        <v>0.83962867969499977</v>
      </c>
      <c r="BI153" s="137">
        <f>'LCFS Table'!$AY153*'LCFS Table'!$CC153</f>
        <v>0</v>
      </c>
      <c r="BJ153" s="137">
        <f>'LCFS Table'!$AZ153*'LCFS Table'!$CD153</f>
        <v>1</v>
      </c>
      <c r="BK153" s="137">
        <f>'LCFS Table'!$BA153*'LCFS Table'!$CE153</f>
        <v>1.9860000000000002</v>
      </c>
      <c r="BL153" s="137">
        <f>'LCFS Table'!$BB153*'LCFS Table'!$CF153</f>
        <v>-1.2</v>
      </c>
      <c r="BM153" s="137">
        <f>'LCFS Table'!$AS153*'LCFS Table'!$CG153</f>
        <v>0</v>
      </c>
      <c r="BN153" s="137">
        <f>'LCFS Table'!$AT153*'LCFS Table'!$CH153</f>
        <v>0.16</v>
      </c>
      <c r="BO153" s="137">
        <f>'LCFS Table'!$AU153*'LCFS Table'!$CI153</f>
        <v>0</v>
      </c>
      <c r="BP153" s="137">
        <f>'LCFS Table'!$AV153*'LCFS Table'!$CJ153</f>
        <v>0</v>
      </c>
      <c r="BQ153" s="137">
        <f>'LCFS Table'!$AW153*'LCFS Table'!$CK153</f>
        <v>0</v>
      </c>
      <c r="BR153" s="137">
        <f>'LCFS Table'!$AX153*'LCFS Table'!$CL153</f>
        <v>0</v>
      </c>
      <c r="BS153" s="137">
        <f>'LCFS Table'!$AY153*'LCFS Table'!$CM153</f>
        <v>0</v>
      </c>
      <c r="BT153" s="137">
        <f>'LCFS Table'!$AZ153*'LCFS Table'!$CN153</f>
        <v>0</v>
      </c>
      <c r="BU153" s="137">
        <f>'LCFS Table'!$BA153*'LCFS Table'!$CO153</f>
        <v>0</v>
      </c>
      <c r="BV153" s="142">
        <f>'LCFS Table'!$BB153*'LCFS Table'!$CP153</f>
        <v>1.2</v>
      </c>
      <c r="BW153" s="138">
        <v>1</v>
      </c>
      <c r="BX153" s="138">
        <v>0</v>
      </c>
      <c r="BY153" s="138">
        <v>1</v>
      </c>
      <c r="BZ153" s="138">
        <v>1</v>
      </c>
      <c r="CA153" s="138">
        <v>-1</v>
      </c>
      <c r="CB153" s="138">
        <v>1</v>
      </c>
      <c r="CC153" s="138">
        <v>0</v>
      </c>
      <c r="CD153" s="138">
        <v>1</v>
      </c>
      <c r="CE153" s="138">
        <v>1</v>
      </c>
      <c r="CF153" s="138">
        <v>-1</v>
      </c>
      <c r="CG153" s="138">
        <f>1-'LCFS Table'!$BW153</f>
        <v>0</v>
      </c>
      <c r="CH153" s="138">
        <f>1-'LCFS Table'!$BX153</f>
        <v>1</v>
      </c>
      <c r="CI153" s="138">
        <f>1-'LCFS Table'!$BY153</f>
        <v>0</v>
      </c>
      <c r="CJ153" s="138">
        <f>1-'LCFS Table'!$BZ153</f>
        <v>0</v>
      </c>
      <c r="CK153" s="138">
        <f>-'LCFS Table'!$CA153</f>
        <v>1</v>
      </c>
      <c r="CL153" s="138">
        <f>1-'LCFS Table'!$CB153</f>
        <v>0</v>
      </c>
      <c r="CM153" s="138">
        <f>1-'LCFS Table'!$CC153</f>
        <v>1</v>
      </c>
      <c r="CN153" s="138">
        <f>1-'LCFS Table'!$CD153</f>
        <v>0</v>
      </c>
      <c r="CO153" s="138">
        <f>1-'LCFS Table'!$CE153</f>
        <v>0</v>
      </c>
      <c r="CP153" s="138">
        <f>-'LCFS Table'!$CF153</f>
        <v>1</v>
      </c>
      <c r="CQ153" s="140">
        <v>27.5</v>
      </c>
      <c r="CR153" s="165">
        <f>('LCFS Table'!$CQ153*0.9/(0.8/0.99)/100)</f>
        <v>0.30628124999999995</v>
      </c>
      <c r="CS153" s="166"/>
      <c r="CT153" s="167"/>
      <c r="CW153" s="168">
        <f>'LCFS Table'!$K153-'LCFS Table'!$M153</f>
        <v>-0.14017132030499946</v>
      </c>
      <c r="CX153" s="129">
        <f>MONTH('LCFS Table'!$B153)</f>
        <v>11</v>
      </c>
      <c r="CY153" s="129">
        <f>YEAR('LCFS Table'!$B153)</f>
        <v>2021</v>
      </c>
    </row>
    <row r="154" spans="1:103">
      <c r="A154" s="148">
        <v>44521</v>
      </c>
      <c r="B154" s="149">
        <v>44527</v>
      </c>
      <c r="C154" s="132">
        <f>YEAR(B154)</f>
        <v>2021</v>
      </c>
      <c r="D154" s="150" t="s">
        <v>303</v>
      </c>
      <c r="E154" s="187">
        <f>'LCFS Table'!$K154-'LCFS Table'!$I154</f>
        <v>-2.6283974117647064</v>
      </c>
      <c r="F154" s="187">
        <f>('LCFS Table'!$M154)-'LCFS Table'!$J154</f>
        <v>-3.8983995504999998</v>
      </c>
      <c r="G154" s="188">
        <f>'LCFS Table'!$E154+'LCFS Table'!$AS154+'LCFS Table'!$AT154+'LCFS Table'!$AU154+'LCFS Table'!$AV154</f>
        <v>1.9947067750982024</v>
      </c>
      <c r="H154" s="188">
        <f>'LCFS Table'!$F154+'LCFS Table'!$AX154+'LCFS Table'!$AY154+'LCFS Table'!$AZ154+'LCFS Table'!$BA154+('LCFS Table'!$CQ154*0.9/(0.8/0.99)/100)+(DG154*'LCFS Table'!$AF154)+(DF154*'LCFS Table'!$AG154)</f>
        <v>0.21626172656249965</v>
      </c>
      <c r="I154" s="187">
        <f>('LCFS Table'!$V154+'LCFS Table'!$W154+'LCFS Table'!$X154)/100+(('LCFS Table'!$AI154+'LCFS Table'!$AJ154)/340)</f>
        <v>5.0025974117647065</v>
      </c>
      <c r="J154" s="187">
        <f>(('LCFS Table'!$Y154+'LCFS Table'!$Z154)/100)+(('LCFS Table'!$AM154+'LCFS Table'!$AN154)/300)</f>
        <v>6.4066865234375001</v>
      </c>
      <c r="K154" s="190">
        <f>'[1]Fuel Values'!$C153</f>
        <v>2.3742000000000001</v>
      </c>
      <c r="L154" s="190">
        <f>'[1]Fuel Values'!$B153</f>
        <v>631.66669999999999</v>
      </c>
      <c r="M154" s="185">
        <f>('LCFS Table'!$L154/100)-'LCFS Table'!$AX154-'LCFS Table'!$AY154-'LCFS Table'!$AZ154-'LCFS Table'!$BA154</f>
        <v>2.5082869729375004</v>
      </c>
      <c r="N154" s="190">
        <f>[1]BFT!$B153</f>
        <v>60.333300000000001</v>
      </c>
      <c r="O154" s="190">
        <f>[1]UCO!$B153</f>
        <v>57.5</v>
      </c>
      <c r="P154" s="190">
        <f>[1]DCO!$B153</f>
        <v>57</v>
      </c>
      <c r="Q154" s="190">
        <f>'[1]Soybean Oil'!$B153</f>
        <v>77.877499999999998</v>
      </c>
      <c r="R154" s="190">
        <f>'[1]Yellow Grease'!$B153</f>
        <v>54</v>
      </c>
      <c r="S154" s="185">
        <f>'LCFS Table'!$N154 + 'LCFS Table'!$AH154</f>
        <v>64.708300000000008</v>
      </c>
      <c r="T154" s="185">
        <f>'LCFS Table'!$Q154+'LCFS Table'!$AH154</f>
        <v>82.252499999999998</v>
      </c>
      <c r="U154" s="185">
        <f>'LCFS Table'!$P154+'LCFS Table'!$AH154</f>
        <v>61.375</v>
      </c>
      <c r="V154" s="185">
        <f>(('LCFS Table'!$S154/'LCFS Table'!$AA154)*'LCFS Table'!$AC154)*6.48</f>
        <v>223.03711914893623</v>
      </c>
      <c r="W154" s="185">
        <f>(('LCFS Table'!$O154/'LCFS Table'!$AA154)*'LCFS Table'!$AD154)*6.48</f>
        <v>99.095744680851084</v>
      </c>
      <c r="X154" s="185">
        <f>(('LCFS Table'!$U154/'LCFS Table'!$AA154)*'LCFS Table'!$AE154)*6.48</f>
        <v>105.77393617021278</v>
      </c>
      <c r="Y154" s="185">
        <f>(('LCFS Table'!$T154/'LCFS Table'!$AB154)*'LCFS Table'!$AF154)*7.35</f>
        <v>472.30927734374995</v>
      </c>
      <c r="Z154" s="185">
        <f>(('LCFS Table'!$R154/'LCFS Table'!$AB154)*'LCFS Table'!$AG154)*7.35</f>
        <v>103.359375</v>
      </c>
      <c r="AA154" s="138">
        <v>0.94</v>
      </c>
      <c r="AB154" s="138">
        <v>0.96</v>
      </c>
      <c r="AC154" s="138">
        <v>0.5</v>
      </c>
      <c r="AD154" s="138">
        <v>0.25</v>
      </c>
      <c r="AE154" s="138">
        <v>0.25</v>
      </c>
      <c r="AF154" s="138">
        <v>0.75</v>
      </c>
      <c r="AG154" s="138">
        <v>0.25</v>
      </c>
      <c r="AH154" s="139">
        <v>4.375</v>
      </c>
      <c r="AI154" s="139">
        <v>136</v>
      </c>
      <c r="AJ154" s="139">
        <v>110</v>
      </c>
      <c r="AK154" s="186">
        <f>('LCFS Table'!$AI154/340)*100</f>
        <v>40</v>
      </c>
      <c r="AL154" s="186">
        <f>('LCFS Table'!$AJ154/340)*100</f>
        <v>32.352941176470587</v>
      </c>
      <c r="AM154" s="139">
        <v>105</v>
      </c>
      <c r="AN154" s="139">
        <v>90</v>
      </c>
      <c r="AO154" s="139">
        <f>('LCFS Table'!$AM154/300)*100</f>
        <v>35</v>
      </c>
      <c r="AP154" s="139">
        <f>('LCFS Table'!$AN154/300)*100</f>
        <v>30</v>
      </c>
      <c r="AQ154" s="140">
        <f>'[1]LCFS Values'!$B153</f>
        <v>142.5</v>
      </c>
      <c r="AR154" s="140">
        <f>'[1]RIN Values'!$B153/100</f>
        <v>1.3266669999999998</v>
      </c>
      <c r="AS154" s="185">
        <v>1.2077702868629092</v>
      </c>
      <c r="AT154" s="137">
        <v>0.16</v>
      </c>
      <c r="AU154" s="137">
        <v>1</v>
      </c>
      <c r="AV154" s="185">
        <f>'LCFS Table'!$AR154*1.7</f>
        <v>2.2553338999999997</v>
      </c>
      <c r="AW154" s="137">
        <v>0</v>
      </c>
      <c r="AX154" s="185">
        <v>0.81837952706249983</v>
      </c>
      <c r="AY154" s="137">
        <v>0</v>
      </c>
      <c r="AZ154" s="141">
        <v>1</v>
      </c>
      <c r="BA154" s="185">
        <f>'LCFS Table'!$AR154*1.5</f>
        <v>1.9900004999999998</v>
      </c>
      <c r="BB154" s="142">
        <v>1.2</v>
      </c>
      <c r="BC154" s="185">
        <f>'LCFS Table'!$AS154*'LCFS Table'!$BW154</f>
        <v>1.2077702868629092</v>
      </c>
      <c r="BD154" s="185">
        <f>'LCFS Table'!$AT154*'LCFS Table'!$BX154</f>
        <v>0</v>
      </c>
      <c r="BE154" s="185">
        <f>'LCFS Table'!$AU154*'LCFS Table'!$BY154</f>
        <v>1</v>
      </c>
      <c r="BF154" s="137">
        <f>'LCFS Table'!$AV154*'LCFS Table'!$BZ154</f>
        <v>2.2553338999999997</v>
      </c>
      <c r="BG154" s="137">
        <f>'LCFS Table'!$AW154*'LCFS Table'!$CA154</f>
        <v>0</v>
      </c>
      <c r="BH154" s="137">
        <f>'LCFS Table'!$AX154*'LCFS Table'!$CB154</f>
        <v>0.81837952706249983</v>
      </c>
      <c r="BI154" s="137">
        <f>'LCFS Table'!$AY154*'LCFS Table'!$CC154</f>
        <v>0</v>
      </c>
      <c r="BJ154" s="137">
        <f>'LCFS Table'!$AZ154*'LCFS Table'!$CD154</f>
        <v>1</v>
      </c>
      <c r="BK154" s="137">
        <f>'LCFS Table'!$BA154*'LCFS Table'!$CE154</f>
        <v>1.9900004999999998</v>
      </c>
      <c r="BL154" s="137">
        <f>'LCFS Table'!$BB154*'LCFS Table'!$CF154</f>
        <v>-1.2</v>
      </c>
      <c r="BM154" s="137">
        <f>'LCFS Table'!$AS154*'LCFS Table'!$CG154</f>
        <v>0</v>
      </c>
      <c r="BN154" s="137">
        <f>'LCFS Table'!$AT154*'LCFS Table'!$CH154</f>
        <v>0.16</v>
      </c>
      <c r="BO154" s="137">
        <f>'LCFS Table'!$AU154*'LCFS Table'!$CI154</f>
        <v>0</v>
      </c>
      <c r="BP154" s="137">
        <f>'LCFS Table'!$AV154*'LCFS Table'!$CJ154</f>
        <v>0</v>
      </c>
      <c r="BQ154" s="137">
        <f>'LCFS Table'!$AW154*'LCFS Table'!$CK154</f>
        <v>0</v>
      </c>
      <c r="BR154" s="137">
        <f>'LCFS Table'!$AX154*'LCFS Table'!$CL154</f>
        <v>0</v>
      </c>
      <c r="BS154" s="137">
        <f>'LCFS Table'!$AY154*'LCFS Table'!$CM154</f>
        <v>0</v>
      </c>
      <c r="BT154" s="137">
        <f>'LCFS Table'!$AZ154*'LCFS Table'!$CN154</f>
        <v>0</v>
      </c>
      <c r="BU154" s="137">
        <f>'LCFS Table'!$BA154*'LCFS Table'!$CO154</f>
        <v>0</v>
      </c>
      <c r="BV154" s="142">
        <f>'LCFS Table'!$BB154*'LCFS Table'!$CP154</f>
        <v>1.2</v>
      </c>
      <c r="BW154" s="138">
        <v>1</v>
      </c>
      <c r="BX154" s="138">
        <v>0</v>
      </c>
      <c r="BY154" s="138">
        <v>1</v>
      </c>
      <c r="BZ154" s="138">
        <v>1</v>
      </c>
      <c r="CA154" s="138">
        <v>-1</v>
      </c>
      <c r="CB154" s="138">
        <v>1</v>
      </c>
      <c r="CC154" s="138">
        <v>0</v>
      </c>
      <c r="CD154" s="138">
        <v>1</v>
      </c>
      <c r="CE154" s="138">
        <v>1</v>
      </c>
      <c r="CF154" s="138">
        <v>-1</v>
      </c>
      <c r="CG154" s="138">
        <f>1-'LCFS Table'!$BW154</f>
        <v>0</v>
      </c>
      <c r="CH154" s="138">
        <f>1-'LCFS Table'!$BX154</f>
        <v>1</v>
      </c>
      <c r="CI154" s="138">
        <f>1-'LCFS Table'!$BY154</f>
        <v>0</v>
      </c>
      <c r="CJ154" s="138">
        <f>1-'LCFS Table'!$BZ154</f>
        <v>0</v>
      </c>
      <c r="CK154" s="138">
        <f>-'LCFS Table'!$CA154</f>
        <v>1</v>
      </c>
      <c r="CL154" s="138">
        <f>1-'LCFS Table'!$CB154</f>
        <v>0</v>
      </c>
      <c r="CM154" s="138">
        <f>1-'LCFS Table'!$CC154</f>
        <v>1</v>
      </c>
      <c r="CN154" s="138">
        <f>1-'LCFS Table'!$CD154</f>
        <v>0</v>
      </c>
      <c r="CO154" s="138">
        <f>1-'LCFS Table'!$CE154</f>
        <v>0</v>
      </c>
      <c r="CP154" s="138">
        <f>-'LCFS Table'!$CF154</f>
        <v>1</v>
      </c>
      <c r="CQ154" s="140">
        <v>27.5</v>
      </c>
      <c r="CR154" s="165">
        <f>('LCFS Table'!$CQ154*0.9/(0.8/0.99)/100)</f>
        <v>0.30628124999999995</v>
      </c>
      <c r="CS154" s="166"/>
      <c r="CT154" s="167"/>
      <c r="CW154" s="168">
        <f>'LCFS Table'!$K154-'LCFS Table'!$M154</f>
        <v>-0.13408697293750027</v>
      </c>
      <c r="CX154" s="129">
        <f>MONTH('LCFS Table'!$B154)</f>
        <v>11</v>
      </c>
      <c r="CY154" s="129">
        <f>YEAR('LCFS Table'!$B154)</f>
        <v>2021</v>
      </c>
    </row>
    <row r="155" spans="1:103">
      <c r="A155" s="148">
        <v>44528</v>
      </c>
      <c r="B155" s="149">
        <v>44534</v>
      </c>
      <c r="C155" s="132">
        <f t="shared" ref="C155:C190" si="3">YEAR(B155)</f>
        <v>2021</v>
      </c>
      <c r="D155" s="182" t="s">
        <v>304</v>
      </c>
      <c r="E155" s="187">
        <f>'LCFS Table'!$K155-'LCFS Table'!$I155</f>
        <v>-2.7528538798498134</v>
      </c>
      <c r="F155" s="187">
        <f>('LCFS Table'!$M155)-'LCFS Table'!$J155</f>
        <v>-3.7032318563525002</v>
      </c>
      <c r="G155" s="188">
        <f>'LCFS Table'!$E155+'LCFS Table'!$AS155+'LCFS Table'!$AT155+'LCFS Table'!$AU155+'LCFS Table'!$AV155</f>
        <v>1.8401822203577134</v>
      </c>
      <c r="H155" s="188">
        <f>'LCFS Table'!$F155+'LCFS Table'!$AX155+'LCFS Table'!$AY155+'LCFS Table'!$AZ155+'LCFS Table'!$BA155+('LCFS Table'!$CQ155*0.9/(0.8/0.99)/100)+(DG155*'LCFS Table'!$AF155)+(DF155*'LCFS Table'!$AG155)</f>
        <v>0.38246914062499948</v>
      </c>
      <c r="I155" s="187">
        <f>('LCFS Table'!$V155+'LCFS Table'!$W155+'LCFS Table'!$X155)/100+(('LCFS Table'!$AI155+'LCFS Table'!$AJ155)/340)</f>
        <v>4.8618538798498134</v>
      </c>
      <c r="J155" s="187">
        <f>(('LCFS Table'!$Y155+'LCFS Table'!$Z155)/100)+(('LCFS Table'!$AM155+'LCFS Table'!$AN155)/300)</f>
        <v>6.1738121093750005</v>
      </c>
      <c r="K155" s="190">
        <f>'[1]Fuel Values'!$C154</f>
        <v>2.109</v>
      </c>
      <c r="L155" s="190">
        <f>'[1]Fuel Values'!$B154</f>
        <v>625</v>
      </c>
      <c r="M155" s="185">
        <f>('LCFS Table'!$L155/100)-'LCFS Table'!$AX155-'LCFS Table'!$AY155-'LCFS Table'!$AZ155-'LCFS Table'!$BA155</f>
        <v>2.4705802530225003</v>
      </c>
      <c r="N155" s="190">
        <f>[1]BFT!$B154</f>
        <v>57.4</v>
      </c>
      <c r="O155" s="190">
        <f>[1]UCO!$B154</f>
        <v>58.1</v>
      </c>
      <c r="P155" s="190">
        <f>[1]DCO!$B154</f>
        <v>54.1</v>
      </c>
      <c r="Q155" s="190">
        <f>'[1]Soybean Oil'!$B154</f>
        <v>74.421999999999997</v>
      </c>
      <c r="R155" s="190">
        <f>'[1]Yellow Grease'!$B154</f>
        <v>52.2</v>
      </c>
      <c r="S155" s="185">
        <f>'LCFS Table'!$N155 + 'LCFS Table'!$AH155</f>
        <v>61.774999999999999</v>
      </c>
      <c r="T155" s="185">
        <f>'LCFS Table'!$Q155+'LCFS Table'!$AH155</f>
        <v>78.796999999999997</v>
      </c>
      <c r="U155" s="185">
        <f>'LCFS Table'!$P155+'LCFS Table'!$AH155</f>
        <v>58.475000000000001</v>
      </c>
      <c r="V155" s="185">
        <f>(('LCFS Table'!$S155/'LCFS Table'!$AA155)*'LCFS Table'!$AC155)*6.48</f>
        <v>212.9265957446809</v>
      </c>
      <c r="W155" s="185">
        <f>(('LCFS Table'!$O155/'LCFS Table'!$AA155)*'LCFS Table'!$AD155)*6.48</f>
        <v>100.12978723404257</v>
      </c>
      <c r="X155" s="185">
        <f>(('LCFS Table'!$U155/'LCFS Table'!$AA155)*'LCFS Table'!$AE155)*6.48</f>
        <v>100.77606382978725</v>
      </c>
      <c r="Y155" s="185">
        <f>(('LCFS Table'!$T155/'LCFS Table'!$AB155)*'LCFS Table'!$AF155)*7.35</f>
        <v>452.46714843749999</v>
      </c>
      <c r="Z155" s="185">
        <f>(('LCFS Table'!$R155/'LCFS Table'!$AB155)*'LCFS Table'!$AG155)*7.35</f>
        <v>99.914062500000014</v>
      </c>
      <c r="AA155" s="138">
        <v>0.94</v>
      </c>
      <c r="AB155" s="138">
        <v>0.96</v>
      </c>
      <c r="AC155" s="138">
        <v>0.5</v>
      </c>
      <c r="AD155" s="138">
        <v>0.25</v>
      </c>
      <c r="AE155" s="138">
        <v>0.25</v>
      </c>
      <c r="AF155" s="138">
        <v>0.75</v>
      </c>
      <c r="AG155" s="138">
        <v>0.25</v>
      </c>
      <c r="AH155" s="139">
        <v>4.375</v>
      </c>
      <c r="AI155" s="139">
        <v>136</v>
      </c>
      <c r="AJ155" s="139">
        <v>110</v>
      </c>
      <c r="AK155" s="186">
        <f>('LCFS Table'!$AI155/340)*100</f>
        <v>40</v>
      </c>
      <c r="AL155" s="186">
        <f>('LCFS Table'!$AJ155/340)*100</f>
        <v>32.352941176470587</v>
      </c>
      <c r="AM155" s="139">
        <v>105</v>
      </c>
      <c r="AN155" s="139">
        <v>90</v>
      </c>
      <c r="AO155" s="139">
        <f>('LCFS Table'!$AM155/300)*100</f>
        <v>35</v>
      </c>
      <c r="AP155" s="139">
        <f>('LCFS Table'!$AN155/300)*100</f>
        <v>30</v>
      </c>
      <c r="AQ155" s="140">
        <f>'[1]LCFS Values'!$B154</f>
        <v>143.9</v>
      </c>
      <c r="AR155" s="140">
        <f>'[1]RIN Values'!$B154/100</f>
        <v>1.3019999999999998</v>
      </c>
      <c r="AS155" s="185">
        <v>1.2196361002075273</v>
      </c>
      <c r="AT155" s="137">
        <v>0.16</v>
      </c>
      <c r="AU155" s="137">
        <v>1</v>
      </c>
      <c r="AV155" s="185">
        <f>'LCFS Table'!$AR155*1.7</f>
        <v>2.2133999999999996</v>
      </c>
      <c r="AW155" s="137">
        <v>0</v>
      </c>
      <c r="AX155" s="185">
        <v>0.82641974697749987</v>
      </c>
      <c r="AY155" s="137">
        <v>0</v>
      </c>
      <c r="AZ155" s="141">
        <v>1</v>
      </c>
      <c r="BA155" s="185">
        <f>'LCFS Table'!$AR155*1.5</f>
        <v>1.9529999999999998</v>
      </c>
      <c r="BB155" s="142">
        <v>1.2</v>
      </c>
      <c r="BC155" s="185">
        <f>'LCFS Table'!$AS155*'LCFS Table'!$BW155</f>
        <v>1.2196361002075273</v>
      </c>
      <c r="BD155" s="185">
        <f>'LCFS Table'!$AT155*'LCFS Table'!$BX155</f>
        <v>0</v>
      </c>
      <c r="BE155" s="185">
        <f>'LCFS Table'!$AU155*'LCFS Table'!$BY155</f>
        <v>1</v>
      </c>
      <c r="BF155" s="137">
        <f>'LCFS Table'!$AV155*'LCFS Table'!$BZ155</f>
        <v>2.2133999999999996</v>
      </c>
      <c r="BG155" s="137">
        <f>'LCFS Table'!$AW155*'LCFS Table'!$CA155</f>
        <v>0</v>
      </c>
      <c r="BH155" s="137">
        <f>'LCFS Table'!$AX155*'LCFS Table'!$CB155</f>
        <v>0.82641974697749987</v>
      </c>
      <c r="BI155" s="137">
        <f>'LCFS Table'!$AY155*'LCFS Table'!$CC155</f>
        <v>0</v>
      </c>
      <c r="BJ155" s="137">
        <f>'LCFS Table'!$AZ155*'LCFS Table'!$CD155</f>
        <v>1</v>
      </c>
      <c r="BK155" s="137">
        <f>'LCFS Table'!$BA155*'LCFS Table'!$CE155</f>
        <v>1.9529999999999998</v>
      </c>
      <c r="BL155" s="137">
        <f>'LCFS Table'!$BB155*'LCFS Table'!$CF155</f>
        <v>-1.2</v>
      </c>
      <c r="BM155" s="137">
        <f>'LCFS Table'!$AS155*'LCFS Table'!$CG155</f>
        <v>0</v>
      </c>
      <c r="BN155" s="137">
        <f>'LCFS Table'!$AT155*'LCFS Table'!$CH155</f>
        <v>0.16</v>
      </c>
      <c r="BO155" s="137">
        <f>'LCFS Table'!$AU155*'LCFS Table'!$CI155</f>
        <v>0</v>
      </c>
      <c r="BP155" s="137">
        <f>'LCFS Table'!$AV155*'LCFS Table'!$CJ155</f>
        <v>0</v>
      </c>
      <c r="BQ155" s="137">
        <f>'LCFS Table'!$AW155*'LCFS Table'!$CK155</f>
        <v>0</v>
      </c>
      <c r="BR155" s="137">
        <f>'LCFS Table'!$AX155*'LCFS Table'!$CL155</f>
        <v>0</v>
      </c>
      <c r="BS155" s="137">
        <f>'LCFS Table'!$AY155*'LCFS Table'!$CM155</f>
        <v>0</v>
      </c>
      <c r="BT155" s="137">
        <f>'LCFS Table'!$AZ155*'LCFS Table'!$CN155</f>
        <v>0</v>
      </c>
      <c r="BU155" s="137">
        <f>'LCFS Table'!$BA155*'LCFS Table'!$CO155</f>
        <v>0</v>
      </c>
      <c r="BV155" s="142">
        <f>'LCFS Table'!$BB155*'LCFS Table'!$CP155</f>
        <v>1.2</v>
      </c>
      <c r="BW155" s="138">
        <v>1</v>
      </c>
      <c r="BX155" s="138">
        <v>0</v>
      </c>
      <c r="BY155" s="138">
        <v>1</v>
      </c>
      <c r="BZ155" s="138">
        <v>1</v>
      </c>
      <c r="CA155" s="138">
        <v>-1</v>
      </c>
      <c r="CB155" s="138">
        <v>1</v>
      </c>
      <c r="CC155" s="138">
        <v>0</v>
      </c>
      <c r="CD155" s="138">
        <v>1</v>
      </c>
      <c r="CE155" s="138">
        <v>1</v>
      </c>
      <c r="CF155" s="138">
        <v>-1</v>
      </c>
      <c r="CG155" s="138">
        <f>1-'LCFS Table'!$BW155</f>
        <v>0</v>
      </c>
      <c r="CH155" s="138">
        <f>1-'LCFS Table'!$BX155</f>
        <v>1</v>
      </c>
      <c r="CI155" s="138">
        <f>1-'LCFS Table'!$BY155</f>
        <v>0</v>
      </c>
      <c r="CJ155" s="138">
        <f>1-'LCFS Table'!$BZ155</f>
        <v>0</v>
      </c>
      <c r="CK155" s="138">
        <f>-'LCFS Table'!$CA155</f>
        <v>1</v>
      </c>
      <c r="CL155" s="138">
        <f>1-'LCFS Table'!$CB155</f>
        <v>0</v>
      </c>
      <c r="CM155" s="138">
        <f>1-'LCFS Table'!$CC155</f>
        <v>1</v>
      </c>
      <c r="CN155" s="138">
        <f>1-'LCFS Table'!$CD155</f>
        <v>0</v>
      </c>
      <c r="CO155" s="138">
        <f>1-'LCFS Table'!$CE155</f>
        <v>0</v>
      </c>
      <c r="CP155" s="138">
        <f>-'LCFS Table'!$CF155</f>
        <v>1</v>
      </c>
      <c r="CQ155" s="140">
        <v>27.5</v>
      </c>
      <c r="CR155" s="165">
        <f>('LCFS Table'!$CQ155*0.9/(0.8/0.99)/100)</f>
        <v>0.30628124999999995</v>
      </c>
      <c r="CS155" s="166"/>
      <c r="CT155" s="167"/>
      <c r="CW155" s="168">
        <f>'LCFS Table'!$K155-'LCFS Table'!$M155</f>
        <v>-0.3615802530225003</v>
      </c>
      <c r="CX155" s="129">
        <f>MONTH('LCFS Table'!$B155)</f>
        <v>12</v>
      </c>
      <c r="CY155" s="129">
        <f>YEAR('LCFS Table'!$B155)</f>
        <v>2021</v>
      </c>
    </row>
    <row r="156" spans="1:103">
      <c r="A156" s="148">
        <v>44535</v>
      </c>
      <c r="B156" s="149">
        <v>44541</v>
      </c>
      <c r="C156" s="132">
        <f t="shared" si="3"/>
        <v>2021</v>
      </c>
      <c r="D156" s="150" t="s">
        <v>305</v>
      </c>
      <c r="E156" s="187">
        <f>'LCFS Table'!$K156-'LCFS Table'!$I156</f>
        <v>-2.5666283479349192</v>
      </c>
      <c r="F156" s="187">
        <f>('LCFS Table'!$M156)-'LCFS Table'!$J156</f>
        <v>-3.7367337454550009</v>
      </c>
      <c r="G156" s="188">
        <f>'LCFS Table'!$E156+'LCFS Table'!$AS156+'LCFS Table'!$AT156+'LCFS Table'!$AU156+'LCFS Table'!$AV156</f>
        <v>2.0457404228205371</v>
      </c>
      <c r="H156" s="188">
        <f>'LCFS Table'!$F156+'LCFS Table'!$AX156+'LCFS Table'!$AY156+'LCFS Table'!$AZ156+'LCFS Table'!$BA156+('LCFS Table'!$CQ156*0.9/(0.8/0.99)/100)+(DG156*'LCFS Table'!$AF156)+(DF156*'LCFS Table'!$AG156)</f>
        <v>0.35614882812499915</v>
      </c>
      <c r="I156" s="187">
        <f>('LCFS Table'!$V156+'LCFS Table'!$W156+'LCFS Table'!$X156)/100+(('LCFS Table'!$AI156+'LCFS Table'!$AJ156)/340)</f>
        <v>4.8084283479349192</v>
      </c>
      <c r="J156" s="187">
        <f>(('LCFS Table'!$Y156+'LCFS Table'!$Z156)/100)+(('LCFS Table'!$AM156+'LCFS Table'!$AN156)/300)</f>
        <v>6.115701171875001</v>
      </c>
      <c r="K156" s="190">
        <f>'[1]Fuel Values'!$C155</f>
        <v>2.2418</v>
      </c>
      <c r="L156" s="190">
        <f>'[1]Fuel Values'!$B155</f>
        <v>616</v>
      </c>
      <c r="M156" s="185">
        <f>('LCFS Table'!$L156/100)-'LCFS Table'!$AX156-'LCFS Table'!$AY156-'LCFS Table'!$AZ156-'LCFS Table'!$BA156</f>
        <v>2.37896742642</v>
      </c>
      <c r="N156" s="190">
        <f>[1]BFT!$B155</f>
        <v>55.8</v>
      </c>
      <c r="O156" s="190">
        <f>[1]UCO!$B155</f>
        <v>59.8</v>
      </c>
      <c r="P156" s="190">
        <f>[1]DCO!$B155</f>
        <v>52.5</v>
      </c>
      <c r="Q156" s="190">
        <f>'[1]Soybean Oil'!$B155</f>
        <v>73.81</v>
      </c>
      <c r="R156" s="190">
        <f>'[1]Yellow Grease'!$B155</f>
        <v>51</v>
      </c>
      <c r="S156" s="185">
        <f>'LCFS Table'!$N156 + 'LCFS Table'!$AH156</f>
        <v>60.174999999999997</v>
      </c>
      <c r="T156" s="185">
        <f>'LCFS Table'!$Q156+'LCFS Table'!$AH156</f>
        <v>78.185000000000002</v>
      </c>
      <c r="U156" s="185">
        <f>'LCFS Table'!$P156+'LCFS Table'!$AH156</f>
        <v>56.875</v>
      </c>
      <c r="V156" s="185">
        <f>(('LCFS Table'!$S156/'LCFS Table'!$AA156)*'LCFS Table'!$AC156)*6.48</f>
        <v>207.41170212765959</v>
      </c>
      <c r="W156" s="185">
        <f>(('LCFS Table'!$O156/'LCFS Table'!$AA156)*'LCFS Table'!$AD156)*6.48</f>
        <v>103.05957446808512</v>
      </c>
      <c r="X156" s="185">
        <f>(('LCFS Table'!$U156/'LCFS Table'!$AA156)*'LCFS Table'!$AE156)*6.48</f>
        <v>98.018617021276611</v>
      </c>
      <c r="Y156" s="185">
        <f>(('LCFS Table'!$T156/'LCFS Table'!$AB156)*'LCFS Table'!$AF156)*7.35</f>
        <v>448.95292968750005</v>
      </c>
      <c r="Z156" s="185">
        <f>(('LCFS Table'!$R156/'LCFS Table'!$AB156)*'LCFS Table'!$AG156)*7.35</f>
        <v>97.6171875</v>
      </c>
      <c r="AA156" s="138">
        <v>0.94</v>
      </c>
      <c r="AB156" s="138">
        <v>0.96</v>
      </c>
      <c r="AC156" s="138">
        <v>0.5</v>
      </c>
      <c r="AD156" s="138">
        <v>0.25</v>
      </c>
      <c r="AE156" s="138">
        <v>0.25</v>
      </c>
      <c r="AF156" s="138">
        <v>0.75</v>
      </c>
      <c r="AG156" s="138">
        <v>0.25</v>
      </c>
      <c r="AH156" s="139">
        <v>4.375</v>
      </c>
      <c r="AI156" s="139">
        <v>136</v>
      </c>
      <c r="AJ156" s="139">
        <v>110</v>
      </c>
      <c r="AK156" s="186">
        <f>('LCFS Table'!$AI156/340)*100</f>
        <v>40</v>
      </c>
      <c r="AL156" s="186">
        <f>('LCFS Table'!$AJ156/340)*100</f>
        <v>32.352941176470587</v>
      </c>
      <c r="AM156" s="139">
        <v>105</v>
      </c>
      <c r="AN156" s="139">
        <v>90</v>
      </c>
      <c r="AO156" s="139">
        <f>('LCFS Table'!$AM156/300)*100</f>
        <v>35</v>
      </c>
      <c r="AP156" s="139">
        <f>('LCFS Table'!$AN156/300)*100</f>
        <v>30</v>
      </c>
      <c r="AQ156" s="140">
        <f>'[1]LCFS Values'!$B155</f>
        <v>152.80000000000001</v>
      </c>
      <c r="AR156" s="140">
        <f>'[1]RIN Values'!$B155/100</f>
        <v>1.2690000000000001</v>
      </c>
      <c r="AS156" s="185">
        <v>1.2950687707554565</v>
      </c>
      <c r="AT156" s="137">
        <v>0.16</v>
      </c>
      <c r="AU156" s="137">
        <v>1</v>
      </c>
      <c r="AV156" s="185">
        <f>'LCFS Table'!$AR156*1.7</f>
        <v>2.1573000000000002</v>
      </c>
      <c r="AW156" s="137">
        <v>0</v>
      </c>
      <c r="AX156" s="185">
        <v>0.87753257357999992</v>
      </c>
      <c r="AY156" s="137">
        <v>0</v>
      </c>
      <c r="AZ156" s="141">
        <v>1</v>
      </c>
      <c r="BA156" s="185">
        <f>'LCFS Table'!$AR156*1.5</f>
        <v>1.9035000000000002</v>
      </c>
      <c r="BB156" s="142">
        <v>1.2</v>
      </c>
      <c r="BC156" s="185">
        <f>'LCFS Table'!$AS156*'LCFS Table'!$BW156</f>
        <v>1.2950687707554565</v>
      </c>
      <c r="BD156" s="185">
        <f>'LCFS Table'!$AT156*'LCFS Table'!$BX156</f>
        <v>0</v>
      </c>
      <c r="BE156" s="185">
        <f>'LCFS Table'!$AU156*'LCFS Table'!$BY156</f>
        <v>1</v>
      </c>
      <c r="BF156" s="137">
        <f>'LCFS Table'!$AV156*'LCFS Table'!$BZ156</f>
        <v>2.1573000000000002</v>
      </c>
      <c r="BG156" s="137">
        <f>'LCFS Table'!$AW156*'LCFS Table'!$CA156</f>
        <v>0</v>
      </c>
      <c r="BH156" s="137">
        <f>'LCFS Table'!$AX156*'LCFS Table'!$CB156</f>
        <v>0.87753257357999992</v>
      </c>
      <c r="BI156" s="137">
        <f>'LCFS Table'!$AY156*'LCFS Table'!$CC156</f>
        <v>0</v>
      </c>
      <c r="BJ156" s="137">
        <f>'LCFS Table'!$AZ156*'LCFS Table'!$CD156</f>
        <v>1</v>
      </c>
      <c r="BK156" s="137">
        <f>'LCFS Table'!$BA156*'LCFS Table'!$CE156</f>
        <v>1.9035000000000002</v>
      </c>
      <c r="BL156" s="137">
        <f>'LCFS Table'!$BB156*'LCFS Table'!$CF156</f>
        <v>-1.2</v>
      </c>
      <c r="BM156" s="137">
        <f>'LCFS Table'!$AS156*'LCFS Table'!$CG156</f>
        <v>0</v>
      </c>
      <c r="BN156" s="137">
        <f>'LCFS Table'!$AT156*'LCFS Table'!$CH156</f>
        <v>0.16</v>
      </c>
      <c r="BO156" s="137">
        <f>'LCFS Table'!$AU156*'LCFS Table'!$CI156</f>
        <v>0</v>
      </c>
      <c r="BP156" s="137">
        <f>'LCFS Table'!$AV156*'LCFS Table'!$CJ156</f>
        <v>0</v>
      </c>
      <c r="BQ156" s="137">
        <f>'LCFS Table'!$AW156*'LCFS Table'!$CK156</f>
        <v>0</v>
      </c>
      <c r="BR156" s="137">
        <f>'LCFS Table'!$AX156*'LCFS Table'!$CL156</f>
        <v>0</v>
      </c>
      <c r="BS156" s="137">
        <f>'LCFS Table'!$AY156*'LCFS Table'!$CM156</f>
        <v>0</v>
      </c>
      <c r="BT156" s="137">
        <f>'LCFS Table'!$AZ156*'LCFS Table'!$CN156</f>
        <v>0</v>
      </c>
      <c r="BU156" s="137">
        <f>'LCFS Table'!$BA156*'LCFS Table'!$CO156</f>
        <v>0</v>
      </c>
      <c r="BV156" s="142">
        <f>'LCFS Table'!$BB156*'LCFS Table'!$CP156</f>
        <v>1.2</v>
      </c>
      <c r="BW156" s="138">
        <v>1</v>
      </c>
      <c r="BX156" s="138">
        <v>0</v>
      </c>
      <c r="BY156" s="138">
        <v>1</v>
      </c>
      <c r="BZ156" s="138">
        <v>1</v>
      </c>
      <c r="CA156" s="138">
        <v>-1</v>
      </c>
      <c r="CB156" s="138">
        <v>1</v>
      </c>
      <c r="CC156" s="138">
        <v>0</v>
      </c>
      <c r="CD156" s="138">
        <v>1</v>
      </c>
      <c r="CE156" s="138">
        <v>1</v>
      </c>
      <c r="CF156" s="138">
        <v>-1</v>
      </c>
      <c r="CG156" s="138">
        <f>1-'LCFS Table'!$BW156</f>
        <v>0</v>
      </c>
      <c r="CH156" s="138">
        <f>1-'LCFS Table'!$BX156</f>
        <v>1</v>
      </c>
      <c r="CI156" s="138">
        <f>1-'LCFS Table'!$BY156</f>
        <v>0</v>
      </c>
      <c r="CJ156" s="138">
        <f>1-'LCFS Table'!$BZ156</f>
        <v>0</v>
      </c>
      <c r="CK156" s="138">
        <f>-'LCFS Table'!$CA156</f>
        <v>1</v>
      </c>
      <c r="CL156" s="138">
        <f>1-'LCFS Table'!$CB156</f>
        <v>0</v>
      </c>
      <c r="CM156" s="138">
        <f>1-'LCFS Table'!$CC156</f>
        <v>1</v>
      </c>
      <c r="CN156" s="138">
        <f>1-'LCFS Table'!$CD156</f>
        <v>0</v>
      </c>
      <c r="CO156" s="138">
        <f>1-'LCFS Table'!$CE156</f>
        <v>0</v>
      </c>
      <c r="CP156" s="138">
        <f>-'LCFS Table'!$CF156</f>
        <v>1</v>
      </c>
      <c r="CQ156" s="140">
        <v>28</v>
      </c>
      <c r="CR156" s="165">
        <f>('LCFS Table'!$CQ156*0.9/(0.8/0.99)/100)</f>
        <v>0.31184999999999996</v>
      </c>
      <c r="CS156" s="166"/>
      <c r="CT156" s="167"/>
      <c r="CW156" s="168">
        <f>'LCFS Table'!$K156-'LCFS Table'!$M156</f>
        <v>-0.13716742642000002</v>
      </c>
      <c r="CX156" s="129">
        <f>MONTH('LCFS Table'!$B156)</f>
        <v>12</v>
      </c>
      <c r="CY156" s="129">
        <f>YEAR('LCFS Table'!$B156)</f>
        <v>2021</v>
      </c>
    </row>
    <row r="157" spans="1:103">
      <c r="A157" s="148">
        <v>44542</v>
      </c>
      <c r="B157" s="149">
        <v>44548</v>
      </c>
      <c r="C157" s="132">
        <f t="shared" si="3"/>
        <v>2021</v>
      </c>
      <c r="D157" s="182" t="s">
        <v>306</v>
      </c>
      <c r="E157" s="187">
        <f>'LCFS Table'!$K157-'LCFS Table'!$I157</f>
        <v>-2.5323602628285364</v>
      </c>
      <c r="F157" s="187">
        <f>('LCFS Table'!$M157)-'LCFS Table'!$J157</f>
        <v>-3.5789278467875012</v>
      </c>
      <c r="G157" s="188">
        <f>'LCFS Table'!$E157+'LCFS Table'!$AS157+'LCFS Table'!$AT157+'LCFS Table'!$AU157+'LCFS Table'!$AV157</f>
        <v>1.9398635097970214</v>
      </c>
      <c r="H157" s="188">
        <f>'LCFS Table'!$F157+'LCFS Table'!$AX157+'LCFS Table'!$AY157+'LCFS Table'!$AZ157+'LCFS Table'!$BA157+('LCFS Table'!$CQ157*0.9/(0.8/0.99)/100)+(DG157*'LCFS Table'!$AF157)+(DF157*'LCFS Table'!$AG157)</f>
        <v>0.39775976562499848</v>
      </c>
      <c r="I157" s="187">
        <f>('LCFS Table'!$V157+'LCFS Table'!$W157+'LCFS Table'!$X157)/100+(('LCFS Table'!$AI157+'LCFS Table'!$AJ157)/340)</f>
        <v>4.7739602628285365</v>
      </c>
      <c r="J157" s="187">
        <f>(('LCFS Table'!$Y157+'LCFS Table'!$Z157)/100)+(('LCFS Table'!$AM157+'LCFS Table'!$AN157)/300)</f>
        <v>5.9840902343750013</v>
      </c>
      <c r="K157" s="190">
        <f>'[1]Fuel Values'!$C156</f>
        <v>2.2416</v>
      </c>
      <c r="L157" s="190">
        <f>'[1]Fuel Values'!$B156</f>
        <v>607</v>
      </c>
      <c r="M157" s="185">
        <f>('LCFS Table'!$L157/100)-'LCFS Table'!$AX157-'LCFS Table'!$AY157-'LCFS Table'!$AZ157-'LCFS Table'!$BA157</f>
        <v>2.4051623875875001</v>
      </c>
      <c r="N157" s="190">
        <f>[1]BFT!$B156</f>
        <v>54.6</v>
      </c>
      <c r="O157" s="190">
        <f>[1]UCO!$B156</f>
        <v>60</v>
      </c>
      <c r="P157" s="190">
        <f>[1]DCO!$B156</f>
        <v>52.7</v>
      </c>
      <c r="Q157" s="190">
        <f>'[1]Soybean Oil'!$B156</f>
        <v>71.518000000000001</v>
      </c>
      <c r="R157" s="190">
        <f>'[1]Yellow Grease'!$B156</f>
        <v>51</v>
      </c>
      <c r="S157" s="185">
        <f>'LCFS Table'!$N157 + 'LCFS Table'!$AH157</f>
        <v>58.975000000000001</v>
      </c>
      <c r="T157" s="185">
        <f>'LCFS Table'!$Q157+'LCFS Table'!$AH157</f>
        <v>75.893000000000001</v>
      </c>
      <c r="U157" s="185">
        <f>'LCFS Table'!$P157+'LCFS Table'!$AH157</f>
        <v>57.075000000000003</v>
      </c>
      <c r="V157" s="185">
        <f>(('LCFS Table'!$S157/'LCFS Table'!$AA157)*'LCFS Table'!$AC157)*6.48</f>
        <v>203.27553191489366</v>
      </c>
      <c r="W157" s="185">
        <f>(('LCFS Table'!$O157/'LCFS Table'!$AA157)*'LCFS Table'!$AD157)*6.48</f>
        <v>103.40425531914894</v>
      </c>
      <c r="X157" s="185">
        <f>(('LCFS Table'!$U157/'LCFS Table'!$AA157)*'LCFS Table'!$AE157)*6.48</f>
        <v>98.363297872340439</v>
      </c>
      <c r="Y157" s="185">
        <f>(('LCFS Table'!$T157/'LCFS Table'!$AB157)*'LCFS Table'!$AF157)*7.35</f>
        <v>435.79183593750003</v>
      </c>
      <c r="Z157" s="185">
        <f>(('LCFS Table'!$R157/'LCFS Table'!$AB157)*'LCFS Table'!$AG157)*7.35</f>
        <v>97.6171875</v>
      </c>
      <c r="AA157" s="138">
        <v>0.94</v>
      </c>
      <c r="AB157" s="138">
        <v>0.96</v>
      </c>
      <c r="AC157" s="138">
        <v>0.5</v>
      </c>
      <c r="AD157" s="138">
        <v>0.25</v>
      </c>
      <c r="AE157" s="138">
        <v>0.25</v>
      </c>
      <c r="AF157" s="138">
        <v>0.75</v>
      </c>
      <c r="AG157" s="138">
        <v>0.25</v>
      </c>
      <c r="AH157" s="139">
        <v>4.375</v>
      </c>
      <c r="AI157" s="139">
        <v>136</v>
      </c>
      <c r="AJ157" s="139">
        <v>110</v>
      </c>
      <c r="AK157" s="186">
        <f>('LCFS Table'!$AI157/340)*100</f>
        <v>40</v>
      </c>
      <c r="AL157" s="186">
        <f>('LCFS Table'!$AJ157/340)*100</f>
        <v>32.352941176470587</v>
      </c>
      <c r="AM157" s="139">
        <v>105</v>
      </c>
      <c r="AN157" s="139">
        <v>90</v>
      </c>
      <c r="AO157" s="139">
        <f>('LCFS Table'!$AM157/300)*100</f>
        <v>35</v>
      </c>
      <c r="AP157" s="139">
        <f>('LCFS Table'!$AN157/300)*100</f>
        <v>30</v>
      </c>
      <c r="AQ157" s="140">
        <f>'[1]LCFS Values'!$B156</f>
        <v>148.5</v>
      </c>
      <c r="AR157" s="140">
        <f>'[1]RIN Values'!$B156/100</f>
        <v>1.208</v>
      </c>
      <c r="AS157" s="185">
        <v>1.258623772625558</v>
      </c>
      <c r="AT157" s="137">
        <v>0.16</v>
      </c>
      <c r="AU157" s="137">
        <v>1</v>
      </c>
      <c r="AV157" s="185">
        <f>'LCFS Table'!$AR157*1.7</f>
        <v>2.0535999999999999</v>
      </c>
      <c r="AW157" s="137">
        <v>0</v>
      </c>
      <c r="AX157" s="185">
        <v>0.85283761241249989</v>
      </c>
      <c r="AY157" s="137">
        <v>0</v>
      </c>
      <c r="AZ157" s="141">
        <v>1</v>
      </c>
      <c r="BA157" s="185">
        <f>'LCFS Table'!$AR157*1.5</f>
        <v>1.8119999999999998</v>
      </c>
      <c r="BB157" s="142">
        <v>1.2</v>
      </c>
      <c r="BC157" s="185">
        <f>'LCFS Table'!$AS157*'LCFS Table'!$BW157</f>
        <v>1.258623772625558</v>
      </c>
      <c r="BD157" s="185">
        <f>'LCFS Table'!$AT157*'LCFS Table'!$BX157</f>
        <v>0</v>
      </c>
      <c r="BE157" s="185">
        <f>'LCFS Table'!$AU157*'LCFS Table'!$BY157</f>
        <v>1</v>
      </c>
      <c r="BF157" s="137">
        <f>'LCFS Table'!$AV157*'LCFS Table'!$BZ157</f>
        <v>2.0535999999999999</v>
      </c>
      <c r="BG157" s="137">
        <f>'LCFS Table'!$AW157*'LCFS Table'!$CA157</f>
        <v>0</v>
      </c>
      <c r="BH157" s="137">
        <f>'LCFS Table'!$AX157*'LCFS Table'!$CB157</f>
        <v>0.85283761241249989</v>
      </c>
      <c r="BI157" s="137">
        <f>'LCFS Table'!$AY157*'LCFS Table'!$CC157</f>
        <v>0</v>
      </c>
      <c r="BJ157" s="137">
        <f>'LCFS Table'!$AZ157*'LCFS Table'!$CD157</f>
        <v>1</v>
      </c>
      <c r="BK157" s="137">
        <f>'LCFS Table'!$BA157*'LCFS Table'!$CE157</f>
        <v>1.8119999999999998</v>
      </c>
      <c r="BL157" s="137">
        <f>'LCFS Table'!$BB157*'LCFS Table'!$CF157</f>
        <v>-1.2</v>
      </c>
      <c r="BM157" s="137">
        <f>'LCFS Table'!$AS157*'LCFS Table'!$CG157</f>
        <v>0</v>
      </c>
      <c r="BN157" s="137">
        <f>'LCFS Table'!$AT157*'LCFS Table'!$CH157</f>
        <v>0.16</v>
      </c>
      <c r="BO157" s="137">
        <f>'LCFS Table'!$AU157*'LCFS Table'!$CI157</f>
        <v>0</v>
      </c>
      <c r="BP157" s="137">
        <f>'LCFS Table'!$AV157*'LCFS Table'!$CJ157</f>
        <v>0</v>
      </c>
      <c r="BQ157" s="137">
        <f>'LCFS Table'!$AW157*'LCFS Table'!$CK157</f>
        <v>0</v>
      </c>
      <c r="BR157" s="137">
        <f>'LCFS Table'!$AX157*'LCFS Table'!$CL157</f>
        <v>0</v>
      </c>
      <c r="BS157" s="137">
        <f>'LCFS Table'!$AY157*'LCFS Table'!$CM157</f>
        <v>0</v>
      </c>
      <c r="BT157" s="137">
        <f>'LCFS Table'!$AZ157*'LCFS Table'!$CN157</f>
        <v>0</v>
      </c>
      <c r="BU157" s="137">
        <f>'LCFS Table'!$BA157*'LCFS Table'!$CO157</f>
        <v>0</v>
      </c>
      <c r="BV157" s="142">
        <f>'LCFS Table'!$BB157*'LCFS Table'!$CP157</f>
        <v>1.2</v>
      </c>
      <c r="BW157" s="138">
        <v>1</v>
      </c>
      <c r="BX157" s="138">
        <v>0</v>
      </c>
      <c r="BY157" s="138">
        <v>1</v>
      </c>
      <c r="BZ157" s="138">
        <v>1</v>
      </c>
      <c r="CA157" s="138">
        <v>-1</v>
      </c>
      <c r="CB157" s="138">
        <v>1</v>
      </c>
      <c r="CC157" s="138">
        <v>0</v>
      </c>
      <c r="CD157" s="138">
        <v>1</v>
      </c>
      <c r="CE157" s="138">
        <v>1</v>
      </c>
      <c r="CF157" s="138">
        <v>-1</v>
      </c>
      <c r="CG157" s="138">
        <f>1-'LCFS Table'!$BW157</f>
        <v>0</v>
      </c>
      <c r="CH157" s="138">
        <f>1-'LCFS Table'!$BX157</f>
        <v>1</v>
      </c>
      <c r="CI157" s="138">
        <f>1-'LCFS Table'!$BY157</f>
        <v>0</v>
      </c>
      <c r="CJ157" s="138">
        <f>1-'LCFS Table'!$BZ157</f>
        <v>0</v>
      </c>
      <c r="CK157" s="138">
        <f>-'LCFS Table'!$CA157</f>
        <v>1</v>
      </c>
      <c r="CL157" s="138">
        <f>1-'LCFS Table'!$CB157</f>
        <v>0</v>
      </c>
      <c r="CM157" s="138">
        <f>1-'LCFS Table'!$CC157</f>
        <v>1</v>
      </c>
      <c r="CN157" s="138">
        <f>1-'LCFS Table'!$CD157</f>
        <v>0</v>
      </c>
      <c r="CO157" s="138">
        <f>1-'LCFS Table'!$CE157</f>
        <v>0</v>
      </c>
      <c r="CP157" s="138">
        <f>-'LCFS Table'!$CF157</f>
        <v>1</v>
      </c>
      <c r="CQ157" s="140">
        <v>28</v>
      </c>
      <c r="CR157" s="165">
        <f>('LCFS Table'!$CQ157*0.9/(0.8/0.99)/100)</f>
        <v>0.31184999999999996</v>
      </c>
      <c r="CS157" s="166"/>
      <c r="CT157" s="167"/>
      <c r="CW157" s="168">
        <f>'LCFS Table'!$K157-'LCFS Table'!$M157</f>
        <v>-0.16356238758750008</v>
      </c>
      <c r="CX157" s="129">
        <f>MONTH('LCFS Table'!$B157)</f>
        <v>12</v>
      </c>
      <c r="CY157" s="129">
        <f>YEAR('LCFS Table'!$B157)</f>
        <v>2021</v>
      </c>
    </row>
    <row r="158" spans="1:103">
      <c r="A158" s="148">
        <v>44549</v>
      </c>
      <c r="B158" s="149">
        <v>44555</v>
      </c>
      <c r="C158" s="132">
        <f t="shared" si="3"/>
        <v>2021</v>
      </c>
      <c r="D158" s="150" t="s">
        <v>307</v>
      </c>
      <c r="E158" s="187">
        <f>'LCFS Table'!$K158-'LCFS Table'!$I158</f>
        <v>-2.5391145181476853</v>
      </c>
      <c r="F158" s="187">
        <f>('LCFS Table'!$M158)-'LCFS Table'!$J158</f>
        <v>-3.7239754007187496</v>
      </c>
      <c r="G158" s="188">
        <f>'LCFS Table'!$E158+'LCFS Table'!$AS158+'LCFS Table'!$AT158+'LCFS Table'!$AU158+'LCFS Table'!$AV158</f>
        <v>2.0236891973168794</v>
      </c>
      <c r="H158" s="188">
        <f>'LCFS Table'!$F158+'LCFS Table'!$AX158+'LCFS Table'!$AY158+'LCFS Table'!$AZ158+'LCFS Table'!$BA158+('LCFS Table'!$CQ158*0.9/(0.8/0.99)/100)+(DG158*'LCFS Table'!$AF158)+(DF158*'LCFS Table'!$AG158)</f>
        <v>0.33654042968749986</v>
      </c>
      <c r="I158" s="187">
        <f>('LCFS Table'!$V158+'LCFS Table'!$W158+'LCFS Table'!$X158)/100+(('LCFS Table'!$AI158+'LCFS Table'!$AJ158)/340)</f>
        <v>4.8166145181476852</v>
      </c>
      <c r="J158" s="187">
        <f>(('LCFS Table'!$Y158+'LCFS Table'!$Z158)/100)+(('LCFS Table'!$AM158+'LCFS Table'!$AN158)/300)</f>
        <v>6.0253095703124995</v>
      </c>
      <c r="K158" s="190">
        <f>'[1]Fuel Values'!$C157</f>
        <v>2.2774999999999999</v>
      </c>
      <c r="L158" s="190">
        <f>'[1]Fuel Values'!$B157</f>
        <v>605</v>
      </c>
      <c r="M158" s="185">
        <f>('LCFS Table'!$L158/100)-'LCFS Table'!$AX158-'LCFS Table'!$AY158-'LCFS Table'!$AZ158-'LCFS Table'!$BA158</f>
        <v>2.3013341695937499</v>
      </c>
      <c r="N158" s="190">
        <f>[1]BFT!$B157</f>
        <v>54.875</v>
      </c>
      <c r="O158" s="190">
        <f>[1]UCO!$B157</f>
        <v>59.875</v>
      </c>
      <c r="P158" s="190">
        <f>[1]DCO!$B157</f>
        <v>54.75</v>
      </c>
      <c r="Q158" s="190">
        <f>'[1]Soybean Oil'!$B157</f>
        <v>72.277500000000003</v>
      </c>
      <c r="R158" s="190">
        <f>'[1]Yellow Grease'!$B157</f>
        <v>50.875</v>
      </c>
      <c r="S158" s="185">
        <f>'LCFS Table'!$N158 + 'LCFS Table'!$AH158</f>
        <v>59.25</v>
      </c>
      <c r="T158" s="185">
        <f>'LCFS Table'!$Q158+'LCFS Table'!$AH158</f>
        <v>76.652500000000003</v>
      </c>
      <c r="U158" s="185">
        <f>'LCFS Table'!$P158+'LCFS Table'!$AH158</f>
        <v>59.125</v>
      </c>
      <c r="V158" s="185">
        <f>(('LCFS Table'!$S158/'LCFS Table'!$AA158)*'LCFS Table'!$AC158)*6.48</f>
        <v>204.2234042553192</v>
      </c>
      <c r="W158" s="185">
        <f>(('LCFS Table'!$O158/'LCFS Table'!$AA158)*'LCFS Table'!$AD158)*6.48</f>
        <v>103.18882978723406</v>
      </c>
      <c r="X158" s="185">
        <f>(('LCFS Table'!$U158/'LCFS Table'!$AA158)*'LCFS Table'!$AE158)*6.48</f>
        <v>101.89627659574469</v>
      </c>
      <c r="Y158" s="185">
        <f>(('LCFS Table'!$T158/'LCFS Table'!$AB158)*'LCFS Table'!$AF158)*7.35</f>
        <v>440.15302734374995</v>
      </c>
      <c r="Z158" s="185">
        <f>(('LCFS Table'!$R158/'LCFS Table'!$AB158)*'LCFS Table'!$AG158)*7.35</f>
        <v>97.3779296875</v>
      </c>
      <c r="AA158" s="138">
        <v>0.94</v>
      </c>
      <c r="AB158" s="138">
        <v>0.96</v>
      </c>
      <c r="AC158" s="138">
        <v>0.5</v>
      </c>
      <c r="AD158" s="138">
        <v>0.25</v>
      </c>
      <c r="AE158" s="138">
        <v>0.25</v>
      </c>
      <c r="AF158" s="138">
        <v>0.75</v>
      </c>
      <c r="AG158" s="138">
        <v>0.25</v>
      </c>
      <c r="AH158" s="139">
        <v>4.375</v>
      </c>
      <c r="AI158" s="139">
        <v>136</v>
      </c>
      <c r="AJ158" s="139">
        <v>110</v>
      </c>
      <c r="AK158" s="186">
        <f>('LCFS Table'!$AI158/340)*100</f>
        <v>40</v>
      </c>
      <c r="AL158" s="186">
        <f>('LCFS Table'!$AJ158/340)*100</f>
        <v>32.352941176470587</v>
      </c>
      <c r="AM158" s="139">
        <v>105</v>
      </c>
      <c r="AN158" s="139">
        <v>90</v>
      </c>
      <c r="AO158" s="139">
        <f>('LCFS Table'!$AM158/300)*100</f>
        <v>35</v>
      </c>
      <c r="AP158" s="139">
        <f>('LCFS Table'!$AN158/300)*100</f>
        <v>30</v>
      </c>
      <c r="AQ158" s="140">
        <f>'[1]LCFS Values'!$B157</f>
        <v>146.25</v>
      </c>
      <c r="AR158" s="140">
        <f>'[1]RIN Values'!$B157/100</f>
        <v>1.2725</v>
      </c>
      <c r="AS158" s="185">
        <v>1.2395537154645648</v>
      </c>
      <c r="AT158" s="137">
        <v>0.16</v>
      </c>
      <c r="AU158" s="137">
        <v>1</v>
      </c>
      <c r="AV158" s="185">
        <f>'LCFS Table'!$AR158*1.7</f>
        <v>2.1632499999999997</v>
      </c>
      <c r="AW158" s="137">
        <v>0</v>
      </c>
      <c r="AX158" s="185">
        <v>0.83991583040624973</v>
      </c>
      <c r="AY158" s="137">
        <v>0</v>
      </c>
      <c r="AZ158" s="141">
        <v>1</v>
      </c>
      <c r="BA158" s="185">
        <f>'LCFS Table'!$AR158*1.5</f>
        <v>1.9087499999999999</v>
      </c>
      <c r="BB158" s="142">
        <v>1.2</v>
      </c>
      <c r="BC158" s="185">
        <f>'LCFS Table'!$AS158*'LCFS Table'!$BW158</f>
        <v>1.2395537154645648</v>
      </c>
      <c r="BD158" s="185">
        <f>'LCFS Table'!$AT158*'LCFS Table'!$BX158</f>
        <v>0</v>
      </c>
      <c r="BE158" s="185">
        <f>'LCFS Table'!$AU158*'LCFS Table'!$BY158</f>
        <v>1</v>
      </c>
      <c r="BF158" s="137">
        <f>'LCFS Table'!$AV158*'LCFS Table'!$BZ158</f>
        <v>2.1632499999999997</v>
      </c>
      <c r="BG158" s="137">
        <f>'LCFS Table'!$AW158*'LCFS Table'!$CA158</f>
        <v>0</v>
      </c>
      <c r="BH158" s="137">
        <f>'LCFS Table'!$AX158*'LCFS Table'!$CB158</f>
        <v>0.83991583040624973</v>
      </c>
      <c r="BI158" s="137">
        <f>'LCFS Table'!$AY158*'LCFS Table'!$CC158</f>
        <v>0</v>
      </c>
      <c r="BJ158" s="137">
        <f>'LCFS Table'!$AZ158*'LCFS Table'!$CD158</f>
        <v>1</v>
      </c>
      <c r="BK158" s="137">
        <f>'LCFS Table'!$BA158*'LCFS Table'!$CE158</f>
        <v>1.9087499999999999</v>
      </c>
      <c r="BL158" s="137">
        <f>'LCFS Table'!$BB158*'LCFS Table'!$CF158</f>
        <v>-1.2</v>
      </c>
      <c r="BM158" s="137">
        <f>'LCFS Table'!$AS158*'LCFS Table'!$CG158</f>
        <v>0</v>
      </c>
      <c r="BN158" s="137">
        <f>'LCFS Table'!$AT158*'LCFS Table'!$CH158</f>
        <v>0.16</v>
      </c>
      <c r="BO158" s="137">
        <f>'LCFS Table'!$AU158*'LCFS Table'!$CI158</f>
        <v>0</v>
      </c>
      <c r="BP158" s="137">
        <f>'LCFS Table'!$AV158*'LCFS Table'!$CJ158</f>
        <v>0</v>
      </c>
      <c r="BQ158" s="137">
        <f>'LCFS Table'!$AW158*'LCFS Table'!$CK158</f>
        <v>0</v>
      </c>
      <c r="BR158" s="137">
        <f>'LCFS Table'!$AX158*'LCFS Table'!$CL158</f>
        <v>0</v>
      </c>
      <c r="BS158" s="137">
        <f>'LCFS Table'!$AY158*'LCFS Table'!$CM158</f>
        <v>0</v>
      </c>
      <c r="BT158" s="137">
        <f>'LCFS Table'!$AZ158*'LCFS Table'!$CN158</f>
        <v>0</v>
      </c>
      <c r="BU158" s="137">
        <f>'LCFS Table'!$BA158*'LCFS Table'!$CO158</f>
        <v>0</v>
      </c>
      <c r="BV158" s="142">
        <f>'LCFS Table'!$BB158*'LCFS Table'!$CP158</f>
        <v>1.2</v>
      </c>
      <c r="BW158" s="138">
        <v>1</v>
      </c>
      <c r="BX158" s="138">
        <v>0</v>
      </c>
      <c r="BY158" s="138">
        <v>1</v>
      </c>
      <c r="BZ158" s="138">
        <v>1</v>
      </c>
      <c r="CA158" s="138">
        <v>-1</v>
      </c>
      <c r="CB158" s="138">
        <v>1</v>
      </c>
      <c r="CC158" s="138">
        <v>0</v>
      </c>
      <c r="CD158" s="138">
        <v>1</v>
      </c>
      <c r="CE158" s="138">
        <v>1</v>
      </c>
      <c r="CF158" s="138">
        <v>-1</v>
      </c>
      <c r="CG158" s="138">
        <f>1-'LCFS Table'!$BW158</f>
        <v>0</v>
      </c>
      <c r="CH158" s="138">
        <f>1-'LCFS Table'!$BX158</f>
        <v>1</v>
      </c>
      <c r="CI158" s="138">
        <f>1-'LCFS Table'!$BY158</f>
        <v>0</v>
      </c>
      <c r="CJ158" s="138">
        <f>1-'LCFS Table'!$BZ158</f>
        <v>0</v>
      </c>
      <c r="CK158" s="138">
        <f>-'LCFS Table'!$CA158</f>
        <v>1</v>
      </c>
      <c r="CL158" s="138">
        <f>1-'LCFS Table'!$CB158</f>
        <v>0</v>
      </c>
      <c r="CM158" s="138">
        <f>1-'LCFS Table'!$CC158</f>
        <v>1</v>
      </c>
      <c r="CN158" s="138">
        <f>1-'LCFS Table'!$CD158</f>
        <v>0</v>
      </c>
      <c r="CO158" s="138">
        <f>1-'LCFS Table'!$CE158</f>
        <v>0</v>
      </c>
      <c r="CP158" s="138">
        <f>-'LCFS Table'!$CF158</f>
        <v>1</v>
      </c>
      <c r="CQ158" s="140">
        <v>28</v>
      </c>
      <c r="CR158" s="165">
        <f>('LCFS Table'!$CQ158*0.9/(0.8/0.99)/100)</f>
        <v>0.31184999999999996</v>
      </c>
      <c r="CS158" s="166"/>
      <c r="CT158" s="167"/>
      <c r="CW158" s="168">
        <f>'LCFS Table'!$K158-'LCFS Table'!$M158</f>
        <v>-2.3834169593750065E-2</v>
      </c>
      <c r="CX158" s="129">
        <f>MONTH('LCFS Table'!$B158)</f>
        <v>12</v>
      </c>
      <c r="CY158" s="129">
        <f>YEAR('LCFS Table'!$B158)</f>
        <v>2021</v>
      </c>
    </row>
    <row r="159" spans="1:103" s="180" customFormat="1">
      <c r="A159" s="169">
        <v>44556</v>
      </c>
      <c r="B159" s="170">
        <v>44562</v>
      </c>
      <c r="C159" s="171">
        <f t="shared" si="3"/>
        <v>2022</v>
      </c>
      <c r="D159" s="206" t="s">
        <v>308</v>
      </c>
      <c r="E159" s="207">
        <f>'LCFS Table'!$K159-'LCFS Table'!$I159</f>
        <v>-2.4771538798498125</v>
      </c>
      <c r="F159" s="207">
        <f>('LCFS Table'!$M159)-'LCFS Table'!$J159</f>
        <v>-3.8290400941203115</v>
      </c>
      <c r="G159" s="208">
        <f>'LCFS Table'!$E159+'LCFS Table'!$AS159+'LCFS Table'!$AT159+'LCFS Table'!$AU159+'LCFS Table'!$AV159</f>
        <v>2.115880721345663</v>
      </c>
      <c r="H159" s="208">
        <f>'LCFS Table'!$F159+'LCFS Table'!$AX159+'LCFS Table'!$AY159+'LCFS Table'!$AZ159+'LCFS Table'!$BA159+('LCFS Table'!$CQ159*0.9/(0.8/0.99)/100)+(DG159*'LCFS Table'!$AF159)+(DF159*'LCFS Table'!$AG159)</f>
        <v>0.24621757812500045</v>
      </c>
      <c r="I159" s="207">
        <f>('LCFS Table'!$V159+'LCFS Table'!$W159+'LCFS Table'!$X159)/100+(('LCFS Table'!$AI159+'LCFS Table'!$AJ159)/340)</f>
        <v>4.8618538798498125</v>
      </c>
      <c r="J159" s="207">
        <f>(('LCFS Table'!$Y159+'LCFS Table'!$Z159)/100)+(('LCFS Table'!$AM159+'LCFS Table'!$AN159)/300)</f>
        <v>6.1072792968749994</v>
      </c>
      <c r="K159" s="209">
        <f>'[1]Fuel Values'!$C158</f>
        <v>2.3847</v>
      </c>
      <c r="L159" s="209">
        <f>'[1]Fuel Values'!$B158</f>
        <v>605</v>
      </c>
      <c r="M159" s="175">
        <f>('LCFS Table'!$L159/100)-'LCFS Table'!$AX159-'LCFS Table'!$AY159-'LCFS Table'!$AZ159-'LCFS Table'!$BA159</f>
        <v>2.2782392027546878</v>
      </c>
      <c r="N159" s="209">
        <f>[1]BFT!$B158</f>
        <v>56</v>
      </c>
      <c r="O159" s="209">
        <f>[1]UCO!$B158</f>
        <v>59.5</v>
      </c>
      <c r="P159" s="209">
        <f>[1]DCO!$B158</f>
        <v>55.5</v>
      </c>
      <c r="Q159" s="209">
        <f>'[1]Soybean Oil'!$B158</f>
        <v>73.83</v>
      </c>
      <c r="R159" s="209">
        <f>'[1]Yellow Grease'!$B158</f>
        <v>50.5</v>
      </c>
      <c r="S159" s="175">
        <f>'LCFS Table'!$N159 + 'LCFS Table'!$AH159</f>
        <v>60.375</v>
      </c>
      <c r="T159" s="175">
        <f>'LCFS Table'!$Q159+'LCFS Table'!$AH159</f>
        <v>78.204999999999998</v>
      </c>
      <c r="U159" s="175">
        <f>'LCFS Table'!$P159+'LCFS Table'!$AH159</f>
        <v>59.875</v>
      </c>
      <c r="V159" s="175">
        <f>(('LCFS Table'!$S159/'LCFS Table'!$AA159)*'LCFS Table'!$AC159)*6.48</f>
        <v>208.10106382978725</v>
      </c>
      <c r="W159" s="175">
        <f>(('LCFS Table'!$O159/'LCFS Table'!$AA159)*'LCFS Table'!$AD159)*6.48</f>
        <v>102.54255319148938</v>
      </c>
      <c r="X159" s="175">
        <f>(('LCFS Table'!$U159/'LCFS Table'!$AA159)*'LCFS Table'!$AE159)*6.48</f>
        <v>103.18882978723406</v>
      </c>
      <c r="Y159" s="175">
        <f>(('LCFS Table'!$T159/'LCFS Table'!$AB159)*'LCFS Table'!$AF159)*7.35</f>
        <v>449.06777343749997</v>
      </c>
      <c r="Z159" s="175">
        <f>(('LCFS Table'!$R159/'LCFS Table'!$AB159)*'LCFS Table'!$AG159)*7.35</f>
        <v>96.66015625</v>
      </c>
      <c r="AA159" s="176">
        <v>0.94</v>
      </c>
      <c r="AB159" s="176">
        <v>0.96</v>
      </c>
      <c r="AC159" s="176">
        <v>0.5</v>
      </c>
      <c r="AD159" s="176">
        <v>0.25</v>
      </c>
      <c r="AE159" s="176">
        <v>0.25</v>
      </c>
      <c r="AF159" s="176">
        <v>0.75</v>
      </c>
      <c r="AG159" s="176">
        <v>0.25</v>
      </c>
      <c r="AH159" s="177">
        <v>4.375</v>
      </c>
      <c r="AI159" s="177">
        <v>136</v>
      </c>
      <c r="AJ159" s="177">
        <v>110</v>
      </c>
      <c r="AK159" s="177">
        <f>('LCFS Table'!$AI159/340)*100</f>
        <v>40</v>
      </c>
      <c r="AL159" s="177">
        <f>('LCFS Table'!$AJ159/340)*100</f>
        <v>32.352941176470587</v>
      </c>
      <c r="AM159" s="177">
        <v>105</v>
      </c>
      <c r="AN159" s="177">
        <v>90</v>
      </c>
      <c r="AO159" s="177">
        <f>('LCFS Table'!$AM159/300)*100</f>
        <v>35</v>
      </c>
      <c r="AP159" s="177">
        <f>('LCFS Table'!$AN159/300)*100</f>
        <v>30</v>
      </c>
      <c r="AQ159" s="175">
        <f>'[1]LCFS Values'!$B158</f>
        <v>148.3125</v>
      </c>
      <c r="AR159" s="175">
        <f>'[1]RIN Values'!$B158/100</f>
        <v>1.28</v>
      </c>
      <c r="AS159" s="175">
        <v>1.2570346011954752</v>
      </c>
      <c r="AT159" s="175">
        <v>0.16</v>
      </c>
      <c r="AU159" s="175">
        <v>1</v>
      </c>
      <c r="AV159" s="175">
        <f>'LCFS Table'!$AR159*1.7</f>
        <v>2.1760000000000002</v>
      </c>
      <c r="AW159" s="175">
        <v>0</v>
      </c>
      <c r="AX159" s="175">
        <v>0.85176079724531228</v>
      </c>
      <c r="AY159" s="175">
        <v>0</v>
      </c>
      <c r="AZ159" s="141">
        <v>1</v>
      </c>
      <c r="BA159" s="175">
        <f>'LCFS Table'!$AR159*1.5</f>
        <v>1.92</v>
      </c>
      <c r="BB159" s="210">
        <v>1.2</v>
      </c>
      <c r="BC159" s="175">
        <f>'LCFS Table'!$AS159*'LCFS Table'!$BW159</f>
        <v>1.2570346011954752</v>
      </c>
      <c r="BD159" s="175">
        <f>'LCFS Table'!$AT159*'LCFS Table'!$BX159</f>
        <v>0</v>
      </c>
      <c r="BE159" s="175">
        <f>'LCFS Table'!$AU159*'LCFS Table'!$BY159</f>
        <v>1</v>
      </c>
      <c r="BF159" s="175">
        <f>'LCFS Table'!$AV159*'LCFS Table'!$BZ159</f>
        <v>2.1760000000000002</v>
      </c>
      <c r="BG159" s="175">
        <f>'LCFS Table'!$AW159*'LCFS Table'!$CA159</f>
        <v>0</v>
      </c>
      <c r="BH159" s="175">
        <f>'LCFS Table'!$AX159*'LCFS Table'!$CB159</f>
        <v>0.85176079724531228</v>
      </c>
      <c r="BI159" s="175">
        <f>'LCFS Table'!$AY159*'LCFS Table'!$CC159</f>
        <v>0</v>
      </c>
      <c r="BJ159" s="175">
        <f>'LCFS Table'!$AZ159*'LCFS Table'!$CD159</f>
        <v>1</v>
      </c>
      <c r="BK159" s="175">
        <f>'LCFS Table'!$BA159*'LCFS Table'!$CE159</f>
        <v>1.92</v>
      </c>
      <c r="BL159" s="175">
        <f>'LCFS Table'!$BB159*'LCFS Table'!$CF159</f>
        <v>-1.2</v>
      </c>
      <c r="BM159" s="175">
        <f>'LCFS Table'!$AS159*'LCFS Table'!$CG159</f>
        <v>0</v>
      </c>
      <c r="BN159" s="175">
        <f>'LCFS Table'!$AT159*'LCFS Table'!$CH159</f>
        <v>0.16</v>
      </c>
      <c r="BO159" s="175">
        <f>'LCFS Table'!$AU159*'LCFS Table'!$CI159</f>
        <v>0</v>
      </c>
      <c r="BP159" s="175">
        <f>'LCFS Table'!$AV159*'LCFS Table'!$CJ159</f>
        <v>0</v>
      </c>
      <c r="BQ159" s="175">
        <f>'LCFS Table'!$AW159*'LCFS Table'!$CK159</f>
        <v>0</v>
      </c>
      <c r="BR159" s="175">
        <f>'LCFS Table'!$AX159*'LCFS Table'!$CL159</f>
        <v>0</v>
      </c>
      <c r="BS159" s="175">
        <f>'LCFS Table'!$AY159*'LCFS Table'!$CM159</f>
        <v>0</v>
      </c>
      <c r="BT159" s="175">
        <f>'LCFS Table'!$AZ159*'LCFS Table'!$CN159</f>
        <v>0</v>
      </c>
      <c r="BU159" s="175">
        <f>'LCFS Table'!$BA159*'LCFS Table'!$CO159</f>
        <v>0</v>
      </c>
      <c r="BV159" s="210">
        <f>'LCFS Table'!$BB159*'LCFS Table'!$CP159</f>
        <v>1.2</v>
      </c>
      <c r="BW159" s="176">
        <v>1</v>
      </c>
      <c r="BX159" s="176">
        <v>0</v>
      </c>
      <c r="BY159" s="176">
        <v>1</v>
      </c>
      <c r="BZ159" s="176">
        <v>1</v>
      </c>
      <c r="CA159" s="176">
        <v>-1</v>
      </c>
      <c r="CB159" s="176">
        <v>1</v>
      </c>
      <c r="CC159" s="176">
        <v>0</v>
      </c>
      <c r="CD159" s="176">
        <v>1</v>
      </c>
      <c r="CE159" s="176">
        <v>1</v>
      </c>
      <c r="CF159" s="176">
        <v>-1</v>
      </c>
      <c r="CG159" s="176">
        <f>1-'LCFS Table'!$BW159</f>
        <v>0</v>
      </c>
      <c r="CH159" s="176">
        <f>1-'LCFS Table'!$BX159</f>
        <v>1</v>
      </c>
      <c r="CI159" s="176">
        <f>1-'LCFS Table'!$BY159</f>
        <v>0</v>
      </c>
      <c r="CJ159" s="176">
        <f>1-'LCFS Table'!$BZ159</f>
        <v>0</v>
      </c>
      <c r="CK159" s="176">
        <f>-'LCFS Table'!$CA159</f>
        <v>1</v>
      </c>
      <c r="CL159" s="176">
        <f>1-'LCFS Table'!$CB159</f>
        <v>0</v>
      </c>
      <c r="CM159" s="176">
        <f>1-'LCFS Table'!$CC159</f>
        <v>1</v>
      </c>
      <c r="CN159" s="176">
        <f>1-'LCFS Table'!$CD159</f>
        <v>0</v>
      </c>
      <c r="CO159" s="176">
        <f>1-'LCFS Table'!$CE159</f>
        <v>0</v>
      </c>
      <c r="CP159" s="176">
        <f>-'LCFS Table'!$CF159</f>
        <v>1</v>
      </c>
      <c r="CQ159" s="140">
        <v>27.25</v>
      </c>
      <c r="CR159" s="178">
        <f>('LCFS Table'!$CQ159*0.9/(0.8/0.99)/100)</f>
        <v>0.303496875</v>
      </c>
      <c r="CS159" s="176"/>
      <c r="CT159" s="179"/>
      <c r="CW159" s="181">
        <f>'LCFS Table'!$K159-'LCFS Table'!$M159</f>
        <v>0.10646079724531221</v>
      </c>
      <c r="CX159" s="180">
        <f>MONTH('LCFS Table'!$B159)</f>
        <v>1</v>
      </c>
      <c r="CY159" s="180">
        <f>YEAR('LCFS Table'!$B159)</f>
        <v>2022</v>
      </c>
    </row>
    <row r="160" spans="1:103">
      <c r="A160" s="148">
        <v>44563</v>
      </c>
      <c r="B160" s="149">
        <v>44569</v>
      </c>
      <c r="C160" s="132">
        <f t="shared" si="3"/>
        <v>2022</v>
      </c>
      <c r="D160" s="150" t="s">
        <v>256</v>
      </c>
      <c r="E160" s="187">
        <f>'LCFS Table'!$K160-'LCFS Table'!$I160</f>
        <v>-2.6430581351689617</v>
      </c>
      <c r="F160" s="187">
        <f>('LCFS Table'!$M160)-'LCFS Table'!$J160</f>
        <v>-3.9650222120049996</v>
      </c>
      <c r="G160" s="188">
        <f>'LCFS Table'!$E160+'LCFS Table'!$AS160+'LCFS Table'!$AT160+'LCFS Table'!$AU160+'LCFS Table'!$AV160</f>
        <v>2.063070448665612</v>
      </c>
      <c r="H160" s="188">
        <f>'LCFS Table'!$F160+'LCFS Table'!$AX160+'LCFS Table'!$AY160+'LCFS Table'!$AZ160+'LCFS Table'!$BA160+('LCFS Table'!$CQ160*0.9/(0.8/0.99)/100)+(DG160*'LCFS Table'!$AF160)+(DF160*'LCFS Table'!$AG160)</f>
        <v>0.20071132812500059</v>
      </c>
      <c r="I160" s="187">
        <f>('LCFS Table'!$V160+'LCFS Table'!$W160+'LCFS Table'!$X160)/100+(('LCFS Table'!$AI160+'LCFS Table'!$AJ160)/340)</f>
        <v>5.0867581351689619</v>
      </c>
      <c r="J160" s="187">
        <f>(('LCFS Table'!$Y160+'LCFS Table'!$Z160)/100)+(('LCFS Table'!$AM160+'LCFS Table'!$AN160)/300)</f>
        <v>6.1500011718749992</v>
      </c>
      <c r="K160" s="190">
        <f>'[1]Fuel Values'!$C159</f>
        <v>2.4437000000000002</v>
      </c>
      <c r="L160" s="190">
        <f>'[1]Fuel Values'!$B159</f>
        <v>605</v>
      </c>
      <c r="M160" s="185">
        <f>('LCFS Table'!$L160/100)-'LCFS Table'!$AX160-'LCFS Table'!$AY160-'LCFS Table'!$AZ160-'LCFS Table'!$BA160</f>
        <v>2.1849789598699996</v>
      </c>
      <c r="N160" s="190">
        <f>[1]BFT!$B159</f>
        <v>60.4</v>
      </c>
      <c r="O160" s="190">
        <f>[1]UCO!$B159</f>
        <v>59.5</v>
      </c>
      <c r="P160" s="190">
        <f>[1]DCO!$B159</f>
        <v>59.75</v>
      </c>
      <c r="Q160" s="190">
        <f>'[1]Soybean Oil'!$B159</f>
        <v>74.573999999999998</v>
      </c>
      <c r="R160" s="190">
        <f>'[1]Yellow Grease'!$B159</f>
        <v>50.5</v>
      </c>
      <c r="S160" s="185">
        <f>'LCFS Table'!$N160 + 'LCFS Table'!$AH160</f>
        <v>64.775000000000006</v>
      </c>
      <c r="T160" s="185">
        <f>'LCFS Table'!$Q160+'LCFS Table'!$AH160</f>
        <v>78.948999999999998</v>
      </c>
      <c r="U160" s="185">
        <f>'LCFS Table'!$P160+'LCFS Table'!$AH160</f>
        <v>64.125</v>
      </c>
      <c r="V160" s="185">
        <f>(('LCFS Table'!$S160/'LCFS Table'!$AA160)*'LCFS Table'!$AC160)*6.48</f>
        <v>223.26702127659578</v>
      </c>
      <c r="W160" s="185">
        <f>(('LCFS Table'!$O160/'LCFS Table'!$AA160)*'LCFS Table'!$AD160)*6.48</f>
        <v>102.54255319148938</v>
      </c>
      <c r="X160" s="185">
        <f>(('LCFS Table'!$U160/'LCFS Table'!$AA160)*'LCFS Table'!$AE160)*6.48</f>
        <v>110.51329787234044</v>
      </c>
      <c r="Y160" s="185">
        <f>(('LCFS Table'!$T160/'LCFS Table'!$AB160)*'LCFS Table'!$AF160)*7.35</f>
        <v>453.33996093749994</v>
      </c>
      <c r="Z160" s="185">
        <f>(('LCFS Table'!$R160/'LCFS Table'!$AB160)*'LCFS Table'!$AG160)*7.35</f>
        <v>96.66015625</v>
      </c>
      <c r="AA160" s="138">
        <v>0.94</v>
      </c>
      <c r="AB160" s="138">
        <v>0.96</v>
      </c>
      <c r="AC160" s="138">
        <v>0.5</v>
      </c>
      <c r="AD160" s="138">
        <v>0.25</v>
      </c>
      <c r="AE160" s="138">
        <v>0.25</v>
      </c>
      <c r="AF160" s="138">
        <v>0.75</v>
      </c>
      <c r="AG160" s="138">
        <v>0.25</v>
      </c>
      <c r="AH160" s="139">
        <v>4.375</v>
      </c>
      <c r="AI160" s="139">
        <v>136</v>
      </c>
      <c r="AJ160" s="139">
        <v>110</v>
      </c>
      <c r="AK160" s="186">
        <f>('LCFS Table'!$AI160/340)*100</f>
        <v>40</v>
      </c>
      <c r="AL160" s="186">
        <f>('LCFS Table'!$AJ160/340)*100</f>
        <v>32.352941176470587</v>
      </c>
      <c r="AM160" s="139">
        <v>105</v>
      </c>
      <c r="AN160" s="139">
        <v>90</v>
      </c>
      <c r="AO160" s="139">
        <f>('LCFS Table'!$AM160/300)*100</f>
        <v>35</v>
      </c>
      <c r="AP160" s="139">
        <f>('LCFS Table'!$AN160/300)*100</f>
        <v>30</v>
      </c>
      <c r="AQ160" s="140">
        <f>'[1]LCFS Values'!$B159</f>
        <v>150.80000000000001</v>
      </c>
      <c r="AR160" s="140">
        <f>'[1]RIN Values'!$B159/100</f>
        <v>1.3485</v>
      </c>
      <c r="AS160" s="185">
        <v>1.2536785838345736</v>
      </c>
      <c r="AT160" s="137">
        <v>0.16</v>
      </c>
      <c r="AU160" s="137">
        <v>1</v>
      </c>
      <c r="AV160" s="185">
        <f>'LCFS Table'!$AR160*1.7</f>
        <v>2.2924500000000001</v>
      </c>
      <c r="AW160" s="137">
        <v>0</v>
      </c>
      <c r="AX160" s="185">
        <v>0.84227104012999998</v>
      </c>
      <c r="AY160" s="137">
        <v>0</v>
      </c>
      <c r="AZ160" s="141">
        <v>1</v>
      </c>
      <c r="BA160" s="185">
        <f>'LCFS Table'!$AR160*1.5</f>
        <v>2.0227500000000003</v>
      </c>
      <c r="BB160" s="142">
        <v>1.2</v>
      </c>
      <c r="BC160" s="185">
        <f>'LCFS Table'!$AS160*'LCFS Table'!$BW160</f>
        <v>1.2536785838345736</v>
      </c>
      <c r="BD160" s="185">
        <f>'LCFS Table'!$AT160*'LCFS Table'!$BX160</f>
        <v>0</v>
      </c>
      <c r="BE160" s="185">
        <f>'LCFS Table'!$AU160*'LCFS Table'!$BY160</f>
        <v>1</v>
      </c>
      <c r="BF160" s="137">
        <f>'LCFS Table'!$AV160*'LCFS Table'!$BZ160</f>
        <v>2.2924500000000001</v>
      </c>
      <c r="BG160" s="137">
        <f>'LCFS Table'!$AW160*'LCFS Table'!$CA160</f>
        <v>0</v>
      </c>
      <c r="BH160" s="137">
        <f>'LCFS Table'!$AX160*'LCFS Table'!$CB160</f>
        <v>0.84227104012999998</v>
      </c>
      <c r="BI160" s="137">
        <f>'LCFS Table'!$AY160*'LCFS Table'!$CC160</f>
        <v>0</v>
      </c>
      <c r="BJ160" s="137">
        <f>'LCFS Table'!$AZ160*'LCFS Table'!$CD160</f>
        <v>1</v>
      </c>
      <c r="BK160" s="137">
        <f>'LCFS Table'!$BA160*'LCFS Table'!$CE160</f>
        <v>2.0227500000000003</v>
      </c>
      <c r="BL160" s="137">
        <f>'LCFS Table'!$BB160*'LCFS Table'!$CF160</f>
        <v>-1.2</v>
      </c>
      <c r="BM160" s="137">
        <f>'LCFS Table'!$AS160*'LCFS Table'!$CG160</f>
        <v>0</v>
      </c>
      <c r="BN160" s="137">
        <f>'LCFS Table'!$AT160*'LCFS Table'!$CH160</f>
        <v>0.16</v>
      </c>
      <c r="BO160" s="137">
        <f>'LCFS Table'!$AU160*'LCFS Table'!$CI160</f>
        <v>0</v>
      </c>
      <c r="BP160" s="137">
        <f>'LCFS Table'!$AV160*'LCFS Table'!$CJ160</f>
        <v>0</v>
      </c>
      <c r="BQ160" s="137">
        <f>'LCFS Table'!$AW160*'LCFS Table'!$CK160</f>
        <v>0</v>
      </c>
      <c r="BR160" s="137">
        <f>'LCFS Table'!$AX160*'LCFS Table'!$CL160</f>
        <v>0</v>
      </c>
      <c r="BS160" s="137">
        <f>'LCFS Table'!$AY160*'LCFS Table'!$CM160</f>
        <v>0</v>
      </c>
      <c r="BT160" s="137">
        <f>'LCFS Table'!$AZ160*'LCFS Table'!$CN160</f>
        <v>0</v>
      </c>
      <c r="BU160" s="137">
        <f>'LCFS Table'!$BA160*'LCFS Table'!$CO160</f>
        <v>0</v>
      </c>
      <c r="BV160" s="142">
        <f>'LCFS Table'!$BB160*'LCFS Table'!$CP160</f>
        <v>1.2</v>
      </c>
      <c r="BW160" s="138">
        <v>1</v>
      </c>
      <c r="BX160" s="138">
        <v>0</v>
      </c>
      <c r="BY160" s="138">
        <v>1</v>
      </c>
      <c r="BZ160" s="138">
        <v>1</v>
      </c>
      <c r="CA160" s="138">
        <v>-1</v>
      </c>
      <c r="CB160" s="138">
        <v>1</v>
      </c>
      <c r="CC160" s="138">
        <v>0</v>
      </c>
      <c r="CD160" s="138">
        <v>1</v>
      </c>
      <c r="CE160" s="138">
        <v>1</v>
      </c>
      <c r="CF160" s="138">
        <v>-1</v>
      </c>
      <c r="CG160" s="138">
        <f>1-'LCFS Table'!$BW160</f>
        <v>0</v>
      </c>
      <c r="CH160" s="138">
        <f>1-'LCFS Table'!$BX160</f>
        <v>1</v>
      </c>
      <c r="CI160" s="138">
        <f>1-'LCFS Table'!$BY160</f>
        <v>0</v>
      </c>
      <c r="CJ160" s="138">
        <f>1-'LCFS Table'!$BZ160</f>
        <v>0</v>
      </c>
      <c r="CK160" s="138">
        <f>-'LCFS Table'!$CA160</f>
        <v>1</v>
      </c>
      <c r="CL160" s="138">
        <f>1-'LCFS Table'!$CB160</f>
        <v>0</v>
      </c>
      <c r="CM160" s="138">
        <f>1-'LCFS Table'!$CC160</f>
        <v>1</v>
      </c>
      <c r="CN160" s="138">
        <f>1-'LCFS Table'!$CD160</f>
        <v>0</v>
      </c>
      <c r="CO160" s="138">
        <f>1-'LCFS Table'!$CE160</f>
        <v>0</v>
      </c>
      <c r="CP160" s="138">
        <f>-'LCFS Table'!$CF160</f>
        <v>1</v>
      </c>
      <c r="CQ160" s="140">
        <v>27</v>
      </c>
      <c r="CR160" s="165">
        <f>('LCFS Table'!$CQ160*0.9/(0.8/0.99)/100)</f>
        <v>0.30071249999999994</v>
      </c>
      <c r="CS160" s="166"/>
      <c r="CT160" s="167"/>
      <c r="CW160" s="168">
        <f>'LCFS Table'!$K160-'LCFS Table'!$M160</f>
        <v>0.25872104013000063</v>
      </c>
      <c r="CX160" s="129">
        <f>MONTH('LCFS Table'!$B160)</f>
        <v>1</v>
      </c>
      <c r="CY160" s="129">
        <f>YEAR('LCFS Table'!$B160)</f>
        <v>2022</v>
      </c>
    </row>
    <row r="161" spans="1:103">
      <c r="A161" s="148">
        <v>44570</v>
      </c>
      <c r="B161" s="149">
        <v>44576</v>
      </c>
      <c r="C161" s="132">
        <f t="shared" si="3"/>
        <v>2022</v>
      </c>
      <c r="D161" s="182" t="s">
        <v>258</v>
      </c>
      <c r="E161" s="187">
        <f>'LCFS Table'!$K161-'LCFS Table'!$I161</f>
        <v>-2.7309560075093868</v>
      </c>
      <c r="F161" s="187">
        <f>('LCFS Table'!$M161)-'LCFS Table'!$J161</f>
        <v>-3.9329712550224989</v>
      </c>
      <c r="G161" s="188">
        <f>'LCFS Table'!$E161+'LCFS Table'!$AS161+'LCFS Table'!$AT161+'LCFS Table'!$AU161+'LCFS Table'!$AV161</f>
        <v>2.000616631863319</v>
      </c>
      <c r="H161" s="188">
        <f>'LCFS Table'!$F161+'LCFS Table'!$AX161+'LCFS Table'!$AY161+'LCFS Table'!$AZ161+'LCFS Table'!$BA161+('LCFS Table'!$CQ161*0.9/(0.8/0.99)/100)+(DG161*'LCFS Table'!$AF161)+(DF161*'LCFS Table'!$AG161)</f>
        <v>0.24577789062500055</v>
      </c>
      <c r="I161" s="187">
        <f>('LCFS Table'!$V161+'LCFS Table'!$W161+'LCFS Table'!$X161)/100+(('LCFS Table'!$AI161+'LCFS Table'!$AJ161)/340)</f>
        <v>5.318556007509387</v>
      </c>
      <c r="J161" s="187">
        <f>(('LCFS Table'!$Y161+'LCFS Table'!$Z161)/100)+(('LCFS Table'!$AM161+'LCFS Table'!$AN161)/300)</f>
        <v>6.0960246093749992</v>
      </c>
      <c r="K161" s="190">
        <f>'[1]Fuel Values'!$C160</f>
        <v>2.5876000000000001</v>
      </c>
      <c r="L161" s="190">
        <f>'[1]Fuel Values'!$B160</f>
        <v>605</v>
      </c>
      <c r="M161" s="185">
        <f>('LCFS Table'!$L161/100)-'LCFS Table'!$AX161-'LCFS Table'!$AY161-'LCFS Table'!$AZ161-'LCFS Table'!$BA161</f>
        <v>2.1630533543525003</v>
      </c>
      <c r="N161" s="190">
        <f>[1]BFT!$B160</f>
        <v>65.2</v>
      </c>
      <c r="O161" s="190">
        <f>[1]UCO!$B160</f>
        <v>60.7</v>
      </c>
      <c r="P161" s="190">
        <f>[1]DCO!$B160</f>
        <v>62.4</v>
      </c>
      <c r="Q161" s="190">
        <f>'[1]Soybean Oil'!$B160</f>
        <v>73.334000000000003</v>
      </c>
      <c r="R161" s="190">
        <f>'[1]Yellow Grease'!$B160</f>
        <v>51.4</v>
      </c>
      <c r="S161" s="185">
        <f>'LCFS Table'!$N161 + 'LCFS Table'!$AH161</f>
        <v>69.575000000000003</v>
      </c>
      <c r="T161" s="185">
        <f>'LCFS Table'!$Q161+'LCFS Table'!$AH161</f>
        <v>77.709000000000003</v>
      </c>
      <c r="U161" s="185">
        <f>'LCFS Table'!$P161+'LCFS Table'!$AH161</f>
        <v>66.775000000000006</v>
      </c>
      <c r="V161" s="185">
        <f>(('LCFS Table'!$S161/'LCFS Table'!$AA161)*'LCFS Table'!$AC161)*6.48</f>
        <v>239.8117021276596</v>
      </c>
      <c r="W161" s="185">
        <f>(('LCFS Table'!$O161/'LCFS Table'!$AA161)*'LCFS Table'!$AD161)*6.48</f>
        <v>104.61063829787236</v>
      </c>
      <c r="X161" s="185">
        <f>(('LCFS Table'!$U161/'LCFS Table'!$AA161)*'LCFS Table'!$AE161)*6.48</f>
        <v>115.08031914893618</v>
      </c>
      <c r="Y161" s="185">
        <f>(('LCFS Table'!$T161/'LCFS Table'!$AB161)*'LCFS Table'!$AF161)*7.35</f>
        <v>446.21964843749998</v>
      </c>
      <c r="Z161" s="185">
        <f>(('LCFS Table'!$R161/'LCFS Table'!$AB161)*'LCFS Table'!$AG161)*7.35</f>
        <v>98.382812499999986</v>
      </c>
      <c r="AA161" s="138">
        <v>0.94</v>
      </c>
      <c r="AB161" s="138">
        <v>0.96</v>
      </c>
      <c r="AC161" s="138">
        <v>0.5</v>
      </c>
      <c r="AD161" s="138">
        <v>0.25</v>
      </c>
      <c r="AE161" s="138">
        <v>0.25</v>
      </c>
      <c r="AF161" s="138">
        <v>0.75</v>
      </c>
      <c r="AG161" s="138">
        <v>0.25</v>
      </c>
      <c r="AH161" s="139">
        <v>4.375</v>
      </c>
      <c r="AI161" s="139">
        <v>136</v>
      </c>
      <c r="AJ161" s="139">
        <v>110</v>
      </c>
      <c r="AK161" s="186">
        <f>('LCFS Table'!$AI161/340)*100</f>
        <v>40</v>
      </c>
      <c r="AL161" s="186">
        <f>('LCFS Table'!$AJ161/340)*100</f>
        <v>32.352941176470587</v>
      </c>
      <c r="AM161" s="139">
        <v>105</v>
      </c>
      <c r="AN161" s="139">
        <v>90</v>
      </c>
      <c r="AO161" s="139">
        <f>('LCFS Table'!$AM161/300)*100</f>
        <v>35</v>
      </c>
      <c r="AP161" s="139">
        <f>('LCFS Table'!$AN161/300)*100</f>
        <v>30</v>
      </c>
      <c r="AQ161" s="140">
        <f>'[1]LCFS Values'!$B160</f>
        <v>151.1</v>
      </c>
      <c r="AR161" s="140">
        <f>'[1]RIN Values'!$B160/100</f>
        <v>1.3619999999999999</v>
      </c>
      <c r="AS161" s="185">
        <v>1.256172639372706</v>
      </c>
      <c r="AT161" s="137">
        <v>0.16</v>
      </c>
      <c r="AU161" s="137">
        <v>1</v>
      </c>
      <c r="AV161" s="185">
        <f>'LCFS Table'!$AR161*1.7</f>
        <v>2.3153999999999999</v>
      </c>
      <c r="AW161" s="137">
        <v>0</v>
      </c>
      <c r="AX161" s="185">
        <v>0.84394664564749988</v>
      </c>
      <c r="AY161" s="137">
        <v>0</v>
      </c>
      <c r="AZ161" s="141">
        <v>1</v>
      </c>
      <c r="BA161" s="185">
        <f>'LCFS Table'!$AR161*1.5</f>
        <v>2.0429999999999997</v>
      </c>
      <c r="BB161" s="142">
        <v>1.2</v>
      </c>
      <c r="BC161" s="185">
        <f>'LCFS Table'!$AS161*'LCFS Table'!$BW161</f>
        <v>1.256172639372706</v>
      </c>
      <c r="BD161" s="185">
        <f>'LCFS Table'!$AT161*'LCFS Table'!$BX161</f>
        <v>0</v>
      </c>
      <c r="BE161" s="185">
        <f>'LCFS Table'!$AU161*'LCFS Table'!$BY161</f>
        <v>1</v>
      </c>
      <c r="BF161" s="137">
        <f>'LCFS Table'!$AV161*'LCFS Table'!$BZ161</f>
        <v>2.3153999999999999</v>
      </c>
      <c r="BG161" s="137">
        <f>'LCFS Table'!$AW161*'LCFS Table'!$CA161</f>
        <v>0</v>
      </c>
      <c r="BH161" s="137">
        <f>'LCFS Table'!$AX161*'LCFS Table'!$CB161</f>
        <v>0.84394664564749988</v>
      </c>
      <c r="BI161" s="137">
        <f>'LCFS Table'!$AY161*'LCFS Table'!$CC161</f>
        <v>0</v>
      </c>
      <c r="BJ161" s="137">
        <f>'LCFS Table'!$AZ161*'LCFS Table'!$CD161</f>
        <v>1</v>
      </c>
      <c r="BK161" s="137">
        <f>'LCFS Table'!$BA161*'LCFS Table'!$CE161</f>
        <v>2.0429999999999997</v>
      </c>
      <c r="BL161" s="137">
        <f>'LCFS Table'!$BB161*'LCFS Table'!$CF161</f>
        <v>-1.2</v>
      </c>
      <c r="BM161" s="137">
        <f>'LCFS Table'!$AS161*'LCFS Table'!$CG161</f>
        <v>0</v>
      </c>
      <c r="BN161" s="137">
        <f>'LCFS Table'!$AT161*'LCFS Table'!$CH161</f>
        <v>0.16</v>
      </c>
      <c r="BO161" s="137">
        <f>'LCFS Table'!$AU161*'LCFS Table'!$CI161</f>
        <v>0</v>
      </c>
      <c r="BP161" s="137">
        <f>'LCFS Table'!$AV161*'LCFS Table'!$CJ161</f>
        <v>0</v>
      </c>
      <c r="BQ161" s="137">
        <f>'LCFS Table'!$AW161*'LCFS Table'!$CK161</f>
        <v>0</v>
      </c>
      <c r="BR161" s="137">
        <f>'LCFS Table'!$AX161*'LCFS Table'!$CL161</f>
        <v>0</v>
      </c>
      <c r="BS161" s="137">
        <f>'LCFS Table'!$AY161*'LCFS Table'!$CM161</f>
        <v>0</v>
      </c>
      <c r="BT161" s="137">
        <f>'LCFS Table'!$AZ161*'LCFS Table'!$CN161</f>
        <v>0</v>
      </c>
      <c r="BU161" s="137">
        <f>'LCFS Table'!$BA161*'LCFS Table'!$CO161</f>
        <v>0</v>
      </c>
      <c r="BV161" s="142">
        <f>'LCFS Table'!$BB161*'LCFS Table'!$CP161</f>
        <v>1.2</v>
      </c>
      <c r="BW161" s="138">
        <v>1</v>
      </c>
      <c r="BX161" s="138">
        <v>0</v>
      </c>
      <c r="BY161" s="138">
        <v>1</v>
      </c>
      <c r="BZ161" s="138">
        <v>1</v>
      </c>
      <c r="CA161" s="138">
        <v>-1</v>
      </c>
      <c r="CB161" s="138">
        <v>1</v>
      </c>
      <c r="CC161" s="138">
        <v>0</v>
      </c>
      <c r="CD161" s="138">
        <v>1</v>
      </c>
      <c r="CE161" s="138">
        <v>1</v>
      </c>
      <c r="CF161" s="138">
        <v>-1</v>
      </c>
      <c r="CG161" s="138">
        <f>1-'LCFS Table'!$BW161</f>
        <v>0</v>
      </c>
      <c r="CH161" s="138">
        <f>1-'LCFS Table'!$BX161</f>
        <v>1</v>
      </c>
      <c r="CI161" s="138">
        <f>1-'LCFS Table'!$BY161</f>
        <v>0</v>
      </c>
      <c r="CJ161" s="138">
        <f>1-'LCFS Table'!$BZ161</f>
        <v>0</v>
      </c>
      <c r="CK161" s="138">
        <f>-'LCFS Table'!$CA161</f>
        <v>1</v>
      </c>
      <c r="CL161" s="138">
        <f>1-'LCFS Table'!$CB161</f>
        <v>0</v>
      </c>
      <c r="CM161" s="138">
        <f>1-'LCFS Table'!$CC161</f>
        <v>1</v>
      </c>
      <c r="CN161" s="138">
        <f>1-'LCFS Table'!$CD161</f>
        <v>0</v>
      </c>
      <c r="CO161" s="138">
        <f>1-'LCFS Table'!$CE161</f>
        <v>0</v>
      </c>
      <c r="CP161" s="138">
        <f>-'LCFS Table'!$CF161</f>
        <v>1</v>
      </c>
      <c r="CQ161" s="140">
        <v>26.2</v>
      </c>
      <c r="CR161" s="165">
        <f>('LCFS Table'!$CQ161*0.9/(0.8/0.99)/100)</f>
        <v>0.29180249999999996</v>
      </c>
      <c r="CS161" s="166"/>
      <c r="CT161" s="167"/>
      <c r="CW161" s="168">
        <f>'LCFS Table'!$K161-'LCFS Table'!$M161</f>
        <v>0.42454664564749978</v>
      </c>
      <c r="CX161" s="129">
        <f>MONTH('LCFS Table'!$B161)</f>
        <v>1</v>
      </c>
      <c r="CY161" s="129">
        <f>YEAR('LCFS Table'!$B161)</f>
        <v>2022</v>
      </c>
    </row>
    <row r="162" spans="1:103">
      <c r="A162" s="148">
        <v>44577</v>
      </c>
      <c r="B162" s="149">
        <v>44583</v>
      </c>
      <c r="C162" s="132">
        <f t="shared" si="3"/>
        <v>2022</v>
      </c>
      <c r="D162" s="150" t="s">
        <v>259</v>
      </c>
      <c r="E162" s="187">
        <f>'LCFS Table'!$K162-'LCFS Table'!$I162</f>
        <v>-2.8890751564455575</v>
      </c>
      <c r="F162" s="187">
        <f>('LCFS Table'!$M162)-'LCFS Table'!$J162</f>
        <v>-3.9308735838031241</v>
      </c>
      <c r="G162" s="188">
        <f>'LCFS Table'!$E162+'LCFS Table'!$AS162+'LCFS Table'!$AT162+'LCFS Table'!$AU162+'LCFS Table'!$AV162</f>
        <v>1.7047407839677764</v>
      </c>
      <c r="H162" s="188">
        <f>'LCFS Table'!$F162+'LCFS Table'!$AX162+'LCFS Table'!$AY162+'LCFS Table'!$AZ162+'LCFS Table'!$BA162+('LCFS Table'!$CQ162*0.9/(0.8/0.99)/100)+(DG162*'LCFS Table'!$AF162)+(DF162*'LCFS Table'!$AG162)</f>
        <v>0.12755449218750053</v>
      </c>
      <c r="I162" s="187">
        <f>('LCFS Table'!$V162+'LCFS Table'!$W162+'LCFS Table'!$X162)/100+(('LCFS Table'!$AI162+'LCFS Table'!$AJ162)/340)</f>
        <v>5.5813751564455574</v>
      </c>
      <c r="J162" s="187">
        <f>(('LCFS Table'!$Y162+'LCFS Table'!$Z162)/100)+(('LCFS Table'!$AM162+'LCFS Table'!$AN162)/300)</f>
        <v>6.2745205078124995</v>
      </c>
      <c r="K162" s="190">
        <f>'[1]Fuel Values'!$C161</f>
        <v>2.6922999999999999</v>
      </c>
      <c r="L162" s="190">
        <f>'[1]Fuel Values'!$B161</f>
        <v>611.25</v>
      </c>
      <c r="M162" s="185">
        <f>('LCFS Table'!$L162/100)-'LCFS Table'!$AX162-'LCFS Table'!$AY162-'LCFS Table'!$AZ162-'LCFS Table'!$BA162</f>
        <v>2.3436469240093754</v>
      </c>
      <c r="N162" s="190">
        <f>[1]BFT!$B161</f>
        <v>69.9375</v>
      </c>
      <c r="O162" s="190">
        <f>[1]UCO!$B161</f>
        <v>61.75</v>
      </c>
      <c r="P162" s="190">
        <f>[1]DCO!$B161</f>
        <v>67.125</v>
      </c>
      <c r="Q162" s="190">
        <f>'[1]Soybean Oil'!$B161</f>
        <v>75.930000000000007</v>
      </c>
      <c r="R162" s="190">
        <f>'[1]Yellow Grease'!$B161</f>
        <v>52.9375</v>
      </c>
      <c r="S162" s="185">
        <f>'LCFS Table'!$N162 + 'LCFS Table'!$AH162</f>
        <v>74.3125</v>
      </c>
      <c r="T162" s="185">
        <f>'LCFS Table'!$Q162+'LCFS Table'!$AH162</f>
        <v>80.305000000000007</v>
      </c>
      <c r="U162" s="185">
        <f>'LCFS Table'!$P162+'LCFS Table'!$AH162</f>
        <v>71.5</v>
      </c>
      <c r="V162" s="185">
        <f>(('LCFS Table'!$S162/'LCFS Table'!$AA162)*'LCFS Table'!$AC162)*6.48</f>
        <v>256.14095744680856</v>
      </c>
      <c r="W162" s="185">
        <f>(('LCFS Table'!$O162/'LCFS Table'!$AA162)*'LCFS Table'!$AD162)*6.48</f>
        <v>106.42021276595744</v>
      </c>
      <c r="X162" s="185">
        <f>(('LCFS Table'!$U162/'LCFS Table'!$AA162)*'LCFS Table'!$AE162)*6.48</f>
        <v>123.22340425531915</v>
      </c>
      <c r="Y162" s="185">
        <f>(('LCFS Table'!$T162/'LCFS Table'!$AB162)*'LCFS Table'!$AF162)*7.35</f>
        <v>461.12636718749997</v>
      </c>
      <c r="Z162" s="185">
        <f>(('LCFS Table'!$R162/'LCFS Table'!$AB162)*'LCFS Table'!$AG162)*7.35</f>
        <v>101.32568359375</v>
      </c>
      <c r="AA162" s="138">
        <v>0.94</v>
      </c>
      <c r="AB162" s="138">
        <v>0.96</v>
      </c>
      <c r="AC162" s="138">
        <v>0.5</v>
      </c>
      <c r="AD162" s="138">
        <v>0.25</v>
      </c>
      <c r="AE162" s="138">
        <v>0.25</v>
      </c>
      <c r="AF162" s="138">
        <v>0.75</v>
      </c>
      <c r="AG162" s="138">
        <v>0.25</v>
      </c>
      <c r="AH162" s="139">
        <v>4.375</v>
      </c>
      <c r="AI162" s="139">
        <v>136</v>
      </c>
      <c r="AJ162" s="139">
        <v>110</v>
      </c>
      <c r="AK162" s="186">
        <f>('LCFS Table'!$AI162/340)*100</f>
        <v>40</v>
      </c>
      <c r="AL162" s="186">
        <f>('LCFS Table'!$AJ162/340)*100</f>
        <v>32.352941176470587</v>
      </c>
      <c r="AM162" s="139">
        <v>105</v>
      </c>
      <c r="AN162" s="139">
        <v>90</v>
      </c>
      <c r="AO162" s="139">
        <f>('LCFS Table'!$AM162/300)*100</f>
        <v>35</v>
      </c>
      <c r="AP162" s="139">
        <f>('LCFS Table'!$AN162/300)*100</f>
        <v>30</v>
      </c>
      <c r="AQ162" s="140">
        <f>'[1]LCFS Values'!$B161</f>
        <v>149.125</v>
      </c>
      <c r="AR162" s="140">
        <f>'[1]RIN Values'!$B161/100</f>
        <v>1.2906249999999999</v>
      </c>
      <c r="AS162" s="185">
        <v>1.2397534404133341</v>
      </c>
      <c r="AT162" s="137">
        <v>0.16</v>
      </c>
      <c r="AU162" s="137">
        <v>1</v>
      </c>
      <c r="AV162" s="185">
        <f>'LCFS Table'!$AR162*1.7</f>
        <v>2.1940624999999998</v>
      </c>
      <c r="AW162" s="137">
        <v>0</v>
      </c>
      <c r="AX162" s="185">
        <v>0.83291557599062493</v>
      </c>
      <c r="AY162" s="137">
        <v>0</v>
      </c>
      <c r="AZ162" s="141">
        <v>1</v>
      </c>
      <c r="BA162" s="185">
        <f>'LCFS Table'!$AR162*1.5</f>
        <v>1.9359374999999999</v>
      </c>
      <c r="BB162" s="142">
        <v>1.2</v>
      </c>
      <c r="BC162" s="185">
        <f>'LCFS Table'!$AS162*'LCFS Table'!$BW162</f>
        <v>1.2397534404133341</v>
      </c>
      <c r="BD162" s="185">
        <f>'LCFS Table'!$AT162*'LCFS Table'!$BX162</f>
        <v>0</v>
      </c>
      <c r="BE162" s="185">
        <f>'LCFS Table'!$AU162*'LCFS Table'!$BY162</f>
        <v>1</v>
      </c>
      <c r="BF162" s="137">
        <f>'LCFS Table'!$AV162*'LCFS Table'!$BZ162</f>
        <v>2.1940624999999998</v>
      </c>
      <c r="BG162" s="137">
        <f>'LCFS Table'!$AW162*'LCFS Table'!$CA162</f>
        <v>0</v>
      </c>
      <c r="BH162" s="137">
        <f>'LCFS Table'!$AX162*'LCFS Table'!$CB162</f>
        <v>0.83291557599062493</v>
      </c>
      <c r="BI162" s="137">
        <f>'LCFS Table'!$AY162*'LCFS Table'!$CC162</f>
        <v>0</v>
      </c>
      <c r="BJ162" s="137">
        <f>'LCFS Table'!$AZ162*'LCFS Table'!$CD162</f>
        <v>1</v>
      </c>
      <c r="BK162" s="137">
        <f>'LCFS Table'!$BA162*'LCFS Table'!$CE162</f>
        <v>1.9359374999999999</v>
      </c>
      <c r="BL162" s="137">
        <f>'LCFS Table'!$BB162*'LCFS Table'!$CF162</f>
        <v>-1.2</v>
      </c>
      <c r="BM162" s="137">
        <f>'LCFS Table'!$AS162*'LCFS Table'!$CG162</f>
        <v>0</v>
      </c>
      <c r="BN162" s="137">
        <f>'LCFS Table'!$AT162*'LCFS Table'!$CH162</f>
        <v>0.16</v>
      </c>
      <c r="BO162" s="137">
        <f>'LCFS Table'!$AU162*'LCFS Table'!$CI162</f>
        <v>0</v>
      </c>
      <c r="BP162" s="137">
        <f>'LCFS Table'!$AV162*'LCFS Table'!$CJ162</f>
        <v>0</v>
      </c>
      <c r="BQ162" s="137">
        <f>'LCFS Table'!$AW162*'LCFS Table'!$CK162</f>
        <v>0</v>
      </c>
      <c r="BR162" s="137">
        <f>'LCFS Table'!$AX162*'LCFS Table'!$CL162</f>
        <v>0</v>
      </c>
      <c r="BS162" s="137">
        <f>'LCFS Table'!$AY162*'LCFS Table'!$CM162</f>
        <v>0</v>
      </c>
      <c r="BT162" s="137">
        <f>'LCFS Table'!$AZ162*'LCFS Table'!$CN162</f>
        <v>0</v>
      </c>
      <c r="BU162" s="137">
        <f>'LCFS Table'!$BA162*'LCFS Table'!$CO162</f>
        <v>0</v>
      </c>
      <c r="BV162" s="142">
        <f>'LCFS Table'!$BB162*'LCFS Table'!$CP162</f>
        <v>1.2</v>
      </c>
      <c r="BW162" s="138">
        <v>1</v>
      </c>
      <c r="BX162" s="138">
        <v>0</v>
      </c>
      <c r="BY162" s="138">
        <v>1</v>
      </c>
      <c r="BZ162" s="138">
        <v>1</v>
      </c>
      <c r="CA162" s="138">
        <v>-1</v>
      </c>
      <c r="CB162" s="138">
        <v>1</v>
      </c>
      <c r="CC162" s="138">
        <v>0</v>
      </c>
      <c r="CD162" s="138">
        <v>1</v>
      </c>
      <c r="CE162" s="138">
        <v>1</v>
      </c>
      <c r="CF162" s="138">
        <v>-1</v>
      </c>
      <c r="CG162" s="138">
        <f>1-'LCFS Table'!$BW162</f>
        <v>0</v>
      </c>
      <c r="CH162" s="138">
        <f>1-'LCFS Table'!$BX162</f>
        <v>1</v>
      </c>
      <c r="CI162" s="138">
        <f>1-'LCFS Table'!$BY162</f>
        <v>0</v>
      </c>
      <c r="CJ162" s="138">
        <f>1-'LCFS Table'!$BZ162</f>
        <v>0</v>
      </c>
      <c r="CK162" s="138">
        <f>-'LCFS Table'!$CA162</f>
        <v>1</v>
      </c>
      <c r="CL162" s="138">
        <f>1-'LCFS Table'!$CB162</f>
        <v>0</v>
      </c>
      <c r="CM162" s="138">
        <f>1-'LCFS Table'!$CC162</f>
        <v>1</v>
      </c>
      <c r="CN162" s="138">
        <f>1-'LCFS Table'!$CD162</f>
        <v>0</v>
      </c>
      <c r="CO162" s="138">
        <f>1-'LCFS Table'!$CE162</f>
        <v>0</v>
      </c>
      <c r="CP162" s="138">
        <f>-'LCFS Table'!$CF162</f>
        <v>1</v>
      </c>
      <c r="CQ162" s="140">
        <v>26</v>
      </c>
      <c r="CR162" s="165">
        <f>('LCFS Table'!$CQ162*0.9/(0.8/0.99)/100)</f>
        <v>0.28957499999999997</v>
      </c>
      <c r="CS162" s="166"/>
      <c r="CT162" s="167"/>
      <c r="CW162" s="168">
        <f>'LCFS Table'!$K162-'LCFS Table'!$M162</f>
        <v>0.34865307599062456</v>
      </c>
      <c r="CX162" s="129">
        <f>MONTH('LCFS Table'!$B162)</f>
        <v>1</v>
      </c>
      <c r="CY162" s="129">
        <f>YEAR('LCFS Table'!$B162)</f>
        <v>2022</v>
      </c>
    </row>
    <row r="163" spans="1:103">
      <c r="A163" s="148">
        <v>44584</v>
      </c>
      <c r="B163" s="149">
        <v>44590</v>
      </c>
      <c r="C163" s="132">
        <f t="shared" si="3"/>
        <v>2022</v>
      </c>
      <c r="D163" s="182" t="s">
        <v>260</v>
      </c>
      <c r="E163" s="187">
        <f>'LCFS Table'!$K163-'LCFS Table'!$I163</f>
        <v>-2.8998389862327918</v>
      </c>
      <c r="F163" s="187">
        <f>('LCFS Table'!$M163)-'LCFS Table'!$J163</f>
        <v>-4.0267534715512499</v>
      </c>
      <c r="G163" s="188">
        <f>'LCFS Table'!$E163+'LCFS Table'!$AS163+'LCFS Table'!$AT163+'LCFS Table'!$AU163+'LCFS Table'!$AV163</f>
        <v>1.8885663476801853</v>
      </c>
      <c r="H163" s="188">
        <f>'LCFS Table'!$F163+'LCFS Table'!$AX163+'LCFS Table'!$AY163+'LCFS Table'!$AZ163+'LCFS Table'!$BA163+('LCFS Table'!$CQ163*0.9/(0.8/0.99)/100)+(DG163*'LCFS Table'!$AF163)+(DF163*'LCFS Table'!$AG163)</f>
        <v>0.21616734375000002</v>
      </c>
      <c r="I163" s="187">
        <f>('LCFS Table'!$V163+'LCFS Table'!$W163+'LCFS Table'!$X163)/100+(('LCFS Table'!$AI163+'LCFS Table'!$AJ163)/340)</f>
        <v>5.633938986232792</v>
      </c>
      <c r="J163" s="187">
        <f>(('LCFS Table'!$Y163+'LCFS Table'!$Z163)/100)+(('LCFS Table'!$AM163+'LCFS Table'!$AN163)/300)</f>
        <v>6.4067726562500003</v>
      </c>
      <c r="K163" s="190">
        <f>'[1]Fuel Values'!$C162</f>
        <v>2.7341000000000002</v>
      </c>
      <c r="L163" s="190">
        <f>'[1]Fuel Values'!$B162</f>
        <v>632</v>
      </c>
      <c r="M163" s="185">
        <f>('LCFS Table'!$L163/100)-'LCFS Table'!$AX163-'LCFS Table'!$AY163-'LCFS Table'!$AZ163-'LCFS Table'!$BA163</f>
        <v>2.3800191846987504</v>
      </c>
      <c r="N163" s="190">
        <f>[1]BFT!$B162</f>
        <v>70</v>
      </c>
      <c r="O163" s="190">
        <f>[1]UCO!$B162</f>
        <v>62.5</v>
      </c>
      <c r="P163" s="190">
        <f>[1]DCO!$B162</f>
        <v>69.3</v>
      </c>
      <c r="Q163" s="190">
        <f>'[1]Soybean Oil'!$B162</f>
        <v>77.953999999999994</v>
      </c>
      <c r="R163" s="190">
        <f>'[1]Yellow Grease'!$B162</f>
        <v>53.774999999999999</v>
      </c>
      <c r="S163" s="185">
        <f>'LCFS Table'!$N163 + 'LCFS Table'!$AH163</f>
        <v>74.375</v>
      </c>
      <c r="T163" s="185">
        <f>'LCFS Table'!$Q163+'LCFS Table'!$AH163</f>
        <v>82.328999999999994</v>
      </c>
      <c r="U163" s="185">
        <f>'LCFS Table'!$P163+'LCFS Table'!$AH163</f>
        <v>73.674999999999997</v>
      </c>
      <c r="V163" s="185">
        <f>(('LCFS Table'!$S163/'LCFS Table'!$AA163)*'LCFS Table'!$AC163)*6.48</f>
        <v>256.35638297872345</v>
      </c>
      <c r="W163" s="185">
        <f>(('LCFS Table'!$O163/'LCFS Table'!$AA163)*'LCFS Table'!$AD163)*6.48</f>
        <v>107.71276595744683</v>
      </c>
      <c r="X163" s="185">
        <f>(('LCFS Table'!$U163/'LCFS Table'!$AA163)*'LCFS Table'!$AE163)*6.48</f>
        <v>126.9718085106383</v>
      </c>
      <c r="Y163" s="185">
        <f>(('LCFS Table'!$T163/'LCFS Table'!$AB163)*'LCFS Table'!$AF163)*7.35</f>
        <v>472.74855468749996</v>
      </c>
      <c r="Z163" s="185">
        <f>(('LCFS Table'!$R163/'LCFS Table'!$AB163)*'LCFS Table'!$AG163)*7.35</f>
        <v>102.9287109375</v>
      </c>
      <c r="AA163" s="138">
        <v>0.94</v>
      </c>
      <c r="AB163" s="138">
        <v>0.96</v>
      </c>
      <c r="AC163" s="138">
        <v>0.5</v>
      </c>
      <c r="AD163" s="138">
        <v>0.25</v>
      </c>
      <c r="AE163" s="138">
        <v>0.25</v>
      </c>
      <c r="AF163" s="138">
        <v>0.75</v>
      </c>
      <c r="AG163" s="138">
        <v>0.25</v>
      </c>
      <c r="AH163" s="139">
        <v>4.375</v>
      </c>
      <c r="AI163" s="139">
        <v>136</v>
      </c>
      <c r="AJ163" s="139">
        <v>110</v>
      </c>
      <c r="AK163" s="186">
        <f>('LCFS Table'!$AI163/340)*100</f>
        <v>40</v>
      </c>
      <c r="AL163" s="186">
        <f>('LCFS Table'!$AJ163/340)*100</f>
        <v>32.352941176470587</v>
      </c>
      <c r="AM163" s="139">
        <v>105</v>
      </c>
      <c r="AN163" s="139">
        <v>90</v>
      </c>
      <c r="AO163" s="139">
        <f>('LCFS Table'!$AM163/300)*100</f>
        <v>35</v>
      </c>
      <c r="AP163" s="139">
        <f>('LCFS Table'!$AN163/300)*100</f>
        <v>30</v>
      </c>
      <c r="AQ163" s="140">
        <f>'[1]LCFS Values'!$B162</f>
        <v>149.44999999999999</v>
      </c>
      <c r="AR163" s="140">
        <f>'[1]RIN Values'!$B162/100</f>
        <v>1.4035</v>
      </c>
      <c r="AS163" s="185">
        <v>1.2424553339129774</v>
      </c>
      <c r="AT163" s="137">
        <v>0.16</v>
      </c>
      <c r="AU163" s="137">
        <v>1</v>
      </c>
      <c r="AV163" s="185">
        <f>'LCFS Table'!$AR163*1.7</f>
        <v>2.3859499999999998</v>
      </c>
      <c r="AW163" s="137">
        <v>0</v>
      </c>
      <c r="AX163" s="185">
        <v>0.83473081530124982</v>
      </c>
      <c r="AY163" s="137">
        <v>0</v>
      </c>
      <c r="AZ163" s="141">
        <v>1</v>
      </c>
      <c r="BA163" s="185">
        <f>'LCFS Table'!$AR163*1.5</f>
        <v>2.1052499999999998</v>
      </c>
      <c r="BB163" s="142">
        <v>1.2</v>
      </c>
      <c r="BC163" s="185">
        <f>'LCFS Table'!$AS163*'LCFS Table'!$BW163</f>
        <v>1.2424553339129774</v>
      </c>
      <c r="BD163" s="185">
        <f>'LCFS Table'!$AT163*'LCFS Table'!$BX163</f>
        <v>0</v>
      </c>
      <c r="BE163" s="185">
        <f>'LCFS Table'!$AU163*'LCFS Table'!$BY163</f>
        <v>1</v>
      </c>
      <c r="BF163" s="137">
        <f>'LCFS Table'!$AV163*'LCFS Table'!$BZ163</f>
        <v>2.3859499999999998</v>
      </c>
      <c r="BG163" s="137">
        <f>'LCFS Table'!$AW163*'LCFS Table'!$CA163</f>
        <v>0</v>
      </c>
      <c r="BH163" s="137">
        <f>'LCFS Table'!$AX163*'LCFS Table'!$CB163</f>
        <v>0.83473081530124982</v>
      </c>
      <c r="BI163" s="137">
        <f>'LCFS Table'!$AY163*'LCFS Table'!$CC163</f>
        <v>0</v>
      </c>
      <c r="BJ163" s="137">
        <f>'LCFS Table'!$AZ163*'LCFS Table'!$CD163</f>
        <v>1</v>
      </c>
      <c r="BK163" s="137">
        <f>'LCFS Table'!$BA163*'LCFS Table'!$CE163</f>
        <v>2.1052499999999998</v>
      </c>
      <c r="BL163" s="137">
        <f>'LCFS Table'!$BB163*'LCFS Table'!$CF163</f>
        <v>-1.2</v>
      </c>
      <c r="BM163" s="137">
        <f>'LCFS Table'!$AS163*'LCFS Table'!$CG163</f>
        <v>0</v>
      </c>
      <c r="BN163" s="137">
        <f>'LCFS Table'!$AT163*'LCFS Table'!$CH163</f>
        <v>0.16</v>
      </c>
      <c r="BO163" s="137">
        <f>'LCFS Table'!$AU163*'LCFS Table'!$CI163</f>
        <v>0</v>
      </c>
      <c r="BP163" s="137">
        <f>'LCFS Table'!$AV163*'LCFS Table'!$CJ163</f>
        <v>0</v>
      </c>
      <c r="BQ163" s="137">
        <f>'LCFS Table'!$AW163*'LCFS Table'!$CK163</f>
        <v>0</v>
      </c>
      <c r="BR163" s="137">
        <f>'LCFS Table'!$AX163*'LCFS Table'!$CL163</f>
        <v>0</v>
      </c>
      <c r="BS163" s="137">
        <f>'LCFS Table'!$AY163*'LCFS Table'!$CM163</f>
        <v>0</v>
      </c>
      <c r="BT163" s="137">
        <f>'LCFS Table'!$AZ163*'LCFS Table'!$CN163</f>
        <v>0</v>
      </c>
      <c r="BU163" s="137">
        <f>'LCFS Table'!$BA163*'LCFS Table'!$CO163</f>
        <v>0</v>
      </c>
      <c r="BV163" s="142">
        <f>'LCFS Table'!$BB163*'LCFS Table'!$CP163</f>
        <v>1.2</v>
      </c>
      <c r="BW163" s="138">
        <v>1</v>
      </c>
      <c r="BX163" s="138">
        <v>0</v>
      </c>
      <c r="BY163" s="138">
        <v>1</v>
      </c>
      <c r="BZ163" s="138">
        <v>1</v>
      </c>
      <c r="CA163" s="138">
        <v>-1</v>
      </c>
      <c r="CB163" s="138">
        <v>1</v>
      </c>
      <c r="CC163" s="138">
        <v>0</v>
      </c>
      <c r="CD163" s="138">
        <v>1</v>
      </c>
      <c r="CE163" s="138">
        <v>1</v>
      </c>
      <c r="CF163" s="138">
        <v>-1</v>
      </c>
      <c r="CG163" s="138">
        <f>1-'LCFS Table'!$BW163</f>
        <v>0</v>
      </c>
      <c r="CH163" s="138">
        <f>1-'LCFS Table'!$BX163</f>
        <v>1</v>
      </c>
      <c r="CI163" s="138">
        <f>1-'LCFS Table'!$BY163</f>
        <v>0</v>
      </c>
      <c r="CJ163" s="138">
        <f>1-'LCFS Table'!$BZ163</f>
        <v>0</v>
      </c>
      <c r="CK163" s="138">
        <f>-'LCFS Table'!$CA163</f>
        <v>1</v>
      </c>
      <c r="CL163" s="138">
        <f>1-'LCFS Table'!$CB163</f>
        <v>0</v>
      </c>
      <c r="CM163" s="138">
        <f>1-'LCFS Table'!$CC163</f>
        <v>1</v>
      </c>
      <c r="CN163" s="138">
        <f>1-'LCFS Table'!$CD163</f>
        <v>0</v>
      </c>
      <c r="CO163" s="138">
        <f>1-'LCFS Table'!$CE163</f>
        <v>0</v>
      </c>
      <c r="CP163" s="138">
        <f>-'LCFS Table'!$CF163</f>
        <v>1</v>
      </c>
      <c r="CQ163" s="140">
        <v>27.2</v>
      </c>
      <c r="CR163" s="165">
        <f>('LCFS Table'!$CQ163*0.9/(0.8/0.99)/100)</f>
        <v>0.30293999999999999</v>
      </c>
      <c r="CS163" s="166"/>
      <c r="CT163" s="167"/>
      <c r="CW163" s="168">
        <f>'LCFS Table'!$K163-'LCFS Table'!$M163</f>
        <v>0.3540808153012498</v>
      </c>
      <c r="CX163" s="129">
        <f>MONTH('LCFS Table'!$B163)</f>
        <v>1</v>
      </c>
      <c r="CY163" s="129">
        <f>YEAR('LCFS Table'!$B163)</f>
        <v>2022</v>
      </c>
    </row>
    <row r="164" spans="1:103">
      <c r="A164" s="148">
        <v>44591</v>
      </c>
      <c r="B164" s="149">
        <v>44597</v>
      </c>
      <c r="C164" s="132">
        <f t="shared" si="3"/>
        <v>2022</v>
      </c>
      <c r="D164" s="150" t="s">
        <v>261</v>
      </c>
      <c r="E164" s="187">
        <f>'LCFS Table'!$K164-'LCFS Table'!$I164</f>
        <v>-2.8878879224030052</v>
      </c>
      <c r="F164" s="187">
        <f>('LCFS Table'!$M164)-'LCFS Table'!$J164</f>
        <v>-3.9216389881624996</v>
      </c>
      <c r="G164" s="188">
        <f>'LCFS Table'!$E164+'LCFS Table'!$AS164+'LCFS Table'!$AT164+'LCFS Table'!$AU164+'LCFS Table'!$AV164</f>
        <v>1.8910019766703452</v>
      </c>
      <c r="H164" s="188">
        <f>'LCFS Table'!$F164+'LCFS Table'!$AX164+'LCFS Table'!$AY164+'LCFS Table'!$AZ164+'LCFS Table'!$BA164+('LCFS Table'!$CQ164*0.9/(0.8/0.99)/100)+(DG164*'LCFS Table'!$AF164)+(DF164*'LCFS Table'!$AG164)</f>
        <v>0.34334648437500004</v>
      </c>
      <c r="I164" s="187">
        <f>('LCFS Table'!$V164+'LCFS Table'!$W164+'LCFS Table'!$X164)/100+(('LCFS Table'!$AI164+'LCFS Table'!$AJ164)/340)</f>
        <v>5.6890879224030053</v>
      </c>
      <c r="J164" s="187">
        <f>(('LCFS Table'!$Y164+'LCFS Table'!$Z164)/100)+(('LCFS Table'!$AM164+'LCFS Table'!$AN164)/300)</f>
        <v>6.4796410156249999</v>
      </c>
      <c r="K164" s="190">
        <f>'[1]Fuel Values'!$C163</f>
        <v>2.8012000000000001</v>
      </c>
      <c r="L164" s="190">
        <f>'[1]Fuel Values'!$B163</f>
        <v>650</v>
      </c>
      <c r="M164" s="185">
        <f>('LCFS Table'!$L164/100)-'LCFS Table'!$AX164-'LCFS Table'!$AY164-'LCFS Table'!$AZ164-'LCFS Table'!$BA164</f>
        <v>2.5580020274625004</v>
      </c>
      <c r="N164" s="190">
        <f>[1]BFT!$B163</f>
        <v>70.349999999999994</v>
      </c>
      <c r="O164" s="190">
        <f>[1]UCO!$B163</f>
        <v>62.5</v>
      </c>
      <c r="P164" s="190">
        <f>[1]DCO!$B163</f>
        <v>71.8</v>
      </c>
      <c r="Q164" s="190">
        <f>'[1]Soybean Oil'!$B163</f>
        <v>79.147999999999996</v>
      </c>
      <c r="R164" s="190">
        <f>'[1]Yellow Grease'!$B163</f>
        <v>54</v>
      </c>
      <c r="S164" s="185">
        <f>'LCFS Table'!$N164 + 'LCFS Table'!$AH164</f>
        <v>74.724999999999994</v>
      </c>
      <c r="T164" s="185">
        <f>'LCFS Table'!$Q164+'LCFS Table'!$AH164</f>
        <v>83.522999999999996</v>
      </c>
      <c r="U164" s="185">
        <f>'LCFS Table'!$P164+'LCFS Table'!$AH164</f>
        <v>76.174999999999997</v>
      </c>
      <c r="V164" s="185">
        <f>(('LCFS Table'!$S164/'LCFS Table'!$AA164)*'LCFS Table'!$AC164)*6.48</f>
        <v>257.56276595744686</v>
      </c>
      <c r="W164" s="185">
        <f>(('LCFS Table'!$O164/'LCFS Table'!$AA164)*'LCFS Table'!$AD164)*6.48</f>
        <v>107.71276595744683</v>
      </c>
      <c r="X164" s="185">
        <f>(('LCFS Table'!$U164/'LCFS Table'!$AA164)*'LCFS Table'!$AE164)*6.48</f>
        <v>131.28031914893617</v>
      </c>
      <c r="Y164" s="185">
        <f>(('LCFS Table'!$T164/'LCFS Table'!$AB164)*'LCFS Table'!$AF164)*7.35</f>
        <v>479.60472656249993</v>
      </c>
      <c r="Z164" s="185">
        <f>(('LCFS Table'!$R164/'LCFS Table'!$AB164)*'LCFS Table'!$AG164)*7.35</f>
        <v>103.359375</v>
      </c>
      <c r="AA164" s="138">
        <v>0.94</v>
      </c>
      <c r="AB164" s="138">
        <v>0.96</v>
      </c>
      <c r="AC164" s="138">
        <v>0.5</v>
      </c>
      <c r="AD164" s="138">
        <v>0.25</v>
      </c>
      <c r="AE164" s="138">
        <v>0.25</v>
      </c>
      <c r="AF164" s="138">
        <v>0.75</v>
      </c>
      <c r="AG164" s="138">
        <v>0.25</v>
      </c>
      <c r="AH164" s="139">
        <v>4.375</v>
      </c>
      <c r="AI164" s="139">
        <v>136</v>
      </c>
      <c r="AJ164" s="139">
        <v>110</v>
      </c>
      <c r="AK164" s="186">
        <f>('LCFS Table'!$AI164/340)*100</f>
        <v>40</v>
      </c>
      <c r="AL164" s="186">
        <f>('LCFS Table'!$AJ164/340)*100</f>
        <v>32.352941176470587</v>
      </c>
      <c r="AM164" s="139">
        <v>105</v>
      </c>
      <c r="AN164" s="139">
        <v>90</v>
      </c>
      <c r="AO164" s="139">
        <f>('LCFS Table'!$AM164/300)*100</f>
        <v>35</v>
      </c>
      <c r="AP164" s="139">
        <f>('LCFS Table'!$AN164/300)*100</f>
        <v>30</v>
      </c>
      <c r="AQ164" s="140">
        <f>'[1]LCFS Values'!$B163</f>
        <v>143.5</v>
      </c>
      <c r="AR164" s="140">
        <f>'[1]RIN Values'!$B163/100</f>
        <v>1.4269999999999998</v>
      </c>
      <c r="AS164" s="185">
        <v>1.192989899073351</v>
      </c>
      <c r="AT164" s="137">
        <v>0.16</v>
      </c>
      <c r="AU164" s="137">
        <v>1</v>
      </c>
      <c r="AV164" s="185">
        <f>'LCFS Table'!$AR164*1.7</f>
        <v>2.4258999999999995</v>
      </c>
      <c r="AW164" s="137">
        <v>0</v>
      </c>
      <c r="AX164" s="185">
        <v>0.80149797253749988</v>
      </c>
      <c r="AY164" s="137">
        <v>0</v>
      </c>
      <c r="AZ164" s="141">
        <v>1</v>
      </c>
      <c r="BA164" s="185">
        <f>'LCFS Table'!$AR164*1.5</f>
        <v>2.1404999999999998</v>
      </c>
      <c r="BB164" s="142">
        <v>1.2</v>
      </c>
      <c r="BC164" s="185">
        <f>'LCFS Table'!$AS164*'LCFS Table'!$BW164</f>
        <v>1.192989899073351</v>
      </c>
      <c r="BD164" s="185">
        <f>'LCFS Table'!$AT164*'LCFS Table'!$BX164</f>
        <v>0</v>
      </c>
      <c r="BE164" s="185">
        <f>'LCFS Table'!$AU164*'LCFS Table'!$BY164</f>
        <v>1</v>
      </c>
      <c r="BF164" s="137">
        <f>'LCFS Table'!$AV164*'LCFS Table'!$BZ164</f>
        <v>2.4258999999999995</v>
      </c>
      <c r="BG164" s="137">
        <f>'LCFS Table'!$AW164*'LCFS Table'!$CA164</f>
        <v>0</v>
      </c>
      <c r="BH164" s="137">
        <f>'LCFS Table'!$AX164*'LCFS Table'!$CB164</f>
        <v>0.80149797253749988</v>
      </c>
      <c r="BI164" s="137">
        <f>'LCFS Table'!$AY164*'LCFS Table'!$CC164</f>
        <v>0</v>
      </c>
      <c r="BJ164" s="137">
        <f>'LCFS Table'!$AZ164*'LCFS Table'!$CD164</f>
        <v>1</v>
      </c>
      <c r="BK164" s="137">
        <f>'LCFS Table'!$BA164*'LCFS Table'!$CE164</f>
        <v>2.1404999999999998</v>
      </c>
      <c r="BL164" s="137">
        <f>'LCFS Table'!$BB164*'LCFS Table'!$CF164</f>
        <v>-1.2</v>
      </c>
      <c r="BM164" s="137">
        <f>'LCFS Table'!$AS164*'LCFS Table'!$CG164</f>
        <v>0</v>
      </c>
      <c r="BN164" s="137">
        <f>'LCFS Table'!$AT164*'LCFS Table'!$CH164</f>
        <v>0.16</v>
      </c>
      <c r="BO164" s="137">
        <f>'LCFS Table'!$AU164*'LCFS Table'!$CI164</f>
        <v>0</v>
      </c>
      <c r="BP164" s="137">
        <f>'LCFS Table'!$AV164*'LCFS Table'!$CJ164</f>
        <v>0</v>
      </c>
      <c r="BQ164" s="137">
        <f>'LCFS Table'!$AW164*'LCFS Table'!$CK164</f>
        <v>0</v>
      </c>
      <c r="BR164" s="137">
        <f>'LCFS Table'!$AX164*'LCFS Table'!$CL164</f>
        <v>0</v>
      </c>
      <c r="BS164" s="137">
        <f>'LCFS Table'!$AY164*'LCFS Table'!$CM164</f>
        <v>0</v>
      </c>
      <c r="BT164" s="137">
        <f>'LCFS Table'!$AZ164*'LCFS Table'!$CN164</f>
        <v>0</v>
      </c>
      <c r="BU164" s="137">
        <f>'LCFS Table'!$BA164*'LCFS Table'!$CO164</f>
        <v>0</v>
      </c>
      <c r="BV164" s="142">
        <f>'LCFS Table'!$BB164*'LCFS Table'!$CP164</f>
        <v>1.2</v>
      </c>
      <c r="BW164" s="138">
        <v>1</v>
      </c>
      <c r="BX164" s="138">
        <v>0</v>
      </c>
      <c r="BY164" s="138">
        <v>1</v>
      </c>
      <c r="BZ164" s="138">
        <v>1</v>
      </c>
      <c r="CA164" s="138">
        <v>-1</v>
      </c>
      <c r="CB164" s="138">
        <v>1</v>
      </c>
      <c r="CC164" s="138">
        <v>0</v>
      </c>
      <c r="CD164" s="138">
        <v>1</v>
      </c>
      <c r="CE164" s="138">
        <v>1</v>
      </c>
      <c r="CF164" s="138">
        <v>-1</v>
      </c>
      <c r="CG164" s="138">
        <f>1-'LCFS Table'!$BW164</f>
        <v>0</v>
      </c>
      <c r="CH164" s="138">
        <f>1-'LCFS Table'!$BX164</f>
        <v>1</v>
      </c>
      <c r="CI164" s="138">
        <f>1-'LCFS Table'!$BY164</f>
        <v>0</v>
      </c>
      <c r="CJ164" s="138">
        <f>1-'LCFS Table'!$BZ164</f>
        <v>0</v>
      </c>
      <c r="CK164" s="138">
        <f>-'LCFS Table'!$CA164</f>
        <v>1</v>
      </c>
      <c r="CL164" s="138">
        <f>1-'LCFS Table'!$CB164</f>
        <v>0</v>
      </c>
      <c r="CM164" s="138">
        <f>1-'LCFS Table'!$CC164</f>
        <v>1</v>
      </c>
      <c r="CN164" s="138">
        <f>1-'LCFS Table'!$CD164</f>
        <v>0</v>
      </c>
      <c r="CO164" s="138">
        <f>1-'LCFS Table'!$CE164</f>
        <v>0</v>
      </c>
      <c r="CP164" s="138">
        <f>-'LCFS Table'!$CF164</f>
        <v>1</v>
      </c>
      <c r="CQ164" s="140">
        <v>29</v>
      </c>
      <c r="CR164" s="165">
        <f>('LCFS Table'!$CQ164*0.9/(0.8/0.99)/100)</f>
        <v>0.32298749999999998</v>
      </c>
      <c r="CS164" s="166"/>
      <c r="CT164" s="167"/>
      <c r="CW164" s="168">
        <f>'LCFS Table'!$K164-'LCFS Table'!$M164</f>
        <v>0.24319797253749975</v>
      </c>
      <c r="CX164" s="129">
        <f>MONTH('LCFS Table'!$B164)</f>
        <v>2</v>
      </c>
      <c r="CY164" s="129">
        <f>YEAR('LCFS Table'!$B164)</f>
        <v>2022</v>
      </c>
    </row>
    <row r="165" spans="1:103">
      <c r="A165" s="148">
        <v>44598</v>
      </c>
      <c r="B165" s="149">
        <v>44604</v>
      </c>
      <c r="C165" s="132">
        <f t="shared" si="3"/>
        <v>2022</v>
      </c>
      <c r="D165" s="182" t="s">
        <v>262</v>
      </c>
      <c r="E165" s="187">
        <f>'LCFS Table'!$K165-'LCFS Table'!$I165</f>
        <v>-2.8666857947434297</v>
      </c>
      <c r="F165" s="187">
        <f>('LCFS Table'!$M165)-'LCFS Table'!$J165</f>
        <v>-3.7223441245400011</v>
      </c>
      <c r="G165" s="188">
        <f>'LCFS Table'!$E165+'LCFS Table'!$AS165+'LCFS Table'!$AT165+'LCFS Table'!$AU165+'LCFS Table'!$AV165</f>
        <v>1.8352457155629938</v>
      </c>
      <c r="H165" s="188">
        <f>'LCFS Table'!$F165+'LCFS Table'!$AX165+'LCFS Table'!$AY165+'LCFS Table'!$AZ165+'LCFS Table'!$BA165+('LCFS Table'!$CQ165*0.9/(0.8/0.99)/100)+(DG165*'LCFS Table'!$AF165)+(DF165*'LCFS Table'!$AG165)</f>
        <v>0.42272460937499889</v>
      </c>
      <c r="I165" s="187">
        <f>('LCFS Table'!$V165+'LCFS Table'!$W165+'LCFS Table'!$X165)/100+(('LCFS Table'!$AI165+'LCFS Table'!$AJ165)/340)</f>
        <v>5.7183857947434298</v>
      </c>
      <c r="J165" s="187">
        <f>(('LCFS Table'!$Y165+'LCFS Table'!$Z165)/100)+(('LCFS Table'!$AM165+'LCFS Table'!$AN165)/300)</f>
        <v>6.4445753906250003</v>
      </c>
      <c r="K165" s="190">
        <f>'[1]Fuel Values'!$C164</f>
        <v>2.8517000000000001</v>
      </c>
      <c r="L165" s="190">
        <f>'[1]Fuel Values'!$B164</f>
        <v>660</v>
      </c>
      <c r="M165" s="185">
        <f>('LCFS Table'!$L165/100)-'LCFS Table'!$AX165-'LCFS Table'!$AY165-'LCFS Table'!$AZ165-'LCFS Table'!$BA165</f>
        <v>2.7222312660849992</v>
      </c>
      <c r="N165" s="190">
        <f>[1]BFT!$B164</f>
        <v>70.099999999999994</v>
      </c>
      <c r="O165" s="190">
        <f>[1]UCO!$B164</f>
        <v>64</v>
      </c>
      <c r="P165" s="190">
        <f>[1]DCO!$B164</f>
        <v>72.5</v>
      </c>
      <c r="Q165" s="190">
        <f>'[1]Soybean Oil'!$B164</f>
        <v>77.453999999999994</v>
      </c>
      <c r="R165" s="190">
        <f>'[1]Yellow Grease'!$B164</f>
        <v>57.25</v>
      </c>
      <c r="S165" s="185">
        <f>'LCFS Table'!$N165 + 'LCFS Table'!$AH165</f>
        <v>74.474999999999994</v>
      </c>
      <c r="T165" s="185">
        <f>'LCFS Table'!$Q165+'LCFS Table'!$AH165</f>
        <v>81.828999999999994</v>
      </c>
      <c r="U165" s="185">
        <f>'LCFS Table'!$P165+'LCFS Table'!$AH165</f>
        <v>76.875</v>
      </c>
      <c r="V165" s="185">
        <f>(('LCFS Table'!$S165/'LCFS Table'!$AA165)*'LCFS Table'!$AC165)*6.48</f>
        <v>256.70106382978724</v>
      </c>
      <c r="W165" s="185">
        <f>(('LCFS Table'!$O165/'LCFS Table'!$AA165)*'LCFS Table'!$AD165)*6.48</f>
        <v>110.29787234042554</v>
      </c>
      <c r="X165" s="185">
        <f>(('LCFS Table'!$U165/'LCFS Table'!$AA165)*'LCFS Table'!$AE165)*6.48</f>
        <v>132.48670212765958</v>
      </c>
      <c r="Y165" s="185">
        <f>(('LCFS Table'!$T165/'LCFS Table'!$AB165)*'LCFS Table'!$AF165)*7.35</f>
        <v>469.87746093749996</v>
      </c>
      <c r="Z165" s="185">
        <f>(('LCFS Table'!$R165/'LCFS Table'!$AB165)*'LCFS Table'!$AG165)*7.35</f>
        <v>109.580078125</v>
      </c>
      <c r="AA165" s="138">
        <v>0.94</v>
      </c>
      <c r="AB165" s="138">
        <v>0.96</v>
      </c>
      <c r="AC165" s="138">
        <v>0.5</v>
      </c>
      <c r="AD165" s="138">
        <v>0.25</v>
      </c>
      <c r="AE165" s="138">
        <v>0.25</v>
      </c>
      <c r="AF165" s="138">
        <v>0.75</v>
      </c>
      <c r="AG165" s="138">
        <v>0.25</v>
      </c>
      <c r="AH165" s="139">
        <v>4.375</v>
      </c>
      <c r="AI165" s="139">
        <v>136</v>
      </c>
      <c r="AJ165" s="139">
        <v>110</v>
      </c>
      <c r="AK165" s="186">
        <f>('LCFS Table'!$AI165/340)*100</f>
        <v>40</v>
      </c>
      <c r="AL165" s="186">
        <f>('LCFS Table'!$AJ165/340)*100</f>
        <v>32.352941176470587</v>
      </c>
      <c r="AM165" s="139">
        <v>105</v>
      </c>
      <c r="AN165" s="139">
        <v>90</v>
      </c>
      <c r="AO165" s="139">
        <f>('LCFS Table'!$AM165/300)*100</f>
        <v>35</v>
      </c>
      <c r="AP165" s="139">
        <f>('LCFS Table'!$AN165/300)*100</f>
        <v>30</v>
      </c>
      <c r="AQ165" s="140">
        <f>'[1]LCFS Values'!$B164</f>
        <v>141.4</v>
      </c>
      <c r="AR165" s="140">
        <f>'[1]RIN Values'!$B164/100</f>
        <v>1.3919999999999999</v>
      </c>
      <c r="AS165" s="185">
        <v>1.1755315103064239</v>
      </c>
      <c r="AT165" s="137">
        <v>0.16</v>
      </c>
      <c r="AU165" s="137">
        <v>1</v>
      </c>
      <c r="AV165" s="185">
        <f>'LCFS Table'!$AR165*1.7</f>
        <v>2.3663999999999996</v>
      </c>
      <c r="AW165" s="137">
        <v>0</v>
      </c>
      <c r="AX165" s="185">
        <v>0.78976873391499991</v>
      </c>
      <c r="AY165" s="137">
        <v>0</v>
      </c>
      <c r="AZ165" s="141">
        <v>1</v>
      </c>
      <c r="BA165" s="185">
        <f>'LCFS Table'!$AR165*1.5</f>
        <v>2.0880000000000001</v>
      </c>
      <c r="BB165" s="142">
        <v>1.2</v>
      </c>
      <c r="BC165" s="185">
        <f>'LCFS Table'!$AS165*'LCFS Table'!$BW165</f>
        <v>1.1755315103064239</v>
      </c>
      <c r="BD165" s="185">
        <f>'LCFS Table'!$AT165*'LCFS Table'!$BX165</f>
        <v>0</v>
      </c>
      <c r="BE165" s="185">
        <f>'LCFS Table'!$AU165*'LCFS Table'!$BY165</f>
        <v>1</v>
      </c>
      <c r="BF165" s="137">
        <f>'LCFS Table'!$AV165*'LCFS Table'!$BZ165</f>
        <v>2.3663999999999996</v>
      </c>
      <c r="BG165" s="137">
        <f>'LCFS Table'!$AW165*'LCFS Table'!$CA165</f>
        <v>0</v>
      </c>
      <c r="BH165" s="137">
        <f>'LCFS Table'!$AX165*'LCFS Table'!$CB165</f>
        <v>0.78976873391499991</v>
      </c>
      <c r="BI165" s="137">
        <f>'LCFS Table'!$AY165*'LCFS Table'!$CC165</f>
        <v>0</v>
      </c>
      <c r="BJ165" s="137">
        <f>'LCFS Table'!$AZ165*'LCFS Table'!$CD165</f>
        <v>1</v>
      </c>
      <c r="BK165" s="137">
        <f>'LCFS Table'!$BA165*'LCFS Table'!$CE165</f>
        <v>2.0880000000000001</v>
      </c>
      <c r="BL165" s="137">
        <f>'LCFS Table'!$BB165*'LCFS Table'!$CF165</f>
        <v>-1.2</v>
      </c>
      <c r="BM165" s="137">
        <f>'LCFS Table'!$AS165*'LCFS Table'!$CG165</f>
        <v>0</v>
      </c>
      <c r="BN165" s="137">
        <f>'LCFS Table'!$AT165*'LCFS Table'!$CH165</f>
        <v>0.16</v>
      </c>
      <c r="BO165" s="137">
        <f>'LCFS Table'!$AU165*'LCFS Table'!$CI165</f>
        <v>0</v>
      </c>
      <c r="BP165" s="137">
        <f>'LCFS Table'!$AV165*'LCFS Table'!$CJ165</f>
        <v>0</v>
      </c>
      <c r="BQ165" s="137">
        <f>'LCFS Table'!$AW165*'LCFS Table'!$CK165</f>
        <v>0</v>
      </c>
      <c r="BR165" s="137">
        <f>'LCFS Table'!$AX165*'LCFS Table'!$CL165</f>
        <v>0</v>
      </c>
      <c r="BS165" s="137">
        <f>'LCFS Table'!$AY165*'LCFS Table'!$CM165</f>
        <v>0</v>
      </c>
      <c r="BT165" s="137">
        <f>'LCFS Table'!$AZ165*'LCFS Table'!$CN165</f>
        <v>0</v>
      </c>
      <c r="BU165" s="137">
        <f>'LCFS Table'!$BA165*'LCFS Table'!$CO165</f>
        <v>0</v>
      </c>
      <c r="BV165" s="142">
        <f>'LCFS Table'!$BB165*'LCFS Table'!$CP165</f>
        <v>1.2</v>
      </c>
      <c r="BW165" s="138">
        <v>1</v>
      </c>
      <c r="BX165" s="138">
        <v>0</v>
      </c>
      <c r="BY165" s="138">
        <v>1</v>
      </c>
      <c r="BZ165" s="138">
        <v>1</v>
      </c>
      <c r="CA165" s="138">
        <v>-1</v>
      </c>
      <c r="CB165" s="138">
        <v>1</v>
      </c>
      <c r="CC165" s="138">
        <v>0</v>
      </c>
      <c r="CD165" s="138">
        <v>1</v>
      </c>
      <c r="CE165" s="138">
        <v>1</v>
      </c>
      <c r="CF165" s="138">
        <v>-1</v>
      </c>
      <c r="CG165" s="138">
        <f>1-'LCFS Table'!$BW165</f>
        <v>0</v>
      </c>
      <c r="CH165" s="138">
        <f>1-'LCFS Table'!$BX165</f>
        <v>1</v>
      </c>
      <c r="CI165" s="138">
        <f>1-'LCFS Table'!$BY165</f>
        <v>0</v>
      </c>
      <c r="CJ165" s="138">
        <f>1-'LCFS Table'!$BZ165</f>
        <v>0</v>
      </c>
      <c r="CK165" s="138">
        <f>-'LCFS Table'!$CA165</f>
        <v>1</v>
      </c>
      <c r="CL165" s="138">
        <f>1-'LCFS Table'!$CB165</f>
        <v>0</v>
      </c>
      <c r="CM165" s="138">
        <f>1-'LCFS Table'!$CC165</f>
        <v>1</v>
      </c>
      <c r="CN165" s="138">
        <f>1-'LCFS Table'!$CD165</f>
        <v>0</v>
      </c>
      <c r="CO165" s="138">
        <f>1-'LCFS Table'!$CE165</f>
        <v>0</v>
      </c>
      <c r="CP165" s="138">
        <f>-'LCFS Table'!$CF165</f>
        <v>1</v>
      </c>
      <c r="CQ165" s="140">
        <v>24</v>
      </c>
      <c r="CR165" s="165">
        <f>('LCFS Table'!$CQ165*0.9/(0.8/0.99)/100)</f>
        <v>0.26729999999999998</v>
      </c>
      <c r="CS165" s="166"/>
      <c r="CT165" s="167"/>
      <c r="CW165" s="168">
        <f>'LCFS Table'!$K165-'LCFS Table'!$M165</f>
        <v>0.12946873391500091</v>
      </c>
      <c r="CX165" s="129">
        <f>MONTH('LCFS Table'!$B165)</f>
        <v>2</v>
      </c>
      <c r="CY165" s="129">
        <f>YEAR('LCFS Table'!$B165)</f>
        <v>2022</v>
      </c>
    </row>
    <row r="166" spans="1:103">
      <c r="A166" s="148">
        <v>44605</v>
      </c>
      <c r="B166" s="149">
        <v>44611</v>
      </c>
      <c r="C166" s="132">
        <f t="shared" si="3"/>
        <v>2022</v>
      </c>
      <c r="D166" s="150" t="s">
        <v>263</v>
      </c>
      <c r="E166" s="187">
        <f>'LCFS Table'!$K166-'LCFS Table'!$I166</f>
        <v>-2.8575240926157712</v>
      </c>
      <c r="F166" s="187">
        <f>('LCFS Table'!$M166)-'LCFS Table'!$J166</f>
        <v>-3.8695705501425</v>
      </c>
      <c r="G166" s="188">
        <f>'LCFS Table'!$E166+'LCFS Table'!$AS166+'LCFS Table'!$AT166+'LCFS Table'!$AU166+'LCFS Table'!$AV166</f>
        <v>1.951712547384167</v>
      </c>
      <c r="H166" s="188">
        <f>'LCFS Table'!$F166+'LCFS Table'!$AX166+'LCFS Table'!$AY166+'LCFS Table'!$AZ166+'LCFS Table'!$BA166+('LCFS Table'!$CQ166*0.9/(0.8/0.99)/100)+(DG166*'LCFS Table'!$AF166)+(DF166*'LCFS Table'!$AG166)</f>
        <v>0.37210429687500068</v>
      </c>
      <c r="I166" s="187">
        <f>('LCFS Table'!$V166+'LCFS Table'!$W166+'LCFS Table'!$X166)/100+(('LCFS Table'!$AI166+'LCFS Table'!$AJ166)/340)</f>
        <v>5.7175240926157711</v>
      </c>
      <c r="J166" s="187">
        <f>(('LCFS Table'!$Y166+'LCFS Table'!$Z166)/100)+(('LCFS Table'!$AM166+'LCFS Table'!$AN166)/300)</f>
        <v>6.5251957031249992</v>
      </c>
      <c r="K166" s="190">
        <f>'[1]Fuel Values'!$C165</f>
        <v>2.86</v>
      </c>
      <c r="L166" s="190">
        <f>'[1]Fuel Values'!$B165</f>
        <v>663</v>
      </c>
      <c r="M166" s="185">
        <f>('LCFS Table'!$L166/100)-'LCFS Table'!$AX166-'LCFS Table'!$AY166-'LCFS Table'!$AZ166-'LCFS Table'!$BA166</f>
        <v>2.6556251529824992</v>
      </c>
      <c r="N166" s="190">
        <f>[1]BFT!$B165</f>
        <v>69.875</v>
      </c>
      <c r="O166" s="190">
        <f>[1]UCO!$B165</f>
        <v>64</v>
      </c>
      <c r="P166" s="190">
        <f>[1]DCO!$B165</f>
        <v>72.900000000000006</v>
      </c>
      <c r="Q166" s="190">
        <f>'[1]Soybean Oil'!$B165</f>
        <v>78.858000000000004</v>
      </c>
      <c r="R166" s="190">
        <f>'[1]Yellow Grease'!$B165</f>
        <v>57.25</v>
      </c>
      <c r="S166" s="185">
        <f>'LCFS Table'!$N166 + 'LCFS Table'!$AH166</f>
        <v>74.25</v>
      </c>
      <c r="T166" s="185">
        <f>'LCFS Table'!$Q166+'LCFS Table'!$AH166</f>
        <v>83.233000000000004</v>
      </c>
      <c r="U166" s="185">
        <f>'LCFS Table'!$P166+'LCFS Table'!$AH166</f>
        <v>77.275000000000006</v>
      </c>
      <c r="V166" s="185">
        <f>(('LCFS Table'!$S166/'LCFS Table'!$AA166)*'LCFS Table'!$AC166)*6.48</f>
        <v>255.92553191489367</v>
      </c>
      <c r="W166" s="185">
        <f>(('LCFS Table'!$O166/'LCFS Table'!$AA166)*'LCFS Table'!$AD166)*6.48</f>
        <v>110.29787234042554</v>
      </c>
      <c r="X166" s="185">
        <f>(('LCFS Table'!$U166/'LCFS Table'!$AA166)*'LCFS Table'!$AE166)*6.48</f>
        <v>133.17606382978727</v>
      </c>
      <c r="Y166" s="185">
        <f>(('LCFS Table'!$T166/'LCFS Table'!$AB166)*'LCFS Table'!$AF166)*7.35</f>
        <v>477.93949218749992</v>
      </c>
      <c r="Z166" s="185">
        <f>(('LCFS Table'!$R166/'LCFS Table'!$AB166)*'LCFS Table'!$AG166)*7.35</f>
        <v>109.580078125</v>
      </c>
      <c r="AA166" s="138">
        <v>0.94</v>
      </c>
      <c r="AB166" s="138">
        <v>0.96</v>
      </c>
      <c r="AC166" s="138">
        <v>0.5</v>
      </c>
      <c r="AD166" s="138">
        <v>0.25</v>
      </c>
      <c r="AE166" s="138">
        <v>0.25</v>
      </c>
      <c r="AF166" s="138">
        <v>0.75</v>
      </c>
      <c r="AG166" s="138">
        <v>0.25</v>
      </c>
      <c r="AH166" s="139">
        <v>4.375</v>
      </c>
      <c r="AI166" s="139">
        <v>136</v>
      </c>
      <c r="AJ166" s="139">
        <v>110</v>
      </c>
      <c r="AK166" s="186">
        <f>('LCFS Table'!$AI166/340)*100</f>
        <v>40</v>
      </c>
      <c r="AL166" s="186">
        <f>('LCFS Table'!$AJ166/340)*100</f>
        <v>32.352941176470587</v>
      </c>
      <c r="AM166" s="139">
        <v>105</v>
      </c>
      <c r="AN166" s="139">
        <v>90</v>
      </c>
      <c r="AO166" s="139">
        <f>('LCFS Table'!$AM166/300)*100</f>
        <v>35</v>
      </c>
      <c r="AP166" s="139">
        <f>('LCFS Table'!$AN166/300)*100</f>
        <v>30</v>
      </c>
      <c r="AQ166" s="140">
        <f>'[1]LCFS Values'!$B165</f>
        <v>140.30000000000001</v>
      </c>
      <c r="AR166" s="140">
        <f>'[1]RIN Values'!$B165/100</f>
        <v>1.4605000000000001</v>
      </c>
      <c r="AS166" s="185">
        <v>1.1663866399999383</v>
      </c>
      <c r="AT166" s="137">
        <v>0.16</v>
      </c>
      <c r="AU166" s="137">
        <v>1</v>
      </c>
      <c r="AV166" s="185">
        <f>'LCFS Table'!$AR166*1.7</f>
        <v>2.48285</v>
      </c>
      <c r="AW166" s="137">
        <v>0</v>
      </c>
      <c r="AX166" s="185">
        <v>0.78362484701750001</v>
      </c>
      <c r="AY166" s="137">
        <v>0</v>
      </c>
      <c r="AZ166" s="141">
        <v>1</v>
      </c>
      <c r="BA166" s="185">
        <f>'LCFS Table'!$AR166*1.5</f>
        <v>2.1907500000000004</v>
      </c>
      <c r="BB166" s="142">
        <v>1.2</v>
      </c>
      <c r="BC166" s="185">
        <f>'LCFS Table'!$AS166*'LCFS Table'!$BW166</f>
        <v>1.1663866399999383</v>
      </c>
      <c r="BD166" s="185">
        <f>'LCFS Table'!$AT166*'LCFS Table'!$BX166</f>
        <v>0</v>
      </c>
      <c r="BE166" s="185">
        <f>'LCFS Table'!$AU166*'LCFS Table'!$BY166</f>
        <v>1</v>
      </c>
      <c r="BF166" s="137">
        <f>'LCFS Table'!$AV166*'LCFS Table'!$BZ166</f>
        <v>2.48285</v>
      </c>
      <c r="BG166" s="137">
        <f>'LCFS Table'!$AW166*'LCFS Table'!$CA166</f>
        <v>0</v>
      </c>
      <c r="BH166" s="137">
        <f>'LCFS Table'!$AX166*'LCFS Table'!$CB166</f>
        <v>0.78362484701750001</v>
      </c>
      <c r="BI166" s="137">
        <f>'LCFS Table'!$AY166*'LCFS Table'!$CC166</f>
        <v>0</v>
      </c>
      <c r="BJ166" s="137">
        <f>'LCFS Table'!$AZ166*'LCFS Table'!$CD166</f>
        <v>1</v>
      </c>
      <c r="BK166" s="137">
        <f>'LCFS Table'!$BA166*'LCFS Table'!$CE166</f>
        <v>2.1907500000000004</v>
      </c>
      <c r="BL166" s="137">
        <f>'LCFS Table'!$BB166*'LCFS Table'!$CF166</f>
        <v>-1.2</v>
      </c>
      <c r="BM166" s="137">
        <f>'LCFS Table'!$AS166*'LCFS Table'!$CG166</f>
        <v>0</v>
      </c>
      <c r="BN166" s="137">
        <f>'LCFS Table'!$AT166*'LCFS Table'!$CH166</f>
        <v>0.16</v>
      </c>
      <c r="BO166" s="137">
        <f>'LCFS Table'!$AU166*'LCFS Table'!$CI166</f>
        <v>0</v>
      </c>
      <c r="BP166" s="137">
        <f>'LCFS Table'!$AV166*'LCFS Table'!$CJ166</f>
        <v>0</v>
      </c>
      <c r="BQ166" s="137">
        <f>'LCFS Table'!$AW166*'LCFS Table'!$CK166</f>
        <v>0</v>
      </c>
      <c r="BR166" s="137">
        <f>'LCFS Table'!$AX166*'LCFS Table'!$CL166</f>
        <v>0</v>
      </c>
      <c r="BS166" s="137">
        <f>'LCFS Table'!$AY166*'LCFS Table'!$CM166</f>
        <v>0</v>
      </c>
      <c r="BT166" s="137">
        <f>'LCFS Table'!$AZ166*'LCFS Table'!$CN166</f>
        <v>0</v>
      </c>
      <c r="BU166" s="137">
        <f>'LCFS Table'!$BA166*'LCFS Table'!$CO166</f>
        <v>0</v>
      </c>
      <c r="BV166" s="142">
        <f>'LCFS Table'!$BB166*'LCFS Table'!$CP166</f>
        <v>1.2</v>
      </c>
      <c r="BW166" s="138">
        <v>1</v>
      </c>
      <c r="BX166" s="138">
        <v>0</v>
      </c>
      <c r="BY166" s="138">
        <v>1</v>
      </c>
      <c r="BZ166" s="138">
        <v>1</v>
      </c>
      <c r="CA166" s="138">
        <v>-1</v>
      </c>
      <c r="CB166" s="138">
        <v>1</v>
      </c>
      <c r="CC166" s="138">
        <v>0</v>
      </c>
      <c r="CD166" s="138">
        <v>1</v>
      </c>
      <c r="CE166" s="138">
        <v>1</v>
      </c>
      <c r="CF166" s="138">
        <v>-1</v>
      </c>
      <c r="CG166" s="138">
        <f>1-'LCFS Table'!$BW166</f>
        <v>0</v>
      </c>
      <c r="CH166" s="138">
        <f>1-'LCFS Table'!$BX166</f>
        <v>1</v>
      </c>
      <c r="CI166" s="138">
        <f>1-'LCFS Table'!$BY166</f>
        <v>0</v>
      </c>
      <c r="CJ166" s="138">
        <f>1-'LCFS Table'!$BZ166</f>
        <v>0</v>
      </c>
      <c r="CK166" s="138">
        <f>-'LCFS Table'!$CA166</f>
        <v>1</v>
      </c>
      <c r="CL166" s="138">
        <f>1-'LCFS Table'!$CB166</f>
        <v>0</v>
      </c>
      <c r="CM166" s="138">
        <f>1-'LCFS Table'!$CC166</f>
        <v>1</v>
      </c>
      <c r="CN166" s="138">
        <f>1-'LCFS Table'!$CD166</f>
        <v>0</v>
      </c>
      <c r="CO166" s="138">
        <f>1-'LCFS Table'!$CE166</f>
        <v>0</v>
      </c>
      <c r="CP166" s="138">
        <f>-'LCFS Table'!$CF166</f>
        <v>1</v>
      </c>
      <c r="CQ166" s="140">
        <v>24</v>
      </c>
      <c r="CR166" s="165">
        <f>('LCFS Table'!$CQ166*0.9/(0.8/0.99)/100)</f>
        <v>0.26729999999999998</v>
      </c>
      <c r="CS166" s="166"/>
      <c r="CT166" s="167"/>
      <c r="CW166" s="168">
        <f>'LCFS Table'!$K166-'LCFS Table'!$M166</f>
        <v>0.20437484701750064</v>
      </c>
      <c r="CX166" s="129">
        <f>MONTH('LCFS Table'!$B166)</f>
        <v>2</v>
      </c>
      <c r="CY166" s="129">
        <f>YEAR('LCFS Table'!$B166)</f>
        <v>2022</v>
      </c>
    </row>
    <row r="167" spans="1:103">
      <c r="A167" s="148">
        <v>44612</v>
      </c>
      <c r="B167" s="149">
        <v>44618</v>
      </c>
      <c r="C167" s="132">
        <f t="shared" si="3"/>
        <v>2022</v>
      </c>
      <c r="D167" s="182" t="s">
        <v>264</v>
      </c>
      <c r="E167" s="187">
        <f>'LCFS Table'!$K167-'LCFS Table'!$I167</f>
        <v>-2.9522050713391756</v>
      </c>
      <c r="F167" s="187">
        <f>('LCFS Table'!$M167)-'LCFS Table'!$J167</f>
        <v>-4.2251832449674991</v>
      </c>
      <c r="G167" s="188">
        <f>'LCFS Table'!$E167+'LCFS Table'!$AS167+'LCFS Table'!$AT167+'LCFS Table'!$AU167+'LCFS Table'!$AV167</f>
        <v>2.0161160132794382</v>
      </c>
      <c r="H167" s="188">
        <f>'LCFS Table'!$F167+'LCFS Table'!$AX167+'LCFS Table'!$AY167+'LCFS Table'!$AZ167+'LCFS Table'!$BA167+('LCFS Table'!$CQ167*0.9/(0.8/0.99)/100)+(DG167*'LCFS Table'!$AF167)+(DF167*'LCFS Table'!$AG167)</f>
        <v>0.14317679687500137</v>
      </c>
      <c r="I167" s="187">
        <f>('LCFS Table'!$V167+'LCFS Table'!$W167+'LCFS Table'!$X167)/100+(('LCFS Table'!$AI167+'LCFS Table'!$AJ167)/340)</f>
        <v>5.8108050713391757</v>
      </c>
      <c r="J167" s="187">
        <f>(('LCFS Table'!$Y167+'LCFS Table'!$Z167)/100)+(('LCFS Table'!$AM167+'LCFS Table'!$AN167)/300)</f>
        <v>6.7551894531249994</v>
      </c>
      <c r="K167" s="190">
        <f>'[1]Fuel Values'!$C166</f>
        <v>2.8586</v>
      </c>
      <c r="L167" s="190">
        <f>'[1]Fuel Values'!$B166</f>
        <v>665</v>
      </c>
      <c r="M167" s="185">
        <f>('LCFS Table'!$L167/100)-'LCFS Table'!$AX167-'LCFS Table'!$AY167-'LCFS Table'!$AZ167-'LCFS Table'!$BA167</f>
        <v>2.5300062081575003</v>
      </c>
      <c r="N167" s="190">
        <f>[1]BFT!$B166</f>
        <v>70.406300000000002</v>
      </c>
      <c r="O167" s="190">
        <f>[1]UCO!$B166</f>
        <v>64.75</v>
      </c>
      <c r="P167" s="190">
        <f>[1]DCO!$B166</f>
        <v>76.5</v>
      </c>
      <c r="Q167" s="190">
        <f>'[1]Soybean Oil'!$B166</f>
        <v>82.405000000000001</v>
      </c>
      <c r="R167" s="190">
        <f>'[1]Yellow Grease'!$B166</f>
        <v>58.625</v>
      </c>
      <c r="S167" s="185">
        <f>'LCFS Table'!$N167 + 'LCFS Table'!$AH167</f>
        <v>74.781300000000002</v>
      </c>
      <c r="T167" s="185">
        <f>'LCFS Table'!$Q167+'LCFS Table'!$AH167</f>
        <v>86.78</v>
      </c>
      <c r="U167" s="185">
        <f>'LCFS Table'!$P167+'LCFS Table'!$AH167</f>
        <v>80.875</v>
      </c>
      <c r="V167" s="185">
        <f>(('LCFS Table'!$S167/'LCFS Table'!$AA167)*'LCFS Table'!$AC167)*6.48</f>
        <v>257.75682127659576</v>
      </c>
      <c r="W167" s="185">
        <f>(('LCFS Table'!$O167/'LCFS Table'!$AA167)*'LCFS Table'!$AD167)*6.48</f>
        <v>111.59042553191492</v>
      </c>
      <c r="X167" s="185">
        <f>(('LCFS Table'!$U167/'LCFS Table'!$AA167)*'LCFS Table'!$AE167)*6.48</f>
        <v>139.3803191489362</v>
      </c>
      <c r="Y167" s="185">
        <f>(('LCFS Table'!$T167/'LCFS Table'!$AB167)*'LCFS Table'!$AF167)*7.35</f>
        <v>498.30703124999997</v>
      </c>
      <c r="Z167" s="185">
        <f>(('LCFS Table'!$R167/'LCFS Table'!$AB167)*'LCFS Table'!$AG167)*7.35</f>
        <v>112.2119140625</v>
      </c>
      <c r="AA167" s="138">
        <v>0.94</v>
      </c>
      <c r="AB167" s="138">
        <v>0.96</v>
      </c>
      <c r="AC167" s="138">
        <v>0.5</v>
      </c>
      <c r="AD167" s="138">
        <v>0.25</v>
      </c>
      <c r="AE167" s="138">
        <v>0.25</v>
      </c>
      <c r="AF167" s="138">
        <v>0.75</v>
      </c>
      <c r="AG167" s="138">
        <v>0.25</v>
      </c>
      <c r="AH167" s="139">
        <v>4.375</v>
      </c>
      <c r="AI167" s="139">
        <v>136</v>
      </c>
      <c r="AJ167" s="139">
        <v>110</v>
      </c>
      <c r="AK167" s="186">
        <f>('LCFS Table'!$AI167/340)*100</f>
        <v>40</v>
      </c>
      <c r="AL167" s="186">
        <f>('LCFS Table'!$AJ167/340)*100</f>
        <v>32.352941176470587</v>
      </c>
      <c r="AM167" s="139">
        <v>105</v>
      </c>
      <c r="AN167" s="139">
        <v>90</v>
      </c>
      <c r="AO167" s="139">
        <f>('LCFS Table'!$AM167/300)*100</f>
        <v>35</v>
      </c>
      <c r="AP167" s="139">
        <f>('LCFS Table'!$AN167/300)*100</f>
        <v>30</v>
      </c>
      <c r="AQ167" s="140">
        <f>'[1]LCFS Values'!$B166</f>
        <v>140.5</v>
      </c>
      <c r="AR167" s="140">
        <f>'[1]RIN Values'!$B166/100</f>
        <v>1.5687500000000001</v>
      </c>
      <c r="AS167" s="185">
        <v>1.1414460846186139</v>
      </c>
      <c r="AT167" s="137">
        <v>0.16</v>
      </c>
      <c r="AU167" s="137">
        <v>1</v>
      </c>
      <c r="AV167" s="185">
        <f>'LCFS Table'!$AR167*1.7</f>
        <v>2.6668750000000001</v>
      </c>
      <c r="AW167" s="137">
        <v>0</v>
      </c>
      <c r="AX167" s="185">
        <v>0.76686879184250001</v>
      </c>
      <c r="AY167" s="137">
        <v>0</v>
      </c>
      <c r="AZ167" s="141">
        <v>1</v>
      </c>
      <c r="BA167" s="185">
        <f>'LCFS Table'!$AR167*1.5</f>
        <v>2.3531250000000004</v>
      </c>
      <c r="BB167" s="142">
        <v>1.2</v>
      </c>
      <c r="BC167" s="185">
        <f>'LCFS Table'!$AS167*'LCFS Table'!$BW167</f>
        <v>1.1414460846186139</v>
      </c>
      <c r="BD167" s="185">
        <f>'LCFS Table'!$AT167*'LCFS Table'!$BX167</f>
        <v>0</v>
      </c>
      <c r="BE167" s="185">
        <f>'LCFS Table'!$AU167*'LCFS Table'!$BY167</f>
        <v>1</v>
      </c>
      <c r="BF167" s="137">
        <f>'LCFS Table'!$AV167*'LCFS Table'!$BZ167</f>
        <v>2.6668750000000001</v>
      </c>
      <c r="BG167" s="137">
        <f>'LCFS Table'!$AW167*'LCFS Table'!$CA167</f>
        <v>0</v>
      </c>
      <c r="BH167" s="137">
        <f>'LCFS Table'!$AX167*'LCFS Table'!$CB167</f>
        <v>0.76686879184250001</v>
      </c>
      <c r="BI167" s="137">
        <f>'LCFS Table'!$AY167*'LCFS Table'!$CC167</f>
        <v>0</v>
      </c>
      <c r="BJ167" s="137">
        <f>'LCFS Table'!$AZ167*'LCFS Table'!$CD167</f>
        <v>1</v>
      </c>
      <c r="BK167" s="137">
        <f>'LCFS Table'!$BA167*'LCFS Table'!$CE167</f>
        <v>2.3531250000000004</v>
      </c>
      <c r="BL167" s="137">
        <f>'LCFS Table'!$BB167*'LCFS Table'!$CF167</f>
        <v>-1.2</v>
      </c>
      <c r="BM167" s="137">
        <f>'LCFS Table'!$AS167*'LCFS Table'!$CG167</f>
        <v>0</v>
      </c>
      <c r="BN167" s="137">
        <f>'LCFS Table'!$AT167*'LCFS Table'!$CH167</f>
        <v>0.16</v>
      </c>
      <c r="BO167" s="137">
        <f>'LCFS Table'!$AU167*'LCFS Table'!$CI167</f>
        <v>0</v>
      </c>
      <c r="BP167" s="137">
        <f>'LCFS Table'!$AV167*'LCFS Table'!$CJ167</f>
        <v>0</v>
      </c>
      <c r="BQ167" s="137">
        <f>'LCFS Table'!$AW167*'LCFS Table'!$CK167</f>
        <v>0</v>
      </c>
      <c r="BR167" s="137">
        <f>'LCFS Table'!$AX167*'LCFS Table'!$CL167</f>
        <v>0</v>
      </c>
      <c r="BS167" s="137">
        <f>'LCFS Table'!$AY167*'LCFS Table'!$CM167</f>
        <v>0</v>
      </c>
      <c r="BT167" s="137">
        <f>'LCFS Table'!$AZ167*'LCFS Table'!$CN167</f>
        <v>0</v>
      </c>
      <c r="BU167" s="137">
        <f>'LCFS Table'!$BA167*'LCFS Table'!$CO167</f>
        <v>0</v>
      </c>
      <c r="BV167" s="142">
        <f>'LCFS Table'!$BB167*'LCFS Table'!$CP167</f>
        <v>1.2</v>
      </c>
      <c r="BW167" s="138">
        <v>1</v>
      </c>
      <c r="BX167" s="138">
        <v>0</v>
      </c>
      <c r="BY167" s="138">
        <v>1</v>
      </c>
      <c r="BZ167" s="138">
        <v>1</v>
      </c>
      <c r="CA167" s="138">
        <v>-1</v>
      </c>
      <c r="CB167" s="138">
        <v>1</v>
      </c>
      <c r="CC167" s="138">
        <v>0</v>
      </c>
      <c r="CD167" s="138">
        <v>1</v>
      </c>
      <c r="CE167" s="138">
        <v>1</v>
      </c>
      <c r="CF167" s="138">
        <v>-1</v>
      </c>
      <c r="CG167" s="138">
        <f>1-'LCFS Table'!$BW167</f>
        <v>0</v>
      </c>
      <c r="CH167" s="138">
        <f>1-'LCFS Table'!$BX167</f>
        <v>1</v>
      </c>
      <c r="CI167" s="138">
        <f>1-'LCFS Table'!$BY167</f>
        <v>0</v>
      </c>
      <c r="CJ167" s="138">
        <f>1-'LCFS Table'!$BZ167</f>
        <v>0</v>
      </c>
      <c r="CK167" s="138">
        <f>-'LCFS Table'!$CA167</f>
        <v>1</v>
      </c>
      <c r="CL167" s="138">
        <f>1-'LCFS Table'!$CB167</f>
        <v>0</v>
      </c>
      <c r="CM167" s="138">
        <f>1-'LCFS Table'!$CC167</f>
        <v>1</v>
      </c>
      <c r="CN167" s="138">
        <f>1-'LCFS Table'!$CD167</f>
        <v>0</v>
      </c>
      <c r="CO167" s="138">
        <f>1-'LCFS Table'!$CE167</f>
        <v>0</v>
      </c>
      <c r="CP167" s="138">
        <f>-'LCFS Table'!$CF167</f>
        <v>1</v>
      </c>
      <c r="CQ167" s="140">
        <v>22.3</v>
      </c>
      <c r="CR167" s="165">
        <f>('LCFS Table'!$CQ167*0.9/(0.8/0.99)/100)</f>
        <v>0.24836624999999998</v>
      </c>
      <c r="CS167" s="166"/>
      <c r="CT167" s="167"/>
      <c r="CW167" s="168">
        <f>'LCFS Table'!$K167-'LCFS Table'!$M167</f>
        <v>0.32859379184249971</v>
      </c>
      <c r="CX167" s="129">
        <f>MONTH('LCFS Table'!$B167)</f>
        <v>2</v>
      </c>
      <c r="CY167" s="129">
        <f>YEAR('LCFS Table'!$B167)</f>
        <v>2022</v>
      </c>
    </row>
    <row r="168" spans="1:103">
      <c r="A168" s="148">
        <v>44619</v>
      </c>
      <c r="B168" s="149">
        <v>44625</v>
      </c>
      <c r="C168" s="132">
        <f t="shared" si="3"/>
        <v>2022</v>
      </c>
      <c r="D168" s="150" t="s">
        <v>265</v>
      </c>
      <c r="E168" s="187">
        <f>'LCFS Table'!$K168-'LCFS Table'!$I168</f>
        <v>-2.5687560075093874</v>
      </c>
      <c r="F168" s="187">
        <f>('LCFS Table'!$M168)-'LCFS Table'!$J168</f>
        <v>-4.3257384392724996</v>
      </c>
      <c r="G168" s="188">
        <f>'LCFS Table'!$E168+'LCFS Table'!$AS168+'LCFS Table'!$AT168+'LCFS Table'!$AU168+'LCFS Table'!$AV168</f>
        <v>2.2812962626544886</v>
      </c>
      <c r="H168" s="188">
        <f>'LCFS Table'!$F168+'LCFS Table'!$AX168+'LCFS Table'!$AY168+'LCFS Table'!$AZ168+'LCFS Table'!$BA168+('LCFS Table'!$CQ168*0.9/(0.8/0.99)/100)+(DG168*'LCFS Table'!$AF168)+(DF168*'LCFS Table'!$AG168)</f>
        <v>-5.867882812500011E-2</v>
      </c>
      <c r="I168" s="187">
        <f>('LCFS Table'!$V168+'LCFS Table'!$W168+'LCFS Table'!$X168)/100+(('LCFS Table'!$AI168+'LCFS Table'!$AJ168)/340)</f>
        <v>5.9665560075093875</v>
      </c>
      <c r="J168" s="187">
        <f>(('LCFS Table'!$Y168+'LCFS Table'!$Z168)/100)+(('LCFS Table'!$AM168+'LCFS Table'!$AN168)/300)</f>
        <v>7.0692488281249997</v>
      </c>
      <c r="K168" s="190">
        <f>'[1]Fuel Values'!$C167</f>
        <v>3.3978000000000002</v>
      </c>
      <c r="L168" s="190">
        <f>'[1]Fuel Values'!$B167</f>
        <v>677</v>
      </c>
      <c r="M168" s="185">
        <f>('LCFS Table'!$L168/100)-'LCFS Table'!$AX168-'LCFS Table'!$AY168-'LCFS Table'!$AZ168-'LCFS Table'!$BA168</f>
        <v>2.7435103888525001</v>
      </c>
      <c r="N168" s="190">
        <f>[1]BFT!$B167</f>
        <v>72.599999999999994</v>
      </c>
      <c r="O168" s="190">
        <f>[1]UCO!$B167</f>
        <v>65.7</v>
      </c>
      <c r="P168" s="190">
        <f>[1]DCO!$B167</f>
        <v>80.2</v>
      </c>
      <c r="Q168" s="190">
        <f>'[1]Soybean Oil'!$B167</f>
        <v>87.316000000000003</v>
      </c>
      <c r="R168" s="190">
        <f>'[1]Yellow Grease'!$B167</f>
        <v>60.3</v>
      </c>
      <c r="S168" s="185">
        <f>'LCFS Table'!$N168 + 'LCFS Table'!$AH168</f>
        <v>76.974999999999994</v>
      </c>
      <c r="T168" s="185">
        <f>'LCFS Table'!$Q168+'LCFS Table'!$AH168</f>
        <v>91.691000000000003</v>
      </c>
      <c r="U168" s="185">
        <f>'LCFS Table'!$P168+'LCFS Table'!$AH168</f>
        <v>84.575000000000003</v>
      </c>
      <c r="V168" s="185">
        <f>(('LCFS Table'!$S168/'LCFS Table'!$AA168)*'LCFS Table'!$AC168)*6.48</f>
        <v>265.31808510638302</v>
      </c>
      <c r="W168" s="185">
        <f>(('LCFS Table'!$O168/'LCFS Table'!$AA168)*'LCFS Table'!$AD168)*6.48</f>
        <v>113.22765957446809</v>
      </c>
      <c r="X168" s="185">
        <f>(('LCFS Table'!$U168/'LCFS Table'!$AA168)*'LCFS Table'!$AE168)*6.48</f>
        <v>145.75691489361705</v>
      </c>
      <c r="Y168" s="185">
        <f>(('LCFS Table'!$T168/'LCFS Table'!$AB168)*'LCFS Table'!$AF168)*7.35</f>
        <v>526.50691406249996</v>
      </c>
      <c r="Z168" s="185">
        <f>(('LCFS Table'!$R168/'LCFS Table'!$AB168)*'LCFS Table'!$AG168)*7.35</f>
        <v>115.41796875</v>
      </c>
      <c r="AA168" s="138">
        <v>0.94</v>
      </c>
      <c r="AB168" s="138">
        <v>0.96</v>
      </c>
      <c r="AC168" s="138">
        <v>0.5</v>
      </c>
      <c r="AD168" s="138">
        <v>0.25</v>
      </c>
      <c r="AE168" s="138">
        <v>0.25</v>
      </c>
      <c r="AF168" s="138">
        <v>0.75</v>
      </c>
      <c r="AG168" s="138">
        <v>0.25</v>
      </c>
      <c r="AH168" s="139">
        <v>4.375</v>
      </c>
      <c r="AI168" s="139">
        <v>136</v>
      </c>
      <c r="AJ168" s="139">
        <v>110</v>
      </c>
      <c r="AK168" s="186">
        <f>('LCFS Table'!$AI168/340)*100</f>
        <v>40</v>
      </c>
      <c r="AL168" s="186">
        <f>('LCFS Table'!$AJ168/340)*100</f>
        <v>32.352941176470587</v>
      </c>
      <c r="AM168" s="139">
        <v>105</v>
      </c>
      <c r="AN168" s="139">
        <v>90</v>
      </c>
      <c r="AO168" s="139">
        <f>('LCFS Table'!$AM168/300)*100</f>
        <v>35</v>
      </c>
      <c r="AP168" s="139">
        <f>('LCFS Table'!$AN168/300)*100</f>
        <v>30</v>
      </c>
      <c r="AQ168" s="140">
        <f>'[1]LCFS Values'!$B167</f>
        <v>137.30000000000001</v>
      </c>
      <c r="AR168" s="140">
        <f>'[1]RIN Values'!$B167/100</f>
        <v>1.5294999999999999</v>
      </c>
      <c r="AS168" s="185">
        <v>1.0899022701638765</v>
      </c>
      <c r="AT168" s="137">
        <v>0.16</v>
      </c>
      <c r="AU168" s="137">
        <v>1</v>
      </c>
      <c r="AV168" s="185">
        <f>'LCFS Table'!$AR168*1.7</f>
        <v>2.6001499999999997</v>
      </c>
      <c r="AW168" s="137">
        <v>0</v>
      </c>
      <c r="AX168" s="185">
        <v>0.7322396111474998</v>
      </c>
      <c r="AY168" s="137">
        <v>0</v>
      </c>
      <c r="AZ168" s="141">
        <v>1</v>
      </c>
      <c r="BA168" s="185">
        <f>'LCFS Table'!$AR168*1.5</f>
        <v>2.2942499999999999</v>
      </c>
      <c r="BB168" s="142">
        <v>1.2</v>
      </c>
      <c r="BC168" s="185">
        <f>'LCFS Table'!$AS168*'LCFS Table'!$BW168</f>
        <v>1.0899022701638765</v>
      </c>
      <c r="BD168" s="185">
        <f>'LCFS Table'!$AT168*'LCFS Table'!$BX168</f>
        <v>0</v>
      </c>
      <c r="BE168" s="185">
        <f>'LCFS Table'!$AU168*'LCFS Table'!$BY168</f>
        <v>1</v>
      </c>
      <c r="BF168" s="137">
        <f>'LCFS Table'!$AV168*'LCFS Table'!$BZ168</f>
        <v>2.6001499999999997</v>
      </c>
      <c r="BG168" s="137">
        <f>'LCFS Table'!$AW168*'LCFS Table'!$CA168</f>
        <v>0</v>
      </c>
      <c r="BH168" s="137">
        <f>'LCFS Table'!$AX168*'LCFS Table'!$CB168</f>
        <v>0.7322396111474998</v>
      </c>
      <c r="BI168" s="137">
        <f>'LCFS Table'!$AY168*'LCFS Table'!$CC168</f>
        <v>0</v>
      </c>
      <c r="BJ168" s="137">
        <f>'LCFS Table'!$AZ168*'LCFS Table'!$CD168</f>
        <v>1</v>
      </c>
      <c r="BK168" s="137">
        <f>'LCFS Table'!$BA168*'LCFS Table'!$CE168</f>
        <v>2.2942499999999999</v>
      </c>
      <c r="BL168" s="137">
        <f>'LCFS Table'!$BB168*'LCFS Table'!$CF168</f>
        <v>-1.2</v>
      </c>
      <c r="BM168" s="137">
        <f>'LCFS Table'!$AS168*'LCFS Table'!$CG168</f>
        <v>0</v>
      </c>
      <c r="BN168" s="137">
        <f>'LCFS Table'!$AT168*'LCFS Table'!$CH168</f>
        <v>0.16</v>
      </c>
      <c r="BO168" s="137">
        <f>'LCFS Table'!$AU168*'LCFS Table'!$CI168</f>
        <v>0</v>
      </c>
      <c r="BP168" s="137">
        <f>'LCFS Table'!$AV168*'LCFS Table'!$CJ168</f>
        <v>0</v>
      </c>
      <c r="BQ168" s="137">
        <f>'LCFS Table'!$AW168*'LCFS Table'!$CK168</f>
        <v>0</v>
      </c>
      <c r="BR168" s="137">
        <f>'LCFS Table'!$AX168*'LCFS Table'!$CL168</f>
        <v>0</v>
      </c>
      <c r="BS168" s="137">
        <f>'LCFS Table'!$AY168*'LCFS Table'!$CM168</f>
        <v>0</v>
      </c>
      <c r="BT168" s="137">
        <f>'LCFS Table'!$AZ168*'LCFS Table'!$CN168</f>
        <v>0</v>
      </c>
      <c r="BU168" s="137">
        <f>'LCFS Table'!$BA168*'LCFS Table'!$CO168</f>
        <v>0</v>
      </c>
      <c r="BV168" s="142">
        <f>'LCFS Table'!$BB168*'LCFS Table'!$CP168</f>
        <v>1.2</v>
      </c>
      <c r="BW168" s="138">
        <v>1</v>
      </c>
      <c r="BX168" s="138">
        <v>0</v>
      </c>
      <c r="BY168" s="138">
        <v>1</v>
      </c>
      <c r="BZ168" s="138">
        <v>1</v>
      </c>
      <c r="CA168" s="138">
        <v>-1</v>
      </c>
      <c r="CB168" s="138">
        <v>1</v>
      </c>
      <c r="CC168" s="138">
        <v>0</v>
      </c>
      <c r="CD168" s="138">
        <v>1</v>
      </c>
      <c r="CE168" s="138">
        <v>1</v>
      </c>
      <c r="CF168" s="138">
        <v>-1</v>
      </c>
      <c r="CG168" s="138">
        <f>1-'LCFS Table'!$BW168</f>
        <v>0</v>
      </c>
      <c r="CH168" s="138">
        <f>1-'LCFS Table'!$BX168</f>
        <v>1</v>
      </c>
      <c r="CI168" s="138">
        <f>1-'LCFS Table'!$BY168</f>
        <v>0</v>
      </c>
      <c r="CJ168" s="138">
        <f>1-'LCFS Table'!$BZ168</f>
        <v>0</v>
      </c>
      <c r="CK168" s="138">
        <f>-'LCFS Table'!$CA168</f>
        <v>1</v>
      </c>
      <c r="CL168" s="138">
        <f>1-'LCFS Table'!$CB168</f>
        <v>0</v>
      </c>
      <c r="CM168" s="138">
        <f>1-'LCFS Table'!$CC168</f>
        <v>1</v>
      </c>
      <c r="CN168" s="138">
        <f>1-'LCFS Table'!$CD168</f>
        <v>0</v>
      </c>
      <c r="CO168" s="138">
        <f>1-'LCFS Table'!$CE168</f>
        <v>0</v>
      </c>
      <c r="CP168" s="138">
        <f>-'LCFS Table'!$CF168</f>
        <v>1</v>
      </c>
      <c r="CQ168" s="140">
        <v>21.6</v>
      </c>
      <c r="CR168" s="165">
        <f>('LCFS Table'!$CQ168*0.9/(0.8/0.99)/100)</f>
        <v>0.24056999999999998</v>
      </c>
      <c r="CS168" s="166"/>
      <c r="CT168" s="167"/>
      <c r="CW168" s="168">
        <f>'LCFS Table'!$K168-'LCFS Table'!$M168</f>
        <v>0.65428961114750006</v>
      </c>
      <c r="CX168" s="129">
        <f>MONTH('LCFS Table'!$B168)</f>
        <v>3</v>
      </c>
      <c r="CY168" s="129">
        <f>YEAR('LCFS Table'!$B168)</f>
        <v>2022</v>
      </c>
    </row>
    <row r="169" spans="1:103">
      <c r="A169" s="148">
        <v>44626</v>
      </c>
      <c r="B169" s="149">
        <v>44632</v>
      </c>
      <c r="C169" s="132">
        <f t="shared" si="3"/>
        <v>2022</v>
      </c>
      <c r="D169" s="182" t="s">
        <v>266</v>
      </c>
      <c r="E169" s="187">
        <f>'LCFS Table'!$K169-'LCFS Table'!$I169</f>
        <v>-2.4006155819774735</v>
      </c>
      <c r="F169" s="187">
        <f>('LCFS Table'!$M169)-'LCFS Table'!$J169</f>
        <v>-3.8251426667237496</v>
      </c>
      <c r="G169" s="188">
        <f>'LCFS Table'!$E169+'LCFS Table'!$AS169+'LCFS Table'!$AT169+'LCFS Table'!$AU169+'LCFS Table'!$AV169</f>
        <v>2.1603831422705113</v>
      </c>
      <c r="H169" s="188">
        <f>'LCFS Table'!$F169+'LCFS Table'!$AX169+'LCFS Table'!$AY169+'LCFS Table'!$AZ169+'LCFS Table'!$BA169+('LCFS Table'!$CQ169*0.9/(0.8/0.99)/100)+(DG169*'LCFS Table'!$AF169)+(DF169*'LCFS Table'!$AG169)</f>
        <v>0.19165039062500017</v>
      </c>
      <c r="I169" s="187">
        <f>('LCFS Table'!$V169+'LCFS Table'!$W169+'LCFS Table'!$X169)/100+(('LCFS Table'!$AI169+'LCFS Table'!$AJ169)/340)</f>
        <v>6.1182155819774735</v>
      </c>
      <c r="J169" s="187">
        <f>(('LCFS Table'!$Y169+'LCFS Table'!$Z169)/100)+(('LCFS Table'!$AM169+'LCFS Table'!$AN169)/300)</f>
        <v>7.2922371093749998</v>
      </c>
      <c r="K169" s="190">
        <f>'[1]Fuel Values'!$C168</f>
        <v>3.7176</v>
      </c>
      <c r="L169" s="190">
        <f>'[1]Fuel Values'!$B168</f>
        <v>725</v>
      </c>
      <c r="M169" s="185">
        <f>('LCFS Table'!$L169/100)-'LCFS Table'!$AX169-'LCFS Table'!$AY169-'LCFS Table'!$AZ169-'LCFS Table'!$BA169</f>
        <v>3.4670944426512502</v>
      </c>
      <c r="N169" s="190">
        <f>[1]BFT!$B168</f>
        <v>75</v>
      </c>
      <c r="O169" s="190">
        <f>[1]UCO!$B168</f>
        <v>67.5</v>
      </c>
      <c r="P169" s="190">
        <f>[1]DCO!$B168</f>
        <v>82.4</v>
      </c>
      <c r="Q169" s="190">
        <f>'[1]Soybean Oil'!$B168</f>
        <v>90.665999999999997</v>
      </c>
      <c r="R169" s="190">
        <f>'[1]Yellow Grease'!$B168</f>
        <v>61.9</v>
      </c>
      <c r="S169" s="185">
        <f>'LCFS Table'!$N169 + 'LCFS Table'!$AH169</f>
        <v>79.375</v>
      </c>
      <c r="T169" s="185">
        <f>'LCFS Table'!$Q169+'LCFS Table'!$AH169</f>
        <v>95.040999999999997</v>
      </c>
      <c r="U169" s="185">
        <f>'LCFS Table'!$P169+'LCFS Table'!$AH169</f>
        <v>86.775000000000006</v>
      </c>
      <c r="V169" s="185">
        <f>(('LCFS Table'!$S169/'LCFS Table'!$AA169)*'LCFS Table'!$AC169)*6.48</f>
        <v>273.59042553191495</v>
      </c>
      <c r="W169" s="185">
        <f>(('LCFS Table'!$O169/'LCFS Table'!$AA169)*'LCFS Table'!$AD169)*6.48</f>
        <v>116.32978723404257</v>
      </c>
      <c r="X169" s="185">
        <f>(('LCFS Table'!$U169/'LCFS Table'!$AA169)*'LCFS Table'!$AE169)*6.48</f>
        <v>149.54840425531918</v>
      </c>
      <c r="Y169" s="185">
        <f>(('LCFS Table'!$T169/'LCFS Table'!$AB169)*'LCFS Table'!$AF169)*7.35</f>
        <v>545.74324218749996</v>
      </c>
      <c r="Z169" s="185">
        <f>(('LCFS Table'!$R169/'LCFS Table'!$AB169)*'LCFS Table'!$AG169)*7.35</f>
        <v>118.48046875</v>
      </c>
      <c r="AA169" s="138">
        <v>0.94</v>
      </c>
      <c r="AB169" s="138">
        <v>0.96</v>
      </c>
      <c r="AC169" s="138">
        <v>0.5</v>
      </c>
      <c r="AD169" s="138">
        <v>0.25</v>
      </c>
      <c r="AE169" s="138">
        <v>0.25</v>
      </c>
      <c r="AF169" s="138">
        <v>0.75</v>
      </c>
      <c r="AG169" s="138">
        <v>0.25</v>
      </c>
      <c r="AH169" s="139">
        <v>4.375</v>
      </c>
      <c r="AI169" s="139">
        <v>136</v>
      </c>
      <c r="AJ169" s="139">
        <v>110</v>
      </c>
      <c r="AK169" s="186">
        <f>('LCFS Table'!$AI169/340)*100</f>
        <v>40</v>
      </c>
      <c r="AL169" s="186">
        <f>('LCFS Table'!$AJ169/340)*100</f>
        <v>32.352941176470587</v>
      </c>
      <c r="AM169" s="139">
        <v>105</v>
      </c>
      <c r="AN169" s="139">
        <v>90</v>
      </c>
      <c r="AO169" s="139">
        <f>('LCFS Table'!$AM169/300)*100</f>
        <v>35</v>
      </c>
      <c r="AP169" s="139">
        <f>('LCFS Table'!$AN169/300)*100</f>
        <v>30</v>
      </c>
      <c r="AQ169" s="140">
        <f>'[1]LCFS Values'!$B168</f>
        <v>131.1</v>
      </c>
      <c r="AR169" s="140">
        <f>'[1]RIN Values'!$B168/100</f>
        <v>1.3915</v>
      </c>
      <c r="AS169" s="185">
        <v>1.0354487242479851</v>
      </c>
      <c r="AT169" s="137">
        <v>0.16</v>
      </c>
      <c r="AU169" s="137">
        <v>1</v>
      </c>
      <c r="AV169" s="185">
        <f>'LCFS Table'!$AR169*1.7</f>
        <v>2.3655499999999998</v>
      </c>
      <c r="AW169" s="137">
        <v>0</v>
      </c>
      <c r="AX169" s="185">
        <v>0.69565555734874984</v>
      </c>
      <c r="AY169" s="137">
        <v>0</v>
      </c>
      <c r="AZ169" s="141">
        <v>1</v>
      </c>
      <c r="BA169" s="185">
        <f>'LCFS Table'!$AR169*1.5</f>
        <v>2.08725</v>
      </c>
      <c r="BB169" s="142">
        <v>1.2</v>
      </c>
      <c r="BC169" s="185">
        <f>'LCFS Table'!$AS169*'LCFS Table'!$BW169</f>
        <v>1.0354487242479851</v>
      </c>
      <c r="BD169" s="185">
        <f>'LCFS Table'!$AT169*'LCFS Table'!$BX169</f>
        <v>0</v>
      </c>
      <c r="BE169" s="185">
        <f>'LCFS Table'!$AU169*'LCFS Table'!$BY169</f>
        <v>1</v>
      </c>
      <c r="BF169" s="137">
        <f>'LCFS Table'!$AV169*'LCFS Table'!$BZ169</f>
        <v>2.3655499999999998</v>
      </c>
      <c r="BG169" s="137">
        <f>'LCFS Table'!$AW169*'LCFS Table'!$CA169</f>
        <v>0</v>
      </c>
      <c r="BH169" s="137">
        <f>'LCFS Table'!$AX169*'LCFS Table'!$CB169</f>
        <v>0.69565555734874984</v>
      </c>
      <c r="BI169" s="137">
        <f>'LCFS Table'!$AY169*'LCFS Table'!$CC169</f>
        <v>0</v>
      </c>
      <c r="BJ169" s="137">
        <f>'LCFS Table'!$AZ169*'LCFS Table'!$CD169</f>
        <v>1</v>
      </c>
      <c r="BK169" s="137">
        <f>'LCFS Table'!$BA169*'LCFS Table'!$CE169</f>
        <v>2.08725</v>
      </c>
      <c r="BL169" s="137">
        <f>'LCFS Table'!$BB169*'LCFS Table'!$CF169</f>
        <v>-1.2</v>
      </c>
      <c r="BM169" s="137">
        <f>'LCFS Table'!$AS169*'LCFS Table'!$CG169</f>
        <v>0</v>
      </c>
      <c r="BN169" s="137">
        <f>'LCFS Table'!$AT169*'LCFS Table'!$CH169</f>
        <v>0.16</v>
      </c>
      <c r="BO169" s="137">
        <f>'LCFS Table'!$AU169*'LCFS Table'!$CI169</f>
        <v>0</v>
      </c>
      <c r="BP169" s="137">
        <f>'LCFS Table'!$AV169*'LCFS Table'!$CJ169</f>
        <v>0</v>
      </c>
      <c r="BQ169" s="137">
        <f>'LCFS Table'!$AW169*'LCFS Table'!$CK169</f>
        <v>0</v>
      </c>
      <c r="BR169" s="137">
        <f>'LCFS Table'!$AX169*'LCFS Table'!$CL169</f>
        <v>0</v>
      </c>
      <c r="BS169" s="137">
        <f>'LCFS Table'!$AY169*'LCFS Table'!$CM169</f>
        <v>0</v>
      </c>
      <c r="BT169" s="137">
        <f>'LCFS Table'!$AZ169*'LCFS Table'!$CN169</f>
        <v>0</v>
      </c>
      <c r="BU169" s="137">
        <f>'LCFS Table'!$BA169*'LCFS Table'!$CO169</f>
        <v>0</v>
      </c>
      <c r="BV169" s="142">
        <f>'LCFS Table'!$BB169*'LCFS Table'!$CP169</f>
        <v>1.2</v>
      </c>
      <c r="BW169" s="138">
        <v>1</v>
      </c>
      <c r="BX169" s="138">
        <v>0</v>
      </c>
      <c r="BY169" s="138">
        <v>1</v>
      </c>
      <c r="BZ169" s="138">
        <v>1</v>
      </c>
      <c r="CA169" s="138">
        <v>-1</v>
      </c>
      <c r="CB169" s="138">
        <v>1</v>
      </c>
      <c r="CC169" s="138">
        <v>0</v>
      </c>
      <c r="CD169" s="138">
        <v>1</v>
      </c>
      <c r="CE169" s="138">
        <v>1</v>
      </c>
      <c r="CF169" s="138">
        <v>-1</v>
      </c>
      <c r="CG169" s="138">
        <f>1-'LCFS Table'!$BW169</f>
        <v>0</v>
      </c>
      <c r="CH169" s="138">
        <f>1-'LCFS Table'!$BX169</f>
        <v>1</v>
      </c>
      <c r="CI169" s="138">
        <f>1-'LCFS Table'!$BY169</f>
        <v>0</v>
      </c>
      <c r="CJ169" s="138">
        <f>1-'LCFS Table'!$BZ169</f>
        <v>0</v>
      </c>
      <c r="CK169" s="138">
        <f>-'LCFS Table'!$CA169</f>
        <v>1</v>
      </c>
      <c r="CL169" s="138">
        <f>1-'LCFS Table'!$CB169</f>
        <v>0</v>
      </c>
      <c r="CM169" s="138">
        <f>1-'LCFS Table'!$CC169</f>
        <v>1</v>
      </c>
      <c r="CN169" s="138">
        <f>1-'LCFS Table'!$CD169</f>
        <v>0</v>
      </c>
      <c r="CO169" s="138">
        <f>1-'LCFS Table'!$CE169</f>
        <v>0</v>
      </c>
      <c r="CP169" s="138">
        <f>-'LCFS Table'!$CF169</f>
        <v>1</v>
      </c>
      <c r="CQ169" s="140">
        <v>21</v>
      </c>
      <c r="CR169" s="165">
        <f>('LCFS Table'!$CQ169*0.9/(0.8/0.99)/100)</f>
        <v>0.23388749999999997</v>
      </c>
      <c r="CS169" s="166"/>
      <c r="CT169" s="167"/>
      <c r="CW169" s="168">
        <f>'LCFS Table'!$K169-'LCFS Table'!$M169</f>
        <v>0.2505055573487498</v>
      </c>
      <c r="CX169" s="129">
        <f>MONTH('LCFS Table'!$B169)</f>
        <v>3</v>
      </c>
      <c r="CY169" s="129">
        <f>YEAR('LCFS Table'!$B169)</f>
        <v>2022</v>
      </c>
    </row>
    <row r="170" spans="1:103">
      <c r="A170" s="148">
        <v>44633</v>
      </c>
      <c r="B170" s="149">
        <v>44639</v>
      </c>
      <c r="C170" s="132">
        <f t="shared" si="3"/>
        <v>2022</v>
      </c>
      <c r="D170" s="150" t="s">
        <v>267</v>
      </c>
      <c r="E170" s="187">
        <f>'LCFS Table'!$K170-'LCFS Table'!$I170</f>
        <v>-2.7685538798498124</v>
      </c>
      <c r="F170" s="187">
        <f>('LCFS Table'!$M170)-'LCFS Table'!$J170</f>
        <v>-4.0633592572775008</v>
      </c>
      <c r="G170" s="188">
        <f>'LCFS Table'!$E170+'LCFS Table'!$AS170+'LCFS Table'!$AT170+'LCFS Table'!$AU170+'LCFS Table'!$AV170</f>
        <v>1.9574964281757954</v>
      </c>
      <c r="H170" s="188">
        <f>'LCFS Table'!$F170+'LCFS Table'!$AX170+'LCFS Table'!$AY170+'LCFS Table'!$AZ170+'LCFS Table'!$BA170+('LCFS Table'!$CQ170*0.9/(0.8/0.99)/100)+(DG170*'LCFS Table'!$AF170)+(DF170*'LCFS Table'!$AG170)</f>
        <v>0.11245585937499908</v>
      </c>
      <c r="I170" s="187">
        <f>('LCFS Table'!$V170+'LCFS Table'!$W170+'LCFS Table'!$X170)/100+(('LCFS Table'!$AI170+'LCFS Table'!$AJ170)/340)</f>
        <v>6.0768538798498124</v>
      </c>
      <c r="J170" s="187">
        <f>(('LCFS Table'!$Y170+'LCFS Table'!$Z170)/100)+(('LCFS Table'!$AM170+'LCFS Table'!$AN170)/300)</f>
        <v>7.4714316406250001</v>
      </c>
      <c r="K170" s="190">
        <f>'[1]Fuel Values'!$C169</f>
        <v>3.3083</v>
      </c>
      <c r="L170" s="190">
        <f>'[1]Fuel Values'!$B169</f>
        <v>735</v>
      </c>
      <c r="M170" s="185">
        <f>('LCFS Table'!$L170/100)-'LCFS Table'!$AX170-'LCFS Table'!$AY170-'LCFS Table'!$AZ170-'LCFS Table'!$BA170</f>
        <v>3.4080723833474997</v>
      </c>
      <c r="N170" s="190">
        <f>[1]BFT!$B169</f>
        <v>73.900000000000006</v>
      </c>
      <c r="O170" s="190">
        <f>[1]UCO!$B169</f>
        <v>70.5</v>
      </c>
      <c r="P170" s="190">
        <f>[1]DCO!$B169</f>
        <v>79.2</v>
      </c>
      <c r="Q170" s="190">
        <f>'[1]Soybean Oil'!$B169</f>
        <v>92.92</v>
      </c>
      <c r="R170" s="190">
        <f>'[1]Yellow Grease'!$B169</f>
        <v>64.5</v>
      </c>
      <c r="S170" s="185">
        <f>'LCFS Table'!$N170 + 'LCFS Table'!$AH170</f>
        <v>78.275000000000006</v>
      </c>
      <c r="T170" s="185">
        <f>'LCFS Table'!$Q170+'LCFS Table'!$AH170</f>
        <v>97.295000000000002</v>
      </c>
      <c r="U170" s="185">
        <f>'LCFS Table'!$P170+'LCFS Table'!$AH170</f>
        <v>83.575000000000003</v>
      </c>
      <c r="V170" s="185">
        <f>(('LCFS Table'!$S170/'LCFS Table'!$AA170)*'LCFS Table'!$AC170)*6.48</f>
        <v>269.79893617021281</v>
      </c>
      <c r="W170" s="185">
        <f>(('LCFS Table'!$O170/'LCFS Table'!$AA170)*'LCFS Table'!$AD170)*6.48</f>
        <v>121.50000000000001</v>
      </c>
      <c r="X170" s="185">
        <f>(('LCFS Table'!$U170/'LCFS Table'!$AA170)*'LCFS Table'!$AE170)*6.48</f>
        <v>144.03351063829788</v>
      </c>
      <c r="Y170" s="185">
        <f>(('LCFS Table'!$T170/'LCFS Table'!$AB170)*'LCFS Table'!$AF170)*7.35</f>
        <v>558.68613281249998</v>
      </c>
      <c r="Z170" s="185">
        <f>(('LCFS Table'!$R170/'LCFS Table'!$AB170)*'LCFS Table'!$AG170)*7.35</f>
        <v>123.45703125</v>
      </c>
      <c r="AA170" s="138">
        <v>0.94</v>
      </c>
      <c r="AB170" s="138">
        <v>0.96</v>
      </c>
      <c r="AC170" s="138">
        <v>0.5</v>
      </c>
      <c r="AD170" s="138">
        <v>0.25</v>
      </c>
      <c r="AE170" s="138">
        <v>0.25</v>
      </c>
      <c r="AF170" s="138">
        <v>0.75</v>
      </c>
      <c r="AG170" s="138">
        <v>0.25</v>
      </c>
      <c r="AH170" s="139">
        <v>4.375</v>
      </c>
      <c r="AI170" s="139">
        <v>136</v>
      </c>
      <c r="AJ170" s="139">
        <v>110</v>
      </c>
      <c r="AK170" s="186">
        <f>('LCFS Table'!$AI170/340)*100</f>
        <v>40</v>
      </c>
      <c r="AL170" s="186">
        <f>('LCFS Table'!$AJ170/340)*100</f>
        <v>32.352941176470587</v>
      </c>
      <c r="AM170" s="139">
        <v>105</v>
      </c>
      <c r="AN170" s="139">
        <v>90</v>
      </c>
      <c r="AO170" s="139">
        <f>('LCFS Table'!$AM170/300)*100</f>
        <v>35</v>
      </c>
      <c r="AP170" s="139">
        <f>('LCFS Table'!$AN170/300)*100</f>
        <v>30</v>
      </c>
      <c r="AQ170" s="140">
        <f>'[1]LCFS Values'!$B169</f>
        <v>124.55</v>
      </c>
      <c r="AR170" s="140">
        <f>'[1]RIN Values'!$B169/100</f>
        <v>1.526</v>
      </c>
      <c r="AS170" s="185">
        <v>0.9718503080256079</v>
      </c>
      <c r="AT170" s="137">
        <v>0.16</v>
      </c>
      <c r="AU170" s="137">
        <v>1</v>
      </c>
      <c r="AV170" s="185">
        <f>'LCFS Table'!$AR170*1.7</f>
        <v>2.5941999999999998</v>
      </c>
      <c r="AW170" s="137">
        <v>0</v>
      </c>
      <c r="AX170" s="185">
        <v>0.65292761665249988</v>
      </c>
      <c r="AY170" s="137">
        <v>0</v>
      </c>
      <c r="AZ170" s="141">
        <v>1</v>
      </c>
      <c r="BA170" s="185">
        <f>'LCFS Table'!$AR170*1.5</f>
        <v>2.2890000000000001</v>
      </c>
      <c r="BB170" s="142">
        <v>1.2</v>
      </c>
      <c r="BC170" s="185">
        <f>'LCFS Table'!$AS170*'LCFS Table'!$BW170</f>
        <v>0.9718503080256079</v>
      </c>
      <c r="BD170" s="185">
        <f>'LCFS Table'!$AT170*'LCFS Table'!$BX170</f>
        <v>0</v>
      </c>
      <c r="BE170" s="185">
        <f>'LCFS Table'!$AU170*'LCFS Table'!$BY170</f>
        <v>1</v>
      </c>
      <c r="BF170" s="137">
        <f>'LCFS Table'!$AV170*'LCFS Table'!$BZ170</f>
        <v>2.5941999999999998</v>
      </c>
      <c r="BG170" s="137">
        <f>'LCFS Table'!$AW170*'LCFS Table'!$CA170</f>
        <v>0</v>
      </c>
      <c r="BH170" s="137">
        <f>'LCFS Table'!$AX170*'LCFS Table'!$CB170</f>
        <v>0.65292761665249988</v>
      </c>
      <c r="BI170" s="137">
        <f>'LCFS Table'!$AY170*'LCFS Table'!$CC170</f>
        <v>0</v>
      </c>
      <c r="BJ170" s="137">
        <f>'LCFS Table'!$AZ170*'LCFS Table'!$CD170</f>
        <v>1</v>
      </c>
      <c r="BK170" s="137">
        <f>'LCFS Table'!$BA170*'LCFS Table'!$CE170</f>
        <v>2.2890000000000001</v>
      </c>
      <c r="BL170" s="137">
        <f>'LCFS Table'!$BB170*'LCFS Table'!$CF170</f>
        <v>-1.2</v>
      </c>
      <c r="BM170" s="137">
        <f>'LCFS Table'!$AS170*'LCFS Table'!$CG170</f>
        <v>0</v>
      </c>
      <c r="BN170" s="137">
        <f>'LCFS Table'!$AT170*'LCFS Table'!$CH170</f>
        <v>0.16</v>
      </c>
      <c r="BO170" s="137">
        <f>'LCFS Table'!$AU170*'LCFS Table'!$CI170</f>
        <v>0</v>
      </c>
      <c r="BP170" s="137">
        <f>'LCFS Table'!$AV170*'LCFS Table'!$CJ170</f>
        <v>0</v>
      </c>
      <c r="BQ170" s="137">
        <f>'LCFS Table'!$AW170*'LCFS Table'!$CK170</f>
        <v>0</v>
      </c>
      <c r="BR170" s="137">
        <f>'LCFS Table'!$AX170*'LCFS Table'!$CL170</f>
        <v>0</v>
      </c>
      <c r="BS170" s="137">
        <f>'LCFS Table'!$AY170*'LCFS Table'!$CM170</f>
        <v>0</v>
      </c>
      <c r="BT170" s="137">
        <f>'LCFS Table'!$AZ170*'LCFS Table'!$CN170</f>
        <v>0</v>
      </c>
      <c r="BU170" s="137">
        <f>'LCFS Table'!$BA170*'LCFS Table'!$CO170</f>
        <v>0</v>
      </c>
      <c r="BV170" s="142">
        <f>'LCFS Table'!$BB170*'LCFS Table'!$CP170</f>
        <v>1.2</v>
      </c>
      <c r="BW170" s="138">
        <v>1</v>
      </c>
      <c r="BX170" s="138">
        <v>0</v>
      </c>
      <c r="BY170" s="138">
        <v>1</v>
      </c>
      <c r="BZ170" s="138">
        <v>1</v>
      </c>
      <c r="CA170" s="138">
        <v>-1</v>
      </c>
      <c r="CB170" s="138">
        <v>1</v>
      </c>
      <c r="CC170" s="138">
        <v>0</v>
      </c>
      <c r="CD170" s="138">
        <v>1</v>
      </c>
      <c r="CE170" s="138">
        <v>1</v>
      </c>
      <c r="CF170" s="138">
        <v>-1</v>
      </c>
      <c r="CG170" s="138">
        <f>1-'LCFS Table'!$BW170</f>
        <v>0</v>
      </c>
      <c r="CH170" s="138">
        <f>1-'LCFS Table'!$BX170</f>
        <v>1</v>
      </c>
      <c r="CI170" s="138">
        <f>1-'LCFS Table'!$BY170</f>
        <v>0</v>
      </c>
      <c r="CJ170" s="138">
        <f>1-'LCFS Table'!$BZ170</f>
        <v>0</v>
      </c>
      <c r="CK170" s="138">
        <f>-'LCFS Table'!$CA170</f>
        <v>1</v>
      </c>
      <c r="CL170" s="138">
        <f>1-'LCFS Table'!$CB170</f>
        <v>0</v>
      </c>
      <c r="CM170" s="138">
        <f>1-'LCFS Table'!$CC170</f>
        <v>1</v>
      </c>
      <c r="CN170" s="138">
        <f>1-'LCFS Table'!$CD170</f>
        <v>0</v>
      </c>
      <c r="CO170" s="138">
        <f>1-'LCFS Table'!$CE170</f>
        <v>0</v>
      </c>
      <c r="CP170" s="138">
        <f>-'LCFS Table'!$CF170</f>
        <v>1</v>
      </c>
      <c r="CQ170" s="140">
        <v>21</v>
      </c>
      <c r="CR170" s="165">
        <f>('LCFS Table'!$CQ170*0.9/(0.8/0.99)/100)</f>
        <v>0.23388749999999997</v>
      </c>
      <c r="CS170" s="166"/>
      <c r="CT170" s="167"/>
      <c r="CW170" s="168">
        <f>'LCFS Table'!$K170-'LCFS Table'!$M170</f>
        <v>-9.9772383347499716E-2</v>
      </c>
      <c r="CX170" s="129">
        <f>MONTH('LCFS Table'!$B170)</f>
        <v>3</v>
      </c>
      <c r="CY170" s="129">
        <f>YEAR('LCFS Table'!$B170)</f>
        <v>2022</v>
      </c>
    </row>
    <row r="171" spans="1:103">
      <c r="A171" s="148">
        <v>44640</v>
      </c>
      <c r="B171" s="149">
        <v>44646</v>
      </c>
      <c r="C171" s="132">
        <f t="shared" si="3"/>
        <v>2022</v>
      </c>
      <c r="D171" s="182" t="s">
        <v>268</v>
      </c>
      <c r="E171" s="187">
        <f>'LCFS Table'!$K171-'LCFS Table'!$I171</f>
        <v>-2.010721964956196</v>
      </c>
      <c r="F171" s="187">
        <f>('LCFS Table'!$M171)-'LCFS Table'!$J171</f>
        <v>-4.1069754298675001</v>
      </c>
      <c r="G171" s="188">
        <f>'LCFS Table'!$E171+'LCFS Table'!$AS171+'LCFS Table'!$AT171+'LCFS Table'!$AU171+'LCFS Table'!$AV171</f>
        <v>2.6983578242953539</v>
      </c>
      <c r="H171" s="188">
        <f>'LCFS Table'!$F171+'LCFS Table'!$AX171+'LCFS Table'!$AY171+'LCFS Table'!$AZ171+'LCFS Table'!$BA171+('LCFS Table'!$CQ171*0.9/(0.8/0.99)/100)+(DG171*'LCFS Table'!$AF171)+(DF171*'LCFS Table'!$AG171)</f>
        <v>4.6165234374999364E-2</v>
      </c>
      <c r="I171" s="187">
        <f>('LCFS Table'!$V171+'LCFS Table'!$W171+'LCFS Table'!$X171)/100+(('LCFS Table'!$AI171+'LCFS Table'!$AJ171)/340)</f>
        <v>6.0303219649561957</v>
      </c>
      <c r="J171" s="187">
        <f>(('LCFS Table'!$Y171+'LCFS Table'!$Z171)/100)+(('LCFS Table'!$AM171+'LCFS Table'!$AN171)/300)</f>
        <v>7.5077222656250004</v>
      </c>
      <c r="K171" s="190">
        <f>'[1]Fuel Values'!$C170</f>
        <v>4.0195999999999996</v>
      </c>
      <c r="L171" s="190">
        <f>'[1]Fuel Values'!$B170</f>
        <v>732</v>
      </c>
      <c r="M171" s="185">
        <f>('LCFS Table'!$L171/100)-'LCFS Table'!$AX171-'LCFS Table'!$AY171-'LCFS Table'!$AZ171-'LCFS Table'!$BA171</f>
        <v>3.4007468357575004</v>
      </c>
      <c r="N171" s="190">
        <f>[1]BFT!$B170</f>
        <v>72.5</v>
      </c>
      <c r="O171" s="190">
        <f>[1]UCO!$B170</f>
        <v>70.5</v>
      </c>
      <c r="P171" s="190">
        <f>[1]DCO!$B170</f>
        <v>79.3</v>
      </c>
      <c r="Q171" s="190">
        <f>'[1]Soybean Oil'!$B170</f>
        <v>93.552000000000007</v>
      </c>
      <c r="R171" s="190">
        <f>'[1]Yellow Grease'!$B170</f>
        <v>64.5</v>
      </c>
      <c r="S171" s="185">
        <f>'LCFS Table'!$N171 + 'LCFS Table'!$AH171</f>
        <v>76.875</v>
      </c>
      <c r="T171" s="185">
        <f>'LCFS Table'!$Q171+'LCFS Table'!$AH171</f>
        <v>97.927000000000007</v>
      </c>
      <c r="U171" s="185">
        <f>'LCFS Table'!$P171+'LCFS Table'!$AH171</f>
        <v>83.674999999999997</v>
      </c>
      <c r="V171" s="185">
        <f>(('LCFS Table'!$S171/'LCFS Table'!$AA171)*'LCFS Table'!$AC171)*6.48</f>
        <v>264.97340425531917</v>
      </c>
      <c r="W171" s="185">
        <f>(('LCFS Table'!$O171/'LCFS Table'!$AA171)*'LCFS Table'!$AD171)*6.48</f>
        <v>121.50000000000001</v>
      </c>
      <c r="X171" s="185">
        <f>(('LCFS Table'!$U171/'LCFS Table'!$AA171)*'LCFS Table'!$AE171)*6.48</f>
        <v>144.20585106382981</v>
      </c>
      <c r="Y171" s="185">
        <f>(('LCFS Table'!$T171/'LCFS Table'!$AB171)*'LCFS Table'!$AF171)*7.35</f>
        <v>562.31519531250001</v>
      </c>
      <c r="Z171" s="185">
        <f>(('LCFS Table'!$R171/'LCFS Table'!$AB171)*'LCFS Table'!$AG171)*7.35</f>
        <v>123.45703125</v>
      </c>
      <c r="AA171" s="138">
        <v>0.94</v>
      </c>
      <c r="AB171" s="138">
        <v>0.96</v>
      </c>
      <c r="AC171" s="138">
        <v>0.5</v>
      </c>
      <c r="AD171" s="138">
        <v>0.25</v>
      </c>
      <c r="AE171" s="138">
        <v>0.25</v>
      </c>
      <c r="AF171" s="138">
        <v>0.75</v>
      </c>
      <c r="AG171" s="138">
        <v>0.25</v>
      </c>
      <c r="AH171" s="139">
        <v>4.375</v>
      </c>
      <c r="AI171" s="139">
        <v>136</v>
      </c>
      <c r="AJ171" s="139">
        <v>110</v>
      </c>
      <c r="AK171" s="186">
        <f>('LCFS Table'!$AI171/340)*100</f>
        <v>40</v>
      </c>
      <c r="AL171" s="186">
        <f>('LCFS Table'!$AJ171/340)*100</f>
        <v>32.352941176470587</v>
      </c>
      <c r="AM171" s="139">
        <v>105</v>
      </c>
      <c r="AN171" s="139">
        <v>90</v>
      </c>
      <c r="AO171" s="139">
        <f>('LCFS Table'!$AM171/300)*100</f>
        <v>35</v>
      </c>
      <c r="AP171" s="139">
        <f>('LCFS Table'!$AN171/300)*100</f>
        <v>30</v>
      </c>
      <c r="AQ171" s="140">
        <f>'[1]LCFS Values'!$B170</f>
        <v>116.9</v>
      </c>
      <c r="AR171" s="140">
        <f>'[1]RIN Values'!$B170/100</f>
        <v>1.4944999999999999</v>
      </c>
      <c r="AS171" s="185">
        <v>1.0084297892515501</v>
      </c>
      <c r="AT171" s="137">
        <v>0.16</v>
      </c>
      <c r="AU171" s="137">
        <v>1</v>
      </c>
      <c r="AV171" s="185">
        <f>'LCFS Table'!$AR171*1.7</f>
        <v>2.5406499999999999</v>
      </c>
      <c r="AW171" s="137">
        <v>0</v>
      </c>
      <c r="AX171" s="185">
        <v>0.6775031642424999</v>
      </c>
      <c r="AY171" s="137">
        <v>0</v>
      </c>
      <c r="AZ171" s="141">
        <v>1</v>
      </c>
      <c r="BA171" s="185">
        <f>'LCFS Table'!$AR171*1.5</f>
        <v>2.2417499999999997</v>
      </c>
      <c r="BB171" s="142">
        <v>1.2</v>
      </c>
      <c r="BC171" s="185">
        <f>'LCFS Table'!$AS171*'LCFS Table'!$BW171</f>
        <v>1.0084297892515501</v>
      </c>
      <c r="BD171" s="185">
        <f>'LCFS Table'!$AT171*'LCFS Table'!$BX171</f>
        <v>0</v>
      </c>
      <c r="BE171" s="185">
        <f>'LCFS Table'!$AU171*'LCFS Table'!$BY171</f>
        <v>1</v>
      </c>
      <c r="BF171" s="137">
        <f>'LCFS Table'!$AV171*'LCFS Table'!$BZ171</f>
        <v>2.5406499999999999</v>
      </c>
      <c r="BG171" s="137">
        <f>'LCFS Table'!$AW171*'LCFS Table'!$CA171</f>
        <v>0</v>
      </c>
      <c r="BH171" s="137">
        <f>'LCFS Table'!$AX171*'LCFS Table'!$CB171</f>
        <v>0.6775031642424999</v>
      </c>
      <c r="BI171" s="137">
        <f>'LCFS Table'!$AY171*'LCFS Table'!$CC171</f>
        <v>0</v>
      </c>
      <c r="BJ171" s="137">
        <f>'LCFS Table'!$AZ171*'LCFS Table'!$CD171</f>
        <v>1</v>
      </c>
      <c r="BK171" s="137">
        <f>'LCFS Table'!$BA171*'LCFS Table'!$CE171</f>
        <v>2.2417499999999997</v>
      </c>
      <c r="BL171" s="137">
        <f>'LCFS Table'!$BB171*'LCFS Table'!$CF171</f>
        <v>-1.2</v>
      </c>
      <c r="BM171" s="137">
        <f>'LCFS Table'!$AS171*'LCFS Table'!$CG171</f>
        <v>0</v>
      </c>
      <c r="BN171" s="137">
        <f>'LCFS Table'!$AT171*'LCFS Table'!$CH171</f>
        <v>0.16</v>
      </c>
      <c r="BO171" s="137">
        <f>'LCFS Table'!$AU171*'LCFS Table'!$CI171</f>
        <v>0</v>
      </c>
      <c r="BP171" s="137">
        <f>'LCFS Table'!$AV171*'LCFS Table'!$CJ171</f>
        <v>0</v>
      </c>
      <c r="BQ171" s="137">
        <f>'LCFS Table'!$AW171*'LCFS Table'!$CK171</f>
        <v>0</v>
      </c>
      <c r="BR171" s="137">
        <f>'LCFS Table'!$AX171*'LCFS Table'!$CL171</f>
        <v>0</v>
      </c>
      <c r="BS171" s="137">
        <f>'LCFS Table'!$AY171*'LCFS Table'!$CM171</f>
        <v>0</v>
      </c>
      <c r="BT171" s="137">
        <f>'LCFS Table'!$AZ171*'LCFS Table'!$CN171</f>
        <v>0</v>
      </c>
      <c r="BU171" s="137">
        <f>'LCFS Table'!$BA171*'LCFS Table'!$CO171</f>
        <v>0</v>
      </c>
      <c r="BV171" s="142">
        <f>'LCFS Table'!$BB171*'LCFS Table'!$CP171</f>
        <v>1.2</v>
      </c>
      <c r="BW171" s="138">
        <v>1</v>
      </c>
      <c r="BX171" s="138">
        <v>0</v>
      </c>
      <c r="BY171" s="138">
        <v>1</v>
      </c>
      <c r="BZ171" s="138">
        <v>1</v>
      </c>
      <c r="CA171" s="138">
        <v>-1</v>
      </c>
      <c r="CB171" s="138">
        <v>1</v>
      </c>
      <c r="CC171" s="138">
        <v>0</v>
      </c>
      <c r="CD171" s="138">
        <v>1</v>
      </c>
      <c r="CE171" s="138">
        <v>1</v>
      </c>
      <c r="CF171" s="138">
        <v>-1</v>
      </c>
      <c r="CG171" s="138">
        <f>1-'LCFS Table'!$BW171</f>
        <v>0</v>
      </c>
      <c r="CH171" s="138">
        <f>1-'LCFS Table'!$BX171</f>
        <v>1</v>
      </c>
      <c r="CI171" s="138">
        <f>1-'LCFS Table'!$BY171</f>
        <v>0</v>
      </c>
      <c r="CJ171" s="138">
        <f>1-'LCFS Table'!$BZ171</f>
        <v>0</v>
      </c>
      <c r="CK171" s="138">
        <f>-'LCFS Table'!$CA171</f>
        <v>1</v>
      </c>
      <c r="CL171" s="138">
        <f>1-'LCFS Table'!$CB171</f>
        <v>0</v>
      </c>
      <c r="CM171" s="138">
        <f>1-'LCFS Table'!$CC171</f>
        <v>1</v>
      </c>
      <c r="CN171" s="138">
        <f>1-'LCFS Table'!$CD171</f>
        <v>0</v>
      </c>
      <c r="CO171" s="138">
        <f>1-'LCFS Table'!$CE171</f>
        <v>0</v>
      </c>
      <c r="CP171" s="138">
        <f>-'LCFS Table'!$CF171</f>
        <v>1</v>
      </c>
      <c r="CQ171" s="140">
        <v>21</v>
      </c>
      <c r="CR171" s="165">
        <f>('LCFS Table'!$CQ171*0.9/(0.8/0.99)/100)</f>
        <v>0.23388749999999997</v>
      </c>
      <c r="CS171" s="166"/>
      <c r="CT171" s="167"/>
      <c r="CW171" s="168">
        <f>'LCFS Table'!$K171-'LCFS Table'!$M171</f>
        <v>0.61885316424249925</v>
      </c>
      <c r="CX171" s="129">
        <f>MONTH('LCFS Table'!$B171)</f>
        <v>3</v>
      </c>
      <c r="CY171" s="129">
        <f>YEAR('LCFS Table'!$B171)</f>
        <v>2022</v>
      </c>
    </row>
    <row r="172" spans="1:103">
      <c r="A172" s="148">
        <v>44647</v>
      </c>
      <c r="B172" s="149">
        <v>44653</v>
      </c>
      <c r="C172" s="132">
        <f t="shared" si="3"/>
        <v>2022</v>
      </c>
      <c r="D172" s="150" t="s">
        <v>269</v>
      </c>
      <c r="E172" s="187">
        <f>'LCFS Table'!$K172-'LCFS Table'!$I172</f>
        <v>-2.3564028160200263</v>
      </c>
      <c r="F172" s="187">
        <f>('LCFS Table'!$M172)-'LCFS Table'!$J172</f>
        <v>-3.6059681840500004</v>
      </c>
      <c r="G172" s="188">
        <f>'LCFS Table'!$E172+'LCFS Table'!$AS172+'LCFS Table'!$AT172+'LCFS Table'!$AU172+'LCFS Table'!$AV172</f>
        <v>2.2920099546142745</v>
      </c>
      <c r="H172" s="188">
        <f>'LCFS Table'!$F172+'LCFS Table'!$AX172+'LCFS Table'!$AY172+'LCFS Table'!$AZ172+'LCFS Table'!$BA172+('LCFS Table'!$CQ172*0.9/(0.8/0.99)/100)+(DG172*'LCFS Table'!$AF172)+(DF172*'LCFS Table'!$AG172)</f>
        <v>0.47953007812499981</v>
      </c>
      <c r="I172" s="187">
        <f>('LCFS Table'!$V172+'LCFS Table'!$W172+'LCFS Table'!$X172)/100+(('LCFS Table'!$AI172+'LCFS Table'!$AJ172)/340)</f>
        <v>6.0510028160200262</v>
      </c>
      <c r="J172" s="187">
        <f>(('LCFS Table'!$Y172+'LCFS Table'!$Z172)/100)+(('LCFS Table'!$AM172+'LCFS Table'!$AN172)/300)</f>
        <v>7.2632199218749998</v>
      </c>
      <c r="K172" s="190">
        <f>'[1]Fuel Values'!$C171</f>
        <v>3.6945999999999999</v>
      </c>
      <c r="L172" s="190">
        <f>'[1]Fuel Values'!$B171</f>
        <v>752</v>
      </c>
      <c r="M172" s="185">
        <f>('LCFS Table'!$L172/100)-'LCFS Table'!$AX172-'LCFS Table'!$AY172-'LCFS Table'!$AZ172-'LCFS Table'!$BA172</f>
        <v>3.6572517378249993</v>
      </c>
      <c r="N172" s="190">
        <f>[1]BFT!$B171</f>
        <v>73.7</v>
      </c>
      <c r="O172" s="190">
        <f>[1]UCO!$B171</f>
        <v>70.5</v>
      </c>
      <c r="P172" s="190">
        <f>[1]DCO!$B171</f>
        <v>78.099999999999994</v>
      </c>
      <c r="Q172" s="190">
        <f>'[1]Soybean Oil'!$B171</f>
        <v>90.093999999999994</v>
      </c>
      <c r="R172" s="190">
        <f>'[1]Yellow Grease'!$B171</f>
        <v>62.1</v>
      </c>
      <c r="S172" s="185">
        <f>'LCFS Table'!$N172 + 'LCFS Table'!$AH172</f>
        <v>78.075000000000003</v>
      </c>
      <c r="T172" s="185">
        <f>'LCFS Table'!$Q172+'LCFS Table'!$AH172</f>
        <v>94.468999999999994</v>
      </c>
      <c r="U172" s="185">
        <f>'LCFS Table'!$P172+'LCFS Table'!$AH172</f>
        <v>82.474999999999994</v>
      </c>
      <c r="V172" s="185">
        <f>(('LCFS Table'!$S172/'LCFS Table'!$AA172)*'LCFS Table'!$AC172)*6.48</f>
        <v>269.10957446808516</v>
      </c>
      <c r="W172" s="185">
        <f>(('LCFS Table'!$O172/'LCFS Table'!$AA172)*'LCFS Table'!$AD172)*6.48</f>
        <v>121.50000000000001</v>
      </c>
      <c r="X172" s="185">
        <f>(('LCFS Table'!$U172/'LCFS Table'!$AA172)*'LCFS Table'!$AE172)*6.48</f>
        <v>142.13776595744682</v>
      </c>
      <c r="Y172" s="185">
        <f>(('LCFS Table'!$T172/'LCFS Table'!$AB172)*'LCFS Table'!$AF172)*7.35</f>
        <v>542.45871093749997</v>
      </c>
      <c r="Z172" s="185">
        <f>(('LCFS Table'!$R172/'LCFS Table'!$AB172)*'LCFS Table'!$AG172)*7.35</f>
        <v>118.86328125</v>
      </c>
      <c r="AA172" s="138">
        <v>0.94</v>
      </c>
      <c r="AB172" s="138">
        <v>0.96</v>
      </c>
      <c r="AC172" s="138">
        <v>0.5</v>
      </c>
      <c r="AD172" s="138">
        <v>0.25</v>
      </c>
      <c r="AE172" s="138">
        <v>0.25</v>
      </c>
      <c r="AF172" s="138">
        <v>0.75</v>
      </c>
      <c r="AG172" s="138">
        <v>0.25</v>
      </c>
      <c r="AH172" s="139">
        <v>4.375</v>
      </c>
      <c r="AI172" s="139">
        <v>136</v>
      </c>
      <c r="AJ172" s="139">
        <v>110</v>
      </c>
      <c r="AK172" s="186">
        <f>('LCFS Table'!$AI172/340)*100</f>
        <v>40</v>
      </c>
      <c r="AL172" s="186">
        <f>('LCFS Table'!$AJ172/340)*100</f>
        <v>32.352941176470587</v>
      </c>
      <c r="AM172" s="139">
        <v>105</v>
      </c>
      <c r="AN172" s="139">
        <v>90</v>
      </c>
      <c r="AO172" s="139">
        <f>('LCFS Table'!$AM172/300)*100</f>
        <v>35</v>
      </c>
      <c r="AP172" s="139">
        <f>('LCFS Table'!$AN172/300)*100</f>
        <v>30</v>
      </c>
      <c r="AQ172" s="140">
        <f>'[1]LCFS Values'!$B171</f>
        <v>121.3</v>
      </c>
      <c r="AR172" s="140">
        <f>'[1]RIN Values'!$B171/100</f>
        <v>1.4505000000000001</v>
      </c>
      <c r="AS172" s="185">
        <v>1.0225627706343008</v>
      </c>
      <c r="AT172" s="137">
        <v>0.16</v>
      </c>
      <c r="AU172" s="137">
        <v>1</v>
      </c>
      <c r="AV172" s="185">
        <f>'LCFS Table'!$AR172*1.7</f>
        <v>2.4658500000000001</v>
      </c>
      <c r="AW172" s="137">
        <v>0</v>
      </c>
      <c r="AX172" s="185">
        <v>0.68699826217499993</v>
      </c>
      <c r="AY172" s="137">
        <v>0</v>
      </c>
      <c r="AZ172" s="141">
        <v>1</v>
      </c>
      <c r="BA172" s="185">
        <f>'LCFS Table'!$AR172*1.5</f>
        <v>2.1757500000000003</v>
      </c>
      <c r="BB172" s="142">
        <v>1.2</v>
      </c>
      <c r="BC172" s="185">
        <f>'LCFS Table'!$AS172*'LCFS Table'!$BW172</f>
        <v>1.0225627706343008</v>
      </c>
      <c r="BD172" s="185">
        <f>'LCFS Table'!$AT172*'LCFS Table'!$BX172</f>
        <v>0</v>
      </c>
      <c r="BE172" s="185">
        <f>'LCFS Table'!$AU172*'LCFS Table'!$BY172</f>
        <v>1</v>
      </c>
      <c r="BF172" s="137">
        <f>'LCFS Table'!$AV172*'LCFS Table'!$BZ172</f>
        <v>2.4658500000000001</v>
      </c>
      <c r="BG172" s="137">
        <f>'LCFS Table'!$AW172*'LCFS Table'!$CA172</f>
        <v>0</v>
      </c>
      <c r="BH172" s="137">
        <f>'LCFS Table'!$AX172*'LCFS Table'!$CB172</f>
        <v>0.68699826217499993</v>
      </c>
      <c r="BI172" s="137">
        <f>'LCFS Table'!$AY172*'LCFS Table'!$CC172</f>
        <v>0</v>
      </c>
      <c r="BJ172" s="137">
        <f>'LCFS Table'!$AZ172*'LCFS Table'!$CD172</f>
        <v>1</v>
      </c>
      <c r="BK172" s="137">
        <f>'LCFS Table'!$BA172*'LCFS Table'!$CE172</f>
        <v>2.1757500000000003</v>
      </c>
      <c r="BL172" s="137">
        <f>'LCFS Table'!$BB172*'LCFS Table'!$CF172</f>
        <v>-1.2</v>
      </c>
      <c r="BM172" s="137">
        <f>'LCFS Table'!$AS172*'LCFS Table'!$CG172</f>
        <v>0</v>
      </c>
      <c r="BN172" s="137">
        <f>'LCFS Table'!$AT172*'LCFS Table'!$CH172</f>
        <v>0.16</v>
      </c>
      <c r="BO172" s="137">
        <f>'LCFS Table'!$AU172*'LCFS Table'!$CI172</f>
        <v>0</v>
      </c>
      <c r="BP172" s="137">
        <f>'LCFS Table'!$AV172*'LCFS Table'!$CJ172</f>
        <v>0</v>
      </c>
      <c r="BQ172" s="137">
        <f>'LCFS Table'!$AW172*'LCFS Table'!$CK172</f>
        <v>0</v>
      </c>
      <c r="BR172" s="137">
        <f>'LCFS Table'!$AX172*'LCFS Table'!$CL172</f>
        <v>0</v>
      </c>
      <c r="BS172" s="137">
        <f>'LCFS Table'!$AY172*'LCFS Table'!$CM172</f>
        <v>0</v>
      </c>
      <c r="BT172" s="137">
        <f>'LCFS Table'!$AZ172*'LCFS Table'!$CN172</f>
        <v>0</v>
      </c>
      <c r="BU172" s="137">
        <f>'LCFS Table'!$BA172*'LCFS Table'!$CO172</f>
        <v>0</v>
      </c>
      <c r="BV172" s="142">
        <f>'LCFS Table'!$BB172*'LCFS Table'!$CP172</f>
        <v>1.2</v>
      </c>
      <c r="BW172" s="138">
        <v>1</v>
      </c>
      <c r="BX172" s="138">
        <v>0</v>
      </c>
      <c r="BY172" s="138">
        <v>1</v>
      </c>
      <c r="BZ172" s="138">
        <v>1</v>
      </c>
      <c r="CA172" s="138">
        <v>-1</v>
      </c>
      <c r="CB172" s="138">
        <v>1</v>
      </c>
      <c r="CC172" s="138">
        <v>0</v>
      </c>
      <c r="CD172" s="138">
        <v>1</v>
      </c>
      <c r="CE172" s="138">
        <v>1</v>
      </c>
      <c r="CF172" s="138">
        <v>-1</v>
      </c>
      <c r="CG172" s="138">
        <f>1-'LCFS Table'!$BW172</f>
        <v>0</v>
      </c>
      <c r="CH172" s="138">
        <f>1-'LCFS Table'!$BX172</f>
        <v>1</v>
      </c>
      <c r="CI172" s="138">
        <f>1-'LCFS Table'!$BY172</f>
        <v>0</v>
      </c>
      <c r="CJ172" s="138">
        <f>1-'LCFS Table'!$BZ172</f>
        <v>0</v>
      </c>
      <c r="CK172" s="138">
        <f>-'LCFS Table'!$CA172</f>
        <v>1</v>
      </c>
      <c r="CL172" s="138">
        <f>1-'LCFS Table'!$CB172</f>
        <v>0</v>
      </c>
      <c r="CM172" s="138">
        <f>1-'LCFS Table'!$CC172</f>
        <v>1</v>
      </c>
      <c r="CN172" s="138">
        <f>1-'LCFS Table'!$CD172</f>
        <v>0</v>
      </c>
      <c r="CO172" s="138">
        <f>1-'LCFS Table'!$CE172</f>
        <v>0</v>
      </c>
      <c r="CP172" s="138">
        <f>-'LCFS Table'!$CF172</f>
        <v>1</v>
      </c>
      <c r="CQ172" s="140">
        <v>20</v>
      </c>
      <c r="CR172" s="165">
        <f>('LCFS Table'!$CQ172*0.9/(0.8/0.99)/100)</f>
        <v>0.22274999999999998</v>
      </c>
      <c r="CS172" s="166"/>
      <c r="CT172" s="167"/>
      <c r="CW172" s="168">
        <f>'LCFS Table'!$K172-'LCFS Table'!$M172</f>
        <v>3.7348262175000535E-2</v>
      </c>
      <c r="CX172" s="129">
        <f>MONTH('LCFS Table'!$B172)</f>
        <v>4</v>
      </c>
      <c r="CY172" s="129">
        <f>YEAR('LCFS Table'!$B172)</f>
        <v>2022</v>
      </c>
    </row>
    <row r="173" spans="1:103">
      <c r="A173" s="148">
        <v>44654</v>
      </c>
      <c r="B173" s="149">
        <v>44660</v>
      </c>
      <c r="C173" s="132">
        <f t="shared" si="3"/>
        <v>2022</v>
      </c>
      <c r="D173" s="182" t="s">
        <v>270</v>
      </c>
      <c r="E173" s="187">
        <f>'LCFS Table'!$K173-'LCFS Table'!$I173</f>
        <v>-2.5847900500625789</v>
      </c>
      <c r="F173" s="187">
        <f>('LCFS Table'!$M173)-'LCFS Table'!$J173</f>
        <v>-3.352422089</v>
      </c>
      <c r="G173" s="188">
        <f>'LCFS Table'!$E173+'LCFS Table'!$AS173+'LCFS Table'!$AT173+'LCFS Table'!$AU173+'LCFS Table'!$AV173</f>
        <v>2.0782895728881901</v>
      </c>
      <c r="H173" s="188">
        <f>'LCFS Table'!$F173+'LCFS Table'!$AX173+'LCFS Table'!$AY173+'LCFS Table'!$AZ173+'LCFS Table'!$BA173+('LCFS Table'!$CQ173*0.9/(0.8/0.99)/100)+(DG173*'LCFS Table'!$AF173)+(DF173*'LCFS Table'!$AG173)</f>
        <v>0.76001835937499962</v>
      </c>
      <c r="I173" s="187">
        <f>('LCFS Table'!$V173+'LCFS Table'!$W173+'LCFS Table'!$X173)/100+(('LCFS Table'!$AI173+'LCFS Table'!$AJ173)/340)</f>
        <v>5.9837900500625789</v>
      </c>
      <c r="J173" s="187">
        <f>(('LCFS Table'!$Y173+'LCFS Table'!$Z173)/100)+(('LCFS Table'!$AM173+'LCFS Table'!$AN173)/300)</f>
        <v>7.1627316406250001</v>
      </c>
      <c r="K173" s="190">
        <f>'[1]Fuel Values'!$C172</f>
        <v>3.399</v>
      </c>
      <c r="L173" s="190">
        <f>'[1]Fuel Values'!$B172</f>
        <v>770</v>
      </c>
      <c r="M173" s="185">
        <f>('LCFS Table'!$L173/100)-'LCFS Table'!$AX173-'LCFS Table'!$AY173-'LCFS Table'!$AZ173-'LCFS Table'!$BA173</f>
        <v>3.8103095516250001</v>
      </c>
      <c r="N173" s="190">
        <f>[1]BFT!$B172</f>
        <v>72.5</v>
      </c>
      <c r="O173" s="190">
        <f>[1]UCO!$B172</f>
        <v>71.099999999999994</v>
      </c>
      <c r="P173" s="190">
        <f>[1]DCO!$B172</f>
        <v>76</v>
      </c>
      <c r="Q173" s="190">
        <f>'[1]Soybean Oil'!$B172</f>
        <v>88.744</v>
      </c>
      <c r="R173" s="190">
        <f>'[1]Yellow Grease'!$B172</f>
        <v>60.9</v>
      </c>
      <c r="S173" s="185">
        <f>'LCFS Table'!$N173 + 'LCFS Table'!$AH173</f>
        <v>76.875</v>
      </c>
      <c r="T173" s="185">
        <f>'LCFS Table'!$Q173+'LCFS Table'!$AH173</f>
        <v>93.119</v>
      </c>
      <c r="U173" s="185">
        <f>'LCFS Table'!$P173+'LCFS Table'!$AH173</f>
        <v>80.375</v>
      </c>
      <c r="V173" s="185">
        <f>(('LCFS Table'!$S173/'LCFS Table'!$AA173)*'LCFS Table'!$AC173)*6.48</f>
        <v>264.97340425531917</v>
      </c>
      <c r="W173" s="185">
        <f>(('LCFS Table'!$O173/'LCFS Table'!$AA173)*'LCFS Table'!$AD173)*6.48</f>
        <v>122.53404255319151</v>
      </c>
      <c r="X173" s="185">
        <f>(('LCFS Table'!$U173/'LCFS Table'!$AA173)*'LCFS Table'!$AE173)*6.48</f>
        <v>138.51861702127661</v>
      </c>
      <c r="Y173" s="185">
        <f>(('LCFS Table'!$T173/'LCFS Table'!$AB173)*'LCFS Table'!$AF173)*7.35</f>
        <v>534.70675781249997</v>
      </c>
      <c r="Z173" s="185">
        <f>(('LCFS Table'!$R173/'LCFS Table'!$AB173)*'LCFS Table'!$AG173)*7.35</f>
        <v>116.56640625</v>
      </c>
      <c r="AA173" s="138">
        <v>0.94</v>
      </c>
      <c r="AB173" s="138">
        <v>0.96</v>
      </c>
      <c r="AC173" s="138">
        <v>0.5</v>
      </c>
      <c r="AD173" s="138">
        <v>0.25</v>
      </c>
      <c r="AE173" s="138">
        <v>0.25</v>
      </c>
      <c r="AF173" s="138">
        <v>0.75</v>
      </c>
      <c r="AG173" s="138">
        <v>0.25</v>
      </c>
      <c r="AH173" s="139">
        <v>4.375</v>
      </c>
      <c r="AI173" s="139">
        <v>136</v>
      </c>
      <c r="AJ173" s="139">
        <v>110</v>
      </c>
      <c r="AK173" s="186">
        <f>('LCFS Table'!$AI173/340)*100</f>
        <v>40</v>
      </c>
      <c r="AL173" s="186">
        <f>('LCFS Table'!$AJ173/340)*100</f>
        <v>32.352941176470587</v>
      </c>
      <c r="AM173" s="139">
        <v>105</v>
      </c>
      <c r="AN173" s="139">
        <v>90</v>
      </c>
      <c r="AO173" s="139">
        <f>('LCFS Table'!$AM173/300)*100</f>
        <v>35</v>
      </c>
      <c r="AP173" s="139">
        <f>('LCFS Table'!$AN173/300)*100</f>
        <v>30</v>
      </c>
      <c r="AQ173" s="140">
        <f>'[1]LCFS Values'!$B172</f>
        <v>123</v>
      </c>
      <c r="AR173" s="140">
        <f>'[1]RIN Values'!$B172/100</f>
        <v>1.4982499999999999</v>
      </c>
      <c r="AS173" s="185">
        <v>0.95605462295076904</v>
      </c>
      <c r="AT173" s="137">
        <v>0.16</v>
      </c>
      <c r="AU173" s="137">
        <v>1</v>
      </c>
      <c r="AV173" s="185">
        <f>'LCFS Table'!$AR173*1.7</f>
        <v>2.5470249999999997</v>
      </c>
      <c r="AW173" s="137">
        <v>0</v>
      </c>
      <c r="AX173" s="185">
        <v>0.64231544837499988</v>
      </c>
      <c r="AY173" s="137">
        <v>0</v>
      </c>
      <c r="AZ173" s="141">
        <v>1</v>
      </c>
      <c r="BA173" s="185">
        <f>'LCFS Table'!$AR173*1.5</f>
        <v>2.2473749999999999</v>
      </c>
      <c r="BB173" s="142">
        <v>1.2</v>
      </c>
      <c r="BC173" s="185">
        <f>'LCFS Table'!$AS173*'LCFS Table'!$BW173</f>
        <v>0.95605462295076904</v>
      </c>
      <c r="BD173" s="185">
        <f>'LCFS Table'!$AT173*'LCFS Table'!$BX173</f>
        <v>0</v>
      </c>
      <c r="BE173" s="185">
        <f>'LCFS Table'!$AU173*'LCFS Table'!$BY173</f>
        <v>1</v>
      </c>
      <c r="BF173" s="137">
        <f>'LCFS Table'!$AV173*'LCFS Table'!$BZ173</f>
        <v>2.5470249999999997</v>
      </c>
      <c r="BG173" s="137">
        <f>'LCFS Table'!$AW173*'LCFS Table'!$CA173</f>
        <v>0</v>
      </c>
      <c r="BH173" s="137">
        <f>'LCFS Table'!$AX173*'LCFS Table'!$CB173</f>
        <v>0.64231544837499988</v>
      </c>
      <c r="BI173" s="137">
        <f>'LCFS Table'!$AY173*'LCFS Table'!$CC173</f>
        <v>0</v>
      </c>
      <c r="BJ173" s="137">
        <f>'LCFS Table'!$AZ173*'LCFS Table'!$CD173</f>
        <v>1</v>
      </c>
      <c r="BK173" s="137">
        <f>'LCFS Table'!$BA173*'LCFS Table'!$CE173</f>
        <v>2.2473749999999999</v>
      </c>
      <c r="BL173" s="137">
        <f>'LCFS Table'!$BB173*'LCFS Table'!$CF173</f>
        <v>-1.2</v>
      </c>
      <c r="BM173" s="137">
        <f>'LCFS Table'!$AS173*'LCFS Table'!$CG173</f>
        <v>0</v>
      </c>
      <c r="BN173" s="137">
        <f>'LCFS Table'!$AT173*'LCFS Table'!$CH173</f>
        <v>0.16</v>
      </c>
      <c r="BO173" s="137">
        <f>'LCFS Table'!$AU173*'LCFS Table'!$CI173</f>
        <v>0</v>
      </c>
      <c r="BP173" s="137">
        <f>'LCFS Table'!$AV173*'LCFS Table'!$CJ173</f>
        <v>0</v>
      </c>
      <c r="BQ173" s="137">
        <f>'LCFS Table'!$AW173*'LCFS Table'!$CK173</f>
        <v>0</v>
      </c>
      <c r="BR173" s="137">
        <f>'LCFS Table'!$AX173*'LCFS Table'!$CL173</f>
        <v>0</v>
      </c>
      <c r="BS173" s="137">
        <f>'LCFS Table'!$AY173*'LCFS Table'!$CM173</f>
        <v>0</v>
      </c>
      <c r="BT173" s="137">
        <f>'LCFS Table'!$AZ173*'LCFS Table'!$CN173</f>
        <v>0</v>
      </c>
      <c r="BU173" s="137">
        <f>'LCFS Table'!$BA173*'LCFS Table'!$CO173</f>
        <v>0</v>
      </c>
      <c r="BV173" s="142">
        <f>'LCFS Table'!$BB173*'LCFS Table'!$CP173</f>
        <v>1.2</v>
      </c>
      <c r="BW173" s="138">
        <v>1</v>
      </c>
      <c r="BX173" s="138">
        <v>0</v>
      </c>
      <c r="BY173" s="138">
        <v>1</v>
      </c>
      <c r="BZ173" s="138">
        <v>1</v>
      </c>
      <c r="CA173" s="138">
        <v>-1</v>
      </c>
      <c r="CB173" s="138">
        <v>1</v>
      </c>
      <c r="CC173" s="138">
        <v>0</v>
      </c>
      <c r="CD173" s="138">
        <v>1</v>
      </c>
      <c r="CE173" s="138">
        <v>1</v>
      </c>
      <c r="CF173" s="138">
        <v>-1</v>
      </c>
      <c r="CG173" s="138">
        <f>1-'LCFS Table'!$BW173</f>
        <v>0</v>
      </c>
      <c r="CH173" s="138">
        <f>1-'LCFS Table'!$BX173</f>
        <v>1</v>
      </c>
      <c r="CI173" s="138">
        <f>1-'LCFS Table'!$BY173</f>
        <v>0</v>
      </c>
      <c r="CJ173" s="138">
        <f>1-'LCFS Table'!$BZ173</f>
        <v>0</v>
      </c>
      <c r="CK173" s="138">
        <f>-'LCFS Table'!$CA173</f>
        <v>1</v>
      </c>
      <c r="CL173" s="138">
        <f>1-'LCFS Table'!$CB173</f>
        <v>0</v>
      </c>
      <c r="CM173" s="138">
        <f>1-'LCFS Table'!$CC173</f>
        <v>1</v>
      </c>
      <c r="CN173" s="138">
        <f>1-'LCFS Table'!$CD173</f>
        <v>0</v>
      </c>
      <c r="CO173" s="138">
        <f>1-'LCFS Table'!$CE173</f>
        <v>0</v>
      </c>
      <c r="CP173" s="138">
        <f>-'LCFS Table'!$CF173</f>
        <v>1</v>
      </c>
      <c r="CQ173" s="140">
        <v>20</v>
      </c>
      <c r="CR173" s="165">
        <f>('LCFS Table'!$CQ173*0.9/(0.8/0.99)/100)</f>
        <v>0.22274999999999998</v>
      </c>
      <c r="CS173" s="166"/>
      <c r="CT173" s="167"/>
      <c r="CW173" s="168">
        <f>'LCFS Table'!$K173-'LCFS Table'!$M173</f>
        <v>-0.41130955162500005</v>
      </c>
      <c r="CX173" s="129">
        <f>MONTH('LCFS Table'!$B173)</f>
        <v>4</v>
      </c>
      <c r="CY173" s="129">
        <f>YEAR('LCFS Table'!$B173)</f>
        <v>2022</v>
      </c>
    </row>
    <row r="174" spans="1:103">
      <c r="A174" s="148">
        <v>44661</v>
      </c>
      <c r="B174" s="149">
        <v>44667</v>
      </c>
      <c r="C174" s="132">
        <f t="shared" si="3"/>
        <v>2022</v>
      </c>
      <c r="D174" s="150" t="s">
        <v>271</v>
      </c>
      <c r="E174" s="187">
        <f>'LCFS Table'!$K174-'LCFS Table'!$I174</f>
        <v>-2.419463454317897</v>
      </c>
      <c r="F174" s="187">
        <f>('LCFS Table'!$M174)-'LCFS Table'!$J174</f>
        <v>-3.7587357610375012</v>
      </c>
      <c r="G174" s="188">
        <f>'LCFS Table'!$E174+'LCFS Table'!$AS174+'LCFS Table'!$AT174+'LCFS Table'!$AU174+'LCFS Table'!$AV174</f>
        <v>2.4376546870933131</v>
      </c>
      <c r="H174" s="188">
        <f>'LCFS Table'!$F174+'LCFS Table'!$AX174+'LCFS Table'!$AY174+'LCFS Table'!$AZ174+'LCFS Table'!$BA174+('LCFS Table'!$CQ174*0.9/(0.8/0.99)/100)+(DG174*'LCFS Table'!$AF174)+(DF174*'LCFS Table'!$AG174)</f>
        <v>0.52316503906249867</v>
      </c>
      <c r="I174" s="187">
        <f>('LCFS Table'!$V174+'LCFS Table'!$W174+'LCFS Table'!$X174)/100+(('LCFS Table'!$AI174+'LCFS Table'!$AJ174)/340)</f>
        <v>6.005763454317897</v>
      </c>
      <c r="J174" s="187">
        <f>(('LCFS Table'!$Y174+'LCFS Table'!$Z174)/100)+(('LCFS Table'!$AM174+'LCFS Table'!$AN174)/300)</f>
        <v>7.4245849609375005</v>
      </c>
      <c r="K174" s="190">
        <f>'[1]Fuel Values'!$C173</f>
        <v>3.5863</v>
      </c>
      <c r="L174" s="190">
        <f>'[1]Fuel Values'!$B173</f>
        <v>772.5</v>
      </c>
      <c r="M174" s="185">
        <f>('LCFS Table'!$L174/100)-'LCFS Table'!$AX174-'LCFS Table'!$AY174-'LCFS Table'!$AZ174-'LCFS Table'!$BA174</f>
        <v>3.6658491998999994</v>
      </c>
      <c r="N174" s="190">
        <f>[1]BFT!$B173</f>
        <v>72.5</v>
      </c>
      <c r="O174" s="190">
        <f>[1]UCO!$B173</f>
        <v>70.5</v>
      </c>
      <c r="P174" s="190">
        <f>[1]DCO!$B173</f>
        <v>77.875</v>
      </c>
      <c r="Q174" s="190">
        <f>'[1]Soybean Oil'!$B173</f>
        <v>93.4375</v>
      </c>
      <c r="R174" s="190">
        <f>'[1]Yellow Grease'!$B173</f>
        <v>60.5</v>
      </c>
      <c r="S174" s="185">
        <f>'LCFS Table'!$N174 + 'LCFS Table'!$AH174</f>
        <v>76.875</v>
      </c>
      <c r="T174" s="185">
        <f>'LCFS Table'!$Q174+'LCFS Table'!$AH174</f>
        <v>97.8125</v>
      </c>
      <c r="U174" s="185">
        <f>'LCFS Table'!$P174+'LCFS Table'!$AH174</f>
        <v>82.25</v>
      </c>
      <c r="V174" s="185">
        <f>(('LCFS Table'!$S174/'LCFS Table'!$AA174)*'LCFS Table'!$AC174)*6.48</f>
        <v>264.97340425531917</v>
      </c>
      <c r="W174" s="185">
        <f>(('LCFS Table'!$O174/'LCFS Table'!$AA174)*'LCFS Table'!$AD174)*6.48</f>
        <v>121.50000000000001</v>
      </c>
      <c r="X174" s="185">
        <f>(('LCFS Table'!$U174/'LCFS Table'!$AA174)*'LCFS Table'!$AE174)*6.48</f>
        <v>141.75</v>
      </c>
      <c r="Y174" s="185">
        <f>(('LCFS Table'!$T174/'LCFS Table'!$AB174)*'LCFS Table'!$AF174)*7.35</f>
        <v>561.65771484375</v>
      </c>
      <c r="Z174" s="185">
        <f>(('LCFS Table'!$R174/'LCFS Table'!$AB174)*'LCFS Table'!$AG174)*7.35</f>
        <v>115.80078125</v>
      </c>
      <c r="AA174" s="138">
        <v>0.94</v>
      </c>
      <c r="AB174" s="138">
        <v>0.96</v>
      </c>
      <c r="AC174" s="138">
        <v>0.5</v>
      </c>
      <c r="AD174" s="138">
        <v>0.25</v>
      </c>
      <c r="AE174" s="138">
        <v>0.25</v>
      </c>
      <c r="AF174" s="138">
        <v>0.75</v>
      </c>
      <c r="AG174" s="138">
        <v>0.25</v>
      </c>
      <c r="AH174" s="139">
        <v>4.375</v>
      </c>
      <c r="AI174" s="139">
        <v>136</v>
      </c>
      <c r="AJ174" s="139">
        <v>110</v>
      </c>
      <c r="AK174" s="186">
        <f>('LCFS Table'!$AI174/340)*100</f>
        <v>40</v>
      </c>
      <c r="AL174" s="186">
        <f>('LCFS Table'!$AJ174/340)*100</f>
        <v>32.352941176470587</v>
      </c>
      <c r="AM174" s="139">
        <v>105</v>
      </c>
      <c r="AN174" s="139">
        <v>90</v>
      </c>
      <c r="AO174" s="139">
        <f>('LCFS Table'!$AM174/300)*100</f>
        <v>35</v>
      </c>
      <c r="AP174" s="139">
        <f>('LCFS Table'!$AN174/300)*100</f>
        <v>30</v>
      </c>
      <c r="AQ174" s="140">
        <f>'[1]LCFS Values'!$B173</f>
        <v>115</v>
      </c>
      <c r="AR174" s="140">
        <f>'[1]RIN Values'!$B173/100</f>
        <v>1.6074999999999999</v>
      </c>
      <c r="AS174" s="185">
        <v>0.96436814141121041</v>
      </c>
      <c r="AT174" s="137">
        <v>0.16</v>
      </c>
      <c r="AU174" s="137">
        <v>1</v>
      </c>
      <c r="AV174" s="185">
        <f>'LCFS Table'!$AR174*1.7</f>
        <v>2.7327499999999998</v>
      </c>
      <c r="AW174" s="137">
        <v>0</v>
      </c>
      <c r="AX174" s="185">
        <v>0.64790080009999995</v>
      </c>
      <c r="AY174" s="137">
        <v>0</v>
      </c>
      <c r="AZ174" s="141">
        <v>1</v>
      </c>
      <c r="BA174" s="185">
        <f>'LCFS Table'!$AR174*1.5</f>
        <v>2.4112499999999999</v>
      </c>
      <c r="BB174" s="142">
        <v>1.2</v>
      </c>
      <c r="BC174" s="185">
        <f>'LCFS Table'!$AS174*'LCFS Table'!$BW174</f>
        <v>0.96436814141121041</v>
      </c>
      <c r="BD174" s="185">
        <f>'LCFS Table'!$AT174*'LCFS Table'!$BX174</f>
        <v>0</v>
      </c>
      <c r="BE174" s="185">
        <f>'LCFS Table'!$AU174*'LCFS Table'!$BY174</f>
        <v>1</v>
      </c>
      <c r="BF174" s="137">
        <f>'LCFS Table'!$AV174*'LCFS Table'!$BZ174</f>
        <v>2.7327499999999998</v>
      </c>
      <c r="BG174" s="137">
        <f>'LCFS Table'!$AW174*'LCFS Table'!$CA174</f>
        <v>0</v>
      </c>
      <c r="BH174" s="137">
        <f>'LCFS Table'!$AX174*'LCFS Table'!$CB174</f>
        <v>0.64790080009999995</v>
      </c>
      <c r="BI174" s="137">
        <f>'LCFS Table'!$AY174*'LCFS Table'!$CC174</f>
        <v>0</v>
      </c>
      <c r="BJ174" s="137">
        <f>'LCFS Table'!$AZ174*'LCFS Table'!$CD174</f>
        <v>1</v>
      </c>
      <c r="BK174" s="137">
        <f>'LCFS Table'!$BA174*'LCFS Table'!$CE174</f>
        <v>2.4112499999999999</v>
      </c>
      <c r="BL174" s="137">
        <f>'LCFS Table'!$BB174*'LCFS Table'!$CF174</f>
        <v>-1.2</v>
      </c>
      <c r="BM174" s="137">
        <f>'LCFS Table'!$AS174*'LCFS Table'!$CG174</f>
        <v>0</v>
      </c>
      <c r="BN174" s="137">
        <f>'LCFS Table'!$AT174*'LCFS Table'!$CH174</f>
        <v>0.16</v>
      </c>
      <c r="BO174" s="137">
        <f>'LCFS Table'!$AU174*'LCFS Table'!$CI174</f>
        <v>0</v>
      </c>
      <c r="BP174" s="137">
        <f>'LCFS Table'!$AV174*'LCFS Table'!$CJ174</f>
        <v>0</v>
      </c>
      <c r="BQ174" s="137">
        <f>'LCFS Table'!$AW174*'LCFS Table'!$CK174</f>
        <v>0</v>
      </c>
      <c r="BR174" s="137">
        <f>'LCFS Table'!$AX174*'LCFS Table'!$CL174</f>
        <v>0</v>
      </c>
      <c r="BS174" s="137">
        <f>'LCFS Table'!$AY174*'LCFS Table'!$CM174</f>
        <v>0</v>
      </c>
      <c r="BT174" s="137">
        <f>'LCFS Table'!$AZ174*'LCFS Table'!$CN174</f>
        <v>0</v>
      </c>
      <c r="BU174" s="137">
        <f>'LCFS Table'!$BA174*'LCFS Table'!$CO174</f>
        <v>0</v>
      </c>
      <c r="BV174" s="142">
        <f>'LCFS Table'!$BB174*'LCFS Table'!$CP174</f>
        <v>1.2</v>
      </c>
      <c r="BW174" s="138">
        <v>1</v>
      </c>
      <c r="BX174" s="138">
        <v>0</v>
      </c>
      <c r="BY174" s="138">
        <v>1</v>
      </c>
      <c r="BZ174" s="138">
        <v>1</v>
      </c>
      <c r="CA174" s="138">
        <v>-1</v>
      </c>
      <c r="CB174" s="138">
        <v>1</v>
      </c>
      <c r="CC174" s="138">
        <v>0</v>
      </c>
      <c r="CD174" s="138">
        <v>1</v>
      </c>
      <c r="CE174" s="138">
        <v>1</v>
      </c>
      <c r="CF174" s="138">
        <v>-1</v>
      </c>
      <c r="CG174" s="138">
        <f>1-'LCFS Table'!$BW174</f>
        <v>0</v>
      </c>
      <c r="CH174" s="138">
        <f>1-'LCFS Table'!$BX174</f>
        <v>1</v>
      </c>
      <c r="CI174" s="138">
        <f>1-'LCFS Table'!$BY174</f>
        <v>0</v>
      </c>
      <c r="CJ174" s="138">
        <f>1-'LCFS Table'!$BZ174</f>
        <v>0</v>
      </c>
      <c r="CK174" s="138">
        <f>-'LCFS Table'!$CA174</f>
        <v>1</v>
      </c>
      <c r="CL174" s="138">
        <f>1-'LCFS Table'!$CB174</f>
        <v>0</v>
      </c>
      <c r="CM174" s="138">
        <f>1-'LCFS Table'!$CC174</f>
        <v>1</v>
      </c>
      <c r="CN174" s="138">
        <f>1-'LCFS Table'!$CD174</f>
        <v>0</v>
      </c>
      <c r="CO174" s="138">
        <f>1-'LCFS Table'!$CE174</f>
        <v>0</v>
      </c>
      <c r="CP174" s="138">
        <f>-'LCFS Table'!$CF174</f>
        <v>1</v>
      </c>
      <c r="CQ174" s="140">
        <v>20</v>
      </c>
      <c r="CR174" s="165">
        <f>('LCFS Table'!$CQ174*0.9/(0.8/0.99)/100)</f>
        <v>0.22274999999999998</v>
      </c>
      <c r="CS174" s="166"/>
      <c r="CT174" s="167"/>
      <c r="CW174" s="168">
        <f>'LCFS Table'!$K174-'LCFS Table'!$M174</f>
        <v>-7.9549199899999312E-2</v>
      </c>
      <c r="CX174" s="129">
        <f>MONTH('LCFS Table'!$B174)</f>
        <v>4</v>
      </c>
      <c r="CY174" s="129">
        <f>YEAR('LCFS Table'!$B174)</f>
        <v>2022</v>
      </c>
    </row>
    <row r="175" spans="1:103">
      <c r="A175" s="148">
        <v>44668</v>
      </c>
      <c r="B175" s="149">
        <v>44674</v>
      </c>
      <c r="C175" s="132">
        <f t="shared" si="3"/>
        <v>2022</v>
      </c>
      <c r="D175" s="182" t="s">
        <v>272</v>
      </c>
      <c r="E175" s="187">
        <f>'LCFS Table'!$K175-'LCFS Table'!$I175</f>
        <v>-2.2038326032540683</v>
      </c>
      <c r="F175" s="187">
        <f>('LCFS Table'!$M175)-'LCFS Table'!$J175</f>
        <v>-3.9559023234399988</v>
      </c>
      <c r="G175" s="188">
        <f>'LCFS Table'!$E175+'LCFS Table'!$AS175+'LCFS Table'!$AT175+'LCFS Table'!$AU175+'LCFS Table'!$AV175</f>
        <v>2.7715474270808773</v>
      </c>
      <c r="H175" s="188">
        <f>'LCFS Table'!$F175+'LCFS Table'!$AX175+'LCFS Table'!$AY175+'LCFS Table'!$AZ175+'LCFS Table'!$BA175+('LCFS Table'!$CQ175*0.9/(0.8/0.99)/100)+(DG175*'LCFS Table'!$AF175)+(DF175*'LCFS Table'!$AG175)</f>
        <v>0.43139726562500114</v>
      </c>
      <c r="I175" s="187">
        <f>('LCFS Table'!$V175+'LCFS Table'!$W175+'LCFS Table'!$X175)/100+(('LCFS Table'!$AI175+'LCFS Table'!$AJ175)/340)</f>
        <v>6.1268326032540683</v>
      </c>
      <c r="J175" s="187">
        <f>(('LCFS Table'!$Y175+'LCFS Table'!$Z175)/100)+(('LCFS Table'!$AM175+'LCFS Table'!$AN175)/300)</f>
        <v>7.741352734374999</v>
      </c>
      <c r="K175" s="190">
        <f>'[1]Fuel Values'!$C174</f>
        <v>3.923</v>
      </c>
      <c r="L175" s="190">
        <f>'[1]Fuel Values'!$B174</f>
        <v>795</v>
      </c>
      <c r="M175" s="185">
        <f>('LCFS Table'!$L175/100)-'LCFS Table'!$AX175-'LCFS Table'!$AY175-'LCFS Table'!$AZ175-'LCFS Table'!$BA175</f>
        <v>3.7854504109350002</v>
      </c>
      <c r="N175" s="190">
        <f>[1]BFT!$B174</f>
        <v>75.2</v>
      </c>
      <c r="O175" s="190">
        <f>[1]UCO!$B174</f>
        <v>70.5</v>
      </c>
      <c r="P175" s="190">
        <f>[1]DCO!$B174</f>
        <v>79.5</v>
      </c>
      <c r="Q175" s="190">
        <f>'[1]Soybean Oil'!$B174</f>
        <v>98.953999999999994</v>
      </c>
      <c r="R175" s="190">
        <f>'[1]Yellow Grease'!$B174</f>
        <v>60.5</v>
      </c>
      <c r="S175" s="185">
        <f>'LCFS Table'!$N175 + 'LCFS Table'!$AH175</f>
        <v>79.575000000000003</v>
      </c>
      <c r="T175" s="185">
        <f>'LCFS Table'!$Q175+'LCFS Table'!$AH175</f>
        <v>103.32899999999999</v>
      </c>
      <c r="U175" s="185">
        <f>'LCFS Table'!$P175+'LCFS Table'!$AH175</f>
        <v>83.875</v>
      </c>
      <c r="V175" s="185">
        <f>(('LCFS Table'!$S175/'LCFS Table'!$AA175)*'LCFS Table'!$AC175)*6.48</f>
        <v>274.2797872340426</v>
      </c>
      <c r="W175" s="185">
        <f>(('LCFS Table'!$O175/'LCFS Table'!$AA175)*'LCFS Table'!$AD175)*6.48</f>
        <v>121.50000000000001</v>
      </c>
      <c r="X175" s="185">
        <f>(('LCFS Table'!$U175/'LCFS Table'!$AA175)*'LCFS Table'!$AE175)*6.48</f>
        <v>144.55053191489364</v>
      </c>
      <c r="Y175" s="185">
        <f>(('LCFS Table'!$T175/'LCFS Table'!$AB175)*'LCFS Table'!$AF175)*7.35</f>
        <v>593.3344921874999</v>
      </c>
      <c r="Z175" s="185">
        <f>(('LCFS Table'!$R175/'LCFS Table'!$AB175)*'LCFS Table'!$AG175)*7.35</f>
        <v>115.80078125</v>
      </c>
      <c r="AA175" s="138">
        <v>0.94</v>
      </c>
      <c r="AB175" s="138">
        <v>0.96</v>
      </c>
      <c r="AC175" s="138">
        <v>0.5</v>
      </c>
      <c r="AD175" s="138">
        <v>0.25</v>
      </c>
      <c r="AE175" s="138">
        <v>0.25</v>
      </c>
      <c r="AF175" s="138">
        <v>0.75</v>
      </c>
      <c r="AG175" s="138">
        <v>0.25</v>
      </c>
      <c r="AH175" s="139">
        <v>4.375</v>
      </c>
      <c r="AI175" s="139">
        <v>136</v>
      </c>
      <c r="AJ175" s="139">
        <v>110</v>
      </c>
      <c r="AK175" s="186">
        <f>('LCFS Table'!$AI175/340)*100</f>
        <v>40</v>
      </c>
      <c r="AL175" s="186">
        <f>('LCFS Table'!$AJ175/340)*100</f>
        <v>32.352941176470587</v>
      </c>
      <c r="AM175" s="139">
        <v>105</v>
      </c>
      <c r="AN175" s="139">
        <v>90</v>
      </c>
      <c r="AO175" s="139">
        <f>('LCFS Table'!$AM175/300)*100</f>
        <v>35</v>
      </c>
      <c r="AP175" s="139">
        <f>('LCFS Table'!$AN175/300)*100</f>
        <v>30</v>
      </c>
      <c r="AQ175" s="140">
        <f>'[1]LCFS Values'!$B174</f>
        <v>116</v>
      </c>
      <c r="AR175" s="140">
        <f>'[1]RIN Values'!$B174/100</f>
        <v>1.68</v>
      </c>
      <c r="AS175" s="185">
        <v>0.95938003033494568</v>
      </c>
      <c r="AT175" s="137">
        <v>0.16</v>
      </c>
      <c r="AU175" s="137">
        <v>1</v>
      </c>
      <c r="AV175" s="185">
        <f>'LCFS Table'!$AR175*1.7</f>
        <v>2.8559999999999999</v>
      </c>
      <c r="AW175" s="137">
        <v>0</v>
      </c>
      <c r="AX175" s="185">
        <v>0.64454958906499993</v>
      </c>
      <c r="AY175" s="137">
        <v>0</v>
      </c>
      <c r="AZ175" s="141">
        <v>1</v>
      </c>
      <c r="BA175" s="185">
        <f>'LCFS Table'!$AR175*1.5</f>
        <v>2.52</v>
      </c>
      <c r="BB175" s="142">
        <v>1.2</v>
      </c>
      <c r="BC175" s="185">
        <f>'LCFS Table'!$AS175*'LCFS Table'!$BW175</f>
        <v>0.95938003033494568</v>
      </c>
      <c r="BD175" s="185">
        <f>'LCFS Table'!$AT175*'LCFS Table'!$BX175</f>
        <v>0</v>
      </c>
      <c r="BE175" s="185">
        <f>'LCFS Table'!$AU175*'LCFS Table'!$BY175</f>
        <v>1</v>
      </c>
      <c r="BF175" s="137">
        <f>'LCFS Table'!$AV175*'LCFS Table'!$BZ175</f>
        <v>2.8559999999999999</v>
      </c>
      <c r="BG175" s="137">
        <f>'LCFS Table'!$AW175*'LCFS Table'!$CA175</f>
        <v>0</v>
      </c>
      <c r="BH175" s="137">
        <f>'LCFS Table'!$AX175*'LCFS Table'!$CB175</f>
        <v>0.64454958906499993</v>
      </c>
      <c r="BI175" s="137">
        <f>'LCFS Table'!$AY175*'LCFS Table'!$CC175</f>
        <v>0</v>
      </c>
      <c r="BJ175" s="137">
        <f>'LCFS Table'!$AZ175*'LCFS Table'!$CD175</f>
        <v>1</v>
      </c>
      <c r="BK175" s="137">
        <f>'LCFS Table'!$BA175*'LCFS Table'!$CE175</f>
        <v>2.52</v>
      </c>
      <c r="BL175" s="137">
        <f>'LCFS Table'!$BB175*'LCFS Table'!$CF175</f>
        <v>-1.2</v>
      </c>
      <c r="BM175" s="137">
        <f>'LCFS Table'!$AS175*'LCFS Table'!$CG175</f>
        <v>0</v>
      </c>
      <c r="BN175" s="137">
        <f>'LCFS Table'!$AT175*'LCFS Table'!$CH175</f>
        <v>0.16</v>
      </c>
      <c r="BO175" s="137">
        <f>'LCFS Table'!$AU175*'LCFS Table'!$CI175</f>
        <v>0</v>
      </c>
      <c r="BP175" s="137">
        <f>'LCFS Table'!$AV175*'LCFS Table'!$CJ175</f>
        <v>0</v>
      </c>
      <c r="BQ175" s="137">
        <f>'LCFS Table'!$AW175*'LCFS Table'!$CK175</f>
        <v>0</v>
      </c>
      <c r="BR175" s="137">
        <f>'LCFS Table'!$AX175*'LCFS Table'!$CL175</f>
        <v>0</v>
      </c>
      <c r="BS175" s="137">
        <f>'LCFS Table'!$AY175*'LCFS Table'!$CM175</f>
        <v>0</v>
      </c>
      <c r="BT175" s="137">
        <f>'LCFS Table'!$AZ175*'LCFS Table'!$CN175</f>
        <v>0</v>
      </c>
      <c r="BU175" s="137">
        <f>'LCFS Table'!$BA175*'LCFS Table'!$CO175</f>
        <v>0</v>
      </c>
      <c r="BV175" s="142">
        <f>'LCFS Table'!$BB175*'LCFS Table'!$CP175</f>
        <v>1.2</v>
      </c>
      <c r="BW175" s="138">
        <v>1</v>
      </c>
      <c r="BX175" s="138">
        <v>0</v>
      </c>
      <c r="BY175" s="138">
        <v>1</v>
      </c>
      <c r="BZ175" s="138">
        <v>1</v>
      </c>
      <c r="CA175" s="138">
        <v>-1</v>
      </c>
      <c r="CB175" s="138">
        <v>1</v>
      </c>
      <c r="CC175" s="138">
        <v>0</v>
      </c>
      <c r="CD175" s="138">
        <v>1</v>
      </c>
      <c r="CE175" s="138">
        <v>1</v>
      </c>
      <c r="CF175" s="138">
        <v>-1</v>
      </c>
      <c r="CG175" s="138">
        <f>1-'LCFS Table'!$BW175</f>
        <v>0</v>
      </c>
      <c r="CH175" s="138">
        <f>1-'LCFS Table'!$BX175</f>
        <v>1</v>
      </c>
      <c r="CI175" s="138">
        <f>1-'LCFS Table'!$BY175</f>
        <v>0</v>
      </c>
      <c r="CJ175" s="138">
        <f>1-'LCFS Table'!$BZ175</f>
        <v>0</v>
      </c>
      <c r="CK175" s="138">
        <f>-'LCFS Table'!$CA175</f>
        <v>1</v>
      </c>
      <c r="CL175" s="138">
        <f>1-'LCFS Table'!$CB175</f>
        <v>0</v>
      </c>
      <c r="CM175" s="138">
        <f>1-'LCFS Table'!$CC175</f>
        <v>1</v>
      </c>
      <c r="CN175" s="138">
        <f>1-'LCFS Table'!$CD175</f>
        <v>0</v>
      </c>
      <c r="CO175" s="138">
        <f>1-'LCFS Table'!$CE175</f>
        <v>0</v>
      </c>
      <c r="CP175" s="138">
        <f>-'LCFS Table'!$CF175</f>
        <v>1</v>
      </c>
      <c r="CQ175" s="140">
        <v>20</v>
      </c>
      <c r="CR175" s="165">
        <f>('LCFS Table'!$CQ175*0.9/(0.8/0.99)/100)</f>
        <v>0.22274999999999998</v>
      </c>
      <c r="CS175" s="166"/>
      <c r="CT175" s="167"/>
      <c r="CW175" s="168">
        <f>'LCFS Table'!$K175-'LCFS Table'!$M175</f>
        <v>0.13754958906499981</v>
      </c>
      <c r="CX175" s="129">
        <f>MONTH('LCFS Table'!$B175)</f>
        <v>4</v>
      </c>
      <c r="CY175" s="129">
        <f>YEAR('LCFS Table'!$B175)</f>
        <v>2022</v>
      </c>
    </row>
    <row r="176" spans="1:103">
      <c r="A176" s="148">
        <v>44675</v>
      </c>
      <c r="B176" s="149">
        <v>44681</v>
      </c>
      <c r="C176" s="132">
        <f t="shared" si="3"/>
        <v>2022</v>
      </c>
      <c r="D176" s="150" t="s">
        <v>273</v>
      </c>
      <c r="E176" s="187">
        <f>'LCFS Table'!$K176-'LCFS Table'!$I176</f>
        <v>-1.5833432415519404</v>
      </c>
      <c r="F176" s="187">
        <f>('LCFS Table'!$M176)-'LCFS Table'!$J176</f>
        <v>-4.4111128798612489</v>
      </c>
      <c r="G176" s="188">
        <f>'LCFS Table'!$E176+'LCFS Table'!$AS176+'LCFS Table'!$AT176+'LCFS Table'!$AU176+'LCFS Table'!$AV176</f>
        <v>3.6672635388614094</v>
      </c>
      <c r="H176" s="188">
        <f>'LCFS Table'!$F176+'LCFS Table'!$AX176+'LCFS Table'!$AY176+'LCFS Table'!$AZ176+'LCFS Table'!$BA176+('LCFS Table'!$CQ176*0.9/(0.8/0.99)/100)+(DG176*'LCFS Table'!$AF176)+(DF176*'LCFS Table'!$AG176)</f>
        <v>0.22139648437500134</v>
      </c>
      <c r="I176" s="187">
        <f>('LCFS Table'!$V176+'LCFS Table'!$W176+'LCFS Table'!$X176)/100+(('LCFS Table'!$AI176+'LCFS Table'!$AJ176)/340)</f>
        <v>6.2233432415519401</v>
      </c>
      <c r="J176" s="187">
        <f>(('LCFS Table'!$Y176+'LCFS Table'!$Z176)/100)+(('LCFS Table'!$AM176+'LCFS Table'!$AN176)/300)</f>
        <v>8.1413535156249992</v>
      </c>
      <c r="K176" s="190">
        <f>'[1]Fuel Values'!$C175</f>
        <v>4.6399999999999997</v>
      </c>
      <c r="L176" s="190">
        <f>'[1]Fuel Values'!$B175</f>
        <v>814</v>
      </c>
      <c r="M176" s="185">
        <f>('LCFS Table'!$L176/100)-'LCFS Table'!$AX176-'LCFS Table'!$AY176-'LCFS Table'!$AZ176-'LCFS Table'!$BA176</f>
        <v>3.7302406357637503</v>
      </c>
      <c r="N176" s="190">
        <f>[1]BFT!$B175</f>
        <v>76.8</v>
      </c>
      <c r="O176" s="190">
        <f>[1]UCO!$B175</f>
        <v>70.5</v>
      </c>
      <c r="P176" s="190">
        <f>[1]DCO!$B175</f>
        <v>81.900000000000006</v>
      </c>
      <c r="Q176" s="190">
        <f>'[1]Soybean Oil'!$B175</f>
        <v>105.92</v>
      </c>
      <c r="R176" s="190">
        <f>'[1]Yellow Grease'!$B175</f>
        <v>60.5</v>
      </c>
      <c r="S176" s="185">
        <f>'LCFS Table'!$N176 + 'LCFS Table'!$AH176</f>
        <v>81.174999999999997</v>
      </c>
      <c r="T176" s="185">
        <f>'LCFS Table'!$Q176+'LCFS Table'!$AH176</f>
        <v>110.295</v>
      </c>
      <c r="U176" s="185">
        <f>'LCFS Table'!$P176+'LCFS Table'!$AH176</f>
        <v>86.275000000000006</v>
      </c>
      <c r="V176" s="185">
        <f>(('LCFS Table'!$S176/'LCFS Table'!$AA176)*'LCFS Table'!$AC176)*6.48</f>
        <v>279.79468085106384</v>
      </c>
      <c r="W176" s="185">
        <f>(('LCFS Table'!$O176/'LCFS Table'!$AA176)*'LCFS Table'!$AD176)*6.48</f>
        <v>121.50000000000001</v>
      </c>
      <c r="X176" s="185">
        <f>(('LCFS Table'!$U176/'LCFS Table'!$AA176)*'LCFS Table'!$AE176)*6.48</f>
        <v>148.6867021276596</v>
      </c>
      <c r="Y176" s="185">
        <f>(('LCFS Table'!$T176/'LCFS Table'!$AB176)*'LCFS Table'!$AF176)*7.35</f>
        <v>633.33457031249998</v>
      </c>
      <c r="Z176" s="185">
        <f>(('LCFS Table'!$R176/'LCFS Table'!$AB176)*'LCFS Table'!$AG176)*7.35</f>
        <v>115.80078125</v>
      </c>
      <c r="AA176" s="138">
        <v>0.94</v>
      </c>
      <c r="AB176" s="138">
        <v>0.96</v>
      </c>
      <c r="AC176" s="138">
        <v>0.5</v>
      </c>
      <c r="AD176" s="138">
        <v>0.25</v>
      </c>
      <c r="AE176" s="138">
        <v>0.25</v>
      </c>
      <c r="AF176" s="138">
        <v>0.75</v>
      </c>
      <c r="AG176" s="138">
        <v>0.25</v>
      </c>
      <c r="AH176" s="139">
        <v>4.375</v>
      </c>
      <c r="AI176" s="139">
        <v>136</v>
      </c>
      <c r="AJ176" s="139">
        <v>110</v>
      </c>
      <c r="AK176" s="186">
        <f>('LCFS Table'!$AI176/340)*100</f>
        <v>40</v>
      </c>
      <c r="AL176" s="186">
        <f>('LCFS Table'!$AJ176/340)*100</f>
        <v>32.352941176470587</v>
      </c>
      <c r="AM176" s="139">
        <v>105</v>
      </c>
      <c r="AN176" s="139">
        <v>90</v>
      </c>
      <c r="AO176" s="139">
        <f>('LCFS Table'!$AM176/300)*100</f>
        <v>35</v>
      </c>
      <c r="AP176" s="139">
        <f>('LCFS Table'!$AN176/300)*100</f>
        <v>30</v>
      </c>
      <c r="AQ176" s="140">
        <f>'[1]LCFS Values'!$B175</f>
        <v>115.4</v>
      </c>
      <c r="AR176" s="140">
        <f>'[1]RIN Values'!$B175/100</f>
        <v>1.8485</v>
      </c>
      <c r="AS176" s="185">
        <v>0.94815678041334961</v>
      </c>
      <c r="AT176" s="137">
        <v>0.16</v>
      </c>
      <c r="AU176" s="137">
        <v>1</v>
      </c>
      <c r="AV176" s="185">
        <f>'LCFS Table'!$AR176*1.7</f>
        <v>3.1424500000000002</v>
      </c>
      <c r="AW176" s="137">
        <v>0</v>
      </c>
      <c r="AX176" s="185">
        <v>0.63700936423624988</v>
      </c>
      <c r="AY176" s="137">
        <v>0</v>
      </c>
      <c r="AZ176" s="141">
        <v>1</v>
      </c>
      <c r="BA176" s="185">
        <f>'LCFS Table'!$AR176*1.5</f>
        <v>2.7727500000000003</v>
      </c>
      <c r="BB176" s="142">
        <v>1.2</v>
      </c>
      <c r="BC176" s="185">
        <f>'LCFS Table'!$AS176*'LCFS Table'!$BW176</f>
        <v>0.94815678041334961</v>
      </c>
      <c r="BD176" s="185">
        <f>'LCFS Table'!$AT176*'LCFS Table'!$BX176</f>
        <v>0</v>
      </c>
      <c r="BE176" s="185">
        <f>'LCFS Table'!$AU176*'LCFS Table'!$BY176</f>
        <v>1</v>
      </c>
      <c r="BF176" s="137">
        <f>'LCFS Table'!$AV176*'LCFS Table'!$BZ176</f>
        <v>3.1424500000000002</v>
      </c>
      <c r="BG176" s="137">
        <f>'LCFS Table'!$AW176*'LCFS Table'!$CA176</f>
        <v>0</v>
      </c>
      <c r="BH176" s="137">
        <f>'LCFS Table'!$AX176*'LCFS Table'!$CB176</f>
        <v>0.63700936423624988</v>
      </c>
      <c r="BI176" s="137">
        <f>'LCFS Table'!$AY176*'LCFS Table'!$CC176</f>
        <v>0</v>
      </c>
      <c r="BJ176" s="137">
        <f>'LCFS Table'!$AZ176*'LCFS Table'!$CD176</f>
        <v>1</v>
      </c>
      <c r="BK176" s="137">
        <f>'LCFS Table'!$BA176*'LCFS Table'!$CE176</f>
        <v>2.7727500000000003</v>
      </c>
      <c r="BL176" s="137">
        <f>'LCFS Table'!$BB176*'LCFS Table'!$CF176</f>
        <v>-1.2</v>
      </c>
      <c r="BM176" s="137">
        <f>'LCFS Table'!$AS176*'LCFS Table'!$CG176</f>
        <v>0</v>
      </c>
      <c r="BN176" s="137">
        <f>'LCFS Table'!$AT176*'LCFS Table'!$CH176</f>
        <v>0.16</v>
      </c>
      <c r="BO176" s="137">
        <f>'LCFS Table'!$AU176*'LCFS Table'!$CI176</f>
        <v>0</v>
      </c>
      <c r="BP176" s="137">
        <f>'LCFS Table'!$AV176*'LCFS Table'!$CJ176</f>
        <v>0</v>
      </c>
      <c r="BQ176" s="137">
        <f>'LCFS Table'!$AW176*'LCFS Table'!$CK176</f>
        <v>0</v>
      </c>
      <c r="BR176" s="137">
        <f>'LCFS Table'!$AX176*'LCFS Table'!$CL176</f>
        <v>0</v>
      </c>
      <c r="BS176" s="137">
        <f>'LCFS Table'!$AY176*'LCFS Table'!$CM176</f>
        <v>0</v>
      </c>
      <c r="BT176" s="137">
        <f>'LCFS Table'!$AZ176*'LCFS Table'!$CN176</f>
        <v>0</v>
      </c>
      <c r="BU176" s="137">
        <f>'LCFS Table'!$BA176*'LCFS Table'!$CO176</f>
        <v>0</v>
      </c>
      <c r="BV176" s="142">
        <f>'LCFS Table'!$BB176*'LCFS Table'!$CP176</f>
        <v>1.2</v>
      </c>
      <c r="BW176" s="138">
        <v>1</v>
      </c>
      <c r="BX176" s="138">
        <v>0</v>
      </c>
      <c r="BY176" s="138">
        <v>1</v>
      </c>
      <c r="BZ176" s="138">
        <v>1</v>
      </c>
      <c r="CA176" s="138">
        <v>-1</v>
      </c>
      <c r="CB176" s="138">
        <v>1</v>
      </c>
      <c r="CC176" s="138">
        <v>0</v>
      </c>
      <c r="CD176" s="138">
        <v>1</v>
      </c>
      <c r="CE176" s="138">
        <v>1</v>
      </c>
      <c r="CF176" s="138">
        <v>-1</v>
      </c>
      <c r="CG176" s="138">
        <f>1-'LCFS Table'!$BW176</f>
        <v>0</v>
      </c>
      <c r="CH176" s="138">
        <f>1-'LCFS Table'!$BX176</f>
        <v>1</v>
      </c>
      <c r="CI176" s="138">
        <f>1-'LCFS Table'!$BY176</f>
        <v>0</v>
      </c>
      <c r="CJ176" s="138">
        <f>1-'LCFS Table'!$BZ176</f>
        <v>0</v>
      </c>
      <c r="CK176" s="138">
        <f>-'LCFS Table'!$CA176</f>
        <v>1</v>
      </c>
      <c r="CL176" s="138">
        <f>1-'LCFS Table'!$CB176</f>
        <v>0</v>
      </c>
      <c r="CM176" s="138">
        <f>1-'LCFS Table'!$CC176</f>
        <v>1</v>
      </c>
      <c r="CN176" s="138">
        <f>1-'LCFS Table'!$CD176</f>
        <v>0</v>
      </c>
      <c r="CO176" s="138">
        <f>1-'LCFS Table'!$CE176</f>
        <v>0</v>
      </c>
      <c r="CP176" s="138">
        <f>-'LCFS Table'!$CF176</f>
        <v>1</v>
      </c>
      <c r="CQ176" s="140">
        <v>20</v>
      </c>
      <c r="CR176" s="165">
        <f>('LCFS Table'!$CQ176*0.9/(0.8/0.99)/100)</f>
        <v>0.22274999999999998</v>
      </c>
      <c r="CS176" s="166"/>
      <c r="CT176" s="167"/>
      <c r="CW176" s="168">
        <f>'LCFS Table'!$K176-'LCFS Table'!$M176</f>
        <v>0.90975936423624937</v>
      </c>
      <c r="CX176" s="129">
        <f>MONTH('LCFS Table'!$B176)</f>
        <v>4</v>
      </c>
      <c r="CY176" s="129">
        <f>YEAR('LCFS Table'!$B176)</f>
        <v>2022</v>
      </c>
    </row>
    <row r="177" spans="1:103">
      <c r="A177" s="148">
        <v>44682</v>
      </c>
      <c r="B177" s="149">
        <v>44688</v>
      </c>
      <c r="C177" s="132">
        <f t="shared" si="3"/>
        <v>2022</v>
      </c>
      <c r="D177" s="182" t="s">
        <v>274</v>
      </c>
      <c r="E177" s="187">
        <f>'LCFS Table'!$K177-'LCFS Table'!$I177</f>
        <v>-2.2405666458072595</v>
      </c>
      <c r="F177" s="187">
        <f>('LCFS Table'!$M177)-'LCFS Table'!$J177</f>
        <v>-4.2802771088724993</v>
      </c>
      <c r="G177" s="188">
        <f>'LCFS Table'!$E177+'LCFS Table'!$AS177+'LCFS Table'!$AT177+'LCFS Table'!$AU177+'LCFS Table'!$AV177</f>
        <v>2.9002463659104372</v>
      </c>
      <c r="H177" s="188">
        <f>'LCFS Table'!$F177+'LCFS Table'!$AX177+'LCFS Table'!$AY177+'LCFS Table'!$AZ177+'LCFS Table'!$BA177+('LCFS Table'!$CQ177*0.9/(0.8/0.99)/100)+(DG177*'LCFS Table'!$AF177)+(DF177*'LCFS Table'!$AG177)</f>
        <v>0.24444882812500043</v>
      </c>
      <c r="I177" s="187">
        <f>('LCFS Table'!$V177+'LCFS Table'!$W177+'LCFS Table'!$X177)/100+(('LCFS Table'!$AI177+'LCFS Table'!$AJ177)/340)</f>
        <v>6.3465666458072594</v>
      </c>
      <c r="J177" s="187">
        <f>(('LCFS Table'!$Y177+'LCFS Table'!$Z177)/100)+(('LCFS Table'!$AM177+'LCFS Table'!$AN177)/300)</f>
        <v>8.0527324218749996</v>
      </c>
      <c r="K177" s="190">
        <f>'[1]Fuel Values'!$C176</f>
        <v>4.1059999999999999</v>
      </c>
      <c r="L177" s="190">
        <f>'[1]Fuel Values'!$B176</f>
        <v>808</v>
      </c>
      <c r="M177" s="185">
        <f>('LCFS Table'!$L177/100)-'LCFS Table'!$AX177-'LCFS Table'!$AY177-'LCFS Table'!$AZ177-'LCFS Table'!$BA177</f>
        <v>3.7724553130025003</v>
      </c>
      <c r="N177" s="190">
        <f>[1]BFT!$B176</f>
        <v>80</v>
      </c>
      <c r="O177" s="190">
        <f>[1]UCO!$B176</f>
        <v>70.5</v>
      </c>
      <c r="P177" s="190">
        <f>[1]DCO!$B176</f>
        <v>82.65</v>
      </c>
      <c r="Q177" s="190">
        <f>'[1]Soybean Oil'!$B176</f>
        <v>103.71</v>
      </c>
      <c r="R177" s="190">
        <f>'[1]Yellow Grease'!$B176</f>
        <v>62.5</v>
      </c>
      <c r="S177" s="185">
        <f>'LCFS Table'!$N177 + 'LCFS Table'!$AH177</f>
        <v>84.375</v>
      </c>
      <c r="T177" s="185">
        <f>'LCFS Table'!$Q177+'LCFS Table'!$AH177</f>
        <v>108.08499999999999</v>
      </c>
      <c r="U177" s="185">
        <f>'LCFS Table'!$P177+'LCFS Table'!$AH177</f>
        <v>87.025000000000006</v>
      </c>
      <c r="V177" s="185">
        <f>(('LCFS Table'!$S177/'LCFS Table'!$AA177)*'LCFS Table'!$AC177)*6.48</f>
        <v>290.82446808510645</v>
      </c>
      <c r="W177" s="185">
        <f>(('LCFS Table'!$O177/'LCFS Table'!$AA177)*'LCFS Table'!$AD177)*6.48</f>
        <v>121.50000000000001</v>
      </c>
      <c r="X177" s="185">
        <f>(('LCFS Table'!$U177/'LCFS Table'!$AA177)*'LCFS Table'!$AE177)*6.48</f>
        <v>149.97925531914896</v>
      </c>
      <c r="Y177" s="185">
        <f>(('LCFS Table'!$T177/'LCFS Table'!$AB177)*'LCFS Table'!$AF177)*7.35</f>
        <v>620.64433593749993</v>
      </c>
      <c r="Z177" s="185">
        <f>(('LCFS Table'!$R177/'LCFS Table'!$AB177)*'LCFS Table'!$AG177)*7.35</f>
        <v>119.62890625</v>
      </c>
      <c r="AA177" s="138">
        <v>0.94</v>
      </c>
      <c r="AB177" s="138">
        <v>0.96</v>
      </c>
      <c r="AC177" s="138">
        <v>0.5</v>
      </c>
      <c r="AD177" s="138">
        <v>0.25</v>
      </c>
      <c r="AE177" s="138">
        <v>0.25</v>
      </c>
      <c r="AF177" s="138">
        <v>0.75</v>
      </c>
      <c r="AG177" s="138">
        <v>0.25</v>
      </c>
      <c r="AH177" s="139">
        <v>4.375</v>
      </c>
      <c r="AI177" s="139">
        <v>136</v>
      </c>
      <c r="AJ177" s="139">
        <v>110</v>
      </c>
      <c r="AK177" s="186">
        <f>('LCFS Table'!$AI177/340)*100</f>
        <v>40</v>
      </c>
      <c r="AL177" s="186">
        <f>('LCFS Table'!$AJ177/340)*100</f>
        <v>32.352941176470587</v>
      </c>
      <c r="AM177" s="139">
        <v>105</v>
      </c>
      <c r="AN177" s="139">
        <v>90</v>
      </c>
      <c r="AO177" s="139">
        <f>('LCFS Table'!$AM177/300)*100</f>
        <v>35</v>
      </c>
      <c r="AP177" s="139">
        <f>('LCFS Table'!$AN177/300)*100</f>
        <v>30</v>
      </c>
      <c r="AQ177" s="140">
        <f>'[1]LCFS Values'!$B176</f>
        <v>114.05</v>
      </c>
      <c r="AR177" s="140">
        <f>'[1]RIN Values'!$B176/100</f>
        <v>1.7690000000000001</v>
      </c>
      <c r="AS177" s="185">
        <v>0.97351301171769611</v>
      </c>
      <c r="AT177" s="137">
        <v>0.16</v>
      </c>
      <c r="AU177" s="137">
        <v>1</v>
      </c>
      <c r="AV177" s="185">
        <f>'LCFS Table'!$AR177*1.7</f>
        <v>3.0073000000000003</v>
      </c>
      <c r="AW177" s="137">
        <v>0</v>
      </c>
      <c r="AX177" s="185">
        <v>0.65404468699749985</v>
      </c>
      <c r="AY177" s="137">
        <v>0</v>
      </c>
      <c r="AZ177" s="141">
        <v>1</v>
      </c>
      <c r="BA177" s="185">
        <f>'LCFS Table'!$AR177*1.5</f>
        <v>2.6535000000000002</v>
      </c>
      <c r="BB177" s="142">
        <v>1.2</v>
      </c>
      <c r="BC177" s="185">
        <f>'LCFS Table'!$AS177*'LCFS Table'!$BW177</f>
        <v>0.97351301171769611</v>
      </c>
      <c r="BD177" s="185">
        <f>'LCFS Table'!$AT177*'LCFS Table'!$BX177</f>
        <v>0</v>
      </c>
      <c r="BE177" s="185">
        <f>'LCFS Table'!$AU177*'LCFS Table'!$BY177</f>
        <v>1</v>
      </c>
      <c r="BF177" s="137">
        <f>'LCFS Table'!$AV177*'LCFS Table'!$BZ177</f>
        <v>3.0073000000000003</v>
      </c>
      <c r="BG177" s="137">
        <f>'LCFS Table'!$AW177*'LCFS Table'!$CA177</f>
        <v>0</v>
      </c>
      <c r="BH177" s="137">
        <f>'LCFS Table'!$AX177*'LCFS Table'!$CB177</f>
        <v>0.65404468699749985</v>
      </c>
      <c r="BI177" s="137">
        <f>'LCFS Table'!$AY177*'LCFS Table'!$CC177</f>
        <v>0</v>
      </c>
      <c r="BJ177" s="137">
        <f>'LCFS Table'!$AZ177*'LCFS Table'!$CD177</f>
        <v>1</v>
      </c>
      <c r="BK177" s="137">
        <f>'LCFS Table'!$BA177*'LCFS Table'!$CE177</f>
        <v>2.6535000000000002</v>
      </c>
      <c r="BL177" s="137">
        <f>'LCFS Table'!$BB177*'LCFS Table'!$CF177</f>
        <v>-1.2</v>
      </c>
      <c r="BM177" s="137">
        <f>'LCFS Table'!$AS177*'LCFS Table'!$CG177</f>
        <v>0</v>
      </c>
      <c r="BN177" s="137">
        <f>'LCFS Table'!$AT177*'LCFS Table'!$CH177</f>
        <v>0.16</v>
      </c>
      <c r="BO177" s="137">
        <f>'LCFS Table'!$AU177*'LCFS Table'!$CI177</f>
        <v>0</v>
      </c>
      <c r="BP177" s="137">
        <f>'LCFS Table'!$AV177*'LCFS Table'!$CJ177</f>
        <v>0</v>
      </c>
      <c r="BQ177" s="137">
        <f>'LCFS Table'!$AW177*'LCFS Table'!$CK177</f>
        <v>0</v>
      </c>
      <c r="BR177" s="137">
        <f>'LCFS Table'!$AX177*'LCFS Table'!$CL177</f>
        <v>0</v>
      </c>
      <c r="BS177" s="137">
        <f>'LCFS Table'!$AY177*'LCFS Table'!$CM177</f>
        <v>0</v>
      </c>
      <c r="BT177" s="137">
        <f>'LCFS Table'!$AZ177*'LCFS Table'!$CN177</f>
        <v>0</v>
      </c>
      <c r="BU177" s="137">
        <f>'LCFS Table'!$BA177*'LCFS Table'!$CO177</f>
        <v>0</v>
      </c>
      <c r="BV177" s="142">
        <f>'LCFS Table'!$BB177*'LCFS Table'!$CP177</f>
        <v>1.2</v>
      </c>
      <c r="BW177" s="138">
        <v>1</v>
      </c>
      <c r="BX177" s="138">
        <v>0</v>
      </c>
      <c r="BY177" s="138">
        <v>1</v>
      </c>
      <c r="BZ177" s="138">
        <v>1</v>
      </c>
      <c r="CA177" s="138">
        <v>-1</v>
      </c>
      <c r="CB177" s="138">
        <v>1</v>
      </c>
      <c r="CC177" s="138">
        <v>0</v>
      </c>
      <c r="CD177" s="138">
        <v>1</v>
      </c>
      <c r="CE177" s="138">
        <v>1</v>
      </c>
      <c r="CF177" s="138">
        <v>-1</v>
      </c>
      <c r="CG177" s="138">
        <f>1-'LCFS Table'!$BW177</f>
        <v>0</v>
      </c>
      <c r="CH177" s="138">
        <f>1-'LCFS Table'!$BX177</f>
        <v>1</v>
      </c>
      <c r="CI177" s="138">
        <f>1-'LCFS Table'!$BY177</f>
        <v>0</v>
      </c>
      <c r="CJ177" s="138">
        <f>1-'LCFS Table'!$BZ177</f>
        <v>0</v>
      </c>
      <c r="CK177" s="138">
        <f>-'LCFS Table'!$CA177</f>
        <v>1</v>
      </c>
      <c r="CL177" s="138">
        <f>1-'LCFS Table'!$CB177</f>
        <v>0</v>
      </c>
      <c r="CM177" s="138">
        <f>1-'LCFS Table'!$CC177</f>
        <v>1</v>
      </c>
      <c r="CN177" s="138">
        <f>1-'LCFS Table'!$CD177</f>
        <v>0</v>
      </c>
      <c r="CO177" s="138">
        <f>1-'LCFS Table'!$CE177</f>
        <v>0</v>
      </c>
      <c r="CP177" s="138">
        <f>-'LCFS Table'!$CF177</f>
        <v>1</v>
      </c>
      <c r="CQ177" s="140">
        <v>19.5</v>
      </c>
      <c r="CR177" s="165">
        <f>('LCFS Table'!$CQ177*0.9/(0.8/0.99)/100)</f>
        <v>0.21718124999999996</v>
      </c>
      <c r="CS177" s="166"/>
      <c r="CT177" s="167"/>
      <c r="CW177" s="168">
        <f>'LCFS Table'!$K177-'LCFS Table'!$M177</f>
        <v>0.33354468699749962</v>
      </c>
      <c r="CX177" s="129">
        <f>MONTH('LCFS Table'!$B177)</f>
        <v>5</v>
      </c>
      <c r="CY177" s="129">
        <f>YEAR('LCFS Table'!$B177)</f>
        <v>2022</v>
      </c>
    </row>
    <row r="178" spans="1:103">
      <c r="A178" s="148">
        <v>44689</v>
      </c>
      <c r="B178" s="149">
        <v>44695</v>
      </c>
      <c r="C178" s="132">
        <f t="shared" si="3"/>
        <v>2022</v>
      </c>
      <c r="D178" s="150" t="s">
        <v>275</v>
      </c>
      <c r="E178" s="187">
        <f>'LCFS Table'!$K178-'LCFS Table'!$I178</f>
        <v>-2.3797964330413031</v>
      </c>
      <c r="F178" s="187">
        <f>('LCFS Table'!$M178)-'LCFS Table'!$J178</f>
        <v>-4.5259652321825001</v>
      </c>
      <c r="G178" s="188">
        <f>'LCFS Table'!$E178+'LCFS Table'!$AS178+'LCFS Table'!$AT178+'LCFS Table'!$AU178+'LCFS Table'!$AV178</f>
        <v>2.808855986687802</v>
      </c>
      <c r="H178" s="188">
        <f>'LCFS Table'!$F178+'LCFS Table'!$AX178+'LCFS Table'!$AY178+'LCFS Table'!$AZ178+'LCFS Table'!$BA178+('LCFS Table'!$CQ178*0.9/(0.8/0.99)/100)+(DG178*'LCFS Table'!$AF178)+(DF178*'LCFS Table'!$AG178)</f>
        <v>5.2490546874999877E-2</v>
      </c>
      <c r="I178" s="187">
        <f>('LCFS Table'!$V178+'LCFS Table'!$W178+'LCFS Table'!$X178)/100+(('LCFS Table'!$AI178+'LCFS Table'!$AJ178)/340)</f>
        <v>6.3008964330413031</v>
      </c>
      <c r="J178" s="187">
        <f>(('LCFS Table'!$Y178+'LCFS Table'!$Z178)/100)+(('LCFS Table'!$AM178+'LCFS Table'!$AN178)/300)</f>
        <v>8.1330082031249997</v>
      </c>
      <c r="K178" s="190">
        <f>'[1]Fuel Values'!$C177</f>
        <v>3.9211</v>
      </c>
      <c r="L178" s="190">
        <f>'[1]Fuel Values'!$B177</f>
        <v>797.5</v>
      </c>
      <c r="M178" s="185">
        <f>('LCFS Table'!$L178/100)-'LCFS Table'!$AX178-'LCFS Table'!$AY178-'LCFS Table'!$AZ178-'LCFS Table'!$BA178</f>
        <v>3.6070429709424996</v>
      </c>
      <c r="N178" s="190">
        <f>[1]BFT!$B177</f>
        <v>80</v>
      </c>
      <c r="O178" s="190">
        <f>[1]UCO!$B177</f>
        <v>70.5</v>
      </c>
      <c r="P178" s="190">
        <f>[1]DCO!$B177</f>
        <v>80</v>
      </c>
      <c r="Q178" s="190">
        <f>'[1]Soybean Oil'!$B177</f>
        <v>105.108</v>
      </c>
      <c r="R178" s="190">
        <f>'[1]Yellow Grease'!$B177</f>
        <v>62.5</v>
      </c>
      <c r="S178" s="185">
        <f>'LCFS Table'!$N178 + 'LCFS Table'!$AH178</f>
        <v>84.375</v>
      </c>
      <c r="T178" s="185">
        <f>'LCFS Table'!$Q178+'LCFS Table'!$AH178</f>
        <v>109.483</v>
      </c>
      <c r="U178" s="185">
        <f>'LCFS Table'!$P178+'LCFS Table'!$AH178</f>
        <v>84.375</v>
      </c>
      <c r="V178" s="185">
        <f>(('LCFS Table'!$S178/'LCFS Table'!$AA178)*'LCFS Table'!$AC178)*6.48</f>
        <v>290.82446808510645</v>
      </c>
      <c r="W178" s="185">
        <f>(('LCFS Table'!$O178/'LCFS Table'!$AA178)*'LCFS Table'!$AD178)*6.48</f>
        <v>121.50000000000001</v>
      </c>
      <c r="X178" s="185">
        <f>(('LCFS Table'!$U178/'LCFS Table'!$AA178)*'LCFS Table'!$AE178)*6.48</f>
        <v>145.41223404255322</v>
      </c>
      <c r="Y178" s="185">
        <f>(('LCFS Table'!$T178/'LCFS Table'!$AB178)*'LCFS Table'!$AF178)*7.35</f>
        <v>628.67191406249992</v>
      </c>
      <c r="Z178" s="185">
        <f>(('LCFS Table'!$R178/'LCFS Table'!$AB178)*'LCFS Table'!$AG178)*7.35</f>
        <v>119.62890625</v>
      </c>
      <c r="AA178" s="138">
        <v>0.94</v>
      </c>
      <c r="AB178" s="138">
        <v>0.96</v>
      </c>
      <c r="AC178" s="138">
        <v>0.5</v>
      </c>
      <c r="AD178" s="138">
        <v>0.25</v>
      </c>
      <c r="AE178" s="138">
        <v>0.25</v>
      </c>
      <c r="AF178" s="138">
        <v>0.75</v>
      </c>
      <c r="AG178" s="138">
        <v>0.25</v>
      </c>
      <c r="AH178" s="139">
        <v>4.375</v>
      </c>
      <c r="AI178" s="139">
        <v>136</v>
      </c>
      <c r="AJ178" s="139">
        <v>110</v>
      </c>
      <c r="AK178" s="186">
        <f>('LCFS Table'!$AI178/340)*100</f>
        <v>40</v>
      </c>
      <c r="AL178" s="186">
        <f>('LCFS Table'!$AJ178/340)*100</f>
        <v>32.352941176470587</v>
      </c>
      <c r="AM178" s="139">
        <v>105</v>
      </c>
      <c r="AN178" s="139">
        <v>90</v>
      </c>
      <c r="AO178" s="139">
        <f>('LCFS Table'!$AM178/300)*100</f>
        <v>35</v>
      </c>
      <c r="AP178" s="139">
        <f>('LCFS Table'!$AN178/300)*100</f>
        <v>30</v>
      </c>
      <c r="AQ178" s="140">
        <f>'[1]LCFS Values'!$B177</f>
        <v>117.1</v>
      </c>
      <c r="AR178" s="140">
        <f>'[1]RIN Values'!$B177/100</f>
        <v>1.8480000000000001</v>
      </c>
      <c r="AS178" s="185">
        <v>0.88705241972910487</v>
      </c>
      <c r="AT178" s="137">
        <v>0.16</v>
      </c>
      <c r="AU178" s="137">
        <v>1</v>
      </c>
      <c r="AV178" s="185">
        <f>'LCFS Table'!$AR178*1.7</f>
        <v>3.1415999999999999</v>
      </c>
      <c r="AW178" s="137">
        <v>0</v>
      </c>
      <c r="AX178" s="185">
        <v>0.59595702905749992</v>
      </c>
      <c r="AY178" s="137">
        <v>0</v>
      </c>
      <c r="AZ178" s="141">
        <v>1</v>
      </c>
      <c r="BA178" s="185">
        <f>'LCFS Table'!$AR178*1.5</f>
        <v>2.7720000000000002</v>
      </c>
      <c r="BB178" s="142">
        <v>1.2</v>
      </c>
      <c r="BC178" s="185">
        <f>'LCFS Table'!$AS178*'LCFS Table'!$BW178</f>
        <v>0.88705241972910487</v>
      </c>
      <c r="BD178" s="185">
        <f>'LCFS Table'!$AT178*'LCFS Table'!$BX178</f>
        <v>0</v>
      </c>
      <c r="BE178" s="185">
        <f>'LCFS Table'!$AU178*'LCFS Table'!$BY178</f>
        <v>1</v>
      </c>
      <c r="BF178" s="137">
        <f>'LCFS Table'!$AV178*'LCFS Table'!$BZ178</f>
        <v>3.1415999999999999</v>
      </c>
      <c r="BG178" s="137">
        <f>'LCFS Table'!$AW178*'LCFS Table'!$CA178</f>
        <v>0</v>
      </c>
      <c r="BH178" s="137">
        <f>'LCFS Table'!$AX178*'LCFS Table'!$CB178</f>
        <v>0.59595702905749992</v>
      </c>
      <c r="BI178" s="137">
        <f>'LCFS Table'!$AY178*'LCFS Table'!$CC178</f>
        <v>0</v>
      </c>
      <c r="BJ178" s="137">
        <f>'LCFS Table'!$AZ178*'LCFS Table'!$CD178</f>
        <v>1</v>
      </c>
      <c r="BK178" s="137">
        <f>'LCFS Table'!$BA178*'LCFS Table'!$CE178</f>
        <v>2.7720000000000002</v>
      </c>
      <c r="BL178" s="137">
        <f>'LCFS Table'!$BB178*'LCFS Table'!$CF178</f>
        <v>-1.2</v>
      </c>
      <c r="BM178" s="137">
        <f>'LCFS Table'!$AS178*'LCFS Table'!$CG178</f>
        <v>0</v>
      </c>
      <c r="BN178" s="137">
        <f>'LCFS Table'!$AT178*'LCFS Table'!$CH178</f>
        <v>0.16</v>
      </c>
      <c r="BO178" s="137">
        <f>'LCFS Table'!$AU178*'LCFS Table'!$CI178</f>
        <v>0</v>
      </c>
      <c r="BP178" s="137">
        <f>'LCFS Table'!$AV178*'LCFS Table'!$CJ178</f>
        <v>0</v>
      </c>
      <c r="BQ178" s="137">
        <f>'LCFS Table'!$AW178*'LCFS Table'!$CK178</f>
        <v>0</v>
      </c>
      <c r="BR178" s="137">
        <f>'LCFS Table'!$AX178*'LCFS Table'!$CL178</f>
        <v>0</v>
      </c>
      <c r="BS178" s="137">
        <f>'LCFS Table'!$AY178*'LCFS Table'!$CM178</f>
        <v>0</v>
      </c>
      <c r="BT178" s="137">
        <f>'LCFS Table'!$AZ178*'LCFS Table'!$CN178</f>
        <v>0</v>
      </c>
      <c r="BU178" s="137">
        <f>'LCFS Table'!$BA178*'LCFS Table'!$CO178</f>
        <v>0</v>
      </c>
      <c r="BV178" s="142">
        <f>'LCFS Table'!$BB178*'LCFS Table'!$CP178</f>
        <v>1.2</v>
      </c>
      <c r="BW178" s="138">
        <v>1</v>
      </c>
      <c r="BX178" s="138">
        <v>0</v>
      </c>
      <c r="BY178" s="138">
        <v>1</v>
      </c>
      <c r="BZ178" s="138">
        <v>1</v>
      </c>
      <c r="CA178" s="138">
        <v>-1</v>
      </c>
      <c r="CB178" s="138">
        <v>1</v>
      </c>
      <c r="CC178" s="138">
        <v>0</v>
      </c>
      <c r="CD178" s="138">
        <v>1</v>
      </c>
      <c r="CE178" s="138">
        <v>1</v>
      </c>
      <c r="CF178" s="138">
        <v>-1</v>
      </c>
      <c r="CG178" s="138">
        <f>1-'LCFS Table'!$BW178</f>
        <v>0</v>
      </c>
      <c r="CH178" s="138">
        <f>1-'LCFS Table'!$BX178</f>
        <v>1</v>
      </c>
      <c r="CI178" s="138">
        <f>1-'LCFS Table'!$BY178</f>
        <v>0</v>
      </c>
      <c r="CJ178" s="138">
        <f>1-'LCFS Table'!$BZ178</f>
        <v>0</v>
      </c>
      <c r="CK178" s="138">
        <f>-'LCFS Table'!$CA178</f>
        <v>1</v>
      </c>
      <c r="CL178" s="138">
        <f>1-'LCFS Table'!$CB178</f>
        <v>0</v>
      </c>
      <c r="CM178" s="138">
        <f>1-'LCFS Table'!$CC178</f>
        <v>1</v>
      </c>
      <c r="CN178" s="138">
        <f>1-'LCFS Table'!$CD178</f>
        <v>0</v>
      </c>
      <c r="CO178" s="138">
        <f>1-'LCFS Table'!$CE178</f>
        <v>0</v>
      </c>
      <c r="CP178" s="138">
        <f>-'LCFS Table'!$CF178</f>
        <v>1</v>
      </c>
      <c r="CQ178" s="140">
        <v>18.899999999999999</v>
      </c>
      <c r="CR178" s="165">
        <f>('LCFS Table'!$CQ178*0.9/(0.8/0.99)/100)</f>
        <v>0.21049874999999996</v>
      </c>
      <c r="CS178" s="166"/>
      <c r="CT178" s="167"/>
      <c r="CW178" s="168">
        <f>'LCFS Table'!$K178-'LCFS Table'!$M178</f>
        <v>0.31405702905750044</v>
      </c>
      <c r="CX178" s="129">
        <f>MONTH('LCFS Table'!$B178)</f>
        <v>5</v>
      </c>
      <c r="CY178" s="129">
        <f>YEAR('LCFS Table'!$B178)</f>
        <v>2022</v>
      </c>
    </row>
    <row r="179" spans="1:103">
      <c r="A179" s="148">
        <v>44696</v>
      </c>
      <c r="B179" s="149">
        <v>44702</v>
      </c>
      <c r="C179" s="132">
        <f t="shared" si="3"/>
        <v>2022</v>
      </c>
      <c r="D179" s="182" t="s">
        <v>276</v>
      </c>
      <c r="E179" s="187">
        <f>'LCFS Table'!$K179-'LCFS Table'!$I179</f>
        <v>-2.5885900500625798</v>
      </c>
      <c r="F179" s="187">
        <f>('LCFS Table'!$M179)-'LCFS Table'!$J179</f>
        <v>-4.405268482908749</v>
      </c>
      <c r="G179" s="188">
        <f>'LCFS Table'!$E179+'LCFS Table'!$AS179+'LCFS Table'!$AT179+'LCFS Table'!$AU179+'LCFS Table'!$AV179</f>
        <v>2.487995305290192</v>
      </c>
      <c r="H179" s="188">
        <f>'LCFS Table'!$F179+'LCFS Table'!$AX179+'LCFS Table'!$AY179+'LCFS Table'!$AZ179+'LCFS Table'!$BA179+('LCFS Table'!$CQ179*0.9/(0.8/0.99)/100)+(DG179*'LCFS Table'!$AF179)+(DF179*'LCFS Table'!$AG179)</f>
        <v>8.3062890625000746E-2</v>
      </c>
      <c r="I179" s="187">
        <f>('LCFS Table'!$V179+'LCFS Table'!$W179+'LCFS Table'!$X179)/100+(('LCFS Table'!$AI179+'LCFS Table'!$AJ179)/340)</f>
        <v>6.3077900500625796</v>
      </c>
      <c r="J179" s="187">
        <f>(('LCFS Table'!$Y179+'LCFS Table'!$Z179)/100)+(('LCFS Table'!$AM179+'LCFS Table'!$AN179)/300)</f>
        <v>8.0979808593749993</v>
      </c>
      <c r="K179" s="190">
        <f>'[1]Fuel Values'!$C178</f>
        <v>3.7191999999999998</v>
      </c>
      <c r="L179" s="190">
        <f>'[1]Fuel Values'!$B178</f>
        <v>797.5</v>
      </c>
      <c r="M179" s="185">
        <f>('LCFS Table'!$L179/100)-'LCFS Table'!$AX179-'LCFS Table'!$AY179-'LCFS Table'!$AZ179-'LCFS Table'!$BA179</f>
        <v>3.6927123764662499</v>
      </c>
      <c r="N179" s="190">
        <f>[1]BFT!$B178</f>
        <v>80</v>
      </c>
      <c r="O179" s="190">
        <f>[1]UCO!$B178</f>
        <v>70.5</v>
      </c>
      <c r="P179" s="190">
        <f>[1]DCO!$B178</f>
        <v>80.400000000000006</v>
      </c>
      <c r="Q179" s="190">
        <f>'[1]Soybean Oil'!$B178</f>
        <v>104.498</v>
      </c>
      <c r="R179" s="190">
        <f>'[1]Yellow Grease'!$B178</f>
        <v>62.5</v>
      </c>
      <c r="S179" s="185">
        <f>'LCFS Table'!$N179 + 'LCFS Table'!$AH179</f>
        <v>84.375</v>
      </c>
      <c r="T179" s="185">
        <f>'LCFS Table'!$Q179+'LCFS Table'!$AH179</f>
        <v>108.873</v>
      </c>
      <c r="U179" s="185">
        <f>'LCFS Table'!$P179+'LCFS Table'!$AH179</f>
        <v>84.775000000000006</v>
      </c>
      <c r="V179" s="185">
        <f>(('LCFS Table'!$S179/'LCFS Table'!$AA179)*'LCFS Table'!$AC179)*6.48</f>
        <v>290.82446808510645</v>
      </c>
      <c r="W179" s="185">
        <f>(('LCFS Table'!$O179/'LCFS Table'!$AA179)*'LCFS Table'!$AD179)*6.48</f>
        <v>121.50000000000001</v>
      </c>
      <c r="X179" s="185">
        <f>(('LCFS Table'!$U179/'LCFS Table'!$AA179)*'LCFS Table'!$AE179)*6.48</f>
        <v>146.10159574468088</v>
      </c>
      <c r="Y179" s="185">
        <f>(('LCFS Table'!$T179/'LCFS Table'!$AB179)*'LCFS Table'!$AF179)*7.35</f>
        <v>625.16917968749999</v>
      </c>
      <c r="Z179" s="185">
        <f>(('LCFS Table'!$R179/'LCFS Table'!$AB179)*'LCFS Table'!$AG179)*7.35</f>
        <v>119.62890625</v>
      </c>
      <c r="AA179" s="138">
        <v>0.94</v>
      </c>
      <c r="AB179" s="138">
        <v>0.96</v>
      </c>
      <c r="AC179" s="138">
        <v>0.5</v>
      </c>
      <c r="AD179" s="138">
        <v>0.25</v>
      </c>
      <c r="AE179" s="138">
        <v>0.25</v>
      </c>
      <c r="AF179" s="138">
        <v>0.75</v>
      </c>
      <c r="AG179" s="138">
        <v>0.25</v>
      </c>
      <c r="AH179" s="139">
        <v>4.375</v>
      </c>
      <c r="AI179" s="139">
        <v>136</v>
      </c>
      <c r="AJ179" s="139">
        <v>110</v>
      </c>
      <c r="AK179" s="186">
        <f>('LCFS Table'!$AI179/340)*100</f>
        <v>40</v>
      </c>
      <c r="AL179" s="186">
        <f>('LCFS Table'!$AJ179/340)*100</f>
        <v>32.352941176470587</v>
      </c>
      <c r="AM179" s="139">
        <v>105</v>
      </c>
      <c r="AN179" s="139">
        <v>90</v>
      </c>
      <c r="AO179" s="139">
        <f>('LCFS Table'!$AM179/300)*100</f>
        <v>35</v>
      </c>
      <c r="AP179" s="139">
        <f>('LCFS Table'!$AN179/300)*100</f>
        <v>30</v>
      </c>
      <c r="AQ179" s="140">
        <f>'[1]LCFS Values'!$B178</f>
        <v>106.7</v>
      </c>
      <c r="AR179" s="140">
        <f>'[1]RIN Values'!$B178/100</f>
        <v>1.819</v>
      </c>
      <c r="AS179" s="185">
        <v>0.8242853553527717</v>
      </c>
      <c r="AT179" s="137">
        <v>0.16</v>
      </c>
      <c r="AU179" s="137">
        <v>1</v>
      </c>
      <c r="AV179" s="185">
        <f>'LCFS Table'!$AR179*1.7</f>
        <v>3.0922999999999998</v>
      </c>
      <c r="AW179" s="137">
        <v>0</v>
      </c>
      <c r="AX179" s="185">
        <v>0.55378762353375</v>
      </c>
      <c r="AY179" s="137">
        <v>0</v>
      </c>
      <c r="AZ179" s="141">
        <v>1</v>
      </c>
      <c r="BA179" s="185">
        <f>'LCFS Table'!$AR179*1.5</f>
        <v>2.7284999999999999</v>
      </c>
      <c r="BB179" s="142">
        <v>1.2</v>
      </c>
      <c r="BC179" s="185">
        <f>'LCFS Table'!$AS179*'LCFS Table'!$BW179</f>
        <v>0.8242853553527717</v>
      </c>
      <c r="BD179" s="185">
        <f>'LCFS Table'!$AT179*'LCFS Table'!$BX179</f>
        <v>0</v>
      </c>
      <c r="BE179" s="185">
        <f>'LCFS Table'!$AU179*'LCFS Table'!$BY179</f>
        <v>1</v>
      </c>
      <c r="BF179" s="137">
        <f>'LCFS Table'!$AV179*'LCFS Table'!$BZ179</f>
        <v>3.0922999999999998</v>
      </c>
      <c r="BG179" s="137">
        <f>'LCFS Table'!$AW179*'LCFS Table'!$CA179</f>
        <v>0</v>
      </c>
      <c r="BH179" s="137">
        <f>'LCFS Table'!$AX179*'LCFS Table'!$CB179</f>
        <v>0.55378762353375</v>
      </c>
      <c r="BI179" s="137">
        <f>'LCFS Table'!$AY179*'LCFS Table'!$CC179</f>
        <v>0</v>
      </c>
      <c r="BJ179" s="137">
        <f>'LCFS Table'!$AZ179*'LCFS Table'!$CD179</f>
        <v>1</v>
      </c>
      <c r="BK179" s="137">
        <f>'LCFS Table'!$BA179*'LCFS Table'!$CE179</f>
        <v>2.7284999999999999</v>
      </c>
      <c r="BL179" s="137">
        <f>'LCFS Table'!$BB179*'LCFS Table'!$CF179</f>
        <v>-1.2</v>
      </c>
      <c r="BM179" s="137">
        <f>'LCFS Table'!$AS179*'LCFS Table'!$CG179</f>
        <v>0</v>
      </c>
      <c r="BN179" s="137">
        <f>'LCFS Table'!$AT179*'LCFS Table'!$CH179</f>
        <v>0.16</v>
      </c>
      <c r="BO179" s="137">
        <f>'LCFS Table'!$AU179*'LCFS Table'!$CI179</f>
        <v>0</v>
      </c>
      <c r="BP179" s="137">
        <f>'LCFS Table'!$AV179*'LCFS Table'!$CJ179</f>
        <v>0</v>
      </c>
      <c r="BQ179" s="137">
        <f>'LCFS Table'!$AW179*'LCFS Table'!$CK179</f>
        <v>0</v>
      </c>
      <c r="BR179" s="137">
        <f>'LCFS Table'!$AX179*'LCFS Table'!$CL179</f>
        <v>0</v>
      </c>
      <c r="BS179" s="137">
        <f>'LCFS Table'!$AY179*'LCFS Table'!$CM179</f>
        <v>0</v>
      </c>
      <c r="BT179" s="137">
        <f>'LCFS Table'!$AZ179*'LCFS Table'!$CN179</f>
        <v>0</v>
      </c>
      <c r="BU179" s="137">
        <f>'LCFS Table'!$BA179*'LCFS Table'!$CO179</f>
        <v>0</v>
      </c>
      <c r="BV179" s="142">
        <f>'LCFS Table'!$BB179*'LCFS Table'!$CP179</f>
        <v>1.2</v>
      </c>
      <c r="BW179" s="138">
        <v>1</v>
      </c>
      <c r="BX179" s="138">
        <v>0</v>
      </c>
      <c r="BY179" s="138">
        <v>1</v>
      </c>
      <c r="BZ179" s="138">
        <v>1</v>
      </c>
      <c r="CA179" s="138">
        <v>-1</v>
      </c>
      <c r="CB179" s="138">
        <v>1</v>
      </c>
      <c r="CC179" s="138">
        <v>0</v>
      </c>
      <c r="CD179" s="138">
        <v>1</v>
      </c>
      <c r="CE179" s="138">
        <v>1</v>
      </c>
      <c r="CF179" s="138">
        <v>-1</v>
      </c>
      <c r="CG179" s="138">
        <f>1-'LCFS Table'!$BW179</f>
        <v>0</v>
      </c>
      <c r="CH179" s="138">
        <f>1-'LCFS Table'!$BX179</f>
        <v>1</v>
      </c>
      <c r="CI179" s="138">
        <f>1-'LCFS Table'!$BY179</f>
        <v>0</v>
      </c>
      <c r="CJ179" s="138">
        <f>1-'LCFS Table'!$BZ179</f>
        <v>0</v>
      </c>
      <c r="CK179" s="138">
        <f>-'LCFS Table'!$CA179</f>
        <v>1</v>
      </c>
      <c r="CL179" s="138">
        <f>1-'LCFS Table'!$CB179</f>
        <v>0</v>
      </c>
      <c r="CM179" s="138">
        <f>1-'LCFS Table'!$CC179</f>
        <v>1</v>
      </c>
      <c r="CN179" s="138">
        <f>1-'LCFS Table'!$CD179</f>
        <v>0</v>
      </c>
      <c r="CO179" s="138">
        <f>1-'LCFS Table'!$CE179</f>
        <v>0</v>
      </c>
      <c r="CP179" s="138">
        <f>-'LCFS Table'!$CF179</f>
        <v>1</v>
      </c>
      <c r="CQ179" s="140">
        <v>18.5</v>
      </c>
      <c r="CR179" s="165">
        <f>('LCFS Table'!$CQ179*0.9/(0.8/0.99)/100)</f>
        <v>0.20604375</v>
      </c>
      <c r="CS179" s="166"/>
      <c r="CT179" s="167"/>
      <c r="CW179" s="168">
        <f>'LCFS Table'!$K179-'LCFS Table'!$M179</f>
        <v>2.6487623533749893E-2</v>
      </c>
      <c r="CX179" s="129">
        <f>MONTH('LCFS Table'!$B179)</f>
        <v>5</v>
      </c>
      <c r="CY179" s="129">
        <f>YEAR('LCFS Table'!$B179)</f>
        <v>2022</v>
      </c>
    </row>
    <row r="180" spans="1:103">
      <c r="A180" s="148">
        <v>44703</v>
      </c>
      <c r="B180" s="149">
        <v>44709</v>
      </c>
      <c r="C180" s="132">
        <f t="shared" si="3"/>
        <v>2022</v>
      </c>
      <c r="D180" s="150" t="s">
        <v>277</v>
      </c>
      <c r="E180" s="187">
        <f>'LCFS Table'!$K180-'LCFS Table'!$I180</f>
        <v>-2.3822751564455587</v>
      </c>
      <c r="F180" s="187">
        <f>('LCFS Table'!$M180)-'LCFS Table'!$J180</f>
        <v>-4.2257558131171864</v>
      </c>
      <c r="G180" s="188">
        <f>'LCFS Table'!$E180+'LCFS Table'!$AS180+'LCFS Table'!$AT180+'LCFS Table'!$AU180+'LCFS Table'!$AV180</f>
        <v>2.4832354285508371</v>
      </c>
      <c r="H180" s="188">
        <f>'LCFS Table'!$F180+'LCFS Table'!$AX180+'LCFS Table'!$AY180+'LCFS Table'!$AZ180+'LCFS Table'!$BA180+('LCFS Table'!$CQ180*0.9/(0.8/0.99)/100)+(DG180*'LCFS Table'!$AF180)+(DF180*'LCFS Table'!$AG180)</f>
        <v>9.0705859375001113E-2</v>
      </c>
      <c r="I180" s="187">
        <f>('LCFS Table'!$V180+'LCFS Table'!$W180+'LCFS Table'!$X180)/100+(('LCFS Table'!$AI180+'LCFS Table'!$AJ180)/340)</f>
        <v>6.2698751564455586</v>
      </c>
      <c r="J180" s="187">
        <f>(('LCFS Table'!$Y180+'LCFS Table'!$Z180)/100)+(('LCFS Table'!$AM180+'LCFS Table'!$AN180)/300)</f>
        <v>8.0303378906249989</v>
      </c>
      <c r="K180" s="190">
        <f>'[1]Fuel Values'!$C179</f>
        <v>3.8875999999999999</v>
      </c>
      <c r="L180" s="190">
        <f>'[1]Fuel Values'!$B179</f>
        <v>791.5</v>
      </c>
      <c r="M180" s="185">
        <f>('LCFS Table'!$L180/100)-'LCFS Table'!$AX180-'LCFS Table'!$AY180-'LCFS Table'!$AZ180-'LCFS Table'!$BA180</f>
        <v>3.8045820775078125</v>
      </c>
      <c r="N180" s="190">
        <f>[1]BFT!$B179</f>
        <v>80</v>
      </c>
      <c r="O180" s="190">
        <f>[1]UCO!$B179</f>
        <v>70.5</v>
      </c>
      <c r="P180" s="190">
        <f>[1]DCO!$B179</f>
        <v>78.2</v>
      </c>
      <c r="Q180" s="190">
        <f>'[1]Soybean Oil'!$B179</f>
        <v>103.32</v>
      </c>
      <c r="R180" s="190">
        <f>'[1]Yellow Grease'!$B179</f>
        <v>62.5</v>
      </c>
      <c r="S180" s="185">
        <f>'LCFS Table'!$N180 + 'LCFS Table'!$AH180</f>
        <v>84.375</v>
      </c>
      <c r="T180" s="185">
        <f>'LCFS Table'!$Q180+'LCFS Table'!$AH180</f>
        <v>107.69499999999999</v>
      </c>
      <c r="U180" s="185">
        <f>'LCFS Table'!$P180+'LCFS Table'!$AH180</f>
        <v>82.575000000000003</v>
      </c>
      <c r="V180" s="185">
        <f>(('LCFS Table'!$S180/'LCFS Table'!$AA180)*'LCFS Table'!$AC180)*6.48</f>
        <v>290.82446808510645</v>
      </c>
      <c r="W180" s="185">
        <f>(('LCFS Table'!$O180/'LCFS Table'!$AA180)*'LCFS Table'!$AD180)*6.48</f>
        <v>121.50000000000001</v>
      </c>
      <c r="X180" s="185">
        <f>(('LCFS Table'!$U180/'LCFS Table'!$AA180)*'LCFS Table'!$AE180)*6.48</f>
        <v>142.31010638297874</v>
      </c>
      <c r="Y180" s="185">
        <f>(('LCFS Table'!$T180/'LCFS Table'!$AB180)*'LCFS Table'!$AF180)*7.35</f>
        <v>618.40488281249998</v>
      </c>
      <c r="Z180" s="185">
        <f>(('LCFS Table'!$R180/'LCFS Table'!$AB180)*'LCFS Table'!$AG180)*7.35</f>
        <v>119.62890625</v>
      </c>
      <c r="AA180" s="138">
        <v>0.94</v>
      </c>
      <c r="AB180" s="138">
        <v>0.96</v>
      </c>
      <c r="AC180" s="138">
        <v>0.5</v>
      </c>
      <c r="AD180" s="138">
        <v>0.25</v>
      </c>
      <c r="AE180" s="138">
        <v>0.25</v>
      </c>
      <c r="AF180" s="138">
        <v>0.75</v>
      </c>
      <c r="AG180" s="138">
        <v>0.25</v>
      </c>
      <c r="AH180" s="139">
        <v>4.375</v>
      </c>
      <c r="AI180" s="139">
        <v>136</v>
      </c>
      <c r="AJ180" s="139">
        <v>110</v>
      </c>
      <c r="AK180" s="186">
        <f>('LCFS Table'!$AI180/340)*100</f>
        <v>40</v>
      </c>
      <c r="AL180" s="186">
        <f>('LCFS Table'!$AJ180/340)*100</f>
        <v>32.352941176470587</v>
      </c>
      <c r="AM180" s="139">
        <v>105</v>
      </c>
      <c r="AN180" s="139">
        <v>90</v>
      </c>
      <c r="AO180" s="139">
        <f>('LCFS Table'!$AM180/300)*100</f>
        <v>35</v>
      </c>
      <c r="AP180" s="139">
        <f>('LCFS Table'!$AN180/300)*100</f>
        <v>30</v>
      </c>
      <c r="AQ180" s="140">
        <f>'[1]LCFS Values'!$B179</f>
        <v>99.15</v>
      </c>
      <c r="AR180" s="140">
        <f>'[1]RIN Values'!$B179/100</f>
        <v>1.7350000000000001</v>
      </c>
      <c r="AS180" s="185">
        <v>0.75601058499639617</v>
      </c>
      <c r="AT180" s="137">
        <v>0.16</v>
      </c>
      <c r="AU180" s="137">
        <v>1</v>
      </c>
      <c r="AV180" s="185">
        <f>'LCFS Table'!$AR180*1.7</f>
        <v>2.9495</v>
      </c>
      <c r="AW180" s="137">
        <v>0</v>
      </c>
      <c r="AX180" s="185">
        <v>0.50791792249218748</v>
      </c>
      <c r="AY180" s="137">
        <v>0</v>
      </c>
      <c r="AZ180" s="141">
        <v>1</v>
      </c>
      <c r="BA180" s="185">
        <f>'LCFS Table'!$AR180*1.5</f>
        <v>2.6025</v>
      </c>
      <c r="BB180" s="142">
        <v>1.2</v>
      </c>
      <c r="BC180" s="185">
        <f>'LCFS Table'!$AS180*'LCFS Table'!$BW180</f>
        <v>0.75601058499639617</v>
      </c>
      <c r="BD180" s="185">
        <f>'LCFS Table'!$AT180*'LCFS Table'!$BX180</f>
        <v>0</v>
      </c>
      <c r="BE180" s="185">
        <f>'LCFS Table'!$AU180*'LCFS Table'!$BY180</f>
        <v>1</v>
      </c>
      <c r="BF180" s="137">
        <f>'LCFS Table'!$AV180*'LCFS Table'!$BZ180</f>
        <v>2.9495</v>
      </c>
      <c r="BG180" s="137">
        <f>'LCFS Table'!$AW180*'LCFS Table'!$CA180</f>
        <v>0</v>
      </c>
      <c r="BH180" s="137">
        <f>'LCFS Table'!$AX180*'LCFS Table'!$CB180</f>
        <v>0.50791792249218748</v>
      </c>
      <c r="BI180" s="137">
        <f>'LCFS Table'!$AY180*'LCFS Table'!$CC180</f>
        <v>0</v>
      </c>
      <c r="BJ180" s="137">
        <f>'LCFS Table'!$AZ180*'LCFS Table'!$CD180</f>
        <v>1</v>
      </c>
      <c r="BK180" s="137">
        <f>'LCFS Table'!$BA180*'LCFS Table'!$CE180</f>
        <v>2.6025</v>
      </c>
      <c r="BL180" s="137">
        <f>'LCFS Table'!$BB180*'LCFS Table'!$CF180</f>
        <v>-1.2</v>
      </c>
      <c r="BM180" s="137">
        <f>'LCFS Table'!$AS180*'LCFS Table'!$CG180</f>
        <v>0</v>
      </c>
      <c r="BN180" s="137">
        <f>'LCFS Table'!$AT180*'LCFS Table'!$CH180</f>
        <v>0.16</v>
      </c>
      <c r="BO180" s="137">
        <f>'LCFS Table'!$AU180*'LCFS Table'!$CI180</f>
        <v>0</v>
      </c>
      <c r="BP180" s="137">
        <f>'LCFS Table'!$AV180*'LCFS Table'!$CJ180</f>
        <v>0</v>
      </c>
      <c r="BQ180" s="137">
        <f>'LCFS Table'!$AW180*'LCFS Table'!$CK180</f>
        <v>0</v>
      </c>
      <c r="BR180" s="137">
        <f>'LCFS Table'!$AX180*'LCFS Table'!$CL180</f>
        <v>0</v>
      </c>
      <c r="BS180" s="137">
        <f>'LCFS Table'!$AY180*'LCFS Table'!$CM180</f>
        <v>0</v>
      </c>
      <c r="BT180" s="137">
        <f>'LCFS Table'!$AZ180*'LCFS Table'!$CN180</f>
        <v>0</v>
      </c>
      <c r="BU180" s="137">
        <f>'LCFS Table'!$BA180*'LCFS Table'!$CO180</f>
        <v>0</v>
      </c>
      <c r="BV180" s="142">
        <f>'LCFS Table'!$BB180*'LCFS Table'!$CP180</f>
        <v>1.2</v>
      </c>
      <c r="BW180" s="138">
        <v>1</v>
      </c>
      <c r="BX180" s="138">
        <v>0</v>
      </c>
      <c r="BY180" s="138">
        <v>1</v>
      </c>
      <c r="BZ180" s="138">
        <v>1</v>
      </c>
      <c r="CA180" s="138">
        <v>-1</v>
      </c>
      <c r="CB180" s="138">
        <v>1</v>
      </c>
      <c r="CC180" s="138">
        <v>0</v>
      </c>
      <c r="CD180" s="138">
        <v>1</v>
      </c>
      <c r="CE180" s="138">
        <v>1</v>
      </c>
      <c r="CF180" s="138">
        <v>-1</v>
      </c>
      <c r="CG180" s="138">
        <f>1-'LCFS Table'!$BW180</f>
        <v>0</v>
      </c>
      <c r="CH180" s="138">
        <f>1-'LCFS Table'!$BX180</f>
        <v>1</v>
      </c>
      <c r="CI180" s="138">
        <f>1-'LCFS Table'!$BY180</f>
        <v>0</v>
      </c>
      <c r="CJ180" s="138">
        <f>1-'LCFS Table'!$BZ180</f>
        <v>0</v>
      </c>
      <c r="CK180" s="138">
        <f>-'LCFS Table'!$CA180</f>
        <v>1</v>
      </c>
      <c r="CL180" s="138">
        <f>1-'LCFS Table'!$CB180</f>
        <v>0</v>
      </c>
      <c r="CM180" s="138">
        <f>1-'LCFS Table'!$CC180</f>
        <v>1</v>
      </c>
      <c r="CN180" s="138">
        <f>1-'LCFS Table'!$CD180</f>
        <v>0</v>
      </c>
      <c r="CO180" s="138">
        <f>1-'LCFS Table'!$CE180</f>
        <v>0</v>
      </c>
      <c r="CP180" s="138">
        <f>-'LCFS Table'!$CF180</f>
        <v>1</v>
      </c>
      <c r="CQ180" s="140">
        <v>18.5</v>
      </c>
      <c r="CR180" s="165">
        <f>('LCFS Table'!$CQ180*0.9/(0.8/0.99)/100)</f>
        <v>0.20604375</v>
      </c>
      <c r="CS180" s="166"/>
      <c r="CT180" s="167"/>
      <c r="CW180" s="168">
        <f>'LCFS Table'!$K180-'LCFS Table'!$M180</f>
        <v>8.3017922492187424E-2</v>
      </c>
      <c r="CX180" s="129">
        <f>MONTH('LCFS Table'!$B180)</f>
        <v>5</v>
      </c>
      <c r="CY180" s="129">
        <f>YEAR('LCFS Table'!$B180)</f>
        <v>2022</v>
      </c>
    </row>
    <row r="181" spans="1:103">
      <c r="A181" s="148">
        <v>44710</v>
      </c>
      <c r="B181" s="149">
        <v>44716</v>
      </c>
      <c r="C181" s="132">
        <f t="shared" si="3"/>
        <v>2022</v>
      </c>
      <c r="D181" s="182" t="s">
        <v>278</v>
      </c>
      <c r="E181" s="187">
        <f>'LCFS Table'!$K181-'LCFS Table'!$I181</f>
        <v>-2.0412602628285379</v>
      </c>
      <c r="F181" s="187">
        <f>('LCFS Table'!$M181)-'LCFS Table'!$J181</f>
        <v>-4.14133107772125</v>
      </c>
      <c r="G181" s="188">
        <f>'LCFS Table'!$E181+'LCFS Table'!$AS181+'LCFS Table'!$AT181+'LCFS Table'!$AU181+'LCFS Table'!$AV181</f>
        <v>2.6641635194665083</v>
      </c>
      <c r="H181" s="188">
        <f>'LCFS Table'!$F181+'LCFS Table'!$AX181+'LCFS Table'!$AY181+'LCFS Table'!$AZ181+'LCFS Table'!$BA181+('LCFS Table'!$CQ181*0.9/(0.8/0.99)/100)+(DG181*'LCFS Table'!$AF181)+(DF181*'LCFS Table'!$AG181)</f>
        <v>5.0131640625000001E-2</v>
      </c>
      <c r="I181" s="187">
        <f>('LCFS Table'!$V181+'LCFS Table'!$W181+'LCFS Table'!$X181)/100+(('LCFS Table'!$AI181+'LCFS Table'!$AJ181)/340)</f>
        <v>6.2319602628285375</v>
      </c>
      <c r="J181" s="187">
        <f>(('LCFS Table'!$Y181+'LCFS Table'!$Z181)/100)+(('LCFS Table'!$AM181+'LCFS Table'!$AN181)/300)</f>
        <v>8.0309121093750004</v>
      </c>
      <c r="K181" s="190">
        <f>'[1]Fuel Values'!$C180</f>
        <v>4.1906999999999996</v>
      </c>
      <c r="L181" s="190">
        <f>'[1]Fuel Values'!$B180</f>
        <v>787.5</v>
      </c>
      <c r="M181" s="185">
        <f>('LCFS Table'!$L181/100)-'LCFS Table'!$AX181-'LCFS Table'!$AY181-'LCFS Table'!$AZ181-'LCFS Table'!$BA181</f>
        <v>3.8895810316537505</v>
      </c>
      <c r="N181" s="190">
        <f>[1]BFT!$B180</f>
        <v>80</v>
      </c>
      <c r="O181" s="190">
        <f>[1]UCO!$B180</f>
        <v>70.5</v>
      </c>
      <c r="P181" s="190">
        <f>[1]DCO!$B180</f>
        <v>76</v>
      </c>
      <c r="Q181" s="190">
        <f>'[1]Soybean Oil'!$B180</f>
        <v>103.33</v>
      </c>
      <c r="R181" s="190">
        <f>'[1]Yellow Grease'!$B180</f>
        <v>62.5</v>
      </c>
      <c r="S181" s="185">
        <f>'LCFS Table'!$N181 + 'LCFS Table'!$AH181</f>
        <v>84.375</v>
      </c>
      <c r="T181" s="185">
        <f>'LCFS Table'!$Q181+'LCFS Table'!$AH181</f>
        <v>107.705</v>
      </c>
      <c r="U181" s="185">
        <f>'LCFS Table'!$P181+'LCFS Table'!$AH181</f>
        <v>80.375</v>
      </c>
      <c r="V181" s="185">
        <f>(('LCFS Table'!$S181/'LCFS Table'!$AA181)*'LCFS Table'!$AC181)*6.48</f>
        <v>290.82446808510645</v>
      </c>
      <c r="W181" s="185">
        <f>(('LCFS Table'!$O181/'LCFS Table'!$AA181)*'LCFS Table'!$AD181)*6.48</f>
        <v>121.50000000000001</v>
      </c>
      <c r="X181" s="185">
        <f>(('LCFS Table'!$U181/'LCFS Table'!$AA181)*'LCFS Table'!$AE181)*6.48</f>
        <v>138.51861702127661</v>
      </c>
      <c r="Y181" s="185">
        <f>(('LCFS Table'!$T181/'LCFS Table'!$AB181)*'LCFS Table'!$AF181)*7.35</f>
        <v>618.46230468750002</v>
      </c>
      <c r="Z181" s="185">
        <f>(('LCFS Table'!$R181/'LCFS Table'!$AB181)*'LCFS Table'!$AG181)*7.35</f>
        <v>119.62890625</v>
      </c>
      <c r="AA181" s="138">
        <v>0.94</v>
      </c>
      <c r="AB181" s="138">
        <v>0.96</v>
      </c>
      <c r="AC181" s="138">
        <v>0.5</v>
      </c>
      <c r="AD181" s="138">
        <v>0.25</v>
      </c>
      <c r="AE181" s="138">
        <v>0.25</v>
      </c>
      <c r="AF181" s="138">
        <v>0.75</v>
      </c>
      <c r="AG181" s="138">
        <v>0.25</v>
      </c>
      <c r="AH181" s="139">
        <v>4.375</v>
      </c>
      <c r="AI181" s="139">
        <v>136</v>
      </c>
      <c r="AJ181" s="139">
        <v>110</v>
      </c>
      <c r="AK181" s="186">
        <f>('LCFS Table'!$AI181/340)*100</f>
        <v>40</v>
      </c>
      <c r="AL181" s="186">
        <f>('LCFS Table'!$AJ181/340)*100</f>
        <v>32.352941176470587</v>
      </c>
      <c r="AM181" s="139">
        <v>105</v>
      </c>
      <c r="AN181" s="139">
        <v>90</v>
      </c>
      <c r="AO181" s="139">
        <f>('LCFS Table'!$AM181/300)*100</f>
        <v>35</v>
      </c>
      <c r="AP181" s="139">
        <f>('LCFS Table'!$AN181/300)*100</f>
        <v>30</v>
      </c>
      <c r="AQ181" s="140">
        <f>'[1]LCFS Values'!$B180</f>
        <v>90.9375</v>
      </c>
      <c r="AR181" s="140">
        <f>'[1]RIN Values'!$B180/100</f>
        <v>1.68625</v>
      </c>
      <c r="AS181" s="185">
        <v>0.67879878229504598</v>
      </c>
      <c r="AT181" s="137">
        <v>0.16</v>
      </c>
      <c r="AU181" s="137">
        <v>1</v>
      </c>
      <c r="AV181" s="185">
        <f>'LCFS Table'!$AR181*1.7</f>
        <v>2.866625</v>
      </c>
      <c r="AW181" s="137">
        <v>0</v>
      </c>
      <c r="AX181" s="185">
        <v>0.45604396834624999</v>
      </c>
      <c r="AY181" s="137">
        <v>0</v>
      </c>
      <c r="AZ181" s="141">
        <v>1</v>
      </c>
      <c r="BA181" s="185">
        <f>'LCFS Table'!$AR181*1.5</f>
        <v>2.5293749999999999</v>
      </c>
      <c r="BB181" s="142">
        <v>1.2</v>
      </c>
      <c r="BC181" s="185">
        <f>'LCFS Table'!$AS181*'LCFS Table'!$BW181</f>
        <v>0.67879878229504598</v>
      </c>
      <c r="BD181" s="185">
        <f>'LCFS Table'!$AT181*'LCFS Table'!$BX181</f>
        <v>0</v>
      </c>
      <c r="BE181" s="185">
        <f>'LCFS Table'!$AU181*'LCFS Table'!$BY181</f>
        <v>1</v>
      </c>
      <c r="BF181" s="137">
        <f>'LCFS Table'!$AV181*'LCFS Table'!$BZ181</f>
        <v>2.866625</v>
      </c>
      <c r="BG181" s="137">
        <f>'LCFS Table'!$AW181*'LCFS Table'!$CA181</f>
        <v>0</v>
      </c>
      <c r="BH181" s="137">
        <f>'LCFS Table'!$AX181*'LCFS Table'!$CB181</f>
        <v>0.45604396834624999</v>
      </c>
      <c r="BI181" s="137">
        <f>'LCFS Table'!$AY181*'LCFS Table'!$CC181</f>
        <v>0</v>
      </c>
      <c r="BJ181" s="137">
        <f>'LCFS Table'!$AZ181*'LCFS Table'!$CD181</f>
        <v>1</v>
      </c>
      <c r="BK181" s="137">
        <f>'LCFS Table'!$BA181*'LCFS Table'!$CE181</f>
        <v>2.5293749999999999</v>
      </c>
      <c r="BL181" s="137">
        <f>'LCFS Table'!$BB181*'LCFS Table'!$CF181</f>
        <v>-1.2</v>
      </c>
      <c r="BM181" s="137">
        <f>'LCFS Table'!$AS181*'LCFS Table'!$CG181</f>
        <v>0</v>
      </c>
      <c r="BN181" s="137">
        <f>'LCFS Table'!$AT181*'LCFS Table'!$CH181</f>
        <v>0.16</v>
      </c>
      <c r="BO181" s="137">
        <f>'LCFS Table'!$AU181*'LCFS Table'!$CI181</f>
        <v>0</v>
      </c>
      <c r="BP181" s="137">
        <f>'LCFS Table'!$AV181*'LCFS Table'!$CJ181</f>
        <v>0</v>
      </c>
      <c r="BQ181" s="137">
        <f>'LCFS Table'!$AW181*'LCFS Table'!$CK181</f>
        <v>0</v>
      </c>
      <c r="BR181" s="137">
        <f>'LCFS Table'!$AX181*'LCFS Table'!$CL181</f>
        <v>0</v>
      </c>
      <c r="BS181" s="137">
        <f>'LCFS Table'!$AY181*'LCFS Table'!$CM181</f>
        <v>0</v>
      </c>
      <c r="BT181" s="137">
        <f>'LCFS Table'!$AZ181*'LCFS Table'!$CN181</f>
        <v>0</v>
      </c>
      <c r="BU181" s="137">
        <f>'LCFS Table'!$BA181*'LCFS Table'!$CO181</f>
        <v>0</v>
      </c>
      <c r="BV181" s="142">
        <f>'LCFS Table'!$BB181*'LCFS Table'!$CP181</f>
        <v>1.2</v>
      </c>
      <c r="BW181" s="138">
        <v>1</v>
      </c>
      <c r="BX181" s="138">
        <v>0</v>
      </c>
      <c r="BY181" s="138">
        <v>1</v>
      </c>
      <c r="BZ181" s="138">
        <v>1</v>
      </c>
      <c r="CA181" s="138">
        <v>-1</v>
      </c>
      <c r="CB181" s="138">
        <v>1</v>
      </c>
      <c r="CC181" s="138">
        <v>0</v>
      </c>
      <c r="CD181" s="138">
        <v>1</v>
      </c>
      <c r="CE181" s="138">
        <v>1</v>
      </c>
      <c r="CF181" s="138">
        <v>-1</v>
      </c>
      <c r="CG181" s="138">
        <f>1-'LCFS Table'!$BW181</f>
        <v>0</v>
      </c>
      <c r="CH181" s="138">
        <f>1-'LCFS Table'!$BX181</f>
        <v>1</v>
      </c>
      <c r="CI181" s="138">
        <f>1-'LCFS Table'!$BY181</f>
        <v>0</v>
      </c>
      <c r="CJ181" s="138">
        <f>1-'LCFS Table'!$BZ181</f>
        <v>0</v>
      </c>
      <c r="CK181" s="138">
        <f>-'LCFS Table'!$CA181</f>
        <v>1</v>
      </c>
      <c r="CL181" s="138">
        <f>1-'LCFS Table'!$CB181</f>
        <v>0</v>
      </c>
      <c r="CM181" s="138">
        <f>1-'LCFS Table'!$CC181</f>
        <v>1</v>
      </c>
      <c r="CN181" s="138">
        <f>1-'LCFS Table'!$CD181</f>
        <v>0</v>
      </c>
      <c r="CO181" s="138">
        <f>1-'LCFS Table'!$CE181</f>
        <v>0</v>
      </c>
      <c r="CP181" s="138">
        <f>-'LCFS Table'!$CF181</f>
        <v>1</v>
      </c>
      <c r="CQ181" s="140">
        <v>18.5</v>
      </c>
      <c r="CR181" s="165">
        <f>('LCFS Table'!$CQ181*0.9/(0.8/0.99)/100)</f>
        <v>0.20604375</v>
      </c>
      <c r="CS181" s="166"/>
      <c r="CT181" s="167"/>
      <c r="CW181" s="168">
        <f>'LCFS Table'!$K181-'LCFS Table'!$M181</f>
        <v>0.30111896834624918</v>
      </c>
      <c r="CX181" s="129">
        <f>MONTH('LCFS Table'!$B181)</f>
        <v>6</v>
      </c>
      <c r="CY181" s="129">
        <f>YEAR('LCFS Table'!$B181)</f>
        <v>2022</v>
      </c>
    </row>
    <row r="182" spans="1:103">
      <c r="A182" s="148">
        <v>44717</v>
      </c>
      <c r="B182" s="149">
        <v>44723</v>
      </c>
      <c r="C182" s="132">
        <f t="shared" si="3"/>
        <v>2022</v>
      </c>
      <c r="D182" s="150" t="s">
        <v>279</v>
      </c>
      <c r="E182" s="187">
        <f>'LCFS Table'!$K182-'LCFS Table'!$I182</f>
        <v>-1.8895411138923652</v>
      </c>
      <c r="F182" s="187">
        <f>('LCFS Table'!$M182)-'LCFS Table'!$J182</f>
        <v>-4.2925769180687494</v>
      </c>
      <c r="G182" s="188">
        <f>'LCFS Table'!$E182+'LCFS Table'!$AS182+'LCFS Table'!$AT182+'LCFS Table'!$AU182+'LCFS Table'!$AV182</f>
        <v>2.9236795756300493</v>
      </c>
      <c r="H182" s="188">
        <f>'LCFS Table'!$F182+'LCFS Table'!$AX182+'LCFS Table'!$AY182+'LCFS Table'!$AZ182+'LCFS Table'!$BA182+('LCFS Table'!$CQ182*0.9/(0.8/0.99)/100)+(DG182*'LCFS Table'!$AF182)+(DF182*'LCFS Table'!$AG182)</f>
        <v>-1.5879609374999298E-2</v>
      </c>
      <c r="I182" s="187">
        <f>('LCFS Table'!$V182+'LCFS Table'!$W182+'LCFS Table'!$X182)/100+(('LCFS Table'!$AI182+'LCFS Table'!$AJ182)/340)</f>
        <v>6.2526411138923654</v>
      </c>
      <c r="J182" s="187">
        <f>(('LCFS Table'!$Y182+'LCFS Table'!$Z182)/100)+(('LCFS Table'!$AM182+'LCFS Table'!$AN182)/300)</f>
        <v>8.0924683593749993</v>
      </c>
      <c r="K182" s="190">
        <f>'[1]Fuel Values'!$C181</f>
        <v>4.3631000000000002</v>
      </c>
      <c r="L182" s="190">
        <f>'[1]Fuel Values'!$B181</f>
        <v>787.5</v>
      </c>
      <c r="M182" s="185">
        <f>('LCFS Table'!$L182/100)-'LCFS Table'!$AX182-'LCFS Table'!$AY182-'LCFS Table'!$AZ182-'LCFS Table'!$BA182</f>
        <v>3.7998914413062499</v>
      </c>
      <c r="N182" s="190">
        <f>[1]BFT!$B181</f>
        <v>80.599999999999994</v>
      </c>
      <c r="O182" s="190">
        <f>[1]UCO!$B181</f>
        <v>70.5</v>
      </c>
      <c r="P182" s="190">
        <f>[1]DCO!$B181</f>
        <v>76</v>
      </c>
      <c r="Q182" s="190">
        <f>'[1]Soybean Oil'!$B181</f>
        <v>104.402</v>
      </c>
      <c r="R182" s="190">
        <f>'[1]Yellow Grease'!$B181</f>
        <v>62.5</v>
      </c>
      <c r="S182" s="185">
        <f>'LCFS Table'!$N182 + 'LCFS Table'!$AH182</f>
        <v>84.974999999999994</v>
      </c>
      <c r="T182" s="185">
        <f>'LCFS Table'!$Q182+'LCFS Table'!$AH182</f>
        <v>108.777</v>
      </c>
      <c r="U182" s="185">
        <f>'LCFS Table'!$P182+'LCFS Table'!$AH182</f>
        <v>80.375</v>
      </c>
      <c r="V182" s="185">
        <f>(('LCFS Table'!$S182/'LCFS Table'!$AA182)*'LCFS Table'!$AC182)*6.48</f>
        <v>292.89255319148936</v>
      </c>
      <c r="W182" s="185">
        <f>(('LCFS Table'!$O182/'LCFS Table'!$AA182)*'LCFS Table'!$AD182)*6.48</f>
        <v>121.50000000000001</v>
      </c>
      <c r="X182" s="185">
        <f>(('LCFS Table'!$U182/'LCFS Table'!$AA182)*'LCFS Table'!$AE182)*6.48</f>
        <v>138.51861702127661</v>
      </c>
      <c r="Y182" s="185">
        <f>(('LCFS Table'!$T182/'LCFS Table'!$AB182)*'LCFS Table'!$AF182)*7.35</f>
        <v>624.61792968750001</v>
      </c>
      <c r="Z182" s="185">
        <f>(('LCFS Table'!$R182/'LCFS Table'!$AB182)*'LCFS Table'!$AG182)*7.35</f>
        <v>119.62890625</v>
      </c>
      <c r="AA182" s="138">
        <v>0.94</v>
      </c>
      <c r="AB182" s="138">
        <v>0.96</v>
      </c>
      <c r="AC182" s="138">
        <v>0.5</v>
      </c>
      <c r="AD182" s="138">
        <v>0.25</v>
      </c>
      <c r="AE182" s="138">
        <v>0.25</v>
      </c>
      <c r="AF182" s="138">
        <v>0.75</v>
      </c>
      <c r="AG182" s="138">
        <v>0.25</v>
      </c>
      <c r="AH182" s="139">
        <v>4.375</v>
      </c>
      <c r="AI182" s="139">
        <v>136</v>
      </c>
      <c r="AJ182" s="139">
        <v>110</v>
      </c>
      <c r="AK182" s="186">
        <f>('LCFS Table'!$AI182/340)*100</f>
        <v>40</v>
      </c>
      <c r="AL182" s="186">
        <f>('LCFS Table'!$AJ182/340)*100</f>
        <v>32.352941176470587</v>
      </c>
      <c r="AM182" s="139">
        <v>105</v>
      </c>
      <c r="AN182" s="139">
        <v>90</v>
      </c>
      <c r="AO182" s="139">
        <f>('LCFS Table'!$AM182/300)*100</f>
        <v>35</v>
      </c>
      <c r="AP182" s="139">
        <f>('LCFS Table'!$AN182/300)*100</f>
        <v>30</v>
      </c>
      <c r="AQ182" s="140">
        <f>'[1]LCFS Values'!$B181</f>
        <v>81.650000000000006</v>
      </c>
      <c r="AR182" s="140">
        <f>'[1]RIN Values'!$B181/100</f>
        <v>1.7344999999999999</v>
      </c>
      <c r="AS182" s="185">
        <v>0.70457068952241464</v>
      </c>
      <c r="AT182" s="137">
        <v>0.16</v>
      </c>
      <c r="AU182" s="137">
        <v>1</v>
      </c>
      <c r="AV182" s="185">
        <f>'LCFS Table'!$AR182*1.7</f>
        <v>2.9486499999999998</v>
      </c>
      <c r="AW182" s="137">
        <v>0</v>
      </c>
      <c r="AX182" s="185">
        <v>0.47335855869374993</v>
      </c>
      <c r="AY182" s="137">
        <v>0</v>
      </c>
      <c r="AZ182" s="141">
        <v>1</v>
      </c>
      <c r="BA182" s="185">
        <f>'LCFS Table'!$AR182*1.5</f>
        <v>2.60175</v>
      </c>
      <c r="BB182" s="142">
        <v>1.2</v>
      </c>
      <c r="BC182" s="185">
        <f>'LCFS Table'!$AS182*'LCFS Table'!$BW182</f>
        <v>0.70457068952241464</v>
      </c>
      <c r="BD182" s="185">
        <f>'LCFS Table'!$AT182*'LCFS Table'!$BX182</f>
        <v>0</v>
      </c>
      <c r="BE182" s="185">
        <f>'LCFS Table'!$AU182*'LCFS Table'!$BY182</f>
        <v>1</v>
      </c>
      <c r="BF182" s="137">
        <f>'LCFS Table'!$AV182*'LCFS Table'!$BZ182</f>
        <v>2.9486499999999998</v>
      </c>
      <c r="BG182" s="137">
        <f>'LCFS Table'!$AW182*'LCFS Table'!$CA182</f>
        <v>0</v>
      </c>
      <c r="BH182" s="137">
        <f>'LCFS Table'!$AX182*'LCFS Table'!$CB182</f>
        <v>0.47335855869374993</v>
      </c>
      <c r="BI182" s="137">
        <f>'LCFS Table'!$AY182*'LCFS Table'!$CC182</f>
        <v>0</v>
      </c>
      <c r="BJ182" s="137">
        <f>'LCFS Table'!$AZ182*'LCFS Table'!$CD182</f>
        <v>1</v>
      </c>
      <c r="BK182" s="137">
        <f>'LCFS Table'!$BA182*'LCFS Table'!$CE182</f>
        <v>2.60175</v>
      </c>
      <c r="BL182" s="137">
        <f>'LCFS Table'!$BB182*'LCFS Table'!$CF182</f>
        <v>-1.2</v>
      </c>
      <c r="BM182" s="137">
        <f>'LCFS Table'!$AS182*'LCFS Table'!$CG182</f>
        <v>0</v>
      </c>
      <c r="BN182" s="137">
        <f>'LCFS Table'!$AT182*'LCFS Table'!$CH182</f>
        <v>0.16</v>
      </c>
      <c r="BO182" s="137">
        <f>'LCFS Table'!$AU182*'LCFS Table'!$CI182</f>
        <v>0</v>
      </c>
      <c r="BP182" s="137">
        <f>'LCFS Table'!$AV182*'LCFS Table'!$CJ182</f>
        <v>0</v>
      </c>
      <c r="BQ182" s="137">
        <f>'LCFS Table'!$AW182*'LCFS Table'!$CK182</f>
        <v>0</v>
      </c>
      <c r="BR182" s="137">
        <f>'LCFS Table'!$AX182*'LCFS Table'!$CL182</f>
        <v>0</v>
      </c>
      <c r="BS182" s="137">
        <f>'LCFS Table'!$AY182*'LCFS Table'!$CM182</f>
        <v>0</v>
      </c>
      <c r="BT182" s="137">
        <f>'LCFS Table'!$AZ182*'LCFS Table'!$CN182</f>
        <v>0</v>
      </c>
      <c r="BU182" s="137">
        <f>'LCFS Table'!$BA182*'LCFS Table'!$CO182</f>
        <v>0</v>
      </c>
      <c r="BV182" s="142">
        <f>'LCFS Table'!$BB182*'LCFS Table'!$CP182</f>
        <v>1.2</v>
      </c>
      <c r="BW182" s="138">
        <v>1</v>
      </c>
      <c r="BX182" s="138">
        <v>0</v>
      </c>
      <c r="BY182" s="138">
        <v>1</v>
      </c>
      <c r="BZ182" s="138">
        <v>1</v>
      </c>
      <c r="CA182" s="138">
        <v>-1</v>
      </c>
      <c r="CB182" s="138">
        <v>1</v>
      </c>
      <c r="CC182" s="138">
        <v>0</v>
      </c>
      <c r="CD182" s="138">
        <v>1</v>
      </c>
      <c r="CE182" s="138">
        <v>1</v>
      </c>
      <c r="CF182" s="138">
        <v>-1</v>
      </c>
      <c r="CG182" s="138">
        <f>1-'LCFS Table'!$BW182</f>
        <v>0</v>
      </c>
      <c r="CH182" s="138">
        <f>1-'LCFS Table'!$BX182</f>
        <v>1</v>
      </c>
      <c r="CI182" s="138">
        <f>1-'LCFS Table'!$BY182</f>
        <v>0</v>
      </c>
      <c r="CJ182" s="138">
        <f>1-'LCFS Table'!$BZ182</f>
        <v>0</v>
      </c>
      <c r="CK182" s="138">
        <f>-'LCFS Table'!$CA182</f>
        <v>1</v>
      </c>
      <c r="CL182" s="138">
        <f>1-'LCFS Table'!$CB182</f>
        <v>0</v>
      </c>
      <c r="CM182" s="138">
        <f>1-'LCFS Table'!$CC182</f>
        <v>1</v>
      </c>
      <c r="CN182" s="138">
        <f>1-'LCFS Table'!$CD182</f>
        <v>0</v>
      </c>
      <c r="CO182" s="138">
        <f>1-'LCFS Table'!$CE182</f>
        <v>0</v>
      </c>
      <c r="CP182" s="138">
        <f>-'LCFS Table'!$CF182</f>
        <v>1</v>
      </c>
      <c r="CQ182" s="140">
        <v>18.100000000000001</v>
      </c>
      <c r="CR182" s="165">
        <f>('LCFS Table'!$CQ182*0.9/(0.8/0.99)/100)</f>
        <v>0.20158875000000001</v>
      </c>
      <c r="CS182" s="166"/>
      <c r="CT182" s="167"/>
      <c r="CW182" s="168">
        <f>'LCFS Table'!$K182-'LCFS Table'!$M182</f>
        <v>0.56320855869375031</v>
      </c>
      <c r="CX182" s="129">
        <f>MONTH('LCFS Table'!$B182)</f>
        <v>6</v>
      </c>
      <c r="CY182" s="129">
        <f>YEAR('LCFS Table'!$B182)</f>
        <v>2022</v>
      </c>
    </row>
    <row r="183" spans="1:103">
      <c r="A183" s="148">
        <v>44724</v>
      </c>
      <c r="B183" s="149">
        <v>44730</v>
      </c>
      <c r="C183" s="132">
        <f t="shared" si="3"/>
        <v>2022</v>
      </c>
      <c r="D183" s="182" t="s">
        <v>280</v>
      </c>
      <c r="E183" s="187">
        <f>'LCFS Table'!$K183-'LCFS Table'!$I183</f>
        <v>-1.9013326032540681</v>
      </c>
      <c r="F183" s="187">
        <f>('LCFS Table'!$M183)-'LCFS Table'!$J183</f>
        <v>-3.8238204495406269</v>
      </c>
      <c r="G183" s="188">
        <f>'LCFS Table'!$E183+'LCFS Table'!$AS183+'LCFS Table'!$AT183+'LCFS Table'!$AU183+'LCFS Table'!$AV183</f>
        <v>2.7811002849141029</v>
      </c>
      <c r="H183" s="188">
        <f>'LCFS Table'!$F183+'LCFS Table'!$AX183+'LCFS Table'!$AY183+'LCFS Table'!$AZ183+'LCFS Table'!$BA183+('LCFS Table'!$CQ183*0.9/(0.8/0.99)/100)+(DG183*'LCFS Table'!$AF183)+(DF183*'LCFS Table'!$AG183)</f>
        <v>0.32345507812499807</v>
      </c>
      <c r="I183" s="187">
        <f>('LCFS Table'!$V183+'LCFS Table'!$W183+'LCFS Table'!$X183)/100+(('LCFS Table'!$AI183+'LCFS Table'!$AJ183)/340)</f>
        <v>6.2888326032540682</v>
      </c>
      <c r="J183" s="187">
        <f>(('LCFS Table'!$Y183+'LCFS Table'!$Z183)/100)+(('LCFS Table'!$AM183+'LCFS Table'!$AN183)/300)</f>
        <v>7.8120199218750015</v>
      </c>
      <c r="K183" s="190">
        <f>'[1]Fuel Values'!$C182</f>
        <v>4.3875000000000002</v>
      </c>
      <c r="L183" s="190">
        <f>'[1]Fuel Values'!$B182</f>
        <v>793.5</v>
      </c>
      <c r="M183" s="185">
        <f>('LCFS Table'!$L183/100)-'LCFS Table'!$AX183-'LCFS Table'!$AY183-'LCFS Table'!$AZ183-'LCFS Table'!$BA183</f>
        <v>3.9881994723343746</v>
      </c>
      <c r="N183" s="190">
        <f>[1]BFT!$B182</f>
        <v>81</v>
      </c>
      <c r="O183" s="190">
        <f>[1]UCO!$B182</f>
        <v>71.2</v>
      </c>
      <c r="P183" s="190">
        <f>[1]DCO!$B182</f>
        <v>76.599999999999994</v>
      </c>
      <c r="Q183" s="190">
        <f>'[1]Soybean Oil'!$B182</f>
        <v>99.518000000000001</v>
      </c>
      <c r="R183" s="190">
        <f>'[1]Yellow Grease'!$B182</f>
        <v>62.5</v>
      </c>
      <c r="S183" s="185">
        <f>'LCFS Table'!$N183 + 'LCFS Table'!$AH183</f>
        <v>85.375</v>
      </c>
      <c r="T183" s="185">
        <f>'LCFS Table'!$Q183+'LCFS Table'!$AH183</f>
        <v>103.893</v>
      </c>
      <c r="U183" s="185">
        <f>'LCFS Table'!$P183+'LCFS Table'!$AH183</f>
        <v>80.974999999999994</v>
      </c>
      <c r="V183" s="185">
        <f>(('LCFS Table'!$S183/'LCFS Table'!$AA183)*'LCFS Table'!$AC183)*6.48</f>
        <v>294.27127659574472</v>
      </c>
      <c r="W183" s="185">
        <f>(('LCFS Table'!$O183/'LCFS Table'!$AA183)*'LCFS Table'!$AD183)*6.48</f>
        <v>122.70638297872341</v>
      </c>
      <c r="X183" s="185">
        <f>(('LCFS Table'!$U183/'LCFS Table'!$AA183)*'LCFS Table'!$AE183)*6.48</f>
        <v>139.55265957446809</v>
      </c>
      <c r="Y183" s="185">
        <f>(('LCFS Table'!$T183/'LCFS Table'!$AB183)*'LCFS Table'!$AF183)*7.35</f>
        <v>596.57308593750008</v>
      </c>
      <c r="Z183" s="185">
        <f>(('LCFS Table'!$R183/'LCFS Table'!$AB183)*'LCFS Table'!$AG183)*7.35</f>
        <v>119.62890625</v>
      </c>
      <c r="AA183" s="138">
        <v>0.94</v>
      </c>
      <c r="AB183" s="138">
        <v>0.96</v>
      </c>
      <c r="AC183" s="138">
        <v>0.5</v>
      </c>
      <c r="AD183" s="138">
        <v>0.25</v>
      </c>
      <c r="AE183" s="138">
        <v>0.25</v>
      </c>
      <c r="AF183" s="138">
        <v>0.75</v>
      </c>
      <c r="AG183" s="138">
        <v>0.25</v>
      </c>
      <c r="AH183" s="139">
        <v>4.375</v>
      </c>
      <c r="AI183" s="139">
        <v>136</v>
      </c>
      <c r="AJ183" s="139">
        <v>110</v>
      </c>
      <c r="AK183" s="186">
        <f>('LCFS Table'!$AI183/340)*100</f>
        <v>40</v>
      </c>
      <c r="AL183" s="186">
        <f>('LCFS Table'!$AJ183/340)*100</f>
        <v>32.352941176470587</v>
      </c>
      <c r="AM183" s="139">
        <v>105</v>
      </c>
      <c r="AN183" s="139">
        <v>90</v>
      </c>
      <c r="AO183" s="139">
        <f>('LCFS Table'!$AM183/300)*100</f>
        <v>35</v>
      </c>
      <c r="AP183" s="139">
        <f>('LCFS Table'!$AN183/300)*100</f>
        <v>30</v>
      </c>
      <c r="AQ183" s="140">
        <f>'[1]LCFS Values'!$B182</f>
        <v>84.75</v>
      </c>
      <c r="AR183" s="140">
        <f>'[1]RIN Values'!$B182/100</f>
        <v>1.6215000000000002</v>
      </c>
      <c r="AS183" s="185">
        <v>0.76588288816817041</v>
      </c>
      <c r="AT183" s="137">
        <v>0.16</v>
      </c>
      <c r="AU183" s="137">
        <v>1</v>
      </c>
      <c r="AV183" s="185">
        <f>'LCFS Table'!$AR183*1.7</f>
        <v>2.7565500000000003</v>
      </c>
      <c r="AW183" s="137">
        <v>0</v>
      </c>
      <c r="AX183" s="185">
        <v>0.51455052766562492</v>
      </c>
      <c r="AY183" s="137">
        <v>0</v>
      </c>
      <c r="AZ183" s="141">
        <v>1</v>
      </c>
      <c r="BA183" s="185">
        <f>'LCFS Table'!$AR183*1.5</f>
        <v>2.4322500000000002</v>
      </c>
      <c r="BB183" s="142">
        <v>1.2</v>
      </c>
      <c r="BC183" s="185">
        <f>'LCFS Table'!$AS183*'LCFS Table'!$BW183</f>
        <v>0.76588288816817041</v>
      </c>
      <c r="BD183" s="185">
        <f>'LCFS Table'!$AT183*'LCFS Table'!$BX183</f>
        <v>0</v>
      </c>
      <c r="BE183" s="185">
        <f>'LCFS Table'!$AU183*'LCFS Table'!$BY183</f>
        <v>1</v>
      </c>
      <c r="BF183" s="137">
        <f>'LCFS Table'!$AV183*'LCFS Table'!$BZ183</f>
        <v>2.7565500000000003</v>
      </c>
      <c r="BG183" s="137">
        <f>'LCFS Table'!$AW183*'LCFS Table'!$CA183</f>
        <v>0</v>
      </c>
      <c r="BH183" s="137">
        <f>'LCFS Table'!$AX183*'LCFS Table'!$CB183</f>
        <v>0.51455052766562492</v>
      </c>
      <c r="BI183" s="137">
        <f>'LCFS Table'!$AY183*'LCFS Table'!$CC183</f>
        <v>0</v>
      </c>
      <c r="BJ183" s="137">
        <f>'LCFS Table'!$AZ183*'LCFS Table'!$CD183</f>
        <v>1</v>
      </c>
      <c r="BK183" s="137">
        <f>'LCFS Table'!$BA183*'LCFS Table'!$CE183</f>
        <v>2.4322500000000002</v>
      </c>
      <c r="BL183" s="137">
        <f>'LCFS Table'!$BB183*'LCFS Table'!$CF183</f>
        <v>-1.2</v>
      </c>
      <c r="BM183" s="137">
        <f>'LCFS Table'!$AS183*'LCFS Table'!$CG183</f>
        <v>0</v>
      </c>
      <c r="BN183" s="137">
        <f>'LCFS Table'!$AT183*'LCFS Table'!$CH183</f>
        <v>0.16</v>
      </c>
      <c r="BO183" s="137">
        <f>'LCFS Table'!$AU183*'LCFS Table'!$CI183</f>
        <v>0</v>
      </c>
      <c r="BP183" s="137">
        <f>'LCFS Table'!$AV183*'LCFS Table'!$CJ183</f>
        <v>0</v>
      </c>
      <c r="BQ183" s="137">
        <f>'LCFS Table'!$AW183*'LCFS Table'!$CK183</f>
        <v>0</v>
      </c>
      <c r="BR183" s="137">
        <f>'LCFS Table'!$AX183*'LCFS Table'!$CL183</f>
        <v>0</v>
      </c>
      <c r="BS183" s="137">
        <f>'LCFS Table'!$AY183*'LCFS Table'!$CM183</f>
        <v>0</v>
      </c>
      <c r="BT183" s="137">
        <f>'LCFS Table'!$AZ183*'LCFS Table'!$CN183</f>
        <v>0</v>
      </c>
      <c r="BU183" s="137">
        <f>'LCFS Table'!$BA183*'LCFS Table'!$CO183</f>
        <v>0</v>
      </c>
      <c r="BV183" s="142">
        <f>'LCFS Table'!$BB183*'LCFS Table'!$CP183</f>
        <v>1.2</v>
      </c>
      <c r="BW183" s="138">
        <v>1</v>
      </c>
      <c r="BX183" s="138">
        <v>0</v>
      </c>
      <c r="BY183" s="138">
        <v>1</v>
      </c>
      <c r="BZ183" s="138">
        <v>1</v>
      </c>
      <c r="CA183" s="138">
        <v>-1</v>
      </c>
      <c r="CB183" s="138">
        <v>1</v>
      </c>
      <c r="CC183" s="138">
        <v>0</v>
      </c>
      <c r="CD183" s="138">
        <v>1</v>
      </c>
      <c r="CE183" s="138">
        <v>1</v>
      </c>
      <c r="CF183" s="138">
        <v>-1</v>
      </c>
      <c r="CG183" s="138">
        <f>1-'LCFS Table'!$BW183</f>
        <v>0</v>
      </c>
      <c r="CH183" s="138">
        <f>1-'LCFS Table'!$BX183</f>
        <v>1</v>
      </c>
      <c r="CI183" s="138">
        <f>1-'LCFS Table'!$BY183</f>
        <v>0</v>
      </c>
      <c r="CJ183" s="138">
        <f>1-'LCFS Table'!$BZ183</f>
        <v>0</v>
      </c>
      <c r="CK183" s="138">
        <f>-'LCFS Table'!$CA183</f>
        <v>1</v>
      </c>
      <c r="CL183" s="138">
        <f>1-'LCFS Table'!$CB183</f>
        <v>0</v>
      </c>
      <c r="CM183" s="138">
        <f>1-'LCFS Table'!$CC183</f>
        <v>1</v>
      </c>
      <c r="CN183" s="138">
        <f>1-'LCFS Table'!$CD183</f>
        <v>0</v>
      </c>
      <c r="CO183" s="138">
        <f>1-'LCFS Table'!$CE183</f>
        <v>0</v>
      </c>
      <c r="CP183" s="138">
        <f>-'LCFS Table'!$CF183</f>
        <v>1</v>
      </c>
      <c r="CQ183" s="140">
        <v>18</v>
      </c>
      <c r="CR183" s="165">
        <f>('LCFS Table'!$CQ183*0.9/(0.8/0.99)/100)</f>
        <v>0.20047499999999996</v>
      </c>
      <c r="CS183" s="166"/>
      <c r="CT183" s="167"/>
      <c r="CW183" s="168">
        <f>'LCFS Table'!$K183-'LCFS Table'!$M183</f>
        <v>0.39930052766562563</v>
      </c>
      <c r="CX183" s="129">
        <f>MONTH('LCFS Table'!$B183)</f>
        <v>6</v>
      </c>
      <c r="CY183" s="129">
        <f>YEAR('LCFS Table'!$B183)</f>
        <v>2022</v>
      </c>
    </row>
    <row r="184" spans="1:103">
      <c r="A184" s="148">
        <v>44731</v>
      </c>
      <c r="B184" s="149">
        <v>44737</v>
      </c>
      <c r="C184" s="132">
        <f t="shared" si="3"/>
        <v>2022</v>
      </c>
      <c r="D184" s="150" t="s">
        <v>281</v>
      </c>
      <c r="E184" s="187">
        <f>'LCFS Table'!$K184-'LCFS Table'!$I184</f>
        <v>-1.8947368585732169</v>
      </c>
      <c r="F184" s="187">
        <f>('LCFS Table'!$M184)-'LCFS Table'!$J184</f>
        <v>-3.2649208946199995</v>
      </c>
      <c r="G184" s="188">
        <f>'LCFS Table'!$E184+'LCFS Table'!$AS184+'LCFS Table'!$AT184+'LCFS Table'!$AU184+'LCFS Table'!$AV184</f>
        <v>2.6361803765514731</v>
      </c>
      <c r="H184" s="188">
        <f>'LCFS Table'!$F184+'LCFS Table'!$AX184+'LCFS Table'!$AY184+'LCFS Table'!$AZ184+'LCFS Table'!$BA184+('LCFS Table'!$CQ184*0.9/(0.8/0.99)/100)+(DG184*'LCFS Table'!$AF184)+(DF184*'LCFS Table'!$AG184)</f>
        <v>0.74065761718750034</v>
      </c>
      <c r="I184" s="187">
        <f>('LCFS Table'!$V184+'LCFS Table'!$W184+'LCFS Table'!$X184)/100+(('LCFS Table'!$AI184+'LCFS Table'!$AJ184)/340)</f>
        <v>6.2707368585732173</v>
      </c>
      <c r="J184" s="187">
        <f>(('LCFS Table'!$Y184+'LCFS Table'!$Z184)/100)+(('LCFS Table'!$AM184+'LCFS Table'!$AN184)/300)</f>
        <v>7.4160673828124999</v>
      </c>
      <c r="K184" s="190">
        <f>'[1]Fuel Values'!$C183</f>
        <v>4.3760000000000003</v>
      </c>
      <c r="L184" s="190">
        <f>'[1]Fuel Values'!$B183</f>
        <v>795.625</v>
      </c>
      <c r="M184" s="185">
        <f>('LCFS Table'!$L184/100)-'LCFS Table'!$AX184-'LCFS Table'!$AY184-'LCFS Table'!$AZ184-'LCFS Table'!$BA184</f>
        <v>4.1511464881925004</v>
      </c>
      <c r="N184" s="190">
        <f>[1]BFT!$B183</f>
        <v>81</v>
      </c>
      <c r="O184" s="190">
        <f>[1]UCO!$B183</f>
        <v>74</v>
      </c>
      <c r="P184" s="190">
        <f>[1]DCO!$B183</f>
        <v>72.75</v>
      </c>
      <c r="Q184" s="190">
        <f>'[1]Soybean Oil'!$B183</f>
        <v>92.622500000000002</v>
      </c>
      <c r="R184" s="190">
        <f>'[1]Yellow Grease'!$B183</f>
        <v>62.5</v>
      </c>
      <c r="S184" s="185">
        <f>'LCFS Table'!$N184 + 'LCFS Table'!$AH184</f>
        <v>85.375</v>
      </c>
      <c r="T184" s="185">
        <f>'LCFS Table'!$Q184+'LCFS Table'!$AH184</f>
        <v>96.997500000000002</v>
      </c>
      <c r="U184" s="185">
        <f>'LCFS Table'!$P184+'LCFS Table'!$AH184</f>
        <v>77.125</v>
      </c>
      <c r="V184" s="185">
        <f>(('LCFS Table'!$S184/'LCFS Table'!$AA184)*'LCFS Table'!$AC184)*6.48</f>
        <v>294.27127659574472</v>
      </c>
      <c r="W184" s="185">
        <f>(('LCFS Table'!$O184/'LCFS Table'!$AA184)*'LCFS Table'!$AD184)*6.48</f>
        <v>127.53191489361704</v>
      </c>
      <c r="X184" s="185">
        <f>(('LCFS Table'!$U184/'LCFS Table'!$AA184)*'LCFS Table'!$AE184)*6.48</f>
        <v>132.91755319148939</v>
      </c>
      <c r="Y184" s="185">
        <f>(('LCFS Table'!$T184/'LCFS Table'!$AB184)*'LCFS Table'!$AF184)*7.35</f>
        <v>556.97783203124993</v>
      </c>
      <c r="Z184" s="185">
        <f>(('LCFS Table'!$R184/'LCFS Table'!$AB184)*'LCFS Table'!$AG184)*7.35</f>
        <v>119.62890625</v>
      </c>
      <c r="AA184" s="138">
        <v>0.94</v>
      </c>
      <c r="AB184" s="138">
        <v>0.96</v>
      </c>
      <c r="AC184" s="138">
        <v>0.5</v>
      </c>
      <c r="AD184" s="138">
        <v>0.25</v>
      </c>
      <c r="AE184" s="138">
        <v>0.25</v>
      </c>
      <c r="AF184" s="138">
        <v>0.75</v>
      </c>
      <c r="AG184" s="138">
        <v>0.25</v>
      </c>
      <c r="AH184" s="139">
        <v>4.375</v>
      </c>
      <c r="AI184" s="139">
        <v>136</v>
      </c>
      <c r="AJ184" s="139">
        <v>110</v>
      </c>
      <c r="AK184" s="186">
        <f>('LCFS Table'!$AI184/340)*100</f>
        <v>40</v>
      </c>
      <c r="AL184" s="186">
        <f>('LCFS Table'!$AJ184/340)*100</f>
        <v>32.352941176470587</v>
      </c>
      <c r="AM184" s="139">
        <v>105</v>
      </c>
      <c r="AN184" s="139">
        <v>90</v>
      </c>
      <c r="AO184" s="139">
        <f>('LCFS Table'!$AM184/300)*100</f>
        <v>35</v>
      </c>
      <c r="AP184" s="139">
        <f>('LCFS Table'!$AN184/300)*100</f>
        <v>30</v>
      </c>
      <c r="AQ184" s="140">
        <f>'[1]LCFS Values'!$B183</f>
        <v>92.125</v>
      </c>
      <c r="AR184" s="140">
        <f>'[1]RIN Values'!$B183/100</f>
        <v>1.51</v>
      </c>
      <c r="AS184" s="185">
        <v>0.80391723512469015</v>
      </c>
      <c r="AT184" s="137">
        <v>0.16</v>
      </c>
      <c r="AU184" s="137">
        <v>1</v>
      </c>
      <c r="AV184" s="185">
        <f>'LCFS Table'!$AR184*1.7</f>
        <v>2.5669999999999997</v>
      </c>
      <c r="AW184" s="137">
        <v>0</v>
      </c>
      <c r="AX184" s="185">
        <v>0.54010351180749994</v>
      </c>
      <c r="AY184" s="137">
        <v>0</v>
      </c>
      <c r="AZ184" s="141">
        <v>1</v>
      </c>
      <c r="BA184" s="185">
        <f>'LCFS Table'!$AR184*1.5</f>
        <v>2.2650000000000001</v>
      </c>
      <c r="BB184" s="142">
        <v>1.2</v>
      </c>
      <c r="BC184" s="185">
        <f>'LCFS Table'!$AS184*'LCFS Table'!$BW184</f>
        <v>0.80391723512469015</v>
      </c>
      <c r="BD184" s="185">
        <f>'LCFS Table'!$AT184*'LCFS Table'!$BX184</f>
        <v>0</v>
      </c>
      <c r="BE184" s="185">
        <f>'LCFS Table'!$AU184*'LCFS Table'!$BY184</f>
        <v>1</v>
      </c>
      <c r="BF184" s="137">
        <f>'LCFS Table'!$AV184*'LCFS Table'!$BZ184</f>
        <v>2.5669999999999997</v>
      </c>
      <c r="BG184" s="137">
        <f>'LCFS Table'!$AW184*'LCFS Table'!$CA184</f>
        <v>0</v>
      </c>
      <c r="BH184" s="137">
        <f>'LCFS Table'!$AX184*'LCFS Table'!$CB184</f>
        <v>0.54010351180749994</v>
      </c>
      <c r="BI184" s="137">
        <f>'LCFS Table'!$AY184*'LCFS Table'!$CC184</f>
        <v>0</v>
      </c>
      <c r="BJ184" s="137">
        <f>'LCFS Table'!$AZ184*'LCFS Table'!$CD184</f>
        <v>1</v>
      </c>
      <c r="BK184" s="137">
        <f>'LCFS Table'!$BA184*'LCFS Table'!$CE184</f>
        <v>2.2650000000000001</v>
      </c>
      <c r="BL184" s="137">
        <f>'LCFS Table'!$BB184*'LCFS Table'!$CF184</f>
        <v>-1.2</v>
      </c>
      <c r="BM184" s="137">
        <f>'LCFS Table'!$AS184*'LCFS Table'!$CG184</f>
        <v>0</v>
      </c>
      <c r="BN184" s="137">
        <f>'LCFS Table'!$AT184*'LCFS Table'!$CH184</f>
        <v>0.16</v>
      </c>
      <c r="BO184" s="137">
        <f>'LCFS Table'!$AU184*'LCFS Table'!$CI184</f>
        <v>0</v>
      </c>
      <c r="BP184" s="137">
        <f>'LCFS Table'!$AV184*'LCFS Table'!$CJ184</f>
        <v>0</v>
      </c>
      <c r="BQ184" s="137">
        <f>'LCFS Table'!$AW184*'LCFS Table'!$CK184</f>
        <v>0</v>
      </c>
      <c r="BR184" s="137">
        <f>'LCFS Table'!$AX184*'LCFS Table'!$CL184</f>
        <v>0</v>
      </c>
      <c r="BS184" s="137">
        <f>'LCFS Table'!$AY184*'LCFS Table'!$CM184</f>
        <v>0</v>
      </c>
      <c r="BT184" s="137">
        <f>'LCFS Table'!$AZ184*'LCFS Table'!$CN184</f>
        <v>0</v>
      </c>
      <c r="BU184" s="137">
        <f>'LCFS Table'!$BA184*'LCFS Table'!$CO184</f>
        <v>0</v>
      </c>
      <c r="BV184" s="142">
        <f>'LCFS Table'!$BB184*'LCFS Table'!$CP184</f>
        <v>1.2</v>
      </c>
      <c r="BW184" s="138">
        <v>1</v>
      </c>
      <c r="BX184" s="138">
        <v>0</v>
      </c>
      <c r="BY184" s="138">
        <v>1</v>
      </c>
      <c r="BZ184" s="138">
        <v>1</v>
      </c>
      <c r="CA184" s="138">
        <v>-1</v>
      </c>
      <c r="CB184" s="138">
        <v>1</v>
      </c>
      <c r="CC184" s="138">
        <v>0</v>
      </c>
      <c r="CD184" s="138">
        <v>1</v>
      </c>
      <c r="CE184" s="138">
        <v>1</v>
      </c>
      <c r="CF184" s="138">
        <v>-1</v>
      </c>
      <c r="CG184" s="138">
        <f>1-'LCFS Table'!$BW184</f>
        <v>0</v>
      </c>
      <c r="CH184" s="138">
        <f>1-'LCFS Table'!$BX184</f>
        <v>1</v>
      </c>
      <c r="CI184" s="138">
        <f>1-'LCFS Table'!$BY184</f>
        <v>0</v>
      </c>
      <c r="CJ184" s="138">
        <f>1-'LCFS Table'!$BZ184</f>
        <v>0</v>
      </c>
      <c r="CK184" s="138">
        <f>-'LCFS Table'!$CA184</f>
        <v>1</v>
      </c>
      <c r="CL184" s="138">
        <f>1-'LCFS Table'!$CB184</f>
        <v>0</v>
      </c>
      <c r="CM184" s="138">
        <f>1-'LCFS Table'!$CC184</f>
        <v>1</v>
      </c>
      <c r="CN184" s="138">
        <f>1-'LCFS Table'!$CD184</f>
        <v>0</v>
      </c>
      <c r="CO184" s="138">
        <f>1-'LCFS Table'!$CE184</f>
        <v>0</v>
      </c>
      <c r="CP184" s="138">
        <f>-'LCFS Table'!$CF184</f>
        <v>1</v>
      </c>
      <c r="CQ184" s="140">
        <v>18</v>
      </c>
      <c r="CR184" s="165">
        <f>('LCFS Table'!$CQ184*0.9/(0.8/0.99)/100)</f>
        <v>0.20047499999999996</v>
      </c>
      <c r="CS184" s="166"/>
      <c r="CT184" s="167"/>
      <c r="CW184" s="168">
        <f>'LCFS Table'!$K184-'LCFS Table'!$M184</f>
        <v>0.22485351180749991</v>
      </c>
      <c r="CX184" s="129">
        <f>MONTH('LCFS Table'!$B184)</f>
        <v>6</v>
      </c>
      <c r="CY184" s="129">
        <f>YEAR('LCFS Table'!$B184)</f>
        <v>2022</v>
      </c>
    </row>
    <row r="185" spans="1:103">
      <c r="A185" s="148">
        <v>44738</v>
      </c>
      <c r="B185" s="149">
        <v>44744</v>
      </c>
      <c r="C185" s="132">
        <f t="shared" si="3"/>
        <v>2022</v>
      </c>
      <c r="D185" s="182" t="s">
        <v>282</v>
      </c>
      <c r="E185" s="187">
        <f>'LCFS Table'!$K185-'LCFS Table'!$I185</f>
        <v>-2.1570517521902399</v>
      </c>
      <c r="F185" s="187">
        <f>('LCFS Table'!$M185)-'LCFS Table'!$J185</f>
        <v>-3.2912889310062523</v>
      </c>
      <c r="G185" s="188">
        <f>'LCFS Table'!$E185+'LCFS Table'!$AS185+'LCFS Table'!$AT185+'LCFS Table'!$AU185+'LCFS Table'!$AV185</f>
        <v>2.4669203257854857</v>
      </c>
      <c r="H185" s="188">
        <f>'LCFS Table'!$F185+'LCFS Table'!$AX185+'LCFS Table'!$AY185+'LCFS Table'!$AZ185+'LCFS Table'!$BA185+('LCFS Table'!$CQ185*0.9/(0.8/0.99)/100)+(DG185*'LCFS Table'!$AF185)+(DF185*'LCFS Table'!$AG185)</f>
        <v>0.80418476562499785</v>
      </c>
      <c r="I185" s="187">
        <f>('LCFS Table'!$V185+'LCFS Table'!$W185+'LCFS Table'!$X185)/100+(('LCFS Table'!$AI185+'LCFS Table'!$AJ185)/340)</f>
        <v>6.2276517521902397</v>
      </c>
      <c r="J185" s="187">
        <f>(('LCFS Table'!$Y185+'LCFS Table'!$Z185)/100)+(('LCFS Table'!$AM185+'LCFS Table'!$AN185)/300)</f>
        <v>7.3462902343750018</v>
      </c>
      <c r="K185" s="190">
        <f>'[1]Fuel Values'!$C184</f>
        <v>4.0705999999999998</v>
      </c>
      <c r="L185" s="190">
        <f>'[1]Fuel Values'!$B184</f>
        <v>795</v>
      </c>
      <c r="M185" s="185">
        <f>('LCFS Table'!$L185/100)-'LCFS Table'!$AX185-'LCFS Table'!$AY185-'LCFS Table'!$AZ185-'LCFS Table'!$BA185</f>
        <v>4.0550013033687495</v>
      </c>
      <c r="N185" s="190">
        <f>[1]BFT!$B184</f>
        <v>82</v>
      </c>
      <c r="O185" s="190">
        <f>[1]UCO!$B184</f>
        <v>72.8</v>
      </c>
      <c r="P185" s="190">
        <f>[1]DCO!$B184</f>
        <v>69.45</v>
      </c>
      <c r="Q185" s="190">
        <f>'[1]Soybean Oil'!$B184</f>
        <v>91.674000000000007</v>
      </c>
      <c r="R185" s="190">
        <f>'[1]Yellow Grease'!$B184</f>
        <v>61.7</v>
      </c>
      <c r="S185" s="185">
        <f>'LCFS Table'!$N185 + 'LCFS Table'!$AH185</f>
        <v>86.375</v>
      </c>
      <c r="T185" s="185">
        <f>'LCFS Table'!$Q185+'LCFS Table'!$AH185</f>
        <v>96.049000000000007</v>
      </c>
      <c r="U185" s="185">
        <f>'LCFS Table'!$P185+'LCFS Table'!$AH185</f>
        <v>73.825000000000003</v>
      </c>
      <c r="V185" s="185">
        <f>(('LCFS Table'!$S185/'LCFS Table'!$AA185)*'LCFS Table'!$AC185)*6.48</f>
        <v>297.718085106383</v>
      </c>
      <c r="W185" s="185">
        <f>(('LCFS Table'!$O185/'LCFS Table'!$AA185)*'LCFS Table'!$AD185)*6.48</f>
        <v>125.46382978723406</v>
      </c>
      <c r="X185" s="185">
        <f>(('LCFS Table'!$U185/'LCFS Table'!$AA185)*'LCFS Table'!$AE185)*6.48</f>
        <v>127.23031914893619</v>
      </c>
      <c r="Y185" s="185">
        <f>(('LCFS Table'!$T185/'LCFS Table'!$AB185)*'LCFS Table'!$AF185)*7.35</f>
        <v>551.53136718750011</v>
      </c>
      <c r="Z185" s="185">
        <f>(('LCFS Table'!$R185/'LCFS Table'!$AB185)*'LCFS Table'!$AG185)*7.35</f>
        <v>118.09765625000001</v>
      </c>
      <c r="AA185" s="138">
        <v>0.94</v>
      </c>
      <c r="AB185" s="138">
        <v>0.96</v>
      </c>
      <c r="AC185" s="138">
        <v>0.5</v>
      </c>
      <c r="AD185" s="138">
        <v>0.25</v>
      </c>
      <c r="AE185" s="138">
        <v>0.25</v>
      </c>
      <c r="AF185" s="138">
        <v>0.75</v>
      </c>
      <c r="AG185" s="138">
        <v>0.25</v>
      </c>
      <c r="AH185" s="139">
        <v>4.375</v>
      </c>
      <c r="AI185" s="139">
        <v>136</v>
      </c>
      <c r="AJ185" s="139">
        <v>110</v>
      </c>
      <c r="AK185" s="186">
        <f>('LCFS Table'!$AI185/340)*100</f>
        <v>40</v>
      </c>
      <c r="AL185" s="186">
        <f>('LCFS Table'!$AJ185/340)*100</f>
        <v>32.352941176470587</v>
      </c>
      <c r="AM185" s="139">
        <v>105</v>
      </c>
      <c r="AN185" s="139">
        <v>90</v>
      </c>
      <c r="AO185" s="139">
        <f>('LCFS Table'!$AM185/300)*100</f>
        <v>35</v>
      </c>
      <c r="AP185" s="139">
        <f>('LCFS Table'!$AN185/300)*100</f>
        <v>30</v>
      </c>
      <c r="AQ185" s="140">
        <f>'[1]LCFS Values'!$B184</f>
        <v>96.7</v>
      </c>
      <c r="AR185" s="140">
        <f>'[1]RIN Values'!$B184/100</f>
        <v>1.5865</v>
      </c>
      <c r="AS185" s="185">
        <v>0.76692207797572565</v>
      </c>
      <c r="AT185" s="137">
        <v>0.16</v>
      </c>
      <c r="AU185" s="137">
        <v>1</v>
      </c>
      <c r="AV185" s="185">
        <f>'LCFS Table'!$AR185*1.7</f>
        <v>2.6970499999999999</v>
      </c>
      <c r="AW185" s="137">
        <v>0</v>
      </c>
      <c r="AX185" s="185">
        <v>0.51524869663124995</v>
      </c>
      <c r="AY185" s="137">
        <v>0</v>
      </c>
      <c r="AZ185" s="141">
        <v>1</v>
      </c>
      <c r="BA185" s="185">
        <f>'LCFS Table'!$AR185*1.5</f>
        <v>2.37975</v>
      </c>
      <c r="BB185" s="142">
        <v>1.2</v>
      </c>
      <c r="BC185" s="185">
        <f>'LCFS Table'!$AS185*'LCFS Table'!$BW185</f>
        <v>0.76692207797572565</v>
      </c>
      <c r="BD185" s="185">
        <f>'LCFS Table'!$AT185*'LCFS Table'!$BX185</f>
        <v>0</v>
      </c>
      <c r="BE185" s="185">
        <f>'LCFS Table'!$AU185*'LCFS Table'!$BY185</f>
        <v>1</v>
      </c>
      <c r="BF185" s="137">
        <f>'LCFS Table'!$AV185*'LCFS Table'!$BZ185</f>
        <v>2.6970499999999999</v>
      </c>
      <c r="BG185" s="137">
        <f>'LCFS Table'!$AW185*'LCFS Table'!$CA185</f>
        <v>0</v>
      </c>
      <c r="BH185" s="137">
        <f>'LCFS Table'!$AX185*'LCFS Table'!$CB185</f>
        <v>0.51524869663124995</v>
      </c>
      <c r="BI185" s="137">
        <f>'LCFS Table'!$AY185*'LCFS Table'!$CC185</f>
        <v>0</v>
      </c>
      <c r="BJ185" s="137">
        <f>'LCFS Table'!$AZ185*'LCFS Table'!$CD185</f>
        <v>1</v>
      </c>
      <c r="BK185" s="137">
        <f>'LCFS Table'!$BA185*'LCFS Table'!$CE185</f>
        <v>2.37975</v>
      </c>
      <c r="BL185" s="137">
        <f>'LCFS Table'!$BB185*'LCFS Table'!$CF185</f>
        <v>-1.2</v>
      </c>
      <c r="BM185" s="137">
        <f>'LCFS Table'!$AS185*'LCFS Table'!$CG185</f>
        <v>0</v>
      </c>
      <c r="BN185" s="137">
        <f>'LCFS Table'!$AT185*'LCFS Table'!$CH185</f>
        <v>0.16</v>
      </c>
      <c r="BO185" s="137">
        <f>'LCFS Table'!$AU185*'LCFS Table'!$CI185</f>
        <v>0</v>
      </c>
      <c r="BP185" s="137">
        <f>'LCFS Table'!$AV185*'LCFS Table'!$CJ185</f>
        <v>0</v>
      </c>
      <c r="BQ185" s="137">
        <f>'LCFS Table'!$AW185*'LCFS Table'!$CK185</f>
        <v>0</v>
      </c>
      <c r="BR185" s="137">
        <f>'LCFS Table'!$AX185*'LCFS Table'!$CL185</f>
        <v>0</v>
      </c>
      <c r="BS185" s="137">
        <f>'LCFS Table'!$AY185*'LCFS Table'!$CM185</f>
        <v>0</v>
      </c>
      <c r="BT185" s="137">
        <f>'LCFS Table'!$AZ185*'LCFS Table'!$CN185</f>
        <v>0</v>
      </c>
      <c r="BU185" s="137">
        <f>'LCFS Table'!$BA185*'LCFS Table'!$CO185</f>
        <v>0</v>
      </c>
      <c r="BV185" s="142">
        <f>'LCFS Table'!$BB185*'LCFS Table'!$CP185</f>
        <v>1.2</v>
      </c>
      <c r="BW185" s="138">
        <v>1</v>
      </c>
      <c r="BX185" s="138">
        <v>0</v>
      </c>
      <c r="BY185" s="138">
        <v>1</v>
      </c>
      <c r="BZ185" s="138">
        <v>1</v>
      </c>
      <c r="CA185" s="138">
        <v>-1</v>
      </c>
      <c r="CB185" s="138">
        <v>1</v>
      </c>
      <c r="CC185" s="138">
        <v>0</v>
      </c>
      <c r="CD185" s="138">
        <v>1</v>
      </c>
      <c r="CE185" s="138">
        <v>1</v>
      </c>
      <c r="CF185" s="138">
        <v>-1</v>
      </c>
      <c r="CG185" s="138">
        <f>1-'LCFS Table'!$BW185</f>
        <v>0</v>
      </c>
      <c r="CH185" s="138">
        <f>1-'LCFS Table'!$BX185</f>
        <v>1</v>
      </c>
      <c r="CI185" s="138">
        <f>1-'LCFS Table'!$BY185</f>
        <v>0</v>
      </c>
      <c r="CJ185" s="138">
        <f>1-'LCFS Table'!$BZ185</f>
        <v>0</v>
      </c>
      <c r="CK185" s="138">
        <f>-'LCFS Table'!$CA185</f>
        <v>1</v>
      </c>
      <c r="CL185" s="138">
        <f>1-'LCFS Table'!$CB185</f>
        <v>0</v>
      </c>
      <c r="CM185" s="138">
        <f>1-'LCFS Table'!$CC185</f>
        <v>1</v>
      </c>
      <c r="CN185" s="138">
        <f>1-'LCFS Table'!$CD185</f>
        <v>0</v>
      </c>
      <c r="CO185" s="138">
        <f>1-'LCFS Table'!$CE185</f>
        <v>0</v>
      </c>
      <c r="CP185" s="138">
        <f>-'LCFS Table'!$CF185</f>
        <v>1</v>
      </c>
      <c r="CQ185" s="140">
        <v>18</v>
      </c>
      <c r="CR185" s="165">
        <f>('LCFS Table'!$CQ185*0.9/(0.8/0.99)/100)</f>
        <v>0.20047499999999996</v>
      </c>
      <c r="CS185" s="166"/>
      <c r="CT185" s="167"/>
      <c r="CW185" s="168">
        <f>'LCFS Table'!$K185-'LCFS Table'!$M185</f>
        <v>1.5598696631250242E-2</v>
      </c>
      <c r="CX185" s="129">
        <f>MONTH('LCFS Table'!$B185)</f>
        <v>7</v>
      </c>
      <c r="CY185" s="129">
        <f>YEAR('LCFS Table'!$B185)</f>
        <v>2022</v>
      </c>
    </row>
    <row r="186" spans="1:103">
      <c r="A186" s="148">
        <v>44745</v>
      </c>
      <c r="B186" s="149">
        <v>44751</v>
      </c>
      <c r="C186" s="132">
        <f t="shared" si="3"/>
        <v>2022</v>
      </c>
      <c r="D186" s="150" t="s">
        <v>283</v>
      </c>
      <c r="E186" s="187">
        <f>'LCFS Table'!$K186-'LCFS Table'!$I186</f>
        <v>-2.4425857947434304</v>
      </c>
      <c r="F186" s="187">
        <f>('LCFS Table'!$M186)-'LCFS Table'!$J186</f>
        <v>-2.9096371149412499</v>
      </c>
      <c r="G186" s="188">
        <f>'LCFS Table'!$E186+'LCFS Table'!$AS186+'LCFS Table'!$AT186+'LCFS Table'!$AU186+'LCFS Table'!$AV186</f>
        <v>2.1644196719992221</v>
      </c>
      <c r="H186" s="188">
        <f>'LCFS Table'!$F186+'LCFS Table'!$AX186+'LCFS Table'!$AY186+'LCFS Table'!$AZ186+'LCFS Table'!$BA186+('LCFS Table'!$CQ186*0.9/(0.8/0.99)/100)+(DG186*'LCFS Table'!$AF186)+(DF186*'LCFS Table'!$AG186)</f>
        <v>1.1671908203124999</v>
      </c>
      <c r="I186" s="187">
        <f>('LCFS Table'!$V186+'LCFS Table'!$W186+'LCFS Table'!$X186)/100+(('LCFS Table'!$AI186+'LCFS Table'!$AJ186)/340)</f>
        <v>6.0423857947434305</v>
      </c>
      <c r="J186" s="187">
        <f>(('LCFS Table'!$Y186+'LCFS Table'!$Z186)/100)+(('LCFS Table'!$AM186+'LCFS Table'!$AN186)/300)</f>
        <v>6.7207841796875005</v>
      </c>
      <c r="K186" s="190">
        <f>'[1]Fuel Values'!$C185</f>
        <v>3.5998000000000001</v>
      </c>
      <c r="L186" s="190">
        <f>'[1]Fuel Values'!$B185</f>
        <v>768.75</v>
      </c>
      <c r="M186" s="185">
        <f>('LCFS Table'!$L186/100)-'LCFS Table'!$AX186-'LCFS Table'!$AY186-'LCFS Table'!$AZ186-'LCFS Table'!$BA186</f>
        <v>3.8111470647462506</v>
      </c>
      <c r="N186" s="190">
        <f>[1]BFT!$B185</f>
        <v>79</v>
      </c>
      <c r="O186" s="190">
        <f>[1]UCO!$B185</f>
        <v>72.5</v>
      </c>
      <c r="P186" s="190">
        <f>[1]DCO!$B185</f>
        <v>65</v>
      </c>
      <c r="Q186" s="190">
        <f>'[1]Soybean Oil'!$B185</f>
        <v>81.347499999999997</v>
      </c>
      <c r="R186" s="190">
        <f>'[1]Yellow Grease'!$B185</f>
        <v>60</v>
      </c>
      <c r="S186" s="185">
        <f>'LCFS Table'!$N186 + 'LCFS Table'!$AH186</f>
        <v>83.375</v>
      </c>
      <c r="T186" s="185">
        <f>'LCFS Table'!$Q186+'LCFS Table'!$AH186</f>
        <v>85.722499999999997</v>
      </c>
      <c r="U186" s="185">
        <f>'LCFS Table'!$P186+'LCFS Table'!$AH186</f>
        <v>69.375</v>
      </c>
      <c r="V186" s="185">
        <f>(('LCFS Table'!$S186/'LCFS Table'!$AA186)*'LCFS Table'!$AC186)*6.48</f>
        <v>287.37765957446811</v>
      </c>
      <c r="W186" s="185">
        <f>(('LCFS Table'!$O186/'LCFS Table'!$AA186)*'LCFS Table'!$AD186)*6.48</f>
        <v>124.94680851063831</v>
      </c>
      <c r="X186" s="185">
        <f>(('LCFS Table'!$U186/'LCFS Table'!$AA186)*'LCFS Table'!$AE186)*6.48</f>
        <v>119.56117021276597</v>
      </c>
      <c r="Y186" s="185">
        <f>(('LCFS Table'!$T186/'LCFS Table'!$AB186)*'LCFS Table'!$AF186)*7.35</f>
        <v>492.23466796874999</v>
      </c>
      <c r="Z186" s="185">
        <f>(('LCFS Table'!$R186/'LCFS Table'!$AB186)*'LCFS Table'!$AG186)*7.35</f>
        <v>114.84375</v>
      </c>
      <c r="AA186" s="138">
        <v>0.94</v>
      </c>
      <c r="AB186" s="138">
        <v>0.96</v>
      </c>
      <c r="AC186" s="138">
        <v>0.5</v>
      </c>
      <c r="AD186" s="138">
        <v>0.25</v>
      </c>
      <c r="AE186" s="138">
        <v>0.25</v>
      </c>
      <c r="AF186" s="138">
        <v>0.75</v>
      </c>
      <c r="AG186" s="138">
        <v>0.25</v>
      </c>
      <c r="AH186" s="139">
        <v>4.375</v>
      </c>
      <c r="AI186" s="139">
        <v>136</v>
      </c>
      <c r="AJ186" s="139">
        <v>110</v>
      </c>
      <c r="AK186" s="186">
        <f>('LCFS Table'!$AI186/340)*100</f>
        <v>40</v>
      </c>
      <c r="AL186" s="186">
        <f>('LCFS Table'!$AJ186/340)*100</f>
        <v>32.352941176470587</v>
      </c>
      <c r="AM186" s="139">
        <v>105</v>
      </c>
      <c r="AN186" s="139">
        <v>90</v>
      </c>
      <c r="AO186" s="139">
        <f>('LCFS Table'!$AM186/300)*100</f>
        <v>35</v>
      </c>
      <c r="AP186" s="139">
        <f>('LCFS Table'!$AN186/300)*100</f>
        <v>30</v>
      </c>
      <c r="AQ186" s="140">
        <f>'[1]LCFS Values'!$B185</f>
        <v>92.25</v>
      </c>
      <c r="AR186" s="140">
        <f>'[1]RIN Values'!$B185/100</f>
        <v>1.5662499999999999</v>
      </c>
      <c r="AS186" s="185">
        <v>0.7843804667426526</v>
      </c>
      <c r="AT186" s="137">
        <v>0.16</v>
      </c>
      <c r="AU186" s="137">
        <v>1</v>
      </c>
      <c r="AV186" s="185">
        <f>'LCFS Table'!$AR186*1.7</f>
        <v>2.6626249999999998</v>
      </c>
      <c r="AW186" s="137">
        <v>0</v>
      </c>
      <c r="AX186" s="185">
        <v>0.52697793525374992</v>
      </c>
      <c r="AY186" s="137">
        <v>0</v>
      </c>
      <c r="AZ186" s="141">
        <v>1</v>
      </c>
      <c r="BA186" s="185">
        <f>'LCFS Table'!$AR186*1.5</f>
        <v>2.3493749999999998</v>
      </c>
      <c r="BB186" s="142">
        <v>1.2</v>
      </c>
      <c r="BC186" s="185">
        <f>'LCFS Table'!$AS186*'LCFS Table'!$BW186</f>
        <v>0.7843804667426526</v>
      </c>
      <c r="BD186" s="185">
        <f>'LCFS Table'!$AT186*'LCFS Table'!$BX186</f>
        <v>0</v>
      </c>
      <c r="BE186" s="185">
        <f>'LCFS Table'!$AU186*'LCFS Table'!$BY186</f>
        <v>1</v>
      </c>
      <c r="BF186" s="137">
        <f>'LCFS Table'!$AV186*'LCFS Table'!$BZ186</f>
        <v>2.6626249999999998</v>
      </c>
      <c r="BG186" s="137">
        <f>'LCFS Table'!$AW186*'LCFS Table'!$CA186</f>
        <v>0</v>
      </c>
      <c r="BH186" s="137">
        <f>'LCFS Table'!$AX186*'LCFS Table'!$CB186</f>
        <v>0.52697793525374992</v>
      </c>
      <c r="BI186" s="137">
        <f>'LCFS Table'!$AY186*'LCFS Table'!$CC186</f>
        <v>0</v>
      </c>
      <c r="BJ186" s="137">
        <f>'LCFS Table'!$AZ186*'LCFS Table'!$CD186</f>
        <v>1</v>
      </c>
      <c r="BK186" s="137">
        <f>'LCFS Table'!$BA186*'LCFS Table'!$CE186</f>
        <v>2.3493749999999998</v>
      </c>
      <c r="BL186" s="137">
        <f>'LCFS Table'!$BB186*'LCFS Table'!$CF186</f>
        <v>-1.2</v>
      </c>
      <c r="BM186" s="137">
        <f>'LCFS Table'!$AS186*'LCFS Table'!$CG186</f>
        <v>0</v>
      </c>
      <c r="BN186" s="137">
        <f>'LCFS Table'!$AT186*'LCFS Table'!$CH186</f>
        <v>0.16</v>
      </c>
      <c r="BO186" s="137">
        <f>'LCFS Table'!$AU186*'LCFS Table'!$CI186</f>
        <v>0</v>
      </c>
      <c r="BP186" s="137">
        <f>'LCFS Table'!$AV186*'LCFS Table'!$CJ186</f>
        <v>0</v>
      </c>
      <c r="BQ186" s="137">
        <f>'LCFS Table'!$AW186*'LCFS Table'!$CK186</f>
        <v>0</v>
      </c>
      <c r="BR186" s="137">
        <f>'LCFS Table'!$AX186*'LCFS Table'!$CL186</f>
        <v>0</v>
      </c>
      <c r="BS186" s="137">
        <f>'LCFS Table'!$AY186*'LCFS Table'!$CM186</f>
        <v>0</v>
      </c>
      <c r="BT186" s="137">
        <f>'LCFS Table'!$AZ186*'LCFS Table'!$CN186</f>
        <v>0</v>
      </c>
      <c r="BU186" s="137">
        <f>'LCFS Table'!$BA186*'LCFS Table'!$CO186</f>
        <v>0</v>
      </c>
      <c r="BV186" s="142">
        <f>'LCFS Table'!$BB186*'LCFS Table'!$CP186</f>
        <v>1.2</v>
      </c>
      <c r="BW186" s="138">
        <v>1</v>
      </c>
      <c r="BX186" s="138">
        <v>0</v>
      </c>
      <c r="BY186" s="138">
        <v>1</v>
      </c>
      <c r="BZ186" s="138">
        <v>1</v>
      </c>
      <c r="CA186" s="138">
        <v>-1</v>
      </c>
      <c r="CB186" s="138">
        <v>1</v>
      </c>
      <c r="CC186" s="138">
        <v>0</v>
      </c>
      <c r="CD186" s="138">
        <v>1</v>
      </c>
      <c r="CE186" s="138">
        <v>1</v>
      </c>
      <c r="CF186" s="138">
        <v>-1</v>
      </c>
      <c r="CG186" s="138">
        <f>1-'LCFS Table'!$BW186</f>
        <v>0</v>
      </c>
      <c r="CH186" s="138">
        <f>1-'LCFS Table'!$BX186</f>
        <v>1</v>
      </c>
      <c r="CI186" s="138">
        <f>1-'LCFS Table'!$BY186</f>
        <v>0</v>
      </c>
      <c r="CJ186" s="138">
        <f>1-'LCFS Table'!$BZ186</f>
        <v>0</v>
      </c>
      <c r="CK186" s="138">
        <f>-'LCFS Table'!$CA186</f>
        <v>1</v>
      </c>
      <c r="CL186" s="138">
        <f>1-'LCFS Table'!$CB186</f>
        <v>0</v>
      </c>
      <c r="CM186" s="138">
        <f>1-'LCFS Table'!$CC186</f>
        <v>1</v>
      </c>
      <c r="CN186" s="138">
        <f>1-'LCFS Table'!$CD186</f>
        <v>0</v>
      </c>
      <c r="CO186" s="138">
        <f>1-'LCFS Table'!$CE186</f>
        <v>0</v>
      </c>
      <c r="CP186" s="138">
        <f>-'LCFS Table'!$CF186</f>
        <v>1</v>
      </c>
      <c r="CQ186" s="140">
        <v>18</v>
      </c>
      <c r="CR186" s="165">
        <f>('LCFS Table'!$CQ186*0.9/(0.8/0.99)/100)</f>
        <v>0.20047499999999996</v>
      </c>
      <c r="CS186" s="166"/>
      <c r="CT186" s="167"/>
      <c r="CW186" s="168">
        <f>'LCFS Table'!$K186-'LCFS Table'!$M186</f>
        <v>-0.21134706474625053</v>
      </c>
      <c r="CX186" s="129">
        <f>MONTH('LCFS Table'!$B186)</f>
        <v>7</v>
      </c>
      <c r="CY186" s="129">
        <f>YEAR('LCFS Table'!$B186)</f>
        <v>2022</v>
      </c>
    </row>
    <row r="187" spans="1:103">
      <c r="A187" s="148">
        <v>44752</v>
      </c>
      <c r="B187" s="149">
        <v>44758</v>
      </c>
      <c r="C187" s="132">
        <f t="shared" si="3"/>
        <v>2022</v>
      </c>
      <c r="D187" s="182" t="s">
        <v>284</v>
      </c>
      <c r="E187" s="187">
        <f>'LCFS Table'!$K187-'LCFS Table'!$I187</f>
        <v>-2.245151752190238</v>
      </c>
      <c r="F187" s="187">
        <f>('LCFS Table'!$M187)-'LCFS Table'!$J187</f>
        <v>-2.9215543414387506</v>
      </c>
      <c r="G187" s="188">
        <f>'LCFS Table'!$E187+'LCFS Table'!$AS187+'LCFS Table'!$AT187+'LCFS Table'!$AU187+'LCFS Table'!$AV187</f>
        <v>2.4261033071682379</v>
      </c>
      <c r="H187" s="188">
        <f>'LCFS Table'!$F187+'LCFS Table'!$AX187+'LCFS Table'!$AY187+'LCFS Table'!$AZ187+'LCFS Table'!$BA187+('LCFS Table'!$CQ187*0.9/(0.8/0.99)/100)+(DG187*'LCFS Table'!$AF187)+(DF187*'LCFS Table'!$AG187)</f>
        <v>1.212664453124999</v>
      </c>
      <c r="I187" s="187">
        <f>('LCFS Table'!$V187+'LCFS Table'!$W187+'LCFS Table'!$X187)/100+(('LCFS Table'!$AI187+'LCFS Table'!$AJ187)/340)</f>
        <v>5.9441517521902378</v>
      </c>
      <c r="J187" s="187">
        <f>(('LCFS Table'!$Y187+'LCFS Table'!$Z187)/100)+(('LCFS Table'!$AM187+'LCFS Table'!$AN187)/300)</f>
        <v>6.6478105468750011</v>
      </c>
      <c r="K187" s="190">
        <f>'[1]Fuel Values'!$C186</f>
        <v>3.6989999999999998</v>
      </c>
      <c r="L187" s="190">
        <f>'[1]Fuel Values'!$B186</f>
        <v>766</v>
      </c>
      <c r="M187" s="185">
        <f>('LCFS Table'!$L187/100)-'LCFS Table'!$AX187-'LCFS Table'!$AY187-'LCFS Table'!$AZ187-'LCFS Table'!$BA187</f>
        <v>3.7262562054362505</v>
      </c>
      <c r="N187" s="190">
        <f>[1]BFT!$B186</f>
        <v>77.2</v>
      </c>
      <c r="O187" s="190">
        <f>[1]UCO!$B186</f>
        <v>70.900000000000006</v>
      </c>
      <c r="P187" s="190">
        <f>[1]DCO!$B186</f>
        <v>64.5</v>
      </c>
      <c r="Q187" s="190">
        <f>'[1]Soybean Oil'!$B186</f>
        <v>80.709999999999994</v>
      </c>
      <c r="R187" s="190">
        <f>'[1]Yellow Grease'!$B186</f>
        <v>58.1</v>
      </c>
      <c r="S187" s="185">
        <f>'LCFS Table'!$N187 + 'LCFS Table'!$AH187</f>
        <v>81.575000000000003</v>
      </c>
      <c r="T187" s="185">
        <f>'LCFS Table'!$Q187+'LCFS Table'!$AH187</f>
        <v>85.084999999999994</v>
      </c>
      <c r="U187" s="185">
        <f>'LCFS Table'!$P187+'LCFS Table'!$AH187</f>
        <v>68.875</v>
      </c>
      <c r="V187" s="185">
        <f>(('LCFS Table'!$S187/'LCFS Table'!$AA187)*'LCFS Table'!$AC187)*6.48</f>
        <v>281.17340425531921</v>
      </c>
      <c r="W187" s="185">
        <f>(('LCFS Table'!$O187/'LCFS Table'!$AA187)*'LCFS Table'!$AD187)*6.48</f>
        <v>122.18936170212768</v>
      </c>
      <c r="X187" s="185">
        <f>(('LCFS Table'!$U187/'LCFS Table'!$AA187)*'LCFS Table'!$AE187)*6.48</f>
        <v>118.69946808510639</v>
      </c>
      <c r="Y187" s="185">
        <f>(('LCFS Table'!$T187/'LCFS Table'!$AB187)*'LCFS Table'!$AF187)*7.35</f>
        <v>488.57402343749999</v>
      </c>
      <c r="Z187" s="185">
        <f>(('LCFS Table'!$R187/'LCFS Table'!$AB187)*'LCFS Table'!$AG187)*7.35</f>
        <v>111.20703125</v>
      </c>
      <c r="AA187" s="138">
        <v>0.94</v>
      </c>
      <c r="AB187" s="138">
        <v>0.96</v>
      </c>
      <c r="AC187" s="138">
        <v>0.5</v>
      </c>
      <c r="AD187" s="138">
        <v>0.25</v>
      </c>
      <c r="AE187" s="138">
        <v>0.25</v>
      </c>
      <c r="AF187" s="138">
        <v>0.75</v>
      </c>
      <c r="AG187" s="138">
        <v>0.25</v>
      </c>
      <c r="AH187" s="139">
        <v>4.375</v>
      </c>
      <c r="AI187" s="139">
        <v>136</v>
      </c>
      <c r="AJ187" s="139">
        <v>110</v>
      </c>
      <c r="AK187" s="186">
        <f>('LCFS Table'!$AI187/340)*100</f>
        <v>40</v>
      </c>
      <c r="AL187" s="186">
        <f>('LCFS Table'!$AJ187/340)*100</f>
        <v>32.352941176470587</v>
      </c>
      <c r="AM187" s="139">
        <v>105</v>
      </c>
      <c r="AN187" s="139">
        <v>90</v>
      </c>
      <c r="AO187" s="139">
        <f>('LCFS Table'!$AM187/300)*100</f>
        <v>35</v>
      </c>
      <c r="AP187" s="139">
        <f>('LCFS Table'!$AN187/300)*100</f>
        <v>30</v>
      </c>
      <c r="AQ187" s="140">
        <f>'[1]LCFS Values'!$B186</f>
        <v>94.35</v>
      </c>
      <c r="AR187" s="140">
        <f>'[1]RIN Values'!$B186/100</f>
        <v>1.6059999999999999</v>
      </c>
      <c r="AS187" s="185">
        <v>0.78105505935847608</v>
      </c>
      <c r="AT187" s="137">
        <v>0.16</v>
      </c>
      <c r="AU187" s="137">
        <v>1</v>
      </c>
      <c r="AV187" s="185">
        <f>'LCFS Table'!$AR187*1.7</f>
        <v>2.7301999999999995</v>
      </c>
      <c r="AW187" s="137">
        <v>0</v>
      </c>
      <c r="AX187" s="185">
        <v>0.52474379456374998</v>
      </c>
      <c r="AY187" s="137">
        <v>0</v>
      </c>
      <c r="AZ187" s="141">
        <v>1</v>
      </c>
      <c r="BA187" s="185">
        <f>'LCFS Table'!$AR187*1.5</f>
        <v>2.4089999999999998</v>
      </c>
      <c r="BB187" s="142">
        <v>1.2</v>
      </c>
      <c r="BC187" s="185">
        <f>'LCFS Table'!$AS187*'LCFS Table'!$BW187</f>
        <v>0.78105505935847608</v>
      </c>
      <c r="BD187" s="185">
        <f>'LCFS Table'!$AT187*'LCFS Table'!$BX187</f>
        <v>0</v>
      </c>
      <c r="BE187" s="185">
        <f>'LCFS Table'!$AU187*'LCFS Table'!$BY187</f>
        <v>1</v>
      </c>
      <c r="BF187" s="137">
        <f>'LCFS Table'!$AV187*'LCFS Table'!$BZ187</f>
        <v>2.7301999999999995</v>
      </c>
      <c r="BG187" s="137">
        <f>'LCFS Table'!$AW187*'LCFS Table'!$CA187</f>
        <v>0</v>
      </c>
      <c r="BH187" s="137">
        <f>'LCFS Table'!$AX187*'LCFS Table'!$CB187</f>
        <v>0.52474379456374998</v>
      </c>
      <c r="BI187" s="137">
        <f>'LCFS Table'!$AY187*'LCFS Table'!$CC187</f>
        <v>0</v>
      </c>
      <c r="BJ187" s="137">
        <f>'LCFS Table'!$AZ187*'LCFS Table'!$CD187</f>
        <v>1</v>
      </c>
      <c r="BK187" s="137">
        <f>'LCFS Table'!$BA187*'LCFS Table'!$CE187</f>
        <v>2.4089999999999998</v>
      </c>
      <c r="BL187" s="137">
        <f>'LCFS Table'!$BB187*'LCFS Table'!$CF187</f>
        <v>-1.2</v>
      </c>
      <c r="BM187" s="137">
        <f>'LCFS Table'!$AS187*'LCFS Table'!$CG187</f>
        <v>0</v>
      </c>
      <c r="BN187" s="137">
        <f>'LCFS Table'!$AT187*'LCFS Table'!$CH187</f>
        <v>0.16</v>
      </c>
      <c r="BO187" s="137">
        <f>'LCFS Table'!$AU187*'LCFS Table'!$CI187</f>
        <v>0</v>
      </c>
      <c r="BP187" s="137">
        <f>'LCFS Table'!$AV187*'LCFS Table'!$CJ187</f>
        <v>0</v>
      </c>
      <c r="BQ187" s="137">
        <f>'LCFS Table'!$AW187*'LCFS Table'!$CK187</f>
        <v>0</v>
      </c>
      <c r="BR187" s="137">
        <f>'LCFS Table'!$AX187*'LCFS Table'!$CL187</f>
        <v>0</v>
      </c>
      <c r="BS187" s="137">
        <f>'LCFS Table'!$AY187*'LCFS Table'!$CM187</f>
        <v>0</v>
      </c>
      <c r="BT187" s="137">
        <f>'LCFS Table'!$AZ187*'LCFS Table'!$CN187</f>
        <v>0</v>
      </c>
      <c r="BU187" s="137">
        <f>'LCFS Table'!$BA187*'LCFS Table'!$CO187</f>
        <v>0</v>
      </c>
      <c r="BV187" s="142">
        <f>'LCFS Table'!$BB187*'LCFS Table'!$CP187</f>
        <v>1.2</v>
      </c>
      <c r="BW187" s="138">
        <v>1</v>
      </c>
      <c r="BX187" s="138">
        <v>0</v>
      </c>
      <c r="BY187" s="138">
        <v>1</v>
      </c>
      <c r="BZ187" s="138">
        <v>1</v>
      </c>
      <c r="CA187" s="138">
        <v>-1</v>
      </c>
      <c r="CB187" s="138">
        <v>1</v>
      </c>
      <c r="CC187" s="138">
        <v>0</v>
      </c>
      <c r="CD187" s="138">
        <v>1</v>
      </c>
      <c r="CE187" s="138">
        <v>1</v>
      </c>
      <c r="CF187" s="138">
        <v>-1</v>
      </c>
      <c r="CG187" s="138">
        <f>1-'LCFS Table'!$BW187</f>
        <v>0</v>
      </c>
      <c r="CH187" s="138">
        <f>1-'LCFS Table'!$BX187</f>
        <v>1</v>
      </c>
      <c r="CI187" s="138">
        <f>1-'LCFS Table'!$BY187</f>
        <v>0</v>
      </c>
      <c r="CJ187" s="138">
        <f>1-'LCFS Table'!$BZ187</f>
        <v>0</v>
      </c>
      <c r="CK187" s="138">
        <f>-'LCFS Table'!$CA187</f>
        <v>1</v>
      </c>
      <c r="CL187" s="138">
        <f>1-'LCFS Table'!$CB187</f>
        <v>0</v>
      </c>
      <c r="CM187" s="138">
        <f>1-'LCFS Table'!$CC187</f>
        <v>1</v>
      </c>
      <c r="CN187" s="138">
        <f>1-'LCFS Table'!$CD187</f>
        <v>0</v>
      </c>
      <c r="CO187" s="138">
        <f>1-'LCFS Table'!$CE187</f>
        <v>0</v>
      </c>
      <c r="CP187" s="138">
        <f>-'LCFS Table'!$CF187</f>
        <v>1</v>
      </c>
      <c r="CQ187" s="140">
        <v>18</v>
      </c>
      <c r="CR187" s="165">
        <f>('LCFS Table'!$CQ187*0.9/(0.8/0.99)/100)</f>
        <v>0.20047499999999996</v>
      </c>
      <c r="CS187" s="166"/>
      <c r="CT187" s="167"/>
      <c r="CW187" s="168">
        <f>'LCFS Table'!$K187-'LCFS Table'!$M187</f>
        <v>-2.7256205436250625E-2</v>
      </c>
      <c r="CX187" s="129">
        <f>MONTH('LCFS Table'!$B187)</f>
        <v>7</v>
      </c>
      <c r="CY187" s="129">
        <f>YEAR('LCFS Table'!$B187)</f>
        <v>2022</v>
      </c>
    </row>
    <row r="188" spans="1:103">
      <c r="A188" s="148">
        <v>44759</v>
      </c>
      <c r="B188" s="149">
        <v>44765</v>
      </c>
      <c r="C188" s="132">
        <f t="shared" si="3"/>
        <v>2022</v>
      </c>
      <c r="D188" s="150" t="s">
        <v>285</v>
      </c>
      <c r="E188" s="187">
        <f>'LCFS Table'!$K188-'LCFS Table'!$I188</f>
        <v>-2.3054283479349191</v>
      </c>
      <c r="F188" s="187">
        <f>('LCFS Table'!$M188)-'LCFS Table'!$J188</f>
        <v>-3.0398200441087497</v>
      </c>
      <c r="G188" s="188">
        <f>'LCFS Table'!$E188+'LCFS Table'!$AS188+'LCFS Table'!$AT188+'LCFS Table'!$AU188+'LCFS Table'!$AV188</f>
        <v>2.38674885973432</v>
      </c>
      <c r="H188" s="188">
        <f>'LCFS Table'!$F188+'LCFS Table'!$AX188+'LCFS Table'!$AY188+'LCFS Table'!$AZ188+'LCFS Table'!$BA188+('LCFS Table'!$CQ188*0.9/(0.8/0.99)/100)+(DG188*'LCFS Table'!$AF188)+(DF188*'LCFS Table'!$AG188)</f>
        <v>1.1066222656250002</v>
      </c>
      <c r="I188" s="187">
        <f>('LCFS Table'!$V188+'LCFS Table'!$W188+'LCFS Table'!$X188)/100+(('LCFS Table'!$AI188+'LCFS Table'!$AJ188)/340)</f>
        <v>5.9019283479349189</v>
      </c>
      <c r="J188" s="187">
        <f>(('LCFS Table'!$Y188+'LCFS Table'!$Z188)/100)+(('LCFS Table'!$AM188+'LCFS Table'!$AN188)/300)</f>
        <v>6.6027152343749993</v>
      </c>
      <c r="K188" s="190">
        <f>'[1]Fuel Values'!$C187</f>
        <v>3.5964999999999998</v>
      </c>
      <c r="L188" s="190">
        <f>'[1]Fuel Values'!$B187</f>
        <v>752</v>
      </c>
      <c r="M188" s="185">
        <f>('LCFS Table'!$L188/100)-'LCFS Table'!$AX188-'LCFS Table'!$AY188-'LCFS Table'!$AZ188-'LCFS Table'!$BA188</f>
        <v>3.5628951902662496</v>
      </c>
      <c r="N188" s="190">
        <f>[1]BFT!$B187</f>
        <v>77.599999999999994</v>
      </c>
      <c r="O188" s="190">
        <f>[1]UCO!$B187</f>
        <v>68.650000000000006</v>
      </c>
      <c r="P188" s="190">
        <f>[1]DCO!$B187</f>
        <v>63.5</v>
      </c>
      <c r="Q188" s="190">
        <f>'[1]Soybean Oil'!$B187</f>
        <v>80.507999999999996</v>
      </c>
      <c r="R188" s="190">
        <f>'[1]Yellow Grease'!$B187</f>
        <v>56.35</v>
      </c>
      <c r="S188" s="185">
        <f>'LCFS Table'!$N188 + 'LCFS Table'!$AH188</f>
        <v>81.974999999999994</v>
      </c>
      <c r="T188" s="185">
        <f>'LCFS Table'!$Q188+'LCFS Table'!$AH188</f>
        <v>84.882999999999996</v>
      </c>
      <c r="U188" s="185">
        <f>'LCFS Table'!$P188+'LCFS Table'!$AH188</f>
        <v>67.875</v>
      </c>
      <c r="V188" s="185">
        <f>(('LCFS Table'!$S188/'LCFS Table'!$AA188)*'LCFS Table'!$AC188)*6.48</f>
        <v>282.55212765957447</v>
      </c>
      <c r="W188" s="185">
        <f>(('LCFS Table'!$O188/'LCFS Table'!$AA188)*'LCFS Table'!$AD188)*6.48</f>
        <v>118.31170212765959</v>
      </c>
      <c r="X188" s="185">
        <f>(('LCFS Table'!$U188/'LCFS Table'!$AA188)*'LCFS Table'!$AE188)*6.48</f>
        <v>116.97606382978724</v>
      </c>
      <c r="Y188" s="185">
        <f>(('LCFS Table'!$T188/'LCFS Table'!$AB188)*'LCFS Table'!$AF188)*7.35</f>
        <v>487.41410156249992</v>
      </c>
      <c r="Z188" s="185">
        <f>(('LCFS Table'!$R188/'LCFS Table'!$AB188)*'LCFS Table'!$AG188)*7.35</f>
        <v>107.857421875</v>
      </c>
      <c r="AA188" s="138">
        <v>0.94</v>
      </c>
      <c r="AB188" s="138">
        <v>0.96</v>
      </c>
      <c r="AC188" s="138">
        <v>0.5</v>
      </c>
      <c r="AD188" s="138">
        <v>0.25</v>
      </c>
      <c r="AE188" s="138">
        <v>0.25</v>
      </c>
      <c r="AF188" s="138">
        <v>0.75</v>
      </c>
      <c r="AG188" s="138">
        <v>0.25</v>
      </c>
      <c r="AH188" s="139">
        <v>4.375</v>
      </c>
      <c r="AI188" s="139">
        <v>136</v>
      </c>
      <c r="AJ188" s="139">
        <v>110</v>
      </c>
      <c r="AK188" s="186">
        <f>('LCFS Table'!$AI188/340)*100</f>
        <v>40</v>
      </c>
      <c r="AL188" s="186">
        <f>('LCFS Table'!$AJ188/340)*100</f>
        <v>32.352941176470587</v>
      </c>
      <c r="AM188" s="139">
        <v>105</v>
      </c>
      <c r="AN188" s="139">
        <v>90</v>
      </c>
      <c r="AO188" s="139">
        <f>('LCFS Table'!$AM188/300)*100</f>
        <v>35</v>
      </c>
      <c r="AP188" s="139">
        <f>('LCFS Table'!$AN188/300)*100</f>
        <v>30</v>
      </c>
      <c r="AQ188" s="140">
        <f>'[1]LCFS Values'!$B187</f>
        <v>93.95</v>
      </c>
      <c r="AR188" s="140">
        <f>'[1]RIN Values'!$B187/100</f>
        <v>1.6319999999999999</v>
      </c>
      <c r="AS188" s="185">
        <v>0.75777720766923995</v>
      </c>
      <c r="AT188" s="137">
        <v>0.16</v>
      </c>
      <c r="AU188" s="137">
        <v>1</v>
      </c>
      <c r="AV188" s="185">
        <f>'LCFS Table'!$AR188*1.7</f>
        <v>2.7743999999999995</v>
      </c>
      <c r="AW188" s="137">
        <v>0</v>
      </c>
      <c r="AX188" s="185">
        <v>0.50910480973374994</v>
      </c>
      <c r="AY188" s="137">
        <v>0</v>
      </c>
      <c r="AZ188" s="141">
        <v>1</v>
      </c>
      <c r="BA188" s="185">
        <f>'LCFS Table'!$AR188*1.5</f>
        <v>2.448</v>
      </c>
      <c r="BB188" s="142">
        <v>1.2</v>
      </c>
      <c r="BC188" s="185">
        <f>'LCFS Table'!$AS188*'LCFS Table'!$BW188</f>
        <v>0.75777720766923995</v>
      </c>
      <c r="BD188" s="185">
        <f>'LCFS Table'!$AT188*'LCFS Table'!$BX188</f>
        <v>0</v>
      </c>
      <c r="BE188" s="185">
        <f>'LCFS Table'!$AU188*'LCFS Table'!$BY188</f>
        <v>1</v>
      </c>
      <c r="BF188" s="137">
        <f>'LCFS Table'!$AV188*'LCFS Table'!$BZ188</f>
        <v>2.7743999999999995</v>
      </c>
      <c r="BG188" s="137">
        <f>'LCFS Table'!$AW188*'LCFS Table'!$CA188</f>
        <v>0</v>
      </c>
      <c r="BH188" s="137">
        <f>'LCFS Table'!$AX188*'LCFS Table'!$CB188</f>
        <v>0.50910480973374994</v>
      </c>
      <c r="BI188" s="137">
        <f>'LCFS Table'!$AY188*'LCFS Table'!$CC188</f>
        <v>0</v>
      </c>
      <c r="BJ188" s="137">
        <f>'LCFS Table'!$AZ188*'LCFS Table'!$CD188</f>
        <v>1</v>
      </c>
      <c r="BK188" s="137">
        <f>'LCFS Table'!$BA188*'LCFS Table'!$CE188</f>
        <v>2.448</v>
      </c>
      <c r="BL188" s="137">
        <f>'LCFS Table'!$BB188*'LCFS Table'!$CF188</f>
        <v>-1.2</v>
      </c>
      <c r="BM188" s="137">
        <f>'LCFS Table'!$AS188*'LCFS Table'!$CG188</f>
        <v>0</v>
      </c>
      <c r="BN188" s="137">
        <f>'LCFS Table'!$AT188*'LCFS Table'!$CH188</f>
        <v>0.16</v>
      </c>
      <c r="BO188" s="137">
        <f>'LCFS Table'!$AU188*'LCFS Table'!$CI188</f>
        <v>0</v>
      </c>
      <c r="BP188" s="137">
        <f>'LCFS Table'!$AV188*'LCFS Table'!$CJ188</f>
        <v>0</v>
      </c>
      <c r="BQ188" s="137">
        <f>'LCFS Table'!$AW188*'LCFS Table'!$CK188</f>
        <v>0</v>
      </c>
      <c r="BR188" s="137">
        <f>'LCFS Table'!$AX188*'LCFS Table'!$CL188</f>
        <v>0</v>
      </c>
      <c r="BS188" s="137">
        <f>'LCFS Table'!$AY188*'LCFS Table'!$CM188</f>
        <v>0</v>
      </c>
      <c r="BT188" s="137">
        <f>'LCFS Table'!$AZ188*'LCFS Table'!$CN188</f>
        <v>0</v>
      </c>
      <c r="BU188" s="137">
        <f>'LCFS Table'!$BA188*'LCFS Table'!$CO188</f>
        <v>0</v>
      </c>
      <c r="BV188" s="142">
        <f>'LCFS Table'!$BB188*'LCFS Table'!$CP188</f>
        <v>1.2</v>
      </c>
      <c r="BW188" s="138">
        <v>1</v>
      </c>
      <c r="BX188" s="138">
        <v>0</v>
      </c>
      <c r="BY188" s="138">
        <v>1</v>
      </c>
      <c r="BZ188" s="138">
        <v>1</v>
      </c>
      <c r="CA188" s="138">
        <v>-1</v>
      </c>
      <c r="CB188" s="138">
        <v>1</v>
      </c>
      <c r="CC188" s="138">
        <v>0</v>
      </c>
      <c r="CD188" s="138">
        <v>1</v>
      </c>
      <c r="CE188" s="138">
        <v>1</v>
      </c>
      <c r="CF188" s="138">
        <v>-1</v>
      </c>
      <c r="CG188" s="138">
        <f>1-'LCFS Table'!$BW188</f>
        <v>0</v>
      </c>
      <c r="CH188" s="138">
        <f>1-'LCFS Table'!$BX188</f>
        <v>1</v>
      </c>
      <c r="CI188" s="138">
        <f>1-'LCFS Table'!$BY188</f>
        <v>0</v>
      </c>
      <c r="CJ188" s="138">
        <f>1-'LCFS Table'!$BZ188</f>
        <v>0</v>
      </c>
      <c r="CK188" s="138">
        <f>-'LCFS Table'!$CA188</f>
        <v>1</v>
      </c>
      <c r="CL188" s="138">
        <f>1-'LCFS Table'!$CB188</f>
        <v>0</v>
      </c>
      <c r="CM188" s="138">
        <f>1-'LCFS Table'!$CC188</f>
        <v>1</v>
      </c>
      <c r="CN188" s="138">
        <f>1-'LCFS Table'!$CD188</f>
        <v>0</v>
      </c>
      <c r="CO188" s="138">
        <f>1-'LCFS Table'!$CE188</f>
        <v>0</v>
      </c>
      <c r="CP188" s="138">
        <f>-'LCFS Table'!$CF188</f>
        <v>1</v>
      </c>
      <c r="CQ188" s="140">
        <v>17</v>
      </c>
      <c r="CR188" s="165">
        <f>('LCFS Table'!$CQ188*0.9/(0.8/0.99)/100)</f>
        <v>0.18933749999999999</v>
      </c>
      <c r="CS188" s="166"/>
      <c r="CT188" s="167"/>
      <c r="CW188" s="168">
        <f>'LCFS Table'!$K188-'LCFS Table'!$M188</f>
        <v>3.360480973375024E-2</v>
      </c>
      <c r="CX188" s="129">
        <f>MONTH('LCFS Table'!$B188)</f>
        <v>7</v>
      </c>
      <c r="CY188" s="129">
        <f>YEAR('LCFS Table'!$B188)</f>
        <v>2022</v>
      </c>
    </row>
    <row r="189" spans="1:103">
      <c r="A189" s="148">
        <v>44766</v>
      </c>
      <c r="B189" s="149">
        <v>44772</v>
      </c>
      <c r="C189" s="132">
        <f t="shared" si="3"/>
        <v>2022</v>
      </c>
      <c r="D189" s="182" t="s">
        <v>286</v>
      </c>
      <c r="E189" s="187">
        <f>'LCFS Table'!$K189-'LCFS Table'!$I189</f>
        <v>-2.3738411138923667</v>
      </c>
      <c r="F189" s="187">
        <f>('LCFS Table'!$M189)-'LCFS Table'!$J189</f>
        <v>-3.26047606837</v>
      </c>
      <c r="G189" s="188">
        <f>'LCFS Table'!$E189+'LCFS Table'!$AS189+'LCFS Table'!$AT189+'LCFS Table'!$AU189+'LCFS Table'!$AV189</f>
        <v>2.2809571404768052</v>
      </c>
      <c r="H189" s="188">
        <f>'LCFS Table'!$F189+'LCFS Table'!$AX189+'LCFS Table'!$AY189+'LCFS Table'!$AZ189+'LCFS Table'!$BA189+('LCFS Table'!$CQ189*0.9/(0.8/0.99)/100)+(DG189*'LCFS Table'!$AF189)+(DF189*'LCFS Table'!$AG189)</f>
        <v>0.86514804687500013</v>
      </c>
      <c r="I189" s="187">
        <f>('LCFS Table'!$V189+'LCFS Table'!$W189+'LCFS Table'!$X189)/100+(('LCFS Table'!$AI189+'LCFS Table'!$AJ189)/340)</f>
        <v>6.0096411138923669</v>
      </c>
      <c r="J189" s="187">
        <f>(('LCFS Table'!$Y189+'LCFS Table'!$Z189)/100)+(('LCFS Table'!$AM189+'LCFS Table'!$AN189)/300)</f>
        <v>6.7061894531250008</v>
      </c>
      <c r="K189" s="190">
        <f>'[1]Fuel Values'!$C188</f>
        <v>3.6358000000000001</v>
      </c>
      <c r="L189" s="190">
        <f>'[1]Fuel Values'!$B188</f>
        <v>738.2</v>
      </c>
      <c r="M189" s="185">
        <f>('LCFS Table'!$L189/100)-'LCFS Table'!$AX189-'LCFS Table'!$AY189-'LCFS Table'!$AZ189-'LCFS Table'!$BA189</f>
        <v>3.4457133847550008</v>
      </c>
      <c r="N189" s="190">
        <f>[1]BFT!$B188</f>
        <v>79.400000000000006</v>
      </c>
      <c r="O189" s="190">
        <f>[1]UCO!$B188</f>
        <v>68.5</v>
      </c>
      <c r="P189" s="190">
        <f>[1]DCO!$B188</f>
        <v>66.3</v>
      </c>
      <c r="Q189" s="190">
        <f>'[1]Soybean Oil'!$B188</f>
        <v>82.51</v>
      </c>
      <c r="R189" s="190">
        <f>'[1]Yellow Grease'!$B188</f>
        <v>55.75</v>
      </c>
      <c r="S189" s="185">
        <f>'LCFS Table'!$N189 + 'LCFS Table'!$AH189</f>
        <v>83.775000000000006</v>
      </c>
      <c r="T189" s="185">
        <f>'LCFS Table'!$Q189+'LCFS Table'!$AH189</f>
        <v>86.885000000000005</v>
      </c>
      <c r="U189" s="185">
        <f>'LCFS Table'!$P189+'LCFS Table'!$AH189</f>
        <v>70.674999999999997</v>
      </c>
      <c r="V189" s="185">
        <f>(('LCFS Table'!$S189/'LCFS Table'!$AA189)*'LCFS Table'!$AC189)*6.48</f>
        <v>288.75638297872348</v>
      </c>
      <c r="W189" s="185">
        <f>(('LCFS Table'!$O189/'LCFS Table'!$AA189)*'LCFS Table'!$AD189)*6.48</f>
        <v>118.05319148936171</v>
      </c>
      <c r="X189" s="185">
        <f>(('LCFS Table'!$U189/'LCFS Table'!$AA189)*'LCFS Table'!$AE189)*6.48</f>
        <v>121.80159574468087</v>
      </c>
      <c r="Y189" s="185">
        <f>(('LCFS Table'!$T189/'LCFS Table'!$AB189)*'LCFS Table'!$AF189)*7.35</f>
        <v>498.90996093749999</v>
      </c>
      <c r="Z189" s="185">
        <f>(('LCFS Table'!$R189/'LCFS Table'!$AB189)*'LCFS Table'!$AG189)*7.35</f>
        <v>106.708984375</v>
      </c>
      <c r="AA189" s="138">
        <v>0.94</v>
      </c>
      <c r="AB189" s="138">
        <v>0.96</v>
      </c>
      <c r="AC189" s="138">
        <v>0.5</v>
      </c>
      <c r="AD189" s="138">
        <v>0.25</v>
      </c>
      <c r="AE189" s="138">
        <v>0.25</v>
      </c>
      <c r="AF189" s="138">
        <v>0.75</v>
      </c>
      <c r="AG189" s="138">
        <v>0.25</v>
      </c>
      <c r="AH189" s="139">
        <v>4.375</v>
      </c>
      <c r="AI189" s="139">
        <v>136</v>
      </c>
      <c r="AJ189" s="139">
        <v>110</v>
      </c>
      <c r="AK189" s="186">
        <f>('LCFS Table'!$AI189/340)*100</f>
        <v>40</v>
      </c>
      <c r="AL189" s="186">
        <f>('LCFS Table'!$AJ189/340)*100</f>
        <v>32.352941176470587</v>
      </c>
      <c r="AM189" s="139">
        <v>105</v>
      </c>
      <c r="AN189" s="139">
        <v>90</v>
      </c>
      <c r="AO189" s="139">
        <f>('LCFS Table'!$AM189/300)*100</f>
        <v>35</v>
      </c>
      <c r="AP189" s="139">
        <f>('LCFS Table'!$AN189/300)*100</f>
        <v>30</v>
      </c>
      <c r="AQ189" s="140">
        <f>'[1]LCFS Values'!$B188</f>
        <v>91.15</v>
      </c>
      <c r="AR189" s="140">
        <f>'[1]RIN Values'!$B188/100</f>
        <v>1.6440000000000001</v>
      </c>
      <c r="AS189" s="185">
        <v>0.69999825436917174</v>
      </c>
      <c r="AT189" s="137">
        <v>0.16</v>
      </c>
      <c r="AU189" s="137">
        <v>1</v>
      </c>
      <c r="AV189" s="185">
        <f>'LCFS Table'!$AR189*1.7</f>
        <v>2.7948</v>
      </c>
      <c r="AW189" s="137">
        <v>0</v>
      </c>
      <c r="AX189" s="185">
        <v>0.47028661524499993</v>
      </c>
      <c r="AY189" s="137">
        <v>0</v>
      </c>
      <c r="AZ189" s="141">
        <v>1</v>
      </c>
      <c r="BA189" s="185">
        <f>'LCFS Table'!$AR189*1.5</f>
        <v>2.4660000000000002</v>
      </c>
      <c r="BB189" s="142">
        <v>1.2</v>
      </c>
      <c r="BC189" s="185">
        <f>'LCFS Table'!$AS189*'LCFS Table'!$BW189</f>
        <v>0.69999825436917174</v>
      </c>
      <c r="BD189" s="185">
        <f>'LCFS Table'!$AT189*'LCFS Table'!$BX189</f>
        <v>0</v>
      </c>
      <c r="BE189" s="185">
        <f>'LCFS Table'!$AU189*'LCFS Table'!$BY189</f>
        <v>1</v>
      </c>
      <c r="BF189" s="137">
        <f>'LCFS Table'!$AV189*'LCFS Table'!$BZ189</f>
        <v>2.7948</v>
      </c>
      <c r="BG189" s="137">
        <f>'LCFS Table'!$AW189*'LCFS Table'!$CA189</f>
        <v>0</v>
      </c>
      <c r="BH189" s="137">
        <f>'LCFS Table'!$AX189*'LCFS Table'!$CB189</f>
        <v>0.47028661524499993</v>
      </c>
      <c r="BI189" s="137">
        <f>'LCFS Table'!$AY189*'LCFS Table'!$CC189</f>
        <v>0</v>
      </c>
      <c r="BJ189" s="137">
        <f>'LCFS Table'!$AZ189*'LCFS Table'!$CD189</f>
        <v>1</v>
      </c>
      <c r="BK189" s="137">
        <f>'LCFS Table'!$BA189*'LCFS Table'!$CE189</f>
        <v>2.4660000000000002</v>
      </c>
      <c r="BL189" s="137">
        <f>'LCFS Table'!$BB189*'LCFS Table'!$CF189</f>
        <v>-1.2</v>
      </c>
      <c r="BM189" s="137">
        <f>'LCFS Table'!$AS189*'LCFS Table'!$CG189</f>
        <v>0</v>
      </c>
      <c r="BN189" s="137">
        <f>'LCFS Table'!$AT189*'LCFS Table'!$CH189</f>
        <v>0.16</v>
      </c>
      <c r="BO189" s="137">
        <f>'LCFS Table'!$AU189*'LCFS Table'!$CI189</f>
        <v>0</v>
      </c>
      <c r="BP189" s="137">
        <f>'LCFS Table'!$AV189*'LCFS Table'!$CJ189</f>
        <v>0</v>
      </c>
      <c r="BQ189" s="137">
        <f>'LCFS Table'!$AW189*'LCFS Table'!$CK189</f>
        <v>0</v>
      </c>
      <c r="BR189" s="137">
        <f>'LCFS Table'!$AX189*'LCFS Table'!$CL189</f>
        <v>0</v>
      </c>
      <c r="BS189" s="137">
        <f>'LCFS Table'!$AY189*'LCFS Table'!$CM189</f>
        <v>0</v>
      </c>
      <c r="BT189" s="137">
        <f>'LCFS Table'!$AZ189*'LCFS Table'!$CN189</f>
        <v>0</v>
      </c>
      <c r="BU189" s="137">
        <f>'LCFS Table'!$BA189*'LCFS Table'!$CO189</f>
        <v>0</v>
      </c>
      <c r="BV189" s="142">
        <f>'LCFS Table'!$BB189*'LCFS Table'!$CP189</f>
        <v>1.2</v>
      </c>
      <c r="BW189" s="138">
        <v>1</v>
      </c>
      <c r="BX189" s="138">
        <v>0</v>
      </c>
      <c r="BY189" s="138">
        <v>1</v>
      </c>
      <c r="BZ189" s="138">
        <v>1</v>
      </c>
      <c r="CA189" s="138">
        <v>-1</v>
      </c>
      <c r="CB189" s="138">
        <v>1</v>
      </c>
      <c r="CC189" s="138">
        <v>0</v>
      </c>
      <c r="CD189" s="138">
        <v>1</v>
      </c>
      <c r="CE189" s="138">
        <v>1</v>
      </c>
      <c r="CF189" s="138">
        <v>-1</v>
      </c>
      <c r="CG189" s="138">
        <f>1-'LCFS Table'!$BW189</f>
        <v>0</v>
      </c>
      <c r="CH189" s="138">
        <f>1-'LCFS Table'!$BX189</f>
        <v>1</v>
      </c>
      <c r="CI189" s="138">
        <f>1-'LCFS Table'!$BY189</f>
        <v>0</v>
      </c>
      <c r="CJ189" s="138">
        <f>1-'LCFS Table'!$BZ189</f>
        <v>0</v>
      </c>
      <c r="CK189" s="138">
        <f>-'LCFS Table'!$CA189</f>
        <v>1</v>
      </c>
      <c r="CL189" s="138">
        <f>1-'LCFS Table'!$CB189</f>
        <v>0</v>
      </c>
      <c r="CM189" s="138">
        <f>1-'LCFS Table'!$CC189</f>
        <v>1</v>
      </c>
      <c r="CN189" s="138">
        <f>1-'LCFS Table'!$CD189</f>
        <v>0</v>
      </c>
      <c r="CO189" s="138">
        <f>1-'LCFS Table'!$CE189</f>
        <v>0</v>
      </c>
      <c r="CP189" s="138">
        <f>-'LCFS Table'!$CF189</f>
        <v>1</v>
      </c>
      <c r="CQ189" s="140">
        <v>17</v>
      </c>
      <c r="CR189" s="165">
        <f>('LCFS Table'!$CQ189*0.9/(0.8/0.99)/100)</f>
        <v>0.18933749999999999</v>
      </c>
      <c r="CS189" s="166"/>
      <c r="CT189" s="167"/>
      <c r="CW189" s="168">
        <f>'LCFS Table'!$K189-'LCFS Table'!$M189</f>
        <v>0.19008661524499937</v>
      </c>
      <c r="CX189" s="129">
        <f>MONTH('LCFS Table'!$B189)</f>
        <v>7</v>
      </c>
      <c r="CY189" s="129">
        <f>YEAR('LCFS Table'!$B189)</f>
        <v>2022</v>
      </c>
    </row>
    <row r="190" spans="1:103">
      <c r="A190" s="148">
        <v>44773</v>
      </c>
      <c r="B190" s="149">
        <v>44779</v>
      </c>
      <c r="C190" s="132">
        <f t="shared" si="3"/>
        <v>2022</v>
      </c>
      <c r="D190" s="150" t="s">
        <v>287</v>
      </c>
      <c r="E190" s="187">
        <f>'LCFS Table'!$K190-'LCFS Table'!$I190</f>
        <v>-2.6938538798498124</v>
      </c>
      <c r="F190" s="187">
        <f>('LCFS Table'!$M190)-'LCFS Table'!$J190</f>
        <v>-3.3537536378587505</v>
      </c>
      <c r="G190" s="188">
        <f>'LCFS Table'!$E190+'LCFS Table'!$AS190+'LCFS Table'!$AT190+'LCFS Table'!$AU190+'LCFS Table'!$AV190</f>
        <v>2.1496233278194268</v>
      </c>
      <c r="H190" s="188">
        <f>'LCFS Table'!$F190+'LCFS Table'!$AX190+'LCFS Table'!$AY190+'LCFS Table'!$AZ190+'LCFS Table'!$BA190+('LCFS Table'!$CQ190*0.9/(0.8/0.99)/100)+(DG190*'LCFS Table'!$AF190)+(DF190*'LCFS Table'!$AG190)</f>
        <v>0.91059617187499931</v>
      </c>
      <c r="I190" s="187">
        <f>('LCFS Table'!$V190+'LCFS Table'!$W190+'LCFS Table'!$X190)/100+(('LCFS Table'!$AI190+'LCFS Table'!$AJ190)/340)</f>
        <v>6.0768538798498124</v>
      </c>
      <c r="J190" s="187">
        <f>(('LCFS Table'!$Y190+'LCFS Table'!$Z190)/100)+(('LCFS Table'!$AM190+'LCFS Table'!$AN190)/300)</f>
        <v>6.6331488281250008</v>
      </c>
      <c r="K190" s="190">
        <f>'[1]Fuel Values'!$C189</f>
        <v>3.383</v>
      </c>
      <c r="L190" s="190">
        <f>'[1]Fuel Values'!$B189</f>
        <v>737</v>
      </c>
      <c r="M190" s="185">
        <f>('LCFS Table'!$L190/100)-'LCFS Table'!$AX190-'LCFS Table'!$AY190-'LCFS Table'!$AZ190-'LCFS Table'!$BA190</f>
        <v>3.2793951902662504</v>
      </c>
      <c r="N190" s="190">
        <f>[1]BFT!$B189</f>
        <v>80</v>
      </c>
      <c r="O190" s="190">
        <f>[1]UCO!$B189</f>
        <v>68.3</v>
      </c>
      <c r="P190" s="190">
        <f>[1]DCO!$B189</f>
        <v>69.2</v>
      </c>
      <c r="Q190" s="190">
        <f>'[1]Soybean Oil'!$B189</f>
        <v>81.238</v>
      </c>
      <c r="R190" s="190">
        <f>'[1]Yellow Grease'!$B189</f>
        <v>55.75</v>
      </c>
      <c r="S190" s="185">
        <f>'LCFS Table'!$N190 + 'LCFS Table'!$AH190</f>
        <v>84.375</v>
      </c>
      <c r="T190" s="185">
        <f>'LCFS Table'!$Q190+'LCFS Table'!$AH190</f>
        <v>85.613</v>
      </c>
      <c r="U190" s="185">
        <f>'LCFS Table'!$P190+'LCFS Table'!$AH190</f>
        <v>73.575000000000003</v>
      </c>
      <c r="V190" s="185">
        <f>(('LCFS Table'!$S190/'LCFS Table'!$AA190)*'LCFS Table'!$AC190)*6.48</f>
        <v>290.82446808510645</v>
      </c>
      <c r="W190" s="185">
        <f>(('LCFS Table'!$O190/'LCFS Table'!$AA190)*'LCFS Table'!$AD190)*6.48</f>
        <v>117.70851063829789</v>
      </c>
      <c r="X190" s="185">
        <f>(('LCFS Table'!$U190/'LCFS Table'!$AA190)*'LCFS Table'!$AE190)*6.48</f>
        <v>126.79946808510641</v>
      </c>
      <c r="Y190" s="185">
        <f>(('LCFS Table'!$T190/'LCFS Table'!$AB190)*'LCFS Table'!$AF190)*7.35</f>
        <v>491.60589843750006</v>
      </c>
      <c r="Z190" s="185">
        <f>(('LCFS Table'!$R190/'LCFS Table'!$AB190)*'LCFS Table'!$AG190)*7.35</f>
        <v>106.708984375</v>
      </c>
      <c r="AA190" s="138">
        <v>0.94</v>
      </c>
      <c r="AB190" s="138">
        <v>0.96</v>
      </c>
      <c r="AC190" s="138">
        <v>0.5</v>
      </c>
      <c r="AD190" s="138">
        <v>0.25</v>
      </c>
      <c r="AE190" s="138">
        <v>0.25</v>
      </c>
      <c r="AF190" s="138">
        <v>0.75</v>
      </c>
      <c r="AG190" s="138">
        <v>0.25</v>
      </c>
      <c r="AH190" s="139">
        <v>4.375</v>
      </c>
      <c r="AI190" s="139">
        <v>136</v>
      </c>
      <c r="AJ190" s="139">
        <v>110</v>
      </c>
      <c r="AK190" s="186">
        <f>('LCFS Table'!$AI190/340)*100</f>
        <v>40</v>
      </c>
      <c r="AL190" s="186">
        <f>('LCFS Table'!$AJ190/340)*100</f>
        <v>32.352941176470587</v>
      </c>
      <c r="AM190" s="139">
        <v>105</v>
      </c>
      <c r="AN190" s="139">
        <v>90</v>
      </c>
      <c r="AO190" s="139">
        <f>('LCFS Table'!$AM190/300)*100</f>
        <v>35</v>
      </c>
      <c r="AP190" s="139">
        <f>('LCFS Table'!$AN190/300)*100</f>
        <v>30</v>
      </c>
      <c r="AQ190" s="140">
        <f>'[1]LCFS Values'!$B189</f>
        <v>84.2</v>
      </c>
      <c r="AR190" s="140">
        <f>'[1]RIN Values'!$B189/100</f>
        <v>1.7209999999999999</v>
      </c>
      <c r="AS190" s="185">
        <v>0.75777720766923995</v>
      </c>
      <c r="AT190" s="137">
        <v>0.16</v>
      </c>
      <c r="AU190" s="137">
        <v>1</v>
      </c>
      <c r="AV190" s="185">
        <f>'LCFS Table'!$AR190*1.7</f>
        <v>2.9256999999999995</v>
      </c>
      <c r="AW190" s="137">
        <v>0</v>
      </c>
      <c r="AX190" s="185">
        <v>0.50910480973374994</v>
      </c>
      <c r="AY190" s="137">
        <v>0</v>
      </c>
      <c r="AZ190" s="141">
        <v>1</v>
      </c>
      <c r="BA190" s="185">
        <f>'LCFS Table'!$AR190*1.5</f>
        <v>2.5814999999999997</v>
      </c>
      <c r="BB190" s="142">
        <v>1.2</v>
      </c>
      <c r="BC190" s="185">
        <f>'LCFS Table'!$AS190*'LCFS Table'!$BW190</f>
        <v>0.75777720766923995</v>
      </c>
      <c r="BD190" s="185">
        <f>'LCFS Table'!$AT190*'LCFS Table'!$BX190</f>
        <v>0</v>
      </c>
      <c r="BE190" s="185">
        <f>'LCFS Table'!$AU190*'LCFS Table'!$BY190</f>
        <v>1</v>
      </c>
      <c r="BF190" s="137">
        <f>'LCFS Table'!$AV190*'LCFS Table'!$BZ190</f>
        <v>2.9256999999999995</v>
      </c>
      <c r="BG190" s="137">
        <f>'LCFS Table'!$AW190*'LCFS Table'!$CA190</f>
        <v>0</v>
      </c>
      <c r="BH190" s="137">
        <f>'LCFS Table'!$AX190*'LCFS Table'!$CB190</f>
        <v>0.50910480973374994</v>
      </c>
      <c r="BI190" s="137">
        <f>'LCFS Table'!$AY190*'LCFS Table'!$CC190</f>
        <v>0</v>
      </c>
      <c r="BJ190" s="137">
        <f>'LCFS Table'!$AZ190*'LCFS Table'!$CD190</f>
        <v>1</v>
      </c>
      <c r="BK190" s="137">
        <f>'LCFS Table'!$BA190*'LCFS Table'!$CE190</f>
        <v>2.5814999999999997</v>
      </c>
      <c r="BL190" s="137">
        <f>'LCFS Table'!$BB190*'LCFS Table'!$CF190</f>
        <v>-1.2</v>
      </c>
      <c r="BM190" s="137">
        <f>'LCFS Table'!$AS190*'LCFS Table'!$CG190</f>
        <v>0</v>
      </c>
      <c r="BN190" s="137">
        <f>'LCFS Table'!$AT190*'LCFS Table'!$CH190</f>
        <v>0.16</v>
      </c>
      <c r="BO190" s="137">
        <f>'LCFS Table'!$AU190*'LCFS Table'!$CI190</f>
        <v>0</v>
      </c>
      <c r="BP190" s="137">
        <f>'LCFS Table'!$AV190*'LCFS Table'!$CJ190</f>
        <v>0</v>
      </c>
      <c r="BQ190" s="137">
        <f>'LCFS Table'!$AW190*'LCFS Table'!$CK190</f>
        <v>0</v>
      </c>
      <c r="BR190" s="137">
        <f>'LCFS Table'!$AX190*'LCFS Table'!$CL190</f>
        <v>0</v>
      </c>
      <c r="BS190" s="137">
        <f>'LCFS Table'!$AY190*'LCFS Table'!$CM190</f>
        <v>0</v>
      </c>
      <c r="BT190" s="137">
        <f>'LCFS Table'!$AZ190*'LCFS Table'!$CN190</f>
        <v>0</v>
      </c>
      <c r="BU190" s="137">
        <f>'LCFS Table'!$BA190*'LCFS Table'!$CO190</f>
        <v>0</v>
      </c>
      <c r="BV190" s="142">
        <f>'LCFS Table'!$BB190*'LCFS Table'!$CP190</f>
        <v>1.2</v>
      </c>
      <c r="BW190" s="138">
        <v>1</v>
      </c>
      <c r="BX190" s="138">
        <v>0</v>
      </c>
      <c r="BY190" s="138">
        <v>1</v>
      </c>
      <c r="BZ190" s="138">
        <v>1</v>
      </c>
      <c r="CA190" s="138">
        <v>-1</v>
      </c>
      <c r="CB190" s="138">
        <v>1</v>
      </c>
      <c r="CC190" s="138">
        <v>0</v>
      </c>
      <c r="CD190" s="138">
        <v>1</v>
      </c>
      <c r="CE190" s="138">
        <v>1</v>
      </c>
      <c r="CF190" s="138">
        <v>-1</v>
      </c>
      <c r="CG190" s="138">
        <f>1-'LCFS Table'!$BW190</f>
        <v>0</v>
      </c>
      <c r="CH190" s="138">
        <f>1-'LCFS Table'!$BX190</f>
        <v>1</v>
      </c>
      <c r="CI190" s="138">
        <f>1-'LCFS Table'!$BY190</f>
        <v>0</v>
      </c>
      <c r="CJ190" s="138">
        <f>1-'LCFS Table'!$BZ190</f>
        <v>0</v>
      </c>
      <c r="CK190" s="138">
        <f>-'LCFS Table'!$CA190</f>
        <v>1</v>
      </c>
      <c r="CL190" s="138">
        <f>1-'LCFS Table'!$CB190</f>
        <v>0</v>
      </c>
      <c r="CM190" s="138">
        <f>1-'LCFS Table'!$CC190</f>
        <v>1</v>
      </c>
      <c r="CN190" s="138">
        <f>1-'LCFS Table'!$CD190</f>
        <v>0</v>
      </c>
      <c r="CO190" s="138">
        <f>1-'LCFS Table'!$CE190</f>
        <v>0</v>
      </c>
      <c r="CP190" s="138">
        <f>-'LCFS Table'!$CF190</f>
        <v>1</v>
      </c>
      <c r="CQ190" s="140">
        <v>15.6</v>
      </c>
      <c r="CR190" s="165">
        <f>('LCFS Table'!$CQ190*0.9/(0.8/0.99)/100)</f>
        <v>0.17374499999999998</v>
      </c>
      <c r="CS190" s="166"/>
      <c r="CT190" s="167"/>
      <c r="CW190" s="168">
        <f>'LCFS Table'!$K190-'LCFS Table'!$M190</f>
        <v>0.10360480973374964</v>
      </c>
      <c r="CX190" s="129">
        <f>MONTH('LCFS Table'!$B190)</f>
        <v>8</v>
      </c>
      <c r="CY190" s="129">
        <f>YEAR('LCFS Table'!$B190)</f>
        <v>2022</v>
      </c>
    </row>
    <row r="191" spans="1:103">
      <c r="A191" s="148">
        <v>44780</v>
      </c>
      <c r="B191" s="149">
        <v>44786</v>
      </c>
      <c r="C191" s="132">
        <f>YEAR(B191)</f>
        <v>2022</v>
      </c>
      <c r="D191" s="182" t="s">
        <v>288</v>
      </c>
      <c r="E191" s="187">
        <f>'LCFS Table'!$K191-'LCFS Table'!$I191</f>
        <v>-2.6991879224030049</v>
      </c>
      <c r="F191" s="187">
        <f>('LCFS Table'!$M191)-'LCFS Table'!$J191</f>
        <v>-3.6880855809174999</v>
      </c>
      <c r="G191" s="188">
        <f>'LCFS Table'!$E191+'LCFS Table'!$AS191+'LCFS Table'!$AT191+'LCFS Table'!$AU191+'LCFS Table'!$AV191</f>
        <v>2.2445092761144183</v>
      </c>
      <c r="H191" s="188">
        <f>'LCFS Table'!$F191+'LCFS Table'!$AX191+'LCFS Table'!$AY191+'LCFS Table'!$AZ191+'LCFS Table'!$BA191+('LCFS Table'!$CQ191*0.9/(0.8/0.99)/100)+(DG191*'LCFS Table'!$AF191)+(DF191*'LCFS Table'!$AG191)</f>
        <v>0.66403320312500047</v>
      </c>
      <c r="I191" s="187">
        <f>('LCFS Table'!$V191+'LCFS Table'!$W191+'LCFS Table'!$X191)/100+(('LCFS Table'!$AI191+'LCFS Table'!$AJ191)/340)</f>
        <v>6.0940879224030047</v>
      </c>
      <c r="J191" s="187">
        <f>(('LCFS Table'!$Y191+'LCFS Table'!$Z191)/100)+(('LCFS Table'!$AM191+'LCFS Table'!$AN191)/300)</f>
        <v>6.875813671875</v>
      </c>
      <c r="K191" s="190">
        <f>'[1]Fuel Values'!$C190</f>
        <v>3.3948999999999998</v>
      </c>
      <c r="L191" s="190">
        <f>'[1]Fuel Values'!$B190</f>
        <v>737</v>
      </c>
      <c r="M191" s="185">
        <f>('LCFS Table'!$L191/100)-'LCFS Table'!$AX191-'LCFS Table'!$AY191-'LCFS Table'!$AZ191-'LCFS Table'!$BA191</f>
        <v>3.1877280909575001</v>
      </c>
      <c r="N191" s="190">
        <f>[1]BFT!$B190</f>
        <v>80</v>
      </c>
      <c r="O191" s="190">
        <f>[1]UCO!$B190</f>
        <v>67.5</v>
      </c>
      <c r="P191" s="190">
        <f>[1]DCO!$B190</f>
        <v>71</v>
      </c>
      <c r="Q191" s="190">
        <f>'[1]Soybean Oil'!$B190</f>
        <v>85.463999999999999</v>
      </c>
      <c r="R191" s="190">
        <f>'[1]Yellow Grease'!$B190</f>
        <v>55.75</v>
      </c>
      <c r="S191" s="185">
        <f>'LCFS Table'!$N191 + 'LCFS Table'!$AH191</f>
        <v>84.375</v>
      </c>
      <c r="T191" s="185">
        <f>'LCFS Table'!$Q191+'LCFS Table'!$AH191</f>
        <v>89.838999999999999</v>
      </c>
      <c r="U191" s="185">
        <f>'LCFS Table'!$P191+'LCFS Table'!$AH191</f>
        <v>75.375</v>
      </c>
      <c r="V191" s="185">
        <f>(('LCFS Table'!$S191/'LCFS Table'!$AA191)*'LCFS Table'!$AC191)*6.48</f>
        <v>290.82446808510645</v>
      </c>
      <c r="W191" s="185">
        <f>(('LCFS Table'!$O191/'LCFS Table'!$AA191)*'LCFS Table'!$AD191)*6.48</f>
        <v>116.32978723404257</v>
      </c>
      <c r="X191" s="185">
        <f>(('LCFS Table'!$U191/'LCFS Table'!$AA191)*'LCFS Table'!$AE191)*6.48</f>
        <v>129.90159574468086</v>
      </c>
      <c r="Y191" s="185">
        <f>(('LCFS Table'!$T191/'LCFS Table'!$AB191)*'LCFS Table'!$AF191)*7.35</f>
        <v>515.87238281249995</v>
      </c>
      <c r="Z191" s="185">
        <f>(('LCFS Table'!$R191/'LCFS Table'!$AB191)*'LCFS Table'!$AG191)*7.35</f>
        <v>106.708984375</v>
      </c>
      <c r="AA191" s="138">
        <v>0.94</v>
      </c>
      <c r="AB191" s="138">
        <v>0.96</v>
      </c>
      <c r="AC191" s="138">
        <v>0.5</v>
      </c>
      <c r="AD191" s="138">
        <v>0.25</v>
      </c>
      <c r="AE191" s="138">
        <v>0.25</v>
      </c>
      <c r="AF191" s="138">
        <v>0.75</v>
      </c>
      <c r="AG191" s="138">
        <v>0.25</v>
      </c>
      <c r="AH191" s="139">
        <v>4.375</v>
      </c>
      <c r="AI191" s="139">
        <v>136</v>
      </c>
      <c r="AJ191" s="139">
        <v>110</v>
      </c>
      <c r="AK191" s="186">
        <f>('LCFS Table'!$AI191/340)*100</f>
        <v>40</v>
      </c>
      <c r="AL191" s="186">
        <f>('LCFS Table'!$AJ191/340)*100</f>
        <v>32.352941176470587</v>
      </c>
      <c r="AM191" s="139">
        <v>105</v>
      </c>
      <c r="AN191" s="139">
        <v>90</v>
      </c>
      <c r="AO191" s="139">
        <f>('LCFS Table'!$AM191/300)*100</f>
        <v>35</v>
      </c>
      <c r="AP191" s="139">
        <f>('LCFS Table'!$AN191/300)*100</f>
        <v>30</v>
      </c>
      <c r="AQ191" s="140">
        <f>'[1]LCFS Values'!$B190</f>
        <v>91.15</v>
      </c>
      <c r="AR191" s="140">
        <f>'[1]RIN Values'!$B190/100</f>
        <v>1.7890000000000001</v>
      </c>
      <c r="AS191" s="185">
        <v>0.74239719851742325</v>
      </c>
      <c r="AT191" s="137">
        <v>0.16</v>
      </c>
      <c r="AU191" s="137">
        <v>1</v>
      </c>
      <c r="AV191" s="185">
        <f>'LCFS Table'!$AR191*1.7</f>
        <v>3.0413000000000001</v>
      </c>
      <c r="AW191" s="137">
        <v>0</v>
      </c>
      <c r="AX191" s="185">
        <v>0.49877190904249996</v>
      </c>
      <c r="AY191" s="137">
        <v>0</v>
      </c>
      <c r="AZ191" s="141">
        <v>1</v>
      </c>
      <c r="BA191" s="185">
        <f>'LCFS Table'!$AR191*1.5</f>
        <v>2.6835000000000004</v>
      </c>
      <c r="BB191" s="142">
        <v>1.2</v>
      </c>
      <c r="BC191" s="185">
        <f>'LCFS Table'!$AS191*'LCFS Table'!$BW191</f>
        <v>0.74239719851742325</v>
      </c>
      <c r="BD191" s="185">
        <f>'LCFS Table'!$AT191*'LCFS Table'!$BX191</f>
        <v>0</v>
      </c>
      <c r="BE191" s="185">
        <f>'LCFS Table'!$AU191*'LCFS Table'!$BY191</f>
        <v>1</v>
      </c>
      <c r="BF191" s="137">
        <f>'LCFS Table'!$AV191*'LCFS Table'!$BZ191</f>
        <v>3.0413000000000001</v>
      </c>
      <c r="BG191" s="137">
        <f>'LCFS Table'!$AW191*'LCFS Table'!$CA191</f>
        <v>0</v>
      </c>
      <c r="BH191" s="137">
        <f>'LCFS Table'!$AX191*'LCFS Table'!$CB191</f>
        <v>0.49877190904249996</v>
      </c>
      <c r="BI191" s="137">
        <f>'LCFS Table'!$AY191*'LCFS Table'!$CC191</f>
        <v>0</v>
      </c>
      <c r="BJ191" s="137">
        <f>'LCFS Table'!$AZ191*'LCFS Table'!$CD191</f>
        <v>1</v>
      </c>
      <c r="BK191" s="137">
        <f>'LCFS Table'!$BA191*'LCFS Table'!$CE191</f>
        <v>2.6835000000000004</v>
      </c>
      <c r="BL191" s="137">
        <f>'LCFS Table'!$BB191*'LCFS Table'!$CF191</f>
        <v>-1.2</v>
      </c>
      <c r="BM191" s="137">
        <f>'LCFS Table'!$AS191*'LCFS Table'!$CG191</f>
        <v>0</v>
      </c>
      <c r="BN191" s="137">
        <f>'LCFS Table'!$AT191*'LCFS Table'!$CH191</f>
        <v>0.16</v>
      </c>
      <c r="BO191" s="137">
        <f>'LCFS Table'!$AU191*'LCFS Table'!$CI191</f>
        <v>0</v>
      </c>
      <c r="BP191" s="137">
        <f>'LCFS Table'!$AV191*'LCFS Table'!$CJ191</f>
        <v>0</v>
      </c>
      <c r="BQ191" s="137">
        <f>'LCFS Table'!$AW191*'LCFS Table'!$CK191</f>
        <v>0</v>
      </c>
      <c r="BR191" s="137">
        <f>'LCFS Table'!$AX191*'LCFS Table'!$CL191</f>
        <v>0</v>
      </c>
      <c r="BS191" s="137">
        <f>'LCFS Table'!$AY191*'LCFS Table'!$CM191</f>
        <v>0</v>
      </c>
      <c r="BT191" s="137">
        <f>'LCFS Table'!$AZ191*'LCFS Table'!$CN191</f>
        <v>0</v>
      </c>
      <c r="BU191" s="137">
        <f>'LCFS Table'!$BA191*'LCFS Table'!$CO191</f>
        <v>0</v>
      </c>
      <c r="BV191" s="142">
        <f>'LCFS Table'!$BB191*'LCFS Table'!$CP191</f>
        <v>1.2</v>
      </c>
      <c r="BW191" s="138">
        <v>1</v>
      </c>
      <c r="BX191" s="138">
        <v>0</v>
      </c>
      <c r="BY191" s="138">
        <v>1</v>
      </c>
      <c r="BZ191" s="138">
        <v>1</v>
      </c>
      <c r="CA191" s="138">
        <v>-1</v>
      </c>
      <c r="CB191" s="138">
        <v>1</v>
      </c>
      <c r="CC191" s="138">
        <v>0</v>
      </c>
      <c r="CD191" s="138">
        <v>1</v>
      </c>
      <c r="CE191" s="138">
        <v>1</v>
      </c>
      <c r="CF191" s="138">
        <v>-1</v>
      </c>
      <c r="CG191" s="138">
        <f>1-'LCFS Table'!$BW191</f>
        <v>0</v>
      </c>
      <c r="CH191" s="138">
        <f>1-'LCFS Table'!$BX191</f>
        <v>1</v>
      </c>
      <c r="CI191" s="138">
        <f>1-'LCFS Table'!$BY191</f>
        <v>0</v>
      </c>
      <c r="CJ191" s="138">
        <f>1-'LCFS Table'!$BZ191</f>
        <v>0</v>
      </c>
      <c r="CK191" s="138">
        <f>-'LCFS Table'!$CA191</f>
        <v>1</v>
      </c>
      <c r="CL191" s="138">
        <f>1-'LCFS Table'!$CB191</f>
        <v>0</v>
      </c>
      <c r="CM191" s="138">
        <f>1-'LCFS Table'!$CC191</f>
        <v>1</v>
      </c>
      <c r="CN191" s="138">
        <f>1-'LCFS Table'!$CD191</f>
        <v>0</v>
      </c>
      <c r="CO191" s="138">
        <f>1-'LCFS Table'!$CE191</f>
        <v>0</v>
      </c>
      <c r="CP191" s="138">
        <f>-'LCFS Table'!$CF191</f>
        <v>1</v>
      </c>
      <c r="CQ191" s="140">
        <v>15.25</v>
      </c>
      <c r="CR191" s="165">
        <f>('LCFS Table'!$CQ191*0.9/(0.8/0.99)/100)</f>
        <v>0.16984687499999995</v>
      </c>
      <c r="CS191" s="166"/>
      <c r="CT191" s="167"/>
      <c r="CW191" s="168">
        <f>'LCFS Table'!$K191-'LCFS Table'!$M191</f>
        <v>0.20717190904249971</v>
      </c>
      <c r="CX191" s="129">
        <f>MONTH('LCFS Table'!$B191)</f>
        <v>8</v>
      </c>
      <c r="CY191" s="129">
        <f>YEAR('LCFS Table'!$B191)</f>
        <v>2022</v>
      </c>
    </row>
    <row r="192" spans="1:103">
      <c r="A192" s="148">
        <v>44787</v>
      </c>
      <c r="B192" s="149">
        <v>44793</v>
      </c>
      <c r="C192" s="132">
        <f>YEAR(B192)</f>
        <v>2022</v>
      </c>
      <c r="D192" s="150" t="s">
        <v>289</v>
      </c>
      <c r="E192" s="187">
        <f>'LCFS Table'!$K192-'LCFS Table'!$I192</f>
        <v>-2.5323389862327916</v>
      </c>
      <c r="F192" s="187">
        <f>('LCFS Table'!$M192)-'LCFS Table'!$J192</f>
        <v>-3.5808586373387494</v>
      </c>
      <c r="G192" s="188">
        <f>'LCFS Table'!$E192+'LCFS Table'!$AS192+'LCFS Table'!$AT192+'LCFS Table'!$AU192+'LCFS Table'!$AV192</f>
        <v>2.396734962363035</v>
      </c>
      <c r="H192" s="188">
        <f>'LCFS Table'!$F192+'LCFS Table'!$AX192+'LCFS Table'!$AY192+'LCFS Table'!$AZ192+'LCFS Table'!$BA192+('LCFS Table'!$CQ192*0.9/(0.8/0.99)/100)+(DG192*'LCFS Table'!$AF192)+(DF192*'LCFS Table'!$AG192)</f>
        <v>0.76071992187500048</v>
      </c>
      <c r="I192" s="187">
        <f>('LCFS Table'!$V192+'LCFS Table'!$W192+'LCFS Table'!$X192)/100+(('LCFS Table'!$AI192+'LCFS Table'!$AJ192)/340)</f>
        <v>6.1199389862327918</v>
      </c>
      <c r="J192" s="187">
        <f>(('LCFS Table'!$Y192+'LCFS Table'!$Z192)/100)+(('LCFS Table'!$AM192+'LCFS Table'!$AN192)/300)</f>
        <v>6.8991269531250001</v>
      </c>
      <c r="K192" s="190">
        <f>'[1]Fuel Values'!$C191</f>
        <v>3.5876000000000001</v>
      </c>
      <c r="L192" s="190">
        <f>'[1]Fuel Values'!$B191</f>
        <v>749</v>
      </c>
      <c r="M192" s="185">
        <f>('LCFS Table'!$L192/100)-'LCFS Table'!$AX192-'LCFS Table'!$AY192-'LCFS Table'!$AZ192-'LCFS Table'!$BA192</f>
        <v>3.3182683157862507</v>
      </c>
      <c r="N192" s="190">
        <f>[1]BFT!$B191</f>
        <v>80</v>
      </c>
      <c r="O192" s="190">
        <f>[1]UCO!$B191</f>
        <v>67.5</v>
      </c>
      <c r="P192" s="190">
        <f>[1]DCO!$B191</f>
        <v>72.5</v>
      </c>
      <c r="Q192" s="190">
        <f>'[1]Soybean Oil'!$B191</f>
        <v>85.87</v>
      </c>
      <c r="R192" s="190">
        <f>'[1]Yellow Grease'!$B191</f>
        <v>55.75</v>
      </c>
      <c r="S192" s="185">
        <f>'LCFS Table'!$N192 + 'LCFS Table'!$AH192</f>
        <v>84.375</v>
      </c>
      <c r="T192" s="185">
        <f>'LCFS Table'!$Q192+'LCFS Table'!$AH192</f>
        <v>90.245000000000005</v>
      </c>
      <c r="U192" s="185">
        <f>'LCFS Table'!$P192+'LCFS Table'!$AH192</f>
        <v>76.875</v>
      </c>
      <c r="V192" s="185">
        <f>(('LCFS Table'!$S192/'LCFS Table'!$AA192)*'LCFS Table'!$AC192)*6.48</f>
        <v>290.82446808510645</v>
      </c>
      <c r="W192" s="185">
        <f>(('LCFS Table'!$O192/'LCFS Table'!$AA192)*'LCFS Table'!$AD192)*6.48</f>
        <v>116.32978723404257</v>
      </c>
      <c r="X192" s="185">
        <f>(('LCFS Table'!$U192/'LCFS Table'!$AA192)*'LCFS Table'!$AE192)*6.48</f>
        <v>132.48670212765958</v>
      </c>
      <c r="Y192" s="185">
        <f>(('LCFS Table'!$T192/'LCFS Table'!$AB192)*'LCFS Table'!$AF192)*7.35</f>
        <v>518.20371093749998</v>
      </c>
      <c r="Z192" s="185">
        <f>(('LCFS Table'!$R192/'LCFS Table'!$AB192)*'LCFS Table'!$AG192)*7.35</f>
        <v>106.708984375</v>
      </c>
      <c r="AA192" s="138">
        <v>0.94</v>
      </c>
      <c r="AB192" s="138">
        <v>0.96</v>
      </c>
      <c r="AC192" s="138">
        <v>0.5</v>
      </c>
      <c r="AD192" s="138">
        <v>0.25</v>
      </c>
      <c r="AE192" s="138">
        <v>0.25</v>
      </c>
      <c r="AF192" s="138">
        <v>0.75</v>
      </c>
      <c r="AG192" s="138">
        <v>0.25</v>
      </c>
      <c r="AH192" s="139">
        <v>4.375</v>
      </c>
      <c r="AI192" s="139">
        <v>136</v>
      </c>
      <c r="AJ192" s="139">
        <v>110</v>
      </c>
      <c r="AK192" s="186">
        <f>('LCFS Table'!$AI192/340)*100</f>
        <v>40</v>
      </c>
      <c r="AL192" s="186">
        <f>('LCFS Table'!$AJ192/340)*100</f>
        <v>32.352941176470587</v>
      </c>
      <c r="AM192" s="139">
        <v>105</v>
      </c>
      <c r="AN192" s="139">
        <v>90</v>
      </c>
      <c r="AO192" s="139">
        <f>('LCFS Table'!$AM192/300)*100</f>
        <v>35</v>
      </c>
      <c r="AP192" s="139">
        <f>('LCFS Table'!$AN192/300)*100</f>
        <v>30</v>
      </c>
      <c r="AQ192" s="140">
        <f>'[1]LCFS Values'!$B191</f>
        <v>89.3</v>
      </c>
      <c r="AR192" s="140">
        <f>'[1]RIN Values'!$B191/100</f>
        <v>1.7869999999999999</v>
      </c>
      <c r="AS192" s="185">
        <v>0.73117394859582729</v>
      </c>
      <c r="AT192" s="137">
        <v>0.16</v>
      </c>
      <c r="AU192" s="137">
        <v>1</v>
      </c>
      <c r="AV192" s="185">
        <f>'LCFS Table'!$AR192*1.7</f>
        <v>3.0378999999999996</v>
      </c>
      <c r="AW192" s="137">
        <v>0</v>
      </c>
      <c r="AX192" s="185">
        <v>0.49123168421374991</v>
      </c>
      <c r="AY192" s="137">
        <v>0</v>
      </c>
      <c r="AZ192" s="141">
        <v>1</v>
      </c>
      <c r="BA192" s="185">
        <f>'LCFS Table'!$AR192*1.5</f>
        <v>2.6804999999999999</v>
      </c>
      <c r="BB192" s="142">
        <v>1.2</v>
      </c>
      <c r="BC192" s="185">
        <f>'LCFS Table'!$AS192*'LCFS Table'!$BW192</f>
        <v>0.73117394859582729</v>
      </c>
      <c r="BD192" s="185">
        <f>'LCFS Table'!$AT192*'LCFS Table'!$BX192</f>
        <v>0</v>
      </c>
      <c r="BE192" s="185">
        <f>'LCFS Table'!$AU192*'LCFS Table'!$BY192</f>
        <v>1</v>
      </c>
      <c r="BF192" s="137">
        <f>'LCFS Table'!$AV192*'LCFS Table'!$BZ192</f>
        <v>3.0378999999999996</v>
      </c>
      <c r="BG192" s="137">
        <f>'LCFS Table'!$AW192*'LCFS Table'!$CA192</f>
        <v>0</v>
      </c>
      <c r="BH192" s="137">
        <f>'LCFS Table'!$AX192*'LCFS Table'!$CB192</f>
        <v>0.49123168421374991</v>
      </c>
      <c r="BI192" s="137">
        <f>'LCFS Table'!$AY192*'LCFS Table'!$CC192</f>
        <v>0</v>
      </c>
      <c r="BJ192" s="137">
        <f>'LCFS Table'!$AZ192*'LCFS Table'!$CD192</f>
        <v>1</v>
      </c>
      <c r="BK192" s="137">
        <f>'LCFS Table'!$BA192*'LCFS Table'!$CE192</f>
        <v>2.6804999999999999</v>
      </c>
      <c r="BL192" s="137">
        <f>'LCFS Table'!$BB192*'LCFS Table'!$CF192</f>
        <v>-1.2</v>
      </c>
      <c r="BM192" s="137">
        <f>'LCFS Table'!$AS192*'LCFS Table'!$CG192</f>
        <v>0</v>
      </c>
      <c r="BN192" s="137">
        <f>'LCFS Table'!$AT192*'LCFS Table'!$CH192</f>
        <v>0.16</v>
      </c>
      <c r="BO192" s="137">
        <f>'LCFS Table'!$AU192*'LCFS Table'!$CI192</f>
        <v>0</v>
      </c>
      <c r="BP192" s="137">
        <f>'LCFS Table'!$AV192*'LCFS Table'!$CJ192</f>
        <v>0</v>
      </c>
      <c r="BQ192" s="137">
        <f>'LCFS Table'!$AW192*'LCFS Table'!$CK192</f>
        <v>0</v>
      </c>
      <c r="BR192" s="137">
        <f>'LCFS Table'!$AX192*'LCFS Table'!$CL192</f>
        <v>0</v>
      </c>
      <c r="BS192" s="137">
        <f>'LCFS Table'!$AY192*'LCFS Table'!$CM192</f>
        <v>0</v>
      </c>
      <c r="BT192" s="137">
        <f>'LCFS Table'!$AZ192*'LCFS Table'!$CN192</f>
        <v>0</v>
      </c>
      <c r="BU192" s="137">
        <f>'LCFS Table'!$BA192*'LCFS Table'!$CO192</f>
        <v>0</v>
      </c>
      <c r="BV192" s="142">
        <f>'LCFS Table'!$BB192*'LCFS Table'!$CP192</f>
        <v>1.2</v>
      </c>
      <c r="BW192" s="138">
        <v>1</v>
      </c>
      <c r="BX192" s="138">
        <v>0</v>
      </c>
      <c r="BY192" s="138">
        <v>1</v>
      </c>
      <c r="BZ192" s="138">
        <v>1</v>
      </c>
      <c r="CA192" s="138">
        <v>-1</v>
      </c>
      <c r="CB192" s="138">
        <v>1</v>
      </c>
      <c r="CC192" s="138">
        <v>0</v>
      </c>
      <c r="CD192" s="138">
        <v>1</v>
      </c>
      <c r="CE192" s="138">
        <v>1</v>
      </c>
      <c r="CF192" s="138">
        <v>-1</v>
      </c>
      <c r="CG192" s="138">
        <f>1-'LCFS Table'!$BW192</f>
        <v>0</v>
      </c>
      <c r="CH192" s="138">
        <f>1-'LCFS Table'!$BX192</f>
        <v>1</v>
      </c>
      <c r="CI192" s="138">
        <f>1-'LCFS Table'!$BY192</f>
        <v>0</v>
      </c>
      <c r="CJ192" s="138">
        <f>1-'LCFS Table'!$BZ192</f>
        <v>0</v>
      </c>
      <c r="CK192" s="138">
        <f>-'LCFS Table'!$CA192</f>
        <v>1</v>
      </c>
      <c r="CL192" s="138">
        <f>1-'LCFS Table'!$CB192</f>
        <v>0</v>
      </c>
      <c r="CM192" s="138">
        <f>1-'LCFS Table'!$CC192</f>
        <v>1</v>
      </c>
      <c r="CN192" s="138">
        <f>1-'LCFS Table'!$CD192</f>
        <v>0</v>
      </c>
      <c r="CO192" s="138">
        <f>1-'LCFS Table'!$CE192</f>
        <v>0</v>
      </c>
      <c r="CP192" s="138">
        <f>-'LCFS Table'!$CF192</f>
        <v>1</v>
      </c>
      <c r="CQ192" s="140">
        <v>15.25</v>
      </c>
      <c r="CR192" s="165">
        <f>('LCFS Table'!$CQ192*0.9/(0.8/0.99)/100)</f>
        <v>0.16984687499999995</v>
      </c>
      <c r="CS192" s="166"/>
      <c r="CT192" s="167"/>
      <c r="CW192" s="168">
        <f>'LCFS Table'!$K192-'LCFS Table'!$M192</f>
        <v>0.26933168421374942</v>
      </c>
      <c r="CX192" s="129">
        <f>MONTH('LCFS Table'!$B192)</f>
        <v>8</v>
      </c>
      <c r="CY192" s="129">
        <f>YEAR('LCFS Table'!$B192)</f>
        <v>2022</v>
      </c>
    </row>
    <row r="193" spans="1:103">
      <c r="A193" s="148">
        <v>44794</v>
      </c>
      <c r="B193" s="149">
        <v>44800</v>
      </c>
      <c r="C193" s="132">
        <f>YEAR(B193)</f>
        <v>2022</v>
      </c>
      <c r="D193" s="182" t="s">
        <v>290</v>
      </c>
      <c r="E193" s="187">
        <f>'LCFS Table'!$K193-'LCFS Table'!$I193</f>
        <v>-2.1992326032540683</v>
      </c>
      <c r="F193" s="187">
        <f>('LCFS Table'!$M193)-'LCFS Table'!$J193</f>
        <v>-3.4459833049662514</v>
      </c>
      <c r="G193" s="188">
        <f>'LCFS Table'!$E193+'LCFS Table'!$AS193+'LCFS Table'!$AT193+'LCFS Table'!$AU193+'LCFS Table'!$AV193</f>
        <v>2.6843329565748322</v>
      </c>
      <c r="H193" s="188">
        <f>'LCFS Table'!$F193+'LCFS Table'!$AX193+'LCFS Table'!$AY193+'LCFS Table'!$AZ193+'LCFS Table'!$BA193+('LCFS Table'!$CQ193*0.9/(0.8/0.99)/100)+(DG193*'LCFS Table'!$AF193)+(DF193*'LCFS Table'!$AG193)</f>
        <v>0.85466101562499863</v>
      </c>
      <c r="I193" s="187">
        <f>('LCFS Table'!$V193+'LCFS Table'!$W193+'LCFS Table'!$X193)/100+(('LCFS Table'!$AI193+'LCFS Table'!$AJ193)/340)</f>
        <v>6.1268326032540683</v>
      </c>
      <c r="J193" s="187">
        <f>(('LCFS Table'!$Y193+'LCFS Table'!$Z193)/100)+(('LCFS Table'!$AM193+'LCFS Table'!$AN193)/300)</f>
        <v>6.9587308593750006</v>
      </c>
      <c r="K193" s="190">
        <f>'[1]Fuel Values'!$C192</f>
        <v>3.9276</v>
      </c>
      <c r="L193" s="190">
        <f>'[1]Fuel Values'!$B192</f>
        <v>764.8</v>
      </c>
      <c r="M193" s="185">
        <f>('LCFS Table'!$L193/100)-'LCFS Table'!$AX193-'LCFS Table'!$AY193-'LCFS Table'!$AZ193-'LCFS Table'!$BA193</f>
        <v>3.5127475544087492</v>
      </c>
      <c r="N193" s="190">
        <f>[1]BFT!$B192</f>
        <v>80</v>
      </c>
      <c r="O193" s="190">
        <f>[1]UCO!$B192</f>
        <v>67.5</v>
      </c>
      <c r="P193" s="190">
        <f>[1]DCO!$B192</f>
        <v>72.900000000000006</v>
      </c>
      <c r="Q193" s="190">
        <f>'[1]Soybean Oil'!$B192</f>
        <v>86.908000000000001</v>
      </c>
      <c r="R193" s="190">
        <f>'[1]Yellow Grease'!$B192</f>
        <v>55.75</v>
      </c>
      <c r="S193" s="185">
        <f>'LCFS Table'!$N193 + 'LCFS Table'!$AH193</f>
        <v>84.375</v>
      </c>
      <c r="T193" s="185">
        <f>'LCFS Table'!$Q193+'LCFS Table'!$AH193</f>
        <v>91.283000000000001</v>
      </c>
      <c r="U193" s="185">
        <f>'LCFS Table'!$P193+'LCFS Table'!$AH193</f>
        <v>77.275000000000006</v>
      </c>
      <c r="V193" s="185">
        <f>(('LCFS Table'!$S193/'LCFS Table'!$AA193)*'LCFS Table'!$AC193)*6.48</f>
        <v>290.82446808510645</v>
      </c>
      <c r="W193" s="185">
        <f>(('LCFS Table'!$O193/'LCFS Table'!$AA193)*'LCFS Table'!$AD193)*6.48</f>
        <v>116.32978723404257</v>
      </c>
      <c r="X193" s="185">
        <f>(('LCFS Table'!$U193/'LCFS Table'!$AA193)*'LCFS Table'!$AE193)*6.48</f>
        <v>133.17606382978727</v>
      </c>
      <c r="Y193" s="185">
        <f>(('LCFS Table'!$T193/'LCFS Table'!$AB193)*'LCFS Table'!$AF193)*7.35</f>
        <v>524.16410156250004</v>
      </c>
      <c r="Z193" s="185">
        <f>(('LCFS Table'!$R193/'LCFS Table'!$AB193)*'LCFS Table'!$AG193)*7.35</f>
        <v>106.708984375</v>
      </c>
      <c r="AA193" s="138">
        <v>0.94</v>
      </c>
      <c r="AB193" s="138">
        <v>0.96</v>
      </c>
      <c r="AC193" s="138">
        <v>0.5</v>
      </c>
      <c r="AD193" s="138">
        <v>0.25</v>
      </c>
      <c r="AE193" s="138">
        <v>0.25</v>
      </c>
      <c r="AF193" s="138">
        <v>0.75</v>
      </c>
      <c r="AG193" s="138">
        <v>0.25</v>
      </c>
      <c r="AH193" s="139">
        <v>4.375</v>
      </c>
      <c r="AI193" s="139">
        <v>136</v>
      </c>
      <c r="AJ193" s="139">
        <v>110</v>
      </c>
      <c r="AK193" s="186">
        <f>('LCFS Table'!$AI193/340)*100</f>
        <v>40</v>
      </c>
      <c r="AL193" s="186">
        <f>('LCFS Table'!$AJ193/340)*100</f>
        <v>32.352941176470587</v>
      </c>
      <c r="AM193" s="139">
        <v>105</v>
      </c>
      <c r="AN193" s="139">
        <v>90</v>
      </c>
      <c r="AO193" s="139">
        <f>('LCFS Table'!$AM193/300)*100</f>
        <v>35</v>
      </c>
      <c r="AP193" s="139">
        <f>('LCFS Table'!$AN193/300)*100</f>
        <v>30</v>
      </c>
      <c r="AQ193" s="140">
        <f>'[1]LCFS Values'!$B192</f>
        <v>87.95</v>
      </c>
      <c r="AR193" s="140">
        <f>'[1]RIN Values'!$B192/100</f>
        <v>1.7705000000000002</v>
      </c>
      <c r="AS193" s="185">
        <v>0.71371555982890011</v>
      </c>
      <c r="AT193" s="137">
        <v>0.16</v>
      </c>
      <c r="AU193" s="137">
        <v>1</v>
      </c>
      <c r="AV193" s="185">
        <f>'LCFS Table'!$AR193*1.7</f>
        <v>3.0098500000000001</v>
      </c>
      <c r="AW193" s="137">
        <v>0</v>
      </c>
      <c r="AX193" s="185">
        <v>0.47950244559124988</v>
      </c>
      <c r="AY193" s="137">
        <v>0</v>
      </c>
      <c r="AZ193" s="141">
        <v>1</v>
      </c>
      <c r="BA193" s="185">
        <f>'LCFS Table'!$AR193*1.5</f>
        <v>2.6557500000000003</v>
      </c>
      <c r="BB193" s="142">
        <v>1.2</v>
      </c>
      <c r="BC193" s="185">
        <f>'LCFS Table'!$AS193*'LCFS Table'!$BW193</f>
        <v>0.71371555982890011</v>
      </c>
      <c r="BD193" s="185">
        <f>'LCFS Table'!$AT193*'LCFS Table'!$BX193</f>
        <v>0</v>
      </c>
      <c r="BE193" s="185">
        <f>'LCFS Table'!$AU193*'LCFS Table'!$BY193</f>
        <v>1</v>
      </c>
      <c r="BF193" s="137">
        <f>'LCFS Table'!$AV193*'LCFS Table'!$BZ193</f>
        <v>3.0098500000000001</v>
      </c>
      <c r="BG193" s="137">
        <f>'LCFS Table'!$AW193*'LCFS Table'!$CA193</f>
        <v>0</v>
      </c>
      <c r="BH193" s="137">
        <f>'LCFS Table'!$AX193*'LCFS Table'!$CB193</f>
        <v>0.47950244559124988</v>
      </c>
      <c r="BI193" s="137">
        <f>'LCFS Table'!$AY193*'LCFS Table'!$CC193</f>
        <v>0</v>
      </c>
      <c r="BJ193" s="137">
        <f>'LCFS Table'!$AZ193*'LCFS Table'!$CD193</f>
        <v>1</v>
      </c>
      <c r="BK193" s="137">
        <f>'LCFS Table'!$BA193*'LCFS Table'!$CE193</f>
        <v>2.6557500000000003</v>
      </c>
      <c r="BL193" s="137">
        <f>'LCFS Table'!$BB193*'LCFS Table'!$CF193</f>
        <v>-1.2</v>
      </c>
      <c r="BM193" s="137">
        <f>'LCFS Table'!$AS193*'LCFS Table'!$CG193</f>
        <v>0</v>
      </c>
      <c r="BN193" s="137">
        <f>'LCFS Table'!$AT193*'LCFS Table'!$CH193</f>
        <v>0.16</v>
      </c>
      <c r="BO193" s="137">
        <f>'LCFS Table'!$AU193*'LCFS Table'!$CI193</f>
        <v>0</v>
      </c>
      <c r="BP193" s="137">
        <f>'LCFS Table'!$AV193*'LCFS Table'!$CJ193</f>
        <v>0</v>
      </c>
      <c r="BQ193" s="137">
        <f>'LCFS Table'!$AW193*'LCFS Table'!$CK193</f>
        <v>0</v>
      </c>
      <c r="BR193" s="137">
        <f>'LCFS Table'!$AX193*'LCFS Table'!$CL193</f>
        <v>0</v>
      </c>
      <c r="BS193" s="137">
        <f>'LCFS Table'!$AY193*'LCFS Table'!$CM193</f>
        <v>0</v>
      </c>
      <c r="BT193" s="137">
        <f>'LCFS Table'!$AZ193*'LCFS Table'!$CN193</f>
        <v>0</v>
      </c>
      <c r="BU193" s="137">
        <f>'LCFS Table'!$BA193*'LCFS Table'!$CO193</f>
        <v>0</v>
      </c>
      <c r="BV193" s="142">
        <f>'LCFS Table'!$BB193*'LCFS Table'!$CP193</f>
        <v>1.2</v>
      </c>
      <c r="BW193" s="138">
        <v>1</v>
      </c>
      <c r="BX193" s="138">
        <v>0</v>
      </c>
      <c r="BY193" s="138">
        <v>1</v>
      </c>
      <c r="BZ193" s="138">
        <v>1</v>
      </c>
      <c r="CA193" s="138">
        <v>-1</v>
      </c>
      <c r="CB193" s="138">
        <v>1</v>
      </c>
      <c r="CC193" s="138">
        <v>0</v>
      </c>
      <c r="CD193" s="138">
        <v>1</v>
      </c>
      <c r="CE193" s="138">
        <v>1</v>
      </c>
      <c r="CF193" s="138">
        <v>-1</v>
      </c>
      <c r="CG193" s="138">
        <f>1-'LCFS Table'!$BW193</f>
        <v>0</v>
      </c>
      <c r="CH193" s="138">
        <f>1-'LCFS Table'!$BX193</f>
        <v>1</v>
      </c>
      <c r="CI193" s="138">
        <f>1-'LCFS Table'!$BY193</f>
        <v>0</v>
      </c>
      <c r="CJ193" s="138">
        <f>1-'LCFS Table'!$BZ193</f>
        <v>0</v>
      </c>
      <c r="CK193" s="138">
        <f>-'LCFS Table'!$CA193</f>
        <v>1</v>
      </c>
      <c r="CL193" s="138">
        <f>1-'LCFS Table'!$CB193</f>
        <v>0</v>
      </c>
      <c r="CM193" s="138">
        <f>1-'LCFS Table'!$CC193</f>
        <v>1</v>
      </c>
      <c r="CN193" s="138">
        <f>1-'LCFS Table'!$CD193</f>
        <v>0</v>
      </c>
      <c r="CO193" s="138">
        <f>1-'LCFS Table'!$CE193</f>
        <v>0</v>
      </c>
      <c r="CP193" s="138">
        <f>-'LCFS Table'!$CF193</f>
        <v>1</v>
      </c>
      <c r="CQ193" s="140">
        <v>14.85</v>
      </c>
      <c r="CR193" s="165">
        <f>('LCFS Table'!$CQ193*0.9/(0.8/0.99)/100)</f>
        <v>0.16539187499999997</v>
      </c>
      <c r="CS193" s="166"/>
      <c r="CT193" s="167"/>
      <c r="CW193" s="168">
        <f>'LCFS Table'!$K193-'LCFS Table'!$M193</f>
        <v>0.41485244559125078</v>
      </c>
      <c r="CX193" s="129">
        <f>MONTH('LCFS Table'!$B193)</f>
        <v>8</v>
      </c>
      <c r="CY193" s="129">
        <f>YEAR('LCFS Table'!$B193)</f>
        <v>2022</v>
      </c>
    </row>
    <row r="194" spans="1:103">
      <c r="A194" s="148">
        <v>44801</v>
      </c>
      <c r="B194" s="149">
        <v>44807</v>
      </c>
      <c r="C194" s="132">
        <f>YEAR(B194)</f>
        <v>2022</v>
      </c>
      <c r="D194" s="150" t="s">
        <v>291</v>
      </c>
      <c r="E194" s="187">
        <f>'LCFS Table'!$K194-'LCFS Table'!$I194</f>
        <v>-2.4194900500625796</v>
      </c>
      <c r="F194" s="187">
        <f>('LCFS Table'!$M194)-'LCFS Table'!$J194</f>
        <v>-3.355355946084376</v>
      </c>
      <c r="G194" s="188">
        <f>'LCFS Table'!$E194+'LCFS Table'!$AS194+'LCFS Table'!$AT194+'LCFS Table'!$AU194+'LCFS Table'!$AV194</f>
        <v>2.4163927923465067</v>
      </c>
      <c r="H194" s="188">
        <f>'LCFS Table'!$F194+'LCFS Table'!$AX194+'LCFS Table'!$AY194+'LCFS Table'!$AZ194+'LCFS Table'!$BA194+('LCFS Table'!$CQ194*0.9/(0.8/0.99)/100)+(DG194*'LCFS Table'!$AF194)+(DF194*'LCFS Table'!$AG194)</f>
        <v>0.87668007812499904</v>
      </c>
      <c r="I194" s="187">
        <f>('LCFS Table'!$V194+'LCFS Table'!$W194+'LCFS Table'!$X194)/100+(('LCFS Table'!$AI194+'LCFS Table'!$AJ194)/340)</f>
        <v>6.1457900500625797</v>
      </c>
      <c r="J194" s="187">
        <f>(('LCFS Table'!$Y194+'LCFS Table'!$Z194)/100)+(('LCFS Table'!$AM194+'LCFS Table'!$AN194)/300)</f>
        <v>6.9569699218750012</v>
      </c>
      <c r="K194" s="190">
        <f>'[1]Fuel Values'!$C193</f>
        <v>3.7263000000000002</v>
      </c>
      <c r="L194" s="190">
        <f>'[1]Fuel Values'!$B193</f>
        <v>770</v>
      </c>
      <c r="M194" s="185">
        <f>('LCFS Table'!$L194/100)-'LCFS Table'!$AX194-'LCFS Table'!$AY194-'LCFS Table'!$AZ194-'LCFS Table'!$BA194</f>
        <v>3.6016139757906251</v>
      </c>
      <c r="N194" s="190">
        <f>[1]BFT!$B193</f>
        <v>80</v>
      </c>
      <c r="O194" s="190">
        <f>[1]UCO!$B193</f>
        <v>67.7</v>
      </c>
      <c r="P194" s="190">
        <f>[1]DCO!$B193</f>
        <v>73.8</v>
      </c>
      <c r="Q194" s="190">
        <f>'[1]Soybean Oil'!$B193</f>
        <v>87.043999999999997</v>
      </c>
      <c r="R194" s="190">
        <f>'[1]Yellow Grease'!$B193</f>
        <v>55.25</v>
      </c>
      <c r="S194" s="185">
        <f>'LCFS Table'!$N194 + 'LCFS Table'!$AH194</f>
        <v>84.375</v>
      </c>
      <c r="T194" s="185">
        <f>'LCFS Table'!$Q194+'LCFS Table'!$AH194</f>
        <v>91.418999999999997</v>
      </c>
      <c r="U194" s="185">
        <f>'LCFS Table'!$P194+'LCFS Table'!$AH194</f>
        <v>78.174999999999997</v>
      </c>
      <c r="V194" s="185">
        <f>(('LCFS Table'!$S194/'LCFS Table'!$AA194)*'LCFS Table'!$AC194)*6.48</f>
        <v>290.82446808510645</v>
      </c>
      <c r="W194" s="185">
        <f>(('LCFS Table'!$O194/'LCFS Table'!$AA194)*'LCFS Table'!$AD194)*6.48</f>
        <v>116.67446808510641</v>
      </c>
      <c r="X194" s="185">
        <f>(('LCFS Table'!$U194/'LCFS Table'!$AA194)*'LCFS Table'!$AE194)*6.48</f>
        <v>134.72712765957448</v>
      </c>
      <c r="Y194" s="185">
        <f>(('LCFS Table'!$T194/'LCFS Table'!$AB194)*'LCFS Table'!$AF194)*7.35</f>
        <v>524.94503906250009</v>
      </c>
      <c r="Z194" s="185">
        <f>(('LCFS Table'!$R194/'LCFS Table'!$AB194)*'LCFS Table'!$AG194)*7.35</f>
        <v>105.751953125</v>
      </c>
      <c r="AA194" s="138">
        <v>0.94</v>
      </c>
      <c r="AB194" s="138">
        <v>0.96</v>
      </c>
      <c r="AC194" s="138">
        <v>0.5</v>
      </c>
      <c r="AD194" s="138">
        <v>0.25</v>
      </c>
      <c r="AE194" s="138">
        <v>0.25</v>
      </c>
      <c r="AF194" s="138">
        <v>0.75</v>
      </c>
      <c r="AG194" s="138">
        <v>0.25</v>
      </c>
      <c r="AH194" s="139">
        <v>4.375</v>
      </c>
      <c r="AI194" s="139">
        <v>136</v>
      </c>
      <c r="AJ194" s="139">
        <v>110</v>
      </c>
      <c r="AK194" s="186">
        <f>('LCFS Table'!$AI194/340)*100</f>
        <v>40</v>
      </c>
      <c r="AL194" s="186">
        <f>('LCFS Table'!$AJ194/340)*100</f>
        <v>32.352941176470587</v>
      </c>
      <c r="AM194" s="139">
        <v>105</v>
      </c>
      <c r="AN194" s="139">
        <v>90</v>
      </c>
      <c r="AO194" s="139">
        <f>('LCFS Table'!$AM194/300)*100</f>
        <v>35</v>
      </c>
      <c r="AP194" s="139">
        <f>('LCFS Table'!$AN194/300)*100</f>
        <v>30</v>
      </c>
      <c r="AQ194" s="140">
        <f>'[1]LCFS Values'!$B193</f>
        <v>85.85</v>
      </c>
      <c r="AR194" s="140">
        <f>'[1]RIN Values'!$B193/100</f>
        <v>1.7569999999999999</v>
      </c>
      <c r="AS194" s="185">
        <v>0.6889828424090868</v>
      </c>
      <c r="AT194" s="137">
        <v>0.16</v>
      </c>
      <c r="AU194" s="137">
        <v>1</v>
      </c>
      <c r="AV194" s="185">
        <f>'LCFS Table'!$AR194*1.7</f>
        <v>2.9868999999999999</v>
      </c>
      <c r="AW194" s="137">
        <v>0</v>
      </c>
      <c r="AX194" s="185">
        <v>0.46288602420937491</v>
      </c>
      <c r="AY194" s="137">
        <v>0</v>
      </c>
      <c r="AZ194" s="141">
        <v>1</v>
      </c>
      <c r="BA194" s="185">
        <f>'LCFS Table'!$AR194*1.5</f>
        <v>2.6355</v>
      </c>
      <c r="BB194" s="142">
        <v>1.2</v>
      </c>
      <c r="BC194" s="185">
        <f>'LCFS Table'!$AS194*'LCFS Table'!$BW194</f>
        <v>0.6889828424090868</v>
      </c>
      <c r="BD194" s="185">
        <f>'LCFS Table'!$AT194*'LCFS Table'!$BX194</f>
        <v>0</v>
      </c>
      <c r="BE194" s="185">
        <f>'LCFS Table'!$AU194*'LCFS Table'!$BY194</f>
        <v>1</v>
      </c>
      <c r="BF194" s="137">
        <f>'LCFS Table'!$AV194*'LCFS Table'!$BZ194</f>
        <v>2.9868999999999999</v>
      </c>
      <c r="BG194" s="137">
        <f>'LCFS Table'!$AW194*'LCFS Table'!$CA194</f>
        <v>0</v>
      </c>
      <c r="BH194" s="137">
        <f>'LCFS Table'!$AX194*'LCFS Table'!$CB194</f>
        <v>0.46288602420937491</v>
      </c>
      <c r="BI194" s="137">
        <f>'LCFS Table'!$AY194*'LCFS Table'!$CC194</f>
        <v>0</v>
      </c>
      <c r="BJ194" s="137">
        <f>'LCFS Table'!$AZ194*'LCFS Table'!$CD194</f>
        <v>1</v>
      </c>
      <c r="BK194" s="137">
        <f>'LCFS Table'!$BA194*'LCFS Table'!$CE194</f>
        <v>2.6355</v>
      </c>
      <c r="BL194" s="137">
        <f>'LCFS Table'!$BB194*'LCFS Table'!$CF194</f>
        <v>-1.2</v>
      </c>
      <c r="BM194" s="137">
        <f>'LCFS Table'!$AS194*'LCFS Table'!$CG194</f>
        <v>0</v>
      </c>
      <c r="BN194" s="137">
        <f>'LCFS Table'!$AT194*'LCFS Table'!$CH194</f>
        <v>0.16</v>
      </c>
      <c r="BO194" s="137">
        <f>'LCFS Table'!$AU194*'LCFS Table'!$CI194</f>
        <v>0</v>
      </c>
      <c r="BP194" s="137">
        <f>'LCFS Table'!$AV194*'LCFS Table'!$CJ194</f>
        <v>0</v>
      </c>
      <c r="BQ194" s="137">
        <f>'LCFS Table'!$AW194*'LCFS Table'!$CK194</f>
        <v>0</v>
      </c>
      <c r="BR194" s="137">
        <f>'LCFS Table'!$AX194*'LCFS Table'!$CL194</f>
        <v>0</v>
      </c>
      <c r="BS194" s="137">
        <f>'LCFS Table'!$AY194*'LCFS Table'!$CM194</f>
        <v>0</v>
      </c>
      <c r="BT194" s="137">
        <f>'LCFS Table'!$AZ194*'LCFS Table'!$CN194</f>
        <v>0</v>
      </c>
      <c r="BU194" s="137">
        <f>'LCFS Table'!$BA194*'LCFS Table'!$CO194</f>
        <v>0</v>
      </c>
      <c r="BV194" s="142">
        <f>'LCFS Table'!$BB194*'LCFS Table'!$CP194</f>
        <v>1.2</v>
      </c>
      <c r="BW194" s="138">
        <v>1</v>
      </c>
      <c r="BX194" s="138">
        <v>0</v>
      </c>
      <c r="BY194" s="138">
        <v>1</v>
      </c>
      <c r="BZ194" s="138">
        <v>1</v>
      </c>
      <c r="CA194" s="138">
        <v>-1</v>
      </c>
      <c r="CB194" s="138">
        <v>1</v>
      </c>
      <c r="CC194" s="138">
        <v>0</v>
      </c>
      <c r="CD194" s="138">
        <v>1</v>
      </c>
      <c r="CE194" s="138">
        <v>1</v>
      </c>
      <c r="CF194" s="138">
        <v>-1</v>
      </c>
      <c r="CG194" s="138">
        <f>1-'LCFS Table'!$BW194</f>
        <v>0</v>
      </c>
      <c r="CH194" s="138">
        <f>1-'LCFS Table'!$BX194</f>
        <v>1</v>
      </c>
      <c r="CI194" s="138">
        <f>1-'LCFS Table'!$BY194</f>
        <v>0</v>
      </c>
      <c r="CJ194" s="138">
        <f>1-'LCFS Table'!$BZ194</f>
        <v>0</v>
      </c>
      <c r="CK194" s="138">
        <f>-'LCFS Table'!$CA194</f>
        <v>1</v>
      </c>
      <c r="CL194" s="138">
        <f>1-'LCFS Table'!$CB194</f>
        <v>0</v>
      </c>
      <c r="CM194" s="138">
        <f>1-'LCFS Table'!$CC194</f>
        <v>1</v>
      </c>
      <c r="CN194" s="138">
        <f>1-'LCFS Table'!$CD194</f>
        <v>0</v>
      </c>
      <c r="CO194" s="138">
        <f>1-'LCFS Table'!$CE194</f>
        <v>0</v>
      </c>
      <c r="CP194" s="138">
        <f>-'LCFS Table'!$CF194</f>
        <v>1</v>
      </c>
      <c r="CQ194" s="140">
        <v>12</v>
      </c>
      <c r="CR194" s="165">
        <f>('LCFS Table'!$CQ194*0.9/(0.8/0.99)/100)</f>
        <v>0.13364999999999999</v>
      </c>
      <c r="CS194" s="166"/>
      <c r="CT194" s="167"/>
      <c r="CW194" s="168">
        <f>'LCFS Table'!$K194-'LCFS Table'!$M194</f>
        <v>0.12468602420937502</v>
      </c>
      <c r="CX194" s="129">
        <f>MONTH('LCFS Table'!$B194)</f>
        <v>9</v>
      </c>
      <c r="CY194" s="129">
        <f>YEAR('LCFS Table'!$B194)</f>
        <v>2022</v>
      </c>
    </row>
    <row r="195" spans="1:103">
      <c r="A195" s="148">
        <v>44808</v>
      </c>
      <c r="B195" s="149">
        <v>44814</v>
      </c>
      <c r="C195" s="132">
        <f>YEAR(B195)</f>
        <v>2022</v>
      </c>
      <c r="D195" s="182" t="s">
        <v>292</v>
      </c>
      <c r="E195" s="187">
        <f>'LCFS Table'!$K195-'LCFS Table'!$I195</f>
        <v>-2.5423932415519408</v>
      </c>
      <c r="F195" s="187">
        <f>('LCFS Table'!$M195)-'LCFS Table'!$J195</f>
        <v>-3.0639251206087503</v>
      </c>
      <c r="G195" s="188">
        <f>'LCFS Table'!$E195+'LCFS Table'!$AS195+'LCFS Table'!$AT195+'LCFS Table'!$AU195+'LCFS Table'!$AV195</f>
        <v>2.2587487815128844</v>
      </c>
      <c r="H195" s="188">
        <f>'LCFS Table'!$F195+'LCFS Table'!$AX195+'LCFS Table'!$AY195+'LCFS Table'!$AZ195+'LCFS Table'!$BA195+('LCFS Table'!$CQ195*0.9/(0.8/0.99)/100)+(DG195*'LCFS Table'!$AF195)+(DF195*'LCFS Table'!$AG195)</f>
        <v>1.1404761718749998</v>
      </c>
      <c r="I195" s="187">
        <f>('LCFS Table'!$V195+'LCFS Table'!$W195+'LCFS Table'!$X195)/100+(('LCFS Table'!$AI195+'LCFS Table'!$AJ195)/340)</f>
        <v>6.1220932415519407</v>
      </c>
      <c r="J195" s="187">
        <f>(('LCFS Table'!$Y195+'LCFS Table'!$Z195)/100)+(('LCFS Table'!$AM195+'LCFS Table'!$AN195)/300)</f>
        <v>6.6931738281250004</v>
      </c>
      <c r="K195" s="190">
        <f>'[1]Fuel Values'!$C194</f>
        <v>3.5796999999999999</v>
      </c>
      <c r="L195" s="190">
        <f>'[1]Fuel Values'!$B194</f>
        <v>770</v>
      </c>
      <c r="M195" s="185">
        <f>('LCFS Table'!$L195/100)-'LCFS Table'!$AX195-'LCFS Table'!$AY195-'LCFS Table'!$AZ195-'LCFS Table'!$BA195</f>
        <v>3.6292487075162501</v>
      </c>
      <c r="N195" s="190">
        <f>[1]BFT!$B194</f>
        <v>80</v>
      </c>
      <c r="O195" s="190">
        <f>[1]UCO!$B194</f>
        <v>67.625</v>
      </c>
      <c r="P195" s="190">
        <f>[1]DCO!$B194</f>
        <v>72.5</v>
      </c>
      <c r="Q195" s="190">
        <f>'[1]Soybean Oil'!$B194</f>
        <v>82.7</v>
      </c>
      <c r="R195" s="190">
        <f>'[1]Yellow Grease'!$B194</f>
        <v>54.5</v>
      </c>
      <c r="S195" s="185">
        <f>'LCFS Table'!$N195 + 'LCFS Table'!$AH195</f>
        <v>84.375</v>
      </c>
      <c r="T195" s="185">
        <f>'LCFS Table'!$Q195+'LCFS Table'!$AH195</f>
        <v>87.075000000000003</v>
      </c>
      <c r="U195" s="185">
        <f>'LCFS Table'!$P195+'LCFS Table'!$AH195</f>
        <v>76.875</v>
      </c>
      <c r="V195" s="185">
        <f>(('LCFS Table'!$S195/'LCFS Table'!$AA195)*'LCFS Table'!$AC195)*6.48</f>
        <v>290.82446808510645</v>
      </c>
      <c r="W195" s="185">
        <f>(('LCFS Table'!$O195/'LCFS Table'!$AA195)*'LCFS Table'!$AD195)*6.48</f>
        <v>116.54521276595744</v>
      </c>
      <c r="X195" s="185">
        <f>(('LCFS Table'!$U195/'LCFS Table'!$AA195)*'LCFS Table'!$AE195)*6.48</f>
        <v>132.48670212765958</v>
      </c>
      <c r="Y195" s="185">
        <f>(('LCFS Table'!$T195/'LCFS Table'!$AB195)*'LCFS Table'!$AF195)*7.35</f>
        <v>500.0009765625</v>
      </c>
      <c r="Z195" s="185">
        <f>(('LCFS Table'!$R195/'LCFS Table'!$AB195)*'LCFS Table'!$AG195)*7.35</f>
        <v>104.31640625</v>
      </c>
      <c r="AA195" s="138">
        <v>0.94</v>
      </c>
      <c r="AB195" s="138">
        <v>0.96</v>
      </c>
      <c r="AC195" s="138">
        <v>0.5</v>
      </c>
      <c r="AD195" s="138">
        <v>0.25</v>
      </c>
      <c r="AE195" s="138">
        <v>0.25</v>
      </c>
      <c r="AF195" s="138">
        <v>0.75</v>
      </c>
      <c r="AG195" s="138">
        <v>0.25</v>
      </c>
      <c r="AH195" s="139">
        <v>4.375</v>
      </c>
      <c r="AI195" s="139">
        <v>136</v>
      </c>
      <c r="AJ195" s="139">
        <v>110</v>
      </c>
      <c r="AK195" s="186">
        <f>('LCFS Table'!$AI195/340)*100</f>
        <v>40</v>
      </c>
      <c r="AL195" s="186">
        <f>('LCFS Table'!$AJ195/340)*100</f>
        <v>32.352941176470587</v>
      </c>
      <c r="AM195" s="139">
        <v>105</v>
      </c>
      <c r="AN195" s="139">
        <v>90</v>
      </c>
      <c r="AO195" s="139">
        <f>('LCFS Table'!$AM195/300)*100</f>
        <v>35</v>
      </c>
      <c r="AP195" s="139">
        <f>('LCFS Table'!$AN195/300)*100</f>
        <v>30</v>
      </c>
      <c r="AQ195" s="140">
        <f>'[1]LCFS Values'!$B194</f>
        <v>82.875</v>
      </c>
      <c r="AR195" s="140">
        <f>'[1]RIN Values'!$B194/100</f>
        <v>1.7450000000000001</v>
      </c>
      <c r="AS195" s="185">
        <v>0.67464202306482524</v>
      </c>
      <c r="AT195" s="137">
        <v>0.16</v>
      </c>
      <c r="AU195" s="137">
        <v>1</v>
      </c>
      <c r="AV195" s="185">
        <f>'LCFS Table'!$AR195*1.7</f>
        <v>2.9664999999999999</v>
      </c>
      <c r="AW195" s="137">
        <v>0</v>
      </c>
      <c r="AX195" s="185">
        <v>0.45325129248374996</v>
      </c>
      <c r="AY195" s="137">
        <v>0</v>
      </c>
      <c r="AZ195" s="141">
        <v>1</v>
      </c>
      <c r="BA195" s="185">
        <f>'LCFS Table'!$AR195*1.5</f>
        <v>2.6175000000000002</v>
      </c>
      <c r="BB195" s="142">
        <v>1.2</v>
      </c>
      <c r="BC195" s="185">
        <f>'LCFS Table'!$AS195*'LCFS Table'!$BW195</f>
        <v>0.67464202306482524</v>
      </c>
      <c r="BD195" s="185">
        <f>'LCFS Table'!$AT195*'LCFS Table'!$BX195</f>
        <v>0</v>
      </c>
      <c r="BE195" s="185">
        <f>'LCFS Table'!$AU195*'LCFS Table'!$BY195</f>
        <v>1</v>
      </c>
      <c r="BF195" s="137">
        <f>'LCFS Table'!$AV195*'LCFS Table'!$BZ195</f>
        <v>2.9664999999999999</v>
      </c>
      <c r="BG195" s="137">
        <f>'LCFS Table'!$AW195*'LCFS Table'!$CA195</f>
        <v>0</v>
      </c>
      <c r="BH195" s="137">
        <f>'LCFS Table'!$AX195*'LCFS Table'!$CB195</f>
        <v>0.45325129248374996</v>
      </c>
      <c r="BI195" s="137">
        <f>'LCFS Table'!$AY195*'LCFS Table'!$CC195</f>
        <v>0</v>
      </c>
      <c r="BJ195" s="137">
        <f>'LCFS Table'!$AZ195*'LCFS Table'!$CD195</f>
        <v>1</v>
      </c>
      <c r="BK195" s="137">
        <f>'LCFS Table'!$BA195*'LCFS Table'!$CE195</f>
        <v>2.6175000000000002</v>
      </c>
      <c r="BL195" s="137">
        <f>'LCFS Table'!$BB195*'LCFS Table'!$CF195</f>
        <v>-1.2</v>
      </c>
      <c r="BM195" s="137">
        <f>'LCFS Table'!$AS195*'LCFS Table'!$CG195</f>
        <v>0</v>
      </c>
      <c r="BN195" s="137">
        <f>'LCFS Table'!$AT195*'LCFS Table'!$CH195</f>
        <v>0.16</v>
      </c>
      <c r="BO195" s="137">
        <f>'LCFS Table'!$AU195*'LCFS Table'!$CI195</f>
        <v>0</v>
      </c>
      <c r="BP195" s="137">
        <f>'LCFS Table'!$AV195*'LCFS Table'!$CJ195</f>
        <v>0</v>
      </c>
      <c r="BQ195" s="137">
        <f>'LCFS Table'!$AW195*'LCFS Table'!$CK195</f>
        <v>0</v>
      </c>
      <c r="BR195" s="137">
        <f>'LCFS Table'!$AX195*'LCFS Table'!$CL195</f>
        <v>0</v>
      </c>
      <c r="BS195" s="137">
        <f>'LCFS Table'!$AY195*'LCFS Table'!$CM195</f>
        <v>0</v>
      </c>
      <c r="BT195" s="137">
        <f>'LCFS Table'!$AZ195*'LCFS Table'!$CN195</f>
        <v>0</v>
      </c>
      <c r="BU195" s="137">
        <f>'LCFS Table'!$BA195*'LCFS Table'!$CO195</f>
        <v>0</v>
      </c>
      <c r="BV195" s="142">
        <f>'LCFS Table'!$BB195*'LCFS Table'!$CP195</f>
        <v>1.2</v>
      </c>
      <c r="BW195" s="138">
        <v>1</v>
      </c>
      <c r="BX195" s="138">
        <v>0</v>
      </c>
      <c r="BY195" s="138">
        <v>1</v>
      </c>
      <c r="BZ195" s="138">
        <v>1</v>
      </c>
      <c r="CA195" s="138">
        <v>-1</v>
      </c>
      <c r="CB195" s="138">
        <v>1</v>
      </c>
      <c r="CC195" s="138">
        <v>0</v>
      </c>
      <c r="CD195" s="138">
        <v>1</v>
      </c>
      <c r="CE195" s="138">
        <v>1</v>
      </c>
      <c r="CF195" s="138">
        <v>-1</v>
      </c>
      <c r="CG195" s="138">
        <f>1-'LCFS Table'!$BW195</f>
        <v>0</v>
      </c>
      <c r="CH195" s="138">
        <f>1-'LCFS Table'!$BX195</f>
        <v>1</v>
      </c>
      <c r="CI195" s="138">
        <f>1-'LCFS Table'!$BY195</f>
        <v>0</v>
      </c>
      <c r="CJ195" s="138">
        <f>1-'LCFS Table'!$BZ195</f>
        <v>0</v>
      </c>
      <c r="CK195" s="138">
        <f>-'LCFS Table'!$CA195</f>
        <v>1</v>
      </c>
      <c r="CL195" s="138">
        <f>1-'LCFS Table'!$CB195</f>
        <v>0</v>
      </c>
      <c r="CM195" s="138">
        <f>1-'LCFS Table'!$CC195</f>
        <v>1</v>
      </c>
      <c r="CN195" s="138">
        <f>1-'LCFS Table'!$CD195</f>
        <v>0</v>
      </c>
      <c r="CO195" s="138">
        <f>1-'LCFS Table'!$CE195</f>
        <v>0</v>
      </c>
      <c r="CP195" s="138">
        <f>-'LCFS Table'!$CF195</f>
        <v>1</v>
      </c>
      <c r="CQ195" s="140">
        <v>12</v>
      </c>
      <c r="CR195" s="165">
        <f>('LCFS Table'!$CQ195*0.9/(0.8/0.99)/100)</f>
        <v>0.13364999999999999</v>
      </c>
      <c r="CS195" s="166"/>
      <c r="CT195" s="167"/>
      <c r="CW195" s="168">
        <f>'LCFS Table'!$K195-'LCFS Table'!$M195</f>
        <v>-4.9548707516250179E-2</v>
      </c>
      <c r="CX195" s="129">
        <f>MONTH('LCFS Table'!$B195)</f>
        <v>9</v>
      </c>
      <c r="CY195" s="129">
        <f>YEAR('LCFS Table'!$B195)</f>
        <v>2022</v>
      </c>
    </row>
    <row r="196" spans="1:103">
      <c r="A196" s="148">
        <v>44815</v>
      </c>
      <c r="B196" s="149">
        <v>44821</v>
      </c>
      <c r="C196" s="132">
        <f t="shared" ref="C196:C259" si="4">YEAR(B196)</f>
        <v>2022</v>
      </c>
      <c r="D196" s="150" t="s">
        <v>293</v>
      </c>
      <c r="E196" s="187">
        <f>'LCFS Table'!$K196-'LCFS Table'!$I196</f>
        <v>-2.639260262828536</v>
      </c>
      <c r="F196" s="187">
        <f>('LCFS Table'!$M196)-'LCFS Table'!$J196</f>
        <v>-3.2087909693974996</v>
      </c>
      <c r="G196" s="188">
        <f>'LCFS Table'!$E196+'LCFS Table'!$AS196+'LCFS Table'!$AT196+'LCFS Table'!$AU196+'LCFS Table'!$AV196</f>
        <v>2.1551734920110599</v>
      </c>
      <c r="H196" s="188">
        <f>'LCFS Table'!$F196+'LCFS Table'!$AX196+'LCFS Table'!$AY196+'LCFS Table'!$AZ196+'LCFS Table'!$BA196+('LCFS Table'!$CQ196*0.9/(0.8/0.99)/100)+(DG196*'LCFS Table'!$AF196)+(DF196*'LCFS Table'!$AG196)</f>
        <v>0.98739179687500034</v>
      </c>
      <c r="I196" s="187">
        <f>('LCFS Table'!$V196+'LCFS Table'!$W196+'LCFS Table'!$X196)/100+(('LCFS Table'!$AI196+'LCFS Table'!$AJ196)/340)</f>
        <v>6.0294602628285361</v>
      </c>
      <c r="J196" s="187">
        <f>(('LCFS Table'!$Y196+'LCFS Table'!$Z196)/100)+(('LCFS Table'!$AM196+'LCFS Table'!$AN196)/300)</f>
        <v>6.8351207031249999</v>
      </c>
      <c r="K196" s="190">
        <f>'[1]Fuel Values'!$C195</f>
        <v>3.3902000000000001</v>
      </c>
      <c r="L196" s="190">
        <f>'[1]Fuel Values'!$B195</f>
        <v>770</v>
      </c>
      <c r="M196" s="185">
        <f>('LCFS Table'!$L196/100)-'LCFS Table'!$AX196-'LCFS Table'!$AY196-'LCFS Table'!$AZ196-'LCFS Table'!$BA196</f>
        <v>3.6263297337275002</v>
      </c>
      <c r="N196" s="190">
        <f>[1]BFT!$B195</f>
        <v>78</v>
      </c>
      <c r="O196" s="190">
        <f>[1]UCO!$B195</f>
        <v>66.25</v>
      </c>
      <c r="P196" s="190">
        <f>[1]DCO!$B195</f>
        <v>72.5</v>
      </c>
      <c r="Q196" s="190">
        <f>'[1]Soybean Oil'!$B195</f>
        <v>85.171999999999997</v>
      </c>
      <c r="R196" s="190">
        <f>'[1]Yellow Grease'!$B195</f>
        <v>54.5</v>
      </c>
      <c r="S196" s="185">
        <f>'LCFS Table'!$N196 + 'LCFS Table'!$AH196</f>
        <v>82.375</v>
      </c>
      <c r="T196" s="185">
        <f>'LCFS Table'!$Q196+'LCFS Table'!$AH196</f>
        <v>89.546999999999997</v>
      </c>
      <c r="U196" s="185">
        <f>'LCFS Table'!$P196+'LCFS Table'!$AH196</f>
        <v>76.875</v>
      </c>
      <c r="V196" s="185">
        <f>(('LCFS Table'!$S196/'LCFS Table'!$AA196)*'LCFS Table'!$AC196)*6.48</f>
        <v>283.93085106382983</v>
      </c>
      <c r="W196" s="185">
        <f>(('LCFS Table'!$O196/'LCFS Table'!$AA196)*'LCFS Table'!$AD196)*6.48</f>
        <v>114.17553191489363</v>
      </c>
      <c r="X196" s="185">
        <f>(('LCFS Table'!$U196/'LCFS Table'!$AA196)*'LCFS Table'!$AE196)*6.48</f>
        <v>132.48670212765958</v>
      </c>
      <c r="Y196" s="185">
        <f>(('LCFS Table'!$T196/'LCFS Table'!$AB196)*'LCFS Table'!$AF196)*7.35</f>
        <v>514.19566406249999</v>
      </c>
      <c r="Z196" s="185">
        <f>(('LCFS Table'!$R196/'LCFS Table'!$AB196)*'LCFS Table'!$AG196)*7.35</f>
        <v>104.31640625</v>
      </c>
      <c r="AA196" s="138">
        <v>0.94</v>
      </c>
      <c r="AB196" s="138">
        <v>0.96</v>
      </c>
      <c r="AC196" s="138">
        <v>0.5</v>
      </c>
      <c r="AD196" s="138">
        <v>0.25</v>
      </c>
      <c r="AE196" s="138">
        <v>0.25</v>
      </c>
      <c r="AF196" s="138">
        <v>0.75</v>
      </c>
      <c r="AG196" s="138">
        <v>0.25</v>
      </c>
      <c r="AH196" s="139">
        <v>4.375</v>
      </c>
      <c r="AI196" s="139">
        <v>136</v>
      </c>
      <c r="AJ196" s="139">
        <v>110</v>
      </c>
      <c r="AK196" s="186">
        <f>('LCFS Table'!$AI196/340)*100</f>
        <v>40</v>
      </c>
      <c r="AL196" s="186">
        <f>('LCFS Table'!$AJ196/340)*100</f>
        <v>32.352941176470587</v>
      </c>
      <c r="AM196" s="139">
        <v>105</v>
      </c>
      <c r="AN196" s="139">
        <v>90</v>
      </c>
      <c r="AO196" s="139">
        <f>('LCFS Table'!$AM196/300)*100</f>
        <v>35</v>
      </c>
      <c r="AP196" s="139">
        <f>('LCFS Table'!$AN196/300)*100</f>
        <v>30</v>
      </c>
      <c r="AQ196" s="140">
        <f>'[1]LCFS Values'!$B195</f>
        <v>81.150000000000006</v>
      </c>
      <c r="AR196" s="140">
        <f>'[1]RIN Values'!$B195/100</f>
        <v>1.7657499999999999</v>
      </c>
      <c r="AS196" s="185">
        <v>0.63265875483959577</v>
      </c>
      <c r="AT196" s="137">
        <v>0.16</v>
      </c>
      <c r="AU196" s="137">
        <v>1</v>
      </c>
      <c r="AV196" s="185">
        <f>'LCFS Table'!$AR196*1.7</f>
        <v>3.0017749999999999</v>
      </c>
      <c r="AW196" s="137">
        <v>0</v>
      </c>
      <c r="AX196" s="185">
        <v>0.42504526627249994</v>
      </c>
      <c r="AY196" s="137">
        <v>0</v>
      </c>
      <c r="AZ196" s="141">
        <v>1</v>
      </c>
      <c r="BA196" s="185">
        <f>'LCFS Table'!$AR196*1.5</f>
        <v>2.648625</v>
      </c>
      <c r="BB196" s="142">
        <v>1.2</v>
      </c>
      <c r="BC196" s="185">
        <f>'LCFS Table'!$AS196*'LCFS Table'!$BW196</f>
        <v>0.63265875483959577</v>
      </c>
      <c r="BD196" s="185">
        <f>'LCFS Table'!$AT196*'LCFS Table'!$BX196</f>
        <v>0</v>
      </c>
      <c r="BE196" s="185">
        <f>'LCFS Table'!$AU196*'LCFS Table'!$BY196</f>
        <v>1</v>
      </c>
      <c r="BF196" s="137">
        <f>'LCFS Table'!$AV196*'LCFS Table'!$BZ196</f>
        <v>3.0017749999999999</v>
      </c>
      <c r="BG196" s="137">
        <f>'LCFS Table'!$AW196*'LCFS Table'!$CA196</f>
        <v>0</v>
      </c>
      <c r="BH196" s="137">
        <f>'LCFS Table'!$AX196*'LCFS Table'!$CB196</f>
        <v>0.42504526627249994</v>
      </c>
      <c r="BI196" s="137">
        <f>'LCFS Table'!$AY196*'LCFS Table'!$CC196</f>
        <v>0</v>
      </c>
      <c r="BJ196" s="137">
        <f>'LCFS Table'!$AZ196*'LCFS Table'!$CD196</f>
        <v>1</v>
      </c>
      <c r="BK196" s="137">
        <f>'LCFS Table'!$BA196*'LCFS Table'!$CE196</f>
        <v>2.648625</v>
      </c>
      <c r="BL196" s="137">
        <f>'LCFS Table'!$BB196*'LCFS Table'!$CF196</f>
        <v>-1.2</v>
      </c>
      <c r="BM196" s="137">
        <f>'LCFS Table'!$AS196*'LCFS Table'!$CG196</f>
        <v>0</v>
      </c>
      <c r="BN196" s="137">
        <f>'LCFS Table'!$AT196*'LCFS Table'!$CH196</f>
        <v>0.16</v>
      </c>
      <c r="BO196" s="137">
        <f>'LCFS Table'!$AU196*'LCFS Table'!$CI196</f>
        <v>0</v>
      </c>
      <c r="BP196" s="137">
        <f>'LCFS Table'!$AV196*'LCFS Table'!$CJ196</f>
        <v>0</v>
      </c>
      <c r="BQ196" s="137">
        <f>'LCFS Table'!$AW196*'LCFS Table'!$CK196</f>
        <v>0</v>
      </c>
      <c r="BR196" s="137">
        <f>'LCFS Table'!$AX196*'LCFS Table'!$CL196</f>
        <v>0</v>
      </c>
      <c r="BS196" s="137">
        <f>'LCFS Table'!$AY196*'LCFS Table'!$CM196</f>
        <v>0</v>
      </c>
      <c r="BT196" s="137">
        <f>'LCFS Table'!$AZ196*'LCFS Table'!$CN196</f>
        <v>0</v>
      </c>
      <c r="BU196" s="137">
        <f>'LCFS Table'!$BA196*'LCFS Table'!$CO196</f>
        <v>0</v>
      </c>
      <c r="BV196" s="142">
        <f>'LCFS Table'!$BB196*'LCFS Table'!$CP196</f>
        <v>1.2</v>
      </c>
      <c r="BW196" s="138">
        <v>1</v>
      </c>
      <c r="BX196" s="138">
        <v>0</v>
      </c>
      <c r="BY196" s="138">
        <v>1</v>
      </c>
      <c r="BZ196" s="138">
        <v>1</v>
      </c>
      <c r="CA196" s="138">
        <v>-1</v>
      </c>
      <c r="CB196" s="138">
        <v>1</v>
      </c>
      <c r="CC196" s="138">
        <v>0</v>
      </c>
      <c r="CD196" s="138">
        <v>1</v>
      </c>
      <c r="CE196" s="138">
        <v>1</v>
      </c>
      <c r="CF196" s="138">
        <v>-1</v>
      </c>
      <c r="CG196" s="138">
        <f>1-'LCFS Table'!$BW196</f>
        <v>0</v>
      </c>
      <c r="CH196" s="138">
        <f>1-'LCFS Table'!$BX196</f>
        <v>1</v>
      </c>
      <c r="CI196" s="138">
        <f>1-'LCFS Table'!$BY196</f>
        <v>0</v>
      </c>
      <c r="CJ196" s="138">
        <f>1-'LCFS Table'!$BZ196</f>
        <v>0</v>
      </c>
      <c r="CK196" s="138">
        <f>-'LCFS Table'!$CA196</f>
        <v>1</v>
      </c>
      <c r="CL196" s="138">
        <f>1-'LCFS Table'!$CB196</f>
        <v>0</v>
      </c>
      <c r="CM196" s="138">
        <f>1-'LCFS Table'!$CC196</f>
        <v>1</v>
      </c>
      <c r="CN196" s="138">
        <f>1-'LCFS Table'!$CD196</f>
        <v>0</v>
      </c>
      <c r="CO196" s="138">
        <f>1-'LCFS Table'!$CE196</f>
        <v>0</v>
      </c>
      <c r="CP196" s="138">
        <f>-'LCFS Table'!$CF196</f>
        <v>1</v>
      </c>
      <c r="CQ196" s="140">
        <v>11</v>
      </c>
      <c r="CR196" s="165">
        <f>('LCFS Table'!$CQ196*0.9/(0.8/0.99)/100)</f>
        <v>0.12251249999999998</v>
      </c>
      <c r="CS196" s="166"/>
      <c r="CT196" s="167"/>
      <c r="CW196" s="168">
        <f>'LCFS Table'!$K196-'LCFS Table'!$M196</f>
        <v>-0.23612973372750012</v>
      </c>
      <c r="CX196" s="129">
        <f>MONTH('LCFS Table'!$B196)</f>
        <v>9</v>
      </c>
      <c r="CY196" s="129">
        <f>YEAR('LCFS Table'!$B196)</f>
        <v>2022</v>
      </c>
    </row>
    <row r="197" spans="1:103">
      <c r="A197" s="148">
        <v>44822</v>
      </c>
      <c r="B197" s="149">
        <v>44828</v>
      </c>
      <c r="C197" s="132">
        <f t="shared" si="4"/>
        <v>2022</v>
      </c>
      <c r="D197" s="182" t="s">
        <v>294</v>
      </c>
      <c r="E197" s="187">
        <f>'LCFS Table'!$K197-'LCFS Table'!$I197</f>
        <v>-2.5364794117647063</v>
      </c>
      <c r="F197" s="187">
        <f>('LCFS Table'!$M197)-'LCFS Table'!$J197</f>
        <v>-3.1336500304674999</v>
      </c>
      <c r="G197" s="188">
        <f>'LCFS Table'!$E197+'LCFS Table'!$AS197+'LCFS Table'!$AT197+'LCFS Table'!$AU197+'LCFS Table'!$AV197</f>
        <v>2.1554703806230044</v>
      </c>
      <c r="H197" s="188">
        <f>'LCFS Table'!$F197+'LCFS Table'!$AX197+'LCFS Table'!$AY197+'LCFS Table'!$AZ197+'LCFS Table'!$BA197+('LCFS Table'!$CQ197*0.9/(0.8/0.99)/100)+(DG197*'LCFS Table'!$AF197)+(DF197*'LCFS Table'!$AG197)</f>
        <v>0.98750664062499993</v>
      </c>
      <c r="I197" s="187">
        <f>('LCFS Table'!$V197+'LCFS Table'!$W197+'LCFS Table'!$X197)/100+(('LCFS Table'!$AI197+'LCFS Table'!$AJ197)/340)</f>
        <v>5.8872794117647063</v>
      </c>
      <c r="J197" s="187">
        <f>(('LCFS Table'!$Y197+'LCFS Table'!$Z197)/100)+(('LCFS Table'!$AM197+'LCFS Table'!$AN197)/300)</f>
        <v>6.8350058593750003</v>
      </c>
      <c r="K197" s="190">
        <f>'[1]Fuel Values'!$C196</f>
        <v>3.3508</v>
      </c>
      <c r="L197" s="190">
        <f>'[1]Fuel Values'!$B196</f>
        <v>770</v>
      </c>
      <c r="M197" s="185">
        <f>('LCFS Table'!$L197/100)-'LCFS Table'!$AX197-'LCFS Table'!$AY197-'LCFS Table'!$AZ197-'LCFS Table'!$BA197</f>
        <v>3.7013558289075004</v>
      </c>
      <c r="N197" s="190">
        <f>[1]BFT!$B196</f>
        <v>74</v>
      </c>
      <c r="O197" s="190">
        <f>[1]UCO!$B196</f>
        <v>65.5</v>
      </c>
      <c r="P197" s="190">
        <f>[1]DCO!$B196</f>
        <v>73</v>
      </c>
      <c r="Q197" s="190">
        <f>'[1]Soybean Oil'!$B196</f>
        <v>85.17</v>
      </c>
      <c r="R197" s="190">
        <f>'[1]Yellow Grease'!$B196</f>
        <v>54.5</v>
      </c>
      <c r="S197" s="185">
        <f>'LCFS Table'!$N197 + 'LCFS Table'!$AH197</f>
        <v>78.375</v>
      </c>
      <c r="T197" s="185">
        <f>'LCFS Table'!$Q197+'LCFS Table'!$AH197</f>
        <v>89.545000000000002</v>
      </c>
      <c r="U197" s="185">
        <f>'LCFS Table'!$P197+'LCFS Table'!$AH197</f>
        <v>77.375</v>
      </c>
      <c r="V197" s="185">
        <f>(('LCFS Table'!$S197/'LCFS Table'!$AA197)*'LCFS Table'!$AC197)*6.48</f>
        <v>270.14361702127661</v>
      </c>
      <c r="W197" s="185">
        <f>(('LCFS Table'!$O197/'LCFS Table'!$AA197)*'LCFS Table'!$AD197)*6.48</f>
        <v>112.88297872340426</v>
      </c>
      <c r="X197" s="185">
        <f>(('LCFS Table'!$U197/'LCFS Table'!$AA197)*'LCFS Table'!$AE197)*6.48</f>
        <v>133.34840425531917</v>
      </c>
      <c r="Y197" s="185">
        <f>(('LCFS Table'!$T197/'LCFS Table'!$AB197)*'LCFS Table'!$AF197)*7.35</f>
        <v>514.18417968749998</v>
      </c>
      <c r="Z197" s="185">
        <f>(('LCFS Table'!$R197/'LCFS Table'!$AB197)*'LCFS Table'!$AG197)*7.35</f>
        <v>104.31640625</v>
      </c>
      <c r="AA197" s="138">
        <v>0.94</v>
      </c>
      <c r="AB197" s="138">
        <v>0.96</v>
      </c>
      <c r="AC197" s="138">
        <v>0.5</v>
      </c>
      <c r="AD197" s="138">
        <v>0.25</v>
      </c>
      <c r="AE197" s="138">
        <v>0.25</v>
      </c>
      <c r="AF197" s="138">
        <v>0.75</v>
      </c>
      <c r="AG197" s="138">
        <v>0.25</v>
      </c>
      <c r="AH197" s="139">
        <v>4.375</v>
      </c>
      <c r="AI197" s="139">
        <v>136</v>
      </c>
      <c r="AJ197" s="139">
        <v>110</v>
      </c>
      <c r="AK197" s="186">
        <f>('LCFS Table'!$AI197/340)*100</f>
        <v>40</v>
      </c>
      <c r="AL197" s="186">
        <f>('LCFS Table'!$AJ197/340)*100</f>
        <v>32.352941176470587</v>
      </c>
      <c r="AM197" s="139">
        <v>105</v>
      </c>
      <c r="AN197" s="139">
        <v>90</v>
      </c>
      <c r="AO197" s="139">
        <f>('LCFS Table'!$AM197/300)*100</f>
        <v>35</v>
      </c>
      <c r="AP197" s="139">
        <f>('LCFS Table'!$AN197/300)*100</f>
        <v>30</v>
      </c>
      <c r="AQ197" s="140">
        <f>'[1]LCFS Values'!$B196</f>
        <v>76.099999999999994</v>
      </c>
      <c r="AR197" s="140">
        <f>'[1]RIN Values'!$B196/100</f>
        <v>1.7484999999999999</v>
      </c>
      <c r="AS197" s="185">
        <v>0.55949979238771086</v>
      </c>
      <c r="AT197" s="137">
        <v>0.16</v>
      </c>
      <c r="AU197" s="137">
        <v>1</v>
      </c>
      <c r="AV197" s="185">
        <f>'LCFS Table'!$AR197*1.7</f>
        <v>2.9724499999999998</v>
      </c>
      <c r="AW197" s="137">
        <v>0</v>
      </c>
      <c r="AX197" s="185">
        <v>0.3758941710924999</v>
      </c>
      <c r="AY197" s="137">
        <v>0</v>
      </c>
      <c r="AZ197" s="141">
        <v>1</v>
      </c>
      <c r="BA197" s="185">
        <f>'LCFS Table'!$AR197*1.5</f>
        <v>2.6227499999999999</v>
      </c>
      <c r="BB197" s="142">
        <v>1.2</v>
      </c>
      <c r="BC197" s="185">
        <f>'LCFS Table'!$AS197*'LCFS Table'!$BW197</f>
        <v>0.55949979238771086</v>
      </c>
      <c r="BD197" s="185">
        <f>'LCFS Table'!$AT197*'LCFS Table'!$BX197</f>
        <v>0</v>
      </c>
      <c r="BE197" s="185">
        <f>'LCFS Table'!$AU197*'LCFS Table'!$BY197</f>
        <v>1</v>
      </c>
      <c r="BF197" s="137">
        <f>'LCFS Table'!$AV197*'LCFS Table'!$BZ197</f>
        <v>2.9724499999999998</v>
      </c>
      <c r="BG197" s="137">
        <f>'LCFS Table'!$AW197*'LCFS Table'!$CA197</f>
        <v>0</v>
      </c>
      <c r="BH197" s="137">
        <f>'LCFS Table'!$AX197*'LCFS Table'!$CB197</f>
        <v>0.3758941710924999</v>
      </c>
      <c r="BI197" s="137">
        <f>'LCFS Table'!$AY197*'LCFS Table'!$CC197</f>
        <v>0</v>
      </c>
      <c r="BJ197" s="137">
        <f>'LCFS Table'!$AZ197*'LCFS Table'!$CD197</f>
        <v>1</v>
      </c>
      <c r="BK197" s="137">
        <f>'LCFS Table'!$BA197*'LCFS Table'!$CE197</f>
        <v>2.6227499999999999</v>
      </c>
      <c r="BL197" s="137">
        <f>'LCFS Table'!$BB197*'LCFS Table'!$CF197</f>
        <v>-1.2</v>
      </c>
      <c r="BM197" s="137">
        <f>'LCFS Table'!$AS197*'LCFS Table'!$CG197</f>
        <v>0</v>
      </c>
      <c r="BN197" s="137">
        <f>'LCFS Table'!$AT197*'LCFS Table'!$CH197</f>
        <v>0.16</v>
      </c>
      <c r="BO197" s="137">
        <f>'LCFS Table'!$AU197*'LCFS Table'!$CI197</f>
        <v>0</v>
      </c>
      <c r="BP197" s="137">
        <f>'LCFS Table'!$AV197*'LCFS Table'!$CJ197</f>
        <v>0</v>
      </c>
      <c r="BQ197" s="137">
        <f>'LCFS Table'!$AW197*'LCFS Table'!$CK197</f>
        <v>0</v>
      </c>
      <c r="BR197" s="137">
        <f>'LCFS Table'!$AX197*'LCFS Table'!$CL197</f>
        <v>0</v>
      </c>
      <c r="BS197" s="137">
        <f>'LCFS Table'!$AY197*'LCFS Table'!$CM197</f>
        <v>0</v>
      </c>
      <c r="BT197" s="137">
        <f>'LCFS Table'!$AZ197*'LCFS Table'!$CN197</f>
        <v>0</v>
      </c>
      <c r="BU197" s="137">
        <f>'LCFS Table'!$BA197*'LCFS Table'!$CO197</f>
        <v>0</v>
      </c>
      <c r="BV197" s="142">
        <f>'LCFS Table'!$BB197*'LCFS Table'!$CP197</f>
        <v>1.2</v>
      </c>
      <c r="BW197" s="138">
        <v>1</v>
      </c>
      <c r="BX197" s="138">
        <v>0</v>
      </c>
      <c r="BY197" s="138">
        <v>1</v>
      </c>
      <c r="BZ197" s="138">
        <v>1</v>
      </c>
      <c r="CA197" s="138">
        <v>-1</v>
      </c>
      <c r="CB197" s="138">
        <v>1</v>
      </c>
      <c r="CC197" s="138">
        <v>0</v>
      </c>
      <c r="CD197" s="138">
        <v>1</v>
      </c>
      <c r="CE197" s="138">
        <v>1</v>
      </c>
      <c r="CF197" s="138">
        <v>-1</v>
      </c>
      <c r="CG197" s="138">
        <f>1-'LCFS Table'!$BW197</f>
        <v>0</v>
      </c>
      <c r="CH197" s="138">
        <f>1-'LCFS Table'!$BX197</f>
        <v>1</v>
      </c>
      <c r="CI197" s="138">
        <f>1-'LCFS Table'!$BY197</f>
        <v>0</v>
      </c>
      <c r="CJ197" s="138">
        <f>1-'LCFS Table'!$BZ197</f>
        <v>0</v>
      </c>
      <c r="CK197" s="138">
        <f>-'LCFS Table'!$CA197</f>
        <v>1</v>
      </c>
      <c r="CL197" s="138">
        <f>1-'LCFS Table'!$CB197</f>
        <v>0</v>
      </c>
      <c r="CM197" s="138">
        <f>1-'LCFS Table'!$CC197</f>
        <v>1</v>
      </c>
      <c r="CN197" s="138">
        <f>1-'LCFS Table'!$CD197</f>
        <v>0</v>
      </c>
      <c r="CO197" s="138">
        <f>1-'LCFS Table'!$CE197</f>
        <v>0</v>
      </c>
      <c r="CP197" s="138">
        <f>-'LCFS Table'!$CF197</f>
        <v>1</v>
      </c>
      <c r="CQ197" s="140">
        <v>11</v>
      </c>
      <c r="CR197" s="165">
        <f>('LCFS Table'!$CQ197*0.9/(0.8/0.99)/100)</f>
        <v>0.12251249999999998</v>
      </c>
      <c r="CS197" s="166"/>
      <c r="CT197" s="167"/>
      <c r="CW197" s="168">
        <f>'LCFS Table'!$K197-'LCFS Table'!$M197</f>
        <v>-0.35055582890750037</v>
      </c>
      <c r="CX197" s="129">
        <f>MONTH('LCFS Table'!$B197)</f>
        <v>9</v>
      </c>
      <c r="CY197" s="129">
        <f>YEAR('LCFS Table'!$B197)</f>
        <v>2022</v>
      </c>
    </row>
    <row r="198" spans="1:103">
      <c r="A198" s="148">
        <v>44829</v>
      </c>
      <c r="B198" s="149">
        <v>44835</v>
      </c>
      <c r="C198" s="132">
        <f t="shared" si="4"/>
        <v>2022</v>
      </c>
      <c r="D198" s="150" t="s">
        <v>295</v>
      </c>
      <c r="E198" s="187">
        <f>'LCFS Table'!$K198-'LCFS Table'!$I198</f>
        <v>-2.5321985607008766</v>
      </c>
      <c r="F198" s="187">
        <f>('LCFS Table'!$M198)-'LCFS Table'!$J198</f>
        <v>-2.8938506353350015</v>
      </c>
      <c r="G198" s="188">
        <f>'LCFS Table'!$E198+'LCFS Table'!$AS198+'LCFS Table'!$AT198+'LCFS Table'!$AU198+'LCFS Table'!$AV198</f>
        <v>2.0983912133832012</v>
      </c>
      <c r="H198" s="188">
        <f>'LCFS Table'!$F198+'LCFS Table'!$AX198+'LCFS Table'!$AY198+'LCFS Table'!$AZ198+'LCFS Table'!$BA198+('LCFS Table'!$CQ198*0.9/(0.8/0.99)/100)+(DG198*'LCFS Table'!$AF198)+(DF198*'LCFS Table'!$AG198)</f>
        <v>1.1796402343749985</v>
      </c>
      <c r="I198" s="187">
        <f>('LCFS Table'!$V198+'LCFS Table'!$W198+'LCFS Table'!$X198)/100+(('LCFS Table'!$AI198+'LCFS Table'!$AJ198)/340)</f>
        <v>5.8665985607008766</v>
      </c>
      <c r="J198" s="187">
        <f>(('LCFS Table'!$Y198+'LCFS Table'!$Z198)/100)+(('LCFS Table'!$AM198+'LCFS Table'!$AN198)/300)</f>
        <v>6.6428722656250017</v>
      </c>
      <c r="K198" s="190">
        <f>'[1]Fuel Values'!$C197</f>
        <v>3.3344</v>
      </c>
      <c r="L198" s="190">
        <f>'[1]Fuel Values'!$B197</f>
        <v>770</v>
      </c>
      <c r="M198" s="185">
        <f>('LCFS Table'!$L198/100)-'LCFS Table'!$AX198-'LCFS Table'!$AY198-'LCFS Table'!$AZ198-'LCFS Table'!$BA198</f>
        <v>3.7490216302900001</v>
      </c>
      <c r="N198" s="190">
        <f>[1]BFT!$B197</f>
        <v>74</v>
      </c>
      <c r="O198" s="190">
        <f>[1]UCO!$B197</f>
        <v>65.5</v>
      </c>
      <c r="P198" s="190">
        <f>[1]DCO!$B197</f>
        <v>71.8</v>
      </c>
      <c r="Q198" s="190">
        <f>'[1]Soybean Oil'!$B197</f>
        <v>81.823999999999998</v>
      </c>
      <c r="R198" s="190">
        <f>'[1]Yellow Grease'!$B197</f>
        <v>54.5</v>
      </c>
      <c r="S198" s="185">
        <f>'LCFS Table'!$N198 + 'LCFS Table'!$AH198</f>
        <v>78.375</v>
      </c>
      <c r="T198" s="185">
        <f>'LCFS Table'!$Q198+'LCFS Table'!$AH198</f>
        <v>86.198999999999998</v>
      </c>
      <c r="U198" s="185">
        <f>'LCFS Table'!$P198+'LCFS Table'!$AH198</f>
        <v>76.174999999999997</v>
      </c>
      <c r="V198" s="185">
        <f>(('LCFS Table'!$S198/'LCFS Table'!$AA198)*'LCFS Table'!$AC198)*6.48</f>
        <v>270.14361702127661</v>
      </c>
      <c r="W198" s="185">
        <f>(('LCFS Table'!$O198/'LCFS Table'!$AA198)*'LCFS Table'!$AD198)*6.48</f>
        <v>112.88297872340426</v>
      </c>
      <c r="X198" s="185">
        <f>(('LCFS Table'!$U198/'LCFS Table'!$AA198)*'LCFS Table'!$AE198)*6.48</f>
        <v>131.28031914893617</v>
      </c>
      <c r="Y198" s="185">
        <f>(('LCFS Table'!$T198/'LCFS Table'!$AB198)*'LCFS Table'!$AF198)*7.35</f>
        <v>494.97082031250005</v>
      </c>
      <c r="Z198" s="185">
        <f>(('LCFS Table'!$R198/'LCFS Table'!$AB198)*'LCFS Table'!$AG198)*7.35</f>
        <v>104.31640625</v>
      </c>
      <c r="AA198" s="138">
        <v>0.94</v>
      </c>
      <c r="AB198" s="138">
        <v>0.96</v>
      </c>
      <c r="AC198" s="138">
        <v>0.5</v>
      </c>
      <c r="AD198" s="138">
        <v>0.25</v>
      </c>
      <c r="AE198" s="138">
        <v>0.25</v>
      </c>
      <c r="AF198" s="138">
        <v>0.75</v>
      </c>
      <c r="AG198" s="138">
        <v>0.25</v>
      </c>
      <c r="AH198" s="139">
        <v>4.375</v>
      </c>
      <c r="AI198" s="139">
        <v>136</v>
      </c>
      <c r="AJ198" s="139">
        <v>110</v>
      </c>
      <c r="AK198" s="186">
        <f>('LCFS Table'!$AI198/340)*100</f>
        <v>40</v>
      </c>
      <c r="AL198" s="186">
        <f>('LCFS Table'!$AJ198/340)*100</f>
        <v>32.352941176470587</v>
      </c>
      <c r="AM198" s="139">
        <v>105</v>
      </c>
      <c r="AN198" s="139">
        <v>90</v>
      </c>
      <c r="AO198" s="139">
        <f>('LCFS Table'!$AM198/300)*100</f>
        <v>35</v>
      </c>
      <c r="AP198" s="139">
        <f>('LCFS Table'!$AN198/300)*100</f>
        <v>30</v>
      </c>
      <c r="AQ198" s="140">
        <f>'[1]LCFS Values'!$B197</f>
        <v>67.3</v>
      </c>
      <c r="AR198" s="140">
        <f>'[1]RIN Values'!$B197/100</f>
        <v>1.7305000000000001</v>
      </c>
      <c r="AS198" s="185">
        <v>0.52873977408407746</v>
      </c>
      <c r="AT198" s="137">
        <v>0.16</v>
      </c>
      <c r="AU198" s="137">
        <v>1</v>
      </c>
      <c r="AV198" s="185">
        <f>'LCFS Table'!$AR198*1.7</f>
        <v>2.9418500000000001</v>
      </c>
      <c r="AW198" s="137">
        <v>0</v>
      </c>
      <c r="AX198" s="185">
        <v>0.35522836970999994</v>
      </c>
      <c r="AY198" s="137">
        <v>0</v>
      </c>
      <c r="AZ198" s="141">
        <v>1</v>
      </c>
      <c r="BA198" s="185">
        <f>'LCFS Table'!$AR198*1.5</f>
        <v>2.5957500000000002</v>
      </c>
      <c r="BB198" s="142">
        <v>1.2</v>
      </c>
      <c r="BC198" s="185">
        <f>'LCFS Table'!$AS198*'LCFS Table'!$BW198</f>
        <v>0.52873977408407746</v>
      </c>
      <c r="BD198" s="185">
        <f>'LCFS Table'!$AT198*'LCFS Table'!$BX198</f>
        <v>0</v>
      </c>
      <c r="BE198" s="185">
        <f>'LCFS Table'!$AU198*'LCFS Table'!$BY198</f>
        <v>1</v>
      </c>
      <c r="BF198" s="137">
        <f>'LCFS Table'!$AV198*'LCFS Table'!$BZ198</f>
        <v>2.9418500000000001</v>
      </c>
      <c r="BG198" s="137">
        <f>'LCFS Table'!$AW198*'LCFS Table'!$CA198</f>
        <v>0</v>
      </c>
      <c r="BH198" s="137">
        <f>'LCFS Table'!$AX198*'LCFS Table'!$CB198</f>
        <v>0.35522836970999994</v>
      </c>
      <c r="BI198" s="137">
        <f>'LCFS Table'!$AY198*'LCFS Table'!$CC198</f>
        <v>0</v>
      </c>
      <c r="BJ198" s="137">
        <f>'LCFS Table'!$AZ198*'LCFS Table'!$CD198</f>
        <v>1</v>
      </c>
      <c r="BK198" s="137">
        <f>'LCFS Table'!$BA198*'LCFS Table'!$CE198</f>
        <v>2.5957500000000002</v>
      </c>
      <c r="BL198" s="137">
        <f>'LCFS Table'!$BB198*'LCFS Table'!$CF198</f>
        <v>-1.2</v>
      </c>
      <c r="BM198" s="137">
        <f>'LCFS Table'!$AS198*'LCFS Table'!$CG198</f>
        <v>0</v>
      </c>
      <c r="BN198" s="137">
        <f>'LCFS Table'!$AT198*'LCFS Table'!$CH198</f>
        <v>0.16</v>
      </c>
      <c r="BO198" s="137">
        <f>'LCFS Table'!$AU198*'LCFS Table'!$CI198</f>
        <v>0</v>
      </c>
      <c r="BP198" s="137">
        <f>'LCFS Table'!$AV198*'LCFS Table'!$CJ198</f>
        <v>0</v>
      </c>
      <c r="BQ198" s="137">
        <f>'LCFS Table'!$AW198*'LCFS Table'!$CK198</f>
        <v>0</v>
      </c>
      <c r="BR198" s="137">
        <f>'LCFS Table'!$AX198*'LCFS Table'!$CL198</f>
        <v>0</v>
      </c>
      <c r="BS198" s="137">
        <f>'LCFS Table'!$AY198*'LCFS Table'!$CM198</f>
        <v>0</v>
      </c>
      <c r="BT198" s="137">
        <f>'LCFS Table'!$AZ198*'LCFS Table'!$CN198</f>
        <v>0</v>
      </c>
      <c r="BU198" s="137">
        <f>'LCFS Table'!$BA198*'LCFS Table'!$CO198</f>
        <v>0</v>
      </c>
      <c r="BV198" s="142">
        <f>'LCFS Table'!$BB198*'LCFS Table'!$CP198</f>
        <v>1.2</v>
      </c>
      <c r="BW198" s="138">
        <v>1</v>
      </c>
      <c r="BX198" s="138">
        <v>0</v>
      </c>
      <c r="BY198" s="138">
        <v>1</v>
      </c>
      <c r="BZ198" s="138">
        <v>1</v>
      </c>
      <c r="CA198" s="138">
        <v>-1</v>
      </c>
      <c r="CB198" s="138">
        <v>1</v>
      </c>
      <c r="CC198" s="138">
        <v>0</v>
      </c>
      <c r="CD198" s="138">
        <v>1</v>
      </c>
      <c r="CE198" s="138">
        <v>1</v>
      </c>
      <c r="CF198" s="138">
        <v>-1</v>
      </c>
      <c r="CG198" s="138">
        <f>1-'LCFS Table'!$BW198</f>
        <v>0</v>
      </c>
      <c r="CH198" s="138">
        <f>1-'LCFS Table'!$BX198</f>
        <v>1</v>
      </c>
      <c r="CI198" s="138">
        <f>1-'LCFS Table'!$BY198</f>
        <v>0</v>
      </c>
      <c r="CJ198" s="138">
        <f>1-'LCFS Table'!$BZ198</f>
        <v>0</v>
      </c>
      <c r="CK198" s="138">
        <f>-'LCFS Table'!$CA198</f>
        <v>1</v>
      </c>
      <c r="CL198" s="138">
        <f>1-'LCFS Table'!$CB198</f>
        <v>0</v>
      </c>
      <c r="CM198" s="138">
        <f>1-'LCFS Table'!$CC198</f>
        <v>1</v>
      </c>
      <c r="CN198" s="138">
        <f>1-'LCFS Table'!$CD198</f>
        <v>0</v>
      </c>
      <c r="CO198" s="138">
        <f>1-'LCFS Table'!$CE198</f>
        <v>0</v>
      </c>
      <c r="CP198" s="138">
        <f>-'LCFS Table'!$CF198</f>
        <v>1</v>
      </c>
      <c r="CQ198" s="140">
        <v>11</v>
      </c>
      <c r="CR198" s="165">
        <f>('LCFS Table'!$CQ198*0.9/(0.8/0.99)/100)</f>
        <v>0.12251249999999998</v>
      </c>
      <c r="CS198" s="166"/>
      <c r="CT198" s="167"/>
      <c r="CW198" s="168">
        <f>'LCFS Table'!$K198-'LCFS Table'!$M198</f>
        <v>-0.4146216302900001</v>
      </c>
      <c r="CX198" s="129">
        <f>MONTH('LCFS Table'!$B198)</f>
        <v>10</v>
      </c>
      <c r="CY198" s="129">
        <f>YEAR('LCFS Table'!$B198)</f>
        <v>2022</v>
      </c>
    </row>
    <row r="199" spans="1:103">
      <c r="A199" s="148">
        <v>44836</v>
      </c>
      <c r="B199" s="149">
        <v>44842</v>
      </c>
      <c r="C199" s="132">
        <f t="shared" si="4"/>
        <v>2022</v>
      </c>
      <c r="D199" s="182" t="s">
        <v>296</v>
      </c>
      <c r="E199" s="187">
        <f>'LCFS Table'!$K199-'LCFS Table'!$I199</f>
        <v>-2.1632219649561968</v>
      </c>
      <c r="F199" s="187">
        <f>('LCFS Table'!$M199)-'LCFS Table'!$J199</f>
        <v>-2.9305556163725002</v>
      </c>
      <c r="G199" s="188">
        <f>'LCFS Table'!$E199+'LCFS Table'!$AS199+'LCFS Table'!$AT199+'LCFS Table'!$AU199+'LCFS Table'!$AV199</f>
        <v>2.5627651237394256</v>
      </c>
      <c r="H199" s="188">
        <f>'LCFS Table'!$F199+'LCFS Table'!$AX199+'LCFS Table'!$AY199+'LCFS Table'!$AZ199+'LCFS Table'!$BA199+('LCFS Table'!$CQ199*0.9/(0.8/0.99)/100)+(DG199*'LCFS Table'!$AF199)+(DF199*'LCFS Table'!$AG199)</f>
        <v>1.2209839843749997</v>
      </c>
      <c r="I199" s="187">
        <f>('LCFS Table'!$V199+'LCFS Table'!$W199+'LCFS Table'!$X199)/100+(('LCFS Table'!$AI199+'LCFS Table'!$AJ199)/340)</f>
        <v>5.8683219649561966</v>
      </c>
      <c r="J199" s="187">
        <f>(('LCFS Table'!$Y199+'LCFS Table'!$Z199)/100)+(('LCFS Table'!$AM199+'LCFS Table'!$AN199)/300)</f>
        <v>6.6015285156250005</v>
      </c>
      <c r="K199" s="190">
        <f>'[1]Fuel Values'!$C198</f>
        <v>3.7050999999999998</v>
      </c>
      <c r="L199" s="190">
        <f>'[1]Fuel Values'!$B198</f>
        <v>770</v>
      </c>
      <c r="M199" s="185">
        <f>('LCFS Table'!$L199/100)-'LCFS Table'!$AX199-'LCFS Table'!$AY199-'LCFS Table'!$AZ199-'LCFS Table'!$BA199</f>
        <v>3.6709728992525004</v>
      </c>
      <c r="N199" s="190">
        <f>[1]BFT!$B198</f>
        <v>74</v>
      </c>
      <c r="O199" s="190">
        <f>[1]UCO!$B198</f>
        <v>65.5</v>
      </c>
      <c r="P199" s="190">
        <f>[1]DCO!$B198</f>
        <v>71.900000000000006</v>
      </c>
      <c r="Q199" s="190">
        <f>'[1]Soybean Oil'!$B198</f>
        <v>81.103999999999999</v>
      </c>
      <c r="R199" s="190">
        <f>'[1]Yellow Grease'!$B198</f>
        <v>54.5</v>
      </c>
      <c r="S199" s="185">
        <f>'LCFS Table'!$N199 + 'LCFS Table'!$AH199</f>
        <v>78.375</v>
      </c>
      <c r="T199" s="185">
        <f>'LCFS Table'!$Q199+'LCFS Table'!$AH199</f>
        <v>85.478999999999999</v>
      </c>
      <c r="U199" s="185">
        <f>'LCFS Table'!$P199+'LCFS Table'!$AH199</f>
        <v>76.275000000000006</v>
      </c>
      <c r="V199" s="185">
        <f>(('LCFS Table'!$S199/'LCFS Table'!$AA199)*'LCFS Table'!$AC199)*6.48</f>
        <v>270.14361702127661</v>
      </c>
      <c r="W199" s="185">
        <f>(('LCFS Table'!$O199/'LCFS Table'!$AA199)*'LCFS Table'!$AD199)*6.48</f>
        <v>112.88297872340426</v>
      </c>
      <c r="X199" s="185">
        <f>(('LCFS Table'!$U199/'LCFS Table'!$AA199)*'LCFS Table'!$AE199)*6.48</f>
        <v>131.45265957446813</v>
      </c>
      <c r="Y199" s="185">
        <f>(('LCFS Table'!$T199/'LCFS Table'!$AB199)*'LCFS Table'!$AF199)*7.35</f>
        <v>490.83644531250008</v>
      </c>
      <c r="Z199" s="185">
        <f>(('LCFS Table'!$R199/'LCFS Table'!$AB199)*'LCFS Table'!$AG199)*7.35</f>
        <v>104.31640625</v>
      </c>
      <c r="AA199" s="138">
        <v>0.94</v>
      </c>
      <c r="AB199" s="138">
        <v>0.96</v>
      </c>
      <c r="AC199" s="138">
        <v>0.5</v>
      </c>
      <c r="AD199" s="138">
        <v>0.25</v>
      </c>
      <c r="AE199" s="138">
        <v>0.25</v>
      </c>
      <c r="AF199" s="138">
        <v>0.75</v>
      </c>
      <c r="AG199" s="138">
        <v>0.25</v>
      </c>
      <c r="AH199" s="139">
        <v>4.375</v>
      </c>
      <c r="AI199" s="139">
        <v>136</v>
      </c>
      <c r="AJ199" s="139">
        <v>110</v>
      </c>
      <c r="AK199" s="186">
        <f>('LCFS Table'!$AI199/340)*100</f>
        <v>40</v>
      </c>
      <c r="AL199" s="186">
        <f>('LCFS Table'!$AJ199/340)*100</f>
        <v>32.352941176470587</v>
      </c>
      <c r="AM199" s="139">
        <v>105</v>
      </c>
      <c r="AN199" s="139">
        <v>90</v>
      </c>
      <c r="AO199" s="139">
        <f>('LCFS Table'!$AM199/300)*100</f>
        <v>35</v>
      </c>
      <c r="AP199" s="139">
        <f>('LCFS Table'!$AN199/300)*100</f>
        <v>30</v>
      </c>
      <c r="AQ199" s="140">
        <f>'[1]LCFS Values'!$B198</f>
        <v>63.6</v>
      </c>
      <c r="AR199" s="140">
        <f>'[1]RIN Values'!$B198/100</f>
        <v>1.7694999999999999</v>
      </c>
      <c r="AS199" s="185">
        <v>0.55783708869562254</v>
      </c>
      <c r="AT199" s="137">
        <v>0.16</v>
      </c>
      <c r="AU199" s="137">
        <v>1</v>
      </c>
      <c r="AV199" s="185">
        <f>'LCFS Table'!$AR199*1.7</f>
        <v>3.0081499999999997</v>
      </c>
      <c r="AW199" s="137">
        <v>0</v>
      </c>
      <c r="AX199" s="185">
        <v>0.37477710074749992</v>
      </c>
      <c r="AY199" s="137">
        <v>0</v>
      </c>
      <c r="AZ199" s="141">
        <v>1</v>
      </c>
      <c r="BA199" s="185">
        <f>'LCFS Table'!$AR199*1.5</f>
        <v>2.6542499999999998</v>
      </c>
      <c r="BB199" s="142">
        <v>1.2</v>
      </c>
      <c r="BC199" s="185">
        <f>'LCFS Table'!$AS199*'LCFS Table'!$BW199</f>
        <v>0.55783708869562254</v>
      </c>
      <c r="BD199" s="185">
        <f>'LCFS Table'!$AT199*'LCFS Table'!$BX199</f>
        <v>0</v>
      </c>
      <c r="BE199" s="185">
        <f>'LCFS Table'!$AU199*'LCFS Table'!$BY199</f>
        <v>1</v>
      </c>
      <c r="BF199" s="137">
        <f>'LCFS Table'!$AV199*'LCFS Table'!$BZ199</f>
        <v>3.0081499999999997</v>
      </c>
      <c r="BG199" s="137">
        <f>'LCFS Table'!$AW199*'LCFS Table'!$CA199</f>
        <v>0</v>
      </c>
      <c r="BH199" s="137">
        <f>'LCFS Table'!$AX199*'LCFS Table'!$CB199</f>
        <v>0.37477710074749992</v>
      </c>
      <c r="BI199" s="137">
        <f>'LCFS Table'!$AY199*'LCFS Table'!$CC199</f>
        <v>0</v>
      </c>
      <c r="BJ199" s="137">
        <f>'LCFS Table'!$AZ199*'LCFS Table'!$CD199</f>
        <v>1</v>
      </c>
      <c r="BK199" s="137">
        <f>'LCFS Table'!$BA199*'LCFS Table'!$CE199</f>
        <v>2.6542499999999998</v>
      </c>
      <c r="BL199" s="137">
        <f>'LCFS Table'!$BB199*'LCFS Table'!$CF199</f>
        <v>-1.2</v>
      </c>
      <c r="BM199" s="137">
        <f>'LCFS Table'!$AS199*'LCFS Table'!$CG199</f>
        <v>0</v>
      </c>
      <c r="BN199" s="137">
        <f>'LCFS Table'!$AT199*'LCFS Table'!$CH199</f>
        <v>0.16</v>
      </c>
      <c r="BO199" s="137">
        <f>'LCFS Table'!$AU199*'LCFS Table'!$CI199</f>
        <v>0</v>
      </c>
      <c r="BP199" s="137">
        <f>'LCFS Table'!$AV199*'LCFS Table'!$CJ199</f>
        <v>0</v>
      </c>
      <c r="BQ199" s="137">
        <f>'LCFS Table'!$AW199*'LCFS Table'!$CK199</f>
        <v>0</v>
      </c>
      <c r="BR199" s="137">
        <f>'LCFS Table'!$AX199*'LCFS Table'!$CL199</f>
        <v>0</v>
      </c>
      <c r="BS199" s="137">
        <f>'LCFS Table'!$AY199*'LCFS Table'!$CM199</f>
        <v>0</v>
      </c>
      <c r="BT199" s="137">
        <f>'LCFS Table'!$AZ199*'LCFS Table'!$CN199</f>
        <v>0</v>
      </c>
      <c r="BU199" s="137">
        <f>'LCFS Table'!$BA199*'LCFS Table'!$CO199</f>
        <v>0</v>
      </c>
      <c r="BV199" s="142">
        <f>'LCFS Table'!$BB199*'LCFS Table'!$CP199</f>
        <v>1.2</v>
      </c>
      <c r="BW199" s="138">
        <v>1</v>
      </c>
      <c r="BX199" s="138">
        <v>0</v>
      </c>
      <c r="BY199" s="138">
        <v>1</v>
      </c>
      <c r="BZ199" s="138">
        <v>1</v>
      </c>
      <c r="CA199" s="138">
        <v>-1</v>
      </c>
      <c r="CB199" s="138">
        <v>1</v>
      </c>
      <c r="CC199" s="138">
        <v>0</v>
      </c>
      <c r="CD199" s="138">
        <v>1</v>
      </c>
      <c r="CE199" s="138">
        <v>1</v>
      </c>
      <c r="CF199" s="138">
        <v>-1</v>
      </c>
      <c r="CG199" s="138">
        <f>1-'LCFS Table'!$BW199</f>
        <v>0</v>
      </c>
      <c r="CH199" s="138">
        <f>1-'LCFS Table'!$BX199</f>
        <v>1</v>
      </c>
      <c r="CI199" s="138">
        <f>1-'LCFS Table'!$BY199</f>
        <v>0</v>
      </c>
      <c r="CJ199" s="138">
        <f>1-'LCFS Table'!$BZ199</f>
        <v>0</v>
      </c>
      <c r="CK199" s="138">
        <f>-'LCFS Table'!$CA199</f>
        <v>1</v>
      </c>
      <c r="CL199" s="138">
        <f>1-'LCFS Table'!$CB199</f>
        <v>0</v>
      </c>
      <c r="CM199" s="138">
        <f>1-'LCFS Table'!$CC199</f>
        <v>1</v>
      </c>
      <c r="CN199" s="138">
        <f>1-'LCFS Table'!$CD199</f>
        <v>0</v>
      </c>
      <c r="CO199" s="138">
        <f>1-'LCFS Table'!$CE199</f>
        <v>0</v>
      </c>
      <c r="CP199" s="138">
        <f>-'LCFS Table'!$CF199</f>
        <v>1</v>
      </c>
      <c r="CQ199" s="140">
        <v>11</v>
      </c>
      <c r="CR199" s="165">
        <f>('LCFS Table'!$CQ199*0.9/(0.8/0.99)/100)</f>
        <v>0.12251249999999998</v>
      </c>
      <c r="CS199" s="166"/>
      <c r="CT199" s="167"/>
      <c r="CW199" s="168">
        <f>'LCFS Table'!$K199-'LCFS Table'!$M199</f>
        <v>3.4127100747499473E-2</v>
      </c>
      <c r="CX199" s="129">
        <f>MONTH('LCFS Table'!$B199)</f>
        <v>10</v>
      </c>
      <c r="CY199" s="129">
        <f>YEAR('LCFS Table'!$B199)</f>
        <v>2022</v>
      </c>
    </row>
    <row r="200" spans="1:103">
      <c r="A200" s="148">
        <v>44843</v>
      </c>
      <c r="B200" s="149">
        <v>44849</v>
      </c>
      <c r="C200" s="132">
        <f t="shared" si="4"/>
        <v>2022</v>
      </c>
      <c r="D200" s="150" t="s">
        <v>297</v>
      </c>
      <c r="E200" s="187">
        <f>'LCFS Table'!$K200-'LCFS Table'!$I200</f>
        <v>-1.8721113266583234</v>
      </c>
      <c r="F200" s="187">
        <f>('LCFS Table'!$M200)-'LCFS Table'!$J200</f>
        <v>-2.8217268667625</v>
      </c>
      <c r="G200" s="188">
        <f>'LCFS Table'!$E200+'LCFS Table'!$AS200+'LCFS Table'!$AT200+'LCFS Table'!$AU200+'LCFS Table'!$AV200</f>
        <v>2.9154782063423585</v>
      </c>
      <c r="H200" s="188">
        <f>'LCFS Table'!$F200+'LCFS Table'!$AX200+'LCFS Table'!$AY200+'LCFS Table'!$AZ200+'LCFS Table'!$BA200+('LCFS Table'!$CQ200*0.9/(0.8/0.99)/100)+(DG200*'LCFS Table'!$AF200)+(DF200*'LCFS Table'!$AG200)</f>
        <v>1.379967578125</v>
      </c>
      <c r="I200" s="187">
        <f>('LCFS Table'!$V200+'LCFS Table'!$W200+'LCFS Table'!$X200)/100+(('LCFS Table'!$AI200+'LCFS Table'!$AJ200)/340)</f>
        <v>5.8528113266583235</v>
      </c>
      <c r="J200" s="187">
        <f>(('LCFS Table'!$Y200+'LCFS Table'!$Z200)/100)+(('LCFS Table'!$AM200+'LCFS Table'!$AN200)/300)</f>
        <v>6.6225449218749999</v>
      </c>
      <c r="K200" s="190">
        <f>'[1]Fuel Values'!$C199</f>
        <v>3.9807000000000001</v>
      </c>
      <c r="L200" s="190">
        <f>'[1]Fuel Values'!$B199</f>
        <v>788</v>
      </c>
      <c r="M200" s="185">
        <f>('LCFS Table'!$L200/100)-'LCFS Table'!$AX200-'LCFS Table'!$AY200-'LCFS Table'!$AZ200-'LCFS Table'!$BA200</f>
        <v>3.8008180551124999</v>
      </c>
      <c r="N200" s="190">
        <f>[1]BFT!$B199</f>
        <v>74</v>
      </c>
      <c r="O200" s="190">
        <f>[1]UCO!$B199</f>
        <v>65.5</v>
      </c>
      <c r="P200" s="190">
        <f>[1]DCO!$B199</f>
        <v>71</v>
      </c>
      <c r="Q200" s="190">
        <f>'[1]Soybean Oil'!$B199</f>
        <v>81.47</v>
      </c>
      <c r="R200" s="190">
        <f>'[1]Yellow Grease'!$B199</f>
        <v>54.5</v>
      </c>
      <c r="S200" s="185">
        <f>'LCFS Table'!$N200 + 'LCFS Table'!$AH200</f>
        <v>78.375</v>
      </c>
      <c r="T200" s="185">
        <f>'LCFS Table'!$Q200+'LCFS Table'!$AH200</f>
        <v>85.844999999999999</v>
      </c>
      <c r="U200" s="185">
        <f>'LCFS Table'!$P200+'LCFS Table'!$AH200</f>
        <v>75.375</v>
      </c>
      <c r="V200" s="185">
        <f>(('LCFS Table'!$S200/'LCFS Table'!$AA200)*'LCFS Table'!$AC200)*6.48</f>
        <v>270.14361702127661</v>
      </c>
      <c r="W200" s="185">
        <f>(('LCFS Table'!$O200/'LCFS Table'!$AA200)*'LCFS Table'!$AD200)*6.48</f>
        <v>112.88297872340426</v>
      </c>
      <c r="X200" s="185">
        <f>(('LCFS Table'!$U200/'LCFS Table'!$AA200)*'LCFS Table'!$AE200)*6.48</f>
        <v>129.90159574468086</v>
      </c>
      <c r="Y200" s="185">
        <f>(('LCFS Table'!$T200/'LCFS Table'!$AB200)*'LCFS Table'!$AF200)*7.35</f>
        <v>492.93808593749998</v>
      </c>
      <c r="Z200" s="185">
        <f>(('LCFS Table'!$R200/'LCFS Table'!$AB200)*'LCFS Table'!$AG200)*7.35</f>
        <v>104.31640625</v>
      </c>
      <c r="AA200" s="138">
        <v>0.94</v>
      </c>
      <c r="AB200" s="138">
        <v>0.96</v>
      </c>
      <c r="AC200" s="138">
        <v>0.5</v>
      </c>
      <c r="AD200" s="138">
        <v>0.25</v>
      </c>
      <c r="AE200" s="138">
        <v>0.25</v>
      </c>
      <c r="AF200" s="138">
        <v>0.75</v>
      </c>
      <c r="AG200" s="138">
        <v>0.25</v>
      </c>
      <c r="AH200" s="139">
        <v>4.375</v>
      </c>
      <c r="AI200" s="139">
        <v>136</v>
      </c>
      <c r="AJ200" s="139">
        <v>110</v>
      </c>
      <c r="AK200" s="186">
        <f>('LCFS Table'!$AI200/340)*100</f>
        <v>40</v>
      </c>
      <c r="AL200" s="186">
        <f>('LCFS Table'!$AJ200/340)*100</f>
        <v>32.352941176470587</v>
      </c>
      <c r="AM200" s="139">
        <v>105</v>
      </c>
      <c r="AN200" s="139">
        <v>90</v>
      </c>
      <c r="AO200" s="139">
        <f>('LCFS Table'!$AM200/300)*100</f>
        <v>35</v>
      </c>
      <c r="AP200" s="139">
        <f>('LCFS Table'!$AN200/300)*100</f>
        <v>30</v>
      </c>
      <c r="AQ200" s="140">
        <f>'[1]LCFS Values'!$B199</f>
        <v>67.099999999999994</v>
      </c>
      <c r="AR200" s="140">
        <f>'[1]RIN Values'!$B199/100</f>
        <v>1.794</v>
      </c>
      <c r="AS200" s="185">
        <v>0.57778953300068214</v>
      </c>
      <c r="AT200" s="137">
        <v>0.16</v>
      </c>
      <c r="AU200" s="137">
        <v>1</v>
      </c>
      <c r="AV200" s="185">
        <f>'LCFS Table'!$AR200*1.7</f>
        <v>3.0497999999999998</v>
      </c>
      <c r="AW200" s="137">
        <v>0</v>
      </c>
      <c r="AX200" s="185">
        <v>0.38818194488749996</v>
      </c>
      <c r="AY200" s="137">
        <v>0</v>
      </c>
      <c r="AZ200" s="141">
        <v>1</v>
      </c>
      <c r="BA200" s="185">
        <f>'LCFS Table'!$AR200*1.5</f>
        <v>2.6909999999999998</v>
      </c>
      <c r="BB200" s="142">
        <v>1.2</v>
      </c>
      <c r="BC200" s="185">
        <f>'LCFS Table'!$AS200*'LCFS Table'!$BW200</f>
        <v>0.57778953300068214</v>
      </c>
      <c r="BD200" s="185">
        <f>'LCFS Table'!$AT200*'LCFS Table'!$BX200</f>
        <v>0</v>
      </c>
      <c r="BE200" s="185">
        <f>'LCFS Table'!$AU200*'LCFS Table'!$BY200</f>
        <v>1</v>
      </c>
      <c r="BF200" s="137">
        <f>'LCFS Table'!$AV200*'LCFS Table'!$BZ200</f>
        <v>3.0497999999999998</v>
      </c>
      <c r="BG200" s="137">
        <f>'LCFS Table'!$AW200*'LCFS Table'!$CA200</f>
        <v>0</v>
      </c>
      <c r="BH200" s="137">
        <f>'LCFS Table'!$AX200*'LCFS Table'!$CB200</f>
        <v>0.38818194488749996</v>
      </c>
      <c r="BI200" s="137">
        <f>'LCFS Table'!$AY200*'LCFS Table'!$CC200</f>
        <v>0</v>
      </c>
      <c r="BJ200" s="137">
        <f>'LCFS Table'!$AZ200*'LCFS Table'!$CD200</f>
        <v>1</v>
      </c>
      <c r="BK200" s="137">
        <f>'LCFS Table'!$BA200*'LCFS Table'!$CE200</f>
        <v>2.6909999999999998</v>
      </c>
      <c r="BL200" s="137">
        <f>'LCFS Table'!$BB200*'LCFS Table'!$CF200</f>
        <v>-1.2</v>
      </c>
      <c r="BM200" s="137">
        <f>'LCFS Table'!$AS200*'LCFS Table'!$CG200</f>
        <v>0</v>
      </c>
      <c r="BN200" s="137">
        <f>'LCFS Table'!$AT200*'LCFS Table'!$CH200</f>
        <v>0.16</v>
      </c>
      <c r="BO200" s="137">
        <f>'LCFS Table'!$AU200*'LCFS Table'!$CI200</f>
        <v>0</v>
      </c>
      <c r="BP200" s="137">
        <f>'LCFS Table'!$AV200*'LCFS Table'!$CJ200</f>
        <v>0</v>
      </c>
      <c r="BQ200" s="137">
        <f>'LCFS Table'!$AW200*'LCFS Table'!$CK200</f>
        <v>0</v>
      </c>
      <c r="BR200" s="137">
        <f>'LCFS Table'!$AX200*'LCFS Table'!$CL200</f>
        <v>0</v>
      </c>
      <c r="BS200" s="137">
        <f>'LCFS Table'!$AY200*'LCFS Table'!$CM200</f>
        <v>0</v>
      </c>
      <c r="BT200" s="137">
        <f>'LCFS Table'!$AZ200*'LCFS Table'!$CN200</f>
        <v>0</v>
      </c>
      <c r="BU200" s="137">
        <f>'LCFS Table'!$BA200*'LCFS Table'!$CO200</f>
        <v>0</v>
      </c>
      <c r="BV200" s="142">
        <f>'LCFS Table'!$BB200*'LCFS Table'!$CP200</f>
        <v>1.2</v>
      </c>
      <c r="BW200" s="138">
        <v>1</v>
      </c>
      <c r="BX200" s="138">
        <v>0</v>
      </c>
      <c r="BY200" s="138">
        <v>1</v>
      </c>
      <c r="BZ200" s="138">
        <v>1</v>
      </c>
      <c r="CA200" s="138">
        <v>-1</v>
      </c>
      <c r="CB200" s="138">
        <v>1</v>
      </c>
      <c r="CC200" s="138">
        <v>0</v>
      </c>
      <c r="CD200" s="138">
        <v>1</v>
      </c>
      <c r="CE200" s="138">
        <v>1</v>
      </c>
      <c r="CF200" s="138">
        <v>-1</v>
      </c>
      <c r="CG200" s="138">
        <f>1-'LCFS Table'!$BW200</f>
        <v>0</v>
      </c>
      <c r="CH200" s="138">
        <f>1-'LCFS Table'!$BX200</f>
        <v>1</v>
      </c>
      <c r="CI200" s="138">
        <f>1-'LCFS Table'!$BY200</f>
        <v>0</v>
      </c>
      <c r="CJ200" s="138">
        <f>1-'LCFS Table'!$BZ200</f>
        <v>0</v>
      </c>
      <c r="CK200" s="138">
        <f>-'LCFS Table'!$CA200</f>
        <v>1</v>
      </c>
      <c r="CL200" s="138">
        <f>1-'LCFS Table'!$CB200</f>
        <v>0</v>
      </c>
      <c r="CM200" s="138">
        <f>1-'LCFS Table'!$CC200</f>
        <v>1</v>
      </c>
      <c r="CN200" s="138">
        <f>1-'LCFS Table'!$CD200</f>
        <v>0</v>
      </c>
      <c r="CO200" s="138">
        <f>1-'LCFS Table'!$CE200</f>
        <v>0</v>
      </c>
      <c r="CP200" s="138">
        <f>-'LCFS Table'!$CF200</f>
        <v>1</v>
      </c>
      <c r="CQ200" s="140">
        <v>11</v>
      </c>
      <c r="CR200" s="165">
        <f>('LCFS Table'!$CQ200*0.9/(0.8/0.99)/100)</f>
        <v>0.12251249999999998</v>
      </c>
      <c r="CS200" s="166"/>
      <c r="CT200" s="167"/>
      <c r="CW200" s="168">
        <f>'LCFS Table'!$K200-'LCFS Table'!$M200</f>
        <v>0.1798819448875002</v>
      </c>
      <c r="CX200" s="129">
        <f>MONTH('LCFS Table'!$B200)</f>
        <v>10</v>
      </c>
      <c r="CY200" s="129">
        <f>YEAR('LCFS Table'!$B200)</f>
        <v>2022</v>
      </c>
    </row>
    <row r="201" spans="1:103">
      <c r="A201" s="148">
        <v>44850</v>
      </c>
      <c r="B201" s="149">
        <v>44856</v>
      </c>
      <c r="C201" s="132">
        <f t="shared" si="4"/>
        <v>2022</v>
      </c>
      <c r="D201" s="182" t="s">
        <v>298</v>
      </c>
      <c r="E201" s="187">
        <f>'LCFS Table'!$K201-'LCFS Table'!$I201</f>
        <v>-2.011034730913642</v>
      </c>
      <c r="F201" s="187">
        <f>('LCFS Table'!$M201)-'LCFS Table'!$J201</f>
        <v>-2.8062632722324992</v>
      </c>
      <c r="G201" s="188">
        <f>'LCFS Table'!$E201+'LCFS Table'!$AS201+'LCFS Table'!$AT201+'LCFS Table'!$AU201+'LCFS Table'!$AV201</f>
        <v>2.805499913476921</v>
      </c>
      <c r="H201" s="188">
        <f>'LCFS Table'!$F201+'LCFS Table'!$AX201+'LCFS Table'!$AY201+'LCFS Table'!$AZ201+'LCFS Table'!$BA201+('LCFS Table'!$CQ201*0.9/(0.8/0.99)/100)+(DG201*'LCFS Table'!$AF201)+(DF201*'LCFS Table'!$AG201)</f>
        <v>1.4204614843750003</v>
      </c>
      <c r="I201" s="187">
        <f>('LCFS Table'!$V201+'LCFS Table'!$W201+'LCFS Table'!$X201)/100+(('LCFS Table'!$AI201+'LCFS Table'!$AJ201)/340)</f>
        <v>5.9355347309136421</v>
      </c>
      <c r="J201" s="187">
        <f>(('LCFS Table'!$Y201+'LCFS Table'!$Z201)/100)+(('LCFS Table'!$AM201+'LCFS Table'!$AN201)/300)</f>
        <v>6.7981410156250002</v>
      </c>
      <c r="K201" s="190">
        <f>'[1]Fuel Values'!$C200</f>
        <v>3.9245000000000001</v>
      </c>
      <c r="L201" s="190">
        <f>'[1]Fuel Values'!$B200</f>
        <v>810.5</v>
      </c>
      <c r="M201" s="185">
        <f>('LCFS Table'!$L201/100)-'LCFS Table'!$AX201-'LCFS Table'!$AY201-'LCFS Table'!$AZ201-'LCFS Table'!$BA201</f>
        <v>3.991877743392501</v>
      </c>
      <c r="N201" s="190">
        <f>[1]BFT!$B200</f>
        <v>74</v>
      </c>
      <c r="O201" s="190">
        <f>[1]UCO!$B200</f>
        <v>65.5</v>
      </c>
      <c r="P201" s="190">
        <f>[1]DCO!$B200</f>
        <v>75.8</v>
      </c>
      <c r="Q201" s="190">
        <f>'[1]Soybean Oil'!$B200</f>
        <v>84.528000000000006</v>
      </c>
      <c r="R201" s="190">
        <f>'[1]Yellow Grease'!$B200</f>
        <v>54.5</v>
      </c>
      <c r="S201" s="185">
        <f>'LCFS Table'!$N201 + 'LCFS Table'!$AH201</f>
        <v>78.375</v>
      </c>
      <c r="T201" s="185">
        <f>'LCFS Table'!$Q201+'LCFS Table'!$AH201</f>
        <v>88.903000000000006</v>
      </c>
      <c r="U201" s="185">
        <f>'LCFS Table'!$P201+'LCFS Table'!$AH201</f>
        <v>80.174999999999997</v>
      </c>
      <c r="V201" s="185">
        <f>(('LCFS Table'!$S201/'LCFS Table'!$AA201)*'LCFS Table'!$AC201)*6.48</f>
        <v>270.14361702127661</v>
      </c>
      <c r="W201" s="185">
        <f>(('LCFS Table'!$O201/'LCFS Table'!$AA201)*'LCFS Table'!$AD201)*6.48</f>
        <v>112.88297872340426</v>
      </c>
      <c r="X201" s="185">
        <f>(('LCFS Table'!$U201/'LCFS Table'!$AA201)*'LCFS Table'!$AE201)*6.48</f>
        <v>138.17393617021278</v>
      </c>
      <c r="Y201" s="185">
        <f>(('LCFS Table'!$T201/'LCFS Table'!$AB201)*'LCFS Table'!$AF201)*7.35</f>
        <v>510.49769531250001</v>
      </c>
      <c r="Z201" s="185">
        <f>(('LCFS Table'!$R201/'LCFS Table'!$AB201)*'LCFS Table'!$AG201)*7.35</f>
        <v>104.31640625</v>
      </c>
      <c r="AA201" s="138">
        <v>0.94</v>
      </c>
      <c r="AB201" s="138">
        <v>0.96</v>
      </c>
      <c r="AC201" s="138">
        <v>0.5</v>
      </c>
      <c r="AD201" s="138">
        <v>0.25</v>
      </c>
      <c r="AE201" s="138">
        <v>0.25</v>
      </c>
      <c r="AF201" s="138">
        <v>0.75</v>
      </c>
      <c r="AG201" s="138">
        <v>0.25</v>
      </c>
      <c r="AH201" s="139">
        <v>4.375</v>
      </c>
      <c r="AI201" s="139">
        <v>136</v>
      </c>
      <c r="AJ201" s="139">
        <v>110</v>
      </c>
      <c r="AK201" s="186">
        <f>('LCFS Table'!$AI201/340)*100</f>
        <v>40</v>
      </c>
      <c r="AL201" s="186">
        <f>('LCFS Table'!$AJ201/340)*100</f>
        <v>32.352941176470587</v>
      </c>
      <c r="AM201" s="139">
        <v>105</v>
      </c>
      <c r="AN201" s="139">
        <v>90</v>
      </c>
      <c r="AO201" s="139">
        <f>('LCFS Table'!$AM201/300)*100</f>
        <v>35</v>
      </c>
      <c r="AP201" s="139">
        <f>('LCFS Table'!$AN201/300)*100</f>
        <v>30</v>
      </c>
      <c r="AQ201" s="140">
        <f>'[1]LCFS Values'!$B200</f>
        <v>69.5</v>
      </c>
      <c r="AR201" s="140">
        <f>'[1]RIN Values'!$B200/100</f>
        <v>1.8344999999999998</v>
      </c>
      <c r="AS201" s="185">
        <v>0.53788464439056305</v>
      </c>
      <c r="AT201" s="137">
        <v>0.16</v>
      </c>
      <c r="AU201" s="137">
        <v>1</v>
      </c>
      <c r="AV201" s="185">
        <f>'LCFS Table'!$AR201*1.7</f>
        <v>3.1186499999999997</v>
      </c>
      <c r="AW201" s="137">
        <v>0</v>
      </c>
      <c r="AX201" s="185">
        <v>0.36137225660749994</v>
      </c>
      <c r="AY201" s="137">
        <v>0</v>
      </c>
      <c r="AZ201" s="141">
        <v>1</v>
      </c>
      <c r="BA201" s="185">
        <f>'LCFS Table'!$AR201*1.5</f>
        <v>2.7517499999999995</v>
      </c>
      <c r="BB201" s="142">
        <v>1.2</v>
      </c>
      <c r="BC201" s="185">
        <f>'LCFS Table'!$AS201*'LCFS Table'!$BW201</f>
        <v>0.53788464439056305</v>
      </c>
      <c r="BD201" s="185">
        <f>'LCFS Table'!$AT201*'LCFS Table'!$BX201</f>
        <v>0</v>
      </c>
      <c r="BE201" s="185">
        <f>'LCFS Table'!$AU201*'LCFS Table'!$BY201</f>
        <v>1</v>
      </c>
      <c r="BF201" s="137">
        <f>'LCFS Table'!$AV201*'LCFS Table'!$BZ201</f>
        <v>3.1186499999999997</v>
      </c>
      <c r="BG201" s="137">
        <f>'LCFS Table'!$AW201*'LCFS Table'!$CA201</f>
        <v>0</v>
      </c>
      <c r="BH201" s="137">
        <f>'LCFS Table'!$AX201*'LCFS Table'!$CB201</f>
        <v>0.36137225660749994</v>
      </c>
      <c r="BI201" s="137">
        <f>'LCFS Table'!$AY201*'LCFS Table'!$CC201</f>
        <v>0</v>
      </c>
      <c r="BJ201" s="137">
        <f>'LCFS Table'!$AZ201*'LCFS Table'!$CD201</f>
        <v>1</v>
      </c>
      <c r="BK201" s="137">
        <f>'LCFS Table'!$BA201*'LCFS Table'!$CE201</f>
        <v>2.7517499999999995</v>
      </c>
      <c r="BL201" s="137">
        <f>'LCFS Table'!$BB201*'LCFS Table'!$CF201</f>
        <v>-1.2</v>
      </c>
      <c r="BM201" s="137">
        <f>'LCFS Table'!$AS201*'LCFS Table'!$CG201</f>
        <v>0</v>
      </c>
      <c r="BN201" s="137">
        <f>'LCFS Table'!$AT201*'LCFS Table'!$CH201</f>
        <v>0.16</v>
      </c>
      <c r="BO201" s="137">
        <f>'LCFS Table'!$AU201*'LCFS Table'!$CI201</f>
        <v>0</v>
      </c>
      <c r="BP201" s="137">
        <f>'LCFS Table'!$AV201*'LCFS Table'!$CJ201</f>
        <v>0</v>
      </c>
      <c r="BQ201" s="137">
        <f>'LCFS Table'!$AW201*'LCFS Table'!$CK201</f>
        <v>0</v>
      </c>
      <c r="BR201" s="137">
        <f>'LCFS Table'!$AX201*'LCFS Table'!$CL201</f>
        <v>0</v>
      </c>
      <c r="BS201" s="137">
        <f>'LCFS Table'!$AY201*'LCFS Table'!$CM201</f>
        <v>0</v>
      </c>
      <c r="BT201" s="137">
        <f>'LCFS Table'!$AZ201*'LCFS Table'!$CN201</f>
        <v>0</v>
      </c>
      <c r="BU201" s="137">
        <f>'LCFS Table'!$BA201*'LCFS Table'!$CO201</f>
        <v>0</v>
      </c>
      <c r="BV201" s="142">
        <f>'LCFS Table'!$BB201*'LCFS Table'!$CP201</f>
        <v>1.2</v>
      </c>
      <c r="BW201" s="138">
        <v>1</v>
      </c>
      <c r="BX201" s="138">
        <v>0</v>
      </c>
      <c r="BY201" s="138">
        <v>1</v>
      </c>
      <c r="BZ201" s="138">
        <v>1</v>
      </c>
      <c r="CA201" s="138">
        <v>-1</v>
      </c>
      <c r="CB201" s="138">
        <v>1</v>
      </c>
      <c r="CC201" s="138">
        <v>0</v>
      </c>
      <c r="CD201" s="138">
        <v>1</v>
      </c>
      <c r="CE201" s="138">
        <v>1</v>
      </c>
      <c r="CF201" s="138">
        <v>-1</v>
      </c>
      <c r="CG201" s="138">
        <f>1-'LCFS Table'!$BW201</f>
        <v>0</v>
      </c>
      <c r="CH201" s="138">
        <f>1-'LCFS Table'!$BX201</f>
        <v>1</v>
      </c>
      <c r="CI201" s="138">
        <f>1-'LCFS Table'!$BY201</f>
        <v>0</v>
      </c>
      <c r="CJ201" s="138">
        <f>1-'LCFS Table'!$BZ201</f>
        <v>0</v>
      </c>
      <c r="CK201" s="138">
        <f>-'LCFS Table'!$CA201</f>
        <v>1</v>
      </c>
      <c r="CL201" s="138">
        <f>1-'LCFS Table'!$CB201</f>
        <v>0</v>
      </c>
      <c r="CM201" s="138">
        <f>1-'LCFS Table'!$CC201</f>
        <v>1</v>
      </c>
      <c r="CN201" s="138">
        <f>1-'LCFS Table'!$CD201</f>
        <v>0</v>
      </c>
      <c r="CO201" s="138">
        <f>1-'LCFS Table'!$CE201</f>
        <v>0</v>
      </c>
      <c r="CP201" s="138">
        <f>-'LCFS Table'!$CF201</f>
        <v>1</v>
      </c>
      <c r="CQ201" s="140">
        <v>10.199999999999999</v>
      </c>
      <c r="CR201" s="165">
        <f>('LCFS Table'!$CQ201*0.9/(0.8/0.99)/100)</f>
        <v>0.1136025</v>
      </c>
      <c r="CS201" s="166"/>
      <c r="CT201" s="167"/>
      <c r="CW201" s="168">
        <f>'LCFS Table'!$K201-'LCFS Table'!$M201</f>
        <v>-6.7377743392500911E-2</v>
      </c>
      <c r="CX201" s="129">
        <f>MONTH('LCFS Table'!$B201)</f>
        <v>10</v>
      </c>
      <c r="CY201" s="129">
        <f>YEAR('LCFS Table'!$B201)</f>
        <v>2022</v>
      </c>
    </row>
    <row r="202" spans="1:103">
      <c r="A202" s="148">
        <v>44857</v>
      </c>
      <c r="B202" s="149">
        <v>44863</v>
      </c>
      <c r="C202" s="132">
        <f t="shared" si="4"/>
        <v>2022</v>
      </c>
      <c r="D202" s="150" t="s">
        <v>299</v>
      </c>
      <c r="E202" s="187">
        <f>'LCFS Table'!$K202-'LCFS Table'!$I202</f>
        <v>-1.7714623904881108</v>
      </c>
      <c r="F202" s="187">
        <f>('LCFS Table'!$M202)-'LCFS Table'!$J202</f>
        <v>-3.0045658404212512</v>
      </c>
      <c r="G202" s="188">
        <f>'LCFS Table'!$E202+'LCFS Table'!$AS202+'LCFS Table'!$AT202+'LCFS Table'!$AU202+'LCFS Table'!$AV202</f>
        <v>3.052493059518989</v>
      </c>
      <c r="H202" s="188">
        <f>'LCFS Table'!$F202+'LCFS Table'!$AX202+'LCFS Table'!$AY202+'LCFS Table'!$AZ202+'LCFS Table'!$BA202+('LCFS Table'!$CQ202*0.9/(0.8/0.99)/100)+(DG202*'LCFS Table'!$AF202)+(DF202*'LCFS Table'!$AG202)</f>
        <v>1.2283167968749986</v>
      </c>
      <c r="I202" s="187">
        <f>('LCFS Table'!$V202+'LCFS Table'!$W202+'LCFS Table'!$X202)/100+(('LCFS Table'!$AI202+'LCFS Table'!$AJ202)/340)</f>
        <v>5.959662390488111</v>
      </c>
      <c r="J202" s="187">
        <f>(('LCFS Table'!$Y202+'LCFS Table'!$Z202)/100)+(('LCFS Table'!$AM202+'LCFS Table'!$AN202)/300)</f>
        <v>7.028058203125001</v>
      </c>
      <c r="K202" s="190">
        <f>'[1]Fuel Values'!$C201</f>
        <v>4.1882000000000001</v>
      </c>
      <c r="L202" s="190">
        <f>'[1]Fuel Values'!$B201</f>
        <v>814.5</v>
      </c>
      <c r="M202" s="185">
        <f>('LCFS Table'!$L202/100)-'LCFS Table'!$AX202-'LCFS Table'!$AY202-'LCFS Table'!$AZ202-'LCFS Table'!$BA202</f>
        <v>4.0234923627037498</v>
      </c>
      <c r="N202" s="190">
        <f>[1]BFT!$B201</f>
        <v>74</v>
      </c>
      <c r="O202" s="190">
        <f>[1]UCO!$B201</f>
        <v>65.5</v>
      </c>
      <c r="P202" s="190">
        <f>[1]DCO!$B201</f>
        <v>77.2</v>
      </c>
      <c r="Q202" s="190">
        <f>'[1]Soybean Oil'!$B201</f>
        <v>88.531999999999996</v>
      </c>
      <c r="R202" s="190">
        <f>'[1]Yellow Grease'!$B201</f>
        <v>54.5</v>
      </c>
      <c r="S202" s="185">
        <f>'LCFS Table'!$N202 + 'LCFS Table'!$AH202</f>
        <v>78.375</v>
      </c>
      <c r="T202" s="185">
        <f>'LCFS Table'!$Q202+'LCFS Table'!$AH202</f>
        <v>92.906999999999996</v>
      </c>
      <c r="U202" s="185">
        <f>'LCFS Table'!$P202+'LCFS Table'!$AH202</f>
        <v>81.575000000000003</v>
      </c>
      <c r="V202" s="185">
        <f>(('LCFS Table'!$S202/'LCFS Table'!$AA202)*'LCFS Table'!$AC202)*6.48</f>
        <v>270.14361702127661</v>
      </c>
      <c r="W202" s="185">
        <f>(('LCFS Table'!$O202/'LCFS Table'!$AA202)*'LCFS Table'!$AD202)*6.48</f>
        <v>112.88297872340426</v>
      </c>
      <c r="X202" s="185">
        <f>(('LCFS Table'!$U202/'LCFS Table'!$AA202)*'LCFS Table'!$AE202)*6.48</f>
        <v>140.58670212765961</v>
      </c>
      <c r="Y202" s="185">
        <f>(('LCFS Table'!$T202/'LCFS Table'!$AB202)*'LCFS Table'!$AF202)*7.35</f>
        <v>533.48941406250003</v>
      </c>
      <c r="Z202" s="185">
        <f>(('LCFS Table'!$R202/'LCFS Table'!$AB202)*'LCFS Table'!$AG202)*7.35</f>
        <v>104.31640625</v>
      </c>
      <c r="AA202" s="138">
        <v>0.94</v>
      </c>
      <c r="AB202" s="138">
        <v>0.96</v>
      </c>
      <c r="AC202" s="138">
        <v>0.5</v>
      </c>
      <c r="AD202" s="138">
        <v>0.25</v>
      </c>
      <c r="AE202" s="138">
        <v>0.25</v>
      </c>
      <c r="AF202" s="138">
        <v>0.75</v>
      </c>
      <c r="AG202" s="138">
        <v>0.25</v>
      </c>
      <c r="AH202" s="139">
        <v>4.375</v>
      </c>
      <c r="AI202" s="139">
        <v>136</v>
      </c>
      <c r="AJ202" s="139">
        <v>110</v>
      </c>
      <c r="AK202" s="186">
        <f>('LCFS Table'!$AI202/340)*100</f>
        <v>40</v>
      </c>
      <c r="AL202" s="186">
        <f>('LCFS Table'!$AJ202/340)*100</f>
        <v>32.352941176470587</v>
      </c>
      <c r="AM202" s="139">
        <v>105</v>
      </c>
      <c r="AN202" s="139">
        <v>90</v>
      </c>
      <c r="AO202" s="139">
        <f>('LCFS Table'!$AM202/300)*100</f>
        <v>35</v>
      </c>
      <c r="AP202" s="139">
        <f>('LCFS Table'!$AN202/300)*100</f>
        <v>30</v>
      </c>
      <c r="AQ202" s="140">
        <f>'[1]LCFS Values'!$B201</f>
        <v>64.7</v>
      </c>
      <c r="AR202" s="140">
        <f>'[1]RIN Values'!$B201/100</f>
        <v>1.8440000000000001</v>
      </c>
      <c r="AS202" s="185">
        <v>0.52915545000709951</v>
      </c>
      <c r="AT202" s="137">
        <v>0.16</v>
      </c>
      <c r="AU202" s="137">
        <v>1</v>
      </c>
      <c r="AV202" s="185">
        <f>'LCFS Table'!$AR202*1.7</f>
        <v>3.1348000000000003</v>
      </c>
      <c r="AW202" s="137">
        <v>0</v>
      </c>
      <c r="AX202" s="185">
        <v>0.35550763729624996</v>
      </c>
      <c r="AY202" s="137">
        <v>0</v>
      </c>
      <c r="AZ202" s="141">
        <v>1</v>
      </c>
      <c r="BA202" s="185">
        <f>'LCFS Table'!$AR202*1.5</f>
        <v>2.766</v>
      </c>
      <c r="BB202" s="142">
        <v>1.2</v>
      </c>
      <c r="BC202" s="185">
        <f>'LCFS Table'!$AS202*'LCFS Table'!$BW202</f>
        <v>0.52915545000709951</v>
      </c>
      <c r="BD202" s="185">
        <f>'LCFS Table'!$AT202*'LCFS Table'!$BX202</f>
        <v>0</v>
      </c>
      <c r="BE202" s="185">
        <f>'LCFS Table'!$AU202*'LCFS Table'!$BY202</f>
        <v>1</v>
      </c>
      <c r="BF202" s="137">
        <f>'LCFS Table'!$AV202*'LCFS Table'!$BZ202</f>
        <v>3.1348000000000003</v>
      </c>
      <c r="BG202" s="137">
        <f>'LCFS Table'!$AW202*'LCFS Table'!$CA202</f>
        <v>0</v>
      </c>
      <c r="BH202" s="137">
        <f>'LCFS Table'!$AX202*'LCFS Table'!$CB202</f>
        <v>0.35550763729624996</v>
      </c>
      <c r="BI202" s="137">
        <f>'LCFS Table'!$AY202*'LCFS Table'!$CC202</f>
        <v>0</v>
      </c>
      <c r="BJ202" s="137">
        <f>'LCFS Table'!$AZ202*'LCFS Table'!$CD202</f>
        <v>1</v>
      </c>
      <c r="BK202" s="137">
        <f>'LCFS Table'!$BA202*'LCFS Table'!$CE202</f>
        <v>2.766</v>
      </c>
      <c r="BL202" s="137">
        <f>'LCFS Table'!$BB202*'LCFS Table'!$CF202</f>
        <v>-1.2</v>
      </c>
      <c r="BM202" s="137">
        <f>'LCFS Table'!$AS202*'LCFS Table'!$CG202</f>
        <v>0</v>
      </c>
      <c r="BN202" s="137">
        <f>'LCFS Table'!$AT202*'LCFS Table'!$CH202</f>
        <v>0.16</v>
      </c>
      <c r="BO202" s="137">
        <f>'LCFS Table'!$AU202*'LCFS Table'!$CI202</f>
        <v>0</v>
      </c>
      <c r="BP202" s="137">
        <f>'LCFS Table'!$AV202*'LCFS Table'!$CJ202</f>
        <v>0</v>
      </c>
      <c r="BQ202" s="137">
        <f>'LCFS Table'!$AW202*'LCFS Table'!$CK202</f>
        <v>0</v>
      </c>
      <c r="BR202" s="137">
        <f>'LCFS Table'!$AX202*'LCFS Table'!$CL202</f>
        <v>0</v>
      </c>
      <c r="BS202" s="137">
        <f>'LCFS Table'!$AY202*'LCFS Table'!$CM202</f>
        <v>0</v>
      </c>
      <c r="BT202" s="137">
        <f>'LCFS Table'!$AZ202*'LCFS Table'!$CN202</f>
        <v>0</v>
      </c>
      <c r="BU202" s="137">
        <f>'LCFS Table'!$BA202*'LCFS Table'!$CO202</f>
        <v>0</v>
      </c>
      <c r="BV202" s="142">
        <f>'LCFS Table'!$BB202*'LCFS Table'!$CP202</f>
        <v>1.2</v>
      </c>
      <c r="BW202" s="138">
        <v>1</v>
      </c>
      <c r="BX202" s="138">
        <v>0</v>
      </c>
      <c r="BY202" s="138">
        <v>1</v>
      </c>
      <c r="BZ202" s="138">
        <v>1</v>
      </c>
      <c r="CA202" s="138">
        <v>-1</v>
      </c>
      <c r="CB202" s="138">
        <v>1</v>
      </c>
      <c r="CC202" s="138">
        <v>0</v>
      </c>
      <c r="CD202" s="138">
        <v>1</v>
      </c>
      <c r="CE202" s="138">
        <v>1</v>
      </c>
      <c r="CF202" s="138">
        <v>-1</v>
      </c>
      <c r="CG202" s="138">
        <f>1-'LCFS Table'!$BW202</f>
        <v>0</v>
      </c>
      <c r="CH202" s="138">
        <f>1-'LCFS Table'!$BX202</f>
        <v>1</v>
      </c>
      <c r="CI202" s="138">
        <f>1-'LCFS Table'!$BY202</f>
        <v>0</v>
      </c>
      <c r="CJ202" s="138">
        <f>1-'LCFS Table'!$BZ202</f>
        <v>0</v>
      </c>
      <c r="CK202" s="138">
        <f>-'LCFS Table'!$CA202</f>
        <v>1</v>
      </c>
      <c r="CL202" s="138">
        <f>1-'LCFS Table'!$CB202</f>
        <v>0</v>
      </c>
      <c r="CM202" s="138">
        <f>1-'LCFS Table'!$CC202</f>
        <v>1</v>
      </c>
      <c r="CN202" s="138">
        <f>1-'LCFS Table'!$CD202</f>
        <v>0</v>
      </c>
      <c r="CO202" s="138">
        <f>1-'LCFS Table'!$CE202</f>
        <v>0</v>
      </c>
      <c r="CP202" s="138">
        <f>-'LCFS Table'!$CF202</f>
        <v>1</v>
      </c>
      <c r="CQ202" s="140">
        <v>10</v>
      </c>
      <c r="CR202" s="165">
        <f>('LCFS Table'!$CQ202*0.9/(0.8/0.99)/100)</f>
        <v>0.11137499999999999</v>
      </c>
      <c r="CS202" s="166"/>
      <c r="CT202" s="167"/>
      <c r="CW202" s="168">
        <f>'LCFS Table'!$K202-'LCFS Table'!$M202</f>
        <v>0.16470763729625038</v>
      </c>
      <c r="CX202" s="129">
        <f>MONTH('LCFS Table'!$B202)</f>
        <v>10</v>
      </c>
      <c r="CY202" s="129">
        <f>YEAR('LCFS Table'!$B202)</f>
        <v>2022</v>
      </c>
    </row>
    <row r="203" spans="1:103">
      <c r="A203" s="148">
        <v>44864</v>
      </c>
      <c r="B203" s="149">
        <v>44870</v>
      </c>
      <c r="C203" s="132">
        <f t="shared" si="4"/>
        <v>2022</v>
      </c>
      <c r="D203" s="182" t="s">
        <v>300</v>
      </c>
      <c r="E203" s="187">
        <f>'LCFS Table'!$K203-'LCFS Table'!$I203</f>
        <v>-2.1129964330413014</v>
      </c>
      <c r="F203" s="187">
        <f>('LCFS Table'!$M203)-'LCFS Table'!$J203</f>
        <v>-3.3036553425774997</v>
      </c>
      <c r="G203" s="188">
        <f>'LCFS Table'!$E203+'LCFS Table'!$AS203+'LCFS Table'!$AT203+'LCFS Table'!$AU203+'LCFS Table'!$AV203</f>
        <v>2.7995509150413493</v>
      </c>
      <c r="H203" s="188">
        <f>'LCFS Table'!$F203+'LCFS Table'!$AX203+'LCFS Table'!$AY203+'LCFS Table'!$AZ203+'LCFS Table'!$BA203+('LCFS Table'!$CQ203*0.9/(0.8/0.99)/100)+(DG203*'LCFS Table'!$AF203)+(DF203*'LCFS Table'!$AG203)</f>
        <v>1.0052089843750001</v>
      </c>
      <c r="I203" s="187">
        <f>('LCFS Table'!$V203+'LCFS Table'!$W203+'LCFS Table'!$X203)/100+(('LCFS Table'!$AI203+'LCFS Table'!$AJ203)/340)</f>
        <v>5.9768964330413015</v>
      </c>
      <c r="J203" s="187">
        <f>(('LCFS Table'!$Y203+'LCFS Table'!$Z203)/100)+(('LCFS Table'!$AM203+'LCFS Table'!$AN203)/300)</f>
        <v>7.2011660156250006</v>
      </c>
      <c r="K203" s="190">
        <f>'[1]Fuel Values'!$C202</f>
        <v>3.8639000000000001</v>
      </c>
      <c r="L203" s="190">
        <f>'[1]Fuel Values'!$B202</f>
        <v>809.5</v>
      </c>
      <c r="M203" s="185">
        <f>('LCFS Table'!$L203/100)-'LCFS Table'!$AX203-'LCFS Table'!$AY203-'LCFS Table'!$AZ203-'LCFS Table'!$BA203</f>
        <v>3.8975106730475009</v>
      </c>
      <c r="N203" s="190">
        <f>[1]BFT!$B202</f>
        <v>74</v>
      </c>
      <c r="O203" s="190">
        <f>[1]UCO!$B202</f>
        <v>65.900000000000006</v>
      </c>
      <c r="P203" s="190">
        <f>[1]DCO!$B202</f>
        <v>77.8</v>
      </c>
      <c r="Q203" s="190">
        <f>'[1]Soybean Oil'!$B202</f>
        <v>91.48</v>
      </c>
      <c r="R203" s="190">
        <f>'[1]Yellow Grease'!$B202</f>
        <v>54.7</v>
      </c>
      <c r="S203" s="185">
        <f>'LCFS Table'!$N203 + 'LCFS Table'!$AH203</f>
        <v>78.375</v>
      </c>
      <c r="T203" s="185">
        <f>'LCFS Table'!$Q203+'LCFS Table'!$AH203</f>
        <v>95.855000000000004</v>
      </c>
      <c r="U203" s="185">
        <f>'LCFS Table'!$P203+'LCFS Table'!$AH203</f>
        <v>82.174999999999997</v>
      </c>
      <c r="V203" s="185">
        <f>(('LCFS Table'!$S203/'LCFS Table'!$AA203)*'LCFS Table'!$AC203)*6.48</f>
        <v>270.14361702127661</v>
      </c>
      <c r="W203" s="185">
        <f>(('LCFS Table'!$O203/'LCFS Table'!$AA203)*'LCFS Table'!$AD203)*6.48</f>
        <v>113.57234042553195</v>
      </c>
      <c r="X203" s="185">
        <f>(('LCFS Table'!$U203/'LCFS Table'!$AA203)*'LCFS Table'!$AE203)*6.48</f>
        <v>141.62074468085106</v>
      </c>
      <c r="Y203" s="185">
        <f>(('LCFS Table'!$T203/'LCFS Table'!$AB203)*'LCFS Table'!$AF203)*7.35</f>
        <v>550.41738281250002</v>
      </c>
      <c r="Z203" s="185">
        <f>(('LCFS Table'!$R203/'LCFS Table'!$AB203)*'LCFS Table'!$AG203)*7.35</f>
        <v>104.69921875</v>
      </c>
      <c r="AA203" s="138">
        <v>0.94</v>
      </c>
      <c r="AB203" s="138">
        <v>0.96</v>
      </c>
      <c r="AC203" s="138">
        <v>0.5</v>
      </c>
      <c r="AD203" s="138">
        <v>0.25</v>
      </c>
      <c r="AE203" s="138">
        <v>0.25</v>
      </c>
      <c r="AF203" s="138">
        <v>0.75</v>
      </c>
      <c r="AG203" s="138">
        <v>0.25</v>
      </c>
      <c r="AH203" s="139">
        <v>4.375</v>
      </c>
      <c r="AI203" s="139">
        <v>136</v>
      </c>
      <c r="AJ203" s="139">
        <v>110</v>
      </c>
      <c r="AK203" s="186">
        <f>('LCFS Table'!$AI203/340)*100</f>
        <v>40</v>
      </c>
      <c r="AL203" s="186">
        <f>('LCFS Table'!$AJ203/340)*100</f>
        <v>32.352941176470587</v>
      </c>
      <c r="AM203" s="139">
        <v>105</v>
      </c>
      <c r="AN203" s="139">
        <v>90</v>
      </c>
      <c r="AO203" s="139">
        <f>('LCFS Table'!$AM203/300)*100</f>
        <v>35</v>
      </c>
      <c r="AP203" s="139">
        <f>('LCFS Table'!$AN203/300)*100</f>
        <v>30</v>
      </c>
      <c r="AQ203" s="140">
        <f>'[1]LCFS Values'!$B202</f>
        <v>63.65</v>
      </c>
      <c r="AR203" s="140">
        <f>'[1]RIN Values'!$B202/100</f>
        <v>1.89</v>
      </c>
      <c r="AS203" s="185">
        <v>0.53954734808265137</v>
      </c>
      <c r="AT203" s="137">
        <v>0.16</v>
      </c>
      <c r="AU203" s="137">
        <v>1</v>
      </c>
      <c r="AV203" s="185">
        <f>'LCFS Table'!$AR203*1.7</f>
        <v>3.2129999999999996</v>
      </c>
      <c r="AW203" s="137">
        <v>0</v>
      </c>
      <c r="AX203" s="185">
        <v>0.36248932695249997</v>
      </c>
      <c r="AY203" s="137">
        <v>0</v>
      </c>
      <c r="AZ203" s="141">
        <v>1</v>
      </c>
      <c r="BA203" s="185">
        <f>'LCFS Table'!$AR203*1.5</f>
        <v>2.835</v>
      </c>
      <c r="BB203" s="142">
        <v>1.2</v>
      </c>
      <c r="BC203" s="185">
        <f>'LCFS Table'!$AS203*'LCFS Table'!$BW203</f>
        <v>0.53954734808265137</v>
      </c>
      <c r="BD203" s="185">
        <f>'LCFS Table'!$AT203*'LCFS Table'!$BX203</f>
        <v>0</v>
      </c>
      <c r="BE203" s="185">
        <f>'LCFS Table'!$AU203*'LCFS Table'!$BY203</f>
        <v>1</v>
      </c>
      <c r="BF203" s="137">
        <f>'LCFS Table'!$AV203*'LCFS Table'!$BZ203</f>
        <v>3.2129999999999996</v>
      </c>
      <c r="BG203" s="137">
        <f>'LCFS Table'!$AW203*'LCFS Table'!$CA203</f>
        <v>0</v>
      </c>
      <c r="BH203" s="137">
        <f>'LCFS Table'!$AX203*'LCFS Table'!$CB203</f>
        <v>0.36248932695249997</v>
      </c>
      <c r="BI203" s="137">
        <f>'LCFS Table'!$AY203*'LCFS Table'!$CC203</f>
        <v>0</v>
      </c>
      <c r="BJ203" s="137">
        <f>'LCFS Table'!$AZ203*'LCFS Table'!$CD203</f>
        <v>1</v>
      </c>
      <c r="BK203" s="137">
        <f>'LCFS Table'!$BA203*'LCFS Table'!$CE203</f>
        <v>2.835</v>
      </c>
      <c r="BL203" s="137">
        <f>'LCFS Table'!$BB203*'LCFS Table'!$CF203</f>
        <v>-1.2</v>
      </c>
      <c r="BM203" s="137">
        <f>'LCFS Table'!$AS203*'LCFS Table'!$CG203</f>
        <v>0</v>
      </c>
      <c r="BN203" s="137">
        <f>'LCFS Table'!$AT203*'LCFS Table'!$CH203</f>
        <v>0.16</v>
      </c>
      <c r="BO203" s="137">
        <f>'LCFS Table'!$AU203*'LCFS Table'!$CI203</f>
        <v>0</v>
      </c>
      <c r="BP203" s="137">
        <f>'LCFS Table'!$AV203*'LCFS Table'!$CJ203</f>
        <v>0</v>
      </c>
      <c r="BQ203" s="137">
        <f>'LCFS Table'!$AW203*'LCFS Table'!$CK203</f>
        <v>0</v>
      </c>
      <c r="BR203" s="137">
        <f>'LCFS Table'!$AX203*'LCFS Table'!$CL203</f>
        <v>0</v>
      </c>
      <c r="BS203" s="137">
        <f>'LCFS Table'!$AY203*'LCFS Table'!$CM203</f>
        <v>0</v>
      </c>
      <c r="BT203" s="137">
        <f>'LCFS Table'!$AZ203*'LCFS Table'!$CN203</f>
        <v>0</v>
      </c>
      <c r="BU203" s="137">
        <f>'LCFS Table'!$BA203*'LCFS Table'!$CO203</f>
        <v>0</v>
      </c>
      <c r="BV203" s="142">
        <f>'LCFS Table'!$BB203*'LCFS Table'!$CP203</f>
        <v>1.2</v>
      </c>
      <c r="BW203" s="138">
        <v>1</v>
      </c>
      <c r="BX203" s="138">
        <v>0</v>
      </c>
      <c r="BY203" s="138">
        <v>1</v>
      </c>
      <c r="BZ203" s="138">
        <v>1</v>
      </c>
      <c r="CA203" s="138">
        <v>-1</v>
      </c>
      <c r="CB203" s="138">
        <v>1</v>
      </c>
      <c r="CC203" s="138">
        <v>0</v>
      </c>
      <c r="CD203" s="138">
        <v>1</v>
      </c>
      <c r="CE203" s="138">
        <v>1</v>
      </c>
      <c r="CF203" s="138">
        <v>-1</v>
      </c>
      <c r="CG203" s="138">
        <f>1-'LCFS Table'!$BW203</f>
        <v>0</v>
      </c>
      <c r="CH203" s="138">
        <f>1-'LCFS Table'!$BX203</f>
        <v>1</v>
      </c>
      <c r="CI203" s="138">
        <f>1-'LCFS Table'!$BY203</f>
        <v>0</v>
      </c>
      <c r="CJ203" s="138">
        <f>1-'LCFS Table'!$BZ203</f>
        <v>0</v>
      </c>
      <c r="CK203" s="138">
        <f>-'LCFS Table'!$CA203</f>
        <v>1</v>
      </c>
      <c r="CL203" s="138">
        <f>1-'LCFS Table'!$CB203</f>
        <v>0</v>
      </c>
      <c r="CM203" s="138">
        <f>1-'LCFS Table'!$CC203</f>
        <v>1</v>
      </c>
      <c r="CN203" s="138">
        <f>1-'LCFS Table'!$CD203</f>
        <v>0</v>
      </c>
      <c r="CO203" s="138">
        <f>1-'LCFS Table'!$CE203</f>
        <v>0</v>
      </c>
      <c r="CP203" s="138">
        <f>-'LCFS Table'!$CF203</f>
        <v>1</v>
      </c>
      <c r="CQ203" s="140">
        <v>10</v>
      </c>
      <c r="CR203" s="165">
        <f>('LCFS Table'!$CQ203*0.9/(0.8/0.99)/100)</f>
        <v>0.11137499999999999</v>
      </c>
      <c r="CS203" s="166"/>
      <c r="CT203" s="167"/>
      <c r="CW203" s="168">
        <f>'LCFS Table'!$K203-'LCFS Table'!$M203</f>
        <v>-3.3610673047500761E-2</v>
      </c>
      <c r="CX203" s="129">
        <f>MONTH('LCFS Table'!$B203)</f>
        <v>11</v>
      </c>
      <c r="CY203" s="129">
        <f>YEAR('LCFS Table'!$B203)</f>
        <v>2022</v>
      </c>
    </row>
    <row r="204" spans="1:103">
      <c r="A204" s="148">
        <v>44871</v>
      </c>
      <c r="B204" s="149">
        <v>44877</v>
      </c>
      <c r="C204" s="132">
        <f t="shared" si="4"/>
        <v>2022</v>
      </c>
      <c r="D204" s="150" t="s">
        <v>301</v>
      </c>
      <c r="E204" s="187">
        <f>'LCFS Table'!$K204-'LCFS Table'!$I204</f>
        <v>-2.3244240926157702</v>
      </c>
      <c r="F204" s="187">
        <f>('LCFS Table'!$M204)-'LCFS Table'!$J204</f>
        <v>-3.4037644826175</v>
      </c>
      <c r="G204" s="188">
        <f>'LCFS Table'!$E204+'LCFS Table'!$AS204+'LCFS Table'!$AT204+'LCFS Table'!$AU204+'LCFS Table'!$AV204</f>
        <v>2.5896445890092914</v>
      </c>
      <c r="H204" s="188">
        <f>'LCFS Table'!$F204+'LCFS Table'!$AX204+'LCFS Table'!$AY204+'LCFS Table'!$AZ204+'LCFS Table'!$BA204+('LCFS Table'!$CQ204*0.9/(0.8/0.99)/100)+(DG204*'LCFS Table'!$AF204)+(DF204*'LCFS Table'!$AG204)</f>
        <v>0.91274257812499981</v>
      </c>
      <c r="I204" s="187">
        <f>('LCFS Table'!$V204+'LCFS Table'!$W204+'LCFS Table'!$X204)/100+(('LCFS Table'!$AI204+'LCFS Table'!$AJ204)/340)</f>
        <v>6.0010240926157703</v>
      </c>
      <c r="J204" s="187">
        <f>(('LCFS Table'!$Y204+'LCFS Table'!$Z204)/100)+(('LCFS Table'!$AM204+'LCFS Table'!$AN204)/300)</f>
        <v>7.2736324218749999</v>
      </c>
      <c r="K204" s="190">
        <f>'[1]Fuel Values'!$C203</f>
        <v>3.6766000000000001</v>
      </c>
      <c r="L204" s="190">
        <f>'[1]Fuel Values'!$B203</f>
        <v>807.5</v>
      </c>
      <c r="M204" s="185">
        <f>('LCFS Table'!$L204/100)-'LCFS Table'!$AX204-'LCFS Table'!$AY204-'LCFS Table'!$AZ204-'LCFS Table'!$BA204</f>
        <v>3.8698679392574999</v>
      </c>
      <c r="N204" s="190">
        <f>[1]BFT!$B203</f>
        <v>74</v>
      </c>
      <c r="O204" s="190">
        <f>[1]UCO!$B203</f>
        <v>66.7</v>
      </c>
      <c r="P204" s="190">
        <f>[1]DCO!$B203</f>
        <v>78.400000000000006</v>
      </c>
      <c r="Q204" s="190">
        <f>'[1]Soybean Oil'!$B203</f>
        <v>92.641999999999996</v>
      </c>
      <c r="R204" s="190">
        <f>'[1]Yellow Grease'!$B203</f>
        <v>55</v>
      </c>
      <c r="S204" s="185">
        <f>'LCFS Table'!$N204 + 'LCFS Table'!$AH204</f>
        <v>78.375</v>
      </c>
      <c r="T204" s="185">
        <f>'LCFS Table'!$Q204+'LCFS Table'!$AH204</f>
        <v>97.016999999999996</v>
      </c>
      <c r="U204" s="185">
        <f>'LCFS Table'!$P204+'LCFS Table'!$AH204</f>
        <v>82.775000000000006</v>
      </c>
      <c r="V204" s="185">
        <f>(('LCFS Table'!$S204/'LCFS Table'!$AA204)*'LCFS Table'!$AC204)*6.48</f>
        <v>270.14361702127661</v>
      </c>
      <c r="W204" s="185">
        <f>(('LCFS Table'!$O204/'LCFS Table'!$AA204)*'LCFS Table'!$AD204)*6.48</f>
        <v>114.95106382978724</v>
      </c>
      <c r="X204" s="185">
        <f>(('LCFS Table'!$U204/'LCFS Table'!$AA204)*'LCFS Table'!$AE204)*6.48</f>
        <v>142.6547872340426</v>
      </c>
      <c r="Y204" s="185">
        <f>(('LCFS Table'!$T204/'LCFS Table'!$AB204)*'LCFS Table'!$AF204)*7.35</f>
        <v>557.08980468749996</v>
      </c>
      <c r="Z204" s="185">
        <f>(('LCFS Table'!$R204/'LCFS Table'!$AB204)*'LCFS Table'!$AG204)*7.35</f>
        <v>105.2734375</v>
      </c>
      <c r="AA204" s="138">
        <v>0.94</v>
      </c>
      <c r="AB204" s="138">
        <v>0.96</v>
      </c>
      <c r="AC204" s="138">
        <v>0.5</v>
      </c>
      <c r="AD204" s="138">
        <v>0.25</v>
      </c>
      <c r="AE204" s="138">
        <v>0.25</v>
      </c>
      <c r="AF204" s="138">
        <v>0.75</v>
      </c>
      <c r="AG204" s="138">
        <v>0.25</v>
      </c>
      <c r="AH204" s="139">
        <v>4.375</v>
      </c>
      <c r="AI204" s="139">
        <v>136</v>
      </c>
      <c r="AJ204" s="139">
        <v>110</v>
      </c>
      <c r="AK204" s="186">
        <f>('LCFS Table'!$AI204/340)*100</f>
        <v>40</v>
      </c>
      <c r="AL204" s="186">
        <f>('LCFS Table'!$AJ204/340)*100</f>
        <v>32.352941176470587</v>
      </c>
      <c r="AM204" s="139">
        <v>105</v>
      </c>
      <c r="AN204" s="139">
        <v>90</v>
      </c>
      <c r="AO204" s="139">
        <f>('LCFS Table'!$AM204/300)*100</f>
        <v>35</v>
      </c>
      <c r="AP204" s="139">
        <f>('LCFS Table'!$AN204/300)*100</f>
        <v>30</v>
      </c>
      <c r="AQ204" s="140">
        <f>'[1]LCFS Values'!$B203</f>
        <v>64.900000000000006</v>
      </c>
      <c r="AR204" s="140">
        <f>'[1]RIN Values'!$B203/100</f>
        <v>1.9084999999999999</v>
      </c>
      <c r="AS204" s="185">
        <v>0.50961868162506208</v>
      </c>
      <c r="AT204" s="137">
        <v>0.16</v>
      </c>
      <c r="AU204" s="137">
        <v>1</v>
      </c>
      <c r="AV204" s="185">
        <f>'LCFS Table'!$AR204*1.7</f>
        <v>3.2444499999999996</v>
      </c>
      <c r="AW204" s="137">
        <v>0</v>
      </c>
      <c r="AX204" s="185">
        <v>0.34238206074249994</v>
      </c>
      <c r="AY204" s="137">
        <v>0</v>
      </c>
      <c r="AZ204" s="141">
        <v>1</v>
      </c>
      <c r="BA204" s="185">
        <f>'LCFS Table'!$AR204*1.5</f>
        <v>2.8627499999999997</v>
      </c>
      <c r="BB204" s="142">
        <v>1.2</v>
      </c>
      <c r="BC204" s="185">
        <f>'LCFS Table'!$AS204*'LCFS Table'!$BW204</f>
        <v>0.50961868162506208</v>
      </c>
      <c r="BD204" s="185">
        <f>'LCFS Table'!$AT204*'LCFS Table'!$BX204</f>
        <v>0</v>
      </c>
      <c r="BE204" s="185">
        <f>'LCFS Table'!$AU204*'LCFS Table'!$BY204</f>
        <v>1</v>
      </c>
      <c r="BF204" s="137">
        <f>'LCFS Table'!$AV204*'LCFS Table'!$BZ204</f>
        <v>3.2444499999999996</v>
      </c>
      <c r="BG204" s="137">
        <f>'LCFS Table'!$AW204*'LCFS Table'!$CA204</f>
        <v>0</v>
      </c>
      <c r="BH204" s="137">
        <f>'LCFS Table'!$AX204*'LCFS Table'!$CB204</f>
        <v>0.34238206074249994</v>
      </c>
      <c r="BI204" s="137">
        <f>'LCFS Table'!$AY204*'LCFS Table'!$CC204</f>
        <v>0</v>
      </c>
      <c r="BJ204" s="137">
        <f>'LCFS Table'!$AZ204*'LCFS Table'!$CD204</f>
        <v>1</v>
      </c>
      <c r="BK204" s="137">
        <f>'LCFS Table'!$BA204*'LCFS Table'!$CE204</f>
        <v>2.8627499999999997</v>
      </c>
      <c r="BL204" s="137">
        <f>'LCFS Table'!$BB204*'LCFS Table'!$CF204</f>
        <v>-1.2</v>
      </c>
      <c r="BM204" s="137">
        <f>'LCFS Table'!$AS204*'LCFS Table'!$CG204</f>
        <v>0</v>
      </c>
      <c r="BN204" s="137">
        <f>'LCFS Table'!$AT204*'LCFS Table'!$CH204</f>
        <v>0.16</v>
      </c>
      <c r="BO204" s="137">
        <f>'LCFS Table'!$AU204*'LCFS Table'!$CI204</f>
        <v>0</v>
      </c>
      <c r="BP204" s="137">
        <f>'LCFS Table'!$AV204*'LCFS Table'!$CJ204</f>
        <v>0</v>
      </c>
      <c r="BQ204" s="137">
        <f>'LCFS Table'!$AW204*'LCFS Table'!$CK204</f>
        <v>0</v>
      </c>
      <c r="BR204" s="137">
        <f>'LCFS Table'!$AX204*'LCFS Table'!$CL204</f>
        <v>0</v>
      </c>
      <c r="BS204" s="137">
        <f>'LCFS Table'!$AY204*'LCFS Table'!$CM204</f>
        <v>0</v>
      </c>
      <c r="BT204" s="137">
        <f>'LCFS Table'!$AZ204*'LCFS Table'!$CN204</f>
        <v>0</v>
      </c>
      <c r="BU204" s="137">
        <f>'LCFS Table'!$BA204*'LCFS Table'!$CO204</f>
        <v>0</v>
      </c>
      <c r="BV204" s="142">
        <f>'LCFS Table'!$BB204*'LCFS Table'!$CP204</f>
        <v>1.2</v>
      </c>
      <c r="BW204" s="138">
        <v>1</v>
      </c>
      <c r="BX204" s="138">
        <v>0</v>
      </c>
      <c r="BY204" s="138">
        <v>1</v>
      </c>
      <c r="BZ204" s="138">
        <v>1</v>
      </c>
      <c r="CA204" s="138">
        <v>-1</v>
      </c>
      <c r="CB204" s="138">
        <v>1</v>
      </c>
      <c r="CC204" s="138">
        <v>0</v>
      </c>
      <c r="CD204" s="138">
        <v>1</v>
      </c>
      <c r="CE204" s="138">
        <v>1</v>
      </c>
      <c r="CF204" s="138">
        <v>-1</v>
      </c>
      <c r="CG204" s="138">
        <f>1-'LCFS Table'!$BW204</f>
        <v>0</v>
      </c>
      <c r="CH204" s="138">
        <f>1-'LCFS Table'!$BX204</f>
        <v>1</v>
      </c>
      <c r="CI204" s="138">
        <f>1-'LCFS Table'!$BY204</f>
        <v>0</v>
      </c>
      <c r="CJ204" s="138">
        <f>1-'LCFS Table'!$BZ204</f>
        <v>0</v>
      </c>
      <c r="CK204" s="138">
        <f>-'LCFS Table'!$CA204</f>
        <v>1</v>
      </c>
      <c r="CL204" s="138">
        <f>1-'LCFS Table'!$CB204</f>
        <v>0</v>
      </c>
      <c r="CM204" s="138">
        <f>1-'LCFS Table'!$CC204</f>
        <v>1</v>
      </c>
      <c r="CN204" s="138">
        <f>1-'LCFS Table'!$CD204</f>
        <v>0</v>
      </c>
      <c r="CO204" s="138">
        <f>1-'LCFS Table'!$CE204</f>
        <v>0</v>
      </c>
      <c r="CP204" s="138">
        <f>-'LCFS Table'!$CF204</f>
        <v>1</v>
      </c>
      <c r="CQ204" s="140">
        <v>10</v>
      </c>
      <c r="CR204" s="165">
        <f>('LCFS Table'!$CQ204*0.9/(0.8/0.99)/100)</f>
        <v>0.11137499999999999</v>
      </c>
      <c r="CS204" s="166"/>
      <c r="CT204" s="167"/>
      <c r="CW204" s="168">
        <f>'LCFS Table'!$K204-'LCFS Table'!$M204</f>
        <v>-0.19326793925749985</v>
      </c>
      <c r="CX204" s="129">
        <f>MONTH('LCFS Table'!$B204)</f>
        <v>11</v>
      </c>
      <c r="CY204" s="129">
        <f>YEAR('LCFS Table'!$B204)</f>
        <v>2022</v>
      </c>
    </row>
    <row r="205" spans="1:103">
      <c r="A205" s="148">
        <v>44878</v>
      </c>
      <c r="B205" s="149">
        <v>44884</v>
      </c>
      <c r="C205" s="132">
        <f t="shared" si="4"/>
        <v>2022</v>
      </c>
      <c r="D205" s="182" t="s">
        <v>302</v>
      </c>
      <c r="E205" s="187">
        <f>'LCFS Table'!$K205-'LCFS Table'!$I205</f>
        <v>-2.4122836670838548</v>
      </c>
      <c r="F205" s="187">
        <f>('LCFS Table'!$M205)-'LCFS Table'!$J205</f>
        <v>-3.2995020609375008</v>
      </c>
      <c r="G205" s="188">
        <f>'LCFS Table'!$E205+'LCFS Table'!$AS205+'LCFS Table'!$AT205+'LCFS Table'!$AU205+'LCFS Table'!$AV205</f>
        <v>2.5126112366937368</v>
      </c>
      <c r="H205" s="188">
        <f>'LCFS Table'!$F205+'LCFS Table'!$AX205+'LCFS Table'!$AY205+'LCFS Table'!$AZ205+'LCFS Table'!$BA205+('LCFS Table'!$CQ205*0.9/(0.8/0.99)/100)+(DG205*'LCFS Table'!$AF205)+(DF205*'LCFS Table'!$AG205)</f>
        <v>1.010535546874999</v>
      </c>
      <c r="I205" s="187">
        <f>('LCFS Table'!$V205+'LCFS Table'!$W205+'LCFS Table'!$X205)/100+(('LCFS Table'!$AI205+'LCFS Table'!$AJ205)/340)</f>
        <v>5.9906836670838546</v>
      </c>
      <c r="J205" s="187">
        <f>(('LCFS Table'!$Y205+'LCFS Table'!$Z205)/100)+(('LCFS Table'!$AM205+'LCFS Table'!$AN205)/300)</f>
        <v>7.155917578125</v>
      </c>
      <c r="K205" s="190">
        <f>'[1]Fuel Values'!$C204</f>
        <v>3.5783999999999998</v>
      </c>
      <c r="L205" s="190">
        <f>'[1]Fuel Values'!$B204</f>
        <v>806.9</v>
      </c>
      <c r="M205" s="185">
        <f>('LCFS Table'!$L205/100)-'LCFS Table'!$AX205-'LCFS Table'!$AY205-'LCFS Table'!$AZ205-'LCFS Table'!$BA205</f>
        <v>3.8564155171874992</v>
      </c>
      <c r="N205" s="190">
        <f>[1]BFT!$B204</f>
        <v>74</v>
      </c>
      <c r="O205" s="190">
        <f>[1]UCO!$B204</f>
        <v>67.5</v>
      </c>
      <c r="P205" s="190">
        <f>[1]DCO!$B204</f>
        <v>77</v>
      </c>
      <c r="Q205" s="190">
        <f>'[1]Soybean Oil'!$B204</f>
        <v>90.591999999999999</v>
      </c>
      <c r="R205" s="190">
        <f>'[1]Yellow Grease'!$B204</f>
        <v>55</v>
      </c>
      <c r="S205" s="185">
        <f>'LCFS Table'!$N205 + 'LCFS Table'!$AH205</f>
        <v>78.375</v>
      </c>
      <c r="T205" s="185">
        <f>'LCFS Table'!$Q205+'LCFS Table'!$AH205</f>
        <v>94.966999999999999</v>
      </c>
      <c r="U205" s="185">
        <f>'LCFS Table'!$P205+'LCFS Table'!$AH205</f>
        <v>81.375</v>
      </c>
      <c r="V205" s="185">
        <f>(('LCFS Table'!$S205/'LCFS Table'!$AA205)*'LCFS Table'!$AC205)*6.48</f>
        <v>270.14361702127661</v>
      </c>
      <c r="W205" s="185">
        <f>(('LCFS Table'!$O205/'LCFS Table'!$AA205)*'LCFS Table'!$AD205)*6.48</f>
        <v>116.32978723404257</v>
      </c>
      <c r="X205" s="185">
        <f>(('LCFS Table'!$U205/'LCFS Table'!$AA205)*'LCFS Table'!$AE205)*6.48</f>
        <v>140.24202127659578</v>
      </c>
      <c r="Y205" s="185">
        <f>(('LCFS Table'!$T205/'LCFS Table'!$AB205)*'LCFS Table'!$AF205)*7.35</f>
        <v>545.31832031249996</v>
      </c>
      <c r="Z205" s="185">
        <f>(('LCFS Table'!$R205/'LCFS Table'!$AB205)*'LCFS Table'!$AG205)*7.35</f>
        <v>105.2734375</v>
      </c>
      <c r="AA205" s="138">
        <v>0.94</v>
      </c>
      <c r="AB205" s="138">
        <v>0.96</v>
      </c>
      <c r="AC205" s="138">
        <v>0.5</v>
      </c>
      <c r="AD205" s="138">
        <v>0.25</v>
      </c>
      <c r="AE205" s="138">
        <v>0.25</v>
      </c>
      <c r="AF205" s="138">
        <v>0.75</v>
      </c>
      <c r="AG205" s="138">
        <v>0.25</v>
      </c>
      <c r="AH205" s="139">
        <v>4.375</v>
      </c>
      <c r="AI205" s="139">
        <v>136</v>
      </c>
      <c r="AJ205" s="139">
        <v>110</v>
      </c>
      <c r="AK205" s="186">
        <f>('LCFS Table'!$AI205/340)*100</f>
        <v>40</v>
      </c>
      <c r="AL205" s="186">
        <f>('LCFS Table'!$AJ205/340)*100</f>
        <v>32.352941176470587</v>
      </c>
      <c r="AM205" s="139">
        <v>105</v>
      </c>
      <c r="AN205" s="139">
        <v>90</v>
      </c>
      <c r="AO205" s="139">
        <f>('LCFS Table'!$AM205/300)*100</f>
        <v>35</v>
      </c>
      <c r="AP205" s="139">
        <f>('LCFS Table'!$AN205/300)*100</f>
        <v>30</v>
      </c>
      <c r="AQ205" s="140">
        <f>'[1]LCFS Values'!$B204</f>
        <v>61.3</v>
      </c>
      <c r="AR205" s="140">
        <f>'[1]RIN Values'!$B204/100</f>
        <v>1.909</v>
      </c>
      <c r="AS205" s="185">
        <v>0.51959490377759177</v>
      </c>
      <c r="AT205" s="137">
        <v>0.16</v>
      </c>
      <c r="AU205" s="137">
        <v>1</v>
      </c>
      <c r="AV205" s="185">
        <f>'LCFS Table'!$AR205*1.7</f>
        <v>3.2452999999999999</v>
      </c>
      <c r="AW205" s="137">
        <v>0</v>
      </c>
      <c r="AX205" s="185">
        <v>0.34908448281249993</v>
      </c>
      <c r="AY205" s="137">
        <v>0</v>
      </c>
      <c r="AZ205" s="141">
        <v>1</v>
      </c>
      <c r="BA205" s="185">
        <f>'LCFS Table'!$AR205*1.5</f>
        <v>2.8635000000000002</v>
      </c>
      <c r="BB205" s="142">
        <v>1.2</v>
      </c>
      <c r="BC205" s="185">
        <f>'LCFS Table'!$AS205*'LCFS Table'!$BW205</f>
        <v>0.51959490377759177</v>
      </c>
      <c r="BD205" s="185">
        <f>'LCFS Table'!$AT205*'LCFS Table'!$BX205</f>
        <v>0</v>
      </c>
      <c r="BE205" s="185">
        <f>'LCFS Table'!$AU205*'LCFS Table'!$BY205</f>
        <v>1</v>
      </c>
      <c r="BF205" s="137">
        <f>'LCFS Table'!$AV205*'LCFS Table'!$BZ205</f>
        <v>3.2452999999999999</v>
      </c>
      <c r="BG205" s="137">
        <f>'LCFS Table'!$AW205*'LCFS Table'!$CA205</f>
        <v>0</v>
      </c>
      <c r="BH205" s="137">
        <f>'LCFS Table'!$AX205*'LCFS Table'!$CB205</f>
        <v>0.34908448281249993</v>
      </c>
      <c r="BI205" s="137">
        <f>'LCFS Table'!$AY205*'LCFS Table'!$CC205</f>
        <v>0</v>
      </c>
      <c r="BJ205" s="137">
        <f>'LCFS Table'!$AZ205*'LCFS Table'!$CD205</f>
        <v>1</v>
      </c>
      <c r="BK205" s="137">
        <f>'LCFS Table'!$BA205*'LCFS Table'!$CE205</f>
        <v>2.8635000000000002</v>
      </c>
      <c r="BL205" s="137">
        <f>'LCFS Table'!$BB205*'LCFS Table'!$CF205</f>
        <v>-1.2</v>
      </c>
      <c r="BM205" s="137">
        <f>'LCFS Table'!$AS205*'LCFS Table'!$CG205</f>
        <v>0</v>
      </c>
      <c r="BN205" s="137">
        <f>'LCFS Table'!$AT205*'LCFS Table'!$CH205</f>
        <v>0.16</v>
      </c>
      <c r="BO205" s="137">
        <f>'LCFS Table'!$AU205*'LCFS Table'!$CI205</f>
        <v>0</v>
      </c>
      <c r="BP205" s="137">
        <f>'LCFS Table'!$AV205*'LCFS Table'!$CJ205</f>
        <v>0</v>
      </c>
      <c r="BQ205" s="137">
        <f>'LCFS Table'!$AW205*'LCFS Table'!$CK205</f>
        <v>0</v>
      </c>
      <c r="BR205" s="137">
        <f>'LCFS Table'!$AX205*'LCFS Table'!$CL205</f>
        <v>0</v>
      </c>
      <c r="BS205" s="137">
        <f>'LCFS Table'!$AY205*'LCFS Table'!$CM205</f>
        <v>0</v>
      </c>
      <c r="BT205" s="137">
        <f>'LCFS Table'!$AZ205*'LCFS Table'!$CN205</f>
        <v>0</v>
      </c>
      <c r="BU205" s="137">
        <f>'LCFS Table'!$BA205*'LCFS Table'!$CO205</f>
        <v>0</v>
      </c>
      <c r="BV205" s="142">
        <f>'LCFS Table'!$BB205*'LCFS Table'!$CP205</f>
        <v>1.2</v>
      </c>
      <c r="BW205" s="138">
        <v>1</v>
      </c>
      <c r="BX205" s="138">
        <v>0</v>
      </c>
      <c r="BY205" s="138">
        <v>1</v>
      </c>
      <c r="BZ205" s="138">
        <v>1</v>
      </c>
      <c r="CA205" s="138">
        <v>-1</v>
      </c>
      <c r="CB205" s="138">
        <v>1</v>
      </c>
      <c r="CC205" s="138">
        <v>0</v>
      </c>
      <c r="CD205" s="138">
        <v>1</v>
      </c>
      <c r="CE205" s="138">
        <v>1</v>
      </c>
      <c r="CF205" s="138">
        <v>-1</v>
      </c>
      <c r="CG205" s="138">
        <f>1-'LCFS Table'!$BW205</f>
        <v>0</v>
      </c>
      <c r="CH205" s="138">
        <f>1-'LCFS Table'!$BX205</f>
        <v>1</v>
      </c>
      <c r="CI205" s="138">
        <f>1-'LCFS Table'!$BY205</f>
        <v>0</v>
      </c>
      <c r="CJ205" s="138">
        <f>1-'LCFS Table'!$BZ205</f>
        <v>0</v>
      </c>
      <c r="CK205" s="138">
        <f>-'LCFS Table'!$CA205</f>
        <v>1</v>
      </c>
      <c r="CL205" s="138">
        <f>1-'LCFS Table'!$CB205</f>
        <v>0</v>
      </c>
      <c r="CM205" s="138">
        <f>1-'LCFS Table'!$CC205</f>
        <v>1</v>
      </c>
      <c r="CN205" s="138">
        <f>1-'LCFS Table'!$CD205</f>
        <v>0</v>
      </c>
      <c r="CO205" s="138">
        <f>1-'LCFS Table'!$CE205</f>
        <v>0</v>
      </c>
      <c r="CP205" s="138">
        <f>-'LCFS Table'!$CF205</f>
        <v>1</v>
      </c>
      <c r="CQ205" s="140">
        <v>8.75</v>
      </c>
      <c r="CR205" s="165">
        <f>('LCFS Table'!$CQ205*0.9/(0.8/0.99)/100)</f>
        <v>9.7453124999999988E-2</v>
      </c>
      <c r="CS205" s="166"/>
      <c r="CT205" s="167"/>
      <c r="CW205" s="168">
        <f>'LCFS Table'!$K205-'LCFS Table'!$M205</f>
        <v>-0.27801551718749939</v>
      </c>
      <c r="CX205" s="129">
        <f>MONTH('LCFS Table'!$B205)</f>
        <v>11</v>
      </c>
      <c r="CY205" s="129">
        <f>YEAR('LCFS Table'!$B205)</f>
        <v>2022</v>
      </c>
    </row>
    <row r="206" spans="1:103">
      <c r="A206" s="148">
        <v>44885</v>
      </c>
      <c r="B206" s="149">
        <v>44891</v>
      </c>
      <c r="C206" s="132">
        <f t="shared" si="4"/>
        <v>2022</v>
      </c>
      <c r="D206" s="150" t="s">
        <v>303</v>
      </c>
      <c r="E206" s="187">
        <f>'LCFS Table'!$K206-'LCFS Table'!$I206</f>
        <v>-2.5725107521902379</v>
      </c>
      <c r="F206" s="187">
        <f>('LCFS Table'!$M206)-'LCFS Table'!$J206</f>
        <v>-3.381046385432501</v>
      </c>
      <c r="G206" s="188">
        <f>'LCFS Table'!$E206+'LCFS Table'!$AS206+'LCFS Table'!$AT206+'LCFS Table'!$AU206+'LCFS Table'!$AV206</f>
        <v>2.4022171329701036</v>
      </c>
      <c r="H206" s="188">
        <f>'LCFS Table'!$F206+'LCFS Table'!$AX206+'LCFS Table'!$AY206+'LCFS Table'!$AZ206+'LCFS Table'!$BA206+('LCFS Table'!$CQ206*0.9/(0.8/0.99)/100)+(DG206*'LCFS Table'!$AF206)+(DF206*'LCFS Table'!$AG206)</f>
        <v>0.96998632031249887</v>
      </c>
      <c r="I206" s="187">
        <f>('LCFS Table'!$V206+'LCFS Table'!$W206+'LCFS Table'!$X206)/100+(('LCFS Table'!$AI206+'LCFS Table'!$AJ206)/340)</f>
        <v>5.9878107521902377</v>
      </c>
      <c r="J206" s="187">
        <f>(('LCFS Table'!$Y206+'LCFS Table'!$Z206)/100)+(('LCFS Table'!$AM206+'LCFS Table'!$AN206)/300)</f>
        <v>7.1257998046875004</v>
      </c>
      <c r="K206" s="190">
        <f>'[1]Fuel Values'!$C205</f>
        <v>3.4152999999999998</v>
      </c>
      <c r="L206" s="190">
        <f>'[1]Fuel Values'!$B205</f>
        <v>799.83330000000001</v>
      </c>
      <c r="M206" s="185">
        <f>('LCFS Table'!$L206/100)-'LCFS Table'!$AX206-'LCFS Table'!$AY206-'LCFS Table'!$AZ206-'LCFS Table'!$BA206</f>
        <v>3.7447534192549994</v>
      </c>
      <c r="N206" s="190">
        <f>[1]BFT!$B205</f>
        <v>74</v>
      </c>
      <c r="O206" s="190">
        <f>[1]UCO!$B205</f>
        <v>67.5</v>
      </c>
      <c r="P206" s="190">
        <f>[1]DCO!$B205</f>
        <v>76.833299999999994</v>
      </c>
      <c r="Q206" s="190">
        <f>'[1]Soybean Oil'!$B205</f>
        <v>90.067499999999995</v>
      </c>
      <c r="R206" s="190">
        <f>'[1]Yellow Grease'!$B205</f>
        <v>55</v>
      </c>
      <c r="S206" s="185">
        <f>'LCFS Table'!$N206 + 'LCFS Table'!$AH206</f>
        <v>78.375</v>
      </c>
      <c r="T206" s="185">
        <f>'LCFS Table'!$Q206+'LCFS Table'!$AH206</f>
        <v>94.442499999999995</v>
      </c>
      <c r="U206" s="185">
        <f>'LCFS Table'!$P206+'LCFS Table'!$AH206</f>
        <v>81.208299999999994</v>
      </c>
      <c r="V206" s="185">
        <f>(('LCFS Table'!$S206/'LCFS Table'!$AA206)*'LCFS Table'!$AC206)*6.48</f>
        <v>270.14361702127661</v>
      </c>
      <c r="W206" s="185">
        <f>(('LCFS Table'!$O206/'LCFS Table'!$AA206)*'LCFS Table'!$AD206)*6.48</f>
        <v>116.32978723404257</v>
      </c>
      <c r="X206" s="185">
        <f>(('LCFS Table'!$U206/'LCFS Table'!$AA206)*'LCFS Table'!$AE206)*6.48</f>
        <v>139.95472978723404</v>
      </c>
      <c r="Y206" s="185">
        <f>(('LCFS Table'!$T206/'LCFS Table'!$AB206)*'LCFS Table'!$AF206)*7.35</f>
        <v>542.30654296875002</v>
      </c>
      <c r="Z206" s="185">
        <f>(('LCFS Table'!$R206/'LCFS Table'!$AB206)*'LCFS Table'!$AG206)*7.35</f>
        <v>105.2734375</v>
      </c>
      <c r="AA206" s="138">
        <v>0.94</v>
      </c>
      <c r="AB206" s="138">
        <v>0.96</v>
      </c>
      <c r="AC206" s="138">
        <v>0.5</v>
      </c>
      <c r="AD206" s="138">
        <v>0.25</v>
      </c>
      <c r="AE206" s="138">
        <v>0.25</v>
      </c>
      <c r="AF206" s="138">
        <v>0.75</v>
      </c>
      <c r="AG206" s="138">
        <v>0.25</v>
      </c>
      <c r="AH206" s="139">
        <v>4.375</v>
      </c>
      <c r="AI206" s="139">
        <v>136</v>
      </c>
      <c r="AJ206" s="139">
        <v>110</v>
      </c>
      <c r="AK206" s="186">
        <f>('LCFS Table'!$AI206/340)*100</f>
        <v>40</v>
      </c>
      <c r="AL206" s="186">
        <f>('LCFS Table'!$AJ206/340)*100</f>
        <v>32.352941176470587</v>
      </c>
      <c r="AM206" s="139">
        <v>105</v>
      </c>
      <c r="AN206" s="139">
        <v>90</v>
      </c>
      <c r="AO206" s="139">
        <f>('LCFS Table'!$AM206/300)*100</f>
        <v>35</v>
      </c>
      <c r="AP206" s="139">
        <f>('LCFS Table'!$AN206/300)*100</f>
        <v>30</v>
      </c>
      <c r="AQ206" s="140">
        <f>'[1]LCFS Values'!$B205</f>
        <v>62.5</v>
      </c>
      <c r="AR206" s="140">
        <f>'[1]RIN Values'!$B205/100</f>
        <v>1.93</v>
      </c>
      <c r="AS206" s="185">
        <v>0.53372788516034231</v>
      </c>
      <c r="AT206" s="137">
        <v>0.16</v>
      </c>
      <c r="AU206" s="137">
        <v>1</v>
      </c>
      <c r="AV206" s="185">
        <f>'LCFS Table'!$AR206*1.7</f>
        <v>3.2809999999999997</v>
      </c>
      <c r="AW206" s="137">
        <v>0</v>
      </c>
      <c r="AX206" s="185">
        <v>0.35857958074499996</v>
      </c>
      <c r="AY206" s="137">
        <v>0</v>
      </c>
      <c r="AZ206" s="141">
        <v>1</v>
      </c>
      <c r="BA206" s="185">
        <f>'LCFS Table'!$AR206*1.5</f>
        <v>2.895</v>
      </c>
      <c r="BB206" s="142">
        <v>1.2</v>
      </c>
      <c r="BC206" s="185">
        <f>'LCFS Table'!$AS206*'LCFS Table'!$BW206</f>
        <v>0.53372788516034231</v>
      </c>
      <c r="BD206" s="185">
        <f>'LCFS Table'!$AT206*'LCFS Table'!$BX206</f>
        <v>0</v>
      </c>
      <c r="BE206" s="185">
        <f>'LCFS Table'!$AU206*'LCFS Table'!$BY206</f>
        <v>1</v>
      </c>
      <c r="BF206" s="137">
        <f>'LCFS Table'!$AV206*'LCFS Table'!$BZ206</f>
        <v>3.2809999999999997</v>
      </c>
      <c r="BG206" s="137">
        <f>'LCFS Table'!$AW206*'LCFS Table'!$CA206</f>
        <v>0</v>
      </c>
      <c r="BH206" s="137">
        <f>'LCFS Table'!$AX206*'LCFS Table'!$CB206</f>
        <v>0.35857958074499996</v>
      </c>
      <c r="BI206" s="137">
        <f>'LCFS Table'!$AY206*'LCFS Table'!$CC206</f>
        <v>0</v>
      </c>
      <c r="BJ206" s="137">
        <f>'LCFS Table'!$AZ206*'LCFS Table'!$CD206</f>
        <v>1</v>
      </c>
      <c r="BK206" s="137">
        <f>'LCFS Table'!$BA206*'LCFS Table'!$CE206</f>
        <v>2.895</v>
      </c>
      <c r="BL206" s="137">
        <f>'LCFS Table'!$BB206*'LCFS Table'!$CF206</f>
        <v>-1.2</v>
      </c>
      <c r="BM206" s="137">
        <f>'LCFS Table'!$AS206*'LCFS Table'!$CG206</f>
        <v>0</v>
      </c>
      <c r="BN206" s="137">
        <f>'LCFS Table'!$AT206*'LCFS Table'!$CH206</f>
        <v>0.16</v>
      </c>
      <c r="BO206" s="137">
        <f>'LCFS Table'!$AU206*'LCFS Table'!$CI206</f>
        <v>0</v>
      </c>
      <c r="BP206" s="137">
        <f>'LCFS Table'!$AV206*'LCFS Table'!$CJ206</f>
        <v>0</v>
      </c>
      <c r="BQ206" s="137">
        <f>'LCFS Table'!$AW206*'LCFS Table'!$CK206</f>
        <v>0</v>
      </c>
      <c r="BR206" s="137">
        <f>'LCFS Table'!$AX206*'LCFS Table'!$CL206</f>
        <v>0</v>
      </c>
      <c r="BS206" s="137">
        <f>'LCFS Table'!$AY206*'LCFS Table'!$CM206</f>
        <v>0</v>
      </c>
      <c r="BT206" s="137">
        <f>'LCFS Table'!$AZ206*'LCFS Table'!$CN206</f>
        <v>0</v>
      </c>
      <c r="BU206" s="137">
        <f>'LCFS Table'!$BA206*'LCFS Table'!$CO206</f>
        <v>0</v>
      </c>
      <c r="BV206" s="142">
        <f>'LCFS Table'!$BB206*'LCFS Table'!$CP206</f>
        <v>1.2</v>
      </c>
      <c r="BW206" s="138">
        <v>1</v>
      </c>
      <c r="BX206" s="138">
        <v>0</v>
      </c>
      <c r="BY206" s="138">
        <v>1</v>
      </c>
      <c r="BZ206" s="138">
        <v>1</v>
      </c>
      <c r="CA206" s="138">
        <v>-1</v>
      </c>
      <c r="CB206" s="138">
        <v>1</v>
      </c>
      <c r="CC206" s="138">
        <v>0</v>
      </c>
      <c r="CD206" s="138">
        <v>1</v>
      </c>
      <c r="CE206" s="138">
        <v>1</v>
      </c>
      <c r="CF206" s="138">
        <v>-1</v>
      </c>
      <c r="CG206" s="138">
        <f>1-'LCFS Table'!$BW206</f>
        <v>0</v>
      </c>
      <c r="CH206" s="138">
        <f>1-'LCFS Table'!$BX206</f>
        <v>1</v>
      </c>
      <c r="CI206" s="138">
        <f>1-'LCFS Table'!$BY206</f>
        <v>0</v>
      </c>
      <c r="CJ206" s="138">
        <f>1-'LCFS Table'!$BZ206</f>
        <v>0</v>
      </c>
      <c r="CK206" s="138">
        <f>-'LCFS Table'!$CA206</f>
        <v>1</v>
      </c>
      <c r="CL206" s="138">
        <f>1-'LCFS Table'!$CB206</f>
        <v>0</v>
      </c>
      <c r="CM206" s="138">
        <f>1-'LCFS Table'!$CC206</f>
        <v>1</v>
      </c>
      <c r="CN206" s="138">
        <f>1-'LCFS Table'!$CD206</f>
        <v>0</v>
      </c>
      <c r="CO206" s="138">
        <f>1-'LCFS Table'!$CE206</f>
        <v>0</v>
      </c>
      <c r="CP206" s="138">
        <f>-'LCFS Table'!$CF206</f>
        <v>1</v>
      </c>
      <c r="CQ206" s="140">
        <v>8.75</v>
      </c>
      <c r="CR206" s="165">
        <f>('LCFS Table'!$CQ206*0.9/(0.8/0.99)/100)</f>
        <v>9.7453124999999988E-2</v>
      </c>
      <c r="CS206" s="166"/>
      <c r="CT206" s="167"/>
      <c r="CW206" s="168">
        <f>'LCFS Table'!$K206-'LCFS Table'!$M206</f>
        <v>-0.3294534192549996</v>
      </c>
      <c r="CX206" s="129">
        <f>MONTH('LCFS Table'!$B206)</f>
        <v>11</v>
      </c>
      <c r="CY206" s="129">
        <f>YEAR('LCFS Table'!$B206)</f>
        <v>2022</v>
      </c>
    </row>
    <row r="207" spans="1:103">
      <c r="A207" s="148">
        <v>44892</v>
      </c>
      <c r="B207" s="149">
        <v>44898</v>
      </c>
      <c r="C207" s="132">
        <f t="shared" si="4"/>
        <v>2022</v>
      </c>
      <c r="D207" s="182" t="s">
        <v>304</v>
      </c>
      <c r="E207" s="187">
        <f>'LCFS Table'!$K207-'LCFS Table'!$I207</f>
        <v>-2.7164751564455569</v>
      </c>
      <c r="F207" s="187">
        <f>('LCFS Table'!$M207)-'LCFS Table'!$J207</f>
        <v>-3.2395481355949993</v>
      </c>
      <c r="G207" s="188">
        <f>'LCFS Table'!$E207+'LCFS Table'!$AS207+'LCFS Table'!$AT207+'LCFS Table'!$AU207+'LCFS Table'!$AV207</f>
        <v>2.1637162471752269</v>
      </c>
      <c r="H207" s="188">
        <f>'LCFS Table'!$F207+'LCFS Table'!$AX207+'LCFS Table'!$AY207+'LCFS Table'!$AZ207+'LCFS Table'!$BA207+('LCFS Table'!$CQ207*0.9/(0.8/0.99)/100)+(DG207*'LCFS Table'!$AF207)+(DF207*'LCFS Table'!$AG207)</f>
        <v>1.0129549218750005</v>
      </c>
      <c r="I207" s="187">
        <f>('LCFS Table'!$V207+'LCFS Table'!$W207+'LCFS Table'!$X207)/100+(('LCFS Table'!$AI207+'LCFS Table'!$AJ207)/340)</f>
        <v>5.9863751564455567</v>
      </c>
      <c r="J207" s="187">
        <f>(('LCFS Table'!$Y207+'LCFS Table'!$Z207)/100)+(('LCFS Table'!$AM207+'LCFS Table'!$AN207)/300)</f>
        <v>7.0121332031249999</v>
      </c>
      <c r="K207" s="190">
        <f>'[1]Fuel Values'!$C206</f>
        <v>3.2698999999999998</v>
      </c>
      <c r="L207" s="190">
        <f>'[1]Fuel Values'!$B206</f>
        <v>794.1</v>
      </c>
      <c r="M207" s="185">
        <f>('LCFS Table'!$L207/100)-'LCFS Table'!$AX207-'LCFS Table'!$AY207-'LCFS Table'!$AZ207-'LCFS Table'!$BA207</f>
        <v>3.7725850675300006</v>
      </c>
      <c r="N207" s="190">
        <f>[1]BFT!$B206</f>
        <v>74</v>
      </c>
      <c r="O207" s="190">
        <f>[1]UCO!$B206</f>
        <v>67.5</v>
      </c>
      <c r="P207" s="190">
        <f>[1]DCO!$B206</f>
        <v>76.75</v>
      </c>
      <c r="Q207" s="190">
        <f>'[1]Soybean Oil'!$B206</f>
        <v>88.087999999999994</v>
      </c>
      <c r="R207" s="190">
        <f>'[1]Yellow Grease'!$B206</f>
        <v>55</v>
      </c>
      <c r="S207" s="185">
        <f>'LCFS Table'!$N207 + 'LCFS Table'!$AH207</f>
        <v>78.375</v>
      </c>
      <c r="T207" s="185">
        <f>'LCFS Table'!$Q207+'LCFS Table'!$AH207</f>
        <v>92.462999999999994</v>
      </c>
      <c r="U207" s="185">
        <f>'LCFS Table'!$P207+'LCFS Table'!$AH207</f>
        <v>81.125</v>
      </c>
      <c r="V207" s="185">
        <f>(('LCFS Table'!$S207/'LCFS Table'!$AA207)*'LCFS Table'!$AC207)*6.48</f>
        <v>270.14361702127661</v>
      </c>
      <c r="W207" s="185">
        <f>(('LCFS Table'!$O207/'LCFS Table'!$AA207)*'LCFS Table'!$AD207)*6.48</f>
        <v>116.32978723404257</v>
      </c>
      <c r="X207" s="185">
        <f>(('LCFS Table'!$U207/'LCFS Table'!$AA207)*'LCFS Table'!$AE207)*6.48</f>
        <v>139.81117021276597</v>
      </c>
      <c r="Y207" s="185">
        <f>(('LCFS Table'!$T207/'LCFS Table'!$AB207)*'LCFS Table'!$AF207)*7.35</f>
        <v>530.93988281249995</v>
      </c>
      <c r="Z207" s="185">
        <f>(('LCFS Table'!$R207/'LCFS Table'!$AB207)*'LCFS Table'!$AG207)*7.35</f>
        <v>105.2734375</v>
      </c>
      <c r="AA207" s="138">
        <v>0.94</v>
      </c>
      <c r="AB207" s="138">
        <v>0.96</v>
      </c>
      <c r="AC207" s="138">
        <v>0.5</v>
      </c>
      <c r="AD207" s="138">
        <v>0.25</v>
      </c>
      <c r="AE207" s="138">
        <v>0.25</v>
      </c>
      <c r="AF207" s="138">
        <v>0.75</v>
      </c>
      <c r="AG207" s="138">
        <v>0.25</v>
      </c>
      <c r="AH207" s="139">
        <v>4.375</v>
      </c>
      <c r="AI207" s="139">
        <v>136</v>
      </c>
      <c r="AJ207" s="139">
        <v>110</v>
      </c>
      <c r="AK207" s="186">
        <f>('LCFS Table'!$AI207/340)*100</f>
        <v>40</v>
      </c>
      <c r="AL207" s="186">
        <f>('LCFS Table'!$AJ207/340)*100</f>
        <v>32.352941176470587</v>
      </c>
      <c r="AM207" s="139">
        <v>105</v>
      </c>
      <c r="AN207" s="139">
        <v>90</v>
      </c>
      <c r="AO207" s="139">
        <f>('LCFS Table'!$AM207/300)*100</f>
        <v>35</v>
      </c>
      <c r="AP207" s="139">
        <f>('LCFS Table'!$AN207/300)*100</f>
        <v>30</v>
      </c>
      <c r="AQ207" s="140">
        <f>'[1]LCFS Values'!$B206</f>
        <v>64.2</v>
      </c>
      <c r="AR207" s="140">
        <f>'[1]RIN Values'!$B206/100</f>
        <v>1.8694999999999999</v>
      </c>
      <c r="AS207" s="185">
        <v>0.54204140362078379</v>
      </c>
      <c r="AT207" s="137">
        <v>0.16</v>
      </c>
      <c r="AU207" s="137">
        <v>1</v>
      </c>
      <c r="AV207" s="185">
        <f>'LCFS Table'!$AR207*1.7</f>
        <v>3.17815</v>
      </c>
      <c r="AW207" s="137">
        <v>0</v>
      </c>
      <c r="AX207" s="185">
        <v>0.36416493246999998</v>
      </c>
      <c r="AY207" s="137">
        <v>0</v>
      </c>
      <c r="AZ207" s="141">
        <v>1</v>
      </c>
      <c r="BA207" s="185">
        <f>'LCFS Table'!$AR207*1.5</f>
        <v>2.8042499999999997</v>
      </c>
      <c r="BB207" s="142">
        <v>1.2</v>
      </c>
      <c r="BC207" s="185">
        <f>'LCFS Table'!$AS207*'LCFS Table'!$BW207</f>
        <v>0.54204140362078379</v>
      </c>
      <c r="BD207" s="185">
        <f>'LCFS Table'!$AT207*'LCFS Table'!$BX207</f>
        <v>0</v>
      </c>
      <c r="BE207" s="185">
        <f>'LCFS Table'!$AU207*'LCFS Table'!$BY207</f>
        <v>1</v>
      </c>
      <c r="BF207" s="137">
        <f>'LCFS Table'!$AV207*'LCFS Table'!$BZ207</f>
        <v>3.17815</v>
      </c>
      <c r="BG207" s="137">
        <f>'LCFS Table'!$AW207*'LCFS Table'!$CA207</f>
        <v>0</v>
      </c>
      <c r="BH207" s="137">
        <f>'LCFS Table'!$AX207*'LCFS Table'!$CB207</f>
        <v>0.36416493246999998</v>
      </c>
      <c r="BI207" s="137">
        <f>'LCFS Table'!$AY207*'LCFS Table'!$CC207</f>
        <v>0</v>
      </c>
      <c r="BJ207" s="137">
        <f>'LCFS Table'!$AZ207*'LCFS Table'!$CD207</f>
        <v>1</v>
      </c>
      <c r="BK207" s="137">
        <f>'LCFS Table'!$BA207*'LCFS Table'!$CE207</f>
        <v>2.8042499999999997</v>
      </c>
      <c r="BL207" s="137">
        <f>'LCFS Table'!$BB207*'LCFS Table'!$CF207</f>
        <v>-1.2</v>
      </c>
      <c r="BM207" s="137">
        <f>'LCFS Table'!$AS207*'LCFS Table'!$CG207</f>
        <v>0</v>
      </c>
      <c r="BN207" s="137">
        <f>'LCFS Table'!$AT207*'LCFS Table'!$CH207</f>
        <v>0.16</v>
      </c>
      <c r="BO207" s="137">
        <f>'LCFS Table'!$AU207*'LCFS Table'!$CI207</f>
        <v>0</v>
      </c>
      <c r="BP207" s="137">
        <f>'LCFS Table'!$AV207*'LCFS Table'!$CJ207</f>
        <v>0</v>
      </c>
      <c r="BQ207" s="137">
        <f>'LCFS Table'!$AW207*'LCFS Table'!$CK207</f>
        <v>0</v>
      </c>
      <c r="BR207" s="137">
        <f>'LCFS Table'!$AX207*'LCFS Table'!$CL207</f>
        <v>0</v>
      </c>
      <c r="BS207" s="137">
        <f>'LCFS Table'!$AY207*'LCFS Table'!$CM207</f>
        <v>0</v>
      </c>
      <c r="BT207" s="137">
        <f>'LCFS Table'!$AZ207*'LCFS Table'!$CN207</f>
        <v>0</v>
      </c>
      <c r="BU207" s="137">
        <f>'LCFS Table'!$BA207*'LCFS Table'!$CO207</f>
        <v>0</v>
      </c>
      <c r="BV207" s="142">
        <f>'LCFS Table'!$BB207*'LCFS Table'!$CP207</f>
        <v>1.2</v>
      </c>
      <c r="BW207" s="138">
        <v>1</v>
      </c>
      <c r="BX207" s="138">
        <v>0</v>
      </c>
      <c r="BY207" s="138">
        <v>1</v>
      </c>
      <c r="BZ207" s="138">
        <v>1</v>
      </c>
      <c r="CA207" s="138">
        <v>-1</v>
      </c>
      <c r="CB207" s="138">
        <v>1</v>
      </c>
      <c r="CC207" s="138">
        <v>0</v>
      </c>
      <c r="CD207" s="138">
        <v>1</v>
      </c>
      <c r="CE207" s="138">
        <v>1</v>
      </c>
      <c r="CF207" s="138">
        <v>-1</v>
      </c>
      <c r="CG207" s="138">
        <f>1-'LCFS Table'!$BW207</f>
        <v>0</v>
      </c>
      <c r="CH207" s="138">
        <f>1-'LCFS Table'!$BX207</f>
        <v>1</v>
      </c>
      <c r="CI207" s="138">
        <f>1-'LCFS Table'!$BY207</f>
        <v>0</v>
      </c>
      <c r="CJ207" s="138">
        <f>1-'LCFS Table'!$BZ207</f>
        <v>0</v>
      </c>
      <c r="CK207" s="138">
        <f>-'LCFS Table'!$CA207</f>
        <v>1</v>
      </c>
      <c r="CL207" s="138">
        <f>1-'LCFS Table'!$CB207</f>
        <v>0</v>
      </c>
      <c r="CM207" s="138">
        <f>1-'LCFS Table'!$CC207</f>
        <v>1</v>
      </c>
      <c r="CN207" s="138">
        <f>1-'LCFS Table'!$CD207</f>
        <v>0</v>
      </c>
      <c r="CO207" s="138">
        <f>1-'LCFS Table'!$CE207</f>
        <v>0</v>
      </c>
      <c r="CP207" s="138">
        <f>-'LCFS Table'!$CF207</f>
        <v>1</v>
      </c>
      <c r="CQ207" s="140">
        <v>7.55</v>
      </c>
      <c r="CR207" s="165">
        <f>('LCFS Table'!$CQ207*0.9/(0.8/0.99)/100)</f>
        <v>8.4088124999999986E-2</v>
      </c>
      <c r="CS207" s="166"/>
      <c r="CT207" s="167"/>
      <c r="CW207" s="168">
        <f>'LCFS Table'!$K207-'LCFS Table'!$M207</f>
        <v>-0.50268506753000075</v>
      </c>
      <c r="CX207" s="129">
        <f>MONTH('LCFS Table'!$B207)</f>
        <v>12</v>
      </c>
      <c r="CY207" s="129">
        <f>YEAR('LCFS Table'!$B207)</f>
        <v>2022</v>
      </c>
    </row>
    <row r="208" spans="1:103">
      <c r="A208" s="148">
        <v>44899</v>
      </c>
      <c r="B208" s="149">
        <v>44905</v>
      </c>
      <c r="C208" s="132">
        <f t="shared" si="4"/>
        <v>2022</v>
      </c>
      <c r="D208" s="150" t="s">
        <v>305</v>
      </c>
      <c r="E208" s="187">
        <f>'LCFS Table'!$K208-'LCFS Table'!$I208</f>
        <v>-2.871538986232792</v>
      </c>
      <c r="F208" s="187">
        <f>('LCFS Table'!$M208)-'LCFS Table'!$J208</f>
        <v>-2.4639740537425006</v>
      </c>
      <c r="G208" s="188">
        <f>'LCFS Table'!$E208+'LCFS Table'!$AS208+'LCFS Table'!$AT208+'LCFS Table'!$AU208+'LCFS Table'!$AV208</f>
        <v>1.705847287694477</v>
      </c>
      <c r="H208" s="188">
        <f>'LCFS Table'!$F208+'LCFS Table'!$AX208+'LCFS Table'!$AY208+'LCFS Table'!$AZ208+'LCFS Table'!$BA208+('LCFS Table'!$CQ208*0.9/(0.8/0.99)/100)+(DG208*'LCFS Table'!$AF208)+(DF208*'LCFS Table'!$AG208)</f>
        <v>1.5077285156249991</v>
      </c>
      <c r="I208" s="187">
        <f>('LCFS Table'!$V208+'LCFS Table'!$W208+'LCFS Table'!$X208)/100+(('LCFS Table'!$AI208+'LCFS Table'!$AJ208)/340)</f>
        <v>5.7554389862327922</v>
      </c>
      <c r="J208" s="187">
        <f>(('LCFS Table'!$Y208+'LCFS Table'!$Z208)/100)+(('LCFS Table'!$AM208+'LCFS Table'!$AN208)/300)</f>
        <v>6.3846652343750012</v>
      </c>
      <c r="K208" s="190">
        <f>'[1]Fuel Values'!$C207</f>
        <v>2.8839000000000001</v>
      </c>
      <c r="L208" s="190">
        <f>'[1]Fuel Values'!$B207</f>
        <v>782</v>
      </c>
      <c r="M208" s="185">
        <f>('LCFS Table'!$L208/100)-'LCFS Table'!$AX208-'LCFS Table'!$AY208-'LCFS Table'!$AZ208-'LCFS Table'!$BA208</f>
        <v>3.9206911806325007</v>
      </c>
      <c r="N208" s="190">
        <f>[1]BFT!$B207</f>
        <v>71.2</v>
      </c>
      <c r="O208" s="190">
        <f>[1]UCO!$B207</f>
        <v>67.5</v>
      </c>
      <c r="P208" s="190">
        <f>[1]DCO!$B207</f>
        <v>68.95</v>
      </c>
      <c r="Q208" s="190">
        <f>'[1]Soybean Oil'!$B207</f>
        <v>77.293999999999997</v>
      </c>
      <c r="R208" s="190">
        <f>'[1]Yellow Grease'!$B207</f>
        <v>54.6</v>
      </c>
      <c r="S208" s="185">
        <f>'LCFS Table'!$N208 + 'LCFS Table'!$AH208</f>
        <v>75.575000000000003</v>
      </c>
      <c r="T208" s="185">
        <f>'LCFS Table'!$Q208+'LCFS Table'!$AH208</f>
        <v>81.668999999999997</v>
      </c>
      <c r="U208" s="185">
        <f>'LCFS Table'!$P208+'LCFS Table'!$AH208</f>
        <v>73.325000000000003</v>
      </c>
      <c r="V208" s="185">
        <f>(('LCFS Table'!$S208/'LCFS Table'!$AA208)*'LCFS Table'!$AC208)*6.48</f>
        <v>260.49255319148943</v>
      </c>
      <c r="W208" s="185">
        <f>(('LCFS Table'!$O208/'LCFS Table'!$AA208)*'LCFS Table'!$AD208)*6.48</f>
        <v>116.32978723404257</v>
      </c>
      <c r="X208" s="185">
        <f>(('LCFS Table'!$U208/'LCFS Table'!$AA208)*'LCFS Table'!$AE208)*6.48</f>
        <v>126.36861702127662</v>
      </c>
      <c r="Y208" s="185">
        <f>(('LCFS Table'!$T208/'LCFS Table'!$AB208)*'LCFS Table'!$AF208)*7.35</f>
        <v>468.95871093750003</v>
      </c>
      <c r="Z208" s="185">
        <f>(('LCFS Table'!$R208/'LCFS Table'!$AB208)*'LCFS Table'!$AG208)*7.35</f>
        <v>104.50781250000001</v>
      </c>
      <c r="AA208" s="138">
        <v>0.94</v>
      </c>
      <c r="AB208" s="138">
        <v>0.96</v>
      </c>
      <c r="AC208" s="138">
        <v>0.5</v>
      </c>
      <c r="AD208" s="138">
        <v>0.25</v>
      </c>
      <c r="AE208" s="138">
        <v>0.25</v>
      </c>
      <c r="AF208" s="138">
        <v>0.75</v>
      </c>
      <c r="AG208" s="138">
        <v>0.25</v>
      </c>
      <c r="AH208" s="139">
        <v>4.375</v>
      </c>
      <c r="AI208" s="139">
        <v>136</v>
      </c>
      <c r="AJ208" s="139">
        <v>110</v>
      </c>
      <c r="AK208" s="186">
        <f>('LCFS Table'!$AI208/340)*100</f>
        <v>40</v>
      </c>
      <c r="AL208" s="186">
        <f>('LCFS Table'!$AJ208/340)*100</f>
        <v>32.352941176470587</v>
      </c>
      <c r="AM208" s="139">
        <v>105</v>
      </c>
      <c r="AN208" s="139">
        <v>90</v>
      </c>
      <c r="AO208" s="139">
        <f>('LCFS Table'!$AM208/300)*100</f>
        <v>35</v>
      </c>
      <c r="AP208" s="139">
        <f>('LCFS Table'!$AN208/300)*100</f>
        <v>30</v>
      </c>
      <c r="AQ208" s="140">
        <f>'[1]LCFS Values'!$B207</f>
        <v>65.2</v>
      </c>
      <c r="AR208" s="140">
        <f>'[1]RIN Values'!$B207/100</f>
        <v>1.6859999999999999</v>
      </c>
      <c r="AS208" s="185">
        <v>0.55118627392726938</v>
      </c>
      <c r="AT208" s="137">
        <v>0.16</v>
      </c>
      <c r="AU208" s="137">
        <v>1</v>
      </c>
      <c r="AV208" s="185">
        <f>'LCFS Table'!$AR208*1.7</f>
        <v>2.8661999999999996</v>
      </c>
      <c r="AW208" s="137">
        <v>0</v>
      </c>
      <c r="AX208" s="185">
        <v>0.37030881936749993</v>
      </c>
      <c r="AY208" s="137">
        <v>0</v>
      </c>
      <c r="AZ208" s="141">
        <v>1</v>
      </c>
      <c r="BA208" s="185">
        <f>'LCFS Table'!$AR208*1.5</f>
        <v>2.5289999999999999</v>
      </c>
      <c r="BB208" s="142">
        <v>1.2</v>
      </c>
      <c r="BC208" s="185">
        <f>'LCFS Table'!$AS208*'LCFS Table'!$BW208</f>
        <v>0.55118627392726938</v>
      </c>
      <c r="BD208" s="185">
        <f>'LCFS Table'!$AT208*'LCFS Table'!$BX208</f>
        <v>0</v>
      </c>
      <c r="BE208" s="185">
        <f>'LCFS Table'!$AU208*'LCFS Table'!$BY208</f>
        <v>1</v>
      </c>
      <c r="BF208" s="137">
        <f>'LCFS Table'!$AV208*'LCFS Table'!$BZ208</f>
        <v>2.8661999999999996</v>
      </c>
      <c r="BG208" s="137">
        <f>'LCFS Table'!$AW208*'LCFS Table'!$CA208</f>
        <v>0</v>
      </c>
      <c r="BH208" s="137">
        <f>'LCFS Table'!$AX208*'LCFS Table'!$CB208</f>
        <v>0.37030881936749993</v>
      </c>
      <c r="BI208" s="137">
        <f>'LCFS Table'!$AY208*'LCFS Table'!$CC208</f>
        <v>0</v>
      </c>
      <c r="BJ208" s="137">
        <f>'LCFS Table'!$AZ208*'LCFS Table'!$CD208</f>
        <v>1</v>
      </c>
      <c r="BK208" s="137">
        <f>'LCFS Table'!$BA208*'LCFS Table'!$CE208</f>
        <v>2.5289999999999999</v>
      </c>
      <c r="BL208" s="137">
        <f>'LCFS Table'!$BB208*'LCFS Table'!$CF208</f>
        <v>-1.2</v>
      </c>
      <c r="BM208" s="137">
        <f>'LCFS Table'!$AS208*'LCFS Table'!$CG208</f>
        <v>0</v>
      </c>
      <c r="BN208" s="137">
        <f>'LCFS Table'!$AT208*'LCFS Table'!$CH208</f>
        <v>0.16</v>
      </c>
      <c r="BO208" s="137">
        <f>'LCFS Table'!$AU208*'LCFS Table'!$CI208</f>
        <v>0</v>
      </c>
      <c r="BP208" s="137">
        <f>'LCFS Table'!$AV208*'LCFS Table'!$CJ208</f>
        <v>0</v>
      </c>
      <c r="BQ208" s="137">
        <f>'LCFS Table'!$AW208*'LCFS Table'!$CK208</f>
        <v>0</v>
      </c>
      <c r="BR208" s="137">
        <f>'LCFS Table'!$AX208*'LCFS Table'!$CL208</f>
        <v>0</v>
      </c>
      <c r="BS208" s="137">
        <f>'LCFS Table'!$AY208*'LCFS Table'!$CM208</f>
        <v>0</v>
      </c>
      <c r="BT208" s="137">
        <f>'LCFS Table'!$AZ208*'LCFS Table'!$CN208</f>
        <v>0</v>
      </c>
      <c r="BU208" s="137">
        <f>'LCFS Table'!$BA208*'LCFS Table'!$CO208</f>
        <v>0</v>
      </c>
      <c r="BV208" s="142">
        <f>'LCFS Table'!$BB208*'LCFS Table'!$CP208</f>
        <v>1.2</v>
      </c>
      <c r="BW208" s="138">
        <v>1</v>
      </c>
      <c r="BX208" s="138">
        <v>0</v>
      </c>
      <c r="BY208" s="138">
        <v>1</v>
      </c>
      <c r="BZ208" s="138">
        <v>1</v>
      </c>
      <c r="CA208" s="138">
        <v>-1</v>
      </c>
      <c r="CB208" s="138">
        <v>1</v>
      </c>
      <c r="CC208" s="138">
        <v>0</v>
      </c>
      <c r="CD208" s="138">
        <v>1</v>
      </c>
      <c r="CE208" s="138">
        <v>1</v>
      </c>
      <c r="CF208" s="138">
        <v>-1</v>
      </c>
      <c r="CG208" s="138">
        <f>1-'LCFS Table'!$BW208</f>
        <v>0</v>
      </c>
      <c r="CH208" s="138">
        <f>1-'LCFS Table'!$BX208</f>
        <v>1</v>
      </c>
      <c r="CI208" s="138">
        <f>1-'LCFS Table'!$BY208</f>
        <v>0</v>
      </c>
      <c r="CJ208" s="138">
        <f>1-'LCFS Table'!$BZ208</f>
        <v>0</v>
      </c>
      <c r="CK208" s="138">
        <f>-'LCFS Table'!$CA208</f>
        <v>1</v>
      </c>
      <c r="CL208" s="138">
        <f>1-'LCFS Table'!$CB208</f>
        <v>0</v>
      </c>
      <c r="CM208" s="138">
        <f>1-'LCFS Table'!$CC208</f>
        <v>1</v>
      </c>
      <c r="CN208" s="138">
        <f>1-'LCFS Table'!$CD208</f>
        <v>0</v>
      </c>
      <c r="CO208" s="138">
        <f>1-'LCFS Table'!$CE208</f>
        <v>0</v>
      </c>
      <c r="CP208" s="138">
        <f>-'LCFS Table'!$CF208</f>
        <v>1</v>
      </c>
      <c r="CQ208" s="140">
        <v>6.5</v>
      </c>
      <c r="CR208" s="165">
        <f>('LCFS Table'!$CQ208*0.9/(0.8/0.99)/100)</f>
        <v>7.2393749999999993E-2</v>
      </c>
      <c r="CS208" s="166"/>
      <c r="CT208" s="167"/>
      <c r="CW208" s="168">
        <f>'LCFS Table'!$K208-'LCFS Table'!$M208</f>
        <v>-1.0367911806325005</v>
      </c>
      <c r="CX208" s="129">
        <f>MONTH('LCFS Table'!$B208)</f>
        <v>12</v>
      </c>
      <c r="CY208" s="129">
        <f>YEAR('LCFS Table'!$B208)</f>
        <v>2022</v>
      </c>
    </row>
    <row r="209" spans="1:103">
      <c r="A209" s="148">
        <v>44906</v>
      </c>
      <c r="B209" s="149">
        <v>44912</v>
      </c>
      <c r="C209" s="132">
        <f t="shared" si="4"/>
        <v>2022</v>
      </c>
      <c r="D209" s="150" t="s">
        <v>306</v>
      </c>
      <c r="E209" s="187">
        <f>'LCFS Table'!$K209-'LCFS Table'!$I209</f>
        <v>-2.5485262202753436</v>
      </c>
      <c r="F209" s="187">
        <f>('LCFS Table'!$M209)-'LCFS Table'!$J209</f>
        <v>-2.6985827455550009</v>
      </c>
      <c r="G209" s="188">
        <f>'LCFS Table'!$E209+'LCFS Table'!$AS209+'LCFS Table'!$AT209+'LCFS Table'!$AU209+'LCFS Table'!$AV209</f>
        <v>2.1303938498030295</v>
      </c>
      <c r="H209" s="188">
        <f>'LCFS Table'!$F209+'LCFS Table'!$AX209+'LCFS Table'!$AY209+'LCFS Table'!$AZ209+'LCFS Table'!$BA209+('LCFS Table'!$CQ209*0.9/(0.8/0.99)/100)+(DG209*'LCFS Table'!$AF209)+(DF209*'LCFS Table'!$AG209)</f>
        <v>1.3583332031249988</v>
      </c>
      <c r="I209" s="187">
        <f>('LCFS Table'!$V209+'LCFS Table'!$W209+'LCFS Table'!$X209)/100+(('LCFS Table'!$AI209+'LCFS Table'!$AJ209)/340)</f>
        <v>5.5667262202753438</v>
      </c>
      <c r="J209" s="187">
        <f>(('LCFS Table'!$Y209+'LCFS Table'!$Z209)/100)+(('LCFS Table'!$AM209+'LCFS Table'!$AN209)/300)</f>
        <v>6.4640605468750012</v>
      </c>
      <c r="K209" s="190">
        <f>'[1]Fuel Values'!$C208</f>
        <v>3.0182000000000002</v>
      </c>
      <c r="L209" s="190">
        <f>'[1]Fuel Values'!$B208</f>
        <v>775</v>
      </c>
      <c r="M209" s="185">
        <f>('LCFS Table'!$L209/100)-'LCFS Table'!$AX209-'LCFS Table'!$AY209-'LCFS Table'!$AZ209-'LCFS Table'!$BA209</f>
        <v>3.7654778013200003</v>
      </c>
      <c r="N209" s="190">
        <f>[1]BFT!$B208</f>
        <v>67</v>
      </c>
      <c r="O209" s="190">
        <f>[1]UCO!$B208</f>
        <v>67.099999999999994</v>
      </c>
      <c r="P209" s="190">
        <f>[1]DCO!$B208</f>
        <v>66.8</v>
      </c>
      <c r="Q209" s="190">
        <f>'[1]Soybean Oil'!$B208</f>
        <v>78.709999999999994</v>
      </c>
      <c r="R209" s="190">
        <f>'[1]Yellow Grease'!$B208</f>
        <v>54.5</v>
      </c>
      <c r="S209" s="185">
        <f>'LCFS Table'!$N209 + 'LCFS Table'!$AH209</f>
        <v>71.375</v>
      </c>
      <c r="T209" s="185">
        <f>'LCFS Table'!$Q209+'LCFS Table'!$AH209</f>
        <v>83.084999999999994</v>
      </c>
      <c r="U209" s="185">
        <f>'LCFS Table'!$P209+'LCFS Table'!$AH209</f>
        <v>71.174999999999997</v>
      </c>
      <c r="V209" s="185">
        <f>(('LCFS Table'!$S209/'LCFS Table'!$AA209)*'LCFS Table'!$AC209)*6.48</f>
        <v>246.01595744680853</v>
      </c>
      <c r="W209" s="185">
        <f>(('LCFS Table'!$O209/'LCFS Table'!$AA209)*'LCFS Table'!$AD209)*6.48</f>
        <v>115.64042553191489</v>
      </c>
      <c r="X209" s="185">
        <f>(('LCFS Table'!$U209/'LCFS Table'!$AA209)*'LCFS Table'!$AE209)*6.48</f>
        <v>122.66329787234045</v>
      </c>
      <c r="Y209" s="185">
        <f>(('LCFS Table'!$T209/'LCFS Table'!$AB209)*'LCFS Table'!$AF209)*7.35</f>
        <v>477.08964843749999</v>
      </c>
      <c r="Z209" s="185">
        <f>(('LCFS Table'!$R209/'LCFS Table'!$AB209)*'LCFS Table'!$AG209)*7.35</f>
        <v>104.31640625</v>
      </c>
      <c r="AA209" s="138">
        <v>0.94</v>
      </c>
      <c r="AB209" s="138">
        <v>0.96</v>
      </c>
      <c r="AC209" s="138">
        <v>0.5</v>
      </c>
      <c r="AD209" s="138">
        <v>0.25</v>
      </c>
      <c r="AE209" s="138">
        <v>0.25</v>
      </c>
      <c r="AF209" s="138">
        <v>0.75</v>
      </c>
      <c r="AG209" s="138">
        <v>0.25</v>
      </c>
      <c r="AH209" s="139">
        <v>4.375</v>
      </c>
      <c r="AI209" s="139">
        <v>136</v>
      </c>
      <c r="AJ209" s="139">
        <v>110</v>
      </c>
      <c r="AK209" s="186">
        <f>('LCFS Table'!$AI209/340)*100</f>
        <v>40</v>
      </c>
      <c r="AL209" s="186">
        <f>('LCFS Table'!$AJ209/340)*100</f>
        <v>32.352941176470587</v>
      </c>
      <c r="AM209" s="139">
        <v>105</v>
      </c>
      <c r="AN209" s="139">
        <v>90</v>
      </c>
      <c r="AO209" s="139">
        <f>('LCFS Table'!$AM209/300)*100</f>
        <v>35</v>
      </c>
      <c r="AP209" s="139">
        <f>('LCFS Table'!$AN209/300)*100</f>
        <v>30</v>
      </c>
      <c r="AQ209" s="140">
        <f>'[1]LCFS Values'!$B208</f>
        <v>66.3</v>
      </c>
      <c r="AR209" s="140">
        <f>'[1]RIN Values'!$B208/100</f>
        <v>1.7335</v>
      </c>
      <c r="AS209" s="185">
        <v>0.57197007007837308</v>
      </c>
      <c r="AT209" s="137">
        <v>0.16</v>
      </c>
      <c r="AU209" s="137">
        <v>1</v>
      </c>
      <c r="AV209" s="185">
        <f>'LCFS Table'!$AR209*1.7</f>
        <v>2.9469500000000002</v>
      </c>
      <c r="AW209" s="137">
        <v>0</v>
      </c>
      <c r="AX209" s="185">
        <v>0.38427219867999995</v>
      </c>
      <c r="AY209" s="137">
        <v>0</v>
      </c>
      <c r="AZ209" s="141">
        <v>1</v>
      </c>
      <c r="BA209" s="185">
        <f>'LCFS Table'!$AR209*1.5</f>
        <v>2.60025</v>
      </c>
      <c r="BB209" s="142">
        <v>1.2</v>
      </c>
      <c r="BC209" s="185">
        <f>'LCFS Table'!$AS209*'LCFS Table'!$BW209</f>
        <v>0.57197007007837308</v>
      </c>
      <c r="BD209" s="185">
        <f>'LCFS Table'!$AT209*'LCFS Table'!$BX209</f>
        <v>0</v>
      </c>
      <c r="BE209" s="185">
        <f>'LCFS Table'!$AU209*'LCFS Table'!$BY209</f>
        <v>1</v>
      </c>
      <c r="BF209" s="137">
        <f>'LCFS Table'!$AV209*'LCFS Table'!$BZ209</f>
        <v>2.9469500000000002</v>
      </c>
      <c r="BG209" s="137">
        <f>'LCFS Table'!$AW209*'LCFS Table'!$CA209</f>
        <v>0</v>
      </c>
      <c r="BH209" s="137">
        <f>'LCFS Table'!$AX209*'LCFS Table'!$CB209</f>
        <v>0.38427219867999995</v>
      </c>
      <c r="BI209" s="137">
        <f>'LCFS Table'!$AY209*'LCFS Table'!$CC209</f>
        <v>0</v>
      </c>
      <c r="BJ209" s="137">
        <f>'LCFS Table'!$AZ209*'LCFS Table'!$CD209</f>
        <v>1</v>
      </c>
      <c r="BK209" s="137">
        <f>'LCFS Table'!$BA209*'LCFS Table'!$CE209</f>
        <v>2.60025</v>
      </c>
      <c r="BL209" s="137">
        <f>'LCFS Table'!$BB209*'LCFS Table'!$CF209</f>
        <v>-1.2</v>
      </c>
      <c r="BM209" s="137">
        <f>'LCFS Table'!$AS209*'LCFS Table'!$CG209</f>
        <v>0</v>
      </c>
      <c r="BN209" s="137">
        <f>'LCFS Table'!$AT209*'LCFS Table'!$CH209</f>
        <v>0.16</v>
      </c>
      <c r="BO209" s="137">
        <f>'LCFS Table'!$AU209*'LCFS Table'!$CI209</f>
        <v>0</v>
      </c>
      <c r="BP209" s="137">
        <f>'LCFS Table'!$AV209*'LCFS Table'!$CJ209</f>
        <v>0</v>
      </c>
      <c r="BQ209" s="137">
        <f>'LCFS Table'!$AW209*'LCFS Table'!$CK209</f>
        <v>0</v>
      </c>
      <c r="BR209" s="137">
        <f>'LCFS Table'!$AX209*'LCFS Table'!$CL209</f>
        <v>0</v>
      </c>
      <c r="BS209" s="137">
        <f>'LCFS Table'!$AY209*'LCFS Table'!$CM209</f>
        <v>0</v>
      </c>
      <c r="BT209" s="137">
        <f>'LCFS Table'!$AZ209*'LCFS Table'!$CN209</f>
        <v>0</v>
      </c>
      <c r="BU209" s="137">
        <f>'LCFS Table'!$BA209*'LCFS Table'!$CO209</f>
        <v>0</v>
      </c>
      <c r="BV209" s="142">
        <f>'LCFS Table'!$BB209*'LCFS Table'!$CP209</f>
        <v>1.2</v>
      </c>
      <c r="BW209" s="138">
        <v>1</v>
      </c>
      <c r="BX209" s="138">
        <v>0</v>
      </c>
      <c r="BY209" s="138">
        <v>1</v>
      </c>
      <c r="BZ209" s="138">
        <v>1</v>
      </c>
      <c r="CA209" s="138">
        <v>-1</v>
      </c>
      <c r="CB209" s="138">
        <v>1</v>
      </c>
      <c r="CC209" s="138">
        <v>0</v>
      </c>
      <c r="CD209" s="138">
        <v>1</v>
      </c>
      <c r="CE209" s="138">
        <v>1</v>
      </c>
      <c r="CF209" s="138">
        <v>-1</v>
      </c>
      <c r="CG209" s="138">
        <f>1-'LCFS Table'!$BW209</f>
        <v>0</v>
      </c>
      <c r="CH209" s="138">
        <f>1-'LCFS Table'!$BX209</f>
        <v>1</v>
      </c>
      <c r="CI209" s="138">
        <f>1-'LCFS Table'!$BY209</f>
        <v>0</v>
      </c>
      <c r="CJ209" s="138">
        <f>1-'LCFS Table'!$BZ209</f>
        <v>0</v>
      </c>
      <c r="CK209" s="138">
        <f>-'LCFS Table'!$CA209</f>
        <v>1</v>
      </c>
      <c r="CL209" s="138">
        <f>1-'LCFS Table'!$CB209</f>
        <v>0</v>
      </c>
      <c r="CM209" s="138">
        <f>1-'LCFS Table'!$CC209</f>
        <v>1</v>
      </c>
      <c r="CN209" s="138">
        <f>1-'LCFS Table'!$CD209</f>
        <v>0</v>
      </c>
      <c r="CO209" s="138">
        <f>1-'LCFS Table'!$CE209</f>
        <v>0</v>
      </c>
      <c r="CP209" s="138">
        <f>-'LCFS Table'!$CF209</f>
        <v>1</v>
      </c>
      <c r="CQ209" s="140">
        <v>6.5</v>
      </c>
      <c r="CR209" s="165">
        <f>('LCFS Table'!$CQ209*0.9/(0.8/0.99)/100)</f>
        <v>7.2393749999999993E-2</v>
      </c>
      <c r="CS209" s="166"/>
      <c r="CT209" s="167"/>
      <c r="CW209" s="168">
        <f>'LCFS Table'!$K209-'LCFS Table'!$M209</f>
        <v>-0.7472778013200001</v>
      </c>
      <c r="CX209" s="129">
        <f>MONTH('LCFS Table'!$B209)</f>
        <v>12</v>
      </c>
      <c r="CY209" s="129">
        <f>YEAR('LCFS Table'!$B209)</f>
        <v>2022</v>
      </c>
    </row>
    <row r="210" spans="1:103">
      <c r="A210" s="148">
        <v>44913</v>
      </c>
      <c r="B210" s="149">
        <v>44919</v>
      </c>
      <c r="C210" s="132">
        <f t="shared" si="4"/>
        <v>2022</v>
      </c>
      <c r="D210" s="150" t="s">
        <v>307</v>
      </c>
      <c r="E210" s="187">
        <f>'LCFS Table'!$K210-'LCFS Table'!$I210</f>
        <v>-2.7384645181476843</v>
      </c>
      <c r="F210" s="187">
        <f>('LCFS Table'!$M210)-'LCFS Table'!$J210</f>
        <v>-2.8571930531843757</v>
      </c>
      <c r="G210" s="188">
        <f>'LCFS Table'!$E210+'LCFS Table'!$AS210+'LCFS Table'!$AT210+'LCFS Table'!$AU210+'LCFS Table'!$AV210</f>
        <v>1.9640290658152217</v>
      </c>
      <c r="H210" s="188">
        <f>'LCFS Table'!$F210+'LCFS Table'!$AX210+'LCFS Table'!$AY210+'LCFS Table'!$AZ210+'LCFS Table'!$BA210+('LCFS Table'!$CQ210*0.9/(0.8/0.99)/100)+(DG210*'LCFS Table'!$AF210)+(DF210*'LCFS Table'!$AG210)</f>
        <v>1.2203917968749993</v>
      </c>
      <c r="I210" s="187">
        <f>('LCFS Table'!$V210+'LCFS Table'!$W210+'LCFS Table'!$X210)/100+(('LCFS Table'!$AI210+'LCFS Table'!$AJ210)/340)</f>
        <v>5.5253645181476845</v>
      </c>
      <c r="J210" s="187">
        <f>(('LCFS Table'!$Y210+'LCFS Table'!$Z210)/100)+(('LCFS Table'!$AM210+'LCFS Table'!$AN210)/300)</f>
        <v>6.4520019531250004</v>
      </c>
      <c r="K210" s="190">
        <f>'[1]Fuel Values'!$C209</f>
        <v>2.7869000000000002</v>
      </c>
      <c r="L210" s="190">
        <f>'[1]Fuel Values'!$B209</f>
        <v>760</v>
      </c>
      <c r="M210" s="185">
        <f>('LCFS Table'!$L210/100)-'LCFS Table'!$AX210-'LCFS Table'!$AY210-'LCFS Table'!$AZ210-'LCFS Table'!$BA210</f>
        <v>3.5948088999406247</v>
      </c>
      <c r="N210" s="190">
        <f>[1]BFT!$B209</f>
        <v>67</v>
      </c>
      <c r="O210" s="190">
        <f>[1]UCO!$B209</f>
        <v>65.5</v>
      </c>
      <c r="P210" s="190">
        <f>[1]DCO!$B209</f>
        <v>66</v>
      </c>
      <c r="Q210" s="190">
        <f>'[1]Soybean Oil'!$B209</f>
        <v>78.5</v>
      </c>
      <c r="R210" s="190">
        <f>'[1]Yellow Grease'!$B209</f>
        <v>54.5</v>
      </c>
      <c r="S210" s="185">
        <f>'LCFS Table'!$N210 + 'LCFS Table'!$AH210</f>
        <v>71.375</v>
      </c>
      <c r="T210" s="185">
        <f>'LCFS Table'!$Q210+'LCFS Table'!$AH210</f>
        <v>82.875</v>
      </c>
      <c r="U210" s="185">
        <f>'LCFS Table'!$P210+'LCFS Table'!$AH210</f>
        <v>70.375</v>
      </c>
      <c r="V210" s="185">
        <f>(('LCFS Table'!$S210/'LCFS Table'!$AA210)*'LCFS Table'!$AC210)*6.48</f>
        <v>246.01595744680853</v>
      </c>
      <c r="W210" s="185">
        <f>(('LCFS Table'!$O210/'LCFS Table'!$AA210)*'LCFS Table'!$AD210)*6.48</f>
        <v>112.88297872340426</v>
      </c>
      <c r="X210" s="185">
        <f>(('LCFS Table'!$U210/'LCFS Table'!$AA210)*'LCFS Table'!$AE210)*6.48</f>
        <v>121.28457446808513</v>
      </c>
      <c r="Y210" s="185">
        <f>(('LCFS Table'!$T210/'LCFS Table'!$AB210)*'LCFS Table'!$AF210)*7.35</f>
        <v>475.8837890625</v>
      </c>
      <c r="Z210" s="185">
        <f>(('LCFS Table'!$R210/'LCFS Table'!$AB210)*'LCFS Table'!$AG210)*7.35</f>
        <v>104.31640625</v>
      </c>
      <c r="AA210" s="138">
        <v>0.94</v>
      </c>
      <c r="AB210" s="138">
        <v>0.96</v>
      </c>
      <c r="AC210" s="138">
        <v>0.5</v>
      </c>
      <c r="AD210" s="138">
        <v>0.25</v>
      </c>
      <c r="AE210" s="138">
        <v>0.25</v>
      </c>
      <c r="AF210" s="138">
        <v>0.75</v>
      </c>
      <c r="AG210" s="138">
        <v>0.25</v>
      </c>
      <c r="AH210" s="139">
        <v>4.375</v>
      </c>
      <c r="AI210" s="139">
        <v>136</v>
      </c>
      <c r="AJ210" s="139">
        <v>110</v>
      </c>
      <c r="AK210" s="186">
        <f>('LCFS Table'!$AI210/340)*100</f>
        <v>40</v>
      </c>
      <c r="AL210" s="186">
        <f>('LCFS Table'!$AJ210/340)*100</f>
        <v>32.352941176470587</v>
      </c>
      <c r="AM210" s="139">
        <v>105</v>
      </c>
      <c r="AN210" s="139">
        <v>90</v>
      </c>
      <c r="AO210" s="139">
        <f>('LCFS Table'!$AM210/300)*100</f>
        <v>35</v>
      </c>
      <c r="AP210" s="139">
        <f>('LCFS Table'!$AN210/300)*100</f>
        <v>30</v>
      </c>
      <c r="AQ210" s="140">
        <f>'[1]LCFS Values'!$B209</f>
        <v>68.8</v>
      </c>
      <c r="AR210" s="140">
        <f>'[1]RIN Values'!$B209/100</f>
        <v>1.7469999999999999</v>
      </c>
      <c r="AS210" s="185">
        <v>0.57259358396290627</v>
      </c>
      <c r="AT210" s="137">
        <v>0.16</v>
      </c>
      <c r="AU210" s="137">
        <v>1</v>
      </c>
      <c r="AV210" s="185">
        <f>'LCFS Table'!$AR210*1.7</f>
        <v>2.9698999999999995</v>
      </c>
      <c r="AW210" s="137">
        <v>0</v>
      </c>
      <c r="AX210" s="185">
        <v>0.38469110005937496</v>
      </c>
      <c r="AY210" s="137">
        <v>0</v>
      </c>
      <c r="AZ210" s="141">
        <v>1</v>
      </c>
      <c r="BA210" s="185">
        <f>'LCFS Table'!$AR210*1.5</f>
        <v>2.6204999999999998</v>
      </c>
      <c r="BB210" s="142">
        <v>1.2</v>
      </c>
      <c r="BC210" s="185">
        <f>'LCFS Table'!$AS210*'LCFS Table'!$BW210</f>
        <v>0.57259358396290627</v>
      </c>
      <c r="BD210" s="185">
        <f>'LCFS Table'!$AT210*'LCFS Table'!$BX210</f>
        <v>0</v>
      </c>
      <c r="BE210" s="185">
        <f>'LCFS Table'!$AU210*'LCFS Table'!$BY210</f>
        <v>1</v>
      </c>
      <c r="BF210" s="137">
        <f>'LCFS Table'!$AV210*'LCFS Table'!$BZ210</f>
        <v>2.9698999999999995</v>
      </c>
      <c r="BG210" s="137">
        <f>'LCFS Table'!$AW210*'LCFS Table'!$CA210</f>
        <v>0</v>
      </c>
      <c r="BH210" s="137">
        <f>'LCFS Table'!$AX210*'LCFS Table'!$CB210</f>
        <v>0.38469110005937496</v>
      </c>
      <c r="BI210" s="137">
        <f>'LCFS Table'!$AY210*'LCFS Table'!$CC210</f>
        <v>0</v>
      </c>
      <c r="BJ210" s="137">
        <f>'LCFS Table'!$AZ210*'LCFS Table'!$CD210</f>
        <v>1</v>
      </c>
      <c r="BK210" s="137">
        <f>'LCFS Table'!$BA210*'LCFS Table'!$CE210</f>
        <v>2.6204999999999998</v>
      </c>
      <c r="BL210" s="137">
        <f>'LCFS Table'!$BB210*'LCFS Table'!$CF210</f>
        <v>-1.2</v>
      </c>
      <c r="BM210" s="137">
        <f>'LCFS Table'!$AS210*'LCFS Table'!$CG210</f>
        <v>0</v>
      </c>
      <c r="BN210" s="137">
        <f>'LCFS Table'!$AT210*'LCFS Table'!$CH210</f>
        <v>0.16</v>
      </c>
      <c r="BO210" s="137">
        <f>'LCFS Table'!$AU210*'LCFS Table'!$CI210</f>
        <v>0</v>
      </c>
      <c r="BP210" s="137">
        <f>'LCFS Table'!$AV210*'LCFS Table'!$CJ210</f>
        <v>0</v>
      </c>
      <c r="BQ210" s="137">
        <f>'LCFS Table'!$AW210*'LCFS Table'!$CK210</f>
        <v>0</v>
      </c>
      <c r="BR210" s="137">
        <f>'LCFS Table'!$AX210*'LCFS Table'!$CL210</f>
        <v>0</v>
      </c>
      <c r="BS210" s="137">
        <f>'LCFS Table'!$AY210*'LCFS Table'!$CM210</f>
        <v>0</v>
      </c>
      <c r="BT210" s="137">
        <f>'LCFS Table'!$AZ210*'LCFS Table'!$CN210</f>
        <v>0</v>
      </c>
      <c r="BU210" s="137">
        <f>'LCFS Table'!$BA210*'LCFS Table'!$CO210</f>
        <v>0</v>
      </c>
      <c r="BV210" s="142">
        <f>'LCFS Table'!$BB210*'LCFS Table'!$CP210</f>
        <v>1.2</v>
      </c>
      <c r="BW210" s="138">
        <v>1</v>
      </c>
      <c r="BX210" s="138">
        <v>0</v>
      </c>
      <c r="BY210" s="138">
        <v>1</v>
      </c>
      <c r="BZ210" s="138">
        <v>1</v>
      </c>
      <c r="CA210" s="138">
        <v>-1</v>
      </c>
      <c r="CB210" s="138">
        <v>1</v>
      </c>
      <c r="CC210" s="138">
        <v>0</v>
      </c>
      <c r="CD210" s="138">
        <v>1</v>
      </c>
      <c r="CE210" s="138">
        <v>1</v>
      </c>
      <c r="CF210" s="138">
        <v>-1</v>
      </c>
      <c r="CG210" s="138">
        <f>1-'LCFS Table'!$BW210</f>
        <v>0</v>
      </c>
      <c r="CH210" s="138">
        <f>1-'LCFS Table'!$BX210</f>
        <v>1</v>
      </c>
      <c r="CI210" s="138">
        <f>1-'LCFS Table'!$BY210</f>
        <v>0</v>
      </c>
      <c r="CJ210" s="138">
        <f>1-'LCFS Table'!$BZ210</f>
        <v>0</v>
      </c>
      <c r="CK210" s="138">
        <f>-'LCFS Table'!$CA210</f>
        <v>1</v>
      </c>
      <c r="CL210" s="138">
        <f>1-'LCFS Table'!$CB210</f>
        <v>0</v>
      </c>
      <c r="CM210" s="138">
        <f>1-'LCFS Table'!$CC210</f>
        <v>1</v>
      </c>
      <c r="CN210" s="138">
        <f>1-'LCFS Table'!$CD210</f>
        <v>0</v>
      </c>
      <c r="CO210" s="138">
        <f>1-'LCFS Table'!$CE210</f>
        <v>0</v>
      </c>
      <c r="CP210" s="138">
        <f>-'LCFS Table'!$CF210</f>
        <v>1</v>
      </c>
      <c r="CQ210" s="140">
        <v>6.5</v>
      </c>
      <c r="CR210" s="165">
        <f>('LCFS Table'!$CQ210*0.9/(0.8/0.99)/100)</f>
        <v>7.2393749999999993E-2</v>
      </c>
      <c r="CS210" s="166"/>
      <c r="CT210" s="167"/>
      <c r="CW210" s="168">
        <f>'LCFS Table'!$K210-'LCFS Table'!$M210</f>
        <v>-0.80790889994062454</v>
      </c>
      <c r="CX210" s="129">
        <f>MONTH('LCFS Table'!$B210)</f>
        <v>12</v>
      </c>
      <c r="CY210" s="129">
        <f>YEAR('LCFS Table'!$B210)</f>
        <v>2022</v>
      </c>
    </row>
    <row r="211" spans="1:103">
      <c r="A211" s="148">
        <v>44920</v>
      </c>
      <c r="B211" s="149">
        <v>44926</v>
      </c>
      <c r="C211" s="132">
        <f t="shared" si="4"/>
        <v>2022</v>
      </c>
      <c r="D211" s="150" t="s">
        <v>308</v>
      </c>
      <c r="E211" s="187">
        <f>'LCFS Table'!$K211-'LCFS Table'!$I211</f>
        <v>-2.5058474968710898</v>
      </c>
      <c r="F211" s="187">
        <f>('LCFS Table'!$M211)-'LCFS Table'!$J211</f>
        <v>-2.9667272205328121</v>
      </c>
      <c r="G211" s="188">
        <f>'LCFS Table'!$E211+'LCFS Table'!$AS211+'LCFS Table'!$AT211+'LCFS Table'!$AU211+'LCFS Table'!$AV211</f>
        <v>2.1896788533427074</v>
      </c>
      <c r="H211" s="188">
        <f>'LCFS Table'!$F211+'LCFS Table'!$AX211+'LCFS Table'!$AY211+'LCFS Table'!$AZ211+'LCFS Table'!$BA211+('LCFS Table'!$CQ211*0.9/(0.8/0.99)/100)+(DG211*'LCFS Table'!$AF211)+(DF211*'LCFS Table'!$AG211)</f>
        <v>1.1061320312500003</v>
      </c>
      <c r="I211" s="187">
        <f>('LCFS Table'!$V211+'LCFS Table'!$W211+'LCFS Table'!$X211)/100+(('LCFS Table'!$AI211+'LCFS Table'!$AJ211)/340)</f>
        <v>5.5167474968710897</v>
      </c>
      <c r="J211" s="187">
        <f>(('LCFS Table'!$Y211+'LCFS Table'!$Z211)/100)+(('LCFS Table'!$AM211+'LCFS Table'!$AN211)/300)</f>
        <v>6.4662617187500002</v>
      </c>
      <c r="K211" s="190">
        <f>'[1]Fuel Values'!$C210</f>
        <v>3.0108999999999999</v>
      </c>
      <c r="L211" s="190">
        <f>'[1]Fuel Values'!$B210</f>
        <v>750</v>
      </c>
      <c r="M211" s="185">
        <f>('LCFS Table'!$L211/100)-'LCFS Table'!$AX211-'LCFS Table'!$AY211-'LCFS Table'!$AZ211-'LCFS Table'!$BA211</f>
        <v>3.4995344982171881</v>
      </c>
      <c r="N211" s="190">
        <f>[1]BFT!$B210</f>
        <v>67</v>
      </c>
      <c r="O211" s="190">
        <f>[1]UCO!$B210</f>
        <v>65</v>
      </c>
      <c r="P211" s="190">
        <f>[1]DCO!$B210</f>
        <v>66</v>
      </c>
      <c r="Q211" s="190">
        <f>'[1]Soybean Oil'!$B210</f>
        <v>78.915000000000006</v>
      </c>
      <c r="R211" s="190">
        <f>'[1]Yellow Grease'!$B210</f>
        <v>54</v>
      </c>
      <c r="S211" s="185">
        <f>'LCFS Table'!$N211 + 'LCFS Table'!$AH211</f>
        <v>71.375</v>
      </c>
      <c r="T211" s="185">
        <f>'LCFS Table'!$Q211+'LCFS Table'!$AH211</f>
        <v>83.29</v>
      </c>
      <c r="U211" s="185">
        <f>'LCFS Table'!$P211+'LCFS Table'!$AH211</f>
        <v>70.375</v>
      </c>
      <c r="V211" s="185">
        <f>(('LCFS Table'!$S211/'LCFS Table'!$AA211)*'LCFS Table'!$AC211)*6.48</f>
        <v>246.01595744680853</v>
      </c>
      <c r="W211" s="185">
        <f>(('LCFS Table'!$O211/'LCFS Table'!$AA211)*'LCFS Table'!$AD211)*6.48</f>
        <v>112.02127659574468</v>
      </c>
      <c r="X211" s="185">
        <f>(('LCFS Table'!$U211/'LCFS Table'!$AA211)*'LCFS Table'!$AE211)*6.48</f>
        <v>121.28457446808513</v>
      </c>
      <c r="Y211" s="185">
        <f>(('LCFS Table'!$T211/'LCFS Table'!$AB211)*'LCFS Table'!$AF211)*7.35</f>
        <v>478.26679687499995</v>
      </c>
      <c r="Z211" s="185">
        <f>(('LCFS Table'!$R211/'LCFS Table'!$AB211)*'LCFS Table'!$AG211)*7.35</f>
        <v>103.359375</v>
      </c>
      <c r="AA211" s="138">
        <v>0.94</v>
      </c>
      <c r="AB211" s="138">
        <v>0.96</v>
      </c>
      <c r="AC211" s="138">
        <v>0.5</v>
      </c>
      <c r="AD211" s="138">
        <v>0.25</v>
      </c>
      <c r="AE211" s="138">
        <v>0.25</v>
      </c>
      <c r="AF211" s="138">
        <v>0.75</v>
      </c>
      <c r="AG211" s="138">
        <v>0.25</v>
      </c>
      <c r="AH211" s="139">
        <v>4.375</v>
      </c>
      <c r="AI211" s="139">
        <v>136</v>
      </c>
      <c r="AJ211" s="139">
        <v>110</v>
      </c>
      <c r="AK211" s="186">
        <f>('LCFS Table'!$AI211/340)*100</f>
        <v>40</v>
      </c>
      <c r="AL211" s="186">
        <f>('LCFS Table'!$AJ211/340)*100</f>
        <v>32.352941176470587</v>
      </c>
      <c r="AM211" s="139">
        <v>105</v>
      </c>
      <c r="AN211" s="139">
        <v>90</v>
      </c>
      <c r="AO211" s="139">
        <f>('LCFS Table'!$AM211/300)*100</f>
        <v>35</v>
      </c>
      <c r="AP211" s="139">
        <f>('LCFS Table'!$AN211/300)*100</f>
        <v>30</v>
      </c>
      <c r="AQ211" s="140">
        <f>'[1]LCFS Values'!$B210</f>
        <v>68.875</v>
      </c>
      <c r="AR211" s="140">
        <f>'[1]RIN Values'!$B210/100</f>
        <v>1.746875</v>
      </c>
      <c r="AS211" s="185">
        <v>0.56583885021379754</v>
      </c>
      <c r="AT211" s="137">
        <v>0.16</v>
      </c>
      <c r="AU211" s="137">
        <v>1</v>
      </c>
      <c r="AV211" s="185">
        <f>'LCFS Table'!$AR211*1.7</f>
        <v>2.9696875</v>
      </c>
      <c r="AW211" s="137">
        <v>0</v>
      </c>
      <c r="AX211" s="185">
        <v>0.38015300178281247</v>
      </c>
      <c r="AY211" s="137">
        <v>0</v>
      </c>
      <c r="AZ211" s="141">
        <v>1</v>
      </c>
      <c r="BA211" s="185">
        <f>'LCFS Table'!$AR211*1.5</f>
        <v>2.6203124999999998</v>
      </c>
      <c r="BB211" s="142">
        <v>1.2</v>
      </c>
      <c r="BC211" s="185">
        <f>'LCFS Table'!$AS211*'LCFS Table'!$BW211</f>
        <v>0.56583885021379754</v>
      </c>
      <c r="BD211" s="185">
        <f>'LCFS Table'!$AT211*'LCFS Table'!$BX211</f>
        <v>0</v>
      </c>
      <c r="BE211" s="185">
        <f>'LCFS Table'!$AU211*'LCFS Table'!$BY211</f>
        <v>1</v>
      </c>
      <c r="BF211" s="137">
        <f>'LCFS Table'!$AV211*'LCFS Table'!$BZ211</f>
        <v>2.9696875</v>
      </c>
      <c r="BG211" s="137">
        <f>'LCFS Table'!$AW211*'LCFS Table'!$CA211</f>
        <v>0</v>
      </c>
      <c r="BH211" s="137">
        <f>'LCFS Table'!$AX211*'LCFS Table'!$CB211</f>
        <v>0.38015300178281247</v>
      </c>
      <c r="BI211" s="137">
        <f>'LCFS Table'!$AY211*'LCFS Table'!$CC211</f>
        <v>0</v>
      </c>
      <c r="BJ211" s="137">
        <f>'LCFS Table'!$AZ211*'LCFS Table'!$CD211</f>
        <v>1</v>
      </c>
      <c r="BK211" s="137">
        <f>'LCFS Table'!$BA211*'LCFS Table'!$CE211</f>
        <v>2.6203124999999998</v>
      </c>
      <c r="BL211" s="137">
        <f>'LCFS Table'!$BB211*'LCFS Table'!$CF211</f>
        <v>-1.2</v>
      </c>
      <c r="BM211" s="137">
        <f>'LCFS Table'!$AS211*'LCFS Table'!$CG211</f>
        <v>0</v>
      </c>
      <c r="BN211" s="137">
        <f>'LCFS Table'!$AT211*'LCFS Table'!$CH211</f>
        <v>0.16</v>
      </c>
      <c r="BO211" s="137">
        <f>'LCFS Table'!$AU211*'LCFS Table'!$CI211</f>
        <v>0</v>
      </c>
      <c r="BP211" s="137">
        <f>'LCFS Table'!$AV211*'LCFS Table'!$CJ211</f>
        <v>0</v>
      </c>
      <c r="BQ211" s="137">
        <f>'LCFS Table'!$AW211*'LCFS Table'!$CK211</f>
        <v>0</v>
      </c>
      <c r="BR211" s="137">
        <f>'LCFS Table'!$AX211*'LCFS Table'!$CL211</f>
        <v>0</v>
      </c>
      <c r="BS211" s="137">
        <f>'LCFS Table'!$AY211*'LCFS Table'!$CM211</f>
        <v>0</v>
      </c>
      <c r="BT211" s="137">
        <f>'LCFS Table'!$AZ211*'LCFS Table'!$CN211</f>
        <v>0</v>
      </c>
      <c r="BU211" s="137">
        <f>'LCFS Table'!$BA211*'LCFS Table'!$CO211</f>
        <v>0</v>
      </c>
      <c r="BV211" s="142">
        <f>'LCFS Table'!$BB211*'LCFS Table'!$CP211</f>
        <v>1.2</v>
      </c>
      <c r="BW211" s="138">
        <v>1</v>
      </c>
      <c r="BX211" s="138">
        <v>0</v>
      </c>
      <c r="BY211" s="138">
        <v>1</v>
      </c>
      <c r="BZ211" s="138">
        <v>1</v>
      </c>
      <c r="CA211" s="138">
        <v>-1</v>
      </c>
      <c r="CB211" s="138">
        <v>1</v>
      </c>
      <c r="CC211" s="138">
        <v>0</v>
      </c>
      <c r="CD211" s="138">
        <v>1</v>
      </c>
      <c r="CE211" s="138">
        <v>1</v>
      </c>
      <c r="CF211" s="138">
        <v>-1</v>
      </c>
      <c r="CG211" s="138">
        <f>1-'LCFS Table'!$BW211</f>
        <v>0</v>
      </c>
      <c r="CH211" s="138">
        <f>1-'LCFS Table'!$BX211</f>
        <v>1</v>
      </c>
      <c r="CI211" s="138">
        <f>1-'LCFS Table'!$BY211</f>
        <v>0</v>
      </c>
      <c r="CJ211" s="138">
        <f>1-'LCFS Table'!$BZ211</f>
        <v>0</v>
      </c>
      <c r="CK211" s="138">
        <f>-'LCFS Table'!$CA211</f>
        <v>1</v>
      </c>
      <c r="CL211" s="138">
        <f>1-'LCFS Table'!$CB211</f>
        <v>0</v>
      </c>
      <c r="CM211" s="138">
        <f>1-'LCFS Table'!$CC211</f>
        <v>1</v>
      </c>
      <c r="CN211" s="138">
        <f>1-'LCFS Table'!$CD211</f>
        <v>0</v>
      </c>
      <c r="CO211" s="138">
        <f>1-'LCFS Table'!$CE211</f>
        <v>0</v>
      </c>
      <c r="CP211" s="138">
        <f>-'LCFS Table'!$CF211</f>
        <v>1</v>
      </c>
      <c r="CQ211" s="140">
        <v>6.5</v>
      </c>
      <c r="CR211" s="165">
        <f>('LCFS Table'!$CQ211*0.9/(0.8/0.99)/100)</f>
        <v>7.2393749999999993E-2</v>
      </c>
      <c r="CS211" s="166"/>
      <c r="CT211" s="167"/>
      <c r="CW211" s="168">
        <f>'LCFS Table'!$K211-'LCFS Table'!$M211</f>
        <v>-0.48863449821718818</v>
      </c>
      <c r="CX211" s="129">
        <f>MONTH('LCFS Table'!$B211)</f>
        <v>12</v>
      </c>
      <c r="CY211" s="129">
        <f>YEAR('LCFS Table'!$B211)</f>
        <v>2022</v>
      </c>
    </row>
    <row r="212" spans="1:103" s="180" customFormat="1">
      <c r="A212" s="169">
        <v>44927</v>
      </c>
      <c r="B212" s="170">
        <v>44933</v>
      </c>
      <c r="C212" s="171">
        <f t="shared" si="4"/>
        <v>2023</v>
      </c>
      <c r="D212" s="206" t="s">
        <v>256</v>
      </c>
      <c r="E212" s="207">
        <f>'LCFS Table'!$K212-'LCFS Table'!$I212</f>
        <v>-2.8393304755944939</v>
      </c>
      <c r="F212" s="207">
        <f>('LCFS Table'!$M212)-'LCFS Table'!$J212</f>
        <v>-2.7930416736578123</v>
      </c>
      <c r="G212" s="208">
        <f>'LCFS Table'!$E212+'LCFS Table'!$AS212+'LCFS Table'!$AT212+'LCFS Table'!$AU212+'LCFS Table'!$AV212</f>
        <v>1.8232583746193036</v>
      </c>
      <c r="H212" s="208">
        <f>'LCFS Table'!$F212+'LCFS Table'!$AX212+'LCFS Table'!$AY212+'LCFS Table'!$AZ212+'LCFS Table'!$BA212+('LCFS Table'!$CQ212*0.9/(0.8/0.99)/100)+(DG212*'LCFS Table'!$AF212)+(DF212*'LCFS Table'!$AG212)</f>
        <v>1.2507550781250003</v>
      </c>
      <c r="I212" s="207">
        <f>('LCFS Table'!$V212+'LCFS Table'!$W212+'LCFS Table'!$X212)/100+(('LCFS Table'!$AI212+'LCFS Table'!$AJ212)/340)</f>
        <v>5.508130475594494</v>
      </c>
      <c r="J212" s="207">
        <f>(('LCFS Table'!$Y212+'LCFS Table'!$Z212)/100)+(('LCFS Table'!$AM212+'LCFS Table'!$AN212)/300)</f>
        <v>6.2841386718750005</v>
      </c>
      <c r="K212" s="209">
        <f>'[1]Fuel Values'!$C211</f>
        <v>2.6688000000000001</v>
      </c>
      <c r="L212" s="209">
        <f>'[1]Fuel Values'!$B211</f>
        <v>746.25</v>
      </c>
      <c r="M212" s="175">
        <f>('LCFS Table'!$L212/100)-'LCFS Table'!$AX212-'LCFS Table'!$AY212-'LCFS Table'!$AZ212-'LCFS Table'!$BA212</f>
        <v>3.4910969982171882</v>
      </c>
      <c r="N212" s="209">
        <f>[1]BFT!$B211</f>
        <v>67</v>
      </c>
      <c r="O212" s="209">
        <f>[1]UCO!$B211</f>
        <v>64.5</v>
      </c>
      <c r="P212" s="209">
        <f>[1]DCO!$B211</f>
        <v>66</v>
      </c>
      <c r="Q212" s="209">
        <f>'[1]Soybean Oil'!$B211</f>
        <v>75.91</v>
      </c>
      <c r="R212" s="209">
        <f>'[1]Yellow Grease'!$B211</f>
        <v>53.5</v>
      </c>
      <c r="S212" s="175">
        <f>'LCFS Table'!$N212 + 'LCFS Table'!$AH212</f>
        <v>71.375</v>
      </c>
      <c r="T212" s="175">
        <f>'LCFS Table'!$Q212+'LCFS Table'!$AH212</f>
        <v>80.284999999999997</v>
      </c>
      <c r="U212" s="175">
        <f>'LCFS Table'!$P212+'LCFS Table'!$AH212</f>
        <v>70.375</v>
      </c>
      <c r="V212" s="175">
        <f>(('LCFS Table'!$S212/'LCFS Table'!$AA212)*'LCFS Table'!$AC212)*6.48</f>
        <v>246.01595744680853</v>
      </c>
      <c r="W212" s="175">
        <f>(('LCFS Table'!$O212/'LCFS Table'!$AA212)*'LCFS Table'!$AD212)*6.48</f>
        <v>111.15957446808513</v>
      </c>
      <c r="X212" s="175">
        <f>(('LCFS Table'!$U212/'LCFS Table'!$AA212)*'LCFS Table'!$AE212)*6.48</f>
        <v>121.28457446808513</v>
      </c>
      <c r="Y212" s="175">
        <f>(('LCFS Table'!$T212/'LCFS Table'!$AB212)*'LCFS Table'!$AF212)*7.35</f>
        <v>461.01152343749999</v>
      </c>
      <c r="Z212" s="175">
        <f>(('LCFS Table'!$R212/'LCFS Table'!$AB212)*'LCFS Table'!$AG212)*7.35</f>
        <v>102.40234375</v>
      </c>
      <c r="AA212" s="176">
        <v>0.94</v>
      </c>
      <c r="AB212" s="176">
        <v>0.96</v>
      </c>
      <c r="AC212" s="176">
        <v>0.5</v>
      </c>
      <c r="AD212" s="176">
        <v>0.25</v>
      </c>
      <c r="AE212" s="176">
        <v>0.25</v>
      </c>
      <c r="AF212" s="176">
        <v>0.75</v>
      </c>
      <c r="AG212" s="176">
        <v>0.25</v>
      </c>
      <c r="AH212" s="177">
        <v>4.375</v>
      </c>
      <c r="AI212" s="177">
        <v>136</v>
      </c>
      <c r="AJ212" s="177">
        <v>110</v>
      </c>
      <c r="AK212" s="177">
        <f>('LCFS Table'!$AI212/340)*100</f>
        <v>40</v>
      </c>
      <c r="AL212" s="177">
        <f>('LCFS Table'!$AJ212/340)*100</f>
        <v>32.352941176470587</v>
      </c>
      <c r="AM212" s="177">
        <v>105</v>
      </c>
      <c r="AN212" s="177">
        <v>90</v>
      </c>
      <c r="AO212" s="177">
        <f>('LCFS Table'!$AM212/300)*100</f>
        <v>35</v>
      </c>
      <c r="AP212" s="177">
        <f>('LCFS Table'!$AN212/300)*100</f>
        <v>30</v>
      </c>
      <c r="AQ212" s="175">
        <f>'[1]LCFS Values'!$B211</f>
        <v>68.0625</v>
      </c>
      <c r="AR212" s="175">
        <f>'[1]RIN Values'!$B211/100</f>
        <v>1.7275</v>
      </c>
      <c r="AS212" s="175">
        <v>0.56583885021379754</v>
      </c>
      <c r="AT212" s="175">
        <v>0.16</v>
      </c>
      <c r="AU212" s="175">
        <v>1</v>
      </c>
      <c r="AV212" s="175">
        <f>'LCFS Table'!$AR212*1.7</f>
        <v>2.93675</v>
      </c>
      <c r="AW212" s="175">
        <v>0</v>
      </c>
      <c r="AX212" s="175">
        <v>0.38015300178281247</v>
      </c>
      <c r="AY212" s="175">
        <v>0</v>
      </c>
      <c r="AZ212" s="141">
        <v>1</v>
      </c>
      <c r="BA212" s="175">
        <f>'LCFS Table'!$AR212*1.5</f>
        <v>2.5912500000000001</v>
      </c>
      <c r="BB212" s="142">
        <v>1.2</v>
      </c>
      <c r="BC212" s="175">
        <f>'LCFS Table'!$AS212*'LCFS Table'!$BW212</f>
        <v>0.56583885021379754</v>
      </c>
      <c r="BD212" s="175">
        <f>'LCFS Table'!$AT212*'LCFS Table'!$BX212</f>
        <v>0</v>
      </c>
      <c r="BE212" s="175">
        <f>'LCFS Table'!$AU212*'LCFS Table'!$BY212</f>
        <v>1</v>
      </c>
      <c r="BF212" s="175">
        <f>'LCFS Table'!$AV212*'LCFS Table'!$BZ212</f>
        <v>2.93675</v>
      </c>
      <c r="BG212" s="175">
        <f>'LCFS Table'!$AW212*'LCFS Table'!$CA212</f>
        <v>0</v>
      </c>
      <c r="BH212" s="175">
        <f>'LCFS Table'!$AX212*'LCFS Table'!$CB212</f>
        <v>0.38015300178281247</v>
      </c>
      <c r="BI212" s="175">
        <f>'LCFS Table'!$AY212*'LCFS Table'!$CC212</f>
        <v>0</v>
      </c>
      <c r="BJ212" s="175">
        <f>'LCFS Table'!$AZ212*'LCFS Table'!$CD212</f>
        <v>1</v>
      </c>
      <c r="BK212" s="175">
        <f>'LCFS Table'!$BA212*'LCFS Table'!$CE212</f>
        <v>2.5912500000000001</v>
      </c>
      <c r="BL212" s="175">
        <f>'LCFS Table'!$BB212*'LCFS Table'!$CF212</f>
        <v>-1.2</v>
      </c>
      <c r="BM212" s="175">
        <f>'LCFS Table'!$AS212*'LCFS Table'!$CG212</f>
        <v>0</v>
      </c>
      <c r="BN212" s="175">
        <f>'LCFS Table'!$AT212*'LCFS Table'!$CH212</f>
        <v>0.16</v>
      </c>
      <c r="BO212" s="175">
        <f>'LCFS Table'!$AU212*'LCFS Table'!$CI212</f>
        <v>0</v>
      </c>
      <c r="BP212" s="175">
        <f>'LCFS Table'!$AV212*'LCFS Table'!$CJ212</f>
        <v>0</v>
      </c>
      <c r="BQ212" s="175">
        <f>'LCFS Table'!$AW212*'LCFS Table'!$CK212</f>
        <v>0</v>
      </c>
      <c r="BR212" s="175">
        <f>'LCFS Table'!$AX212*'LCFS Table'!$CL212</f>
        <v>0</v>
      </c>
      <c r="BS212" s="175">
        <f>'LCFS Table'!$AY212*'LCFS Table'!$CM212</f>
        <v>0</v>
      </c>
      <c r="BT212" s="175">
        <f>'LCFS Table'!$AZ212*'LCFS Table'!$CN212</f>
        <v>0</v>
      </c>
      <c r="BU212" s="175">
        <f>'LCFS Table'!$BA212*'LCFS Table'!$CO212</f>
        <v>0</v>
      </c>
      <c r="BV212" s="210">
        <f>'LCFS Table'!$BB212*'LCFS Table'!$CP212</f>
        <v>1.2</v>
      </c>
      <c r="BW212" s="176">
        <v>1</v>
      </c>
      <c r="BX212" s="176">
        <v>0</v>
      </c>
      <c r="BY212" s="176">
        <v>1</v>
      </c>
      <c r="BZ212" s="176">
        <v>1</v>
      </c>
      <c r="CA212" s="176">
        <v>-1</v>
      </c>
      <c r="CB212" s="176">
        <v>1</v>
      </c>
      <c r="CC212" s="176">
        <v>0</v>
      </c>
      <c r="CD212" s="176">
        <v>1</v>
      </c>
      <c r="CE212" s="176">
        <v>1</v>
      </c>
      <c r="CF212" s="176">
        <v>-1</v>
      </c>
      <c r="CG212" s="176">
        <f>1-'LCFS Table'!$BW212</f>
        <v>0</v>
      </c>
      <c r="CH212" s="176">
        <f>1-'LCFS Table'!$BX212</f>
        <v>1</v>
      </c>
      <c r="CI212" s="176">
        <f>1-'LCFS Table'!$BY212</f>
        <v>0</v>
      </c>
      <c r="CJ212" s="176">
        <f>1-'LCFS Table'!$BZ212</f>
        <v>0</v>
      </c>
      <c r="CK212" s="176">
        <f>-'LCFS Table'!$CA212</f>
        <v>1</v>
      </c>
      <c r="CL212" s="176">
        <f>1-'LCFS Table'!$CB212</f>
        <v>0</v>
      </c>
      <c r="CM212" s="176">
        <f>1-'LCFS Table'!$CC212</f>
        <v>1</v>
      </c>
      <c r="CN212" s="176">
        <f>1-'LCFS Table'!$CD212</f>
        <v>0</v>
      </c>
      <c r="CO212" s="176">
        <f>1-'LCFS Table'!$CE212</f>
        <v>0</v>
      </c>
      <c r="CP212" s="176">
        <f>-'LCFS Table'!$CF212</f>
        <v>1</v>
      </c>
      <c r="CQ212" s="175">
        <v>6.5</v>
      </c>
      <c r="CR212" s="178">
        <f>('LCFS Table'!$CQ212*0.9/(0.8/0.99)/100)</f>
        <v>7.2393749999999993E-2</v>
      </c>
      <c r="CS212" s="176"/>
      <c r="CT212" s="179"/>
      <c r="CW212" s="181">
        <f>'LCFS Table'!$K212-'LCFS Table'!$M212</f>
        <v>-0.82229699821718816</v>
      </c>
      <c r="CX212" s="180">
        <f>MONTH('LCFS Table'!$B212)</f>
        <v>1</v>
      </c>
      <c r="CY212" s="180">
        <f>YEAR('LCFS Table'!$B212)</f>
        <v>2023</v>
      </c>
    </row>
    <row r="213" spans="1:103">
      <c r="A213" s="148">
        <v>44934</v>
      </c>
      <c r="B213" s="149">
        <v>44940</v>
      </c>
      <c r="C213" s="132">
        <f t="shared" si="4"/>
        <v>2023</v>
      </c>
      <c r="D213" s="150" t="s">
        <v>258</v>
      </c>
      <c r="E213" s="187">
        <f>'LCFS Table'!$K213-'LCFS Table'!$I213</f>
        <v>-2.6047091989987492</v>
      </c>
      <c r="F213" s="187">
        <f>('LCFS Table'!$M213)-'LCFS Table'!$J213</f>
        <v>-2.759487571401249</v>
      </c>
      <c r="G213" s="188">
        <f>'LCFS Table'!$E213+'LCFS Table'!$AS213+'LCFS Table'!$AT213+'LCFS Table'!$AU213+'LCFS Table'!$AV213</f>
        <v>2.0177487695792333</v>
      </c>
      <c r="H213" s="188">
        <f>'LCFS Table'!$F213+'LCFS Table'!$AX213+'LCFS Table'!$AY213+'LCFS Table'!$AZ213+'LCFS Table'!$BA213+('LCFS Table'!$CQ213*0.9/(0.8/0.99)/100)+(DG213*'LCFS Table'!$AF213)+(DF213*'LCFS Table'!$AG213)</f>
        <v>1.2488099218750011</v>
      </c>
      <c r="I213" s="187">
        <f>('LCFS Table'!$V213+'LCFS Table'!$W213+'LCFS Table'!$X213)/100+(('LCFS Table'!$AI213+'LCFS Table'!$AJ213)/340)</f>
        <v>5.5176091989987492</v>
      </c>
      <c r="J213" s="187">
        <f>(('LCFS Table'!$Y213+'LCFS Table'!$Z213)/100)+(('LCFS Table'!$AM213+'LCFS Table'!$AN213)/300)</f>
        <v>6.2702425781249991</v>
      </c>
      <c r="K213" s="190">
        <f>'[1]Fuel Values'!$C212</f>
        <v>2.9129</v>
      </c>
      <c r="L213" s="190">
        <f>'[1]Fuel Values'!$B212</f>
        <v>745</v>
      </c>
      <c r="M213" s="185">
        <f>('LCFS Table'!$L213/100)-'LCFS Table'!$AX213-'LCFS Table'!$AY213-'LCFS Table'!$AZ213-'LCFS Table'!$BA213</f>
        <v>3.5107550067237501</v>
      </c>
      <c r="N213" s="190">
        <f>[1]BFT!$B212</f>
        <v>67</v>
      </c>
      <c r="O213" s="190">
        <f>[1]UCO!$B212</f>
        <v>64.3</v>
      </c>
      <c r="P213" s="190">
        <f>[1]DCO!$B212</f>
        <v>66.75</v>
      </c>
      <c r="Q213" s="190">
        <f>'[1]Soybean Oil'!$B212</f>
        <v>75.867999999999995</v>
      </c>
      <c r="R213" s="190">
        <f>'[1]Yellow Grease'!$B212</f>
        <v>52.9</v>
      </c>
      <c r="S213" s="185">
        <f>'LCFS Table'!$N213 + 'LCFS Table'!$AH213</f>
        <v>71.375</v>
      </c>
      <c r="T213" s="185">
        <f>'LCFS Table'!$Q213+'LCFS Table'!$AH213</f>
        <v>80.242999999999995</v>
      </c>
      <c r="U213" s="185">
        <f>'LCFS Table'!$P213+'LCFS Table'!$AH213</f>
        <v>71.125</v>
      </c>
      <c r="V213" s="185">
        <f>(('LCFS Table'!$S213/'LCFS Table'!$AA213)*'LCFS Table'!$AC213)*6.48</f>
        <v>246.01595744680853</v>
      </c>
      <c r="W213" s="185">
        <f>(('LCFS Table'!$O213/'LCFS Table'!$AA213)*'LCFS Table'!$AD213)*6.48</f>
        <v>110.81489361702127</v>
      </c>
      <c r="X213" s="185">
        <f>(('LCFS Table'!$U213/'LCFS Table'!$AA213)*'LCFS Table'!$AE213)*6.48</f>
        <v>122.57712765957447</v>
      </c>
      <c r="Y213" s="185">
        <f>(('LCFS Table'!$T213/'LCFS Table'!$AB213)*'LCFS Table'!$AF213)*7.35</f>
        <v>460.77035156249991</v>
      </c>
      <c r="Z213" s="185">
        <f>(('LCFS Table'!$R213/'LCFS Table'!$AB213)*'LCFS Table'!$AG213)*7.35</f>
        <v>101.25390624999999</v>
      </c>
      <c r="AA213" s="138">
        <v>0.94</v>
      </c>
      <c r="AB213" s="138">
        <v>0.96</v>
      </c>
      <c r="AC213" s="138">
        <v>0.5</v>
      </c>
      <c r="AD213" s="138">
        <v>0.25</v>
      </c>
      <c r="AE213" s="138">
        <v>0.25</v>
      </c>
      <c r="AF213" s="138">
        <v>0.75</v>
      </c>
      <c r="AG213" s="138">
        <v>0.25</v>
      </c>
      <c r="AH213" s="139">
        <v>4.375</v>
      </c>
      <c r="AI213" s="139">
        <v>136</v>
      </c>
      <c r="AJ213" s="139">
        <v>110</v>
      </c>
      <c r="AK213" s="186">
        <f>('LCFS Table'!$AI213/340)*100</f>
        <v>40</v>
      </c>
      <c r="AL213" s="186">
        <f>('LCFS Table'!$AJ213/340)*100</f>
        <v>32.352941176470587</v>
      </c>
      <c r="AM213" s="139">
        <v>105</v>
      </c>
      <c r="AN213" s="139">
        <v>90</v>
      </c>
      <c r="AO213" s="139">
        <f>('LCFS Table'!$AM213/300)*100</f>
        <v>35</v>
      </c>
      <c r="AP213" s="139">
        <f>('LCFS Table'!$AN213/300)*100</f>
        <v>30</v>
      </c>
      <c r="AQ213" s="140">
        <f>'[1]LCFS Values'!$B212</f>
        <v>65.650000000000006</v>
      </c>
      <c r="AR213" s="140">
        <f>'[1]RIN Values'!$B212/100</f>
        <v>1.722</v>
      </c>
      <c r="AS213" s="185">
        <v>0.5350579685779826</v>
      </c>
      <c r="AT213" s="137">
        <v>0.16</v>
      </c>
      <c r="AU213" s="137">
        <v>1</v>
      </c>
      <c r="AV213" s="185">
        <f>'LCFS Table'!$AR213*1.7</f>
        <v>2.9274</v>
      </c>
      <c r="AW213" s="137">
        <v>0</v>
      </c>
      <c r="AX213" s="185">
        <v>0.35624499327625003</v>
      </c>
      <c r="AY213" s="137">
        <v>0</v>
      </c>
      <c r="AZ213" s="141">
        <v>1</v>
      </c>
      <c r="BA213" s="185">
        <f>'LCFS Table'!$AR213*1.5</f>
        <v>2.5830000000000002</v>
      </c>
      <c r="BB213" s="142">
        <v>1.2</v>
      </c>
      <c r="BC213" s="185">
        <f>'LCFS Table'!$AS213*'LCFS Table'!$BW213</f>
        <v>0.5350579685779826</v>
      </c>
      <c r="BD213" s="185">
        <f>'LCFS Table'!$AT213*'LCFS Table'!$BX213</f>
        <v>0</v>
      </c>
      <c r="BE213" s="185">
        <f>'LCFS Table'!$AU213*'LCFS Table'!$BY213</f>
        <v>1</v>
      </c>
      <c r="BF213" s="137">
        <f>'LCFS Table'!$AV213*'LCFS Table'!$BZ213</f>
        <v>2.9274</v>
      </c>
      <c r="BG213" s="137">
        <f>'LCFS Table'!$AW213*'LCFS Table'!$CA213</f>
        <v>0</v>
      </c>
      <c r="BH213" s="137">
        <f>'LCFS Table'!$AX213*'LCFS Table'!$CB213</f>
        <v>0.35624499327625003</v>
      </c>
      <c r="BI213" s="137">
        <f>'LCFS Table'!$AY213*'LCFS Table'!$CC213</f>
        <v>0</v>
      </c>
      <c r="BJ213" s="137">
        <f>'LCFS Table'!$AZ213*'LCFS Table'!$CD213</f>
        <v>1</v>
      </c>
      <c r="BK213" s="137">
        <f>'LCFS Table'!$BA213*'LCFS Table'!$CE213</f>
        <v>2.5830000000000002</v>
      </c>
      <c r="BL213" s="137">
        <f>'LCFS Table'!$BB213*'LCFS Table'!$CF213</f>
        <v>-1.2</v>
      </c>
      <c r="BM213" s="137">
        <f>'LCFS Table'!$AS213*'LCFS Table'!$CG213</f>
        <v>0</v>
      </c>
      <c r="BN213" s="137">
        <f>'LCFS Table'!$AT213*'LCFS Table'!$CH213</f>
        <v>0.16</v>
      </c>
      <c r="BO213" s="137">
        <f>'LCFS Table'!$AU213*'LCFS Table'!$CI213</f>
        <v>0</v>
      </c>
      <c r="BP213" s="137">
        <f>'LCFS Table'!$AV213*'LCFS Table'!$CJ213</f>
        <v>0</v>
      </c>
      <c r="BQ213" s="137">
        <f>'LCFS Table'!$AW213*'LCFS Table'!$CK213</f>
        <v>0</v>
      </c>
      <c r="BR213" s="137">
        <f>'LCFS Table'!$AX213*'LCFS Table'!$CL213</f>
        <v>0</v>
      </c>
      <c r="BS213" s="137">
        <f>'LCFS Table'!$AY213*'LCFS Table'!$CM213</f>
        <v>0</v>
      </c>
      <c r="BT213" s="137">
        <f>'LCFS Table'!$AZ213*'LCFS Table'!$CN213</f>
        <v>0</v>
      </c>
      <c r="BU213" s="137">
        <f>'LCFS Table'!$BA213*'LCFS Table'!$CO213</f>
        <v>0</v>
      </c>
      <c r="BV213" s="142">
        <f>'LCFS Table'!$BB213*'LCFS Table'!$CP213</f>
        <v>1.2</v>
      </c>
      <c r="BW213" s="138">
        <v>1</v>
      </c>
      <c r="BX213" s="138">
        <v>0</v>
      </c>
      <c r="BY213" s="138">
        <v>1</v>
      </c>
      <c r="BZ213" s="138">
        <v>1</v>
      </c>
      <c r="CA213" s="138">
        <v>-1</v>
      </c>
      <c r="CB213" s="138">
        <v>1</v>
      </c>
      <c r="CC213" s="138">
        <v>0</v>
      </c>
      <c r="CD213" s="138">
        <v>1</v>
      </c>
      <c r="CE213" s="138">
        <v>1</v>
      </c>
      <c r="CF213" s="138">
        <v>-1</v>
      </c>
      <c r="CG213" s="138">
        <f>1-'LCFS Table'!$BW213</f>
        <v>0</v>
      </c>
      <c r="CH213" s="138">
        <f>1-'LCFS Table'!$BX213</f>
        <v>1</v>
      </c>
      <c r="CI213" s="138">
        <f>1-'LCFS Table'!$BY213</f>
        <v>0</v>
      </c>
      <c r="CJ213" s="138">
        <f>1-'LCFS Table'!$BZ213</f>
        <v>0</v>
      </c>
      <c r="CK213" s="138">
        <f>-'LCFS Table'!$CA213</f>
        <v>1</v>
      </c>
      <c r="CL213" s="138">
        <f>1-'LCFS Table'!$CB213</f>
        <v>0</v>
      </c>
      <c r="CM213" s="138">
        <f>1-'LCFS Table'!$CC213</f>
        <v>1</v>
      </c>
      <c r="CN213" s="138">
        <f>1-'LCFS Table'!$CD213</f>
        <v>0</v>
      </c>
      <c r="CO213" s="138">
        <f>1-'LCFS Table'!$CE213</f>
        <v>0</v>
      </c>
      <c r="CP213" s="138">
        <f>-'LCFS Table'!$CF213</f>
        <v>1</v>
      </c>
      <c r="CQ213" s="140">
        <v>6.2</v>
      </c>
      <c r="CR213" s="165">
        <f>('LCFS Table'!$CQ213*0.9/(0.8/0.99)/100)</f>
        <v>6.9052500000000003E-2</v>
      </c>
      <c r="CS213" s="166"/>
      <c r="CT213" s="167"/>
      <c r="CW213" s="168">
        <f>'LCFS Table'!$K213-'LCFS Table'!$M213</f>
        <v>-0.59785500672375003</v>
      </c>
      <c r="CX213" s="129">
        <f>MONTH('LCFS Table'!$B213)</f>
        <v>1</v>
      </c>
      <c r="CY213" s="129">
        <f>YEAR('LCFS Table'!$B213)</f>
        <v>2023</v>
      </c>
    </row>
    <row r="214" spans="1:103">
      <c r="A214" s="148">
        <v>44941</v>
      </c>
      <c r="B214" s="149">
        <v>44947</v>
      </c>
      <c r="C214" s="132">
        <f t="shared" si="4"/>
        <v>2023</v>
      </c>
      <c r="D214" s="150" t="s">
        <v>259</v>
      </c>
      <c r="E214" s="187">
        <f>'LCFS Table'!$K214-'LCFS Table'!$I214</f>
        <v>-2.4320389862327918</v>
      </c>
      <c r="F214" s="187">
        <f>('LCFS Table'!$M214)-'LCFS Table'!$J214</f>
        <v>-2.6218002215921867</v>
      </c>
      <c r="G214" s="188">
        <f>'LCFS Table'!$E214+'LCFS Table'!$AS214+'LCFS Table'!$AT214+'LCFS Table'!$AU214+'LCFS Table'!$AV214</f>
        <v>2.0724741748087432</v>
      </c>
      <c r="H214" s="188">
        <f>'LCFS Table'!$F214+'LCFS Table'!$AX214+'LCFS Table'!$AY214+'LCFS Table'!$AZ214+'LCFS Table'!$BA214+('LCFS Table'!$CQ214*0.9/(0.8/0.99)/100)+(DG214*'LCFS Table'!$AF214)+(DF214*'LCFS Table'!$AG214)</f>
        <v>1.2905568359375004</v>
      </c>
      <c r="I214" s="187">
        <f>('LCFS Table'!$V214+'LCFS Table'!$W214+'LCFS Table'!$X214)/100+(('LCFS Table'!$AI214+'LCFS Table'!$AJ214)/340)</f>
        <v>5.5124389862327918</v>
      </c>
      <c r="J214" s="187">
        <f>(('LCFS Table'!$Y214+'LCFS Table'!$Z214)/100)+(('LCFS Table'!$AM214+'LCFS Table'!$AN214)/300)</f>
        <v>6.2318369140624998</v>
      </c>
      <c r="K214" s="190">
        <f>'[1]Fuel Values'!$C213</f>
        <v>3.0804</v>
      </c>
      <c r="L214" s="190">
        <f>'[1]Fuel Values'!$B213</f>
        <v>745</v>
      </c>
      <c r="M214" s="185">
        <f>('LCFS Table'!$L214/100)-'LCFS Table'!$AX214-'LCFS Table'!$AY214-'LCFS Table'!$AZ214-'LCFS Table'!$BA214</f>
        <v>3.6100366924703131</v>
      </c>
      <c r="N214" s="190">
        <f>[1]BFT!$B213</f>
        <v>67</v>
      </c>
      <c r="O214" s="190">
        <f>[1]UCO!$B213</f>
        <v>63.5</v>
      </c>
      <c r="P214" s="190">
        <f>[1]DCO!$B213</f>
        <v>67.25</v>
      </c>
      <c r="Q214" s="190">
        <f>'[1]Soybean Oil'!$B213</f>
        <v>75.332499999999996</v>
      </c>
      <c r="R214" s="190">
        <f>'[1]Yellow Grease'!$B213</f>
        <v>52.5</v>
      </c>
      <c r="S214" s="185">
        <f>'LCFS Table'!$N214 + 'LCFS Table'!$AH214</f>
        <v>71.375</v>
      </c>
      <c r="T214" s="185">
        <f>'LCFS Table'!$Q214+'LCFS Table'!$AH214</f>
        <v>79.707499999999996</v>
      </c>
      <c r="U214" s="185">
        <f>'LCFS Table'!$P214+'LCFS Table'!$AH214</f>
        <v>71.625</v>
      </c>
      <c r="V214" s="185">
        <f>(('LCFS Table'!$S214/'LCFS Table'!$AA214)*'LCFS Table'!$AC214)*6.48</f>
        <v>246.01595744680853</v>
      </c>
      <c r="W214" s="185">
        <f>(('LCFS Table'!$O214/'LCFS Table'!$AA214)*'LCFS Table'!$AD214)*6.48</f>
        <v>109.43617021276597</v>
      </c>
      <c r="X214" s="185">
        <f>(('LCFS Table'!$U214/'LCFS Table'!$AA214)*'LCFS Table'!$AE214)*6.48</f>
        <v>123.43882978723407</v>
      </c>
      <c r="Y214" s="185">
        <f>(('LCFS Table'!$T214/'LCFS Table'!$AB214)*'LCFS Table'!$AF214)*7.35</f>
        <v>457.69541015624998</v>
      </c>
      <c r="Z214" s="185">
        <f>(('LCFS Table'!$R214/'LCFS Table'!$AB214)*'LCFS Table'!$AG214)*7.35</f>
        <v>100.48828125</v>
      </c>
      <c r="AA214" s="138">
        <v>0.94</v>
      </c>
      <c r="AB214" s="138">
        <v>0.96</v>
      </c>
      <c r="AC214" s="138">
        <v>0.5</v>
      </c>
      <c r="AD214" s="138">
        <v>0.25</v>
      </c>
      <c r="AE214" s="138">
        <v>0.25</v>
      </c>
      <c r="AF214" s="138">
        <v>0.75</v>
      </c>
      <c r="AG214" s="138">
        <v>0.25</v>
      </c>
      <c r="AH214" s="139">
        <v>4.375</v>
      </c>
      <c r="AI214" s="139">
        <v>136</v>
      </c>
      <c r="AJ214" s="139">
        <v>110</v>
      </c>
      <c r="AK214" s="186">
        <f>('LCFS Table'!$AI214/340)*100</f>
        <v>40</v>
      </c>
      <c r="AL214" s="186">
        <f>('LCFS Table'!$AJ214/340)*100</f>
        <v>32.352941176470587</v>
      </c>
      <c r="AM214" s="139">
        <v>105</v>
      </c>
      <c r="AN214" s="139">
        <v>90</v>
      </c>
      <c r="AO214" s="139">
        <f>('LCFS Table'!$AM214/300)*100</f>
        <v>35</v>
      </c>
      <c r="AP214" s="139">
        <f>('LCFS Table'!$AN214/300)*100</f>
        <v>30</v>
      </c>
      <c r="AQ214" s="140">
        <f>'[1]LCFS Values'!$B213</f>
        <v>62.9375</v>
      </c>
      <c r="AR214" s="140">
        <f>'[1]RIN Values'!$B213/100</f>
        <v>1.6656249999999999</v>
      </c>
      <c r="AS214" s="185">
        <v>0.51295066104153497</v>
      </c>
      <c r="AT214" s="137">
        <v>0.16</v>
      </c>
      <c r="AU214" s="137">
        <v>1</v>
      </c>
      <c r="AV214" s="185">
        <f>'LCFS Table'!$AR214*1.7</f>
        <v>2.8315625</v>
      </c>
      <c r="AW214" s="137">
        <v>0</v>
      </c>
      <c r="AX214" s="185">
        <v>0.34152580752968748</v>
      </c>
      <c r="AY214" s="137">
        <v>0</v>
      </c>
      <c r="AZ214" s="141">
        <v>1</v>
      </c>
      <c r="BA214" s="185">
        <f>'LCFS Table'!$AR214*1.5</f>
        <v>2.4984374999999996</v>
      </c>
      <c r="BB214" s="142">
        <v>1.2</v>
      </c>
      <c r="BC214" s="185">
        <f>'LCFS Table'!$AS214*'LCFS Table'!$BW214</f>
        <v>0.51295066104153497</v>
      </c>
      <c r="BD214" s="185">
        <f>'LCFS Table'!$AT214*'LCFS Table'!$BX214</f>
        <v>0</v>
      </c>
      <c r="BE214" s="185">
        <f>'LCFS Table'!$AU214*'LCFS Table'!$BY214</f>
        <v>1</v>
      </c>
      <c r="BF214" s="137">
        <f>'LCFS Table'!$AV214*'LCFS Table'!$BZ214</f>
        <v>2.8315625</v>
      </c>
      <c r="BG214" s="137">
        <f>'LCFS Table'!$AW214*'LCFS Table'!$CA214</f>
        <v>0</v>
      </c>
      <c r="BH214" s="137">
        <f>'LCFS Table'!$AX214*'LCFS Table'!$CB214</f>
        <v>0.34152580752968748</v>
      </c>
      <c r="BI214" s="137">
        <f>'LCFS Table'!$AY214*'LCFS Table'!$CC214</f>
        <v>0</v>
      </c>
      <c r="BJ214" s="137">
        <f>'LCFS Table'!$AZ214*'LCFS Table'!$CD214</f>
        <v>1</v>
      </c>
      <c r="BK214" s="137">
        <f>'LCFS Table'!$BA214*'LCFS Table'!$CE214</f>
        <v>2.4984374999999996</v>
      </c>
      <c r="BL214" s="137">
        <f>'LCFS Table'!$BB214*'LCFS Table'!$CF214</f>
        <v>-1.2</v>
      </c>
      <c r="BM214" s="137">
        <f>'LCFS Table'!$AS214*'LCFS Table'!$CG214</f>
        <v>0</v>
      </c>
      <c r="BN214" s="137">
        <f>'LCFS Table'!$AT214*'LCFS Table'!$CH214</f>
        <v>0.16</v>
      </c>
      <c r="BO214" s="137">
        <f>'LCFS Table'!$AU214*'LCFS Table'!$CI214</f>
        <v>0</v>
      </c>
      <c r="BP214" s="137">
        <f>'LCFS Table'!$AV214*'LCFS Table'!$CJ214</f>
        <v>0</v>
      </c>
      <c r="BQ214" s="137">
        <f>'LCFS Table'!$AW214*'LCFS Table'!$CK214</f>
        <v>0</v>
      </c>
      <c r="BR214" s="137">
        <f>'LCFS Table'!$AX214*'LCFS Table'!$CL214</f>
        <v>0</v>
      </c>
      <c r="BS214" s="137">
        <f>'LCFS Table'!$AY214*'LCFS Table'!$CM214</f>
        <v>0</v>
      </c>
      <c r="BT214" s="137">
        <f>'LCFS Table'!$AZ214*'LCFS Table'!$CN214</f>
        <v>0</v>
      </c>
      <c r="BU214" s="137">
        <f>'LCFS Table'!$BA214*'LCFS Table'!$CO214</f>
        <v>0</v>
      </c>
      <c r="BV214" s="142">
        <f>'LCFS Table'!$BB214*'LCFS Table'!$CP214</f>
        <v>1.2</v>
      </c>
      <c r="BW214" s="138">
        <v>1</v>
      </c>
      <c r="BX214" s="138">
        <v>0</v>
      </c>
      <c r="BY214" s="138">
        <v>1</v>
      </c>
      <c r="BZ214" s="138">
        <v>1</v>
      </c>
      <c r="CA214" s="138">
        <v>-1</v>
      </c>
      <c r="CB214" s="138">
        <v>1</v>
      </c>
      <c r="CC214" s="138">
        <v>0</v>
      </c>
      <c r="CD214" s="138">
        <v>1</v>
      </c>
      <c r="CE214" s="138">
        <v>1</v>
      </c>
      <c r="CF214" s="138">
        <v>-1</v>
      </c>
      <c r="CG214" s="138">
        <f>1-'LCFS Table'!$BW214</f>
        <v>0</v>
      </c>
      <c r="CH214" s="138">
        <f>1-'LCFS Table'!$BX214</f>
        <v>1</v>
      </c>
      <c r="CI214" s="138">
        <f>1-'LCFS Table'!$BY214</f>
        <v>0</v>
      </c>
      <c r="CJ214" s="138">
        <f>1-'LCFS Table'!$BZ214</f>
        <v>0</v>
      </c>
      <c r="CK214" s="138">
        <f>-'LCFS Table'!$CA214</f>
        <v>1</v>
      </c>
      <c r="CL214" s="138">
        <f>1-'LCFS Table'!$CB214</f>
        <v>0</v>
      </c>
      <c r="CM214" s="138">
        <f>1-'LCFS Table'!$CC214</f>
        <v>1</v>
      </c>
      <c r="CN214" s="138">
        <f>1-'LCFS Table'!$CD214</f>
        <v>0</v>
      </c>
      <c r="CO214" s="138">
        <f>1-'LCFS Table'!$CE214</f>
        <v>0</v>
      </c>
      <c r="CP214" s="138">
        <f>-'LCFS Table'!$CF214</f>
        <v>1</v>
      </c>
      <c r="CQ214" s="140">
        <v>6.5</v>
      </c>
      <c r="CR214" s="165">
        <f>('LCFS Table'!$CQ214*0.9/(0.8/0.99)/100)</f>
        <v>7.2393749999999993E-2</v>
      </c>
      <c r="CS214" s="166"/>
      <c r="CT214" s="167"/>
      <c r="CW214" s="168">
        <f>'LCFS Table'!$K214-'LCFS Table'!$M214</f>
        <v>-0.52963669247031309</v>
      </c>
      <c r="CX214" s="129">
        <f>MONTH('LCFS Table'!$B214)</f>
        <v>1</v>
      </c>
      <c r="CY214" s="129">
        <f>YEAR('LCFS Table'!$B214)</f>
        <v>2023</v>
      </c>
    </row>
    <row r="215" spans="1:103">
      <c r="A215" s="148">
        <v>44948</v>
      </c>
      <c r="B215" s="149">
        <v>44954</v>
      </c>
      <c r="C215" s="132">
        <f t="shared" si="4"/>
        <v>2023</v>
      </c>
      <c r="D215" s="150" t="s">
        <v>260</v>
      </c>
      <c r="E215" s="187">
        <f>'LCFS Table'!$K215-'LCFS Table'!$I215</f>
        <v>-2.3609368585732167</v>
      </c>
      <c r="F215" s="187">
        <f>('LCFS Table'!$M215)-'LCFS Table'!$J215</f>
        <v>-2.4808153499000003</v>
      </c>
      <c r="G215" s="188">
        <f>'LCFS Table'!$E215+'LCFS Table'!$AS215+'LCFS Table'!$AT215+'LCFS Table'!$AU215+'LCFS Table'!$AV215</f>
        <v>2.1523731874345957</v>
      </c>
      <c r="H215" s="188">
        <f>'LCFS Table'!$F215+'LCFS Table'!$AX215+'LCFS Table'!$AY215+'LCFS Table'!$AZ215+'LCFS Table'!$BA215+('LCFS Table'!$CQ215*0.9/(0.8/0.99)/100)+(DG215*'LCFS Table'!$AF215)+(DF215*'LCFS Table'!$AG215)</f>
        <v>1.4391933593749997</v>
      </c>
      <c r="I215" s="187">
        <f>('LCFS Table'!$V215+'LCFS Table'!$W215+'LCFS Table'!$X215)/100+(('LCFS Table'!$AI215+'LCFS Table'!$AJ215)/340)</f>
        <v>5.5012368585732165</v>
      </c>
      <c r="J215" s="187">
        <f>(('LCFS Table'!$Y215+'LCFS Table'!$Z215)/100)+(('LCFS Table'!$AM215+'LCFS Table'!$AN215)/300)</f>
        <v>6.0832003906250005</v>
      </c>
      <c r="K215" s="190">
        <f>'[1]Fuel Values'!$C214</f>
        <v>3.1402999999999999</v>
      </c>
      <c r="L215" s="190">
        <f>'[1]Fuel Values'!$B214</f>
        <v>745</v>
      </c>
      <c r="M215" s="185">
        <f>('LCFS Table'!$L215/100)-'LCFS Table'!$AX215-'LCFS Table'!$AY215-'LCFS Table'!$AZ215-'LCFS Table'!$BA215</f>
        <v>3.6023850407250002</v>
      </c>
      <c r="N215" s="190">
        <f>[1]BFT!$B214</f>
        <v>67</v>
      </c>
      <c r="O215" s="190">
        <f>[1]UCO!$B214</f>
        <v>63.5</v>
      </c>
      <c r="P215" s="190">
        <f>[1]DCO!$B214</f>
        <v>66.599999999999994</v>
      </c>
      <c r="Q215" s="190">
        <f>'[1]Soybean Oil'!$B214</f>
        <v>72.744</v>
      </c>
      <c r="R215" s="190">
        <f>'[1]Yellow Grease'!$B214</f>
        <v>52.5</v>
      </c>
      <c r="S215" s="185">
        <f>'LCFS Table'!$N215 + 'LCFS Table'!$AH215</f>
        <v>71.375</v>
      </c>
      <c r="T215" s="185">
        <f>'LCFS Table'!$Q215+'LCFS Table'!$AH215</f>
        <v>77.119</v>
      </c>
      <c r="U215" s="185">
        <f>'LCFS Table'!$P215+'LCFS Table'!$AH215</f>
        <v>70.974999999999994</v>
      </c>
      <c r="V215" s="185">
        <f>(('LCFS Table'!$S215/'LCFS Table'!$AA215)*'LCFS Table'!$AC215)*6.48</f>
        <v>246.01595744680853</v>
      </c>
      <c r="W215" s="185">
        <f>(('LCFS Table'!$O215/'LCFS Table'!$AA215)*'LCFS Table'!$AD215)*6.48</f>
        <v>109.43617021276597</v>
      </c>
      <c r="X215" s="185">
        <f>(('LCFS Table'!$U215/'LCFS Table'!$AA215)*'LCFS Table'!$AE215)*6.48</f>
        <v>122.31861702127659</v>
      </c>
      <c r="Y215" s="185">
        <f>(('LCFS Table'!$T215/'LCFS Table'!$AB215)*'LCFS Table'!$AF215)*7.35</f>
        <v>442.83175781249997</v>
      </c>
      <c r="Z215" s="185">
        <f>(('LCFS Table'!$R215/'LCFS Table'!$AB215)*'LCFS Table'!$AG215)*7.35</f>
        <v>100.48828125</v>
      </c>
      <c r="AA215" s="138">
        <v>0.94</v>
      </c>
      <c r="AB215" s="138">
        <v>0.96</v>
      </c>
      <c r="AC215" s="138">
        <v>0.5</v>
      </c>
      <c r="AD215" s="138">
        <v>0.25</v>
      </c>
      <c r="AE215" s="138">
        <v>0.25</v>
      </c>
      <c r="AF215" s="138">
        <v>0.75</v>
      </c>
      <c r="AG215" s="138">
        <v>0.25</v>
      </c>
      <c r="AH215" s="139">
        <v>4.375</v>
      </c>
      <c r="AI215" s="139">
        <v>136</v>
      </c>
      <c r="AJ215" s="139">
        <v>110</v>
      </c>
      <c r="AK215" s="186">
        <f>('LCFS Table'!$AI215/340)*100</f>
        <v>40</v>
      </c>
      <c r="AL215" s="186">
        <f>('LCFS Table'!$AJ215/340)*100</f>
        <v>32.352941176470587</v>
      </c>
      <c r="AM215" s="139">
        <v>105</v>
      </c>
      <c r="AN215" s="139">
        <v>90</v>
      </c>
      <c r="AO215" s="139">
        <f>('LCFS Table'!$AM215/300)*100</f>
        <v>35</v>
      </c>
      <c r="AP215" s="139">
        <f>('LCFS Table'!$AN215/300)*100</f>
        <v>30</v>
      </c>
      <c r="AQ215" s="140">
        <f>'[1]LCFS Values'!$B214</f>
        <v>63</v>
      </c>
      <c r="AR215" s="140">
        <f>'[1]RIN Values'!$B214/100</f>
        <v>1.6705000000000001</v>
      </c>
      <c r="AS215" s="185">
        <v>0.51346004600781259</v>
      </c>
      <c r="AT215" s="137">
        <v>0.16</v>
      </c>
      <c r="AU215" s="137">
        <v>1</v>
      </c>
      <c r="AV215" s="185">
        <f>'LCFS Table'!$AR215*1.7</f>
        <v>2.8398500000000002</v>
      </c>
      <c r="AW215" s="137">
        <v>0</v>
      </c>
      <c r="AX215" s="185">
        <v>0.34186495927500005</v>
      </c>
      <c r="AY215" s="137">
        <v>0</v>
      </c>
      <c r="AZ215" s="141">
        <v>1</v>
      </c>
      <c r="BA215" s="185">
        <f>'LCFS Table'!$AR215*1.5</f>
        <v>2.5057499999999999</v>
      </c>
      <c r="BB215" s="142">
        <v>1.2</v>
      </c>
      <c r="BC215" s="185">
        <f>'LCFS Table'!$AS215*'LCFS Table'!$BW215</f>
        <v>0.51346004600781259</v>
      </c>
      <c r="BD215" s="185">
        <f>'LCFS Table'!$AT215*'LCFS Table'!$BX215</f>
        <v>0</v>
      </c>
      <c r="BE215" s="185">
        <f>'LCFS Table'!$AU215*'LCFS Table'!$BY215</f>
        <v>1</v>
      </c>
      <c r="BF215" s="137">
        <f>'LCFS Table'!$AV215*'LCFS Table'!$BZ215</f>
        <v>2.8398500000000002</v>
      </c>
      <c r="BG215" s="137">
        <f>'LCFS Table'!$AW215*'LCFS Table'!$CA215</f>
        <v>0</v>
      </c>
      <c r="BH215" s="137">
        <f>'LCFS Table'!$AX215*'LCFS Table'!$CB215</f>
        <v>0.34186495927500005</v>
      </c>
      <c r="BI215" s="137">
        <f>'LCFS Table'!$AY215*'LCFS Table'!$CC215</f>
        <v>0</v>
      </c>
      <c r="BJ215" s="137">
        <f>'LCFS Table'!$AZ215*'LCFS Table'!$CD215</f>
        <v>1</v>
      </c>
      <c r="BK215" s="137">
        <f>'LCFS Table'!$BA215*'LCFS Table'!$CE215</f>
        <v>2.5057499999999999</v>
      </c>
      <c r="BL215" s="137">
        <f>'LCFS Table'!$BB215*'LCFS Table'!$CF215</f>
        <v>-1.2</v>
      </c>
      <c r="BM215" s="137">
        <f>'LCFS Table'!$AS215*'LCFS Table'!$CG215</f>
        <v>0</v>
      </c>
      <c r="BN215" s="137">
        <f>'LCFS Table'!$AT215*'LCFS Table'!$CH215</f>
        <v>0.16</v>
      </c>
      <c r="BO215" s="137">
        <f>'LCFS Table'!$AU215*'LCFS Table'!$CI215</f>
        <v>0</v>
      </c>
      <c r="BP215" s="137">
        <f>'LCFS Table'!$AV215*'LCFS Table'!$CJ215</f>
        <v>0</v>
      </c>
      <c r="BQ215" s="137">
        <f>'LCFS Table'!$AW215*'LCFS Table'!$CK215</f>
        <v>0</v>
      </c>
      <c r="BR215" s="137">
        <f>'LCFS Table'!$AX215*'LCFS Table'!$CL215</f>
        <v>0</v>
      </c>
      <c r="BS215" s="137">
        <f>'LCFS Table'!$AY215*'LCFS Table'!$CM215</f>
        <v>0</v>
      </c>
      <c r="BT215" s="137">
        <f>'LCFS Table'!$AZ215*'LCFS Table'!$CN215</f>
        <v>0</v>
      </c>
      <c r="BU215" s="137">
        <f>'LCFS Table'!$BA215*'LCFS Table'!$CO215</f>
        <v>0</v>
      </c>
      <c r="BV215" s="142">
        <f>'LCFS Table'!$BB215*'LCFS Table'!$CP215</f>
        <v>1.2</v>
      </c>
      <c r="BW215" s="138">
        <v>1</v>
      </c>
      <c r="BX215" s="138">
        <v>0</v>
      </c>
      <c r="BY215" s="138">
        <v>1</v>
      </c>
      <c r="BZ215" s="138">
        <v>1</v>
      </c>
      <c r="CA215" s="138">
        <v>-1</v>
      </c>
      <c r="CB215" s="138">
        <v>1</v>
      </c>
      <c r="CC215" s="138">
        <v>0</v>
      </c>
      <c r="CD215" s="138">
        <v>1</v>
      </c>
      <c r="CE215" s="138">
        <v>1</v>
      </c>
      <c r="CF215" s="138">
        <v>-1</v>
      </c>
      <c r="CG215" s="138">
        <f>1-'LCFS Table'!$BW215</f>
        <v>0</v>
      </c>
      <c r="CH215" s="138">
        <f>1-'LCFS Table'!$BX215</f>
        <v>1</v>
      </c>
      <c r="CI215" s="138">
        <f>1-'LCFS Table'!$BY215</f>
        <v>0</v>
      </c>
      <c r="CJ215" s="138">
        <f>1-'LCFS Table'!$BZ215</f>
        <v>0</v>
      </c>
      <c r="CK215" s="138">
        <f>-'LCFS Table'!$CA215</f>
        <v>1</v>
      </c>
      <c r="CL215" s="138">
        <f>1-'LCFS Table'!$CB215</f>
        <v>0</v>
      </c>
      <c r="CM215" s="138">
        <f>1-'LCFS Table'!$CC215</f>
        <v>1</v>
      </c>
      <c r="CN215" s="138">
        <f>1-'LCFS Table'!$CD215</f>
        <v>0</v>
      </c>
      <c r="CO215" s="138">
        <f>1-'LCFS Table'!$CE215</f>
        <v>0</v>
      </c>
      <c r="CP215" s="138">
        <f>-'LCFS Table'!$CF215</f>
        <v>1</v>
      </c>
      <c r="CQ215" s="140">
        <v>6.5</v>
      </c>
      <c r="CR215" s="165">
        <f>('LCFS Table'!$CQ215*0.9/(0.8/0.99)/100)</f>
        <v>7.2393749999999993E-2</v>
      </c>
      <c r="CS215" s="166"/>
      <c r="CT215" s="167"/>
      <c r="CW215" s="168">
        <f>'LCFS Table'!$K215-'LCFS Table'!$M215</f>
        <v>-0.46208504072500034</v>
      </c>
      <c r="CX215" s="129">
        <f>MONTH('LCFS Table'!$B215)</f>
        <v>1</v>
      </c>
      <c r="CY215" s="129">
        <f>YEAR('LCFS Table'!$B215)</f>
        <v>2023</v>
      </c>
    </row>
    <row r="216" spans="1:103">
      <c r="A216" s="148">
        <v>44955</v>
      </c>
      <c r="B216" s="149">
        <v>44961</v>
      </c>
      <c r="C216" s="132">
        <f t="shared" si="4"/>
        <v>2023</v>
      </c>
      <c r="D216" s="150" t="s">
        <v>261</v>
      </c>
      <c r="E216" s="187">
        <f>'LCFS Table'!$K216-'LCFS Table'!$I216</f>
        <v>-2.5385049436796003</v>
      </c>
      <c r="F216" s="187">
        <f>('LCFS Table'!$M216)-'LCFS Table'!$J216</f>
        <v>-2.5654231366162499</v>
      </c>
      <c r="G216" s="188">
        <f>'LCFS Table'!$E216+'LCFS Table'!$AS216+'LCFS Table'!$AT216+'LCFS Table'!$AU216+'LCFS Table'!$AV216</f>
        <v>1.8542223551645278</v>
      </c>
      <c r="H216" s="188">
        <f>'LCFS Table'!$F216+'LCFS Table'!$AX216+'LCFS Table'!$AY216+'LCFS Table'!$AZ216+'LCFS Table'!$BA216+('LCFS Table'!$CQ216*0.9/(0.8/0.99)/100)+(DG216*'LCFS Table'!$AF216)+(DF216*'LCFS Table'!$AG216)</f>
        <v>1.2453558593749998</v>
      </c>
      <c r="I216" s="187">
        <f>('LCFS Table'!$V216+'LCFS Table'!$W216+'LCFS Table'!$X216)/100+(('LCFS Table'!$AI216+'LCFS Table'!$AJ216)/340)</f>
        <v>5.3737049436796003</v>
      </c>
      <c r="J216" s="187">
        <f>(('LCFS Table'!$Y216+'LCFS Table'!$Z216)/100)+(('LCFS Table'!$AM216+'LCFS Table'!$AN216)/300)</f>
        <v>6.0914691406249997</v>
      </c>
      <c r="K216" s="190">
        <f>'[1]Fuel Values'!$C215</f>
        <v>2.8351999999999999</v>
      </c>
      <c r="L216" s="190">
        <f>'[1]Fuel Values'!$B215</f>
        <v>727</v>
      </c>
      <c r="M216" s="185">
        <f>('LCFS Table'!$L216/100)-'LCFS Table'!$AX216-'LCFS Table'!$AY216-'LCFS Table'!$AZ216-'LCFS Table'!$BA216</f>
        <v>3.5260460040087498</v>
      </c>
      <c r="N216" s="190">
        <f>[1]BFT!$B215</f>
        <v>65.400000000000006</v>
      </c>
      <c r="O216" s="190">
        <f>[1]UCO!$B215</f>
        <v>63.5</v>
      </c>
      <c r="P216" s="190">
        <f>[1]DCO!$B215</f>
        <v>62.4</v>
      </c>
      <c r="Q216" s="190">
        <f>'[1]Soybean Oil'!$B215</f>
        <v>72.888000000000005</v>
      </c>
      <c r="R216" s="190">
        <f>'[1]Yellow Grease'!$B215</f>
        <v>52.5</v>
      </c>
      <c r="S216" s="185">
        <f>'LCFS Table'!$N216 + 'LCFS Table'!$AH216</f>
        <v>69.775000000000006</v>
      </c>
      <c r="T216" s="185">
        <f>'LCFS Table'!$Q216+'LCFS Table'!$AH216</f>
        <v>77.263000000000005</v>
      </c>
      <c r="U216" s="185">
        <f>'LCFS Table'!$P216+'LCFS Table'!$AH216</f>
        <v>66.775000000000006</v>
      </c>
      <c r="V216" s="185">
        <f>(('LCFS Table'!$S216/'LCFS Table'!$AA216)*'LCFS Table'!$AC216)*6.48</f>
        <v>240.50106382978728</v>
      </c>
      <c r="W216" s="185">
        <f>(('LCFS Table'!$O216/'LCFS Table'!$AA216)*'LCFS Table'!$AD216)*6.48</f>
        <v>109.43617021276597</v>
      </c>
      <c r="X216" s="185">
        <f>(('LCFS Table'!$U216/'LCFS Table'!$AA216)*'LCFS Table'!$AE216)*6.48</f>
        <v>115.08031914893618</v>
      </c>
      <c r="Y216" s="185">
        <f>(('LCFS Table'!$T216/'LCFS Table'!$AB216)*'LCFS Table'!$AF216)*7.35</f>
        <v>443.6586328125</v>
      </c>
      <c r="Z216" s="185">
        <f>(('LCFS Table'!$R216/'LCFS Table'!$AB216)*'LCFS Table'!$AG216)*7.35</f>
        <v>100.48828125</v>
      </c>
      <c r="AA216" s="138">
        <v>0.94</v>
      </c>
      <c r="AB216" s="138">
        <v>0.96</v>
      </c>
      <c r="AC216" s="138">
        <v>0.5</v>
      </c>
      <c r="AD216" s="138">
        <v>0.25</v>
      </c>
      <c r="AE216" s="138">
        <v>0.25</v>
      </c>
      <c r="AF216" s="138">
        <v>0.75</v>
      </c>
      <c r="AG216" s="138">
        <v>0.25</v>
      </c>
      <c r="AH216" s="139">
        <v>4.375</v>
      </c>
      <c r="AI216" s="139">
        <v>136</v>
      </c>
      <c r="AJ216" s="139">
        <v>110</v>
      </c>
      <c r="AK216" s="186">
        <f>('LCFS Table'!$AI216/340)*100</f>
        <v>40</v>
      </c>
      <c r="AL216" s="186">
        <f>('LCFS Table'!$AJ216/340)*100</f>
        <v>32.352941176470587</v>
      </c>
      <c r="AM216" s="139">
        <v>105</v>
      </c>
      <c r="AN216" s="139">
        <v>90</v>
      </c>
      <c r="AO216" s="139">
        <f>('LCFS Table'!$AM216/300)*100</f>
        <v>35</v>
      </c>
      <c r="AP216" s="139">
        <f>('LCFS Table'!$AN216/300)*100</f>
        <v>30</v>
      </c>
      <c r="AQ216" s="140">
        <f>'[1]LCFS Values'!$B215</f>
        <v>61.45</v>
      </c>
      <c r="AR216" s="140">
        <f>'[1]RIN Values'!$B215/100</f>
        <v>1.607</v>
      </c>
      <c r="AS216" s="185">
        <v>0.50082729884412835</v>
      </c>
      <c r="AT216" s="137">
        <v>0.16</v>
      </c>
      <c r="AU216" s="137">
        <v>1</v>
      </c>
      <c r="AV216" s="185">
        <f>'LCFS Table'!$AR216*1.7</f>
        <v>2.7319</v>
      </c>
      <c r="AW216" s="137">
        <v>0</v>
      </c>
      <c r="AX216" s="185">
        <v>0.33345399599125003</v>
      </c>
      <c r="AY216" s="137">
        <v>0</v>
      </c>
      <c r="AZ216" s="141">
        <v>1</v>
      </c>
      <c r="BA216" s="185">
        <f>'LCFS Table'!$AR216*1.5</f>
        <v>2.4104999999999999</v>
      </c>
      <c r="BB216" s="142">
        <v>1.2</v>
      </c>
      <c r="BC216" s="185">
        <f>'LCFS Table'!$AS216*'LCFS Table'!$BW216</f>
        <v>0.50082729884412835</v>
      </c>
      <c r="BD216" s="185">
        <f>'LCFS Table'!$AT216*'LCFS Table'!$BX216</f>
        <v>0</v>
      </c>
      <c r="BE216" s="185">
        <f>'LCFS Table'!$AU216*'LCFS Table'!$BY216</f>
        <v>1</v>
      </c>
      <c r="BF216" s="137">
        <f>'LCFS Table'!$AV216*'LCFS Table'!$BZ216</f>
        <v>2.7319</v>
      </c>
      <c r="BG216" s="137">
        <f>'LCFS Table'!$AW216*'LCFS Table'!$CA216</f>
        <v>0</v>
      </c>
      <c r="BH216" s="137">
        <f>'LCFS Table'!$AX216*'LCFS Table'!$CB216</f>
        <v>0.33345399599125003</v>
      </c>
      <c r="BI216" s="137">
        <f>'LCFS Table'!$AY216*'LCFS Table'!$CC216</f>
        <v>0</v>
      </c>
      <c r="BJ216" s="137">
        <f>'LCFS Table'!$AZ216*'LCFS Table'!$CD216</f>
        <v>1</v>
      </c>
      <c r="BK216" s="137">
        <f>'LCFS Table'!$BA216*'LCFS Table'!$CE216</f>
        <v>2.4104999999999999</v>
      </c>
      <c r="BL216" s="137">
        <f>'LCFS Table'!$BB216*'LCFS Table'!$CF216</f>
        <v>-1.2</v>
      </c>
      <c r="BM216" s="137">
        <f>'LCFS Table'!$AS216*'LCFS Table'!$CG216</f>
        <v>0</v>
      </c>
      <c r="BN216" s="137">
        <f>'LCFS Table'!$AT216*'LCFS Table'!$CH216</f>
        <v>0.16</v>
      </c>
      <c r="BO216" s="137">
        <f>'LCFS Table'!$AU216*'LCFS Table'!$CI216</f>
        <v>0</v>
      </c>
      <c r="BP216" s="137">
        <f>'LCFS Table'!$AV216*'LCFS Table'!$CJ216</f>
        <v>0</v>
      </c>
      <c r="BQ216" s="137">
        <f>'LCFS Table'!$AW216*'LCFS Table'!$CK216</f>
        <v>0</v>
      </c>
      <c r="BR216" s="137">
        <f>'LCFS Table'!$AX216*'LCFS Table'!$CL216</f>
        <v>0</v>
      </c>
      <c r="BS216" s="137">
        <f>'LCFS Table'!$AY216*'LCFS Table'!$CM216</f>
        <v>0</v>
      </c>
      <c r="BT216" s="137">
        <f>'LCFS Table'!$AZ216*'LCFS Table'!$CN216</f>
        <v>0</v>
      </c>
      <c r="BU216" s="137">
        <f>'LCFS Table'!$BA216*'LCFS Table'!$CO216</f>
        <v>0</v>
      </c>
      <c r="BV216" s="142">
        <f>'LCFS Table'!$BB216*'LCFS Table'!$CP216</f>
        <v>1.2</v>
      </c>
      <c r="BW216" s="138">
        <v>1</v>
      </c>
      <c r="BX216" s="138">
        <v>0</v>
      </c>
      <c r="BY216" s="138">
        <v>1</v>
      </c>
      <c r="BZ216" s="138">
        <v>1</v>
      </c>
      <c r="CA216" s="138">
        <v>-1</v>
      </c>
      <c r="CB216" s="138">
        <v>1</v>
      </c>
      <c r="CC216" s="138">
        <v>0</v>
      </c>
      <c r="CD216" s="138">
        <v>1</v>
      </c>
      <c r="CE216" s="138">
        <v>1</v>
      </c>
      <c r="CF216" s="138">
        <v>-1</v>
      </c>
      <c r="CG216" s="138">
        <f>1-'LCFS Table'!$BW216</f>
        <v>0</v>
      </c>
      <c r="CH216" s="138">
        <f>1-'LCFS Table'!$BX216</f>
        <v>1</v>
      </c>
      <c r="CI216" s="138">
        <f>1-'LCFS Table'!$BY216</f>
        <v>0</v>
      </c>
      <c r="CJ216" s="138">
        <f>1-'LCFS Table'!$BZ216</f>
        <v>0</v>
      </c>
      <c r="CK216" s="138">
        <f>-'LCFS Table'!$CA216</f>
        <v>1</v>
      </c>
      <c r="CL216" s="138">
        <f>1-'LCFS Table'!$CB216</f>
        <v>0</v>
      </c>
      <c r="CM216" s="138">
        <f>1-'LCFS Table'!$CC216</f>
        <v>1</v>
      </c>
      <c r="CN216" s="138">
        <f>1-'LCFS Table'!$CD216</f>
        <v>0</v>
      </c>
      <c r="CO216" s="138">
        <f>1-'LCFS Table'!$CE216</f>
        <v>0</v>
      </c>
      <c r="CP216" s="138">
        <f>-'LCFS Table'!$CF216</f>
        <v>1</v>
      </c>
      <c r="CQ216" s="140">
        <v>6</v>
      </c>
      <c r="CR216" s="165">
        <f>('LCFS Table'!$CQ216*0.9/(0.8/0.99)/100)</f>
        <v>6.6824999999999996E-2</v>
      </c>
      <c r="CS216" s="166"/>
      <c r="CT216" s="167"/>
      <c r="CW216" s="168">
        <f>'LCFS Table'!$K216-'LCFS Table'!$M216</f>
        <v>-0.69084600400874985</v>
      </c>
      <c r="CX216" s="129">
        <f>MONTH('LCFS Table'!$B216)</f>
        <v>2</v>
      </c>
      <c r="CY216" s="129">
        <f>YEAR('LCFS Table'!$B216)</f>
        <v>2023</v>
      </c>
    </row>
    <row r="217" spans="1:103">
      <c r="A217" s="148">
        <v>44962</v>
      </c>
      <c r="B217" s="149">
        <v>44968</v>
      </c>
      <c r="C217" s="132">
        <f t="shared" si="4"/>
        <v>2023</v>
      </c>
      <c r="D217" s="150" t="s">
        <v>262</v>
      </c>
      <c r="E217" s="187">
        <f>'LCFS Table'!$K217-'LCFS Table'!$I217</f>
        <v>-2.2279900500625791</v>
      </c>
      <c r="F217" s="187">
        <f>('LCFS Table'!$M217)-'LCFS Table'!$J217</f>
        <v>-2.6119899050875013</v>
      </c>
      <c r="G217" s="188">
        <f>'LCFS Table'!$E217+'LCFS Table'!$AS217+'LCFS Table'!$AT217+'LCFS Table'!$AU217+'LCFS Table'!$AV217</f>
        <v>2.1297945972941297</v>
      </c>
      <c r="H217" s="188">
        <f>'LCFS Table'!$F217+'LCFS Table'!$AX217+'LCFS Table'!$AY217+'LCFS Table'!$AZ217+'LCFS Table'!$BA217+('LCFS Table'!$CQ217*0.9/(0.8/0.99)/100)+(DG217*'LCFS Table'!$AF217)+(DF217*'LCFS Table'!$AG217)</f>
        <v>1.1696339843749983</v>
      </c>
      <c r="I217" s="187">
        <f>('LCFS Table'!$V217+'LCFS Table'!$W217+'LCFS Table'!$X217)/100+(('LCFS Table'!$AI217+'LCFS Table'!$AJ217)/340)</f>
        <v>5.0927900500625789</v>
      </c>
      <c r="J217" s="187">
        <f>(('LCFS Table'!$Y217+'LCFS Table'!$Z217)/100)+(('LCFS Table'!$AM217+'LCFS Table'!$AN217)/300)</f>
        <v>5.987191015625001</v>
      </c>
      <c r="K217" s="190">
        <f>'[1]Fuel Values'!$C216</f>
        <v>2.8647999999999998</v>
      </c>
      <c r="L217" s="190">
        <f>'[1]Fuel Values'!$B216</f>
        <v>709</v>
      </c>
      <c r="M217" s="185">
        <f>('LCFS Table'!$L217/100)-'LCFS Table'!$AX217-'LCFS Table'!$AY217-'LCFS Table'!$AZ217-'LCFS Table'!$BA217</f>
        <v>3.3752011105374997</v>
      </c>
      <c r="N217" s="190">
        <f>[1]BFT!$B216</f>
        <v>60.4</v>
      </c>
      <c r="O217" s="190">
        <f>[1]UCO!$B216</f>
        <v>60.5</v>
      </c>
      <c r="P217" s="190">
        <f>[1]DCO!$B216</f>
        <v>59.1</v>
      </c>
      <c r="Q217" s="190">
        <f>'[1]Soybean Oil'!$B216</f>
        <v>71.072000000000003</v>
      </c>
      <c r="R217" s="190">
        <f>'[1]Yellow Grease'!$B216</f>
        <v>52.5</v>
      </c>
      <c r="S217" s="185">
        <f>'LCFS Table'!$N217 + 'LCFS Table'!$AH217</f>
        <v>64.775000000000006</v>
      </c>
      <c r="T217" s="185">
        <f>'LCFS Table'!$Q217+'LCFS Table'!$AH217</f>
        <v>75.447000000000003</v>
      </c>
      <c r="U217" s="185">
        <f>'LCFS Table'!$P217+'LCFS Table'!$AH217</f>
        <v>63.475000000000001</v>
      </c>
      <c r="V217" s="185">
        <f>(('LCFS Table'!$S217/'LCFS Table'!$AA217)*'LCFS Table'!$AC217)*6.48</f>
        <v>223.26702127659578</v>
      </c>
      <c r="W217" s="185">
        <f>(('LCFS Table'!$O217/'LCFS Table'!$AA217)*'LCFS Table'!$AD217)*6.48</f>
        <v>104.26595744680853</v>
      </c>
      <c r="X217" s="185">
        <f>(('LCFS Table'!$U217/'LCFS Table'!$AA217)*'LCFS Table'!$AE217)*6.48</f>
        <v>109.393085106383</v>
      </c>
      <c r="Y217" s="185">
        <f>(('LCFS Table'!$T217/'LCFS Table'!$AB217)*'LCFS Table'!$AF217)*7.35</f>
        <v>433.23082031250004</v>
      </c>
      <c r="Z217" s="185">
        <f>(('LCFS Table'!$R217/'LCFS Table'!$AB217)*'LCFS Table'!$AG217)*7.35</f>
        <v>100.48828125</v>
      </c>
      <c r="AA217" s="138">
        <v>0.94</v>
      </c>
      <c r="AB217" s="138">
        <v>0.96</v>
      </c>
      <c r="AC217" s="138">
        <v>0.5</v>
      </c>
      <c r="AD217" s="138">
        <v>0.25</v>
      </c>
      <c r="AE217" s="138">
        <v>0.25</v>
      </c>
      <c r="AF217" s="138">
        <v>0.75</v>
      </c>
      <c r="AG217" s="138">
        <v>0.25</v>
      </c>
      <c r="AH217" s="139">
        <v>4.375</v>
      </c>
      <c r="AI217" s="139">
        <v>136</v>
      </c>
      <c r="AJ217" s="139">
        <v>110</v>
      </c>
      <c r="AK217" s="186">
        <f>('LCFS Table'!$AI217/340)*100</f>
        <v>40</v>
      </c>
      <c r="AL217" s="186">
        <f>('LCFS Table'!$AJ217/340)*100</f>
        <v>32.352941176470587</v>
      </c>
      <c r="AM217" s="139">
        <v>105</v>
      </c>
      <c r="AN217" s="139">
        <v>90</v>
      </c>
      <c r="AO217" s="139">
        <f>('LCFS Table'!$AM217/300)*100</f>
        <v>35</v>
      </c>
      <c r="AP217" s="139">
        <f>('LCFS Table'!$AN217/300)*100</f>
        <v>30</v>
      </c>
      <c r="AQ217" s="140">
        <f>'[1]LCFS Values'!$B216</f>
        <v>60.5</v>
      </c>
      <c r="AR217" s="140">
        <f>'[1]RIN Values'!$B216/100</f>
        <v>1.591</v>
      </c>
      <c r="AS217" s="185">
        <v>0.49308464735670893</v>
      </c>
      <c r="AT217" s="137">
        <v>0.16</v>
      </c>
      <c r="AU217" s="137">
        <v>1</v>
      </c>
      <c r="AV217" s="185">
        <f>'LCFS Table'!$AR217*1.7</f>
        <v>2.7046999999999999</v>
      </c>
      <c r="AW217" s="137">
        <v>0</v>
      </c>
      <c r="AX217" s="185">
        <v>0.32829888946249997</v>
      </c>
      <c r="AY217" s="137">
        <v>0</v>
      </c>
      <c r="AZ217" s="141">
        <v>1</v>
      </c>
      <c r="BA217" s="185">
        <f>'LCFS Table'!$AR217*1.5</f>
        <v>2.3864999999999998</v>
      </c>
      <c r="BB217" s="142">
        <v>1.2</v>
      </c>
      <c r="BC217" s="185">
        <f>'LCFS Table'!$AS217*'LCFS Table'!$BW217</f>
        <v>0.49308464735670893</v>
      </c>
      <c r="BD217" s="185">
        <f>'LCFS Table'!$AT217*'LCFS Table'!$BX217</f>
        <v>0</v>
      </c>
      <c r="BE217" s="185">
        <f>'LCFS Table'!$AU217*'LCFS Table'!$BY217</f>
        <v>1</v>
      </c>
      <c r="BF217" s="137">
        <f>'LCFS Table'!$AV217*'LCFS Table'!$BZ217</f>
        <v>2.7046999999999999</v>
      </c>
      <c r="BG217" s="137">
        <f>'LCFS Table'!$AW217*'LCFS Table'!$CA217</f>
        <v>0</v>
      </c>
      <c r="BH217" s="137">
        <f>'LCFS Table'!$AX217*'LCFS Table'!$CB217</f>
        <v>0.32829888946249997</v>
      </c>
      <c r="BI217" s="137">
        <f>'LCFS Table'!$AY217*'LCFS Table'!$CC217</f>
        <v>0</v>
      </c>
      <c r="BJ217" s="137">
        <f>'LCFS Table'!$AZ217*'LCFS Table'!$CD217</f>
        <v>1</v>
      </c>
      <c r="BK217" s="137">
        <f>'LCFS Table'!$BA217*'LCFS Table'!$CE217</f>
        <v>2.3864999999999998</v>
      </c>
      <c r="BL217" s="137">
        <f>'LCFS Table'!$BB217*'LCFS Table'!$CF217</f>
        <v>-1.2</v>
      </c>
      <c r="BM217" s="137">
        <f>'LCFS Table'!$AS217*'LCFS Table'!$CG217</f>
        <v>0</v>
      </c>
      <c r="BN217" s="137">
        <f>'LCFS Table'!$AT217*'LCFS Table'!$CH217</f>
        <v>0.16</v>
      </c>
      <c r="BO217" s="137">
        <f>'LCFS Table'!$AU217*'LCFS Table'!$CI217</f>
        <v>0</v>
      </c>
      <c r="BP217" s="137">
        <f>'LCFS Table'!$AV217*'LCFS Table'!$CJ217</f>
        <v>0</v>
      </c>
      <c r="BQ217" s="137">
        <f>'LCFS Table'!$AW217*'LCFS Table'!$CK217</f>
        <v>0</v>
      </c>
      <c r="BR217" s="137">
        <f>'LCFS Table'!$AX217*'LCFS Table'!$CL217</f>
        <v>0</v>
      </c>
      <c r="BS217" s="137">
        <f>'LCFS Table'!$AY217*'LCFS Table'!$CM217</f>
        <v>0</v>
      </c>
      <c r="BT217" s="137">
        <f>'LCFS Table'!$AZ217*'LCFS Table'!$CN217</f>
        <v>0</v>
      </c>
      <c r="BU217" s="137">
        <f>'LCFS Table'!$BA217*'LCFS Table'!$CO217</f>
        <v>0</v>
      </c>
      <c r="BV217" s="142">
        <f>'LCFS Table'!$BB217*'LCFS Table'!$CP217</f>
        <v>1.2</v>
      </c>
      <c r="BW217" s="138">
        <v>1</v>
      </c>
      <c r="BX217" s="138">
        <v>0</v>
      </c>
      <c r="BY217" s="138">
        <v>1</v>
      </c>
      <c r="BZ217" s="138">
        <v>1</v>
      </c>
      <c r="CA217" s="138">
        <v>-1</v>
      </c>
      <c r="CB217" s="138">
        <v>1</v>
      </c>
      <c r="CC217" s="138">
        <v>0</v>
      </c>
      <c r="CD217" s="138">
        <v>1</v>
      </c>
      <c r="CE217" s="138">
        <v>1</v>
      </c>
      <c r="CF217" s="138">
        <v>-1</v>
      </c>
      <c r="CG217" s="138">
        <f>1-'LCFS Table'!$BW217</f>
        <v>0</v>
      </c>
      <c r="CH217" s="138">
        <f>1-'LCFS Table'!$BX217</f>
        <v>1</v>
      </c>
      <c r="CI217" s="138">
        <f>1-'LCFS Table'!$BY217</f>
        <v>0</v>
      </c>
      <c r="CJ217" s="138">
        <f>1-'LCFS Table'!$BZ217</f>
        <v>0</v>
      </c>
      <c r="CK217" s="138">
        <f>-'LCFS Table'!$CA217</f>
        <v>1</v>
      </c>
      <c r="CL217" s="138">
        <f>1-'LCFS Table'!$CB217</f>
        <v>0</v>
      </c>
      <c r="CM217" s="138">
        <f>1-'LCFS Table'!$CC217</f>
        <v>1</v>
      </c>
      <c r="CN217" s="138">
        <f>1-'LCFS Table'!$CD217</f>
        <v>0</v>
      </c>
      <c r="CO217" s="138">
        <f>1-'LCFS Table'!$CE217</f>
        <v>0</v>
      </c>
      <c r="CP217" s="138">
        <f>-'LCFS Table'!$CF217</f>
        <v>1</v>
      </c>
      <c r="CQ217" s="140">
        <v>6</v>
      </c>
      <c r="CR217" s="165">
        <f>('LCFS Table'!$CQ217*0.9/(0.8/0.99)/100)</f>
        <v>6.6824999999999996E-2</v>
      </c>
      <c r="CS217" s="166"/>
      <c r="CT217" s="167"/>
      <c r="CW217" s="168">
        <f>'LCFS Table'!$K217-'LCFS Table'!$M217</f>
        <v>-0.51040111053749992</v>
      </c>
      <c r="CX217" s="129">
        <f>MONTH('LCFS Table'!$B217)</f>
        <v>2</v>
      </c>
      <c r="CY217" s="129">
        <f>YEAR('LCFS Table'!$B217)</f>
        <v>2023</v>
      </c>
    </row>
    <row r="218" spans="1:103">
      <c r="A218" s="148">
        <v>44969</v>
      </c>
      <c r="B218" s="149">
        <v>44975</v>
      </c>
      <c r="C218" s="132">
        <f t="shared" si="4"/>
        <v>2023</v>
      </c>
      <c r="D218" s="150" t="s">
        <v>263</v>
      </c>
      <c r="E218" s="187">
        <f>'LCFS Table'!$K218-'LCFS Table'!$I218</f>
        <v>-1.9611687734668339</v>
      </c>
      <c r="F218" s="187">
        <f>('LCFS Table'!$M218)-'LCFS Table'!$J218</f>
        <v>-2.7608573718012508</v>
      </c>
      <c r="G218" s="188">
        <f>'LCFS Table'!$E218+'LCFS Table'!$AS218+'LCFS Table'!$AT218+'LCFS Table'!$AU218+'LCFS Table'!$AV218</f>
        <v>2.5089888761902657</v>
      </c>
      <c r="H218" s="188">
        <f>'LCFS Table'!$F218+'LCFS Table'!$AX218+'LCFS Table'!$AY218+'LCFS Table'!$AZ218+'LCFS Table'!$BA218+('LCFS Table'!$CQ218*0.9/(0.8/0.99)/100)+(DG218*'LCFS Table'!$AF218)+(DF218*'LCFS Table'!$AG218)</f>
        <v>1.1124107031249992</v>
      </c>
      <c r="I218" s="187">
        <f>('LCFS Table'!$V218+'LCFS Table'!$W218+'LCFS Table'!$X218)/100+(('LCFS Table'!$AI218+'LCFS Table'!$AJ218)/340)</f>
        <v>4.8187687734668341</v>
      </c>
      <c r="J218" s="187">
        <f>(('LCFS Table'!$Y218+'LCFS Table'!$Z218)/100)+(('LCFS Table'!$AM218+'LCFS Table'!$AN218)/300)</f>
        <v>6.0024652343750002</v>
      </c>
      <c r="K218" s="190">
        <f>'[1]Fuel Values'!$C217</f>
        <v>2.8576000000000001</v>
      </c>
      <c r="L218" s="190">
        <f>'[1]Fuel Values'!$B217</f>
        <v>705</v>
      </c>
      <c r="M218" s="185">
        <f>('LCFS Table'!$L218/100)-'LCFS Table'!$AX218-'LCFS Table'!$AY218-'LCFS Table'!$AZ218-'LCFS Table'!$BA218</f>
        <v>3.2416078625737494</v>
      </c>
      <c r="N218" s="190">
        <f>[1]BFT!$B217</f>
        <v>57.2</v>
      </c>
      <c r="O218" s="190">
        <f>[1]UCO!$B217</f>
        <v>56.1</v>
      </c>
      <c r="P218" s="190">
        <f>[1]DCO!$B217</f>
        <v>54</v>
      </c>
      <c r="Q218" s="190">
        <f>'[1]Soybean Oil'!$B217</f>
        <v>71.738</v>
      </c>
      <c r="R218" s="190">
        <f>'[1]Yellow Grease'!$B217</f>
        <v>51.3</v>
      </c>
      <c r="S218" s="185">
        <f>'LCFS Table'!$N218 + 'LCFS Table'!$AH218</f>
        <v>61.575000000000003</v>
      </c>
      <c r="T218" s="185">
        <f>'LCFS Table'!$Q218+'LCFS Table'!$AH218</f>
        <v>76.113</v>
      </c>
      <c r="U218" s="185">
        <f>'LCFS Table'!$P218+'LCFS Table'!$AH218</f>
        <v>58.375</v>
      </c>
      <c r="V218" s="185">
        <f>(('LCFS Table'!$S218/'LCFS Table'!$AA218)*'LCFS Table'!$AC218)*6.48</f>
        <v>212.23723404255324</v>
      </c>
      <c r="W218" s="185">
        <f>(('LCFS Table'!$O218/'LCFS Table'!$AA218)*'LCFS Table'!$AD218)*6.48</f>
        <v>96.682978723404275</v>
      </c>
      <c r="X218" s="185">
        <f>(('LCFS Table'!$U218/'LCFS Table'!$AA218)*'LCFS Table'!$AE218)*6.48</f>
        <v>100.60372340425533</v>
      </c>
      <c r="Y218" s="185">
        <f>(('LCFS Table'!$T218/'LCFS Table'!$AB218)*'LCFS Table'!$AF218)*7.35</f>
        <v>437.05511718749995</v>
      </c>
      <c r="Z218" s="185">
        <f>(('LCFS Table'!$R218/'LCFS Table'!$AB218)*'LCFS Table'!$AG218)*7.35</f>
        <v>98.19140625</v>
      </c>
      <c r="AA218" s="138">
        <v>0.94</v>
      </c>
      <c r="AB218" s="138">
        <v>0.96</v>
      </c>
      <c r="AC218" s="138">
        <v>0.5</v>
      </c>
      <c r="AD218" s="138">
        <v>0.25</v>
      </c>
      <c r="AE218" s="138">
        <v>0.25</v>
      </c>
      <c r="AF218" s="138">
        <v>0.75</v>
      </c>
      <c r="AG218" s="138">
        <v>0.25</v>
      </c>
      <c r="AH218" s="139">
        <v>4.375</v>
      </c>
      <c r="AI218" s="139">
        <v>136</v>
      </c>
      <c r="AJ218" s="139">
        <v>110</v>
      </c>
      <c r="AK218" s="186">
        <f>('LCFS Table'!$AI218/340)*100</f>
        <v>40</v>
      </c>
      <c r="AL218" s="186">
        <f>('LCFS Table'!$AJ218/340)*100</f>
        <v>32.352941176470587</v>
      </c>
      <c r="AM218" s="139">
        <v>105</v>
      </c>
      <c r="AN218" s="139">
        <v>90</v>
      </c>
      <c r="AO218" s="139">
        <f>('LCFS Table'!$AM218/300)*100</f>
        <v>35</v>
      </c>
      <c r="AP218" s="139">
        <f>('LCFS Table'!$AN218/300)*100</f>
        <v>30</v>
      </c>
      <c r="AQ218" s="140">
        <f>'[1]LCFS Values'!$B217</f>
        <v>63.65</v>
      </c>
      <c r="AR218" s="140">
        <f>'[1]RIN Values'!$B217/100</f>
        <v>1.6419999999999999</v>
      </c>
      <c r="AS218" s="185">
        <v>0.51875764965709947</v>
      </c>
      <c r="AT218" s="137">
        <v>0.16</v>
      </c>
      <c r="AU218" s="137">
        <v>1</v>
      </c>
      <c r="AV218" s="185">
        <f>'LCFS Table'!$AR218*1.7</f>
        <v>2.7913999999999999</v>
      </c>
      <c r="AW218" s="137">
        <v>0</v>
      </c>
      <c r="AX218" s="185">
        <v>0.34539213742625002</v>
      </c>
      <c r="AY218" s="137">
        <v>0</v>
      </c>
      <c r="AZ218" s="141">
        <v>1</v>
      </c>
      <c r="BA218" s="185">
        <f>'LCFS Table'!$AR218*1.5</f>
        <v>2.4630000000000001</v>
      </c>
      <c r="BB218" s="142">
        <v>1.2</v>
      </c>
      <c r="BC218" s="185">
        <f>'LCFS Table'!$AS218*'LCFS Table'!$BW218</f>
        <v>0.51875764965709947</v>
      </c>
      <c r="BD218" s="185">
        <f>'LCFS Table'!$AT218*'LCFS Table'!$BX218</f>
        <v>0</v>
      </c>
      <c r="BE218" s="185">
        <f>'LCFS Table'!$AU218*'LCFS Table'!$BY218</f>
        <v>1</v>
      </c>
      <c r="BF218" s="137">
        <f>'LCFS Table'!$AV218*'LCFS Table'!$BZ218</f>
        <v>2.7913999999999999</v>
      </c>
      <c r="BG218" s="137">
        <f>'LCFS Table'!$AW218*'LCFS Table'!$CA218</f>
        <v>0</v>
      </c>
      <c r="BH218" s="137">
        <f>'LCFS Table'!$AX218*'LCFS Table'!$CB218</f>
        <v>0.34539213742625002</v>
      </c>
      <c r="BI218" s="137">
        <f>'LCFS Table'!$AY218*'LCFS Table'!$CC218</f>
        <v>0</v>
      </c>
      <c r="BJ218" s="137">
        <f>'LCFS Table'!$AZ218*'LCFS Table'!$CD218</f>
        <v>1</v>
      </c>
      <c r="BK218" s="137">
        <f>'LCFS Table'!$BA218*'LCFS Table'!$CE218</f>
        <v>2.4630000000000001</v>
      </c>
      <c r="BL218" s="137">
        <f>'LCFS Table'!$BB218*'LCFS Table'!$CF218</f>
        <v>-1.2</v>
      </c>
      <c r="BM218" s="137">
        <f>'LCFS Table'!$AS218*'LCFS Table'!$CG218</f>
        <v>0</v>
      </c>
      <c r="BN218" s="137">
        <f>'LCFS Table'!$AT218*'LCFS Table'!$CH218</f>
        <v>0.16</v>
      </c>
      <c r="BO218" s="137">
        <f>'LCFS Table'!$AU218*'LCFS Table'!$CI218</f>
        <v>0</v>
      </c>
      <c r="BP218" s="137">
        <f>'LCFS Table'!$AV218*'LCFS Table'!$CJ218</f>
        <v>0</v>
      </c>
      <c r="BQ218" s="137">
        <f>'LCFS Table'!$AW218*'LCFS Table'!$CK218</f>
        <v>0</v>
      </c>
      <c r="BR218" s="137">
        <f>'LCFS Table'!$AX218*'LCFS Table'!$CL218</f>
        <v>0</v>
      </c>
      <c r="BS218" s="137">
        <f>'LCFS Table'!$AY218*'LCFS Table'!$CM218</f>
        <v>0</v>
      </c>
      <c r="BT218" s="137">
        <f>'LCFS Table'!$AZ218*'LCFS Table'!$CN218</f>
        <v>0</v>
      </c>
      <c r="BU218" s="137">
        <f>'LCFS Table'!$BA218*'LCFS Table'!$CO218</f>
        <v>0</v>
      </c>
      <c r="BV218" s="142">
        <f>'LCFS Table'!$BB218*'LCFS Table'!$CP218</f>
        <v>1.2</v>
      </c>
      <c r="BW218" s="138">
        <v>1</v>
      </c>
      <c r="BX218" s="138">
        <v>0</v>
      </c>
      <c r="BY218" s="138">
        <v>1</v>
      </c>
      <c r="BZ218" s="138">
        <v>1</v>
      </c>
      <c r="CA218" s="138">
        <v>-1</v>
      </c>
      <c r="CB218" s="138">
        <v>1</v>
      </c>
      <c r="CC218" s="138">
        <v>0</v>
      </c>
      <c r="CD218" s="138">
        <v>1</v>
      </c>
      <c r="CE218" s="138">
        <v>1</v>
      </c>
      <c r="CF218" s="138">
        <v>-1</v>
      </c>
      <c r="CG218" s="138">
        <f>1-'LCFS Table'!$BW218</f>
        <v>0</v>
      </c>
      <c r="CH218" s="138">
        <f>1-'LCFS Table'!$BX218</f>
        <v>1</v>
      </c>
      <c r="CI218" s="138">
        <f>1-'LCFS Table'!$BY218</f>
        <v>0</v>
      </c>
      <c r="CJ218" s="138">
        <f>1-'LCFS Table'!$BZ218</f>
        <v>0</v>
      </c>
      <c r="CK218" s="138">
        <f>-'LCFS Table'!$CA218</f>
        <v>1</v>
      </c>
      <c r="CL218" s="138">
        <f>1-'LCFS Table'!$CB218</f>
        <v>0</v>
      </c>
      <c r="CM218" s="138">
        <f>1-'LCFS Table'!$CC218</f>
        <v>1</v>
      </c>
      <c r="CN218" s="138">
        <f>1-'LCFS Table'!$CD218</f>
        <v>0</v>
      </c>
      <c r="CO218" s="138">
        <f>1-'LCFS Table'!$CE218</f>
        <v>0</v>
      </c>
      <c r="CP218" s="138">
        <f>-'LCFS Table'!$CF218</f>
        <v>1</v>
      </c>
      <c r="CQ218" s="140">
        <v>5.8250000000000002</v>
      </c>
      <c r="CR218" s="165">
        <f>('LCFS Table'!$CQ218*0.9/(0.8/0.99)/100)</f>
        <v>6.4875937500000008E-2</v>
      </c>
      <c r="CS218" s="166"/>
      <c r="CT218" s="167"/>
      <c r="CW218" s="168">
        <f>'LCFS Table'!$K218-'LCFS Table'!$M218</f>
        <v>-0.3840078625737493</v>
      </c>
      <c r="CX218" s="129">
        <f>MONTH('LCFS Table'!$B218)</f>
        <v>2</v>
      </c>
      <c r="CY218" s="129">
        <f>YEAR('LCFS Table'!$B218)</f>
        <v>2023</v>
      </c>
    </row>
    <row r="219" spans="1:103">
      <c r="A219" s="148">
        <v>44976</v>
      </c>
      <c r="B219" s="149">
        <v>44982</v>
      </c>
      <c r="C219" s="132">
        <f t="shared" si="4"/>
        <v>2023</v>
      </c>
      <c r="D219" s="150" t="s">
        <v>264</v>
      </c>
      <c r="E219" s="187">
        <f>'LCFS Table'!$K219-'LCFS Table'!$I219</f>
        <v>-1.9788012202753449</v>
      </c>
      <c r="F219" s="187">
        <f>('LCFS Table'!$M219)-'LCFS Table'!$J219</f>
        <v>-2.8495980857343755</v>
      </c>
      <c r="G219" s="188">
        <f>'LCFS Table'!$E219+'LCFS Table'!$AS219+'LCFS Table'!$AT219+'LCFS Table'!$AU219+'LCFS Table'!$AV219</f>
        <v>2.564366092292782</v>
      </c>
      <c r="H219" s="188">
        <f>'LCFS Table'!$F219+'LCFS Table'!$AX219+'LCFS Table'!$AY219+'LCFS Table'!$AZ219+'LCFS Table'!$BA219+('LCFS Table'!$CQ219*0.9/(0.8/0.99)/100)+(DG219*'LCFS Table'!$AF219)+(DF219*'LCFS Table'!$AG219)</f>
        <v>1.0771509765624998</v>
      </c>
      <c r="I219" s="187">
        <f>('LCFS Table'!$V219+'LCFS Table'!$W219+'LCFS Table'!$X219)/100+(('LCFS Table'!$AI219+'LCFS Table'!$AJ219)/340)</f>
        <v>4.7466012202753447</v>
      </c>
      <c r="J219" s="187">
        <f>(('LCFS Table'!$Y219+'LCFS Table'!$Z219)/100)+(('LCFS Table'!$AM219+'LCFS Table'!$AN219)/300)</f>
        <v>6.0368896484375005</v>
      </c>
      <c r="K219" s="190">
        <f>'[1]Fuel Values'!$C218</f>
        <v>2.7677999999999998</v>
      </c>
      <c r="L219" s="190">
        <f>'[1]Fuel Values'!$B218</f>
        <v>705</v>
      </c>
      <c r="M219" s="185">
        <f>('LCFS Table'!$L219/100)-'LCFS Table'!$AX219-'LCFS Table'!$AY219-'LCFS Table'!$AZ219-'LCFS Table'!$BA219</f>
        <v>3.1872915627031251</v>
      </c>
      <c r="N219" s="190">
        <f>[1]BFT!$B218</f>
        <v>57.625</v>
      </c>
      <c r="O219" s="190">
        <f>[1]UCO!$B218</f>
        <v>51.375</v>
      </c>
      <c r="P219" s="190">
        <f>[1]DCO!$B218</f>
        <v>53.6875</v>
      </c>
      <c r="Q219" s="190">
        <f>'[1]Soybean Oil'!$B218</f>
        <v>73.4375</v>
      </c>
      <c r="R219" s="190">
        <f>'[1]Yellow Grease'!$B218</f>
        <v>48</v>
      </c>
      <c r="S219" s="185">
        <f>'LCFS Table'!$N219 + 'LCFS Table'!$AH219</f>
        <v>62</v>
      </c>
      <c r="T219" s="185">
        <f>'LCFS Table'!$Q219+'LCFS Table'!$AH219</f>
        <v>77.8125</v>
      </c>
      <c r="U219" s="185">
        <f>'LCFS Table'!$P219+'LCFS Table'!$AH219</f>
        <v>58.0625</v>
      </c>
      <c r="V219" s="185">
        <f>(('LCFS Table'!$S219/'LCFS Table'!$AA219)*'LCFS Table'!$AC219)*6.48</f>
        <v>213.70212765957447</v>
      </c>
      <c r="W219" s="185">
        <f>(('LCFS Table'!$O219/'LCFS Table'!$AA219)*'LCFS Table'!$AD219)*6.48</f>
        <v>88.539893617021278</v>
      </c>
      <c r="X219" s="185">
        <f>(('LCFS Table'!$U219/'LCFS Table'!$AA219)*'LCFS Table'!$AE219)*6.48</f>
        <v>100.0651595744681</v>
      </c>
      <c r="Y219" s="185">
        <f>(('LCFS Table'!$T219/'LCFS Table'!$AB219)*'LCFS Table'!$AF219)*7.35</f>
        <v>446.81396484375</v>
      </c>
      <c r="Z219" s="185">
        <f>(('LCFS Table'!$R219/'LCFS Table'!$AB219)*'LCFS Table'!$AG219)*7.35</f>
        <v>91.875</v>
      </c>
      <c r="AA219" s="138">
        <v>0.94</v>
      </c>
      <c r="AB219" s="138">
        <v>0.96</v>
      </c>
      <c r="AC219" s="138">
        <v>0.5</v>
      </c>
      <c r="AD219" s="138">
        <v>0.25</v>
      </c>
      <c r="AE219" s="138">
        <v>0.25</v>
      </c>
      <c r="AF219" s="138">
        <v>0.75</v>
      </c>
      <c r="AG219" s="138">
        <v>0.25</v>
      </c>
      <c r="AH219" s="139">
        <v>4.375</v>
      </c>
      <c r="AI219" s="139">
        <v>136</v>
      </c>
      <c r="AJ219" s="139">
        <v>110</v>
      </c>
      <c r="AK219" s="186">
        <f>('LCFS Table'!$AI219/340)*100</f>
        <v>40</v>
      </c>
      <c r="AL219" s="186">
        <f>('LCFS Table'!$AJ219/340)*100</f>
        <v>32.352941176470587</v>
      </c>
      <c r="AM219" s="139">
        <v>105</v>
      </c>
      <c r="AN219" s="139">
        <v>90</v>
      </c>
      <c r="AO219" s="139">
        <f>('LCFS Table'!$AM219/300)*100</f>
        <v>35</v>
      </c>
      <c r="AP219" s="139">
        <f>('LCFS Table'!$AN219/300)*100</f>
        <v>30</v>
      </c>
      <c r="AQ219" s="140">
        <f>'[1]LCFS Values'!$B218</f>
        <v>69.375</v>
      </c>
      <c r="AR219" s="140">
        <f>'[1]RIN Values'!$B218/100</f>
        <v>1.6575</v>
      </c>
      <c r="AS219" s="185">
        <v>0.565417312568127</v>
      </c>
      <c r="AT219" s="137">
        <v>0.16</v>
      </c>
      <c r="AU219" s="137">
        <v>1</v>
      </c>
      <c r="AV219" s="185">
        <f>'LCFS Table'!$AR219*1.7</f>
        <v>2.8177499999999998</v>
      </c>
      <c r="AW219" s="137">
        <v>0</v>
      </c>
      <c r="AX219" s="185">
        <v>0.376458437296875</v>
      </c>
      <c r="AY219" s="137">
        <v>0</v>
      </c>
      <c r="AZ219" s="141">
        <v>1</v>
      </c>
      <c r="BA219" s="185">
        <f>'LCFS Table'!$AR219*1.5</f>
        <v>2.4862500000000001</v>
      </c>
      <c r="BB219" s="142">
        <v>1.2</v>
      </c>
      <c r="BC219" s="185">
        <f>'LCFS Table'!$AS219*'LCFS Table'!$BW219</f>
        <v>0.565417312568127</v>
      </c>
      <c r="BD219" s="185">
        <f>'LCFS Table'!$AT219*'LCFS Table'!$BX219</f>
        <v>0</v>
      </c>
      <c r="BE219" s="185">
        <f>'LCFS Table'!$AU219*'LCFS Table'!$BY219</f>
        <v>1</v>
      </c>
      <c r="BF219" s="137">
        <f>'LCFS Table'!$AV219*'LCFS Table'!$BZ219</f>
        <v>2.8177499999999998</v>
      </c>
      <c r="BG219" s="137">
        <f>'LCFS Table'!$AW219*'LCFS Table'!$CA219</f>
        <v>0</v>
      </c>
      <c r="BH219" s="137">
        <f>'LCFS Table'!$AX219*'LCFS Table'!$CB219</f>
        <v>0.376458437296875</v>
      </c>
      <c r="BI219" s="137">
        <f>'LCFS Table'!$AY219*'LCFS Table'!$CC219</f>
        <v>0</v>
      </c>
      <c r="BJ219" s="137">
        <f>'LCFS Table'!$AZ219*'LCFS Table'!$CD219</f>
        <v>1</v>
      </c>
      <c r="BK219" s="137">
        <f>'LCFS Table'!$BA219*'LCFS Table'!$CE219</f>
        <v>2.4862500000000001</v>
      </c>
      <c r="BL219" s="137">
        <f>'LCFS Table'!$BB219*'LCFS Table'!$CF219</f>
        <v>-1.2</v>
      </c>
      <c r="BM219" s="137">
        <f>'LCFS Table'!$AS219*'LCFS Table'!$CG219</f>
        <v>0</v>
      </c>
      <c r="BN219" s="137">
        <f>'LCFS Table'!$AT219*'LCFS Table'!$CH219</f>
        <v>0.16</v>
      </c>
      <c r="BO219" s="137">
        <f>'LCFS Table'!$AU219*'LCFS Table'!$CI219</f>
        <v>0</v>
      </c>
      <c r="BP219" s="137">
        <f>'LCFS Table'!$AV219*'LCFS Table'!$CJ219</f>
        <v>0</v>
      </c>
      <c r="BQ219" s="137">
        <f>'LCFS Table'!$AW219*'LCFS Table'!$CK219</f>
        <v>0</v>
      </c>
      <c r="BR219" s="137">
        <f>'LCFS Table'!$AX219*'LCFS Table'!$CL219</f>
        <v>0</v>
      </c>
      <c r="BS219" s="137">
        <f>'LCFS Table'!$AY219*'LCFS Table'!$CM219</f>
        <v>0</v>
      </c>
      <c r="BT219" s="137">
        <f>'LCFS Table'!$AZ219*'LCFS Table'!$CN219</f>
        <v>0</v>
      </c>
      <c r="BU219" s="137">
        <f>'LCFS Table'!$BA219*'LCFS Table'!$CO219</f>
        <v>0</v>
      </c>
      <c r="BV219" s="142">
        <f>'LCFS Table'!$BB219*'LCFS Table'!$CP219</f>
        <v>1.2</v>
      </c>
      <c r="BW219" s="138">
        <v>1</v>
      </c>
      <c r="BX219" s="138">
        <v>0</v>
      </c>
      <c r="BY219" s="138">
        <v>1</v>
      </c>
      <c r="BZ219" s="138">
        <v>1</v>
      </c>
      <c r="CA219" s="138">
        <v>-1</v>
      </c>
      <c r="CB219" s="138">
        <v>1</v>
      </c>
      <c r="CC219" s="138">
        <v>0</v>
      </c>
      <c r="CD219" s="138">
        <v>1</v>
      </c>
      <c r="CE219" s="138">
        <v>1</v>
      </c>
      <c r="CF219" s="138">
        <v>-1</v>
      </c>
      <c r="CG219" s="138">
        <f>1-'LCFS Table'!$BW219</f>
        <v>0</v>
      </c>
      <c r="CH219" s="138">
        <f>1-'LCFS Table'!$BX219</f>
        <v>1</v>
      </c>
      <c r="CI219" s="138">
        <f>1-'LCFS Table'!$BY219</f>
        <v>0</v>
      </c>
      <c r="CJ219" s="138">
        <f>1-'LCFS Table'!$BZ219</f>
        <v>0</v>
      </c>
      <c r="CK219" s="138">
        <f>-'LCFS Table'!$CA219</f>
        <v>1</v>
      </c>
      <c r="CL219" s="138">
        <f>1-'LCFS Table'!$CB219</f>
        <v>0</v>
      </c>
      <c r="CM219" s="138">
        <f>1-'LCFS Table'!$CC219</f>
        <v>1</v>
      </c>
      <c r="CN219" s="138">
        <f>1-'LCFS Table'!$CD219</f>
        <v>0</v>
      </c>
      <c r="CO219" s="138">
        <f>1-'LCFS Table'!$CE219</f>
        <v>0</v>
      </c>
      <c r="CP219" s="138">
        <f>-'LCFS Table'!$CF219</f>
        <v>1</v>
      </c>
      <c r="CQ219" s="140">
        <v>5.75</v>
      </c>
      <c r="CR219" s="165">
        <f>('LCFS Table'!$CQ219*0.9/(0.8/0.99)/100)</f>
        <v>6.404062499999999E-2</v>
      </c>
      <c r="CS219" s="166"/>
      <c r="CT219" s="167"/>
      <c r="CW219" s="168">
        <f>'LCFS Table'!$K219-'LCFS Table'!$M219</f>
        <v>-0.41949156270312526</v>
      </c>
      <c r="CX219" s="129">
        <f>MONTH('LCFS Table'!$B219)</f>
        <v>2</v>
      </c>
      <c r="CY219" s="129">
        <f>YEAR('LCFS Table'!$B219)</f>
        <v>2023</v>
      </c>
    </row>
    <row r="220" spans="1:103">
      <c r="A220" s="148">
        <v>44983</v>
      </c>
      <c r="B220" s="149">
        <v>44989</v>
      </c>
      <c r="C220" s="132">
        <f t="shared" si="4"/>
        <v>2023</v>
      </c>
      <c r="D220" s="150" t="s">
        <v>265</v>
      </c>
      <c r="E220" s="187">
        <f>'LCFS Table'!$K220-'LCFS Table'!$I220</f>
        <v>-1.8672591989987488</v>
      </c>
      <c r="F220" s="187">
        <f>('LCFS Table'!$M220)-'LCFS Table'!$J220</f>
        <v>-2.8398100310287502</v>
      </c>
      <c r="G220" s="188">
        <f>'LCFS Table'!$E220+'LCFS Table'!$AS220+'LCFS Table'!$AT220+'LCFS Table'!$AU220+'LCFS Table'!$AV220</f>
        <v>2.5740438174173663</v>
      </c>
      <c r="H220" s="188">
        <f>'LCFS Table'!$F220+'LCFS Table'!$AX220+'LCFS Table'!$AY220+'LCFS Table'!$AZ220+'LCFS Table'!$BA220+('LCFS Table'!$CQ220*0.9/(0.8/0.99)/100)+(DG220*'LCFS Table'!$AF220)+(DF220*'LCFS Table'!$AG220)</f>
        <v>1.0042172656250004</v>
      </c>
      <c r="I220" s="187">
        <f>('LCFS Table'!$V220+'LCFS Table'!$W220+'LCFS Table'!$X220)/100+(('LCFS Table'!$AI220+'LCFS Table'!$AJ220)/340)</f>
        <v>4.6873591989987489</v>
      </c>
      <c r="J220" s="187">
        <f>(('LCFS Table'!$Y220+'LCFS Table'!$Z220)/100)+(('LCFS Table'!$AM220+'LCFS Table'!$AN220)/300)</f>
        <v>5.8859371093749999</v>
      </c>
      <c r="K220" s="190">
        <f>'[1]Fuel Values'!$C219</f>
        <v>2.8201000000000001</v>
      </c>
      <c r="L220" s="190">
        <f>'[1]Fuel Values'!$B219</f>
        <v>682.5</v>
      </c>
      <c r="M220" s="185">
        <f>('LCFS Table'!$L220/100)-'LCFS Table'!$AX220-'LCFS Table'!$AY220-'LCFS Table'!$AZ220-'LCFS Table'!$BA220</f>
        <v>3.0461270783462497</v>
      </c>
      <c r="N220" s="190">
        <f>[1]BFT!$B219</f>
        <v>56.5</v>
      </c>
      <c r="O220" s="190">
        <f>[1]UCO!$B219</f>
        <v>48.5</v>
      </c>
      <c r="P220" s="190">
        <f>[1]DCO!$B219</f>
        <v>55.375</v>
      </c>
      <c r="Q220" s="190">
        <f>'[1]Soybean Oil'!$B219</f>
        <v>71.641999999999996</v>
      </c>
      <c r="R220" s="190">
        <f>'[1]Yellow Grease'!$B219</f>
        <v>45.5</v>
      </c>
      <c r="S220" s="185">
        <f>'LCFS Table'!$N220 + 'LCFS Table'!$AH220</f>
        <v>60.875</v>
      </c>
      <c r="T220" s="185">
        <f>'LCFS Table'!$Q220+'LCFS Table'!$AH220</f>
        <v>76.016999999999996</v>
      </c>
      <c r="U220" s="185">
        <f>'LCFS Table'!$P220+'LCFS Table'!$AH220</f>
        <v>59.75</v>
      </c>
      <c r="V220" s="185">
        <f>(('LCFS Table'!$S220/'LCFS Table'!$AA220)*'LCFS Table'!$AC220)*6.48</f>
        <v>209.82446808510642</v>
      </c>
      <c r="W220" s="185">
        <f>(('LCFS Table'!$O220/'LCFS Table'!$AA220)*'LCFS Table'!$AD220)*6.48</f>
        <v>83.585106382978736</v>
      </c>
      <c r="X220" s="185">
        <f>(('LCFS Table'!$U220/'LCFS Table'!$AA220)*'LCFS Table'!$AE220)*6.48</f>
        <v>102.97340425531917</v>
      </c>
      <c r="Y220" s="185">
        <f>(('LCFS Table'!$T220/'LCFS Table'!$AB220)*'LCFS Table'!$AF220)*7.35</f>
        <v>436.50386718750002</v>
      </c>
      <c r="Z220" s="185">
        <f>(('LCFS Table'!$R220/'LCFS Table'!$AB220)*'LCFS Table'!$AG220)*7.35</f>
        <v>87.08984375</v>
      </c>
      <c r="AA220" s="138">
        <v>0.94</v>
      </c>
      <c r="AB220" s="138">
        <v>0.96</v>
      </c>
      <c r="AC220" s="138">
        <v>0.5</v>
      </c>
      <c r="AD220" s="138">
        <v>0.25</v>
      </c>
      <c r="AE220" s="138">
        <v>0.25</v>
      </c>
      <c r="AF220" s="138">
        <v>0.75</v>
      </c>
      <c r="AG220" s="138">
        <v>0.25</v>
      </c>
      <c r="AH220" s="139">
        <v>4.375</v>
      </c>
      <c r="AI220" s="139">
        <v>136</v>
      </c>
      <c r="AJ220" s="139">
        <v>110</v>
      </c>
      <c r="AK220" s="186">
        <f>('LCFS Table'!$AI220/340)*100</f>
        <v>40</v>
      </c>
      <c r="AL220" s="186">
        <f>('LCFS Table'!$AJ220/340)*100</f>
        <v>32.352941176470587</v>
      </c>
      <c r="AM220" s="139">
        <v>105</v>
      </c>
      <c r="AN220" s="139">
        <v>90</v>
      </c>
      <c r="AO220" s="139">
        <f>('LCFS Table'!$AM220/300)*100</f>
        <v>35</v>
      </c>
      <c r="AP220" s="139">
        <f>('LCFS Table'!$AN220/300)*100</f>
        <v>30</v>
      </c>
      <c r="AQ220" s="140">
        <f>'[1]LCFS Values'!$B219</f>
        <v>65.95</v>
      </c>
      <c r="AR220" s="140">
        <f>'[1]RIN Values'!$B219/100</f>
        <v>1.6140000000000001</v>
      </c>
      <c r="AS220" s="185">
        <v>0.53750301641611498</v>
      </c>
      <c r="AT220" s="137">
        <v>0.16</v>
      </c>
      <c r="AU220" s="137">
        <v>1</v>
      </c>
      <c r="AV220" s="185">
        <f>'LCFS Table'!$AR220*1.7</f>
        <v>2.7438000000000002</v>
      </c>
      <c r="AW220" s="137">
        <v>0</v>
      </c>
      <c r="AX220" s="185">
        <v>0.35787292165375006</v>
      </c>
      <c r="AY220" s="137">
        <v>0</v>
      </c>
      <c r="AZ220" s="141">
        <v>1</v>
      </c>
      <c r="BA220" s="185">
        <f>'LCFS Table'!$AR220*1.5</f>
        <v>2.4210000000000003</v>
      </c>
      <c r="BB220" s="142">
        <v>1.2</v>
      </c>
      <c r="BC220" s="185">
        <f>'LCFS Table'!$AS220*'LCFS Table'!$BW220</f>
        <v>0.53750301641611498</v>
      </c>
      <c r="BD220" s="185">
        <f>'LCFS Table'!$AT220*'LCFS Table'!$BX220</f>
        <v>0</v>
      </c>
      <c r="BE220" s="185">
        <f>'LCFS Table'!$AU220*'LCFS Table'!$BY220</f>
        <v>1</v>
      </c>
      <c r="BF220" s="137">
        <f>'LCFS Table'!$AV220*'LCFS Table'!$BZ220</f>
        <v>2.7438000000000002</v>
      </c>
      <c r="BG220" s="137">
        <f>'LCFS Table'!$AW220*'LCFS Table'!$CA220</f>
        <v>0</v>
      </c>
      <c r="BH220" s="137">
        <f>'LCFS Table'!$AX220*'LCFS Table'!$CB220</f>
        <v>0.35787292165375006</v>
      </c>
      <c r="BI220" s="137">
        <f>'LCFS Table'!$AY220*'LCFS Table'!$CC220</f>
        <v>0</v>
      </c>
      <c r="BJ220" s="137">
        <f>'LCFS Table'!$AZ220*'LCFS Table'!$CD220</f>
        <v>1</v>
      </c>
      <c r="BK220" s="137">
        <f>'LCFS Table'!$BA220*'LCFS Table'!$CE220</f>
        <v>2.4210000000000003</v>
      </c>
      <c r="BL220" s="137">
        <f>'LCFS Table'!$BB220*'LCFS Table'!$CF220</f>
        <v>-1.2</v>
      </c>
      <c r="BM220" s="137">
        <f>'LCFS Table'!$AS220*'LCFS Table'!$CG220</f>
        <v>0</v>
      </c>
      <c r="BN220" s="137">
        <f>'LCFS Table'!$AT220*'LCFS Table'!$CH220</f>
        <v>0.16</v>
      </c>
      <c r="BO220" s="137">
        <f>'LCFS Table'!$AU220*'LCFS Table'!$CI220</f>
        <v>0</v>
      </c>
      <c r="BP220" s="137">
        <f>'LCFS Table'!$AV220*'LCFS Table'!$CJ220</f>
        <v>0</v>
      </c>
      <c r="BQ220" s="137">
        <f>'LCFS Table'!$AW220*'LCFS Table'!$CK220</f>
        <v>0</v>
      </c>
      <c r="BR220" s="137">
        <f>'LCFS Table'!$AX220*'LCFS Table'!$CL220</f>
        <v>0</v>
      </c>
      <c r="BS220" s="137">
        <f>'LCFS Table'!$AY220*'LCFS Table'!$CM220</f>
        <v>0</v>
      </c>
      <c r="BT220" s="137">
        <f>'LCFS Table'!$AZ220*'LCFS Table'!$CN220</f>
        <v>0</v>
      </c>
      <c r="BU220" s="137">
        <f>'LCFS Table'!$BA220*'LCFS Table'!$CO220</f>
        <v>0</v>
      </c>
      <c r="BV220" s="142">
        <f>'LCFS Table'!$BB220*'LCFS Table'!$CP220</f>
        <v>1.2</v>
      </c>
      <c r="BW220" s="138">
        <v>1</v>
      </c>
      <c r="BX220" s="138">
        <v>0</v>
      </c>
      <c r="BY220" s="138">
        <v>1</v>
      </c>
      <c r="BZ220" s="138">
        <v>1</v>
      </c>
      <c r="CA220" s="138">
        <v>-1</v>
      </c>
      <c r="CB220" s="138">
        <v>1</v>
      </c>
      <c r="CC220" s="138">
        <v>0</v>
      </c>
      <c r="CD220" s="138">
        <v>1</v>
      </c>
      <c r="CE220" s="138">
        <v>1</v>
      </c>
      <c r="CF220" s="138">
        <v>-1</v>
      </c>
      <c r="CG220" s="138">
        <f>1-'LCFS Table'!$BW220</f>
        <v>0</v>
      </c>
      <c r="CH220" s="138">
        <f>1-'LCFS Table'!$BX220</f>
        <v>1</v>
      </c>
      <c r="CI220" s="138">
        <f>1-'LCFS Table'!$BY220</f>
        <v>0</v>
      </c>
      <c r="CJ220" s="138">
        <f>1-'LCFS Table'!$BZ220</f>
        <v>0</v>
      </c>
      <c r="CK220" s="138">
        <f>-'LCFS Table'!$CA220</f>
        <v>1</v>
      </c>
      <c r="CL220" s="138">
        <f>1-'LCFS Table'!$CB220</f>
        <v>0</v>
      </c>
      <c r="CM220" s="138">
        <f>1-'LCFS Table'!$CC220</f>
        <v>1</v>
      </c>
      <c r="CN220" s="138">
        <f>1-'LCFS Table'!$CD220</f>
        <v>0</v>
      </c>
      <c r="CO220" s="138">
        <f>1-'LCFS Table'!$CE220</f>
        <v>0</v>
      </c>
      <c r="CP220" s="138">
        <f>-'LCFS Table'!$CF220</f>
        <v>1</v>
      </c>
      <c r="CQ220" s="140">
        <v>5.85</v>
      </c>
      <c r="CR220" s="165">
        <f>('LCFS Table'!$CQ220*0.9/(0.8/0.99)/100)</f>
        <v>6.5154374999999987E-2</v>
      </c>
      <c r="CS220" s="166"/>
      <c r="CT220" s="167"/>
      <c r="CW220" s="168">
        <f>'LCFS Table'!$K220-'LCFS Table'!$M220</f>
        <v>-0.22602707834624969</v>
      </c>
      <c r="CX220" s="129">
        <f>MONTH('LCFS Table'!$B220)</f>
        <v>3</v>
      </c>
      <c r="CY220" s="129">
        <f>YEAR('LCFS Table'!$B220)</f>
        <v>2023</v>
      </c>
    </row>
    <row r="221" spans="1:103">
      <c r="A221" s="148">
        <v>44990</v>
      </c>
      <c r="B221" s="149">
        <v>44996</v>
      </c>
      <c r="C221" s="132">
        <f t="shared" si="4"/>
        <v>2023</v>
      </c>
      <c r="D221" s="150" t="s">
        <v>266</v>
      </c>
      <c r="E221" s="187">
        <f>'LCFS Table'!$K221-'LCFS Table'!$I221</f>
        <v>-2.0088921777221533</v>
      </c>
      <c r="F221" s="187">
        <f>('LCFS Table'!$M221)-'LCFS Table'!$J221</f>
        <v>-2.9395164103637508</v>
      </c>
      <c r="G221" s="188">
        <f>'LCFS Table'!$E221+'LCFS Table'!$AS221+'LCFS Table'!$AT221+'LCFS Table'!$AU221+'LCFS Table'!$AV221</f>
        <v>2.4195908705860498</v>
      </c>
      <c r="H221" s="188">
        <f>'LCFS Table'!$F221+'LCFS Table'!$AX221+'LCFS Table'!$AY221+'LCFS Table'!$AZ221+'LCFS Table'!$BA221+('LCFS Table'!$CQ221*0.9/(0.8/0.99)/100)+(DG221*'LCFS Table'!$AF221)+(DF221*'LCFS Table'!$AG221)</f>
        <v>0.89451679687499952</v>
      </c>
      <c r="I221" s="187">
        <f>('LCFS Table'!$V221+'LCFS Table'!$W221+'LCFS Table'!$X221)/100+(('LCFS Table'!$AI221+'LCFS Table'!$AJ221)/340)</f>
        <v>4.6584921777221533</v>
      </c>
      <c r="J221" s="187">
        <f>(('LCFS Table'!$Y221+'LCFS Table'!$Z221)/100)+(('LCFS Table'!$AM221+'LCFS Table'!$AN221)/300)</f>
        <v>5.7173082031250004</v>
      </c>
      <c r="K221" s="190">
        <f>'[1]Fuel Values'!$C220</f>
        <v>2.6496</v>
      </c>
      <c r="L221" s="190">
        <f>'[1]Fuel Values'!$B220</f>
        <v>654.5</v>
      </c>
      <c r="M221" s="185">
        <f>('LCFS Table'!$L221/100)-'LCFS Table'!$AX221-'LCFS Table'!$AY221-'LCFS Table'!$AZ221-'LCFS Table'!$BA221</f>
        <v>2.7777917927612497</v>
      </c>
      <c r="N221" s="190">
        <f>[1]BFT!$B220</f>
        <v>56.5</v>
      </c>
      <c r="O221" s="190">
        <f>[1]UCO!$B220</f>
        <v>48.5</v>
      </c>
      <c r="P221" s="190">
        <f>[1]DCO!$B220</f>
        <v>53.7</v>
      </c>
      <c r="Q221" s="190">
        <f>'[1]Soybean Oil'!$B220</f>
        <v>69.122</v>
      </c>
      <c r="R221" s="190">
        <f>'[1]Yellow Grease'!$B220</f>
        <v>44.25</v>
      </c>
      <c r="S221" s="185">
        <f>'LCFS Table'!$N221 + 'LCFS Table'!$AH221</f>
        <v>60.875</v>
      </c>
      <c r="T221" s="185">
        <f>'LCFS Table'!$Q221+'LCFS Table'!$AH221</f>
        <v>73.497</v>
      </c>
      <c r="U221" s="185">
        <f>'LCFS Table'!$P221+'LCFS Table'!$AH221</f>
        <v>58.075000000000003</v>
      </c>
      <c r="V221" s="185">
        <f>(('LCFS Table'!$S221/'LCFS Table'!$AA221)*'LCFS Table'!$AC221)*6.48</f>
        <v>209.82446808510642</v>
      </c>
      <c r="W221" s="185">
        <f>(('LCFS Table'!$O221/'LCFS Table'!$AA221)*'LCFS Table'!$AD221)*6.48</f>
        <v>83.585106382978736</v>
      </c>
      <c r="X221" s="185">
        <f>(('LCFS Table'!$U221/'LCFS Table'!$AA221)*'LCFS Table'!$AE221)*6.48</f>
        <v>100.08670212765959</v>
      </c>
      <c r="Y221" s="185">
        <f>(('LCFS Table'!$T221/'LCFS Table'!$AB221)*'LCFS Table'!$AF221)*7.35</f>
        <v>422.03355468750004</v>
      </c>
      <c r="Z221" s="185">
        <f>(('LCFS Table'!$R221/'LCFS Table'!$AB221)*'LCFS Table'!$AG221)*7.35</f>
        <v>84.697265625</v>
      </c>
      <c r="AA221" s="138">
        <v>0.94</v>
      </c>
      <c r="AB221" s="138">
        <v>0.96</v>
      </c>
      <c r="AC221" s="138">
        <v>0.5</v>
      </c>
      <c r="AD221" s="138">
        <v>0.25</v>
      </c>
      <c r="AE221" s="138">
        <v>0.25</v>
      </c>
      <c r="AF221" s="138">
        <v>0.75</v>
      </c>
      <c r="AG221" s="138">
        <v>0.25</v>
      </c>
      <c r="AH221" s="139">
        <v>4.375</v>
      </c>
      <c r="AI221" s="139">
        <v>136</v>
      </c>
      <c r="AJ221" s="139">
        <v>110</v>
      </c>
      <c r="AK221" s="186">
        <f>('LCFS Table'!$AI221/340)*100</f>
        <v>40</v>
      </c>
      <c r="AL221" s="186">
        <f>('LCFS Table'!$AJ221/340)*100</f>
        <v>32.352941176470587</v>
      </c>
      <c r="AM221" s="139">
        <v>105</v>
      </c>
      <c r="AN221" s="139">
        <v>90</v>
      </c>
      <c r="AO221" s="139">
        <f>('LCFS Table'!$AM221/300)*100</f>
        <v>35</v>
      </c>
      <c r="AP221" s="139">
        <f>('LCFS Table'!$AN221/300)*100</f>
        <v>30</v>
      </c>
      <c r="AQ221" s="140">
        <f>'[1]LCFS Values'!$B220</f>
        <v>66.150000000000006</v>
      </c>
      <c r="AR221" s="140">
        <f>'[1]RIN Values'!$B220/100</f>
        <v>1.6055000000000001</v>
      </c>
      <c r="AS221" s="185">
        <v>0.53913304830820319</v>
      </c>
      <c r="AT221" s="137">
        <v>0.16</v>
      </c>
      <c r="AU221" s="137">
        <v>1</v>
      </c>
      <c r="AV221" s="185">
        <f>'LCFS Table'!$AR221*1.7</f>
        <v>2.7293500000000002</v>
      </c>
      <c r="AW221" s="137">
        <v>0</v>
      </c>
      <c r="AX221" s="185">
        <v>0.35895820723875005</v>
      </c>
      <c r="AY221" s="137">
        <v>0</v>
      </c>
      <c r="AZ221" s="141">
        <v>1</v>
      </c>
      <c r="BA221" s="185">
        <f>'LCFS Table'!$AR221*1.5</f>
        <v>2.4082500000000002</v>
      </c>
      <c r="BB221" s="142">
        <v>1.2</v>
      </c>
      <c r="BC221" s="185">
        <f>'LCFS Table'!$AS221*'LCFS Table'!$BW221</f>
        <v>0.53913304830820319</v>
      </c>
      <c r="BD221" s="185">
        <f>'LCFS Table'!$AT221*'LCFS Table'!$BX221</f>
        <v>0</v>
      </c>
      <c r="BE221" s="185">
        <f>'LCFS Table'!$AU221*'LCFS Table'!$BY221</f>
        <v>1</v>
      </c>
      <c r="BF221" s="137">
        <f>'LCFS Table'!$AV221*'LCFS Table'!$BZ221</f>
        <v>2.7293500000000002</v>
      </c>
      <c r="BG221" s="137">
        <f>'LCFS Table'!$AW221*'LCFS Table'!$CA221</f>
        <v>0</v>
      </c>
      <c r="BH221" s="137">
        <f>'LCFS Table'!$AX221*'LCFS Table'!$CB221</f>
        <v>0.35895820723875005</v>
      </c>
      <c r="BI221" s="137">
        <f>'LCFS Table'!$AY221*'LCFS Table'!$CC221</f>
        <v>0</v>
      </c>
      <c r="BJ221" s="137">
        <f>'LCFS Table'!$AZ221*'LCFS Table'!$CD221</f>
        <v>1</v>
      </c>
      <c r="BK221" s="137">
        <f>'LCFS Table'!$BA221*'LCFS Table'!$CE221</f>
        <v>2.4082500000000002</v>
      </c>
      <c r="BL221" s="137">
        <f>'LCFS Table'!$BB221*'LCFS Table'!$CF221</f>
        <v>-1.2</v>
      </c>
      <c r="BM221" s="137">
        <f>'LCFS Table'!$AS221*'LCFS Table'!$CG221</f>
        <v>0</v>
      </c>
      <c r="BN221" s="137">
        <f>'LCFS Table'!$AT221*'LCFS Table'!$CH221</f>
        <v>0.16</v>
      </c>
      <c r="BO221" s="137">
        <f>'LCFS Table'!$AU221*'LCFS Table'!$CI221</f>
        <v>0</v>
      </c>
      <c r="BP221" s="137">
        <f>'LCFS Table'!$AV221*'LCFS Table'!$CJ221</f>
        <v>0</v>
      </c>
      <c r="BQ221" s="137">
        <f>'LCFS Table'!$AW221*'LCFS Table'!$CK221</f>
        <v>0</v>
      </c>
      <c r="BR221" s="137">
        <f>'LCFS Table'!$AX221*'LCFS Table'!$CL221</f>
        <v>0</v>
      </c>
      <c r="BS221" s="137">
        <f>'LCFS Table'!$AY221*'LCFS Table'!$CM221</f>
        <v>0</v>
      </c>
      <c r="BT221" s="137">
        <f>'LCFS Table'!$AZ221*'LCFS Table'!$CN221</f>
        <v>0</v>
      </c>
      <c r="BU221" s="137">
        <f>'LCFS Table'!$BA221*'LCFS Table'!$CO221</f>
        <v>0</v>
      </c>
      <c r="BV221" s="142">
        <f>'LCFS Table'!$BB221*'LCFS Table'!$CP221</f>
        <v>1.2</v>
      </c>
      <c r="BW221" s="138">
        <v>1</v>
      </c>
      <c r="BX221" s="138">
        <v>0</v>
      </c>
      <c r="BY221" s="138">
        <v>1</v>
      </c>
      <c r="BZ221" s="138">
        <v>1</v>
      </c>
      <c r="CA221" s="138">
        <v>-1</v>
      </c>
      <c r="CB221" s="138">
        <v>1</v>
      </c>
      <c r="CC221" s="138">
        <v>0</v>
      </c>
      <c r="CD221" s="138">
        <v>1</v>
      </c>
      <c r="CE221" s="138">
        <v>1</v>
      </c>
      <c r="CF221" s="138">
        <v>-1</v>
      </c>
      <c r="CG221" s="138">
        <f>1-'LCFS Table'!$BW221</f>
        <v>0</v>
      </c>
      <c r="CH221" s="138">
        <f>1-'LCFS Table'!$BX221</f>
        <v>1</v>
      </c>
      <c r="CI221" s="138">
        <f>1-'LCFS Table'!$BY221</f>
        <v>0</v>
      </c>
      <c r="CJ221" s="138">
        <f>1-'LCFS Table'!$BZ221</f>
        <v>0</v>
      </c>
      <c r="CK221" s="138">
        <f>-'LCFS Table'!$CA221</f>
        <v>1</v>
      </c>
      <c r="CL221" s="138">
        <f>1-'LCFS Table'!$CB221</f>
        <v>0</v>
      </c>
      <c r="CM221" s="138">
        <f>1-'LCFS Table'!$CC221</f>
        <v>1</v>
      </c>
      <c r="CN221" s="138">
        <f>1-'LCFS Table'!$CD221</f>
        <v>0</v>
      </c>
      <c r="CO221" s="138">
        <f>1-'LCFS Table'!$CE221</f>
        <v>0</v>
      </c>
      <c r="CP221" s="138">
        <f>-'LCFS Table'!$CF221</f>
        <v>1</v>
      </c>
      <c r="CQ221" s="140">
        <v>6</v>
      </c>
      <c r="CR221" s="165">
        <f>('LCFS Table'!$CQ221*0.9/(0.8/0.99)/100)</f>
        <v>6.6824999999999996E-2</v>
      </c>
      <c r="CS221" s="166"/>
      <c r="CT221" s="167"/>
      <c r="CW221" s="168">
        <f>'LCFS Table'!$K221-'LCFS Table'!$M221</f>
        <v>-0.1281917927612497</v>
      </c>
      <c r="CX221" s="129">
        <f>MONTH('LCFS Table'!$B221)</f>
        <v>3</v>
      </c>
      <c r="CY221" s="129">
        <f>YEAR('LCFS Table'!$B221)</f>
        <v>2023</v>
      </c>
    </row>
    <row r="222" spans="1:103">
      <c r="A222" s="148">
        <v>44997</v>
      </c>
      <c r="B222" s="149">
        <v>45003</v>
      </c>
      <c r="C222" s="132">
        <f t="shared" si="4"/>
        <v>2023</v>
      </c>
      <c r="D222" s="150" t="s">
        <v>267</v>
      </c>
      <c r="E222" s="187">
        <f>'LCFS Table'!$K222-'LCFS Table'!$I222</f>
        <v>-1.9417836670838557</v>
      </c>
      <c r="F222" s="187">
        <f>('LCFS Table'!$M222)-'LCFS Table'!$J222</f>
        <v>-2.9828828629412496</v>
      </c>
      <c r="G222" s="188">
        <f>'LCFS Table'!$E222+'LCFS Table'!$AS222+'LCFS Table'!$AT222+'LCFS Table'!$AU222+'LCFS Table'!$AV222</f>
        <v>2.4562950669042456</v>
      </c>
      <c r="H222" s="188">
        <f>'LCFS Table'!$F222+'LCFS Table'!$AX222+'LCFS Table'!$AY222+'LCFS Table'!$AZ222+'LCFS Table'!$BA222+('LCFS Table'!$CQ222*0.9/(0.8/0.99)/100)+(DG222*'LCFS Table'!$AF222)+(DF222*'LCFS Table'!$AG222)</f>
        <v>0.8055964843750002</v>
      </c>
      <c r="I222" s="187">
        <f>('LCFS Table'!$V222+'LCFS Table'!$W222+'LCFS Table'!$X222)/100+(('LCFS Table'!$AI222+'LCFS Table'!$AJ222)/340)</f>
        <v>4.4921836670838555</v>
      </c>
      <c r="J222" s="187">
        <f>(('LCFS Table'!$Y222+'LCFS Table'!$Z222)/100)+(('LCFS Table'!$AM222+'LCFS Table'!$AN222)/300)</f>
        <v>5.6000910156249999</v>
      </c>
      <c r="K222" s="190">
        <f>'[1]Fuel Values'!$C221</f>
        <v>2.5503999999999998</v>
      </c>
      <c r="L222" s="190">
        <f>'[1]Fuel Values'!$B221</f>
        <v>635</v>
      </c>
      <c r="M222" s="185">
        <f>('LCFS Table'!$L222/100)-'LCFS Table'!$AX222-'LCFS Table'!$AY222-'LCFS Table'!$AZ222-'LCFS Table'!$BA222</f>
        <v>2.6172081526837503</v>
      </c>
      <c r="N222" s="190">
        <f>[1]BFT!$B221</f>
        <v>54</v>
      </c>
      <c r="O222" s="190">
        <f>[1]UCO!$B221</f>
        <v>45.7</v>
      </c>
      <c r="P222" s="190">
        <f>[1]DCO!$B221</f>
        <v>51.85</v>
      </c>
      <c r="Q222" s="190">
        <f>'[1]Soybean Oil'!$B221</f>
        <v>67.563999999999993</v>
      </c>
      <c r="R222" s="190">
        <f>'[1]Yellow Grease'!$B221</f>
        <v>42.8</v>
      </c>
      <c r="S222" s="185">
        <f>'LCFS Table'!$N222 + 'LCFS Table'!$AH222</f>
        <v>58.375</v>
      </c>
      <c r="T222" s="185">
        <f>'LCFS Table'!$Q222+'LCFS Table'!$AH222</f>
        <v>71.938999999999993</v>
      </c>
      <c r="U222" s="185">
        <f>'LCFS Table'!$P222+'LCFS Table'!$AH222</f>
        <v>56.225000000000001</v>
      </c>
      <c r="V222" s="185">
        <f>(('LCFS Table'!$S222/'LCFS Table'!$AA222)*'LCFS Table'!$AC222)*6.48</f>
        <v>201.20744680851067</v>
      </c>
      <c r="W222" s="185">
        <f>(('LCFS Table'!$O222/'LCFS Table'!$AA222)*'LCFS Table'!$AD222)*6.48</f>
        <v>78.75957446808512</v>
      </c>
      <c r="X222" s="185">
        <f>(('LCFS Table'!$U222/'LCFS Table'!$AA222)*'LCFS Table'!$AE222)*6.48</f>
        <v>96.898404255319164</v>
      </c>
      <c r="Y222" s="185">
        <f>(('LCFS Table'!$T222/'LCFS Table'!$AB222)*'LCFS Table'!$AF222)*7.35</f>
        <v>413.08722656249995</v>
      </c>
      <c r="Z222" s="185">
        <f>(('LCFS Table'!$R222/'LCFS Table'!$AB222)*'LCFS Table'!$AG222)*7.35</f>
        <v>81.921874999999986</v>
      </c>
      <c r="AA222" s="138">
        <v>0.94</v>
      </c>
      <c r="AB222" s="138">
        <v>0.96</v>
      </c>
      <c r="AC222" s="138">
        <v>0.5</v>
      </c>
      <c r="AD222" s="138">
        <v>0.25</v>
      </c>
      <c r="AE222" s="138">
        <v>0.25</v>
      </c>
      <c r="AF222" s="138">
        <v>0.75</v>
      </c>
      <c r="AG222" s="138">
        <v>0.25</v>
      </c>
      <c r="AH222" s="139">
        <v>4.375</v>
      </c>
      <c r="AI222" s="139">
        <v>136</v>
      </c>
      <c r="AJ222" s="139">
        <v>110</v>
      </c>
      <c r="AK222" s="186">
        <f>('LCFS Table'!$AI222/340)*100</f>
        <v>40</v>
      </c>
      <c r="AL222" s="186">
        <f>('LCFS Table'!$AJ222/340)*100</f>
        <v>32.352941176470587</v>
      </c>
      <c r="AM222" s="139">
        <v>105</v>
      </c>
      <c r="AN222" s="139">
        <v>90</v>
      </c>
      <c r="AO222" s="139">
        <f>('LCFS Table'!$AM222/300)*100</f>
        <v>35</v>
      </c>
      <c r="AP222" s="139">
        <f>('LCFS Table'!$AN222/300)*100</f>
        <v>30</v>
      </c>
      <c r="AQ222" s="140">
        <f>'[1]LCFS Values'!$B221</f>
        <v>70.45</v>
      </c>
      <c r="AR222" s="140">
        <f>'[1]RIN Values'!$B221/100</f>
        <v>1.5669999999999999</v>
      </c>
      <c r="AS222" s="185">
        <v>0.5741787339881016</v>
      </c>
      <c r="AT222" s="137">
        <v>0.16</v>
      </c>
      <c r="AU222" s="137">
        <v>1</v>
      </c>
      <c r="AV222" s="185">
        <f>'LCFS Table'!$AR222*1.7</f>
        <v>2.6638999999999999</v>
      </c>
      <c r="AW222" s="137">
        <v>0</v>
      </c>
      <c r="AX222" s="185">
        <v>0.38229184731624999</v>
      </c>
      <c r="AY222" s="137">
        <v>0</v>
      </c>
      <c r="AZ222" s="141">
        <v>1</v>
      </c>
      <c r="BA222" s="185">
        <f>'LCFS Table'!$AR222*1.5</f>
        <v>2.3504999999999998</v>
      </c>
      <c r="BB222" s="142">
        <v>1.2</v>
      </c>
      <c r="BC222" s="185">
        <f>'LCFS Table'!$AS222*'LCFS Table'!$BW222</f>
        <v>0.5741787339881016</v>
      </c>
      <c r="BD222" s="185">
        <f>'LCFS Table'!$AT222*'LCFS Table'!$BX222</f>
        <v>0</v>
      </c>
      <c r="BE222" s="185">
        <f>'LCFS Table'!$AU222*'LCFS Table'!$BY222</f>
        <v>1</v>
      </c>
      <c r="BF222" s="137">
        <f>'LCFS Table'!$AV222*'LCFS Table'!$BZ222</f>
        <v>2.6638999999999999</v>
      </c>
      <c r="BG222" s="137">
        <f>'LCFS Table'!$AW222*'LCFS Table'!$CA222</f>
        <v>0</v>
      </c>
      <c r="BH222" s="137">
        <f>'LCFS Table'!$AX222*'LCFS Table'!$CB222</f>
        <v>0.38229184731624999</v>
      </c>
      <c r="BI222" s="137">
        <f>'LCFS Table'!$AY222*'LCFS Table'!$CC222</f>
        <v>0</v>
      </c>
      <c r="BJ222" s="137">
        <f>'LCFS Table'!$AZ222*'LCFS Table'!$CD222</f>
        <v>1</v>
      </c>
      <c r="BK222" s="137">
        <f>'LCFS Table'!$BA222*'LCFS Table'!$CE222</f>
        <v>2.3504999999999998</v>
      </c>
      <c r="BL222" s="137">
        <f>'LCFS Table'!$BB222*'LCFS Table'!$CF222</f>
        <v>-1.2</v>
      </c>
      <c r="BM222" s="137">
        <f>'LCFS Table'!$AS222*'LCFS Table'!$CG222</f>
        <v>0</v>
      </c>
      <c r="BN222" s="137">
        <f>'LCFS Table'!$AT222*'LCFS Table'!$CH222</f>
        <v>0.16</v>
      </c>
      <c r="BO222" s="137">
        <f>'LCFS Table'!$AU222*'LCFS Table'!$CI222</f>
        <v>0</v>
      </c>
      <c r="BP222" s="137">
        <f>'LCFS Table'!$AV222*'LCFS Table'!$CJ222</f>
        <v>0</v>
      </c>
      <c r="BQ222" s="137">
        <f>'LCFS Table'!$AW222*'LCFS Table'!$CK222</f>
        <v>0</v>
      </c>
      <c r="BR222" s="137">
        <f>'LCFS Table'!$AX222*'LCFS Table'!$CL222</f>
        <v>0</v>
      </c>
      <c r="BS222" s="137">
        <f>'LCFS Table'!$AY222*'LCFS Table'!$CM222</f>
        <v>0</v>
      </c>
      <c r="BT222" s="137">
        <f>'LCFS Table'!$AZ222*'LCFS Table'!$CN222</f>
        <v>0</v>
      </c>
      <c r="BU222" s="137">
        <f>'LCFS Table'!$BA222*'LCFS Table'!$CO222</f>
        <v>0</v>
      </c>
      <c r="BV222" s="142">
        <f>'LCFS Table'!$BB222*'LCFS Table'!$CP222</f>
        <v>1.2</v>
      </c>
      <c r="BW222" s="138">
        <v>1</v>
      </c>
      <c r="BX222" s="138">
        <v>0</v>
      </c>
      <c r="BY222" s="138">
        <v>1</v>
      </c>
      <c r="BZ222" s="138">
        <v>1</v>
      </c>
      <c r="CA222" s="138">
        <v>-1</v>
      </c>
      <c r="CB222" s="138">
        <v>1</v>
      </c>
      <c r="CC222" s="138">
        <v>0</v>
      </c>
      <c r="CD222" s="138">
        <v>1</v>
      </c>
      <c r="CE222" s="138">
        <v>1</v>
      </c>
      <c r="CF222" s="138">
        <v>-1</v>
      </c>
      <c r="CG222" s="138">
        <f>1-'LCFS Table'!$BW222</f>
        <v>0</v>
      </c>
      <c r="CH222" s="138">
        <f>1-'LCFS Table'!$BX222</f>
        <v>1</v>
      </c>
      <c r="CI222" s="138">
        <f>1-'LCFS Table'!$BY222</f>
        <v>0</v>
      </c>
      <c r="CJ222" s="138">
        <f>1-'LCFS Table'!$BZ222</f>
        <v>0</v>
      </c>
      <c r="CK222" s="138">
        <f>-'LCFS Table'!$CA222</f>
        <v>1</v>
      </c>
      <c r="CL222" s="138">
        <f>1-'LCFS Table'!$CB222</f>
        <v>0</v>
      </c>
      <c r="CM222" s="138">
        <f>1-'LCFS Table'!$CC222</f>
        <v>1</v>
      </c>
      <c r="CN222" s="138">
        <f>1-'LCFS Table'!$CD222</f>
        <v>0</v>
      </c>
      <c r="CO222" s="138">
        <f>1-'LCFS Table'!$CE222</f>
        <v>0</v>
      </c>
      <c r="CP222" s="138">
        <f>-'LCFS Table'!$CF222</f>
        <v>1</v>
      </c>
      <c r="CQ222" s="140">
        <v>5</v>
      </c>
      <c r="CR222" s="165">
        <f>('LCFS Table'!$CQ222*0.9/(0.8/0.99)/100)</f>
        <v>5.5687499999999994E-2</v>
      </c>
      <c r="CS222" s="166"/>
      <c r="CT222" s="167"/>
      <c r="CW222" s="168">
        <f>'LCFS Table'!$K222-'LCFS Table'!$M222</f>
        <v>-6.680815268375051E-2</v>
      </c>
      <c r="CX222" s="129">
        <f>MONTH('LCFS Table'!$B222)</f>
        <v>3</v>
      </c>
      <c r="CY222" s="129">
        <f>YEAR('LCFS Table'!$B222)</f>
        <v>2023</v>
      </c>
    </row>
    <row r="223" spans="1:103">
      <c r="A223" s="148">
        <v>45004</v>
      </c>
      <c r="B223" s="149">
        <v>45010</v>
      </c>
      <c r="C223" s="132">
        <f t="shared" si="4"/>
        <v>2023</v>
      </c>
      <c r="D223" s="150" t="s">
        <v>268</v>
      </c>
      <c r="E223" s="187">
        <f>'LCFS Table'!$K223-'LCFS Table'!$I223</f>
        <v>-1.785673028785983</v>
      </c>
      <c r="F223" s="187">
        <f>('LCFS Table'!$M223)-'LCFS Table'!$J223</f>
        <v>-2.9643046448699999</v>
      </c>
      <c r="G223" s="188">
        <f>'LCFS Table'!$E223+'LCFS Table'!$AS223+'LCFS Table'!$AT223+'LCFS Table'!$AU223+'LCFS Table'!$AV223</f>
        <v>2.5791980377686547</v>
      </c>
      <c r="H223" s="188">
        <f>'LCFS Table'!$F223+'LCFS Table'!$AX223+'LCFS Table'!$AY223+'LCFS Table'!$AZ223+'LCFS Table'!$BA223+('LCFS Table'!$CQ223*0.9/(0.8/0.99)/100)+(DG223*'LCFS Table'!$AF223)+(DF223*'LCFS Table'!$AG223)</f>
        <v>0.79672695312499997</v>
      </c>
      <c r="I223" s="187">
        <f>('LCFS Table'!$V223+'LCFS Table'!$W223+'LCFS Table'!$X223)/100+(('LCFS Table'!$AI223+'LCFS Table'!$AJ223)/340)</f>
        <v>4.3551730287859831</v>
      </c>
      <c r="J223" s="187">
        <f>(('LCFS Table'!$Y223+'LCFS Table'!$Z223)/100)+(('LCFS Table'!$AM223+'LCFS Table'!$AN223)/300)</f>
        <v>5.488960546875</v>
      </c>
      <c r="K223" s="190">
        <f>'[1]Fuel Values'!$C222</f>
        <v>2.5695000000000001</v>
      </c>
      <c r="L223" s="190">
        <f>'[1]Fuel Values'!$B222</f>
        <v>623</v>
      </c>
      <c r="M223" s="185">
        <f>('LCFS Table'!$L223/100)-'LCFS Table'!$AX223-'LCFS Table'!$AY223-'LCFS Table'!$AZ223-'LCFS Table'!$BA223</f>
        <v>2.5246559020050001</v>
      </c>
      <c r="N223" s="190">
        <f>[1]BFT!$B222</f>
        <v>53</v>
      </c>
      <c r="O223" s="190">
        <f>[1]UCO!$B222</f>
        <v>41.5</v>
      </c>
      <c r="P223" s="190">
        <f>[1]DCO!$B222</f>
        <v>50.1</v>
      </c>
      <c r="Q223" s="190">
        <f>'[1]Soybean Oil'!$B222</f>
        <v>66.061999999999998</v>
      </c>
      <c r="R223" s="190">
        <f>'[1]Yellow Grease'!$B222</f>
        <v>41.5</v>
      </c>
      <c r="S223" s="185">
        <f>'LCFS Table'!$N223 + 'LCFS Table'!$AH223</f>
        <v>57.375</v>
      </c>
      <c r="T223" s="185">
        <f>'LCFS Table'!$Q223+'LCFS Table'!$AH223</f>
        <v>70.436999999999998</v>
      </c>
      <c r="U223" s="185">
        <f>'LCFS Table'!$P223+'LCFS Table'!$AH223</f>
        <v>54.475000000000001</v>
      </c>
      <c r="V223" s="185">
        <f>(('LCFS Table'!$S223/'LCFS Table'!$AA223)*'LCFS Table'!$AC223)*6.48</f>
        <v>197.76063829787236</v>
      </c>
      <c r="W223" s="185">
        <f>(('LCFS Table'!$O223/'LCFS Table'!$AA223)*'LCFS Table'!$AD223)*6.48</f>
        <v>71.521276595744695</v>
      </c>
      <c r="X223" s="185">
        <f>(('LCFS Table'!$U223/'LCFS Table'!$AA223)*'LCFS Table'!$AE223)*6.48</f>
        <v>93.88244680851065</v>
      </c>
      <c r="Y223" s="185">
        <f>(('LCFS Table'!$T223/'LCFS Table'!$AB223)*'LCFS Table'!$AF223)*7.35</f>
        <v>404.4624609375</v>
      </c>
      <c r="Z223" s="185">
        <f>(('LCFS Table'!$R223/'LCFS Table'!$AB223)*'LCFS Table'!$AG223)*7.35</f>
        <v>79.43359375</v>
      </c>
      <c r="AA223" s="138">
        <v>0.94</v>
      </c>
      <c r="AB223" s="138">
        <v>0.96</v>
      </c>
      <c r="AC223" s="138">
        <v>0.5</v>
      </c>
      <c r="AD223" s="138">
        <v>0.25</v>
      </c>
      <c r="AE223" s="138">
        <v>0.25</v>
      </c>
      <c r="AF223" s="138">
        <v>0.75</v>
      </c>
      <c r="AG223" s="138">
        <v>0.25</v>
      </c>
      <c r="AH223" s="139">
        <v>4.375</v>
      </c>
      <c r="AI223" s="139">
        <v>136</v>
      </c>
      <c r="AJ223" s="139">
        <v>110</v>
      </c>
      <c r="AK223" s="186">
        <f>('LCFS Table'!$AI223/340)*100</f>
        <v>40</v>
      </c>
      <c r="AL223" s="186">
        <f>('LCFS Table'!$AJ223/340)*100</f>
        <v>32.352941176470587</v>
      </c>
      <c r="AM223" s="139">
        <v>105</v>
      </c>
      <c r="AN223" s="139">
        <v>90</v>
      </c>
      <c r="AO223" s="139">
        <f>('LCFS Table'!$AM223/300)*100</f>
        <v>35</v>
      </c>
      <c r="AP223" s="139">
        <f>('LCFS Table'!$AN223/300)*100</f>
        <v>30</v>
      </c>
      <c r="AQ223" s="140">
        <f>'[1]LCFS Values'!$B222</f>
        <v>69.400000000000006</v>
      </c>
      <c r="AR223" s="140">
        <f>'[1]RIN Values'!$B222/100</f>
        <v>1.5525</v>
      </c>
      <c r="AS223" s="185">
        <v>0.56562106655463806</v>
      </c>
      <c r="AT223" s="137">
        <v>0.16</v>
      </c>
      <c r="AU223" s="137">
        <v>1</v>
      </c>
      <c r="AV223" s="185">
        <f>'LCFS Table'!$AR223*1.7</f>
        <v>2.6392500000000001</v>
      </c>
      <c r="AW223" s="137">
        <v>0</v>
      </c>
      <c r="AX223" s="185">
        <v>0.37659409799500004</v>
      </c>
      <c r="AY223" s="137">
        <v>0</v>
      </c>
      <c r="AZ223" s="141">
        <v>1</v>
      </c>
      <c r="BA223" s="185">
        <f>'LCFS Table'!$AR223*1.5</f>
        <v>2.3287499999999999</v>
      </c>
      <c r="BB223" s="142">
        <v>1.2</v>
      </c>
      <c r="BC223" s="185">
        <f>'LCFS Table'!$AS223*'LCFS Table'!$BW223</f>
        <v>0.56562106655463806</v>
      </c>
      <c r="BD223" s="185">
        <f>'LCFS Table'!$AT223*'LCFS Table'!$BX223</f>
        <v>0</v>
      </c>
      <c r="BE223" s="185">
        <f>'LCFS Table'!$AU223*'LCFS Table'!$BY223</f>
        <v>1</v>
      </c>
      <c r="BF223" s="137">
        <f>'LCFS Table'!$AV223*'LCFS Table'!$BZ223</f>
        <v>2.6392500000000001</v>
      </c>
      <c r="BG223" s="137">
        <f>'LCFS Table'!$AW223*'LCFS Table'!$CA223</f>
        <v>0</v>
      </c>
      <c r="BH223" s="137">
        <f>'LCFS Table'!$AX223*'LCFS Table'!$CB223</f>
        <v>0.37659409799500004</v>
      </c>
      <c r="BI223" s="137">
        <f>'LCFS Table'!$AY223*'LCFS Table'!$CC223</f>
        <v>0</v>
      </c>
      <c r="BJ223" s="137">
        <f>'LCFS Table'!$AZ223*'LCFS Table'!$CD223</f>
        <v>1</v>
      </c>
      <c r="BK223" s="137">
        <f>'LCFS Table'!$BA223*'LCFS Table'!$CE223</f>
        <v>2.3287499999999999</v>
      </c>
      <c r="BL223" s="137">
        <f>'LCFS Table'!$BB223*'LCFS Table'!$CF223</f>
        <v>-1.2</v>
      </c>
      <c r="BM223" s="137">
        <f>'LCFS Table'!$AS223*'LCFS Table'!$CG223</f>
        <v>0</v>
      </c>
      <c r="BN223" s="137">
        <f>'LCFS Table'!$AT223*'LCFS Table'!$CH223</f>
        <v>0.16</v>
      </c>
      <c r="BO223" s="137">
        <f>'LCFS Table'!$AU223*'LCFS Table'!$CI223</f>
        <v>0</v>
      </c>
      <c r="BP223" s="137">
        <f>'LCFS Table'!$AV223*'LCFS Table'!$CJ223</f>
        <v>0</v>
      </c>
      <c r="BQ223" s="137">
        <f>'LCFS Table'!$AW223*'LCFS Table'!$CK223</f>
        <v>0</v>
      </c>
      <c r="BR223" s="137">
        <f>'LCFS Table'!$AX223*'LCFS Table'!$CL223</f>
        <v>0</v>
      </c>
      <c r="BS223" s="137">
        <f>'LCFS Table'!$AY223*'LCFS Table'!$CM223</f>
        <v>0</v>
      </c>
      <c r="BT223" s="137">
        <f>'LCFS Table'!$AZ223*'LCFS Table'!$CN223</f>
        <v>0</v>
      </c>
      <c r="BU223" s="137">
        <f>'LCFS Table'!$BA223*'LCFS Table'!$CO223</f>
        <v>0</v>
      </c>
      <c r="BV223" s="142">
        <f>'LCFS Table'!$BB223*'LCFS Table'!$CP223</f>
        <v>1.2</v>
      </c>
      <c r="BW223" s="138">
        <v>1</v>
      </c>
      <c r="BX223" s="138">
        <v>0</v>
      </c>
      <c r="BY223" s="138">
        <v>1</v>
      </c>
      <c r="BZ223" s="138">
        <v>1</v>
      </c>
      <c r="CA223" s="138">
        <v>-1</v>
      </c>
      <c r="CB223" s="138">
        <v>1</v>
      </c>
      <c r="CC223" s="138">
        <v>0</v>
      </c>
      <c r="CD223" s="138">
        <v>1</v>
      </c>
      <c r="CE223" s="138">
        <v>1</v>
      </c>
      <c r="CF223" s="138">
        <v>-1</v>
      </c>
      <c r="CG223" s="138">
        <f>1-'LCFS Table'!$BW223</f>
        <v>0</v>
      </c>
      <c r="CH223" s="138">
        <f>1-'LCFS Table'!$BX223</f>
        <v>1</v>
      </c>
      <c r="CI223" s="138">
        <f>1-'LCFS Table'!$BY223</f>
        <v>0</v>
      </c>
      <c r="CJ223" s="138">
        <f>1-'LCFS Table'!$BZ223</f>
        <v>0</v>
      </c>
      <c r="CK223" s="138">
        <f>-'LCFS Table'!$CA223</f>
        <v>1</v>
      </c>
      <c r="CL223" s="138">
        <f>1-'LCFS Table'!$CB223</f>
        <v>0</v>
      </c>
      <c r="CM223" s="138">
        <f>1-'LCFS Table'!$CC223</f>
        <v>1</v>
      </c>
      <c r="CN223" s="138">
        <f>1-'LCFS Table'!$CD223</f>
        <v>0</v>
      </c>
      <c r="CO223" s="138">
        <f>1-'LCFS Table'!$CE223</f>
        <v>0</v>
      </c>
      <c r="CP223" s="138">
        <f>-'LCFS Table'!$CF223</f>
        <v>1</v>
      </c>
      <c r="CQ223" s="140">
        <v>5</v>
      </c>
      <c r="CR223" s="165">
        <f>('LCFS Table'!$CQ223*0.9/(0.8/0.99)/100)</f>
        <v>5.5687499999999994E-2</v>
      </c>
      <c r="CS223" s="166"/>
      <c r="CT223" s="167"/>
      <c r="CW223" s="168">
        <f>'LCFS Table'!$K223-'LCFS Table'!$M223</f>
        <v>4.4844097994999998E-2</v>
      </c>
      <c r="CX223" s="129">
        <f>MONTH('LCFS Table'!$B223)</f>
        <v>3</v>
      </c>
      <c r="CY223" s="129">
        <f>YEAR('LCFS Table'!$B223)</f>
        <v>2023</v>
      </c>
    </row>
    <row r="224" spans="1:103">
      <c r="A224" s="148">
        <v>45011</v>
      </c>
      <c r="B224" s="149">
        <v>45017</v>
      </c>
      <c r="C224" s="132">
        <f t="shared" si="4"/>
        <v>2023</v>
      </c>
      <c r="D224" s="150" t="s">
        <v>269</v>
      </c>
      <c r="E224" s="187">
        <f>'LCFS Table'!$K224-'LCFS Table'!$I224</f>
        <v>-1.6941985607008765</v>
      </c>
      <c r="F224" s="187">
        <f>('LCFS Table'!$M224)-'LCFS Table'!$J224</f>
        <v>-3.0881582924500002</v>
      </c>
      <c r="G224" s="188">
        <f>'LCFS Table'!$E224+'LCFS Table'!$AS224+'LCFS Table'!$AT224+'LCFS Table'!$AU224+'LCFS Table'!$AV224</f>
        <v>2.6606124420695849</v>
      </c>
      <c r="H224" s="188">
        <f>'LCFS Table'!$F224+'LCFS Table'!$AX224+'LCFS Table'!$AY224+'LCFS Table'!$AZ224+'LCFS Table'!$BA224+('LCFS Table'!$CQ224*0.9/(0.8/0.99)/100)+(DG224*'LCFS Table'!$AF224)+(DF224*'LCFS Table'!$AG224)</f>
        <v>0.66470273437499972</v>
      </c>
      <c r="I224" s="187">
        <f>('LCFS Table'!$V224+'LCFS Table'!$W224+'LCFS Table'!$X224)/100+(('LCFS Table'!$AI224+'LCFS Table'!$AJ224)/340)</f>
        <v>4.2465985607008765</v>
      </c>
      <c r="J224" s="187">
        <f>(('LCFS Table'!$Y224+'LCFS Table'!$Z224)/100)+(('LCFS Table'!$AM224+'LCFS Table'!$AN224)/300)</f>
        <v>5.5409847656250006</v>
      </c>
      <c r="K224" s="190">
        <f>'[1]Fuel Values'!$C223</f>
        <v>2.5524</v>
      </c>
      <c r="L224" s="190">
        <f>'[1]Fuel Values'!$B223</f>
        <v>615</v>
      </c>
      <c r="M224" s="185">
        <f>('LCFS Table'!$L224/100)-'LCFS Table'!$AX224-'LCFS Table'!$AY224-'LCFS Table'!$AZ224-'LCFS Table'!$BA224</f>
        <v>2.4528264731750005</v>
      </c>
      <c r="N224" s="190">
        <f>[1]BFT!$B223</f>
        <v>50.9</v>
      </c>
      <c r="O224" s="190">
        <f>[1]UCO!$B223</f>
        <v>41.5</v>
      </c>
      <c r="P224" s="190">
        <f>[1]DCO!$B223</f>
        <v>48</v>
      </c>
      <c r="Q224" s="190">
        <f>'[1]Soybean Oil'!$B223</f>
        <v>66.968000000000004</v>
      </c>
      <c r="R224" s="190">
        <f>'[1]Yellow Grease'!$B223</f>
        <v>41.5</v>
      </c>
      <c r="S224" s="185">
        <f>'LCFS Table'!$N224 + 'LCFS Table'!$AH224</f>
        <v>55.274999999999999</v>
      </c>
      <c r="T224" s="185">
        <f>'LCFS Table'!$Q224+'LCFS Table'!$AH224</f>
        <v>71.343000000000004</v>
      </c>
      <c r="U224" s="185">
        <f>'LCFS Table'!$P224+'LCFS Table'!$AH224</f>
        <v>52.375</v>
      </c>
      <c r="V224" s="185">
        <f>(('LCFS Table'!$S224/'LCFS Table'!$AA224)*'LCFS Table'!$AC224)*6.48</f>
        <v>190.52234042553192</v>
      </c>
      <c r="W224" s="185">
        <f>(('LCFS Table'!$O224/'LCFS Table'!$AA224)*'LCFS Table'!$AD224)*6.48</f>
        <v>71.521276595744695</v>
      </c>
      <c r="X224" s="185">
        <f>(('LCFS Table'!$U224/'LCFS Table'!$AA224)*'LCFS Table'!$AE224)*6.48</f>
        <v>90.263297872340431</v>
      </c>
      <c r="Y224" s="185">
        <f>(('LCFS Table'!$T224/'LCFS Table'!$AB224)*'LCFS Table'!$AF224)*7.35</f>
        <v>409.66488281250003</v>
      </c>
      <c r="Z224" s="185">
        <f>(('LCFS Table'!$R224/'LCFS Table'!$AB224)*'LCFS Table'!$AG224)*7.35</f>
        <v>79.43359375</v>
      </c>
      <c r="AA224" s="138">
        <v>0.94</v>
      </c>
      <c r="AB224" s="138">
        <v>0.96</v>
      </c>
      <c r="AC224" s="138">
        <v>0.5</v>
      </c>
      <c r="AD224" s="138">
        <v>0.25</v>
      </c>
      <c r="AE224" s="138">
        <v>0.25</v>
      </c>
      <c r="AF224" s="138">
        <v>0.75</v>
      </c>
      <c r="AG224" s="138">
        <v>0.25</v>
      </c>
      <c r="AH224" s="139">
        <v>4.375</v>
      </c>
      <c r="AI224" s="139">
        <v>136</v>
      </c>
      <c r="AJ224" s="139">
        <v>110</v>
      </c>
      <c r="AK224" s="186">
        <f>('LCFS Table'!$AI224/340)*100</f>
        <v>40</v>
      </c>
      <c r="AL224" s="186">
        <f>('LCFS Table'!$AJ224/340)*100</f>
        <v>32.352941176470587</v>
      </c>
      <c r="AM224" s="139">
        <v>105</v>
      </c>
      <c r="AN224" s="139">
        <v>90</v>
      </c>
      <c r="AO224" s="139">
        <f>('LCFS Table'!$AM224/300)*100</f>
        <v>35</v>
      </c>
      <c r="AP224" s="139">
        <f>('LCFS Table'!$AN224/300)*100</f>
        <v>30</v>
      </c>
      <c r="AQ224" s="140">
        <f>'[1]LCFS Values'!$B223</f>
        <v>69</v>
      </c>
      <c r="AR224" s="140">
        <f>'[1]RIN Values'!$B223/100</f>
        <v>1.5485</v>
      </c>
      <c r="AS224" s="185">
        <v>0.56236100277046142</v>
      </c>
      <c r="AT224" s="137">
        <v>0.16</v>
      </c>
      <c r="AU224" s="137">
        <v>1</v>
      </c>
      <c r="AV224" s="185">
        <f>'LCFS Table'!$AR224*1.7</f>
        <v>2.63245</v>
      </c>
      <c r="AW224" s="137">
        <v>0</v>
      </c>
      <c r="AX224" s="185">
        <v>0.37442352682500002</v>
      </c>
      <c r="AY224" s="137">
        <v>0</v>
      </c>
      <c r="AZ224" s="141">
        <v>1</v>
      </c>
      <c r="BA224" s="185">
        <f>'LCFS Table'!$AR224*1.5</f>
        <v>2.3227500000000001</v>
      </c>
      <c r="BB224" s="142">
        <v>1.2</v>
      </c>
      <c r="BC224" s="185">
        <f>'LCFS Table'!$AS224*'LCFS Table'!$BW224</f>
        <v>0.56236100277046142</v>
      </c>
      <c r="BD224" s="185">
        <f>'LCFS Table'!$AT224*'LCFS Table'!$BX224</f>
        <v>0</v>
      </c>
      <c r="BE224" s="185">
        <f>'LCFS Table'!$AU224*'LCFS Table'!$BY224</f>
        <v>1</v>
      </c>
      <c r="BF224" s="137">
        <f>'LCFS Table'!$AV224*'LCFS Table'!$BZ224</f>
        <v>2.63245</v>
      </c>
      <c r="BG224" s="137">
        <f>'LCFS Table'!$AW224*'LCFS Table'!$CA224</f>
        <v>0</v>
      </c>
      <c r="BH224" s="137">
        <f>'LCFS Table'!$AX224*'LCFS Table'!$CB224</f>
        <v>0.37442352682500002</v>
      </c>
      <c r="BI224" s="137">
        <f>'LCFS Table'!$AY224*'LCFS Table'!$CC224</f>
        <v>0</v>
      </c>
      <c r="BJ224" s="137">
        <f>'LCFS Table'!$AZ224*'LCFS Table'!$CD224</f>
        <v>1</v>
      </c>
      <c r="BK224" s="137">
        <f>'LCFS Table'!$BA224*'LCFS Table'!$CE224</f>
        <v>2.3227500000000001</v>
      </c>
      <c r="BL224" s="137">
        <f>'LCFS Table'!$BB224*'LCFS Table'!$CF224</f>
        <v>-1.2</v>
      </c>
      <c r="BM224" s="137">
        <f>'LCFS Table'!$AS224*'LCFS Table'!$CG224</f>
        <v>0</v>
      </c>
      <c r="BN224" s="137">
        <f>'LCFS Table'!$AT224*'LCFS Table'!$CH224</f>
        <v>0.16</v>
      </c>
      <c r="BO224" s="137">
        <f>'LCFS Table'!$AU224*'LCFS Table'!$CI224</f>
        <v>0</v>
      </c>
      <c r="BP224" s="137">
        <f>'LCFS Table'!$AV224*'LCFS Table'!$CJ224</f>
        <v>0</v>
      </c>
      <c r="BQ224" s="137">
        <f>'LCFS Table'!$AW224*'LCFS Table'!$CK224</f>
        <v>0</v>
      </c>
      <c r="BR224" s="137">
        <f>'LCFS Table'!$AX224*'LCFS Table'!$CL224</f>
        <v>0</v>
      </c>
      <c r="BS224" s="137">
        <f>'LCFS Table'!$AY224*'LCFS Table'!$CM224</f>
        <v>0</v>
      </c>
      <c r="BT224" s="137">
        <f>'LCFS Table'!$AZ224*'LCFS Table'!$CN224</f>
        <v>0</v>
      </c>
      <c r="BU224" s="137">
        <f>'LCFS Table'!$BA224*'LCFS Table'!$CO224</f>
        <v>0</v>
      </c>
      <c r="BV224" s="142">
        <f>'LCFS Table'!$BB224*'LCFS Table'!$CP224</f>
        <v>1.2</v>
      </c>
      <c r="BW224" s="138">
        <v>1</v>
      </c>
      <c r="BX224" s="138">
        <v>0</v>
      </c>
      <c r="BY224" s="138">
        <v>1</v>
      </c>
      <c r="BZ224" s="138">
        <v>1</v>
      </c>
      <c r="CA224" s="138">
        <v>-1</v>
      </c>
      <c r="CB224" s="138">
        <v>1</v>
      </c>
      <c r="CC224" s="138">
        <v>0</v>
      </c>
      <c r="CD224" s="138">
        <v>1</v>
      </c>
      <c r="CE224" s="138">
        <v>1</v>
      </c>
      <c r="CF224" s="138">
        <v>-1</v>
      </c>
      <c r="CG224" s="138">
        <f>1-'LCFS Table'!$BW224</f>
        <v>0</v>
      </c>
      <c r="CH224" s="138">
        <f>1-'LCFS Table'!$BX224</f>
        <v>1</v>
      </c>
      <c r="CI224" s="138">
        <f>1-'LCFS Table'!$BY224</f>
        <v>0</v>
      </c>
      <c r="CJ224" s="138">
        <f>1-'LCFS Table'!$BZ224</f>
        <v>0</v>
      </c>
      <c r="CK224" s="138">
        <f>-'LCFS Table'!$CA224</f>
        <v>1</v>
      </c>
      <c r="CL224" s="138">
        <f>1-'LCFS Table'!$CB224</f>
        <v>0</v>
      </c>
      <c r="CM224" s="138">
        <f>1-'LCFS Table'!$CC224</f>
        <v>1</v>
      </c>
      <c r="CN224" s="138">
        <f>1-'LCFS Table'!$CD224</f>
        <v>0</v>
      </c>
      <c r="CO224" s="138">
        <f>1-'LCFS Table'!$CE224</f>
        <v>0</v>
      </c>
      <c r="CP224" s="138">
        <f>-'LCFS Table'!$CF224</f>
        <v>1</v>
      </c>
      <c r="CQ224" s="140">
        <v>5</v>
      </c>
      <c r="CR224" s="165">
        <f>('LCFS Table'!$CQ224*0.9/(0.8/0.99)/100)</f>
        <v>5.5687499999999994E-2</v>
      </c>
      <c r="CS224" s="166"/>
      <c r="CT224" s="167"/>
      <c r="CW224" s="168">
        <f>'LCFS Table'!$K224-'LCFS Table'!$M224</f>
        <v>9.9573526824999536E-2</v>
      </c>
      <c r="CX224" s="129">
        <f>MONTH('LCFS Table'!$B224)</f>
        <v>4</v>
      </c>
      <c r="CY224" s="129">
        <f>YEAR('LCFS Table'!$B224)</f>
        <v>2023</v>
      </c>
    </row>
    <row r="225" spans="1:103">
      <c r="A225" s="148">
        <v>45018</v>
      </c>
      <c r="B225" s="149">
        <v>45024</v>
      </c>
      <c r="C225" s="132">
        <f t="shared" si="4"/>
        <v>2023</v>
      </c>
      <c r="D225" s="150" t="s">
        <v>270</v>
      </c>
      <c r="E225" s="187">
        <f>'LCFS Table'!$K225-'LCFS Table'!$I225</f>
        <v>-1.7370421777221536</v>
      </c>
      <c r="F225" s="187">
        <f>('LCFS Table'!$M225)-'LCFS Table'!$J225</f>
        <v>-3.1525955503937499</v>
      </c>
      <c r="G225" s="188">
        <f>'LCFS Table'!$E225+'LCFS Table'!$AS225+'LCFS Table'!$AT225+'LCFS Table'!$AU225+'LCFS Table'!$AV225</f>
        <v>2.645744343294743</v>
      </c>
      <c r="H225" s="188">
        <f>'LCFS Table'!$F225+'LCFS Table'!$AX225+'LCFS Table'!$AY225+'LCFS Table'!$AZ225+'LCFS Table'!$BA225+('LCFS Table'!$CQ225*0.9/(0.8/0.99)/100)+(DG225*'LCFS Table'!$AF225)+(DF225*'LCFS Table'!$AG225)</f>
        <v>0.61921386718750038</v>
      </c>
      <c r="I225" s="187">
        <f>('LCFS Table'!$V225+'LCFS Table'!$W225+'LCFS Table'!$X225)/100+(('LCFS Table'!$AI225+'LCFS Table'!$AJ225)/340)</f>
        <v>4.2737421777221538</v>
      </c>
      <c r="J225" s="187">
        <f>(('LCFS Table'!$Y225+'LCFS Table'!$Z225)/100)+(('LCFS Table'!$AM225+'LCFS Table'!$AN225)/300)</f>
        <v>5.5739736328124998</v>
      </c>
      <c r="K225" s="190">
        <f>'[1]Fuel Values'!$C224</f>
        <v>2.5367000000000002</v>
      </c>
      <c r="L225" s="190">
        <f>'[1]Fuel Values'!$B224</f>
        <v>613.75</v>
      </c>
      <c r="M225" s="185">
        <f>('LCFS Table'!$L225/100)-'LCFS Table'!$AX225-'LCFS Table'!$AY225-'LCFS Table'!$AZ225-'LCFS Table'!$BA225</f>
        <v>2.4213780824187499</v>
      </c>
      <c r="N225" s="190">
        <f>[1]BFT!$B224</f>
        <v>50.5</v>
      </c>
      <c r="O225" s="190">
        <f>[1]UCO!$B224</f>
        <v>41.5</v>
      </c>
      <c r="P225" s="190">
        <f>[1]DCO!$B224</f>
        <v>50.375</v>
      </c>
      <c r="Q225" s="190">
        <f>'[1]Soybean Oil'!$B224</f>
        <v>67.542500000000004</v>
      </c>
      <c r="R225" s="190">
        <f>'[1]Yellow Grease'!$B224</f>
        <v>41.5</v>
      </c>
      <c r="S225" s="185">
        <f>'LCFS Table'!$N225 + 'LCFS Table'!$AH225</f>
        <v>54.875</v>
      </c>
      <c r="T225" s="185">
        <f>'LCFS Table'!$Q225+'LCFS Table'!$AH225</f>
        <v>71.917500000000004</v>
      </c>
      <c r="U225" s="185">
        <f>'LCFS Table'!$P225+'LCFS Table'!$AH225</f>
        <v>54.75</v>
      </c>
      <c r="V225" s="185">
        <f>(('LCFS Table'!$S225/'LCFS Table'!$AA225)*'LCFS Table'!$AC225)*6.48</f>
        <v>189.14361702127661</v>
      </c>
      <c r="W225" s="185">
        <f>(('LCFS Table'!$O225/'LCFS Table'!$AA225)*'LCFS Table'!$AD225)*6.48</f>
        <v>71.521276595744695</v>
      </c>
      <c r="X225" s="185">
        <f>(('LCFS Table'!$U225/'LCFS Table'!$AA225)*'LCFS Table'!$AE225)*6.48</f>
        <v>94.356382978723417</v>
      </c>
      <c r="Y225" s="185">
        <f>(('LCFS Table'!$T225/'LCFS Table'!$AB225)*'LCFS Table'!$AF225)*7.35</f>
        <v>412.96376953124997</v>
      </c>
      <c r="Z225" s="185">
        <f>(('LCFS Table'!$R225/'LCFS Table'!$AB225)*'LCFS Table'!$AG225)*7.35</f>
        <v>79.43359375</v>
      </c>
      <c r="AA225" s="138">
        <v>0.94</v>
      </c>
      <c r="AB225" s="138">
        <v>0.96</v>
      </c>
      <c r="AC225" s="138">
        <v>0.5</v>
      </c>
      <c r="AD225" s="138">
        <v>0.25</v>
      </c>
      <c r="AE225" s="138">
        <v>0.25</v>
      </c>
      <c r="AF225" s="138">
        <v>0.75</v>
      </c>
      <c r="AG225" s="138">
        <v>0.25</v>
      </c>
      <c r="AH225" s="139">
        <v>4.375</v>
      </c>
      <c r="AI225" s="139">
        <v>136</v>
      </c>
      <c r="AJ225" s="139">
        <v>110</v>
      </c>
      <c r="AK225" s="186">
        <f>('LCFS Table'!$AI225/340)*100</f>
        <v>40</v>
      </c>
      <c r="AL225" s="186">
        <f>('LCFS Table'!$AJ225/340)*100</f>
        <v>32.352941176470587</v>
      </c>
      <c r="AM225" s="139">
        <v>105</v>
      </c>
      <c r="AN225" s="139">
        <v>90</v>
      </c>
      <c r="AO225" s="139">
        <f>('LCFS Table'!$AM225/300)*100</f>
        <v>35</v>
      </c>
      <c r="AP225" s="139">
        <f>('LCFS Table'!$AN225/300)*100</f>
        <v>30</v>
      </c>
      <c r="AQ225" s="140">
        <f>'[1]LCFS Values'!$B224</f>
        <v>72.25</v>
      </c>
      <c r="AR225" s="140">
        <f>'[1]RIN Values'!$B224/100</f>
        <v>1.5493749999999999</v>
      </c>
      <c r="AS225" s="185">
        <v>0.58884902101689629</v>
      </c>
      <c r="AT225" s="137">
        <v>0.16</v>
      </c>
      <c r="AU225" s="137">
        <v>1</v>
      </c>
      <c r="AV225" s="185">
        <f>'LCFS Table'!$AR225*1.7</f>
        <v>2.6339375</v>
      </c>
      <c r="AW225" s="137">
        <v>0</v>
      </c>
      <c r="AX225" s="185">
        <v>0.39205941758125001</v>
      </c>
      <c r="AY225" s="137">
        <v>0</v>
      </c>
      <c r="AZ225" s="141">
        <v>1</v>
      </c>
      <c r="BA225" s="185">
        <f>'LCFS Table'!$AR225*1.5</f>
        <v>2.3240625000000001</v>
      </c>
      <c r="BB225" s="142">
        <v>1.2</v>
      </c>
      <c r="BC225" s="185">
        <f>'LCFS Table'!$AS225*'LCFS Table'!$BW225</f>
        <v>0.58884902101689629</v>
      </c>
      <c r="BD225" s="185">
        <f>'LCFS Table'!$AT225*'LCFS Table'!$BX225</f>
        <v>0</v>
      </c>
      <c r="BE225" s="185">
        <f>'LCFS Table'!$AU225*'LCFS Table'!$BY225</f>
        <v>1</v>
      </c>
      <c r="BF225" s="137">
        <f>'LCFS Table'!$AV225*'LCFS Table'!$BZ225</f>
        <v>2.6339375</v>
      </c>
      <c r="BG225" s="137">
        <f>'LCFS Table'!$AW225*'LCFS Table'!$CA225</f>
        <v>0</v>
      </c>
      <c r="BH225" s="137">
        <f>'LCFS Table'!$AX225*'LCFS Table'!$CB225</f>
        <v>0.39205941758125001</v>
      </c>
      <c r="BI225" s="137">
        <f>'LCFS Table'!$AY225*'LCFS Table'!$CC225</f>
        <v>0</v>
      </c>
      <c r="BJ225" s="137">
        <f>'LCFS Table'!$AZ225*'LCFS Table'!$CD225</f>
        <v>1</v>
      </c>
      <c r="BK225" s="137">
        <f>'LCFS Table'!$BA225*'LCFS Table'!$CE225</f>
        <v>2.3240625000000001</v>
      </c>
      <c r="BL225" s="137">
        <f>'LCFS Table'!$BB225*'LCFS Table'!$CF225</f>
        <v>-1.2</v>
      </c>
      <c r="BM225" s="137">
        <f>'LCFS Table'!$AS225*'LCFS Table'!$CG225</f>
        <v>0</v>
      </c>
      <c r="BN225" s="137">
        <f>'LCFS Table'!$AT225*'LCFS Table'!$CH225</f>
        <v>0.16</v>
      </c>
      <c r="BO225" s="137">
        <f>'LCFS Table'!$AU225*'LCFS Table'!$CI225</f>
        <v>0</v>
      </c>
      <c r="BP225" s="137">
        <f>'LCFS Table'!$AV225*'LCFS Table'!$CJ225</f>
        <v>0</v>
      </c>
      <c r="BQ225" s="137">
        <f>'LCFS Table'!$AW225*'LCFS Table'!$CK225</f>
        <v>0</v>
      </c>
      <c r="BR225" s="137">
        <f>'LCFS Table'!$AX225*'LCFS Table'!$CL225</f>
        <v>0</v>
      </c>
      <c r="BS225" s="137">
        <f>'LCFS Table'!$AY225*'LCFS Table'!$CM225</f>
        <v>0</v>
      </c>
      <c r="BT225" s="137">
        <f>'LCFS Table'!$AZ225*'LCFS Table'!$CN225</f>
        <v>0</v>
      </c>
      <c r="BU225" s="137">
        <f>'LCFS Table'!$BA225*'LCFS Table'!$CO225</f>
        <v>0</v>
      </c>
      <c r="BV225" s="142">
        <f>'LCFS Table'!$BB225*'LCFS Table'!$CP225</f>
        <v>1.2</v>
      </c>
      <c r="BW225" s="138">
        <v>1</v>
      </c>
      <c r="BX225" s="138">
        <v>0</v>
      </c>
      <c r="BY225" s="138">
        <v>1</v>
      </c>
      <c r="BZ225" s="138">
        <v>1</v>
      </c>
      <c r="CA225" s="138">
        <v>-1</v>
      </c>
      <c r="CB225" s="138">
        <v>1</v>
      </c>
      <c r="CC225" s="138">
        <v>0</v>
      </c>
      <c r="CD225" s="138">
        <v>1</v>
      </c>
      <c r="CE225" s="138">
        <v>1</v>
      </c>
      <c r="CF225" s="138">
        <v>-1</v>
      </c>
      <c r="CG225" s="138">
        <f>1-'LCFS Table'!$BW225</f>
        <v>0</v>
      </c>
      <c r="CH225" s="138">
        <f>1-'LCFS Table'!$BX225</f>
        <v>1</v>
      </c>
      <c r="CI225" s="138">
        <f>1-'LCFS Table'!$BY225</f>
        <v>0</v>
      </c>
      <c r="CJ225" s="138">
        <f>1-'LCFS Table'!$BZ225</f>
        <v>0</v>
      </c>
      <c r="CK225" s="138">
        <f>-'LCFS Table'!$CA225</f>
        <v>1</v>
      </c>
      <c r="CL225" s="138">
        <f>1-'LCFS Table'!$CB225</f>
        <v>0</v>
      </c>
      <c r="CM225" s="138">
        <f>1-'LCFS Table'!$CC225</f>
        <v>1</v>
      </c>
      <c r="CN225" s="138">
        <f>1-'LCFS Table'!$CD225</f>
        <v>0</v>
      </c>
      <c r="CO225" s="138">
        <f>1-'LCFS Table'!$CE225</f>
        <v>0</v>
      </c>
      <c r="CP225" s="138">
        <f>-'LCFS Table'!$CF225</f>
        <v>1</v>
      </c>
      <c r="CQ225" s="140">
        <v>5</v>
      </c>
      <c r="CR225" s="165">
        <f>('LCFS Table'!$CQ225*0.9/(0.8/0.99)/100)</f>
        <v>5.5687499999999994E-2</v>
      </c>
      <c r="CS225" s="166"/>
      <c r="CT225" s="167"/>
      <c r="CW225" s="168">
        <f>'LCFS Table'!$K225-'LCFS Table'!$M225</f>
        <v>0.11532191758125032</v>
      </c>
      <c r="CX225" s="129">
        <f>MONTH('LCFS Table'!$B225)</f>
        <v>4</v>
      </c>
      <c r="CY225" s="129">
        <f>YEAR('LCFS Table'!$B225)</f>
        <v>2023</v>
      </c>
    </row>
    <row r="226" spans="1:103">
      <c r="A226" s="148">
        <v>45025</v>
      </c>
      <c r="B226" s="149">
        <v>45031</v>
      </c>
      <c r="C226" s="132">
        <f t="shared" si="4"/>
        <v>2023</v>
      </c>
      <c r="D226" s="150" t="s">
        <v>271</v>
      </c>
      <c r="E226" s="187">
        <f>'LCFS Table'!$K226-'LCFS Table'!$I226</f>
        <v>-1.8475155819774716</v>
      </c>
      <c r="F226" s="187">
        <f>('LCFS Table'!$M226)-'LCFS Table'!$J226</f>
        <v>-3.2119055913025005</v>
      </c>
      <c r="G226" s="188">
        <f>'LCFS Table'!$E226+'LCFS Table'!$AS226+'LCFS Table'!$AT226+'LCFS Table'!$AU226+'LCFS Table'!$AV226</f>
        <v>2.6084415848542126</v>
      </c>
      <c r="H226" s="188">
        <f>'LCFS Table'!$F226+'LCFS Table'!$AX226+'LCFS Table'!$AY226+'LCFS Table'!$AZ226+'LCFS Table'!$BA226+('LCFS Table'!$CQ226*0.9/(0.8/0.99)/100)+(DG226*'LCFS Table'!$AF226)+(DF226*'LCFS Table'!$AG226)</f>
        <v>0.61509085937499963</v>
      </c>
      <c r="I226" s="187">
        <f>('LCFS Table'!$V226+'LCFS Table'!$W226+'LCFS Table'!$X226)/100+(('LCFS Table'!$AI226+'LCFS Table'!$AJ226)/340)</f>
        <v>4.3362155819774717</v>
      </c>
      <c r="J226" s="187">
        <f>(('LCFS Table'!$Y226+'LCFS Table'!$Z226)/100)+(('LCFS Table'!$AM226+'LCFS Table'!$AN226)/300)</f>
        <v>5.5083691406250006</v>
      </c>
      <c r="K226" s="190">
        <f>'[1]Fuel Values'!$C225</f>
        <v>2.4887000000000001</v>
      </c>
      <c r="L226" s="190">
        <f>'[1]Fuel Values'!$B225</f>
        <v>607</v>
      </c>
      <c r="M226" s="185">
        <f>('LCFS Table'!$L226/100)-'LCFS Table'!$AX226-'LCFS Table'!$AY226-'LCFS Table'!$AZ226-'LCFS Table'!$BA226</f>
        <v>2.2964635493225001</v>
      </c>
      <c r="N226" s="190">
        <f>[1]BFT!$B225</f>
        <v>50.5</v>
      </c>
      <c r="O226" s="190">
        <f>[1]UCO!$B225</f>
        <v>42.1</v>
      </c>
      <c r="P226" s="190">
        <f>[1]DCO!$B225</f>
        <v>53.4</v>
      </c>
      <c r="Q226" s="190">
        <f>'[1]Soybean Oil'!$B225</f>
        <v>66.400000000000006</v>
      </c>
      <c r="R226" s="190">
        <f>'[1]Yellow Grease'!$B225</f>
        <v>41.5</v>
      </c>
      <c r="S226" s="185">
        <f>'LCFS Table'!$N226 + 'LCFS Table'!$AH226</f>
        <v>54.875</v>
      </c>
      <c r="T226" s="185">
        <f>'LCFS Table'!$Q226+'LCFS Table'!$AH226</f>
        <v>70.775000000000006</v>
      </c>
      <c r="U226" s="185">
        <f>'LCFS Table'!$P226+'LCFS Table'!$AH226</f>
        <v>57.774999999999999</v>
      </c>
      <c r="V226" s="185">
        <f>(('LCFS Table'!$S226/'LCFS Table'!$AA226)*'LCFS Table'!$AC226)*6.48</f>
        <v>189.14361702127661</v>
      </c>
      <c r="W226" s="185">
        <f>(('LCFS Table'!$O226/'LCFS Table'!$AA226)*'LCFS Table'!$AD226)*6.48</f>
        <v>72.555319148936178</v>
      </c>
      <c r="X226" s="185">
        <f>(('LCFS Table'!$U226/'LCFS Table'!$AA226)*'LCFS Table'!$AE226)*6.48</f>
        <v>99.569680851063836</v>
      </c>
      <c r="Y226" s="185">
        <f>(('LCFS Table'!$T226/'LCFS Table'!$AB226)*'LCFS Table'!$AF226)*7.35</f>
        <v>406.40332031250006</v>
      </c>
      <c r="Z226" s="185">
        <f>(('LCFS Table'!$R226/'LCFS Table'!$AB226)*'LCFS Table'!$AG226)*7.35</f>
        <v>79.43359375</v>
      </c>
      <c r="AA226" s="138">
        <v>0.94</v>
      </c>
      <c r="AB226" s="138">
        <v>0.96</v>
      </c>
      <c r="AC226" s="138">
        <v>0.5</v>
      </c>
      <c r="AD226" s="138">
        <v>0.25</v>
      </c>
      <c r="AE226" s="138">
        <v>0.25</v>
      </c>
      <c r="AF226" s="138">
        <v>0.75</v>
      </c>
      <c r="AG226" s="138">
        <v>0.25</v>
      </c>
      <c r="AH226" s="139">
        <v>4.375</v>
      </c>
      <c r="AI226" s="139">
        <v>136</v>
      </c>
      <c r="AJ226" s="139">
        <v>110</v>
      </c>
      <c r="AK226" s="186">
        <f>('LCFS Table'!$AI226/340)*100</f>
        <v>40</v>
      </c>
      <c r="AL226" s="186">
        <f>('LCFS Table'!$AJ226/340)*100</f>
        <v>32.352941176470587</v>
      </c>
      <c r="AM226" s="139">
        <v>105</v>
      </c>
      <c r="AN226" s="139">
        <v>90</v>
      </c>
      <c r="AO226" s="139">
        <f>('LCFS Table'!$AM226/300)*100</f>
        <v>35</v>
      </c>
      <c r="AP226" s="139">
        <f>('LCFS Table'!$AN226/300)*100</f>
        <v>30</v>
      </c>
      <c r="AQ226" s="140">
        <f>'[1]LCFS Values'!$B225</f>
        <v>76.3</v>
      </c>
      <c r="AR226" s="140">
        <f>'[1]RIN Values'!$B225/100</f>
        <v>1.5730000000000002</v>
      </c>
      <c r="AS226" s="185">
        <v>0.62185716683168413</v>
      </c>
      <c r="AT226" s="137">
        <v>0.16</v>
      </c>
      <c r="AU226" s="137">
        <v>1</v>
      </c>
      <c r="AV226" s="185">
        <f>'LCFS Table'!$AR226*1.7</f>
        <v>2.6741000000000001</v>
      </c>
      <c r="AW226" s="137">
        <v>0</v>
      </c>
      <c r="AX226" s="185">
        <v>0.4140364506775</v>
      </c>
      <c r="AY226" s="137">
        <v>0</v>
      </c>
      <c r="AZ226" s="141">
        <v>1</v>
      </c>
      <c r="BA226" s="185">
        <f>'LCFS Table'!$AR226*1.5</f>
        <v>2.3595000000000002</v>
      </c>
      <c r="BB226" s="142">
        <v>1.2</v>
      </c>
      <c r="BC226" s="185">
        <f>'LCFS Table'!$AS226*'LCFS Table'!$BW226</f>
        <v>0.62185716683168413</v>
      </c>
      <c r="BD226" s="185">
        <f>'LCFS Table'!$AT226*'LCFS Table'!$BX226</f>
        <v>0</v>
      </c>
      <c r="BE226" s="185">
        <f>'LCFS Table'!$AU226*'LCFS Table'!$BY226</f>
        <v>1</v>
      </c>
      <c r="BF226" s="137">
        <f>'LCFS Table'!$AV226*'LCFS Table'!$BZ226</f>
        <v>2.6741000000000001</v>
      </c>
      <c r="BG226" s="137">
        <f>'LCFS Table'!$AW226*'LCFS Table'!$CA226</f>
        <v>0</v>
      </c>
      <c r="BH226" s="137">
        <f>'LCFS Table'!$AX226*'LCFS Table'!$CB226</f>
        <v>0.4140364506775</v>
      </c>
      <c r="BI226" s="137">
        <f>'LCFS Table'!$AY226*'LCFS Table'!$CC226</f>
        <v>0</v>
      </c>
      <c r="BJ226" s="137">
        <f>'LCFS Table'!$AZ226*'LCFS Table'!$CD226</f>
        <v>1</v>
      </c>
      <c r="BK226" s="137">
        <f>'LCFS Table'!$BA226*'LCFS Table'!$CE226</f>
        <v>2.3595000000000002</v>
      </c>
      <c r="BL226" s="137">
        <f>'LCFS Table'!$BB226*'LCFS Table'!$CF226</f>
        <v>-1.2</v>
      </c>
      <c r="BM226" s="137">
        <f>'LCFS Table'!$AS226*'LCFS Table'!$CG226</f>
        <v>0</v>
      </c>
      <c r="BN226" s="137">
        <f>'LCFS Table'!$AT226*'LCFS Table'!$CH226</f>
        <v>0.16</v>
      </c>
      <c r="BO226" s="137">
        <f>'LCFS Table'!$AU226*'LCFS Table'!$CI226</f>
        <v>0</v>
      </c>
      <c r="BP226" s="137">
        <f>'LCFS Table'!$AV226*'LCFS Table'!$CJ226</f>
        <v>0</v>
      </c>
      <c r="BQ226" s="137">
        <f>'LCFS Table'!$AW226*'LCFS Table'!$CK226</f>
        <v>0</v>
      </c>
      <c r="BR226" s="137">
        <f>'LCFS Table'!$AX226*'LCFS Table'!$CL226</f>
        <v>0</v>
      </c>
      <c r="BS226" s="137">
        <f>'LCFS Table'!$AY226*'LCFS Table'!$CM226</f>
        <v>0</v>
      </c>
      <c r="BT226" s="137">
        <f>'LCFS Table'!$AZ226*'LCFS Table'!$CN226</f>
        <v>0</v>
      </c>
      <c r="BU226" s="137">
        <f>'LCFS Table'!$BA226*'LCFS Table'!$CO226</f>
        <v>0</v>
      </c>
      <c r="BV226" s="142">
        <f>'LCFS Table'!$BB226*'LCFS Table'!$CP226</f>
        <v>1.2</v>
      </c>
      <c r="BW226" s="138">
        <v>1</v>
      </c>
      <c r="BX226" s="138">
        <v>0</v>
      </c>
      <c r="BY226" s="138">
        <v>1</v>
      </c>
      <c r="BZ226" s="138">
        <v>1</v>
      </c>
      <c r="CA226" s="138">
        <v>-1</v>
      </c>
      <c r="CB226" s="138">
        <v>1</v>
      </c>
      <c r="CC226" s="138">
        <v>0</v>
      </c>
      <c r="CD226" s="138">
        <v>1</v>
      </c>
      <c r="CE226" s="138">
        <v>1</v>
      </c>
      <c r="CF226" s="138">
        <v>-1</v>
      </c>
      <c r="CG226" s="138">
        <f>1-'LCFS Table'!$BW226</f>
        <v>0</v>
      </c>
      <c r="CH226" s="138">
        <f>1-'LCFS Table'!$BX226</f>
        <v>1</v>
      </c>
      <c r="CI226" s="138">
        <f>1-'LCFS Table'!$BY226</f>
        <v>0</v>
      </c>
      <c r="CJ226" s="138">
        <f>1-'LCFS Table'!$BZ226</f>
        <v>0</v>
      </c>
      <c r="CK226" s="138">
        <f>-'LCFS Table'!$CA226</f>
        <v>1</v>
      </c>
      <c r="CL226" s="138">
        <f>1-'LCFS Table'!$CB226</f>
        <v>0</v>
      </c>
      <c r="CM226" s="138">
        <f>1-'LCFS Table'!$CC226</f>
        <v>1</v>
      </c>
      <c r="CN226" s="138">
        <f>1-'LCFS Table'!$CD226</f>
        <v>0</v>
      </c>
      <c r="CO226" s="138">
        <f>1-'LCFS Table'!$CE226</f>
        <v>0</v>
      </c>
      <c r="CP226" s="138">
        <f>-'LCFS Table'!$CF226</f>
        <v>1</v>
      </c>
      <c r="CQ226" s="140">
        <v>4.8</v>
      </c>
      <c r="CR226" s="165">
        <f>('LCFS Table'!$CQ226*0.9/(0.8/0.99)/100)</f>
        <v>5.3460000000000001E-2</v>
      </c>
      <c r="CS226" s="166"/>
      <c r="CT226" s="167"/>
      <c r="CW226" s="168">
        <f>'LCFS Table'!$K226-'LCFS Table'!$M226</f>
        <v>0.19223645067750006</v>
      </c>
      <c r="CX226" s="129">
        <f>MONTH('LCFS Table'!$B226)</f>
        <v>4</v>
      </c>
      <c r="CY226" s="129">
        <f>YEAR('LCFS Table'!$B226)</f>
        <v>2023</v>
      </c>
    </row>
    <row r="227" spans="1:103">
      <c r="A227" s="148">
        <v>45032</v>
      </c>
      <c r="B227" s="149">
        <v>45038</v>
      </c>
      <c r="C227" s="132">
        <f t="shared" si="4"/>
        <v>2023</v>
      </c>
      <c r="D227" s="150" t="s">
        <v>272</v>
      </c>
      <c r="E227" s="187">
        <f>'LCFS Table'!$K227-'LCFS Table'!$I227</f>
        <v>-2.0645262202753445</v>
      </c>
      <c r="F227" s="187">
        <f>('LCFS Table'!$M227)-'LCFS Table'!$J227</f>
        <v>-3.3105685824425</v>
      </c>
      <c r="G227" s="188">
        <f>'LCFS Table'!$E227+'LCFS Table'!$AS227+'LCFS Table'!$AT227+'LCFS Table'!$AU227+'LCFS Table'!$AV227</f>
        <v>2.4677620308873411</v>
      </c>
      <c r="H227" s="188">
        <f>'LCFS Table'!$F227+'LCFS Table'!$AX227+'LCFS Table'!$AY227+'LCFS Table'!$AZ227+'LCFS Table'!$BA227+('LCFS Table'!$CQ227*0.9/(0.8/0.99)/100)+(DG227*'LCFS Table'!$AF227)+(DF227*'LCFS Table'!$AG227)</f>
        <v>0.57122070312499962</v>
      </c>
      <c r="I227" s="187">
        <f>('LCFS Table'!$V227+'LCFS Table'!$W227+'LCFS Table'!$X227)/100+(('LCFS Table'!$AI227+'LCFS Table'!$AJ227)/340)</f>
        <v>4.4327262202753444</v>
      </c>
      <c r="J227" s="187">
        <f>(('LCFS Table'!$Y227+'LCFS Table'!$Z227)/100)+(('LCFS Table'!$AM227+'LCFS Table'!$AN227)/300)</f>
        <v>5.5316824218749998</v>
      </c>
      <c r="K227" s="190">
        <f>'[1]Fuel Values'!$C226</f>
        <v>2.3681999999999999</v>
      </c>
      <c r="L227" s="190">
        <f>'[1]Fuel Values'!$B226</f>
        <v>605</v>
      </c>
      <c r="M227" s="185">
        <f>('LCFS Table'!$L227/100)-'LCFS Table'!$AX227-'LCFS Table'!$AY227-'LCFS Table'!$AZ227-'LCFS Table'!$BA227</f>
        <v>2.2211138394324998</v>
      </c>
      <c r="N227" s="190">
        <f>[1]BFT!$B226</f>
        <v>52.5</v>
      </c>
      <c r="O227" s="190">
        <f>[1]UCO!$B226</f>
        <v>42.8</v>
      </c>
      <c r="P227" s="190">
        <f>[1]DCO!$B226</f>
        <v>54.3</v>
      </c>
      <c r="Q227" s="190">
        <f>'[1]Soybean Oil'!$B226</f>
        <v>66.805999999999997</v>
      </c>
      <c r="R227" s="190">
        <f>'[1]Yellow Grease'!$B226</f>
        <v>41.5</v>
      </c>
      <c r="S227" s="185">
        <f>'LCFS Table'!$N227 + 'LCFS Table'!$AH227</f>
        <v>56.875</v>
      </c>
      <c r="T227" s="185">
        <f>'LCFS Table'!$Q227+'LCFS Table'!$AH227</f>
        <v>71.180999999999997</v>
      </c>
      <c r="U227" s="185">
        <f>'LCFS Table'!$P227+'LCFS Table'!$AH227</f>
        <v>58.674999999999997</v>
      </c>
      <c r="V227" s="185">
        <f>(('LCFS Table'!$S227/'LCFS Table'!$AA227)*'LCFS Table'!$AC227)*6.48</f>
        <v>196.03723404255322</v>
      </c>
      <c r="W227" s="185">
        <f>(('LCFS Table'!$O227/'LCFS Table'!$AA227)*'LCFS Table'!$AD227)*6.48</f>
        <v>73.761702127659575</v>
      </c>
      <c r="X227" s="185">
        <f>(('LCFS Table'!$U227/'LCFS Table'!$AA227)*'LCFS Table'!$AE227)*6.48</f>
        <v>101.12074468085106</v>
      </c>
      <c r="Y227" s="185">
        <f>(('LCFS Table'!$T227/'LCFS Table'!$AB227)*'LCFS Table'!$AF227)*7.35</f>
        <v>408.73464843749997</v>
      </c>
      <c r="Z227" s="185">
        <f>(('LCFS Table'!$R227/'LCFS Table'!$AB227)*'LCFS Table'!$AG227)*7.35</f>
        <v>79.43359375</v>
      </c>
      <c r="AA227" s="138">
        <v>0.94</v>
      </c>
      <c r="AB227" s="138">
        <v>0.96</v>
      </c>
      <c r="AC227" s="138">
        <v>0.5</v>
      </c>
      <c r="AD227" s="138">
        <v>0.25</v>
      </c>
      <c r="AE227" s="138">
        <v>0.25</v>
      </c>
      <c r="AF227" s="138">
        <v>0.75</v>
      </c>
      <c r="AG227" s="138">
        <v>0.25</v>
      </c>
      <c r="AH227" s="139">
        <v>4.375</v>
      </c>
      <c r="AI227" s="139">
        <v>136</v>
      </c>
      <c r="AJ227" s="139">
        <v>110</v>
      </c>
      <c r="AK227" s="186">
        <f>('LCFS Table'!$AI227/340)*100</f>
        <v>40</v>
      </c>
      <c r="AL227" s="186">
        <f>('LCFS Table'!$AJ227/340)*100</f>
        <v>32.352941176470587</v>
      </c>
      <c r="AM227" s="139">
        <v>105</v>
      </c>
      <c r="AN227" s="139">
        <v>90</v>
      </c>
      <c r="AO227" s="139">
        <f>('LCFS Table'!$AM227/300)*100</f>
        <v>35</v>
      </c>
      <c r="AP227" s="139">
        <f>('LCFS Table'!$AN227/300)*100</f>
        <v>30</v>
      </c>
      <c r="AQ227" s="140">
        <f>'[1]LCFS Values'!$B226</f>
        <v>83.1</v>
      </c>
      <c r="AR227" s="140">
        <f>'[1]RIN Values'!$B226/100</f>
        <v>1.5852999999999999</v>
      </c>
      <c r="AS227" s="185">
        <v>0.67727825116268603</v>
      </c>
      <c r="AT227" s="137">
        <v>0.16</v>
      </c>
      <c r="AU227" s="137">
        <v>1</v>
      </c>
      <c r="AV227" s="185">
        <f>'LCFS Table'!$AR227*1.7</f>
        <v>2.6950099999999999</v>
      </c>
      <c r="AW227" s="137">
        <v>0</v>
      </c>
      <c r="AX227" s="185">
        <v>0.45093616056749997</v>
      </c>
      <c r="AY227" s="137">
        <v>0</v>
      </c>
      <c r="AZ227" s="141">
        <v>1</v>
      </c>
      <c r="BA227" s="185">
        <f>'LCFS Table'!$AR227*1.5</f>
        <v>2.3779499999999998</v>
      </c>
      <c r="BB227" s="142">
        <v>1.2</v>
      </c>
      <c r="BC227" s="185">
        <f>'LCFS Table'!$AS227*'LCFS Table'!$BW227</f>
        <v>0.67727825116268603</v>
      </c>
      <c r="BD227" s="185">
        <f>'LCFS Table'!$AT227*'LCFS Table'!$BX227</f>
        <v>0</v>
      </c>
      <c r="BE227" s="185">
        <f>'LCFS Table'!$AU227*'LCFS Table'!$BY227</f>
        <v>1</v>
      </c>
      <c r="BF227" s="137">
        <f>'LCFS Table'!$AV227*'LCFS Table'!$BZ227</f>
        <v>2.6950099999999999</v>
      </c>
      <c r="BG227" s="137">
        <f>'LCFS Table'!$AW227*'LCFS Table'!$CA227</f>
        <v>0</v>
      </c>
      <c r="BH227" s="137">
        <f>'LCFS Table'!$AX227*'LCFS Table'!$CB227</f>
        <v>0.45093616056749997</v>
      </c>
      <c r="BI227" s="137">
        <f>'LCFS Table'!$AY227*'LCFS Table'!$CC227</f>
        <v>0</v>
      </c>
      <c r="BJ227" s="137">
        <f>'LCFS Table'!$AZ227*'LCFS Table'!$CD227</f>
        <v>1</v>
      </c>
      <c r="BK227" s="137">
        <f>'LCFS Table'!$BA227*'LCFS Table'!$CE227</f>
        <v>2.3779499999999998</v>
      </c>
      <c r="BL227" s="137">
        <f>'LCFS Table'!$BB227*'LCFS Table'!$CF227</f>
        <v>-1.2</v>
      </c>
      <c r="BM227" s="137">
        <f>'LCFS Table'!$AS227*'LCFS Table'!$CG227</f>
        <v>0</v>
      </c>
      <c r="BN227" s="137">
        <f>'LCFS Table'!$AT227*'LCFS Table'!$CH227</f>
        <v>0.16</v>
      </c>
      <c r="BO227" s="137">
        <f>'LCFS Table'!$AU227*'LCFS Table'!$CI227</f>
        <v>0</v>
      </c>
      <c r="BP227" s="137">
        <f>'LCFS Table'!$AV227*'LCFS Table'!$CJ227</f>
        <v>0</v>
      </c>
      <c r="BQ227" s="137">
        <f>'LCFS Table'!$AW227*'LCFS Table'!$CK227</f>
        <v>0</v>
      </c>
      <c r="BR227" s="137">
        <f>'LCFS Table'!$AX227*'LCFS Table'!$CL227</f>
        <v>0</v>
      </c>
      <c r="BS227" s="137">
        <f>'LCFS Table'!$AY227*'LCFS Table'!$CM227</f>
        <v>0</v>
      </c>
      <c r="BT227" s="137">
        <f>'LCFS Table'!$AZ227*'LCFS Table'!$CN227</f>
        <v>0</v>
      </c>
      <c r="BU227" s="137">
        <f>'LCFS Table'!$BA227*'LCFS Table'!$CO227</f>
        <v>0</v>
      </c>
      <c r="BV227" s="142">
        <f>'LCFS Table'!$BB227*'LCFS Table'!$CP227</f>
        <v>1.2</v>
      </c>
      <c r="BW227" s="138">
        <v>1</v>
      </c>
      <c r="BX227" s="138">
        <v>0</v>
      </c>
      <c r="BY227" s="138">
        <v>1</v>
      </c>
      <c r="BZ227" s="138">
        <v>1</v>
      </c>
      <c r="CA227" s="138">
        <v>-1</v>
      </c>
      <c r="CB227" s="138">
        <v>1</v>
      </c>
      <c r="CC227" s="138">
        <v>0</v>
      </c>
      <c r="CD227" s="138">
        <v>1</v>
      </c>
      <c r="CE227" s="138">
        <v>1</v>
      </c>
      <c r="CF227" s="138">
        <v>-1</v>
      </c>
      <c r="CG227" s="138">
        <f>1-'LCFS Table'!$BW227</f>
        <v>0</v>
      </c>
      <c r="CH227" s="138">
        <f>1-'LCFS Table'!$BX227</f>
        <v>1</v>
      </c>
      <c r="CI227" s="138">
        <f>1-'LCFS Table'!$BY227</f>
        <v>0</v>
      </c>
      <c r="CJ227" s="138">
        <f>1-'LCFS Table'!$BZ227</f>
        <v>0</v>
      </c>
      <c r="CK227" s="138">
        <f>-'LCFS Table'!$CA227</f>
        <v>1</v>
      </c>
      <c r="CL227" s="138">
        <f>1-'LCFS Table'!$CB227</f>
        <v>0</v>
      </c>
      <c r="CM227" s="138">
        <f>1-'LCFS Table'!$CC227</f>
        <v>1</v>
      </c>
      <c r="CN227" s="138">
        <f>1-'LCFS Table'!$CD227</f>
        <v>0</v>
      </c>
      <c r="CO227" s="138">
        <f>1-'LCFS Table'!$CE227</f>
        <v>0</v>
      </c>
      <c r="CP227" s="138">
        <f>-'LCFS Table'!$CF227</f>
        <v>1</v>
      </c>
      <c r="CQ227" s="140">
        <v>4.75</v>
      </c>
      <c r="CR227" s="165">
        <f>('LCFS Table'!$CQ227*0.9/(0.8/0.99)/100)</f>
        <v>5.2903124999999995E-2</v>
      </c>
      <c r="CS227" s="166"/>
      <c r="CT227" s="167"/>
      <c r="CW227" s="168">
        <f>'LCFS Table'!$K227-'LCFS Table'!$M227</f>
        <v>0.14708616056750001</v>
      </c>
      <c r="CX227" s="129">
        <f>MONTH('LCFS Table'!$B227)</f>
        <v>4</v>
      </c>
      <c r="CY227" s="129">
        <f>YEAR('LCFS Table'!$B227)</f>
        <v>2023</v>
      </c>
    </row>
    <row r="228" spans="1:103">
      <c r="A228" s="148">
        <v>45039</v>
      </c>
      <c r="B228" s="149">
        <v>45045</v>
      </c>
      <c r="C228" s="132">
        <f t="shared" si="4"/>
        <v>2023</v>
      </c>
      <c r="D228" s="150" t="s">
        <v>273</v>
      </c>
      <c r="E228" s="187">
        <f>'LCFS Table'!$K228-'LCFS Table'!$I228</f>
        <v>-2.3147943053817275</v>
      </c>
      <c r="F228" s="187">
        <f>('LCFS Table'!$M228)-'LCFS Table'!$J228</f>
        <v>-3.1616307411812494</v>
      </c>
      <c r="G228" s="188">
        <f>'LCFS Table'!$E228+'LCFS Table'!$AS228+'LCFS Table'!$AT228+'LCFS Table'!$AU228+'LCFS Table'!$AV228</f>
        <v>2.1380058318582593</v>
      </c>
      <c r="H228" s="188">
        <f>'LCFS Table'!$F228+'LCFS Table'!$AX228+'LCFS Table'!$AY228+'LCFS Table'!$AZ228+'LCFS Table'!$BA228+('LCFS Table'!$CQ228*0.9/(0.8/0.99)/100)+(DG228*'LCFS Table'!$AF228)+(DF228*'LCFS Table'!$AG228)</f>
        <v>0.6568167968750005</v>
      </c>
      <c r="I228" s="187">
        <f>('LCFS Table'!$V228+'LCFS Table'!$W228+'LCFS Table'!$X228)/100+(('LCFS Table'!$AI228+'LCFS Table'!$AJ228)/340)</f>
        <v>4.5481943053817275</v>
      </c>
      <c r="J228" s="187">
        <f>(('LCFS Table'!$Y228+'LCFS Table'!$Z228)/100)+(('LCFS Table'!$AM228+'LCFS Table'!$AN228)/300)</f>
        <v>5.3560863281249995</v>
      </c>
      <c r="K228" s="190">
        <f>'[1]Fuel Values'!$C227</f>
        <v>2.2334000000000001</v>
      </c>
      <c r="L228" s="190">
        <f>'[1]Fuel Values'!$B227</f>
        <v>596</v>
      </c>
      <c r="M228" s="185">
        <f>('LCFS Table'!$L228/100)-'LCFS Table'!$AX228-'LCFS Table'!$AY228-'LCFS Table'!$AZ228-'LCFS Table'!$BA228</f>
        <v>2.1944555869437501</v>
      </c>
      <c r="N228" s="190">
        <f>[1]BFT!$B227</f>
        <v>55.6</v>
      </c>
      <c r="O228" s="190">
        <f>[1]UCO!$B227</f>
        <v>42.9</v>
      </c>
      <c r="P228" s="190">
        <f>[1]DCO!$B227</f>
        <v>54.7</v>
      </c>
      <c r="Q228" s="190">
        <f>'[1]Soybean Oil'!$B227</f>
        <v>63.747999999999998</v>
      </c>
      <c r="R228" s="190">
        <f>'[1]Yellow Grease'!$B227</f>
        <v>41.5</v>
      </c>
      <c r="S228" s="185">
        <f>'LCFS Table'!$N228 + 'LCFS Table'!$AH228</f>
        <v>59.975000000000001</v>
      </c>
      <c r="T228" s="185">
        <f>'LCFS Table'!$Q228+'LCFS Table'!$AH228</f>
        <v>68.12299999999999</v>
      </c>
      <c r="U228" s="185">
        <f>'LCFS Table'!$P228+'LCFS Table'!$AH228</f>
        <v>59.075000000000003</v>
      </c>
      <c r="V228" s="185">
        <f>(('LCFS Table'!$S228/'LCFS Table'!$AA228)*'LCFS Table'!$AC228)*6.48</f>
        <v>206.72234042553194</v>
      </c>
      <c r="W228" s="185">
        <f>(('LCFS Table'!$O228/'LCFS Table'!$AA228)*'LCFS Table'!$AD228)*6.48</f>
        <v>73.934042553191489</v>
      </c>
      <c r="X228" s="185">
        <f>(('LCFS Table'!$U228/'LCFS Table'!$AA228)*'LCFS Table'!$AE228)*6.48</f>
        <v>101.81010638297874</v>
      </c>
      <c r="Y228" s="185">
        <f>(('LCFS Table'!$T228/'LCFS Table'!$AB228)*'LCFS Table'!$AF228)*7.35</f>
        <v>391.17503906249993</v>
      </c>
      <c r="Z228" s="185">
        <f>(('LCFS Table'!$R228/'LCFS Table'!$AB228)*'LCFS Table'!$AG228)*7.35</f>
        <v>79.43359375</v>
      </c>
      <c r="AA228" s="138">
        <v>0.94</v>
      </c>
      <c r="AB228" s="138">
        <v>0.96</v>
      </c>
      <c r="AC228" s="138">
        <v>0.5</v>
      </c>
      <c r="AD228" s="138">
        <v>0.25</v>
      </c>
      <c r="AE228" s="138">
        <v>0.25</v>
      </c>
      <c r="AF228" s="138">
        <v>0.75</v>
      </c>
      <c r="AG228" s="138">
        <v>0.25</v>
      </c>
      <c r="AH228" s="139">
        <v>4.375</v>
      </c>
      <c r="AI228" s="139">
        <v>136</v>
      </c>
      <c r="AJ228" s="139">
        <v>110</v>
      </c>
      <c r="AK228" s="186">
        <f>('LCFS Table'!$AI228/340)*100</f>
        <v>40</v>
      </c>
      <c r="AL228" s="186">
        <f>('LCFS Table'!$AJ228/340)*100</f>
        <v>32.352941176470587</v>
      </c>
      <c r="AM228" s="139">
        <v>105</v>
      </c>
      <c r="AN228" s="139">
        <v>90</v>
      </c>
      <c r="AO228" s="139">
        <f>('LCFS Table'!$AM228/300)*100</f>
        <v>35</v>
      </c>
      <c r="AP228" s="139">
        <f>('LCFS Table'!$AN228/300)*100</f>
        <v>30</v>
      </c>
      <c r="AQ228" s="140">
        <f>'[1]LCFS Values'!$B227</f>
        <v>79.25</v>
      </c>
      <c r="AR228" s="140">
        <f>'[1]RIN Values'!$B227/100</f>
        <v>1.5569999999999999</v>
      </c>
      <c r="AS228" s="185">
        <v>0.64590013723998652</v>
      </c>
      <c r="AT228" s="137">
        <v>0.16</v>
      </c>
      <c r="AU228" s="137">
        <v>1</v>
      </c>
      <c r="AV228" s="185">
        <f>'LCFS Table'!$AR228*1.7</f>
        <v>2.6469</v>
      </c>
      <c r="AW228" s="137">
        <v>0</v>
      </c>
      <c r="AX228" s="185">
        <v>0.43004441305625002</v>
      </c>
      <c r="AY228" s="137">
        <v>0</v>
      </c>
      <c r="AZ228" s="141">
        <v>1</v>
      </c>
      <c r="BA228" s="185">
        <f>'LCFS Table'!$AR228*1.5</f>
        <v>2.3354999999999997</v>
      </c>
      <c r="BB228" s="142">
        <v>1.2</v>
      </c>
      <c r="BC228" s="185">
        <f>'LCFS Table'!$AS228*'LCFS Table'!$BW228</f>
        <v>0.64590013723998652</v>
      </c>
      <c r="BD228" s="185">
        <f>'LCFS Table'!$AT228*'LCFS Table'!$BX228</f>
        <v>0</v>
      </c>
      <c r="BE228" s="185">
        <f>'LCFS Table'!$AU228*'LCFS Table'!$BY228</f>
        <v>1</v>
      </c>
      <c r="BF228" s="137">
        <f>'LCFS Table'!$AV228*'LCFS Table'!$BZ228</f>
        <v>2.6469</v>
      </c>
      <c r="BG228" s="137">
        <f>'LCFS Table'!$AW228*'LCFS Table'!$CA228</f>
        <v>0</v>
      </c>
      <c r="BH228" s="137">
        <f>'LCFS Table'!$AX228*'LCFS Table'!$CB228</f>
        <v>0.43004441305625002</v>
      </c>
      <c r="BI228" s="137">
        <f>'LCFS Table'!$AY228*'LCFS Table'!$CC228</f>
        <v>0</v>
      </c>
      <c r="BJ228" s="137">
        <f>'LCFS Table'!$AZ228*'LCFS Table'!$CD228</f>
        <v>1</v>
      </c>
      <c r="BK228" s="137">
        <f>'LCFS Table'!$BA228*'LCFS Table'!$CE228</f>
        <v>2.3354999999999997</v>
      </c>
      <c r="BL228" s="137">
        <f>'LCFS Table'!$BB228*'LCFS Table'!$CF228</f>
        <v>-1.2</v>
      </c>
      <c r="BM228" s="137">
        <f>'LCFS Table'!$AS228*'LCFS Table'!$CG228</f>
        <v>0</v>
      </c>
      <c r="BN228" s="137">
        <f>'LCFS Table'!$AT228*'LCFS Table'!$CH228</f>
        <v>0.16</v>
      </c>
      <c r="BO228" s="137">
        <f>'LCFS Table'!$AU228*'LCFS Table'!$CI228</f>
        <v>0</v>
      </c>
      <c r="BP228" s="137">
        <f>'LCFS Table'!$AV228*'LCFS Table'!$CJ228</f>
        <v>0</v>
      </c>
      <c r="BQ228" s="137">
        <f>'LCFS Table'!$AW228*'LCFS Table'!$CK228</f>
        <v>0</v>
      </c>
      <c r="BR228" s="137">
        <f>'LCFS Table'!$AX228*'LCFS Table'!$CL228</f>
        <v>0</v>
      </c>
      <c r="BS228" s="137">
        <f>'LCFS Table'!$AY228*'LCFS Table'!$CM228</f>
        <v>0</v>
      </c>
      <c r="BT228" s="137">
        <f>'LCFS Table'!$AZ228*'LCFS Table'!$CN228</f>
        <v>0</v>
      </c>
      <c r="BU228" s="137">
        <f>'LCFS Table'!$BA228*'LCFS Table'!$CO228</f>
        <v>0</v>
      </c>
      <c r="BV228" s="142">
        <f>'LCFS Table'!$BB228*'LCFS Table'!$CP228</f>
        <v>1.2</v>
      </c>
      <c r="BW228" s="138">
        <v>1</v>
      </c>
      <c r="BX228" s="138">
        <v>0</v>
      </c>
      <c r="BY228" s="138">
        <v>1</v>
      </c>
      <c r="BZ228" s="138">
        <v>1</v>
      </c>
      <c r="CA228" s="138">
        <v>-1</v>
      </c>
      <c r="CB228" s="138">
        <v>1</v>
      </c>
      <c r="CC228" s="138">
        <v>0</v>
      </c>
      <c r="CD228" s="138">
        <v>1</v>
      </c>
      <c r="CE228" s="138">
        <v>1</v>
      </c>
      <c r="CF228" s="138">
        <v>-1</v>
      </c>
      <c r="CG228" s="138">
        <f>1-'LCFS Table'!$BW228</f>
        <v>0</v>
      </c>
      <c r="CH228" s="138">
        <f>1-'LCFS Table'!$BX228</f>
        <v>1</v>
      </c>
      <c r="CI228" s="138">
        <f>1-'LCFS Table'!$BY228</f>
        <v>0</v>
      </c>
      <c r="CJ228" s="138">
        <f>1-'LCFS Table'!$BZ228</f>
        <v>0</v>
      </c>
      <c r="CK228" s="138">
        <f>-'LCFS Table'!$CA228</f>
        <v>1</v>
      </c>
      <c r="CL228" s="138">
        <f>1-'LCFS Table'!$CB228</f>
        <v>0</v>
      </c>
      <c r="CM228" s="138">
        <f>1-'LCFS Table'!$CC228</f>
        <v>1</v>
      </c>
      <c r="CN228" s="138">
        <f>1-'LCFS Table'!$CD228</f>
        <v>0</v>
      </c>
      <c r="CO228" s="138">
        <f>1-'LCFS Table'!$CE228</f>
        <v>0</v>
      </c>
      <c r="CP228" s="138">
        <f>-'LCFS Table'!$CF228</f>
        <v>1</v>
      </c>
      <c r="CQ228" s="140">
        <v>4.75</v>
      </c>
      <c r="CR228" s="165">
        <f>('LCFS Table'!$CQ228*0.9/(0.8/0.99)/100)</f>
        <v>5.2903124999999995E-2</v>
      </c>
      <c r="CS228" s="166"/>
      <c r="CT228" s="167"/>
      <c r="CW228" s="168">
        <f>'LCFS Table'!$K228-'LCFS Table'!$M228</f>
        <v>3.894441305624996E-2</v>
      </c>
      <c r="CX228" s="129">
        <f>MONTH('LCFS Table'!$B228)</f>
        <v>4</v>
      </c>
      <c r="CY228" s="129">
        <f>YEAR('LCFS Table'!$B228)</f>
        <v>2023</v>
      </c>
    </row>
    <row r="229" spans="1:103">
      <c r="A229" s="148">
        <v>45046</v>
      </c>
      <c r="B229" s="149">
        <v>45052</v>
      </c>
      <c r="C229" s="132">
        <f t="shared" si="4"/>
        <v>2023</v>
      </c>
      <c r="D229" s="150" t="s">
        <v>274</v>
      </c>
      <c r="E229" s="187">
        <f>'LCFS Table'!$K229-'LCFS Table'!$I229</f>
        <v>-2.4766262202753442</v>
      </c>
      <c r="F229" s="187">
        <f>('LCFS Table'!$M229)-'LCFS Table'!$J229</f>
        <v>-3.3534927959524996</v>
      </c>
      <c r="G229" s="188">
        <f>'LCFS Table'!$E229+'LCFS Table'!$AS229+'LCFS Table'!$AT229+'LCFS Table'!$AU229+'LCFS Table'!$AV229</f>
        <v>2.0470822222398715</v>
      </c>
      <c r="H229" s="188">
        <f>'LCFS Table'!$F229+'LCFS Table'!$AX229+'LCFS Table'!$AY229+'LCFS Table'!$AZ229+'LCFS Table'!$BA229+('LCFS Table'!$CQ229*0.9/(0.8/0.99)/100)+(DG229*'LCFS Table'!$AF229)+(DF229*'LCFS Table'!$AG229)</f>
        <v>0.52000039062500003</v>
      </c>
      <c r="I229" s="187">
        <f>('LCFS Table'!$V229+'LCFS Table'!$W229+'LCFS Table'!$X229)/100+(('LCFS Table'!$AI229+'LCFS Table'!$AJ229)/340)</f>
        <v>4.5947262202753443</v>
      </c>
      <c r="J229" s="187">
        <f>(('LCFS Table'!$Y229+'LCFS Table'!$Z229)/100)+(('LCFS Table'!$AM229+'LCFS Table'!$AN229)/300)</f>
        <v>5.4342949218749999</v>
      </c>
      <c r="K229" s="190">
        <f>'[1]Fuel Values'!$C228</f>
        <v>2.1181000000000001</v>
      </c>
      <c r="L229" s="190">
        <f>'[1]Fuel Values'!$B228</f>
        <v>590</v>
      </c>
      <c r="M229" s="185">
        <f>('LCFS Table'!$L229/100)-'LCFS Table'!$AX229-'LCFS Table'!$AY229-'LCFS Table'!$AZ229-'LCFS Table'!$BA229</f>
        <v>2.0808021259225002</v>
      </c>
      <c r="N229" s="190">
        <f>[1]BFT!$B228</f>
        <v>56</v>
      </c>
      <c r="O229" s="190">
        <f>[1]UCO!$B228</f>
        <v>44.5</v>
      </c>
      <c r="P229" s="190">
        <f>[1]DCO!$B228</f>
        <v>55</v>
      </c>
      <c r="Q229" s="190">
        <f>'[1]Soybean Oil'!$B228</f>
        <v>64.91</v>
      </c>
      <c r="R229" s="190">
        <f>'[1]Yellow Grease'!$B228</f>
        <v>42.1</v>
      </c>
      <c r="S229" s="185">
        <f>'LCFS Table'!$N229 + 'LCFS Table'!$AH229</f>
        <v>60.375</v>
      </c>
      <c r="T229" s="185">
        <f>'LCFS Table'!$Q229+'LCFS Table'!$AH229</f>
        <v>69.284999999999997</v>
      </c>
      <c r="U229" s="185">
        <f>'LCFS Table'!$P229+'LCFS Table'!$AH229</f>
        <v>59.375</v>
      </c>
      <c r="V229" s="185">
        <f>(('LCFS Table'!$S229/'LCFS Table'!$AA229)*'LCFS Table'!$AC229)*6.48</f>
        <v>208.10106382978725</v>
      </c>
      <c r="W229" s="185">
        <f>(('LCFS Table'!$O229/'LCFS Table'!$AA229)*'LCFS Table'!$AD229)*6.48</f>
        <v>76.691489361702139</v>
      </c>
      <c r="X229" s="185">
        <f>(('LCFS Table'!$U229/'LCFS Table'!$AA229)*'LCFS Table'!$AE229)*6.48</f>
        <v>102.32712765957447</v>
      </c>
      <c r="Y229" s="185">
        <f>(('LCFS Table'!$T229/'LCFS Table'!$AB229)*'LCFS Table'!$AF229)*7.35</f>
        <v>397.84746093749999</v>
      </c>
      <c r="Z229" s="185">
        <f>(('LCFS Table'!$R229/'LCFS Table'!$AB229)*'LCFS Table'!$AG229)*7.35</f>
        <v>80.58203125</v>
      </c>
      <c r="AA229" s="138">
        <v>0.94</v>
      </c>
      <c r="AB229" s="138">
        <v>0.96</v>
      </c>
      <c r="AC229" s="138">
        <v>0.5</v>
      </c>
      <c r="AD229" s="138">
        <v>0.25</v>
      </c>
      <c r="AE229" s="138">
        <v>0.25</v>
      </c>
      <c r="AF229" s="138">
        <v>0.75</v>
      </c>
      <c r="AG229" s="138">
        <v>0.25</v>
      </c>
      <c r="AH229" s="139">
        <v>4.375</v>
      </c>
      <c r="AI229" s="139">
        <v>136</v>
      </c>
      <c r="AJ229" s="139">
        <v>110</v>
      </c>
      <c r="AK229" s="186">
        <f>('LCFS Table'!$AI229/340)*100</f>
        <v>40</v>
      </c>
      <c r="AL229" s="186">
        <f>('LCFS Table'!$AJ229/340)*100</f>
        <v>32.352941176470587</v>
      </c>
      <c r="AM229" s="139">
        <v>105</v>
      </c>
      <c r="AN229" s="139">
        <v>90</v>
      </c>
      <c r="AO229" s="139">
        <f>('LCFS Table'!$AM229/300)*100</f>
        <v>35</v>
      </c>
      <c r="AP229" s="139">
        <f>('LCFS Table'!$AN229/300)*100</f>
        <v>30</v>
      </c>
      <c r="AQ229" s="140">
        <f>'[1]LCFS Values'!$B228</f>
        <v>84.3</v>
      </c>
      <c r="AR229" s="140">
        <f>'[1]RIN Values'!$B228/100</f>
        <v>1.5744999999999998</v>
      </c>
      <c r="AS229" s="185">
        <v>0.68705844251521586</v>
      </c>
      <c r="AT229" s="137">
        <v>0.16</v>
      </c>
      <c r="AU229" s="137">
        <v>1</v>
      </c>
      <c r="AV229" s="185">
        <f>'LCFS Table'!$AR229*1.7</f>
        <v>2.6766499999999995</v>
      </c>
      <c r="AW229" s="137">
        <v>0</v>
      </c>
      <c r="AX229" s="185">
        <v>0.45744787407750004</v>
      </c>
      <c r="AY229" s="137">
        <v>0</v>
      </c>
      <c r="AZ229" s="141">
        <v>1</v>
      </c>
      <c r="BA229" s="185">
        <f>'LCFS Table'!$AR229*1.5</f>
        <v>2.3617499999999998</v>
      </c>
      <c r="BB229" s="142">
        <v>1.2</v>
      </c>
      <c r="BC229" s="185">
        <f>'LCFS Table'!$AS229*'LCFS Table'!$BW229</f>
        <v>0.68705844251521586</v>
      </c>
      <c r="BD229" s="185">
        <f>'LCFS Table'!$AT229*'LCFS Table'!$BX229</f>
        <v>0</v>
      </c>
      <c r="BE229" s="185">
        <f>'LCFS Table'!$AU229*'LCFS Table'!$BY229</f>
        <v>1</v>
      </c>
      <c r="BF229" s="137">
        <f>'LCFS Table'!$AV229*'LCFS Table'!$BZ229</f>
        <v>2.6766499999999995</v>
      </c>
      <c r="BG229" s="137">
        <f>'LCFS Table'!$AW229*'LCFS Table'!$CA229</f>
        <v>0</v>
      </c>
      <c r="BH229" s="137">
        <f>'LCFS Table'!$AX229*'LCFS Table'!$CB229</f>
        <v>0.45744787407750004</v>
      </c>
      <c r="BI229" s="137">
        <f>'LCFS Table'!$AY229*'LCFS Table'!$CC229</f>
        <v>0</v>
      </c>
      <c r="BJ229" s="137">
        <f>'LCFS Table'!$AZ229*'LCFS Table'!$CD229</f>
        <v>1</v>
      </c>
      <c r="BK229" s="137">
        <f>'LCFS Table'!$BA229*'LCFS Table'!$CE229</f>
        <v>2.3617499999999998</v>
      </c>
      <c r="BL229" s="137">
        <f>'LCFS Table'!$BB229*'LCFS Table'!$CF229</f>
        <v>-1.2</v>
      </c>
      <c r="BM229" s="137">
        <f>'LCFS Table'!$AS229*'LCFS Table'!$CG229</f>
        <v>0</v>
      </c>
      <c r="BN229" s="137">
        <f>'LCFS Table'!$AT229*'LCFS Table'!$CH229</f>
        <v>0.16</v>
      </c>
      <c r="BO229" s="137">
        <f>'LCFS Table'!$AU229*'LCFS Table'!$CI229</f>
        <v>0</v>
      </c>
      <c r="BP229" s="137">
        <f>'LCFS Table'!$AV229*'LCFS Table'!$CJ229</f>
        <v>0</v>
      </c>
      <c r="BQ229" s="137">
        <f>'LCFS Table'!$AW229*'LCFS Table'!$CK229</f>
        <v>0</v>
      </c>
      <c r="BR229" s="137">
        <f>'LCFS Table'!$AX229*'LCFS Table'!$CL229</f>
        <v>0</v>
      </c>
      <c r="BS229" s="137">
        <f>'LCFS Table'!$AY229*'LCFS Table'!$CM229</f>
        <v>0</v>
      </c>
      <c r="BT229" s="137">
        <f>'LCFS Table'!$AZ229*'LCFS Table'!$CN229</f>
        <v>0</v>
      </c>
      <c r="BU229" s="137">
        <f>'LCFS Table'!$BA229*'LCFS Table'!$CO229</f>
        <v>0</v>
      </c>
      <c r="BV229" s="142">
        <f>'LCFS Table'!$BB229*'LCFS Table'!$CP229</f>
        <v>1.2</v>
      </c>
      <c r="BW229" s="138">
        <v>1</v>
      </c>
      <c r="BX229" s="138">
        <v>0</v>
      </c>
      <c r="BY229" s="138">
        <v>1</v>
      </c>
      <c r="BZ229" s="138">
        <v>1</v>
      </c>
      <c r="CA229" s="138">
        <v>-1</v>
      </c>
      <c r="CB229" s="138">
        <v>1</v>
      </c>
      <c r="CC229" s="138">
        <v>0</v>
      </c>
      <c r="CD229" s="138">
        <v>1</v>
      </c>
      <c r="CE229" s="138">
        <v>1</v>
      </c>
      <c r="CF229" s="138">
        <v>-1</v>
      </c>
      <c r="CG229" s="138">
        <f>1-'LCFS Table'!$BW229</f>
        <v>0</v>
      </c>
      <c r="CH229" s="138">
        <f>1-'LCFS Table'!$BX229</f>
        <v>1</v>
      </c>
      <c r="CI229" s="138">
        <f>1-'LCFS Table'!$BY229</f>
        <v>0</v>
      </c>
      <c r="CJ229" s="138">
        <f>1-'LCFS Table'!$BZ229</f>
        <v>0</v>
      </c>
      <c r="CK229" s="138">
        <f>-'LCFS Table'!$CA229</f>
        <v>1</v>
      </c>
      <c r="CL229" s="138">
        <f>1-'LCFS Table'!$CB229</f>
        <v>0</v>
      </c>
      <c r="CM229" s="138">
        <f>1-'LCFS Table'!$CC229</f>
        <v>1</v>
      </c>
      <c r="CN229" s="138">
        <f>1-'LCFS Table'!$CD229</f>
        <v>0</v>
      </c>
      <c r="CO229" s="138">
        <f>1-'LCFS Table'!$CE229</f>
        <v>0</v>
      </c>
      <c r="CP229" s="138">
        <f>-'LCFS Table'!$CF229</f>
        <v>1</v>
      </c>
      <c r="CQ229" s="140">
        <v>4.875</v>
      </c>
      <c r="CR229" s="165">
        <f>('LCFS Table'!$CQ229*0.9/(0.8/0.99)/100)</f>
        <v>5.4295312499999991E-2</v>
      </c>
      <c r="CS229" s="166"/>
      <c r="CT229" s="167"/>
      <c r="CW229" s="168">
        <f>'LCFS Table'!$K229-'LCFS Table'!$M229</f>
        <v>3.7297874077499849E-2</v>
      </c>
      <c r="CX229" s="129">
        <f>MONTH('LCFS Table'!$B229)</f>
        <v>5</v>
      </c>
      <c r="CY229" s="129">
        <f>YEAR('LCFS Table'!$B229)</f>
        <v>2023</v>
      </c>
    </row>
    <row r="230" spans="1:103">
      <c r="A230" s="148">
        <v>45053</v>
      </c>
      <c r="B230" s="149">
        <v>45059</v>
      </c>
      <c r="C230" s="132">
        <f t="shared" si="4"/>
        <v>2023</v>
      </c>
      <c r="D230" s="150" t="s">
        <v>275</v>
      </c>
      <c r="E230" s="187">
        <f>'LCFS Table'!$K230-'LCFS Table'!$I230</f>
        <v>-2.4673283479349193</v>
      </c>
      <c r="F230" s="187">
        <f>('LCFS Table'!$M230)-'LCFS Table'!$J230</f>
        <v>-3.3191748582262495</v>
      </c>
      <c r="G230" s="188">
        <f>'LCFS Table'!$E230+'LCFS Table'!$AS230+'LCFS Table'!$AT230+'LCFS Table'!$AU230+'LCFS Table'!$AV230</f>
        <v>2.0345826503914513</v>
      </c>
      <c r="H230" s="188">
        <f>'LCFS Table'!$F230+'LCFS Table'!$AX230+'LCFS Table'!$AY230+'LCFS Table'!$AZ230+'LCFS Table'!$BA230+('LCFS Table'!$CQ230*0.9/(0.8/0.99)/100)+(DG230*'LCFS Table'!$AF230)+(DF230*'LCFS Table'!$AG230)</f>
        <v>0.53585976562500026</v>
      </c>
      <c r="I230" s="187">
        <f>('LCFS Table'!$V230+'LCFS Table'!$W230+'LCFS Table'!$X230)/100+(('LCFS Table'!$AI230+'LCFS Table'!$AJ230)/340)</f>
        <v>4.6464283479349193</v>
      </c>
      <c r="J230" s="187">
        <f>(('LCFS Table'!$Y230+'LCFS Table'!$Z230)/100)+(('LCFS Table'!$AM230+'LCFS Table'!$AN230)/300)</f>
        <v>5.4518277343749997</v>
      </c>
      <c r="K230" s="190">
        <f>'[1]Fuel Values'!$C229</f>
        <v>2.1791</v>
      </c>
      <c r="L230" s="190">
        <f>'[1]Fuel Values'!$B229</f>
        <v>593.20000000000005</v>
      </c>
      <c r="M230" s="185">
        <f>('LCFS Table'!$L230/100)-'LCFS Table'!$AX230-'LCFS Table'!$AY230-'LCFS Table'!$AZ230-'LCFS Table'!$BA230</f>
        <v>2.1326528761487502</v>
      </c>
      <c r="N230" s="190">
        <f>[1]BFT!$B229</f>
        <v>56.2</v>
      </c>
      <c r="O230" s="190">
        <f>[1]UCO!$B229</f>
        <v>45.5</v>
      </c>
      <c r="P230" s="190">
        <f>[1]DCO!$B229</f>
        <v>56.6</v>
      </c>
      <c r="Q230" s="190">
        <f>'[1]Soybean Oil'!$B229</f>
        <v>65.081999999999994</v>
      </c>
      <c r="R230" s="190">
        <f>'[1]Yellow Grease'!$B229</f>
        <v>42.5</v>
      </c>
      <c r="S230" s="185">
        <f>'LCFS Table'!$N230 + 'LCFS Table'!$AH230</f>
        <v>60.575000000000003</v>
      </c>
      <c r="T230" s="185">
        <f>'LCFS Table'!$Q230+'LCFS Table'!$AH230</f>
        <v>69.456999999999994</v>
      </c>
      <c r="U230" s="185">
        <f>'LCFS Table'!$P230+'LCFS Table'!$AH230</f>
        <v>60.975000000000001</v>
      </c>
      <c r="V230" s="185">
        <f>(('LCFS Table'!$S230/'LCFS Table'!$AA230)*'LCFS Table'!$AC230)*6.48</f>
        <v>208.79042553191493</v>
      </c>
      <c r="W230" s="185">
        <f>(('LCFS Table'!$O230/'LCFS Table'!$AA230)*'LCFS Table'!$AD230)*6.48</f>
        <v>78.414893617021278</v>
      </c>
      <c r="X230" s="185">
        <f>(('LCFS Table'!$U230/'LCFS Table'!$AA230)*'LCFS Table'!$AE230)*6.48</f>
        <v>105.08457446808512</v>
      </c>
      <c r="Y230" s="185">
        <f>(('LCFS Table'!$T230/'LCFS Table'!$AB230)*'LCFS Table'!$AF230)*7.35</f>
        <v>398.83511718749992</v>
      </c>
      <c r="Z230" s="185">
        <f>(('LCFS Table'!$R230/'LCFS Table'!$AB230)*'LCFS Table'!$AG230)*7.35</f>
        <v>81.34765625</v>
      </c>
      <c r="AA230" s="138">
        <v>0.94</v>
      </c>
      <c r="AB230" s="138">
        <v>0.96</v>
      </c>
      <c r="AC230" s="138">
        <v>0.5</v>
      </c>
      <c r="AD230" s="138">
        <v>0.25</v>
      </c>
      <c r="AE230" s="138">
        <v>0.25</v>
      </c>
      <c r="AF230" s="138">
        <v>0.75</v>
      </c>
      <c r="AG230" s="138">
        <v>0.25</v>
      </c>
      <c r="AH230" s="139">
        <v>4.375</v>
      </c>
      <c r="AI230" s="139">
        <v>136</v>
      </c>
      <c r="AJ230" s="139">
        <v>110</v>
      </c>
      <c r="AK230" s="186">
        <f>('LCFS Table'!$AI230/340)*100</f>
        <v>40</v>
      </c>
      <c r="AL230" s="186">
        <f>('LCFS Table'!$AJ230/340)*100</f>
        <v>32.352941176470587</v>
      </c>
      <c r="AM230" s="139">
        <v>105</v>
      </c>
      <c r="AN230" s="139">
        <v>90</v>
      </c>
      <c r="AO230" s="139">
        <f>('LCFS Table'!$AM230/300)*100</f>
        <v>35</v>
      </c>
      <c r="AP230" s="139">
        <f>('LCFS Table'!$AN230/300)*100</f>
        <v>30</v>
      </c>
      <c r="AQ230" s="140">
        <f>'[1]LCFS Values'!$B229</f>
        <v>84.65</v>
      </c>
      <c r="AR230" s="140">
        <f>'[1]RIN Values'!$B229/100</f>
        <v>1.56</v>
      </c>
      <c r="AS230" s="185">
        <v>0.68991099832637048</v>
      </c>
      <c r="AT230" s="137">
        <v>0.16</v>
      </c>
      <c r="AU230" s="137">
        <v>1</v>
      </c>
      <c r="AV230" s="185">
        <f>'LCFS Table'!$AR230*1.7</f>
        <v>2.6520000000000001</v>
      </c>
      <c r="AW230" s="137">
        <v>0</v>
      </c>
      <c r="AX230" s="185">
        <v>0.45934712385125004</v>
      </c>
      <c r="AY230" s="137">
        <v>0</v>
      </c>
      <c r="AZ230" s="141">
        <v>1</v>
      </c>
      <c r="BA230" s="185">
        <f>'LCFS Table'!$AR230*1.5</f>
        <v>2.34</v>
      </c>
      <c r="BB230" s="142">
        <v>1.2</v>
      </c>
      <c r="BC230" s="185">
        <f>'LCFS Table'!$AS230*'LCFS Table'!$BW230</f>
        <v>0.68991099832637048</v>
      </c>
      <c r="BD230" s="185">
        <f>'LCFS Table'!$AT230*'LCFS Table'!$BX230</f>
        <v>0</v>
      </c>
      <c r="BE230" s="185">
        <f>'LCFS Table'!$AU230*'LCFS Table'!$BY230</f>
        <v>1</v>
      </c>
      <c r="BF230" s="137">
        <f>'LCFS Table'!$AV230*'LCFS Table'!$BZ230</f>
        <v>2.6520000000000001</v>
      </c>
      <c r="BG230" s="137">
        <f>'LCFS Table'!$AW230*'LCFS Table'!$CA230</f>
        <v>0</v>
      </c>
      <c r="BH230" s="137">
        <f>'LCFS Table'!$AX230*'LCFS Table'!$CB230</f>
        <v>0.45934712385125004</v>
      </c>
      <c r="BI230" s="137">
        <f>'LCFS Table'!$AY230*'LCFS Table'!$CC230</f>
        <v>0</v>
      </c>
      <c r="BJ230" s="137">
        <f>'LCFS Table'!$AZ230*'LCFS Table'!$CD230</f>
        <v>1</v>
      </c>
      <c r="BK230" s="137">
        <f>'LCFS Table'!$BA230*'LCFS Table'!$CE230</f>
        <v>2.34</v>
      </c>
      <c r="BL230" s="137">
        <f>'LCFS Table'!$BB230*'LCFS Table'!$CF230</f>
        <v>-1.2</v>
      </c>
      <c r="BM230" s="137">
        <f>'LCFS Table'!$AS230*'LCFS Table'!$CG230</f>
        <v>0</v>
      </c>
      <c r="BN230" s="137">
        <f>'LCFS Table'!$AT230*'LCFS Table'!$CH230</f>
        <v>0.16</v>
      </c>
      <c r="BO230" s="137">
        <f>'LCFS Table'!$AU230*'LCFS Table'!$CI230</f>
        <v>0</v>
      </c>
      <c r="BP230" s="137">
        <f>'LCFS Table'!$AV230*'LCFS Table'!$CJ230</f>
        <v>0</v>
      </c>
      <c r="BQ230" s="137">
        <f>'LCFS Table'!$AW230*'LCFS Table'!$CK230</f>
        <v>0</v>
      </c>
      <c r="BR230" s="137">
        <f>'LCFS Table'!$AX230*'LCFS Table'!$CL230</f>
        <v>0</v>
      </c>
      <c r="BS230" s="137">
        <f>'LCFS Table'!$AY230*'LCFS Table'!$CM230</f>
        <v>0</v>
      </c>
      <c r="BT230" s="137">
        <f>'LCFS Table'!$AZ230*'LCFS Table'!$CN230</f>
        <v>0</v>
      </c>
      <c r="BU230" s="137">
        <f>'LCFS Table'!$BA230*'LCFS Table'!$CO230</f>
        <v>0</v>
      </c>
      <c r="BV230" s="142">
        <f>'LCFS Table'!$BB230*'LCFS Table'!$CP230</f>
        <v>1.2</v>
      </c>
      <c r="BW230" s="138">
        <v>1</v>
      </c>
      <c r="BX230" s="138">
        <v>0</v>
      </c>
      <c r="BY230" s="138">
        <v>1</v>
      </c>
      <c r="BZ230" s="138">
        <v>1</v>
      </c>
      <c r="CA230" s="138">
        <v>-1</v>
      </c>
      <c r="CB230" s="138">
        <v>1</v>
      </c>
      <c r="CC230" s="138">
        <v>0</v>
      </c>
      <c r="CD230" s="138">
        <v>1</v>
      </c>
      <c r="CE230" s="138">
        <v>1</v>
      </c>
      <c r="CF230" s="138">
        <v>-1</v>
      </c>
      <c r="CG230" s="138">
        <f>1-'LCFS Table'!$BW230</f>
        <v>0</v>
      </c>
      <c r="CH230" s="138">
        <f>1-'LCFS Table'!$BX230</f>
        <v>1</v>
      </c>
      <c r="CI230" s="138">
        <f>1-'LCFS Table'!$BY230</f>
        <v>0</v>
      </c>
      <c r="CJ230" s="138">
        <f>1-'LCFS Table'!$BZ230</f>
        <v>0</v>
      </c>
      <c r="CK230" s="138">
        <f>-'LCFS Table'!$CA230</f>
        <v>1</v>
      </c>
      <c r="CL230" s="138">
        <f>1-'LCFS Table'!$CB230</f>
        <v>0</v>
      </c>
      <c r="CM230" s="138">
        <f>1-'LCFS Table'!$CC230</f>
        <v>1</v>
      </c>
      <c r="CN230" s="138">
        <f>1-'LCFS Table'!$CD230</f>
        <v>0</v>
      </c>
      <c r="CO230" s="138">
        <f>1-'LCFS Table'!$CE230</f>
        <v>0</v>
      </c>
      <c r="CP230" s="138">
        <f>-'LCFS Table'!$CF230</f>
        <v>1</v>
      </c>
      <c r="CQ230" s="140">
        <v>5</v>
      </c>
      <c r="CR230" s="165">
        <f>('LCFS Table'!$CQ230*0.9/(0.8/0.99)/100)</f>
        <v>5.5687499999999994E-2</v>
      </c>
      <c r="CS230" s="166"/>
      <c r="CT230" s="167"/>
      <c r="CW230" s="168">
        <f>'LCFS Table'!$K230-'LCFS Table'!$M230</f>
        <v>4.6447123851249827E-2</v>
      </c>
      <c r="CX230" s="129">
        <f>MONTH('LCFS Table'!$B230)</f>
        <v>5</v>
      </c>
      <c r="CY230" s="129">
        <f>YEAR('LCFS Table'!$B230)</f>
        <v>2023</v>
      </c>
    </row>
    <row r="231" spans="1:103">
      <c r="A231" s="148">
        <v>45060</v>
      </c>
      <c r="B231" s="149">
        <v>45066</v>
      </c>
      <c r="C231" s="132">
        <f t="shared" si="4"/>
        <v>2023</v>
      </c>
      <c r="D231" s="150" t="s">
        <v>276</v>
      </c>
      <c r="E231" s="187">
        <f>'LCFS Table'!$K231-'LCFS Table'!$I231</f>
        <v>-2.4406751564455567</v>
      </c>
      <c r="F231" s="187">
        <f>('LCFS Table'!$M231)-'LCFS Table'!$J231</f>
        <v>-2.9371196896499994</v>
      </c>
      <c r="G231" s="188">
        <f>'LCFS Table'!$E231+'LCFS Table'!$AS231+'LCFS Table'!$AT231+'LCFS Table'!$AU231+'LCFS Table'!$AV231</f>
        <v>1.9695880787710853</v>
      </c>
      <c r="H231" s="188">
        <f>'LCFS Table'!$F231+'LCFS Table'!$AX231+'LCFS Table'!$AY231+'LCFS Table'!$AZ231+'LCFS Table'!$BA231+('LCFS Table'!$CQ231*0.9/(0.8/0.99)/100)+(DG231*'LCFS Table'!$AF231)+(DF231*'LCFS Table'!$AG231)</f>
        <v>0.83996132812500035</v>
      </c>
      <c r="I231" s="187">
        <f>('LCFS Table'!$V231+'LCFS Table'!$W231+'LCFS Table'!$X231)/100+(('LCFS Table'!$AI231+'LCFS Table'!$AJ231)/340)</f>
        <v>4.6498751564455567</v>
      </c>
      <c r="J231" s="187">
        <f>(('LCFS Table'!$Y231+'LCFS Table'!$Z231)/100)+(('LCFS Table'!$AM231+'LCFS Table'!$AN231)/300)</f>
        <v>5.1957261718750001</v>
      </c>
      <c r="K231" s="190">
        <f>'[1]Fuel Values'!$C230</f>
        <v>2.2092000000000001</v>
      </c>
      <c r="L231" s="190">
        <f>'[1]Fuel Values'!$B230</f>
        <v>598</v>
      </c>
      <c r="M231" s="185">
        <f>('LCFS Table'!$L231/100)-'LCFS Table'!$AX231-'LCFS Table'!$AY231-'LCFS Table'!$AZ231-'LCFS Table'!$BA231</f>
        <v>2.2586064822250007</v>
      </c>
      <c r="N231" s="190">
        <f>[1]BFT!$B230</f>
        <v>56.5</v>
      </c>
      <c r="O231" s="190">
        <f>[1]UCO!$B230</f>
        <v>45.5</v>
      </c>
      <c r="P231" s="190">
        <f>[1]DCO!$B230</f>
        <v>56.2</v>
      </c>
      <c r="Q231" s="190">
        <f>'[1]Soybean Oil'!$B230</f>
        <v>60.622</v>
      </c>
      <c r="R231" s="190">
        <f>'[1]Yellow Grease'!$B230</f>
        <v>42.5</v>
      </c>
      <c r="S231" s="185">
        <f>'LCFS Table'!$N231 + 'LCFS Table'!$AH231</f>
        <v>60.875</v>
      </c>
      <c r="T231" s="185">
        <f>'LCFS Table'!$Q231+'LCFS Table'!$AH231</f>
        <v>64.997</v>
      </c>
      <c r="U231" s="185">
        <f>'LCFS Table'!$P231+'LCFS Table'!$AH231</f>
        <v>60.575000000000003</v>
      </c>
      <c r="V231" s="185">
        <f>(('LCFS Table'!$S231/'LCFS Table'!$AA231)*'LCFS Table'!$AC231)*6.48</f>
        <v>209.82446808510642</v>
      </c>
      <c r="W231" s="185">
        <f>(('LCFS Table'!$O231/'LCFS Table'!$AA231)*'LCFS Table'!$AD231)*6.48</f>
        <v>78.414893617021278</v>
      </c>
      <c r="X231" s="185">
        <f>(('LCFS Table'!$U231/'LCFS Table'!$AA231)*'LCFS Table'!$AE231)*6.48</f>
        <v>104.39521276595747</v>
      </c>
      <c r="Y231" s="185">
        <f>(('LCFS Table'!$T231/'LCFS Table'!$AB231)*'LCFS Table'!$AF231)*7.35</f>
        <v>373.22496093749999</v>
      </c>
      <c r="Z231" s="185">
        <f>(('LCFS Table'!$R231/'LCFS Table'!$AB231)*'LCFS Table'!$AG231)*7.35</f>
        <v>81.34765625</v>
      </c>
      <c r="AA231" s="138">
        <v>0.94</v>
      </c>
      <c r="AB231" s="138">
        <v>0.96</v>
      </c>
      <c r="AC231" s="138">
        <v>0.5</v>
      </c>
      <c r="AD231" s="138">
        <v>0.25</v>
      </c>
      <c r="AE231" s="138">
        <v>0.25</v>
      </c>
      <c r="AF231" s="138">
        <v>0.75</v>
      </c>
      <c r="AG231" s="138">
        <v>0.25</v>
      </c>
      <c r="AH231" s="139">
        <v>4.375</v>
      </c>
      <c r="AI231" s="139">
        <v>136</v>
      </c>
      <c r="AJ231" s="139">
        <v>110</v>
      </c>
      <c r="AK231" s="186">
        <f>('LCFS Table'!$AI231/340)*100</f>
        <v>40</v>
      </c>
      <c r="AL231" s="186">
        <f>('LCFS Table'!$AJ231/340)*100</f>
        <v>32.352941176470587</v>
      </c>
      <c r="AM231" s="139">
        <v>105</v>
      </c>
      <c r="AN231" s="139">
        <v>90</v>
      </c>
      <c r="AO231" s="139">
        <f>('LCFS Table'!$AM231/300)*100</f>
        <v>35</v>
      </c>
      <c r="AP231" s="139">
        <f>('LCFS Table'!$AN231/300)*100</f>
        <v>30</v>
      </c>
      <c r="AQ231" s="140">
        <f>'[1]LCFS Values'!$B230</f>
        <v>83</v>
      </c>
      <c r="AR231" s="140">
        <f>'[1]RIN Values'!$B230/100</f>
        <v>1.514</v>
      </c>
      <c r="AS231" s="185">
        <v>0.67646323521664209</v>
      </c>
      <c r="AT231" s="137">
        <v>0.16</v>
      </c>
      <c r="AU231" s="137">
        <v>1</v>
      </c>
      <c r="AV231" s="185">
        <f>'LCFS Table'!$AR231*1.7</f>
        <v>2.5737999999999999</v>
      </c>
      <c r="AW231" s="137">
        <v>0</v>
      </c>
      <c r="AX231" s="185">
        <v>0.45039351777500003</v>
      </c>
      <c r="AY231" s="137">
        <v>0</v>
      </c>
      <c r="AZ231" s="141">
        <v>1</v>
      </c>
      <c r="BA231" s="185">
        <f>'LCFS Table'!$AR231*1.5</f>
        <v>2.2709999999999999</v>
      </c>
      <c r="BB231" s="142">
        <v>1.2</v>
      </c>
      <c r="BC231" s="185">
        <f>'LCFS Table'!$AS231*'LCFS Table'!$BW231</f>
        <v>0.67646323521664209</v>
      </c>
      <c r="BD231" s="185">
        <f>'LCFS Table'!$AT231*'LCFS Table'!$BX231</f>
        <v>0</v>
      </c>
      <c r="BE231" s="185">
        <f>'LCFS Table'!$AU231*'LCFS Table'!$BY231</f>
        <v>1</v>
      </c>
      <c r="BF231" s="137">
        <f>'LCFS Table'!$AV231*'LCFS Table'!$BZ231</f>
        <v>2.5737999999999999</v>
      </c>
      <c r="BG231" s="137">
        <f>'LCFS Table'!$AW231*'LCFS Table'!$CA231</f>
        <v>0</v>
      </c>
      <c r="BH231" s="137">
        <f>'LCFS Table'!$AX231*'LCFS Table'!$CB231</f>
        <v>0.45039351777500003</v>
      </c>
      <c r="BI231" s="137">
        <f>'LCFS Table'!$AY231*'LCFS Table'!$CC231</f>
        <v>0</v>
      </c>
      <c r="BJ231" s="137">
        <f>'LCFS Table'!$AZ231*'LCFS Table'!$CD231</f>
        <v>1</v>
      </c>
      <c r="BK231" s="137">
        <f>'LCFS Table'!$BA231*'LCFS Table'!$CE231</f>
        <v>2.2709999999999999</v>
      </c>
      <c r="BL231" s="137">
        <f>'LCFS Table'!$BB231*'LCFS Table'!$CF231</f>
        <v>-1.2</v>
      </c>
      <c r="BM231" s="137">
        <f>'LCFS Table'!$AS231*'LCFS Table'!$CG231</f>
        <v>0</v>
      </c>
      <c r="BN231" s="137">
        <f>'LCFS Table'!$AT231*'LCFS Table'!$CH231</f>
        <v>0.16</v>
      </c>
      <c r="BO231" s="137">
        <f>'LCFS Table'!$AU231*'LCFS Table'!$CI231</f>
        <v>0</v>
      </c>
      <c r="BP231" s="137">
        <f>'LCFS Table'!$AV231*'LCFS Table'!$CJ231</f>
        <v>0</v>
      </c>
      <c r="BQ231" s="137">
        <f>'LCFS Table'!$AW231*'LCFS Table'!$CK231</f>
        <v>0</v>
      </c>
      <c r="BR231" s="137">
        <f>'LCFS Table'!$AX231*'LCFS Table'!$CL231</f>
        <v>0</v>
      </c>
      <c r="BS231" s="137">
        <f>'LCFS Table'!$AY231*'LCFS Table'!$CM231</f>
        <v>0</v>
      </c>
      <c r="BT231" s="137">
        <f>'LCFS Table'!$AZ231*'LCFS Table'!$CN231</f>
        <v>0</v>
      </c>
      <c r="BU231" s="137">
        <f>'LCFS Table'!$BA231*'LCFS Table'!$CO231</f>
        <v>0</v>
      </c>
      <c r="BV231" s="142">
        <f>'LCFS Table'!$BB231*'LCFS Table'!$CP231</f>
        <v>1.2</v>
      </c>
      <c r="BW231" s="138">
        <v>1</v>
      </c>
      <c r="BX231" s="138">
        <v>0</v>
      </c>
      <c r="BY231" s="138">
        <v>1</v>
      </c>
      <c r="BZ231" s="138">
        <v>1</v>
      </c>
      <c r="CA231" s="138">
        <v>-1</v>
      </c>
      <c r="CB231" s="138">
        <v>1</v>
      </c>
      <c r="CC231" s="138">
        <v>0</v>
      </c>
      <c r="CD231" s="138">
        <v>1</v>
      </c>
      <c r="CE231" s="138">
        <v>1</v>
      </c>
      <c r="CF231" s="138">
        <v>-1</v>
      </c>
      <c r="CG231" s="138">
        <f>1-'LCFS Table'!$BW231</f>
        <v>0</v>
      </c>
      <c r="CH231" s="138">
        <f>1-'LCFS Table'!$BX231</f>
        <v>1</v>
      </c>
      <c r="CI231" s="138">
        <f>1-'LCFS Table'!$BY231</f>
        <v>0</v>
      </c>
      <c r="CJ231" s="138">
        <f>1-'LCFS Table'!$BZ231</f>
        <v>0</v>
      </c>
      <c r="CK231" s="138">
        <f>-'LCFS Table'!$CA231</f>
        <v>1</v>
      </c>
      <c r="CL231" s="138">
        <f>1-'LCFS Table'!$CB231</f>
        <v>0</v>
      </c>
      <c r="CM231" s="138">
        <f>1-'LCFS Table'!$CC231</f>
        <v>1</v>
      </c>
      <c r="CN231" s="138">
        <f>1-'LCFS Table'!$CD231</f>
        <v>0</v>
      </c>
      <c r="CO231" s="138">
        <f>1-'LCFS Table'!$CE231</f>
        <v>0</v>
      </c>
      <c r="CP231" s="138">
        <f>-'LCFS Table'!$CF231</f>
        <v>1</v>
      </c>
      <c r="CQ231" s="140">
        <v>5</v>
      </c>
      <c r="CR231" s="165">
        <f>('LCFS Table'!$CQ231*0.9/(0.8/0.99)/100)</f>
        <v>5.5687499999999994E-2</v>
      </c>
      <c r="CS231" s="166"/>
      <c r="CT231" s="167"/>
      <c r="CW231" s="168">
        <f>'LCFS Table'!$K231-'LCFS Table'!$M231</f>
        <v>-4.9406482225000659E-2</v>
      </c>
      <c r="CX231" s="129">
        <f>MONTH('LCFS Table'!$B231)</f>
        <v>5</v>
      </c>
      <c r="CY231" s="129">
        <f>YEAR('LCFS Table'!$B231)</f>
        <v>2023</v>
      </c>
    </row>
    <row r="232" spans="1:103">
      <c r="A232" s="148">
        <v>45067</v>
      </c>
      <c r="B232" s="149">
        <v>45073</v>
      </c>
      <c r="C232" s="132">
        <f t="shared" si="4"/>
        <v>2023</v>
      </c>
      <c r="D232" s="150" t="s">
        <v>277</v>
      </c>
      <c r="E232" s="187">
        <f>'LCFS Table'!$K232-'LCFS Table'!$I232</f>
        <v>-2.441894305381727</v>
      </c>
      <c r="F232" s="187">
        <f>('LCFS Table'!$M232)-'LCFS Table'!$J232</f>
        <v>-3.0410466969624999</v>
      </c>
      <c r="G232" s="188">
        <f>'LCFS Table'!$E232+'LCFS Table'!$AS232+'LCFS Table'!$AT232+'LCFS Table'!$AU232+'LCFS Table'!$AV232</f>
        <v>1.9836443284860183</v>
      </c>
      <c r="H232" s="188">
        <f>'LCFS Table'!$F232+'LCFS Table'!$AX232+'LCFS Table'!$AY232+'LCFS Table'!$AZ232+'LCFS Table'!$BA232+('LCFS Table'!$CQ232*0.9/(0.8/0.99)/100)+(DG232*'LCFS Table'!$AF232)+(DF232*'LCFS Table'!$AG232)</f>
        <v>0.74510039062499989</v>
      </c>
      <c r="I232" s="187">
        <f>('LCFS Table'!$V232+'LCFS Table'!$W232+'LCFS Table'!$X232)/100+(('LCFS Table'!$AI232+'LCFS Table'!$AJ232)/340)</f>
        <v>4.629194305381727</v>
      </c>
      <c r="J232" s="187">
        <f>(('LCFS Table'!$Y232+'LCFS Table'!$Z232)/100)+(('LCFS Table'!$AM232+'LCFS Table'!$AN232)/300)</f>
        <v>5.290587109375001</v>
      </c>
      <c r="K232" s="190">
        <f>'[1]Fuel Values'!$C231</f>
        <v>2.1873</v>
      </c>
      <c r="L232" s="190">
        <f>'[1]Fuel Values'!$B231</f>
        <v>598</v>
      </c>
      <c r="M232" s="185">
        <f>('LCFS Table'!$L232/100)-'LCFS Table'!$AX232-'LCFS Table'!$AY232-'LCFS Table'!$AZ232-'LCFS Table'!$BA232</f>
        <v>2.2495404124125011</v>
      </c>
      <c r="N232" s="190">
        <f>[1]BFT!$B231</f>
        <v>56.5</v>
      </c>
      <c r="O232" s="190">
        <f>[1]UCO!$B231</f>
        <v>45.5</v>
      </c>
      <c r="P232" s="190">
        <f>[1]DCO!$B231</f>
        <v>55</v>
      </c>
      <c r="Q232" s="190">
        <f>'[1]Soybean Oil'!$B231</f>
        <v>62.274000000000001</v>
      </c>
      <c r="R232" s="190">
        <f>'[1]Yellow Grease'!$B231</f>
        <v>42.5</v>
      </c>
      <c r="S232" s="185">
        <f>'LCFS Table'!$N232 + 'LCFS Table'!$AH232</f>
        <v>60.875</v>
      </c>
      <c r="T232" s="185">
        <f>'LCFS Table'!$Q232+'LCFS Table'!$AH232</f>
        <v>66.649000000000001</v>
      </c>
      <c r="U232" s="185">
        <f>'LCFS Table'!$P232+'LCFS Table'!$AH232</f>
        <v>59.375</v>
      </c>
      <c r="V232" s="185">
        <f>(('LCFS Table'!$S232/'LCFS Table'!$AA232)*'LCFS Table'!$AC232)*6.48</f>
        <v>209.82446808510642</v>
      </c>
      <c r="W232" s="185">
        <f>(('LCFS Table'!$O232/'LCFS Table'!$AA232)*'LCFS Table'!$AD232)*6.48</f>
        <v>78.414893617021278</v>
      </c>
      <c r="X232" s="185">
        <f>(('LCFS Table'!$U232/'LCFS Table'!$AA232)*'LCFS Table'!$AE232)*6.48</f>
        <v>102.32712765957447</v>
      </c>
      <c r="Y232" s="185">
        <f>(('LCFS Table'!$T232/'LCFS Table'!$AB232)*'LCFS Table'!$AF232)*7.35</f>
        <v>382.71105468750005</v>
      </c>
      <c r="Z232" s="185">
        <f>(('LCFS Table'!$R232/'LCFS Table'!$AB232)*'LCFS Table'!$AG232)*7.35</f>
        <v>81.34765625</v>
      </c>
      <c r="AA232" s="138">
        <v>0.94</v>
      </c>
      <c r="AB232" s="138">
        <v>0.96</v>
      </c>
      <c r="AC232" s="138">
        <v>0.5</v>
      </c>
      <c r="AD232" s="138">
        <v>0.25</v>
      </c>
      <c r="AE232" s="138">
        <v>0.25</v>
      </c>
      <c r="AF232" s="138">
        <v>0.75</v>
      </c>
      <c r="AG232" s="138">
        <v>0.25</v>
      </c>
      <c r="AH232" s="139">
        <v>4.375</v>
      </c>
      <c r="AI232" s="139">
        <v>136</v>
      </c>
      <c r="AJ232" s="139">
        <v>110</v>
      </c>
      <c r="AK232" s="186">
        <f>('LCFS Table'!$AI232/340)*100</f>
        <v>40</v>
      </c>
      <c r="AL232" s="186">
        <f>('LCFS Table'!$AJ232/340)*100</f>
        <v>32.352941176470587</v>
      </c>
      <c r="AM232" s="139">
        <v>105</v>
      </c>
      <c r="AN232" s="139">
        <v>90</v>
      </c>
      <c r="AO232" s="139">
        <f>('LCFS Table'!$AM232/300)*100</f>
        <v>35</v>
      </c>
      <c r="AP232" s="139">
        <f>('LCFS Table'!$AN232/300)*100</f>
        <v>30</v>
      </c>
      <c r="AQ232" s="140">
        <f>'[1]LCFS Values'!$B231</f>
        <v>85.5</v>
      </c>
      <c r="AR232" s="140">
        <f>'[1]RIN Values'!$B231/100</f>
        <v>1.5109999999999999</v>
      </c>
      <c r="AS232" s="185">
        <v>0.69683863386774569</v>
      </c>
      <c r="AT232" s="137">
        <v>0.16</v>
      </c>
      <c r="AU232" s="137">
        <v>1</v>
      </c>
      <c r="AV232" s="185">
        <f>'LCFS Table'!$AR232*1.7</f>
        <v>2.5686999999999998</v>
      </c>
      <c r="AW232" s="137">
        <v>0</v>
      </c>
      <c r="AX232" s="185">
        <v>0.4639595875875</v>
      </c>
      <c r="AY232" s="137">
        <v>0</v>
      </c>
      <c r="AZ232" s="141">
        <v>1</v>
      </c>
      <c r="BA232" s="185">
        <f>'LCFS Table'!$AR232*1.5</f>
        <v>2.2664999999999997</v>
      </c>
      <c r="BB232" s="142">
        <v>1.2</v>
      </c>
      <c r="BC232" s="185">
        <f>'LCFS Table'!$AS232*'LCFS Table'!$BW232</f>
        <v>0.69683863386774569</v>
      </c>
      <c r="BD232" s="185">
        <f>'LCFS Table'!$AT232*'LCFS Table'!$BX232</f>
        <v>0</v>
      </c>
      <c r="BE232" s="185">
        <f>'LCFS Table'!$AU232*'LCFS Table'!$BY232</f>
        <v>1</v>
      </c>
      <c r="BF232" s="137">
        <f>'LCFS Table'!$AV232*'LCFS Table'!$BZ232</f>
        <v>2.5686999999999998</v>
      </c>
      <c r="BG232" s="137">
        <f>'LCFS Table'!$AW232*'LCFS Table'!$CA232</f>
        <v>0</v>
      </c>
      <c r="BH232" s="137">
        <f>'LCFS Table'!$AX232*'LCFS Table'!$CB232</f>
        <v>0.4639595875875</v>
      </c>
      <c r="BI232" s="137">
        <f>'LCFS Table'!$AY232*'LCFS Table'!$CC232</f>
        <v>0</v>
      </c>
      <c r="BJ232" s="137">
        <f>'LCFS Table'!$AZ232*'LCFS Table'!$CD232</f>
        <v>1</v>
      </c>
      <c r="BK232" s="137">
        <f>'LCFS Table'!$BA232*'LCFS Table'!$CE232</f>
        <v>2.2664999999999997</v>
      </c>
      <c r="BL232" s="137">
        <f>'LCFS Table'!$BB232*'LCFS Table'!$CF232</f>
        <v>-1.2</v>
      </c>
      <c r="BM232" s="137">
        <f>'LCFS Table'!$AS232*'LCFS Table'!$CG232</f>
        <v>0</v>
      </c>
      <c r="BN232" s="137">
        <f>'LCFS Table'!$AT232*'LCFS Table'!$CH232</f>
        <v>0.16</v>
      </c>
      <c r="BO232" s="137">
        <f>'LCFS Table'!$AU232*'LCFS Table'!$CI232</f>
        <v>0</v>
      </c>
      <c r="BP232" s="137">
        <f>'LCFS Table'!$AV232*'LCFS Table'!$CJ232</f>
        <v>0</v>
      </c>
      <c r="BQ232" s="137">
        <f>'LCFS Table'!$AW232*'LCFS Table'!$CK232</f>
        <v>0</v>
      </c>
      <c r="BR232" s="137">
        <f>'LCFS Table'!$AX232*'LCFS Table'!$CL232</f>
        <v>0</v>
      </c>
      <c r="BS232" s="137">
        <f>'LCFS Table'!$AY232*'LCFS Table'!$CM232</f>
        <v>0</v>
      </c>
      <c r="BT232" s="137">
        <f>'LCFS Table'!$AZ232*'LCFS Table'!$CN232</f>
        <v>0</v>
      </c>
      <c r="BU232" s="137">
        <f>'LCFS Table'!$BA232*'LCFS Table'!$CO232</f>
        <v>0</v>
      </c>
      <c r="BV232" s="142">
        <f>'LCFS Table'!$BB232*'LCFS Table'!$CP232</f>
        <v>1.2</v>
      </c>
      <c r="BW232" s="138">
        <v>1</v>
      </c>
      <c r="BX232" s="138">
        <v>0</v>
      </c>
      <c r="BY232" s="138">
        <v>1</v>
      </c>
      <c r="BZ232" s="138">
        <v>1</v>
      </c>
      <c r="CA232" s="138">
        <v>-1</v>
      </c>
      <c r="CB232" s="138">
        <v>1</v>
      </c>
      <c r="CC232" s="138">
        <v>0</v>
      </c>
      <c r="CD232" s="138">
        <v>1</v>
      </c>
      <c r="CE232" s="138">
        <v>1</v>
      </c>
      <c r="CF232" s="138">
        <v>-1</v>
      </c>
      <c r="CG232" s="138">
        <f>1-'LCFS Table'!$BW232</f>
        <v>0</v>
      </c>
      <c r="CH232" s="138">
        <f>1-'LCFS Table'!$BX232</f>
        <v>1</v>
      </c>
      <c r="CI232" s="138">
        <f>1-'LCFS Table'!$BY232</f>
        <v>0</v>
      </c>
      <c r="CJ232" s="138">
        <f>1-'LCFS Table'!$BZ232</f>
        <v>0</v>
      </c>
      <c r="CK232" s="138">
        <f>-'LCFS Table'!$CA232</f>
        <v>1</v>
      </c>
      <c r="CL232" s="138">
        <f>1-'LCFS Table'!$CB232</f>
        <v>0</v>
      </c>
      <c r="CM232" s="138">
        <f>1-'LCFS Table'!$CC232</f>
        <v>1</v>
      </c>
      <c r="CN232" s="138">
        <f>1-'LCFS Table'!$CD232</f>
        <v>0</v>
      </c>
      <c r="CO232" s="138">
        <f>1-'LCFS Table'!$CE232</f>
        <v>0</v>
      </c>
      <c r="CP232" s="138">
        <f>-'LCFS Table'!$CF232</f>
        <v>1</v>
      </c>
      <c r="CQ232" s="140">
        <v>5</v>
      </c>
      <c r="CR232" s="165">
        <f>('LCFS Table'!$CQ232*0.9/(0.8/0.99)/100)</f>
        <v>5.5687499999999994E-2</v>
      </c>
      <c r="CS232" s="166"/>
      <c r="CT232" s="167"/>
      <c r="CW232" s="168">
        <f>'LCFS Table'!$K232-'LCFS Table'!$M232</f>
        <v>-6.2240412412501112E-2</v>
      </c>
      <c r="CX232" s="129">
        <f>MONTH('LCFS Table'!$B232)</f>
        <v>5</v>
      </c>
      <c r="CY232" s="129">
        <f>YEAR('LCFS Table'!$B232)</f>
        <v>2023</v>
      </c>
    </row>
    <row r="233" spans="1:103">
      <c r="A233" s="148">
        <v>45074</v>
      </c>
      <c r="B233" s="149">
        <v>45080</v>
      </c>
      <c r="C233" s="132">
        <f t="shared" si="4"/>
        <v>2023</v>
      </c>
      <c r="D233" s="150" t="s">
        <v>278</v>
      </c>
      <c r="E233" s="187">
        <f>'LCFS Table'!$K233-'LCFS Table'!$I233</f>
        <v>-2.5103943053817273</v>
      </c>
      <c r="F233" s="187">
        <f>('LCFS Table'!$M233)-'LCFS Table'!$J233</f>
        <v>-3.0613655142500003</v>
      </c>
      <c r="G233" s="188">
        <f>'LCFS Table'!$E233+'LCFS Table'!$AS233+'LCFS Table'!$AT233+'LCFS Table'!$AU233+'LCFS Table'!$AV233</f>
        <v>1.8158692487557977</v>
      </c>
      <c r="H233" s="188">
        <f>'LCFS Table'!$F233+'LCFS Table'!$AX233+'LCFS Table'!$AY233+'LCFS Table'!$AZ233+'LCFS Table'!$BA233+('LCFS Table'!$CQ233*0.9/(0.8/0.99)/100)+(DG233*'LCFS Table'!$AF233)+(DF233*'LCFS Table'!$AG233)</f>
        <v>0.63806835937499973</v>
      </c>
      <c r="I233" s="187">
        <f>('LCFS Table'!$V233+'LCFS Table'!$W233+'LCFS Table'!$X233)/100+(('LCFS Table'!$AI233+'LCFS Table'!$AJ233)/340)</f>
        <v>4.629194305381727</v>
      </c>
      <c r="J233" s="187">
        <f>(('LCFS Table'!$Y233+'LCFS Table'!$Z233)/100)+(('LCFS Table'!$AM233+'LCFS Table'!$AN233)/300)</f>
        <v>5.3001191406250001</v>
      </c>
      <c r="K233" s="190">
        <f>'[1]Fuel Values'!$C232</f>
        <v>2.1187999999999998</v>
      </c>
      <c r="L233" s="190">
        <f>'[1]Fuel Values'!$B232</f>
        <v>588.25</v>
      </c>
      <c r="M233" s="185">
        <f>('LCFS Table'!$L233/100)-'LCFS Table'!$AX233-'LCFS Table'!$AY233-'LCFS Table'!$AZ233-'LCFS Table'!$BA233</f>
        <v>2.2387536263749999</v>
      </c>
      <c r="N233" s="190">
        <f>[1]BFT!$B232</f>
        <v>56.5</v>
      </c>
      <c r="O233" s="190">
        <f>[1]UCO!$B232</f>
        <v>45.5</v>
      </c>
      <c r="P233" s="190">
        <f>[1]DCO!$B232</f>
        <v>55</v>
      </c>
      <c r="Q233" s="190">
        <f>'[1]Soybean Oil'!$B232</f>
        <v>62.44</v>
      </c>
      <c r="R233" s="190">
        <f>'[1]Yellow Grease'!$B232</f>
        <v>42.5</v>
      </c>
      <c r="S233" s="185">
        <f>'LCFS Table'!$N233 + 'LCFS Table'!$AH233</f>
        <v>60.875</v>
      </c>
      <c r="T233" s="185">
        <f>'LCFS Table'!$Q233+'LCFS Table'!$AH233</f>
        <v>66.814999999999998</v>
      </c>
      <c r="U233" s="185">
        <f>'LCFS Table'!$P233+'LCFS Table'!$AH233</f>
        <v>59.375</v>
      </c>
      <c r="V233" s="185">
        <f>(('LCFS Table'!$S233/'LCFS Table'!$AA233)*'LCFS Table'!$AC233)*6.48</f>
        <v>209.82446808510642</v>
      </c>
      <c r="W233" s="185">
        <f>(('LCFS Table'!$O233/'LCFS Table'!$AA233)*'LCFS Table'!$AD233)*6.48</f>
        <v>78.414893617021278</v>
      </c>
      <c r="X233" s="185">
        <f>(('LCFS Table'!$U233/'LCFS Table'!$AA233)*'LCFS Table'!$AE233)*6.48</f>
        <v>102.32712765957447</v>
      </c>
      <c r="Y233" s="185">
        <f>(('LCFS Table'!$T233/'LCFS Table'!$AB233)*'LCFS Table'!$AF233)*7.35</f>
        <v>383.66425781249995</v>
      </c>
      <c r="Z233" s="185">
        <f>(('LCFS Table'!$R233/'LCFS Table'!$AB233)*'LCFS Table'!$AG233)*7.35</f>
        <v>81.34765625</v>
      </c>
      <c r="AA233" s="138">
        <v>0.94</v>
      </c>
      <c r="AB233" s="138">
        <v>0.96</v>
      </c>
      <c r="AC233" s="138">
        <v>0.5</v>
      </c>
      <c r="AD233" s="138">
        <v>0.25</v>
      </c>
      <c r="AE233" s="138">
        <v>0.25</v>
      </c>
      <c r="AF233" s="138">
        <v>0.75</v>
      </c>
      <c r="AG233" s="138">
        <v>0.25</v>
      </c>
      <c r="AH233" s="139">
        <v>4.375</v>
      </c>
      <c r="AI233" s="139">
        <v>136</v>
      </c>
      <c r="AJ233" s="139">
        <v>110</v>
      </c>
      <c r="AK233" s="186">
        <f>('LCFS Table'!$AI233/340)*100</f>
        <v>40</v>
      </c>
      <c r="AL233" s="186">
        <f>('LCFS Table'!$AJ233/340)*100</f>
        <v>32.352941176470587</v>
      </c>
      <c r="AM233" s="139">
        <v>105</v>
      </c>
      <c r="AN233" s="139">
        <v>90</v>
      </c>
      <c r="AO233" s="139">
        <f>('LCFS Table'!$AM233/300)*100</f>
        <v>35</v>
      </c>
      <c r="AP233" s="139">
        <f>('LCFS Table'!$AN233/300)*100</f>
        <v>30</v>
      </c>
      <c r="AQ233" s="140">
        <f>'[1]LCFS Values'!$B232</f>
        <v>85</v>
      </c>
      <c r="AR233" s="140">
        <f>'[1]RIN Values'!$B232/100</f>
        <v>1.4550000000000001</v>
      </c>
      <c r="AS233" s="185">
        <v>0.69276355413752488</v>
      </c>
      <c r="AT233" s="137">
        <v>0.16</v>
      </c>
      <c r="AU233" s="137">
        <v>1</v>
      </c>
      <c r="AV233" s="185">
        <f>'LCFS Table'!$AR233*1.7</f>
        <v>2.4735</v>
      </c>
      <c r="AW233" s="137">
        <v>0</v>
      </c>
      <c r="AX233" s="185">
        <v>0.46124637362499998</v>
      </c>
      <c r="AY233" s="137">
        <v>0</v>
      </c>
      <c r="AZ233" s="141">
        <v>1</v>
      </c>
      <c r="BA233" s="185">
        <f>'LCFS Table'!$AR233*1.5</f>
        <v>2.1825000000000001</v>
      </c>
      <c r="BB233" s="142">
        <v>1.2</v>
      </c>
      <c r="BC233" s="185">
        <f>'LCFS Table'!$AS233*'LCFS Table'!$BW233</f>
        <v>0.69276355413752488</v>
      </c>
      <c r="BD233" s="185">
        <f>'LCFS Table'!$AT233*'LCFS Table'!$BX233</f>
        <v>0</v>
      </c>
      <c r="BE233" s="185">
        <f>'LCFS Table'!$AU233*'LCFS Table'!$BY233</f>
        <v>1</v>
      </c>
      <c r="BF233" s="137">
        <f>'LCFS Table'!$AV233*'LCFS Table'!$BZ233</f>
        <v>2.4735</v>
      </c>
      <c r="BG233" s="137">
        <f>'LCFS Table'!$AW233*'LCFS Table'!$CA233</f>
        <v>0</v>
      </c>
      <c r="BH233" s="137">
        <f>'LCFS Table'!$AX233*'LCFS Table'!$CB233</f>
        <v>0.46124637362499998</v>
      </c>
      <c r="BI233" s="137">
        <f>'LCFS Table'!$AY233*'LCFS Table'!$CC233</f>
        <v>0</v>
      </c>
      <c r="BJ233" s="137">
        <f>'LCFS Table'!$AZ233*'LCFS Table'!$CD233</f>
        <v>1</v>
      </c>
      <c r="BK233" s="137">
        <f>'LCFS Table'!$BA233*'LCFS Table'!$CE233</f>
        <v>2.1825000000000001</v>
      </c>
      <c r="BL233" s="137">
        <f>'LCFS Table'!$BB233*'LCFS Table'!$CF233</f>
        <v>-1.2</v>
      </c>
      <c r="BM233" s="137">
        <f>'LCFS Table'!$AS233*'LCFS Table'!$CG233</f>
        <v>0</v>
      </c>
      <c r="BN233" s="137">
        <f>'LCFS Table'!$AT233*'LCFS Table'!$CH233</f>
        <v>0.16</v>
      </c>
      <c r="BO233" s="137">
        <f>'LCFS Table'!$AU233*'LCFS Table'!$CI233</f>
        <v>0</v>
      </c>
      <c r="BP233" s="137">
        <f>'LCFS Table'!$AV233*'LCFS Table'!$CJ233</f>
        <v>0</v>
      </c>
      <c r="BQ233" s="137">
        <f>'LCFS Table'!$AW233*'LCFS Table'!$CK233</f>
        <v>0</v>
      </c>
      <c r="BR233" s="137">
        <f>'LCFS Table'!$AX233*'LCFS Table'!$CL233</f>
        <v>0</v>
      </c>
      <c r="BS233" s="137">
        <f>'LCFS Table'!$AY233*'LCFS Table'!$CM233</f>
        <v>0</v>
      </c>
      <c r="BT233" s="137">
        <f>'LCFS Table'!$AZ233*'LCFS Table'!$CN233</f>
        <v>0</v>
      </c>
      <c r="BU233" s="137">
        <f>'LCFS Table'!$BA233*'LCFS Table'!$CO233</f>
        <v>0</v>
      </c>
      <c r="BV233" s="142">
        <f>'LCFS Table'!$BB233*'LCFS Table'!$CP233</f>
        <v>1.2</v>
      </c>
      <c r="BW233" s="138">
        <v>1</v>
      </c>
      <c r="BX233" s="138">
        <v>0</v>
      </c>
      <c r="BY233" s="138">
        <v>1</v>
      </c>
      <c r="BZ233" s="138">
        <v>1</v>
      </c>
      <c r="CA233" s="138">
        <v>-1</v>
      </c>
      <c r="CB233" s="138">
        <v>1</v>
      </c>
      <c r="CC233" s="138">
        <v>0</v>
      </c>
      <c r="CD233" s="138">
        <v>1</v>
      </c>
      <c r="CE233" s="138">
        <v>1</v>
      </c>
      <c r="CF233" s="138">
        <v>-1</v>
      </c>
      <c r="CG233" s="138">
        <f>1-'LCFS Table'!$BW233</f>
        <v>0</v>
      </c>
      <c r="CH233" s="138">
        <f>1-'LCFS Table'!$BX233</f>
        <v>1</v>
      </c>
      <c r="CI233" s="138">
        <f>1-'LCFS Table'!$BY233</f>
        <v>0</v>
      </c>
      <c r="CJ233" s="138">
        <f>1-'LCFS Table'!$BZ233</f>
        <v>0</v>
      </c>
      <c r="CK233" s="138">
        <f>-'LCFS Table'!$CA233</f>
        <v>1</v>
      </c>
      <c r="CL233" s="138">
        <f>1-'LCFS Table'!$CB233</f>
        <v>0</v>
      </c>
      <c r="CM233" s="138">
        <f>1-'LCFS Table'!$CC233</f>
        <v>1</v>
      </c>
      <c r="CN233" s="138">
        <f>1-'LCFS Table'!$CD233</f>
        <v>0</v>
      </c>
      <c r="CO233" s="138">
        <f>1-'LCFS Table'!$CE233</f>
        <v>0</v>
      </c>
      <c r="CP233" s="138">
        <f>-'LCFS Table'!$CF233</f>
        <v>1</v>
      </c>
      <c r="CQ233" s="140">
        <v>5</v>
      </c>
      <c r="CR233" s="165">
        <f>('LCFS Table'!$CQ233*0.9/(0.8/0.99)/100)</f>
        <v>5.5687499999999994E-2</v>
      </c>
      <c r="CS233" s="166"/>
      <c r="CT233" s="167"/>
      <c r="CW233" s="168">
        <f>'LCFS Table'!$K233-'LCFS Table'!$M233</f>
        <v>-0.11995362637500007</v>
      </c>
      <c r="CX233" s="129">
        <f>MONTH('LCFS Table'!$B233)</f>
        <v>6</v>
      </c>
      <c r="CY233" s="129">
        <f>YEAR('LCFS Table'!$B233)</f>
        <v>2023</v>
      </c>
    </row>
    <row r="234" spans="1:103">
      <c r="A234" s="148">
        <v>45081</v>
      </c>
      <c r="B234" s="149">
        <v>45087</v>
      </c>
      <c r="C234" s="132">
        <f t="shared" si="4"/>
        <v>2023</v>
      </c>
      <c r="D234" s="150" t="s">
        <v>279</v>
      </c>
      <c r="E234" s="187">
        <f>'LCFS Table'!$K234-'LCFS Table'!$I234</f>
        <v>-2.4372411138923664</v>
      </c>
      <c r="F234" s="187">
        <f>('LCFS Table'!$M234)-'LCFS Table'!$J234</f>
        <v>-3.3222658196637496</v>
      </c>
      <c r="G234" s="188">
        <f>'LCFS Table'!$E234+'LCFS Table'!$AS234+'LCFS Table'!$AT234+'LCFS Table'!$AU234+'LCFS Table'!$AV234</f>
        <v>1.832644485782901</v>
      </c>
      <c r="H234" s="188">
        <f>'LCFS Table'!$F234+'LCFS Table'!$AX234+'LCFS Table'!$AY234+'LCFS Table'!$AZ234+'LCFS Table'!$BA234+('LCFS Table'!$CQ234*0.9/(0.8/0.99)/100)+(DG234*'LCFS Table'!$AF234)+(DF234*'LCFS Table'!$AG234)</f>
        <v>0.33245273437500089</v>
      </c>
      <c r="I234" s="187">
        <f>('LCFS Table'!$V234+'LCFS Table'!$W234+'LCFS Table'!$X234)/100+(('LCFS Table'!$AI234+'LCFS Table'!$AJ234)/340)</f>
        <v>4.6326411138923662</v>
      </c>
      <c r="J234" s="187">
        <f>(('LCFS Table'!$Y234+'LCFS Table'!$Z234)/100)+(('LCFS Table'!$AM234+'LCFS Table'!$AN234)/300)</f>
        <v>5.5532347656249996</v>
      </c>
      <c r="K234" s="190">
        <f>'[1]Fuel Values'!$C233</f>
        <v>2.1953999999999998</v>
      </c>
      <c r="L234" s="190">
        <f>'[1]Fuel Values'!$B233</f>
        <v>583</v>
      </c>
      <c r="M234" s="185">
        <f>('LCFS Table'!$L234/100)-'LCFS Table'!$AX234-'LCFS Table'!$AY234-'LCFS Table'!$AZ234-'LCFS Table'!$BA234</f>
        <v>2.2309689459612501</v>
      </c>
      <c r="N234" s="190">
        <f>[1]BFT!$B233</f>
        <v>56</v>
      </c>
      <c r="O234" s="190">
        <f>[1]UCO!$B233</f>
        <v>45.5</v>
      </c>
      <c r="P234" s="190">
        <f>[1]DCO!$B233</f>
        <v>56.2</v>
      </c>
      <c r="Q234" s="190">
        <f>'[1]Soybean Oil'!$B233</f>
        <v>66.847999999999999</v>
      </c>
      <c r="R234" s="190">
        <f>'[1]Yellow Grease'!$B233</f>
        <v>42.5</v>
      </c>
      <c r="S234" s="185">
        <f>'LCFS Table'!$N234 + 'LCFS Table'!$AH234</f>
        <v>60.375</v>
      </c>
      <c r="T234" s="185">
        <f>'LCFS Table'!$Q234+'LCFS Table'!$AH234</f>
        <v>71.222999999999999</v>
      </c>
      <c r="U234" s="185">
        <f>'LCFS Table'!$P234+'LCFS Table'!$AH234</f>
        <v>60.575000000000003</v>
      </c>
      <c r="V234" s="185">
        <f>(('LCFS Table'!$S234/'LCFS Table'!$AA234)*'LCFS Table'!$AC234)*6.48</f>
        <v>208.10106382978725</v>
      </c>
      <c r="W234" s="185">
        <f>(('LCFS Table'!$O234/'LCFS Table'!$AA234)*'LCFS Table'!$AD234)*6.48</f>
        <v>78.414893617021278</v>
      </c>
      <c r="X234" s="185">
        <f>(('LCFS Table'!$U234/'LCFS Table'!$AA234)*'LCFS Table'!$AE234)*6.48</f>
        <v>104.39521276595747</v>
      </c>
      <c r="Y234" s="185">
        <f>(('LCFS Table'!$T234/'LCFS Table'!$AB234)*'LCFS Table'!$AF234)*7.35</f>
        <v>408.97582031249993</v>
      </c>
      <c r="Z234" s="185">
        <f>(('LCFS Table'!$R234/'LCFS Table'!$AB234)*'LCFS Table'!$AG234)*7.35</f>
        <v>81.34765625</v>
      </c>
      <c r="AA234" s="138">
        <v>0.94</v>
      </c>
      <c r="AB234" s="138">
        <v>0.96</v>
      </c>
      <c r="AC234" s="138">
        <v>0.5</v>
      </c>
      <c r="AD234" s="138">
        <v>0.25</v>
      </c>
      <c r="AE234" s="138">
        <v>0.25</v>
      </c>
      <c r="AF234" s="138">
        <v>0.75</v>
      </c>
      <c r="AG234" s="138">
        <v>0.25</v>
      </c>
      <c r="AH234" s="139">
        <v>4.375</v>
      </c>
      <c r="AI234" s="139">
        <v>136</v>
      </c>
      <c r="AJ234" s="139">
        <v>110</v>
      </c>
      <c r="AK234" s="186">
        <f>('LCFS Table'!$AI234/340)*100</f>
        <v>40</v>
      </c>
      <c r="AL234" s="186">
        <f>('LCFS Table'!$AJ234/340)*100</f>
        <v>32.352941176470587</v>
      </c>
      <c r="AM234" s="139">
        <v>105</v>
      </c>
      <c r="AN234" s="139">
        <v>90</v>
      </c>
      <c r="AO234" s="139">
        <f>('LCFS Table'!$AM234/300)*100</f>
        <v>35</v>
      </c>
      <c r="AP234" s="139">
        <f>('LCFS Table'!$AN234/300)*100</f>
        <v>30</v>
      </c>
      <c r="AQ234" s="140">
        <f>'[1]LCFS Values'!$B233</f>
        <v>82.15</v>
      </c>
      <c r="AR234" s="140">
        <f>'[1]RIN Values'!$B233/100</f>
        <v>1.4355000000000002</v>
      </c>
      <c r="AS234" s="185">
        <v>0.66953559967526688</v>
      </c>
      <c r="AT234" s="137">
        <v>0.16</v>
      </c>
      <c r="AU234" s="137">
        <v>1</v>
      </c>
      <c r="AV234" s="185">
        <f>'LCFS Table'!$AR234*1.7</f>
        <v>2.4403500000000005</v>
      </c>
      <c r="AW234" s="137">
        <v>0</v>
      </c>
      <c r="AX234" s="185">
        <v>0.44578105403875007</v>
      </c>
      <c r="AY234" s="137">
        <v>0</v>
      </c>
      <c r="AZ234" s="141">
        <v>1</v>
      </c>
      <c r="BA234" s="185">
        <f>'LCFS Table'!$AR234*1.5</f>
        <v>2.1532500000000003</v>
      </c>
      <c r="BB234" s="142">
        <v>1.2</v>
      </c>
      <c r="BC234" s="185">
        <f>'LCFS Table'!$AS234*'LCFS Table'!$BW234</f>
        <v>0.66953559967526688</v>
      </c>
      <c r="BD234" s="185">
        <f>'LCFS Table'!$AT234*'LCFS Table'!$BX234</f>
        <v>0</v>
      </c>
      <c r="BE234" s="185">
        <f>'LCFS Table'!$AU234*'LCFS Table'!$BY234</f>
        <v>1</v>
      </c>
      <c r="BF234" s="137">
        <f>'LCFS Table'!$AV234*'LCFS Table'!$BZ234</f>
        <v>2.4403500000000005</v>
      </c>
      <c r="BG234" s="137">
        <f>'LCFS Table'!$AW234*'LCFS Table'!$CA234</f>
        <v>0</v>
      </c>
      <c r="BH234" s="137">
        <f>'LCFS Table'!$AX234*'LCFS Table'!$CB234</f>
        <v>0.44578105403875007</v>
      </c>
      <c r="BI234" s="137">
        <f>'LCFS Table'!$AY234*'LCFS Table'!$CC234</f>
        <v>0</v>
      </c>
      <c r="BJ234" s="137">
        <f>'LCFS Table'!$AZ234*'LCFS Table'!$CD234</f>
        <v>1</v>
      </c>
      <c r="BK234" s="137">
        <f>'LCFS Table'!$BA234*'LCFS Table'!$CE234</f>
        <v>2.1532500000000003</v>
      </c>
      <c r="BL234" s="137">
        <f>'LCFS Table'!$BB234*'LCFS Table'!$CF234</f>
        <v>-1.2</v>
      </c>
      <c r="BM234" s="137">
        <f>'LCFS Table'!$AS234*'LCFS Table'!$CG234</f>
        <v>0</v>
      </c>
      <c r="BN234" s="137">
        <f>'LCFS Table'!$AT234*'LCFS Table'!$CH234</f>
        <v>0.16</v>
      </c>
      <c r="BO234" s="137">
        <f>'LCFS Table'!$AU234*'LCFS Table'!$CI234</f>
        <v>0</v>
      </c>
      <c r="BP234" s="137">
        <f>'LCFS Table'!$AV234*'LCFS Table'!$CJ234</f>
        <v>0</v>
      </c>
      <c r="BQ234" s="137">
        <f>'LCFS Table'!$AW234*'LCFS Table'!$CK234</f>
        <v>0</v>
      </c>
      <c r="BR234" s="137">
        <f>'LCFS Table'!$AX234*'LCFS Table'!$CL234</f>
        <v>0</v>
      </c>
      <c r="BS234" s="137">
        <f>'LCFS Table'!$AY234*'LCFS Table'!$CM234</f>
        <v>0</v>
      </c>
      <c r="BT234" s="137">
        <f>'LCFS Table'!$AZ234*'LCFS Table'!$CN234</f>
        <v>0</v>
      </c>
      <c r="BU234" s="137">
        <f>'LCFS Table'!$BA234*'LCFS Table'!$CO234</f>
        <v>0</v>
      </c>
      <c r="BV234" s="142">
        <f>'LCFS Table'!$BB234*'LCFS Table'!$CP234</f>
        <v>1.2</v>
      </c>
      <c r="BW234" s="138">
        <v>1</v>
      </c>
      <c r="BX234" s="138">
        <v>0</v>
      </c>
      <c r="BY234" s="138">
        <v>1</v>
      </c>
      <c r="BZ234" s="138">
        <v>1</v>
      </c>
      <c r="CA234" s="138">
        <v>-1</v>
      </c>
      <c r="CB234" s="138">
        <v>1</v>
      </c>
      <c r="CC234" s="138">
        <v>0</v>
      </c>
      <c r="CD234" s="138">
        <v>1</v>
      </c>
      <c r="CE234" s="138">
        <v>1</v>
      </c>
      <c r="CF234" s="138">
        <v>-1</v>
      </c>
      <c r="CG234" s="138">
        <f>1-'LCFS Table'!$BW234</f>
        <v>0</v>
      </c>
      <c r="CH234" s="138">
        <f>1-'LCFS Table'!$BX234</f>
        <v>1</v>
      </c>
      <c r="CI234" s="138">
        <f>1-'LCFS Table'!$BY234</f>
        <v>0</v>
      </c>
      <c r="CJ234" s="138">
        <f>1-'LCFS Table'!$BZ234</f>
        <v>0</v>
      </c>
      <c r="CK234" s="138">
        <f>-'LCFS Table'!$CA234</f>
        <v>1</v>
      </c>
      <c r="CL234" s="138">
        <f>1-'LCFS Table'!$CB234</f>
        <v>0</v>
      </c>
      <c r="CM234" s="138">
        <f>1-'LCFS Table'!$CC234</f>
        <v>1</v>
      </c>
      <c r="CN234" s="138">
        <f>1-'LCFS Table'!$CD234</f>
        <v>0</v>
      </c>
      <c r="CO234" s="138">
        <f>1-'LCFS Table'!$CE234</f>
        <v>0</v>
      </c>
      <c r="CP234" s="138">
        <f>-'LCFS Table'!$CF234</f>
        <v>1</v>
      </c>
      <c r="CQ234" s="140">
        <v>5</v>
      </c>
      <c r="CR234" s="165">
        <f>('LCFS Table'!$CQ234*0.9/(0.8/0.99)/100)</f>
        <v>5.5687499999999994E-2</v>
      </c>
      <c r="CS234" s="166"/>
      <c r="CT234" s="167"/>
      <c r="CW234" s="168">
        <f>'LCFS Table'!$K234-'LCFS Table'!$M234</f>
        <v>-3.5568945961250265E-2</v>
      </c>
      <c r="CX234" s="129">
        <f>MONTH('LCFS Table'!$B234)</f>
        <v>6</v>
      </c>
      <c r="CY234" s="129">
        <f>YEAR('LCFS Table'!$B234)</f>
        <v>2023</v>
      </c>
    </row>
    <row r="235" spans="1:103">
      <c r="A235" s="148">
        <v>45088</v>
      </c>
      <c r="B235" s="149">
        <v>45094</v>
      </c>
      <c r="C235" s="132">
        <f t="shared" si="4"/>
        <v>2023</v>
      </c>
      <c r="D235" s="150" t="s">
        <v>280</v>
      </c>
      <c r="E235" s="187">
        <f>'LCFS Table'!$K235-'LCFS Table'!$I235</f>
        <v>-2.6213219649561954</v>
      </c>
      <c r="F235" s="187">
        <f>('LCFS Table'!$M235)-'LCFS Table'!$J235</f>
        <v>-3.7885696896499992</v>
      </c>
      <c r="G235" s="188">
        <f>'LCFS Table'!$E235+'LCFS Table'!$AS235+'LCFS Table'!$AT235+'LCFS Table'!$AU235+'LCFS Table'!$AV235</f>
        <v>1.7141412702604468</v>
      </c>
      <c r="H235" s="188">
        <f>'LCFS Table'!$F235+'LCFS Table'!$AX235+'LCFS Table'!$AY235+'LCFS Table'!$AZ235+'LCFS Table'!$BA235+('LCFS Table'!$CQ235*0.9/(0.8/0.99)/100)+(DG235*'LCFS Table'!$AF235)+(DF235*'LCFS Table'!$AG235)</f>
        <v>-7.7488671874999304E-2</v>
      </c>
      <c r="I235" s="187">
        <f>('LCFS Table'!$V235+'LCFS Table'!$W235+'LCFS Table'!$X235)/100+(('LCFS Table'!$AI235+'LCFS Table'!$AJ235)/340)</f>
        <v>4.8558219649561956</v>
      </c>
      <c r="J235" s="187">
        <f>(('LCFS Table'!$Y235+'LCFS Table'!$Z235)/100)+(('LCFS Table'!$AM235+'LCFS Table'!$AN235)/300)</f>
        <v>5.9331761718749991</v>
      </c>
      <c r="K235" s="190">
        <f>'[1]Fuel Values'!$C234</f>
        <v>2.2345000000000002</v>
      </c>
      <c r="L235" s="190">
        <f>'[1]Fuel Values'!$B234</f>
        <v>580</v>
      </c>
      <c r="M235" s="185">
        <f>('LCFS Table'!$L235/100)-'LCFS Table'!$AX235-'LCFS Table'!$AY235-'LCFS Table'!$AZ235-'LCFS Table'!$BA235</f>
        <v>2.1446064822249999</v>
      </c>
      <c r="N235" s="190">
        <f>[1]BFT!$B234</f>
        <v>58.4</v>
      </c>
      <c r="O235" s="190">
        <f>[1]UCO!$B234</f>
        <v>50.3</v>
      </c>
      <c r="P235" s="190">
        <f>[1]DCO!$B234</f>
        <v>59.55</v>
      </c>
      <c r="Q235" s="190">
        <f>'[1]Soybean Oil'!$B234</f>
        <v>73.197999999999993</v>
      </c>
      <c r="R235" s="190">
        <f>'[1]Yellow Grease'!$B234</f>
        <v>43.3</v>
      </c>
      <c r="S235" s="185">
        <f>'LCFS Table'!$N235 + 'LCFS Table'!$AH235</f>
        <v>62.774999999999999</v>
      </c>
      <c r="T235" s="185">
        <f>'LCFS Table'!$Q235+'LCFS Table'!$AH235</f>
        <v>77.572999999999993</v>
      </c>
      <c r="U235" s="185">
        <f>'LCFS Table'!$P235+'LCFS Table'!$AH235</f>
        <v>63.924999999999997</v>
      </c>
      <c r="V235" s="185">
        <f>(('LCFS Table'!$S235/'LCFS Table'!$AA235)*'LCFS Table'!$AC235)*6.48</f>
        <v>216.37340425531917</v>
      </c>
      <c r="W235" s="185">
        <f>(('LCFS Table'!$O235/'LCFS Table'!$AA235)*'LCFS Table'!$AD235)*6.48</f>
        <v>86.6872340425532</v>
      </c>
      <c r="X235" s="185">
        <f>(('LCFS Table'!$U235/'LCFS Table'!$AA235)*'LCFS Table'!$AE235)*6.48</f>
        <v>110.1686170212766</v>
      </c>
      <c r="Y235" s="185">
        <f>(('LCFS Table'!$T235/'LCFS Table'!$AB235)*'LCFS Table'!$AF235)*7.35</f>
        <v>445.43871093749993</v>
      </c>
      <c r="Z235" s="185">
        <f>(('LCFS Table'!$R235/'LCFS Table'!$AB235)*'LCFS Table'!$AG235)*7.35</f>
        <v>82.878906249999986</v>
      </c>
      <c r="AA235" s="138">
        <v>0.94</v>
      </c>
      <c r="AB235" s="138">
        <v>0.96</v>
      </c>
      <c r="AC235" s="138">
        <v>0.5</v>
      </c>
      <c r="AD235" s="138">
        <v>0.25</v>
      </c>
      <c r="AE235" s="138">
        <v>0.25</v>
      </c>
      <c r="AF235" s="138">
        <v>0.75</v>
      </c>
      <c r="AG235" s="138">
        <v>0.25</v>
      </c>
      <c r="AH235" s="139">
        <v>4.375</v>
      </c>
      <c r="AI235" s="139">
        <v>136</v>
      </c>
      <c r="AJ235" s="139">
        <v>110</v>
      </c>
      <c r="AK235" s="186">
        <f>('LCFS Table'!$AI235/340)*100</f>
        <v>40</v>
      </c>
      <c r="AL235" s="186">
        <f>('LCFS Table'!$AJ235/340)*100</f>
        <v>32.352941176470587</v>
      </c>
      <c r="AM235" s="139">
        <v>105</v>
      </c>
      <c r="AN235" s="139">
        <v>90</v>
      </c>
      <c r="AO235" s="139">
        <f>('LCFS Table'!$AM235/300)*100</f>
        <v>35</v>
      </c>
      <c r="AP235" s="139">
        <f>('LCFS Table'!$AN235/300)*100</f>
        <v>30</v>
      </c>
      <c r="AQ235" s="140">
        <f>'[1]LCFS Values'!$B234</f>
        <v>83</v>
      </c>
      <c r="AR235" s="140">
        <f>'[1]RIN Values'!$B234/100</f>
        <v>1.47</v>
      </c>
      <c r="AS235" s="185">
        <v>0.67646323521664209</v>
      </c>
      <c r="AT235" s="137">
        <v>0.16</v>
      </c>
      <c r="AU235" s="137">
        <v>1</v>
      </c>
      <c r="AV235" s="185">
        <f>'LCFS Table'!$AR235*1.7</f>
        <v>2.4990000000000001</v>
      </c>
      <c r="AW235" s="137">
        <v>0</v>
      </c>
      <c r="AX235" s="185">
        <v>0.45039351777500003</v>
      </c>
      <c r="AY235" s="137">
        <v>0</v>
      </c>
      <c r="AZ235" s="141">
        <v>1</v>
      </c>
      <c r="BA235" s="185">
        <f>'LCFS Table'!$AR235*1.5</f>
        <v>2.2050000000000001</v>
      </c>
      <c r="BB235" s="142">
        <v>1.2</v>
      </c>
      <c r="BC235" s="185">
        <f>'LCFS Table'!$AS235*'LCFS Table'!$BW235</f>
        <v>0.67646323521664209</v>
      </c>
      <c r="BD235" s="185">
        <f>'LCFS Table'!$AT235*'LCFS Table'!$BX235</f>
        <v>0</v>
      </c>
      <c r="BE235" s="185">
        <f>'LCFS Table'!$AU235*'LCFS Table'!$BY235</f>
        <v>1</v>
      </c>
      <c r="BF235" s="137">
        <f>'LCFS Table'!$AV235*'LCFS Table'!$BZ235</f>
        <v>2.4990000000000001</v>
      </c>
      <c r="BG235" s="137">
        <f>'LCFS Table'!$AW235*'LCFS Table'!$CA235</f>
        <v>0</v>
      </c>
      <c r="BH235" s="137">
        <f>'LCFS Table'!$AX235*'LCFS Table'!$CB235</f>
        <v>0.45039351777500003</v>
      </c>
      <c r="BI235" s="137">
        <f>'LCFS Table'!$AY235*'LCFS Table'!$CC235</f>
        <v>0</v>
      </c>
      <c r="BJ235" s="137">
        <f>'LCFS Table'!$AZ235*'LCFS Table'!$CD235</f>
        <v>1</v>
      </c>
      <c r="BK235" s="137">
        <f>'LCFS Table'!$BA235*'LCFS Table'!$CE235</f>
        <v>2.2050000000000001</v>
      </c>
      <c r="BL235" s="137">
        <f>'LCFS Table'!$BB235*'LCFS Table'!$CF235</f>
        <v>-1.2</v>
      </c>
      <c r="BM235" s="137">
        <f>'LCFS Table'!$AS235*'LCFS Table'!$CG235</f>
        <v>0</v>
      </c>
      <c r="BN235" s="137">
        <f>'LCFS Table'!$AT235*'LCFS Table'!$CH235</f>
        <v>0.16</v>
      </c>
      <c r="BO235" s="137">
        <f>'LCFS Table'!$AU235*'LCFS Table'!$CI235</f>
        <v>0</v>
      </c>
      <c r="BP235" s="137">
        <f>'LCFS Table'!$AV235*'LCFS Table'!$CJ235</f>
        <v>0</v>
      </c>
      <c r="BQ235" s="137">
        <f>'LCFS Table'!$AW235*'LCFS Table'!$CK235</f>
        <v>0</v>
      </c>
      <c r="BR235" s="137">
        <f>'LCFS Table'!$AX235*'LCFS Table'!$CL235</f>
        <v>0</v>
      </c>
      <c r="BS235" s="137">
        <f>'LCFS Table'!$AY235*'LCFS Table'!$CM235</f>
        <v>0</v>
      </c>
      <c r="BT235" s="137">
        <f>'LCFS Table'!$AZ235*'LCFS Table'!$CN235</f>
        <v>0</v>
      </c>
      <c r="BU235" s="137">
        <f>'LCFS Table'!$BA235*'LCFS Table'!$CO235</f>
        <v>0</v>
      </c>
      <c r="BV235" s="142">
        <f>'LCFS Table'!$BB235*'LCFS Table'!$CP235</f>
        <v>1.2</v>
      </c>
      <c r="BW235" s="138">
        <v>1</v>
      </c>
      <c r="BX235" s="138">
        <v>0</v>
      </c>
      <c r="BY235" s="138">
        <v>1</v>
      </c>
      <c r="BZ235" s="138">
        <v>1</v>
      </c>
      <c r="CA235" s="138">
        <v>-1</v>
      </c>
      <c r="CB235" s="138">
        <v>1</v>
      </c>
      <c r="CC235" s="138">
        <v>0</v>
      </c>
      <c r="CD235" s="138">
        <v>1</v>
      </c>
      <c r="CE235" s="138">
        <v>1</v>
      </c>
      <c r="CF235" s="138">
        <v>-1</v>
      </c>
      <c r="CG235" s="138">
        <f>1-'LCFS Table'!$BW235</f>
        <v>0</v>
      </c>
      <c r="CH235" s="138">
        <f>1-'LCFS Table'!$BX235</f>
        <v>1</v>
      </c>
      <c r="CI235" s="138">
        <f>1-'LCFS Table'!$BY235</f>
        <v>0</v>
      </c>
      <c r="CJ235" s="138">
        <f>1-'LCFS Table'!$BZ235</f>
        <v>0</v>
      </c>
      <c r="CK235" s="138">
        <f>-'LCFS Table'!$CA235</f>
        <v>1</v>
      </c>
      <c r="CL235" s="138">
        <f>1-'LCFS Table'!$CB235</f>
        <v>0</v>
      </c>
      <c r="CM235" s="138">
        <f>1-'LCFS Table'!$CC235</f>
        <v>1</v>
      </c>
      <c r="CN235" s="138">
        <f>1-'LCFS Table'!$CD235</f>
        <v>0</v>
      </c>
      <c r="CO235" s="138">
        <f>1-'LCFS Table'!$CE235</f>
        <v>0</v>
      </c>
      <c r="CP235" s="138">
        <f>-'LCFS Table'!$CF235</f>
        <v>1</v>
      </c>
      <c r="CQ235" s="140">
        <v>5</v>
      </c>
      <c r="CR235" s="165">
        <f>('LCFS Table'!$CQ235*0.9/(0.8/0.99)/100)</f>
        <v>5.5687499999999994E-2</v>
      </c>
      <c r="CS235" s="166"/>
      <c r="CT235" s="167"/>
      <c r="CW235" s="168">
        <f>'LCFS Table'!$K235-'LCFS Table'!$M235</f>
        <v>8.9893517775000209E-2</v>
      </c>
      <c r="CX235" s="129">
        <f>MONTH('LCFS Table'!$B235)</f>
        <v>6</v>
      </c>
      <c r="CY235" s="129">
        <f>YEAR('LCFS Table'!$B235)</f>
        <v>2023</v>
      </c>
    </row>
    <row r="236" spans="1:103">
      <c r="A236" s="148">
        <v>45095</v>
      </c>
      <c r="B236" s="149">
        <v>45101</v>
      </c>
      <c r="C236" s="132">
        <f t="shared" si="4"/>
        <v>2023</v>
      </c>
      <c r="D236" s="150" t="s">
        <v>281</v>
      </c>
      <c r="E236" s="187">
        <f>'LCFS Table'!$K236-'LCFS Table'!$I236</f>
        <v>-2.7379804755944934</v>
      </c>
      <c r="F236" s="187">
        <f>('LCFS Table'!$M236)-'LCFS Table'!$J236</f>
        <v>-3.7196127402015629</v>
      </c>
      <c r="G236" s="188">
        <f>'LCFS Table'!$E236+'LCFS Table'!$AS236+'LCFS Table'!$AT236+'LCFS Table'!$AU236+'LCFS Table'!$AV236</f>
        <v>1.4586912276908872</v>
      </c>
      <c r="H236" s="188">
        <f>'LCFS Table'!$F236+'LCFS Table'!$AX236+'LCFS Table'!$AY236+'LCFS Table'!$AZ236+'LCFS Table'!$BA236+('LCFS Table'!$CQ236*0.9/(0.8/0.99)/100)+(DG236*'LCFS Table'!$AF236)+(DF236*'LCFS Table'!$AG236)</f>
        <v>-0.1209570312500009</v>
      </c>
      <c r="I236" s="187">
        <f>('LCFS Table'!$V236+'LCFS Table'!$W236+'LCFS Table'!$X236)/100+(('LCFS Table'!$AI236+'LCFS Table'!$AJ236)/340)</f>
        <v>5.0018804755944934</v>
      </c>
      <c r="J236" s="187">
        <f>(('LCFS Table'!$Y236+'LCFS Table'!$Z236)/100)+(('LCFS Table'!$AM236+'LCFS Table'!$AN236)/300)</f>
        <v>5.9766445312500007</v>
      </c>
      <c r="K236" s="190">
        <f>'[1]Fuel Values'!$C235</f>
        <v>2.2639</v>
      </c>
      <c r="L236" s="190">
        <f>'[1]Fuel Values'!$B235</f>
        <v>580</v>
      </c>
      <c r="M236" s="185">
        <f>('LCFS Table'!$L236/100)-'LCFS Table'!$AX236-'LCFS Table'!$AY236-'LCFS Table'!$AZ236-'LCFS Table'!$BA236</f>
        <v>2.2570317910484379</v>
      </c>
      <c r="N236" s="190">
        <f>[1]BFT!$B235</f>
        <v>60</v>
      </c>
      <c r="O236" s="190">
        <f>[1]UCO!$B235</f>
        <v>54.5</v>
      </c>
      <c r="P236" s="190">
        <f>[1]DCO!$B235</f>
        <v>60.625</v>
      </c>
      <c r="Q236" s="190">
        <f>'[1]Soybean Oil'!$B235</f>
        <v>73.555000000000007</v>
      </c>
      <c r="R236" s="190">
        <f>'[1]Yellow Grease'!$B235</f>
        <v>44.5</v>
      </c>
      <c r="S236" s="185">
        <f>'LCFS Table'!$N236 + 'LCFS Table'!$AH236</f>
        <v>64.375</v>
      </c>
      <c r="T236" s="185">
        <f>'LCFS Table'!$Q236+'LCFS Table'!$AH236</f>
        <v>77.930000000000007</v>
      </c>
      <c r="U236" s="185">
        <f>'LCFS Table'!$P236+'LCFS Table'!$AH236</f>
        <v>65</v>
      </c>
      <c r="V236" s="185">
        <f>(('LCFS Table'!$S236/'LCFS Table'!$AA236)*'LCFS Table'!$AC236)*6.48</f>
        <v>221.88829787234047</v>
      </c>
      <c r="W236" s="185">
        <f>(('LCFS Table'!$O236/'LCFS Table'!$AA236)*'LCFS Table'!$AD236)*6.48</f>
        <v>93.925531914893625</v>
      </c>
      <c r="X236" s="185">
        <f>(('LCFS Table'!$U236/'LCFS Table'!$AA236)*'LCFS Table'!$AE236)*6.48</f>
        <v>112.02127659574468</v>
      </c>
      <c r="Y236" s="185">
        <f>(('LCFS Table'!$T236/'LCFS Table'!$AB236)*'LCFS Table'!$AF236)*7.35</f>
        <v>447.48867187500002</v>
      </c>
      <c r="Z236" s="185">
        <f>(('LCFS Table'!$R236/'LCFS Table'!$AB236)*'LCFS Table'!$AG236)*7.35</f>
        <v>85.17578125</v>
      </c>
      <c r="AA236" s="138">
        <v>0.94</v>
      </c>
      <c r="AB236" s="138">
        <v>0.96</v>
      </c>
      <c r="AC236" s="138">
        <v>0.5</v>
      </c>
      <c r="AD236" s="138">
        <v>0.25</v>
      </c>
      <c r="AE236" s="138">
        <v>0.25</v>
      </c>
      <c r="AF236" s="138">
        <v>0.75</v>
      </c>
      <c r="AG236" s="138">
        <v>0.25</v>
      </c>
      <c r="AH236" s="139">
        <v>4.375</v>
      </c>
      <c r="AI236" s="139">
        <v>136</v>
      </c>
      <c r="AJ236" s="139">
        <v>110</v>
      </c>
      <c r="AK236" s="186">
        <f>('LCFS Table'!$AI236/340)*100</f>
        <v>40</v>
      </c>
      <c r="AL236" s="186">
        <f>('LCFS Table'!$AJ236/340)*100</f>
        <v>32.352941176470587</v>
      </c>
      <c r="AM236" s="139">
        <v>105</v>
      </c>
      <c r="AN236" s="139">
        <v>90</v>
      </c>
      <c r="AO236" s="139">
        <f>('LCFS Table'!$AM236/300)*100</f>
        <v>35</v>
      </c>
      <c r="AP236" s="139">
        <f>('LCFS Table'!$AN236/300)*100</f>
        <v>30</v>
      </c>
      <c r="AQ236" s="140">
        <f>'[1]LCFS Values'!$B235</f>
        <v>77.3125</v>
      </c>
      <c r="AR236" s="140">
        <f>'[1]RIN Values'!$B235/100</f>
        <v>1.4156249999999999</v>
      </c>
      <c r="AS236" s="185">
        <v>0.63010920328538111</v>
      </c>
      <c r="AT236" s="137">
        <v>0.16</v>
      </c>
      <c r="AU236" s="137">
        <v>1</v>
      </c>
      <c r="AV236" s="185">
        <f>'LCFS Table'!$AR236*1.7</f>
        <v>2.4065624999999997</v>
      </c>
      <c r="AW236" s="137">
        <v>0</v>
      </c>
      <c r="AX236" s="185">
        <v>0.41953070895156253</v>
      </c>
      <c r="AY236" s="137">
        <v>0</v>
      </c>
      <c r="AZ236" s="141">
        <v>1</v>
      </c>
      <c r="BA236" s="185">
        <f>'LCFS Table'!$AR236*1.5</f>
        <v>2.1234374999999996</v>
      </c>
      <c r="BB236" s="142">
        <v>1.2</v>
      </c>
      <c r="BC236" s="185">
        <f>'LCFS Table'!$AS236*'LCFS Table'!$BW236</f>
        <v>0.63010920328538111</v>
      </c>
      <c r="BD236" s="185">
        <f>'LCFS Table'!$AT236*'LCFS Table'!$BX236</f>
        <v>0</v>
      </c>
      <c r="BE236" s="185">
        <f>'LCFS Table'!$AU236*'LCFS Table'!$BY236</f>
        <v>1</v>
      </c>
      <c r="BF236" s="137">
        <f>'LCFS Table'!$AV236*'LCFS Table'!$BZ236</f>
        <v>2.4065624999999997</v>
      </c>
      <c r="BG236" s="137">
        <f>'LCFS Table'!$AW236*'LCFS Table'!$CA236</f>
        <v>0</v>
      </c>
      <c r="BH236" s="137">
        <f>'LCFS Table'!$AX236*'LCFS Table'!$CB236</f>
        <v>0.41953070895156253</v>
      </c>
      <c r="BI236" s="137">
        <f>'LCFS Table'!$AY236*'LCFS Table'!$CC236</f>
        <v>0</v>
      </c>
      <c r="BJ236" s="137">
        <f>'LCFS Table'!$AZ236*'LCFS Table'!$CD236</f>
        <v>1</v>
      </c>
      <c r="BK236" s="137">
        <f>'LCFS Table'!$BA236*'LCFS Table'!$CE236</f>
        <v>2.1234374999999996</v>
      </c>
      <c r="BL236" s="137">
        <f>'LCFS Table'!$BB236*'LCFS Table'!$CF236</f>
        <v>-1.2</v>
      </c>
      <c r="BM236" s="137">
        <f>'LCFS Table'!$AS236*'LCFS Table'!$CG236</f>
        <v>0</v>
      </c>
      <c r="BN236" s="137">
        <f>'LCFS Table'!$AT236*'LCFS Table'!$CH236</f>
        <v>0.16</v>
      </c>
      <c r="BO236" s="137">
        <f>'LCFS Table'!$AU236*'LCFS Table'!$CI236</f>
        <v>0</v>
      </c>
      <c r="BP236" s="137">
        <f>'LCFS Table'!$AV236*'LCFS Table'!$CJ236</f>
        <v>0</v>
      </c>
      <c r="BQ236" s="137">
        <f>'LCFS Table'!$AW236*'LCFS Table'!$CK236</f>
        <v>0</v>
      </c>
      <c r="BR236" s="137">
        <f>'LCFS Table'!$AX236*'LCFS Table'!$CL236</f>
        <v>0</v>
      </c>
      <c r="BS236" s="137">
        <f>'LCFS Table'!$AY236*'LCFS Table'!$CM236</f>
        <v>0</v>
      </c>
      <c r="BT236" s="137">
        <f>'LCFS Table'!$AZ236*'LCFS Table'!$CN236</f>
        <v>0</v>
      </c>
      <c r="BU236" s="137">
        <f>'LCFS Table'!$BA236*'LCFS Table'!$CO236</f>
        <v>0</v>
      </c>
      <c r="BV236" s="142">
        <f>'LCFS Table'!$BB236*'LCFS Table'!$CP236</f>
        <v>1.2</v>
      </c>
      <c r="BW236" s="138">
        <v>1</v>
      </c>
      <c r="BX236" s="138">
        <v>0</v>
      </c>
      <c r="BY236" s="138">
        <v>1</v>
      </c>
      <c r="BZ236" s="138">
        <v>1</v>
      </c>
      <c r="CA236" s="138">
        <v>-1</v>
      </c>
      <c r="CB236" s="138">
        <v>1</v>
      </c>
      <c r="CC236" s="138">
        <v>0</v>
      </c>
      <c r="CD236" s="138">
        <v>1</v>
      </c>
      <c r="CE236" s="138">
        <v>1</v>
      </c>
      <c r="CF236" s="138">
        <v>-1</v>
      </c>
      <c r="CG236" s="138">
        <f>1-'LCFS Table'!$BW236</f>
        <v>0</v>
      </c>
      <c r="CH236" s="138">
        <f>1-'LCFS Table'!$BX236</f>
        <v>1</v>
      </c>
      <c r="CI236" s="138">
        <f>1-'LCFS Table'!$BY236</f>
        <v>0</v>
      </c>
      <c r="CJ236" s="138">
        <f>1-'LCFS Table'!$BZ236</f>
        <v>0</v>
      </c>
      <c r="CK236" s="138">
        <f>-'LCFS Table'!$CA236</f>
        <v>1</v>
      </c>
      <c r="CL236" s="138">
        <f>1-'LCFS Table'!$CB236</f>
        <v>0</v>
      </c>
      <c r="CM236" s="138">
        <f>1-'LCFS Table'!$CC236</f>
        <v>1</v>
      </c>
      <c r="CN236" s="138">
        <f>1-'LCFS Table'!$CD236</f>
        <v>0</v>
      </c>
      <c r="CO236" s="138">
        <f>1-'LCFS Table'!$CE236</f>
        <v>0</v>
      </c>
      <c r="CP236" s="138">
        <f>-'LCFS Table'!$CF236</f>
        <v>1</v>
      </c>
      <c r="CQ236" s="140">
        <v>5</v>
      </c>
      <c r="CR236" s="165">
        <f>('LCFS Table'!$CQ236*0.9/(0.8/0.99)/100)</f>
        <v>5.5687499999999994E-2</v>
      </c>
      <c r="CS236" s="166"/>
      <c r="CT236" s="167"/>
      <c r="CW236" s="168">
        <f>'LCFS Table'!$K236-'LCFS Table'!$M236</f>
        <v>6.8682089515621492E-3</v>
      </c>
      <c r="CX236" s="129">
        <f>MONTH('LCFS Table'!$B236)</f>
        <v>6</v>
      </c>
      <c r="CY236" s="129">
        <f>YEAR('LCFS Table'!$B236)</f>
        <v>2023</v>
      </c>
    </row>
    <row r="237" spans="1:103">
      <c r="A237" s="148">
        <v>45102</v>
      </c>
      <c r="B237" s="149">
        <v>45108</v>
      </c>
      <c r="C237" s="132">
        <f t="shared" si="4"/>
        <v>2023</v>
      </c>
      <c r="D237" s="150" t="s">
        <v>282</v>
      </c>
      <c r="E237" s="187">
        <f>'LCFS Table'!$K237-'LCFS Table'!$I237</f>
        <v>-2.8208219649561963</v>
      </c>
      <c r="F237" s="187">
        <f>('LCFS Table'!$M237)-'LCFS Table'!$J237</f>
        <v>-4.0506056533500008</v>
      </c>
      <c r="G237" s="188">
        <f>'LCFS Table'!$E237+'LCFS Table'!$AS237+'LCFS Table'!$AT237+'LCFS Table'!$AU237+'LCFS Table'!$AV237</f>
        <v>1.4415153134977969</v>
      </c>
      <c r="H237" s="188">
        <f>'LCFS Table'!$F237+'LCFS Table'!$AX237+'LCFS Table'!$AY237+'LCFS Table'!$AZ237+'LCFS Table'!$BA237+('LCFS Table'!$CQ237*0.9/(0.8/0.99)/100)+(DG237*'LCFS Table'!$AF237)+(DF237*'LCFS Table'!$AG237)</f>
        <v>-0.387889453125001</v>
      </c>
      <c r="I237" s="187">
        <f>('LCFS Table'!$V237+'LCFS Table'!$W237+'LCFS Table'!$X237)/100+(('LCFS Table'!$AI237+'LCFS Table'!$AJ237)/340)</f>
        <v>5.0583219649561961</v>
      </c>
      <c r="J237" s="187">
        <f>(('LCFS Table'!$Y237+'LCFS Table'!$Z237)/100)+(('LCFS Table'!$AM237+'LCFS Table'!$AN237)/300)</f>
        <v>6.2091457031250004</v>
      </c>
      <c r="K237" s="190">
        <f>'[1]Fuel Values'!$C236</f>
        <v>2.2374999999999998</v>
      </c>
      <c r="L237" s="190">
        <f>'[1]Fuel Values'!$B236</f>
        <v>576</v>
      </c>
      <c r="M237" s="185">
        <f>('LCFS Table'!$L237/100)-'LCFS Table'!$AX237-'LCFS Table'!$AY237-'LCFS Table'!$AZ237-'LCFS Table'!$BA237</f>
        <v>2.158540049775</v>
      </c>
      <c r="N237" s="190">
        <f>[1]BFT!$B236</f>
        <v>62.4</v>
      </c>
      <c r="O237" s="190">
        <f>[1]UCO!$B236</f>
        <v>53.1</v>
      </c>
      <c r="P237" s="190">
        <f>[1]DCO!$B236</f>
        <v>60.5</v>
      </c>
      <c r="Q237" s="190">
        <f>'[1]Soybean Oil'!$B236</f>
        <v>77.603999999999999</v>
      </c>
      <c r="R237" s="190">
        <f>'[1]Yellow Grease'!$B236</f>
        <v>44.5</v>
      </c>
      <c r="S237" s="185">
        <f>'LCFS Table'!$N237 + 'LCFS Table'!$AH237</f>
        <v>66.775000000000006</v>
      </c>
      <c r="T237" s="185">
        <f>'LCFS Table'!$Q237+'LCFS Table'!$AH237</f>
        <v>81.978999999999999</v>
      </c>
      <c r="U237" s="185">
        <f>'LCFS Table'!$P237+'LCFS Table'!$AH237</f>
        <v>64.875</v>
      </c>
      <c r="V237" s="185">
        <f>(('LCFS Table'!$S237/'LCFS Table'!$AA237)*'LCFS Table'!$AC237)*6.48</f>
        <v>230.16063829787237</v>
      </c>
      <c r="W237" s="185">
        <f>(('LCFS Table'!$O237/'LCFS Table'!$AA237)*'LCFS Table'!$AD237)*6.48</f>
        <v>91.512765957446831</v>
      </c>
      <c r="X237" s="185">
        <f>(('LCFS Table'!$U237/'LCFS Table'!$AA237)*'LCFS Table'!$AE237)*6.48</f>
        <v>111.80585106382981</v>
      </c>
      <c r="Y237" s="185">
        <f>(('LCFS Table'!$T237/'LCFS Table'!$AB237)*'LCFS Table'!$AF237)*7.35</f>
        <v>470.73878906249996</v>
      </c>
      <c r="Z237" s="185">
        <f>(('LCFS Table'!$R237/'LCFS Table'!$AB237)*'LCFS Table'!$AG237)*7.35</f>
        <v>85.17578125</v>
      </c>
      <c r="AA237" s="138">
        <v>0.94</v>
      </c>
      <c r="AB237" s="138">
        <v>0.96</v>
      </c>
      <c r="AC237" s="138">
        <v>0.5</v>
      </c>
      <c r="AD237" s="138">
        <v>0.25</v>
      </c>
      <c r="AE237" s="138">
        <v>0.25</v>
      </c>
      <c r="AF237" s="138">
        <v>0.75</v>
      </c>
      <c r="AG237" s="138">
        <v>0.25</v>
      </c>
      <c r="AH237" s="139">
        <v>4.375</v>
      </c>
      <c r="AI237" s="139">
        <v>136</v>
      </c>
      <c r="AJ237" s="139">
        <v>110</v>
      </c>
      <c r="AK237" s="186">
        <f>('LCFS Table'!$AI237/340)*100</f>
        <v>40</v>
      </c>
      <c r="AL237" s="186">
        <f>('LCFS Table'!$AJ237/340)*100</f>
        <v>32.352941176470587</v>
      </c>
      <c r="AM237" s="139">
        <v>105</v>
      </c>
      <c r="AN237" s="139">
        <v>90</v>
      </c>
      <c r="AO237" s="139">
        <f>('LCFS Table'!$AM237/300)*100</f>
        <v>35</v>
      </c>
      <c r="AP237" s="139">
        <f>('LCFS Table'!$AN237/300)*100</f>
        <v>30</v>
      </c>
      <c r="AQ237" s="140">
        <f>'[1]LCFS Values'!$B236</f>
        <v>77</v>
      </c>
      <c r="AR237" s="140">
        <f>'[1]RIN Values'!$B236/100</f>
        <v>1.4557499999999999</v>
      </c>
      <c r="AS237" s="185">
        <v>0.62756227845399315</v>
      </c>
      <c r="AT237" s="137">
        <v>0.16</v>
      </c>
      <c r="AU237" s="137">
        <v>1</v>
      </c>
      <c r="AV237" s="185">
        <f>'LCFS Table'!$AR237*1.7</f>
        <v>2.4747749999999997</v>
      </c>
      <c r="AW237" s="137">
        <v>0</v>
      </c>
      <c r="AX237" s="185">
        <v>0.417834950225</v>
      </c>
      <c r="AY237" s="137">
        <v>0</v>
      </c>
      <c r="AZ237" s="141">
        <v>1</v>
      </c>
      <c r="BA237" s="185">
        <f>'LCFS Table'!$AR237*1.5</f>
        <v>2.1836249999999997</v>
      </c>
      <c r="BB237" s="142">
        <v>1.2</v>
      </c>
      <c r="BC237" s="185">
        <f>'LCFS Table'!$AS237*'LCFS Table'!$BW237</f>
        <v>0.62756227845399315</v>
      </c>
      <c r="BD237" s="185">
        <f>'LCFS Table'!$AT237*'LCFS Table'!$BX237</f>
        <v>0</v>
      </c>
      <c r="BE237" s="185">
        <f>'LCFS Table'!$AU237*'LCFS Table'!$BY237</f>
        <v>1</v>
      </c>
      <c r="BF237" s="137">
        <f>'LCFS Table'!$AV237*'LCFS Table'!$BZ237</f>
        <v>2.4747749999999997</v>
      </c>
      <c r="BG237" s="137">
        <f>'LCFS Table'!$AW237*'LCFS Table'!$CA237</f>
        <v>0</v>
      </c>
      <c r="BH237" s="137">
        <f>'LCFS Table'!$AX237*'LCFS Table'!$CB237</f>
        <v>0.417834950225</v>
      </c>
      <c r="BI237" s="137">
        <f>'LCFS Table'!$AY237*'LCFS Table'!$CC237</f>
        <v>0</v>
      </c>
      <c r="BJ237" s="137">
        <f>'LCFS Table'!$AZ237*'LCFS Table'!$CD237</f>
        <v>1</v>
      </c>
      <c r="BK237" s="137">
        <f>'LCFS Table'!$BA237*'LCFS Table'!$CE237</f>
        <v>2.1836249999999997</v>
      </c>
      <c r="BL237" s="137">
        <f>'LCFS Table'!$BB237*'LCFS Table'!$CF237</f>
        <v>-1.2</v>
      </c>
      <c r="BM237" s="137">
        <f>'LCFS Table'!$AS237*'LCFS Table'!$CG237</f>
        <v>0</v>
      </c>
      <c r="BN237" s="137">
        <f>'LCFS Table'!$AT237*'LCFS Table'!$CH237</f>
        <v>0.16</v>
      </c>
      <c r="BO237" s="137">
        <f>'LCFS Table'!$AU237*'LCFS Table'!$CI237</f>
        <v>0</v>
      </c>
      <c r="BP237" s="137">
        <f>'LCFS Table'!$AV237*'LCFS Table'!$CJ237</f>
        <v>0</v>
      </c>
      <c r="BQ237" s="137">
        <f>'LCFS Table'!$AW237*'LCFS Table'!$CK237</f>
        <v>0</v>
      </c>
      <c r="BR237" s="137">
        <f>'LCFS Table'!$AX237*'LCFS Table'!$CL237</f>
        <v>0</v>
      </c>
      <c r="BS237" s="137">
        <f>'LCFS Table'!$AY237*'LCFS Table'!$CM237</f>
        <v>0</v>
      </c>
      <c r="BT237" s="137">
        <f>'LCFS Table'!$AZ237*'LCFS Table'!$CN237</f>
        <v>0</v>
      </c>
      <c r="BU237" s="137">
        <f>'LCFS Table'!$BA237*'LCFS Table'!$CO237</f>
        <v>0</v>
      </c>
      <c r="BV237" s="142">
        <f>'LCFS Table'!$BB237*'LCFS Table'!$CP237</f>
        <v>1.2</v>
      </c>
      <c r="BW237" s="138">
        <v>1</v>
      </c>
      <c r="BX237" s="138">
        <v>0</v>
      </c>
      <c r="BY237" s="138">
        <v>1</v>
      </c>
      <c r="BZ237" s="138">
        <v>1</v>
      </c>
      <c r="CA237" s="138">
        <v>-1</v>
      </c>
      <c r="CB237" s="138">
        <v>1</v>
      </c>
      <c r="CC237" s="138">
        <v>0</v>
      </c>
      <c r="CD237" s="138">
        <v>1</v>
      </c>
      <c r="CE237" s="138">
        <v>1</v>
      </c>
      <c r="CF237" s="138">
        <v>-1</v>
      </c>
      <c r="CG237" s="138">
        <f>1-'LCFS Table'!$BW237</f>
        <v>0</v>
      </c>
      <c r="CH237" s="138">
        <f>1-'LCFS Table'!$BX237</f>
        <v>1</v>
      </c>
      <c r="CI237" s="138">
        <f>1-'LCFS Table'!$BY237</f>
        <v>0</v>
      </c>
      <c r="CJ237" s="138">
        <f>1-'LCFS Table'!$BZ237</f>
        <v>0</v>
      </c>
      <c r="CK237" s="138">
        <f>-'LCFS Table'!$CA237</f>
        <v>1</v>
      </c>
      <c r="CL237" s="138">
        <f>1-'LCFS Table'!$CB237</f>
        <v>0</v>
      </c>
      <c r="CM237" s="138">
        <f>1-'LCFS Table'!$CC237</f>
        <v>1</v>
      </c>
      <c r="CN237" s="138">
        <f>1-'LCFS Table'!$CD237</f>
        <v>0</v>
      </c>
      <c r="CO237" s="138">
        <f>1-'LCFS Table'!$CE237</f>
        <v>0</v>
      </c>
      <c r="CP237" s="138">
        <f>-'LCFS Table'!$CF237</f>
        <v>1</v>
      </c>
      <c r="CQ237" s="140">
        <v>5.5</v>
      </c>
      <c r="CR237" s="165">
        <f>('LCFS Table'!$CQ237*0.9/(0.8/0.99)/100)</f>
        <v>6.1256249999999991E-2</v>
      </c>
      <c r="CS237" s="166"/>
      <c r="CT237" s="167"/>
      <c r="CW237" s="168">
        <f>'LCFS Table'!$K237-'LCFS Table'!$M237</f>
        <v>7.8959950224999798E-2</v>
      </c>
      <c r="CX237" s="129">
        <f>MONTH('LCFS Table'!$B237)</f>
        <v>7</v>
      </c>
      <c r="CY237" s="129">
        <f>YEAR('LCFS Table'!$B237)</f>
        <v>2023</v>
      </c>
    </row>
    <row r="238" spans="1:103">
      <c r="A238" s="148">
        <v>45109</v>
      </c>
      <c r="B238" s="149">
        <v>45115</v>
      </c>
      <c r="C238" s="132">
        <f t="shared" si="4"/>
        <v>2023</v>
      </c>
      <c r="D238" s="150" t="s">
        <v>283</v>
      </c>
      <c r="E238" s="187">
        <f>'LCFS Table'!$K238-'LCFS Table'!$I238</f>
        <v>-2.8014134543178981</v>
      </c>
      <c r="F238" s="187">
        <f>('LCFS Table'!$M238)-'LCFS Table'!$J238</f>
        <v>-4.3520862632250008</v>
      </c>
      <c r="G238" s="188">
        <f>'LCFS Table'!$E238+'LCFS Table'!$AS238+'LCFS Table'!$AT238+'LCFS Table'!$AU238+'LCFS Table'!$AV238</f>
        <v>1.6092734254849916</v>
      </c>
      <c r="H238" s="188">
        <f>'LCFS Table'!$F238+'LCFS Table'!$AX238+'LCFS Table'!$AY238+'LCFS Table'!$AZ238+'LCFS Table'!$BA238+('LCFS Table'!$CQ238*0.9/(0.8/0.99)/100)+(DG238*'LCFS Table'!$AF238)+(DF238*'LCFS Table'!$AG238)</f>
        <v>-0.55406113281250091</v>
      </c>
      <c r="I238" s="187">
        <f>('LCFS Table'!$V238+'LCFS Table'!$W238+'LCFS Table'!$X238)/100+(('LCFS Table'!$AI238+'LCFS Table'!$AJ238)/340)</f>
        <v>5.094513454317898</v>
      </c>
      <c r="J238" s="187">
        <f>(('LCFS Table'!$Y238+'LCFS Table'!$Z238)/100)+(('LCFS Table'!$AM238+'LCFS Table'!$AN238)/300)</f>
        <v>6.3503173828125004</v>
      </c>
      <c r="K238" s="190">
        <f>'[1]Fuel Values'!$C237</f>
        <v>2.2930999999999999</v>
      </c>
      <c r="L238" s="190">
        <f>'[1]Fuel Values'!$B237</f>
        <v>573.5</v>
      </c>
      <c r="M238" s="185">
        <f>('LCFS Table'!$L238/100)-'LCFS Table'!$AX238-'LCFS Table'!$AY238-'LCFS Table'!$AZ238-'LCFS Table'!$BA238</f>
        <v>1.9982311195875</v>
      </c>
      <c r="N238" s="190">
        <f>[1]BFT!$B237</f>
        <v>63.5</v>
      </c>
      <c r="O238" s="190">
        <f>[1]UCO!$B237</f>
        <v>51</v>
      </c>
      <c r="P238" s="190">
        <f>[1]DCO!$B237</f>
        <v>62.5</v>
      </c>
      <c r="Q238" s="190">
        <f>'[1]Soybean Oil'!$B237</f>
        <v>80.0625</v>
      </c>
      <c r="R238" s="190">
        <f>'[1]Yellow Grease'!$B237</f>
        <v>44.5</v>
      </c>
      <c r="S238" s="185">
        <f>'LCFS Table'!$N238 + 'LCFS Table'!$AH238</f>
        <v>67.875</v>
      </c>
      <c r="T238" s="185">
        <f>'LCFS Table'!$Q238+'LCFS Table'!$AH238</f>
        <v>84.4375</v>
      </c>
      <c r="U238" s="185">
        <f>'LCFS Table'!$P238+'LCFS Table'!$AH238</f>
        <v>66.875</v>
      </c>
      <c r="V238" s="185">
        <f>(('LCFS Table'!$S238/'LCFS Table'!$AA238)*'LCFS Table'!$AC238)*6.48</f>
        <v>233.95212765957447</v>
      </c>
      <c r="W238" s="185">
        <f>(('LCFS Table'!$O238/'LCFS Table'!$AA238)*'LCFS Table'!$AD238)*6.48</f>
        <v>87.893617021276611</v>
      </c>
      <c r="X238" s="185">
        <f>(('LCFS Table'!$U238/'LCFS Table'!$AA238)*'LCFS Table'!$AE238)*6.48</f>
        <v>115.2526595744681</v>
      </c>
      <c r="Y238" s="185">
        <f>(('LCFS Table'!$T238/'LCFS Table'!$AB238)*'LCFS Table'!$AF238)*7.35</f>
        <v>484.85595703125</v>
      </c>
      <c r="Z238" s="185">
        <f>(('LCFS Table'!$R238/'LCFS Table'!$AB238)*'LCFS Table'!$AG238)*7.35</f>
        <v>85.17578125</v>
      </c>
      <c r="AA238" s="138">
        <v>0.94</v>
      </c>
      <c r="AB238" s="138">
        <v>0.96</v>
      </c>
      <c r="AC238" s="138">
        <v>0.5</v>
      </c>
      <c r="AD238" s="138">
        <v>0.25</v>
      </c>
      <c r="AE238" s="138">
        <v>0.25</v>
      </c>
      <c r="AF238" s="138">
        <v>0.75</v>
      </c>
      <c r="AG238" s="138">
        <v>0.25</v>
      </c>
      <c r="AH238" s="139">
        <v>4.375</v>
      </c>
      <c r="AI238" s="139">
        <v>136</v>
      </c>
      <c r="AJ238" s="139">
        <v>110</v>
      </c>
      <c r="AK238" s="186">
        <f>('LCFS Table'!$AI238/340)*100</f>
        <v>40</v>
      </c>
      <c r="AL238" s="186">
        <f>('LCFS Table'!$AJ238/340)*100</f>
        <v>32.352941176470587</v>
      </c>
      <c r="AM238" s="139">
        <v>105</v>
      </c>
      <c r="AN238" s="139">
        <v>90</v>
      </c>
      <c r="AO238" s="139">
        <f>('LCFS Table'!$AM238/300)*100</f>
        <v>35</v>
      </c>
      <c r="AP238" s="139">
        <f>('LCFS Table'!$AN238/300)*100</f>
        <v>30</v>
      </c>
      <c r="AQ238" s="140">
        <f>'[1]LCFS Values'!$B237</f>
        <v>74.5</v>
      </c>
      <c r="AR238" s="140">
        <f>'[1]RIN Values'!$B237/100</f>
        <v>1.5549999999999999</v>
      </c>
      <c r="AS238" s="185">
        <v>0.60718687980288955</v>
      </c>
      <c r="AT238" s="137">
        <v>0.16</v>
      </c>
      <c r="AU238" s="137">
        <v>1</v>
      </c>
      <c r="AV238" s="185">
        <f>'LCFS Table'!$AR238*1.7</f>
        <v>2.6435</v>
      </c>
      <c r="AW238" s="137">
        <v>0</v>
      </c>
      <c r="AX238" s="185">
        <v>0.40426888041250003</v>
      </c>
      <c r="AY238" s="137">
        <v>0</v>
      </c>
      <c r="AZ238" s="141">
        <v>1</v>
      </c>
      <c r="BA238" s="185">
        <f>'LCFS Table'!$AR238*1.5</f>
        <v>2.3325</v>
      </c>
      <c r="BB238" s="142">
        <v>1.2</v>
      </c>
      <c r="BC238" s="185">
        <f>'LCFS Table'!$AS238*'LCFS Table'!$BW238</f>
        <v>0.60718687980288955</v>
      </c>
      <c r="BD238" s="185">
        <f>'LCFS Table'!$AT238*'LCFS Table'!$BX238</f>
        <v>0</v>
      </c>
      <c r="BE238" s="185">
        <f>'LCFS Table'!$AU238*'LCFS Table'!$BY238</f>
        <v>1</v>
      </c>
      <c r="BF238" s="137">
        <f>'LCFS Table'!$AV238*'LCFS Table'!$BZ238</f>
        <v>2.6435</v>
      </c>
      <c r="BG238" s="137">
        <f>'LCFS Table'!$AW238*'LCFS Table'!$CA238</f>
        <v>0</v>
      </c>
      <c r="BH238" s="137">
        <f>'LCFS Table'!$AX238*'LCFS Table'!$CB238</f>
        <v>0.40426888041250003</v>
      </c>
      <c r="BI238" s="137">
        <f>'LCFS Table'!$AY238*'LCFS Table'!$CC238</f>
        <v>0</v>
      </c>
      <c r="BJ238" s="137">
        <f>'LCFS Table'!$AZ238*'LCFS Table'!$CD238</f>
        <v>1</v>
      </c>
      <c r="BK238" s="137">
        <f>'LCFS Table'!$BA238*'LCFS Table'!$CE238</f>
        <v>2.3325</v>
      </c>
      <c r="BL238" s="137">
        <f>'LCFS Table'!$BB238*'LCFS Table'!$CF238</f>
        <v>-1.2</v>
      </c>
      <c r="BM238" s="137">
        <f>'LCFS Table'!$AS238*'LCFS Table'!$CG238</f>
        <v>0</v>
      </c>
      <c r="BN238" s="137">
        <f>'LCFS Table'!$AT238*'LCFS Table'!$CH238</f>
        <v>0.16</v>
      </c>
      <c r="BO238" s="137">
        <f>'LCFS Table'!$AU238*'LCFS Table'!$CI238</f>
        <v>0</v>
      </c>
      <c r="BP238" s="137">
        <f>'LCFS Table'!$AV238*'LCFS Table'!$CJ238</f>
        <v>0</v>
      </c>
      <c r="BQ238" s="137">
        <f>'LCFS Table'!$AW238*'LCFS Table'!$CK238</f>
        <v>0</v>
      </c>
      <c r="BR238" s="137">
        <f>'LCFS Table'!$AX238*'LCFS Table'!$CL238</f>
        <v>0</v>
      </c>
      <c r="BS238" s="137">
        <f>'LCFS Table'!$AY238*'LCFS Table'!$CM238</f>
        <v>0</v>
      </c>
      <c r="BT238" s="137">
        <f>'LCFS Table'!$AZ238*'LCFS Table'!$CN238</f>
        <v>0</v>
      </c>
      <c r="BU238" s="137">
        <f>'LCFS Table'!$BA238*'LCFS Table'!$CO238</f>
        <v>0</v>
      </c>
      <c r="BV238" s="142">
        <f>'LCFS Table'!$BB238*'LCFS Table'!$CP238</f>
        <v>1.2</v>
      </c>
      <c r="BW238" s="138">
        <v>1</v>
      </c>
      <c r="BX238" s="138">
        <v>0</v>
      </c>
      <c r="BY238" s="138">
        <v>1</v>
      </c>
      <c r="BZ238" s="138">
        <v>1</v>
      </c>
      <c r="CA238" s="138">
        <v>-1</v>
      </c>
      <c r="CB238" s="138">
        <v>1</v>
      </c>
      <c r="CC238" s="138">
        <v>0</v>
      </c>
      <c r="CD238" s="138">
        <v>1</v>
      </c>
      <c r="CE238" s="138">
        <v>1</v>
      </c>
      <c r="CF238" s="138">
        <v>-1</v>
      </c>
      <c r="CG238" s="138">
        <f>1-'LCFS Table'!$BW238</f>
        <v>0</v>
      </c>
      <c r="CH238" s="138">
        <f>1-'LCFS Table'!$BX238</f>
        <v>1</v>
      </c>
      <c r="CI238" s="138">
        <f>1-'LCFS Table'!$BY238</f>
        <v>0</v>
      </c>
      <c r="CJ238" s="138">
        <f>1-'LCFS Table'!$BZ238</f>
        <v>0</v>
      </c>
      <c r="CK238" s="138">
        <f>-'LCFS Table'!$CA238</f>
        <v>1</v>
      </c>
      <c r="CL238" s="138">
        <f>1-'LCFS Table'!$CB238</f>
        <v>0</v>
      </c>
      <c r="CM238" s="138">
        <f>1-'LCFS Table'!$CC238</f>
        <v>1</v>
      </c>
      <c r="CN238" s="138">
        <f>1-'LCFS Table'!$CD238</f>
        <v>0</v>
      </c>
      <c r="CO238" s="138">
        <f>1-'LCFS Table'!$CE238</f>
        <v>0</v>
      </c>
      <c r="CP238" s="138">
        <f>-'LCFS Table'!$CF238</f>
        <v>1</v>
      </c>
      <c r="CQ238" s="140">
        <v>5.5</v>
      </c>
      <c r="CR238" s="165">
        <f>('LCFS Table'!$CQ238*0.9/(0.8/0.99)/100)</f>
        <v>6.1256249999999991E-2</v>
      </c>
      <c r="CS238" s="166"/>
      <c r="CT238" s="167"/>
      <c r="CW238" s="168">
        <f>'LCFS Table'!$K238-'LCFS Table'!$M238</f>
        <v>0.29486888041249992</v>
      </c>
      <c r="CX238" s="129">
        <f>MONTH('LCFS Table'!$B238)</f>
        <v>7</v>
      </c>
      <c r="CY238" s="129">
        <f>YEAR('LCFS Table'!$B238)</f>
        <v>2023</v>
      </c>
    </row>
    <row r="239" spans="1:103">
      <c r="A239" s="148">
        <v>45117</v>
      </c>
      <c r="B239" s="149">
        <v>45122</v>
      </c>
      <c r="C239" s="132">
        <f t="shared" si="4"/>
        <v>2023</v>
      </c>
      <c r="D239" s="150" t="s">
        <v>284</v>
      </c>
      <c r="E239" s="187">
        <f>'LCFS Table'!$K239-'LCFS Table'!$I239</f>
        <v>-2.8336177096370472</v>
      </c>
      <c r="F239" s="187">
        <f>('LCFS Table'!$M239)-'LCFS Table'!$J239</f>
        <v>-4.4471968529137511</v>
      </c>
      <c r="G239" s="188">
        <f>'LCFS Table'!$E239+'LCFS Table'!$AS239+'LCFS Table'!$AT239+'LCFS Table'!$AU239+'LCFS Table'!$AV239</f>
        <v>1.5723662954338047</v>
      </c>
      <c r="H239" s="188">
        <f>'LCFS Table'!$F239+'LCFS Table'!$AX239+'LCFS Table'!$AY239+'LCFS Table'!$AZ239+'LCFS Table'!$BA239+('LCFS Table'!$CQ239*0.9/(0.8/0.99)/100)+(DG239*'LCFS Table'!$AF239)+(DF239*'LCFS Table'!$AG239)</f>
        <v>-0.64917382812500124</v>
      </c>
      <c r="I239" s="187">
        <f>('LCFS Table'!$V239+'LCFS Table'!$W239+'LCFS Table'!$X239)/100+(('LCFS Table'!$AI239+'LCFS Table'!$AJ239)/340)</f>
        <v>5.238417709637047</v>
      </c>
      <c r="J239" s="187">
        <f>(('LCFS Table'!$Y239+'LCFS Table'!$Z239)/100)+(('LCFS Table'!$AM239+'LCFS Table'!$AN239)/300)</f>
        <v>6.4754300781250009</v>
      </c>
      <c r="K239" s="190">
        <f>'[1]Fuel Values'!$C238</f>
        <v>2.4047999999999998</v>
      </c>
      <c r="L239" s="190">
        <f>'[1]Fuel Values'!$B238</f>
        <v>576.5</v>
      </c>
      <c r="M239" s="185">
        <f>('LCFS Table'!$L239/100)-'LCFS Table'!$AX239-'LCFS Table'!$AY239-'LCFS Table'!$AZ239-'LCFS Table'!$BA239</f>
        <v>2.0282332252112498</v>
      </c>
      <c r="N239" s="190">
        <f>[1]BFT!$B238</f>
        <v>65</v>
      </c>
      <c r="O239" s="190">
        <f>[1]UCO!$B238</f>
        <v>51.4</v>
      </c>
      <c r="P239" s="190">
        <f>[1]DCO!$B238</f>
        <v>67.45</v>
      </c>
      <c r="Q239" s="190">
        <f>'[1]Soybean Oil'!$B238</f>
        <v>81.908000000000001</v>
      </c>
      <c r="R239" s="190">
        <f>'[1]Yellow Grease'!$B238</f>
        <v>45.5</v>
      </c>
      <c r="S239" s="185">
        <f>'LCFS Table'!$N239 + 'LCFS Table'!$AH239</f>
        <v>69.375</v>
      </c>
      <c r="T239" s="185">
        <f>'LCFS Table'!$Q239+'LCFS Table'!$AH239</f>
        <v>86.283000000000001</v>
      </c>
      <c r="U239" s="185">
        <f>'LCFS Table'!$P239+'LCFS Table'!$AH239</f>
        <v>71.825000000000003</v>
      </c>
      <c r="V239" s="185">
        <f>(('LCFS Table'!$S239/'LCFS Table'!$AA239)*'LCFS Table'!$AC239)*6.48</f>
        <v>239.12234042553195</v>
      </c>
      <c r="W239" s="185">
        <f>(('LCFS Table'!$O239/'LCFS Table'!$AA239)*'LCFS Table'!$AD239)*6.48</f>
        <v>88.582978723404267</v>
      </c>
      <c r="X239" s="185">
        <f>(('LCFS Table'!$U239/'LCFS Table'!$AA239)*'LCFS Table'!$AE239)*6.48</f>
        <v>123.78351063829788</v>
      </c>
      <c r="Y239" s="185">
        <f>(('LCFS Table'!$T239/'LCFS Table'!$AB239)*'LCFS Table'!$AF239)*7.35</f>
        <v>495.45316406250004</v>
      </c>
      <c r="Z239" s="185">
        <f>(('LCFS Table'!$R239/'LCFS Table'!$AB239)*'LCFS Table'!$AG239)*7.35</f>
        <v>87.08984375</v>
      </c>
      <c r="AA239" s="138">
        <v>0.94</v>
      </c>
      <c r="AB239" s="138">
        <v>0.96</v>
      </c>
      <c r="AC239" s="138">
        <v>0.5</v>
      </c>
      <c r="AD239" s="138">
        <v>0.25</v>
      </c>
      <c r="AE239" s="138">
        <v>0.25</v>
      </c>
      <c r="AF239" s="138">
        <v>0.75</v>
      </c>
      <c r="AG239" s="138">
        <v>0.25</v>
      </c>
      <c r="AH239" s="139">
        <v>4.375</v>
      </c>
      <c r="AI239" s="139">
        <v>136</v>
      </c>
      <c r="AJ239" s="139">
        <v>110</v>
      </c>
      <c r="AK239" s="186">
        <f>('LCFS Table'!$AI239/340)*100</f>
        <v>40</v>
      </c>
      <c r="AL239" s="186">
        <f>('LCFS Table'!$AJ239/340)*100</f>
        <v>32.352941176470587</v>
      </c>
      <c r="AM239" s="139">
        <v>105</v>
      </c>
      <c r="AN239" s="139">
        <v>90</v>
      </c>
      <c r="AO239" s="139">
        <f>('LCFS Table'!$AM239/300)*100</f>
        <v>35</v>
      </c>
      <c r="AP239" s="139">
        <f>('LCFS Table'!$AN239/300)*100</f>
        <v>30</v>
      </c>
      <c r="AQ239" s="140">
        <f>'[1]LCFS Values'!$B238</f>
        <v>72.150000000000006</v>
      </c>
      <c r="AR239" s="140">
        <f>'[1]RIN Values'!$B238/100</f>
        <v>1.5634999999999999</v>
      </c>
      <c r="AS239" s="185">
        <v>0.58803400507085213</v>
      </c>
      <c r="AT239" s="137">
        <v>0.16</v>
      </c>
      <c r="AU239" s="137">
        <v>1</v>
      </c>
      <c r="AV239" s="185">
        <f>'LCFS Table'!$AR239*1.7</f>
        <v>2.6579499999999996</v>
      </c>
      <c r="AW239" s="137">
        <v>0</v>
      </c>
      <c r="AX239" s="185">
        <v>0.39151677478875002</v>
      </c>
      <c r="AY239" s="137">
        <v>0</v>
      </c>
      <c r="AZ239" s="141">
        <v>1</v>
      </c>
      <c r="BA239" s="185">
        <f>'LCFS Table'!$AR239*1.5</f>
        <v>2.3452500000000001</v>
      </c>
      <c r="BB239" s="142">
        <v>1.2</v>
      </c>
      <c r="BC239" s="185">
        <f>'LCFS Table'!$AS239*'LCFS Table'!$BW239</f>
        <v>0.58803400507085213</v>
      </c>
      <c r="BD239" s="185">
        <f>'LCFS Table'!$AT239*'LCFS Table'!$BX239</f>
        <v>0</v>
      </c>
      <c r="BE239" s="185">
        <f>'LCFS Table'!$AU239*'LCFS Table'!$BY239</f>
        <v>1</v>
      </c>
      <c r="BF239" s="137">
        <f>'LCFS Table'!$AV239*'LCFS Table'!$BZ239</f>
        <v>2.6579499999999996</v>
      </c>
      <c r="BG239" s="137">
        <f>'LCFS Table'!$AW239*'LCFS Table'!$CA239</f>
        <v>0</v>
      </c>
      <c r="BH239" s="137">
        <f>'LCFS Table'!$AX239*'LCFS Table'!$CB239</f>
        <v>0.39151677478875002</v>
      </c>
      <c r="BI239" s="137">
        <f>'LCFS Table'!$AY239*'LCFS Table'!$CC239</f>
        <v>0</v>
      </c>
      <c r="BJ239" s="137">
        <f>'LCFS Table'!$AZ239*'LCFS Table'!$CD239</f>
        <v>1</v>
      </c>
      <c r="BK239" s="137">
        <f>'LCFS Table'!$BA239*'LCFS Table'!$CE239</f>
        <v>2.3452500000000001</v>
      </c>
      <c r="BL239" s="137">
        <f>'LCFS Table'!$BB239*'LCFS Table'!$CF239</f>
        <v>-1.2</v>
      </c>
      <c r="BM239" s="137">
        <f>'LCFS Table'!$AS239*'LCFS Table'!$CG239</f>
        <v>0</v>
      </c>
      <c r="BN239" s="137">
        <f>'LCFS Table'!$AT239*'LCFS Table'!$CH239</f>
        <v>0.16</v>
      </c>
      <c r="BO239" s="137">
        <f>'LCFS Table'!$AU239*'LCFS Table'!$CI239</f>
        <v>0</v>
      </c>
      <c r="BP239" s="137">
        <f>'LCFS Table'!$AV239*'LCFS Table'!$CJ239</f>
        <v>0</v>
      </c>
      <c r="BQ239" s="137">
        <f>'LCFS Table'!$AW239*'LCFS Table'!$CK239</f>
        <v>0</v>
      </c>
      <c r="BR239" s="137">
        <f>'LCFS Table'!$AX239*'LCFS Table'!$CL239</f>
        <v>0</v>
      </c>
      <c r="BS239" s="137">
        <f>'LCFS Table'!$AY239*'LCFS Table'!$CM239</f>
        <v>0</v>
      </c>
      <c r="BT239" s="137">
        <f>'LCFS Table'!$AZ239*'LCFS Table'!$CN239</f>
        <v>0</v>
      </c>
      <c r="BU239" s="137">
        <f>'LCFS Table'!$BA239*'LCFS Table'!$CO239</f>
        <v>0</v>
      </c>
      <c r="BV239" s="142">
        <f>'LCFS Table'!$BB239*'LCFS Table'!$CP239</f>
        <v>1.2</v>
      </c>
      <c r="BW239" s="138">
        <v>1</v>
      </c>
      <c r="BX239" s="138">
        <v>0</v>
      </c>
      <c r="BY239" s="138">
        <v>1</v>
      </c>
      <c r="BZ239" s="138">
        <v>1</v>
      </c>
      <c r="CA239" s="138">
        <v>-1</v>
      </c>
      <c r="CB239" s="138">
        <v>1</v>
      </c>
      <c r="CC239" s="138">
        <v>0</v>
      </c>
      <c r="CD239" s="138">
        <v>1</v>
      </c>
      <c r="CE239" s="138">
        <v>1</v>
      </c>
      <c r="CF239" s="138">
        <v>-1</v>
      </c>
      <c r="CG239" s="138">
        <f>1-'LCFS Table'!$BW239</f>
        <v>0</v>
      </c>
      <c r="CH239" s="138">
        <f>1-'LCFS Table'!$BX239</f>
        <v>1</v>
      </c>
      <c r="CI239" s="138">
        <f>1-'LCFS Table'!$BY239</f>
        <v>0</v>
      </c>
      <c r="CJ239" s="138">
        <f>1-'LCFS Table'!$BZ239</f>
        <v>0</v>
      </c>
      <c r="CK239" s="138">
        <f>-'LCFS Table'!$CA239</f>
        <v>1</v>
      </c>
      <c r="CL239" s="138">
        <f>1-'LCFS Table'!$CB239</f>
        <v>0</v>
      </c>
      <c r="CM239" s="138">
        <f>1-'LCFS Table'!$CC239</f>
        <v>1</v>
      </c>
      <c r="CN239" s="138">
        <f>1-'LCFS Table'!$CD239</f>
        <v>0</v>
      </c>
      <c r="CO239" s="138">
        <f>1-'LCFS Table'!$CE239</f>
        <v>0</v>
      </c>
      <c r="CP239" s="138">
        <f>-'LCFS Table'!$CF239</f>
        <v>1</v>
      </c>
      <c r="CQ239" s="140">
        <v>5.5</v>
      </c>
      <c r="CR239" s="165">
        <f>('LCFS Table'!$CQ239*0.9/(0.8/0.99)/100)</f>
        <v>6.1256249999999991E-2</v>
      </c>
      <c r="CS239" s="166"/>
      <c r="CT239" s="167"/>
      <c r="CW239" s="168">
        <f>'LCFS Table'!$K239-'LCFS Table'!$M239</f>
        <v>0.37656677478875</v>
      </c>
      <c r="CX239" s="129">
        <f>MONTH('LCFS Table'!$B239)</f>
        <v>7</v>
      </c>
      <c r="CY239" s="129">
        <f>YEAR('LCFS Table'!$B239)</f>
        <v>2023</v>
      </c>
    </row>
    <row r="240" spans="1:103">
      <c r="A240" s="148">
        <v>45123</v>
      </c>
      <c r="B240" s="149">
        <v>45129</v>
      </c>
      <c r="C240" s="132">
        <f t="shared" si="4"/>
        <v>2023</v>
      </c>
      <c r="D240" s="150" t="s">
        <v>285</v>
      </c>
      <c r="E240" s="187">
        <f>'LCFS Table'!$K240-'LCFS Table'!$I240</f>
        <v>-2.8699964330413019</v>
      </c>
      <c r="F240" s="187">
        <f>('LCFS Table'!$M240)-'LCFS Table'!$J240</f>
        <v>-4.5365026113575002</v>
      </c>
      <c r="G240" s="188">
        <f>'LCFS Table'!$E240+'LCFS Table'!$AS240+'LCFS Table'!$AT240+'LCFS Table'!$AU240+'LCFS Table'!$AV240</f>
        <v>1.5217001916248813</v>
      </c>
      <c r="H240" s="188">
        <f>'LCFS Table'!$F240+'LCFS Table'!$AX240+'LCFS Table'!$AY240+'LCFS Table'!$AZ240+'LCFS Table'!$BA240+('LCFS Table'!$CQ240*0.9/(0.8/0.99)/100)+(DG240*'LCFS Table'!$AF240)+(DF240*'LCFS Table'!$AG240)</f>
        <v>-0.7524097656249995</v>
      </c>
      <c r="I240" s="187">
        <f>('LCFS Table'!$V240+'LCFS Table'!$W240+'LCFS Table'!$X240)/100+(('LCFS Table'!$AI240+'LCFS Table'!$AJ240)/340)</f>
        <v>5.3288964330413018</v>
      </c>
      <c r="J240" s="187">
        <f>(('LCFS Table'!$Y240+'LCFS Table'!$Z240)/100)+(('LCFS Table'!$AM240+'LCFS Table'!$AN240)/300)</f>
        <v>6.5886660156249999</v>
      </c>
      <c r="K240" s="190">
        <f>'[1]Fuel Values'!$C239</f>
        <v>2.4588999999999999</v>
      </c>
      <c r="L240" s="190">
        <f>'[1]Fuel Values'!$B239</f>
        <v>577.5</v>
      </c>
      <c r="M240" s="185">
        <f>('LCFS Table'!$L240/100)-'LCFS Table'!$AX240-'LCFS Table'!$AY240-'LCFS Table'!$AZ240-'LCFS Table'!$BA240</f>
        <v>2.0521634042674997</v>
      </c>
      <c r="N240" s="190">
        <f>[1]BFT!$B239</f>
        <v>66.599999999999994</v>
      </c>
      <c r="O240" s="190">
        <f>[1]UCO!$B239</f>
        <v>52.4</v>
      </c>
      <c r="P240" s="190">
        <f>[1]DCO!$B239</f>
        <v>68.5</v>
      </c>
      <c r="Q240" s="190">
        <f>'[1]Soybean Oil'!$B239</f>
        <v>83.38</v>
      </c>
      <c r="R240" s="190">
        <f>'[1]Yellow Grease'!$B239</f>
        <v>47</v>
      </c>
      <c r="S240" s="185">
        <f>'LCFS Table'!$N240 + 'LCFS Table'!$AH240</f>
        <v>70.974999999999994</v>
      </c>
      <c r="T240" s="185">
        <f>'LCFS Table'!$Q240+'LCFS Table'!$AH240</f>
        <v>87.754999999999995</v>
      </c>
      <c r="U240" s="185">
        <f>'LCFS Table'!$P240+'LCFS Table'!$AH240</f>
        <v>72.875</v>
      </c>
      <c r="V240" s="185">
        <f>(('LCFS Table'!$S240/'LCFS Table'!$AA240)*'LCFS Table'!$AC240)*6.48</f>
        <v>244.63723404255319</v>
      </c>
      <c r="W240" s="185">
        <f>(('LCFS Table'!$O240/'LCFS Table'!$AA240)*'LCFS Table'!$AD240)*6.48</f>
        <v>90.30638297872342</v>
      </c>
      <c r="X240" s="185">
        <f>(('LCFS Table'!$U240/'LCFS Table'!$AA240)*'LCFS Table'!$AE240)*6.48</f>
        <v>125.593085106383</v>
      </c>
      <c r="Y240" s="185">
        <f>(('LCFS Table'!$T240/'LCFS Table'!$AB240)*'LCFS Table'!$AF240)*7.35</f>
        <v>503.90566406249997</v>
      </c>
      <c r="Z240" s="185">
        <f>(('LCFS Table'!$R240/'LCFS Table'!$AB240)*'LCFS Table'!$AG240)*7.35</f>
        <v>89.9609375</v>
      </c>
      <c r="AA240" s="138">
        <v>0.94</v>
      </c>
      <c r="AB240" s="138">
        <v>0.96</v>
      </c>
      <c r="AC240" s="138">
        <v>0.5</v>
      </c>
      <c r="AD240" s="138">
        <v>0.25</v>
      </c>
      <c r="AE240" s="138">
        <v>0.25</v>
      </c>
      <c r="AF240" s="138">
        <v>0.75</v>
      </c>
      <c r="AG240" s="138">
        <v>0.25</v>
      </c>
      <c r="AH240" s="139">
        <v>4.375</v>
      </c>
      <c r="AI240" s="139">
        <v>136</v>
      </c>
      <c r="AJ240" s="139">
        <v>110</v>
      </c>
      <c r="AK240" s="186">
        <f>('LCFS Table'!$AI240/340)*100</f>
        <v>40</v>
      </c>
      <c r="AL240" s="186">
        <f>('LCFS Table'!$AJ240/340)*100</f>
        <v>32.352941176470587</v>
      </c>
      <c r="AM240" s="139">
        <v>105</v>
      </c>
      <c r="AN240" s="139">
        <v>90</v>
      </c>
      <c r="AO240" s="139">
        <f>('LCFS Table'!$AM240/300)*100</f>
        <v>35</v>
      </c>
      <c r="AP240" s="139">
        <f>('LCFS Table'!$AN240/300)*100</f>
        <v>30</v>
      </c>
      <c r="AQ240" s="140">
        <f>'[1]LCFS Values'!$B239</f>
        <v>72.900000000000006</v>
      </c>
      <c r="AR240" s="140">
        <f>'[1]RIN Values'!$B239/100</f>
        <v>1.5515000000000001</v>
      </c>
      <c r="AS240" s="185">
        <v>0.59414662466618318</v>
      </c>
      <c r="AT240" s="137">
        <v>0.16</v>
      </c>
      <c r="AU240" s="137">
        <v>1</v>
      </c>
      <c r="AV240" s="185">
        <f>'LCFS Table'!$AR240*1.7</f>
        <v>2.6375500000000001</v>
      </c>
      <c r="AW240" s="137">
        <v>0</v>
      </c>
      <c r="AX240" s="185">
        <v>0.39558659573250005</v>
      </c>
      <c r="AY240" s="137">
        <v>0</v>
      </c>
      <c r="AZ240" s="141">
        <v>1</v>
      </c>
      <c r="BA240" s="185">
        <f>'LCFS Table'!$AR240*1.5</f>
        <v>2.3272500000000003</v>
      </c>
      <c r="BB240" s="142">
        <v>1.2</v>
      </c>
      <c r="BC240" s="185">
        <f>'LCFS Table'!$AS240*'LCFS Table'!$BW240</f>
        <v>0.59414662466618318</v>
      </c>
      <c r="BD240" s="185">
        <f>'LCFS Table'!$AT240*'LCFS Table'!$BX240</f>
        <v>0</v>
      </c>
      <c r="BE240" s="185">
        <f>'LCFS Table'!$AU240*'LCFS Table'!$BY240</f>
        <v>1</v>
      </c>
      <c r="BF240" s="137">
        <f>'LCFS Table'!$AV240*'LCFS Table'!$BZ240</f>
        <v>2.6375500000000001</v>
      </c>
      <c r="BG240" s="137">
        <f>'LCFS Table'!$AW240*'LCFS Table'!$CA240</f>
        <v>0</v>
      </c>
      <c r="BH240" s="137">
        <f>'LCFS Table'!$AX240*'LCFS Table'!$CB240</f>
        <v>0.39558659573250005</v>
      </c>
      <c r="BI240" s="137">
        <f>'LCFS Table'!$AY240*'LCFS Table'!$CC240</f>
        <v>0</v>
      </c>
      <c r="BJ240" s="137">
        <f>'LCFS Table'!$AZ240*'LCFS Table'!$CD240</f>
        <v>1</v>
      </c>
      <c r="BK240" s="137">
        <f>'LCFS Table'!$BA240*'LCFS Table'!$CE240</f>
        <v>2.3272500000000003</v>
      </c>
      <c r="BL240" s="137">
        <f>'LCFS Table'!$BB240*'LCFS Table'!$CF240</f>
        <v>-1.2</v>
      </c>
      <c r="BM240" s="137">
        <f>'LCFS Table'!$AS240*'LCFS Table'!$CG240</f>
        <v>0</v>
      </c>
      <c r="BN240" s="137">
        <f>'LCFS Table'!$AT240*'LCFS Table'!$CH240</f>
        <v>0.16</v>
      </c>
      <c r="BO240" s="137">
        <f>'LCFS Table'!$AU240*'LCFS Table'!$CI240</f>
        <v>0</v>
      </c>
      <c r="BP240" s="137">
        <f>'LCFS Table'!$AV240*'LCFS Table'!$CJ240</f>
        <v>0</v>
      </c>
      <c r="BQ240" s="137">
        <f>'LCFS Table'!$AW240*'LCFS Table'!$CK240</f>
        <v>0</v>
      </c>
      <c r="BR240" s="137">
        <f>'LCFS Table'!$AX240*'LCFS Table'!$CL240</f>
        <v>0</v>
      </c>
      <c r="BS240" s="137">
        <f>'LCFS Table'!$AY240*'LCFS Table'!$CM240</f>
        <v>0</v>
      </c>
      <c r="BT240" s="137">
        <f>'LCFS Table'!$AZ240*'LCFS Table'!$CN240</f>
        <v>0</v>
      </c>
      <c r="BU240" s="137">
        <f>'LCFS Table'!$BA240*'LCFS Table'!$CO240</f>
        <v>0</v>
      </c>
      <c r="BV240" s="142">
        <f>'LCFS Table'!$BB240*'LCFS Table'!$CP240</f>
        <v>1.2</v>
      </c>
      <c r="BW240" s="138">
        <v>1</v>
      </c>
      <c r="BX240" s="138">
        <v>0</v>
      </c>
      <c r="BY240" s="138">
        <v>1</v>
      </c>
      <c r="BZ240" s="138">
        <v>1</v>
      </c>
      <c r="CA240" s="138">
        <v>-1</v>
      </c>
      <c r="CB240" s="138">
        <v>1</v>
      </c>
      <c r="CC240" s="138">
        <v>0</v>
      </c>
      <c r="CD240" s="138">
        <v>1</v>
      </c>
      <c r="CE240" s="138">
        <v>1</v>
      </c>
      <c r="CF240" s="138">
        <v>-1</v>
      </c>
      <c r="CG240" s="138">
        <f>1-'LCFS Table'!$BW240</f>
        <v>0</v>
      </c>
      <c r="CH240" s="138">
        <f>1-'LCFS Table'!$BX240</f>
        <v>1</v>
      </c>
      <c r="CI240" s="138">
        <f>1-'LCFS Table'!$BY240</f>
        <v>0</v>
      </c>
      <c r="CJ240" s="138">
        <f>1-'LCFS Table'!$BZ240</f>
        <v>0</v>
      </c>
      <c r="CK240" s="138">
        <f>-'LCFS Table'!$CA240</f>
        <v>1</v>
      </c>
      <c r="CL240" s="138">
        <f>1-'LCFS Table'!$CB240</f>
        <v>0</v>
      </c>
      <c r="CM240" s="138">
        <f>1-'LCFS Table'!$CC240</f>
        <v>1</v>
      </c>
      <c r="CN240" s="138">
        <f>1-'LCFS Table'!$CD240</f>
        <v>0</v>
      </c>
      <c r="CO240" s="138">
        <f>1-'LCFS Table'!$CE240</f>
        <v>0</v>
      </c>
      <c r="CP240" s="138">
        <f>-'LCFS Table'!$CF240</f>
        <v>1</v>
      </c>
      <c r="CQ240" s="140">
        <v>5.5</v>
      </c>
      <c r="CR240" s="165">
        <f>('LCFS Table'!$CQ240*0.9/(0.8/0.99)/100)</f>
        <v>6.1256249999999991E-2</v>
      </c>
      <c r="CS240" s="166"/>
      <c r="CT240" s="167"/>
      <c r="CW240" s="168">
        <f>'LCFS Table'!$K240-'LCFS Table'!$M240</f>
        <v>0.40673659573250021</v>
      </c>
      <c r="CX240" s="129">
        <f>MONTH('LCFS Table'!$B240)</f>
        <v>7</v>
      </c>
      <c r="CY240" s="129">
        <f>YEAR('LCFS Table'!$B240)</f>
        <v>2023</v>
      </c>
    </row>
    <row r="241" spans="1:103">
      <c r="A241" s="148">
        <v>45130</v>
      </c>
      <c r="B241" s="149">
        <v>45136</v>
      </c>
      <c r="C241" s="132">
        <f t="shared" si="4"/>
        <v>2023</v>
      </c>
      <c r="D241" s="150" t="s">
        <v>286</v>
      </c>
      <c r="E241" s="187">
        <f>'LCFS Table'!$K241-'LCFS Table'!$I241</f>
        <v>-2.596594305381728</v>
      </c>
      <c r="F241" s="187">
        <f>('LCFS Table'!$M241)-'LCFS Table'!$J241</f>
        <v>-4.2254545618625006</v>
      </c>
      <c r="G241" s="188">
        <f>'LCFS Table'!$E241+'LCFS Table'!$AS241+'LCFS Table'!$AT241+'LCFS Table'!$AU241+'LCFS Table'!$AV241</f>
        <v>1.8237924149607201</v>
      </c>
      <c r="H241" s="188">
        <f>'LCFS Table'!$F241+'LCFS Table'!$AX241+'LCFS Table'!$AY241+'LCFS Table'!$AZ241+'LCFS Table'!$BA241+('LCFS Table'!$CQ241*0.9/(0.8/0.99)/100)+(DG241*'LCFS Table'!$AF241)+(DF241*'LCFS Table'!$AG241)</f>
        <v>-0.41877648437500037</v>
      </c>
      <c r="I241" s="187">
        <f>('LCFS Table'!$V241+'LCFS Table'!$W241+'LCFS Table'!$X241)/100+(('LCFS Table'!$AI241+'LCFS Table'!$AJ241)/340)</f>
        <v>5.358194305381728</v>
      </c>
      <c r="J241" s="187">
        <f>(('LCFS Table'!$Y241+'LCFS Table'!$Z241)/100)+(('LCFS Table'!$AM241+'LCFS Table'!$AN241)/300)</f>
        <v>6.8083621093750004</v>
      </c>
      <c r="K241" s="190">
        <f>'[1]Fuel Values'!$C240</f>
        <v>2.7616000000000001</v>
      </c>
      <c r="L241" s="190">
        <f>'[1]Fuel Values'!$B240</f>
        <v>633</v>
      </c>
      <c r="M241" s="185">
        <f>('LCFS Table'!$L241/100)-'LCFS Table'!$AX241-'LCFS Table'!$AY241-'LCFS Table'!$AZ241-'LCFS Table'!$BA241</f>
        <v>2.5829075475124998</v>
      </c>
      <c r="N241" s="190">
        <f>[1]BFT!$B240</f>
        <v>67</v>
      </c>
      <c r="O241" s="190">
        <f>[1]UCO!$B240</f>
        <v>53</v>
      </c>
      <c r="P241" s="190">
        <f>[1]DCO!$B240</f>
        <v>68.8</v>
      </c>
      <c r="Q241" s="190">
        <f>'[1]Soybean Oil'!$B240</f>
        <v>87.206000000000003</v>
      </c>
      <c r="R241" s="190">
        <f>'[1]Yellow Grease'!$B240</f>
        <v>47</v>
      </c>
      <c r="S241" s="185">
        <f>'LCFS Table'!$N241 + 'LCFS Table'!$AH241</f>
        <v>71.375</v>
      </c>
      <c r="T241" s="185">
        <f>'LCFS Table'!$Q241+'LCFS Table'!$AH241</f>
        <v>91.581000000000003</v>
      </c>
      <c r="U241" s="185">
        <f>'LCFS Table'!$P241+'LCFS Table'!$AH241</f>
        <v>73.174999999999997</v>
      </c>
      <c r="V241" s="185">
        <f>(('LCFS Table'!$S241/'LCFS Table'!$AA241)*'LCFS Table'!$AC241)*6.48</f>
        <v>246.01595744680853</v>
      </c>
      <c r="W241" s="185">
        <f>(('LCFS Table'!$O241/'LCFS Table'!$AA241)*'LCFS Table'!$AD241)*6.48</f>
        <v>91.340425531914903</v>
      </c>
      <c r="X241" s="185">
        <f>(('LCFS Table'!$U241/'LCFS Table'!$AA241)*'LCFS Table'!$AE241)*6.48</f>
        <v>126.11010638297874</v>
      </c>
      <c r="Y241" s="185">
        <f>(('LCFS Table'!$T241/'LCFS Table'!$AB241)*'LCFS Table'!$AF241)*7.35</f>
        <v>525.87527343750003</v>
      </c>
      <c r="Z241" s="185">
        <f>(('LCFS Table'!$R241/'LCFS Table'!$AB241)*'LCFS Table'!$AG241)*7.35</f>
        <v>89.9609375</v>
      </c>
      <c r="AA241" s="138">
        <v>0.94</v>
      </c>
      <c r="AB241" s="138">
        <v>0.96</v>
      </c>
      <c r="AC241" s="138">
        <v>0.5</v>
      </c>
      <c r="AD241" s="138">
        <v>0.25</v>
      </c>
      <c r="AE241" s="138">
        <v>0.25</v>
      </c>
      <c r="AF241" s="138">
        <v>0.75</v>
      </c>
      <c r="AG241" s="138">
        <v>0.25</v>
      </c>
      <c r="AH241" s="139">
        <v>4.375</v>
      </c>
      <c r="AI241" s="139">
        <v>136</v>
      </c>
      <c r="AJ241" s="139">
        <v>110</v>
      </c>
      <c r="AK241" s="186">
        <f>('LCFS Table'!$AI241/340)*100</f>
        <v>40</v>
      </c>
      <c r="AL241" s="186">
        <f>('LCFS Table'!$AJ241/340)*100</f>
        <v>32.352941176470587</v>
      </c>
      <c r="AM241" s="139">
        <v>105</v>
      </c>
      <c r="AN241" s="139">
        <v>90</v>
      </c>
      <c r="AO241" s="139">
        <f>('LCFS Table'!$AM241/300)*100</f>
        <v>35</v>
      </c>
      <c r="AP241" s="139">
        <f>('LCFS Table'!$AN241/300)*100</f>
        <v>30</v>
      </c>
      <c r="AQ241" s="140">
        <f>'[1]LCFS Values'!$B240</f>
        <v>73.5</v>
      </c>
      <c r="AR241" s="140">
        <f>'[1]RIN Values'!$B240/100</f>
        <v>1.5655000000000001</v>
      </c>
      <c r="AS241" s="185">
        <v>0.59903672034244804</v>
      </c>
      <c r="AT241" s="137">
        <v>0.16</v>
      </c>
      <c r="AU241" s="137">
        <v>1</v>
      </c>
      <c r="AV241" s="185">
        <f>'LCFS Table'!$AR241*1.7</f>
        <v>2.6613500000000001</v>
      </c>
      <c r="AW241" s="137">
        <v>0</v>
      </c>
      <c r="AX241" s="185">
        <v>0.3988424524875</v>
      </c>
      <c r="AY241" s="137">
        <v>0</v>
      </c>
      <c r="AZ241" s="141">
        <v>1</v>
      </c>
      <c r="BA241" s="185">
        <f>'LCFS Table'!$AR241*1.5</f>
        <v>2.3482500000000002</v>
      </c>
      <c r="BB241" s="142">
        <v>1.2</v>
      </c>
      <c r="BC241" s="185">
        <f>'LCFS Table'!$AS241*'LCFS Table'!$BW241</f>
        <v>0.59903672034244804</v>
      </c>
      <c r="BD241" s="185">
        <f>'LCFS Table'!$AT241*'LCFS Table'!$BX241</f>
        <v>0</v>
      </c>
      <c r="BE241" s="185">
        <f>'LCFS Table'!$AU241*'LCFS Table'!$BY241</f>
        <v>1</v>
      </c>
      <c r="BF241" s="137">
        <f>'LCFS Table'!$AV241*'LCFS Table'!$BZ241</f>
        <v>2.6613500000000001</v>
      </c>
      <c r="BG241" s="137">
        <f>'LCFS Table'!$AW241*'LCFS Table'!$CA241</f>
        <v>0</v>
      </c>
      <c r="BH241" s="137">
        <f>'LCFS Table'!$AX241*'LCFS Table'!$CB241</f>
        <v>0.3988424524875</v>
      </c>
      <c r="BI241" s="137">
        <f>'LCFS Table'!$AY241*'LCFS Table'!$CC241</f>
        <v>0</v>
      </c>
      <c r="BJ241" s="137">
        <f>'LCFS Table'!$AZ241*'LCFS Table'!$CD241</f>
        <v>1</v>
      </c>
      <c r="BK241" s="137">
        <f>'LCFS Table'!$BA241*'LCFS Table'!$CE241</f>
        <v>2.3482500000000002</v>
      </c>
      <c r="BL241" s="137">
        <f>'LCFS Table'!$BB241*'LCFS Table'!$CF241</f>
        <v>-1.2</v>
      </c>
      <c r="BM241" s="137">
        <f>'LCFS Table'!$AS241*'LCFS Table'!$CG241</f>
        <v>0</v>
      </c>
      <c r="BN241" s="137">
        <f>'LCFS Table'!$AT241*'LCFS Table'!$CH241</f>
        <v>0.16</v>
      </c>
      <c r="BO241" s="137">
        <f>'LCFS Table'!$AU241*'LCFS Table'!$CI241</f>
        <v>0</v>
      </c>
      <c r="BP241" s="137">
        <f>'LCFS Table'!$AV241*'LCFS Table'!$CJ241</f>
        <v>0</v>
      </c>
      <c r="BQ241" s="137">
        <f>'LCFS Table'!$AW241*'LCFS Table'!$CK241</f>
        <v>0</v>
      </c>
      <c r="BR241" s="137">
        <f>'LCFS Table'!$AX241*'LCFS Table'!$CL241</f>
        <v>0</v>
      </c>
      <c r="BS241" s="137">
        <f>'LCFS Table'!$AY241*'LCFS Table'!$CM241</f>
        <v>0</v>
      </c>
      <c r="BT241" s="137">
        <f>'LCFS Table'!$AZ241*'LCFS Table'!$CN241</f>
        <v>0</v>
      </c>
      <c r="BU241" s="137">
        <f>'LCFS Table'!$BA241*'LCFS Table'!$CO241</f>
        <v>0</v>
      </c>
      <c r="BV241" s="142">
        <f>'LCFS Table'!$BB241*'LCFS Table'!$CP241</f>
        <v>1.2</v>
      </c>
      <c r="BW241" s="138">
        <v>1</v>
      </c>
      <c r="BX241" s="138">
        <v>0</v>
      </c>
      <c r="BY241" s="138">
        <v>1</v>
      </c>
      <c r="BZ241" s="138">
        <v>1</v>
      </c>
      <c r="CA241" s="138">
        <v>-1</v>
      </c>
      <c r="CB241" s="138">
        <v>1</v>
      </c>
      <c r="CC241" s="138">
        <v>0</v>
      </c>
      <c r="CD241" s="138">
        <v>1</v>
      </c>
      <c r="CE241" s="138">
        <v>1</v>
      </c>
      <c r="CF241" s="138">
        <v>-1</v>
      </c>
      <c r="CG241" s="138">
        <f>1-'LCFS Table'!$BW241</f>
        <v>0</v>
      </c>
      <c r="CH241" s="138">
        <f>1-'LCFS Table'!$BX241</f>
        <v>1</v>
      </c>
      <c r="CI241" s="138">
        <f>1-'LCFS Table'!$BY241</f>
        <v>0</v>
      </c>
      <c r="CJ241" s="138">
        <f>1-'LCFS Table'!$BZ241</f>
        <v>0</v>
      </c>
      <c r="CK241" s="138">
        <f>-'LCFS Table'!$CA241</f>
        <v>1</v>
      </c>
      <c r="CL241" s="138">
        <f>1-'LCFS Table'!$CB241</f>
        <v>0</v>
      </c>
      <c r="CM241" s="138">
        <f>1-'LCFS Table'!$CC241</f>
        <v>1</v>
      </c>
      <c r="CN241" s="138">
        <f>1-'LCFS Table'!$CD241</f>
        <v>0</v>
      </c>
      <c r="CO241" s="138">
        <f>1-'LCFS Table'!$CE241</f>
        <v>0</v>
      </c>
      <c r="CP241" s="138">
        <f>-'LCFS Table'!$CF241</f>
        <v>1</v>
      </c>
      <c r="CQ241" s="140">
        <v>5.35</v>
      </c>
      <c r="CR241" s="165">
        <f>('LCFS Table'!$CQ241*0.9/(0.8/0.99)/100)</f>
        <v>5.9585624999999982E-2</v>
      </c>
      <c r="CS241" s="166"/>
      <c r="CT241" s="167"/>
      <c r="CW241" s="168">
        <f>'LCFS Table'!$K241-'LCFS Table'!$M241</f>
        <v>0.17869245248750021</v>
      </c>
      <c r="CX241" s="129">
        <f>MONTH('LCFS Table'!$B241)</f>
        <v>7</v>
      </c>
      <c r="CY241" s="129">
        <f>YEAR('LCFS Table'!$B241)</f>
        <v>2023</v>
      </c>
    </row>
    <row r="242" spans="1:103">
      <c r="A242" s="148">
        <v>45137</v>
      </c>
      <c r="B242" s="149">
        <v>45143</v>
      </c>
      <c r="C242" s="132">
        <f t="shared" si="4"/>
        <v>2023</v>
      </c>
      <c r="D242" s="150" t="s">
        <v>287</v>
      </c>
      <c r="E242" s="187">
        <f>'LCFS Table'!$K242-'LCFS Table'!$I242</f>
        <v>-2.4989474968710899</v>
      </c>
      <c r="F242" s="187">
        <f>('LCFS Table'!$M242)-'LCFS Table'!$J242</f>
        <v>-3.3609374311700009</v>
      </c>
      <c r="G242" s="188">
        <f>'LCFS Table'!$E242+'LCFS Table'!$AS242+'LCFS Table'!$AT242+'LCFS Table'!$AU242+'LCFS Table'!$AV242</f>
        <v>1.8459745264461962</v>
      </c>
      <c r="H242" s="188">
        <f>'LCFS Table'!$F242+'LCFS Table'!$AX242+'LCFS Table'!$AY242+'LCFS Table'!$AZ242+'LCFS Table'!$BA242+('LCFS Table'!$CQ242*0.9/(0.8/0.99)/100)+(DG242*'LCFS Table'!$AF242)+(DF242*'LCFS Table'!$AG242)</f>
        <v>0.37468710937499911</v>
      </c>
      <c r="I242" s="187">
        <f>('LCFS Table'!$V242+'LCFS Table'!$W242+'LCFS Table'!$X242)/100+(('LCFS Table'!$AI242+'LCFS Table'!$AJ242)/340)</f>
        <v>5.3547474968710898</v>
      </c>
      <c r="J242" s="187">
        <f>(('LCFS Table'!$Y242+'LCFS Table'!$Z242)/100)+(('LCFS Table'!$AM242+'LCFS Table'!$AN242)/300)</f>
        <v>6.3837847656250011</v>
      </c>
      <c r="K242" s="190">
        <f>'[1]Fuel Values'!$C241</f>
        <v>2.8557999999999999</v>
      </c>
      <c r="L242" s="190">
        <f>'[1]Fuel Values'!$B241</f>
        <v>670</v>
      </c>
      <c r="M242" s="185">
        <f>('LCFS Table'!$L242/100)-'LCFS Table'!$AX242-'LCFS Table'!$AY242-'LCFS Table'!$AZ242-'LCFS Table'!$BA242</f>
        <v>3.0228473344550002</v>
      </c>
      <c r="N242" s="190">
        <f>[1]BFT!$B241</f>
        <v>67</v>
      </c>
      <c r="O242" s="190">
        <f>[1]UCO!$B241</f>
        <v>53</v>
      </c>
      <c r="P242" s="190">
        <f>[1]DCO!$B241</f>
        <v>68.599999999999994</v>
      </c>
      <c r="Q242" s="190">
        <f>'[1]Soybean Oil'!$B241</f>
        <v>79.811999999999998</v>
      </c>
      <c r="R242" s="190">
        <f>'[1]Yellow Grease'!$B241</f>
        <v>47</v>
      </c>
      <c r="S242" s="185">
        <f>'LCFS Table'!$N242 + 'LCFS Table'!$AH242</f>
        <v>71.375</v>
      </c>
      <c r="T242" s="185">
        <f>'LCFS Table'!$Q242+'LCFS Table'!$AH242</f>
        <v>84.186999999999998</v>
      </c>
      <c r="U242" s="185">
        <f>'LCFS Table'!$P242+'LCFS Table'!$AH242</f>
        <v>72.974999999999994</v>
      </c>
      <c r="V242" s="185">
        <f>(('LCFS Table'!$S242/'LCFS Table'!$AA242)*'LCFS Table'!$AC242)*6.48</f>
        <v>246.01595744680853</v>
      </c>
      <c r="W242" s="185">
        <f>(('LCFS Table'!$O242/'LCFS Table'!$AA242)*'LCFS Table'!$AD242)*6.48</f>
        <v>91.340425531914903</v>
      </c>
      <c r="X242" s="185">
        <f>(('LCFS Table'!$U242/'LCFS Table'!$AA242)*'LCFS Table'!$AE242)*6.48</f>
        <v>125.7654255319149</v>
      </c>
      <c r="Y242" s="185">
        <f>(('LCFS Table'!$T242/'LCFS Table'!$AB242)*'LCFS Table'!$AF242)*7.35</f>
        <v>483.4175390625</v>
      </c>
      <c r="Z242" s="185">
        <f>(('LCFS Table'!$R242/'LCFS Table'!$AB242)*'LCFS Table'!$AG242)*7.35</f>
        <v>89.9609375</v>
      </c>
      <c r="AA242" s="138">
        <v>0.94</v>
      </c>
      <c r="AB242" s="138">
        <v>0.96</v>
      </c>
      <c r="AC242" s="138">
        <v>0.5</v>
      </c>
      <c r="AD242" s="138">
        <v>0.25</v>
      </c>
      <c r="AE242" s="138">
        <v>0.25</v>
      </c>
      <c r="AF242" s="138">
        <v>0.75</v>
      </c>
      <c r="AG242" s="138">
        <v>0.25</v>
      </c>
      <c r="AH242" s="139">
        <v>4.375</v>
      </c>
      <c r="AI242" s="139">
        <v>136</v>
      </c>
      <c r="AJ242" s="139">
        <v>110</v>
      </c>
      <c r="AK242" s="186">
        <f>('LCFS Table'!$AI242/340)*100</f>
        <v>40</v>
      </c>
      <c r="AL242" s="186">
        <f>('LCFS Table'!$AJ242/340)*100</f>
        <v>32.352941176470587</v>
      </c>
      <c r="AM242" s="139">
        <v>105</v>
      </c>
      <c r="AN242" s="139">
        <v>90</v>
      </c>
      <c r="AO242" s="139">
        <f>('LCFS Table'!$AM242/300)*100</f>
        <v>35</v>
      </c>
      <c r="AP242" s="139">
        <f>('LCFS Table'!$AN242/300)*100</f>
        <v>30</v>
      </c>
      <c r="AQ242" s="140">
        <f>'[1]LCFS Values'!$B241</f>
        <v>75.400000000000006</v>
      </c>
      <c r="AR242" s="140">
        <f>'[1]RIN Values'!$B241/100</f>
        <v>1.5119999999999998</v>
      </c>
      <c r="AS242" s="185">
        <v>0.61452202331728689</v>
      </c>
      <c r="AT242" s="137">
        <v>0.16</v>
      </c>
      <c r="AU242" s="137">
        <v>1</v>
      </c>
      <c r="AV242" s="185">
        <f>'LCFS Table'!$AR242*1.7</f>
        <v>2.5703999999999994</v>
      </c>
      <c r="AW242" s="137">
        <v>0</v>
      </c>
      <c r="AX242" s="185">
        <v>0.40915266554500007</v>
      </c>
      <c r="AY242" s="137">
        <v>0</v>
      </c>
      <c r="AZ242" s="141">
        <v>1</v>
      </c>
      <c r="BA242" s="185">
        <f>'LCFS Table'!$AR242*1.5</f>
        <v>2.2679999999999998</v>
      </c>
      <c r="BB242" s="142">
        <v>1.2</v>
      </c>
      <c r="BC242" s="185">
        <f>'LCFS Table'!$AS242*'LCFS Table'!$BW242</f>
        <v>0.61452202331728689</v>
      </c>
      <c r="BD242" s="185">
        <f>'LCFS Table'!$AT242*'LCFS Table'!$BX242</f>
        <v>0</v>
      </c>
      <c r="BE242" s="185">
        <f>'LCFS Table'!$AU242*'LCFS Table'!$BY242</f>
        <v>1</v>
      </c>
      <c r="BF242" s="137">
        <f>'LCFS Table'!$AV242*'LCFS Table'!$BZ242</f>
        <v>2.5703999999999994</v>
      </c>
      <c r="BG242" s="137">
        <f>'LCFS Table'!$AW242*'LCFS Table'!$CA242</f>
        <v>0</v>
      </c>
      <c r="BH242" s="137">
        <f>'LCFS Table'!$AX242*'LCFS Table'!$CB242</f>
        <v>0.40915266554500007</v>
      </c>
      <c r="BI242" s="137">
        <f>'LCFS Table'!$AY242*'LCFS Table'!$CC242</f>
        <v>0</v>
      </c>
      <c r="BJ242" s="137">
        <f>'LCFS Table'!$AZ242*'LCFS Table'!$CD242</f>
        <v>1</v>
      </c>
      <c r="BK242" s="137">
        <f>'LCFS Table'!$BA242*'LCFS Table'!$CE242</f>
        <v>2.2679999999999998</v>
      </c>
      <c r="BL242" s="137">
        <f>'LCFS Table'!$BB242*'LCFS Table'!$CF242</f>
        <v>-1.2</v>
      </c>
      <c r="BM242" s="137">
        <f>'LCFS Table'!$AS242*'LCFS Table'!$CG242</f>
        <v>0</v>
      </c>
      <c r="BN242" s="137">
        <f>'LCFS Table'!$AT242*'LCFS Table'!$CH242</f>
        <v>0.16</v>
      </c>
      <c r="BO242" s="137">
        <f>'LCFS Table'!$AU242*'LCFS Table'!$CI242</f>
        <v>0</v>
      </c>
      <c r="BP242" s="137">
        <f>'LCFS Table'!$AV242*'LCFS Table'!$CJ242</f>
        <v>0</v>
      </c>
      <c r="BQ242" s="137">
        <f>'LCFS Table'!$AW242*'LCFS Table'!$CK242</f>
        <v>0</v>
      </c>
      <c r="BR242" s="137">
        <f>'LCFS Table'!$AX242*'LCFS Table'!$CL242</f>
        <v>0</v>
      </c>
      <c r="BS242" s="137">
        <f>'LCFS Table'!$AY242*'LCFS Table'!$CM242</f>
        <v>0</v>
      </c>
      <c r="BT242" s="137">
        <f>'LCFS Table'!$AZ242*'LCFS Table'!$CN242</f>
        <v>0</v>
      </c>
      <c r="BU242" s="137">
        <f>'LCFS Table'!$BA242*'LCFS Table'!$CO242</f>
        <v>0</v>
      </c>
      <c r="BV242" s="142">
        <f>'LCFS Table'!$BB242*'LCFS Table'!$CP242</f>
        <v>1.2</v>
      </c>
      <c r="BW242" s="138">
        <v>1</v>
      </c>
      <c r="BX242" s="138">
        <v>0</v>
      </c>
      <c r="BY242" s="138">
        <v>1</v>
      </c>
      <c r="BZ242" s="138">
        <v>1</v>
      </c>
      <c r="CA242" s="138">
        <v>-1</v>
      </c>
      <c r="CB242" s="138">
        <v>1</v>
      </c>
      <c r="CC242" s="138">
        <v>0</v>
      </c>
      <c r="CD242" s="138">
        <v>1</v>
      </c>
      <c r="CE242" s="138">
        <v>1</v>
      </c>
      <c r="CF242" s="138">
        <v>-1</v>
      </c>
      <c r="CG242" s="138">
        <f>1-'LCFS Table'!$BW242</f>
        <v>0</v>
      </c>
      <c r="CH242" s="138">
        <f>1-'LCFS Table'!$BX242</f>
        <v>1</v>
      </c>
      <c r="CI242" s="138">
        <f>1-'LCFS Table'!$BY242</f>
        <v>0</v>
      </c>
      <c r="CJ242" s="138">
        <f>1-'LCFS Table'!$BZ242</f>
        <v>0</v>
      </c>
      <c r="CK242" s="138">
        <f>-'LCFS Table'!$CA242</f>
        <v>1</v>
      </c>
      <c r="CL242" s="138">
        <f>1-'LCFS Table'!$CB242</f>
        <v>0</v>
      </c>
      <c r="CM242" s="138">
        <f>1-'LCFS Table'!$CC242</f>
        <v>1</v>
      </c>
      <c r="CN242" s="138">
        <f>1-'LCFS Table'!$CD242</f>
        <v>0</v>
      </c>
      <c r="CO242" s="138">
        <f>1-'LCFS Table'!$CE242</f>
        <v>0</v>
      </c>
      <c r="CP242" s="138">
        <f>-'LCFS Table'!$CF242</f>
        <v>1</v>
      </c>
      <c r="CQ242" s="140">
        <v>5.25</v>
      </c>
      <c r="CR242" s="165">
        <f>('LCFS Table'!$CQ242*0.9/(0.8/0.99)/100)</f>
        <v>5.8471874999999993E-2</v>
      </c>
      <c r="CS242" s="166"/>
      <c r="CT242" s="167"/>
      <c r="CW242" s="168">
        <f>'LCFS Table'!$K242-'LCFS Table'!$M242</f>
        <v>-0.16704733445500031</v>
      </c>
      <c r="CX242" s="129">
        <f>MONTH('LCFS Table'!$B242)</f>
        <v>8</v>
      </c>
      <c r="CY242" s="129">
        <f>YEAR('LCFS Table'!$B242)</f>
        <v>2023</v>
      </c>
    </row>
    <row r="243" spans="1:103">
      <c r="A243" s="148">
        <v>45144</v>
      </c>
      <c r="B243" s="149">
        <v>45150</v>
      </c>
      <c r="C243" s="132">
        <f t="shared" si="4"/>
        <v>2023</v>
      </c>
      <c r="D243" s="150" t="s">
        <v>288</v>
      </c>
      <c r="E243" s="187">
        <f>'LCFS Table'!$K243-'LCFS Table'!$I243</f>
        <v>-2.2780283479349195</v>
      </c>
      <c r="F243" s="187">
        <f>('LCFS Table'!$M243)-'LCFS Table'!$J243</f>
        <v>-3.2317803841999999</v>
      </c>
      <c r="G243" s="188">
        <f>'LCFS Table'!$E243+'LCFS Table'!$AS243+'LCFS Table'!$AT243+'LCFS Table'!$AU243+'LCFS Table'!$AV243</f>
        <v>2.0265342494399565</v>
      </c>
      <c r="H243" s="188">
        <f>'LCFS Table'!$F243+'LCFS Table'!$AX243+'LCFS Table'!$AY243+'LCFS Table'!$AZ243+'LCFS Table'!$BA243+('LCFS Table'!$CQ243*0.9/(0.8/0.99)/100)+(DG243*'LCFS Table'!$AF243)+(DF243*'LCFS Table'!$AG243)</f>
        <v>0.46215773437499991</v>
      </c>
      <c r="I243" s="187">
        <f>('LCFS Table'!$V243+'LCFS Table'!$W243+'LCFS Table'!$X243)/100+(('LCFS Table'!$AI243+'LCFS Table'!$AJ243)/340)</f>
        <v>5.3754283479349194</v>
      </c>
      <c r="J243" s="187">
        <f>(('LCFS Table'!$Y243+'LCFS Table'!$Z243)/100)+(('LCFS Table'!$AM243+'LCFS Table'!$AN243)/300)</f>
        <v>6.326592578125001</v>
      </c>
      <c r="K243" s="190">
        <f>'[1]Fuel Values'!$C242</f>
        <v>3.0973999999999999</v>
      </c>
      <c r="L243" s="190">
        <f>'[1]Fuel Values'!$B242</f>
        <v>673</v>
      </c>
      <c r="M243" s="185">
        <f>('LCFS Table'!$L243/100)-'LCFS Table'!$AX243-'LCFS Table'!$AY243-'LCFS Table'!$AZ243-'LCFS Table'!$BA243</f>
        <v>3.0948121939250011</v>
      </c>
      <c r="N243" s="190">
        <f>[1]BFT!$B242</f>
        <v>67.8</v>
      </c>
      <c r="O243" s="190">
        <f>[1]UCO!$B242</f>
        <v>53</v>
      </c>
      <c r="P243" s="190">
        <f>[1]DCO!$B242</f>
        <v>68.2</v>
      </c>
      <c r="Q243" s="190">
        <f>'[1]Soybean Oil'!$B242</f>
        <v>78.816000000000003</v>
      </c>
      <c r="R243" s="190">
        <f>'[1]Yellow Grease'!$B242</f>
        <v>47</v>
      </c>
      <c r="S243" s="185">
        <f>'LCFS Table'!$N243 + 'LCFS Table'!$AH243</f>
        <v>72.174999999999997</v>
      </c>
      <c r="T243" s="185">
        <f>'LCFS Table'!$Q243+'LCFS Table'!$AH243</f>
        <v>83.191000000000003</v>
      </c>
      <c r="U243" s="185">
        <f>'LCFS Table'!$P243+'LCFS Table'!$AH243</f>
        <v>72.575000000000003</v>
      </c>
      <c r="V243" s="185">
        <f>(('LCFS Table'!$S243/'LCFS Table'!$AA243)*'LCFS Table'!$AC243)*6.48</f>
        <v>248.77340425531918</v>
      </c>
      <c r="W243" s="185">
        <f>(('LCFS Table'!$O243/'LCFS Table'!$AA243)*'LCFS Table'!$AD243)*6.48</f>
        <v>91.340425531914903</v>
      </c>
      <c r="X243" s="185">
        <f>(('LCFS Table'!$U243/'LCFS Table'!$AA243)*'LCFS Table'!$AE243)*6.48</f>
        <v>125.07606382978724</v>
      </c>
      <c r="Y243" s="185">
        <f>(('LCFS Table'!$T243/'LCFS Table'!$AB243)*'LCFS Table'!$AF243)*7.35</f>
        <v>477.69832031250002</v>
      </c>
      <c r="Z243" s="185">
        <f>(('LCFS Table'!$R243/'LCFS Table'!$AB243)*'LCFS Table'!$AG243)*7.35</f>
        <v>89.9609375</v>
      </c>
      <c r="AA243" s="138">
        <v>0.94</v>
      </c>
      <c r="AB243" s="138">
        <v>0.96</v>
      </c>
      <c r="AC243" s="138">
        <v>0.5</v>
      </c>
      <c r="AD243" s="138">
        <v>0.25</v>
      </c>
      <c r="AE243" s="138">
        <v>0.25</v>
      </c>
      <c r="AF243" s="138">
        <v>0.75</v>
      </c>
      <c r="AG243" s="138">
        <v>0.25</v>
      </c>
      <c r="AH243" s="139">
        <v>4.375</v>
      </c>
      <c r="AI243" s="139">
        <v>136</v>
      </c>
      <c r="AJ243" s="139">
        <v>110</v>
      </c>
      <c r="AK243" s="186">
        <f>('LCFS Table'!$AI243/340)*100</f>
        <v>40</v>
      </c>
      <c r="AL243" s="186">
        <f>('LCFS Table'!$AJ243/340)*100</f>
        <v>32.352941176470587</v>
      </c>
      <c r="AM243" s="139">
        <v>105</v>
      </c>
      <c r="AN243" s="139">
        <v>90</v>
      </c>
      <c r="AO243" s="139">
        <f>('LCFS Table'!$AM243/300)*100</f>
        <v>35</v>
      </c>
      <c r="AP243" s="139">
        <f>('LCFS Table'!$AN243/300)*100</f>
        <v>30</v>
      </c>
      <c r="AQ243" s="140">
        <f>'[1]LCFS Values'!$B242</f>
        <v>79</v>
      </c>
      <c r="AR243" s="140">
        <f>'[1]RIN Values'!$B242/100</f>
        <v>1.4709999999999999</v>
      </c>
      <c r="AS243" s="185">
        <v>0.64386259737487606</v>
      </c>
      <c r="AT243" s="137">
        <v>0.16</v>
      </c>
      <c r="AU243" s="137">
        <v>1</v>
      </c>
      <c r="AV243" s="185">
        <f>'LCFS Table'!$AR243*1.7</f>
        <v>2.5006999999999997</v>
      </c>
      <c r="AW243" s="137">
        <v>0</v>
      </c>
      <c r="AX243" s="185">
        <v>0.42868780607500001</v>
      </c>
      <c r="AY243" s="137">
        <v>0</v>
      </c>
      <c r="AZ243" s="141">
        <v>1</v>
      </c>
      <c r="BA243" s="185">
        <f>'LCFS Table'!$AR243*1.5</f>
        <v>2.2064999999999997</v>
      </c>
      <c r="BB243" s="142">
        <v>1.2</v>
      </c>
      <c r="BC243" s="185">
        <f>'LCFS Table'!$AS243*'LCFS Table'!$BW243</f>
        <v>0.64386259737487606</v>
      </c>
      <c r="BD243" s="185">
        <f>'LCFS Table'!$AT243*'LCFS Table'!$BX243</f>
        <v>0</v>
      </c>
      <c r="BE243" s="185">
        <f>'LCFS Table'!$AU243*'LCFS Table'!$BY243</f>
        <v>1</v>
      </c>
      <c r="BF243" s="137">
        <f>'LCFS Table'!$AV243*'LCFS Table'!$BZ243</f>
        <v>2.5006999999999997</v>
      </c>
      <c r="BG243" s="137">
        <f>'LCFS Table'!$AW243*'LCFS Table'!$CA243</f>
        <v>0</v>
      </c>
      <c r="BH243" s="137">
        <f>'LCFS Table'!$AX243*'LCFS Table'!$CB243</f>
        <v>0.42868780607500001</v>
      </c>
      <c r="BI243" s="137">
        <f>'LCFS Table'!$AY243*'LCFS Table'!$CC243</f>
        <v>0</v>
      </c>
      <c r="BJ243" s="137">
        <f>'LCFS Table'!$AZ243*'LCFS Table'!$CD243</f>
        <v>1</v>
      </c>
      <c r="BK243" s="137">
        <f>'LCFS Table'!$BA243*'LCFS Table'!$CE243</f>
        <v>2.2064999999999997</v>
      </c>
      <c r="BL243" s="137">
        <f>'LCFS Table'!$BB243*'LCFS Table'!$CF243</f>
        <v>-1.2</v>
      </c>
      <c r="BM243" s="137">
        <f>'LCFS Table'!$AS243*'LCFS Table'!$CG243</f>
        <v>0</v>
      </c>
      <c r="BN243" s="137">
        <f>'LCFS Table'!$AT243*'LCFS Table'!$CH243</f>
        <v>0.16</v>
      </c>
      <c r="BO243" s="137">
        <f>'LCFS Table'!$AU243*'LCFS Table'!$CI243</f>
        <v>0</v>
      </c>
      <c r="BP243" s="137">
        <f>'LCFS Table'!$AV243*'LCFS Table'!$CJ243</f>
        <v>0</v>
      </c>
      <c r="BQ243" s="137">
        <f>'LCFS Table'!$AW243*'LCFS Table'!$CK243</f>
        <v>0</v>
      </c>
      <c r="BR243" s="137">
        <f>'LCFS Table'!$AX243*'LCFS Table'!$CL243</f>
        <v>0</v>
      </c>
      <c r="BS243" s="137">
        <f>'LCFS Table'!$AY243*'LCFS Table'!$CM243</f>
        <v>0</v>
      </c>
      <c r="BT243" s="137">
        <f>'LCFS Table'!$AZ243*'LCFS Table'!$CN243</f>
        <v>0</v>
      </c>
      <c r="BU243" s="137">
        <f>'LCFS Table'!$BA243*'LCFS Table'!$CO243</f>
        <v>0</v>
      </c>
      <c r="BV243" s="142">
        <f>'LCFS Table'!$BB243*'LCFS Table'!$CP243</f>
        <v>1.2</v>
      </c>
      <c r="BW243" s="138">
        <v>1</v>
      </c>
      <c r="BX243" s="138">
        <v>0</v>
      </c>
      <c r="BY243" s="138">
        <v>1</v>
      </c>
      <c r="BZ243" s="138">
        <v>1</v>
      </c>
      <c r="CA243" s="138">
        <v>-1</v>
      </c>
      <c r="CB243" s="138">
        <v>1</v>
      </c>
      <c r="CC243" s="138">
        <v>0</v>
      </c>
      <c r="CD243" s="138">
        <v>1</v>
      </c>
      <c r="CE243" s="138">
        <v>1</v>
      </c>
      <c r="CF243" s="138">
        <v>-1</v>
      </c>
      <c r="CG243" s="138">
        <f>1-'LCFS Table'!$BW243</f>
        <v>0</v>
      </c>
      <c r="CH243" s="138">
        <f>1-'LCFS Table'!$BX243</f>
        <v>1</v>
      </c>
      <c r="CI243" s="138">
        <f>1-'LCFS Table'!$BY243</f>
        <v>0</v>
      </c>
      <c r="CJ243" s="138">
        <f>1-'LCFS Table'!$BZ243</f>
        <v>0</v>
      </c>
      <c r="CK243" s="138">
        <f>-'LCFS Table'!$CA243</f>
        <v>1</v>
      </c>
      <c r="CL243" s="138">
        <f>1-'LCFS Table'!$CB243</f>
        <v>0</v>
      </c>
      <c r="CM243" s="138">
        <f>1-'LCFS Table'!$CC243</f>
        <v>1</v>
      </c>
      <c r="CN243" s="138">
        <f>1-'LCFS Table'!$CD243</f>
        <v>0</v>
      </c>
      <c r="CO243" s="138">
        <f>1-'LCFS Table'!$CE243</f>
        <v>0</v>
      </c>
      <c r="CP243" s="138">
        <f>-'LCFS Table'!$CF243</f>
        <v>1</v>
      </c>
      <c r="CQ243" s="140">
        <v>5.2750000000000004</v>
      </c>
      <c r="CR243" s="165">
        <f>('LCFS Table'!$CQ243*0.9/(0.8/0.99)/100)</f>
        <v>5.8750312499999999E-2</v>
      </c>
      <c r="CS243" s="166"/>
      <c r="CT243" s="167"/>
      <c r="CW243" s="168">
        <f>'LCFS Table'!$K243-'LCFS Table'!$M243</f>
        <v>2.5878060749988663E-3</v>
      </c>
      <c r="CX243" s="129">
        <f>MONTH('LCFS Table'!$B243)</f>
        <v>8</v>
      </c>
      <c r="CY243" s="129">
        <f>YEAR('LCFS Table'!$B243)</f>
        <v>2023</v>
      </c>
    </row>
    <row r="244" spans="1:103">
      <c r="A244" s="148">
        <v>45151</v>
      </c>
      <c r="B244" s="149">
        <v>45157</v>
      </c>
      <c r="C244" s="132">
        <f t="shared" si="4"/>
        <v>2023</v>
      </c>
      <c r="D244" s="150" t="s">
        <v>289</v>
      </c>
      <c r="E244" s="187">
        <f>'LCFS Table'!$K244-'LCFS Table'!$I244</f>
        <v>-2.197949624530664</v>
      </c>
      <c r="F244" s="187">
        <f>('LCFS Table'!$M244)-'LCFS Table'!$J244</f>
        <v>-3.4584352320587501</v>
      </c>
      <c r="G244" s="188">
        <f>'LCFS Table'!$E244+'LCFS Table'!$AS244+'LCFS Table'!$AT244+'LCFS Table'!$AU244+'LCFS Table'!$AV244</f>
        <v>2.0668955605474553</v>
      </c>
      <c r="H244" s="188">
        <f>'LCFS Table'!$F244+'LCFS Table'!$AX244+'LCFS Table'!$AY244+'LCFS Table'!$AZ244+'LCFS Table'!$BA244+('LCFS Table'!$CQ244*0.9/(0.8/0.99)/100)+(DG244*'LCFS Table'!$AF244)+(DF244*'LCFS Table'!$AG244)</f>
        <v>0.20060117187499985</v>
      </c>
      <c r="I244" s="187">
        <f>('LCFS Table'!$V244+'LCFS Table'!$W244+'LCFS Table'!$X244)/100+(('LCFS Table'!$AI244+'LCFS Table'!$AJ244)/340)</f>
        <v>5.4064496245306639</v>
      </c>
      <c r="J244" s="187">
        <f>(('LCFS Table'!$Y244+'LCFS Table'!$Z244)/100)+(('LCFS Table'!$AM244+'LCFS Table'!$AN244)/300)</f>
        <v>6.4292628906250009</v>
      </c>
      <c r="K244" s="190">
        <f>'[1]Fuel Values'!$C243</f>
        <v>3.2084999999999999</v>
      </c>
      <c r="L244" s="190">
        <f>'[1]Fuel Values'!$B243</f>
        <v>657</v>
      </c>
      <c r="M244" s="185">
        <f>('LCFS Table'!$L244/100)-'LCFS Table'!$AX244-'LCFS Table'!$AY244-'LCFS Table'!$AZ244-'LCFS Table'!$BA244</f>
        <v>2.9708276585662508</v>
      </c>
      <c r="N244" s="190">
        <f>[1]BFT!$B243</f>
        <v>68.599999999999994</v>
      </c>
      <c r="O244" s="190">
        <f>[1]UCO!$B243</f>
        <v>53</v>
      </c>
      <c r="P244" s="190">
        <f>[1]DCO!$B243</f>
        <v>68.400000000000006</v>
      </c>
      <c r="Q244" s="190">
        <f>'[1]Soybean Oil'!$B243</f>
        <v>80.603999999999999</v>
      </c>
      <c r="R244" s="190">
        <f>'[1]Yellow Grease'!$B243</f>
        <v>47</v>
      </c>
      <c r="S244" s="185">
        <f>'LCFS Table'!$N244 + 'LCFS Table'!$AH244</f>
        <v>72.974999999999994</v>
      </c>
      <c r="T244" s="185">
        <f>'LCFS Table'!$Q244+'LCFS Table'!$AH244</f>
        <v>84.978999999999999</v>
      </c>
      <c r="U244" s="185">
        <f>'LCFS Table'!$P244+'LCFS Table'!$AH244</f>
        <v>72.775000000000006</v>
      </c>
      <c r="V244" s="185">
        <f>(('LCFS Table'!$S244/'LCFS Table'!$AA244)*'LCFS Table'!$AC244)*6.48</f>
        <v>251.5308510638298</v>
      </c>
      <c r="W244" s="185">
        <f>(('LCFS Table'!$O244/'LCFS Table'!$AA244)*'LCFS Table'!$AD244)*6.48</f>
        <v>91.340425531914903</v>
      </c>
      <c r="X244" s="185">
        <f>(('LCFS Table'!$U244/'LCFS Table'!$AA244)*'LCFS Table'!$AE244)*6.48</f>
        <v>125.42074468085109</v>
      </c>
      <c r="Y244" s="185">
        <f>(('LCFS Table'!$T244/'LCFS Table'!$AB244)*'LCFS Table'!$AF244)*7.35</f>
        <v>487.96535156249996</v>
      </c>
      <c r="Z244" s="185">
        <f>(('LCFS Table'!$R244/'LCFS Table'!$AB244)*'LCFS Table'!$AG244)*7.35</f>
        <v>89.9609375</v>
      </c>
      <c r="AA244" s="138">
        <v>0.94</v>
      </c>
      <c r="AB244" s="138">
        <v>0.96</v>
      </c>
      <c r="AC244" s="138">
        <v>0.5</v>
      </c>
      <c r="AD244" s="138">
        <v>0.25</v>
      </c>
      <c r="AE244" s="138">
        <v>0.25</v>
      </c>
      <c r="AF244" s="138">
        <v>0.75</v>
      </c>
      <c r="AG244" s="138">
        <v>0.25</v>
      </c>
      <c r="AH244" s="139">
        <v>4.375</v>
      </c>
      <c r="AI244" s="139">
        <v>136</v>
      </c>
      <c r="AJ244" s="139">
        <v>110</v>
      </c>
      <c r="AK244" s="186">
        <f>('LCFS Table'!$AI244/340)*100</f>
        <v>40</v>
      </c>
      <c r="AL244" s="186">
        <f>('LCFS Table'!$AJ244/340)*100</f>
        <v>32.352941176470587</v>
      </c>
      <c r="AM244" s="139">
        <v>105</v>
      </c>
      <c r="AN244" s="139">
        <v>90</v>
      </c>
      <c r="AO244" s="139">
        <f>('LCFS Table'!$AM244/300)*100</f>
        <v>35</v>
      </c>
      <c r="AP244" s="139">
        <f>('LCFS Table'!$AN244/300)*100</f>
        <v>30</v>
      </c>
      <c r="AQ244" s="140">
        <f>'[1]LCFS Values'!$B243</f>
        <v>79.55</v>
      </c>
      <c r="AR244" s="140">
        <f>'[1]RIN Values'!$B243/100</f>
        <v>1.4450000000000001</v>
      </c>
      <c r="AS244" s="185">
        <v>0.64834518507811889</v>
      </c>
      <c r="AT244" s="137">
        <v>0.16</v>
      </c>
      <c r="AU244" s="137">
        <v>1</v>
      </c>
      <c r="AV244" s="185">
        <f>'LCFS Table'!$AR244*1.7</f>
        <v>2.4565000000000001</v>
      </c>
      <c r="AW244" s="137">
        <v>0</v>
      </c>
      <c r="AX244" s="185">
        <v>0.43167234143375</v>
      </c>
      <c r="AY244" s="137">
        <v>0</v>
      </c>
      <c r="AZ244" s="141">
        <v>1</v>
      </c>
      <c r="BA244" s="185">
        <f>'LCFS Table'!$AR244*1.5</f>
        <v>2.1675</v>
      </c>
      <c r="BB244" s="142">
        <v>1.2</v>
      </c>
      <c r="BC244" s="185">
        <f>'LCFS Table'!$AS244*'LCFS Table'!$BW244</f>
        <v>0.64834518507811889</v>
      </c>
      <c r="BD244" s="185">
        <f>'LCFS Table'!$AT244*'LCFS Table'!$BX244</f>
        <v>0</v>
      </c>
      <c r="BE244" s="185">
        <f>'LCFS Table'!$AU244*'LCFS Table'!$BY244</f>
        <v>1</v>
      </c>
      <c r="BF244" s="137">
        <f>'LCFS Table'!$AV244*'LCFS Table'!$BZ244</f>
        <v>2.4565000000000001</v>
      </c>
      <c r="BG244" s="137">
        <f>'LCFS Table'!$AW244*'LCFS Table'!$CA244</f>
        <v>0</v>
      </c>
      <c r="BH244" s="137">
        <f>'LCFS Table'!$AX244*'LCFS Table'!$CB244</f>
        <v>0.43167234143375</v>
      </c>
      <c r="BI244" s="137">
        <f>'LCFS Table'!$AY244*'LCFS Table'!$CC244</f>
        <v>0</v>
      </c>
      <c r="BJ244" s="137">
        <f>'LCFS Table'!$AZ244*'LCFS Table'!$CD244</f>
        <v>1</v>
      </c>
      <c r="BK244" s="137">
        <f>'LCFS Table'!$BA244*'LCFS Table'!$CE244</f>
        <v>2.1675</v>
      </c>
      <c r="BL244" s="137">
        <f>'LCFS Table'!$BB244*'LCFS Table'!$CF244</f>
        <v>-1.2</v>
      </c>
      <c r="BM244" s="137">
        <f>'LCFS Table'!$AS244*'LCFS Table'!$CG244</f>
        <v>0</v>
      </c>
      <c r="BN244" s="137">
        <f>'LCFS Table'!$AT244*'LCFS Table'!$CH244</f>
        <v>0.16</v>
      </c>
      <c r="BO244" s="137">
        <f>'LCFS Table'!$AU244*'LCFS Table'!$CI244</f>
        <v>0</v>
      </c>
      <c r="BP244" s="137">
        <f>'LCFS Table'!$AV244*'LCFS Table'!$CJ244</f>
        <v>0</v>
      </c>
      <c r="BQ244" s="137">
        <f>'LCFS Table'!$AW244*'LCFS Table'!$CK244</f>
        <v>0</v>
      </c>
      <c r="BR244" s="137">
        <f>'LCFS Table'!$AX244*'LCFS Table'!$CL244</f>
        <v>0</v>
      </c>
      <c r="BS244" s="137">
        <f>'LCFS Table'!$AY244*'LCFS Table'!$CM244</f>
        <v>0</v>
      </c>
      <c r="BT244" s="137">
        <f>'LCFS Table'!$AZ244*'LCFS Table'!$CN244</f>
        <v>0</v>
      </c>
      <c r="BU244" s="137">
        <f>'LCFS Table'!$BA244*'LCFS Table'!$CO244</f>
        <v>0</v>
      </c>
      <c r="BV244" s="142">
        <f>'LCFS Table'!$BB244*'LCFS Table'!$CP244</f>
        <v>1.2</v>
      </c>
      <c r="BW244" s="138">
        <v>1</v>
      </c>
      <c r="BX244" s="138">
        <v>0</v>
      </c>
      <c r="BY244" s="138">
        <v>1</v>
      </c>
      <c r="BZ244" s="138">
        <v>1</v>
      </c>
      <c r="CA244" s="138">
        <v>-1</v>
      </c>
      <c r="CB244" s="138">
        <v>1</v>
      </c>
      <c r="CC244" s="138">
        <v>0</v>
      </c>
      <c r="CD244" s="138">
        <v>1</v>
      </c>
      <c r="CE244" s="138">
        <v>1</v>
      </c>
      <c r="CF244" s="138">
        <v>-1</v>
      </c>
      <c r="CG244" s="138">
        <f>1-'LCFS Table'!$BW244</f>
        <v>0</v>
      </c>
      <c r="CH244" s="138">
        <f>1-'LCFS Table'!$BX244</f>
        <v>1</v>
      </c>
      <c r="CI244" s="138">
        <f>1-'LCFS Table'!$BY244</f>
        <v>0</v>
      </c>
      <c r="CJ244" s="138">
        <f>1-'LCFS Table'!$BZ244</f>
        <v>0</v>
      </c>
      <c r="CK244" s="138">
        <f>-'LCFS Table'!$CA244</f>
        <v>1</v>
      </c>
      <c r="CL244" s="138">
        <f>1-'LCFS Table'!$CB244</f>
        <v>0</v>
      </c>
      <c r="CM244" s="138">
        <f>1-'LCFS Table'!$CC244</f>
        <v>1</v>
      </c>
      <c r="CN244" s="138">
        <f>1-'LCFS Table'!$CD244</f>
        <v>0</v>
      </c>
      <c r="CO244" s="138">
        <f>1-'LCFS Table'!$CE244</f>
        <v>0</v>
      </c>
      <c r="CP244" s="138">
        <f>-'LCFS Table'!$CF244</f>
        <v>1</v>
      </c>
      <c r="CQ244" s="140">
        <v>5.375</v>
      </c>
      <c r="CR244" s="165">
        <f>('LCFS Table'!$CQ244*0.9/(0.8/0.99)/100)</f>
        <v>5.9864062500000002E-2</v>
      </c>
      <c r="CS244" s="166"/>
      <c r="CT244" s="167"/>
      <c r="CW244" s="168">
        <f>'LCFS Table'!$K244-'LCFS Table'!$M244</f>
        <v>0.23767234143374916</v>
      </c>
      <c r="CX244" s="129">
        <f>MONTH('LCFS Table'!$B244)</f>
        <v>8</v>
      </c>
      <c r="CY244" s="129">
        <f>YEAR('LCFS Table'!$B244)</f>
        <v>2023</v>
      </c>
    </row>
    <row r="245" spans="1:103">
      <c r="A245" s="148">
        <v>45158</v>
      </c>
      <c r="B245" s="149">
        <v>45164</v>
      </c>
      <c r="C245" s="132">
        <f t="shared" si="4"/>
        <v>2023</v>
      </c>
      <c r="D245" s="150" t="s">
        <v>290</v>
      </c>
      <c r="E245" s="187">
        <f>'LCFS Table'!$K245-'LCFS Table'!$I245</f>
        <v>-2.224060262828536</v>
      </c>
      <c r="F245" s="187">
        <f>('LCFS Table'!$M245)-'LCFS Table'!$J245</f>
        <v>-3.5044461437750019</v>
      </c>
      <c r="G245" s="188">
        <f>'LCFS Table'!$E245+'LCFS Table'!$AS245+'LCFS Table'!$AT245+'LCFS Table'!$AU245+'LCFS Table'!$AV245</f>
        <v>1.9720521750858986</v>
      </c>
      <c r="H245" s="188">
        <f>'LCFS Table'!$F245+'LCFS Table'!$AX245+'LCFS Table'!$AY245+'LCFS Table'!$AZ245+'LCFS Table'!$BA245+('LCFS Table'!$CQ245*0.9/(0.8/0.99)/100)+(DG245*'LCFS Table'!$AF245)+(DF245*'LCFS Table'!$AG245)</f>
        <v>9.6679296874997905E-2</v>
      </c>
      <c r="I245" s="187">
        <f>('LCFS Table'!$V245+'LCFS Table'!$W245+'LCFS Table'!$X245)/100+(('LCFS Table'!$AI245+'LCFS Table'!$AJ245)/340)</f>
        <v>5.4219602628285362</v>
      </c>
      <c r="J245" s="187">
        <f>(('LCFS Table'!$Y245+'LCFS Table'!$Z245)/100)+(('LCFS Table'!$AM245+'LCFS Table'!$AN245)/300)</f>
        <v>6.4131847656250018</v>
      </c>
      <c r="K245" s="190">
        <f>'[1]Fuel Values'!$C244</f>
        <v>3.1979000000000002</v>
      </c>
      <c r="L245" s="190">
        <f>'[1]Fuel Values'!$B244</f>
        <v>645</v>
      </c>
      <c r="M245" s="185">
        <f>('LCFS Table'!$L245/100)-'LCFS Table'!$AX245-'LCFS Table'!$AY245-'LCFS Table'!$AZ245-'LCFS Table'!$BA245</f>
        <v>2.90873862185</v>
      </c>
      <c r="N245" s="190">
        <f>[1]BFT!$B244</f>
        <v>69</v>
      </c>
      <c r="O245" s="190">
        <f>[1]UCO!$B244</f>
        <v>53</v>
      </c>
      <c r="P245" s="190">
        <f>[1]DCO!$B244</f>
        <v>68.5</v>
      </c>
      <c r="Q245" s="190">
        <f>'[1]Soybean Oil'!$B244</f>
        <v>80.323999999999998</v>
      </c>
      <c r="R245" s="190">
        <f>'[1]Yellow Grease'!$B244</f>
        <v>47</v>
      </c>
      <c r="S245" s="185">
        <f>'LCFS Table'!$N245 + 'LCFS Table'!$AH245</f>
        <v>73.375</v>
      </c>
      <c r="T245" s="185">
        <f>'LCFS Table'!$Q245+'LCFS Table'!$AH245</f>
        <v>84.698999999999998</v>
      </c>
      <c r="U245" s="185">
        <f>'LCFS Table'!$P245+'LCFS Table'!$AH245</f>
        <v>72.875</v>
      </c>
      <c r="V245" s="185">
        <f>(('LCFS Table'!$S245/'LCFS Table'!$AA245)*'LCFS Table'!$AC245)*6.48</f>
        <v>252.90957446808514</v>
      </c>
      <c r="W245" s="185">
        <f>(('LCFS Table'!$O245/'LCFS Table'!$AA245)*'LCFS Table'!$AD245)*6.48</f>
        <v>91.340425531914903</v>
      </c>
      <c r="X245" s="185">
        <f>(('LCFS Table'!$U245/'LCFS Table'!$AA245)*'LCFS Table'!$AE245)*6.48</f>
        <v>125.593085106383</v>
      </c>
      <c r="Y245" s="185">
        <f>(('LCFS Table'!$T245/'LCFS Table'!$AB245)*'LCFS Table'!$AF245)*7.35</f>
        <v>486.35753906250005</v>
      </c>
      <c r="Z245" s="185">
        <f>(('LCFS Table'!$R245/'LCFS Table'!$AB245)*'LCFS Table'!$AG245)*7.35</f>
        <v>89.9609375</v>
      </c>
      <c r="AA245" s="138">
        <v>0.94</v>
      </c>
      <c r="AB245" s="138">
        <v>0.96</v>
      </c>
      <c r="AC245" s="138">
        <v>0.5</v>
      </c>
      <c r="AD245" s="138">
        <v>0.25</v>
      </c>
      <c r="AE245" s="138">
        <v>0.25</v>
      </c>
      <c r="AF245" s="138">
        <v>0.75</v>
      </c>
      <c r="AG245" s="138">
        <v>0.25</v>
      </c>
      <c r="AH245" s="139">
        <v>4.375</v>
      </c>
      <c r="AI245" s="139">
        <v>136</v>
      </c>
      <c r="AJ245" s="139">
        <v>110</v>
      </c>
      <c r="AK245" s="186">
        <f>('LCFS Table'!$AI245/340)*100</f>
        <v>40</v>
      </c>
      <c r="AL245" s="186">
        <f>('LCFS Table'!$AJ245/340)*100</f>
        <v>32.352941176470587</v>
      </c>
      <c r="AM245" s="139">
        <v>105</v>
      </c>
      <c r="AN245" s="139">
        <v>90</v>
      </c>
      <c r="AO245" s="139">
        <f>('LCFS Table'!$AM245/300)*100</f>
        <v>35</v>
      </c>
      <c r="AP245" s="139">
        <f>('LCFS Table'!$AN245/300)*100</f>
        <v>30</v>
      </c>
      <c r="AQ245" s="140">
        <f>'[1]LCFS Values'!$B244</f>
        <v>78</v>
      </c>
      <c r="AR245" s="140">
        <f>'[1]RIN Values'!$B244/100</f>
        <v>1.4119999999999999</v>
      </c>
      <c r="AS245" s="185">
        <v>0.63571243791443466</v>
      </c>
      <c r="AT245" s="137">
        <v>0.16</v>
      </c>
      <c r="AU245" s="137">
        <v>1</v>
      </c>
      <c r="AV245" s="185">
        <f>'LCFS Table'!$AR245*1.7</f>
        <v>2.4003999999999999</v>
      </c>
      <c r="AW245" s="137">
        <v>0</v>
      </c>
      <c r="AX245" s="185">
        <v>0.42326137815000003</v>
      </c>
      <c r="AY245" s="137">
        <v>0</v>
      </c>
      <c r="AZ245" s="141">
        <v>1</v>
      </c>
      <c r="BA245" s="185">
        <f>'LCFS Table'!$AR245*1.5</f>
        <v>2.1179999999999999</v>
      </c>
      <c r="BB245" s="142">
        <v>1.2</v>
      </c>
      <c r="BC245" s="185">
        <f>'LCFS Table'!$AS245*'LCFS Table'!$BW245</f>
        <v>0.63571243791443466</v>
      </c>
      <c r="BD245" s="185">
        <f>'LCFS Table'!$AT245*'LCFS Table'!$BX245</f>
        <v>0</v>
      </c>
      <c r="BE245" s="185">
        <f>'LCFS Table'!$AU245*'LCFS Table'!$BY245</f>
        <v>1</v>
      </c>
      <c r="BF245" s="137">
        <f>'LCFS Table'!$AV245*'LCFS Table'!$BZ245</f>
        <v>2.4003999999999999</v>
      </c>
      <c r="BG245" s="137">
        <f>'LCFS Table'!$AW245*'LCFS Table'!$CA245</f>
        <v>0</v>
      </c>
      <c r="BH245" s="137">
        <f>'LCFS Table'!$AX245*'LCFS Table'!$CB245</f>
        <v>0.42326137815000003</v>
      </c>
      <c r="BI245" s="137">
        <f>'LCFS Table'!$AY245*'LCFS Table'!$CC245</f>
        <v>0</v>
      </c>
      <c r="BJ245" s="137">
        <f>'LCFS Table'!$AZ245*'LCFS Table'!$CD245</f>
        <v>1</v>
      </c>
      <c r="BK245" s="137">
        <f>'LCFS Table'!$BA245*'LCFS Table'!$CE245</f>
        <v>2.1179999999999999</v>
      </c>
      <c r="BL245" s="137">
        <f>'LCFS Table'!$BB245*'LCFS Table'!$CF245</f>
        <v>-1.2</v>
      </c>
      <c r="BM245" s="137">
        <f>'LCFS Table'!$AS245*'LCFS Table'!$CG245</f>
        <v>0</v>
      </c>
      <c r="BN245" s="137">
        <f>'LCFS Table'!$AT245*'LCFS Table'!$CH245</f>
        <v>0.16</v>
      </c>
      <c r="BO245" s="137">
        <f>'LCFS Table'!$AU245*'LCFS Table'!$CI245</f>
        <v>0</v>
      </c>
      <c r="BP245" s="137">
        <f>'LCFS Table'!$AV245*'LCFS Table'!$CJ245</f>
        <v>0</v>
      </c>
      <c r="BQ245" s="137">
        <f>'LCFS Table'!$AW245*'LCFS Table'!$CK245</f>
        <v>0</v>
      </c>
      <c r="BR245" s="137">
        <f>'LCFS Table'!$AX245*'LCFS Table'!$CL245</f>
        <v>0</v>
      </c>
      <c r="BS245" s="137">
        <f>'LCFS Table'!$AY245*'LCFS Table'!$CM245</f>
        <v>0</v>
      </c>
      <c r="BT245" s="137">
        <f>'LCFS Table'!$AZ245*'LCFS Table'!$CN245</f>
        <v>0</v>
      </c>
      <c r="BU245" s="137">
        <f>'LCFS Table'!$BA245*'LCFS Table'!$CO245</f>
        <v>0</v>
      </c>
      <c r="BV245" s="142">
        <f>'LCFS Table'!$BB245*'LCFS Table'!$CP245</f>
        <v>1.2</v>
      </c>
      <c r="BW245" s="138">
        <v>1</v>
      </c>
      <c r="BX245" s="138">
        <v>0</v>
      </c>
      <c r="BY245" s="138">
        <v>1</v>
      </c>
      <c r="BZ245" s="138">
        <v>1</v>
      </c>
      <c r="CA245" s="138">
        <v>-1</v>
      </c>
      <c r="CB245" s="138">
        <v>1</v>
      </c>
      <c r="CC245" s="138">
        <v>0</v>
      </c>
      <c r="CD245" s="138">
        <v>1</v>
      </c>
      <c r="CE245" s="138">
        <v>1</v>
      </c>
      <c r="CF245" s="138">
        <v>-1</v>
      </c>
      <c r="CG245" s="138">
        <f>1-'LCFS Table'!$BW245</f>
        <v>0</v>
      </c>
      <c r="CH245" s="138">
        <f>1-'LCFS Table'!$BX245</f>
        <v>1</v>
      </c>
      <c r="CI245" s="138">
        <f>1-'LCFS Table'!$BY245</f>
        <v>0</v>
      </c>
      <c r="CJ245" s="138">
        <f>1-'LCFS Table'!$BZ245</f>
        <v>0</v>
      </c>
      <c r="CK245" s="138">
        <f>-'LCFS Table'!$CA245</f>
        <v>1</v>
      </c>
      <c r="CL245" s="138">
        <f>1-'LCFS Table'!$CB245</f>
        <v>0</v>
      </c>
      <c r="CM245" s="138">
        <f>1-'LCFS Table'!$CC245</f>
        <v>1</v>
      </c>
      <c r="CN245" s="138">
        <f>1-'LCFS Table'!$CD245</f>
        <v>0</v>
      </c>
      <c r="CO245" s="138">
        <f>1-'LCFS Table'!$CE245</f>
        <v>0</v>
      </c>
      <c r="CP245" s="138">
        <f>-'LCFS Table'!$CF245</f>
        <v>1</v>
      </c>
      <c r="CQ245" s="140">
        <v>5.375</v>
      </c>
      <c r="CR245" s="165">
        <f>('LCFS Table'!$CQ245*0.9/(0.8/0.99)/100)</f>
        <v>5.9864062500000002E-2</v>
      </c>
      <c r="CS245" s="166"/>
      <c r="CT245" s="167"/>
      <c r="CW245" s="168">
        <f>'LCFS Table'!$K245-'LCFS Table'!$M245</f>
        <v>0.2891613781500002</v>
      </c>
      <c r="CX245" s="129">
        <f>MONTH('LCFS Table'!$B245)</f>
        <v>8</v>
      </c>
      <c r="CY245" s="129">
        <f>YEAR('LCFS Table'!$B245)</f>
        <v>2023</v>
      </c>
    </row>
    <row r="246" spans="1:103">
      <c r="A246" s="148">
        <v>45165</v>
      </c>
      <c r="B246" s="149">
        <v>45171</v>
      </c>
      <c r="C246" s="132">
        <f t="shared" si="4"/>
        <v>2023</v>
      </c>
      <c r="D246" s="150" t="s">
        <v>291</v>
      </c>
      <c r="E246" s="187">
        <f>'LCFS Table'!$K246-'LCFS Table'!$I246</f>
        <v>-2.0977028160200257</v>
      </c>
      <c r="F246" s="187">
        <f>('LCFS Table'!$M246)-'LCFS Table'!$J246</f>
        <v>-3.4663882019400005</v>
      </c>
      <c r="G246" s="188">
        <f>'LCFS Table'!$E246+'LCFS Table'!$AS246+'LCFS Table'!$AT246+'LCFS Table'!$AU246+'LCFS Table'!$AV246</f>
        <v>2.0984795900023201</v>
      </c>
      <c r="H246" s="188">
        <f>'LCFS Table'!$F246+'LCFS Table'!$AX246+'LCFS Table'!$AY246+'LCFS Table'!$AZ246+'LCFS Table'!$BA246+('LCFS Table'!$CQ246*0.9/(0.8/0.99)/100)+(DG246*'LCFS Table'!$AF246)+(DF246*'LCFS Table'!$AG246)</f>
        <v>0.13515195312499942</v>
      </c>
      <c r="I246" s="187">
        <f>('LCFS Table'!$V246+'LCFS Table'!$W246+'LCFS Table'!$X246)/100+(('LCFS Table'!$AI246+'LCFS Table'!$AJ246)/340)</f>
        <v>5.4030028160200256</v>
      </c>
      <c r="J246" s="187">
        <f>(('LCFS Table'!$Y246+'LCFS Table'!$Z246)/100)+(('LCFS Table'!$AM246+'LCFS Table'!$AN246)/300)</f>
        <v>6.3747121093750003</v>
      </c>
      <c r="K246" s="190">
        <f>'[1]Fuel Values'!$C245</f>
        <v>3.3052999999999999</v>
      </c>
      <c r="L246" s="190">
        <f>'[1]Fuel Values'!$B245</f>
        <v>645</v>
      </c>
      <c r="M246" s="185">
        <f>('LCFS Table'!$L246/100)-'LCFS Table'!$AX246-'LCFS Table'!$AY246-'LCFS Table'!$AZ246-'LCFS Table'!$BA246</f>
        <v>2.9083239074349998</v>
      </c>
      <c r="N246" s="190">
        <f>[1]BFT!$B245</f>
        <v>69</v>
      </c>
      <c r="O246" s="190">
        <f>[1]UCO!$B245</f>
        <v>53</v>
      </c>
      <c r="P246" s="190">
        <f>[1]DCO!$B245</f>
        <v>67.400000000000006</v>
      </c>
      <c r="Q246" s="190">
        <f>'[1]Soybean Oil'!$B245</f>
        <v>79.653999999999996</v>
      </c>
      <c r="R246" s="190">
        <f>'[1]Yellow Grease'!$B245</f>
        <v>47</v>
      </c>
      <c r="S246" s="185">
        <f>'LCFS Table'!$N246 + 'LCFS Table'!$AH246</f>
        <v>73.375</v>
      </c>
      <c r="T246" s="185">
        <f>'LCFS Table'!$Q246+'LCFS Table'!$AH246</f>
        <v>84.028999999999996</v>
      </c>
      <c r="U246" s="185">
        <f>'LCFS Table'!$P246+'LCFS Table'!$AH246</f>
        <v>71.775000000000006</v>
      </c>
      <c r="V246" s="185">
        <f>(('LCFS Table'!$S246/'LCFS Table'!$AA246)*'LCFS Table'!$AC246)*6.48</f>
        <v>252.90957446808514</v>
      </c>
      <c r="W246" s="185">
        <f>(('LCFS Table'!$O246/'LCFS Table'!$AA246)*'LCFS Table'!$AD246)*6.48</f>
        <v>91.340425531914903</v>
      </c>
      <c r="X246" s="185">
        <f>(('LCFS Table'!$U246/'LCFS Table'!$AA246)*'LCFS Table'!$AE246)*6.48</f>
        <v>123.69734042553195</v>
      </c>
      <c r="Y246" s="185">
        <f>(('LCFS Table'!$T246/'LCFS Table'!$AB246)*'LCFS Table'!$AF246)*7.35</f>
        <v>482.51027343749996</v>
      </c>
      <c r="Z246" s="185">
        <f>(('LCFS Table'!$R246/'LCFS Table'!$AB246)*'LCFS Table'!$AG246)*7.35</f>
        <v>89.9609375</v>
      </c>
      <c r="AA246" s="138">
        <v>0.94</v>
      </c>
      <c r="AB246" s="138">
        <v>0.96</v>
      </c>
      <c r="AC246" s="138">
        <v>0.5</v>
      </c>
      <c r="AD246" s="138">
        <v>0.25</v>
      </c>
      <c r="AE246" s="138">
        <v>0.25</v>
      </c>
      <c r="AF246" s="138">
        <v>0.75</v>
      </c>
      <c r="AG246" s="138">
        <v>0.25</v>
      </c>
      <c r="AH246" s="139">
        <v>4.375</v>
      </c>
      <c r="AI246" s="139">
        <v>136</v>
      </c>
      <c r="AJ246" s="139">
        <v>110</v>
      </c>
      <c r="AK246" s="186">
        <f>('LCFS Table'!$AI246/340)*100</f>
        <v>40</v>
      </c>
      <c r="AL246" s="186">
        <f>('LCFS Table'!$AJ246/340)*100</f>
        <v>32.352941176470587</v>
      </c>
      <c r="AM246" s="139">
        <v>105</v>
      </c>
      <c r="AN246" s="139">
        <v>90</v>
      </c>
      <c r="AO246" s="139">
        <f>('LCFS Table'!$AM246/300)*100</f>
        <v>35</v>
      </c>
      <c r="AP246" s="139">
        <f>('LCFS Table'!$AN246/300)*100</f>
        <v>30</v>
      </c>
      <c r="AQ246" s="140">
        <f>'[1]LCFS Values'!$B245</f>
        <v>77.8</v>
      </c>
      <c r="AR246" s="140">
        <f>'[1]RIN Values'!$B245/100</f>
        <v>1.413</v>
      </c>
      <c r="AS246" s="185">
        <v>0.63408240602234633</v>
      </c>
      <c r="AT246" s="137">
        <v>0.16</v>
      </c>
      <c r="AU246" s="137">
        <v>1</v>
      </c>
      <c r="AV246" s="185">
        <f>'LCFS Table'!$AR246*1.7</f>
        <v>2.4020999999999999</v>
      </c>
      <c r="AW246" s="137">
        <v>0</v>
      </c>
      <c r="AX246" s="185">
        <v>0.42217609256500005</v>
      </c>
      <c r="AY246" s="137">
        <v>0</v>
      </c>
      <c r="AZ246" s="141">
        <v>1</v>
      </c>
      <c r="BA246" s="185">
        <f>'LCFS Table'!$AR246*1.5</f>
        <v>2.1194999999999999</v>
      </c>
      <c r="BB246" s="142">
        <v>1.2</v>
      </c>
      <c r="BC246" s="185">
        <f>'LCFS Table'!$AS246*'LCFS Table'!$BW246</f>
        <v>0.63408240602234633</v>
      </c>
      <c r="BD246" s="185">
        <f>'LCFS Table'!$AT246*'LCFS Table'!$BX246</f>
        <v>0</v>
      </c>
      <c r="BE246" s="185">
        <f>'LCFS Table'!$AU246*'LCFS Table'!$BY246</f>
        <v>1</v>
      </c>
      <c r="BF246" s="137">
        <f>'LCFS Table'!$AV246*'LCFS Table'!$BZ246</f>
        <v>2.4020999999999999</v>
      </c>
      <c r="BG246" s="137">
        <f>'LCFS Table'!$AW246*'LCFS Table'!$CA246</f>
        <v>0</v>
      </c>
      <c r="BH246" s="137">
        <f>'LCFS Table'!$AX246*'LCFS Table'!$CB246</f>
        <v>0.42217609256500005</v>
      </c>
      <c r="BI246" s="137">
        <f>'LCFS Table'!$AY246*'LCFS Table'!$CC246</f>
        <v>0</v>
      </c>
      <c r="BJ246" s="137">
        <f>'LCFS Table'!$AZ246*'LCFS Table'!$CD246</f>
        <v>1</v>
      </c>
      <c r="BK246" s="137">
        <f>'LCFS Table'!$BA246*'LCFS Table'!$CE246</f>
        <v>2.1194999999999999</v>
      </c>
      <c r="BL246" s="137">
        <f>'LCFS Table'!$BB246*'LCFS Table'!$CF246</f>
        <v>-1.2</v>
      </c>
      <c r="BM246" s="137">
        <f>'LCFS Table'!$AS246*'LCFS Table'!$CG246</f>
        <v>0</v>
      </c>
      <c r="BN246" s="137">
        <f>'LCFS Table'!$AT246*'LCFS Table'!$CH246</f>
        <v>0.16</v>
      </c>
      <c r="BO246" s="137">
        <f>'LCFS Table'!$AU246*'LCFS Table'!$CI246</f>
        <v>0</v>
      </c>
      <c r="BP246" s="137">
        <f>'LCFS Table'!$AV246*'LCFS Table'!$CJ246</f>
        <v>0</v>
      </c>
      <c r="BQ246" s="137">
        <f>'LCFS Table'!$AW246*'LCFS Table'!$CK246</f>
        <v>0</v>
      </c>
      <c r="BR246" s="137">
        <f>'LCFS Table'!$AX246*'LCFS Table'!$CL246</f>
        <v>0</v>
      </c>
      <c r="BS246" s="137">
        <f>'LCFS Table'!$AY246*'LCFS Table'!$CM246</f>
        <v>0</v>
      </c>
      <c r="BT246" s="137">
        <f>'LCFS Table'!$AZ246*'LCFS Table'!$CN246</f>
        <v>0</v>
      </c>
      <c r="BU246" s="137">
        <f>'LCFS Table'!$BA246*'LCFS Table'!$CO246</f>
        <v>0</v>
      </c>
      <c r="BV246" s="142">
        <f>'LCFS Table'!$BB246*'LCFS Table'!$CP246</f>
        <v>1.2</v>
      </c>
      <c r="BW246" s="138">
        <v>1</v>
      </c>
      <c r="BX246" s="138">
        <v>0</v>
      </c>
      <c r="BY246" s="138">
        <v>1</v>
      </c>
      <c r="BZ246" s="138">
        <v>1</v>
      </c>
      <c r="CA246" s="138">
        <v>-1</v>
      </c>
      <c r="CB246" s="138">
        <v>1</v>
      </c>
      <c r="CC246" s="138">
        <v>0</v>
      </c>
      <c r="CD246" s="138">
        <v>1</v>
      </c>
      <c r="CE246" s="138">
        <v>1</v>
      </c>
      <c r="CF246" s="138">
        <v>-1</v>
      </c>
      <c r="CG246" s="138">
        <f>1-'LCFS Table'!$BW246</f>
        <v>0</v>
      </c>
      <c r="CH246" s="138">
        <f>1-'LCFS Table'!$BX246</f>
        <v>1</v>
      </c>
      <c r="CI246" s="138">
        <f>1-'LCFS Table'!$BY246</f>
        <v>0</v>
      </c>
      <c r="CJ246" s="138">
        <f>1-'LCFS Table'!$BZ246</f>
        <v>0</v>
      </c>
      <c r="CK246" s="138">
        <f>-'LCFS Table'!$CA246</f>
        <v>1</v>
      </c>
      <c r="CL246" s="138">
        <f>1-'LCFS Table'!$CB246</f>
        <v>0</v>
      </c>
      <c r="CM246" s="138">
        <f>1-'LCFS Table'!$CC246</f>
        <v>1</v>
      </c>
      <c r="CN246" s="138">
        <f>1-'LCFS Table'!$CD246</f>
        <v>0</v>
      </c>
      <c r="CO246" s="138">
        <f>1-'LCFS Table'!$CE246</f>
        <v>0</v>
      </c>
      <c r="CP246" s="138">
        <f>-'LCFS Table'!$CF246</f>
        <v>1</v>
      </c>
      <c r="CQ246" s="140">
        <v>5.375</v>
      </c>
      <c r="CR246" s="165">
        <f>('LCFS Table'!$CQ246*0.9/(0.8/0.99)/100)</f>
        <v>5.9864062500000002E-2</v>
      </c>
      <c r="CS246" s="166"/>
      <c r="CT246" s="167"/>
      <c r="CW246" s="168">
        <f>'LCFS Table'!$K246-'LCFS Table'!$M246</f>
        <v>0.3969760925650001</v>
      </c>
      <c r="CX246" s="129">
        <f>MONTH('LCFS Table'!$B246)</f>
        <v>9</v>
      </c>
      <c r="CY246" s="129">
        <f>YEAR('LCFS Table'!$B246)</f>
        <v>2023</v>
      </c>
    </row>
    <row r="247" spans="1:103">
      <c r="A247" s="148">
        <v>45172</v>
      </c>
      <c r="B247" s="149">
        <v>45178</v>
      </c>
      <c r="C247" s="132">
        <f t="shared" si="4"/>
        <v>2023</v>
      </c>
      <c r="D247" s="150" t="s">
        <v>292</v>
      </c>
      <c r="E247" s="187">
        <f>'LCFS Table'!$K247-'LCFS Table'!$I247</f>
        <v>-1.9813921777221535</v>
      </c>
      <c r="F247" s="187">
        <f>('LCFS Table'!$M247)-'LCFS Table'!$J247</f>
        <v>-3.1806857819406256</v>
      </c>
      <c r="G247" s="188">
        <f>'LCFS Table'!$E247+'LCFS Table'!$AS247+'LCFS Table'!$AT247+'LCFS Table'!$AU247+'LCFS Table'!$AV247</f>
        <v>2.0843012909341736</v>
      </c>
      <c r="H247" s="188">
        <f>'LCFS Table'!$F247+'LCFS Table'!$AX247+'LCFS Table'!$AY247+'LCFS Table'!$AZ247+'LCFS Table'!$BA247+('LCFS Table'!$CQ247*0.9/(0.8/0.99)/100)+(DG247*'LCFS Table'!$AF247)+(DF247*'LCFS Table'!$AG247)</f>
        <v>0.30779082031249949</v>
      </c>
      <c r="I247" s="187">
        <f>('LCFS Table'!$V247+'LCFS Table'!$W247+'LCFS Table'!$X247)/100+(('LCFS Table'!$AI247+'LCFS Table'!$AJ247)/340)</f>
        <v>5.3874921777221534</v>
      </c>
      <c r="J247" s="187">
        <f>(('LCFS Table'!$Y247+'LCFS Table'!$Z247)/100)+(('LCFS Table'!$AM247+'LCFS Table'!$AN247)/300)</f>
        <v>6.2020732421875007</v>
      </c>
      <c r="K247" s="190">
        <f>'[1]Fuel Values'!$C246</f>
        <v>3.4060999999999999</v>
      </c>
      <c r="L247" s="190">
        <f>'[1]Fuel Values'!$B246</f>
        <v>645</v>
      </c>
      <c r="M247" s="185">
        <f>('LCFS Table'!$L247/100)-'LCFS Table'!$AX247-'LCFS Table'!$AY247-'LCFS Table'!$AZ247-'LCFS Table'!$BA247</f>
        <v>3.0213874602468751</v>
      </c>
      <c r="N247" s="190">
        <f>[1]BFT!$B246</f>
        <v>69</v>
      </c>
      <c r="O247" s="190">
        <f>[1]UCO!$B246</f>
        <v>53</v>
      </c>
      <c r="P247" s="190">
        <f>[1]DCO!$B246</f>
        <v>66.5</v>
      </c>
      <c r="Q247" s="190">
        <f>'[1]Soybean Oil'!$B246</f>
        <v>76.647499999999994</v>
      </c>
      <c r="R247" s="190">
        <f>'[1]Yellow Grease'!$B246</f>
        <v>47</v>
      </c>
      <c r="S247" s="185">
        <f>'LCFS Table'!$N247 + 'LCFS Table'!$AH247</f>
        <v>73.375</v>
      </c>
      <c r="T247" s="185">
        <f>'LCFS Table'!$Q247+'LCFS Table'!$AH247</f>
        <v>81.022499999999994</v>
      </c>
      <c r="U247" s="185">
        <f>'LCFS Table'!$P247+'LCFS Table'!$AH247</f>
        <v>70.875</v>
      </c>
      <c r="V247" s="185">
        <f>(('LCFS Table'!$S247/'LCFS Table'!$AA247)*'LCFS Table'!$AC247)*6.48</f>
        <v>252.90957446808514</v>
      </c>
      <c r="W247" s="185">
        <f>(('LCFS Table'!$O247/'LCFS Table'!$AA247)*'LCFS Table'!$AD247)*6.48</f>
        <v>91.340425531914903</v>
      </c>
      <c r="X247" s="185">
        <f>(('LCFS Table'!$U247/'LCFS Table'!$AA247)*'LCFS Table'!$AE247)*6.48</f>
        <v>122.14627659574468</v>
      </c>
      <c r="Y247" s="185">
        <f>(('LCFS Table'!$T247/'LCFS Table'!$AB247)*'LCFS Table'!$AF247)*7.35</f>
        <v>465.24638671874999</v>
      </c>
      <c r="Z247" s="185">
        <f>(('LCFS Table'!$R247/'LCFS Table'!$AB247)*'LCFS Table'!$AG247)*7.35</f>
        <v>89.9609375</v>
      </c>
      <c r="AA247" s="138">
        <v>0.94</v>
      </c>
      <c r="AB247" s="138">
        <v>0.96</v>
      </c>
      <c r="AC247" s="138">
        <v>0.5</v>
      </c>
      <c r="AD247" s="138">
        <v>0.25</v>
      </c>
      <c r="AE247" s="138">
        <v>0.25</v>
      </c>
      <c r="AF247" s="138">
        <v>0.75</v>
      </c>
      <c r="AG247" s="138">
        <v>0.25</v>
      </c>
      <c r="AH247" s="139">
        <v>4.375</v>
      </c>
      <c r="AI247" s="139">
        <v>136</v>
      </c>
      <c r="AJ247" s="139">
        <v>110</v>
      </c>
      <c r="AK247" s="186">
        <f>('LCFS Table'!$AI247/340)*100</f>
        <v>40</v>
      </c>
      <c r="AL247" s="186">
        <f>('LCFS Table'!$AJ247/340)*100</f>
        <v>32.352941176470587</v>
      </c>
      <c r="AM247" s="139">
        <v>105</v>
      </c>
      <c r="AN247" s="139">
        <v>90</v>
      </c>
      <c r="AO247" s="139">
        <f>('LCFS Table'!$AM247/300)*100</f>
        <v>35</v>
      </c>
      <c r="AP247" s="139">
        <f>('LCFS Table'!$AN247/300)*100</f>
        <v>30</v>
      </c>
      <c r="AQ247" s="140">
        <f>'[1]LCFS Values'!$B246</f>
        <v>76.625</v>
      </c>
      <c r="AR247" s="140">
        <f>'[1]RIN Values'!$B246/100</f>
        <v>1.3418749999999999</v>
      </c>
      <c r="AS247" s="185">
        <v>0.62450596865632768</v>
      </c>
      <c r="AT247" s="137">
        <v>0.16</v>
      </c>
      <c r="AU247" s="137">
        <v>1</v>
      </c>
      <c r="AV247" s="185">
        <f>'LCFS Table'!$AR247*1.7</f>
        <v>2.2811874999999997</v>
      </c>
      <c r="AW247" s="137">
        <v>0</v>
      </c>
      <c r="AX247" s="185">
        <v>0.41580003975312502</v>
      </c>
      <c r="AY247" s="137">
        <v>0</v>
      </c>
      <c r="AZ247" s="141">
        <v>1</v>
      </c>
      <c r="BA247" s="185">
        <f>'LCFS Table'!$AR247*1.5</f>
        <v>2.0128124999999999</v>
      </c>
      <c r="BB247" s="142">
        <v>1.2</v>
      </c>
      <c r="BC247" s="185">
        <f>'LCFS Table'!$AS247*'LCFS Table'!$BW247</f>
        <v>0.62450596865632768</v>
      </c>
      <c r="BD247" s="185">
        <f>'LCFS Table'!$AT247*'LCFS Table'!$BX247</f>
        <v>0</v>
      </c>
      <c r="BE247" s="185">
        <f>'LCFS Table'!$AU247*'LCFS Table'!$BY247</f>
        <v>1</v>
      </c>
      <c r="BF247" s="137">
        <f>'LCFS Table'!$AV247*'LCFS Table'!$BZ247</f>
        <v>2.2811874999999997</v>
      </c>
      <c r="BG247" s="137">
        <f>'LCFS Table'!$AW247*'LCFS Table'!$CA247</f>
        <v>0</v>
      </c>
      <c r="BH247" s="137">
        <f>'LCFS Table'!$AX247*'LCFS Table'!$CB247</f>
        <v>0.41580003975312502</v>
      </c>
      <c r="BI247" s="137">
        <f>'LCFS Table'!$AY247*'LCFS Table'!$CC247</f>
        <v>0</v>
      </c>
      <c r="BJ247" s="137">
        <f>'LCFS Table'!$AZ247*'LCFS Table'!$CD247</f>
        <v>1</v>
      </c>
      <c r="BK247" s="137">
        <f>'LCFS Table'!$BA247*'LCFS Table'!$CE247</f>
        <v>2.0128124999999999</v>
      </c>
      <c r="BL247" s="137">
        <f>'LCFS Table'!$BB247*'LCFS Table'!$CF247</f>
        <v>-1.2</v>
      </c>
      <c r="BM247" s="137">
        <f>'LCFS Table'!$AS247*'LCFS Table'!$CG247</f>
        <v>0</v>
      </c>
      <c r="BN247" s="137">
        <f>'LCFS Table'!$AT247*'LCFS Table'!$CH247</f>
        <v>0.16</v>
      </c>
      <c r="BO247" s="137">
        <f>'LCFS Table'!$AU247*'LCFS Table'!$CI247</f>
        <v>0</v>
      </c>
      <c r="BP247" s="137">
        <f>'LCFS Table'!$AV247*'LCFS Table'!$CJ247</f>
        <v>0</v>
      </c>
      <c r="BQ247" s="137">
        <f>'LCFS Table'!$AW247*'LCFS Table'!$CK247</f>
        <v>0</v>
      </c>
      <c r="BR247" s="137">
        <f>'LCFS Table'!$AX247*'LCFS Table'!$CL247</f>
        <v>0</v>
      </c>
      <c r="BS247" s="137">
        <f>'LCFS Table'!$AY247*'LCFS Table'!$CM247</f>
        <v>0</v>
      </c>
      <c r="BT247" s="137">
        <f>'LCFS Table'!$AZ247*'LCFS Table'!$CN247</f>
        <v>0</v>
      </c>
      <c r="BU247" s="137">
        <f>'LCFS Table'!$BA247*'LCFS Table'!$CO247</f>
        <v>0</v>
      </c>
      <c r="BV247" s="142">
        <f>'LCFS Table'!$BB247*'LCFS Table'!$CP247</f>
        <v>1.2</v>
      </c>
      <c r="BW247" s="138">
        <v>1</v>
      </c>
      <c r="BX247" s="138">
        <v>0</v>
      </c>
      <c r="BY247" s="138">
        <v>1</v>
      </c>
      <c r="BZ247" s="138">
        <v>1</v>
      </c>
      <c r="CA247" s="138">
        <v>-1</v>
      </c>
      <c r="CB247" s="138">
        <v>1</v>
      </c>
      <c r="CC247" s="138">
        <v>0</v>
      </c>
      <c r="CD247" s="138">
        <v>1</v>
      </c>
      <c r="CE247" s="138">
        <v>1</v>
      </c>
      <c r="CF247" s="138">
        <v>-1</v>
      </c>
      <c r="CG247" s="138">
        <f>1-'LCFS Table'!$BW247</f>
        <v>0</v>
      </c>
      <c r="CH247" s="138">
        <f>1-'LCFS Table'!$BX247</f>
        <v>1</v>
      </c>
      <c r="CI247" s="138">
        <f>1-'LCFS Table'!$BY247</f>
        <v>0</v>
      </c>
      <c r="CJ247" s="138">
        <f>1-'LCFS Table'!$BZ247</f>
        <v>0</v>
      </c>
      <c r="CK247" s="138">
        <f>-'LCFS Table'!$CA247</f>
        <v>1</v>
      </c>
      <c r="CL247" s="138">
        <f>1-'LCFS Table'!$CB247</f>
        <v>0</v>
      </c>
      <c r="CM247" s="138">
        <f>1-'LCFS Table'!$CC247</f>
        <v>1</v>
      </c>
      <c r="CN247" s="138">
        <f>1-'LCFS Table'!$CD247</f>
        <v>0</v>
      </c>
      <c r="CO247" s="138">
        <f>1-'LCFS Table'!$CE247</f>
        <v>0</v>
      </c>
      <c r="CP247" s="138">
        <f>-'LCFS Table'!$CF247</f>
        <v>1</v>
      </c>
      <c r="CQ247" s="140">
        <v>5.375</v>
      </c>
      <c r="CR247" s="165">
        <f>('LCFS Table'!$CQ247*0.9/(0.8/0.99)/100)</f>
        <v>5.9864062500000002E-2</v>
      </c>
      <c r="CS247" s="166"/>
      <c r="CT247" s="167"/>
      <c r="CW247" s="168">
        <f>'LCFS Table'!$K247-'LCFS Table'!$M247</f>
        <v>0.3847125397531248</v>
      </c>
      <c r="CX247" s="129">
        <f>MONTH('LCFS Table'!$B247)</f>
        <v>9</v>
      </c>
      <c r="CY247" s="129">
        <f>YEAR('LCFS Table'!$B247)</f>
        <v>2023</v>
      </c>
    </row>
    <row r="248" spans="1:103">
      <c r="A248" s="148">
        <v>45179</v>
      </c>
      <c r="B248" s="149">
        <v>45185</v>
      </c>
      <c r="C248" s="132">
        <f t="shared" si="4"/>
        <v>2023</v>
      </c>
      <c r="D248" s="150" t="s">
        <v>293</v>
      </c>
      <c r="E248" s="187">
        <f>'LCFS Table'!$K248-'LCFS Table'!$I248</f>
        <v>-1.5072602628285363</v>
      </c>
      <c r="F248" s="187">
        <f>('LCFS Table'!$M248)-'LCFS Table'!$J248</f>
        <v>-3.0588699797599999</v>
      </c>
      <c r="G248" s="188">
        <f>'LCFS Table'!$E248+'LCFS Table'!$AS248+'LCFS Table'!$AT248+'LCFS Table'!$AU248+'LCFS Table'!$AV248</f>
        <v>2.4803818880571038</v>
      </c>
      <c r="H248" s="188">
        <f>'LCFS Table'!$F248+'LCFS Table'!$AX248+'LCFS Table'!$AY248+'LCFS Table'!$AZ248+'LCFS Table'!$BA248+('LCFS Table'!$CQ248*0.9/(0.8/0.99)/100)+(DG248*'LCFS Table'!$AF248)+(DF248*'LCFS Table'!$AG248)</f>
        <v>0.36148789062500031</v>
      </c>
      <c r="I248" s="187">
        <f>('LCFS Table'!$V248+'LCFS Table'!$W248+'LCFS Table'!$X248)/100+(('LCFS Table'!$AI248+'LCFS Table'!$AJ248)/340)</f>
        <v>5.4219602628285362</v>
      </c>
      <c r="J248" s="187">
        <f>(('LCFS Table'!$Y248+'LCFS Table'!$Z248)/100)+(('LCFS Table'!$AM248+'LCFS Table'!$AN248)/300)</f>
        <v>6.1683761718749999</v>
      </c>
      <c r="K248" s="190">
        <f>'[1]Fuel Values'!$C247</f>
        <v>3.9146999999999998</v>
      </c>
      <c r="L248" s="190">
        <f>'[1]Fuel Values'!$B247</f>
        <v>647</v>
      </c>
      <c r="M248" s="185">
        <f>('LCFS Table'!$L248/100)-'LCFS Table'!$AX248-'LCFS Table'!$AY248-'LCFS Table'!$AZ248-'LCFS Table'!$BA248</f>
        <v>3.109506192115</v>
      </c>
      <c r="N248" s="190">
        <f>[1]BFT!$B247</f>
        <v>69.3</v>
      </c>
      <c r="O248" s="190">
        <f>[1]UCO!$B247</f>
        <v>54.1</v>
      </c>
      <c r="P248" s="190">
        <f>[1]DCO!$B247</f>
        <v>66.8</v>
      </c>
      <c r="Q248" s="190">
        <f>'[1]Soybean Oil'!$B247</f>
        <v>75.793999999999997</v>
      </c>
      <c r="R248" s="190">
        <f>'[1]Yellow Grease'!$B247</f>
        <v>47.8</v>
      </c>
      <c r="S248" s="185">
        <f>'LCFS Table'!$N248 + 'LCFS Table'!$AH248</f>
        <v>73.674999999999997</v>
      </c>
      <c r="T248" s="185">
        <f>'LCFS Table'!$Q248+'LCFS Table'!$AH248</f>
        <v>80.168999999999997</v>
      </c>
      <c r="U248" s="185">
        <f>'LCFS Table'!$P248+'LCFS Table'!$AH248</f>
        <v>71.174999999999997</v>
      </c>
      <c r="V248" s="185">
        <f>(('LCFS Table'!$S248/'LCFS Table'!$AA248)*'LCFS Table'!$AC248)*6.48</f>
        <v>253.94361702127659</v>
      </c>
      <c r="W248" s="185">
        <f>(('LCFS Table'!$O248/'LCFS Table'!$AA248)*'LCFS Table'!$AD248)*6.48</f>
        <v>93.23617021276597</v>
      </c>
      <c r="X248" s="185">
        <f>(('LCFS Table'!$U248/'LCFS Table'!$AA248)*'LCFS Table'!$AE248)*6.48</f>
        <v>122.66329787234045</v>
      </c>
      <c r="Y248" s="185">
        <f>(('LCFS Table'!$T248/'LCFS Table'!$AB248)*'LCFS Table'!$AF248)*7.35</f>
        <v>460.34542968750003</v>
      </c>
      <c r="Z248" s="185">
        <f>(('LCFS Table'!$R248/'LCFS Table'!$AB248)*'LCFS Table'!$AG248)*7.35</f>
        <v>91.492187499999986</v>
      </c>
      <c r="AA248" s="138">
        <v>0.94</v>
      </c>
      <c r="AB248" s="138">
        <v>0.96</v>
      </c>
      <c r="AC248" s="138">
        <v>0.5</v>
      </c>
      <c r="AD248" s="138">
        <v>0.25</v>
      </c>
      <c r="AE248" s="138">
        <v>0.25</v>
      </c>
      <c r="AF248" s="138">
        <v>0.75</v>
      </c>
      <c r="AG248" s="138">
        <v>0.25</v>
      </c>
      <c r="AH248" s="139">
        <v>4.375</v>
      </c>
      <c r="AI248" s="139">
        <v>136</v>
      </c>
      <c r="AJ248" s="139">
        <v>110</v>
      </c>
      <c r="AK248" s="186">
        <f>('LCFS Table'!$AI248/340)*100</f>
        <v>40</v>
      </c>
      <c r="AL248" s="186">
        <f>('LCFS Table'!$AJ248/340)*100</f>
        <v>32.352941176470587</v>
      </c>
      <c r="AM248" s="139">
        <v>105</v>
      </c>
      <c r="AN248" s="139">
        <v>90</v>
      </c>
      <c r="AO248" s="139">
        <f>('LCFS Table'!$AM248/300)*100</f>
        <v>35</v>
      </c>
      <c r="AP248" s="139">
        <f>('LCFS Table'!$AN248/300)*100</f>
        <v>30</v>
      </c>
      <c r="AQ248" s="140">
        <f>'[1]LCFS Values'!$B247</f>
        <v>76.2</v>
      </c>
      <c r="AR248" s="140">
        <f>'[1]RIN Values'!$B247/100</f>
        <v>1.298</v>
      </c>
      <c r="AS248" s="185">
        <v>0.62104215088563997</v>
      </c>
      <c r="AT248" s="137">
        <v>0.16</v>
      </c>
      <c r="AU248" s="137">
        <v>1</v>
      </c>
      <c r="AV248" s="185">
        <f>'LCFS Table'!$AR248*1.7</f>
        <v>2.2065999999999999</v>
      </c>
      <c r="AW248" s="137">
        <v>0</v>
      </c>
      <c r="AX248" s="185">
        <v>0.41349380788500001</v>
      </c>
      <c r="AY248" s="137">
        <v>0</v>
      </c>
      <c r="AZ248" s="141">
        <v>1</v>
      </c>
      <c r="BA248" s="185">
        <f>'LCFS Table'!$AR248*1.5</f>
        <v>1.9470000000000001</v>
      </c>
      <c r="BB248" s="142">
        <v>1.2</v>
      </c>
      <c r="BC248" s="185">
        <f>'LCFS Table'!$AS248*'LCFS Table'!$BW248</f>
        <v>0.62104215088563997</v>
      </c>
      <c r="BD248" s="185">
        <f>'LCFS Table'!$AT248*'LCFS Table'!$BX248</f>
        <v>0</v>
      </c>
      <c r="BE248" s="185">
        <f>'LCFS Table'!$AU248*'LCFS Table'!$BY248</f>
        <v>1</v>
      </c>
      <c r="BF248" s="137">
        <f>'LCFS Table'!$AV248*'LCFS Table'!$BZ248</f>
        <v>2.2065999999999999</v>
      </c>
      <c r="BG248" s="137">
        <f>'LCFS Table'!$AW248*'LCFS Table'!$CA248</f>
        <v>0</v>
      </c>
      <c r="BH248" s="137">
        <f>'LCFS Table'!$AX248*'LCFS Table'!$CB248</f>
        <v>0.41349380788500001</v>
      </c>
      <c r="BI248" s="137">
        <f>'LCFS Table'!$AY248*'LCFS Table'!$CC248</f>
        <v>0</v>
      </c>
      <c r="BJ248" s="137">
        <f>'LCFS Table'!$AZ248*'LCFS Table'!$CD248</f>
        <v>1</v>
      </c>
      <c r="BK248" s="137">
        <f>'LCFS Table'!$BA248*'LCFS Table'!$CE248</f>
        <v>1.9470000000000001</v>
      </c>
      <c r="BL248" s="137">
        <f>'LCFS Table'!$BB248*'LCFS Table'!$CF248</f>
        <v>-1.2</v>
      </c>
      <c r="BM248" s="137">
        <f>'LCFS Table'!$AS248*'LCFS Table'!$CG248</f>
        <v>0</v>
      </c>
      <c r="BN248" s="137">
        <f>'LCFS Table'!$AT248*'LCFS Table'!$CH248</f>
        <v>0.16</v>
      </c>
      <c r="BO248" s="137">
        <f>'LCFS Table'!$AU248*'LCFS Table'!$CI248</f>
        <v>0</v>
      </c>
      <c r="BP248" s="137">
        <f>'LCFS Table'!$AV248*'LCFS Table'!$CJ248</f>
        <v>0</v>
      </c>
      <c r="BQ248" s="137">
        <f>'LCFS Table'!$AW248*'LCFS Table'!$CK248</f>
        <v>0</v>
      </c>
      <c r="BR248" s="137">
        <f>'LCFS Table'!$AX248*'LCFS Table'!$CL248</f>
        <v>0</v>
      </c>
      <c r="BS248" s="137">
        <f>'LCFS Table'!$AY248*'LCFS Table'!$CM248</f>
        <v>0</v>
      </c>
      <c r="BT248" s="137">
        <f>'LCFS Table'!$AZ248*'LCFS Table'!$CN248</f>
        <v>0</v>
      </c>
      <c r="BU248" s="137">
        <f>'LCFS Table'!$BA248*'LCFS Table'!$CO248</f>
        <v>0</v>
      </c>
      <c r="BV248" s="136">
        <f>'LCFS Table'!$BB248*'LCFS Table'!$CP248</f>
        <v>1.2</v>
      </c>
      <c r="BW248" s="138">
        <v>1</v>
      </c>
      <c r="BX248" s="138">
        <v>0</v>
      </c>
      <c r="BY248" s="138">
        <v>1</v>
      </c>
      <c r="BZ248" s="138">
        <v>1</v>
      </c>
      <c r="CA248" s="138">
        <v>-1</v>
      </c>
      <c r="CB248" s="138">
        <v>1</v>
      </c>
      <c r="CC248" s="138">
        <v>0</v>
      </c>
      <c r="CD248" s="138">
        <v>1</v>
      </c>
      <c r="CE248" s="138">
        <v>1</v>
      </c>
      <c r="CF248" s="138">
        <v>-1</v>
      </c>
      <c r="CG248" s="138">
        <f>1-'LCFS Table'!$BW248</f>
        <v>0</v>
      </c>
      <c r="CH248" s="138">
        <f>1-'LCFS Table'!$BX248</f>
        <v>1</v>
      </c>
      <c r="CI248" s="138">
        <f>1-'LCFS Table'!$BY248</f>
        <v>0</v>
      </c>
      <c r="CJ248" s="138">
        <f>1-'LCFS Table'!$BZ248</f>
        <v>0</v>
      </c>
      <c r="CK248" s="138">
        <f>-'LCFS Table'!$CA248</f>
        <v>1</v>
      </c>
      <c r="CL248" s="138">
        <f>1-'LCFS Table'!$CB248</f>
        <v>0</v>
      </c>
      <c r="CM248" s="138">
        <f>1-'LCFS Table'!$CC248</f>
        <v>1</v>
      </c>
      <c r="CN248" s="138">
        <f>1-'LCFS Table'!$CD248</f>
        <v>0</v>
      </c>
      <c r="CO248" s="138">
        <f>1-'LCFS Table'!$CE248</f>
        <v>0</v>
      </c>
      <c r="CP248" s="138">
        <f>-'LCFS Table'!$CF248</f>
        <v>1</v>
      </c>
      <c r="CQ248" s="140">
        <v>5.375</v>
      </c>
      <c r="CR248" s="165">
        <f>('LCFS Table'!$CQ248*0.9/(0.8/0.99)/100)</f>
        <v>5.9864062500000002E-2</v>
      </c>
      <c r="CS248" s="166"/>
      <c r="CT248" s="167"/>
      <c r="CW248" s="168">
        <f>'LCFS Table'!$K248-'LCFS Table'!$M248</f>
        <v>0.80519380788499983</v>
      </c>
      <c r="CX248" s="129">
        <f>MONTH('LCFS Table'!$B248)</f>
        <v>9</v>
      </c>
      <c r="CY248" s="129">
        <f>YEAR('LCFS Table'!$B248)</f>
        <v>2023</v>
      </c>
    </row>
    <row r="249" spans="1:103">
      <c r="A249" s="148">
        <v>45186</v>
      </c>
      <c r="B249" s="149">
        <v>45192</v>
      </c>
      <c r="C249" s="132">
        <f t="shared" si="4"/>
        <v>2023</v>
      </c>
      <c r="D249" s="150" t="s">
        <v>294</v>
      </c>
      <c r="E249" s="187">
        <f>'LCFS Table'!$K249-'LCFS Table'!$I249</f>
        <v>-1.554211326658324</v>
      </c>
      <c r="F249" s="187">
        <f>('LCFS Table'!$M249)-'LCFS Table'!$J249</f>
        <v>-2.6957225000050009</v>
      </c>
      <c r="G249" s="188">
        <f>'LCFS Table'!$E249+'LCFS Table'!$AS249+'LCFS Table'!$AT249+'LCFS Table'!$AU249+'LCFS Table'!$AV249</f>
        <v>2.0563391339466364</v>
      </c>
      <c r="H249" s="188">
        <f>'LCFS Table'!$F249+'LCFS Table'!$AX249+'LCFS Table'!$AY249+'LCFS Table'!$AZ249+'LCFS Table'!$BA249+('LCFS Table'!$CQ249*0.9/(0.8/0.99)/100)+(DG249*'LCFS Table'!$AF249)+(DF249*'LCFS Table'!$AG249)</f>
        <v>0.41172898437499938</v>
      </c>
      <c r="I249" s="187">
        <f>('LCFS Table'!$V249+'LCFS Table'!$W249+'LCFS Table'!$X249)/100+(('LCFS Table'!$AI249+'LCFS Table'!$AJ249)/340)</f>
        <v>5.4478113266583241</v>
      </c>
      <c r="J249" s="187">
        <f>(('LCFS Table'!$Y249+'LCFS Table'!$Z249)/100)+(('LCFS Table'!$AM249+'LCFS Table'!$AN249)/300)</f>
        <v>6.089248828125001</v>
      </c>
      <c r="K249" s="190">
        <f>'[1]Fuel Values'!$C248</f>
        <v>3.8936000000000002</v>
      </c>
      <c r="L249" s="190">
        <f>'[1]Fuel Values'!$B248</f>
        <v>644</v>
      </c>
      <c r="M249" s="185">
        <f>('LCFS Table'!$L249/100)-'LCFS Table'!$AX249-'LCFS Table'!$AY249-'LCFS Table'!$AZ249-'LCFS Table'!$BA249</f>
        <v>3.3935263281200001</v>
      </c>
      <c r="N249" s="190">
        <f>[1]BFT!$B248</f>
        <v>69.5</v>
      </c>
      <c r="O249" s="190">
        <f>[1]UCO!$B248</f>
        <v>55</v>
      </c>
      <c r="P249" s="190">
        <f>[1]DCO!$B248</f>
        <v>67</v>
      </c>
      <c r="Q249" s="190">
        <f>'[1]Soybean Oil'!$B248</f>
        <v>73.816000000000003</v>
      </c>
      <c r="R249" s="190">
        <f>'[1]Yellow Grease'!$B248</f>
        <v>49.6</v>
      </c>
      <c r="S249" s="185">
        <f>'LCFS Table'!$N249 + 'LCFS Table'!$AH249</f>
        <v>73.875</v>
      </c>
      <c r="T249" s="185">
        <f>'LCFS Table'!$Q249+'LCFS Table'!$AH249</f>
        <v>78.191000000000003</v>
      </c>
      <c r="U249" s="185">
        <f>'LCFS Table'!$P249+'LCFS Table'!$AH249</f>
        <v>71.375</v>
      </c>
      <c r="V249" s="185">
        <f>(('LCFS Table'!$S249/'LCFS Table'!$AA249)*'LCFS Table'!$AC249)*6.48</f>
        <v>254.63297872340431</v>
      </c>
      <c r="W249" s="185">
        <f>(('LCFS Table'!$O249/'LCFS Table'!$AA249)*'LCFS Table'!$AD249)*6.48</f>
        <v>94.787234042553195</v>
      </c>
      <c r="X249" s="185">
        <f>(('LCFS Table'!$U249/'LCFS Table'!$AA249)*'LCFS Table'!$AE249)*6.48</f>
        <v>123.00797872340426</v>
      </c>
      <c r="Y249" s="185">
        <f>(('LCFS Table'!$T249/'LCFS Table'!$AB249)*'LCFS Table'!$AF249)*7.35</f>
        <v>448.98738281250002</v>
      </c>
      <c r="Z249" s="185">
        <f>(('LCFS Table'!$R249/'LCFS Table'!$AB249)*'LCFS Table'!$AG249)*7.35</f>
        <v>94.9375</v>
      </c>
      <c r="AA249" s="138">
        <v>0.94</v>
      </c>
      <c r="AB249" s="138">
        <v>0.96</v>
      </c>
      <c r="AC249" s="138">
        <v>0.5</v>
      </c>
      <c r="AD249" s="138">
        <v>0.25</v>
      </c>
      <c r="AE249" s="138">
        <v>0.25</v>
      </c>
      <c r="AF249" s="138">
        <v>0.75</v>
      </c>
      <c r="AG249" s="138">
        <v>0.25</v>
      </c>
      <c r="AH249" s="139">
        <v>4.375</v>
      </c>
      <c r="AI249" s="139">
        <v>136</v>
      </c>
      <c r="AJ249" s="139">
        <v>110</v>
      </c>
      <c r="AK249" s="186">
        <f>('LCFS Table'!$AI249/340)*100</f>
        <v>40</v>
      </c>
      <c r="AL249" s="186">
        <f>('LCFS Table'!$AJ249/340)*100</f>
        <v>32.352941176470587</v>
      </c>
      <c r="AM249" s="139">
        <v>105</v>
      </c>
      <c r="AN249" s="139">
        <v>90</v>
      </c>
      <c r="AO249" s="139">
        <f>('LCFS Table'!$AM249/300)*100</f>
        <v>35</v>
      </c>
      <c r="AP249" s="139">
        <f>('LCFS Table'!$AN249/300)*100</f>
        <v>30</v>
      </c>
      <c r="AQ249" s="140">
        <f>'[1]LCFS Values'!$B248</f>
        <v>65.599999999999994</v>
      </c>
      <c r="AR249" s="140">
        <f>'[1]RIN Values'!$B248/100</f>
        <v>1.127</v>
      </c>
      <c r="AS249" s="185">
        <v>0.53465046060496035</v>
      </c>
      <c r="AT249" s="137">
        <v>0.16</v>
      </c>
      <c r="AU249" s="137">
        <v>1</v>
      </c>
      <c r="AV249" s="185">
        <f>'LCFS Table'!$AR249*1.7</f>
        <v>1.9158999999999999</v>
      </c>
      <c r="AW249" s="137">
        <v>0</v>
      </c>
      <c r="AX249" s="185">
        <v>0.35597367187999995</v>
      </c>
      <c r="AY249" s="137">
        <v>0</v>
      </c>
      <c r="AZ249" s="141">
        <v>1</v>
      </c>
      <c r="BA249" s="185">
        <f>'LCFS Table'!$AR249*1.5</f>
        <v>1.6905000000000001</v>
      </c>
      <c r="BB249" s="142">
        <v>1.2</v>
      </c>
      <c r="BC249" s="185">
        <f>'LCFS Table'!$AS249*'LCFS Table'!$BW249</f>
        <v>0.53465046060496035</v>
      </c>
      <c r="BD249" s="185">
        <f>'LCFS Table'!$AT249*'LCFS Table'!$BX249</f>
        <v>0</v>
      </c>
      <c r="BE249" s="185">
        <f>'LCFS Table'!$AU249*'LCFS Table'!$BY249</f>
        <v>1</v>
      </c>
      <c r="BF249" s="137">
        <f>'LCFS Table'!$AV249*'LCFS Table'!$BZ249</f>
        <v>1.9158999999999999</v>
      </c>
      <c r="BG249" s="137">
        <f>'LCFS Table'!$AW249*'LCFS Table'!$CA249</f>
        <v>0</v>
      </c>
      <c r="BH249" s="137">
        <f>'LCFS Table'!$AX249*'LCFS Table'!$CB249</f>
        <v>0.35597367187999995</v>
      </c>
      <c r="BI249" s="137">
        <f>'LCFS Table'!$AY249*'LCFS Table'!$CC249</f>
        <v>0</v>
      </c>
      <c r="BJ249" s="137">
        <f>'LCFS Table'!$AZ249*'LCFS Table'!$CD249</f>
        <v>1</v>
      </c>
      <c r="BK249" s="137">
        <f>'LCFS Table'!$BA249*'LCFS Table'!$CE249</f>
        <v>1.6905000000000001</v>
      </c>
      <c r="BL249" s="137">
        <f>'LCFS Table'!$BB249*'LCFS Table'!$CF249</f>
        <v>-1.2</v>
      </c>
      <c r="BM249" s="137">
        <f>'LCFS Table'!$AS249*'LCFS Table'!$CG249</f>
        <v>0</v>
      </c>
      <c r="BN249" s="137">
        <f>'LCFS Table'!$AT249*'LCFS Table'!$CH249</f>
        <v>0.16</v>
      </c>
      <c r="BO249" s="137">
        <f>'LCFS Table'!$AU249*'LCFS Table'!$CI249</f>
        <v>0</v>
      </c>
      <c r="BP249" s="137">
        <f>'LCFS Table'!$AV249*'LCFS Table'!$CJ249</f>
        <v>0</v>
      </c>
      <c r="BQ249" s="137">
        <f>'LCFS Table'!$AW249*'LCFS Table'!$CK249</f>
        <v>0</v>
      </c>
      <c r="BR249" s="137">
        <f>'LCFS Table'!$AX249*'LCFS Table'!$CL249</f>
        <v>0</v>
      </c>
      <c r="BS249" s="137">
        <f>'LCFS Table'!$AY249*'LCFS Table'!$CM249</f>
        <v>0</v>
      </c>
      <c r="BT249" s="137">
        <f>'LCFS Table'!$AZ249*'LCFS Table'!$CN249</f>
        <v>0</v>
      </c>
      <c r="BU249" s="137">
        <f>'LCFS Table'!$BA249*'LCFS Table'!$CO249</f>
        <v>0</v>
      </c>
      <c r="BV249" s="142">
        <f>'LCFS Table'!$BB249*'LCFS Table'!$CP249</f>
        <v>1.2</v>
      </c>
      <c r="BW249" s="138">
        <v>1</v>
      </c>
      <c r="BX249" s="138">
        <v>0</v>
      </c>
      <c r="BY249" s="138">
        <v>1</v>
      </c>
      <c r="BZ249" s="138">
        <v>1</v>
      </c>
      <c r="CA249" s="138">
        <v>-1</v>
      </c>
      <c r="CB249" s="138">
        <v>1</v>
      </c>
      <c r="CC249" s="138">
        <v>0</v>
      </c>
      <c r="CD249" s="138">
        <v>1</v>
      </c>
      <c r="CE249" s="138">
        <v>1</v>
      </c>
      <c r="CF249" s="138">
        <v>-1</v>
      </c>
      <c r="CG249" s="138">
        <f>1-'LCFS Table'!$BW249</f>
        <v>0</v>
      </c>
      <c r="CH249" s="138">
        <f>1-'LCFS Table'!$BX249</f>
        <v>1</v>
      </c>
      <c r="CI249" s="138">
        <f>1-'LCFS Table'!$BY249</f>
        <v>0</v>
      </c>
      <c r="CJ249" s="138">
        <f>1-'LCFS Table'!$BZ249</f>
        <v>0</v>
      </c>
      <c r="CK249" s="138">
        <f>-'LCFS Table'!$CA249</f>
        <v>1</v>
      </c>
      <c r="CL249" s="138">
        <f>1-'LCFS Table'!$CB249</f>
        <v>0</v>
      </c>
      <c r="CM249" s="138">
        <f>1-'LCFS Table'!$CC249</f>
        <v>1</v>
      </c>
      <c r="CN249" s="138">
        <f>1-'LCFS Table'!$CD249</f>
        <v>0</v>
      </c>
      <c r="CO249" s="138">
        <f>1-'LCFS Table'!$CE249</f>
        <v>0</v>
      </c>
      <c r="CP249" s="138">
        <f>-'LCFS Table'!$CF249</f>
        <v>1</v>
      </c>
      <c r="CQ249" s="140">
        <v>5.4749999999999996</v>
      </c>
      <c r="CR249" s="165">
        <f>('LCFS Table'!$CQ249*0.9/(0.8/0.99)/100)</f>
        <v>6.0977812499999999E-2</v>
      </c>
      <c r="CS249" s="166"/>
      <c r="CT249" s="167"/>
      <c r="CW249" s="168">
        <f>'LCFS Table'!$K249-'LCFS Table'!$M249</f>
        <v>0.50007367188000007</v>
      </c>
      <c r="CX249" s="129">
        <f>MONTH('LCFS Table'!$B249)</f>
        <v>9</v>
      </c>
      <c r="CY249" s="129">
        <f>YEAR('LCFS Table'!$B249)</f>
        <v>2023</v>
      </c>
    </row>
    <row r="250" spans="1:103">
      <c r="A250" s="148">
        <v>45193</v>
      </c>
      <c r="B250" s="149">
        <v>45199</v>
      </c>
      <c r="C250" s="132">
        <f t="shared" si="4"/>
        <v>2023</v>
      </c>
      <c r="D250" s="150" t="s">
        <v>295</v>
      </c>
      <c r="E250" s="187">
        <f>'LCFS Table'!$K250-'LCFS Table'!$I250</f>
        <v>-1.6207964330413014</v>
      </c>
      <c r="F250" s="187">
        <f>('LCFS Table'!$M250)-'LCFS Table'!$J250</f>
        <v>-2.5149678588325006</v>
      </c>
      <c r="G250" s="188">
        <f>'LCFS Table'!$E250+'LCFS Table'!$AS250+'LCFS Table'!$AT250+'LCFS Table'!$AU250+'LCFS Table'!$AV250</f>
        <v>1.8037997132435573</v>
      </c>
      <c r="H250" s="188">
        <f>'LCFS Table'!$F250+'LCFS Table'!$AX250+'LCFS Table'!$AY250+'LCFS Table'!$AZ250+'LCFS Table'!$BA250+('LCFS Table'!$CQ250*0.9/(0.8/0.99)/100)+(DG250*'LCFS Table'!$AF250)+(DF250*'LCFS Table'!$AG250)</f>
        <v>0.42555070312499954</v>
      </c>
      <c r="I250" s="187">
        <f>('LCFS Table'!$V250+'LCFS Table'!$W250+'LCFS Table'!$X250)/100+(('LCFS Table'!$AI250+'LCFS Table'!$AJ250)/340)</f>
        <v>5.3693964330413015</v>
      </c>
      <c r="J250" s="187">
        <f>(('LCFS Table'!$Y250+'LCFS Table'!$Z250)/100)+(('LCFS Table'!$AM250+'LCFS Table'!$AN250)/300)</f>
        <v>5.9201605468750014</v>
      </c>
      <c r="K250" s="190">
        <f>'[1]Fuel Values'!$C249</f>
        <v>3.7486000000000002</v>
      </c>
      <c r="L250" s="190">
        <f>'[1]Fuel Values'!$B249</f>
        <v>628</v>
      </c>
      <c r="M250" s="185">
        <f>('LCFS Table'!$L250/100)-'LCFS Table'!$AX250-'LCFS Table'!$AY250-'LCFS Table'!$AZ250-'LCFS Table'!$BA250</f>
        <v>3.4051926880425007</v>
      </c>
      <c r="N250" s="190">
        <f>[1]BFT!$B249</f>
        <v>68</v>
      </c>
      <c r="O250" s="190">
        <f>[1]UCO!$B249</f>
        <v>55</v>
      </c>
      <c r="P250" s="190">
        <f>[1]DCO!$B249</f>
        <v>65.45</v>
      </c>
      <c r="Q250" s="190">
        <f>'[1]Soybean Oil'!$B249</f>
        <v>70.738</v>
      </c>
      <c r="R250" s="190">
        <f>'[1]Yellow Grease'!$B249</f>
        <v>50</v>
      </c>
      <c r="S250" s="185">
        <f>'LCFS Table'!$N250 + 'LCFS Table'!$AH250</f>
        <v>72.375</v>
      </c>
      <c r="T250" s="185">
        <f>'LCFS Table'!$Q250+'LCFS Table'!$AH250</f>
        <v>75.113</v>
      </c>
      <c r="U250" s="185">
        <f>'LCFS Table'!$P250+'LCFS Table'!$AH250</f>
        <v>69.825000000000003</v>
      </c>
      <c r="V250" s="185">
        <f>(('LCFS Table'!$S250/'LCFS Table'!$AA250)*'LCFS Table'!$AC250)*6.48</f>
        <v>249.46276595744683</v>
      </c>
      <c r="W250" s="185">
        <f>(('LCFS Table'!$O250/'LCFS Table'!$AA250)*'LCFS Table'!$AD250)*6.48</f>
        <v>94.787234042553195</v>
      </c>
      <c r="X250" s="185">
        <f>(('LCFS Table'!$U250/'LCFS Table'!$AA250)*'LCFS Table'!$AE250)*6.48</f>
        <v>120.33670212765959</v>
      </c>
      <c r="Y250" s="185">
        <f>(('LCFS Table'!$T250/'LCFS Table'!$AB250)*'LCFS Table'!$AF250)*7.35</f>
        <v>431.31292968750006</v>
      </c>
      <c r="Z250" s="185">
        <f>(('LCFS Table'!$R250/'LCFS Table'!$AB250)*'LCFS Table'!$AG250)*7.35</f>
        <v>95.703125</v>
      </c>
      <c r="AA250" s="138">
        <v>0.94</v>
      </c>
      <c r="AB250" s="138">
        <v>0.96</v>
      </c>
      <c r="AC250" s="138">
        <v>0.5</v>
      </c>
      <c r="AD250" s="138">
        <v>0.25</v>
      </c>
      <c r="AE250" s="138">
        <v>0.25</v>
      </c>
      <c r="AF250" s="138">
        <v>0.75</v>
      </c>
      <c r="AG250" s="138">
        <v>0.25</v>
      </c>
      <c r="AH250" s="139">
        <v>4.375</v>
      </c>
      <c r="AI250" s="139">
        <v>136</v>
      </c>
      <c r="AJ250" s="139">
        <v>110</v>
      </c>
      <c r="AK250" s="186">
        <f>('LCFS Table'!$AI250/340)*100</f>
        <v>40</v>
      </c>
      <c r="AL250" s="186">
        <f>('LCFS Table'!$AJ250/340)*100</f>
        <v>32.352941176470587</v>
      </c>
      <c r="AM250" s="139">
        <v>105</v>
      </c>
      <c r="AN250" s="139">
        <v>90</v>
      </c>
      <c r="AO250" s="139">
        <f>('LCFS Table'!$AM250/300)*100</f>
        <v>35</v>
      </c>
      <c r="AP250" s="139">
        <f>('LCFS Table'!$AN250/300)*100</f>
        <v>30</v>
      </c>
      <c r="AQ250" s="140">
        <f>'[1]LCFS Values'!$B249</f>
        <v>69.900000000000006</v>
      </c>
      <c r="AR250" s="140">
        <f>'[1]RIN Values'!$B249/100</f>
        <v>0.997</v>
      </c>
      <c r="AS250" s="185">
        <v>0.56969614628485876</v>
      </c>
      <c r="AT250" s="137">
        <v>0.16</v>
      </c>
      <c r="AU250" s="137">
        <v>1</v>
      </c>
      <c r="AV250" s="185">
        <f>'LCFS Table'!$AR250*1.7</f>
        <v>1.6948999999999999</v>
      </c>
      <c r="AW250" s="137">
        <v>0</v>
      </c>
      <c r="AX250" s="185">
        <v>0.37930731195750006</v>
      </c>
      <c r="AY250" s="137">
        <v>0</v>
      </c>
      <c r="AZ250" s="141">
        <v>1</v>
      </c>
      <c r="BA250" s="185">
        <f>'LCFS Table'!$AR250*1.5</f>
        <v>1.4955000000000001</v>
      </c>
      <c r="BB250" s="142">
        <v>1.2</v>
      </c>
      <c r="BC250" s="185">
        <f>'LCFS Table'!$AS250*'LCFS Table'!$BW250</f>
        <v>0.56969614628485876</v>
      </c>
      <c r="BD250" s="185">
        <f>'LCFS Table'!$AT250*'LCFS Table'!$BX250</f>
        <v>0</v>
      </c>
      <c r="BE250" s="185">
        <f>'LCFS Table'!$AU250*'LCFS Table'!$BY250</f>
        <v>1</v>
      </c>
      <c r="BF250" s="137">
        <f>'LCFS Table'!$AV250*'LCFS Table'!$BZ250</f>
        <v>1.6948999999999999</v>
      </c>
      <c r="BG250" s="137">
        <f>'LCFS Table'!$AW250*'LCFS Table'!$CA250</f>
        <v>0</v>
      </c>
      <c r="BH250" s="137">
        <f>'LCFS Table'!$AX250*'LCFS Table'!$CB250</f>
        <v>0.37930731195750006</v>
      </c>
      <c r="BI250" s="137">
        <f>'LCFS Table'!$AY250*'LCFS Table'!$CC250</f>
        <v>0</v>
      </c>
      <c r="BJ250" s="137">
        <f>'LCFS Table'!$AZ250*'LCFS Table'!$CD250</f>
        <v>1</v>
      </c>
      <c r="BK250" s="137">
        <f>'LCFS Table'!$BA250*'LCFS Table'!$CE250</f>
        <v>1.4955000000000001</v>
      </c>
      <c r="BL250" s="137">
        <f>'LCFS Table'!$BB250*'LCFS Table'!$CF250</f>
        <v>-1.2</v>
      </c>
      <c r="BM250" s="137">
        <f>'LCFS Table'!$AS250*'LCFS Table'!$CG250</f>
        <v>0</v>
      </c>
      <c r="BN250" s="137">
        <f>'LCFS Table'!$AT250*'LCFS Table'!$CH250</f>
        <v>0.16</v>
      </c>
      <c r="BO250" s="137">
        <f>'LCFS Table'!$AU250*'LCFS Table'!$CI250</f>
        <v>0</v>
      </c>
      <c r="BP250" s="137">
        <f>'LCFS Table'!$AV250*'LCFS Table'!$CJ250</f>
        <v>0</v>
      </c>
      <c r="BQ250" s="137">
        <f>'LCFS Table'!$AW250*'LCFS Table'!$CK250</f>
        <v>0</v>
      </c>
      <c r="BR250" s="137">
        <f>'LCFS Table'!$AX250*'LCFS Table'!$CL250</f>
        <v>0</v>
      </c>
      <c r="BS250" s="137">
        <f>'LCFS Table'!$AY250*'LCFS Table'!$CM250</f>
        <v>0</v>
      </c>
      <c r="BT250" s="137">
        <f>'LCFS Table'!$AZ250*'LCFS Table'!$CN250</f>
        <v>0</v>
      </c>
      <c r="BU250" s="137">
        <f>'LCFS Table'!$BA250*'LCFS Table'!$CO250</f>
        <v>0</v>
      </c>
      <c r="BV250" s="142">
        <f>'LCFS Table'!$BB250*'LCFS Table'!$CP250</f>
        <v>1.2</v>
      </c>
      <c r="BW250" s="138">
        <v>1</v>
      </c>
      <c r="BX250" s="138">
        <v>0</v>
      </c>
      <c r="BY250" s="138">
        <v>1</v>
      </c>
      <c r="BZ250" s="138">
        <v>1</v>
      </c>
      <c r="CA250" s="138">
        <v>-1</v>
      </c>
      <c r="CB250" s="138">
        <v>1</v>
      </c>
      <c r="CC250" s="138">
        <v>0</v>
      </c>
      <c r="CD250" s="138">
        <v>1</v>
      </c>
      <c r="CE250" s="138">
        <v>1</v>
      </c>
      <c r="CF250" s="138">
        <v>-1</v>
      </c>
      <c r="CG250" s="138">
        <f>1-'LCFS Table'!$BW250</f>
        <v>0</v>
      </c>
      <c r="CH250" s="138">
        <f>1-'LCFS Table'!$BX250</f>
        <v>1</v>
      </c>
      <c r="CI250" s="138">
        <f>1-'LCFS Table'!$BY250</f>
        <v>0</v>
      </c>
      <c r="CJ250" s="138">
        <f>1-'LCFS Table'!$BZ250</f>
        <v>0</v>
      </c>
      <c r="CK250" s="138">
        <f>-'LCFS Table'!$CA250</f>
        <v>1</v>
      </c>
      <c r="CL250" s="138">
        <f>1-'LCFS Table'!$CB250</f>
        <v>0</v>
      </c>
      <c r="CM250" s="138">
        <f>1-'LCFS Table'!$CC250</f>
        <v>1</v>
      </c>
      <c r="CN250" s="138">
        <f>1-'LCFS Table'!$CD250</f>
        <v>0</v>
      </c>
      <c r="CO250" s="138">
        <f>1-'LCFS Table'!$CE250</f>
        <v>0</v>
      </c>
      <c r="CP250" s="138">
        <f>-'LCFS Table'!$CF250</f>
        <v>1</v>
      </c>
      <c r="CQ250" s="140">
        <v>5.9</v>
      </c>
      <c r="CR250" s="165">
        <f>('LCFS Table'!$CQ250*0.9/(0.8/0.99)/100)</f>
        <v>6.5711249999999999E-2</v>
      </c>
      <c r="CS250" s="166"/>
      <c r="CT250" s="167"/>
      <c r="CW250" s="168">
        <f>'LCFS Table'!$K250-'LCFS Table'!$M250</f>
        <v>0.34340731195749941</v>
      </c>
      <c r="CX250" s="129">
        <f>MONTH('LCFS Table'!$B250)</f>
        <v>9</v>
      </c>
      <c r="CY250" s="129">
        <f>YEAR('LCFS Table'!$B250)</f>
        <v>2023</v>
      </c>
    </row>
    <row r="251" spans="1:103">
      <c r="A251" s="148">
        <v>45200</v>
      </c>
      <c r="B251" s="149">
        <v>45206</v>
      </c>
      <c r="C251" s="132">
        <f t="shared" si="4"/>
        <v>2023</v>
      </c>
      <c r="D251" s="150" t="s">
        <v>296</v>
      </c>
      <c r="E251" s="187">
        <f>'LCFS Table'!$K251-'LCFS Table'!$I251</f>
        <v>-1.9816177096370469</v>
      </c>
      <c r="F251" s="187">
        <f>('LCFS Table'!$M251)-'LCFS Table'!$J251</f>
        <v>-2.5176973960375015</v>
      </c>
      <c r="G251" s="188">
        <f>'LCFS Table'!$E251+'LCFS Table'!$AS251+'LCFS Table'!$AT251+'LCFS Table'!$AU251+'LCFS Table'!$AV251</f>
        <v>1.4073691701658428</v>
      </c>
      <c r="H251" s="188">
        <f>'LCFS Table'!$F251+'LCFS Table'!$AX251+'LCFS Table'!$AY251+'LCFS Table'!$AZ251+'LCFS Table'!$BA251+('LCFS Table'!$CQ251*0.9/(0.8/0.99)/100)+(DG251*'LCFS Table'!$AF251)+(DF251*'LCFS Table'!$AG251)</f>
        <v>0.38718085937499835</v>
      </c>
      <c r="I251" s="187">
        <f>('LCFS Table'!$V251+'LCFS Table'!$W251+'LCFS Table'!$X251)/100+(('LCFS Table'!$AI251+'LCFS Table'!$AJ251)/340)</f>
        <v>5.4004177096370469</v>
      </c>
      <c r="J251" s="187">
        <f>(('LCFS Table'!$Y251+'LCFS Table'!$Z251)/100)+(('LCFS Table'!$AM251+'LCFS Table'!$AN251)/300)</f>
        <v>5.8224285156250009</v>
      </c>
      <c r="K251" s="190">
        <f>'[1]Fuel Values'!$C250</f>
        <v>3.4188000000000001</v>
      </c>
      <c r="L251" s="190">
        <f>'[1]Fuel Values'!$B250</f>
        <v>614</v>
      </c>
      <c r="M251" s="185">
        <f>('LCFS Table'!$L251/100)-'LCFS Table'!$AX251-'LCFS Table'!$AY251-'LCFS Table'!$AZ251-'LCFS Table'!$BA251</f>
        <v>3.3047311195874993</v>
      </c>
      <c r="N251" s="190">
        <f>[1]BFT!$B250</f>
        <v>66.599999999999994</v>
      </c>
      <c r="O251" s="190">
        <f>[1]UCO!$B250</f>
        <v>60.1</v>
      </c>
      <c r="P251" s="190">
        <f>[1]DCO!$B250</f>
        <v>64.95</v>
      </c>
      <c r="Q251" s="190">
        <f>'[1]Soybean Oil'!$B250</f>
        <v>68.736000000000004</v>
      </c>
      <c r="R251" s="190">
        <f>'[1]Yellow Grease'!$B250</f>
        <v>50.9</v>
      </c>
      <c r="S251" s="185">
        <f>'LCFS Table'!$N251 + 'LCFS Table'!$AH251</f>
        <v>70.974999999999994</v>
      </c>
      <c r="T251" s="185">
        <f>'LCFS Table'!$Q251+'LCFS Table'!$AH251</f>
        <v>73.111000000000004</v>
      </c>
      <c r="U251" s="185">
        <f>'LCFS Table'!$P251+'LCFS Table'!$AH251</f>
        <v>69.325000000000003</v>
      </c>
      <c r="V251" s="185">
        <f>(('LCFS Table'!$S251/'LCFS Table'!$AA251)*'LCFS Table'!$AC251)*6.48</f>
        <v>244.63723404255319</v>
      </c>
      <c r="W251" s="185">
        <f>(('LCFS Table'!$O251/'LCFS Table'!$AA251)*'LCFS Table'!$AD251)*6.48</f>
        <v>103.57659574468087</v>
      </c>
      <c r="X251" s="185">
        <f>(('LCFS Table'!$U251/'LCFS Table'!$AA251)*'LCFS Table'!$AE251)*6.48</f>
        <v>119.47500000000004</v>
      </c>
      <c r="Y251" s="185">
        <f>(('LCFS Table'!$T251/'LCFS Table'!$AB251)*'LCFS Table'!$AF251)*7.35</f>
        <v>419.81707031250005</v>
      </c>
      <c r="Z251" s="185">
        <f>(('LCFS Table'!$R251/'LCFS Table'!$AB251)*'LCFS Table'!$AG251)*7.35</f>
        <v>97.42578125</v>
      </c>
      <c r="AA251" s="138">
        <v>0.94</v>
      </c>
      <c r="AB251" s="138">
        <v>0.96</v>
      </c>
      <c r="AC251" s="138">
        <v>0.5</v>
      </c>
      <c r="AD251" s="138">
        <v>0.25</v>
      </c>
      <c r="AE251" s="138">
        <v>0.25</v>
      </c>
      <c r="AF251" s="138">
        <v>0.75</v>
      </c>
      <c r="AG251" s="138">
        <v>0.25</v>
      </c>
      <c r="AH251" s="139">
        <v>4.375</v>
      </c>
      <c r="AI251" s="139">
        <v>136</v>
      </c>
      <c r="AJ251" s="139">
        <v>110</v>
      </c>
      <c r="AK251" s="186">
        <f>('LCFS Table'!$AI251/340)*100</f>
        <v>40</v>
      </c>
      <c r="AL251" s="186">
        <f>('LCFS Table'!$AJ251/340)*100</f>
        <v>32.352941176470587</v>
      </c>
      <c r="AM251" s="139">
        <v>105</v>
      </c>
      <c r="AN251" s="139">
        <v>90</v>
      </c>
      <c r="AO251" s="139">
        <f>('LCFS Table'!$AM251/300)*100</f>
        <v>35</v>
      </c>
      <c r="AP251" s="139">
        <f>('LCFS Table'!$AN251/300)*100</f>
        <v>30</v>
      </c>
      <c r="AQ251" s="140">
        <f>'[1]LCFS Values'!$B250</f>
        <v>74.5</v>
      </c>
      <c r="AR251" s="140">
        <f>'[1]RIN Values'!$B250/100</f>
        <v>0.95400000000000007</v>
      </c>
      <c r="AS251" s="185">
        <v>0.60718687980288955</v>
      </c>
      <c r="AT251" s="137">
        <v>0.16</v>
      </c>
      <c r="AU251" s="137">
        <v>1</v>
      </c>
      <c r="AV251" s="185">
        <f>'LCFS Table'!$AR251*1.7</f>
        <v>1.6218000000000001</v>
      </c>
      <c r="AW251" s="137">
        <v>0</v>
      </c>
      <c r="AX251" s="185">
        <v>0.40426888041250003</v>
      </c>
      <c r="AY251" s="137">
        <v>0</v>
      </c>
      <c r="AZ251" s="141">
        <v>1</v>
      </c>
      <c r="BA251" s="185">
        <f>'LCFS Table'!$AR251*1.5</f>
        <v>1.431</v>
      </c>
      <c r="BB251" s="142">
        <v>1.2</v>
      </c>
      <c r="BC251" s="185">
        <f>'LCFS Table'!$AS251*'LCFS Table'!$BW251</f>
        <v>0.60718687980288955</v>
      </c>
      <c r="BD251" s="185">
        <f>'LCFS Table'!$AT251*'LCFS Table'!$BX251</f>
        <v>0</v>
      </c>
      <c r="BE251" s="185">
        <f>'LCFS Table'!$AU251*'LCFS Table'!$BY251</f>
        <v>1</v>
      </c>
      <c r="BF251" s="137">
        <f>'LCFS Table'!$AV251*'LCFS Table'!$BZ251</f>
        <v>1.6218000000000001</v>
      </c>
      <c r="BG251" s="137">
        <f>'LCFS Table'!$AW251*'LCFS Table'!$CA251</f>
        <v>0</v>
      </c>
      <c r="BH251" s="137">
        <f>'LCFS Table'!$AX251*'LCFS Table'!$CB251</f>
        <v>0.40426888041250003</v>
      </c>
      <c r="BI251" s="137">
        <f>'LCFS Table'!$AY251*'LCFS Table'!$CC251</f>
        <v>0</v>
      </c>
      <c r="BJ251" s="137">
        <f>'LCFS Table'!$AZ251*'LCFS Table'!$CD251</f>
        <v>1</v>
      </c>
      <c r="BK251" s="137">
        <f>'LCFS Table'!$BA251*'LCFS Table'!$CE251</f>
        <v>1.431</v>
      </c>
      <c r="BL251" s="137">
        <f>'LCFS Table'!$BB251*'LCFS Table'!$CF251</f>
        <v>-1.2</v>
      </c>
      <c r="BM251" s="137">
        <f>'LCFS Table'!$AS251*'LCFS Table'!$CG251</f>
        <v>0</v>
      </c>
      <c r="BN251" s="137">
        <f>'LCFS Table'!$AT251*'LCFS Table'!$CH251</f>
        <v>0.16</v>
      </c>
      <c r="BO251" s="137">
        <f>'LCFS Table'!$AU251*'LCFS Table'!$CI251</f>
        <v>0</v>
      </c>
      <c r="BP251" s="137">
        <f>'LCFS Table'!$AV251*'LCFS Table'!$CJ251</f>
        <v>0</v>
      </c>
      <c r="BQ251" s="137">
        <f>'LCFS Table'!$AW251*'LCFS Table'!$CK251</f>
        <v>0</v>
      </c>
      <c r="BR251" s="137">
        <f>'LCFS Table'!$AX251*'LCFS Table'!$CL251</f>
        <v>0</v>
      </c>
      <c r="BS251" s="137">
        <f>'LCFS Table'!$AY251*'LCFS Table'!$CM251</f>
        <v>0</v>
      </c>
      <c r="BT251" s="137">
        <f>'LCFS Table'!$AZ251*'LCFS Table'!$CN251</f>
        <v>0</v>
      </c>
      <c r="BU251" s="137">
        <f>'LCFS Table'!$BA251*'LCFS Table'!$CO251</f>
        <v>0</v>
      </c>
      <c r="BV251" s="142">
        <f>'LCFS Table'!$BB251*'LCFS Table'!$CP251</f>
        <v>1.2</v>
      </c>
      <c r="BW251" s="138">
        <v>1</v>
      </c>
      <c r="BX251" s="138">
        <v>0</v>
      </c>
      <c r="BY251" s="138">
        <v>1</v>
      </c>
      <c r="BZ251" s="138">
        <v>1</v>
      </c>
      <c r="CA251" s="138">
        <v>-1</v>
      </c>
      <c r="CB251" s="138">
        <v>1</v>
      </c>
      <c r="CC251" s="138">
        <v>0</v>
      </c>
      <c r="CD251" s="138">
        <v>1</v>
      </c>
      <c r="CE251" s="138">
        <v>1</v>
      </c>
      <c r="CF251" s="138">
        <v>-1</v>
      </c>
      <c r="CG251" s="138">
        <f>1-'LCFS Table'!$BW251</f>
        <v>0</v>
      </c>
      <c r="CH251" s="138">
        <f>1-'LCFS Table'!$BX251</f>
        <v>1</v>
      </c>
      <c r="CI251" s="138">
        <f>1-'LCFS Table'!$BY251</f>
        <v>0</v>
      </c>
      <c r="CJ251" s="138">
        <f>1-'LCFS Table'!$BZ251</f>
        <v>0</v>
      </c>
      <c r="CK251" s="138">
        <f>-'LCFS Table'!$CA251</f>
        <v>1</v>
      </c>
      <c r="CL251" s="138">
        <f>1-'LCFS Table'!$CB251</f>
        <v>0</v>
      </c>
      <c r="CM251" s="138">
        <f>1-'LCFS Table'!$CC251</f>
        <v>1</v>
      </c>
      <c r="CN251" s="138">
        <f>1-'LCFS Table'!$CD251</f>
        <v>0</v>
      </c>
      <c r="CO251" s="138">
        <f>1-'LCFS Table'!$CE251</f>
        <v>0</v>
      </c>
      <c r="CP251" s="138">
        <f>-'LCFS Table'!$CF251</f>
        <v>1</v>
      </c>
      <c r="CQ251" s="140">
        <v>6.25</v>
      </c>
      <c r="CR251" s="165">
        <f>('LCFS Table'!$CQ251*0.9/(0.8/0.99)/100)</f>
        <v>6.9609374999999987E-2</v>
      </c>
      <c r="CS251" s="166"/>
      <c r="CT251" s="167"/>
      <c r="CW251" s="168">
        <f>'LCFS Table'!$K251-'LCFS Table'!$M251</f>
        <v>0.11406888041250074</v>
      </c>
      <c r="CX251" s="129">
        <f>MONTH('LCFS Table'!$B251)</f>
        <v>10</v>
      </c>
      <c r="CY251" s="129">
        <f>YEAR('LCFS Table'!$B251)</f>
        <v>2023</v>
      </c>
    </row>
    <row r="252" spans="1:103">
      <c r="A252" s="148">
        <v>45207</v>
      </c>
      <c r="B252" s="149">
        <v>45213</v>
      </c>
      <c r="C252" s="132">
        <f t="shared" si="4"/>
        <v>2023</v>
      </c>
      <c r="D252" s="150" t="s">
        <v>297</v>
      </c>
      <c r="E252" s="187">
        <f>'LCFS Table'!$K252-'LCFS Table'!$I252</f>
        <v>-1.7443262202753447</v>
      </c>
      <c r="F252" s="187">
        <f>('LCFS Table'!$M252)-'LCFS Table'!$J252</f>
        <v>-2.2773074386725005</v>
      </c>
      <c r="G252" s="188">
        <f>'LCFS Table'!$E252+'LCFS Table'!$AS252+'LCFS Table'!$AT252+'LCFS Table'!$AU252+'LCFS Table'!$AV252</f>
        <v>1.4037400535778672</v>
      </c>
      <c r="H252" s="188">
        <f>'LCFS Table'!$F252+'LCFS Table'!$AX252+'LCFS Table'!$AY252+'LCFS Table'!$AZ252+'LCFS Table'!$BA252+('LCFS Table'!$CQ252*0.9/(0.8/0.99)/100)+(DG252*'LCFS Table'!$AF252)+(DF252*'LCFS Table'!$AG252)</f>
        <v>0.42866132812499969</v>
      </c>
      <c r="I252" s="187">
        <f>('LCFS Table'!$V252+'LCFS Table'!$W252+'LCFS Table'!$X252)/100+(('LCFS Table'!$AI252+'LCFS Table'!$AJ252)/340)</f>
        <v>4.9997262202753445</v>
      </c>
      <c r="J252" s="187">
        <f>(('LCFS Table'!$Y252+'LCFS Table'!$Z252)/100)+(('LCFS Table'!$AM252+'LCFS Table'!$AN252)/300)</f>
        <v>5.5979089843750005</v>
      </c>
      <c r="K252" s="190">
        <f>'[1]Fuel Values'!$C251</f>
        <v>3.2553999999999998</v>
      </c>
      <c r="L252" s="190">
        <f>'[1]Fuel Values'!$B251</f>
        <v>595</v>
      </c>
      <c r="M252" s="185">
        <f>('LCFS Table'!$L252/100)-'LCFS Table'!$AX252-'LCFS Table'!$AY252-'LCFS Table'!$AZ252-'LCFS Table'!$BA252</f>
        <v>3.3206015457025</v>
      </c>
      <c r="N252" s="190">
        <f>[1]BFT!$B251</f>
        <v>61.8</v>
      </c>
      <c r="O252" s="190">
        <f>[1]UCO!$B251</f>
        <v>52</v>
      </c>
      <c r="P252" s="190">
        <f>[1]DCO!$B251</f>
        <v>59.4</v>
      </c>
      <c r="Q252" s="190">
        <f>'[1]Soybean Oil'!$B251</f>
        <v>65.525999999999996</v>
      </c>
      <c r="R252" s="190">
        <f>'[1]Yellow Grease'!$B251</f>
        <v>48.8</v>
      </c>
      <c r="S252" s="185">
        <f>'LCFS Table'!$N252 + 'LCFS Table'!$AH252</f>
        <v>66.174999999999997</v>
      </c>
      <c r="T252" s="185">
        <f>'LCFS Table'!$Q252+'LCFS Table'!$AH252</f>
        <v>69.900999999999996</v>
      </c>
      <c r="U252" s="185">
        <f>'LCFS Table'!$P252+'LCFS Table'!$AH252</f>
        <v>63.774999999999999</v>
      </c>
      <c r="V252" s="185">
        <f>(('LCFS Table'!$S252/'LCFS Table'!$AA252)*'LCFS Table'!$AC252)*6.48</f>
        <v>228.09255319148937</v>
      </c>
      <c r="W252" s="185">
        <f>(('LCFS Table'!$O252/'LCFS Table'!$AA252)*'LCFS Table'!$AD252)*6.48</f>
        <v>89.61702127659575</v>
      </c>
      <c r="X252" s="185">
        <f>(('LCFS Table'!$U252/'LCFS Table'!$AA252)*'LCFS Table'!$AE252)*6.48</f>
        <v>109.91010638297874</v>
      </c>
      <c r="Y252" s="185">
        <f>(('LCFS Table'!$T252/'LCFS Table'!$AB252)*'LCFS Table'!$AF252)*7.35</f>
        <v>401.3846484375</v>
      </c>
      <c r="Z252" s="185">
        <f>(('LCFS Table'!$R252/'LCFS Table'!$AB252)*'LCFS Table'!$AG252)*7.35</f>
        <v>93.40625</v>
      </c>
      <c r="AA252" s="138">
        <v>0.94</v>
      </c>
      <c r="AB252" s="138">
        <v>0.96</v>
      </c>
      <c r="AC252" s="138">
        <v>0.5</v>
      </c>
      <c r="AD252" s="138">
        <v>0.25</v>
      </c>
      <c r="AE252" s="138">
        <v>0.25</v>
      </c>
      <c r="AF252" s="138">
        <v>0.75</v>
      </c>
      <c r="AG252" s="138">
        <v>0.25</v>
      </c>
      <c r="AH252" s="139">
        <v>4.375</v>
      </c>
      <c r="AI252" s="139">
        <v>136</v>
      </c>
      <c r="AJ252" s="139">
        <v>110</v>
      </c>
      <c r="AK252" s="186">
        <f>('LCFS Table'!$AI252/340)*100</f>
        <v>40</v>
      </c>
      <c r="AL252" s="186">
        <f>('LCFS Table'!$AJ252/340)*100</f>
        <v>32.352941176470587</v>
      </c>
      <c r="AM252" s="139">
        <v>105</v>
      </c>
      <c r="AN252" s="139">
        <v>90</v>
      </c>
      <c r="AO252" s="139">
        <f>('LCFS Table'!$AM252/300)*100</f>
        <v>35</v>
      </c>
      <c r="AP252" s="139">
        <f>('LCFS Table'!$AN252/300)*100</f>
        <v>30</v>
      </c>
      <c r="AQ252" s="140">
        <f>'[1]LCFS Values'!$B251</f>
        <v>70.7</v>
      </c>
      <c r="AR252" s="140">
        <f>'[1]RIN Values'!$B251/100</f>
        <v>0.83050000000000002</v>
      </c>
      <c r="AS252" s="185">
        <v>0.57621627385321195</v>
      </c>
      <c r="AT252" s="137">
        <v>0.16</v>
      </c>
      <c r="AU252" s="137">
        <v>1</v>
      </c>
      <c r="AV252" s="185">
        <f>'LCFS Table'!$AR252*1.7</f>
        <v>1.41185</v>
      </c>
      <c r="AW252" s="137">
        <v>0</v>
      </c>
      <c r="AX252" s="185">
        <v>0.38364845429750005</v>
      </c>
      <c r="AY252" s="137">
        <v>0</v>
      </c>
      <c r="AZ252" s="141">
        <v>1</v>
      </c>
      <c r="BA252" s="185">
        <f>'LCFS Table'!$AR252*1.5</f>
        <v>1.2457500000000001</v>
      </c>
      <c r="BB252" s="142">
        <v>1.2</v>
      </c>
      <c r="BC252" s="185">
        <f>'LCFS Table'!$AS252*'LCFS Table'!$BW252</f>
        <v>0.57621627385321195</v>
      </c>
      <c r="BD252" s="185">
        <f>'LCFS Table'!$AT252*'LCFS Table'!$BX252</f>
        <v>0</v>
      </c>
      <c r="BE252" s="185">
        <f>'LCFS Table'!$AU252*'LCFS Table'!$BY252</f>
        <v>1</v>
      </c>
      <c r="BF252" s="137">
        <f>'LCFS Table'!$AV252*'LCFS Table'!$BZ252</f>
        <v>1.41185</v>
      </c>
      <c r="BG252" s="137">
        <f>'LCFS Table'!$AW252*'LCFS Table'!$CA252</f>
        <v>0</v>
      </c>
      <c r="BH252" s="137">
        <f>'LCFS Table'!$AX252*'LCFS Table'!$CB252</f>
        <v>0.38364845429750005</v>
      </c>
      <c r="BI252" s="137">
        <f>'LCFS Table'!$AY252*'LCFS Table'!$CC252</f>
        <v>0</v>
      </c>
      <c r="BJ252" s="137">
        <f>'LCFS Table'!$AZ252*'LCFS Table'!$CD252</f>
        <v>1</v>
      </c>
      <c r="BK252" s="137">
        <f>'LCFS Table'!$BA252*'LCFS Table'!$CE252</f>
        <v>1.2457500000000001</v>
      </c>
      <c r="BL252" s="137">
        <f>'LCFS Table'!$BB252*'LCFS Table'!$CF252</f>
        <v>-1.2</v>
      </c>
      <c r="BM252" s="137">
        <f>'LCFS Table'!$AS252*'LCFS Table'!$CG252</f>
        <v>0</v>
      </c>
      <c r="BN252" s="137">
        <f>'LCFS Table'!$AT252*'LCFS Table'!$CH252</f>
        <v>0.16</v>
      </c>
      <c r="BO252" s="137">
        <f>'LCFS Table'!$AU252*'LCFS Table'!$CI252</f>
        <v>0</v>
      </c>
      <c r="BP252" s="137">
        <f>'LCFS Table'!$AV252*'LCFS Table'!$CJ252</f>
        <v>0</v>
      </c>
      <c r="BQ252" s="137">
        <f>'LCFS Table'!$AW252*'LCFS Table'!$CK252</f>
        <v>0</v>
      </c>
      <c r="BR252" s="137">
        <f>'LCFS Table'!$AX252*'LCFS Table'!$CL252</f>
        <v>0</v>
      </c>
      <c r="BS252" s="137">
        <f>'LCFS Table'!$AY252*'LCFS Table'!$CM252</f>
        <v>0</v>
      </c>
      <c r="BT252" s="137">
        <f>'LCFS Table'!$AZ252*'LCFS Table'!$CN252</f>
        <v>0</v>
      </c>
      <c r="BU252" s="137">
        <f>'LCFS Table'!$BA252*'LCFS Table'!$CO252</f>
        <v>0</v>
      </c>
      <c r="BV252" s="142">
        <f>'LCFS Table'!$BB252*'LCFS Table'!$CP252</f>
        <v>1.2</v>
      </c>
      <c r="BW252" s="138">
        <v>1</v>
      </c>
      <c r="BX252" s="138">
        <v>0</v>
      </c>
      <c r="BY252" s="138">
        <v>1</v>
      </c>
      <c r="BZ252" s="138">
        <v>1</v>
      </c>
      <c r="CA252" s="138">
        <v>-1</v>
      </c>
      <c r="CB252" s="138">
        <v>1</v>
      </c>
      <c r="CC252" s="138">
        <v>0</v>
      </c>
      <c r="CD252" s="138">
        <v>1</v>
      </c>
      <c r="CE252" s="138">
        <v>1</v>
      </c>
      <c r="CF252" s="138">
        <v>-1</v>
      </c>
      <c r="CG252" s="138">
        <f>1-'LCFS Table'!$BW252</f>
        <v>0</v>
      </c>
      <c r="CH252" s="138">
        <f>1-'LCFS Table'!$BX252</f>
        <v>1</v>
      </c>
      <c r="CI252" s="138">
        <f>1-'LCFS Table'!$BY252</f>
        <v>0</v>
      </c>
      <c r="CJ252" s="138">
        <f>1-'LCFS Table'!$BZ252</f>
        <v>0</v>
      </c>
      <c r="CK252" s="138">
        <f>-'LCFS Table'!$CA252</f>
        <v>1</v>
      </c>
      <c r="CL252" s="138">
        <f>1-'LCFS Table'!$CB252</f>
        <v>0</v>
      </c>
      <c r="CM252" s="138">
        <f>1-'LCFS Table'!$CC252</f>
        <v>1</v>
      </c>
      <c r="CN252" s="138">
        <f>1-'LCFS Table'!$CD252</f>
        <v>0</v>
      </c>
      <c r="CO252" s="138">
        <f>1-'LCFS Table'!$CE252</f>
        <v>0</v>
      </c>
      <c r="CP252" s="138">
        <f>-'LCFS Table'!$CF252</f>
        <v>1</v>
      </c>
      <c r="CQ252" s="140">
        <v>6.875</v>
      </c>
      <c r="CR252" s="165">
        <f>('LCFS Table'!$CQ252*0.9/(0.8/0.99)/100)</f>
        <v>7.6570312499999987E-2</v>
      </c>
      <c r="CS252" s="166"/>
      <c r="CT252" s="167"/>
      <c r="CW252" s="168">
        <f>'LCFS Table'!$K252-'LCFS Table'!$M252</f>
        <v>-6.5201545702500141E-2</v>
      </c>
      <c r="CX252" s="129">
        <f>MONTH('LCFS Table'!$B252)</f>
        <v>10</v>
      </c>
      <c r="CY252" s="129">
        <f>YEAR('LCFS Table'!$B252)</f>
        <v>2023</v>
      </c>
    </row>
    <row r="253" spans="1:103">
      <c r="A253" s="148">
        <v>45214</v>
      </c>
      <c r="B253" s="149">
        <v>45220</v>
      </c>
      <c r="C253" s="132">
        <f t="shared" si="4"/>
        <v>2023</v>
      </c>
      <c r="D253" s="150" t="s">
        <v>298</v>
      </c>
      <c r="E253" s="187">
        <f>'LCFS Table'!$K253-'LCFS Table'!$I253</f>
        <v>-1.5112921777221526</v>
      </c>
      <c r="F253" s="187">
        <f>('LCFS Table'!$M253)-'LCFS Table'!$J253</f>
        <v>-2.497224574605001</v>
      </c>
      <c r="G253" s="188">
        <f>'LCFS Table'!$E253+'LCFS Table'!$AS253+'LCFS Table'!$AT253+'LCFS Table'!$AU253+'LCFS Table'!$AV253</f>
        <v>1.7407086018036908</v>
      </c>
      <c r="H253" s="188">
        <f>'LCFS Table'!$F253+'LCFS Table'!$AX253+'LCFS Table'!$AY253+'LCFS Table'!$AZ253+'LCFS Table'!$BA253+('LCFS Table'!$CQ253*0.9/(0.8/0.99)/100)+(DG253*'LCFS Table'!$AF253)+(DF253*'LCFS Table'!$AG253)</f>
        <v>0.3059222656249988</v>
      </c>
      <c r="I253" s="187">
        <f>('LCFS Table'!$V253+'LCFS Table'!$W253+'LCFS Table'!$X253)/100+(('LCFS Table'!$AI253+'LCFS Table'!$AJ253)/340)</f>
        <v>4.7394921777221528</v>
      </c>
      <c r="J253" s="187">
        <f>(('LCFS Table'!$Y253+'LCFS Table'!$Z253)/100)+(('LCFS Table'!$AM253+'LCFS Table'!$AN253)/300)</f>
        <v>5.6206480468750009</v>
      </c>
      <c r="K253" s="190">
        <f>'[1]Fuel Values'!$C252</f>
        <v>3.2282000000000002</v>
      </c>
      <c r="L253" s="190">
        <f>'[1]Fuel Values'!$B252</f>
        <v>585</v>
      </c>
      <c r="M253" s="185">
        <f>('LCFS Table'!$L253/100)-'LCFS Table'!$AX253-'LCFS Table'!$AY253-'LCFS Table'!$AZ253-'LCFS Table'!$BA253</f>
        <v>3.1234234722699998</v>
      </c>
      <c r="N253" s="190">
        <f>[1]BFT!$B252</f>
        <v>56.8</v>
      </c>
      <c r="O253" s="190">
        <f>[1]UCO!$B252</f>
        <v>49</v>
      </c>
      <c r="P253" s="190">
        <f>[1]DCO!$B252</f>
        <v>57.3</v>
      </c>
      <c r="Q253" s="190">
        <f>'[1]Soybean Oil'!$B252</f>
        <v>66.522000000000006</v>
      </c>
      <c r="R253" s="190">
        <f>'[1]Yellow Grease'!$B252</f>
        <v>47</v>
      </c>
      <c r="S253" s="185">
        <f>'LCFS Table'!$N253 + 'LCFS Table'!$AH253</f>
        <v>61.174999999999997</v>
      </c>
      <c r="T253" s="185">
        <f>'LCFS Table'!$Q253+'LCFS Table'!$AH253</f>
        <v>70.897000000000006</v>
      </c>
      <c r="U253" s="185">
        <f>'LCFS Table'!$P253+'LCFS Table'!$AH253</f>
        <v>61.674999999999997</v>
      </c>
      <c r="V253" s="185">
        <f>(('LCFS Table'!$S253/'LCFS Table'!$AA253)*'LCFS Table'!$AC253)*6.48</f>
        <v>210.8585106382979</v>
      </c>
      <c r="W253" s="185">
        <f>(('LCFS Table'!$O253/'LCFS Table'!$AA253)*'LCFS Table'!$AD253)*6.48</f>
        <v>84.446808510638306</v>
      </c>
      <c r="X253" s="185">
        <f>(('LCFS Table'!$U253/'LCFS Table'!$AA253)*'LCFS Table'!$AE253)*6.48</f>
        <v>106.29095744680851</v>
      </c>
      <c r="Y253" s="185">
        <f>(('LCFS Table'!$T253/'LCFS Table'!$AB253)*'LCFS Table'!$AF253)*7.35</f>
        <v>407.10386718750004</v>
      </c>
      <c r="Z253" s="185">
        <f>(('LCFS Table'!$R253/'LCFS Table'!$AB253)*'LCFS Table'!$AG253)*7.35</f>
        <v>89.9609375</v>
      </c>
      <c r="AA253" s="138">
        <v>0.94</v>
      </c>
      <c r="AB253" s="138">
        <v>0.96</v>
      </c>
      <c r="AC253" s="138">
        <v>0.5</v>
      </c>
      <c r="AD253" s="138">
        <v>0.25</v>
      </c>
      <c r="AE253" s="138">
        <v>0.25</v>
      </c>
      <c r="AF253" s="138">
        <v>0.75</v>
      </c>
      <c r="AG253" s="138">
        <v>0.25</v>
      </c>
      <c r="AH253" s="139">
        <v>4.375</v>
      </c>
      <c r="AI253" s="139">
        <v>136</v>
      </c>
      <c r="AJ253" s="139">
        <v>110</v>
      </c>
      <c r="AK253" s="186">
        <f>('LCFS Table'!$AI253/340)*100</f>
        <v>40</v>
      </c>
      <c r="AL253" s="186">
        <f>('LCFS Table'!$AJ253/340)*100</f>
        <v>32.352941176470587</v>
      </c>
      <c r="AM253" s="139">
        <v>105</v>
      </c>
      <c r="AN253" s="139">
        <v>90</v>
      </c>
      <c r="AO253" s="139">
        <f>('LCFS Table'!$AM253/300)*100</f>
        <v>35</v>
      </c>
      <c r="AP253" s="139">
        <f>('LCFS Table'!$AN253/300)*100</f>
        <v>30</v>
      </c>
      <c r="AQ253" s="140">
        <f>'[1]LCFS Values'!$B252</f>
        <v>67.599999999999994</v>
      </c>
      <c r="AR253" s="140">
        <f>'[1]RIN Values'!$B252/100</f>
        <v>0.90650000000000008</v>
      </c>
      <c r="AS253" s="185">
        <v>0.55095077952584337</v>
      </c>
      <c r="AT253" s="137">
        <v>0.16</v>
      </c>
      <c r="AU253" s="137">
        <v>1</v>
      </c>
      <c r="AV253" s="185">
        <f>'LCFS Table'!$AR253*1.7</f>
        <v>1.54105</v>
      </c>
      <c r="AW253" s="137">
        <v>0</v>
      </c>
      <c r="AX253" s="185">
        <v>0.36682652773000002</v>
      </c>
      <c r="AY253" s="137">
        <v>0</v>
      </c>
      <c r="AZ253" s="141">
        <v>1</v>
      </c>
      <c r="BA253" s="185">
        <f>'LCFS Table'!$AR253*1.5</f>
        <v>1.35975</v>
      </c>
      <c r="BB253" s="142">
        <v>1.2</v>
      </c>
      <c r="BC253" s="185">
        <f>'LCFS Table'!$AS253*'LCFS Table'!$BW253</f>
        <v>0.55095077952584337</v>
      </c>
      <c r="BD253" s="185">
        <f>'LCFS Table'!$AT253*'LCFS Table'!$BX253</f>
        <v>0</v>
      </c>
      <c r="BE253" s="185">
        <f>'LCFS Table'!$AU253*'LCFS Table'!$BY253</f>
        <v>1</v>
      </c>
      <c r="BF253" s="137">
        <f>'LCFS Table'!$AV253*'LCFS Table'!$BZ253</f>
        <v>1.54105</v>
      </c>
      <c r="BG253" s="137">
        <f>'LCFS Table'!$AW253*'LCFS Table'!$CA253</f>
        <v>0</v>
      </c>
      <c r="BH253" s="137">
        <f>'LCFS Table'!$AX253*'LCFS Table'!$CB253</f>
        <v>0.36682652773000002</v>
      </c>
      <c r="BI253" s="137">
        <f>'LCFS Table'!$AY253*'LCFS Table'!$CC253</f>
        <v>0</v>
      </c>
      <c r="BJ253" s="137">
        <f>'LCFS Table'!$AZ253*'LCFS Table'!$CD253</f>
        <v>1</v>
      </c>
      <c r="BK253" s="137">
        <f>'LCFS Table'!$BA253*'LCFS Table'!$CE253</f>
        <v>1.35975</v>
      </c>
      <c r="BL253" s="137">
        <f>'LCFS Table'!$BB253*'LCFS Table'!$CF253</f>
        <v>-1.2</v>
      </c>
      <c r="BM253" s="137">
        <f>'LCFS Table'!$AS253*'LCFS Table'!$CG253</f>
        <v>0</v>
      </c>
      <c r="BN253" s="137">
        <f>'LCFS Table'!$AT253*'LCFS Table'!$CH253</f>
        <v>0.16</v>
      </c>
      <c r="BO253" s="137">
        <f>'LCFS Table'!$AU253*'LCFS Table'!$CI253</f>
        <v>0</v>
      </c>
      <c r="BP253" s="137">
        <f>'LCFS Table'!$AV253*'LCFS Table'!$CJ253</f>
        <v>0</v>
      </c>
      <c r="BQ253" s="137">
        <f>'LCFS Table'!$AW253*'LCFS Table'!$CK253</f>
        <v>0</v>
      </c>
      <c r="BR253" s="137">
        <f>'LCFS Table'!$AX253*'LCFS Table'!$CL253</f>
        <v>0</v>
      </c>
      <c r="BS253" s="137">
        <f>'LCFS Table'!$AY253*'LCFS Table'!$CM253</f>
        <v>0</v>
      </c>
      <c r="BT253" s="137">
        <f>'LCFS Table'!$AZ253*'LCFS Table'!$CN253</f>
        <v>0</v>
      </c>
      <c r="BU253" s="137">
        <f>'LCFS Table'!$BA253*'LCFS Table'!$CO253</f>
        <v>0</v>
      </c>
      <c r="BV253" s="142">
        <f>'LCFS Table'!$BB253*'LCFS Table'!$CP253</f>
        <v>1.2</v>
      </c>
      <c r="BW253" s="138">
        <v>1</v>
      </c>
      <c r="BX253" s="138">
        <v>0</v>
      </c>
      <c r="BY253" s="138">
        <v>1</v>
      </c>
      <c r="BZ253" s="138">
        <v>1</v>
      </c>
      <c r="CA253" s="138">
        <v>-1</v>
      </c>
      <c r="CB253" s="138">
        <v>1</v>
      </c>
      <c r="CC253" s="138">
        <v>0</v>
      </c>
      <c r="CD253" s="138">
        <v>1</v>
      </c>
      <c r="CE253" s="138">
        <v>1</v>
      </c>
      <c r="CF253" s="138">
        <v>-1</v>
      </c>
      <c r="CG253" s="138">
        <f>1-'LCFS Table'!$BW253</f>
        <v>0</v>
      </c>
      <c r="CH253" s="138">
        <f>1-'LCFS Table'!$BX253</f>
        <v>1</v>
      </c>
      <c r="CI253" s="138">
        <f>1-'LCFS Table'!$BY253</f>
        <v>0</v>
      </c>
      <c r="CJ253" s="138">
        <f>1-'LCFS Table'!$BZ253</f>
        <v>0</v>
      </c>
      <c r="CK253" s="138">
        <f>-'LCFS Table'!$CA253</f>
        <v>1</v>
      </c>
      <c r="CL253" s="138">
        <f>1-'LCFS Table'!$CB253</f>
        <v>0</v>
      </c>
      <c r="CM253" s="138">
        <f>1-'LCFS Table'!$CC253</f>
        <v>1</v>
      </c>
      <c r="CN253" s="138">
        <f>1-'LCFS Table'!$CD253</f>
        <v>0</v>
      </c>
      <c r="CO253" s="138">
        <f>1-'LCFS Table'!$CE253</f>
        <v>0</v>
      </c>
      <c r="CP253" s="138">
        <f>-'LCFS Table'!$CF253</f>
        <v>1</v>
      </c>
      <c r="CQ253" s="140">
        <v>6.875</v>
      </c>
      <c r="CR253" s="165">
        <f>('LCFS Table'!$CQ253*0.9/(0.8/0.99)/100)</f>
        <v>7.6570312499999987E-2</v>
      </c>
      <c r="CS253" s="166"/>
      <c r="CT253" s="167"/>
      <c r="CW253" s="168">
        <f>'LCFS Table'!$K253-'LCFS Table'!$M253</f>
        <v>0.10477652773000035</v>
      </c>
      <c r="CX253" s="129">
        <f>MONTH('LCFS Table'!$B253)</f>
        <v>10</v>
      </c>
      <c r="CY253" s="129">
        <f>YEAR('LCFS Table'!$B253)</f>
        <v>2023</v>
      </c>
    </row>
    <row r="254" spans="1:103">
      <c r="A254" s="148">
        <v>45221</v>
      </c>
      <c r="B254" s="149">
        <v>45227</v>
      </c>
      <c r="C254" s="132">
        <f t="shared" si="4"/>
        <v>2023</v>
      </c>
      <c r="D254" s="150" t="s">
        <v>299</v>
      </c>
      <c r="E254" s="187">
        <f>'LCFS Table'!$K254-'LCFS Table'!$I254</f>
        <v>-1.5378283479349197</v>
      </c>
      <c r="F254" s="187">
        <f>('LCFS Table'!$M254)-'LCFS Table'!$J254</f>
        <v>-2.2274813419449995</v>
      </c>
      <c r="G254" s="188">
        <f>'LCFS Table'!$E254+'LCFS Table'!$AS254+'LCFS Table'!$AT254+'LCFS Table'!$AU254+'LCFS Table'!$AV254</f>
        <v>1.6611925591592769</v>
      </c>
      <c r="H254" s="188">
        <f>'LCFS Table'!$F254+'LCFS Table'!$AX254+'LCFS Table'!$AY254+'LCFS Table'!$AZ254+'LCFS Table'!$BA254+('LCFS Table'!$CQ254*0.9/(0.8/0.99)/100)+(DG254*'LCFS Table'!$AF254)+(DF254*'LCFS Table'!$AG254)</f>
        <v>0.53168320312500073</v>
      </c>
      <c r="I254" s="187">
        <f>('LCFS Table'!$V254+'LCFS Table'!$W254+'LCFS Table'!$X254)/100+(('LCFS Table'!$AI254+'LCFS Table'!$AJ254)/340)</f>
        <v>4.6059283479349196</v>
      </c>
      <c r="J254" s="187">
        <f>(('LCFS Table'!$Y254+'LCFS Table'!$Z254)/100)+(('LCFS Table'!$AM254+'LCFS Table'!$AN254)/300)</f>
        <v>5.3690636718749998</v>
      </c>
      <c r="K254" s="190">
        <f>'[1]Fuel Values'!$C253</f>
        <v>3.0680999999999998</v>
      </c>
      <c r="L254" s="190">
        <f>'[1]Fuel Values'!$B253</f>
        <v>582</v>
      </c>
      <c r="M254" s="185">
        <f>('LCFS Table'!$L254/100)-'LCFS Table'!$AX254-'LCFS Table'!$AY254-'LCFS Table'!$AZ254-'LCFS Table'!$BA254</f>
        <v>3.1415823299300003</v>
      </c>
      <c r="N254" s="190">
        <f>[1]BFT!$B253</f>
        <v>55.3</v>
      </c>
      <c r="O254" s="190">
        <f>[1]UCO!$B253</f>
        <v>46.7</v>
      </c>
      <c r="P254" s="190">
        <f>[1]DCO!$B253</f>
        <v>54.85</v>
      </c>
      <c r="Q254" s="190">
        <f>'[1]Soybean Oil'!$B253</f>
        <v>63.473999999999997</v>
      </c>
      <c r="R254" s="190">
        <f>'[1]Yellow Grease'!$B253</f>
        <v>43</v>
      </c>
      <c r="S254" s="185">
        <f>'LCFS Table'!$N254 + 'LCFS Table'!$AH254</f>
        <v>59.674999999999997</v>
      </c>
      <c r="T254" s="185">
        <f>'LCFS Table'!$Q254+'LCFS Table'!$AH254</f>
        <v>67.84899999999999</v>
      </c>
      <c r="U254" s="185">
        <f>'LCFS Table'!$P254+'LCFS Table'!$AH254</f>
        <v>59.225000000000001</v>
      </c>
      <c r="V254" s="185">
        <f>(('LCFS Table'!$S254/'LCFS Table'!$AA254)*'LCFS Table'!$AC254)*6.48</f>
        <v>205.68829787234046</v>
      </c>
      <c r="W254" s="185">
        <f>(('LCFS Table'!$O254/'LCFS Table'!$AA254)*'LCFS Table'!$AD254)*6.48</f>
        <v>80.482978723404273</v>
      </c>
      <c r="X254" s="185">
        <f>(('LCFS Table'!$U254/'LCFS Table'!$AA254)*'LCFS Table'!$AE254)*6.48</f>
        <v>102.06861702127661</v>
      </c>
      <c r="Y254" s="185">
        <f>(('LCFS Table'!$T254/'LCFS Table'!$AB254)*'LCFS Table'!$AF254)*7.35</f>
        <v>389.60167968749994</v>
      </c>
      <c r="Z254" s="185">
        <f>(('LCFS Table'!$R254/'LCFS Table'!$AB254)*'LCFS Table'!$AG254)*7.35</f>
        <v>82.3046875</v>
      </c>
      <c r="AA254" s="138">
        <v>0.94</v>
      </c>
      <c r="AB254" s="138">
        <v>0.96</v>
      </c>
      <c r="AC254" s="138">
        <v>0.5</v>
      </c>
      <c r="AD254" s="138">
        <v>0.25</v>
      </c>
      <c r="AE254" s="138">
        <v>0.25</v>
      </c>
      <c r="AF254" s="138">
        <v>0.75</v>
      </c>
      <c r="AG254" s="138">
        <v>0.25</v>
      </c>
      <c r="AH254" s="139">
        <v>4.375</v>
      </c>
      <c r="AI254" s="139">
        <v>136</v>
      </c>
      <c r="AJ254" s="139">
        <v>110</v>
      </c>
      <c r="AK254" s="186">
        <f>('LCFS Table'!$AI254/340)*100</f>
        <v>40</v>
      </c>
      <c r="AL254" s="186">
        <f>('LCFS Table'!$AJ254/340)*100</f>
        <v>32.352941176470587</v>
      </c>
      <c r="AM254" s="139">
        <v>105</v>
      </c>
      <c r="AN254" s="139">
        <v>90</v>
      </c>
      <c r="AO254" s="139">
        <f>('LCFS Table'!$AM254/300)*100</f>
        <v>35</v>
      </c>
      <c r="AP254" s="139">
        <f>('LCFS Table'!$AN254/300)*100</f>
        <v>30</v>
      </c>
      <c r="AQ254" s="140">
        <f>'[1]LCFS Values'!$B253</f>
        <v>68.400000000000006</v>
      </c>
      <c r="AR254" s="140">
        <f>'[1]RIN Values'!$B253/100</f>
        <v>0.87150000000000005</v>
      </c>
      <c r="AS254" s="185">
        <v>0.55747090709419655</v>
      </c>
      <c r="AT254" s="137">
        <v>0.16</v>
      </c>
      <c r="AU254" s="137">
        <v>1</v>
      </c>
      <c r="AV254" s="185">
        <f>'LCFS Table'!$AR254*1.7</f>
        <v>1.4815500000000001</v>
      </c>
      <c r="AW254" s="137">
        <v>0</v>
      </c>
      <c r="AX254" s="185">
        <v>0.37116767007000007</v>
      </c>
      <c r="AY254" s="137">
        <v>0</v>
      </c>
      <c r="AZ254" s="141">
        <v>1</v>
      </c>
      <c r="BA254" s="185">
        <f>'LCFS Table'!$AR254*1.5</f>
        <v>1.30725</v>
      </c>
      <c r="BB254" s="142">
        <v>1.2</v>
      </c>
      <c r="BC254" s="185">
        <f>'LCFS Table'!$AS254*'LCFS Table'!$BW254</f>
        <v>0.55747090709419655</v>
      </c>
      <c r="BD254" s="185">
        <f>'LCFS Table'!$AT254*'LCFS Table'!$BX254</f>
        <v>0</v>
      </c>
      <c r="BE254" s="185">
        <f>'LCFS Table'!$AU254*'LCFS Table'!$BY254</f>
        <v>1</v>
      </c>
      <c r="BF254" s="137">
        <f>'LCFS Table'!$AV254*'LCFS Table'!$BZ254</f>
        <v>1.4815500000000001</v>
      </c>
      <c r="BG254" s="137">
        <f>'LCFS Table'!$AW254*'LCFS Table'!$CA254</f>
        <v>0</v>
      </c>
      <c r="BH254" s="137">
        <f>'LCFS Table'!$AX254*'LCFS Table'!$CB254</f>
        <v>0.37116767007000007</v>
      </c>
      <c r="BI254" s="137">
        <f>'LCFS Table'!$AY254*'LCFS Table'!$CC254</f>
        <v>0</v>
      </c>
      <c r="BJ254" s="137">
        <f>'LCFS Table'!$AZ254*'LCFS Table'!$CD254</f>
        <v>1</v>
      </c>
      <c r="BK254" s="137">
        <f>'LCFS Table'!$BA254*'LCFS Table'!$CE254</f>
        <v>1.30725</v>
      </c>
      <c r="BL254" s="137">
        <f>'LCFS Table'!$BB254*'LCFS Table'!$CF254</f>
        <v>-1.2</v>
      </c>
      <c r="BM254" s="137">
        <f>'LCFS Table'!$AS254*'LCFS Table'!$CG254</f>
        <v>0</v>
      </c>
      <c r="BN254" s="137">
        <f>'LCFS Table'!$AT254*'LCFS Table'!$CH254</f>
        <v>0.16</v>
      </c>
      <c r="BO254" s="137">
        <f>'LCFS Table'!$AU254*'LCFS Table'!$CI254</f>
        <v>0</v>
      </c>
      <c r="BP254" s="137">
        <f>'LCFS Table'!$AV254*'LCFS Table'!$CJ254</f>
        <v>0</v>
      </c>
      <c r="BQ254" s="137">
        <f>'LCFS Table'!$AW254*'LCFS Table'!$CK254</f>
        <v>0</v>
      </c>
      <c r="BR254" s="137">
        <f>'LCFS Table'!$AX254*'LCFS Table'!$CL254</f>
        <v>0</v>
      </c>
      <c r="BS254" s="137">
        <f>'LCFS Table'!$AY254*'LCFS Table'!$CM254</f>
        <v>0</v>
      </c>
      <c r="BT254" s="137">
        <f>'LCFS Table'!$AZ254*'LCFS Table'!$CN254</f>
        <v>0</v>
      </c>
      <c r="BU254" s="137">
        <f>'LCFS Table'!$BA254*'LCFS Table'!$CO254</f>
        <v>0</v>
      </c>
      <c r="BV254" s="142">
        <f>'LCFS Table'!$BB254*'LCFS Table'!$CP254</f>
        <v>1.2</v>
      </c>
      <c r="BW254" s="138">
        <v>1</v>
      </c>
      <c r="BX254" s="138">
        <v>0</v>
      </c>
      <c r="BY254" s="138">
        <v>1</v>
      </c>
      <c r="BZ254" s="138">
        <v>1</v>
      </c>
      <c r="CA254" s="138">
        <v>-1</v>
      </c>
      <c r="CB254" s="138">
        <v>1</v>
      </c>
      <c r="CC254" s="138">
        <v>0</v>
      </c>
      <c r="CD254" s="138">
        <v>1</v>
      </c>
      <c r="CE254" s="138">
        <v>1</v>
      </c>
      <c r="CF254" s="138">
        <v>-1</v>
      </c>
      <c r="CG254" s="138">
        <f>1-'LCFS Table'!$BW254</f>
        <v>0</v>
      </c>
      <c r="CH254" s="138">
        <f>1-'LCFS Table'!$BX254</f>
        <v>1</v>
      </c>
      <c r="CI254" s="138">
        <f>1-'LCFS Table'!$BY254</f>
        <v>0</v>
      </c>
      <c r="CJ254" s="138">
        <f>1-'LCFS Table'!$BZ254</f>
        <v>0</v>
      </c>
      <c r="CK254" s="138">
        <f>-'LCFS Table'!$CA254</f>
        <v>1</v>
      </c>
      <c r="CL254" s="138">
        <f>1-'LCFS Table'!$CB254</f>
        <v>0</v>
      </c>
      <c r="CM254" s="138">
        <f>1-'LCFS Table'!$CC254</f>
        <v>1</v>
      </c>
      <c r="CN254" s="138">
        <f>1-'LCFS Table'!$CD254</f>
        <v>0</v>
      </c>
      <c r="CO254" s="138">
        <f>1-'LCFS Table'!$CE254</f>
        <v>0</v>
      </c>
      <c r="CP254" s="138">
        <f>-'LCFS Table'!$CF254</f>
        <v>1</v>
      </c>
      <c r="CQ254" s="140">
        <v>7.25</v>
      </c>
      <c r="CR254" s="165">
        <f>('LCFS Table'!$CQ254*0.9/(0.8/0.99)/100)</f>
        <v>8.0746874999999996E-2</v>
      </c>
      <c r="CS254" s="166"/>
      <c r="CT254" s="167"/>
      <c r="CW254" s="168">
        <f>'LCFS Table'!$K254-'LCFS Table'!$M254</f>
        <v>-7.3482329930000478E-2</v>
      </c>
      <c r="CX254" s="129">
        <f>MONTH('LCFS Table'!$B254)</f>
        <v>10</v>
      </c>
      <c r="CY254" s="129">
        <f>YEAR('LCFS Table'!$B254)</f>
        <v>2023</v>
      </c>
    </row>
    <row r="255" spans="1:103">
      <c r="A255" s="148">
        <v>45228</v>
      </c>
      <c r="B255" s="149">
        <v>45234</v>
      </c>
      <c r="C255" s="132">
        <f t="shared" si="4"/>
        <v>2023</v>
      </c>
      <c r="D255" s="150" t="s">
        <v>300</v>
      </c>
      <c r="E255" s="187">
        <f>'LCFS Table'!$K255-'LCFS Table'!$I255</f>
        <v>-1.480811326658324</v>
      </c>
      <c r="F255" s="187">
        <f>('LCFS Table'!$M255)-'LCFS Table'!$J255</f>
        <v>-2.1256810780350008</v>
      </c>
      <c r="G255" s="188">
        <f>'LCFS Table'!$E255+'LCFS Table'!$AS255+'LCFS Table'!$AT255+'LCFS Table'!$AU255+'LCFS Table'!$AV255</f>
        <v>1.6329297080042258</v>
      </c>
      <c r="H255" s="188">
        <f>'LCFS Table'!$F255+'LCFS Table'!$AX255+'LCFS Table'!$AY255+'LCFS Table'!$AZ255+'LCFS Table'!$BA255+('LCFS Table'!$CQ255*0.9/(0.8/0.99)/100)+(DG255*'LCFS Table'!$AF255)+(DF255*'LCFS Table'!$AG255)</f>
        <v>0.5551539843749993</v>
      </c>
      <c r="I255" s="187">
        <f>('LCFS Table'!$V255+'LCFS Table'!$W255+'LCFS Table'!$X255)/100+(('LCFS Table'!$AI255+'LCFS Table'!$AJ255)/340)</f>
        <v>4.4353113266583239</v>
      </c>
      <c r="J255" s="187">
        <f>(('LCFS Table'!$Y255+'LCFS Table'!$Z255)/100)+(('LCFS Table'!$AM255+'LCFS Table'!$AN255)/300)</f>
        <v>5.2439222656250006</v>
      </c>
      <c r="K255" s="190">
        <f>'[1]Fuel Values'!$C254</f>
        <v>2.9544999999999999</v>
      </c>
      <c r="L255" s="190">
        <f>'[1]Fuel Values'!$B254</f>
        <v>572</v>
      </c>
      <c r="M255" s="185">
        <f>('LCFS Table'!$L255/100)-'LCFS Table'!$AX255-'LCFS Table'!$AY255-'LCFS Table'!$AZ255-'LCFS Table'!$BA255</f>
        <v>3.1182411875899998</v>
      </c>
      <c r="N255" s="190">
        <f>[1]BFT!$B254</f>
        <v>52.5</v>
      </c>
      <c r="O255" s="190">
        <f>[1]UCO!$B254</f>
        <v>43</v>
      </c>
      <c r="P255" s="190">
        <f>[1]DCO!$B254</f>
        <v>54.25</v>
      </c>
      <c r="Q255" s="190">
        <f>'[1]Soybean Oil'!$B254</f>
        <v>62.328000000000003</v>
      </c>
      <c r="R255" s="190">
        <f>'[1]Yellow Grease'!$B254</f>
        <v>39.9</v>
      </c>
      <c r="S255" s="185">
        <f>'LCFS Table'!$N255 + 'LCFS Table'!$AH255</f>
        <v>56.875</v>
      </c>
      <c r="T255" s="185">
        <f>'LCFS Table'!$Q255+'LCFS Table'!$AH255</f>
        <v>66.703000000000003</v>
      </c>
      <c r="U255" s="185">
        <f>'LCFS Table'!$P255+'LCFS Table'!$AH255</f>
        <v>58.625</v>
      </c>
      <c r="V255" s="185">
        <f>(('LCFS Table'!$S255/'LCFS Table'!$AA255)*'LCFS Table'!$AC255)*6.48</f>
        <v>196.03723404255322</v>
      </c>
      <c r="W255" s="185">
        <f>(('LCFS Table'!$O255/'LCFS Table'!$AA255)*'LCFS Table'!$AD255)*6.48</f>
        <v>74.106382978723417</v>
      </c>
      <c r="X255" s="185">
        <f>(('LCFS Table'!$U255/'LCFS Table'!$AA255)*'LCFS Table'!$AE255)*6.48</f>
        <v>101.03457446808513</v>
      </c>
      <c r="Y255" s="185">
        <f>(('LCFS Table'!$T255/'LCFS Table'!$AB255)*'LCFS Table'!$AF255)*7.35</f>
        <v>383.02113281250001</v>
      </c>
      <c r="Z255" s="185">
        <f>(('LCFS Table'!$R255/'LCFS Table'!$AB255)*'LCFS Table'!$AG255)*7.35</f>
        <v>76.37109375</v>
      </c>
      <c r="AA255" s="138">
        <v>0.94</v>
      </c>
      <c r="AB255" s="138">
        <v>0.96</v>
      </c>
      <c r="AC255" s="138">
        <v>0.5</v>
      </c>
      <c r="AD255" s="138">
        <v>0.25</v>
      </c>
      <c r="AE255" s="138">
        <v>0.25</v>
      </c>
      <c r="AF255" s="138">
        <v>0.75</v>
      </c>
      <c r="AG255" s="138">
        <v>0.25</v>
      </c>
      <c r="AH255" s="139">
        <v>4.375</v>
      </c>
      <c r="AI255" s="139">
        <v>136</v>
      </c>
      <c r="AJ255" s="139">
        <v>110</v>
      </c>
      <c r="AK255" s="186">
        <f>('LCFS Table'!$AI255/340)*100</f>
        <v>40</v>
      </c>
      <c r="AL255" s="186">
        <f>('LCFS Table'!$AJ255/340)*100</f>
        <v>32.352941176470587</v>
      </c>
      <c r="AM255" s="139">
        <v>105</v>
      </c>
      <c r="AN255" s="139">
        <v>90</v>
      </c>
      <c r="AO255" s="139">
        <f>('LCFS Table'!$AM255/300)*100</f>
        <v>35</v>
      </c>
      <c r="AP255" s="139">
        <f>('LCFS Table'!$AN255/300)*100</f>
        <v>30</v>
      </c>
      <c r="AQ255" s="140">
        <f>'[1]LCFS Values'!$B254</f>
        <v>69.2</v>
      </c>
      <c r="AR255" s="140">
        <f>'[1]RIN Values'!$B254/100</f>
        <v>0.8175</v>
      </c>
      <c r="AS255" s="185">
        <v>0.56399103466254974</v>
      </c>
      <c r="AT255" s="137">
        <v>0.16</v>
      </c>
      <c r="AU255" s="137">
        <v>1</v>
      </c>
      <c r="AV255" s="185">
        <f>'LCFS Table'!$AR255*1.7</f>
        <v>1.38975</v>
      </c>
      <c r="AW255" s="137">
        <v>0</v>
      </c>
      <c r="AX255" s="185">
        <v>0.37550881241</v>
      </c>
      <c r="AY255" s="137">
        <v>0</v>
      </c>
      <c r="AZ255" s="141">
        <v>1</v>
      </c>
      <c r="BA255" s="185">
        <f>'LCFS Table'!$AR255*1.5</f>
        <v>1.2262500000000001</v>
      </c>
      <c r="BB255" s="142">
        <v>1.2</v>
      </c>
      <c r="BC255" s="185">
        <f>'LCFS Table'!$AS255*'LCFS Table'!$BW255</f>
        <v>0.56399103466254974</v>
      </c>
      <c r="BD255" s="185">
        <f>'LCFS Table'!$AT255*'LCFS Table'!$BX255</f>
        <v>0</v>
      </c>
      <c r="BE255" s="185">
        <f>'LCFS Table'!$AU255*'LCFS Table'!$BY255</f>
        <v>1</v>
      </c>
      <c r="BF255" s="137">
        <f>'LCFS Table'!$AV255*'LCFS Table'!$BZ255</f>
        <v>1.38975</v>
      </c>
      <c r="BG255" s="137">
        <f>'LCFS Table'!$AW255*'LCFS Table'!$CA255</f>
        <v>0</v>
      </c>
      <c r="BH255" s="137">
        <f>'LCFS Table'!$AX255*'LCFS Table'!$CB255</f>
        <v>0.37550881241</v>
      </c>
      <c r="BI255" s="137">
        <f>'LCFS Table'!$AY255*'LCFS Table'!$CC255</f>
        <v>0</v>
      </c>
      <c r="BJ255" s="137">
        <f>'LCFS Table'!$AZ255*'LCFS Table'!$CD255</f>
        <v>1</v>
      </c>
      <c r="BK255" s="137">
        <f>'LCFS Table'!$BA255*'LCFS Table'!$CE255</f>
        <v>1.2262500000000001</v>
      </c>
      <c r="BL255" s="137">
        <f>'LCFS Table'!$BB255*'LCFS Table'!$CF255</f>
        <v>-1.2</v>
      </c>
      <c r="BM255" s="137">
        <f>'LCFS Table'!$AS255*'LCFS Table'!$CG255</f>
        <v>0</v>
      </c>
      <c r="BN255" s="137">
        <f>'LCFS Table'!$AT255*'LCFS Table'!$CH255</f>
        <v>0.16</v>
      </c>
      <c r="BO255" s="137">
        <f>'LCFS Table'!$AU255*'LCFS Table'!$CI255</f>
        <v>0</v>
      </c>
      <c r="BP255" s="137">
        <f>'LCFS Table'!$AV255*'LCFS Table'!$CJ255</f>
        <v>0</v>
      </c>
      <c r="BQ255" s="137">
        <f>'LCFS Table'!$AW255*'LCFS Table'!$CK255</f>
        <v>0</v>
      </c>
      <c r="BR255" s="137">
        <f>'LCFS Table'!$AX255*'LCFS Table'!$CL255</f>
        <v>0</v>
      </c>
      <c r="BS255" s="137">
        <f>'LCFS Table'!$AY255*'LCFS Table'!$CM255</f>
        <v>0</v>
      </c>
      <c r="BT255" s="137">
        <f>'LCFS Table'!$AZ255*'LCFS Table'!$CN255</f>
        <v>0</v>
      </c>
      <c r="BU255" s="137">
        <f>'LCFS Table'!$BA255*'LCFS Table'!$CO255</f>
        <v>0</v>
      </c>
      <c r="BV255" s="142">
        <f>'LCFS Table'!$BB255*'LCFS Table'!$CP255</f>
        <v>1.2</v>
      </c>
      <c r="BW255" s="138">
        <v>1</v>
      </c>
      <c r="BX255" s="138">
        <v>0</v>
      </c>
      <c r="BY255" s="138">
        <v>1</v>
      </c>
      <c r="BZ255" s="138">
        <v>1</v>
      </c>
      <c r="CA255" s="138">
        <v>-1</v>
      </c>
      <c r="CB255" s="138">
        <v>1</v>
      </c>
      <c r="CC255" s="138">
        <v>0</v>
      </c>
      <c r="CD255" s="138">
        <v>1</v>
      </c>
      <c r="CE255" s="138">
        <v>1</v>
      </c>
      <c r="CF255" s="138">
        <v>-1</v>
      </c>
      <c r="CG255" s="138">
        <f>1-'LCFS Table'!$BW255</f>
        <v>0</v>
      </c>
      <c r="CH255" s="138">
        <f>1-'LCFS Table'!$BX255</f>
        <v>1</v>
      </c>
      <c r="CI255" s="138">
        <f>1-'LCFS Table'!$BY255</f>
        <v>0</v>
      </c>
      <c r="CJ255" s="138">
        <f>1-'LCFS Table'!$BZ255</f>
        <v>0</v>
      </c>
      <c r="CK255" s="138">
        <f>-'LCFS Table'!$CA255</f>
        <v>1</v>
      </c>
      <c r="CL255" s="138">
        <f>1-'LCFS Table'!$CB255</f>
        <v>0</v>
      </c>
      <c r="CM255" s="138">
        <f>1-'LCFS Table'!$CC255</f>
        <v>1</v>
      </c>
      <c r="CN255" s="138">
        <f>1-'LCFS Table'!$CD255</f>
        <v>0</v>
      </c>
      <c r="CO255" s="138">
        <f>1-'LCFS Table'!$CE255</f>
        <v>0</v>
      </c>
      <c r="CP255" s="138">
        <f>-'LCFS Table'!$CF255</f>
        <v>1</v>
      </c>
      <c r="CQ255" s="140">
        <v>7.1</v>
      </c>
      <c r="CR255" s="165">
        <f>('LCFS Table'!$CQ255*0.9/(0.8/0.99)/100)</f>
        <v>7.9076249999999987E-2</v>
      </c>
      <c r="CS255" s="166"/>
      <c r="CT255" s="167"/>
      <c r="CW255" s="168">
        <f>'LCFS Table'!$K255-'LCFS Table'!$M255</f>
        <v>-0.16374118758999989</v>
      </c>
      <c r="CX255" s="129">
        <f>MONTH('LCFS Table'!$B255)</f>
        <v>11</v>
      </c>
      <c r="CY255" s="129">
        <f>YEAR('LCFS Table'!$B255)</f>
        <v>2023</v>
      </c>
    </row>
    <row r="256" spans="1:103">
      <c r="A256" s="148">
        <v>45235</v>
      </c>
      <c r="B256" s="149">
        <v>45241</v>
      </c>
      <c r="C256" s="132">
        <f t="shared" si="4"/>
        <v>2023</v>
      </c>
      <c r="D256" s="150" t="s">
        <v>301</v>
      </c>
      <c r="E256" s="187">
        <f>'LCFS Table'!$K256-'LCFS Table'!$I256</f>
        <v>-1.5222964330413014</v>
      </c>
      <c r="F256" s="187">
        <f>('LCFS Table'!$M256)-'LCFS Table'!$J256</f>
        <v>-2.1320017269725011</v>
      </c>
      <c r="G256" s="188">
        <f>'LCFS Table'!$E256+'LCFS Table'!$AS256+'LCFS Table'!$AT256+'LCFS Table'!$AU256+'LCFS Table'!$AV256</f>
        <v>1.5821192029701447</v>
      </c>
      <c r="H256" s="188">
        <f>'LCFS Table'!$F256+'LCFS Table'!$AX256+'LCFS Table'!$AY256+'LCFS Table'!$AZ256+'LCFS Table'!$BA256+('LCFS Table'!$CQ256*0.9/(0.8/0.99)/100)+(DG256*'LCFS Table'!$AF256)+(DF256*'LCFS Table'!$AG256)</f>
        <v>0.55225664062499902</v>
      </c>
      <c r="I256" s="187">
        <f>('LCFS Table'!$V256+'LCFS Table'!$W256+'LCFS Table'!$X256)/100+(('LCFS Table'!$AI256+'LCFS Table'!$AJ256)/340)</f>
        <v>4.3568964330413014</v>
      </c>
      <c r="J256" s="187">
        <f>(('LCFS Table'!$Y256+'LCFS Table'!$Z256)/100)+(('LCFS Table'!$AM256+'LCFS Table'!$AN256)/300)</f>
        <v>5.1740589843750007</v>
      </c>
      <c r="K256" s="190">
        <f>'[1]Fuel Values'!$C255</f>
        <v>2.8346</v>
      </c>
      <c r="L256" s="190">
        <f>'[1]Fuel Values'!$B255</f>
        <v>564</v>
      </c>
      <c r="M256" s="185">
        <f>('LCFS Table'!$L256/100)-'LCFS Table'!$AX256-'LCFS Table'!$AY256-'LCFS Table'!$AZ256-'LCFS Table'!$BA256</f>
        <v>3.0420572574024995</v>
      </c>
      <c r="N256" s="190">
        <f>[1]BFT!$B255</f>
        <v>52</v>
      </c>
      <c r="O256" s="190">
        <f>[1]UCO!$B255</f>
        <v>40.85</v>
      </c>
      <c r="P256" s="190">
        <f>[1]DCO!$B255</f>
        <v>52.85</v>
      </c>
      <c r="Q256" s="190">
        <f>'[1]Soybean Oil'!$B255</f>
        <v>61.878</v>
      </c>
      <c r="R256" s="190">
        <f>'[1]Yellow Grease'!$B255</f>
        <v>37.6</v>
      </c>
      <c r="S256" s="185">
        <f>'LCFS Table'!$N256 + 'LCFS Table'!$AH256</f>
        <v>56.375</v>
      </c>
      <c r="T256" s="185">
        <f>'LCFS Table'!$Q256+'LCFS Table'!$AH256</f>
        <v>66.253</v>
      </c>
      <c r="U256" s="185">
        <f>'LCFS Table'!$P256+'LCFS Table'!$AH256</f>
        <v>57.225000000000001</v>
      </c>
      <c r="V256" s="185">
        <f>(('LCFS Table'!$S256/'LCFS Table'!$AA256)*'LCFS Table'!$AC256)*6.48</f>
        <v>194.31382978723406</v>
      </c>
      <c r="W256" s="185">
        <f>(('LCFS Table'!$O256/'LCFS Table'!$AA256)*'LCFS Table'!$AD256)*6.48</f>
        <v>70.401063829787233</v>
      </c>
      <c r="X256" s="185">
        <f>(('LCFS Table'!$U256/'LCFS Table'!$AA256)*'LCFS Table'!$AE256)*6.48</f>
        <v>98.621808510638317</v>
      </c>
      <c r="Y256" s="185">
        <f>(('LCFS Table'!$T256/'LCFS Table'!$AB256)*'LCFS Table'!$AF256)*7.35</f>
        <v>380.43714843750001</v>
      </c>
      <c r="Z256" s="185">
        <f>(('LCFS Table'!$R256/'LCFS Table'!$AB256)*'LCFS Table'!$AG256)*7.35</f>
        <v>71.96875</v>
      </c>
      <c r="AA256" s="138">
        <v>0.94</v>
      </c>
      <c r="AB256" s="138">
        <v>0.96</v>
      </c>
      <c r="AC256" s="138">
        <v>0.5</v>
      </c>
      <c r="AD256" s="138">
        <v>0.25</v>
      </c>
      <c r="AE256" s="138">
        <v>0.25</v>
      </c>
      <c r="AF256" s="138">
        <v>0.75</v>
      </c>
      <c r="AG256" s="138">
        <v>0.25</v>
      </c>
      <c r="AH256" s="139">
        <v>4.375</v>
      </c>
      <c r="AI256" s="139">
        <v>136</v>
      </c>
      <c r="AJ256" s="139">
        <v>110</v>
      </c>
      <c r="AK256" s="186">
        <f>('LCFS Table'!$AI256/340)*100</f>
        <v>40</v>
      </c>
      <c r="AL256" s="186">
        <f>('LCFS Table'!$AJ256/340)*100</f>
        <v>32.352941176470587</v>
      </c>
      <c r="AM256" s="139">
        <v>105</v>
      </c>
      <c r="AN256" s="139">
        <v>90</v>
      </c>
      <c r="AO256" s="139">
        <f>('LCFS Table'!$AM256/300)*100</f>
        <v>35</v>
      </c>
      <c r="AP256" s="139">
        <f>('LCFS Table'!$AN256/300)*100</f>
        <v>30</v>
      </c>
      <c r="AQ256" s="140">
        <f>'[1]LCFS Values'!$B255</f>
        <v>66.7</v>
      </c>
      <c r="AR256" s="140">
        <f>'[1]RIN Values'!$B255/100</f>
        <v>0.82400000000000007</v>
      </c>
      <c r="AS256" s="185">
        <v>0.54361563601144614</v>
      </c>
      <c r="AT256" s="137">
        <v>0.16</v>
      </c>
      <c r="AU256" s="137">
        <v>1</v>
      </c>
      <c r="AV256" s="185">
        <f>'LCFS Table'!$AR256*1.7</f>
        <v>1.4008</v>
      </c>
      <c r="AW256" s="137">
        <v>0</v>
      </c>
      <c r="AX256" s="185">
        <v>0.36194274259750003</v>
      </c>
      <c r="AY256" s="137">
        <v>0</v>
      </c>
      <c r="AZ256" s="141">
        <v>1</v>
      </c>
      <c r="BA256" s="185">
        <f>'LCFS Table'!$AR256*1.5</f>
        <v>1.2360000000000002</v>
      </c>
      <c r="BB256" s="142">
        <v>1.2</v>
      </c>
      <c r="BC256" s="185">
        <f>'LCFS Table'!$AS256*'LCFS Table'!$BW256</f>
        <v>0.54361563601144614</v>
      </c>
      <c r="BD256" s="185">
        <f>'LCFS Table'!$AT256*'LCFS Table'!$BX256</f>
        <v>0</v>
      </c>
      <c r="BE256" s="185">
        <f>'LCFS Table'!$AU256*'LCFS Table'!$BY256</f>
        <v>1</v>
      </c>
      <c r="BF256" s="137">
        <f>'LCFS Table'!$AV256*'LCFS Table'!$BZ256</f>
        <v>1.4008</v>
      </c>
      <c r="BG256" s="137">
        <f>'LCFS Table'!$AW256*'LCFS Table'!$CA256</f>
        <v>0</v>
      </c>
      <c r="BH256" s="137">
        <f>'LCFS Table'!$AX256*'LCFS Table'!$CB256</f>
        <v>0.36194274259750003</v>
      </c>
      <c r="BI256" s="137">
        <f>'LCFS Table'!$AY256*'LCFS Table'!$CC256</f>
        <v>0</v>
      </c>
      <c r="BJ256" s="137">
        <f>'LCFS Table'!$AZ256*'LCFS Table'!$CD256</f>
        <v>1</v>
      </c>
      <c r="BK256" s="137">
        <f>'LCFS Table'!$BA256*'LCFS Table'!$CE256</f>
        <v>1.2360000000000002</v>
      </c>
      <c r="BL256" s="137">
        <f>'LCFS Table'!$BB256*'LCFS Table'!$CF256</f>
        <v>-1.2</v>
      </c>
      <c r="BM256" s="137">
        <f>'LCFS Table'!$AS256*'LCFS Table'!$CG256</f>
        <v>0</v>
      </c>
      <c r="BN256" s="137">
        <f>'LCFS Table'!$AT256*'LCFS Table'!$CH256</f>
        <v>0.16</v>
      </c>
      <c r="BO256" s="137">
        <f>'LCFS Table'!$AU256*'LCFS Table'!$CI256</f>
        <v>0</v>
      </c>
      <c r="BP256" s="137">
        <f>'LCFS Table'!$AV256*'LCFS Table'!$CJ256</f>
        <v>0</v>
      </c>
      <c r="BQ256" s="137">
        <f>'LCFS Table'!$AW256*'LCFS Table'!$CK256</f>
        <v>0</v>
      </c>
      <c r="BR256" s="137">
        <f>'LCFS Table'!$AX256*'LCFS Table'!$CL256</f>
        <v>0</v>
      </c>
      <c r="BS256" s="137">
        <f>'LCFS Table'!$AY256*'LCFS Table'!$CM256</f>
        <v>0</v>
      </c>
      <c r="BT256" s="137">
        <f>'LCFS Table'!$AZ256*'LCFS Table'!$CN256</f>
        <v>0</v>
      </c>
      <c r="BU256" s="137">
        <f>'LCFS Table'!$BA256*'LCFS Table'!$CO256</f>
        <v>0</v>
      </c>
      <c r="BV256" s="142">
        <f>'LCFS Table'!$BB256*'LCFS Table'!$CP256</f>
        <v>1.2</v>
      </c>
      <c r="BW256" s="138">
        <v>1</v>
      </c>
      <c r="BX256" s="138">
        <v>0</v>
      </c>
      <c r="BY256" s="138">
        <v>1</v>
      </c>
      <c r="BZ256" s="138">
        <v>1</v>
      </c>
      <c r="CA256" s="138">
        <v>-1</v>
      </c>
      <c r="CB256" s="138">
        <v>1</v>
      </c>
      <c r="CC256" s="138">
        <v>0</v>
      </c>
      <c r="CD256" s="138">
        <v>1</v>
      </c>
      <c r="CE256" s="138">
        <v>1</v>
      </c>
      <c r="CF256" s="138">
        <v>-1</v>
      </c>
      <c r="CG256" s="138">
        <f>1-'LCFS Table'!$BW256</f>
        <v>0</v>
      </c>
      <c r="CH256" s="138">
        <f>1-'LCFS Table'!$BX256</f>
        <v>1</v>
      </c>
      <c r="CI256" s="138">
        <f>1-'LCFS Table'!$BY256</f>
        <v>0</v>
      </c>
      <c r="CJ256" s="138">
        <f>1-'LCFS Table'!$BZ256</f>
        <v>0</v>
      </c>
      <c r="CK256" s="138">
        <f>-'LCFS Table'!$CA256</f>
        <v>1</v>
      </c>
      <c r="CL256" s="138">
        <f>1-'LCFS Table'!$CB256</f>
        <v>0</v>
      </c>
      <c r="CM256" s="138">
        <f>1-'LCFS Table'!$CC256</f>
        <v>1</v>
      </c>
      <c r="CN256" s="138">
        <f>1-'LCFS Table'!$CD256</f>
        <v>0</v>
      </c>
      <c r="CO256" s="138">
        <f>1-'LCFS Table'!$CE256</f>
        <v>0</v>
      </c>
      <c r="CP256" s="138">
        <f>-'LCFS Table'!$CF256</f>
        <v>1</v>
      </c>
      <c r="CQ256" s="140">
        <v>7.75</v>
      </c>
      <c r="CR256" s="165">
        <f>('LCFS Table'!$CQ256*0.9/(0.8/0.99)/100)</f>
        <v>8.6315624999999993E-2</v>
      </c>
      <c r="CS256" s="166"/>
      <c r="CT256" s="167"/>
      <c r="CW256" s="168">
        <f>'LCFS Table'!$K256-'LCFS Table'!$M256</f>
        <v>-0.20745725740249954</v>
      </c>
      <c r="CX256" s="129">
        <f>MONTH('LCFS Table'!$B256)</f>
        <v>11</v>
      </c>
      <c r="CY256" s="129">
        <f>YEAR('LCFS Table'!$B256)</f>
        <v>2023</v>
      </c>
    </row>
    <row r="257" spans="1:103">
      <c r="A257" s="148">
        <v>45242</v>
      </c>
      <c r="B257" s="149">
        <v>45248</v>
      </c>
      <c r="C257" s="132">
        <f t="shared" si="4"/>
        <v>2023</v>
      </c>
      <c r="D257" s="150" t="s">
        <v>302</v>
      </c>
      <c r="E257" s="187">
        <f>'LCFS Table'!$K257-'LCFS Table'!$I257</f>
        <v>-1.2914687734668338</v>
      </c>
      <c r="F257" s="187">
        <f>('LCFS Table'!$M257)-'LCFS Table'!$J257</f>
        <v>-2.2698473317862509</v>
      </c>
      <c r="G257" s="188">
        <f>'LCFS Table'!$E257+'LCFS Table'!$AS257+'LCFS Table'!$AT257+'LCFS Table'!$AU257+'LCFS Table'!$AV257</f>
        <v>1.8345693864636783</v>
      </c>
      <c r="H257" s="188">
        <f>'LCFS Table'!$F257+'LCFS Table'!$AX257+'LCFS Table'!$AY257+'LCFS Table'!$AZ257+'LCFS Table'!$BA257+('LCFS Table'!$CQ257*0.9/(0.8/0.99)/100)+(DG257*'LCFS Table'!$AF257)+(DF257*'LCFS Table'!$AG257)</f>
        <v>0.42765624999999918</v>
      </c>
      <c r="I257" s="187">
        <f>('LCFS Table'!$V257+'LCFS Table'!$W257+'LCFS Table'!$X257)/100+(('LCFS Table'!$AI257+'LCFS Table'!$AJ257)/340)</f>
        <v>4.2517687734668339</v>
      </c>
      <c r="J257" s="187">
        <f>(('LCFS Table'!$Y257+'LCFS Table'!$Z257)/100)+(('LCFS Table'!$AM257+'LCFS Table'!$AN257)/300)</f>
        <v>5.2530906250000005</v>
      </c>
      <c r="K257" s="190">
        <f>'[1]Fuel Values'!$C256</f>
        <v>2.9603000000000002</v>
      </c>
      <c r="L257" s="190">
        <f>'[1]Fuel Values'!$B256</f>
        <v>560</v>
      </c>
      <c r="M257" s="185">
        <f>('LCFS Table'!$L257/100)-'LCFS Table'!$AX257-'LCFS Table'!$AY257-'LCFS Table'!$AZ257-'LCFS Table'!$BA257</f>
        <v>2.9832432932137496</v>
      </c>
      <c r="N257" s="190">
        <f>[1]BFT!$B256</f>
        <v>50</v>
      </c>
      <c r="O257" s="190">
        <f>[1]UCO!$B256</f>
        <v>37.5</v>
      </c>
      <c r="P257" s="190">
        <f>[1]DCO!$B256</f>
        <v>54.1</v>
      </c>
      <c r="Q257" s="190">
        <f>'[1]Soybean Oil'!$B256</f>
        <v>63.621000000000002</v>
      </c>
      <c r="R257" s="190">
        <f>'[1]Yellow Grease'!$B256</f>
        <v>36.5</v>
      </c>
      <c r="S257" s="185">
        <f>'LCFS Table'!$N257 + 'LCFS Table'!$AH257</f>
        <v>54.375</v>
      </c>
      <c r="T257" s="185">
        <f>'LCFS Table'!$Q257+'LCFS Table'!$AH257</f>
        <v>67.996000000000009</v>
      </c>
      <c r="U257" s="185">
        <f>'LCFS Table'!$P257+'LCFS Table'!$AH257</f>
        <v>58.475000000000001</v>
      </c>
      <c r="V257" s="185">
        <f>(('LCFS Table'!$S257/'LCFS Table'!$AA257)*'LCFS Table'!$AC257)*6.48</f>
        <v>187.42021276595747</v>
      </c>
      <c r="W257" s="185">
        <f>(('LCFS Table'!$O257/'LCFS Table'!$AA257)*'LCFS Table'!$AD257)*6.48</f>
        <v>64.627659574468098</v>
      </c>
      <c r="X257" s="185">
        <f>(('LCFS Table'!$U257/'LCFS Table'!$AA257)*'LCFS Table'!$AE257)*6.48</f>
        <v>100.77606382978725</v>
      </c>
      <c r="Y257" s="185">
        <f>(('LCFS Table'!$T257/'LCFS Table'!$AB257)*'LCFS Table'!$AF257)*7.35</f>
        <v>390.44578125000004</v>
      </c>
      <c r="Z257" s="185">
        <f>(('LCFS Table'!$R257/'LCFS Table'!$AB257)*'LCFS Table'!$AG257)*7.35</f>
        <v>69.86328125</v>
      </c>
      <c r="AA257" s="138">
        <v>0.94</v>
      </c>
      <c r="AB257" s="138">
        <v>0.96</v>
      </c>
      <c r="AC257" s="138">
        <v>0.5</v>
      </c>
      <c r="AD257" s="138">
        <v>0.25</v>
      </c>
      <c r="AE257" s="138">
        <v>0.25</v>
      </c>
      <c r="AF257" s="138">
        <v>0.75</v>
      </c>
      <c r="AG257" s="138">
        <v>0.25</v>
      </c>
      <c r="AH257" s="139">
        <v>4.375</v>
      </c>
      <c r="AI257" s="139">
        <v>136</v>
      </c>
      <c r="AJ257" s="139">
        <v>110</v>
      </c>
      <c r="AK257" s="186">
        <f>('LCFS Table'!$AI257/340)*100</f>
        <v>40</v>
      </c>
      <c r="AL257" s="186">
        <f>('LCFS Table'!$AJ257/340)*100</f>
        <v>32.352941176470587</v>
      </c>
      <c r="AM257" s="139">
        <v>105</v>
      </c>
      <c r="AN257" s="139">
        <v>90</v>
      </c>
      <c r="AO257" s="139">
        <f>('LCFS Table'!$AM257/300)*100</f>
        <v>35</v>
      </c>
      <c r="AP257" s="139">
        <f>('LCFS Table'!$AN257/300)*100</f>
        <v>30</v>
      </c>
      <c r="AQ257" s="140">
        <f>'[1]LCFS Values'!$B256</f>
        <v>66.849999999999994</v>
      </c>
      <c r="AR257" s="140">
        <f>'[1]RIN Values'!$B256/100</f>
        <v>0.83599999999999997</v>
      </c>
      <c r="AS257" s="185">
        <v>0.54483815993051221</v>
      </c>
      <c r="AT257" s="137">
        <v>0.16</v>
      </c>
      <c r="AU257" s="137">
        <v>1</v>
      </c>
      <c r="AV257" s="185">
        <f>'LCFS Table'!$AR257*1.7</f>
        <v>1.4211999999999998</v>
      </c>
      <c r="AW257" s="137">
        <v>0</v>
      </c>
      <c r="AX257" s="185">
        <v>0.36275670678624994</v>
      </c>
      <c r="AY257" s="137">
        <v>0</v>
      </c>
      <c r="AZ257" s="141">
        <v>1</v>
      </c>
      <c r="BA257" s="185">
        <f>'LCFS Table'!$AR257*1.5</f>
        <v>1.254</v>
      </c>
      <c r="BB257" s="142">
        <v>1.2</v>
      </c>
      <c r="BC257" s="185">
        <f>'LCFS Table'!$AS257*'LCFS Table'!$BW257</f>
        <v>0.54483815993051221</v>
      </c>
      <c r="BD257" s="185">
        <f>'LCFS Table'!$AT257*'LCFS Table'!$BX257</f>
        <v>0</v>
      </c>
      <c r="BE257" s="185">
        <f>'LCFS Table'!$AU257*'LCFS Table'!$BY257</f>
        <v>1</v>
      </c>
      <c r="BF257" s="137">
        <f>'LCFS Table'!$AV257*'LCFS Table'!$BZ257</f>
        <v>1.4211999999999998</v>
      </c>
      <c r="BG257" s="137">
        <f>'LCFS Table'!$AW257*'LCFS Table'!$CA257</f>
        <v>0</v>
      </c>
      <c r="BH257" s="137">
        <f>'LCFS Table'!$AX257*'LCFS Table'!$CB257</f>
        <v>0.36275670678624994</v>
      </c>
      <c r="BI257" s="137">
        <f>'LCFS Table'!$AY257*'LCFS Table'!$CC257</f>
        <v>0</v>
      </c>
      <c r="BJ257" s="137">
        <f>'LCFS Table'!$AZ257*'LCFS Table'!$CD257</f>
        <v>1</v>
      </c>
      <c r="BK257" s="137">
        <f>'LCFS Table'!$BA257*'LCFS Table'!$CE257</f>
        <v>1.254</v>
      </c>
      <c r="BL257" s="137">
        <f>'LCFS Table'!$BB257*'LCFS Table'!$CF257</f>
        <v>-1.2</v>
      </c>
      <c r="BM257" s="137">
        <f>'LCFS Table'!$AS257*'LCFS Table'!$CG257</f>
        <v>0</v>
      </c>
      <c r="BN257" s="137">
        <f>'LCFS Table'!$AT257*'LCFS Table'!$CH257</f>
        <v>0.16</v>
      </c>
      <c r="BO257" s="137">
        <f>'LCFS Table'!$AU257*'LCFS Table'!$CI257</f>
        <v>0</v>
      </c>
      <c r="BP257" s="137">
        <f>'LCFS Table'!$AV257*'LCFS Table'!$CJ257</f>
        <v>0</v>
      </c>
      <c r="BQ257" s="137">
        <f>'LCFS Table'!$AW257*'LCFS Table'!$CK257</f>
        <v>0</v>
      </c>
      <c r="BR257" s="137">
        <f>'LCFS Table'!$AX257*'LCFS Table'!$CL257</f>
        <v>0</v>
      </c>
      <c r="BS257" s="137">
        <f>'LCFS Table'!$AY257*'LCFS Table'!$CM257</f>
        <v>0</v>
      </c>
      <c r="BT257" s="137">
        <f>'LCFS Table'!$AZ257*'LCFS Table'!$CN257</f>
        <v>0</v>
      </c>
      <c r="BU257" s="137">
        <f>'LCFS Table'!$BA257*'LCFS Table'!$CO257</f>
        <v>0</v>
      </c>
      <c r="BV257" s="142">
        <f>'LCFS Table'!$BB257*'LCFS Table'!$CP257</f>
        <v>1.2</v>
      </c>
      <c r="BW257" s="138">
        <v>1</v>
      </c>
      <c r="BX257" s="138">
        <v>0</v>
      </c>
      <c r="BY257" s="138">
        <v>1</v>
      </c>
      <c r="BZ257" s="138">
        <v>1</v>
      </c>
      <c r="CA257" s="138">
        <v>-1</v>
      </c>
      <c r="CB257" s="138">
        <v>1</v>
      </c>
      <c r="CC257" s="138">
        <v>0</v>
      </c>
      <c r="CD257" s="138">
        <v>1</v>
      </c>
      <c r="CE257" s="138">
        <v>1</v>
      </c>
      <c r="CF257" s="138">
        <v>-1</v>
      </c>
      <c r="CG257" s="138">
        <f>1-'LCFS Table'!$BW257</f>
        <v>0</v>
      </c>
      <c r="CH257" s="138">
        <f>1-'LCFS Table'!$BX257</f>
        <v>1</v>
      </c>
      <c r="CI257" s="138">
        <f>1-'LCFS Table'!$BY257</f>
        <v>0</v>
      </c>
      <c r="CJ257" s="138">
        <f>1-'LCFS Table'!$BZ257</f>
        <v>0</v>
      </c>
      <c r="CK257" s="138">
        <f>-'LCFS Table'!$CA257</f>
        <v>1</v>
      </c>
      <c r="CL257" s="138">
        <f>1-'LCFS Table'!$CB257</f>
        <v>0</v>
      </c>
      <c r="CM257" s="138">
        <f>1-'LCFS Table'!$CC257</f>
        <v>1</v>
      </c>
      <c r="CN257" s="138">
        <f>1-'LCFS Table'!$CD257</f>
        <v>0</v>
      </c>
      <c r="CO257" s="138">
        <f>1-'LCFS Table'!$CE257</f>
        <v>0</v>
      </c>
      <c r="CP257" s="138">
        <f>-'LCFS Table'!$CF257</f>
        <v>1</v>
      </c>
      <c r="CQ257" s="140">
        <v>7.25</v>
      </c>
      <c r="CR257" s="165">
        <f>('LCFS Table'!$CQ257*0.9/(0.8/0.99)/100)</f>
        <v>8.0746874999999996E-2</v>
      </c>
      <c r="CS257" s="166"/>
      <c r="CT257" s="167"/>
      <c r="CW257" s="168">
        <f>'LCFS Table'!$K257-'LCFS Table'!$M257</f>
        <v>-2.2943293213749438E-2</v>
      </c>
      <c r="CX257" s="129">
        <f>MONTH('LCFS Table'!$B257)</f>
        <v>11</v>
      </c>
      <c r="CY257" s="129">
        <f>YEAR('LCFS Table'!$B257)</f>
        <v>2023</v>
      </c>
    </row>
    <row r="258" spans="1:103">
      <c r="A258" s="148">
        <v>45249</v>
      </c>
      <c r="B258" s="149">
        <v>45255</v>
      </c>
      <c r="C258" s="132">
        <f t="shared" si="4"/>
        <v>2023</v>
      </c>
      <c r="D258" s="150" t="s">
        <v>303</v>
      </c>
      <c r="E258" s="187">
        <f>'LCFS Table'!$K258-'LCFS Table'!$I258</f>
        <v>-1.2061623904881102</v>
      </c>
      <c r="F258" s="187">
        <f>('LCFS Table'!$M258)-'LCFS Table'!$J258</f>
        <v>-2.35880633743125</v>
      </c>
      <c r="G258" s="188">
        <f>'LCFS Table'!$E258+'LCFS Table'!$AS258+'LCFS Table'!$AT258+'LCFS Table'!$AU258+'LCFS Table'!$AV258</f>
        <v>1.9400268534963576</v>
      </c>
      <c r="H258" s="188">
        <f>'LCFS Table'!$F258+'LCFS Table'!$AX258+'LCFS Table'!$AY258+'LCFS Table'!$AZ258+'LCFS Table'!$BA258+('LCFS Table'!$CQ258*0.9/(0.8/0.99)/100)+(DG258*'LCFS Table'!$AF258)+(DF258*'LCFS Table'!$AG258)</f>
        <v>0.35665410156249999</v>
      </c>
      <c r="I258" s="187">
        <f>('LCFS Table'!$V258+'LCFS Table'!$W258+'LCFS Table'!$X258)/100+(('LCFS Table'!$AI258+'LCFS Table'!$AJ258)/340)</f>
        <v>4.2586623904881105</v>
      </c>
      <c r="J258" s="187">
        <f>(('LCFS Table'!$Y258+'LCFS Table'!$Z258)/100)+(('LCFS Table'!$AM258+'LCFS Table'!$AN258)/300)</f>
        <v>5.3240927734375001</v>
      </c>
      <c r="K258" s="190">
        <f>'[1]Fuel Values'!$C257</f>
        <v>3.0525000000000002</v>
      </c>
      <c r="L258" s="190">
        <f>'[1]Fuel Values'!$B257</f>
        <v>560</v>
      </c>
      <c r="M258" s="185">
        <f>('LCFS Table'!$L258/100)-'LCFS Table'!$AX258-'LCFS Table'!$AY258-'LCFS Table'!$AZ258-'LCFS Table'!$BA258</f>
        <v>2.9652864360062501</v>
      </c>
      <c r="N258" s="190">
        <f>[1]BFT!$B257</f>
        <v>50</v>
      </c>
      <c r="O258" s="190">
        <f>[1]UCO!$B257</f>
        <v>37.5</v>
      </c>
      <c r="P258" s="190">
        <f>[1]DCO!$B257</f>
        <v>54.5</v>
      </c>
      <c r="Q258" s="190">
        <f>'[1]Soybean Oil'!$B257</f>
        <v>64.857500000000002</v>
      </c>
      <c r="R258" s="190">
        <f>'[1]Yellow Grease'!$B257</f>
        <v>36.5</v>
      </c>
      <c r="S258" s="185">
        <f>'LCFS Table'!$N258 + 'LCFS Table'!$AH258</f>
        <v>54.375</v>
      </c>
      <c r="T258" s="185">
        <f>'LCFS Table'!$Q258+'LCFS Table'!$AH258</f>
        <v>69.232500000000002</v>
      </c>
      <c r="U258" s="185">
        <f>'LCFS Table'!$P258+'LCFS Table'!$AH258</f>
        <v>58.875</v>
      </c>
      <c r="V258" s="185">
        <f>(('LCFS Table'!$S258/'LCFS Table'!$AA258)*'LCFS Table'!$AC258)*6.48</f>
        <v>187.42021276595747</v>
      </c>
      <c r="W258" s="185">
        <f>(('LCFS Table'!$O258/'LCFS Table'!$AA258)*'LCFS Table'!$AD258)*6.48</f>
        <v>64.627659574468098</v>
      </c>
      <c r="X258" s="185">
        <f>(('LCFS Table'!$U258/'LCFS Table'!$AA258)*'LCFS Table'!$AE258)*6.48</f>
        <v>101.4654255319149</v>
      </c>
      <c r="Y258" s="185">
        <f>(('LCFS Table'!$T258/'LCFS Table'!$AB258)*'LCFS Table'!$AF258)*7.35</f>
        <v>397.54599609374998</v>
      </c>
      <c r="Z258" s="185">
        <f>(('LCFS Table'!$R258/'LCFS Table'!$AB258)*'LCFS Table'!$AG258)*7.35</f>
        <v>69.86328125</v>
      </c>
      <c r="AA258" s="138">
        <v>0.94</v>
      </c>
      <c r="AB258" s="138">
        <v>0.96</v>
      </c>
      <c r="AC258" s="138">
        <v>0.5</v>
      </c>
      <c r="AD258" s="138">
        <v>0.25</v>
      </c>
      <c r="AE258" s="138">
        <v>0.25</v>
      </c>
      <c r="AF258" s="138">
        <v>0.75</v>
      </c>
      <c r="AG258" s="138">
        <v>0.25</v>
      </c>
      <c r="AH258" s="139">
        <v>4.375</v>
      </c>
      <c r="AI258" s="139">
        <v>136</v>
      </c>
      <c r="AJ258" s="139">
        <v>110</v>
      </c>
      <c r="AK258" s="186">
        <f>('LCFS Table'!$AI258/340)*100</f>
        <v>40</v>
      </c>
      <c r="AL258" s="186">
        <f>('LCFS Table'!$AJ258/340)*100</f>
        <v>32.352941176470587</v>
      </c>
      <c r="AM258" s="139">
        <v>105</v>
      </c>
      <c r="AN258" s="139">
        <v>90</v>
      </c>
      <c r="AO258" s="139">
        <f>('LCFS Table'!$AM258/300)*100</f>
        <v>35</v>
      </c>
      <c r="AP258" s="139">
        <f>('LCFS Table'!$AN258/300)*100</f>
        <v>30</v>
      </c>
      <c r="AQ258" s="140">
        <f>'[1]LCFS Values'!$B257</f>
        <v>66.75</v>
      </c>
      <c r="AR258" s="140">
        <f>'[1]RIN Values'!$B257/100</f>
        <v>0.84833299999999989</v>
      </c>
      <c r="AS258" s="185">
        <v>0.54402314398446816</v>
      </c>
      <c r="AT258" s="137">
        <v>0.16</v>
      </c>
      <c r="AU258" s="137">
        <v>1</v>
      </c>
      <c r="AV258" s="185">
        <f>'LCFS Table'!$AR258*1.7</f>
        <v>1.4421660999999997</v>
      </c>
      <c r="AW258" s="137">
        <v>0</v>
      </c>
      <c r="AX258" s="185">
        <v>0.36221406399375</v>
      </c>
      <c r="AY258" s="137">
        <v>0</v>
      </c>
      <c r="AZ258" s="141">
        <v>1</v>
      </c>
      <c r="BA258" s="185">
        <f>'LCFS Table'!$AR258*1.5</f>
        <v>1.2724994999999999</v>
      </c>
      <c r="BB258" s="142">
        <v>1.2</v>
      </c>
      <c r="BC258" s="185">
        <f>'LCFS Table'!$AS258*'LCFS Table'!$BW258</f>
        <v>0.54402314398446816</v>
      </c>
      <c r="BD258" s="185">
        <f>'LCFS Table'!$AT258*'LCFS Table'!$BX258</f>
        <v>0</v>
      </c>
      <c r="BE258" s="185">
        <f>'LCFS Table'!$AU258*'LCFS Table'!$BY258</f>
        <v>1</v>
      </c>
      <c r="BF258" s="137">
        <f>'LCFS Table'!$AV258*'LCFS Table'!$BZ258</f>
        <v>1.4421660999999997</v>
      </c>
      <c r="BG258" s="137">
        <f>'LCFS Table'!$AW258*'LCFS Table'!$CA258</f>
        <v>0</v>
      </c>
      <c r="BH258" s="137">
        <f>'LCFS Table'!$AX258*'LCFS Table'!$CB258</f>
        <v>0.36221406399375</v>
      </c>
      <c r="BI258" s="137">
        <f>'LCFS Table'!$AY258*'LCFS Table'!$CC258</f>
        <v>0</v>
      </c>
      <c r="BJ258" s="137">
        <f>'LCFS Table'!$AZ258*'LCFS Table'!$CD258</f>
        <v>1</v>
      </c>
      <c r="BK258" s="137">
        <f>'LCFS Table'!$BA258*'LCFS Table'!$CE258</f>
        <v>1.2724994999999999</v>
      </c>
      <c r="BL258" s="137">
        <f>'LCFS Table'!$BB258*'LCFS Table'!$CF258</f>
        <v>-1.2</v>
      </c>
      <c r="BM258" s="137">
        <f>'LCFS Table'!$AS258*'LCFS Table'!$CG258</f>
        <v>0</v>
      </c>
      <c r="BN258" s="137">
        <f>'LCFS Table'!$AT258*'LCFS Table'!$CH258</f>
        <v>0.16</v>
      </c>
      <c r="BO258" s="137">
        <f>'LCFS Table'!$AU258*'LCFS Table'!$CI258</f>
        <v>0</v>
      </c>
      <c r="BP258" s="137">
        <f>'LCFS Table'!$AV258*'LCFS Table'!$CJ258</f>
        <v>0</v>
      </c>
      <c r="BQ258" s="137">
        <f>'LCFS Table'!$AW258*'LCFS Table'!$CK258</f>
        <v>0</v>
      </c>
      <c r="BR258" s="137">
        <f>'LCFS Table'!$AX258*'LCFS Table'!$CL258</f>
        <v>0</v>
      </c>
      <c r="BS258" s="137">
        <f>'LCFS Table'!$AY258*'LCFS Table'!$CM258</f>
        <v>0</v>
      </c>
      <c r="BT258" s="137">
        <f>'LCFS Table'!$AZ258*'LCFS Table'!$CN258</f>
        <v>0</v>
      </c>
      <c r="BU258" s="137">
        <f>'LCFS Table'!$BA258*'LCFS Table'!$CO258</f>
        <v>0</v>
      </c>
      <c r="BV258" s="142">
        <f>'LCFS Table'!$BB258*'LCFS Table'!$CP258</f>
        <v>1.2</v>
      </c>
      <c r="BW258" s="138">
        <v>1</v>
      </c>
      <c r="BX258" s="138">
        <v>0</v>
      </c>
      <c r="BY258" s="138">
        <v>1</v>
      </c>
      <c r="BZ258" s="138">
        <v>1</v>
      </c>
      <c r="CA258" s="138">
        <v>-1</v>
      </c>
      <c r="CB258" s="138">
        <v>1</v>
      </c>
      <c r="CC258" s="138">
        <v>0</v>
      </c>
      <c r="CD258" s="138">
        <v>1</v>
      </c>
      <c r="CE258" s="138">
        <v>1</v>
      </c>
      <c r="CF258" s="138">
        <v>-1</v>
      </c>
      <c r="CG258" s="138">
        <f>1-'LCFS Table'!$BW258</f>
        <v>0</v>
      </c>
      <c r="CH258" s="138">
        <f>1-'LCFS Table'!$BX258</f>
        <v>1</v>
      </c>
      <c r="CI258" s="138">
        <f>1-'LCFS Table'!$BY258</f>
        <v>0</v>
      </c>
      <c r="CJ258" s="138">
        <f>1-'LCFS Table'!$BZ258</f>
        <v>0</v>
      </c>
      <c r="CK258" s="138">
        <f>-'LCFS Table'!$CA258</f>
        <v>1</v>
      </c>
      <c r="CL258" s="138">
        <f>1-'LCFS Table'!$CB258</f>
        <v>0</v>
      </c>
      <c r="CM258" s="138">
        <f>1-'LCFS Table'!$CC258</f>
        <v>1</v>
      </c>
      <c r="CN258" s="138">
        <f>1-'LCFS Table'!$CD258</f>
        <v>0</v>
      </c>
      <c r="CO258" s="138">
        <f>1-'LCFS Table'!$CE258</f>
        <v>0</v>
      </c>
      <c r="CP258" s="138">
        <f>-'LCFS Table'!$CF258</f>
        <v>1</v>
      </c>
      <c r="CQ258" s="140">
        <v>7.25</v>
      </c>
      <c r="CR258" s="165">
        <f>('LCFS Table'!$CQ258*0.9/(0.8/0.99)/100)</f>
        <v>8.0746874999999996E-2</v>
      </c>
      <c r="CS258" s="166"/>
      <c r="CT258" s="167"/>
      <c r="CW258" s="168">
        <f>'LCFS Table'!$K258-'LCFS Table'!$M258</f>
        <v>8.7213563993750132E-2</v>
      </c>
      <c r="CX258" s="129">
        <f>MONTH('LCFS Table'!$B258)</f>
        <v>11</v>
      </c>
      <c r="CY258" s="129">
        <f>YEAR('LCFS Table'!$B258)</f>
        <v>2023</v>
      </c>
    </row>
    <row r="259" spans="1:103">
      <c r="A259" s="148">
        <v>45256</v>
      </c>
      <c r="B259" s="149">
        <v>45262</v>
      </c>
      <c r="C259" s="132">
        <f t="shared" si="4"/>
        <v>2023</v>
      </c>
      <c r="D259" s="150" t="s">
        <v>304</v>
      </c>
      <c r="E259" s="187">
        <f>'LCFS Table'!$K259-'LCFS Table'!$I259</f>
        <v>-1.3010240926157701</v>
      </c>
      <c r="F259" s="187">
        <f>('LCFS Table'!$M259)-'LCFS Table'!$J259</f>
        <v>-2.3903428278087504</v>
      </c>
      <c r="G259" s="188">
        <f>'LCFS Table'!$E259+'LCFS Table'!$AS259+'LCFS Table'!$AT259+'LCFS Table'!$AU259+'LCFS Table'!$AV259</f>
        <v>1.847019497857934</v>
      </c>
      <c r="H259" s="188">
        <f>'LCFS Table'!$F259+'LCFS Table'!$AX259+'LCFS Table'!$AY259+'LCFS Table'!$AZ259+'LCFS Table'!$BA259+('LCFS Table'!$CQ259*0.9/(0.8/0.99)/100)+(DG259*'LCFS Table'!$AF259)+(DF259*'LCFS Table'!$AG259)</f>
        <v>0.32960835937499972</v>
      </c>
      <c r="I259" s="187">
        <f>('LCFS Table'!$V259+'LCFS Table'!$W259+'LCFS Table'!$X259)/100+(('LCFS Table'!$AI259+'LCFS Table'!$AJ259)/340)</f>
        <v>4.2190240926157703</v>
      </c>
      <c r="J259" s="187">
        <f>(('LCFS Table'!$Y259+'LCFS Table'!$Z259)/100)+(('LCFS Table'!$AM259+'LCFS Table'!$AN259)/300)</f>
        <v>5.2739347656250004</v>
      </c>
      <c r="K259" s="190">
        <f>'[1]Fuel Values'!$C258</f>
        <v>2.9180000000000001</v>
      </c>
      <c r="L259" s="190">
        <f>'[1]Fuel Values'!$B258</f>
        <v>551.5</v>
      </c>
      <c r="M259" s="185">
        <f>('LCFS Table'!$L259/100)-'LCFS Table'!$AX259-'LCFS Table'!$AY259-'LCFS Table'!$AZ259-'LCFS Table'!$BA259</f>
        <v>2.88359193781625</v>
      </c>
      <c r="N259" s="190">
        <f>[1]BFT!$B258</f>
        <v>50</v>
      </c>
      <c r="O259" s="190">
        <f>[1]UCO!$B258</f>
        <v>37</v>
      </c>
      <c r="P259" s="190">
        <f>[1]DCO!$B258</f>
        <v>52.7</v>
      </c>
      <c r="Q259" s="190">
        <f>'[1]Soybean Oil'!$B258</f>
        <v>63.984000000000002</v>
      </c>
      <c r="R259" s="190">
        <f>'[1]Yellow Grease'!$B258</f>
        <v>36.5</v>
      </c>
      <c r="S259" s="185">
        <f>'LCFS Table'!$N259 + 'LCFS Table'!$AH259</f>
        <v>54.375</v>
      </c>
      <c r="T259" s="185">
        <f>'LCFS Table'!$Q259+'LCFS Table'!$AH259</f>
        <v>68.359000000000009</v>
      </c>
      <c r="U259" s="185">
        <f>'LCFS Table'!$P259+'LCFS Table'!$AH259</f>
        <v>57.075000000000003</v>
      </c>
      <c r="V259" s="185">
        <f>(('LCFS Table'!$S259/'LCFS Table'!$AA259)*'LCFS Table'!$AC259)*6.48</f>
        <v>187.42021276595747</v>
      </c>
      <c r="W259" s="185">
        <f>(('LCFS Table'!$O259/'LCFS Table'!$AA259)*'LCFS Table'!$AD259)*6.48</f>
        <v>63.765957446808521</v>
      </c>
      <c r="X259" s="185">
        <f>(('LCFS Table'!$U259/'LCFS Table'!$AA259)*'LCFS Table'!$AE259)*6.48</f>
        <v>98.363297872340439</v>
      </c>
      <c r="Y259" s="185">
        <f>(('LCFS Table'!$T259/'LCFS Table'!$AB259)*'LCFS Table'!$AF259)*7.35</f>
        <v>392.53019531250004</v>
      </c>
      <c r="Z259" s="185">
        <f>(('LCFS Table'!$R259/'LCFS Table'!$AB259)*'LCFS Table'!$AG259)*7.35</f>
        <v>69.86328125</v>
      </c>
      <c r="AA259" s="138">
        <v>0.94</v>
      </c>
      <c r="AB259" s="138">
        <v>0.96</v>
      </c>
      <c r="AC259" s="138">
        <v>0.5</v>
      </c>
      <c r="AD259" s="138">
        <v>0.25</v>
      </c>
      <c r="AE259" s="138">
        <v>0.25</v>
      </c>
      <c r="AF259" s="138">
        <v>0.75</v>
      </c>
      <c r="AG259" s="138">
        <v>0.25</v>
      </c>
      <c r="AH259" s="139">
        <v>4.375</v>
      </c>
      <c r="AI259" s="139">
        <v>136</v>
      </c>
      <c r="AJ259" s="139">
        <v>110</v>
      </c>
      <c r="AK259" s="186">
        <f>('LCFS Table'!$AI259/340)*100</f>
        <v>40</v>
      </c>
      <c r="AL259" s="186">
        <f>('LCFS Table'!$AJ259/340)*100</f>
        <v>32.352941176470587</v>
      </c>
      <c r="AM259" s="139">
        <v>105</v>
      </c>
      <c r="AN259" s="139">
        <v>90</v>
      </c>
      <c r="AO259" s="139">
        <f>('LCFS Table'!$AM259/300)*100</f>
        <v>35</v>
      </c>
      <c r="AP259" s="139">
        <f>('LCFS Table'!$AN259/300)*100</f>
        <v>30</v>
      </c>
      <c r="AQ259" s="140">
        <f>'[1]LCFS Values'!$B258</f>
        <v>69.55</v>
      </c>
      <c r="AR259" s="140">
        <f>'[1]RIN Values'!$B258/100</f>
        <v>0.83599999999999997</v>
      </c>
      <c r="AS259" s="185">
        <v>0.56684359047370425</v>
      </c>
      <c r="AT259" s="137">
        <v>0.16</v>
      </c>
      <c r="AU259" s="137">
        <v>1</v>
      </c>
      <c r="AV259" s="185">
        <f>'LCFS Table'!$AR259*1.7</f>
        <v>1.4211999999999998</v>
      </c>
      <c r="AW259" s="137">
        <v>0</v>
      </c>
      <c r="AX259" s="185">
        <v>0.37740806218375</v>
      </c>
      <c r="AY259" s="137">
        <v>0</v>
      </c>
      <c r="AZ259" s="141">
        <v>1</v>
      </c>
      <c r="BA259" s="185">
        <f>'LCFS Table'!$AR259*1.5</f>
        <v>1.254</v>
      </c>
      <c r="BB259" s="142">
        <v>1.2</v>
      </c>
      <c r="BC259" s="185">
        <f>'LCFS Table'!$AS259*'LCFS Table'!$BW259</f>
        <v>0.56684359047370425</v>
      </c>
      <c r="BD259" s="185">
        <f>'LCFS Table'!$AT259*'LCFS Table'!$BX259</f>
        <v>0</v>
      </c>
      <c r="BE259" s="185">
        <f>'LCFS Table'!$AU259*'LCFS Table'!$BY259</f>
        <v>1</v>
      </c>
      <c r="BF259" s="137">
        <f>'LCFS Table'!$AV259*'LCFS Table'!$BZ259</f>
        <v>1.4211999999999998</v>
      </c>
      <c r="BG259" s="137">
        <f>'LCFS Table'!$AW259*'LCFS Table'!$CA259</f>
        <v>0</v>
      </c>
      <c r="BH259" s="137">
        <f>'LCFS Table'!$AX259*'LCFS Table'!$CB259</f>
        <v>0.37740806218375</v>
      </c>
      <c r="BI259" s="137">
        <f>'LCFS Table'!$AY259*'LCFS Table'!$CC259</f>
        <v>0</v>
      </c>
      <c r="BJ259" s="137">
        <f>'LCFS Table'!$AZ259*'LCFS Table'!$CD259</f>
        <v>1</v>
      </c>
      <c r="BK259" s="137">
        <f>'LCFS Table'!$BA259*'LCFS Table'!$CE259</f>
        <v>1.254</v>
      </c>
      <c r="BL259" s="137">
        <f>'LCFS Table'!$BB259*'LCFS Table'!$CF259</f>
        <v>-1.2</v>
      </c>
      <c r="BM259" s="137">
        <f>'LCFS Table'!$AS259*'LCFS Table'!$CG259</f>
        <v>0</v>
      </c>
      <c r="BN259" s="137">
        <f>'LCFS Table'!$AT259*'LCFS Table'!$CH259</f>
        <v>0.16</v>
      </c>
      <c r="BO259" s="137">
        <f>'LCFS Table'!$AU259*'LCFS Table'!$CI259</f>
        <v>0</v>
      </c>
      <c r="BP259" s="137">
        <f>'LCFS Table'!$AV259*'LCFS Table'!$CJ259</f>
        <v>0</v>
      </c>
      <c r="BQ259" s="137">
        <f>'LCFS Table'!$AW259*'LCFS Table'!$CK259</f>
        <v>0</v>
      </c>
      <c r="BR259" s="137">
        <f>'LCFS Table'!$AX259*'LCFS Table'!$CL259</f>
        <v>0</v>
      </c>
      <c r="BS259" s="137">
        <f>'LCFS Table'!$AY259*'LCFS Table'!$CM259</f>
        <v>0</v>
      </c>
      <c r="BT259" s="137">
        <f>'LCFS Table'!$AZ259*'LCFS Table'!$CN259</f>
        <v>0</v>
      </c>
      <c r="BU259" s="137">
        <f>'LCFS Table'!$BA259*'LCFS Table'!$CO259</f>
        <v>0</v>
      </c>
      <c r="BV259" s="142">
        <f>'LCFS Table'!$BB259*'LCFS Table'!$CP259</f>
        <v>1.2</v>
      </c>
      <c r="BW259" s="138">
        <v>1</v>
      </c>
      <c r="BX259" s="138">
        <v>0</v>
      </c>
      <c r="BY259" s="138">
        <v>1</v>
      </c>
      <c r="BZ259" s="138">
        <v>1</v>
      </c>
      <c r="CA259" s="138">
        <v>-1</v>
      </c>
      <c r="CB259" s="138">
        <v>1</v>
      </c>
      <c r="CC259" s="138">
        <v>0</v>
      </c>
      <c r="CD259" s="138">
        <v>1</v>
      </c>
      <c r="CE259" s="138">
        <v>1</v>
      </c>
      <c r="CF259" s="138">
        <v>-1</v>
      </c>
      <c r="CG259" s="138">
        <f>1-'LCFS Table'!$BW259</f>
        <v>0</v>
      </c>
      <c r="CH259" s="138">
        <f>1-'LCFS Table'!$BX259</f>
        <v>1</v>
      </c>
      <c r="CI259" s="138">
        <f>1-'LCFS Table'!$BY259</f>
        <v>0</v>
      </c>
      <c r="CJ259" s="138">
        <f>1-'LCFS Table'!$BZ259</f>
        <v>0</v>
      </c>
      <c r="CK259" s="138">
        <f>-'LCFS Table'!$CA259</f>
        <v>1</v>
      </c>
      <c r="CL259" s="138">
        <f>1-'LCFS Table'!$CB259</f>
        <v>0</v>
      </c>
      <c r="CM259" s="138">
        <f>1-'LCFS Table'!$CC259</f>
        <v>1</v>
      </c>
      <c r="CN259" s="138">
        <f>1-'LCFS Table'!$CD259</f>
        <v>0</v>
      </c>
      <c r="CO259" s="138">
        <f>1-'LCFS Table'!$CE259</f>
        <v>0</v>
      </c>
      <c r="CP259" s="138">
        <f>-'LCFS Table'!$CF259</f>
        <v>1</v>
      </c>
      <c r="CQ259" s="140">
        <v>7.95</v>
      </c>
      <c r="CR259" s="165">
        <f>('LCFS Table'!$CQ259*0.9/(0.8/0.99)/100)</f>
        <v>8.8543124999999986E-2</v>
      </c>
      <c r="CS259" s="166"/>
      <c r="CT259" s="167"/>
      <c r="CW259" s="168">
        <f>'LCFS Table'!$K259-'LCFS Table'!$M259</f>
        <v>3.4408062183750143E-2</v>
      </c>
      <c r="CX259" s="129">
        <f>MONTH('LCFS Table'!$B259)</f>
        <v>12</v>
      </c>
      <c r="CY259" s="129">
        <f>YEAR('LCFS Table'!$B259)</f>
        <v>2023</v>
      </c>
    </row>
    <row r="260" spans="1:103">
      <c r="A260" s="148">
        <v>45263</v>
      </c>
      <c r="B260" s="149">
        <v>45269</v>
      </c>
      <c r="C260" s="132">
        <f t="shared" ref="C260:C323" si="5">YEAR(B260)</f>
        <v>2023</v>
      </c>
      <c r="D260" s="150" t="s">
        <v>305</v>
      </c>
      <c r="E260" s="187">
        <f>'LCFS Table'!$K260-'LCFS Table'!$I260</f>
        <v>-1.5018432415519394</v>
      </c>
      <c r="F260" s="187">
        <f>('LCFS Table'!$M260)-'LCFS Table'!$J260</f>
        <v>-2.2668566521825007</v>
      </c>
      <c r="G260" s="188">
        <f>'LCFS Table'!$E260+'LCFS Table'!$AS260+'LCFS Table'!$AT260+'LCFS Table'!$AU260+'LCFS Table'!$AV260</f>
        <v>1.6538782236538023</v>
      </c>
      <c r="H260" s="188">
        <f>'LCFS Table'!$F260+'LCFS Table'!$AX260+'LCFS Table'!$AY260+'LCFS Table'!$AZ260+'LCFS Table'!$BA260+('LCFS Table'!$CQ260*0.9/(0.8/0.99)/100)+(DG260*'LCFS Table'!$AF260)+(DF260*'LCFS Table'!$AG260)</f>
        <v>0.45906289062499916</v>
      </c>
      <c r="I260" s="187">
        <f>('LCFS Table'!$V260+'LCFS Table'!$W260+'LCFS Table'!$X260)/100+(('LCFS Table'!$AI260+'LCFS Table'!$AJ260)/340)</f>
        <v>4.0768432415519396</v>
      </c>
      <c r="J260" s="187">
        <f>(('LCFS Table'!$Y260+'LCFS Table'!$Z260)/100)+(('LCFS Table'!$AM260+'LCFS Table'!$AN260)/300)</f>
        <v>5.1428214843750002</v>
      </c>
      <c r="K260" s="190">
        <f>'[1]Fuel Values'!$C259</f>
        <v>2.5750000000000002</v>
      </c>
      <c r="L260" s="190">
        <f>'[1]Fuel Values'!$B259</f>
        <v>551</v>
      </c>
      <c r="M260" s="185">
        <f>('LCFS Table'!$L260/100)-'LCFS Table'!$AX260-'LCFS Table'!$AY260-'LCFS Table'!$AZ260-'LCFS Table'!$BA260</f>
        <v>2.8759648321924995</v>
      </c>
      <c r="N260" s="190">
        <f>[1]BFT!$B259</f>
        <v>47.4</v>
      </c>
      <c r="O260" s="190">
        <f>[1]UCO!$B259</f>
        <v>36.25</v>
      </c>
      <c r="P260" s="190">
        <f>[1]DCO!$B259</f>
        <v>50.4</v>
      </c>
      <c r="Q260" s="190">
        <f>'[1]Soybean Oil'!$B259</f>
        <v>61.834000000000003</v>
      </c>
      <c r="R260" s="190">
        <f>'[1]Yellow Grease'!$B259</f>
        <v>36.1</v>
      </c>
      <c r="S260" s="185">
        <f>'LCFS Table'!$N260 + 'LCFS Table'!$AH260</f>
        <v>51.774999999999999</v>
      </c>
      <c r="T260" s="185">
        <f>'LCFS Table'!$Q260+'LCFS Table'!$AH260</f>
        <v>66.209000000000003</v>
      </c>
      <c r="U260" s="185">
        <f>'LCFS Table'!$P260+'LCFS Table'!$AH260</f>
        <v>54.774999999999999</v>
      </c>
      <c r="V260" s="185">
        <f>(('LCFS Table'!$S260/'LCFS Table'!$AA260)*'LCFS Table'!$AC260)*6.48</f>
        <v>178.45851063829789</v>
      </c>
      <c r="W260" s="185">
        <f>(('LCFS Table'!$O260/'LCFS Table'!$AA260)*'LCFS Table'!$AD260)*6.48</f>
        <v>62.473404255319153</v>
      </c>
      <c r="X260" s="185">
        <f>(('LCFS Table'!$U260/'LCFS Table'!$AA260)*'LCFS Table'!$AE260)*6.48</f>
        <v>94.399468085106392</v>
      </c>
      <c r="Y260" s="185">
        <f>(('LCFS Table'!$T260/'LCFS Table'!$AB260)*'LCFS Table'!$AF260)*7.35</f>
        <v>380.18449218749998</v>
      </c>
      <c r="Z260" s="185">
        <f>(('LCFS Table'!$R260/'LCFS Table'!$AB260)*'LCFS Table'!$AG260)*7.35</f>
        <v>69.09765625</v>
      </c>
      <c r="AA260" s="138">
        <v>0.94</v>
      </c>
      <c r="AB260" s="138">
        <v>0.96</v>
      </c>
      <c r="AC260" s="138">
        <v>0.5</v>
      </c>
      <c r="AD260" s="138">
        <v>0.25</v>
      </c>
      <c r="AE260" s="138">
        <v>0.25</v>
      </c>
      <c r="AF260" s="138">
        <v>0.75</v>
      </c>
      <c r="AG260" s="138">
        <v>0.25</v>
      </c>
      <c r="AH260" s="139">
        <v>4.375</v>
      </c>
      <c r="AI260" s="139">
        <v>136</v>
      </c>
      <c r="AJ260" s="139">
        <v>110</v>
      </c>
      <c r="AK260" s="186">
        <f>('LCFS Table'!$AI260/340)*100</f>
        <v>40</v>
      </c>
      <c r="AL260" s="186">
        <f>('LCFS Table'!$AJ260/340)*100</f>
        <v>32.352941176470587</v>
      </c>
      <c r="AM260" s="139">
        <v>105</v>
      </c>
      <c r="AN260" s="139">
        <v>90</v>
      </c>
      <c r="AO260" s="139">
        <f>('LCFS Table'!$AM260/300)*100</f>
        <v>35</v>
      </c>
      <c r="AP260" s="139">
        <f>('LCFS Table'!$AN260/300)*100</f>
        <v>30</v>
      </c>
      <c r="AQ260" s="140">
        <f>'[1]LCFS Values'!$B259</f>
        <v>71.900000000000006</v>
      </c>
      <c r="AR260" s="140">
        <f>'[1]RIN Values'!$B259/100</f>
        <v>0.82924999999999993</v>
      </c>
      <c r="AS260" s="185">
        <v>0.58599646520574178</v>
      </c>
      <c r="AT260" s="137">
        <v>0.16</v>
      </c>
      <c r="AU260" s="137">
        <v>1</v>
      </c>
      <c r="AV260" s="185">
        <f>'LCFS Table'!$AR260*1.7</f>
        <v>1.4097249999999999</v>
      </c>
      <c r="AW260" s="137">
        <v>0</v>
      </c>
      <c r="AX260" s="185">
        <v>0.39016016780750001</v>
      </c>
      <c r="AY260" s="137">
        <v>0</v>
      </c>
      <c r="AZ260" s="141">
        <v>1</v>
      </c>
      <c r="BA260" s="185">
        <f>'LCFS Table'!$AR260*1.5</f>
        <v>1.2438749999999998</v>
      </c>
      <c r="BB260" s="142">
        <v>1.2</v>
      </c>
      <c r="BC260" s="185">
        <f>'LCFS Table'!$AS260*'LCFS Table'!$BW260</f>
        <v>0.58599646520574178</v>
      </c>
      <c r="BD260" s="185">
        <f>'LCFS Table'!$AT260*'LCFS Table'!$BX260</f>
        <v>0</v>
      </c>
      <c r="BE260" s="185">
        <f>'LCFS Table'!$AU260*'LCFS Table'!$BY260</f>
        <v>1</v>
      </c>
      <c r="BF260" s="137">
        <f>'LCFS Table'!$AV260*'LCFS Table'!$BZ260</f>
        <v>1.4097249999999999</v>
      </c>
      <c r="BG260" s="137">
        <f>'LCFS Table'!$AW260*'LCFS Table'!$CA260</f>
        <v>0</v>
      </c>
      <c r="BH260" s="137">
        <f>'LCFS Table'!$AX260*'LCFS Table'!$CB260</f>
        <v>0.39016016780750001</v>
      </c>
      <c r="BI260" s="137">
        <f>'LCFS Table'!$AY260*'LCFS Table'!$CC260</f>
        <v>0</v>
      </c>
      <c r="BJ260" s="137">
        <f>'LCFS Table'!$AZ260*'LCFS Table'!$CD260</f>
        <v>1</v>
      </c>
      <c r="BK260" s="137">
        <f>'LCFS Table'!$BA260*'LCFS Table'!$CE260</f>
        <v>1.2438749999999998</v>
      </c>
      <c r="BL260" s="137">
        <f>'LCFS Table'!$BB260*'LCFS Table'!$CF260</f>
        <v>-1.2</v>
      </c>
      <c r="BM260" s="137">
        <f>'LCFS Table'!$AS260*'LCFS Table'!$CG260</f>
        <v>0</v>
      </c>
      <c r="BN260" s="137">
        <f>'LCFS Table'!$AT260*'LCFS Table'!$CH260</f>
        <v>0.16</v>
      </c>
      <c r="BO260" s="137">
        <f>'LCFS Table'!$AU260*'LCFS Table'!$CI260</f>
        <v>0</v>
      </c>
      <c r="BP260" s="137">
        <f>'LCFS Table'!$AV260*'LCFS Table'!$CJ260</f>
        <v>0</v>
      </c>
      <c r="BQ260" s="137">
        <f>'LCFS Table'!$AW260*'LCFS Table'!$CK260</f>
        <v>0</v>
      </c>
      <c r="BR260" s="137">
        <f>'LCFS Table'!$AX260*'LCFS Table'!$CL260</f>
        <v>0</v>
      </c>
      <c r="BS260" s="137">
        <f>'LCFS Table'!$AY260*'LCFS Table'!$CM260</f>
        <v>0</v>
      </c>
      <c r="BT260" s="137">
        <f>'LCFS Table'!$AZ260*'LCFS Table'!$CN260</f>
        <v>0</v>
      </c>
      <c r="BU260" s="137">
        <f>'LCFS Table'!$BA260*'LCFS Table'!$CO260</f>
        <v>0</v>
      </c>
      <c r="BV260" s="142">
        <f>'LCFS Table'!$BB260*'LCFS Table'!$CP260</f>
        <v>1.2</v>
      </c>
      <c r="BW260" s="138">
        <v>1</v>
      </c>
      <c r="BX260" s="138">
        <v>0</v>
      </c>
      <c r="BY260" s="138">
        <v>1</v>
      </c>
      <c r="BZ260" s="138">
        <v>1</v>
      </c>
      <c r="CA260" s="138">
        <v>-1</v>
      </c>
      <c r="CB260" s="138">
        <v>1</v>
      </c>
      <c r="CC260" s="138">
        <v>0</v>
      </c>
      <c r="CD260" s="138">
        <v>1</v>
      </c>
      <c r="CE260" s="138">
        <v>1</v>
      </c>
      <c r="CF260" s="138">
        <v>-1</v>
      </c>
      <c r="CG260" s="138">
        <f>1-'LCFS Table'!$BW260</f>
        <v>0</v>
      </c>
      <c r="CH260" s="138">
        <f>1-'LCFS Table'!$BX260</f>
        <v>1</v>
      </c>
      <c r="CI260" s="138">
        <f>1-'LCFS Table'!$BY260</f>
        <v>0</v>
      </c>
      <c r="CJ260" s="138">
        <f>1-'LCFS Table'!$BZ260</f>
        <v>0</v>
      </c>
      <c r="CK260" s="138">
        <f>-'LCFS Table'!$CA260</f>
        <v>1</v>
      </c>
      <c r="CL260" s="138">
        <f>1-'LCFS Table'!$CB260</f>
        <v>0</v>
      </c>
      <c r="CM260" s="138">
        <f>1-'LCFS Table'!$CC260</f>
        <v>1</v>
      </c>
      <c r="CN260" s="138">
        <f>1-'LCFS Table'!$CD260</f>
        <v>0</v>
      </c>
      <c r="CO260" s="138">
        <f>1-'LCFS Table'!$CE260</f>
        <v>0</v>
      </c>
      <c r="CP260" s="138">
        <f>-'LCFS Table'!$CF260</f>
        <v>1</v>
      </c>
      <c r="CQ260" s="140">
        <v>8.25</v>
      </c>
      <c r="CR260" s="165">
        <f>('LCFS Table'!$CQ260*0.9/(0.8/0.99)/100)</f>
        <v>9.188437499999999E-2</v>
      </c>
      <c r="CS260" s="166"/>
      <c r="CT260" s="167"/>
      <c r="CW260" s="168">
        <f>'LCFS Table'!$K260-'LCFS Table'!$M260</f>
        <v>-0.30096483219249937</v>
      </c>
      <c r="CX260" s="129">
        <f>MONTH('LCFS Table'!$B260)</f>
        <v>12</v>
      </c>
      <c r="CY260" s="129">
        <f>YEAR('LCFS Table'!$B260)</f>
        <v>2023</v>
      </c>
    </row>
    <row r="261" spans="1:103">
      <c r="A261" s="148">
        <v>45270</v>
      </c>
      <c r="B261" s="149">
        <v>45276</v>
      </c>
      <c r="C261" s="132">
        <f t="shared" si="5"/>
        <v>2023</v>
      </c>
      <c r="D261" s="150" t="s">
        <v>306</v>
      </c>
      <c r="E261" s="187">
        <f>'LCFS Table'!$K261-'LCFS Table'!$I261</f>
        <v>-1.4931049436795996</v>
      </c>
      <c r="F261" s="187">
        <f>('LCFS Table'!$M261)-'LCFS Table'!$J261</f>
        <v>-2.1515878348950008</v>
      </c>
      <c r="G261" s="188">
        <f>'LCFS Table'!$E261+'LCFS Table'!$AS261+'LCFS Table'!$AT261+'LCFS Table'!$AU261+'LCFS Table'!$AV261</f>
        <v>1.6254666012563628</v>
      </c>
      <c r="H261" s="188">
        <f>'LCFS Table'!$F261+'LCFS Table'!$AX261+'LCFS Table'!$AY261+'LCFS Table'!$AZ261+'LCFS Table'!$BA261+('LCFS Table'!$CQ261*0.9/(0.8/0.99)/100)+(DG261*'LCFS Table'!$AF261)+(DF261*'LCFS Table'!$AG261)</f>
        <v>0.55459179687499927</v>
      </c>
      <c r="I261" s="187">
        <f>('LCFS Table'!$V261+'LCFS Table'!$W261+'LCFS Table'!$X261)/100+(('LCFS Table'!$AI261+'LCFS Table'!$AJ261)/340)</f>
        <v>3.9562049436795994</v>
      </c>
      <c r="J261" s="187">
        <f>(('LCFS Table'!$Y261+'LCFS Table'!$Z261)/100)+(('LCFS Table'!$AM261+'LCFS Table'!$AN261)/300)</f>
        <v>5.0512144531250005</v>
      </c>
      <c r="K261" s="190">
        <f>'[1]Fuel Values'!$C260</f>
        <v>2.4630999999999998</v>
      </c>
      <c r="L261" s="190">
        <f>'[1]Fuel Values'!$B260</f>
        <v>550</v>
      </c>
      <c r="M261" s="185">
        <f>('LCFS Table'!$L261/100)-'LCFS Table'!$AX261-'LCFS Table'!$AY261-'LCFS Table'!$AZ261-'LCFS Table'!$BA261</f>
        <v>2.8996266182299997</v>
      </c>
      <c r="N261" s="190">
        <f>[1]BFT!$B260</f>
        <v>44.8</v>
      </c>
      <c r="O261" s="190">
        <f>[1]UCO!$B260</f>
        <v>35.65</v>
      </c>
      <c r="P261" s="190">
        <f>[1]DCO!$B260</f>
        <v>49.2</v>
      </c>
      <c r="Q261" s="190">
        <f>'[1]Soybean Oil'!$B260</f>
        <v>60.972000000000001</v>
      </c>
      <c r="R261" s="190">
        <f>'[1]Yellow Grease'!$B260</f>
        <v>33.9</v>
      </c>
      <c r="S261" s="185">
        <f>'LCFS Table'!$N261 + 'LCFS Table'!$AH261</f>
        <v>49.174999999999997</v>
      </c>
      <c r="T261" s="185">
        <f>'LCFS Table'!$Q261+'LCFS Table'!$AH261</f>
        <v>65.347000000000008</v>
      </c>
      <c r="U261" s="185">
        <f>'LCFS Table'!$P261+'LCFS Table'!$AH261</f>
        <v>53.575000000000003</v>
      </c>
      <c r="V261" s="185">
        <f>(('LCFS Table'!$S261/'LCFS Table'!$AA261)*'LCFS Table'!$AC261)*6.48</f>
        <v>169.49680851063832</v>
      </c>
      <c r="W261" s="185">
        <f>(('LCFS Table'!$O261/'LCFS Table'!$AA261)*'LCFS Table'!$AD261)*6.48</f>
        <v>61.439361702127663</v>
      </c>
      <c r="X261" s="185">
        <f>(('LCFS Table'!$U261/'LCFS Table'!$AA261)*'LCFS Table'!$AE261)*6.48</f>
        <v>92.331382978723411</v>
      </c>
      <c r="Y261" s="185">
        <f>(('LCFS Table'!$T261/'LCFS Table'!$AB261)*'LCFS Table'!$AF261)*7.35</f>
        <v>375.23472656250004</v>
      </c>
      <c r="Z261" s="185">
        <f>(('LCFS Table'!$R261/'LCFS Table'!$AB261)*'LCFS Table'!$AG261)*7.35</f>
        <v>64.88671875</v>
      </c>
      <c r="AA261" s="138">
        <v>0.94</v>
      </c>
      <c r="AB261" s="138">
        <v>0.96</v>
      </c>
      <c r="AC261" s="138">
        <v>0.5</v>
      </c>
      <c r="AD261" s="138">
        <v>0.25</v>
      </c>
      <c r="AE261" s="138">
        <v>0.25</v>
      </c>
      <c r="AF261" s="138">
        <v>0.75</v>
      </c>
      <c r="AG261" s="138">
        <v>0.25</v>
      </c>
      <c r="AH261" s="139">
        <v>4.375</v>
      </c>
      <c r="AI261" s="139">
        <v>136</v>
      </c>
      <c r="AJ261" s="139">
        <v>110</v>
      </c>
      <c r="AK261" s="186">
        <f>('LCFS Table'!$AI261/340)*100</f>
        <v>40</v>
      </c>
      <c r="AL261" s="186">
        <f>('LCFS Table'!$AJ261/340)*100</f>
        <v>32.352941176470587</v>
      </c>
      <c r="AM261" s="139">
        <v>105</v>
      </c>
      <c r="AN261" s="139">
        <v>90</v>
      </c>
      <c r="AO261" s="139">
        <f>('LCFS Table'!$AM261/300)*100</f>
        <v>35</v>
      </c>
      <c r="AP261" s="139">
        <f>('LCFS Table'!$AN261/300)*100</f>
        <v>30</v>
      </c>
      <c r="AQ261" s="140">
        <f>'[1]LCFS Values'!$B260</f>
        <v>72.400000000000006</v>
      </c>
      <c r="AR261" s="140">
        <f>'[1]RIN Values'!$B260/100</f>
        <v>0.80500000000000005</v>
      </c>
      <c r="AS261" s="185">
        <v>0.59007154493596237</v>
      </c>
      <c r="AT261" s="137">
        <v>0.16</v>
      </c>
      <c r="AU261" s="137">
        <v>1</v>
      </c>
      <c r="AV261" s="185">
        <f>'LCFS Table'!$AR261*1.7</f>
        <v>1.3685</v>
      </c>
      <c r="AW261" s="137">
        <v>0</v>
      </c>
      <c r="AX261" s="185">
        <v>0.39287338177000003</v>
      </c>
      <c r="AY261" s="137">
        <v>0</v>
      </c>
      <c r="AZ261" s="141">
        <v>1</v>
      </c>
      <c r="BA261" s="185">
        <f>'LCFS Table'!$AR261*1.5</f>
        <v>1.2075</v>
      </c>
      <c r="BB261" s="142">
        <v>1.2</v>
      </c>
      <c r="BC261" s="185">
        <f>'LCFS Table'!$AS261*'LCFS Table'!$BW261</f>
        <v>0.59007154493596237</v>
      </c>
      <c r="BD261" s="185">
        <f>'LCFS Table'!$AT261*'LCFS Table'!$BX261</f>
        <v>0</v>
      </c>
      <c r="BE261" s="185">
        <f>'LCFS Table'!$AU261*'LCFS Table'!$BY261</f>
        <v>1</v>
      </c>
      <c r="BF261" s="137">
        <f>'LCFS Table'!$AV261*'LCFS Table'!$BZ261</f>
        <v>1.3685</v>
      </c>
      <c r="BG261" s="137">
        <f>'LCFS Table'!$AW261*'LCFS Table'!$CA261</f>
        <v>0</v>
      </c>
      <c r="BH261" s="137">
        <f>'LCFS Table'!$AX261*'LCFS Table'!$CB261</f>
        <v>0.39287338177000003</v>
      </c>
      <c r="BI261" s="137">
        <f>'LCFS Table'!$AY261*'LCFS Table'!$CC261</f>
        <v>0</v>
      </c>
      <c r="BJ261" s="137">
        <f>'LCFS Table'!$AZ261*'LCFS Table'!$CD261</f>
        <v>1</v>
      </c>
      <c r="BK261" s="137">
        <f>'LCFS Table'!$BA261*'LCFS Table'!$CE261</f>
        <v>1.2075</v>
      </c>
      <c r="BL261" s="137">
        <f>'LCFS Table'!$BB261*'LCFS Table'!$CF261</f>
        <v>-1.2</v>
      </c>
      <c r="BM261" s="137">
        <f>'LCFS Table'!$AS261*'LCFS Table'!$CG261</f>
        <v>0</v>
      </c>
      <c r="BN261" s="137">
        <f>'LCFS Table'!$AT261*'LCFS Table'!$CH261</f>
        <v>0.16</v>
      </c>
      <c r="BO261" s="137">
        <f>'LCFS Table'!$AU261*'LCFS Table'!$CI261</f>
        <v>0</v>
      </c>
      <c r="BP261" s="137">
        <f>'LCFS Table'!$AV261*'LCFS Table'!$CJ261</f>
        <v>0</v>
      </c>
      <c r="BQ261" s="137">
        <f>'LCFS Table'!$AW261*'LCFS Table'!$CK261</f>
        <v>0</v>
      </c>
      <c r="BR261" s="137">
        <f>'LCFS Table'!$AX261*'LCFS Table'!$CL261</f>
        <v>0</v>
      </c>
      <c r="BS261" s="137">
        <f>'LCFS Table'!$AY261*'LCFS Table'!$CM261</f>
        <v>0</v>
      </c>
      <c r="BT261" s="137">
        <f>'LCFS Table'!$AZ261*'LCFS Table'!$CN261</f>
        <v>0</v>
      </c>
      <c r="BU261" s="137">
        <f>'LCFS Table'!$BA261*'LCFS Table'!$CO261</f>
        <v>0</v>
      </c>
      <c r="BV261" s="142">
        <f>'LCFS Table'!$BB261*'LCFS Table'!$CP261</f>
        <v>1.2</v>
      </c>
      <c r="BW261" s="138">
        <v>1</v>
      </c>
      <c r="BX261" s="138">
        <v>0</v>
      </c>
      <c r="BY261" s="138">
        <v>1</v>
      </c>
      <c r="BZ261" s="138">
        <v>1</v>
      </c>
      <c r="CA261" s="138">
        <v>-1</v>
      </c>
      <c r="CB261" s="138">
        <v>1</v>
      </c>
      <c r="CC261" s="138">
        <v>0</v>
      </c>
      <c r="CD261" s="138">
        <v>1</v>
      </c>
      <c r="CE261" s="138">
        <v>1</v>
      </c>
      <c r="CF261" s="138">
        <v>-1</v>
      </c>
      <c r="CG261" s="138">
        <f>1-'LCFS Table'!$BW261</f>
        <v>0</v>
      </c>
      <c r="CH261" s="138">
        <f>1-'LCFS Table'!$BX261</f>
        <v>1</v>
      </c>
      <c r="CI261" s="138">
        <f>1-'LCFS Table'!$BY261</f>
        <v>0</v>
      </c>
      <c r="CJ261" s="138">
        <f>1-'LCFS Table'!$BZ261</f>
        <v>0</v>
      </c>
      <c r="CK261" s="138">
        <f>-'LCFS Table'!$CA261</f>
        <v>1</v>
      </c>
      <c r="CL261" s="138">
        <f>1-'LCFS Table'!$CB261</f>
        <v>0</v>
      </c>
      <c r="CM261" s="138">
        <f>1-'LCFS Table'!$CC261</f>
        <v>1</v>
      </c>
      <c r="CN261" s="138">
        <f>1-'LCFS Table'!$CD261</f>
        <v>0</v>
      </c>
      <c r="CO261" s="138">
        <f>1-'LCFS Table'!$CE261</f>
        <v>0</v>
      </c>
      <c r="CP261" s="138">
        <f>-'LCFS Table'!$CF261</f>
        <v>1</v>
      </c>
      <c r="CQ261" s="140">
        <v>9.5</v>
      </c>
      <c r="CR261" s="165">
        <f>('LCFS Table'!$CQ261*0.9/(0.8/0.99)/100)</f>
        <v>0.10580624999999999</v>
      </c>
      <c r="CS261" s="166"/>
      <c r="CT261" s="167"/>
      <c r="CW261" s="168">
        <f>'LCFS Table'!$K261-'LCFS Table'!$M261</f>
        <v>-0.43652661822999983</v>
      </c>
      <c r="CX261" s="129">
        <f>MONTH('LCFS Table'!$B261)</f>
        <v>12</v>
      </c>
      <c r="CY261" s="129">
        <f>YEAR('LCFS Table'!$B261)</f>
        <v>2023</v>
      </c>
    </row>
    <row r="262" spans="1:103">
      <c r="A262" s="148">
        <v>45277</v>
      </c>
      <c r="B262" s="149">
        <v>45283</v>
      </c>
      <c r="C262" s="132">
        <f t="shared" si="5"/>
        <v>2023</v>
      </c>
      <c r="D262" s="150" t="s">
        <v>307</v>
      </c>
      <c r="E262" s="187">
        <f>'LCFS Table'!$K262-'LCFS Table'!$I262</f>
        <v>-1.2134836670838558</v>
      </c>
      <c r="F262" s="187">
        <f>('LCFS Table'!$M262)-'LCFS Table'!$J262</f>
        <v>-2.1456650545499998</v>
      </c>
      <c r="G262" s="188">
        <f>'LCFS Table'!$E262+'LCFS Table'!$AS262+'LCFS Table'!$AT262+'LCFS Table'!$AU262+'LCFS Table'!$AV262</f>
        <v>1.9157776546074885</v>
      </c>
      <c r="H262" s="188">
        <f>'LCFS Table'!$F262+'LCFS Table'!$AX262+'LCFS Table'!$AY262+'LCFS Table'!$AZ262+'LCFS Table'!$BA262+('LCFS Table'!$CQ262*0.9/(0.8/0.99)/100)+(DG262*'LCFS Table'!$AF262)+(DF262*'LCFS Table'!$AG262)</f>
        <v>0.58299820312500017</v>
      </c>
      <c r="I262" s="187">
        <f>('LCFS Table'!$V262+'LCFS Table'!$W262+'LCFS Table'!$X262)/100+(('LCFS Table'!$AI262+'LCFS Table'!$AJ262)/340)</f>
        <v>3.8846836670838556</v>
      </c>
      <c r="J262" s="187">
        <f>(('LCFS Table'!$Y262+'LCFS Table'!$Z262)/100)+(('LCFS Table'!$AM262+'LCFS Table'!$AN262)/300)</f>
        <v>4.973388671875</v>
      </c>
      <c r="K262" s="190">
        <f>'[1]Fuel Values'!$C261</f>
        <v>2.6711999999999998</v>
      </c>
      <c r="L262" s="190">
        <f>'[1]Fuel Values'!$B261</f>
        <v>544</v>
      </c>
      <c r="M262" s="185">
        <f>('LCFS Table'!$L262/100)-'LCFS Table'!$AX262-'LCFS Table'!$AY262-'LCFS Table'!$AZ262-'LCFS Table'!$BA262</f>
        <v>2.8277236173250002</v>
      </c>
      <c r="N262" s="190">
        <f>[1]BFT!$B261</f>
        <v>43.6</v>
      </c>
      <c r="O262" s="190">
        <f>[1]UCO!$B261</f>
        <v>35.5</v>
      </c>
      <c r="P262" s="190">
        <f>[1]DCO!$B261</f>
        <v>47.6</v>
      </c>
      <c r="Q262" s="190">
        <f>'[1]Soybean Oil'!$B261</f>
        <v>59.75</v>
      </c>
      <c r="R262" s="190">
        <f>'[1]Yellow Grease'!$B261</f>
        <v>33.5</v>
      </c>
      <c r="S262" s="185">
        <f>'LCFS Table'!$N262 + 'LCFS Table'!$AH262</f>
        <v>47.975000000000001</v>
      </c>
      <c r="T262" s="185">
        <f>'LCFS Table'!$Q262+'LCFS Table'!$AH262</f>
        <v>64.125</v>
      </c>
      <c r="U262" s="185">
        <f>'LCFS Table'!$P262+'LCFS Table'!$AH262</f>
        <v>51.975000000000001</v>
      </c>
      <c r="V262" s="185">
        <f>(('LCFS Table'!$S262/'LCFS Table'!$AA262)*'LCFS Table'!$AC262)*6.48</f>
        <v>165.36063829787236</v>
      </c>
      <c r="W262" s="185">
        <f>(('LCFS Table'!$O262/'LCFS Table'!$AA262)*'LCFS Table'!$AD262)*6.48</f>
        <v>61.180851063829799</v>
      </c>
      <c r="X262" s="185">
        <f>(('LCFS Table'!$U262/'LCFS Table'!$AA262)*'LCFS Table'!$AE262)*6.48</f>
        <v>89.573936170212789</v>
      </c>
      <c r="Y262" s="185">
        <f>(('LCFS Table'!$T262/'LCFS Table'!$AB262)*'LCFS Table'!$AF262)*7.35</f>
        <v>368.2177734375</v>
      </c>
      <c r="Z262" s="185">
        <f>(('LCFS Table'!$R262/'LCFS Table'!$AB262)*'LCFS Table'!$AG262)*7.35</f>
        <v>64.12109375</v>
      </c>
      <c r="AA262" s="138">
        <v>0.94</v>
      </c>
      <c r="AB262" s="138">
        <v>0.96</v>
      </c>
      <c r="AC262" s="138">
        <v>0.5</v>
      </c>
      <c r="AD262" s="138">
        <v>0.25</v>
      </c>
      <c r="AE262" s="138">
        <v>0.25</v>
      </c>
      <c r="AF262" s="138">
        <v>0.75</v>
      </c>
      <c r="AG262" s="138">
        <v>0.25</v>
      </c>
      <c r="AH262" s="139">
        <v>4.375</v>
      </c>
      <c r="AI262" s="139">
        <v>136</v>
      </c>
      <c r="AJ262" s="139">
        <v>110</v>
      </c>
      <c r="AK262" s="186">
        <f>('LCFS Table'!$AI262/340)*100</f>
        <v>40</v>
      </c>
      <c r="AL262" s="186">
        <f>('LCFS Table'!$AJ262/340)*100</f>
        <v>32.352941176470587</v>
      </c>
      <c r="AM262" s="139">
        <v>105</v>
      </c>
      <c r="AN262" s="139">
        <v>90</v>
      </c>
      <c r="AO262" s="139">
        <f>('LCFS Table'!$AM262/300)*100</f>
        <v>35</v>
      </c>
      <c r="AP262" s="139">
        <f>('LCFS Table'!$AN262/300)*100</f>
        <v>30</v>
      </c>
      <c r="AQ262" s="140">
        <f>'[1]LCFS Values'!$B261</f>
        <v>71</v>
      </c>
      <c r="AR262" s="140">
        <f>'[1]RIN Values'!$B261/100</f>
        <v>0.81799999999999995</v>
      </c>
      <c r="AS262" s="185">
        <v>0.57866132169134432</v>
      </c>
      <c r="AT262" s="137">
        <v>0.16</v>
      </c>
      <c r="AU262" s="137">
        <v>1</v>
      </c>
      <c r="AV262" s="185">
        <f>'LCFS Table'!$AR262*1.7</f>
        <v>1.3905999999999998</v>
      </c>
      <c r="AW262" s="137">
        <v>0</v>
      </c>
      <c r="AX262" s="185">
        <v>0.38527638267500003</v>
      </c>
      <c r="AY262" s="137">
        <v>0</v>
      </c>
      <c r="AZ262" s="141">
        <v>1</v>
      </c>
      <c r="BA262" s="185">
        <f>'LCFS Table'!$AR262*1.5</f>
        <v>1.2269999999999999</v>
      </c>
      <c r="BB262" s="142">
        <v>1.2</v>
      </c>
      <c r="BC262" s="185">
        <f>'LCFS Table'!$AS262*'LCFS Table'!$BW262</f>
        <v>0.57866132169134432</v>
      </c>
      <c r="BD262" s="185">
        <f>'LCFS Table'!$AT262*'LCFS Table'!$BX262</f>
        <v>0</v>
      </c>
      <c r="BE262" s="185">
        <f>'LCFS Table'!$AU262*'LCFS Table'!$BY262</f>
        <v>1</v>
      </c>
      <c r="BF262" s="137">
        <f>'LCFS Table'!$AV262*'LCFS Table'!$BZ262</f>
        <v>1.3905999999999998</v>
      </c>
      <c r="BG262" s="137">
        <f>'LCFS Table'!$AW262*'LCFS Table'!$CA262</f>
        <v>0</v>
      </c>
      <c r="BH262" s="137">
        <f>'LCFS Table'!$AX262*'LCFS Table'!$CB262</f>
        <v>0.38527638267500003</v>
      </c>
      <c r="BI262" s="137">
        <f>'LCFS Table'!$AY262*'LCFS Table'!$CC262</f>
        <v>0</v>
      </c>
      <c r="BJ262" s="137">
        <f>'LCFS Table'!$AZ262*'LCFS Table'!$CD262</f>
        <v>1</v>
      </c>
      <c r="BK262" s="137">
        <f>'LCFS Table'!$BA262*'LCFS Table'!$CE262</f>
        <v>1.2269999999999999</v>
      </c>
      <c r="BL262" s="137">
        <f>'LCFS Table'!$BB262*'LCFS Table'!$CF262</f>
        <v>-1.2</v>
      </c>
      <c r="BM262" s="137">
        <f>'LCFS Table'!$AS262*'LCFS Table'!$CG262</f>
        <v>0</v>
      </c>
      <c r="BN262" s="137">
        <f>'LCFS Table'!$AT262*'LCFS Table'!$CH262</f>
        <v>0.16</v>
      </c>
      <c r="BO262" s="137">
        <f>'LCFS Table'!$AU262*'LCFS Table'!$CI262</f>
        <v>0</v>
      </c>
      <c r="BP262" s="137">
        <f>'LCFS Table'!$AV262*'LCFS Table'!$CJ262</f>
        <v>0</v>
      </c>
      <c r="BQ262" s="137">
        <f>'LCFS Table'!$AW262*'LCFS Table'!$CK262</f>
        <v>0</v>
      </c>
      <c r="BR262" s="137">
        <f>'LCFS Table'!$AX262*'LCFS Table'!$CL262</f>
        <v>0</v>
      </c>
      <c r="BS262" s="137">
        <f>'LCFS Table'!$AY262*'LCFS Table'!$CM262</f>
        <v>0</v>
      </c>
      <c r="BT262" s="137">
        <f>'LCFS Table'!$AZ262*'LCFS Table'!$CN262</f>
        <v>0</v>
      </c>
      <c r="BU262" s="137">
        <f>'LCFS Table'!$BA262*'LCFS Table'!$CO262</f>
        <v>0</v>
      </c>
      <c r="BV262" s="142">
        <f>'LCFS Table'!$BB262*'LCFS Table'!$CP262</f>
        <v>1.2</v>
      </c>
      <c r="BW262" s="138">
        <v>1</v>
      </c>
      <c r="BX262" s="138">
        <v>0</v>
      </c>
      <c r="BY262" s="138">
        <v>1</v>
      </c>
      <c r="BZ262" s="138">
        <v>1</v>
      </c>
      <c r="CA262" s="138">
        <v>-1</v>
      </c>
      <c r="CB262" s="138">
        <v>1</v>
      </c>
      <c r="CC262" s="138">
        <v>0</v>
      </c>
      <c r="CD262" s="138">
        <v>1</v>
      </c>
      <c r="CE262" s="138">
        <v>1</v>
      </c>
      <c r="CF262" s="138">
        <v>-1</v>
      </c>
      <c r="CG262" s="138">
        <f>1-'LCFS Table'!$BW262</f>
        <v>0</v>
      </c>
      <c r="CH262" s="138">
        <f>1-'LCFS Table'!$BX262</f>
        <v>1</v>
      </c>
      <c r="CI262" s="138">
        <f>1-'LCFS Table'!$BY262</f>
        <v>0</v>
      </c>
      <c r="CJ262" s="138">
        <f>1-'LCFS Table'!$BZ262</f>
        <v>0</v>
      </c>
      <c r="CK262" s="138">
        <f>-'LCFS Table'!$CA262</f>
        <v>1</v>
      </c>
      <c r="CL262" s="138">
        <f>1-'LCFS Table'!$CB262</f>
        <v>0</v>
      </c>
      <c r="CM262" s="138">
        <f>1-'LCFS Table'!$CC262</f>
        <v>1</v>
      </c>
      <c r="CN262" s="138">
        <f>1-'LCFS Table'!$CD262</f>
        <v>0</v>
      </c>
      <c r="CO262" s="138">
        <f>1-'LCFS Table'!$CE262</f>
        <v>0</v>
      </c>
      <c r="CP262" s="138">
        <f>-'LCFS Table'!$CF262</f>
        <v>1</v>
      </c>
      <c r="CQ262" s="140">
        <v>10.45</v>
      </c>
      <c r="CR262" s="165">
        <f>('LCFS Table'!$CQ262*0.9/(0.8/0.99)/100)</f>
        <v>0.11638687499999997</v>
      </c>
      <c r="CS262" s="166"/>
      <c r="CT262" s="167"/>
      <c r="CW262" s="168">
        <f>'LCFS Table'!$K262-'LCFS Table'!$M262</f>
        <v>-0.15652361732500042</v>
      </c>
      <c r="CX262" s="129">
        <f>MONTH('LCFS Table'!$B262)</f>
        <v>12</v>
      </c>
      <c r="CY262" s="129">
        <f>YEAR('LCFS Table'!$B262)</f>
        <v>2023</v>
      </c>
    </row>
    <row r="263" spans="1:103">
      <c r="A263" s="148">
        <v>45284</v>
      </c>
      <c r="B263" s="149">
        <v>45290</v>
      </c>
      <c r="C263" s="132">
        <f t="shared" si="5"/>
        <v>2023</v>
      </c>
      <c r="D263" s="150" t="s">
        <v>308</v>
      </c>
      <c r="E263" s="187">
        <f>'LCFS Table'!$K263-'LCFS Table'!$I263</f>
        <v>-1.208936858573217</v>
      </c>
      <c r="F263" s="187">
        <f>('LCFS Table'!$M263)-'LCFS Table'!$J263</f>
        <v>-2.036112740721876</v>
      </c>
      <c r="G263" s="188">
        <f>'LCFS Table'!$E263+'LCFS Table'!$AS263+'LCFS Table'!$AT263+'LCFS Table'!$AU263+'LCFS Table'!$AV263</f>
        <v>1.8366302148042477</v>
      </c>
      <c r="H263" s="188">
        <f>'LCFS Table'!$F263+'LCFS Table'!$AX263+'LCFS Table'!$AY263+'LCFS Table'!$AZ263+'LCFS Table'!$BA263+('LCFS Table'!$CQ263*0.9/(0.8/0.99)/100)+(DG263*'LCFS Table'!$AF263)+(DF263*'LCFS Table'!$AG263)</f>
        <v>0.62477480468749913</v>
      </c>
      <c r="I263" s="187">
        <f>('LCFS Table'!$V263+'LCFS Table'!$W263+'LCFS Table'!$X263)/100+(('LCFS Table'!$AI263+'LCFS Table'!$AJ263)/340)</f>
        <v>3.8407368585732171</v>
      </c>
      <c r="J263" s="187">
        <f>(('LCFS Table'!$Y263+'LCFS Table'!$Z263)/100)+(('LCFS Table'!$AM263+'LCFS Table'!$AN263)/300)</f>
        <v>4.8546689453125005</v>
      </c>
      <c r="K263" s="190">
        <f>'[1]Fuel Values'!$C262</f>
        <v>2.6318000000000001</v>
      </c>
      <c r="L263" s="190">
        <f>'[1]Fuel Values'!$B262</f>
        <v>536.25</v>
      </c>
      <c r="M263" s="185">
        <f>('LCFS Table'!$L263/100)-'LCFS Table'!$AX263-'LCFS Table'!$AY263-'LCFS Table'!$AZ263-'LCFS Table'!$BA263</f>
        <v>2.8185562045906245</v>
      </c>
      <c r="N263" s="190">
        <f>[1]BFT!$B262</f>
        <v>43</v>
      </c>
      <c r="O263" s="190">
        <f>[1]UCO!$B262</f>
        <v>35.5</v>
      </c>
      <c r="P263" s="190">
        <f>[1]DCO!$B262</f>
        <v>46.25</v>
      </c>
      <c r="Q263" s="190">
        <f>'[1]Soybean Oil'!$B262</f>
        <v>57.682499999999997</v>
      </c>
      <c r="R263" s="190">
        <f>'[1]Yellow Grease'!$B262</f>
        <v>33.5</v>
      </c>
      <c r="S263" s="185">
        <f>'LCFS Table'!$N263 + 'LCFS Table'!$AH263</f>
        <v>47.375</v>
      </c>
      <c r="T263" s="185">
        <f>'LCFS Table'!$Q263+'LCFS Table'!$AH263</f>
        <v>62.057499999999997</v>
      </c>
      <c r="U263" s="185">
        <f>'LCFS Table'!$P263+'LCFS Table'!$AH263</f>
        <v>50.625</v>
      </c>
      <c r="V263" s="185">
        <f>(('LCFS Table'!$S263/'LCFS Table'!$AA263)*'LCFS Table'!$AC263)*6.48</f>
        <v>163.29255319148939</v>
      </c>
      <c r="W263" s="185">
        <f>(('LCFS Table'!$O263/'LCFS Table'!$AA263)*'LCFS Table'!$AD263)*6.48</f>
        <v>61.180851063829799</v>
      </c>
      <c r="X263" s="185">
        <f>(('LCFS Table'!$U263/'LCFS Table'!$AA263)*'LCFS Table'!$AE263)*6.48</f>
        <v>87.247340425531931</v>
      </c>
      <c r="Y263" s="185">
        <f>(('LCFS Table'!$T263/'LCFS Table'!$AB263)*'LCFS Table'!$AF263)*7.35</f>
        <v>356.34580078124998</v>
      </c>
      <c r="Z263" s="185">
        <f>(('LCFS Table'!$R263/'LCFS Table'!$AB263)*'LCFS Table'!$AG263)*7.35</f>
        <v>64.12109375</v>
      </c>
      <c r="AA263" s="138">
        <v>0.94</v>
      </c>
      <c r="AB263" s="138">
        <v>0.96</v>
      </c>
      <c r="AC263" s="138">
        <v>0.5</v>
      </c>
      <c r="AD263" s="138">
        <v>0.25</v>
      </c>
      <c r="AE263" s="138">
        <v>0.25</v>
      </c>
      <c r="AF263" s="138">
        <v>0.75</v>
      </c>
      <c r="AG263" s="138">
        <v>0.25</v>
      </c>
      <c r="AH263" s="139">
        <v>4.375</v>
      </c>
      <c r="AI263" s="139">
        <v>136</v>
      </c>
      <c r="AJ263" s="139">
        <v>110</v>
      </c>
      <c r="AK263" s="186">
        <f>('LCFS Table'!$AI263/340)*100</f>
        <v>40</v>
      </c>
      <c r="AL263" s="186">
        <f>('LCFS Table'!$AJ263/340)*100</f>
        <v>32.352941176470587</v>
      </c>
      <c r="AM263" s="139">
        <v>105</v>
      </c>
      <c r="AN263" s="139">
        <v>90</v>
      </c>
      <c r="AO263" s="139">
        <f>('LCFS Table'!$AM263/300)*100</f>
        <v>35</v>
      </c>
      <c r="AP263" s="139">
        <f>('LCFS Table'!$AN263/300)*100</f>
        <v>30</v>
      </c>
      <c r="AQ263" s="140">
        <f>'[1]LCFS Values'!$B262</f>
        <v>67.875</v>
      </c>
      <c r="AR263" s="140">
        <f>'[1]RIN Values'!$B262/100</f>
        <v>0.78374999999999995</v>
      </c>
      <c r="AS263" s="185">
        <v>0.55319207337746468</v>
      </c>
      <c r="AT263" s="137">
        <v>0.16</v>
      </c>
      <c r="AU263" s="137">
        <v>1</v>
      </c>
      <c r="AV263" s="185">
        <f>'LCFS Table'!$AR263*1.7</f>
        <v>1.3323749999999999</v>
      </c>
      <c r="AW263" s="137">
        <v>0</v>
      </c>
      <c r="AX263" s="185">
        <v>0.36831879540937507</v>
      </c>
      <c r="AY263" s="137">
        <v>0</v>
      </c>
      <c r="AZ263" s="141">
        <v>1</v>
      </c>
      <c r="BA263" s="185">
        <f>'LCFS Table'!$AR263*1.5</f>
        <v>1.1756249999999999</v>
      </c>
      <c r="BB263" s="142">
        <v>1.2</v>
      </c>
      <c r="BC263" s="185">
        <f>'LCFS Table'!$AS263*'LCFS Table'!$BW263</f>
        <v>0.55319207337746468</v>
      </c>
      <c r="BD263" s="185">
        <f>'LCFS Table'!$AT263*'LCFS Table'!$BX263</f>
        <v>0</v>
      </c>
      <c r="BE263" s="185">
        <f>'LCFS Table'!$AU263*'LCFS Table'!$BY263</f>
        <v>1</v>
      </c>
      <c r="BF263" s="137">
        <f>'LCFS Table'!$AV263*'LCFS Table'!$BZ263</f>
        <v>1.3323749999999999</v>
      </c>
      <c r="BG263" s="137">
        <f>'LCFS Table'!$AW263*'LCFS Table'!$CA263</f>
        <v>0</v>
      </c>
      <c r="BH263" s="137">
        <f>'LCFS Table'!$AX263*'LCFS Table'!$CB263</f>
        <v>0.36831879540937507</v>
      </c>
      <c r="BI263" s="137">
        <f>'LCFS Table'!$AY263*'LCFS Table'!$CC263</f>
        <v>0</v>
      </c>
      <c r="BJ263" s="137">
        <f>'LCFS Table'!$AZ263*'LCFS Table'!$CD263</f>
        <v>1</v>
      </c>
      <c r="BK263" s="137">
        <f>'LCFS Table'!$BA263*'LCFS Table'!$CE263</f>
        <v>1.1756249999999999</v>
      </c>
      <c r="BL263" s="137">
        <f>'LCFS Table'!$BB263*'LCFS Table'!$CF263</f>
        <v>-1.2</v>
      </c>
      <c r="BM263" s="137">
        <f>'LCFS Table'!$AS263*'LCFS Table'!$CG263</f>
        <v>0</v>
      </c>
      <c r="BN263" s="137">
        <f>'LCFS Table'!$AT263*'LCFS Table'!$CH263</f>
        <v>0.16</v>
      </c>
      <c r="BO263" s="137">
        <f>'LCFS Table'!$AU263*'LCFS Table'!$CI263</f>
        <v>0</v>
      </c>
      <c r="BP263" s="137">
        <f>'LCFS Table'!$AV263*'LCFS Table'!$CJ263</f>
        <v>0</v>
      </c>
      <c r="BQ263" s="137">
        <f>'LCFS Table'!$AW263*'LCFS Table'!$CK263</f>
        <v>0</v>
      </c>
      <c r="BR263" s="137">
        <f>'LCFS Table'!$AX263*'LCFS Table'!$CL263</f>
        <v>0</v>
      </c>
      <c r="BS263" s="137">
        <f>'LCFS Table'!$AY263*'LCFS Table'!$CM263</f>
        <v>0</v>
      </c>
      <c r="BT263" s="137">
        <f>'LCFS Table'!$AZ263*'LCFS Table'!$CN263</f>
        <v>0</v>
      </c>
      <c r="BU263" s="137">
        <f>'LCFS Table'!$BA263*'LCFS Table'!$CO263</f>
        <v>0</v>
      </c>
      <c r="BV263" s="142">
        <f>'LCFS Table'!$BB263*'LCFS Table'!$CP263</f>
        <v>1.2</v>
      </c>
      <c r="BW263" s="138">
        <v>1</v>
      </c>
      <c r="BX263" s="138">
        <v>0</v>
      </c>
      <c r="BY263" s="138">
        <v>1</v>
      </c>
      <c r="BZ263" s="138">
        <v>1</v>
      </c>
      <c r="CA263" s="138">
        <v>-1</v>
      </c>
      <c r="CB263" s="138">
        <v>1</v>
      </c>
      <c r="CC263" s="138">
        <v>0</v>
      </c>
      <c r="CD263" s="138">
        <v>1</v>
      </c>
      <c r="CE263" s="138">
        <v>1</v>
      </c>
      <c r="CF263" s="138">
        <v>-1</v>
      </c>
      <c r="CG263" s="138">
        <f>1-'LCFS Table'!$BW263</f>
        <v>0</v>
      </c>
      <c r="CH263" s="138">
        <f>1-'LCFS Table'!$BX263</f>
        <v>1</v>
      </c>
      <c r="CI263" s="138">
        <f>1-'LCFS Table'!$BY263</f>
        <v>0</v>
      </c>
      <c r="CJ263" s="138">
        <f>1-'LCFS Table'!$BZ263</f>
        <v>0</v>
      </c>
      <c r="CK263" s="138">
        <f>-'LCFS Table'!$CA263</f>
        <v>1</v>
      </c>
      <c r="CL263" s="138">
        <f>1-'LCFS Table'!$CB263</f>
        <v>0</v>
      </c>
      <c r="CM263" s="138">
        <f>1-'LCFS Table'!$CC263</f>
        <v>1</v>
      </c>
      <c r="CN263" s="138">
        <f>1-'LCFS Table'!$CD263</f>
        <v>0</v>
      </c>
      <c r="CO263" s="138">
        <f>1-'LCFS Table'!$CE263</f>
        <v>0</v>
      </c>
      <c r="CP263" s="138">
        <f>-'LCFS Table'!$CF263</f>
        <v>1</v>
      </c>
      <c r="CQ263" s="140">
        <v>10.5</v>
      </c>
      <c r="CR263" s="165">
        <f>('LCFS Table'!$CQ263*0.9/(0.8/0.99)/100)</f>
        <v>0.11694374999999999</v>
      </c>
      <c r="CS263" s="166"/>
      <c r="CT263" s="167"/>
      <c r="CW263" s="168">
        <f>'LCFS Table'!$K263-'LCFS Table'!$M263</f>
        <v>-0.18675620459062436</v>
      </c>
      <c r="CX263" s="129">
        <f>MONTH('LCFS Table'!$B263)</f>
        <v>12</v>
      </c>
      <c r="CY263" s="129">
        <f>YEAR('LCFS Table'!$B263)</f>
        <v>2023</v>
      </c>
    </row>
    <row r="264" spans="1:103">
      <c r="A264" s="169">
        <v>45291</v>
      </c>
      <c r="B264" s="170">
        <v>45297</v>
      </c>
      <c r="C264" s="171">
        <f t="shared" si="5"/>
        <v>2024</v>
      </c>
      <c r="D264" s="172" t="s">
        <v>256</v>
      </c>
      <c r="E264" s="207">
        <f>'LCFS Table'!$K264-'LCFS Table'!$I264</f>
        <v>-1.1453996245306639</v>
      </c>
      <c r="F264" s="207">
        <f>('LCFS Table'!$M264)-'LCFS Table'!$J264</f>
        <v>-2.039040804984376</v>
      </c>
      <c r="G264" s="208">
        <f>'LCFS Table'!$E264+'LCFS Table'!$AS264+'LCFS Table'!$AT264+'LCFS Table'!$AU264+'LCFS Table'!$AV264</f>
        <v>1.8962672893863595</v>
      </c>
      <c r="H264" s="208">
        <f>'LCFS Table'!$F264+'LCFS Table'!$AX264+'LCFS Table'!$AY264+'LCFS Table'!$AZ264+'LCFS Table'!$BA264+('LCFS Table'!$CQ264*0.9/(0.8/0.99)/100)+(DG264*'LCFS Table'!$AF264)+(DF264*'LCFS Table'!$AG264)</f>
        <v>0.62156249999999891</v>
      </c>
      <c r="I264" s="207">
        <f>('LCFS Table'!$V264+'LCFS Table'!$W264+'LCFS Table'!$X264)/100+(('LCFS Table'!$AI264+'LCFS Table'!$AJ264)/340)</f>
        <v>3.8471996245306639</v>
      </c>
      <c r="J264" s="207">
        <f>(('LCFS Table'!$Y264+'LCFS Table'!$Z264)/100)+(('LCFS Table'!$AM264+'LCFS Table'!$AN264)/300)</f>
        <v>4.8467734375000004</v>
      </c>
      <c r="K264" s="175">
        <f>'[1]Fuel Values'!$C263</f>
        <v>2.7018</v>
      </c>
      <c r="L264" s="175">
        <f>'[1]Fuel Values'!$B263</f>
        <v>535</v>
      </c>
      <c r="M264" s="175">
        <f>('LCFS Table'!$L264/100)-'LCFS Table'!$AX264-'LCFS Table'!$AY264-'LCFS Table'!$AZ264-'LCFS Table'!$BA264</f>
        <v>2.8077326325156244</v>
      </c>
      <c r="N264" s="175">
        <f>[1]BFT!$B263</f>
        <v>43</v>
      </c>
      <c r="O264" s="175">
        <f>[1]UCO!$B263</f>
        <v>34.125</v>
      </c>
      <c r="P264" s="175">
        <f>[1]DCO!$B263</f>
        <v>48</v>
      </c>
      <c r="Q264" s="175">
        <f>'[1]Soybean Oil'!$B263</f>
        <v>57.545000000000002</v>
      </c>
      <c r="R264" s="175">
        <f>'[1]Yellow Grease'!$B263</f>
        <v>33.5</v>
      </c>
      <c r="S264" s="175">
        <f>'LCFS Table'!$N264 + 'LCFS Table'!$AH264</f>
        <v>47.375</v>
      </c>
      <c r="T264" s="175">
        <f>'LCFS Table'!$Q264+'LCFS Table'!$AH264</f>
        <v>61.92</v>
      </c>
      <c r="U264" s="175">
        <f>'LCFS Table'!$P264+'LCFS Table'!$AH264</f>
        <v>52.375</v>
      </c>
      <c r="V264" s="175">
        <f>(('LCFS Table'!$S264/'LCFS Table'!$AA264)*'LCFS Table'!$AC264)*6.48</f>
        <v>163.29255319148939</v>
      </c>
      <c r="W264" s="175">
        <f>(('LCFS Table'!$O264/'LCFS Table'!$AA264)*'LCFS Table'!$AD264)*6.48</f>
        <v>58.811170212765958</v>
      </c>
      <c r="X264" s="175">
        <f>(('LCFS Table'!$U264/'LCFS Table'!$AA264)*'LCFS Table'!$AE264)*6.48</f>
        <v>90.263297872340431</v>
      </c>
      <c r="Y264" s="175">
        <f>(('LCFS Table'!$T264/'LCFS Table'!$AB264)*'LCFS Table'!$AF264)*7.35</f>
        <v>355.55624999999998</v>
      </c>
      <c r="Z264" s="175">
        <f>(('LCFS Table'!$R264/'LCFS Table'!$AB264)*'LCFS Table'!$AG264)*7.35</f>
        <v>64.12109375</v>
      </c>
      <c r="AA264" s="176">
        <v>0.94</v>
      </c>
      <c r="AB264" s="176">
        <v>0.96</v>
      </c>
      <c r="AC264" s="176">
        <v>0.5</v>
      </c>
      <c r="AD264" s="176">
        <v>0.25</v>
      </c>
      <c r="AE264" s="176">
        <v>0.25</v>
      </c>
      <c r="AF264" s="176">
        <v>0.75</v>
      </c>
      <c r="AG264" s="176">
        <v>0.25</v>
      </c>
      <c r="AH264" s="177">
        <v>4.375</v>
      </c>
      <c r="AI264" s="177">
        <v>136</v>
      </c>
      <c r="AJ264" s="177">
        <v>110</v>
      </c>
      <c r="AK264" s="177">
        <f>('LCFS Table'!$AI264/340)*100</f>
        <v>40</v>
      </c>
      <c r="AL264" s="177">
        <f>('LCFS Table'!$AJ264/340)*100</f>
        <v>32.352941176470587</v>
      </c>
      <c r="AM264" s="177">
        <v>105</v>
      </c>
      <c r="AN264" s="177">
        <v>90</v>
      </c>
      <c r="AO264" s="177">
        <f>('LCFS Table'!$AM264/300)*100</f>
        <v>35</v>
      </c>
      <c r="AP264" s="177">
        <f>('LCFS Table'!$AN264/300)*100</f>
        <v>30</v>
      </c>
      <c r="AQ264" s="175">
        <f>'[1]LCFS Values'!$B263</f>
        <v>66.875</v>
      </c>
      <c r="AR264" s="175">
        <f>'[1]RIN Values'!$B263/100</f>
        <v>0.78625</v>
      </c>
      <c r="AS264" s="175">
        <v>0.54504191391702339</v>
      </c>
      <c r="AT264" s="175">
        <v>0.16</v>
      </c>
      <c r="AU264" s="175">
        <v>1</v>
      </c>
      <c r="AV264" s="175">
        <f>'LCFS Table'!$AR264*1.7</f>
        <v>1.336625</v>
      </c>
      <c r="AW264" s="175">
        <v>0</v>
      </c>
      <c r="AX264" s="175">
        <v>0.36289236748437498</v>
      </c>
      <c r="AY264" s="175">
        <v>0</v>
      </c>
      <c r="AZ264" s="141">
        <v>1</v>
      </c>
      <c r="BA264" s="175">
        <f>'LCFS Table'!$AR264*1.5</f>
        <v>1.1793750000000001</v>
      </c>
      <c r="BB264" s="142">
        <v>1.2</v>
      </c>
      <c r="BC264" s="175">
        <f>'LCFS Table'!$AS264*'LCFS Table'!$BW264</f>
        <v>0.54504191391702339</v>
      </c>
      <c r="BD264" s="175">
        <f>'LCFS Table'!$AT264*'LCFS Table'!$BX264</f>
        <v>0</v>
      </c>
      <c r="BE264" s="175">
        <f>'LCFS Table'!$AU264*'LCFS Table'!$BY264</f>
        <v>1</v>
      </c>
      <c r="BF264" s="175">
        <f>'LCFS Table'!$AV264*'LCFS Table'!$BZ264</f>
        <v>1.336625</v>
      </c>
      <c r="BG264" s="175">
        <f>'LCFS Table'!$AW264*'LCFS Table'!$CA264</f>
        <v>0</v>
      </c>
      <c r="BH264" s="175">
        <f>'LCFS Table'!$AX264*'LCFS Table'!$CB264</f>
        <v>0.36289236748437498</v>
      </c>
      <c r="BI264" s="175">
        <f>'LCFS Table'!$AY264*'LCFS Table'!$CC264</f>
        <v>0</v>
      </c>
      <c r="BJ264" s="175">
        <f>'LCFS Table'!$AZ264*'LCFS Table'!$CD264</f>
        <v>1</v>
      </c>
      <c r="BK264" s="175">
        <f>'LCFS Table'!$BA264*'LCFS Table'!$CE264</f>
        <v>1.1793750000000001</v>
      </c>
      <c r="BL264" s="175">
        <f>'LCFS Table'!$BB264*'LCFS Table'!$CF264</f>
        <v>-1.2</v>
      </c>
      <c r="BM264" s="175">
        <f>'LCFS Table'!$AS264*'LCFS Table'!$CG264</f>
        <v>0</v>
      </c>
      <c r="BN264" s="175">
        <f>'LCFS Table'!$AT264*'LCFS Table'!$CH264</f>
        <v>0.16</v>
      </c>
      <c r="BO264" s="175">
        <f>'LCFS Table'!$AU264*'LCFS Table'!$CI264</f>
        <v>0</v>
      </c>
      <c r="BP264" s="175">
        <f>'LCFS Table'!$AV264*'LCFS Table'!$CJ264</f>
        <v>0</v>
      </c>
      <c r="BQ264" s="175">
        <f>'LCFS Table'!$AW264*'LCFS Table'!$CK264</f>
        <v>0</v>
      </c>
      <c r="BR264" s="175">
        <f>'LCFS Table'!$AX264*'LCFS Table'!$CL264</f>
        <v>0</v>
      </c>
      <c r="BS264" s="175">
        <f>'LCFS Table'!$AY264*'LCFS Table'!$CM264</f>
        <v>0</v>
      </c>
      <c r="BT264" s="175">
        <f>'LCFS Table'!$AZ264*'LCFS Table'!$CN264</f>
        <v>0</v>
      </c>
      <c r="BU264" s="175">
        <f>'LCFS Table'!$BA264*'LCFS Table'!$CO264</f>
        <v>0</v>
      </c>
      <c r="BV264" s="210">
        <f>'LCFS Table'!$BB264*'LCFS Table'!$CP264</f>
        <v>1.2</v>
      </c>
      <c r="BW264" s="176">
        <v>1</v>
      </c>
      <c r="BX264" s="176">
        <v>0</v>
      </c>
      <c r="BY264" s="176">
        <v>1</v>
      </c>
      <c r="BZ264" s="176">
        <v>1</v>
      </c>
      <c r="CA264" s="176">
        <v>-1</v>
      </c>
      <c r="CB264" s="176">
        <v>1</v>
      </c>
      <c r="CC264" s="176">
        <v>0</v>
      </c>
      <c r="CD264" s="176">
        <v>1</v>
      </c>
      <c r="CE264" s="176">
        <v>1</v>
      </c>
      <c r="CF264" s="176">
        <v>-1</v>
      </c>
      <c r="CG264" s="176">
        <f>1-'LCFS Table'!$BW264</f>
        <v>0</v>
      </c>
      <c r="CH264" s="176">
        <f>1-'LCFS Table'!$BX264</f>
        <v>1</v>
      </c>
      <c r="CI264" s="176">
        <f>1-'LCFS Table'!$BY264</f>
        <v>0</v>
      </c>
      <c r="CJ264" s="176">
        <f>1-'LCFS Table'!$BZ264</f>
        <v>0</v>
      </c>
      <c r="CK264" s="176">
        <f>-'LCFS Table'!$CA264</f>
        <v>1</v>
      </c>
      <c r="CL264" s="176">
        <f>1-'LCFS Table'!$CB264</f>
        <v>0</v>
      </c>
      <c r="CM264" s="176">
        <f>1-'LCFS Table'!$CC264</f>
        <v>1</v>
      </c>
      <c r="CN264" s="176">
        <f>1-'LCFS Table'!$CD264</f>
        <v>0</v>
      </c>
      <c r="CO264" s="176">
        <f>1-'LCFS Table'!$CE264</f>
        <v>0</v>
      </c>
      <c r="CP264" s="176">
        <f>-'LCFS Table'!$CF264</f>
        <v>1</v>
      </c>
      <c r="CQ264" s="175">
        <v>10.625</v>
      </c>
      <c r="CR264" s="178">
        <f>('LCFS Table'!$CQ264*0.9/(0.8/0.99)/100)</f>
        <v>0.11833593749999999</v>
      </c>
      <c r="CS264" s="176"/>
      <c r="CT264" s="179"/>
      <c r="CW264" s="168">
        <f>'LCFS Table'!$K264-'LCFS Table'!$M264</f>
        <v>-0.10593263251562446</v>
      </c>
      <c r="CX264" s="129">
        <f>MONTH('LCFS Table'!$B264)</f>
        <v>1</v>
      </c>
      <c r="CY264" s="129">
        <f>YEAR('LCFS Table'!$B264)</f>
        <v>2024</v>
      </c>
    </row>
    <row r="265" spans="1:103">
      <c r="A265" s="148">
        <v>45298</v>
      </c>
      <c r="B265" s="149">
        <v>45304</v>
      </c>
      <c r="C265" s="132">
        <f t="shared" si="5"/>
        <v>2024</v>
      </c>
      <c r="D265" s="150" t="s">
        <v>258</v>
      </c>
      <c r="E265" s="187">
        <f>'LCFS Table'!$K265-'LCFS Table'!$I265</f>
        <v>-1.2851326032540684</v>
      </c>
      <c r="F265" s="187">
        <f>('LCFS Table'!$M265)-'LCFS Table'!$J265</f>
        <v>-2.0709826707125001</v>
      </c>
      <c r="G265" s="188">
        <f>'LCFS Table'!$E265+'LCFS Table'!$AS265+'LCFS Table'!$AT265+'LCFS Table'!$AU265+'LCFS Table'!$AV265</f>
        <v>1.7882211480099075</v>
      </c>
      <c r="H265" s="188">
        <f>'LCFS Table'!$F265+'LCFS Table'!$AX265+'LCFS Table'!$AY265+'LCFS Table'!$AZ265+'LCFS Table'!$BA265+('LCFS Table'!$CQ265*0.9/(0.8/0.99)/100)+(DG265*'LCFS Table'!$AF265)+(DF265*'LCFS Table'!$AG265)</f>
        <v>0.60557835937499993</v>
      </c>
      <c r="I265" s="187">
        <f>('LCFS Table'!$V265+'LCFS Table'!$W265+'LCFS Table'!$X265)/100+(('LCFS Table'!$AI265+'LCFS Table'!$AJ265)/340)</f>
        <v>3.7373326032540684</v>
      </c>
      <c r="J265" s="187">
        <f>(('LCFS Table'!$Y265+'LCFS Table'!$Z265)/100)+(('LCFS Table'!$AM265+'LCFS Table'!$AN265)/300)</f>
        <v>4.763569140625</v>
      </c>
      <c r="K265" s="190">
        <f>'[1]Fuel Values'!$C264</f>
        <v>2.4521999999999999</v>
      </c>
      <c r="L265" s="190">
        <f>'[1]Fuel Values'!$B264</f>
        <v>526</v>
      </c>
      <c r="M265" s="185">
        <f>('LCFS Table'!$L265/100)-'LCFS Table'!$AX265-'LCFS Table'!$AY265-'LCFS Table'!$AZ265-'LCFS Table'!$BA265</f>
        <v>2.6925864699124999</v>
      </c>
      <c r="N265" s="190">
        <f>[1]BFT!$B264</f>
        <v>41.8</v>
      </c>
      <c r="O265" s="190">
        <f>[1]UCO!$B264</f>
        <v>32.75</v>
      </c>
      <c r="P265" s="190">
        <f>[1]DCO!$B264</f>
        <v>45.4</v>
      </c>
      <c r="Q265" s="190">
        <f>'[1]Soybean Oil'!$B264</f>
        <v>56.795999999999999</v>
      </c>
      <c r="R265" s="190">
        <f>'[1]Yellow Grease'!$B264</f>
        <v>31.4</v>
      </c>
      <c r="S265" s="185">
        <f>'LCFS Table'!$N265 + 'LCFS Table'!$AH265</f>
        <v>46.174999999999997</v>
      </c>
      <c r="T265" s="185">
        <f>'LCFS Table'!$Q265+'LCFS Table'!$AH265</f>
        <v>61.170999999999999</v>
      </c>
      <c r="U265" s="185">
        <f>'LCFS Table'!$P265+'LCFS Table'!$AH265</f>
        <v>49.774999999999999</v>
      </c>
      <c r="V265" s="185">
        <f>(('LCFS Table'!$S265/'LCFS Table'!$AA265)*'LCFS Table'!$AC265)*6.48</f>
        <v>159.15638297872343</v>
      </c>
      <c r="W265" s="185">
        <f>(('LCFS Table'!$O265/'LCFS Table'!$AA265)*'LCFS Table'!$AD265)*6.48</f>
        <v>56.441489361702132</v>
      </c>
      <c r="X265" s="185">
        <f>(('LCFS Table'!$U265/'LCFS Table'!$AA265)*'LCFS Table'!$AE265)*6.48</f>
        <v>85.782446808510656</v>
      </c>
      <c r="Y265" s="185">
        <f>(('LCFS Table'!$T265/'LCFS Table'!$AB265)*'LCFS Table'!$AF265)*7.35</f>
        <v>351.25535156249998</v>
      </c>
      <c r="Z265" s="185">
        <f>(('LCFS Table'!$R265/'LCFS Table'!$AB265)*'LCFS Table'!$AG265)*7.35</f>
        <v>60.1015625</v>
      </c>
      <c r="AA265" s="138">
        <v>0.94</v>
      </c>
      <c r="AB265" s="138">
        <v>0.96</v>
      </c>
      <c r="AC265" s="138">
        <v>0.5</v>
      </c>
      <c r="AD265" s="138">
        <v>0.25</v>
      </c>
      <c r="AE265" s="138">
        <v>0.25</v>
      </c>
      <c r="AF265" s="138">
        <v>0.75</v>
      </c>
      <c r="AG265" s="138">
        <v>0.25</v>
      </c>
      <c r="AH265" s="139">
        <v>4.375</v>
      </c>
      <c r="AI265" s="139">
        <v>136</v>
      </c>
      <c r="AJ265" s="139">
        <v>110</v>
      </c>
      <c r="AK265" s="186">
        <f>('LCFS Table'!$AI265/340)*100</f>
        <v>40</v>
      </c>
      <c r="AL265" s="186">
        <f>('LCFS Table'!$AJ265/340)*100</f>
        <v>32.352941176470587</v>
      </c>
      <c r="AM265" s="139">
        <v>105</v>
      </c>
      <c r="AN265" s="139">
        <v>90</v>
      </c>
      <c r="AO265" s="139">
        <f>('LCFS Table'!$AM265/300)*100</f>
        <v>35</v>
      </c>
      <c r="AP265" s="139">
        <f>('LCFS Table'!$AN265/300)*100</f>
        <v>30</v>
      </c>
      <c r="AQ265" s="140">
        <f>'[1]LCFS Values'!$B264</f>
        <v>67.900000000000006</v>
      </c>
      <c r="AR265" s="140">
        <f>'[1]RIN Values'!$B264/100</f>
        <v>0.80650000000000011</v>
      </c>
      <c r="AS265" s="185">
        <f>((('[2]Controls 2'!$B$2-SUM(('[2]Controls 2'!$B$5*'LCFS Table'!$AC265),('[2]Controls 2'!$B$6*'LCFS Table'!$AD265),('[2]Controls 2'!$B$7*'LCFS Table'!$AE265)))/1000000)*'LCFS Table'!$AQ265)*'[2]Controls 2'!$B$8</f>
        <v>0.54230375126397568</v>
      </c>
      <c r="AT265" s="137">
        <v>0.16</v>
      </c>
      <c r="AU265" s="137">
        <v>1</v>
      </c>
      <c r="AV265" s="185">
        <f>'LCFS Table'!$AR265*1.7</f>
        <v>1.3710500000000001</v>
      </c>
      <c r="AW265" s="137">
        <v>0</v>
      </c>
      <c r="AX265" s="185">
        <f>(((('[2]Controls 2'!$B$2-SUM(('LCFS Table'!$AF265*'[2]Controls 2'!$B$12),('LCFS Table'!$AG265*'[2]Controls 2'!$B$13)))/1000000)*'LCFS Table'!$AQ265)*'[2]Controls 2'!$B$14)</f>
        <v>0.35766353008749996</v>
      </c>
      <c r="AY265" s="137">
        <v>0</v>
      </c>
      <c r="AZ265" s="141">
        <v>1</v>
      </c>
      <c r="BA265" s="185">
        <f>'LCFS Table'!$AR265*1.5</f>
        <v>1.2097500000000001</v>
      </c>
      <c r="BB265" s="136">
        <v>1.2</v>
      </c>
      <c r="BC265" s="185">
        <f>'LCFS Table'!$AS265*'LCFS Table'!$BW265</f>
        <v>0.54230375126397568</v>
      </c>
      <c r="BD265" s="185">
        <f>'LCFS Table'!$AT265*'LCFS Table'!$BX265</f>
        <v>0</v>
      </c>
      <c r="BE265" s="185">
        <f>'LCFS Table'!$AU265*'LCFS Table'!$BY265</f>
        <v>1</v>
      </c>
      <c r="BF265" s="137">
        <f>'LCFS Table'!$AV265*'LCFS Table'!$BZ265</f>
        <v>1.3710500000000001</v>
      </c>
      <c r="BG265" s="137">
        <f>'LCFS Table'!$AW265*'LCFS Table'!$CA265</f>
        <v>0</v>
      </c>
      <c r="BH265" s="137">
        <f>'LCFS Table'!$AX265*'LCFS Table'!$CB265</f>
        <v>0.35766353008749996</v>
      </c>
      <c r="BI265" s="137">
        <f>'LCFS Table'!$AY265*'LCFS Table'!$CC265</f>
        <v>0</v>
      </c>
      <c r="BJ265" s="137">
        <f>'LCFS Table'!$AZ265*'LCFS Table'!$CD265</f>
        <v>1</v>
      </c>
      <c r="BK265" s="137">
        <f>'LCFS Table'!$BA265*'LCFS Table'!$CE265</f>
        <v>1.2097500000000001</v>
      </c>
      <c r="BL265" s="137">
        <f>'LCFS Table'!$BB265*'LCFS Table'!$CF265</f>
        <v>-1.2</v>
      </c>
      <c r="BM265" s="137">
        <f>'LCFS Table'!$AS265*'LCFS Table'!$CG265</f>
        <v>0</v>
      </c>
      <c r="BN265" s="137">
        <f>'LCFS Table'!$AT265*'LCFS Table'!$CH265</f>
        <v>0.16</v>
      </c>
      <c r="BO265" s="137">
        <f>'LCFS Table'!$AU265*'LCFS Table'!$CI265</f>
        <v>0</v>
      </c>
      <c r="BP265" s="137">
        <f>'LCFS Table'!$AV265*'LCFS Table'!$CJ265</f>
        <v>0</v>
      </c>
      <c r="BQ265" s="137">
        <f>'LCFS Table'!$AW265*'LCFS Table'!$CK265</f>
        <v>0</v>
      </c>
      <c r="BR265" s="137">
        <f>'LCFS Table'!$AX265*'LCFS Table'!$CL265</f>
        <v>0</v>
      </c>
      <c r="BS265" s="137">
        <f>'LCFS Table'!$AY265*'LCFS Table'!$CM265</f>
        <v>0</v>
      </c>
      <c r="BT265" s="137">
        <f>'LCFS Table'!$AZ265*'LCFS Table'!$CN265</f>
        <v>0</v>
      </c>
      <c r="BU265" s="137">
        <f>'LCFS Table'!$BA265*'LCFS Table'!$CO265</f>
        <v>0</v>
      </c>
      <c r="BV265" s="136">
        <f>'LCFS Table'!$BB265*'LCFS Table'!$CP265</f>
        <v>1.2</v>
      </c>
      <c r="BW265" s="138">
        <v>1</v>
      </c>
      <c r="BX265" s="138">
        <v>0</v>
      </c>
      <c r="BY265" s="138">
        <v>1</v>
      </c>
      <c r="BZ265" s="138">
        <v>1</v>
      </c>
      <c r="CA265" s="138">
        <v>-1</v>
      </c>
      <c r="CB265" s="138">
        <v>1</v>
      </c>
      <c r="CC265" s="138">
        <v>0</v>
      </c>
      <c r="CD265" s="138">
        <v>1</v>
      </c>
      <c r="CE265" s="138">
        <v>1</v>
      </c>
      <c r="CF265" s="138">
        <v>-1</v>
      </c>
      <c r="CG265" s="138">
        <f>1-'LCFS Table'!$BW265</f>
        <v>0</v>
      </c>
      <c r="CH265" s="138">
        <f>1-'LCFS Table'!$BX265</f>
        <v>1</v>
      </c>
      <c r="CI265" s="138">
        <f>1-'LCFS Table'!$BY265</f>
        <v>0</v>
      </c>
      <c r="CJ265" s="138">
        <f>1-'LCFS Table'!$BZ265</f>
        <v>0</v>
      </c>
      <c r="CK265" s="138">
        <f>-'LCFS Table'!$CA265</f>
        <v>1</v>
      </c>
      <c r="CL265" s="138">
        <f>1-'LCFS Table'!$CB265</f>
        <v>0</v>
      </c>
      <c r="CM265" s="138">
        <f>1-'LCFS Table'!$CC265</f>
        <v>1</v>
      </c>
      <c r="CN265" s="138">
        <f>1-'LCFS Table'!$CD265</f>
        <v>0</v>
      </c>
      <c r="CO265" s="138">
        <f>1-'LCFS Table'!$CE265</f>
        <v>0</v>
      </c>
      <c r="CP265" s="138">
        <f>-'LCFS Table'!$CF265</f>
        <v>1</v>
      </c>
      <c r="CQ265" s="140">
        <v>9.8000000000000007</v>
      </c>
      <c r="CR265" s="165">
        <f>('LCFS Table'!$CQ265*0.9/(0.8/0.99)/100)</f>
        <v>0.10914749999999999</v>
      </c>
      <c r="CS265" s="166"/>
      <c r="CT265" s="167"/>
      <c r="CW265" s="168">
        <f>'LCFS Table'!$K265-'LCFS Table'!$M265</f>
        <v>-0.24038646991250001</v>
      </c>
      <c r="CX265" s="129">
        <f>MONTH('LCFS Table'!$B265)</f>
        <v>1</v>
      </c>
      <c r="CY265" s="129">
        <f>YEAR('LCFS Table'!$B265)</f>
        <v>2024</v>
      </c>
    </row>
    <row r="266" spans="1:103">
      <c r="A266" s="148">
        <v>45305</v>
      </c>
      <c r="B266" s="149">
        <v>45311</v>
      </c>
      <c r="C266" s="132">
        <f t="shared" si="5"/>
        <v>2024</v>
      </c>
      <c r="D266" s="150" t="s">
        <v>259</v>
      </c>
      <c r="E266" s="187">
        <f>'LCFS Table'!$K266-'LCFS Table'!$I266</f>
        <v>-1.2828645181476848</v>
      </c>
      <c r="F266" s="187">
        <f>('LCFS Table'!$M266)-'LCFS Table'!$J266</f>
        <v>-1.9766781348947378</v>
      </c>
      <c r="G266" s="188">
        <f>'LCFS Table'!$E266+'LCFS Table'!$AS266+'LCFS Table'!$AT266+'LCFS Table'!$AU266+'LCFS Table'!$AV266</f>
        <v>1.7019470470814326</v>
      </c>
      <c r="H266" s="188">
        <f>'LCFS Table'!$F266+'LCFS Table'!$AX266+'LCFS Table'!$AY266+'LCFS Table'!$AZ266+'LCFS Table'!$BA266+('LCFS Table'!$CQ266*0.9/(0.8/0.99)/100)+(DG266*'LCFS Table'!$AF266)+(DF266*'LCFS Table'!$AG266)</f>
        <v>0.63231230468749944</v>
      </c>
      <c r="I266" s="187">
        <f>('LCFS Table'!$V266+'LCFS Table'!$W266+'LCFS Table'!$X266)/100+(('LCFS Table'!$AI266+'LCFS Table'!$AJ266)/340)</f>
        <v>3.7028645181476847</v>
      </c>
      <c r="J266" s="187">
        <f>(('LCFS Table'!$Y266+'LCFS Table'!$Z266)/100)+(('LCFS Table'!$AM266+'LCFS Table'!$AN266)/300)</f>
        <v>4.6762783203125</v>
      </c>
      <c r="K266" s="190">
        <f>'[1]Fuel Values'!$C265</f>
        <v>2.42</v>
      </c>
      <c r="L266" s="190">
        <f>'[1]Fuel Values'!$B265</f>
        <v>520</v>
      </c>
      <c r="M266" s="185">
        <f>('LCFS Table'!$L266/100)-'LCFS Table'!$AX266-'LCFS Table'!$AY266-'LCFS Table'!$AZ266-'LCFS Table'!$BA266</f>
        <v>2.6996001854177623</v>
      </c>
      <c r="N266" s="190">
        <f>[1]BFT!$B265</f>
        <v>41</v>
      </c>
      <c r="O266" s="190">
        <f>[1]UCO!$B265</f>
        <v>32.75</v>
      </c>
      <c r="P266" s="190">
        <f>[1]DCO!$B265</f>
        <v>45</v>
      </c>
      <c r="Q266" s="190">
        <f>'[1]Soybean Oil'!$B265</f>
        <v>55.7425</v>
      </c>
      <c r="R266" s="190">
        <f>'[1]Yellow Grease'!$B265</f>
        <v>30</v>
      </c>
      <c r="S266" s="185">
        <f>'LCFS Table'!$N266 + 'LCFS Table'!$AH266</f>
        <v>45.375</v>
      </c>
      <c r="T266" s="185">
        <f>'LCFS Table'!$Q266+'LCFS Table'!$AH266</f>
        <v>60.1175</v>
      </c>
      <c r="U266" s="185">
        <f>'LCFS Table'!$P266+'LCFS Table'!$AH266</f>
        <v>49.375</v>
      </c>
      <c r="V266" s="185">
        <f>(('LCFS Table'!$S266/'LCFS Table'!$AA266)*'LCFS Table'!$AC266)*6.48</f>
        <v>156.39893617021278</v>
      </c>
      <c r="W266" s="185">
        <f>(('LCFS Table'!$O266/'LCFS Table'!$AA266)*'LCFS Table'!$AD266)*6.48</f>
        <v>56.441489361702132</v>
      </c>
      <c r="X266" s="185">
        <f>(('LCFS Table'!$U266/'LCFS Table'!$AA266)*'LCFS Table'!$AE266)*6.48</f>
        <v>85.093085106382986</v>
      </c>
      <c r="Y266" s="185">
        <f>(('LCFS Table'!$T266/'LCFS Table'!$AB266)*'LCFS Table'!$AF266)*7.35</f>
        <v>345.20595703124997</v>
      </c>
      <c r="Z266" s="185">
        <f>(('LCFS Table'!$R266/'LCFS Table'!$AB266)*'LCFS Table'!$AG266)*7.35</f>
        <v>57.421875</v>
      </c>
      <c r="AA266" s="138">
        <v>0.94</v>
      </c>
      <c r="AB266" s="138">
        <v>0.96</v>
      </c>
      <c r="AC266" s="138">
        <v>0.5</v>
      </c>
      <c r="AD266" s="138">
        <v>0.25</v>
      </c>
      <c r="AE266" s="138">
        <v>0.25</v>
      </c>
      <c r="AF266" s="138">
        <v>0.75</v>
      </c>
      <c r="AG266" s="138">
        <v>0.25</v>
      </c>
      <c r="AH266" s="139">
        <v>4.375</v>
      </c>
      <c r="AI266" s="139">
        <v>136</v>
      </c>
      <c r="AJ266" s="139">
        <v>110</v>
      </c>
      <c r="AK266" s="186">
        <f>('LCFS Table'!$AI266/340)*100</f>
        <v>40</v>
      </c>
      <c r="AL266" s="186">
        <f>('LCFS Table'!$AJ266/340)*100</f>
        <v>32.352941176470587</v>
      </c>
      <c r="AM266" s="139">
        <v>105</v>
      </c>
      <c r="AN266" s="139">
        <v>90</v>
      </c>
      <c r="AO266" s="139">
        <f>('LCFS Table'!$AM266/300)*100</f>
        <v>35</v>
      </c>
      <c r="AP266" s="139">
        <f>('LCFS Table'!$AN266/300)*100</f>
        <v>30</v>
      </c>
      <c r="AQ266" s="140">
        <f>'[1]LCFS Values'!$B265</f>
        <v>61.656300000000002</v>
      </c>
      <c r="AR266" s="140">
        <f>'[1]RIN Values'!$B265/100</f>
        <v>0.78374999999999995</v>
      </c>
      <c r="AS266" s="185">
        <f>((('[2]Controls 2'!$B$2-SUM(('[2]Controls 2'!$B$5*'LCFS Table'!$AC266),('[2]Controls 2'!$B$6*'LCFS Table'!$AD266),('[2]Controls 2'!$B$7*'LCFS Table'!$AE266)))/1000000)*'LCFS Table'!$AQ266)*'[2]Controls 2'!$B$8</f>
        <v>0.49243656522911733</v>
      </c>
      <c r="AT266" s="137">
        <v>0.16</v>
      </c>
      <c r="AU266" s="137">
        <v>1</v>
      </c>
      <c r="AV266" s="185">
        <f>'LCFS Table'!$AR266*1.7</f>
        <v>1.3323749999999999</v>
      </c>
      <c r="AW266" s="137">
        <v>0</v>
      </c>
      <c r="AX266" s="185">
        <f>(((('[2]Controls 2'!$B$2-SUM(('LCFS Table'!$AF266*'[2]Controls 2'!$B$12),('LCFS Table'!$AG266*'[2]Controls 2'!$B$13)))/1000000)*'LCFS Table'!$AQ266)*'[2]Controls 2'!$B$14)</f>
        <v>0.32477481458223745</v>
      </c>
      <c r="AY266" s="137">
        <v>0</v>
      </c>
      <c r="AZ266" s="141">
        <v>1</v>
      </c>
      <c r="BA266" s="185">
        <f>'LCFS Table'!$AR266*1.5</f>
        <v>1.1756249999999999</v>
      </c>
      <c r="BB266" s="136">
        <v>1.2</v>
      </c>
      <c r="BC266" s="185">
        <f>'LCFS Table'!$AS266*'LCFS Table'!$BW266</f>
        <v>0.49243656522911733</v>
      </c>
      <c r="BD266" s="185">
        <f>'LCFS Table'!$AT266*'LCFS Table'!$BX266</f>
        <v>0</v>
      </c>
      <c r="BE266" s="185">
        <f>'LCFS Table'!$AU266*'LCFS Table'!$BY266</f>
        <v>1</v>
      </c>
      <c r="BF266" s="137">
        <f>'LCFS Table'!$AV266*'LCFS Table'!$BZ266</f>
        <v>1.3323749999999999</v>
      </c>
      <c r="BG266" s="137">
        <f>'LCFS Table'!$AW266*'LCFS Table'!$CA266</f>
        <v>0</v>
      </c>
      <c r="BH266" s="137">
        <f>'LCFS Table'!$AX266*'LCFS Table'!$CB266</f>
        <v>0.32477481458223745</v>
      </c>
      <c r="BI266" s="137">
        <f>'LCFS Table'!$AY266*'LCFS Table'!$CC266</f>
        <v>0</v>
      </c>
      <c r="BJ266" s="137">
        <f>'LCFS Table'!$AZ266*'LCFS Table'!$CD266</f>
        <v>1</v>
      </c>
      <c r="BK266" s="137">
        <f>'LCFS Table'!$BA266*'LCFS Table'!$CE266</f>
        <v>1.1756249999999999</v>
      </c>
      <c r="BL266" s="137">
        <f>'LCFS Table'!$BB266*'LCFS Table'!$CF266</f>
        <v>-1.2</v>
      </c>
      <c r="BM266" s="137">
        <f>'LCFS Table'!$AS266*'LCFS Table'!$CG266</f>
        <v>0</v>
      </c>
      <c r="BN266" s="137">
        <f>'LCFS Table'!$AT266*'LCFS Table'!$CH266</f>
        <v>0.16</v>
      </c>
      <c r="BO266" s="137">
        <f>'LCFS Table'!$AU266*'LCFS Table'!$CI266</f>
        <v>0</v>
      </c>
      <c r="BP266" s="137">
        <f>'LCFS Table'!$AV266*'LCFS Table'!$CJ266</f>
        <v>0</v>
      </c>
      <c r="BQ266" s="137">
        <f>'LCFS Table'!$AW266*'LCFS Table'!$CK266</f>
        <v>0</v>
      </c>
      <c r="BR266" s="137">
        <f>'LCFS Table'!$AX266*'LCFS Table'!$CL266</f>
        <v>0</v>
      </c>
      <c r="BS266" s="137">
        <f>'LCFS Table'!$AY266*'LCFS Table'!$CM266</f>
        <v>0</v>
      </c>
      <c r="BT266" s="137">
        <f>'LCFS Table'!$AZ266*'LCFS Table'!$CN266</f>
        <v>0</v>
      </c>
      <c r="BU266" s="137">
        <f>'LCFS Table'!$BA266*'LCFS Table'!$CO266</f>
        <v>0</v>
      </c>
      <c r="BV266" s="136">
        <f>'LCFS Table'!$BB266*'LCFS Table'!$CP266</f>
        <v>1.2</v>
      </c>
      <c r="BW266" s="138">
        <v>1</v>
      </c>
      <c r="BX266" s="138">
        <v>0</v>
      </c>
      <c r="BY266" s="138">
        <v>1</v>
      </c>
      <c r="BZ266" s="138">
        <v>1</v>
      </c>
      <c r="CA266" s="138">
        <v>-1</v>
      </c>
      <c r="CB266" s="138">
        <v>1</v>
      </c>
      <c r="CC266" s="138">
        <v>0</v>
      </c>
      <c r="CD266" s="138">
        <v>1</v>
      </c>
      <c r="CE266" s="138">
        <v>1</v>
      </c>
      <c r="CF266" s="138">
        <v>-1</v>
      </c>
      <c r="CG266" s="138">
        <f>1-'LCFS Table'!$BW266</f>
        <v>0</v>
      </c>
      <c r="CH266" s="138">
        <f>1-'LCFS Table'!$BX266</f>
        <v>1</v>
      </c>
      <c r="CI266" s="138">
        <f>1-'LCFS Table'!$BY266</f>
        <v>0</v>
      </c>
      <c r="CJ266" s="138">
        <f>1-'LCFS Table'!$BZ266</f>
        <v>0</v>
      </c>
      <c r="CK266" s="138">
        <f>-'LCFS Table'!$CA266</f>
        <v>1</v>
      </c>
      <c r="CL266" s="138">
        <f>1-'LCFS Table'!$CB266</f>
        <v>0</v>
      </c>
      <c r="CM266" s="138">
        <f>1-'LCFS Table'!$CC266</f>
        <v>1</v>
      </c>
      <c r="CN266" s="138">
        <f>1-'LCFS Table'!$CD266</f>
        <v>0</v>
      </c>
      <c r="CO266" s="138">
        <f>1-'LCFS Table'!$CE266</f>
        <v>0</v>
      </c>
      <c r="CP266" s="138">
        <f>-'LCFS Table'!$CF266</f>
        <v>1</v>
      </c>
      <c r="CQ266" s="140">
        <v>9.75</v>
      </c>
      <c r="CR266" s="165">
        <f>('LCFS Table'!$CQ266*0.9/(0.8/0.99)/100)</f>
        <v>0.10859062499999998</v>
      </c>
      <c r="CS266" s="166"/>
      <c r="CT266" s="167"/>
      <c r="CW266" s="168">
        <f>'LCFS Table'!$K266-'LCFS Table'!$M266</f>
        <v>-0.27960018541776233</v>
      </c>
      <c r="CX266" s="129">
        <f>MONTH('LCFS Table'!$B266)</f>
        <v>1</v>
      </c>
      <c r="CY266" s="129">
        <f>YEAR('LCFS Table'!$B266)</f>
        <v>2024</v>
      </c>
    </row>
    <row r="267" spans="1:103">
      <c r="A267" s="148">
        <v>45312</v>
      </c>
      <c r="B267" s="149">
        <v>45318</v>
      </c>
      <c r="C267" s="132">
        <f t="shared" si="5"/>
        <v>2024</v>
      </c>
      <c r="D267" s="150" t="s">
        <v>260</v>
      </c>
      <c r="E267" s="187">
        <f>'LCFS Table'!$K267-'LCFS Table'!$I267</f>
        <v>-1.2457645181476846</v>
      </c>
      <c r="F267" s="187">
        <f>('LCFS Table'!$M267)-'LCFS Table'!$J267</f>
        <v>-1.8371355665500015</v>
      </c>
      <c r="G267" s="188">
        <f>'LCFS Table'!$E267+'LCFS Table'!$AS267+'LCFS Table'!$AT267+'LCFS Table'!$AU267+'LCFS Table'!$AV267</f>
        <v>1.4961725484658324</v>
      </c>
      <c r="H267" s="188">
        <f>'LCFS Table'!$F267+'LCFS Table'!$AX267+'LCFS Table'!$AY267+'LCFS Table'!$AZ267+'LCFS Table'!$BA267+('LCFS Table'!$CQ267*0.9/(0.8/0.99)/100)+(DG267*'LCFS Table'!$AF267)+(DF267*'LCFS Table'!$AG267)</f>
        <v>0.56302460937499843</v>
      </c>
      <c r="I267" s="187">
        <f>('LCFS Table'!$V267+'LCFS Table'!$W267+'LCFS Table'!$X267)/100+(('LCFS Table'!$AI267+'LCFS Table'!$AJ267)/340)</f>
        <v>3.7028645181476847</v>
      </c>
      <c r="J267" s="187">
        <f>(('LCFS Table'!$Y267+'LCFS Table'!$Z267)/100)+(('LCFS Table'!$AM267+'LCFS Table'!$AN267)/300)</f>
        <v>4.6841738281250009</v>
      </c>
      <c r="K267" s="190">
        <f>'[1]Fuel Values'!$C266</f>
        <v>2.4571000000000001</v>
      </c>
      <c r="L267" s="190">
        <f>'[1]Fuel Values'!$B266</f>
        <v>514</v>
      </c>
      <c r="M267" s="185">
        <f>('LCFS Table'!$L267/100)-'LCFS Table'!$AX267-'LCFS Table'!$AY267-'LCFS Table'!$AZ267-'LCFS Table'!$BA267</f>
        <v>2.8470382615749994</v>
      </c>
      <c r="N267" s="190">
        <f>[1]BFT!$B266</f>
        <v>41</v>
      </c>
      <c r="O267" s="190">
        <f>[1]UCO!$B266</f>
        <v>32.75</v>
      </c>
      <c r="P267" s="190">
        <f>[1]DCO!$B266</f>
        <v>45</v>
      </c>
      <c r="Q267" s="190">
        <f>'[1]Soybean Oil'!$B266</f>
        <v>55.88</v>
      </c>
      <c r="R267" s="190">
        <f>'[1]Yellow Grease'!$B266</f>
        <v>30</v>
      </c>
      <c r="S267" s="185">
        <f>'LCFS Table'!$N267 + 'LCFS Table'!$AH267</f>
        <v>45.375</v>
      </c>
      <c r="T267" s="185">
        <f>'LCFS Table'!$Q267+'LCFS Table'!$AH267</f>
        <v>60.255000000000003</v>
      </c>
      <c r="U267" s="185">
        <f>'LCFS Table'!$P267+'LCFS Table'!$AH267</f>
        <v>49.375</v>
      </c>
      <c r="V267" s="185">
        <f>(('LCFS Table'!$S267/'LCFS Table'!$AA267)*'LCFS Table'!$AC267)*6.48</f>
        <v>156.39893617021278</v>
      </c>
      <c r="W267" s="185">
        <f>(('LCFS Table'!$O267/'LCFS Table'!$AA267)*'LCFS Table'!$AD267)*6.48</f>
        <v>56.441489361702132</v>
      </c>
      <c r="X267" s="185">
        <f>(('LCFS Table'!$U267/'LCFS Table'!$AA267)*'LCFS Table'!$AE267)*6.48</f>
        <v>85.093085106382986</v>
      </c>
      <c r="Y267" s="185">
        <f>(('LCFS Table'!$T267/'LCFS Table'!$AB267)*'LCFS Table'!$AF267)*7.35</f>
        <v>345.99550781250002</v>
      </c>
      <c r="Z267" s="185">
        <f>(('LCFS Table'!$R267/'LCFS Table'!$AB267)*'LCFS Table'!$AG267)*7.35</f>
        <v>57.421875</v>
      </c>
      <c r="AA267" s="138">
        <v>0.94</v>
      </c>
      <c r="AB267" s="138">
        <v>0.96</v>
      </c>
      <c r="AC267" s="138">
        <v>0.5</v>
      </c>
      <c r="AD267" s="138">
        <v>0.25</v>
      </c>
      <c r="AE267" s="138">
        <v>0.25</v>
      </c>
      <c r="AF267" s="138">
        <v>0.75</v>
      </c>
      <c r="AG267" s="138">
        <v>0.25</v>
      </c>
      <c r="AH267" s="139">
        <v>4.375</v>
      </c>
      <c r="AI267" s="139">
        <v>136</v>
      </c>
      <c r="AJ267" s="139">
        <v>110</v>
      </c>
      <c r="AK267" s="186">
        <f>('LCFS Table'!$AI267/340)*100</f>
        <v>40</v>
      </c>
      <c r="AL267" s="186">
        <f>('LCFS Table'!$AJ267/340)*100</f>
        <v>32.352941176470587</v>
      </c>
      <c r="AM267" s="139">
        <v>105</v>
      </c>
      <c r="AN267" s="139">
        <v>90</v>
      </c>
      <c r="AO267" s="139">
        <f>('LCFS Table'!$AM267/300)*100</f>
        <v>35</v>
      </c>
      <c r="AP267" s="139">
        <f>('LCFS Table'!$AN267/300)*100</f>
        <v>30</v>
      </c>
      <c r="AQ267" s="140">
        <f>'[1]LCFS Values'!$B266</f>
        <v>57.8</v>
      </c>
      <c r="AR267" s="140">
        <f>'[1]RIN Values'!$B266/100</f>
        <v>0.65900000000000003</v>
      </c>
      <c r="AS267" s="185">
        <f>((('[2]Controls 2'!$B$2-SUM(('[2]Controls 2'!$B$5*'LCFS Table'!$AC267),('[2]Controls 2'!$B$6*'LCFS Table'!$AD267),('[2]Controls 2'!$B$7*'LCFS Table'!$AE267)))/1000000)*'LCFS Table'!$AQ267)*'[2]Controls 2'!$B$8</f>
        <v>0.46163706661351683</v>
      </c>
      <c r="AT267" s="137">
        <v>0.16</v>
      </c>
      <c r="AU267" s="137">
        <v>1</v>
      </c>
      <c r="AV267" s="185">
        <f>'LCFS Table'!$AR267*1.7</f>
        <v>1.1203000000000001</v>
      </c>
      <c r="AW267" s="137">
        <v>0</v>
      </c>
      <c r="AX267" s="185">
        <f>(((('[2]Controls 2'!$B$2-SUM(('LCFS Table'!$AF267*'[2]Controls 2'!$B$12),('LCFS Table'!$AG267*'[2]Controls 2'!$B$13)))/1000000)*'LCFS Table'!$AQ267)*'[2]Controls 2'!$B$14)</f>
        <v>0.30446173842499996</v>
      </c>
      <c r="AY267" s="137">
        <v>0</v>
      </c>
      <c r="AZ267" s="141">
        <v>1</v>
      </c>
      <c r="BA267" s="185">
        <f>'LCFS Table'!$AR267*1.5</f>
        <v>0.98850000000000005</v>
      </c>
      <c r="BB267" s="136">
        <v>1.2</v>
      </c>
      <c r="BC267" s="185">
        <f>'LCFS Table'!$AS267*'LCFS Table'!$BW267</f>
        <v>0.46163706661351683</v>
      </c>
      <c r="BD267" s="185">
        <f>'LCFS Table'!$AT267*'LCFS Table'!$BX267</f>
        <v>0</v>
      </c>
      <c r="BE267" s="185">
        <f>'LCFS Table'!$AU267*'LCFS Table'!$BY267</f>
        <v>1</v>
      </c>
      <c r="BF267" s="137">
        <f>'LCFS Table'!$AV267*'LCFS Table'!$BZ267</f>
        <v>1.1203000000000001</v>
      </c>
      <c r="BG267" s="137">
        <f>'LCFS Table'!$AW267*'LCFS Table'!$CA267</f>
        <v>0</v>
      </c>
      <c r="BH267" s="137">
        <f>'LCFS Table'!$AX267*'LCFS Table'!$CB267</f>
        <v>0.30446173842499996</v>
      </c>
      <c r="BI267" s="137">
        <f>'LCFS Table'!$AY267*'LCFS Table'!$CC267</f>
        <v>0</v>
      </c>
      <c r="BJ267" s="137">
        <f>'LCFS Table'!$AZ267*'LCFS Table'!$CD267</f>
        <v>1</v>
      </c>
      <c r="BK267" s="137">
        <f>'LCFS Table'!$BA267*'LCFS Table'!$CE267</f>
        <v>0.98850000000000005</v>
      </c>
      <c r="BL267" s="137">
        <f>'LCFS Table'!$BB267*'LCFS Table'!$CF267</f>
        <v>-1.2</v>
      </c>
      <c r="BM267" s="137">
        <f>'LCFS Table'!$AS267*'LCFS Table'!$CG267</f>
        <v>0</v>
      </c>
      <c r="BN267" s="137">
        <f>'LCFS Table'!$AT267*'LCFS Table'!$CH267</f>
        <v>0.16</v>
      </c>
      <c r="BO267" s="137">
        <f>'LCFS Table'!$AU267*'LCFS Table'!$CI267</f>
        <v>0</v>
      </c>
      <c r="BP267" s="137">
        <f>'LCFS Table'!$AV267*'LCFS Table'!$CJ267</f>
        <v>0</v>
      </c>
      <c r="BQ267" s="137">
        <f>'LCFS Table'!$AW267*'LCFS Table'!$CK267</f>
        <v>0</v>
      </c>
      <c r="BR267" s="137">
        <f>'LCFS Table'!$AX267*'LCFS Table'!$CL267</f>
        <v>0</v>
      </c>
      <c r="BS267" s="137">
        <f>'LCFS Table'!$AY267*'LCFS Table'!$CM267</f>
        <v>0</v>
      </c>
      <c r="BT267" s="137">
        <f>'LCFS Table'!$AZ267*'LCFS Table'!$CN267</f>
        <v>0</v>
      </c>
      <c r="BU267" s="137">
        <f>'LCFS Table'!$BA267*'LCFS Table'!$CO267</f>
        <v>0</v>
      </c>
      <c r="BV267" s="136">
        <f>'LCFS Table'!$BB267*'LCFS Table'!$CP267</f>
        <v>1.2</v>
      </c>
      <c r="BW267" s="138">
        <v>1</v>
      </c>
      <c r="BX267" s="138">
        <v>0</v>
      </c>
      <c r="BY267" s="138">
        <v>1</v>
      </c>
      <c r="BZ267" s="138">
        <v>1</v>
      </c>
      <c r="CA267" s="138">
        <v>-1</v>
      </c>
      <c r="CB267" s="138">
        <v>1</v>
      </c>
      <c r="CC267" s="138">
        <v>0</v>
      </c>
      <c r="CD267" s="138">
        <v>1</v>
      </c>
      <c r="CE267" s="138">
        <v>1</v>
      </c>
      <c r="CF267" s="138">
        <v>-1</v>
      </c>
      <c r="CG267" s="138">
        <f>1-'LCFS Table'!$BW267</f>
        <v>0</v>
      </c>
      <c r="CH267" s="138">
        <f>1-'LCFS Table'!$BX267</f>
        <v>1</v>
      </c>
      <c r="CI267" s="138">
        <f>1-'LCFS Table'!$BY267</f>
        <v>0</v>
      </c>
      <c r="CJ267" s="138">
        <f>1-'LCFS Table'!$BZ267</f>
        <v>0</v>
      </c>
      <c r="CK267" s="138">
        <f>-'LCFS Table'!$CA267</f>
        <v>1</v>
      </c>
      <c r="CL267" s="138">
        <f>1-'LCFS Table'!$CB267</f>
        <v>0</v>
      </c>
      <c r="CM267" s="138">
        <f>1-'LCFS Table'!$CC267</f>
        <v>1</v>
      </c>
      <c r="CN267" s="138">
        <f>1-'LCFS Table'!$CD267</f>
        <v>0</v>
      </c>
      <c r="CO267" s="138">
        <f>1-'LCFS Table'!$CE267</f>
        <v>0</v>
      </c>
      <c r="CP267" s="138">
        <f>-'LCFS Table'!$CF267</f>
        <v>1</v>
      </c>
      <c r="CQ267" s="140">
        <v>9.625</v>
      </c>
      <c r="CR267" s="165">
        <f>('LCFS Table'!$CQ267*0.9/(0.8/0.99)/100)</f>
        <v>0.10719843749999999</v>
      </c>
      <c r="CS267" s="166"/>
      <c r="CT267" s="167"/>
      <c r="CW267" s="168">
        <f>'LCFS Table'!$K267-'LCFS Table'!$M267</f>
        <v>-0.38993826157499933</v>
      </c>
      <c r="CX267" s="129">
        <f>MONTH('LCFS Table'!$B267)</f>
        <v>1</v>
      </c>
      <c r="CY267" s="129">
        <f>YEAR('LCFS Table'!$B267)</f>
        <v>2024</v>
      </c>
    </row>
    <row r="268" spans="1:103">
      <c r="A268" s="148">
        <v>45319</v>
      </c>
      <c r="B268" s="149">
        <v>45325</v>
      </c>
      <c r="C268" s="132">
        <f t="shared" si="5"/>
        <v>2024</v>
      </c>
      <c r="D268" s="150" t="s">
        <v>261</v>
      </c>
      <c r="E268" s="187">
        <f>'LCFS Table'!$K268-'LCFS Table'!$I268</f>
        <v>-1.211932603254068</v>
      </c>
      <c r="F268" s="187">
        <f>('LCFS Table'!$M268)-'LCFS Table'!$J268</f>
        <v>-1.6001142552875001</v>
      </c>
      <c r="G268" s="188">
        <f>'LCFS Table'!$E268+'LCFS Table'!$AS268+'LCFS Table'!$AT268+'LCFS Table'!$AU268+'LCFS Table'!$AV268</f>
        <v>1.3403005034975815</v>
      </c>
      <c r="H268" s="188">
        <f>'LCFS Table'!$F268+'LCFS Table'!$AX268+'LCFS Table'!$AY268+'LCFS Table'!$AZ268+'LCFS Table'!$BA268+('LCFS Table'!$CQ268*0.9/(0.8/0.99)/100)+(DG268*'LCFS Table'!$AF268)+(DF268*'LCFS Table'!$AG268)</f>
        <v>0.63630273437499996</v>
      </c>
      <c r="I268" s="187">
        <f>('LCFS Table'!$V268+'LCFS Table'!$W268+'LCFS Table'!$X268)/100+(('LCFS Table'!$AI268+'LCFS Table'!$AJ268)/340)</f>
        <v>3.6563326032540679</v>
      </c>
      <c r="J268" s="187">
        <f>(('LCFS Table'!$Y268+'LCFS Table'!$Z268)/100)+(('LCFS Table'!$AM268+'LCFS Table'!$AN268)/300)</f>
        <v>4.5750722656249998</v>
      </c>
      <c r="K268" s="190">
        <f>'[1]Fuel Values'!$C267</f>
        <v>2.4443999999999999</v>
      </c>
      <c r="L268" s="190">
        <f>'[1]Fuel Values'!$B267</f>
        <v>510</v>
      </c>
      <c r="M268" s="185">
        <f>('LCFS Table'!$L268/100)-'LCFS Table'!$AX268-'LCFS Table'!$AY268-'LCFS Table'!$AZ268-'LCFS Table'!$BA268</f>
        <v>2.9749580103374997</v>
      </c>
      <c r="N268" s="190">
        <f>[1]BFT!$B267</f>
        <v>39.799999999999997</v>
      </c>
      <c r="O268" s="190">
        <f>[1]UCO!$B267</f>
        <v>32.75</v>
      </c>
      <c r="P268" s="190">
        <f>[1]DCO!$B267</f>
        <v>44.7</v>
      </c>
      <c r="Q268" s="190">
        <f>'[1]Soybean Oil'!$B267</f>
        <v>53.98</v>
      </c>
      <c r="R268" s="190">
        <f>'[1]Yellow Grease'!$B267</f>
        <v>30</v>
      </c>
      <c r="S268" s="185">
        <f>'LCFS Table'!$N268 + 'LCFS Table'!$AH268</f>
        <v>44.174999999999997</v>
      </c>
      <c r="T268" s="185">
        <f>'LCFS Table'!$Q268+'LCFS Table'!$AH268</f>
        <v>58.354999999999997</v>
      </c>
      <c r="U268" s="185">
        <f>'LCFS Table'!$P268+'LCFS Table'!$AH268</f>
        <v>49.075000000000003</v>
      </c>
      <c r="V268" s="185">
        <f>(('LCFS Table'!$S268/'LCFS Table'!$AA268)*'LCFS Table'!$AC268)*6.48</f>
        <v>152.26276595744682</v>
      </c>
      <c r="W268" s="185">
        <f>(('LCFS Table'!$O268/'LCFS Table'!$AA268)*'LCFS Table'!$AD268)*6.48</f>
        <v>56.441489361702132</v>
      </c>
      <c r="X268" s="185">
        <f>(('LCFS Table'!$U268/'LCFS Table'!$AA268)*'LCFS Table'!$AE268)*6.48</f>
        <v>84.576063829787259</v>
      </c>
      <c r="Y268" s="185">
        <f>(('LCFS Table'!$T268/'LCFS Table'!$AB268)*'LCFS Table'!$AF268)*7.35</f>
        <v>335.08535156249997</v>
      </c>
      <c r="Z268" s="185">
        <f>(('LCFS Table'!$R268/'LCFS Table'!$AB268)*'LCFS Table'!$AG268)*7.35</f>
        <v>57.421875</v>
      </c>
      <c r="AA268" s="138">
        <v>0.94</v>
      </c>
      <c r="AB268" s="138">
        <v>0.96</v>
      </c>
      <c r="AC268" s="138">
        <v>0.5</v>
      </c>
      <c r="AD268" s="138">
        <v>0.25</v>
      </c>
      <c r="AE268" s="138">
        <v>0.25</v>
      </c>
      <c r="AF268" s="138">
        <v>0.75</v>
      </c>
      <c r="AG268" s="138">
        <v>0.25</v>
      </c>
      <c r="AH268" s="139">
        <v>4.375</v>
      </c>
      <c r="AI268" s="139">
        <v>136</v>
      </c>
      <c r="AJ268" s="139">
        <v>110</v>
      </c>
      <c r="AK268" s="186">
        <f>('LCFS Table'!$AI268/340)*100</f>
        <v>40</v>
      </c>
      <c r="AL268" s="186">
        <f>('LCFS Table'!$AJ268/340)*100</f>
        <v>32.352941176470587</v>
      </c>
      <c r="AM268" s="139">
        <v>105</v>
      </c>
      <c r="AN268" s="139">
        <v>90</v>
      </c>
      <c r="AO268" s="139">
        <f>('LCFS Table'!$AM268/300)*100</f>
        <v>35</v>
      </c>
      <c r="AP268" s="139">
        <f>('LCFS Table'!$AN268/300)*100</f>
        <v>30</v>
      </c>
      <c r="AQ268" s="140">
        <f>'[1]LCFS Values'!$B267</f>
        <v>58.1</v>
      </c>
      <c r="AR268" s="140">
        <f>'[1]RIN Values'!$B267/100</f>
        <v>0.54600000000000004</v>
      </c>
      <c r="AS268" s="185">
        <f>((('[2]Controls 2'!$B$2-SUM(('[2]Controls 2'!$B$5*'LCFS Table'!$AC268),('[2]Controls 2'!$B$6*'LCFS Table'!$AD268),('[2]Controls 2'!$B$7*'LCFS Table'!$AE268)))/1000000)*'LCFS Table'!$AQ268)*'[2]Controls 2'!$B$8</f>
        <v>0.46403310675164933</v>
      </c>
      <c r="AT268" s="137">
        <v>0.16</v>
      </c>
      <c r="AU268" s="137">
        <v>1</v>
      </c>
      <c r="AV268" s="185">
        <f>'LCFS Table'!$AR268*1.7</f>
        <v>0.92820000000000003</v>
      </c>
      <c r="AW268" s="137">
        <v>0</v>
      </c>
      <c r="AX268" s="185">
        <f>(((('[2]Controls 2'!$B$2-SUM(('LCFS Table'!$AF268*'[2]Controls 2'!$B$12),('LCFS Table'!$AG268*'[2]Controls 2'!$B$13)))/1000000)*'LCFS Table'!$AQ268)*'[2]Controls 2'!$B$14)</f>
        <v>0.30604198966249996</v>
      </c>
      <c r="AY268" s="137">
        <v>0</v>
      </c>
      <c r="AZ268" s="141">
        <v>1</v>
      </c>
      <c r="BA268" s="185">
        <f>'LCFS Table'!$AR268*1.5</f>
        <v>0.81900000000000006</v>
      </c>
      <c r="BB268" s="136">
        <v>1.2</v>
      </c>
      <c r="BC268" s="185">
        <f>'LCFS Table'!$AS268*'LCFS Table'!$BW268</f>
        <v>0.46403310675164933</v>
      </c>
      <c r="BD268" s="185">
        <f>'LCFS Table'!$AT268*'LCFS Table'!$BX268</f>
        <v>0</v>
      </c>
      <c r="BE268" s="185">
        <f>'LCFS Table'!$AU268*'LCFS Table'!$BY268</f>
        <v>1</v>
      </c>
      <c r="BF268" s="137">
        <f>'LCFS Table'!$AV268*'LCFS Table'!$BZ268</f>
        <v>0.92820000000000003</v>
      </c>
      <c r="BG268" s="137">
        <f>'LCFS Table'!$AW268*'LCFS Table'!$CA268</f>
        <v>0</v>
      </c>
      <c r="BH268" s="137">
        <f>'LCFS Table'!$AX268*'LCFS Table'!$CB268</f>
        <v>0.30604198966249996</v>
      </c>
      <c r="BI268" s="137">
        <f>'LCFS Table'!$AY268*'LCFS Table'!$CC268</f>
        <v>0</v>
      </c>
      <c r="BJ268" s="137">
        <f>'LCFS Table'!$AZ268*'LCFS Table'!$CD268</f>
        <v>1</v>
      </c>
      <c r="BK268" s="137">
        <f>'LCFS Table'!$BA268*'LCFS Table'!$CE268</f>
        <v>0.81900000000000006</v>
      </c>
      <c r="BL268" s="137">
        <f>'LCFS Table'!$BB268*'LCFS Table'!$CF268</f>
        <v>-1.2</v>
      </c>
      <c r="BM268" s="137">
        <f>'LCFS Table'!$AS268*'LCFS Table'!$CG268</f>
        <v>0</v>
      </c>
      <c r="BN268" s="137">
        <f>'LCFS Table'!$AT268*'LCFS Table'!$CH268</f>
        <v>0.16</v>
      </c>
      <c r="BO268" s="137">
        <f>'LCFS Table'!$AU268*'LCFS Table'!$CI268</f>
        <v>0</v>
      </c>
      <c r="BP268" s="137">
        <f>'LCFS Table'!$AV268*'LCFS Table'!$CJ268</f>
        <v>0</v>
      </c>
      <c r="BQ268" s="137">
        <f>'LCFS Table'!$AW268*'LCFS Table'!$CK268</f>
        <v>0</v>
      </c>
      <c r="BR268" s="137">
        <f>'LCFS Table'!$AX268*'LCFS Table'!$CL268</f>
        <v>0</v>
      </c>
      <c r="BS268" s="137">
        <f>'LCFS Table'!$AY268*'LCFS Table'!$CM268</f>
        <v>0</v>
      </c>
      <c r="BT268" s="137">
        <f>'LCFS Table'!$AZ268*'LCFS Table'!$CN268</f>
        <v>0</v>
      </c>
      <c r="BU268" s="137">
        <f>'LCFS Table'!$BA268*'LCFS Table'!$CO268</f>
        <v>0</v>
      </c>
      <c r="BV268" s="136">
        <f>'LCFS Table'!$BB268*'LCFS Table'!$CP268</f>
        <v>1.2</v>
      </c>
      <c r="BW268" s="138">
        <v>1</v>
      </c>
      <c r="BX268" s="138">
        <v>0</v>
      </c>
      <c r="BY268" s="138">
        <v>1</v>
      </c>
      <c r="BZ268" s="138">
        <v>1</v>
      </c>
      <c r="CA268" s="138">
        <v>-1</v>
      </c>
      <c r="CB268" s="138">
        <v>1</v>
      </c>
      <c r="CC268" s="138">
        <v>0</v>
      </c>
      <c r="CD268" s="138">
        <v>1</v>
      </c>
      <c r="CE268" s="138">
        <v>1</v>
      </c>
      <c r="CF268" s="138">
        <v>-1</v>
      </c>
      <c r="CG268" s="138">
        <f>1-'LCFS Table'!$BW268</f>
        <v>0</v>
      </c>
      <c r="CH268" s="138">
        <f>1-'LCFS Table'!$BX268</f>
        <v>1</v>
      </c>
      <c r="CI268" s="138">
        <f>1-'LCFS Table'!$BY268</f>
        <v>0</v>
      </c>
      <c r="CJ268" s="138">
        <f>1-'LCFS Table'!$BZ268</f>
        <v>0</v>
      </c>
      <c r="CK268" s="138">
        <f>-'LCFS Table'!$CA268</f>
        <v>1</v>
      </c>
      <c r="CL268" s="138">
        <f>1-'LCFS Table'!$CB268</f>
        <v>0</v>
      </c>
      <c r="CM268" s="138">
        <f>1-'LCFS Table'!$CC268</f>
        <v>1</v>
      </c>
      <c r="CN268" s="138">
        <f>1-'LCFS Table'!$CD268</f>
        <v>0</v>
      </c>
      <c r="CO268" s="138">
        <f>1-'LCFS Table'!$CE268</f>
        <v>0</v>
      </c>
      <c r="CP268" s="138">
        <f>-'LCFS Table'!$CF268</f>
        <v>1</v>
      </c>
      <c r="CQ268" s="140">
        <v>10</v>
      </c>
      <c r="CR268" s="165">
        <f>('LCFS Table'!$CQ268*0.9/(0.8/0.99)/100)</f>
        <v>0.11137499999999999</v>
      </c>
      <c r="CS268" s="166"/>
      <c r="CT268" s="167"/>
      <c r="CW268" s="168">
        <f>'LCFS Table'!$K268-'LCFS Table'!$M268</f>
        <v>-0.53055801033749983</v>
      </c>
      <c r="CX268" s="129">
        <f>MONTH('LCFS Table'!$B268)</f>
        <v>2</v>
      </c>
      <c r="CY268" s="129">
        <f>YEAR('LCFS Table'!$B268)</f>
        <v>2024</v>
      </c>
    </row>
    <row r="269" spans="1:103">
      <c r="A269" s="148">
        <v>45326</v>
      </c>
      <c r="B269" s="149">
        <v>45332</v>
      </c>
      <c r="C269" s="132">
        <f t="shared" si="5"/>
        <v>2024</v>
      </c>
      <c r="D269" s="150" t="s">
        <v>262</v>
      </c>
      <c r="E269" s="187">
        <f>'LCFS Table'!$K269-'LCFS Table'!$I269</f>
        <v>-0.84193898623279173</v>
      </c>
      <c r="F269" s="187">
        <f>('LCFS Table'!$M269)-'LCFS Table'!$J269</f>
        <v>-1.644028951037499</v>
      </c>
      <c r="G269" s="188">
        <f>'LCFS Table'!$E269+'LCFS Table'!$AS269+'LCFS Table'!$AT269+'LCFS Table'!$AU269+'LCFS Table'!$AV269</f>
        <v>1.6965177214397404</v>
      </c>
      <c r="H269" s="188">
        <f>'LCFS Table'!$F269+'LCFS Table'!$AX269+'LCFS Table'!$AY269+'LCFS Table'!$AZ269+'LCFS Table'!$BA269+('LCFS Table'!$CQ269*0.9/(0.8/0.99)/100)+(DG269*'LCFS Table'!$AF269)+(DF269*'LCFS Table'!$AG269)</f>
        <v>0.57444554687500082</v>
      </c>
      <c r="I269" s="187">
        <f>('LCFS Table'!$V269+'LCFS Table'!$W269+'LCFS Table'!$X269)/100+(('LCFS Table'!$AI269+'LCFS Table'!$AJ269)/340)</f>
        <v>3.6494389862327918</v>
      </c>
      <c r="J269" s="187">
        <f>(('LCFS Table'!$Y269+'LCFS Table'!$Z269)/100)+(('LCFS Table'!$AM269+'LCFS Table'!$AN269)/300)</f>
        <v>4.6047019531249997</v>
      </c>
      <c r="K269" s="190">
        <f>'[1]Fuel Values'!$C268</f>
        <v>2.8075000000000001</v>
      </c>
      <c r="L269" s="190">
        <f>'[1]Fuel Values'!$B268</f>
        <v>507</v>
      </c>
      <c r="M269" s="185">
        <f>('LCFS Table'!$L269/100)-'LCFS Table'!$AX269-'LCFS Table'!$AY269-'LCFS Table'!$AZ269-'LCFS Table'!$BA269</f>
        <v>2.9606730020875007</v>
      </c>
      <c r="N269" s="190">
        <f>[1]BFT!$B268</f>
        <v>39.700000000000003</v>
      </c>
      <c r="O269" s="190">
        <f>[1]UCO!$B268</f>
        <v>32.75</v>
      </c>
      <c r="P269" s="190">
        <f>[1]DCO!$B268</f>
        <v>44.5</v>
      </c>
      <c r="Q269" s="190">
        <f>'[1]Soybean Oil'!$B268</f>
        <v>54.496000000000002</v>
      </c>
      <c r="R269" s="190">
        <f>'[1]Yellow Grease'!$B268</f>
        <v>30</v>
      </c>
      <c r="S269" s="185">
        <f>'LCFS Table'!$N269 + 'LCFS Table'!$AH269</f>
        <v>44.075000000000003</v>
      </c>
      <c r="T269" s="185">
        <f>'LCFS Table'!$Q269+'LCFS Table'!$AH269</f>
        <v>58.871000000000002</v>
      </c>
      <c r="U269" s="185">
        <f>'LCFS Table'!$P269+'LCFS Table'!$AH269</f>
        <v>48.875</v>
      </c>
      <c r="V269" s="185">
        <f>(('LCFS Table'!$S269/'LCFS Table'!$AA269)*'LCFS Table'!$AC269)*6.48</f>
        <v>151.91808510638302</v>
      </c>
      <c r="W269" s="185">
        <f>(('LCFS Table'!$O269/'LCFS Table'!$AA269)*'LCFS Table'!$AD269)*6.48</f>
        <v>56.441489361702132</v>
      </c>
      <c r="X269" s="185">
        <f>(('LCFS Table'!$U269/'LCFS Table'!$AA269)*'LCFS Table'!$AE269)*6.48</f>
        <v>84.231382978723417</v>
      </c>
      <c r="Y269" s="185">
        <f>(('LCFS Table'!$T269/'LCFS Table'!$AB269)*'LCFS Table'!$AF269)*7.35</f>
        <v>338.04832031249998</v>
      </c>
      <c r="Z269" s="185">
        <f>(('LCFS Table'!$R269/'LCFS Table'!$AB269)*'LCFS Table'!$AG269)*7.35</f>
        <v>57.421875</v>
      </c>
      <c r="AA269" s="138">
        <v>0.94</v>
      </c>
      <c r="AB269" s="138">
        <v>0.96</v>
      </c>
      <c r="AC269" s="138">
        <v>0.5</v>
      </c>
      <c r="AD269" s="138">
        <v>0.25</v>
      </c>
      <c r="AE269" s="138">
        <v>0.25</v>
      </c>
      <c r="AF269" s="138">
        <v>0.75</v>
      </c>
      <c r="AG269" s="138">
        <v>0.25</v>
      </c>
      <c r="AH269" s="139">
        <v>4.375</v>
      </c>
      <c r="AI269" s="139">
        <v>136</v>
      </c>
      <c r="AJ269" s="139">
        <v>110</v>
      </c>
      <c r="AK269" s="186">
        <f>('LCFS Table'!$AI269/340)*100</f>
        <v>40</v>
      </c>
      <c r="AL269" s="186">
        <f>('LCFS Table'!$AJ269/340)*100</f>
        <v>32.352941176470587</v>
      </c>
      <c r="AM269" s="139">
        <v>105</v>
      </c>
      <c r="AN269" s="139">
        <v>90</v>
      </c>
      <c r="AO269" s="139">
        <f>('LCFS Table'!$AM269/300)*100</f>
        <v>35</v>
      </c>
      <c r="AP269" s="139">
        <f>('LCFS Table'!$AN269/300)*100</f>
        <v>30</v>
      </c>
      <c r="AQ269" s="140">
        <f>'[1]LCFS Values'!$B268</f>
        <v>60.1</v>
      </c>
      <c r="AR269" s="140">
        <f>'[1]RIN Values'!$B268/100</f>
        <v>0.52849999999999997</v>
      </c>
      <c r="AS269" s="185">
        <f>((('[2]Controls 2'!$B$2-SUM(('[2]Controls 2'!$B$5*'LCFS Table'!$AC269),('[2]Controls 2'!$B$6*'LCFS Table'!$AD269),('[2]Controls 2'!$B$7*'LCFS Table'!$AE269)))/1000000)*'LCFS Table'!$AQ269)*'[2]Controls 2'!$B$8</f>
        <v>0.48000670767253223</v>
      </c>
      <c r="AT269" s="137">
        <v>0.16</v>
      </c>
      <c r="AU269" s="137">
        <v>1</v>
      </c>
      <c r="AV269" s="185">
        <f>'LCFS Table'!$AR269*1.7</f>
        <v>0.89844999999999997</v>
      </c>
      <c r="AW269" s="137">
        <v>0</v>
      </c>
      <c r="AX269" s="185">
        <f>(((('[2]Controls 2'!$B$2-SUM(('LCFS Table'!$AF269*'[2]Controls 2'!$B$12),('LCFS Table'!$AG269*'[2]Controls 2'!$B$13)))/1000000)*'LCFS Table'!$AQ269)*'[2]Controls 2'!$B$14)</f>
        <v>0.31657699791249999</v>
      </c>
      <c r="AY269" s="137">
        <v>0</v>
      </c>
      <c r="AZ269" s="141">
        <v>1</v>
      </c>
      <c r="BA269" s="185">
        <f>'LCFS Table'!$AR269*1.5</f>
        <v>0.79274999999999995</v>
      </c>
      <c r="BB269" s="142">
        <v>1.2</v>
      </c>
      <c r="BC269" s="185">
        <f>'LCFS Table'!$AS269*'LCFS Table'!$BW269</f>
        <v>0.48000670767253223</v>
      </c>
      <c r="BD269" s="185">
        <f>'LCFS Table'!$AT269*'LCFS Table'!$BX269</f>
        <v>0</v>
      </c>
      <c r="BE269" s="185">
        <f>'LCFS Table'!$AU269*'LCFS Table'!$BY269</f>
        <v>1</v>
      </c>
      <c r="BF269" s="137">
        <f>'LCFS Table'!$AV269*'LCFS Table'!$BZ269</f>
        <v>0.89844999999999997</v>
      </c>
      <c r="BG269" s="137">
        <f>'LCFS Table'!$AW269*'LCFS Table'!$CA269</f>
        <v>0</v>
      </c>
      <c r="BH269" s="137">
        <f>'LCFS Table'!$AX269*'LCFS Table'!$CB269</f>
        <v>0.31657699791249999</v>
      </c>
      <c r="BI269" s="137">
        <f>'LCFS Table'!$AY269*'LCFS Table'!$CC269</f>
        <v>0</v>
      </c>
      <c r="BJ269" s="137">
        <f>'LCFS Table'!$AZ269*'LCFS Table'!$CD269</f>
        <v>1</v>
      </c>
      <c r="BK269" s="137">
        <f>'LCFS Table'!$BA269*'LCFS Table'!$CE269</f>
        <v>0.79274999999999995</v>
      </c>
      <c r="BL269" s="137">
        <f>'LCFS Table'!$BB269*'LCFS Table'!$CF269</f>
        <v>-1.2</v>
      </c>
      <c r="BM269" s="137">
        <f>'LCFS Table'!$AS269*'LCFS Table'!$CG269</f>
        <v>0</v>
      </c>
      <c r="BN269" s="137">
        <f>'LCFS Table'!$AT269*'LCFS Table'!$CH269</f>
        <v>0.16</v>
      </c>
      <c r="BO269" s="137">
        <f>'LCFS Table'!$AU269*'LCFS Table'!$CI269</f>
        <v>0</v>
      </c>
      <c r="BP269" s="137">
        <f>'LCFS Table'!$AV269*'LCFS Table'!$CJ269</f>
        <v>0</v>
      </c>
      <c r="BQ269" s="137">
        <f>'LCFS Table'!$AW269*'LCFS Table'!$CK269</f>
        <v>0</v>
      </c>
      <c r="BR269" s="137">
        <f>'LCFS Table'!$AX269*'LCFS Table'!$CL269</f>
        <v>0</v>
      </c>
      <c r="BS269" s="137">
        <f>'LCFS Table'!$AY269*'LCFS Table'!$CM269</f>
        <v>0</v>
      </c>
      <c r="BT269" s="137">
        <f>'LCFS Table'!$AZ269*'LCFS Table'!$CN269</f>
        <v>0</v>
      </c>
      <c r="BU269" s="137">
        <f>'LCFS Table'!$BA269*'LCFS Table'!$CO269</f>
        <v>0</v>
      </c>
      <c r="BV269" s="142">
        <f>'LCFS Table'!$BB269*'LCFS Table'!$CP269</f>
        <v>1.2</v>
      </c>
      <c r="BW269" s="138">
        <v>1</v>
      </c>
      <c r="BX269" s="138">
        <v>0</v>
      </c>
      <c r="BY269" s="138">
        <v>1</v>
      </c>
      <c r="BZ269" s="138">
        <v>1</v>
      </c>
      <c r="CA269" s="138">
        <v>-1</v>
      </c>
      <c r="CB269" s="138">
        <v>1</v>
      </c>
      <c r="CC269" s="138">
        <v>0</v>
      </c>
      <c r="CD269" s="138">
        <v>1</v>
      </c>
      <c r="CE269" s="138">
        <v>1</v>
      </c>
      <c r="CF269" s="138">
        <v>-1</v>
      </c>
      <c r="CG269" s="138">
        <f>1-'LCFS Table'!$BW269</f>
        <v>0</v>
      </c>
      <c r="CH269" s="138">
        <f>1-'LCFS Table'!$BX269</f>
        <v>1</v>
      </c>
      <c r="CI269" s="138">
        <f>1-'LCFS Table'!$BY269</f>
        <v>0</v>
      </c>
      <c r="CJ269" s="138">
        <f>1-'LCFS Table'!$BZ269</f>
        <v>0</v>
      </c>
      <c r="CK269" s="138">
        <f>-'LCFS Table'!$CA269</f>
        <v>1</v>
      </c>
      <c r="CL269" s="138">
        <f>1-'LCFS Table'!$CB269</f>
        <v>0</v>
      </c>
      <c r="CM269" s="138">
        <f>1-'LCFS Table'!$CC269</f>
        <v>1</v>
      </c>
      <c r="CN269" s="138">
        <f>1-'LCFS Table'!$CD269</f>
        <v>0</v>
      </c>
      <c r="CO269" s="138">
        <f>1-'LCFS Table'!$CE269</f>
        <v>0</v>
      </c>
      <c r="CP269" s="138">
        <f>-'LCFS Table'!$CF269</f>
        <v>1</v>
      </c>
      <c r="CQ269" s="140">
        <v>9.8000000000000007</v>
      </c>
      <c r="CR269" s="165">
        <f>('LCFS Table'!$CQ269*0.9/(0.8/0.99)/100)</f>
        <v>0.10914749999999999</v>
      </c>
      <c r="CS269" s="166"/>
      <c r="CT269" s="167"/>
      <c r="CW269" s="168">
        <f>'LCFS Table'!$K269-'LCFS Table'!$M269</f>
        <v>-0.15317300208750062</v>
      </c>
      <c r="CX269" s="129">
        <f>MONTH('LCFS Table'!$B269)</f>
        <v>2</v>
      </c>
      <c r="CY269" s="129">
        <f>YEAR('LCFS Table'!$B269)</f>
        <v>2024</v>
      </c>
    </row>
    <row r="270" spans="1:103">
      <c r="A270" s="148">
        <v>45333</v>
      </c>
      <c r="B270" s="149">
        <v>45339</v>
      </c>
      <c r="C270" s="132">
        <f t="shared" si="5"/>
        <v>2024</v>
      </c>
      <c r="D270" s="150" t="s">
        <v>263</v>
      </c>
      <c r="E270" s="187">
        <f>'LCFS Table'!$K270-'LCFS Table'!$I270</f>
        <v>-1.1733879224030042</v>
      </c>
      <c r="F270" s="187">
        <f>('LCFS Table'!$M270)-'LCFS Table'!$J270</f>
        <v>-1.6210067800375008</v>
      </c>
      <c r="G270" s="188">
        <f>'LCFS Table'!$E270+'LCFS Table'!$AS270+'LCFS Table'!$AT270+'LCFS Table'!$AU270+'LCFS Table'!$AV270</f>
        <v>1.3468659871112938</v>
      </c>
      <c r="H270" s="188">
        <f>'LCFS Table'!$F270+'LCFS Table'!$AX270+'LCFS Table'!$AY270+'LCFS Table'!$AZ270+'LCFS Table'!$BA270+('LCFS Table'!$CQ270*0.9/(0.8/0.99)/100)+(DG270*'LCFS Table'!$AF270)+(DF270*'LCFS Table'!$AG270)</f>
        <v>0.57929960937499902</v>
      </c>
      <c r="I270" s="187">
        <f>('LCFS Table'!$V270+'LCFS Table'!$W270+'LCFS Table'!$X270)/100+(('LCFS Table'!$AI270+'LCFS Table'!$AJ270)/340)</f>
        <v>3.7045879224030043</v>
      </c>
      <c r="J270" s="187">
        <f>(('LCFS Table'!$Y270+'LCFS Table'!$Z270)/100)+(('LCFS Table'!$AM270+'LCFS Table'!$AN270)/300)</f>
        <v>4.5548597656250003</v>
      </c>
      <c r="K270" s="190">
        <f>'[1]Fuel Values'!$C269</f>
        <v>2.5312000000000001</v>
      </c>
      <c r="L270" s="190">
        <f>'[1]Fuel Values'!$B269</f>
        <v>502</v>
      </c>
      <c r="M270" s="185">
        <f>('LCFS Table'!$L270/100)-'LCFS Table'!$AX270-'LCFS Table'!$AY270-'LCFS Table'!$AZ270-'LCFS Table'!$BA270</f>
        <v>2.9338529855874995</v>
      </c>
      <c r="N270" s="190">
        <f>[1]BFT!$B269</f>
        <v>41.3</v>
      </c>
      <c r="O270" s="190">
        <f>[1]UCO!$B269</f>
        <v>32.75</v>
      </c>
      <c r="P270" s="190">
        <f>[1]DCO!$B269</f>
        <v>44.5</v>
      </c>
      <c r="Q270" s="190">
        <f>'[1]Soybean Oil'!$B269</f>
        <v>53.628</v>
      </c>
      <c r="R270" s="190">
        <f>'[1]Yellow Grease'!$B269</f>
        <v>30</v>
      </c>
      <c r="S270" s="185">
        <f>'LCFS Table'!$N270 + 'LCFS Table'!$AH270</f>
        <v>45.674999999999997</v>
      </c>
      <c r="T270" s="185">
        <f>'LCFS Table'!$Q270+'LCFS Table'!$AH270</f>
        <v>58.003</v>
      </c>
      <c r="U270" s="185">
        <f>'LCFS Table'!$P270+'LCFS Table'!$AH270</f>
        <v>48.875</v>
      </c>
      <c r="V270" s="185">
        <f>(('LCFS Table'!$S270/'LCFS Table'!$AA270)*'LCFS Table'!$AC270)*6.48</f>
        <v>157.43297872340426</v>
      </c>
      <c r="W270" s="185">
        <f>(('LCFS Table'!$O270/'LCFS Table'!$AA270)*'LCFS Table'!$AD270)*6.48</f>
        <v>56.441489361702132</v>
      </c>
      <c r="X270" s="185">
        <f>(('LCFS Table'!$U270/'LCFS Table'!$AA270)*'LCFS Table'!$AE270)*6.48</f>
        <v>84.231382978723417</v>
      </c>
      <c r="Y270" s="185">
        <f>(('LCFS Table'!$T270/'LCFS Table'!$AB270)*'LCFS Table'!$AF270)*7.35</f>
        <v>333.06410156250001</v>
      </c>
      <c r="Z270" s="185">
        <f>(('LCFS Table'!$R270/'LCFS Table'!$AB270)*'LCFS Table'!$AG270)*7.35</f>
        <v>57.421875</v>
      </c>
      <c r="AA270" s="138">
        <v>0.94</v>
      </c>
      <c r="AB270" s="138">
        <v>0.96</v>
      </c>
      <c r="AC270" s="138">
        <v>0.5</v>
      </c>
      <c r="AD270" s="138">
        <v>0.25</v>
      </c>
      <c r="AE270" s="138">
        <v>0.25</v>
      </c>
      <c r="AF270" s="138">
        <v>0.75</v>
      </c>
      <c r="AG270" s="138">
        <v>0.25</v>
      </c>
      <c r="AH270" s="139">
        <v>4.375</v>
      </c>
      <c r="AI270" s="139">
        <v>136</v>
      </c>
      <c r="AJ270" s="139">
        <v>110</v>
      </c>
      <c r="AK270" s="186">
        <f>('LCFS Table'!$AI270/340)*100</f>
        <v>40</v>
      </c>
      <c r="AL270" s="186">
        <f>('LCFS Table'!$AJ270/340)*100</f>
        <v>32.352941176470587</v>
      </c>
      <c r="AM270" s="139">
        <v>105</v>
      </c>
      <c r="AN270" s="139">
        <v>90</v>
      </c>
      <c r="AO270" s="139">
        <f>('LCFS Table'!$AM270/300)*100</f>
        <v>35</v>
      </c>
      <c r="AP270" s="139">
        <f>('LCFS Table'!$AN270/300)*100</f>
        <v>30</v>
      </c>
      <c r="AQ270" s="140">
        <f>'[1]LCFS Values'!$B269</f>
        <v>64.099999999999994</v>
      </c>
      <c r="AR270" s="140">
        <f>'[1]RIN Values'!$B269/100</f>
        <v>0.499</v>
      </c>
      <c r="AS270" s="185">
        <f>((('[2]Controls 2'!$B$2-SUM(('[2]Controls 2'!$B$5*'LCFS Table'!$AC270),('[2]Controls 2'!$B$6*'LCFS Table'!$AD270),('[2]Controls 2'!$B$7*'LCFS Table'!$AE270)))/1000000)*'LCFS Table'!$AQ270)*'[2]Controls 2'!$B$8</f>
        <v>0.51195390951429809</v>
      </c>
      <c r="AT270" s="137">
        <v>0.16</v>
      </c>
      <c r="AU270" s="137">
        <v>1</v>
      </c>
      <c r="AV270" s="185">
        <f>'LCFS Table'!$AR270*1.7</f>
        <v>0.84829999999999994</v>
      </c>
      <c r="AW270" s="137">
        <v>0</v>
      </c>
      <c r="AX270" s="185">
        <f>(((('[2]Controls 2'!$B$2-SUM(('LCFS Table'!$AF270*'[2]Controls 2'!$B$12),('LCFS Table'!$AG270*'[2]Controls 2'!$B$13)))/1000000)*'LCFS Table'!$AQ270)*'[2]Controls 2'!$B$14)</f>
        <v>0.33764701441249995</v>
      </c>
      <c r="AY270" s="137">
        <v>0</v>
      </c>
      <c r="AZ270" s="141">
        <v>1</v>
      </c>
      <c r="BA270" s="185">
        <f>'LCFS Table'!$AR270*1.5</f>
        <v>0.74849999999999994</v>
      </c>
      <c r="BB270" s="142">
        <v>1.2</v>
      </c>
      <c r="BC270" s="185">
        <f>'LCFS Table'!$AS270*'LCFS Table'!$BW270</f>
        <v>0.51195390951429809</v>
      </c>
      <c r="BD270" s="185">
        <f>'LCFS Table'!$AT270*'LCFS Table'!$BX270</f>
        <v>0</v>
      </c>
      <c r="BE270" s="185">
        <f>'LCFS Table'!$AU270*'LCFS Table'!$BY270</f>
        <v>1</v>
      </c>
      <c r="BF270" s="137">
        <f>'LCFS Table'!$AV270*'LCFS Table'!$BZ270</f>
        <v>0.84829999999999994</v>
      </c>
      <c r="BG270" s="137">
        <f>'LCFS Table'!$AW270*'LCFS Table'!$CA270</f>
        <v>0</v>
      </c>
      <c r="BH270" s="137">
        <f>'LCFS Table'!$AX270*'LCFS Table'!$CB270</f>
        <v>0.33764701441249995</v>
      </c>
      <c r="BI270" s="137">
        <f>'LCFS Table'!$AY270*'LCFS Table'!$CC270</f>
        <v>0</v>
      </c>
      <c r="BJ270" s="137">
        <f>'LCFS Table'!$AZ270*'LCFS Table'!$CD270</f>
        <v>1</v>
      </c>
      <c r="BK270" s="137">
        <f>'LCFS Table'!$BA270*'LCFS Table'!$CE270</f>
        <v>0.74849999999999994</v>
      </c>
      <c r="BL270" s="137">
        <f>'LCFS Table'!$BB270*'LCFS Table'!$CF270</f>
        <v>-1.2</v>
      </c>
      <c r="BM270" s="137">
        <f>'LCFS Table'!$AS270*'LCFS Table'!$CG270</f>
        <v>0</v>
      </c>
      <c r="BN270" s="137">
        <f>'LCFS Table'!$AT270*'LCFS Table'!$CH270</f>
        <v>0.16</v>
      </c>
      <c r="BO270" s="137">
        <f>'LCFS Table'!$AU270*'LCFS Table'!$CI270</f>
        <v>0</v>
      </c>
      <c r="BP270" s="137">
        <f>'LCFS Table'!$AV270*'LCFS Table'!$CJ270</f>
        <v>0</v>
      </c>
      <c r="BQ270" s="137">
        <f>'LCFS Table'!$AW270*'LCFS Table'!$CK270</f>
        <v>0</v>
      </c>
      <c r="BR270" s="137">
        <f>'LCFS Table'!$AX270*'LCFS Table'!$CL270</f>
        <v>0</v>
      </c>
      <c r="BS270" s="137">
        <f>'LCFS Table'!$AY270*'LCFS Table'!$CM270</f>
        <v>0</v>
      </c>
      <c r="BT270" s="137">
        <f>'LCFS Table'!$AZ270*'LCFS Table'!$CN270</f>
        <v>0</v>
      </c>
      <c r="BU270" s="137">
        <f>'LCFS Table'!$BA270*'LCFS Table'!$CO270</f>
        <v>0</v>
      </c>
      <c r="BV270" s="142">
        <f>'LCFS Table'!$BB270*'LCFS Table'!$CP270</f>
        <v>1.2</v>
      </c>
      <c r="BW270" s="138">
        <v>1</v>
      </c>
      <c r="BX270" s="138">
        <v>0</v>
      </c>
      <c r="BY270" s="138">
        <v>1</v>
      </c>
      <c r="BZ270" s="138">
        <v>1</v>
      </c>
      <c r="CA270" s="138">
        <v>-1</v>
      </c>
      <c r="CB270" s="138">
        <v>1</v>
      </c>
      <c r="CC270" s="138">
        <v>0</v>
      </c>
      <c r="CD270" s="138">
        <v>1</v>
      </c>
      <c r="CE270" s="138">
        <v>1</v>
      </c>
      <c r="CF270" s="138">
        <v>-1</v>
      </c>
      <c r="CG270" s="138">
        <f>1-'LCFS Table'!$BW270</f>
        <v>0</v>
      </c>
      <c r="CH270" s="138">
        <f>1-'LCFS Table'!$BX270</f>
        <v>1</v>
      </c>
      <c r="CI270" s="138">
        <f>1-'LCFS Table'!$BY270</f>
        <v>0</v>
      </c>
      <c r="CJ270" s="138">
        <f>1-'LCFS Table'!$BZ270</f>
        <v>0</v>
      </c>
      <c r="CK270" s="138">
        <f>-'LCFS Table'!$CA270</f>
        <v>1</v>
      </c>
      <c r="CL270" s="138">
        <f>1-'LCFS Table'!$CB270</f>
        <v>0</v>
      </c>
      <c r="CM270" s="138">
        <f>1-'LCFS Table'!$CC270</f>
        <v>1</v>
      </c>
      <c r="CN270" s="138">
        <f>1-'LCFS Table'!$CD270</f>
        <v>0</v>
      </c>
      <c r="CO270" s="138">
        <f>1-'LCFS Table'!$CE270</f>
        <v>0</v>
      </c>
      <c r="CP270" s="138">
        <f>-'LCFS Table'!$CF270</f>
        <v>1</v>
      </c>
      <c r="CQ270" s="140">
        <v>10.25</v>
      </c>
      <c r="CR270" s="165">
        <f>('LCFS Table'!$CQ270*0.9/(0.8/0.99)/100)</f>
        <v>0.11415937499999998</v>
      </c>
      <c r="CS270" s="166"/>
      <c r="CT270" s="167"/>
      <c r="CW270" s="168">
        <f>'LCFS Table'!$K270-'LCFS Table'!$M270</f>
        <v>-0.4026529855874994</v>
      </c>
      <c r="CX270" s="129">
        <f>MONTH('LCFS Table'!$B270)</f>
        <v>2</v>
      </c>
      <c r="CY270" s="129">
        <f>YEAR('LCFS Table'!$B270)</f>
        <v>2024</v>
      </c>
    </row>
    <row r="271" spans="1:103">
      <c r="A271" s="148">
        <v>45340</v>
      </c>
      <c r="B271" s="149">
        <v>45346</v>
      </c>
      <c r="C271" s="132">
        <f t="shared" si="5"/>
        <v>2024</v>
      </c>
      <c r="D271" s="150" t="s">
        <v>264</v>
      </c>
      <c r="E271" s="187">
        <f>'LCFS Table'!$K271-'LCFS Table'!$I271</f>
        <v>-1.1466421777221529</v>
      </c>
      <c r="F271" s="187">
        <f>('LCFS Table'!$M271)-'LCFS Table'!$J271</f>
        <v>-1.6178993629843754</v>
      </c>
      <c r="G271" s="188">
        <f>'LCFS Table'!$E271+'LCFS Table'!$AS271+'LCFS Table'!$AT271+'LCFS Table'!$AU271+'LCFS Table'!$AV271</f>
        <v>1.2186463014583251</v>
      </c>
      <c r="H271" s="188">
        <f>'LCFS Table'!$F271+'LCFS Table'!$AX271+'LCFS Table'!$AY271+'LCFS Table'!$AZ271+'LCFS Table'!$BA271+('LCFS Table'!$CQ271*0.9/(0.8/0.99)/100)+(DG271*'LCFS Table'!$AF271)+(DF271*'LCFS Table'!$AG271)</f>
        <v>0.44139433593749949</v>
      </c>
      <c r="I271" s="187">
        <f>('LCFS Table'!$V271+'LCFS Table'!$W271+'LCFS Table'!$X271)/100+(('LCFS Table'!$AI271+'LCFS Table'!$AJ271)/340)</f>
        <v>3.666242177722153</v>
      </c>
      <c r="J271" s="187">
        <f>(('LCFS Table'!$Y271+'LCFS Table'!$Z271)/100)+(('LCFS Table'!$AM271+'LCFS Table'!$AN271)/300)</f>
        <v>4.4609462890625</v>
      </c>
      <c r="K271" s="190">
        <f>'[1]Fuel Values'!$C270</f>
        <v>2.5196000000000001</v>
      </c>
      <c r="L271" s="190">
        <f>'[1]Fuel Values'!$B270</f>
        <v>479.375</v>
      </c>
      <c r="M271" s="185">
        <f>('LCFS Table'!$L271/100)-'LCFS Table'!$AX271-'LCFS Table'!$AY271-'LCFS Table'!$AZ271-'LCFS Table'!$BA271</f>
        <v>2.8430469260781246</v>
      </c>
      <c r="N271" s="190">
        <f>[1]BFT!$B270</f>
        <v>41</v>
      </c>
      <c r="O271" s="190">
        <f>[1]UCO!$B270</f>
        <v>32.75</v>
      </c>
      <c r="P271" s="190">
        <f>[1]DCO!$B270</f>
        <v>42.875</v>
      </c>
      <c r="Q271" s="190">
        <f>'[1]Soybean Oil'!$B270</f>
        <v>51.9925</v>
      </c>
      <c r="R271" s="190">
        <f>'[1]Yellow Grease'!$B270</f>
        <v>30</v>
      </c>
      <c r="S271" s="185">
        <f>'LCFS Table'!$N271 + 'LCFS Table'!$AH271</f>
        <v>45.375</v>
      </c>
      <c r="T271" s="185">
        <f>'LCFS Table'!$Q271+'LCFS Table'!$AH271</f>
        <v>56.3675</v>
      </c>
      <c r="U271" s="185">
        <f>'LCFS Table'!$P271+'LCFS Table'!$AH271</f>
        <v>47.25</v>
      </c>
      <c r="V271" s="185">
        <f>(('LCFS Table'!$S271/'LCFS Table'!$AA271)*'LCFS Table'!$AC271)*6.48</f>
        <v>156.39893617021278</v>
      </c>
      <c r="W271" s="185">
        <f>(('LCFS Table'!$O271/'LCFS Table'!$AA271)*'LCFS Table'!$AD271)*6.48</f>
        <v>56.441489361702132</v>
      </c>
      <c r="X271" s="185">
        <f>(('LCFS Table'!$U271/'LCFS Table'!$AA271)*'LCFS Table'!$AE271)*6.48</f>
        <v>81.430851063829792</v>
      </c>
      <c r="Y271" s="185">
        <f>(('LCFS Table'!$T271/'LCFS Table'!$AB271)*'LCFS Table'!$AF271)*7.35</f>
        <v>323.67275390624997</v>
      </c>
      <c r="Z271" s="185">
        <f>(('LCFS Table'!$R271/'LCFS Table'!$AB271)*'LCFS Table'!$AG271)*7.35</f>
        <v>57.421875</v>
      </c>
      <c r="AA271" s="138">
        <v>0.94</v>
      </c>
      <c r="AB271" s="138">
        <v>0.96</v>
      </c>
      <c r="AC271" s="138">
        <v>0.5</v>
      </c>
      <c r="AD271" s="138">
        <v>0.25</v>
      </c>
      <c r="AE271" s="138">
        <v>0.25</v>
      </c>
      <c r="AF271" s="138">
        <v>0.75</v>
      </c>
      <c r="AG271" s="138">
        <v>0.25</v>
      </c>
      <c r="AH271" s="139">
        <v>4.375</v>
      </c>
      <c r="AI271" s="139">
        <v>136</v>
      </c>
      <c r="AJ271" s="139">
        <v>110</v>
      </c>
      <c r="AK271" s="186">
        <f>('LCFS Table'!$AI271/340)*100</f>
        <v>40</v>
      </c>
      <c r="AL271" s="186">
        <f>('LCFS Table'!$AJ271/340)*100</f>
        <v>32.352941176470587</v>
      </c>
      <c r="AM271" s="139">
        <v>105</v>
      </c>
      <c r="AN271" s="139">
        <v>90</v>
      </c>
      <c r="AO271" s="139">
        <f>('LCFS Table'!$AM271/300)*100</f>
        <v>35</v>
      </c>
      <c r="AP271" s="139">
        <f>('LCFS Table'!$AN271/300)*100</f>
        <v>30</v>
      </c>
      <c r="AQ271" s="140">
        <f>'[1]LCFS Values'!$B270</f>
        <v>63.375</v>
      </c>
      <c r="AR271" s="140">
        <f>'[1]RIN Values'!$B270/100</f>
        <v>0.41125</v>
      </c>
      <c r="AS271" s="185">
        <f>((('[2]Controls 2'!$B$2-SUM(('[2]Controls 2'!$B$5*'LCFS Table'!$AC271),('[2]Controls 2'!$B$6*'LCFS Table'!$AD271),('[2]Controls 2'!$B$7*'LCFS Table'!$AE271)))/1000000)*'LCFS Table'!$AQ271)*'[2]Controls 2'!$B$8</f>
        <v>0.5061634791804781</v>
      </c>
      <c r="AT271" s="137">
        <v>0.16</v>
      </c>
      <c r="AU271" s="137">
        <v>1</v>
      </c>
      <c r="AV271" s="185">
        <f>'LCFS Table'!$AR271*1.7</f>
        <v>0.699125</v>
      </c>
      <c r="AW271" s="137">
        <v>0</v>
      </c>
      <c r="AX271" s="185">
        <f>(((('[2]Controls 2'!$B$2-SUM(('LCFS Table'!$AF271*'[2]Controls 2'!$B$12),('LCFS Table'!$AG271*'[2]Controls 2'!$B$13)))/1000000)*'LCFS Table'!$AQ271)*'[2]Controls 2'!$B$14)</f>
        <v>0.33382807392187497</v>
      </c>
      <c r="AY271" s="137">
        <v>0</v>
      </c>
      <c r="AZ271" s="141">
        <v>1</v>
      </c>
      <c r="BA271" s="185">
        <f>'LCFS Table'!$AR271*1.5</f>
        <v>0.61687500000000006</v>
      </c>
      <c r="BB271" s="142">
        <v>1.2</v>
      </c>
      <c r="BC271" s="185">
        <f>'LCFS Table'!$AS271*'LCFS Table'!$BW271</f>
        <v>0.5061634791804781</v>
      </c>
      <c r="BD271" s="185">
        <f>'LCFS Table'!$AT271*'LCFS Table'!$BX271</f>
        <v>0</v>
      </c>
      <c r="BE271" s="185">
        <f>'LCFS Table'!$AU271*'LCFS Table'!$BY271</f>
        <v>1</v>
      </c>
      <c r="BF271" s="137">
        <f>'LCFS Table'!$AV271*'LCFS Table'!$BZ271</f>
        <v>0.699125</v>
      </c>
      <c r="BG271" s="137">
        <f>'LCFS Table'!$AW271*'LCFS Table'!$CA271</f>
        <v>0</v>
      </c>
      <c r="BH271" s="137">
        <f>'LCFS Table'!$AX271*'LCFS Table'!$CB271</f>
        <v>0.33382807392187497</v>
      </c>
      <c r="BI271" s="137">
        <f>'LCFS Table'!$AY271*'LCFS Table'!$CC271</f>
        <v>0</v>
      </c>
      <c r="BJ271" s="137">
        <f>'LCFS Table'!$AZ271*'LCFS Table'!$CD271</f>
        <v>1</v>
      </c>
      <c r="BK271" s="137">
        <f>'LCFS Table'!$BA271*'LCFS Table'!$CE271</f>
        <v>0.61687500000000006</v>
      </c>
      <c r="BL271" s="137">
        <f>'LCFS Table'!$BB271*'LCFS Table'!$CF271</f>
        <v>-1.2</v>
      </c>
      <c r="BM271" s="137">
        <f>'LCFS Table'!$AS271*'LCFS Table'!$CG271</f>
        <v>0</v>
      </c>
      <c r="BN271" s="137">
        <f>'LCFS Table'!$AT271*'LCFS Table'!$CH271</f>
        <v>0.16</v>
      </c>
      <c r="BO271" s="137">
        <f>'LCFS Table'!$AU271*'LCFS Table'!$CI271</f>
        <v>0</v>
      </c>
      <c r="BP271" s="137">
        <f>'LCFS Table'!$AV271*'LCFS Table'!$CJ271</f>
        <v>0</v>
      </c>
      <c r="BQ271" s="137">
        <f>'LCFS Table'!$AW271*'LCFS Table'!$CK271</f>
        <v>0</v>
      </c>
      <c r="BR271" s="137">
        <f>'LCFS Table'!$AX271*'LCFS Table'!$CL271</f>
        <v>0</v>
      </c>
      <c r="BS271" s="137">
        <f>'LCFS Table'!$AY271*'LCFS Table'!$CM271</f>
        <v>0</v>
      </c>
      <c r="BT271" s="137">
        <f>'LCFS Table'!$AZ271*'LCFS Table'!$CN271</f>
        <v>0</v>
      </c>
      <c r="BU271" s="137">
        <f>'LCFS Table'!$BA271*'LCFS Table'!$CO271</f>
        <v>0</v>
      </c>
      <c r="BV271" s="142">
        <f>'LCFS Table'!$BB271*'LCFS Table'!$CP271</f>
        <v>1.2</v>
      </c>
      <c r="BW271" s="138">
        <v>1</v>
      </c>
      <c r="BX271" s="138">
        <v>0</v>
      </c>
      <c r="BY271" s="138">
        <v>1</v>
      </c>
      <c r="BZ271" s="138">
        <v>1</v>
      </c>
      <c r="CA271" s="138">
        <v>-1</v>
      </c>
      <c r="CB271" s="138">
        <v>1</v>
      </c>
      <c r="CC271" s="138">
        <v>0</v>
      </c>
      <c r="CD271" s="138">
        <v>1</v>
      </c>
      <c r="CE271" s="138">
        <v>1</v>
      </c>
      <c r="CF271" s="138">
        <v>-1</v>
      </c>
      <c r="CG271" s="138">
        <f>1-'LCFS Table'!$BW271</f>
        <v>0</v>
      </c>
      <c r="CH271" s="138">
        <f>1-'LCFS Table'!$BX271</f>
        <v>1</v>
      </c>
      <c r="CI271" s="138">
        <f>1-'LCFS Table'!$BY271</f>
        <v>0</v>
      </c>
      <c r="CJ271" s="138">
        <f>1-'LCFS Table'!$BZ271</f>
        <v>0</v>
      </c>
      <c r="CK271" s="138">
        <f>-'LCFS Table'!$CA271</f>
        <v>1</v>
      </c>
      <c r="CL271" s="138">
        <f>1-'LCFS Table'!$CB271</f>
        <v>0</v>
      </c>
      <c r="CM271" s="138">
        <f>1-'LCFS Table'!$CC271</f>
        <v>1</v>
      </c>
      <c r="CN271" s="138">
        <f>1-'LCFS Table'!$CD271</f>
        <v>0</v>
      </c>
      <c r="CO271" s="138">
        <f>1-'LCFS Table'!$CE271</f>
        <v>0</v>
      </c>
      <c r="CP271" s="138">
        <f>-'LCFS Table'!$CF271</f>
        <v>1</v>
      </c>
      <c r="CQ271" s="140">
        <v>9.75</v>
      </c>
      <c r="CR271" s="165">
        <f>('LCFS Table'!$CQ271*0.9/(0.8/0.99)/100)</f>
        <v>0.10859062499999998</v>
      </c>
      <c r="CS271" s="166"/>
      <c r="CT271" s="167"/>
      <c r="CW271" s="168">
        <f>'LCFS Table'!$K271-'LCFS Table'!$M271</f>
        <v>-0.32344692607812453</v>
      </c>
      <c r="CX271" s="129">
        <f>MONTH('LCFS Table'!$B271)</f>
        <v>2</v>
      </c>
      <c r="CY271" s="129">
        <f>YEAR('LCFS Table'!$B271)</f>
        <v>2024</v>
      </c>
    </row>
    <row r="272" spans="1:103">
      <c r="A272" s="148">
        <v>45347</v>
      </c>
      <c r="B272" s="149">
        <v>45353</v>
      </c>
      <c r="C272" s="132">
        <f t="shared" si="5"/>
        <v>2024</v>
      </c>
      <c r="D272" s="150" t="s">
        <v>265</v>
      </c>
      <c r="E272" s="187">
        <f>'LCFS Table'!$K272-'LCFS Table'!$I272</f>
        <v>-1.041236858573217</v>
      </c>
      <c r="F272" s="187">
        <f>('LCFS Table'!$M272)-'LCFS Table'!$J272</f>
        <v>-1.7347527257874988</v>
      </c>
      <c r="G272" s="188">
        <f>'LCFS Table'!$E272+'LCFS Table'!$AS272+'LCFS Table'!$AT272+'LCFS Table'!$AU272+'LCFS Table'!$AV272</f>
        <v>1.3870406518619638</v>
      </c>
      <c r="H272" s="188">
        <f>'LCFS Table'!$F272+'LCFS Table'!$AX272+'LCFS Table'!$AY272+'LCFS Table'!$AZ272+'LCFS Table'!$BA272+('LCFS Table'!$CQ272*0.9/(0.8/0.99)/100)+(DG272*'LCFS Table'!$AF272)+(DF272*'LCFS Table'!$AG272)</f>
        <v>0.36691679687500101</v>
      </c>
      <c r="I272" s="187">
        <f>('LCFS Table'!$V272+'LCFS Table'!$W272+'LCFS Table'!$X272)/100+(('LCFS Table'!$AI272+'LCFS Table'!$AJ272)/340)</f>
        <v>3.638236858573217</v>
      </c>
      <c r="J272" s="187">
        <f>(('LCFS Table'!$Y272+'LCFS Table'!$Z272)/100)+(('LCFS Table'!$AM272+'LCFS Table'!$AN272)/300)</f>
        <v>4.4733207031249993</v>
      </c>
      <c r="K272" s="190">
        <f>'[1]Fuel Values'!$C271</f>
        <v>2.597</v>
      </c>
      <c r="L272" s="190">
        <f>'[1]Fuel Values'!$B271</f>
        <v>474</v>
      </c>
      <c r="M272" s="185">
        <f>('LCFS Table'!$L272/100)-'LCFS Table'!$AX272-'LCFS Table'!$AY272-'LCFS Table'!$AZ272-'LCFS Table'!$BA272</f>
        <v>2.7385679773375005</v>
      </c>
      <c r="N272" s="190">
        <f>[1]BFT!$B271</f>
        <v>41</v>
      </c>
      <c r="O272" s="190">
        <f>[1]UCO!$B271</f>
        <v>32.299999999999997</v>
      </c>
      <c r="P272" s="190">
        <f>[1]DCO!$B271</f>
        <v>41.7</v>
      </c>
      <c r="Q272" s="190">
        <f>'[1]Soybean Oil'!$B271</f>
        <v>52.207999999999998</v>
      </c>
      <c r="R272" s="190">
        <f>'[1]Yellow Grease'!$B271</f>
        <v>30</v>
      </c>
      <c r="S272" s="185">
        <f>'LCFS Table'!$N272 + 'LCFS Table'!$AH272</f>
        <v>45.375</v>
      </c>
      <c r="T272" s="185">
        <f>'LCFS Table'!$Q272+'LCFS Table'!$AH272</f>
        <v>56.582999999999998</v>
      </c>
      <c r="U272" s="185">
        <f>'LCFS Table'!$P272+'LCFS Table'!$AH272</f>
        <v>46.075000000000003</v>
      </c>
      <c r="V272" s="185">
        <f>(('LCFS Table'!$S272/'LCFS Table'!$AA272)*'LCFS Table'!$AC272)*6.48</f>
        <v>156.39893617021278</v>
      </c>
      <c r="W272" s="185">
        <f>(('LCFS Table'!$O272/'LCFS Table'!$AA272)*'LCFS Table'!$AD272)*6.48</f>
        <v>55.66595744680852</v>
      </c>
      <c r="X272" s="185">
        <f>(('LCFS Table'!$U272/'LCFS Table'!$AA272)*'LCFS Table'!$AE272)*6.48</f>
        <v>79.4058510638298</v>
      </c>
      <c r="Y272" s="185">
        <f>(('LCFS Table'!$T272/'LCFS Table'!$AB272)*'LCFS Table'!$AF272)*7.35</f>
        <v>324.91019531249992</v>
      </c>
      <c r="Z272" s="185">
        <f>(('LCFS Table'!$R272/'LCFS Table'!$AB272)*'LCFS Table'!$AG272)*7.35</f>
        <v>57.421875</v>
      </c>
      <c r="AA272" s="138">
        <v>0.94</v>
      </c>
      <c r="AB272" s="138">
        <v>0.96</v>
      </c>
      <c r="AC272" s="138">
        <v>0.5</v>
      </c>
      <c r="AD272" s="138">
        <v>0.25</v>
      </c>
      <c r="AE272" s="138">
        <v>0.25</v>
      </c>
      <c r="AF272" s="138">
        <v>0.75</v>
      </c>
      <c r="AG272" s="138">
        <v>0.25</v>
      </c>
      <c r="AH272" s="139">
        <v>4.375</v>
      </c>
      <c r="AI272" s="139">
        <v>136</v>
      </c>
      <c r="AJ272" s="139">
        <v>110</v>
      </c>
      <c r="AK272" s="186">
        <f>('LCFS Table'!$AI272/340)*100</f>
        <v>40</v>
      </c>
      <c r="AL272" s="186">
        <f>('LCFS Table'!$AJ272/340)*100</f>
        <v>32.352941176470587</v>
      </c>
      <c r="AM272" s="139">
        <v>105</v>
      </c>
      <c r="AN272" s="139">
        <v>90</v>
      </c>
      <c r="AO272" s="139">
        <f>('LCFS Table'!$AM272/300)*100</f>
        <v>35</v>
      </c>
      <c r="AP272" s="139">
        <f>('LCFS Table'!$AN272/300)*100</f>
        <v>30</v>
      </c>
      <c r="AQ272" s="140">
        <f>'[1]LCFS Values'!$B271</f>
        <v>66.099999999999994</v>
      </c>
      <c r="AR272" s="140">
        <f>'[1]RIN Values'!$B271/100</f>
        <v>0.4355</v>
      </c>
      <c r="AS272" s="185">
        <f>((('[2]Controls 2'!$B$2-SUM(('[2]Controls 2'!$B$5*'LCFS Table'!$AC272),('[2]Controls 2'!$B$6*'LCFS Table'!$AD272),('[2]Controls 2'!$B$7*'LCFS Table'!$AE272)))/1000000)*'LCFS Table'!$AQ272)*'[2]Controls 2'!$B$8</f>
        <v>0.52792751043518094</v>
      </c>
      <c r="AT272" s="137">
        <v>0.16</v>
      </c>
      <c r="AU272" s="137">
        <v>1</v>
      </c>
      <c r="AV272" s="185">
        <f>'LCFS Table'!$AR272*1.7</f>
        <v>0.74034999999999995</v>
      </c>
      <c r="AW272" s="137">
        <v>0</v>
      </c>
      <c r="AX272" s="185">
        <f>(((('[2]Controls 2'!$B$2-SUM(('LCFS Table'!$AF272*'[2]Controls 2'!$B$12),('LCFS Table'!$AG272*'[2]Controls 2'!$B$13)))/1000000)*'LCFS Table'!$AQ272)*'[2]Controls 2'!$B$14)</f>
        <v>0.34818202266249992</v>
      </c>
      <c r="AY272" s="137">
        <v>0</v>
      </c>
      <c r="AZ272" s="141">
        <v>1</v>
      </c>
      <c r="BA272" s="185">
        <f>'LCFS Table'!$AR272*1.5</f>
        <v>0.65325</v>
      </c>
      <c r="BB272" s="142">
        <v>1.2</v>
      </c>
      <c r="BC272" s="185">
        <f>'LCFS Table'!$AS272*'LCFS Table'!$BW272</f>
        <v>0.52792751043518094</v>
      </c>
      <c r="BD272" s="185">
        <f>'LCFS Table'!$AT272*'LCFS Table'!$BX272</f>
        <v>0</v>
      </c>
      <c r="BE272" s="185">
        <f>'LCFS Table'!$AU272*'LCFS Table'!$BY272</f>
        <v>1</v>
      </c>
      <c r="BF272" s="137">
        <f>'LCFS Table'!$AV272*'LCFS Table'!$BZ272</f>
        <v>0.74034999999999995</v>
      </c>
      <c r="BG272" s="137">
        <f>'LCFS Table'!$AW272*'LCFS Table'!$CA272</f>
        <v>0</v>
      </c>
      <c r="BH272" s="137">
        <f>'LCFS Table'!$AX272*'LCFS Table'!$CB272</f>
        <v>0.34818202266249992</v>
      </c>
      <c r="BI272" s="137">
        <f>'LCFS Table'!$AY272*'LCFS Table'!$CC272</f>
        <v>0</v>
      </c>
      <c r="BJ272" s="137">
        <f>'LCFS Table'!$AZ272*'LCFS Table'!$CD272</f>
        <v>1</v>
      </c>
      <c r="BK272" s="137">
        <f>'LCFS Table'!$BA272*'LCFS Table'!$CE272</f>
        <v>0.65325</v>
      </c>
      <c r="BL272" s="137">
        <f>'LCFS Table'!$BB272*'LCFS Table'!$CF272</f>
        <v>-1.2</v>
      </c>
      <c r="BM272" s="137">
        <f>'LCFS Table'!$AS272*'LCFS Table'!$CG272</f>
        <v>0</v>
      </c>
      <c r="BN272" s="137">
        <f>'LCFS Table'!$AT272*'LCFS Table'!$CH272</f>
        <v>0.16</v>
      </c>
      <c r="BO272" s="137">
        <f>'LCFS Table'!$AU272*'LCFS Table'!$CI272</f>
        <v>0</v>
      </c>
      <c r="BP272" s="137">
        <f>'LCFS Table'!$AV272*'LCFS Table'!$CJ272</f>
        <v>0</v>
      </c>
      <c r="BQ272" s="137">
        <f>'LCFS Table'!$AW272*'LCFS Table'!$CK272</f>
        <v>0</v>
      </c>
      <c r="BR272" s="137">
        <f>'LCFS Table'!$AX272*'LCFS Table'!$CL272</f>
        <v>0</v>
      </c>
      <c r="BS272" s="137">
        <f>'LCFS Table'!$AY272*'LCFS Table'!$CM272</f>
        <v>0</v>
      </c>
      <c r="BT272" s="137">
        <f>'LCFS Table'!$AZ272*'LCFS Table'!$CN272</f>
        <v>0</v>
      </c>
      <c r="BU272" s="137">
        <f>'LCFS Table'!$BA272*'LCFS Table'!$CO272</f>
        <v>0</v>
      </c>
      <c r="BV272" s="142">
        <f>'LCFS Table'!$BB272*'LCFS Table'!$CP272</f>
        <v>1.2</v>
      </c>
      <c r="BW272" s="138">
        <v>1</v>
      </c>
      <c r="BX272" s="138">
        <v>0</v>
      </c>
      <c r="BY272" s="138">
        <v>1</v>
      </c>
      <c r="BZ272" s="138">
        <v>1</v>
      </c>
      <c r="CA272" s="138">
        <v>-1</v>
      </c>
      <c r="CB272" s="138">
        <v>1</v>
      </c>
      <c r="CC272" s="138">
        <v>0</v>
      </c>
      <c r="CD272" s="138">
        <v>1</v>
      </c>
      <c r="CE272" s="138">
        <v>1</v>
      </c>
      <c r="CF272" s="138">
        <v>-1</v>
      </c>
      <c r="CG272" s="138">
        <f>1-'LCFS Table'!$BW272</f>
        <v>0</v>
      </c>
      <c r="CH272" s="138">
        <f>1-'LCFS Table'!$BX272</f>
        <v>1</v>
      </c>
      <c r="CI272" s="138">
        <f>1-'LCFS Table'!$BY272</f>
        <v>0</v>
      </c>
      <c r="CJ272" s="138">
        <f>1-'LCFS Table'!$BZ272</f>
        <v>0</v>
      </c>
      <c r="CK272" s="138">
        <f>-'LCFS Table'!$CA272</f>
        <v>1</v>
      </c>
      <c r="CL272" s="138">
        <f>1-'LCFS Table'!$CB272</f>
        <v>0</v>
      </c>
      <c r="CM272" s="138">
        <f>1-'LCFS Table'!$CC272</f>
        <v>1</v>
      </c>
      <c r="CN272" s="138">
        <f>1-'LCFS Table'!$CD272</f>
        <v>0</v>
      </c>
      <c r="CO272" s="138">
        <f>1-'LCFS Table'!$CE272</f>
        <v>0</v>
      </c>
      <c r="CP272" s="138">
        <f>-'LCFS Table'!$CF272</f>
        <v>1</v>
      </c>
      <c r="CQ272" s="140">
        <v>9</v>
      </c>
      <c r="CR272" s="165">
        <f>('LCFS Table'!$CQ272*0.9/(0.8/0.99)/100)</f>
        <v>0.10023749999999998</v>
      </c>
      <c r="CS272" s="166"/>
      <c r="CT272" s="167"/>
      <c r="CW272" s="168">
        <f>'LCFS Table'!$K272-'LCFS Table'!$M272</f>
        <v>-0.14156797733750048</v>
      </c>
      <c r="CX272" s="129">
        <f>MONTH('LCFS Table'!$B272)</f>
        <v>3</v>
      </c>
      <c r="CY272" s="129">
        <f>YEAR('LCFS Table'!$B272)</f>
        <v>2024</v>
      </c>
    </row>
    <row r="273" spans="1:103">
      <c r="A273" s="148">
        <v>45354</v>
      </c>
      <c r="B273" s="149">
        <v>45360</v>
      </c>
      <c r="C273" s="132">
        <f t="shared" si="5"/>
        <v>2024</v>
      </c>
      <c r="D273" s="150" t="s">
        <v>266</v>
      </c>
      <c r="E273" s="187">
        <f>'LCFS Table'!$K273-'LCFS Table'!$I273</f>
        <v>-1.0201198372966207</v>
      </c>
      <c r="F273" s="187">
        <f>('LCFS Table'!$M273)-'LCFS Table'!$J273</f>
        <v>-1.82067673218125</v>
      </c>
      <c r="G273" s="188">
        <f>'LCFS Table'!$E273+'LCFS Table'!$AS273+'LCFS Table'!$AT273+'LCFS Table'!$AU273+'LCFS Table'!$AV273</f>
        <v>1.4681372138522448</v>
      </c>
      <c r="H273" s="188">
        <f>'LCFS Table'!$F273+'LCFS Table'!$AX273+'LCFS Table'!$AY273+'LCFS Table'!$AZ273+'LCFS Table'!$BA273+('LCFS Table'!$CQ273*0.9/(0.8/0.99)/100)+(DG273*'LCFS Table'!$AF273)+(DF273*'LCFS Table'!$AG273)</f>
        <v>0.33115742187500008</v>
      </c>
      <c r="I273" s="187">
        <f>('LCFS Table'!$V273+'LCFS Table'!$W273+'LCFS Table'!$X273)/100+(('LCFS Table'!$AI273+'LCFS Table'!$AJ273)/340)</f>
        <v>3.6296198372966209</v>
      </c>
      <c r="J273" s="187">
        <f>(('LCFS Table'!$Y273+'LCFS Table'!$Z273)/100)+(('LCFS Table'!$AM273+'LCFS Table'!$AN273)/300)</f>
        <v>4.459080078125</v>
      </c>
      <c r="K273" s="190">
        <f>'[1]Fuel Values'!$C272</f>
        <v>2.6095000000000002</v>
      </c>
      <c r="L273" s="190">
        <f>'[1]Fuel Values'!$B272</f>
        <v>469</v>
      </c>
      <c r="M273" s="185">
        <f>('LCFS Table'!$L273/100)-'LCFS Table'!$AX273-'LCFS Table'!$AY273-'LCFS Table'!$AZ273-'LCFS Table'!$BA273</f>
        <v>2.6384033459437499</v>
      </c>
      <c r="N273" s="190">
        <f>[1]BFT!$B272</f>
        <v>41</v>
      </c>
      <c r="O273" s="190">
        <f>[1]UCO!$B272</f>
        <v>32</v>
      </c>
      <c r="P273" s="190">
        <f>[1]DCO!$B272</f>
        <v>41.5</v>
      </c>
      <c r="Q273" s="190">
        <f>'[1]Soybean Oil'!$B272</f>
        <v>51.96</v>
      </c>
      <c r="R273" s="190">
        <f>'[1]Yellow Grease'!$B272</f>
        <v>30</v>
      </c>
      <c r="S273" s="185">
        <f>'LCFS Table'!$N273 + 'LCFS Table'!$AH273</f>
        <v>45.375</v>
      </c>
      <c r="T273" s="185">
        <f>'LCFS Table'!$Q273+'LCFS Table'!$AH273</f>
        <v>56.335000000000001</v>
      </c>
      <c r="U273" s="185">
        <f>'LCFS Table'!$P273+'LCFS Table'!$AH273</f>
        <v>45.875</v>
      </c>
      <c r="V273" s="185">
        <f>(('LCFS Table'!$S273/'LCFS Table'!$AA273)*'LCFS Table'!$AC273)*6.48</f>
        <v>156.39893617021278</v>
      </c>
      <c r="W273" s="185">
        <f>(('LCFS Table'!$O273/'LCFS Table'!$AA273)*'LCFS Table'!$AD273)*6.48</f>
        <v>55.148936170212771</v>
      </c>
      <c r="X273" s="185">
        <f>(('LCFS Table'!$U273/'LCFS Table'!$AA273)*'LCFS Table'!$AE273)*6.48</f>
        <v>79.061170212765958</v>
      </c>
      <c r="Y273" s="185">
        <f>(('LCFS Table'!$T273/'LCFS Table'!$AB273)*'LCFS Table'!$AF273)*7.35</f>
        <v>323.48613281249999</v>
      </c>
      <c r="Z273" s="185">
        <f>(('LCFS Table'!$R273/'LCFS Table'!$AB273)*'LCFS Table'!$AG273)*7.35</f>
        <v>57.421875</v>
      </c>
      <c r="AA273" s="138">
        <v>0.94</v>
      </c>
      <c r="AB273" s="138">
        <v>0.96</v>
      </c>
      <c r="AC273" s="138">
        <v>0.5</v>
      </c>
      <c r="AD273" s="138">
        <v>0.25</v>
      </c>
      <c r="AE273" s="138">
        <v>0.25</v>
      </c>
      <c r="AF273" s="138">
        <v>0.75</v>
      </c>
      <c r="AG273" s="138">
        <v>0.25</v>
      </c>
      <c r="AH273" s="139">
        <v>4.375</v>
      </c>
      <c r="AI273" s="139">
        <v>136</v>
      </c>
      <c r="AJ273" s="139">
        <v>110</v>
      </c>
      <c r="AK273" s="186">
        <f>('LCFS Table'!$AI273/340)*100</f>
        <v>40</v>
      </c>
      <c r="AL273" s="186">
        <f>('LCFS Table'!$AJ273/340)*100</f>
        <v>32.352941176470587</v>
      </c>
      <c r="AM273" s="139">
        <v>105</v>
      </c>
      <c r="AN273" s="139">
        <v>90</v>
      </c>
      <c r="AO273" s="139">
        <f>('LCFS Table'!$AM273/300)*100</f>
        <v>35</v>
      </c>
      <c r="AP273" s="139">
        <f>('LCFS Table'!$AN273/300)*100</f>
        <v>30</v>
      </c>
      <c r="AQ273" s="140">
        <f>'[1]LCFS Values'!$B272</f>
        <v>67.650000000000006</v>
      </c>
      <c r="AR273" s="140">
        <f>'[1]RIN Values'!$B272/100</f>
        <v>0.46350000000000002</v>
      </c>
      <c r="AS273" s="185">
        <f>((('[2]Controls 2'!$B$2-SUM(('[2]Controls 2'!$B$5*'LCFS Table'!$AC273),('[2]Controls 2'!$B$6*'LCFS Table'!$AD273),('[2]Controls 2'!$B$7*'LCFS Table'!$AE273)))/1000000)*'LCFS Table'!$AQ273)*'[2]Controls 2'!$B$8</f>
        <v>0.54030705114886535</v>
      </c>
      <c r="AT273" s="137">
        <v>0.16</v>
      </c>
      <c r="AU273" s="137">
        <v>1</v>
      </c>
      <c r="AV273" s="185">
        <f>'LCFS Table'!$AR273*1.7</f>
        <v>0.78795000000000004</v>
      </c>
      <c r="AW273" s="137">
        <v>0</v>
      </c>
      <c r="AX273" s="185">
        <f>(((('[2]Controls 2'!$B$2-SUM(('LCFS Table'!$AF273*'[2]Controls 2'!$B$12),('LCFS Table'!$AG273*'[2]Controls 2'!$B$13)))/1000000)*'LCFS Table'!$AQ273)*'[2]Controls 2'!$B$14)</f>
        <v>0.35634665405625005</v>
      </c>
      <c r="AY273" s="137">
        <v>0</v>
      </c>
      <c r="AZ273" s="141">
        <v>1</v>
      </c>
      <c r="BA273" s="185">
        <f>'LCFS Table'!$AR273*1.5</f>
        <v>0.69525000000000003</v>
      </c>
      <c r="BB273" s="142">
        <v>1.2</v>
      </c>
      <c r="BC273" s="185">
        <f>'LCFS Table'!$AS273*'LCFS Table'!$BW273</f>
        <v>0.54030705114886535</v>
      </c>
      <c r="BD273" s="185">
        <f>'LCFS Table'!$AT273*'LCFS Table'!$BX273</f>
        <v>0</v>
      </c>
      <c r="BE273" s="185">
        <f>'LCFS Table'!$AU273*'LCFS Table'!$BY273</f>
        <v>1</v>
      </c>
      <c r="BF273" s="137">
        <f>'LCFS Table'!$AV273*'LCFS Table'!$BZ273</f>
        <v>0.78795000000000004</v>
      </c>
      <c r="BG273" s="137">
        <f>'LCFS Table'!$AW273*'LCFS Table'!$CA273</f>
        <v>0</v>
      </c>
      <c r="BH273" s="137">
        <f>'LCFS Table'!$AX273*'LCFS Table'!$CB273</f>
        <v>0.35634665405625005</v>
      </c>
      <c r="BI273" s="137">
        <f>'LCFS Table'!$AY273*'LCFS Table'!$CC273</f>
        <v>0</v>
      </c>
      <c r="BJ273" s="137">
        <f>'LCFS Table'!$AZ273*'LCFS Table'!$CD273</f>
        <v>1</v>
      </c>
      <c r="BK273" s="137">
        <f>'LCFS Table'!$BA273*'LCFS Table'!$CE273</f>
        <v>0.69525000000000003</v>
      </c>
      <c r="BL273" s="137">
        <f>'LCFS Table'!$BB273*'LCFS Table'!$CF273</f>
        <v>-1.2</v>
      </c>
      <c r="BM273" s="137">
        <f>'LCFS Table'!$AS273*'LCFS Table'!$CG273</f>
        <v>0</v>
      </c>
      <c r="BN273" s="137">
        <f>'LCFS Table'!$AT273*'LCFS Table'!$CH273</f>
        <v>0.16</v>
      </c>
      <c r="BO273" s="137">
        <f>'LCFS Table'!$AU273*'LCFS Table'!$CI273</f>
        <v>0</v>
      </c>
      <c r="BP273" s="137">
        <f>'LCFS Table'!$AV273*'LCFS Table'!$CJ273</f>
        <v>0</v>
      </c>
      <c r="BQ273" s="137">
        <f>'LCFS Table'!$AW273*'LCFS Table'!$CK273</f>
        <v>0</v>
      </c>
      <c r="BR273" s="137">
        <f>'LCFS Table'!$AX273*'LCFS Table'!$CL273</f>
        <v>0</v>
      </c>
      <c r="BS273" s="137">
        <f>'LCFS Table'!$AY273*'LCFS Table'!$CM273</f>
        <v>0</v>
      </c>
      <c r="BT273" s="137">
        <f>'LCFS Table'!$AZ273*'LCFS Table'!$CN273</f>
        <v>0</v>
      </c>
      <c r="BU273" s="137">
        <f>'LCFS Table'!$BA273*'LCFS Table'!$CO273</f>
        <v>0</v>
      </c>
      <c r="BV273" s="142">
        <f>'LCFS Table'!$BB273*'LCFS Table'!$CP273</f>
        <v>1.2</v>
      </c>
      <c r="BW273" s="138">
        <v>1</v>
      </c>
      <c r="BX273" s="138">
        <v>0</v>
      </c>
      <c r="BY273" s="138">
        <v>1</v>
      </c>
      <c r="BZ273" s="138">
        <v>1</v>
      </c>
      <c r="CA273" s="138">
        <v>-1</v>
      </c>
      <c r="CB273" s="138">
        <v>1</v>
      </c>
      <c r="CC273" s="138">
        <v>0</v>
      </c>
      <c r="CD273" s="138">
        <v>1</v>
      </c>
      <c r="CE273" s="138">
        <v>1</v>
      </c>
      <c r="CF273" s="138">
        <v>-1</v>
      </c>
      <c r="CG273" s="138">
        <f>1-'LCFS Table'!$BW273</f>
        <v>0</v>
      </c>
      <c r="CH273" s="138">
        <f>1-'LCFS Table'!$BX273</f>
        <v>1</v>
      </c>
      <c r="CI273" s="138">
        <f>1-'LCFS Table'!$BY273</f>
        <v>0</v>
      </c>
      <c r="CJ273" s="138">
        <f>1-'LCFS Table'!$BZ273</f>
        <v>0</v>
      </c>
      <c r="CK273" s="138">
        <f>-'LCFS Table'!$CA273</f>
        <v>1</v>
      </c>
      <c r="CL273" s="138">
        <f>1-'LCFS Table'!$CB273</f>
        <v>0</v>
      </c>
      <c r="CM273" s="138">
        <f>1-'LCFS Table'!$CC273</f>
        <v>1</v>
      </c>
      <c r="CN273" s="138">
        <f>1-'LCFS Table'!$CD273</f>
        <v>0</v>
      </c>
      <c r="CO273" s="138">
        <f>1-'LCFS Table'!$CE273</f>
        <v>0</v>
      </c>
      <c r="CP273" s="138">
        <f>-'LCFS Table'!$CF273</f>
        <v>1</v>
      </c>
      <c r="CQ273" s="140">
        <v>9</v>
      </c>
      <c r="CR273" s="165">
        <f>('LCFS Table'!$CQ273*0.9/(0.8/0.99)/100)</f>
        <v>0.10023749999999998</v>
      </c>
      <c r="CS273" s="166"/>
      <c r="CT273" s="167"/>
      <c r="CW273" s="168">
        <f>'LCFS Table'!$K273-'LCFS Table'!$M273</f>
        <v>-2.890334594374977E-2</v>
      </c>
      <c r="CX273" s="129">
        <f>MONTH('LCFS Table'!$B273)</f>
        <v>3</v>
      </c>
      <c r="CY273" s="129">
        <f>YEAR('LCFS Table'!$B273)</f>
        <v>2024</v>
      </c>
    </row>
    <row r="274" spans="1:103">
      <c r="A274" s="148">
        <v>45361</v>
      </c>
      <c r="B274" s="149">
        <v>45367</v>
      </c>
      <c r="C274" s="132">
        <f t="shared" si="5"/>
        <v>2024</v>
      </c>
      <c r="D274" s="150" t="s">
        <v>267</v>
      </c>
      <c r="E274" s="187">
        <f>'LCFS Table'!$K274-'LCFS Table'!$I274</f>
        <v>-0.99478260325406787</v>
      </c>
      <c r="F274" s="187">
        <f>('LCFS Table'!$M274)-'LCFS Table'!$J274</f>
        <v>-2.0586552677625005</v>
      </c>
      <c r="G274" s="188">
        <f>'LCFS Table'!$E274+'LCFS Table'!$AS274+'LCFS Table'!$AT274+'LCFS Table'!$AU274+'LCFS Table'!$AV274</f>
        <v>1.6055605883782611</v>
      </c>
      <c r="H274" s="188">
        <f>'LCFS Table'!$F274+'LCFS Table'!$AX274+'LCFS Table'!$AY274+'LCFS Table'!$AZ274+'LCFS Table'!$BA274+('LCFS Table'!$CQ274*0.9/(0.8/0.99)/100)+(DG274*'LCFS Table'!$AF274)+(DF274*'LCFS Table'!$AG274)</f>
        <v>0.18742539062499947</v>
      </c>
      <c r="I274" s="187">
        <f>('LCFS Table'!$V274+'LCFS Table'!$W274+'LCFS Table'!$X274)/100+(('LCFS Table'!$AI274+'LCFS Table'!$AJ274)/340)</f>
        <v>3.6765826032540678</v>
      </c>
      <c r="J274" s="187">
        <f>(('LCFS Table'!$Y274+'LCFS Table'!$Z274)/100)+(('LCFS Table'!$AM274+'LCFS Table'!$AN274)/300)</f>
        <v>4.5600277343750006</v>
      </c>
      <c r="K274" s="190">
        <f>'[1]Fuel Values'!$C273</f>
        <v>2.6818</v>
      </c>
      <c r="L274" s="190">
        <f>'[1]Fuel Values'!$B273</f>
        <v>465</v>
      </c>
      <c r="M274" s="185">
        <f>('LCFS Table'!$L274/100)-'LCFS Table'!$AX274-'LCFS Table'!$AY274-'LCFS Table'!$AZ274-'LCFS Table'!$BA274</f>
        <v>2.5013724666125001</v>
      </c>
      <c r="N274" s="190">
        <f>[1]BFT!$B273</f>
        <v>41.8</v>
      </c>
      <c r="O274" s="190">
        <f>[1]UCO!$B273</f>
        <v>32</v>
      </c>
      <c r="P274" s="190">
        <f>[1]DCO!$B273</f>
        <v>42.625</v>
      </c>
      <c r="Q274" s="190">
        <f>'[1]Soybean Oil'!$B273</f>
        <v>53.718000000000004</v>
      </c>
      <c r="R274" s="190">
        <f>'[1]Yellow Grease'!$B273</f>
        <v>30</v>
      </c>
      <c r="S274" s="185">
        <f>'LCFS Table'!$N274 + 'LCFS Table'!$AH274</f>
        <v>46.174999999999997</v>
      </c>
      <c r="T274" s="185">
        <f>'LCFS Table'!$Q274+'LCFS Table'!$AH274</f>
        <v>58.093000000000004</v>
      </c>
      <c r="U274" s="185">
        <f>'LCFS Table'!$P274+'LCFS Table'!$AH274</f>
        <v>47</v>
      </c>
      <c r="V274" s="185">
        <f>(('LCFS Table'!$S274/'LCFS Table'!$AA274)*'LCFS Table'!$AC274)*6.48</f>
        <v>159.15638297872343</v>
      </c>
      <c r="W274" s="185">
        <f>(('LCFS Table'!$O274/'LCFS Table'!$AA274)*'LCFS Table'!$AD274)*6.48</f>
        <v>55.148936170212771</v>
      </c>
      <c r="X274" s="185">
        <f>(('LCFS Table'!$U274/'LCFS Table'!$AA274)*'LCFS Table'!$AE274)*6.48</f>
        <v>81</v>
      </c>
      <c r="Y274" s="185">
        <f>(('LCFS Table'!$T274/'LCFS Table'!$AB274)*'LCFS Table'!$AF274)*7.35</f>
        <v>333.58089843750003</v>
      </c>
      <c r="Z274" s="185">
        <f>(('LCFS Table'!$R274/'LCFS Table'!$AB274)*'LCFS Table'!$AG274)*7.35</f>
        <v>57.421875</v>
      </c>
      <c r="AA274" s="138">
        <v>0.94</v>
      </c>
      <c r="AB274" s="138">
        <v>0.96</v>
      </c>
      <c r="AC274" s="138">
        <v>0.5</v>
      </c>
      <c r="AD274" s="138">
        <v>0.25</v>
      </c>
      <c r="AE274" s="138">
        <v>0.25</v>
      </c>
      <c r="AF274" s="138">
        <v>0.75</v>
      </c>
      <c r="AG274" s="138">
        <v>0.25</v>
      </c>
      <c r="AH274" s="139">
        <v>4.375</v>
      </c>
      <c r="AI274" s="139">
        <v>136</v>
      </c>
      <c r="AJ274" s="139">
        <v>110</v>
      </c>
      <c r="AK274" s="186">
        <f>('LCFS Table'!$AI274/340)*100</f>
        <v>40</v>
      </c>
      <c r="AL274" s="186">
        <f>('LCFS Table'!$AJ274/340)*100</f>
        <v>32.352941176470587</v>
      </c>
      <c r="AM274" s="139">
        <v>105</v>
      </c>
      <c r="AN274" s="139">
        <v>90</v>
      </c>
      <c r="AO274" s="139">
        <f>('LCFS Table'!$AM274/300)*100</f>
        <v>35</v>
      </c>
      <c r="AP274" s="139">
        <f>('LCFS Table'!$AN274/300)*100</f>
        <v>30</v>
      </c>
      <c r="AQ274" s="140">
        <f>'[1]LCFS Values'!$B273</f>
        <v>68.7</v>
      </c>
      <c r="AR274" s="140">
        <f>'[1]RIN Values'!$B273/100</f>
        <v>0.52450000000000008</v>
      </c>
      <c r="AS274" s="185">
        <f>((('[2]Controls 2'!$B$2-SUM(('[2]Controls 2'!$B$5*'LCFS Table'!$AC274),('[2]Controls 2'!$B$6*'LCFS Table'!$AD274),('[2]Controls 2'!$B$7*'LCFS Table'!$AE274)))/1000000)*'LCFS Table'!$AQ274)*'[2]Controls 2'!$B$8</f>
        <v>0.54869319163232888</v>
      </c>
      <c r="AT274" s="137">
        <v>0.16</v>
      </c>
      <c r="AU274" s="137">
        <v>1</v>
      </c>
      <c r="AV274" s="185">
        <f>'LCFS Table'!$AR274*1.7</f>
        <v>0.89165000000000005</v>
      </c>
      <c r="AW274" s="137">
        <v>0</v>
      </c>
      <c r="AX274" s="185">
        <f>(((('[2]Controls 2'!$B$2-SUM(('LCFS Table'!$AF274*'[2]Controls 2'!$B$12),('LCFS Table'!$AG274*'[2]Controls 2'!$B$13)))/1000000)*'LCFS Table'!$AQ274)*'[2]Controls 2'!$B$14)</f>
        <v>0.36187753338750001</v>
      </c>
      <c r="AY274" s="137">
        <v>0</v>
      </c>
      <c r="AZ274" s="141">
        <v>1</v>
      </c>
      <c r="BA274" s="185">
        <f>'LCFS Table'!$AR274*1.5</f>
        <v>0.78675000000000006</v>
      </c>
      <c r="BB274" s="142">
        <v>1.2</v>
      </c>
      <c r="BC274" s="185">
        <f>'LCFS Table'!$AS274*'LCFS Table'!$BW274</f>
        <v>0.54869319163232888</v>
      </c>
      <c r="BD274" s="185">
        <f>'LCFS Table'!$AT274*'LCFS Table'!$BX274</f>
        <v>0</v>
      </c>
      <c r="BE274" s="185">
        <f>'LCFS Table'!$AU274*'LCFS Table'!$BY274</f>
        <v>1</v>
      </c>
      <c r="BF274" s="137">
        <f>'LCFS Table'!$AV274*'LCFS Table'!$BZ274</f>
        <v>0.89165000000000005</v>
      </c>
      <c r="BG274" s="137">
        <f>'LCFS Table'!$AW274*'LCFS Table'!$CA274</f>
        <v>0</v>
      </c>
      <c r="BH274" s="137">
        <f>'LCFS Table'!$AX274*'LCFS Table'!$CB274</f>
        <v>0.36187753338750001</v>
      </c>
      <c r="BI274" s="137">
        <f>'LCFS Table'!$AY274*'LCFS Table'!$CC274</f>
        <v>0</v>
      </c>
      <c r="BJ274" s="137">
        <f>'LCFS Table'!$AZ274*'LCFS Table'!$CD274</f>
        <v>1</v>
      </c>
      <c r="BK274" s="137">
        <f>'LCFS Table'!$BA274*'LCFS Table'!$CE274</f>
        <v>0.78675000000000006</v>
      </c>
      <c r="BL274" s="137">
        <f>'LCFS Table'!$BB274*'LCFS Table'!$CF274</f>
        <v>-1.2</v>
      </c>
      <c r="BM274" s="137">
        <f>'LCFS Table'!$AS274*'LCFS Table'!$CG274</f>
        <v>0</v>
      </c>
      <c r="BN274" s="137">
        <f>'LCFS Table'!$AT274*'LCFS Table'!$CH274</f>
        <v>0.16</v>
      </c>
      <c r="BO274" s="137">
        <f>'LCFS Table'!$AU274*'LCFS Table'!$CI274</f>
        <v>0</v>
      </c>
      <c r="BP274" s="137">
        <f>'LCFS Table'!$AV274*'LCFS Table'!$CJ274</f>
        <v>0</v>
      </c>
      <c r="BQ274" s="137">
        <f>'LCFS Table'!$AW274*'LCFS Table'!$CK274</f>
        <v>0</v>
      </c>
      <c r="BR274" s="137">
        <f>'LCFS Table'!$AX274*'LCFS Table'!$CL274</f>
        <v>0</v>
      </c>
      <c r="BS274" s="137">
        <f>'LCFS Table'!$AY274*'LCFS Table'!$CM274</f>
        <v>0</v>
      </c>
      <c r="BT274" s="137">
        <f>'LCFS Table'!$AZ274*'LCFS Table'!$CN274</f>
        <v>0</v>
      </c>
      <c r="BU274" s="137">
        <f>'LCFS Table'!$BA274*'LCFS Table'!$CO274</f>
        <v>0</v>
      </c>
      <c r="BV274" s="142">
        <f>'LCFS Table'!$BB274*'LCFS Table'!$CP274</f>
        <v>1.2</v>
      </c>
      <c r="BW274" s="138">
        <v>1</v>
      </c>
      <c r="BX274" s="138">
        <v>0</v>
      </c>
      <c r="BY274" s="138">
        <v>1</v>
      </c>
      <c r="BZ274" s="138">
        <v>1</v>
      </c>
      <c r="CA274" s="138">
        <v>-1</v>
      </c>
      <c r="CB274" s="138">
        <v>1</v>
      </c>
      <c r="CC274" s="138">
        <v>0</v>
      </c>
      <c r="CD274" s="138">
        <v>1</v>
      </c>
      <c r="CE274" s="138">
        <v>1</v>
      </c>
      <c r="CF274" s="138">
        <v>-1</v>
      </c>
      <c r="CG274" s="138">
        <f>1-'LCFS Table'!$BW274</f>
        <v>0</v>
      </c>
      <c r="CH274" s="138">
        <f>1-'LCFS Table'!$BX274</f>
        <v>1</v>
      </c>
      <c r="CI274" s="138">
        <f>1-'LCFS Table'!$BY274</f>
        <v>0</v>
      </c>
      <c r="CJ274" s="138">
        <f>1-'LCFS Table'!$BZ274</f>
        <v>0</v>
      </c>
      <c r="CK274" s="138">
        <f>-'LCFS Table'!$CA274</f>
        <v>1</v>
      </c>
      <c r="CL274" s="138">
        <f>1-'LCFS Table'!$CB274</f>
        <v>0</v>
      </c>
      <c r="CM274" s="138">
        <f>1-'LCFS Table'!$CC274</f>
        <v>1</v>
      </c>
      <c r="CN274" s="138">
        <f>1-'LCFS Table'!$CD274</f>
        <v>0</v>
      </c>
      <c r="CO274" s="138">
        <f>1-'LCFS Table'!$CE274</f>
        <v>0</v>
      </c>
      <c r="CP274" s="138">
        <f>-'LCFS Table'!$CF274</f>
        <v>1</v>
      </c>
      <c r="CQ274" s="140">
        <v>8.75</v>
      </c>
      <c r="CR274" s="165">
        <f>('LCFS Table'!$CQ274*0.9/(0.8/0.99)/100)</f>
        <v>9.7453124999999988E-2</v>
      </c>
      <c r="CS274" s="166"/>
      <c r="CT274" s="167"/>
      <c r="CW274" s="168">
        <f>'LCFS Table'!$K274-'LCFS Table'!$M274</f>
        <v>0.18042753338749984</v>
      </c>
      <c r="CX274" s="129">
        <f>MONTH('LCFS Table'!$B274)</f>
        <v>3</v>
      </c>
      <c r="CY274" s="129">
        <f>YEAR('LCFS Table'!$B274)</f>
        <v>2024</v>
      </c>
    </row>
    <row r="275" spans="1:103">
      <c r="A275" s="148">
        <v>45368</v>
      </c>
      <c r="B275" s="149">
        <v>45374</v>
      </c>
      <c r="C275" s="132">
        <f t="shared" si="5"/>
        <v>2024</v>
      </c>
      <c r="D275" s="150" t="s">
        <v>268</v>
      </c>
      <c r="E275" s="187">
        <f>'LCFS Table'!$K275-'LCFS Table'!$I275</f>
        <v>-0.96300175219023831</v>
      </c>
      <c r="F275" s="187">
        <f>('LCFS Table'!$M275)-'LCFS Table'!$J275</f>
        <v>-2.092651004975</v>
      </c>
      <c r="G275" s="188">
        <f>'LCFS Table'!$E275+'LCFS Table'!$AS275+'LCFS Table'!$AT275+'LCFS Table'!$AU275+'LCFS Table'!$AV275</f>
        <v>1.673782358014722</v>
      </c>
      <c r="H275" s="188">
        <f>'LCFS Table'!$F275+'LCFS Table'!$AX275+'LCFS Table'!$AY275+'LCFS Table'!$AZ275+'LCFS Table'!$BA275+('LCFS Table'!$CQ275*0.9/(0.8/0.99)/100)+(DG275*'LCFS Table'!$AF275)+(DF275*'LCFS Table'!$AG275)</f>
        <v>0.19110039062499989</v>
      </c>
      <c r="I275" s="187">
        <f>('LCFS Table'!$V275+'LCFS Table'!$W275+'LCFS Table'!$X275)/100+(('LCFS Table'!$AI275+'LCFS Table'!$AJ275)/340)</f>
        <v>3.6964017521902384</v>
      </c>
      <c r="J275" s="187">
        <f>(('LCFS Table'!$Y275+'LCFS Table'!$Z275)/100)+(('LCFS Table'!$AM275+'LCFS Table'!$AN275)/300)</f>
        <v>4.5563527343750003</v>
      </c>
      <c r="K275" s="190">
        <f>'[1]Fuel Values'!$C274</f>
        <v>2.7334000000000001</v>
      </c>
      <c r="L275" s="190">
        <f>'[1]Fuel Values'!$B274</f>
        <v>465</v>
      </c>
      <c r="M275" s="185">
        <f>('LCFS Table'!$L275/100)-'LCFS Table'!$AX275-'LCFS Table'!$AY275-'LCFS Table'!$AZ275-'LCFS Table'!$BA275</f>
        <v>2.4637017294000003</v>
      </c>
      <c r="N275" s="190">
        <f>[1]BFT!$B274</f>
        <v>42</v>
      </c>
      <c r="O275" s="190">
        <f>[1]UCO!$B274</f>
        <v>32</v>
      </c>
      <c r="P275" s="190">
        <f>[1]DCO!$B274</f>
        <v>43.375</v>
      </c>
      <c r="Q275" s="190">
        <f>'[1]Soybean Oil'!$B274</f>
        <v>53.654000000000003</v>
      </c>
      <c r="R275" s="190">
        <f>'[1]Yellow Grease'!$B274</f>
        <v>30</v>
      </c>
      <c r="S275" s="185">
        <f>'LCFS Table'!$N275 + 'LCFS Table'!$AH275</f>
        <v>46.375</v>
      </c>
      <c r="T275" s="185">
        <f>'LCFS Table'!$Q275+'LCFS Table'!$AH275</f>
        <v>58.029000000000003</v>
      </c>
      <c r="U275" s="185">
        <f>'LCFS Table'!$P275+'LCFS Table'!$AH275</f>
        <v>47.75</v>
      </c>
      <c r="V275" s="185">
        <f>(('LCFS Table'!$S275/'LCFS Table'!$AA275)*'LCFS Table'!$AC275)*6.48</f>
        <v>159.84574468085108</v>
      </c>
      <c r="W275" s="185">
        <f>(('LCFS Table'!$O275/'LCFS Table'!$AA275)*'LCFS Table'!$AD275)*6.48</f>
        <v>55.148936170212771</v>
      </c>
      <c r="X275" s="185">
        <f>(('LCFS Table'!$U275/'LCFS Table'!$AA275)*'LCFS Table'!$AE275)*6.48</f>
        <v>82.292553191489375</v>
      </c>
      <c r="Y275" s="185">
        <f>(('LCFS Table'!$T275/'LCFS Table'!$AB275)*'LCFS Table'!$AF275)*7.35</f>
        <v>333.21339843750002</v>
      </c>
      <c r="Z275" s="185">
        <f>(('LCFS Table'!$R275/'LCFS Table'!$AB275)*'LCFS Table'!$AG275)*7.35</f>
        <v>57.421875</v>
      </c>
      <c r="AA275" s="138">
        <v>0.94</v>
      </c>
      <c r="AB275" s="138">
        <v>0.96</v>
      </c>
      <c r="AC275" s="138">
        <v>0.5</v>
      </c>
      <c r="AD275" s="138">
        <v>0.25</v>
      </c>
      <c r="AE275" s="138">
        <v>0.25</v>
      </c>
      <c r="AF275" s="138">
        <v>0.75</v>
      </c>
      <c r="AG275" s="138">
        <v>0.25</v>
      </c>
      <c r="AH275" s="139">
        <v>4.375</v>
      </c>
      <c r="AI275" s="139">
        <v>136</v>
      </c>
      <c r="AJ275" s="139">
        <v>110</v>
      </c>
      <c r="AK275" s="186">
        <f>('LCFS Table'!$AI275/340)*100</f>
        <v>40</v>
      </c>
      <c r="AL275" s="186">
        <f>('LCFS Table'!$AJ275/340)*100</f>
        <v>32.352941176470587</v>
      </c>
      <c r="AM275" s="139">
        <v>105</v>
      </c>
      <c r="AN275" s="139">
        <v>90</v>
      </c>
      <c r="AO275" s="139">
        <f>('LCFS Table'!$AM275/300)*100</f>
        <v>35</v>
      </c>
      <c r="AP275" s="139">
        <f>('LCFS Table'!$AN275/300)*100</f>
        <v>30</v>
      </c>
      <c r="AQ275" s="140">
        <f>'[1]LCFS Values'!$B274</f>
        <v>65.599999999999994</v>
      </c>
      <c r="AR275" s="140">
        <f>'[1]RIN Values'!$B274/100</f>
        <v>0.5605</v>
      </c>
      <c r="AS275" s="185">
        <f>((('[2]Controls 2'!$B$2-SUM(('[2]Controls 2'!$B$5*'LCFS Table'!$AC275),('[2]Controls 2'!$B$6*'LCFS Table'!$AD275),('[2]Controls 2'!$B$7*'LCFS Table'!$AE275)))/1000000)*'LCFS Table'!$AQ275)*'[2]Controls 2'!$B$8</f>
        <v>0.52393411020496028</v>
      </c>
      <c r="AT275" s="137">
        <v>0.16</v>
      </c>
      <c r="AU275" s="137">
        <v>1</v>
      </c>
      <c r="AV275" s="185">
        <f>'LCFS Table'!$AR275*1.7</f>
        <v>0.95284999999999997</v>
      </c>
      <c r="AW275" s="137">
        <v>0</v>
      </c>
      <c r="AX275" s="185">
        <f>(((('[2]Controls 2'!$B$2-SUM(('LCFS Table'!$AF275*'[2]Controls 2'!$B$12),('LCFS Table'!$AG275*'[2]Controls 2'!$B$13)))/1000000)*'LCFS Table'!$AQ275)*'[2]Controls 2'!$B$14)</f>
        <v>0.34554827059999993</v>
      </c>
      <c r="AY275" s="137">
        <v>0</v>
      </c>
      <c r="AZ275" s="141">
        <v>1</v>
      </c>
      <c r="BA275" s="185">
        <f>'LCFS Table'!$AR275*1.5</f>
        <v>0.84075</v>
      </c>
      <c r="BB275" s="142">
        <v>1.2</v>
      </c>
      <c r="BC275" s="185">
        <f>'LCFS Table'!$AS275*'LCFS Table'!$BW275</f>
        <v>0.52393411020496028</v>
      </c>
      <c r="BD275" s="185">
        <f>'LCFS Table'!$AT275*'LCFS Table'!$BX275</f>
        <v>0</v>
      </c>
      <c r="BE275" s="185">
        <f>'LCFS Table'!$AU275*'LCFS Table'!$BY275</f>
        <v>1</v>
      </c>
      <c r="BF275" s="137">
        <f>'LCFS Table'!$AV275*'LCFS Table'!$BZ275</f>
        <v>0.95284999999999997</v>
      </c>
      <c r="BG275" s="137">
        <f>'LCFS Table'!$AW275*'LCFS Table'!$CA275</f>
        <v>0</v>
      </c>
      <c r="BH275" s="137">
        <f>'LCFS Table'!$AX275*'LCFS Table'!$CB275</f>
        <v>0.34554827059999993</v>
      </c>
      <c r="BI275" s="137">
        <f>'LCFS Table'!$AY275*'LCFS Table'!$CC275</f>
        <v>0</v>
      </c>
      <c r="BJ275" s="137">
        <f>'LCFS Table'!$AZ275*'LCFS Table'!$CD275</f>
        <v>1</v>
      </c>
      <c r="BK275" s="137">
        <f>'LCFS Table'!$BA275*'LCFS Table'!$CE275</f>
        <v>0.84075</v>
      </c>
      <c r="BL275" s="137">
        <f>'LCFS Table'!$BB275*'LCFS Table'!$CF275</f>
        <v>-1.2</v>
      </c>
      <c r="BM275" s="137">
        <f>'LCFS Table'!$AS275*'LCFS Table'!$CG275</f>
        <v>0</v>
      </c>
      <c r="BN275" s="137">
        <f>'LCFS Table'!$AT275*'LCFS Table'!$CH275</f>
        <v>0.16</v>
      </c>
      <c r="BO275" s="137">
        <f>'LCFS Table'!$AU275*'LCFS Table'!$CI275</f>
        <v>0</v>
      </c>
      <c r="BP275" s="137">
        <f>'LCFS Table'!$AV275*'LCFS Table'!$CJ275</f>
        <v>0</v>
      </c>
      <c r="BQ275" s="137">
        <f>'LCFS Table'!$AW275*'LCFS Table'!$CK275</f>
        <v>0</v>
      </c>
      <c r="BR275" s="137">
        <f>'LCFS Table'!$AX275*'LCFS Table'!$CL275</f>
        <v>0</v>
      </c>
      <c r="BS275" s="137">
        <f>'LCFS Table'!$AY275*'LCFS Table'!$CM275</f>
        <v>0</v>
      </c>
      <c r="BT275" s="137">
        <f>'LCFS Table'!$AZ275*'LCFS Table'!$CN275</f>
        <v>0</v>
      </c>
      <c r="BU275" s="137">
        <f>'LCFS Table'!$BA275*'LCFS Table'!$CO275</f>
        <v>0</v>
      </c>
      <c r="BV275" s="142">
        <f>'LCFS Table'!$BB275*'LCFS Table'!$CP275</f>
        <v>1.2</v>
      </c>
      <c r="BW275" s="138">
        <v>1</v>
      </c>
      <c r="BX275" s="138">
        <v>0</v>
      </c>
      <c r="BY275" s="138">
        <v>1</v>
      </c>
      <c r="BZ275" s="138">
        <v>1</v>
      </c>
      <c r="CA275" s="138">
        <v>-1</v>
      </c>
      <c r="CB275" s="138">
        <v>1</v>
      </c>
      <c r="CC275" s="138">
        <v>0</v>
      </c>
      <c r="CD275" s="138">
        <v>1</v>
      </c>
      <c r="CE275" s="138">
        <v>1</v>
      </c>
      <c r="CF275" s="138">
        <v>-1</v>
      </c>
      <c r="CG275" s="138">
        <f>1-'LCFS Table'!$BW275</f>
        <v>0</v>
      </c>
      <c r="CH275" s="138">
        <f>1-'LCFS Table'!$BX275</f>
        <v>1</v>
      </c>
      <c r="CI275" s="138">
        <f>1-'LCFS Table'!$BY275</f>
        <v>0</v>
      </c>
      <c r="CJ275" s="138">
        <f>1-'LCFS Table'!$BZ275</f>
        <v>0</v>
      </c>
      <c r="CK275" s="138">
        <f>-'LCFS Table'!$CA275</f>
        <v>1</v>
      </c>
      <c r="CL275" s="138">
        <f>1-'LCFS Table'!$CB275</f>
        <v>0</v>
      </c>
      <c r="CM275" s="138">
        <f>1-'LCFS Table'!$CC275</f>
        <v>1</v>
      </c>
      <c r="CN275" s="138">
        <f>1-'LCFS Table'!$CD275</f>
        <v>0</v>
      </c>
      <c r="CO275" s="138">
        <f>1-'LCFS Table'!$CE275</f>
        <v>0</v>
      </c>
      <c r="CP275" s="138">
        <f>-'LCFS Table'!$CF275</f>
        <v>1</v>
      </c>
      <c r="CQ275" s="140">
        <v>8.75</v>
      </c>
      <c r="CR275" s="165">
        <f>('LCFS Table'!$CQ275*0.9/(0.8/0.99)/100)</f>
        <v>9.7453124999999988E-2</v>
      </c>
      <c r="CS275" s="166"/>
      <c r="CT275" s="167"/>
      <c r="CW275" s="168">
        <f>'LCFS Table'!$K275-'LCFS Table'!$M275</f>
        <v>0.26969827059999973</v>
      </c>
      <c r="CX275" s="129">
        <f>MONTH('LCFS Table'!$B275)</f>
        <v>3</v>
      </c>
      <c r="CY275" s="129">
        <f>YEAR('LCFS Table'!$B275)</f>
        <v>2024</v>
      </c>
    </row>
    <row r="276" spans="1:103">
      <c r="A276" s="148">
        <v>45375</v>
      </c>
      <c r="B276" s="149">
        <v>45381</v>
      </c>
      <c r="C276" s="132">
        <f t="shared" si="5"/>
        <v>2024</v>
      </c>
      <c r="D276" s="150" t="s">
        <v>269</v>
      </c>
      <c r="E276" s="187">
        <f>'LCFS Table'!$K276-'LCFS Table'!$I276</f>
        <v>-1.0547039436796002</v>
      </c>
      <c r="F276" s="187">
        <f>('LCFS Table'!$M276)-'LCFS Table'!$J276</f>
        <v>-2.1497177722499998</v>
      </c>
      <c r="G276" s="188">
        <f>'LCFS Table'!$E276+'LCFS Table'!$AS276+'LCFS Table'!$AT276+'LCFS Table'!$AU276+'LCFS Table'!$AV276</f>
        <v>1.6077998867095367</v>
      </c>
      <c r="H276" s="188">
        <f>'LCFS Table'!$F276+'LCFS Table'!$AX276+'LCFS Table'!$AY276+'LCFS Table'!$AZ276+'LCFS Table'!$BA276+('LCFS Table'!$CQ276*0.9/(0.8/0.99)/100)+(DG276*'LCFS Table'!$AF276)+(DF276*'LCFS Table'!$AG276)</f>
        <v>0.16715312500000007</v>
      </c>
      <c r="I276" s="187">
        <f>('LCFS Table'!$V276+'LCFS Table'!$W276+'LCFS Table'!$X276)/100+(('LCFS Table'!$AI276+'LCFS Table'!$AJ276)/340)</f>
        <v>3.7034039436796</v>
      </c>
      <c r="J276" s="187">
        <f>(('LCFS Table'!$Y276+'LCFS Table'!$Z276)/100)+(('LCFS Table'!$AM276+'LCFS Table'!$AN276)/300)</f>
        <v>4.5914375000000005</v>
      </c>
      <c r="K276" s="190">
        <f>'[1]Fuel Values'!$C275</f>
        <v>2.6486999999999998</v>
      </c>
      <c r="L276" s="190">
        <f>'[1]Fuel Values'!$B275</f>
        <v>465</v>
      </c>
      <c r="M276" s="185">
        <f>('LCFS Table'!$L276/100)-'LCFS Table'!$AX276-'LCFS Table'!$AY276-'LCFS Table'!$AZ276-'LCFS Table'!$BA276</f>
        <v>2.4417197277500007</v>
      </c>
      <c r="N276" s="190">
        <f>[1]BFT!$B275</f>
        <v>42</v>
      </c>
      <c r="O276" s="190">
        <f>[1]UCO!$B275</f>
        <v>32</v>
      </c>
      <c r="P276" s="190">
        <f>[1]DCO!$B275</f>
        <v>43.781300000000002</v>
      </c>
      <c r="Q276" s="190">
        <f>'[1]Soybean Oil'!$B275</f>
        <v>54.265000000000001</v>
      </c>
      <c r="R276" s="190">
        <f>'[1]Yellow Grease'!$B275</f>
        <v>30</v>
      </c>
      <c r="S276" s="185">
        <f>'LCFS Table'!$N276 + 'LCFS Table'!$AH276</f>
        <v>46.375</v>
      </c>
      <c r="T276" s="185">
        <f>'LCFS Table'!$Q276+'LCFS Table'!$AH276</f>
        <v>58.64</v>
      </c>
      <c r="U276" s="185">
        <f>'LCFS Table'!$P276+'LCFS Table'!$AH276</f>
        <v>48.156300000000002</v>
      </c>
      <c r="V276" s="185">
        <f>(('LCFS Table'!$S276/'LCFS Table'!$AA276)*'LCFS Table'!$AC276)*6.48</f>
        <v>159.84574468085108</v>
      </c>
      <c r="W276" s="185">
        <f>(('LCFS Table'!$O276/'LCFS Table'!$AA276)*'LCFS Table'!$AD276)*6.48</f>
        <v>55.148936170212771</v>
      </c>
      <c r="X276" s="185">
        <f>(('LCFS Table'!$U276/'LCFS Table'!$AA276)*'LCFS Table'!$AE276)*6.48</f>
        <v>82.992772340425546</v>
      </c>
      <c r="Y276" s="185">
        <f>(('LCFS Table'!$T276/'LCFS Table'!$AB276)*'LCFS Table'!$AF276)*7.35</f>
        <v>336.72187500000001</v>
      </c>
      <c r="Z276" s="185">
        <f>(('LCFS Table'!$R276/'LCFS Table'!$AB276)*'LCFS Table'!$AG276)*7.35</f>
        <v>57.421875</v>
      </c>
      <c r="AA276" s="138">
        <v>0.94</v>
      </c>
      <c r="AB276" s="138">
        <v>0.96</v>
      </c>
      <c r="AC276" s="138">
        <v>0.5</v>
      </c>
      <c r="AD276" s="138">
        <v>0.25</v>
      </c>
      <c r="AE276" s="138">
        <v>0.25</v>
      </c>
      <c r="AF276" s="138">
        <v>0.75</v>
      </c>
      <c r="AG276" s="138">
        <v>0.25</v>
      </c>
      <c r="AH276" s="139">
        <v>4.375</v>
      </c>
      <c r="AI276" s="139">
        <v>136</v>
      </c>
      <c r="AJ276" s="139">
        <v>110</v>
      </c>
      <c r="AK276" s="186">
        <f>('LCFS Table'!$AI276/340)*100</f>
        <v>40</v>
      </c>
      <c r="AL276" s="186">
        <f>('LCFS Table'!$AJ276/340)*100</f>
        <v>32.352941176470587</v>
      </c>
      <c r="AM276" s="139">
        <v>105</v>
      </c>
      <c r="AN276" s="139">
        <v>90</v>
      </c>
      <c r="AO276" s="139">
        <f>('LCFS Table'!$AM276/300)*100</f>
        <v>35</v>
      </c>
      <c r="AP276" s="139">
        <f>('LCFS Table'!$AN276/300)*100</f>
        <v>30</v>
      </c>
      <c r="AQ276" s="140">
        <f>'[1]LCFS Values'!$B275</f>
        <v>66</v>
      </c>
      <c r="AR276" s="140">
        <f>'[1]RIN Values'!$B275/100</f>
        <v>0.57374999999999998</v>
      </c>
      <c r="AS276" s="185">
        <f>((('[2]Controls 2'!$B$2-SUM(('[2]Controls 2'!$B$5*'LCFS Table'!$AC276),('[2]Controls 2'!$B$6*'LCFS Table'!$AD276),('[2]Controls 2'!$B$7*'LCFS Table'!$AE276)))/1000000)*'LCFS Table'!$AQ276)*'[2]Controls 2'!$B$8</f>
        <v>0.52712883038913683</v>
      </c>
      <c r="AT276" s="137">
        <v>0.16</v>
      </c>
      <c r="AU276" s="137">
        <v>1</v>
      </c>
      <c r="AV276" s="185">
        <f>'LCFS Table'!$AR276*1.7</f>
        <v>0.97537499999999999</v>
      </c>
      <c r="AW276" s="137">
        <v>0</v>
      </c>
      <c r="AX276" s="185">
        <f>(((('[2]Controls 2'!$B$2-SUM(('LCFS Table'!$AF276*'[2]Controls 2'!$B$12),('LCFS Table'!$AG276*'[2]Controls 2'!$B$13)))/1000000)*'LCFS Table'!$AQ276)*'[2]Controls 2'!$B$14)</f>
        <v>0.34765527224999998</v>
      </c>
      <c r="AY276" s="137">
        <v>0</v>
      </c>
      <c r="AZ276" s="141">
        <v>1</v>
      </c>
      <c r="BA276" s="185">
        <f>'LCFS Table'!$AR276*1.5</f>
        <v>0.86062499999999997</v>
      </c>
      <c r="BB276" s="142">
        <v>1.2</v>
      </c>
      <c r="BC276" s="185">
        <f>'LCFS Table'!$AS276*'LCFS Table'!$BW276</f>
        <v>0.52712883038913683</v>
      </c>
      <c r="BD276" s="185">
        <f>'LCFS Table'!$AT276*'LCFS Table'!$BX276</f>
        <v>0</v>
      </c>
      <c r="BE276" s="185">
        <f>'LCFS Table'!$AU276*'LCFS Table'!$BY276</f>
        <v>1</v>
      </c>
      <c r="BF276" s="137">
        <f>'LCFS Table'!$AV276*'LCFS Table'!$BZ276</f>
        <v>0.97537499999999999</v>
      </c>
      <c r="BG276" s="137">
        <f>'LCFS Table'!$AW276*'LCFS Table'!$CA276</f>
        <v>0</v>
      </c>
      <c r="BH276" s="137">
        <f>'LCFS Table'!$AX276*'LCFS Table'!$CB276</f>
        <v>0.34765527224999998</v>
      </c>
      <c r="BI276" s="137">
        <f>'LCFS Table'!$AY276*'LCFS Table'!$CC276</f>
        <v>0</v>
      </c>
      <c r="BJ276" s="137">
        <f>'LCFS Table'!$AZ276*'LCFS Table'!$CD276</f>
        <v>1</v>
      </c>
      <c r="BK276" s="137">
        <f>'LCFS Table'!$BA276*'LCFS Table'!$CE276</f>
        <v>0.86062499999999997</v>
      </c>
      <c r="BL276" s="137">
        <f>'LCFS Table'!$BB276*'LCFS Table'!$CF276</f>
        <v>-1.2</v>
      </c>
      <c r="BM276" s="137">
        <f>'LCFS Table'!$AS276*'LCFS Table'!$CG276</f>
        <v>0</v>
      </c>
      <c r="BN276" s="137">
        <f>'LCFS Table'!$AT276*'LCFS Table'!$CH276</f>
        <v>0.16</v>
      </c>
      <c r="BO276" s="137">
        <f>'LCFS Table'!$AU276*'LCFS Table'!$CI276</f>
        <v>0</v>
      </c>
      <c r="BP276" s="137">
        <f>'LCFS Table'!$AV276*'LCFS Table'!$CJ276</f>
        <v>0</v>
      </c>
      <c r="BQ276" s="137">
        <f>'LCFS Table'!$AW276*'LCFS Table'!$CK276</f>
        <v>0</v>
      </c>
      <c r="BR276" s="137">
        <f>'LCFS Table'!$AX276*'LCFS Table'!$CL276</f>
        <v>0</v>
      </c>
      <c r="BS276" s="137">
        <f>'LCFS Table'!$AY276*'LCFS Table'!$CM276</f>
        <v>0</v>
      </c>
      <c r="BT276" s="137">
        <f>'LCFS Table'!$AZ276*'LCFS Table'!$CN276</f>
        <v>0</v>
      </c>
      <c r="BU276" s="137">
        <f>'LCFS Table'!$BA276*'LCFS Table'!$CO276</f>
        <v>0</v>
      </c>
      <c r="BV276" s="142">
        <f>'LCFS Table'!$BB276*'LCFS Table'!$CP276</f>
        <v>1.2</v>
      </c>
      <c r="BW276" s="138">
        <v>1</v>
      </c>
      <c r="BX276" s="138">
        <v>0</v>
      </c>
      <c r="BY276" s="138">
        <v>1</v>
      </c>
      <c r="BZ276" s="138">
        <v>1</v>
      </c>
      <c r="CA276" s="138">
        <v>-1</v>
      </c>
      <c r="CB276" s="138">
        <v>1</v>
      </c>
      <c r="CC276" s="138">
        <v>0</v>
      </c>
      <c r="CD276" s="138">
        <v>1</v>
      </c>
      <c r="CE276" s="138">
        <v>1</v>
      </c>
      <c r="CF276" s="138">
        <v>-1</v>
      </c>
      <c r="CG276" s="138">
        <f>1-'LCFS Table'!$BW276</f>
        <v>0</v>
      </c>
      <c r="CH276" s="138">
        <f>1-'LCFS Table'!$BX276</f>
        <v>1</v>
      </c>
      <c r="CI276" s="138">
        <f>1-'LCFS Table'!$BY276</f>
        <v>0</v>
      </c>
      <c r="CJ276" s="138">
        <f>1-'LCFS Table'!$BZ276</f>
        <v>0</v>
      </c>
      <c r="CK276" s="138">
        <f>-'LCFS Table'!$CA276</f>
        <v>1</v>
      </c>
      <c r="CL276" s="138">
        <f>1-'LCFS Table'!$CB276</f>
        <v>0</v>
      </c>
      <c r="CM276" s="138">
        <f>1-'LCFS Table'!$CC276</f>
        <v>1</v>
      </c>
      <c r="CN276" s="138">
        <f>1-'LCFS Table'!$CD276</f>
        <v>0</v>
      </c>
      <c r="CO276" s="138">
        <f>1-'LCFS Table'!$CE276</f>
        <v>0</v>
      </c>
      <c r="CP276" s="138">
        <f>-'LCFS Table'!$CF276</f>
        <v>1</v>
      </c>
      <c r="CQ276" s="140">
        <v>9.75</v>
      </c>
      <c r="CR276" s="165">
        <f>('LCFS Table'!$CQ276*0.9/(0.8/0.99)/100)</f>
        <v>0.10859062499999998</v>
      </c>
      <c r="CS276" s="166"/>
      <c r="CT276" s="167"/>
      <c r="CW276" s="168">
        <f>'LCFS Table'!$K276-'LCFS Table'!$M276</f>
        <v>0.20698027224999915</v>
      </c>
      <c r="CX276" s="129">
        <f>MONTH('LCFS Table'!$B276)</f>
        <v>3</v>
      </c>
      <c r="CY276" s="129">
        <f>YEAR('LCFS Table'!$B276)</f>
        <v>2024</v>
      </c>
    </row>
    <row r="277" spans="1:103">
      <c r="A277" s="148">
        <v>45382</v>
      </c>
      <c r="B277" s="149">
        <v>45388</v>
      </c>
      <c r="C277" s="132">
        <f t="shared" si="5"/>
        <v>2024</v>
      </c>
      <c r="D277" s="150" t="s">
        <v>270</v>
      </c>
      <c r="E277" s="187">
        <f>'LCFS Table'!$K277-'LCFS Table'!$I277</f>
        <v>-0.96231770963704699</v>
      </c>
      <c r="F277" s="187">
        <f>('LCFS Table'!$M277)-'LCFS Table'!$J277</f>
        <v>-2.0592156608124998</v>
      </c>
      <c r="G277" s="188">
        <f>'LCFS Table'!$E277+'LCFS Table'!$AS277+'LCFS Table'!$AT277+'LCFS Table'!$AU277+'LCFS Table'!$AV277</f>
        <v>1.6430677205218691</v>
      </c>
      <c r="H277" s="188">
        <f>'LCFS Table'!$F277+'LCFS Table'!$AX277+'LCFS Table'!$AY277+'LCFS Table'!$AZ277+'LCFS Table'!$BA277+('LCFS Table'!$CQ277*0.9/(0.8/0.99)/100)+(DG277*'LCFS Table'!$AF277)+(DF277*'LCFS Table'!$AG277)</f>
        <v>0.20814648437500011</v>
      </c>
      <c r="I277" s="187">
        <f>('LCFS Table'!$V277+'LCFS Table'!$W277+'LCFS Table'!$X277)/100+(('LCFS Table'!$AI277+'LCFS Table'!$AJ277)/340)</f>
        <v>3.6994177096370469</v>
      </c>
      <c r="J277" s="187">
        <f>(('LCFS Table'!$Y277+'LCFS Table'!$Z277)/100)+(('LCFS Table'!$AM277+'LCFS Table'!$AN277)/300)</f>
        <v>4.6104441406249999</v>
      </c>
      <c r="K277" s="190">
        <f>'[1]Fuel Values'!$C276</f>
        <v>2.7370999999999999</v>
      </c>
      <c r="L277" s="190">
        <f>'[1]Fuel Values'!$B276</f>
        <v>471</v>
      </c>
      <c r="M277" s="185">
        <f>('LCFS Table'!$L277/100)-'LCFS Table'!$AX277-'LCFS Table'!$AY277-'LCFS Table'!$AZ277-'LCFS Table'!$BA277</f>
        <v>2.5512284798125</v>
      </c>
      <c r="N277" s="190">
        <f>[1]BFT!$B276</f>
        <v>42</v>
      </c>
      <c r="O277" s="190">
        <f>[1]UCO!$B276</f>
        <v>32</v>
      </c>
      <c r="P277" s="190">
        <f>[1]DCO!$B276</f>
        <v>43.55</v>
      </c>
      <c r="Q277" s="190">
        <f>'[1]Soybean Oil'!$B276</f>
        <v>54.595999999999997</v>
      </c>
      <c r="R277" s="190">
        <f>'[1]Yellow Grease'!$B276</f>
        <v>30</v>
      </c>
      <c r="S277" s="185">
        <f>'LCFS Table'!$N277 + 'LCFS Table'!$AH277</f>
        <v>46.375</v>
      </c>
      <c r="T277" s="185">
        <f>'LCFS Table'!$Q277+'LCFS Table'!$AH277</f>
        <v>58.970999999999997</v>
      </c>
      <c r="U277" s="185">
        <f>'LCFS Table'!$P277+'LCFS Table'!$AH277</f>
        <v>47.924999999999997</v>
      </c>
      <c r="V277" s="185">
        <f>(('LCFS Table'!$S277/'LCFS Table'!$AA277)*'LCFS Table'!$AC277)*6.48</f>
        <v>159.84574468085108</v>
      </c>
      <c r="W277" s="185">
        <f>(('LCFS Table'!$O277/'LCFS Table'!$AA277)*'LCFS Table'!$AD277)*6.48</f>
        <v>55.148936170212771</v>
      </c>
      <c r="X277" s="185">
        <f>(('LCFS Table'!$U277/'LCFS Table'!$AA277)*'LCFS Table'!$AE277)*6.48</f>
        <v>82.594148936170214</v>
      </c>
      <c r="Y277" s="185">
        <f>(('LCFS Table'!$T277/'LCFS Table'!$AB277)*'LCFS Table'!$AF277)*7.35</f>
        <v>338.62253906249998</v>
      </c>
      <c r="Z277" s="185">
        <f>(('LCFS Table'!$R277/'LCFS Table'!$AB277)*'LCFS Table'!$AG277)*7.35</f>
        <v>57.421875</v>
      </c>
      <c r="AA277" s="138">
        <v>0.94</v>
      </c>
      <c r="AB277" s="138">
        <v>0.96</v>
      </c>
      <c r="AC277" s="138">
        <v>0.5</v>
      </c>
      <c r="AD277" s="138">
        <v>0.25</v>
      </c>
      <c r="AE277" s="138">
        <v>0.25</v>
      </c>
      <c r="AF277" s="138">
        <v>0.75</v>
      </c>
      <c r="AG277" s="138">
        <v>0.25</v>
      </c>
      <c r="AH277" s="139">
        <v>4.375</v>
      </c>
      <c r="AI277" s="139">
        <v>136</v>
      </c>
      <c r="AJ277" s="139">
        <v>110</v>
      </c>
      <c r="AK277" s="186">
        <f>('LCFS Table'!$AI277/340)*100</f>
        <v>40</v>
      </c>
      <c r="AL277" s="186">
        <f>('LCFS Table'!$AJ277/340)*100</f>
        <v>32.352941176470587</v>
      </c>
      <c r="AM277" s="139">
        <v>105</v>
      </c>
      <c r="AN277" s="139">
        <v>90</v>
      </c>
      <c r="AO277" s="139">
        <f>('LCFS Table'!$AM277/300)*100</f>
        <v>35</v>
      </c>
      <c r="AP277" s="139">
        <f>('LCFS Table'!$AN277/300)*100</f>
        <v>30</v>
      </c>
      <c r="AQ277" s="140">
        <f>'[1]LCFS Values'!$B276</f>
        <v>65.5</v>
      </c>
      <c r="AR277" s="140">
        <f>'[1]RIN Values'!$B276/100</f>
        <v>0.54249999999999998</v>
      </c>
      <c r="AS277" s="185">
        <f>((('[2]Controls 2'!$B$2-SUM(('[2]Controls 2'!$B$5*'LCFS Table'!$AC277),('[2]Controls 2'!$B$6*'LCFS Table'!$AD277),('[2]Controls 2'!$B$7*'LCFS Table'!$AE277)))/1000000)*'LCFS Table'!$AQ277)*'[2]Controls 2'!$B$8</f>
        <v>0.52313543015891617</v>
      </c>
      <c r="AT277" s="137">
        <v>0.16</v>
      </c>
      <c r="AU277" s="137">
        <v>1</v>
      </c>
      <c r="AV277" s="185">
        <f>'LCFS Table'!$AR277*1.7</f>
        <v>0.9222499999999999</v>
      </c>
      <c r="AW277" s="137">
        <v>0</v>
      </c>
      <c r="AX277" s="185">
        <f>(((('[2]Controls 2'!$B$2-SUM(('LCFS Table'!$AF277*'[2]Controls 2'!$B$12),('LCFS Table'!$AG277*'[2]Controls 2'!$B$13)))/1000000)*'LCFS Table'!$AQ277)*'[2]Controls 2'!$B$14)</f>
        <v>0.34502152018749999</v>
      </c>
      <c r="AY277" s="137">
        <v>0</v>
      </c>
      <c r="AZ277" s="141">
        <v>1</v>
      </c>
      <c r="BA277" s="185">
        <f>'LCFS Table'!$AR277*1.5</f>
        <v>0.81374999999999997</v>
      </c>
      <c r="BB277" s="142">
        <v>1.2</v>
      </c>
      <c r="BC277" s="185">
        <f>'LCFS Table'!$AS277*'LCFS Table'!$BW277</f>
        <v>0.52313543015891617</v>
      </c>
      <c r="BD277" s="185">
        <f>'LCFS Table'!$AT277*'LCFS Table'!$BX277</f>
        <v>0</v>
      </c>
      <c r="BE277" s="185">
        <f>'LCFS Table'!$AU277*'LCFS Table'!$BY277</f>
        <v>1</v>
      </c>
      <c r="BF277" s="137">
        <f>'LCFS Table'!$AV277*'LCFS Table'!$BZ277</f>
        <v>0.9222499999999999</v>
      </c>
      <c r="BG277" s="137">
        <f>'LCFS Table'!$AW277*'LCFS Table'!$CA277</f>
        <v>0</v>
      </c>
      <c r="BH277" s="137">
        <f>'LCFS Table'!$AX277*'LCFS Table'!$CB277</f>
        <v>0.34502152018749999</v>
      </c>
      <c r="BI277" s="137">
        <f>'LCFS Table'!$AY277*'LCFS Table'!$CC277</f>
        <v>0</v>
      </c>
      <c r="BJ277" s="137">
        <f>'LCFS Table'!$AZ277*'LCFS Table'!$CD277</f>
        <v>1</v>
      </c>
      <c r="BK277" s="137">
        <f>'LCFS Table'!$BA277*'LCFS Table'!$CE277</f>
        <v>0.81374999999999997</v>
      </c>
      <c r="BL277" s="137">
        <f>'LCFS Table'!$BB277*'LCFS Table'!$CF277</f>
        <v>-1.2</v>
      </c>
      <c r="BM277" s="137">
        <f>'LCFS Table'!$AS277*'LCFS Table'!$CG277</f>
        <v>0</v>
      </c>
      <c r="BN277" s="137">
        <f>'LCFS Table'!$AT277*'LCFS Table'!$CH277</f>
        <v>0.16</v>
      </c>
      <c r="BO277" s="137">
        <f>'LCFS Table'!$AU277*'LCFS Table'!$CI277</f>
        <v>0</v>
      </c>
      <c r="BP277" s="137">
        <f>'LCFS Table'!$AV277*'LCFS Table'!$CJ277</f>
        <v>0</v>
      </c>
      <c r="BQ277" s="137">
        <f>'LCFS Table'!$AW277*'LCFS Table'!$CK277</f>
        <v>0</v>
      </c>
      <c r="BR277" s="137">
        <f>'LCFS Table'!$AX277*'LCFS Table'!$CL277</f>
        <v>0</v>
      </c>
      <c r="BS277" s="137">
        <f>'LCFS Table'!$AY277*'LCFS Table'!$CM277</f>
        <v>0</v>
      </c>
      <c r="BT277" s="137">
        <f>'LCFS Table'!$AZ277*'LCFS Table'!$CN277</f>
        <v>0</v>
      </c>
      <c r="BU277" s="137">
        <f>'LCFS Table'!$BA277*'LCFS Table'!$CO277</f>
        <v>0</v>
      </c>
      <c r="BV277" s="142">
        <f>'LCFS Table'!$BB277*'LCFS Table'!$CP277</f>
        <v>1.2</v>
      </c>
      <c r="BW277" s="138">
        <v>1</v>
      </c>
      <c r="BX277" s="138">
        <v>0</v>
      </c>
      <c r="BY277" s="138">
        <v>1</v>
      </c>
      <c r="BZ277" s="138">
        <v>1</v>
      </c>
      <c r="CA277" s="138">
        <v>-1</v>
      </c>
      <c r="CB277" s="138">
        <v>1</v>
      </c>
      <c r="CC277" s="138">
        <v>0</v>
      </c>
      <c r="CD277" s="138">
        <v>1</v>
      </c>
      <c r="CE277" s="138">
        <v>1</v>
      </c>
      <c r="CF277" s="138">
        <v>-1</v>
      </c>
      <c r="CG277" s="138">
        <f>1-'LCFS Table'!$BW277</f>
        <v>0</v>
      </c>
      <c r="CH277" s="138">
        <f>1-'LCFS Table'!$BX277</f>
        <v>1</v>
      </c>
      <c r="CI277" s="138">
        <f>1-'LCFS Table'!$BY277</f>
        <v>0</v>
      </c>
      <c r="CJ277" s="138">
        <f>1-'LCFS Table'!$BZ277</f>
        <v>0</v>
      </c>
      <c r="CK277" s="138">
        <f>-'LCFS Table'!$CA277</f>
        <v>1</v>
      </c>
      <c r="CL277" s="138">
        <f>1-'LCFS Table'!$CB277</f>
        <v>0</v>
      </c>
      <c r="CM277" s="138">
        <f>1-'LCFS Table'!$CC277</f>
        <v>1</v>
      </c>
      <c r="CN277" s="138">
        <f>1-'LCFS Table'!$CD277</f>
        <v>0</v>
      </c>
      <c r="CO277" s="138">
        <f>1-'LCFS Table'!$CE277</f>
        <v>0</v>
      </c>
      <c r="CP277" s="138">
        <f>-'LCFS Table'!$CF277</f>
        <v>1</v>
      </c>
      <c r="CQ277" s="140">
        <f t="shared" ref="CQ277:CQ340" si="6">CQ276</f>
        <v>9.75</v>
      </c>
      <c r="CR277" s="165">
        <f>('LCFS Table'!$CQ277*0.9/(0.8/0.99)/100)</f>
        <v>0.10859062499999998</v>
      </c>
      <c r="CS277" s="166"/>
      <c r="CT277" s="167"/>
      <c r="CW277" s="168">
        <f>'LCFS Table'!$K277-'LCFS Table'!$M277</f>
        <v>0.18587152018749986</v>
      </c>
      <c r="CX277" s="129">
        <f>MONTH('LCFS Table'!$B277)</f>
        <v>4</v>
      </c>
      <c r="CY277" s="129">
        <f>YEAR('LCFS Table'!$B277)</f>
        <v>2024</v>
      </c>
    </row>
    <row r="278" spans="1:103">
      <c r="A278" s="148">
        <v>45389</v>
      </c>
      <c r="B278" s="149">
        <v>45395</v>
      </c>
      <c r="C278" s="132">
        <f t="shared" si="5"/>
        <v>2024</v>
      </c>
      <c r="D278" s="150" t="s">
        <v>271</v>
      </c>
      <c r="E278" s="187">
        <f>'LCFS Table'!$K278-'LCFS Table'!$I278</f>
        <v>-0.95686026282853653</v>
      </c>
      <c r="F278" s="187">
        <f>('LCFS Table'!$M278)-'LCFS Table'!$J278</f>
        <v>-1.7001376838125006</v>
      </c>
      <c r="G278" s="188">
        <f>'LCFS Table'!$E278+'LCFS Table'!$AS278+'LCFS Table'!$AT278+'LCFS Table'!$AU278+'LCFS Table'!$AV278</f>
        <v>1.5688015664094968</v>
      </c>
      <c r="H278" s="188">
        <f>'LCFS Table'!$F278+'LCFS Table'!$AX278+'LCFS Table'!$AY278+'LCFS Table'!$AZ278+'LCFS Table'!$BA278+('LCFS Table'!$CQ278*0.9/(0.8/0.99)/100)+(DG278*'LCFS Table'!$AF278)+(DF278*'LCFS Table'!$AG278)</f>
        <v>0.47816445312499944</v>
      </c>
      <c r="I278" s="187">
        <f>('LCFS Table'!$V278+'LCFS Table'!$W278+'LCFS Table'!$X278)/100+(('LCFS Table'!$AI278+'LCFS Table'!$AJ278)/340)</f>
        <v>3.6804602628285363</v>
      </c>
      <c r="J278" s="187">
        <f>(('LCFS Table'!$Y278+'LCFS Table'!$Z278)/100)+(('LCFS Table'!$AM278+'LCFS Table'!$AN278)/300)</f>
        <v>4.4031511718749998</v>
      </c>
      <c r="K278" s="190">
        <f>'[1]Fuel Values'!$C277</f>
        <v>2.7235999999999998</v>
      </c>
      <c r="L278" s="190">
        <f>'[1]Fuel Values'!$B277</f>
        <v>479.5</v>
      </c>
      <c r="M278" s="185">
        <f>('LCFS Table'!$L278/100)-'LCFS Table'!$AX278-'LCFS Table'!$AY278-'LCFS Table'!$AZ278-'LCFS Table'!$BA278</f>
        <v>2.7030134880624992</v>
      </c>
      <c r="N278" s="190">
        <f>[1]BFT!$B277</f>
        <v>42</v>
      </c>
      <c r="O278" s="190">
        <f>[1]UCO!$B277</f>
        <v>32</v>
      </c>
      <c r="P278" s="190">
        <f>[1]DCO!$B277</f>
        <v>42.45</v>
      </c>
      <c r="Q278" s="190">
        <f>'[1]Soybean Oil'!$B277</f>
        <v>50.985999999999997</v>
      </c>
      <c r="R278" s="190">
        <f>'[1]Yellow Grease'!$B277</f>
        <v>30</v>
      </c>
      <c r="S278" s="185">
        <f>'LCFS Table'!$N278 + 'LCFS Table'!$AH278</f>
        <v>46.375</v>
      </c>
      <c r="T278" s="185">
        <f>'LCFS Table'!$Q278+'LCFS Table'!$AH278</f>
        <v>55.360999999999997</v>
      </c>
      <c r="U278" s="185">
        <f>'LCFS Table'!$P278+'LCFS Table'!$AH278</f>
        <v>46.825000000000003</v>
      </c>
      <c r="V278" s="185">
        <f>(('LCFS Table'!$S278/'LCFS Table'!$AA278)*'LCFS Table'!$AC278)*6.48</f>
        <v>159.84574468085108</v>
      </c>
      <c r="W278" s="185">
        <f>(('LCFS Table'!$O278/'LCFS Table'!$AA278)*'LCFS Table'!$AD278)*6.48</f>
        <v>55.148936170212771</v>
      </c>
      <c r="X278" s="185">
        <f>(('LCFS Table'!$U278/'LCFS Table'!$AA278)*'LCFS Table'!$AE278)*6.48</f>
        <v>80.698404255319161</v>
      </c>
      <c r="Y278" s="185">
        <f>(('LCFS Table'!$T278/'LCFS Table'!$AB278)*'LCFS Table'!$AF278)*7.35</f>
        <v>317.89324218749994</v>
      </c>
      <c r="Z278" s="185">
        <f>(('LCFS Table'!$R278/'LCFS Table'!$AB278)*'LCFS Table'!$AG278)*7.35</f>
        <v>57.421875</v>
      </c>
      <c r="AA278" s="138">
        <v>0.94</v>
      </c>
      <c r="AB278" s="138">
        <v>0.96</v>
      </c>
      <c r="AC278" s="138">
        <v>0.5</v>
      </c>
      <c r="AD278" s="138">
        <v>0.25</v>
      </c>
      <c r="AE278" s="138">
        <v>0.25</v>
      </c>
      <c r="AF278" s="138">
        <v>0.75</v>
      </c>
      <c r="AG278" s="138">
        <v>0.25</v>
      </c>
      <c r="AH278" s="139">
        <v>4.375</v>
      </c>
      <c r="AI278" s="139">
        <v>136</v>
      </c>
      <c r="AJ278" s="139">
        <v>110</v>
      </c>
      <c r="AK278" s="186">
        <f>('LCFS Table'!$AI278/340)*100</f>
        <v>40</v>
      </c>
      <c r="AL278" s="186">
        <f>('LCFS Table'!$AJ278/340)*100</f>
        <v>32.352941176470587</v>
      </c>
      <c r="AM278" s="139">
        <v>105</v>
      </c>
      <c r="AN278" s="139">
        <v>90</v>
      </c>
      <c r="AO278" s="139">
        <f>('LCFS Table'!$AM278/300)*100</f>
        <v>35</v>
      </c>
      <c r="AP278" s="139">
        <f>('LCFS Table'!$AN278/300)*100</f>
        <v>30</v>
      </c>
      <c r="AQ278" s="140">
        <f>'[1]LCFS Values'!$B277</f>
        <v>63.5</v>
      </c>
      <c r="AR278" s="140">
        <f>'[1]RIN Values'!$B277/100</f>
        <v>0.505</v>
      </c>
      <c r="AS278" s="185">
        <f>((('[2]Controls 2'!$B$2-SUM(('[2]Controls 2'!$B$5*'LCFS Table'!$AC278),('[2]Controls 2'!$B$6*'LCFS Table'!$AD278),('[2]Controls 2'!$B$7*'LCFS Table'!$AE278)))/1000000)*'LCFS Table'!$AQ278)*'[2]Controls 2'!$B$8</f>
        <v>0.50716182923803321</v>
      </c>
      <c r="AT278" s="137">
        <v>0.16</v>
      </c>
      <c r="AU278" s="137">
        <v>1</v>
      </c>
      <c r="AV278" s="185">
        <f>'LCFS Table'!$AR278*1.7</f>
        <v>0.85849999999999993</v>
      </c>
      <c r="AW278" s="137">
        <v>0</v>
      </c>
      <c r="AX278" s="185">
        <f>(((('[2]Controls 2'!$B$2-SUM(('LCFS Table'!$AF278*'[2]Controls 2'!$B$12),('LCFS Table'!$AG278*'[2]Controls 2'!$B$13)))/1000000)*'LCFS Table'!$AQ278)*'[2]Controls 2'!$B$14)</f>
        <v>0.33448651193750001</v>
      </c>
      <c r="AY278" s="137">
        <v>0</v>
      </c>
      <c r="AZ278" s="141">
        <v>1</v>
      </c>
      <c r="BA278" s="185">
        <f>'LCFS Table'!$AR278*1.5</f>
        <v>0.75750000000000006</v>
      </c>
      <c r="BB278" s="136">
        <v>1.2</v>
      </c>
      <c r="BC278" s="185">
        <f>'LCFS Table'!$AS278*'LCFS Table'!$BW278</f>
        <v>0.50716182923803321</v>
      </c>
      <c r="BD278" s="185">
        <f>'LCFS Table'!$AT278*'LCFS Table'!$BX278</f>
        <v>0</v>
      </c>
      <c r="BE278" s="185">
        <f>'LCFS Table'!$AU278*'LCFS Table'!$BY278</f>
        <v>1</v>
      </c>
      <c r="BF278" s="137">
        <f>'LCFS Table'!$AV278*'LCFS Table'!$BZ278</f>
        <v>0.85849999999999993</v>
      </c>
      <c r="BG278" s="137">
        <f>'LCFS Table'!$AW278*'LCFS Table'!$CA278</f>
        <v>0</v>
      </c>
      <c r="BH278" s="137">
        <f>'LCFS Table'!$AX278*'LCFS Table'!$CB278</f>
        <v>0.33448651193750001</v>
      </c>
      <c r="BI278" s="137">
        <f>'LCFS Table'!$AY278*'LCFS Table'!$CC278</f>
        <v>0</v>
      </c>
      <c r="BJ278" s="137">
        <f>'LCFS Table'!$AZ278*'LCFS Table'!$CD278</f>
        <v>1</v>
      </c>
      <c r="BK278" s="137">
        <f>'LCFS Table'!$BA278*'LCFS Table'!$CE278</f>
        <v>0.75750000000000006</v>
      </c>
      <c r="BL278" s="137">
        <f>'LCFS Table'!$BB278*'LCFS Table'!$CF278</f>
        <v>-1.2</v>
      </c>
      <c r="BM278" s="137">
        <f>'LCFS Table'!$AS278*'LCFS Table'!$CG278</f>
        <v>0</v>
      </c>
      <c r="BN278" s="137">
        <f>'LCFS Table'!$AT278*'LCFS Table'!$CH278</f>
        <v>0.16</v>
      </c>
      <c r="BO278" s="137">
        <f>'LCFS Table'!$AU278*'LCFS Table'!$CI278</f>
        <v>0</v>
      </c>
      <c r="BP278" s="137">
        <f>'LCFS Table'!$AV278*'LCFS Table'!$CJ278</f>
        <v>0</v>
      </c>
      <c r="BQ278" s="137">
        <f>'LCFS Table'!$AW278*'LCFS Table'!$CK278</f>
        <v>0</v>
      </c>
      <c r="BR278" s="137">
        <f>'LCFS Table'!$AX278*'LCFS Table'!$CL278</f>
        <v>0</v>
      </c>
      <c r="BS278" s="137">
        <f>'LCFS Table'!$AY278*'LCFS Table'!$CM278</f>
        <v>0</v>
      </c>
      <c r="BT278" s="137">
        <f>'LCFS Table'!$AZ278*'LCFS Table'!$CN278</f>
        <v>0</v>
      </c>
      <c r="BU278" s="137">
        <f>'LCFS Table'!$BA278*'LCFS Table'!$CO278</f>
        <v>0</v>
      </c>
      <c r="BV278" s="136">
        <f>'LCFS Table'!$BB278*'LCFS Table'!$CP278</f>
        <v>1.2</v>
      </c>
      <c r="BW278" s="138">
        <v>1</v>
      </c>
      <c r="BX278" s="138">
        <v>0</v>
      </c>
      <c r="BY278" s="138">
        <v>1</v>
      </c>
      <c r="BZ278" s="138">
        <v>1</v>
      </c>
      <c r="CA278" s="138">
        <v>-1</v>
      </c>
      <c r="CB278" s="138">
        <v>1</v>
      </c>
      <c r="CC278" s="138">
        <v>0</v>
      </c>
      <c r="CD278" s="138">
        <v>1</v>
      </c>
      <c r="CE278" s="138">
        <v>1</v>
      </c>
      <c r="CF278" s="138">
        <v>-1</v>
      </c>
      <c r="CG278" s="138">
        <f>1-'LCFS Table'!$BW278</f>
        <v>0</v>
      </c>
      <c r="CH278" s="138">
        <f>1-'LCFS Table'!$BX278</f>
        <v>1</v>
      </c>
      <c r="CI278" s="138">
        <f>1-'LCFS Table'!$BY278</f>
        <v>0</v>
      </c>
      <c r="CJ278" s="138">
        <f>1-'LCFS Table'!$BZ278</f>
        <v>0</v>
      </c>
      <c r="CK278" s="138">
        <f>-'LCFS Table'!$CA278</f>
        <v>1</v>
      </c>
      <c r="CL278" s="138">
        <f>1-'LCFS Table'!$CB278</f>
        <v>0</v>
      </c>
      <c r="CM278" s="138">
        <f>1-'LCFS Table'!$CC278</f>
        <v>1</v>
      </c>
      <c r="CN278" s="138">
        <f>1-'LCFS Table'!$CD278</f>
        <v>0</v>
      </c>
      <c r="CO278" s="138">
        <f>1-'LCFS Table'!$CE278</f>
        <v>0</v>
      </c>
      <c r="CP278" s="138">
        <f>-'LCFS Table'!$CF278</f>
        <v>1</v>
      </c>
      <c r="CQ278" s="140">
        <v>7.75</v>
      </c>
      <c r="CR278" s="165">
        <f>('LCFS Table'!$CQ278*0.9/(0.8/0.99)/100)</f>
        <v>8.6315624999999993E-2</v>
      </c>
      <c r="CS278" s="166"/>
      <c r="CT278" s="167"/>
      <c r="CW278" s="168">
        <f>'LCFS Table'!$K278-'LCFS Table'!$M278</f>
        <v>2.0586511937500607E-2</v>
      </c>
      <c r="CX278" s="129">
        <f>MONTH('LCFS Table'!$B278)</f>
        <v>4</v>
      </c>
      <c r="CY278" s="129">
        <f>YEAR('LCFS Table'!$B278)</f>
        <v>2024</v>
      </c>
    </row>
    <row r="279" spans="1:103">
      <c r="A279" s="148">
        <v>45396</v>
      </c>
      <c r="B279" s="149">
        <v>45402</v>
      </c>
      <c r="C279" s="132">
        <f t="shared" si="5"/>
        <v>2024</v>
      </c>
      <c r="D279" s="150" t="s">
        <v>272</v>
      </c>
      <c r="E279" s="187">
        <f>'LCFS Table'!$K279-'LCFS Table'!$I279</f>
        <v>-1.0226474968710892</v>
      </c>
      <c r="F279" s="187">
        <f>('LCFS Table'!$M279)-'LCFS Table'!$J279</f>
        <v>-1.5850680135374997</v>
      </c>
      <c r="G279" s="188">
        <f>'LCFS Table'!$E279+'LCFS Table'!$AS279+'LCFS Table'!$AT279+'LCFS Table'!$AU279+'LCFS Table'!$AV279</f>
        <v>1.3840592108014431</v>
      </c>
      <c r="H279" s="188">
        <f>'LCFS Table'!$F279+'LCFS Table'!$AX279+'LCFS Table'!$AY279+'LCFS Table'!$AZ279+'LCFS Table'!$BA279+('LCFS Table'!$CQ279*0.9/(0.8/0.99)/100)+(DG279*'LCFS Table'!$AF279)+(DF279*'LCFS Table'!$AG279)</f>
        <v>0.49432460937500022</v>
      </c>
      <c r="I279" s="187">
        <f>('LCFS Table'!$V279+'LCFS Table'!$W279+'LCFS Table'!$X279)/100+(('LCFS Table'!$AI279+'LCFS Table'!$AJ279)/340)</f>
        <v>3.6537474968710892</v>
      </c>
      <c r="J279" s="187">
        <f>(('LCFS Table'!$Y279+'LCFS Table'!$Z279)/100)+(('LCFS Table'!$AM279+'LCFS Table'!$AN279)/300)</f>
        <v>4.2819910156250005</v>
      </c>
      <c r="K279" s="190">
        <f>'[1]Fuel Values'!$C278</f>
        <v>2.6311</v>
      </c>
      <c r="L279" s="190">
        <f>'[1]Fuel Values'!$B278</f>
        <v>469</v>
      </c>
      <c r="M279" s="185">
        <f>('LCFS Table'!$L279/100)-'LCFS Table'!$AX279-'LCFS Table'!$AY279-'LCFS Table'!$AZ279-'LCFS Table'!$BA279</f>
        <v>2.6969230020875008</v>
      </c>
      <c r="N279" s="190">
        <f>[1]BFT!$B278</f>
        <v>42</v>
      </c>
      <c r="O279" s="190">
        <f>[1]UCO!$B278</f>
        <v>32.299999999999997</v>
      </c>
      <c r="P279" s="190">
        <f>[1]DCO!$B278</f>
        <v>40.6</v>
      </c>
      <c r="Q279" s="190">
        <f>'[1]Soybean Oil'!$B278</f>
        <v>48.776000000000003</v>
      </c>
      <c r="R279" s="190">
        <f>'[1]Yellow Grease'!$B278</f>
        <v>30.3</v>
      </c>
      <c r="S279" s="185">
        <f>'LCFS Table'!$N279 + 'LCFS Table'!$AH279</f>
        <v>46.375</v>
      </c>
      <c r="T279" s="185">
        <f>'LCFS Table'!$Q279+'LCFS Table'!$AH279</f>
        <v>53.151000000000003</v>
      </c>
      <c r="U279" s="185">
        <f>'LCFS Table'!$P279+'LCFS Table'!$AH279</f>
        <v>44.975000000000001</v>
      </c>
      <c r="V279" s="185">
        <f>(('LCFS Table'!$S279/'LCFS Table'!$AA279)*'LCFS Table'!$AC279)*6.48</f>
        <v>159.84574468085108</v>
      </c>
      <c r="W279" s="185">
        <f>(('LCFS Table'!$O279/'LCFS Table'!$AA279)*'LCFS Table'!$AD279)*6.48</f>
        <v>55.66595744680852</v>
      </c>
      <c r="X279" s="185">
        <f>(('LCFS Table'!$U279/'LCFS Table'!$AA279)*'LCFS Table'!$AE279)*6.48</f>
        <v>77.510106382978734</v>
      </c>
      <c r="Y279" s="185">
        <f>(('LCFS Table'!$T279/'LCFS Table'!$AB279)*'LCFS Table'!$AF279)*7.35</f>
        <v>305.2030078125</v>
      </c>
      <c r="Z279" s="185">
        <f>(('LCFS Table'!$R279/'LCFS Table'!$AB279)*'LCFS Table'!$AG279)*7.35</f>
        <v>57.996093750000007</v>
      </c>
      <c r="AA279" s="138">
        <v>0.94</v>
      </c>
      <c r="AB279" s="138">
        <v>0.96</v>
      </c>
      <c r="AC279" s="138">
        <v>0.5</v>
      </c>
      <c r="AD279" s="138">
        <v>0.25</v>
      </c>
      <c r="AE279" s="138">
        <v>0.25</v>
      </c>
      <c r="AF279" s="138">
        <v>0.75</v>
      </c>
      <c r="AG279" s="138">
        <v>0.25</v>
      </c>
      <c r="AH279" s="139">
        <v>4.375</v>
      </c>
      <c r="AI279" s="139">
        <v>136</v>
      </c>
      <c r="AJ279" s="139">
        <v>110</v>
      </c>
      <c r="AK279" s="186">
        <f>('LCFS Table'!$AI279/340)*100</f>
        <v>40</v>
      </c>
      <c r="AL279" s="186">
        <f>('LCFS Table'!$AJ279/340)*100</f>
        <v>32.352941176470587</v>
      </c>
      <c r="AM279" s="139">
        <v>105</v>
      </c>
      <c r="AN279" s="139">
        <v>90</v>
      </c>
      <c r="AO279" s="139">
        <f>('LCFS Table'!$AM279/300)*100</f>
        <v>35</v>
      </c>
      <c r="AP279" s="139">
        <f>('LCFS Table'!$AN279/300)*100</f>
        <v>30</v>
      </c>
      <c r="AQ279" s="140">
        <f>'[1]LCFS Values'!$B278</f>
        <v>60.1</v>
      </c>
      <c r="AR279" s="140">
        <f>'[1]RIN Values'!$B278/100</f>
        <v>0.45100000000000001</v>
      </c>
      <c r="AS279" s="185">
        <f>((('[2]Controls 2'!$B$2-SUM(('[2]Controls 2'!$B$5*'LCFS Table'!$AC279),('[2]Controls 2'!$B$6*'LCFS Table'!$AD279),('[2]Controls 2'!$B$7*'LCFS Table'!$AE279)))/1000000)*'LCFS Table'!$AQ279)*'[2]Controls 2'!$B$8</f>
        <v>0.48000670767253223</v>
      </c>
      <c r="AT279" s="137">
        <v>0.16</v>
      </c>
      <c r="AU279" s="137">
        <v>1</v>
      </c>
      <c r="AV279" s="185">
        <f>'LCFS Table'!$AR279*1.7</f>
        <v>0.76670000000000005</v>
      </c>
      <c r="AW279" s="137">
        <v>0</v>
      </c>
      <c r="AX279" s="185">
        <f>(((('[2]Controls 2'!$B$2-SUM(('LCFS Table'!$AF279*'[2]Controls 2'!$B$12),('LCFS Table'!$AG279*'[2]Controls 2'!$B$13)))/1000000)*'LCFS Table'!$AQ279)*'[2]Controls 2'!$B$14)</f>
        <v>0.31657699791249999</v>
      </c>
      <c r="AY279" s="137">
        <v>0</v>
      </c>
      <c r="AZ279" s="141">
        <v>1</v>
      </c>
      <c r="BA279" s="185">
        <f>'LCFS Table'!$AR279*1.5</f>
        <v>0.67649999999999999</v>
      </c>
      <c r="BB279" s="142">
        <v>1.2</v>
      </c>
      <c r="BC279" s="185">
        <f>'LCFS Table'!$AS279*'LCFS Table'!$BW279</f>
        <v>0.48000670767253223</v>
      </c>
      <c r="BD279" s="185">
        <f>'LCFS Table'!$AT279*'LCFS Table'!$BX279</f>
        <v>0</v>
      </c>
      <c r="BE279" s="185">
        <f>'LCFS Table'!$AU279*'LCFS Table'!$BY279</f>
        <v>1</v>
      </c>
      <c r="BF279" s="137">
        <f>'LCFS Table'!$AV279*'LCFS Table'!$BZ279</f>
        <v>0.76670000000000005</v>
      </c>
      <c r="BG279" s="137">
        <f>'LCFS Table'!$AW279*'LCFS Table'!$CA279</f>
        <v>0</v>
      </c>
      <c r="BH279" s="137">
        <f>'LCFS Table'!$AX279*'LCFS Table'!$CB279</f>
        <v>0.31657699791249999</v>
      </c>
      <c r="BI279" s="137">
        <f>'LCFS Table'!$AY279*'LCFS Table'!$CC279</f>
        <v>0</v>
      </c>
      <c r="BJ279" s="137">
        <f>'LCFS Table'!$AZ279*'LCFS Table'!$CD279</f>
        <v>1</v>
      </c>
      <c r="BK279" s="137">
        <f>'LCFS Table'!$BA279*'LCFS Table'!$CE279</f>
        <v>0.67649999999999999</v>
      </c>
      <c r="BL279" s="137">
        <f>'LCFS Table'!$BB279*'LCFS Table'!$CF279</f>
        <v>-1.2</v>
      </c>
      <c r="BM279" s="137">
        <f>'LCFS Table'!$AS279*'LCFS Table'!$CG279</f>
        <v>0</v>
      </c>
      <c r="BN279" s="137">
        <f>'LCFS Table'!$AT279*'LCFS Table'!$CH279</f>
        <v>0.16</v>
      </c>
      <c r="BO279" s="137">
        <f>'LCFS Table'!$AU279*'LCFS Table'!$CI279</f>
        <v>0</v>
      </c>
      <c r="BP279" s="137">
        <f>'LCFS Table'!$AV279*'LCFS Table'!$CJ279</f>
        <v>0</v>
      </c>
      <c r="BQ279" s="137">
        <f>'LCFS Table'!$AW279*'LCFS Table'!$CK279</f>
        <v>0</v>
      </c>
      <c r="BR279" s="137">
        <f>'LCFS Table'!$AX279*'LCFS Table'!$CL279</f>
        <v>0</v>
      </c>
      <c r="BS279" s="137">
        <f>'LCFS Table'!$AY279*'LCFS Table'!$CM279</f>
        <v>0</v>
      </c>
      <c r="BT279" s="137">
        <f>'LCFS Table'!$AZ279*'LCFS Table'!$CN279</f>
        <v>0</v>
      </c>
      <c r="BU279" s="137">
        <f>'LCFS Table'!$BA279*'LCFS Table'!$CO279</f>
        <v>0</v>
      </c>
      <c r="BV279" s="142">
        <f>'LCFS Table'!$BB279*'LCFS Table'!$CP279</f>
        <v>1.2</v>
      </c>
      <c r="BW279" s="138">
        <v>1</v>
      </c>
      <c r="BX279" s="138">
        <v>0</v>
      </c>
      <c r="BY279" s="138">
        <v>1</v>
      </c>
      <c r="BZ279" s="138">
        <v>1</v>
      </c>
      <c r="CA279" s="138">
        <v>-1</v>
      </c>
      <c r="CB279" s="138">
        <v>1</v>
      </c>
      <c r="CC279" s="138">
        <v>0</v>
      </c>
      <c r="CD279" s="138">
        <v>1</v>
      </c>
      <c r="CE279" s="138">
        <v>1</v>
      </c>
      <c r="CF279" s="138">
        <v>-1</v>
      </c>
      <c r="CG279" s="138">
        <f>1-'LCFS Table'!$BW279</f>
        <v>0</v>
      </c>
      <c r="CH279" s="138">
        <f>1-'LCFS Table'!$BX279</f>
        <v>1</v>
      </c>
      <c r="CI279" s="138">
        <f>1-'LCFS Table'!$BY279</f>
        <v>0</v>
      </c>
      <c r="CJ279" s="138">
        <f>1-'LCFS Table'!$BZ279</f>
        <v>0</v>
      </c>
      <c r="CK279" s="138">
        <f>-'LCFS Table'!$CA279</f>
        <v>1</v>
      </c>
      <c r="CL279" s="138">
        <f>1-'LCFS Table'!$CB279</f>
        <v>0</v>
      </c>
      <c r="CM279" s="138">
        <f>1-'LCFS Table'!$CC279</f>
        <v>1</v>
      </c>
      <c r="CN279" s="138">
        <f>1-'LCFS Table'!$CD279</f>
        <v>0</v>
      </c>
      <c r="CO279" s="138">
        <f>1-'LCFS Table'!$CE279</f>
        <v>0</v>
      </c>
      <c r="CP279" s="138">
        <f>-'LCFS Table'!$CF279</f>
        <v>1</v>
      </c>
      <c r="CQ279" s="140">
        <f t="shared" si="6"/>
        <v>7.75</v>
      </c>
      <c r="CR279" s="165">
        <f>('LCFS Table'!$CQ279*0.9/(0.8/0.99)/100)</f>
        <v>8.6315624999999993E-2</v>
      </c>
      <c r="CS279" s="166"/>
      <c r="CT279" s="167"/>
      <c r="CW279" s="168">
        <f>'LCFS Table'!$K279-'LCFS Table'!$M279</f>
        <v>-6.5823002087500804E-2</v>
      </c>
      <c r="CX279" s="129">
        <f>MONTH('LCFS Table'!$B279)</f>
        <v>4</v>
      </c>
      <c r="CY279" s="129">
        <f>YEAR('LCFS Table'!$B279)</f>
        <v>2024</v>
      </c>
    </row>
    <row r="280" spans="1:103">
      <c r="A280" s="148">
        <v>45403</v>
      </c>
      <c r="B280" s="149">
        <v>45409</v>
      </c>
      <c r="C280" s="132">
        <f t="shared" si="5"/>
        <v>2024</v>
      </c>
      <c r="D280" s="150" t="s">
        <v>273</v>
      </c>
      <c r="E280" s="187">
        <f>'LCFS Table'!$K280-'LCFS Table'!$I280</f>
        <v>-1.1099560075093868</v>
      </c>
      <c r="F280" s="187">
        <f>('LCFS Table'!$M280)-'LCFS Table'!$J280</f>
        <v>-1.7953752622999999</v>
      </c>
      <c r="G280" s="188">
        <f>'LCFS Table'!$E280+'LCFS Table'!$AS280+'LCFS Table'!$AT280+'LCFS Table'!$AU280+'LCFS Table'!$AV280</f>
        <v>1.309654660025013</v>
      </c>
      <c r="H280" s="188">
        <f>'LCFS Table'!$F280+'LCFS Table'!$AX280+'LCFS Table'!$AY280+'LCFS Table'!$AZ280+'LCFS Table'!$BA280+('LCFS Table'!$CQ280*0.9/(0.8/0.99)/100)+(DG280*'LCFS Table'!$AF280)+(DF280*'LCFS Table'!$AG280)</f>
        <v>0.29315273437500006</v>
      </c>
      <c r="I280" s="187">
        <f>('LCFS Table'!$V280+'LCFS Table'!$W280+'LCFS Table'!$X280)/100+(('LCFS Table'!$AI280+'LCFS Table'!$AJ280)/340)</f>
        <v>3.6175560075093869</v>
      </c>
      <c r="J280" s="187">
        <f>(('LCFS Table'!$Y280+'LCFS Table'!$Z280)/100)+(('LCFS Table'!$AM280+'LCFS Table'!$AN280)/300)</f>
        <v>4.3303785156250001</v>
      </c>
      <c r="K280" s="190">
        <f>'[1]Fuel Values'!$C279</f>
        <v>2.5076000000000001</v>
      </c>
      <c r="L280" s="190">
        <f>'[1]Fuel Values'!$B279</f>
        <v>454</v>
      </c>
      <c r="M280" s="185">
        <f>('LCFS Table'!$L280/100)-'LCFS Table'!$AX280-'LCFS Table'!$AY280-'LCFS Table'!$AZ280-'LCFS Table'!$BA280</f>
        <v>2.5350032533250002</v>
      </c>
      <c r="N280" s="190">
        <f>[1]BFT!$B279</f>
        <v>41.4</v>
      </c>
      <c r="O280" s="190">
        <f>[1]UCO!$B279</f>
        <v>32.5</v>
      </c>
      <c r="P280" s="190">
        <f>[1]DCO!$B279</f>
        <v>39.5</v>
      </c>
      <c r="Q280" s="190">
        <f>'[1]Soybean Oil'!$B279</f>
        <v>49.552</v>
      </c>
      <c r="R280" s="190">
        <f>'[1]Yellow Grease'!$B279</f>
        <v>30.5</v>
      </c>
      <c r="S280" s="185">
        <f>'LCFS Table'!$N280 + 'LCFS Table'!$AH280</f>
        <v>45.774999999999999</v>
      </c>
      <c r="T280" s="185">
        <f>'LCFS Table'!$Q280+'LCFS Table'!$AH280</f>
        <v>53.927</v>
      </c>
      <c r="U280" s="185">
        <f>'LCFS Table'!$P280+'LCFS Table'!$AH280</f>
        <v>43.875</v>
      </c>
      <c r="V280" s="185">
        <f>(('LCFS Table'!$S280/'LCFS Table'!$AA280)*'LCFS Table'!$AC280)*6.48</f>
        <v>157.77765957446809</v>
      </c>
      <c r="W280" s="185">
        <f>(('LCFS Table'!$O280/'LCFS Table'!$AA280)*'LCFS Table'!$AD280)*6.48</f>
        <v>56.01063829787234</v>
      </c>
      <c r="X280" s="185">
        <f>(('LCFS Table'!$U280/'LCFS Table'!$AA280)*'LCFS Table'!$AE280)*6.48</f>
        <v>75.614361702127667</v>
      </c>
      <c r="Y280" s="185">
        <f>(('LCFS Table'!$T280/'LCFS Table'!$AB280)*'LCFS Table'!$AF280)*7.35</f>
        <v>309.65894531250001</v>
      </c>
      <c r="Z280" s="185">
        <f>(('LCFS Table'!$R280/'LCFS Table'!$AB280)*'LCFS Table'!$AG280)*7.35</f>
        <v>58.37890625</v>
      </c>
      <c r="AA280" s="138">
        <v>0.94</v>
      </c>
      <c r="AB280" s="138">
        <v>0.96</v>
      </c>
      <c r="AC280" s="138">
        <v>0.5</v>
      </c>
      <c r="AD280" s="138">
        <v>0.25</v>
      </c>
      <c r="AE280" s="138">
        <v>0.25</v>
      </c>
      <c r="AF280" s="138">
        <v>0.75</v>
      </c>
      <c r="AG280" s="138">
        <v>0.25</v>
      </c>
      <c r="AH280" s="139">
        <v>4.375</v>
      </c>
      <c r="AI280" s="139">
        <v>136</v>
      </c>
      <c r="AJ280" s="139">
        <v>110</v>
      </c>
      <c r="AK280" s="186">
        <f>('LCFS Table'!$AI280/340)*100</f>
        <v>40</v>
      </c>
      <c r="AL280" s="186">
        <f>('LCFS Table'!$AJ280/340)*100</f>
        <v>32.352941176470587</v>
      </c>
      <c r="AM280" s="139">
        <v>105</v>
      </c>
      <c r="AN280" s="139">
        <v>90</v>
      </c>
      <c r="AO280" s="139">
        <f>('LCFS Table'!$AM280/300)*100</f>
        <v>35</v>
      </c>
      <c r="AP280" s="139">
        <f>('LCFS Table'!$AN280/300)*100</f>
        <v>30</v>
      </c>
      <c r="AQ280" s="140">
        <f>'[1]LCFS Values'!$B279</f>
        <v>59.8</v>
      </c>
      <c r="AR280" s="140">
        <f>'[1]RIN Values'!$B279/100</f>
        <v>0.46</v>
      </c>
      <c r="AS280" s="185">
        <f>((('[2]Controls 2'!$B$2-SUM(('[2]Controls 2'!$B$5*'LCFS Table'!$AC280),('[2]Controls 2'!$B$6*'LCFS Table'!$AD280),('[2]Controls 2'!$B$7*'LCFS Table'!$AE280)))/1000000)*'LCFS Table'!$AQ280)*'[2]Controls 2'!$B$8</f>
        <v>0.47761066753439979</v>
      </c>
      <c r="AT280" s="137">
        <v>0.16</v>
      </c>
      <c r="AU280" s="137">
        <v>1</v>
      </c>
      <c r="AV280" s="185">
        <f>'LCFS Table'!$AR280*1.7</f>
        <v>0.78200000000000003</v>
      </c>
      <c r="AW280" s="137">
        <v>0</v>
      </c>
      <c r="AX280" s="185">
        <f>(((('[2]Controls 2'!$B$2-SUM(('LCFS Table'!$AF280*'[2]Controls 2'!$B$12),('LCFS Table'!$AG280*'[2]Controls 2'!$B$13)))/1000000)*'LCFS Table'!$AQ280)*'[2]Controls 2'!$B$14)</f>
        <v>0.31499674667499999</v>
      </c>
      <c r="AY280" s="137">
        <v>0</v>
      </c>
      <c r="AZ280" s="141">
        <v>1</v>
      </c>
      <c r="BA280" s="185">
        <f>'LCFS Table'!$AR280*1.5</f>
        <v>0.69000000000000006</v>
      </c>
      <c r="BB280" s="142">
        <v>1.2</v>
      </c>
      <c r="BC280" s="185">
        <f>'LCFS Table'!$AS280*'LCFS Table'!$BW280</f>
        <v>0.47761066753439979</v>
      </c>
      <c r="BD280" s="185">
        <f>'LCFS Table'!$AT280*'LCFS Table'!$BX280</f>
        <v>0</v>
      </c>
      <c r="BE280" s="185">
        <f>'LCFS Table'!$AU280*'LCFS Table'!$BY280</f>
        <v>1</v>
      </c>
      <c r="BF280" s="137">
        <f>'LCFS Table'!$AV280*'LCFS Table'!$BZ280</f>
        <v>0.78200000000000003</v>
      </c>
      <c r="BG280" s="137">
        <f>'LCFS Table'!$AW280*'LCFS Table'!$CA280</f>
        <v>0</v>
      </c>
      <c r="BH280" s="137">
        <f>'LCFS Table'!$AX280*'LCFS Table'!$CB280</f>
        <v>0.31499674667499999</v>
      </c>
      <c r="BI280" s="137">
        <f>'LCFS Table'!$AY280*'LCFS Table'!$CC280</f>
        <v>0</v>
      </c>
      <c r="BJ280" s="137">
        <f>'LCFS Table'!$AZ280*'LCFS Table'!$CD280</f>
        <v>1</v>
      </c>
      <c r="BK280" s="137">
        <f>'LCFS Table'!$BA280*'LCFS Table'!$CE280</f>
        <v>0.69000000000000006</v>
      </c>
      <c r="BL280" s="137">
        <f>'LCFS Table'!$BB280*'LCFS Table'!$CF280</f>
        <v>-1.2</v>
      </c>
      <c r="BM280" s="137">
        <f>'LCFS Table'!$AS280*'LCFS Table'!$CG280</f>
        <v>0</v>
      </c>
      <c r="BN280" s="137">
        <f>'LCFS Table'!$AT280*'LCFS Table'!$CH280</f>
        <v>0.16</v>
      </c>
      <c r="BO280" s="137">
        <f>'LCFS Table'!$AU280*'LCFS Table'!$CI280</f>
        <v>0</v>
      </c>
      <c r="BP280" s="137">
        <f>'LCFS Table'!$AV280*'LCFS Table'!$CJ280</f>
        <v>0</v>
      </c>
      <c r="BQ280" s="137">
        <f>'LCFS Table'!$AW280*'LCFS Table'!$CK280</f>
        <v>0</v>
      </c>
      <c r="BR280" s="137">
        <f>'LCFS Table'!$AX280*'LCFS Table'!$CL280</f>
        <v>0</v>
      </c>
      <c r="BS280" s="137">
        <f>'LCFS Table'!$AY280*'LCFS Table'!$CM280</f>
        <v>0</v>
      </c>
      <c r="BT280" s="137">
        <f>'LCFS Table'!$AZ280*'LCFS Table'!$CN280</f>
        <v>0</v>
      </c>
      <c r="BU280" s="137">
        <f>'LCFS Table'!$BA280*'LCFS Table'!$CO280</f>
        <v>0</v>
      </c>
      <c r="BV280" s="142">
        <f>'LCFS Table'!$BB280*'LCFS Table'!$CP280</f>
        <v>1.2</v>
      </c>
      <c r="BW280" s="138">
        <v>1</v>
      </c>
      <c r="BX280" s="138">
        <v>0</v>
      </c>
      <c r="BY280" s="138">
        <v>1</v>
      </c>
      <c r="BZ280" s="138">
        <v>1</v>
      </c>
      <c r="CA280" s="138">
        <v>-1</v>
      </c>
      <c r="CB280" s="138">
        <v>1</v>
      </c>
      <c r="CC280" s="138">
        <v>0</v>
      </c>
      <c r="CD280" s="138">
        <v>1</v>
      </c>
      <c r="CE280" s="138">
        <v>1</v>
      </c>
      <c r="CF280" s="138">
        <v>-1</v>
      </c>
      <c r="CG280" s="138">
        <f>1-'LCFS Table'!$BW280</f>
        <v>0</v>
      </c>
      <c r="CH280" s="138">
        <f>1-'LCFS Table'!$BX280</f>
        <v>1</v>
      </c>
      <c r="CI280" s="138">
        <f>1-'LCFS Table'!$BY280</f>
        <v>0</v>
      </c>
      <c r="CJ280" s="138">
        <f>1-'LCFS Table'!$BZ280</f>
        <v>0</v>
      </c>
      <c r="CK280" s="138">
        <f>-'LCFS Table'!$CA280</f>
        <v>1</v>
      </c>
      <c r="CL280" s="138">
        <f>1-'LCFS Table'!$CB280</f>
        <v>0</v>
      </c>
      <c r="CM280" s="138">
        <f>1-'LCFS Table'!$CC280</f>
        <v>1</v>
      </c>
      <c r="CN280" s="138">
        <f>1-'LCFS Table'!$CD280</f>
        <v>0</v>
      </c>
      <c r="CO280" s="138">
        <f>1-'LCFS Table'!$CE280</f>
        <v>0</v>
      </c>
      <c r="CP280" s="138">
        <f>-'LCFS Table'!$CF280</f>
        <v>1</v>
      </c>
      <c r="CQ280" s="140">
        <v>7.5</v>
      </c>
      <c r="CR280" s="165">
        <f>('LCFS Table'!$CQ280*0.9/(0.8/0.99)/100)</f>
        <v>8.3531249999999987E-2</v>
      </c>
      <c r="CS280" s="166"/>
      <c r="CT280" s="167"/>
      <c r="CW280" s="168">
        <f>'LCFS Table'!$K280-'LCFS Table'!$M280</f>
        <v>-2.7403253325000154E-2</v>
      </c>
      <c r="CX280" s="129">
        <f>MONTH('LCFS Table'!$B280)</f>
        <v>4</v>
      </c>
      <c r="CY280" s="129">
        <f>YEAR('LCFS Table'!$B280)</f>
        <v>2024</v>
      </c>
    </row>
    <row r="281" spans="1:103">
      <c r="A281" s="148">
        <v>45410</v>
      </c>
      <c r="B281" s="149">
        <v>45416</v>
      </c>
      <c r="C281" s="132">
        <f t="shared" si="5"/>
        <v>2024</v>
      </c>
      <c r="D281" s="150" t="s">
        <v>274</v>
      </c>
      <c r="E281" s="187">
        <f>'LCFS Table'!$K281-'LCFS Table'!$I281</f>
        <v>-1.1106836670838551</v>
      </c>
      <c r="F281" s="187">
        <f>('LCFS Table'!$M281)-'LCFS Table'!$J281</f>
        <v>-1.8328324415500008</v>
      </c>
      <c r="G281" s="188">
        <f>'LCFS Table'!$E281+'LCFS Table'!$AS281+'LCFS Table'!$AT281+'LCFS Table'!$AU281+'LCFS Table'!$AV281</f>
        <v>1.2521533995296616</v>
      </c>
      <c r="H281" s="188">
        <f>'LCFS Table'!$F281+'LCFS Table'!$AX281+'LCFS Table'!$AY281+'LCFS Table'!$AZ281+'LCFS Table'!$BA281+('LCFS Table'!$CQ281*0.9/(0.8/0.99)/100)+(DG281*'LCFS Table'!$AF281)+(DF281*'LCFS Table'!$AG281)</f>
        <v>0.20916054687499913</v>
      </c>
      <c r="I281" s="187">
        <f>('LCFS Table'!$V281+'LCFS Table'!$W281+'LCFS Table'!$X281)/100+(('LCFS Table'!$AI281+'LCFS Table'!$AJ281)/340)</f>
        <v>3.5606836670838553</v>
      </c>
      <c r="J281" s="187">
        <f>(('LCFS Table'!$Y281+'LCFS Table'!$Z281)/100)+(('LCFS Table'!$AM281+'LCFS Table'!$AN281)/300)</f>
        <v>4.2993707031250006</v>
      </c>
      <c r="K281" s="190">
        <f>'[1]Fuel Values'!$C280</f>
        <v>2.4500000000000002</v>
      </c>
      <c r="L281" s="190">
        <f>'[1]Fuel Values'!$B280</f>
        <v>442.5</v>
      </c>
      <c r="M281" s="185">
        <f>('LCFS Table'!$L281/100)-'LCFS Table'!$AX281-'LCFS Table'!$AY281-'LCFS Table'!$AZ281-'LCFS Table'!$BA281</f>
        <v>2.4665382615749998</v>
      </c>
      <c r="N281" s="190">
        <f>[1]BFT!$B280</f>
        <v>40.5</v>
      </c>
      <c r="O281" s="190">
        <f>[1]UCO!$B280</f>
        <v>31.8</v>
      </c>
      <c r="P281" s="190">
        <f>[1]DCO!$B280</f>
        <v>38.700000000000003</v>
      </c>
      <c r="Q281" s="190">
        <f>'[1]Soybean Oil'!$B280</f>
        <v>49.212000000000003</v>
      </c>
      <c r="R281" s="190">
        <f>'[1]Yellow Grease'!$B280</f>
        <v>29.9</v>
      </c>
      <c r="S281" s="185">
        <f>'LCFS Table'!$N281 + 'LCFS Table'!$AH281</f>
        <v>44.875</v>
      </c>
      <c r="T281" s="185">
        <f>'LCFS Table'!$Q281+'LCFS Table'!$AH281</f>
        <v>53.587000000000003</v>
      </c>
      <c r="U281" s="185">
        <f>'LCFS Table'!$P281+'LCFS Table'!$AH281</f>
        <v>43.075000000000003</v>
      </c>
      <c r="V281" s="185">
        <f>(('LCFS Table'!$S281/'LCFS Table'!$AA281)*'LCFS Table'!$AC281)*6.48</f>
        <v>154.67553191489364</v>
      </c>
      <c r="W281" s="185">
        <f>(('LCFS Table'!$O281/'LCFS Table'!$AA281)*'LCFS Table'!$AD281)*6.48</f>
        <v>54.804255319148943</v>
      </c>
      <c r="X281" s="185">
        <f>(('LCFS Table'!$U281/'LCFS Table'!$AA281)*'LCFS Table'!$AE281)*6.48</f>
        <v>74.235638297872356</v>
      </c>
      <c r="Y281" s="185">
        <f>(('LCFS Table'!$T281/'LCFS Table'!$AB281)*'LCFS Table'!$AF281)*7.35</f>
        <v>307.70660156250005</v>
      </c>
      <c r="Z281" s="185">
        <f>(('LCFS Table'!$R281/'LCFS Table'!$AB281)*'LCFS Table'!$AG281)*7.35</f>
        <v>57.230468749999993</v>
      </c>
      <c r="AA281" s="138">
        <v>0.94</v>
      </c>
      <c r="AB281" s="138">
        <v>0.96</v>
      </c>
      <c r="AC281" s="138">
        <v>0.5</v>
      </c>
      <c r="AD281" s="138">
        <v>0.25</v>
      </c>
      <c r="AE281" s="138">
        <v>0.25</v>
      </c>
      <c r="AF281" s="138">
        <v>0.75</v>
      </c>
      <c r="AG281" s="138">
        <v>0.25</v>
      </c>
      <c r="AH281" s="139">
        <v>4.375</v>
      </c>
      <c r="AI281" s="139">
        <v>136</v>
      </c>
      <c r="AJ281" s="139">
        <v>110</v>
      </c>
      <c r="AK281" s="186">
        <f>('LCFS Table'!$AI281/340)*100</f>
        <v>40</v>
      </c>
      <c r="AL281" s="186">
        <f>('LCFS Table'!$AJ281/340)*100</f>
        <v>32.352941176470587</v>
      </c>
      <c r="AM281" s="139">
        <v>105</v>
      </c>
      <c r="AN281" s="139">
        <v>90</v>
      </c>
      <c r="AO281" s="139">
        <f>('LCFS Table'!$AM281/300)*100</f>
        <v>35</v>
      </c>
      <c r="AP281" s="139">
        <f>('LCFS Table'!$AN281/300)*100</f>
        <v>30</v>
      </c>
      <c r="AQ281" s="140">
        <f>'[1]LCFS Values'!$B280</f>
        <v>57.8</v>
      </c>
      <c r="AR281" s="140">
        <f>'[1]RIN Values'!$B280/100</f>
        <v>0.436</v>
      </c>
      <c r="AS281" s="185">
        <f>((('[2]Controls 2'!$B$2-SUM(('[2]Controls 2'!$B$5*'LCFS Table'!$AC281),('[2]Controls 2'!$B$6*'LCFS Table'!$AD281),('[2]Controls 2'!$B$7*'LCFS Table'!$AE281)))/1000000)*'LCFS Table'!$AQ281)*'[2]Controls 2'!$B$8</f>
        <v>0.46163706661351683</v>
      </c>
      <c r="AT281" s="137">
        <v>0.16</v>
      </c>
      <c r="AU281" s="137">
        <v>1</v>
      </c>
      <c r="AV281" s="185">
        <f>'LCFS Table'!$AR281*1.7</f>
        <v>0.74119999999999997</v>
      </c>
      <c r="AW281" s="137">
        <v>0</v>
      </c>
      <c r="AX281" s="185">
        <f>(((('[2]Controls 2'!$B$2-SUM(('LCFS Table'!$AF281*'[2]Controls 2'!$B$12),('LCFS Table'!$AG281*'[2]Controls 2'!$B$13)))/1000000)*'LCFS Table'!$AQ281)*'[2]Controls 2'!$B$14)</f>
        <v>0.30446173842499996</v>
      </c>
      <c r="AY281" s="137">
        <v>0</v>
      </c>
      <c r="AZ281" s="141">
        <v>1</v>
      </c>
      <c r="BA281" s="185">
        <f>'LCFS Table'!$AR281*1.5</f>
        <v>0.65400000000000003</v>
      </c>
      <c r="BB281" s="142">
        <v>1.2</v>
      </c>
      <c r="BC281" s="185">
        <f>'LCFS Table'!$AS281*'LCFS Table'!$BW281</f>
        <v>0.46163706661351683</v>
      </c>
      <c r="BD281" s="185">
        <f>'LCFS Table'!$AT281*'LCFS Table'!$BX281</f>
        <v>0</v>
      </c>
      <c r="BE281" s="185">
        <f>'LCFS Table'!$AU281*'LCFS Table'!$BY281</f>
        <v>1</v>
      </c>
      <c r="BF281" s="137">
        <f>'LCFS Table'!$AV281*'LCFS Table'!$BZ281</f>
        <v>0.74119999999999997</v>
      </c>
      <c r="BG281" s="137">
        <f>'LCFS Table'!$AW281*'LCFS Table'!$CA281</f>
        <v>0</v>
      </c>
      <c r="BH281" s="137">
        <f>'LCFS Table'!$AX281*'LCFS Table'!$CB281</f>
        <v>0.30446173842499996</v>
      </c>
      <c r="BI281" s="137">
        <f>'LCFS Table'!$AY281*'LCFS Table'!$CC281</f>
        <v>0</v>
      </c>
      <c r="BJ281" s="137">
        <f>'LCFS Table'!$AZ281*'LCFS Table'!$CD281</f>
        <v>1</v>
      </c>
      <c r="BK281" s="137">
        <f>'LCFS Table'!$BA281*'LCFS Table'!$CE281</f>
        <v>0.65400000000000003</v>
      </c>
      <c r="BL281" s="137">
        <f>'LCFS Table'!$BB281*'LCFS Table'!$CF281</f>
        <v>-1.2</v>
      </c>
      <c r="BM281" s="137">
        <f>'LCFS Table'!$AS281*'LCFS Table'!$CG281</f>
        <v>0</v>
      </c>
      <c r="BN281" s="137">
        <f>'LCFS Table'!$AT281*'LCFS Table'!$CH281</f>
        <v>0.16</v>
      </c>
      <c r="BO281" s="137">
        <f>'LCFS Table'!$AU281*'LCFS Table'!$CI281</f>
        <v>0</v>
      </c>
      <c r="BP281" s="137">
        <f>'LCFS Table'!$AV281*'LCFS Table'!$CJ281</f>
        <v>0</v>
      </c>
      <c r="BQ281" s="137">
        <f>'LCFS Table'!$AW281*'LCFS Table'!$CK281</f>
        <v>0</v>
      </c>
      <c r="BR281" s="137">
        <f>'LCFS Table'!$AX281*'LCFS Table'!$CL281</f>
        <v>0</v>
      </c>
      <c r="BS281" s="137">
        <f>'LCFS Table'!$AY281*'LCFS Table'!$CM281</f>
        <v>0</v>
      </c>
      <c r="BT281" s="137">
        <f>'LCFS Table'!$AZ281*'LCFS Table'!$CN281</f>
        <v>0</v>
      </c>
      <c r="BU281" s="137">
        <f>'LCFS Table'!$BA281*'LCFS Table'!$CO281</f>
        <v>0</v>
      </c>
      <c r="BV281" s="142">
        <f>'LCFS Table'!$BB281*'LCFS Table'!$CP281</f>
        <v>1.2</v>
      </c>
      <c r="BW281" s="138">
        <v>1</v>
      </c>
      <c r="BX281" s="138">
        <v>0</v>
      </c>
      <c r="BY281" s="138">
        <v>1</v>
      </c>
      <c r="BZ281" s="138">
        <v>1</v>
      </c>
      <c r="CA281" s="138">
        <v>-1</v>
      </c>
      <c r="CB281" s="138">
        <v>1</v>
      </c>
      <c r="CC281" s="138">
        <v>0</v>
      </c>
      <c r="CD281" s="138">
        <v>1</v>
      </c>
      <c r="CE281" s="138">
        <v>1</v>
      </c>
      <c r="CF281" s="138">
        <v>-1</v>
      </c>
      <c r="CG281" s="138">
        <f>1-'LCFS Table'!$BW281</f>
        <v>0</v>
      </c>
      <c r="CH281" s="138">
        <f>1-'LCFS Table'!$BX281</f>
        <v>1</v>
      </c>
      <c r="CI281" s="138">
        <f>1-'LCFS Table'!$BY281</f>
        <v>0</v>
      </c>
      <c r="CJ281" s="138">
        <f>1-'LCFS Table'!$BZ281</f>
        <v>0</v>
      </c>
      <c r="CK281" s="138">
        <f>-'LCFS Table'!$CA281</f>
        <v>1</v>
      </c>
      <c r="CL281" s="138">
        <f>1-'LCFS Table'!$CB281</f>
        <v>0</v>
      </c>
      <c r="CM281" s="138">
        <f>1-'LCFS Table'!$CC281</f>
        <v>1</v>
      </c>
      <c r="CN281" s="138">
        <f>1-'LCFS Table'!$CD281</f>
        <v>0</v>
      </c>
      <c r="CO281" s="138">
        <f>1-'LCFS Table'!$CE281</f>
        <v>0</v>
      </c>
      <c r="CP281" s="138">
        <f>-'LCFS Table'!$CF281</f>
        <v>1</v>
      </c>
      <c r="CQ281" s="140">
        <v>7.5</v>
      </c>
      <c r="CR281" s="165">
        <f>('LCFS Table'!$CQ281*0.9/(0.8/0.99)/100)</f>
        <v>8.3531249999999987E-2</v>
      </c>
      <c r="CS281" s="166"/>
      <c r="CT281" s="167"/>
      <c r="CW281" s="168">
        <f>'LCFS Table'!$K281-'LCFS Table'!$M281</f>
        <v>-1.6538261574999602E-2</v>
      </c>
      <c r="CX281" s="129">
        <f>MONTH('LCFS Table'!$B281)</f>
        <v>5</v>
      </c>
      <c r="CY281" s="129">
        <f>YEAR('LCFS Table'!$B281)</f>
        <v>2024</v>
      </c>
    </row>
    <row r="282" spans="1:103">
      <c r="A282" s="148">
        <v>45417</v>
      </c>
      <c r="B282" s="149">
        <v>45423</v>
      </c>
      <c r="C282" s="132">
        <f t="shared" si="5"/>
        <v>2024</v>
      </c>
      <c r="D282" s="150" t="s">
        <v>275</v>
      </c>
      <c r="E282" s="187">
        <f>'LCFS Table'!$K282-'LCFS Table'!$I282</f>
        <v>-1.1507687734668339</v>
      </c>
      <c r="F282" s="187">
        <f>('LCFS Table'!$M282)-'LCFS Table'!$J282</f>
        <v>-1.8824434472249996</v>
      </c>
      <c r="G282" s="188">
        <f>'LCFS Table'!$E282+'LCFS Table'!$AS282+'LCFS Table'!$AT282+'LCFS Table'!$AU282+'LCFS Table'!$AV282</f>
        <v>1.1838001302919459</v>
      </c>
      <c r="H282" s="188">
        <f>'LCFS Table'!$F282+'LCFS Table'!$AX282+'LCFS Table'!$AY282+'LCFS Table'!$AZ282+'LCFS Table'!$BA282+('LCFS Table'!$CQ282*0.9/(0.8/0.99)/100)+(DG282*'LCFS Table'!$AF282)+(DF282*'LCFS Table'!$AG282)</f>
        <v>0.14285664062500047</v>
      </c>
      <c r="I282" s="187">
        <f>('LCFS Table'!$V282+'LCFS Table'!$W282+'LCFS Table'!$X282)/100+(('LCFS Table'!$AI282+'LCFS Table'!$AJ282)/340)</f>
        <v>3.6037687734668338</v>
      </c>
      <c r="J282" s="187">
        <f>(('LCFS Table'!$Y282+'LCFS Table'!$Z282)/100)+(('LCFS Table'!$AM282+'LCFS Table'!$AN282)/300)</f>
        <v>4.3278902343749994</v>
      </c>
      <c r="K282" s="190">
        <f>'[1]Fuel Values'!$C281</f>
        <v>2.4529999999999998</v>
      </c>
      <c r="L282" s="190">
        <f>'[1]Fuel Values'!$B281</f>
        <v>439</v>
      </c>
      <c r="M282" s="185">
        <f>('LCFS Table'!$L282/100)-'LCFS Table'!$AX282-'LCFS Table'!$AY282-'LCFS Table'!$AZ282-'LCFS Table'!$BA282</f>
        <v>2.4454467871499999</v>
      </c>
      <c r="N282" s="190">
        <f>[1]BFT!$B281</f>
        <v>40.9</v>
      </c>
      <c r="O282" s="190">
        <f>[1]UCO!$B281</f>
        <v>32.6</v>
      </c>
      <c r="P282" s="190">
        <f>[1]DCO!$B281</f>
        <v>39.6</v>
      </c>
      <c r="Q282" s="190">
        <f>'[1]Soybean Oil'!$B281</f>
        <v>49.841999999999999</v>
      </c>
      <c r="R282" s="190">
        <f>'[1]Yellow Grease'!$B281</f>
        <v>29.5</v>
      </c>
      <c r="S282" s="185">
        <f>'LCFS Table'!$N282 + 'LCFS Table'!$AH282</f>
        <v>45.274999999999999</v>
      </c>
      <c r="T282" s="185">
        <f>'LCFS Table'!$Q282+'LCFS Table'!$AH282</f>
        <v>54.216999999999999</v>
      </c>
      <c r="U282" s="185">
        <f>'LCFS Table'!$P282+'LCFS Table'!$AH282</f>
        <v>43.975000000000001</v>
      </c>
      <c r="V282" s="185">
        <f>(('LCFS Table'!$S282/'LCFS Table'!$AA282)*'LCFS Table'!$AC282)*6.48</f>
        <v>156.05425531914895</v>
      </c>
      <c r="W282" s="185">
        <f>(('LCFS Table'!$O282/'LCFS Table'!$AA282)*'LCFS Table'!$AD282)*6.48</f>
        <v>56.182978723404268</v>
      </c>
      <c r="X282" s="185">
        <f>(('LCFS Table'!$U282/'LCFS Table'!$AA282)*'LCFS Table'!$AE282)*6.48</f>
        <v>75.786702127659595</v>
      </c>
      <c r="Y282" s="185">
        <f>(('LCFS Table'!$T282/'LCFS Table'!$AB282)*'LCFS Table'!$AF282)*7.35</f>
        <v>311.32417968749996</v>
      </c>
      <c r="Z282" s="185">
        <f>(('LCFS Table'!$R282/'LCFS Table'!$AB282)*'LCFS Table'!$AG282)*7.35</f>
        <v>56.46484375</v>
      </c>
      <c r="AA282" s="138">
        <v>0.94</v>
      </c>
      <c r="AB282" s="138">
        <v>0.96</v>
      </c>
      <c r="AC282" s="138">
        <v>0.5</v>
      </c>
      <c r="AD282" s="138">
        <v>0.25</v>
      </c>
      <c r="AE282" s="138">
        <v>0.25</v>
      </c>
      <c r="AF282" s="138">
        <v>0.75</v>
      </c>
      <c r="AG282" s="138">
        <v>0.25</v>
      </c>
      <c r="AH282" s="139">
        <v>4.375</v>
      </c>
      <c r="AI282" s="139">
        <v>136</v>
      </c>
      <c r="AJ282" s="139">
        <v>110</v>
      </c>
      <c r="AK282" s="186">
        <f>('LCFS Table'!$AI282/340)*100</f>
        <v>40</v>
      </c>
      <c r="AL282" s="186">
        <f>('LCFS Table'!$AJ282/340)*100</f>
        <v>32.352941176470587</v>
      </c>
      <c r="AM282" s="139">
        <v>105</v>
      </c>
      <c r="AN282" s="139">
        <v>90</v>
      </c>
      <c r="AO282" s="139">
        <f>('LCFS Table'!$AM282/300)*100</f>
        <v>35</v>
      </c>
      <c r="AP282" s="139">
        <f>('LCFS Table'!$AN282/300)*100</f>
        <v>30</v>
      </c>
      <c r="AQ282" s="140">
        <f>'[1]LCFS Values'!$B281</f>
        <v>51.6</v>
      </c>
      <c r="AR282" s="140">
        <f>'[1]RIN Values'!$B281/100</f>
        <v>0.44850000000000001</v>
      </c>
      <c r="AS282" s="185">
        <f>((('[2]Controls 2'!$B$2-SUM(('[2]Controls 2'!$B$5*'LCFS Table'!$AC282),('[2]Controls 2'!$B$6*'LCFS Table'!$AD282),('[2]Controls 2'!$B$7*'LCFS Table'!$AE282)))/1000000)*'LCFS Table'!$AQ282)*'[2]Controls 2'!$B$8</f>
        <v>0.4121189037587798</v>
      </c>
      <c r="AT282" s="137">
        <v>0.16</v>
      </c>
      <c r="AU282" s="137">
        <v>1</v>
      </c>
      <c r="AV282" s="185">
        <f>'LCFS Table'!$AR282*1.7</f>
        <v>0.76244999999999996</v>
      </c>
      <c r="AW282" s="137">
        <v>0</v>
      </c>
      <c r="AX282" s="185">
        <f>(((('[2]Controls 2'!$B$2-SUM(('LCFS Table'!$AF282*'[2]Controls 2'!$B$12),('LCFS Table'!$AG282*'[2]Controls 2'!$B$13)))/1000000)*'LCFS Table'!$AQ282)*'[2]Controls 2'!$B$14)</f>
        <v>0.27180321285000003</v>
      </c>
      <c r="AY282" s="137">
        <v>0</v>
      </c>
      <c r="AZ282" s="141">
        <v>1</v>
      </c>
      <c r="BA282" s="185">
        <f>'LCFS Table'!$AR282*1.5</f>
        <v>0.67274999999999996</v>
      </c>
      <c r="BB282" s="142">
        <v>1.2</v>
      </c>
      <c r="BC282" s="185">
        <f>'LCFS Table'!$AS282*'LCFS Table'!$BW282</f>
        <v>0.4121189037587798</v>
      </c>
      <c r="BD282" s="185">
        <f>'LCFS Table'!$AT282*'LCFS Table'!$BX282</f>
        <v>0</v>
      </c>
      <c r="BE282" s="185">
        <f>'LCFS Table'!$AU282*'LCFS Table'!$BY282</f>
        <v>1</v>
      </c>
      <c r="BF282" s="137">
        <f>'LCFS Table'!$AV282*'LCFS Table'!$BZ282</f>
        <v>0.76244999999999996</v>
      </c>
      <c r="BG282" s="137">
        <f>'LCFS Table'!$AW282*'LCFS Table'!$CA282</f>
        <v>0</v>
      </c>
      <c r="BH282" s="137">
        <f>'LCFS Table'!$AX282*'LCFS Table'!$CB282</f>
        <v>0.27180321285000003</v>
      </c>
      <c r="BI282" s="137">
        <f>'LCFS Table'!$AY282*'LCFS Table'!$CC282</f>
        <v>0</v>
      </c>
      <c r="BJ282" s="137">
        <f>'LCFS Table'!$AZ282*'LCFS Table'!$CD282</f>
        <v>1</v>
      </c>
      <c r="BK282" s="137">
        <f>'LCFS Table'!$BA282*'LCFS Table'!$CE282</f>
        <v>0.67274999999999996</v>
      </c>
      <c r="BL282" s="137">
        <f>'LCFS Table'!$BB282*'LCFS Table'!$CF282</f>
        <v>-1.2</v>
      </c>
      <c r="BM282" s="137">
        <f>'LCFS Table'!$AS282*'LCFS Table'!$CG282</f>
        <v>0</v>
      </c>
      <c r="BN282" s="137">
        <f>'LCFS Table'!$AT282*'LCFS Table'!$CH282</f>
        <v>0.16</v>
      </c>
      <c r="BO282" s="137">
        <f>'LCFS Table'!$AU282*'LCFS Table'!$CI282</f>
        <v>0</v>
      </c>
      <c r="BP282" s="137">
        <f>'LCFS Table'!$AV282*'LCFS Table'!$CJ282</f>
        <v>0</v>
      </c>
      <c r="BQ282" s="137">
        <f>'LCFS Table'!$AW282*'LCFS Table'!$CK282</f>
        <v>0</v>
      </c>
      <c r="BR282" s="137">
        <f>'LCFS Table'!$AX282*'LCFS Table'!$CL282</f>
        <v>0</v>
      </c>
      <c r="BS282" s="137">
        <f>'LCFS Table'!$AY282*'LCFS Table'!$CM282</f>
        <v>0</v>
      </c>
      <c r="BT282" s="137">
        <f>'LCFS Table'!$AZ282*'LCFS Table'!$CN282</f>
        <v>0</v>
      </c>
      <c r="BU282" s="137">
        <f>'LCFS Table'!$BA282*'LCFS Table'!$CO282</f>
        <v>0</v>
      </c>
      <c r="BV282" s="142">
        <f>'LCFS Table'!$BB282*'LCFS Table'!$CP282</f>
        <v>1.2</v>
      </c>
      <c r="BW282" s="138">
        <v>1</v>
      </c>
      <c r="BX282" s="138">
        <v>0</v>
      </c>
      <c r="BY282" s="138">
        <v>1</v>
      </c>
      <c r="BZ282" s="138">
        <v>1</v>
      </c>
      <c r="CA282" s="138">
        <v>-1</v>
      </c>
      <c r="CB282" s="138">
        <v>1</v>
      </c>
      <c r="CC282" s="138">
        <v>0</v>
      </c>
      <c r="CD282" s="138">
        <v>1</v>
      </c>
      <c r="CE282" s="138">
        <v>1</v>
      </c>
      <c r="CF282" s="138">
        <v>-1</v>
      </c>
      <c r="CG282" s="138">
        <f>1-'LCFS Table'!$BW282</f>
        <v>0</v>
      </c>
      <c r="CH282" s="138">
        <f>1-'LCFS Table'!$BX282</f>
        <v>1</v>
      </c>
      <c r="CI282" s="138">
        <f>1-'LCFS Table'!$BY282</f>
        <v>0</v>
      </c>
      <c r="CJ282" s="138">
        <f>1-'LCFS Table'!$BZ282</f>
        <v>0</v>
      </c>
      <c r="CK282" s="138">
        <f>-'LCFS Table'!$CA282</f>
        <v>1</v>
      </c>
      <c r="CL282" s="138">
        <f>1-'LCFS Table'!$CB282</f>
        <v>0</v>
      </c>
      <c r="CM282" s="138">
        <f>1-'LCFS Table'!$CC282</f>
        <v>1</v>
      </c>
      <c r="CN282" s="138">
        <f>1-'LCFS Table'!$CD282</f>
        <v>0</v>
      </c>
      <c r="CO282" s="138">
        <f>1-'LCFS Table'!$CE282</f>
        <v>0</v>
      </c>
      <c r="CP282" s="138">
        <f>-'LCFS Table'!$CF282</f>
        <v>1</v>
      </c>
      <c r="CQ282" s="140">
        <v>7.25</v>
      </c>
      <c r="CR282" s="165">
        <f>('LCFS Table'!$CQ282*0.9/(0.8/0.99)/100)</f>
        <v>8.0746874999999996E-2</v>
      </c>
      <c r="CS282" s="166"/>
      <c r="CT282" s="167"/>
      <c r="CW282" s="168">
        <f>'LCFS Table'!$K282-'LCFS Table'!$M282</f>
        <v>7.5532128499999907E-3</v>
      </c>
      <c r="CX282" s="129">
        <f>MONTH('LCFS Table'!$B282)</f>
        <v>5</v>
      </c>
      <c r="CY282" s="129">
        <f>YEAR('LCFS Table'!$B282)</f>
        <v>2024</v>
      </c>
    </row>
    <row r="283" spans="1:103">
      <c r="A283" s="148">
        <v>45424</v>
      </c>
      <c r="B283" s="149">
        <v>45430</v>
      </c>
      <c r="C283" s="132">
        <f t="shared" si="5"/>
        <v>2024</v>
      </c>
      <c r="D283" s="150" t="s">
        <v>276</v>
      </c>
      <c r="E283" s="187">
        <f>'LCFS Table'!$K283-'LCFS Table'!$I283</f>
        <v>-1.2599538798498129</v>
      </c>
      <c r="F283" s="187">
        <f>('LCFS Table'!$M283)-'LCFS Table'!$J283</f>
        <v>-1.8991082896375007</v>
      </c>
      <c r="G283" s="188">
        <f>'LCFS Table'!$E283+'LCFS Table'!$AS283+'LCFS Table'!$AT283+'LCFS Table'!$AU283+'LCFS Table'!$AV283</f>
        <v>1.0540193002714795</v>
      </c>
      <c r="H283" s="188">
        <f>'LCFS Table'!$F283+'LCFS Table'!$AX283+'LCFS Table'!$AY283+'LCFS Table'!$AZ283+'LCFS Table'!$BA283+('LCFS Table'!$CQ283*0.9/(0.8/0.99)/100)+(DG283*'LCFS Table'!$AF283)+(DF283*'LCFS Table'!$AG283)</f>
        <v>0.11929414062499949</v>
      </c>
      <c r="I283" s="187">
        <f>('LCFS Table'!$V283+'LCFS Table'!$W283+'LCFS Table'!$X283)/100+(('LCFS Table'!$AI283+'LCFS Table'!$AJ283)/340)</f>
        <v>3.6468538798498127</v>
      </c>
      <c r="J283" s="187">
        <f>(('LCFS Table'!$Y283+'LCFS Table'!$Z283)/100)+(('LCFS Table'!$AM283+'LCFS Table'!$AN283)/300)</f>
        <v>4.3586683593750006</v>
      </c>
      <c r="K283" s="190">
        <f>'[1]Fuel Values'!$C282</f>
        <v>2.3868999999999998</v>
      </c>
      <c r="L283" s="190">
        <f>'[1]Fuel Values'!$B282</f>
        <v>440</v>
      </c>
      <c r="M283" s="185">
        <f>('LCFS Table'!$L283/100)-'LCFS Table'!$AX283-'LCFS Table'!$AY283-'LCFS Table'!$AZ283-'LCFS Table'!$BA283</f>
        <v>2.4595600697375</v>
      </c>
      <c r="N283" s="190">
        <f>[1]BFT!$B282</f>
        <v>41.5</v>
      </c>
      <c r="O283" s="190">
        <f>[1]UCO!$B282</f>
        <v>33</v>
      </c>
      <c r="P283" s="190">
        <f>[1]DCO!$B282</f>
        <v>40.5</v>
      </c>
      <c r="Q283" s="190">
        <f>'[1]Soybean Oil'!$B282</f>
        <v>50.378</v>
      </c>
      <c r="R283" s="190">
        <f>'[1]Yellow Grease'!$B282</f>
        <v>29.5</v>
      </c>
      <c r="S283" s="185">
        <f>'LCFS Table'!$N283 + 'LCFS Table'!$AH283</f>
        <v>45.875</v>
      </c>
      <c r="T283" s="185">
        <f>'LCFS Table'!$Q283+'LCFS Table'!$AH283</f>
        <v>54.753</v>
      </c>
      <c r="U283" s="185">
        <f>'LCFS Table'!$P283+'LCFS Table'!$AH283</f>
        <v>44.875</v>
      </c>
      <c r="V283" s="185">
        <f>(('LCFS Table'!$S283/'LCFS Table'!$AA283)*'LCFS Table'!$AC283)*6.48</f>
        <v>158.12234042553192</v>
      </c>
      <c r="W283" s="185">
        <f>(('LCFS Table'!$O283/'LCFS Table'!$AA283)*'LCFS Table'!$AD283)*6.48</f>
        <v>56.872340425531917</v>
      </c>
      <c r="X283" s="185">
        <f>(('LCFS Table'!$U283/'LCFS Table'!$AA283)*'LCFS Table'!$AE283)*6.48</f>
        <v>77.33776595744682</v>
      </c>
      <c r="Y283" s="185">
        <f>(('LCFS Table'!$T283/'LCFS Table'!$AB283)*'LCFS Table'!$AF283)*7.35</f>
        <v>314.40199218750001</v>
      </c>
      <c r="Z283" s="185">
        <f>(('LCFS Table'!$R283/'LCFS Table'!$AB283)*'LCFS Table'!$AG283)*7.35</f>
        <v>56.46484375</v>
      </c>
      <c r="AA283" s="138">
        <v>0.94</v>
      </c>
      <c r="AB283" s="138">
        <v>0.96</v>
      </c>
      <c r="AC283" s="138">
        <v>0.5</v>
      </c>
      <c r="AD283" s="138">
        <v>0.25</v>
      </c>
      <c r="AE283" s="138">
        <v>0.25</v>
      </c>
      <c r="AF283" s="138">
        <v>0.75</v>
      </c>
      <c r="AG283" s="138">
        <v>0.25</v>
      </c>
      <c r="AH283" s="139">
        <v>4.375</v>
      </c>
      <c r="AI283" s="139">
        <v>136</v>
      </c>
      <c r="AJ283" s="139">
        <v>110</v>
      </c>
      <c r="AK283" s="186">
        <f>('LCFS Table'!$AI283/340)*100</f>
        <v>40</v>
      </c>
      <c r="AL283" s="186">
        <f>('LCFS Table'!$AJ283/340)*100</f>
        <v>32.352941176470587</v>
      </c>
      <c r="AM283" s="139">
        <v>105</v>
      </c>
      <c r="AN283" s="139">
        <v>90</v>
      </c>
      <c r="AO283" s="139">
        <f>('LCFS Table'!$AM283/300)*100</f>
        <v>35</v>
      </c>
      <c r="AP283" s="139">
        <f>('LCFS Table'!$AN283/300)*100</f>
        <v>30</v>
      </c>
      <c r="AQ283" s="140">
        <f>'[1]LCFS Values'!$B282</f>
        <v>43.7</v>
      </c>
      <c r="AR283" s="140">
        <f>'[1]RIN Values'!$B282/100</f>
        <v>0.47350000000000003</v>
      </c>
      <c r="AS283" s="185">
        <f>((('[2]Controls 2'!$B$2-SUM(('[2]Controls 2'!$B$5*'LCFS Table'!$AC283),('[2]Controls 2'!$B$6*'LCFS Table'!$AD283),('[2]Controls 2'!$B$7*'LCFS Table'!$AE283)))/1000000)*'LCFS Table'!$AQ283)*'[2]Controls 2'!$B$8</f>
        <v>0.34902318012129219</v>
      </c>
      <c r="AT283" s="137">
        <v>0.16</v>
      </c>
      <c r="AU283" s="137">
        <v>1</v>
      </c>
      <c r="AV283" s="185">
        <f>'LCFS Table'!$AR283*1.7</f>
        <v>0.80495000000000005</v>
      </c>
      <c r="AW283" s="137">
        <v>0</v>
      </c>
      <c r="AX283" s="185">
        <f>(((('[2]Controls 2'!$B$2-SUM(('LCFS Table'!$AF283*'[2]Controls 2'!$B$12),('LCFS Table'!$AG283*'[2]Controls 2'!$B$13)))/1000000)*'LCFS Table'!$AQ283)*'[2]Controls 2'!$B$14)</f>
        <v>0.23018993026250001</v>
      </c>
      <c r="AY283" s="137">
        <v>0</v>
      </c>
      <c r="AZ283" s="141">
        <v>1</v>
      </c>
      <c r="BA283" s="185">
        <f>'LCFS Table'!$AR283*1.5</f>
        <v>0.71025000000000005</v>
      </c>
      <c r="BB283" s="142">
        <v>1.2</v>
      </c>
      <c r="BC283" s="185">
        <f>'LCFS Table'!$AS283*'LCFS Table'!$BW283</f>
        <v>0.34902318012129219</v>
      </c>
      <c r="BD283" s="185">
        <f>'LCFS Table'!$AT283*'LCFS Table'!$BX283</f>
        <v>0</v>
      </c>
      <c r="BE283" s="185">
        <f>'LCFS Table'!$AU283*'LCFS Table'!$BY283</f>
        <v>1</v>
      </c>
      <c r="BF283" s="137">
        <f>'LCFS Table'!$AV283*'LCFS Table'!$BZ283</f>
        <v>0.80495000000000005</v>
      </c>
      <c r="BG283" s="137">
        <f>'LCFS Table'!$AW283*'LCFS Table'!$CA283</f>
        <v>0</v>
      </c>
      <c r="BH283" s="137">
        <f>'LCFS Table'!$AX283*'LCFS Table'!$CB283</f>
        <v>0.23018993026250001</v>
      </c>
      <c r="BI283" s="137">
        <f>'LCFS Table'!$AY283*'LCFS Table'!$CC283</f>
        <v>0</v>
      </c>
      <c r="BJ283" s="137">
        <f>'LCFS Table'!$AZ283*'LCFS Table'!$CD283</f>
        <v>1</v>
      </c>
      <c r="BK283" s="137">
        <f>'LCFS Table'!$BA283*'LCFS Table'!$CE283</f>
        <v>0.71025000000000005</v>
      </c>
      <c r="BL283" s="137">
        <f>'LCFS Table'!$BB283*'LCFS Table'!$CF283</f>
        <v>-1.2</v>
      </c>
      <c r="BM283" s="137">
        <f>'LCFS Table'!$AS283*'LCFS Table'!$CG283</f>
        <v>0</v>
      </c>
      <c r="BN283" s="137">
        <f>'LCFS Table'!$AT283*'LCFS Table'!$CH283</f>
        <v>0.16</v>
      </c>
      <c r="BO283" s="137">
        <f>'LCFS Table'!$AU283*'LCFS Table'!$CI283</f>
        <v>0</v>
      </c>
      <c r="BP283" s="137">
        <f>'LCFS Table'!$AV283*'LCFS Table'!$CJ283</f>
        <v>0</v>
      </c>
      <c r="BQ283" s="137">
        <f>'LCFS Table'!$AW283*'LCFS Table'!$CK283</f>
        <v>0</v>
      </c>
      <c r="BR283" s="137">
        <f>'LCFS Table'!$AX283*'LCFS Table'!$CL283</f>
        <v>0</v>
      </c>
      <c r="BS283" s="137">
        <f>'LCFS Table'!$AY283*'LCFS Table'!$CM283</f>
        <v>0</v>
      </c>
      <c r="BT283" s="137">
        <f>'LCFS Table'!$AZ283*'LCFS Table'!$CN283</f>
        <v>0</v>
      </c>
      <c r="BU283" s="137">
        <f>'LCFS Table'!$BA283*'LCFS Table'!$CO283</f>
        <v>0</v>
      </c>
      <c r="BV283" s="142">
        <f>'LCFS Table'!$BB283*'LCFS Table'!$CP283</f>
        <v>1.2</v>
      </c>
      <c r="BW283" s="138">
        <v>1</v>
      </c>
      <c r="BX283" s="138">
        <v>0</v>
      </c>
      <c r="BY283" s="138">
        <v>1</v>
      </c>
      <c r="BZ283" s="138">
        <v>1</v>
      </c>
      <c r="CA283" s="138">
        <v>-1</v>
      </c>
      <c r="CB283" s="138">
        <v>1</v>
      </c>
      <c r="CC283" s="138">
        <v>0</v>
      </c>
      <c r="CD283" s="138">
        <v>1</v>
      </c>
      <c r="CE283" s="138">
        <v>1</v>
      </c>
      <c r="CF283" s="138">
        <v>-1</v>
      </c>
      <c r="CG283" s="138">
        <f>1-'LCFS Table'!$BW283</f>
        <v>0</v>
      </c>
      <c r="CH283" s="138">
        <f>1-'LCFS Table'!$BX283</f>
        <v>1</v>
      </c>
      <c r="CI283" s="138">
        <f>1-'LCFS Table'!$BY283</f>
        <v>0</v>
      </c>
      <c r="CJ283" s="138">
        <f>1-'LCFS Table'!$BZ283</f>
        <v>0</v>
      </c>
      <c r="CK283" s="138">
        <f>-'LCFS Table'!$CA283</f>
        <v>1</v>
      </c>
      <c r="CL283" s="138">
        <f>1-'LCFS Table'!$CB283</f>
        <v>0</v>
      </c>
      <c r="CM283" s="138">
        <f>1-'LCFS Table'!$CC283</f>
        <v>1</v>
      </c>
      <c r="CN283" s="138">
        <f>1-'LCFS Table'!$CD283</f>
        <v>0</v>
      </c>
      <c r="CO283" s="138">
        <f>1-'LCFS Table'!$CE283</f>
        <v>0</v>
      </c>
      <c r="CP283" s="138">
        <f>-'LCFS Table'!$CF283</f>
        <v>1</v>
      </c>
      <c r="CQ283" s="140">
        <v>7</v>
      </c>
      <c r="CR283" s="165">
        <f>('LCFS Table'!$CQ283*0.9/(0.8/0.99)/100)</f>
        <v>7.796249999999999E-2</v>
      </c>
      <c r="CS283" s="166"/>
      <c r="CT283" s="167"/>
      <c r="CW283" s="168">
        <f>'LCFS Table'!$K283-'LCFS Table'!$M283</f>
        <v>-7.2660069737500166E-2</v>
      </c>
      <c r="CX283" s="129">
        <f>MONTH('LCFS Table'!$B283)</f>
        <v>5</v>
      </c>
      <c r="CY283" s="129">
        <f>YEAR('LCFS Table'!$B283)</f>
        <v>2024</v>
      </c>
    </row>
    <row r="284" spans="1:103">
      <c r="A284" s="148">
        <v>45431</v>
      </c>
      <c r="B284" s="149">
        <v>45437</v>
      </c>
      <c r="C284" s="132">
        <f t="shared" si="5"/>
        <v>2024</v>
      </c>
      <c r="D284" s="150" t="s">
        <v>277</v>
      </c>
      <c r="E284" s="187">
        <f>'LCFS Table'!$K284-'LCFS Table'!$I284</f>
        <v>-1.2707028160200253</v>
      </c>
      <c r="F284" s="187">
        <f>('LCFS Table'!$M284)-'LCFS Table'!$J284</f>
        <v>-2.0939493007750003</v>
      </c>
      <c r="G284" s="188">
        <f>'LCFS Table'!$E284+'LCFS Table'!$AS284+'LCFS Table'!$AT284+'LCFS Table'!$AU284+'LCFS Table'!$AV284</f>
        <v>1.2025347253444587</v>
      </c>
      <c r="H284" s="188">
        <f>'LCFS Table'!$F284+'LCFS Table'!$AX284+'LCFS Table'!$AY284+'LCFS Table'!$AZ284+'LCFS Table'!$BA284+('LCFS Table'!$CQ284*0.9/(0.8/0.99)/100)+(DG284*'LCFS Table'!$AF284)+(DF284*'LCFS Table'!$AG284)</f>
        <v>5.4606640624999606E-2</v>
      </c>
      <c r="I284" s="187">
        <f>('LCFS Table'!$V284+'LCFS Table'!$W284+'LCFS Table'!$X284)/100+(('LCFS Table'!$AI284+'LCFS Table'!$AJ284)/340)</f>
        <v>3.7020028160200251</v>
      </c>
      <c r="J284" s="187">
        <f>(('LCFS Table'!$Y284+'LCFS Table'!$Z284)/100)+(('LCFS Table'!$AM284+'LCFS Table'!$AN284)/300)</f>
        <v>4.4477871093749997</v>
      </c>
      <c r="K284" s="190">
        <f>'[1]Fuel Values'!$C283</f>
        <v>2.4312999999999998</v>
      </c>
      <c r="L284" s="190">
        <f>'[1]Fuel Values'!$B283</f>
        <v>443</v>
      </c>
      <c r="M284" s="185">
        <f>('LCFS Table'!$L284/100)-'LCFS Table'!$AX284-'LCFS Table'!$AY284-'LCFS Table'!$AZ284-'LCFS Table'!$BA284</f>
        <v>2.3538378085999994</v>
      </c>
      <c r="N284" s="190">
        <f>[1]BFT!$B283</f>
        <v>42.3</v>
      </c>
      <c r="O284" s="190">
        <f>[1]UCO!$B283</f>
        <v>33</v>
      </c>
      <c r="P284" s="190">
        <f>[1]DCO!$B283</f>
        <v>42.1</v>
      </c>
      <c r="Q284" s="190">
        <f>'[1]Soybean Oil'!$B283</f>
        <v>51.93</v>
      </c>
      <c r="R284" s="190">
        <f>'[1]Yellow Grease'!$B283</f>
        <v>29.5</v>
      </c>
      <c r="S284" s="185">
        <f>'LCFS Table'!$N284 + 'LCFS Table'!$AH284</f>
        <v>46.674999999999997</v>
      </c>
      <c r="T284" s="185">
        <f>'LCFS Table'!$Q284+'LCFS Table'!$AH284</f>
        <v>56.305</v>
      </c>
      <c r="U284" s="185">
        <f>'LCFS Table'!$P284+'LCFS Table'!$AH284</f>
        <v>46.475000000000001</v>
      </c>
      <c r="V284" s="185">
        <f>(('LCFS Table'!$S284/'LCFS Table'!$AA284)*'LCFS Table'!$AC284)*6.48</f>
        <v>160.87978723404257</v>
      </c>
      <c r="W284" s="185">
        <f>(('LCFS Table'!$O284/'LCFS Table'!$AA284)*'LCFS Table'!$AD284)*6.48</f>
        <v>56.872340425531917</v>
      </c>
      <c r="X284" s="185">
        <f>(('LCFS Table'!$U284/'LCFS Table'!$AA284)*'LCFS Table'!$AE284)*6.48</f>
        <v>80.095212765957456</v>
      </c>
      <c r="Y284" s="185">
        <f>(('LCFS Table'!$T284/'LCFS Table'!$AB284)*'LCFS Table'!$AF284)*7.35</f>
        <v>323.31386718749997</v>
      </c>
      <c r="Z284" s="185">
        <f>(('LCFS Table'!$R284/'LCFS Table'!$AB284)*'LCFS Table'!$AG284)*7.35</f>
        <v>56.46484375</v>
      </c>
      <c r="AA284" s="138">
        <v>0.94</v>
      </c>
      <c r="AB284" s="138">
        <v>0.96</v>
      </c>
      <c r="AC284" s="138">
        <v>0.5</v>
      </c>
      <c r="AD284" s="138">
        <v>0.25</v>
      </c>
      <c r="AE284" s="138">
        <v>0.25</v>
      </c>
      <c r="AF284" s="138">
        <v>0.75</v>
      </c>
      <c r="AG284" s="138">
        <v>0.25</v>
      </c>
      <c r="AH284" s="139">
        <v>4.375</v>
      </c>
      <c r="AI284" s="139">
        <v>136</v>
      </c>
      <c r="AJ284" s="139">
        <v>110</v>
      </c>
      <c r="AK284" s="186">
        <f>('LCFS Table'!$AI284/340)*100</f>
        <v>40</v>
      </c>
      <c r="AL284" s="186">
        <f>('LCFS Table'!$AJ284/340)*100</f>
        <v>32.352941176470587</v>
      </c>
      <c r="AM284" s="139">
        <v>105</v>
      </c>
      <c r="AN284" s="139">
        <v>90</v>
      </c>
      <c r="AO284" s="139">
        <f>('LCFS Table'!$AM284/300)*100</f>
        <v>35</v>
      </c>
      <c r="AP284" s="139">
        <f>('LCFS Table'!$AN284/300)*100</f>
        <v>30</v>
      </c>
      <c r="AQ284" s="140">
        <f>'[1]LCFS Values'!$B283</f>
        <v>46.4</v>
      </c>
      <c r="AR284" s="140">
        <f>'[1]RIN Values'!$B283/100</f>
        <v>0.55449999999999999</v>
      </c>
      <c r="AS284" s="185">
        <f>((('[2]Controls 2'!$B$2-SUM(('[2]Controls 2'!$B$5*'LCFS Table'!$AC284),('[2]Controls 2'!$B$6*'LCFS Table'!$AD284),('[2]Controls 2'!$B$7*'LCFS Table'!$AE284)))/1000000)*'LCFS Table'!$AQ284)*'[2]Controls 2'!$B$8</f>
        <v>0.37058754136448407</v>
      </c>
      <c r="AT284" s="137">
        <v>0.16</v>
      </c>
      <c r="AU284" s="137">
        <v>1</v>
      </c>
      <c r="AV284" s="185">
        <f>'LCFS Table'!$AR284*1.7</f>
        <v>0.94264999999999999</v>
      </c>
      <c r="AW284" s="137">
        <v>0</v>
      </c>
      <c r="AX284" s="185">
        <f>(((('[2]Controls 2'!$B$2-SUM(('LCFS Table'!$AF284*'[2]Controls 2'!$B$12),('LCFS Table'!$AG284*'[2]Controls 2'!$B$13)))/1000000)*'LCFS Table'!$AQ284)*'[2]Controls 2'!$B$14)</f>
        <v>0.24441219139999998</v>
      </c>
      <c r="AY284" s="137">
        <v>0</v>
      </c>
      <c r="AZ284" s="141">
        <v>1</v>
      </c>
      <c r="BA284" s="185">
        <f>'LCFS Table'!$AR284*1.5</f>
        <v>0.83174999999999999</v>
      </c>
      <c r="BB284" s="142">
        <v>1.2</v>
      </c>
      <c r="BC284" s="185">
        <f>'LCFS Table'!$AS284*'LCFS Table'!$BW284</f>
        <v>0.37058754136448407</v>
      </c>
      <c r="BD284" s="185">
        <f>'LCFS Table'!$AT284*'LCFS Table'!$BX284</f>
        <v>0</v>
      </c>
      <c r="BE284" s="185">
        <f>'LCFS Table'!$AU284*'LCFS Table'!$BY284</f>
        <v>1</v>
      </c>
      <c r="BF284" s="137">
        <f>'LCFS Table'!$AV284*'LCFS Table'!$BZ284</f>
        <v>0.94264999999999999</v>
      </c>
      <c r="BG284" s="137">
        <f>'LCFS Table'!$AW284*'LCFS Table'!$CA284</f>
        <v>0</v>
      </c>
      <c r="BH284" s="137">
        <f>'LCFS Table'!$AX284*'LCFS Table'!$CB284</f>
        <v>0.24441219139999998</v>
      </c>
      <c r="BI284" s="137">
        <f>'LCFS Table'!$AY284*'LCFS Table'!$CC284</f>
        <v>0</v>
      </c>
      <c r="BJ284" s="137">
        <f>'LCFS Table'!$AZ284*'LCFS Table'!$CD284</f>
        <v>1</v>
      </c>
      <c r="BK284" s="137">
        <f>'LCFS Table'!$BA284*'LCFS Table'!$CE284</f>
        <v>0.83174999999999999</v>
      </c>
      <c r="BL284" s="137">
        <f>'LCFS Table'!$BB284*'LCFS Table'!$CF284</f>
        <v>-1.2</v>
      </c>
      <c r="BM284" s="137">
        <f>'LCFS Table'!$AS284*'LCFS Table'!$CG284</f>
        <v>0</v>
      </c>
      <c r="BN284" s="137">
        <f>'LCFS Table'!$AT284*'LCFS Table'!$CH284</f>
        <v>0.16</v>
      </c>
      <c r="BO284" s="137">
        <f>'LCFS Table'!$AU284*'LCFS Table'!$CI284</f>
        <v>0</v>
      </c>
      <c r="BP284" s="137">
        <f>'LCFS Table'!$AV284*'LCFS Table'!$CJ284</f>
        <v>0</v>
      </c>
      <c r="BQ284" s="137">
        <f>'LCFS Table'!$AW284*'LCFS Table'!$CK284</f>
        <v>0</v>
      </c>
      <c r="BR284" s="137">
        <f>'LCFS Table'!$AX284*'LCFS Table'!$CL284</f>
        <v>0</v>
      </c>
      <c r="BS284" s="137">
        <f>'LCFS Table'!$AY284*'LCFS Table'!$CM284</f>
        <v>0</v>
      </c>
      <c r="BT284" s="137">
        <f>'LCFS Table'!$AZ284*'LCFS Table'!$CN284</f>
        <v>0</v>
      </c>
      <c r="BU284" s="137">
        <f>'LCFS Table'!$BA284*'LCFS Table'!$CO284</f>
        <v>0</v>
      </c>
      <c r="BV284" s="142">
        <f>'LCFS Table'!$BB284*'LCFS Table'!$CP284</f>
        <v>1.2</v>
      </c>
      <c r="BW284" s="138">
        <v>1</v>
      </c>
      <c r="BX284" s="138">
        <v>0</v>
      </c>
      <c r="BY284" s="138">
        <v>1</v>
      </c>
      <c r="BZ284" s="138">
        <v>1</v>
      </c>
      <c r="CA284" s="138">
        <v>-1</v>
      </c>
      <c r="CB284" s="138">
        <v>1</v>
      </c>
      <c r="CC284" s="138">
        <v>0</v>
      </c>
      <c r="CD284" s="138">
        <v>1</v>
      </c>
      <c r="CE284" s="138">
        <v>1</v>
      </c>
      <c r="CF284" s="138">
        <v>-1</v>
      </c>
      <c r="CG284" s="138">
        <f>1-'LCFS Table'!$BW284</f>
        <v>0</v>
      </c>
      <c r="CH284" s="138">
        <f>1-'LCFS Table'!$BX284</f>
        <v>1</v>
      </c>
      <c r="CI284" s="138">
        <f>1-'LCFS Table'!$BY284</f>
        <v>0</v>
      </c>
      <c r="CJ284" s="138">
        <f>1-'LCFS Table'!$BZ284</f>
        <v>0</v>
      </c>
      <c r="CK284" s="138">
        <f>-'LCFS Table'!$CA284</f>
        <v>1</v>
      </c>
      <c r="CL284" s="138">
        <f>1-'LCFS Table'!$CB284</f>
        <v>0</v>
      </c>
      <c r="CM284" s="138">
        <f>1-'LCFS Table'!$CC284</f>
        <v>1</v>
      </c>
      <c r="CN284" s="138">
        <f>1-'LCFS Table'!$CD284</f>
        <v>0</v>
      </c>
      <c r="CO284" s="138">
        <f>1-'LCFS Table'!$CE284</f>
        <v>0</v>
      </c>
      <c r="CP284" s="138">
        <f>-'LCFS Table'!$CF284</f>
        <v>1</v>
      </c>
      <c r="CQ284" s="140">
        <v>6.5</v>
      </c>
      <c r="CR284" s="165">
        <f>('LCFS Table'!$CQ284*0.9/(0.8/0.99)/100)</f>
        <v>7.2393749999999993E-2</v>
      </c>
      <c r="CS284" s="166"/>
      <c r="CT284" s="167"/>
      <c r="CW284" s="168">
        <f>'LCFS Table'!$K284-'LCFS Table'!$M284</f>
        <v>7.7462191400000435E-2</v>
      </c>
      <c r="CX284" s="129">
        <f>MONTH('LCFS Table'!$B284)</f>
        <v>5</v>
      </c>
      <c r="CY284" s="129">
        <f>YEAR('LCFS Table'!$B284)</f>
        <v>2024</v>
      </c>
    </row>
    <row r="285" spans="1:103">
      <c r="A285" s="148">
        <v>45438</v>
      </c>
      <c r="B285" s="149">
        <v>45444</v>
      </c>
      <c r="C285" s="132">
        <f t="shared" si="5"/>
        <v>2024</v>
      </c>
      <c r="D285" s="150" t="s">
        <v>278</v>
      </c>
      <c r="E285" s="187">
        <f>'LCFS Table'!$K285-'LCFS Table'!$I285</f>
        <v>-1.3351549436796004</v>
      </c>
      <c r="F285" s="187">
        <f>('LCFS Table'!$M285)-'LCFS Table'!$J285</f>
        <v>-2.138779020453125</v>
      </c>
      <c r="G285" s="188">
        <f>'LCFS Table'!$E285+'LCFS Table'!$AS285+'LCFS Table'!$AT285+'LCFS Table'!$AU285+'LCFS Table'!$AV285</f>
        <v>1.1545421277884831</v>
      </c>
      <c r="H285" s="188">
        <f>'LCFS Table'!$F285+'LCFS Table'!$AX285+'LCFS Table'!$AY285+'LCFS Table'!$AZ285+'LCFS Table'!$BA285+('LCFS Table'!$CQ285*0.9/(0.8/0.99)/100)+(DG285*'LCFS Table'!$AF285)+(DF285*'LCFS Table'!$AG285)</f>
        <v>2.9468359375000086E-2</v>
      </c>
      <c r="I285" s="187">
        <f>('LCFS Table'!$V285+'LCFS Table'!$W285+'LCFS Table'!$X285)/100+(('LCFS Table'!$AI285+'LCFS Table'!$AJ285)/340)</f>
        <v>3.7739549436796005</v>
      </c>
      <c r="J285" s="187">
        <f>(('LCFS Table'!$Y285+'LCFS Table'!$Z285)/100)+(('LCFS Table'!$AM285+'LCFS Table'!$AN285)/300)</f>
        <v>4.460994140625</v>
      </c>
      <c r="K285" s="190">
        <f>'[1]Fuel Values'!$C284</f>
        <v>2.4388000000000001</v>
      </c>
      <c r="L285" s="190">
        <f>'[1]Fuel Values'!$B284</f>
        <v>441.25</v>
      </c>
      <c r="M285" s="185">
        <f>('LCFS Table'!$L285/100)-'LCFS Table'!$AX285-'LCFS Table'!$AY285-'LCFS Table'!$AZ285-'LCFS Table'!$BA285</f>
        <v>2.322215120171875</v>
      </c>
      <c r="N285" s="190">
        <f>[1]BFT!$B284</f>
        <v>43.625</v>
      </c>
      <c r="O285" s="190">
        <f>[1]UCO!$B284</f>
        <v>33</v>
      </c>
      <c r="P285" s="190">
        <f>[1]DCO!$B284</f>
        <v>43.625</v>
      </c>
      <c r="Q285" s="190">
        <f>'[1]Soybean Oil'!$B284</f>
        <v>52.16</v>
      </c>
      <c r="R285" s="190">
        <f>'[1]Yellow Grease'!$B284</f>
        <v>29.5</v>
      </c>
      <c r="S285" s="185">
        <f>'LCFS Table'!$N285 + 'LCFS Table'!$AH285</f>
        <v>48</v>
      </c>
      <c r="T285" s="185">
        <f>'LCFS Table'!$Q285+'LCFS Table'!$AH285</f>
        <v>56.534999999999997</v>
      </c>
      <c r="U285" s="185">
        <f>'LCFS Table'!$P285+'LCFS Table'!$AH285</f>
        <v>48</v>
      </c>
      <c r="V285" s="185">
        <f>(('LCFS Table'!$S285/'LCFS Table'!$AA285)*'LCFS Table'!$AC285)*6.48</f>
        <v>165.44680851063833</v>
      </c>
      <c r="W285" s="185">
        <f>(('LCFS Table'!$O285/'LCFS Table'!$AA285)*'LCFS Table'!$AD285)*6.48</f>
        <v>56.872340425531917</v>
      </c>
      <c r="X285" s="185">
        <f>(('LCFS Table'!$U285/'LCFS Table'!$AA285)*'LCFS Table'!$AE285)*6.48</f>
        <v>82.723404255319167</v>
      </c>
      <c r="Y285" s="185">
        <f>(('LCFS Table'!$T285/'LCFS Table'!$AB285)*'LCFS Table'!$AF285)*7.35</f>
        <v>324.63457031249999</v>
      </c>
      <c r="Z285" s="185">
        <f>(('LCFS Table'!$R285/'LCFS Table'!$AB285)*'LCFS Table'!$AG285)*7.35</f>
        <v>56.46484375</v>
      </c>
      <c r="AA285" s="138">
        <v>0.94</v>
      </c>
      <c r="AB285" s="138">
        <v>0.96</v>
      </c>
      <c r="AC285" s="138">
        <v>0.5</v>
      </c>
      <c r="AD285" s="138">
        <v>0.25</v>
      </c>
      <c r="AE285" s="138">
        <v>0.25</v>
      </c>
      <c r="AF285" s="138">
        <v>0.75</v>
      </c>
      <c r="AG285" s="138">
        <v>0.25</v>
      </c>
      <c r="AH285" s="139">
        <v>4.375</v>
      </c>
      <c r="AI285" s="139">
        <v>136</v>
      </c>
      <c r="AJ285" s="139">
        <v>110</v>
      </c>
      <c r="AK285" s="186">
        <f>('LCFS Table'!$AI285/340)*100</f>
        <v>40</v>
      </c>
      <c r="AL285" s="186">
        <f>('LCFS Table'!$AJ285/340)*100</f>
        <v>32.352941176470587</v>
      </c>
      <c r="AM285" s="139">
        <v>105</v>
      </c>
      <c r="AN285" s="139">
        <v>90</v>
      </c>
      <c r="AO285" s="139">
        <f>('LCFS Table'!$AM285/300)*100</f>
        <v>35</v>
      </c>
      <c r="AP285" s="139">
        <f>('LCFS Table'!$AN285/300)*100</f>
        <v>30</v>
      </c>
      <c r="AQ285" s="140">
        <f>'[1]LCFS Values'!$B284</f>
        <v>46.625</v>
      </c>
      <c r="AR285" s="140">
        <f>'[1]RIN Values'!$B284/100</f>
        <v>0.56312499999999999</v>
      </c>
      <c r="AS285" s="185">
        <f>((('[2]Controls 2'!$B$2-SUM(('[2]Controls 2'!$B$5*'LCFS Table'!$AC285),('[2]Controls 2'!$B$6*'LCFS Table'!$AD285),('[2]Controls 2'!$B$7*'LCFS Table'!$AE285)))/1000000)*'LCFS Table'!$AQ285)*'[2]Controls 2'!$B$8</f>
        <v>0.37238457146808346</v>
      </c>
      <c r="AT285" s="137">
        <v>0.16</v>
      </c>
      <c r="AU285" s="137">
        <v>1</v>
      </c>
      <c r="AV285" s="185">
        <f>'LCFS Table'!$AR285*1.7</f>
        <v>0.9573124999999999</v>
      </c>
      <c r="AW285" s="137">
        <v>0</v>
      </c>
      <c r="AX285" s="185">
        <f>(((('[2]Controls 2'!$B$2-SUM(('LCFS Table'!$AF285*'[2]Controls 2'!$B$12),('LCFS Table'!$AG285*'[2]Controls 2'!$B$13)))/1000000)*'LCFS Table'!$AQ285)*'[2]Controls 2'!$B$14)</f>
        <v>0.24559737982812499</v>
      </c>
      <c r="AY285" s="137">
        <v>0</v>
      </c>
      <c r="AZ285" s="141">
        <v>1</v>
      </c>
      <c r="BA285" s="185">
        <f>'LCFS Table'!$AR285*1.5</f>
        <v>0.84468750000000004</v>
      </c>
      <c r="BB285" s="142">
        <v>1.2</v>
      </c>
      <c r="BC285" s="185">
        <f>'LCFS Table'!$AS285*'LCFS Table'!$BW285</f>
        <v>0.37238457146808346</v>
      </c>
      <c r="BD285" s="185">
        <f>'LCFS Table'!$AT285*'LCFS Table'!$BX285</f>
        <v>0</v>
      </c>
      <c r="BE285" s="185">
        <f>'LCFS Table'!$AU285*'LCFS Table'!$BY285</f>
        <v>1</v>
      </c>
      <c r="BF285" s="137">
        <f>'LCFS Table'!$AV285*'LCFS Table'!$BZ285</f>
        <v>0.9573124999999999</v>
      </c>
      <c r="BG285" s="137">
        <f>'LCFS Table'!$AW285*'LCFS Table'!$CA285</f>
        <v>0</v>
      </c>
      <c r="BH285" s="137">
        <f>'LCFS Table'!$AX285*'LCFS Table'!$CB285</f>
        <v>0.24559737982812499</v>
      </c>
      <c r="BI285" s="137">
        <f>'LCFS Table'!$AY285*'LCFS Table'!$CC285</f>
        <v>0</v>
      </c>
      <c r="BJ285" s="137">
        <f>'LCFS Table'!$AZ285*'LCFS Table'!$CD285</f>
        <v>1</v>
      </c>
      <c r="BK285" s="137">
        <f>'LCFS Table'!$BA285*'LCFS Table'!$CE285</f>
        <v>0.84468750000000004</v>
      </c>
      <c r="BL285" s="137">
        <f>'LCFS Table'!$BB285*'LCFS Table'!$CF285</f>
        <v>-1.2</v>
      </c>
      <c r="BM285" s="137">
        <f>'LCFS Table'!$AS285*'LCFS Table'!$CG285</f>
        <v>0</v>
      </c>
      <c r="BN285" s="137">
        <f>'LCFS Table'!$AT285*'LCFS Table'!$CH285</f>
        <v>0.16</v>
      </c>
      <c r="BO285" s="137">
        <f>'LCFS Table'!$AU285*'LCFS Table'!$CI285</f>
        <v>0</v>
      </c>
      <c r="BP285" s="137">
        <f>'LCFS Table'!$AV285*'LCFS Table'!$CJ285</f>
        <v>0</v>
      </c>
      <c r="BQ285" s="137">
        <f>'LCFS Table'!$AW285*'LCFS Table'!$CK285</f>
        <v>0</v>
      </c>
      <c r="BR285" s="137">
        <f>'LCFS Table'!$AX285*'LCFS Table'!$CL285</f>
        <v>0</v>
      </c>
      <c r="BS285" s="137">
        <f>'LCFS Table'!$AY285*'LCFS Table'!$CM285</f>
        <v>0</v>
      </c>
      <c r="BT285" s="137">
        <f>'LCFS Table'!$AZ285*'LCFS Table'!$CN285</f>
        <v>0</v>
      </c>
      <c r="BU285" s="137">
        <f>'LCFS Table'!$BA285*'LCFS Table'!$CO285</f>
        <v>0</v>
      </c>
      <c r="BV285" s="142">
        <f>'LCFS Table'!$BB285*'LCFS Table'!$CP285</f>
        <v>1.2</v>
      </c>
      <c r="BW285" s="138">
        <v>1</v>
      </c>
      <c r="BX285" s="138">
        <v>0</v>
      </c>
      <c r="BY285" s="138">
        <v>1</v>
      </c>
      <c r="BZ285" s="138">
        <v>1</v>
      </c>
      <c r="CA285" s="138">
        <v>-1</v>
      </c>
      <c r="CB285" s="138">
        <v>1</v>
      </c>
      <c r="CC285" s="138">
        <v>0</v>
      </c>
      <c r="CD285" s="138">
        <v>1</v>
      </c>
      <c r="CE285" s="138">
        <v>1</v>
      </c>
      <c r="CF285" s="138">
        <v>-1</v>
      </c>
      <c r="CG285" s="138">
        <f>1-'LCFS Table'!$BW285</f>
        <v>0</v>
      </c>
      <c r="CH285" s="138">
        <f>1-'LCFS Table'!$BX285</f>
        <v>1</v>
      </c>
      <c r="CI285" s="138">
        <f>1-'LCFS Table'!$BY285</f>
        <v>0</v>
      </c>
      <c r="CJ285" s="138">
        <f>1-'LCFS Table'!$BZ285</f>
        <v>0</v>
      </c>
      <c r="CK285" s="138">
        <f>-'LCFS Table'!$CA285</f>
        <v>1</v>
      </c>
      <c r="CL285" s="138">
        <f>1-'LCFS Table'!$CB285</f>
        <v>0</v>
      </c>
      <c r="CM285" s="138">
        <f>1-'LCFS Table'!$CC285</f>
        <v>1</v>
      </c>
      <c r="CN285" s="138">
        <f>1-'LCFS Table'!$CD285</f>
        <v>0</v>
      </c>
      <c r="CO285" s="138">
        <f>1-'LCFS Table'!$CE285</f>
        <v>0</v>
      </c>
      <c r="CP285" s="138">
        <f>-'LCFS Table'!$CF285</f>
        <v>1</v>
      </c>
      <c r="CQ285" s="140">
        <v>7</v>
      </c>
      <c r="CR285" s="165">
        <f>('LCFS Table'!$CQ285*0.9/(0.8/0.99)/100)</f>
        <v>7.796249999999999E-2</v>
      </c>
      <c r="CS285" s="166"/>
      <c r="CT285" s="167"/>
      <c r="CW285" s="168">
        <f>'LCFS Table'!$K285-'LCFS Table'!$M285</f>
        <v>0.11658487982812504</v>
      </c>
      <c r="CX285" s="129">
        <f>MONTH('LCFS Table'!$B285)</f>
        <v>6</v>
      </c>
      <c r="CY285" s="129">
        <f>YEAR('LCFS Table'!$B285)</f>
        <v>2024</v>
      </c>
    </row>
    <row r="286" spans="1:103">
      <c r="A286" s="148">
        <v>45445</v>
      </c>
      <c r="B286" s="149">
        <v>45451</v>
      </c>
      <c r="C286" s="132">
        <f t="shared" si="5"/>
        <v>2024</v>
      </c>
      <c r="D286" s="150" t="s">
        <v>279</v>
      </c>
      <c r="E286" s="187">
        <f>'LCFS Table'!$K286-'LCFS Table'!$I286</f>
        <v>-1.4757368585732169</v>
      </c>
      <c r="F286" s="187">
        <f>('LCFS Table'!$M286)-'LCFS Table'!$J286</f>
        <v>-2.0758630762500001</v>
      </c>
      <c r="G286" s="188">
        <f>'LCFS Table'!$E286+'LCFS Table'!$AS286+'LCFS Table'!$AT286+'LCFS Table'!$AU286+'LCFS Table'!$AV286</f>
        <v>0.97186916214664931</v>
      </c>
      <c r="H286" s="188">
        <f>'LCFS Table'!$F286+'LCFS Table'!$AX286+'LCFS Table'!$AY286+'LCFS Table'!$AZ286+'LCFS Table'!$BA286+('LCFS Table'!$CQ286*0.9/(0.8/0.99)/100)+(DG286*'LCFS Table'!$AF286)+(DF286*'LCFS Table'!$AG286)</f>
        <v>5.8137109374999996E-2</v>
      </c>
      <c r="I286" s="187">
        <f>('LCFS Table'!$V286+'LCFS Table'!$W286+'LCFS Table'!$X286)/100+(('LCFS Table'!$AI286+'LCFS Table'!$AJ286)/340)</f>
        <v>3.8002368585732169</v>
      </c>
      <c r="J286" s="187">
        <f>(('LCFS Table'!$Y286+'LCFS Table'!$Z286)/100)+(('LCFS Table'!$AM286+'LCFS Table'!$AN286)/300)</f>
        <v>4.349825390625</v>
      </c>
      <c r="K286" s="190">
        <f>'[1]Fuel Values'!$C285</f>
        <v>2.3245</v>
      </c>
      <c r="L286" s="190">
        <f>'[1]Fuel Values'!$B285</f>
        <v>433</v>
      </c>
      <c r="M286" s="185">
        <f>('LCFS Table'!$L286/100)-'LCFS Table'!$AX286-'LCFS Table'!$AY286-'LCFS Table'!$AZ286-'LCFS Table'!$BA286</f>
        <v>2.2739623143749998</v>
      </c>
      <c r="N286" s="190">
        <f>[1]BFT!$B285</f>
        <v>44.2</v>
      </c>
      <c r="O286" s="190">
        <f>[1]UCO!$B285</f>
        <v>33</v>
      </c>
      <c r="P286" s="190">
        <f>[1]DCO!$B285</f>
        <v>44</v>
      </c>
      <c r="Q286" s="190">
        <f>'[1]Soybean Oil'!$B285</f>
        <v>50.223999999999997</v>
      </c>
      <c r="R286" s="190">
        <f>'[1]Yellow Grease'!$B285</f>
        <v>29.5</v>
      </c>
      <c r="S286" s="185">
        <f>'LCFS Table'!$N286 + 'LCFS Table'!$AH286</f>
        <v>48.575000000000003</v>
      </c>
      <c r="T286" s="185">
        <f>'LCFS Table'!$Q286+'LCFS Table'!$AH286</f>
        <v>54.598999999999997</v>
      </c>
      <c r="U286" s="185">
        <f>'LCFS Table'!$P286+'LCFS Table'!$AH286</f>
        <v>48.375</v>
      </c>
      <c r="V286" s="185">
        <f>(('LCFS Table'!$S286/'LCFS Table'!$AA286)*'LCFS Table'!$AC286)*6.48</f>
        <v>167.42872340425535</v>
      </c>
      <c r="W286" s="185">
        <f>(('LCFS Table'!$O286/'LCFS Table'!$AA286)*'LCFS Table'!$AD286)*6.48</f>
        <v>56.872340425531917</v>
      </c>
      <c r="X286" s="185">
        <f>(('LCFS Table'!$U286/'LCFS Table'!$AA286)*'LCFS Table'!$AE286)*6.48</f>
        <v>83.369680851063848</v>
      </c>
      <c r="Y286" s="185">
        <f>(('LCFS Table'!$T286/'LCFS Table'!$AB286)*'LCFS Table'!$AF286)*7.35</f>
        <v>313.51769531249994</v>
      </c>
      <c r="Z286" s="185">
        <f>(('LCFS Table'!$R286/'LCFS Table'!$AB286)*'LCFS Table'!$AG286)*7.35</f>
        <v>56.46484375</v>
      </c>
      <c r="AA286" s="138">
        <v>0.94</v>
      </c>
      <c r="AB286" s="138">
        <v>0.96</v>
      </c>
      <c r="AC286" s="138">
        <v>0.5</v>
      </c>
      <c r="AD286" s="138">
        <v>0.25</v>
      </c>
      <c r="AE286" s="138">
        <v>0.25</v>
      </c>
      <c r="AF286" s="138">
        <v>0.75</v>
      </c>
      <c r="AG286" s="138">
        <v>0.25</v>
      </c>
      <c r="AH286" s="139">
        <v>4.375</v>
      </c>
      <c r="AI286" s="139">
        <v>136</v>
      </c>
      <c r="AJ286" s="139">
        <v>110</v>
      </c>
      <c r="AK286" s="186">
        <f>('LCFS Table'!$AI286/340)*100</f>
        <v>40</v>
      </c>
      <c r="AL286" s="186">
        <f>('LCFS Table'!$AJ286/340)*100</f>
        <v>32.352941176470587</v>
      </c>
      <c r="AM286" s="139">
        <v>105</v>
      </c>
      <c r="AN286" s="139">
        <v>90</v>
      </c>
      <c r="AO286" s="139">
        <f>('LCFS Table'!$AM286/300)*100</f>
        <v>35</v>
      </c>
      <c r="AP286" s="139">
        <f>('LCFS Table'!$AN286/300)*100</f>
        <v>30</v>
      </c>
      <c r="AQ286" s="140">
        <f>'[1]LCFS Values'!$B285</f>
        <v>45</v>
      </c>
      <c r="AR286" s="140">
        <f>'[1]RIN Values'!$B285/100</f>
        <v>0.54600000000000004</v>
      </c>
      <c r="AS286" s="185">
        <f>((('[2]Controls 2'!$B$2-SUM(('[2]Controls 2'!$B$5*'LCFS Table'!$AC286),('[2]Controls 2'!$B$6*'LCFS Table'!$AD286),('[2]Controls 2'!$B$7*'LCFS Table'!$AE286)))/1000000)*'LCFS Table'!$AQ286)*'[2]Controls 2'!$B$8</f>
        <v>0.35940602071986605</v>
      </c>
      <c r="AT286" s="137">
        <v>0.16</v>
      </c>
      <c r="AU286" s="137">
        <v>1</v>
      </c>
      <c r="AV286" s="185">
        <f>'LCFS Table'!$AR286*1.7</f>
        <v>0.92820000000000003</v>
      </c>
      <c r="AW286" s="137">
        <v>0</v>
      </c>
      <c r="AX286" s="185">
        <f>(((('[2]Controls 2'!$B$2-SUM(('LCFS Table'!$AF286*'[2]Controls 2'!$B$12),('LCFS Table'!$AG286*'[2]Controls 2'!$B$13)))/1000000)*'LCFS Table'!$AQ286)*'[2]Controls 2'!$B$14)</f>
        <v>0.23703768562499997</v>
      </c>
      <c r="AY286" s="137">
        <v>0</v>
      </c>
      <c r="AZ286" s="141">
        <v>1</v>
      </c>
      <c r="BA286" s="185">
        <f>'LCFS Table'!$AR286*1.5</f>
        <v>0.81900000000000006</v>
      </c>
      <c r="BB286" s="142">
        <v>1.2</v>
      </c>
      <c r="BC286" s="185">
        <f>'LCFS Table'!$AS286*'LCFS Table'!$BW286</f>
        <v>0.35940602071986605</v>
      </c>
      <c r="BD286" s="185">
        <f>'LCFS Table'!$AT286*'LCFS Table'!$BX286</f>
        <v>0</v>
      </c>
      <c r="BE286" s="185">
        <f>'LCFS Table'!$AU286*'LCFS Table'!$BY286</f>
        <v>1</v>
      </c>
      <c r="BF286" s="137">
        <f>'LCFS Table'!$AV286*'LCFS Table'!$BZ286</f>
        <v>0.92820000000000003</v>
      </c>
      <c r="BG286" s="137">
        <f>'LCFS Table'!$AW286*'LCFS Table'!$CA286</f>
        <v>0</v>
      </c>
      <c r="BH286" s="137">
        <f>'LCFS Table'!$AX286*'LCFS Table'!$CB286</f>
        <v>0.23703768562499997</v>
      </c>
      <c r="BI286" s="137">
        <f>'LCFS Table'!$AY286*'LCFS Table'!$CC286</f>
        <v>0</v>
      </c>
      <c r="BJ286" s="137">
        <f>'LCFS Table'!$AZ286*'LCFS Table'!$CD286</f>
        <v>1</v>
      </c>
      <c r="BK286" s="137">
        <f>'LCFS Table'!$BA286*'LCFS Table'!$CE286</f>
        <v>0.81900000000000006</v>
      </c>
      <c r="BL286" s="137">
        <f>'LCFS Table'!$BB286*'LCFS Table'!$CF286</f>
        <v>-1.2</v>
      </c>
      <c r="BM286" s="137">
        <f>'LCFS Table'!$AS286*'LCFS Table'!$CG286</f>
        <v>0</v>
      </c>
      <c r="BN286" s="137">
        <f>'LCFS Table'!$AT286*'LCFS Table'!$CH286</f>
        <v>0.16</v>
      </c>
      <c r="BO286" s="137">
        <f>'LCFS Table'!$AU286*'LCFS Table'!$CI286</f>
        <v>0</v>
      </c>
      <c r="BP286" s="137">
        <f>'LCFS Table'!$AV286*'LCFS Table'!$CJ286</f>
        <v>0</v>
      </c>
      <c r="BQ286" s="137">
        <f>'LCFS Table'!$AW286*'LCFS Table'!$CK286</f>
        <v>0</v>
      </c>
      <c r="BR286" s="137">
        <f>'LCFS Table'!$AX286*'LCFS Table'!$CL286</f>
        <v>0</v>
      </c>
      <c r="BS286" s="137">
        <f>'LCFS Table'!$AY286*'LCFS Table'!$CM286</f>
        <v>0</v>
      </c>
      <c r="BT286" s="137">
        <f>'LCFS Table'!$AZ286*'LCFS Table'!$CN286</f>
        <v>0</v>
      </c>
      <c r="BU286" s="137">
        <f>'LCFS Table'!$BA286*'LCFS Table'!$CO286</f>
        <v>0</v>
      </c>
      <c r="BV286" s="142">
        <f>'LCFS Table'!$BB286*'LCFS Table'!$CP286</f>
        <v>1.2</v>
      </c>
      <c r="BW286" s="138">
        <v>1</v>
      </c>
      <c r="BX286" s="138">
        <v>0</v>
      </c>
      <c r="BY286" s="138">
        <v>1</v>
      </c>
      <c r="BZ286" s="138">
        <v>1</v>
      </c>
      <c r="CA286" s="138">
        <v>-1</v>
      </c>
      <c r="CB286" s="138">
        <v>1</v>
      </c>
      <c r="CC286" s="138">
        <v>0</v>
      </c>
      <c r="CD286" s="138">
        <v>1</v>
      </c>
      <c r="CE286" s="138">
        <v>1</v>
      </c>
      <c r="CF286" s="138">
        <v>-1</v>
      </c>
      <c r="CG286" s="138">
        <f>1-'LCFS Table'!$BW286</f>
        <v>0</v>
      </c>
      <c r="CH286" s="138">
        <f>1-'LCFS Table'!$BX286</f>
        <v>1</v>
      </c>
      <c r="CI286" s="138">
        <f>1-'LCFS Table'!$BY286</f>
        <v>0</v>
      </c>
      <c r="CJ286" s="138">
        <f>1-'LCFS Table'!$BZ286</f>
        <v>0</v>
      </c>
      <c r="CK286" s="138">
        <f>-'LCFS Table'!$CA286</f>
        <v>1</v>
      </c>
      <c r="CL286" s="138">
        <f>1-'LCFS Table'!$CB286</f>
        <v>0</v>
      </c>
      <c r="CM286" s="138">
        <f>1-'LCFS Table'!$CC286</f>
        <v>1</v>
      </c>
      <c r="CN286" s="138">
        <f>1-'LCFS Table'!$CD286</f>
        <v>0</v>
      </c>
      <c r="CO286" s="138">
        <f>1-'LCFS Table'!$CE286</f>
        <v>0</v>
      </c>
      <c r="CP286" s="138">
        <f>-'LCFS Table'!$CF286</f>
        <v>1</v>
      </c>
      <c r="CQ286" s="140">
        <f t="shared" si="6"/>
        <v>7</v>
      </c>
      <c r="CR286" s="165">
        <f>('LCFS Table'!$CQ286*0.9/(0.8/0.99)/100)</f>
        <v>7.796249999999999E-2</v>
      </c>
      <c r="CS286" s="166"/>
      <c r="CT286" s="167"/>
      <c r="CW286" s="168">
        <f>'LCFS Table'!$K286-'LCFS Table'!$M286</f>
        <v>5.0537685625000162E-2</v>
      </c>
      <c r="CX286" s="129">
        <f>MONTH('LCFS Table'!$B286)</f>
        <v>6</v>
      </c>
      <c r="CY286" s="129">
        <f>YEAR('LCFS Table'!$B286)</f>
        <v>2024</v>
      </c>
    </row>
    <row r="287" spans="1:103">
      <c r="A287" s="148">
        <v>45452</v>
      </c>
      <c r="B287" s="149">
        <v>45458</v>
      </c>
      <c r="C287" s="132">
        <f t="shared" si="5"/>
        <v>2024</v>
      </c>
      <c r="D287" s="150" t="s">
        <v>280</v>
      </c>
      <c r="E287" s="187">
        <f>'LCFS Table'!$K287-'LCFS Table'!$I287</f>
        <v>-1.3899687734668338</v>
      </c>
      <c r="F287" s="187">
        <f>('LCFS Table'!$M287)-'LCFS Table'!$J287</f>
        <v>-2.0276831364812509</v>
      </c>
      <c r="G287" s="188">
        <f>'LCFS Table'!$E287+'LCFS Table'!$AS287+'LCFS Table'!$AT287+'LCFS Table'!$AU287+'LCFS Table'!$AV287</f>
        <v>1.0532445069997896</v>
      </c>
      <c r="H287" s="188">
        <f>'LCFS Table'!$F287+'LCFS Table'!$AX287+'LCFS Table'!$AY287+'LCFS Table'!$AZ287+'LCFS Table'!$BA287+('LCFS Table'!$CQ287*0.9/(0.8/0.99)/100)+(DG287*'LCFS Table'!$AF287)+(DF287*'LCFS Table'!$AG287)</f>
        <v>0.1034199218749991</v>
      </c>
      <c r="I287" s="187">
        <f>('LCFS Table'!$V287+'LCFS Table'!$W287+'LCFS Table'!$X287)/100+(('LCFS Table'!$AI287+'LCFS Table'!$AJ287)/340)</f>
        <v>3.8467687734668337</v>
      </c>
      <c r="J287" s="187">
        <f>(('LCFS Table'!$Y287+'LCFS Table'!$Z287)/100)+(('LCFS Table'!$AM287+'LCFS Table'!$AN287)/300)</f>
        <v>4.3445425781250009</v>
      </c>
      <c r="K287" s="190">
        <f>'[1]Fuel Values'!$C286</f>
        <v>2.4567999999999999</v>
      </c>
      <c r="L287" s="190">
        <f>'[1]Fuel Values'!$B286</f>
        <v>437</v>
      </c>
      <c r="M287" s="185">
        <f>('LCFS Table'!$L287/100)-'LCFS Table'!$AX287-'LCFS Table'!$AY287-'LCFS Table'!$AZ287-'LCFS Table'!$BA287</f>
        <v>2.31685944164375</v>
      </c>
      <c r="N287" s="190">
        <f>[1]BFT!$B286</f>
        <v>45.4</v>
      </c>
      <c r="O287" s="190">
        <f>[1]UCO!$B286</f>
        <v>33</v>
      </c>
      <c r="P287" s="190">
        <f>[1]DCO!$B286</f>
        <v>44.3</v>
      </c>
      <c r="Q287" s="190">
        <f>'[1]Soybean Oil'!$B286</f>
        <v>50.131999999999998</v>
      </c>
      <c r="R287" s="190">
        <f>'[1]Yellow Grease'!$B286</f>
        <v>29.5</v>
      </c>
      <c r="S287" s="185">
        <f>'LCFS Table'!$N287 + 'LCFS Table'!$AH287</f>
        <v>49.774999999999999</v>
      </c>
      <c r="T287" s="185">
        <f>'LCFS Table'!$Q287+'LCFS Table'!$AH287</f>
        <v>54.506999999999998</v>
      </c>
      <c r="U287" s="185">
        <f>'LCFS Table'!$P287+'LCFS Table'!$AH287</f>
        <v>48.674999999999997</v>
      </c>
      <c r="V287" s="185">
        <f>(('LCFS Table'!$S287/'LCFS Table'!$AA287)*'LCFS Table'!$AC287)*6.48</f>
        <v>171.56489361702131</v>
      </c>
      <c r="W287" s="185">
        <f>(('LCFS Table'!$O287/'LCFS Table'!$AA287)*'LCFS Table'!$AD287)*6.48</f>
        <v>56.872340425531917</v>
      </c>
      <c r="X287" s="185">
        <f>(('LCFS Table'!$U287/'LCFS Table'!$AA287)*'LCFS Table'!$AE287)*6.48</f>
        <v>83.886702127659575</v>
      </c>
      <c r="Y287" s="185">
        <f>(('LCFS Table'!$T287/'LCFS Table'!$AB287)*'LCFS Table'!$AF287)*7.35</f>
        <v>312.98941406250003</v>
      </c>
      <c r="Z287" s="185">
        <f>(('LCFS Table'!$R287/'LCFS Table'!$AB287)*'LCFS Table'!$AG287)*7.35</f>
        <v>56.46484375</v>
      </c>
      <c r="AA287" s="138">
        <v>0.94</v>
      </c>
      <c r="AB287" s="138">
        <v>0.96</v>
      </c>
      <c r="AC287" s="138">
        <v>0.5</v>
      </c>
      <c r="AD287" s="138">
        <v>0.25</v>
      </c>
      <c r="AE287" s="138">
        <v>0.25</v>
      </c>
      <c r="AF287" s="138">
        <v>0.75</v>
      </c>
      <c r="AG287" s="138">
        <v>0.25</v>
      </c>
      <c r="AH287" s="139">
        <v>4.375</v>
      </c>
      <c r="AI287" s="139">
        <v>136</v>
      </c>
      <c r="AJ287" s="139">
        <v>110</v>
      </c>
      <c r="AK287" s="186">
        <f>('LCFS Table'!$AI287/340)*100</f>
        <v>40</v>
      </c>
      <c r="AL287" s="186">
        <f>('LCFS Table'!$AJ287/340)*100</f>
        <v>32.352941176470587</v>
      </c>
      <c r="AM287" s="139">
        <v>105</v>
      </c>
      <c r="AN287" s="139">
        <v>90</v>
      </c>
      <c r="AO287" s="139">
        <f>('LCFS Table'!$AM287/300)*100</f>
        <v>35</v>
      </c>
      <c r="AP287" s="139">
        <f>('LCFS Table'!$AN287/300)*100</f>
        <v>30</v>
      </c>
      <c r="AQ287" s="140">
        <f>'[1]LCFS Values'!$B286</f>
        <v>44.45</v>
      </c>
      <c r="AR287" s="140">
        <f>'[1]RIN Values'!$B286/100</f>
        <v>0.54600000000000004</v>
      </c>
      <c r="AS287" s="185">
        <f>((('[2]Controls 2'!$B$2-SUM(('[2]Controls 2'!$B$5*'LCFS Table'!$AC287),('[2]Controls 2'!$B$6*'LCFS Table'!$AD287),('[2]Controls 2'!$B$7*'LCFS Table'!$AE287)))/1000000)*'LCFS Table'!$AQ287)*'[2]Controls 2'!$B$8</f>
        <v>0.35501328046662328</v>
      </c>
      <c r="AT287" s="137">
        <v>0.16</v>
      </c>
      <c r="AU287" s="137">
        <v>1</v>
      </c>
      <c r="AV287" s="185">
        <f>'LCFS Table'!$AR287*1.7</f>
        <v>0.92820000000000003</v>
      </c>
      <c r="AW287" s="137">
        <v>0</v>
      </c>
      <c r="AX287" s="185">
        <f>(((('[2]Controls 2'!$B$2-SUM(('LCFS Table'!$AF287*'[2]Controls 2'!$B$12),('LCFS Table'!$AG287*'[2]Controls 2'!$B$13)))/1000000)*'LCFS Table'!$AQ287)*'[2]Controls 2'!$B$14)</f>
        <v>0.23414055835625</v>
      </c>
      <c r="AY287" s="137">
        <v>0</v>
      </c>
      <c r="AZ287" s="141">
        <v>1</v>
      </c>
      <c r="BA287" s="185">
        <f>'LCFS Table'!$AR287*1.5</f>
        <v>0.81900000000000006</v>
      </c>
      <c r="BB287" s="142">
        <v>1.2</v>
      </c>
      <c r="BC287" s="185">
        <f>'LCFS Table'!$AS287*'LCFS Table'!$BW287</f>
        <v>0.35501328046662328</v>
      </c>
      <c r="BD287" s="185">
        <f>'LCFS Table'!$AT287*'LCFS Table'!$BX287</f>
        <v>0</v>
      </c>
      <c r="BE287" s="185">
        <f>'LCFS Table'!$AU287*'LCFS Table'!$BY287</f>
        <v>1</v>
      </c>
      <c r="BF287" s="137">
        <f>'LCFS Table'!$AV287*'LCFS Table'!$BZ287</f>
        <v>0.92820000000000003</v>
      </c>
      <c r="BG287" s="137">
        <f>'LCFS Table'!$AW287*'LCFS Table'!$CA287</f>
        <v>0</v>
      </c>
      <c r="BH287" s="137">
        <f>'LCFS Table'!$AX287*'LCFS Table'!$CB287</f>
        <v>0.23414055835625</v>
      </c>
      <c r="BI287" s="137">
        <f>'LCFS Table'!$AY287*'LCFS Table'!$CC287</f>
        <v>0</v>
      </c>
      <c r="BJ287" s="137">
        <f>'LCFS Table'!$AZ287*'LCFS Table'!$CD287</f>
        <v>1</v>
      </c>
      <c r="BK287" s="137">
        <f>'LCFS Table'!$BA287*'LCFS Table'!$CE287</f>
        <v>0.81900000000000006</v>
      </c>
      <c r="BL287" s="137">
        <f>'LCFS Table'!$BB287*'LCFS Table'!$CF287</f>
        <v>-1.2</v>
      </c>
      <c r="BM287" s="137">
        <f>'LCFS Table'!$AS287*'LCFS Table'!$CG287</f>
        <v>0</v>
      </c>
      <c r="BN287" s="137">
        <f>'LCFS Table'!$AT287*'LCFS Table'!$CH287</f>
        <v>0.16</v>
      </c>
      <c r="BO287" s="137">
        <f>'LCFS Table'!$AU287*'LCFS Table'!$CI287</f>
        <v>0</v>
      </c>
      <c r="BP287" s="137">
        <f>'LCFS Table'!$AV287*'LCFS Table'!$CJ287</f>
        <v>0</v>
      </c>
      <c r="BQ287" s="137">
        <f>'LCFS Table'!$AW287*'LCFS Table'!$CK287</f>
        <v>0</v>
      </c>
      <c r="BR287" s="137">
        <f>'LCFS Table'!$AX287*'LCFS Table'!$CL287</f>
        <v>0</v>
      </c>
      <c r="BS287" s="137">
        <f>'LCFS Table'!$AY287*'LCFS Table'!$CM287</f>
        <v>0</v>
      </c>
      <c r="BT287" s="137">
        <f>'LCFS Table'!$AZ287*'LCFS Table'!$CN287</f>
        <v>0</v>
      </c>
      <c r="BU287" s="137">
        <f>'LCFS Table'!$BA287*'LCFS Table'!$CO287</f>
        <v>0</v>
      </c>
      <c r="BV287" s="142">
        <f>'LCFS Table'!$BB287*'LCFS Table'!$CP287</f>
        <v>1.2</v>
      </c>
      <c r="BW287" s="138">
        <v>1</v>
      </c>
      <c r="BX287" s="138">
        <v>0</v>
      </c>
      <c r="BY287" s="138">
        <v>1</v>
      </c>
      <c r="BZ287" s="138">
        <v>1</v>
      </c>
      <c r="CA287" s="138">
        <v>-1</v>
      </c>
      <c r="CB287" s="138">
        <v>1</v>
      </c>
      <c r="CC287" s="138">
        <v>0</v>
      </c>
      <c r="CD287" s="138">
        <v>1</v>
      </c>
      <c r="CE287" s="138">
        <v>1</v>
      </c>
      <c r="CF287" s="138">
        <v>-1</v>
      </c>
      <c r="CG287" s="138">
        <f>1-'LCFS Table'!$BW287</f>
        <v>0</v>
      </c>
      <c r="CH287" s="138">
        <f>1-'LCFS Table'!$BX287</f>
        <v>1</v>
      </c>
      <c r="CI287" s="138">
        <f>1-'LCFS Table'!$BY287</f>
        <v>0</v>
      </c>
      <c r="CJ287" s="138">
        <f>1-'LCFS Table'!$BZ287</f>
        <v>0</v>
      </c>
      <c r="CK287" s="138">
        <f>-'LCFS Table'!$CA287</f>
        <v>1</v>
      </c>
      <c r="CL287" s="138">
        <f>1-'LCFS Table'!$CB287</f>
        <v>0</v>
      </c>
      <c r="CM287" s="138">
        <f>1-'LCFS Table'!$CC287</f>
        <v>1</v>
      </c>
      <c r="CN287" s="138">
        <f>1-'LCFS Table'!$CD287</f>
        <v>0</v>
      </c>
      <c r="CO287" s="138">
        <f>1-'LCFS Table'!$CE287</f>
        <v>0</v>
      </c>
      <c r="CP287" s="138">
        <f>-'LCFS Table'!$CF287</f>
        <v>1</v>
      </c>
      <c r="CQ287" s="140">
        <f t="shared" si="6"/>
        <v>7</v>
      </c>
      <c r="CR287" s="165">
        <f>('LCFS Table'!$CQ287*0.9/(0.8/0.99)/100)</f>
        <v>7.796249999999999E-2</v>
      </c>
      <c r="CS287" s="166"/>
      <c r="CT287" s="167"/>
      <c r="CW287" s="168">
        <f>'LCFS Table'!$K287-'LCFS Table'!$M287</f>
        <v>0.13994055835624986</v>
      </c>
      <c r="CX287" s="129">
        <f>MONTH('LCFS Table'!$B287)</f>
        <v>6</v>
      </c>
      <c r="CY287" s="129">
        <f>YEAR('LCFS Table'!$B287)</f>
        <v>2024</v>
      </c>
    </row>
    <row r="288" spans="1:103">
      <c r="A288" s="148">
        <v>45459</v>
      </c>
      <c r="B288" s="149">
        <v>45465</v>
      </c>
      <c r="C288" s="132">
        <f t="shared" si="5"/>
        <v>2024</v>
      </c>
      <c r="D288" s="150" t="s">
        <v>281</v>
      </c>
      <c r="E288" s="187">
        <f>'LCFS Table'!$K288-'LCFS Table'!$I288</f>
        <v>-1.4498065394242801</v>
      </c>
      <c r="F288" s="187">
        <f>('LCFS Table'!$M288)-'LCFS Table'!$J288</f>
        <v>-1.9677547426525499</v>
      </c>
      <c r="G288" s="188">
        <f>'LCFS Table'!$E288+'LCFS Table'!$AS288+'LCFS Table'!$AT288+'LCFS Table'!$AU288+'LCFS Table'!$AV288</f>
        <v>1.0089851927758893</v>
      </c>
      <c r="H288" s="188">
        <f>'LCFS Table'!$F288+'LCFS Table'!$AX288+'LCFS Table'!$AY288+'LCFS Table'!$AZ288+'LCFS Table'!$BA288+('LCFS Table'!$CQ288*0.9/(0.8/0.99)/100)+(DG288*'LCFS Table'!$AF288)+(DF288*'LCFS Table'!$AG288)</f>
        <v>0.17750546875000023</v>
      </c>
      <c r="I288" s="187">
        <f>('LCFS Table'!$V288+'LCFS Table'!$W288+'LCFS Table'!$X288)/100+(('LCFS Table'!$AI288+'LCFS Table'!$AJ288)/340)</f>
        <v>3.9646065394242802</v>
      </c>
      <c r="J288" s="187">
        <f>(('LCFS Table'!$Y288+'LCFS Table'!$Z288)/100)+(('LCFS Table'!$AM288+'LCFS Table'!$AN288)/300)</f>
        <v>4.3504570312500004</v>
      </c>
      <c r="K288" s="190">
        <f>'[1]Fuel Values'!$C287</f>
        <v>2.5148000000000001</v>
      </c>
      <c r="L288" s="190">
        <f>'[1]Fuel Values'!$B287</f>
        <v>445</v>
      </c>
      <c r="M288" s="185">
        <f>('LCFS Table'!$L288/100)-'LCFS Table'!$AX288-'LCFS Table'!$AY288-'LCFS Table'!$AZ288-'LCFS Table'!$BA288</f>
        <v>2.3827022885974505</v>
      </c>
      <c r="N288" s="190">
        <f>[1]BFT!$B287</f>
        <v>48.5</v>
      </c>
      <c r="O288" s="190">
        <f>[1]UCO!$B287</f>
        <v>33</v>
      </c>
      <c r="P288" s="190">
        <f>[1]DCO!$B287</f>
        <v>44.9375</v>
      </c>
      <c r="Q288" s="190">
        <f>'[1]Soybean Oil'!$B287</f>
        <v>50.234999999999999</v>
      </c>
      <c r="R288" s="190">
        <f>'[1]Yellow Grease'!$B287</f>
        <v>29.5</v>
      </c>
      <c r="S288" s="185">
        <f>'LCFS Table'!$N288 + 'LCFS Table'!$AH288</f>
        <v>52.875</v>
      </c>
      <c r="T288" s="185">
        <f>'LCFS Table'!$Q288+'LCFS Table'!$AH288</f>
        <v>54.61</v>
      </c>
      <c r="U288" s="185">
        <f>'LCFS Table'!$P288+'LCFS Table'!$AH288</f>
        <v>49.3125</v>
      </c>
      <c r="V288" s="185">
        <f>(('LCFS Table'!$S288/'LCFS Table'!$AA288)*'LCFS Table'!$AC288)*6.48</f>
        <v>182.25</v>
      </c>
      <c r="W288" s="185">
        <f>(('LCFS Table'!$O288/'LCFS Table'!$AA288)*'LCFS Table'!$AD288)*6.48</f>
        <v>56.872340425531917</v>
      </c>
      <c r="X288" s="185">
        <f>(('LCFS Table'!$U288/'LCFS Table'!$AA288)*'LCFS Table'!$AE288)*6.48</f>
        <v>84.985372340425542</v>
      </c>
      <c r="Y288" s="185">
        <f>(('LCFS Table'!$T288/'LCFS Table'!$AB288)*'LCFS Table'!$AF288)*7.35</f>
        <v>313.58085937499999</v>
      </c>
      <c r="Z288" s="185">
        <f>(('LCFS Table'!$R288/'LCFS Table'!$AB288)*'LCFS Table'!$AG288)*7.35</f>
        <v>56.46484375</v>
      </c>
      <c r="AA288" s="138">
        <v>0.94</v>
      </c>
      <c r="AB288" s="138">
        <v>0.96</v>
      </c>
      <c r="AC288" s="138">
        <v>0.5</v>
      </c>
      <c r="AD288" s="138">
        <v>0.25</v>
      </c>
      <c r="AE288" s="138">
        <v>0.25</v>
      </c>
      <c r="AF288" s="138">
        <v>0.75</v>
      </c>
      <c r="AG288" s="138">
        <v>0.25</v>
      </c>
      <c r="AH288" s="139">
        <v>4.375</v>
      </c>
      <c r="AI288" s="139">
        <v>136</v>
      </c>
      <c r="AJ288" s="139">
        <v>110</v>
      </c>
      <c r="AK288" s="186">
        <f>('LCFS Table'!$AI288/340)*100</f>
        <v>40</v>
      </c>
      <c r="AL288" s="186">
        <f>('LCFS Table'!$AJ288/340)*100</f>
        <v>32.352941176470587</v>
      </c>
      <c r="AM288" s="139">
        <v>105</v>
      </c>
      <c r="AN288" s="139">
        <v>90</v>
      </c>
      <c r="AO288" s="139">
        <f>('LCFS Table'!$AM288/300)*100</f>
        <v>35</v>
      </c>
      <c r="AP288" s="139">
        <f>('LCFS Table'!$AN288/300)*100</f>
        <v>30</v>
      </c>
      <c r="AQ288" s="140">
        <f>'[1]LCFS Values'!$B287</f>
        <v>44.218800000000002</v>
      </c>
      <c r="AR288" s="140">
        <f>'[1]RIN Values'!$B287/100</f>
        <v>0.55625000000000002</v>
      </c>
      <c r="AS288" s="185">
        <f>((('[2]Controls 2'!$B$2-SUM(('[2]Controls 2'!$B$5*'LCFS Table'!$AC288),('[2]Controls 2'!$B$6*'LCFS Table'!$AD288),('[2]Controls 2'!$B$7*'LCFS Table'!$AE288)))/1000000)*'LCFS Table'!$AQ288)*'[2]Controls 2'!$B$8</f>
        <v>0.3531667322001692</v>
      </c>
      <c r="AT288" s="137">
        <v>0.16</v>
      </c>
      <c r="AU288" s="137">
        <v>1</v>
      </c>
      <c r="AV288" s="185">
        <f>'LCFS Table'!$AR288*1.7</f>
        <v>0.94562500000000005</v>
      </c>
      <c r="AW288" s="137">
        <v>0</v>
      </c>
      <c r="AX288" s="185">
        <f>(((('[2]Controls 2'!$B$2-SUM(('LCFS Table'!$AF288*'[2]Controls 2'!$B$12),('LCFS Table'!$AG288*'[2]Controls 2'!$B$13)))/1000000)*'LCFS Table'!$AQ288)*'[2]Controls 2'!$B$14)</f>
        <v>0.23292271140254997</v>
      </c>
      <c r="AY288" s="137">
        <v>0</v>
      </c>
      <c r="AZ288" s="141">
        <v>1</v>
      </c>
      <c r="BA288" s="185">
        <f>'LCFS Table'!$AR288*1.5</f>
        <v>0.83437500000000009</v>
      </c>
      <c r="BB288" s="142">
        <v>1.2</v>
      </c>
      <c r="BC288" s="185">
        <f>'LCFS Table'!$AS288*'LCFS Table'!$BW288</f>
        <v>0.3531667322001692</v>
      </c>
      <c r="BD288" s="185">
        <f>'LCFS Table'!$AT288*'LCFS Table'!$BX288</f>
        <v>0</v>
      </c>
      <c r="BE288" s="185">
        <f>'LCFS Table'!$AU288*'LCFS Table'!$BY288</f>
        <v>1</v>
      </c>
      <c r="BF288" s="137">
        <f>'LCFS Table'!$AV288*'LCFS Table'!$BZ288</f>
        <v>0.94562500000000005</v>
      </c>
      <c r="BG288" s="137">
        <f>'LCFS Table'!$AW288*'LCFS Table'!$CA288</f>
        <v>0</v>
      </c>
      <c r="BH288" s="137">
        <f>'LCFS Table'!$AX288*'LCFS Table'!$CB288</f>
        <v>0.23292271140254997</v>
      </c>
      <c r="BI288" s="137">
        <f>'LCFS Table'!$AY288*'LCFS Table'!$CC288</f>
        <v>0</v>
      </c>
      <c r="BJ288" s="137">
        <f>'LCFS Table'!$AZ288*'LCFS Table'!$CD288</f>
        <v>1</v>
      </c>
      <c r="BK288" s="137">
        <f>'LCFS Table'!$BA288*'LCFS Table'!$CE288</f>
        <v>0.83437500000000009</v>
      </c>
      <c r="BL288" s="137">
        <f>'LCFS Table'!$BB288*'LCFS Table'!$CF288</f>
        <v>-1.2</v>
      </c>
      <c r="BM288" s="137">
        <f>'LCFS Table'!$AS288*'LCFS Table'!$CG288</f>
        <v>0</v>
      </c>
      <c r="BN288" s="137">
        <f>'LCFS Table'!$AT288*'LCFS Table'!$CH288</f>
        <v>0.16</v>
      </c>
      <c r="BO288" s="137">
        <f>'LCFS Table'!$AU288*'LCFS Table'!$CI288</f>
        <v>0</v>
      </c>
      <c r="BP288" s="137">
        <f>'LCFS Table'!$AV288*'LCFS Table'!$CJ288</f>
        <v>0</v>
      </c>
      <c r="BQ288" s="137">
        <f>'LCFS Table'!$AW288*'LCFS Table'!$CK288</f>
        <v>0</v>
      </c>
      <c r="BR288" s="137">
        <f>'LCFS Table'!$AX288*'LCFS Table'!$CL288</f>
        <v>0</v>
      </c>
      <c r="BS288" s="137">
        <f>'LCFS Table'!$AY288*'LCFS Table'!$CM288</f>
        <v>0</v>
      </c>
      <c r="BT288" s="137">
        <f>'LCFS Table'!$AZ288*'LCFS Table'!$CN288</f>
        <v>0</v>
      </c>
      <c r="BU288" s="137">
        <f>'LCFS Table'!$BA288*'LCFS Table'!$CO288</f>
        <v>0</v>
      </c>
      <c r="BV288" s="142">
        <f>'LCFS Table'!$BB288*'LCFS Table'!$CP288</f>
        <v>1.2</v>
      </c>
      <c r="BW288" s="138">
        <v>1</v>
      </c>
      <c r="BX288" s="138">
        <v>0</v>
      </c>
      <c r="BY288" s="138">
        <v>1</v>
      </c>
      <c r="BZ288" s="138">
        <v>1</v>
      </c>
      <c r="CA288" s="138">
        <v>-1</v>
      </c>
      <c r="CB288" s="138">
        <v>1</v>
      </c>
      <c r="CC288" s="138">
        <v>0</v>
      </c>
      <c r="CD288" s="138">
        <v>1</v>
      </c>
      <c r="CE288" s="138">
        <v>1</v>
      </c>
      <c r="CF288" s="138">
        <v>-1</v>
      </c>
      <c r="CG288" s="138">
        <f>1-'LCFS Table'!$BW288</f>
        <v>0</v>
      </c>
      <c r="CH288" s="138">
        <f>1-'LCFS Table'!$BX288</f>
        <v>1</v>
      </c>
      <c r="CI288" s="138">
        <f>1-'LCFS Table'!$BY288</f>
        <v>0</v>
      </c>
      <c r="CJ288" s="138">
        <f>1-'LCFS Table'!$BZ288</f>
        <v>0</v>
      </c>
      <c r="CK288" s="138">
        <f>-'LCFS Table'!$CA288</f>
        <v>1</v>
      </c>
      <c r="CL288" s="138">
        <f>1-'LCFS Table'!$CB288</f>
        <v>0</v>
      </c>
      <c r="CM288" s="138">
        <f>1-'LCFS Table'!$CC288</f>
        <v>1</v>
      </c>
      <c r="CN288" s="138">
        <f>1-'LCFS Table'!$CD288</f>
        <v>0</v>
      </c>
      <c r="CO288" s="138">
        <f>1-'LCFS Table'!$CE288</f>
        <v>0</v>
      </c>
      <c r="CP288" s="138">
        <f>-'LCFS Table'!$CF288</f>
        <v>1</v>
      </c>
      <c r="CQ288" s="140">
        <v>7</v>
      </c>
      <c r="CR288" s="165">
        <f>('LCFS Table'!$CQ288*0.9/(0.8/0.99)/100)</f>
        <v>7.796249999999999E-2</v>
      </c>
      <c r="CS288" s="166"/>
      <c r="CT288" s="167"/>
      <c r="CW288" s="168">
        <f>'LCFS Table'!$K288-'LCFS Table'!$M288</f>
        <v>0.13209771140254967</v>
      </c>
      <c r="CX288" s="129">
        <f>MONTH('LCFS Table'!$B288)</f>
        <v>6</v>
      </c>
      <c r="CY288" s="129">
        <f>YEAR('LCFS Table'!$B288)</f>
        <v>2024</v>
      </c>
    </row>
    <row r="289" spans="1:103">
      <c r="A289" s="148">
        <v>45466</v>
      </c>
      <c r="B289" s="149">
        <v>45472</v>
      </c>
      <c r="C289" s="132">
        <f t="shared" si="5"/>
        <v>2024</v>
      </c>
      <c r="D289" s="150" t="s">
        <v>282</v>
      </c>
      <c r="E289" s="187">
        <f>'LCFS Table'!$K289-'LCFS Table'!$I289</f>
        <v>-1.60356239048811</v>
      </c>
      <c r="F289" s="187">
        <f>('LCFS Table'!$M289)-'LCFS Table'!$J289</f>
        <v>-1.8277049670812495</v>
      </c>
      <c r="G289" s="188">
        <f>'LCFS Table'!$E289+'LCFS Table'!$AS289+'LCFS Table'!$AT289+'LCFS Table'!$AU289+'LCFS Table'!$AV289</f>
        <v>0.866542970254778</v>
      </c>
      <c r="H289" s="188">
        <f>'LCFS Table'!$F289+'LCFS Table'!$AX289+'LCFS Table'!$AY289+'LCFS Table'!$AZ289+'LCFS Table'!$BA289+('LCFS Table'!$CQ289*0.9/(0.8/0.99)/100)+(DG289*'LCFS Table'!$AF289)+(DF289*'LCFS Table'!$AG289)</f>
        <v>0.3260585937500004</v>
      </c>
      <c r="I289" s="187">
        <f>('LCFS Table'!$V289+'LCFS Table'!$W289+'LCFS Table'!$X289)/100+(('LCFS Table'!$AI289+'LCFS Table'!$AJ289)/340)</f>
        <v>4.0561623904881099</v>
      </c>
      <c r="J289" s="187">
        <f>(('LCFS Table'!$Y289+'LCFS Table'!$Z289)/100)+(('LCFS Table'!$AM289+'LCFS Table'!$AN289)/300)</f>
        <v>4.2719039062499995</v>
      </c>
      <c r="K289" s="190">
        <f>'[1]Fuel Values'!$C288</f>
        <v>2.4525999999999999</v>
      </c>
      <c r="L289" s="190">
        <f>'[1]Fuel Values'!$B288</f>
        <v>452</v>
      </c>
      <c r="M289" s="185">
        <f>('LCFS Table'!$L289/100)-'LCFS Table'!$AX289-'LCFS Table'!$AY289-'LCFS Table'!$AZ289-'LCFS Table'!$BA289</f>
        <v>2.44419893916875</v>
      </c>
      <c r="N289" s="190">
        <f>[1]BFT!$B288</f>
        <v>51</v>
      </c>
      <c r="O289" s="190">
        <f>[1]UCO!$B288</f>
        <v>33</v>
      </c>
      <c r="P289" s="190">
        <f>[1]DCO!$B288</f>
        <v>45.25</v>
      </c>
      <c r="Q289" s="190">
        <f>'[1]Soybean Oil'!$B288</f>
        <v>48.866999999999997</v>
      </c>
      <c r="R289" s="190">
        <f>'[1]Yellow Grease'!$B288</f>
        <v>29.5</v>
      </c>
      <c r="S289" s="185">
        <f>'LCFS Table'!$N289 + 'LCFS Table'!$AH289</f>
        <v>55.375</v>
      </c>
      <c r="T289" s="185">
        <f>'LCFS Table'!$Q289+'LCFS Table'!$AH289</f>
        <v>53.241999999999997</v>
      </c>
      <c r="U289" s="185">
        <f>'LCFS Table'!$P289+'LCFS Table'!$AH289</f>
        <v>49.625</v>
      </c>
      <c r="V289" s="185">
        <f>(('LCFS Table'!$S289/'LCFS Table'!$AA289)*'LCFS Table'!$AC289)*6.48</f>
        <v>190.86702127659578</v>
      </c>
      <c r="W289" s="185">
        <f>(('LCFS Table'!$O289/'LCFS Table'!$AA289)*'LCFS Table'!$AD289)*6.48</f>
        <v>56.872340425531917</v>
      </c>
      <c r="X289" s="185">
        <f>(('LCFS Table'!$U289/'LCFS Table'!$AA289)*'LCFS Table'!$AE289)*6.48</f>
        <v>85.523936170212778</v>
      </c>
      <c r="Y289" s="185">
        <f>(('LCFS Table'!$T289/'LCFS Table'!$AB289)*'LCFS Table'!$AF289)*7.35</f>
        <v>305.72554687499996</v>
      </c>
      <c r="Z289" s="185">
        <f>(('LCFS Table'!$R289/'LCFS Table'!$AB289)*'LCFS Table'!$AG289)*7.35</f>
        <v>56.46484375</v>
      </c>
      <c r="AA289" s="138">
        <v>0.94</v>
      </c>
      <c r="AB289" s="138">
        <v>0.96</v>
      </c>
      <c r="AC289" s="138">
        <v>0.5</v>
      </c>
      <c r="AD289" s="138">
        <v>0.25</v>
      </c>
      <c r="AE289" s="138">
        <v>0.25</v>
      </c>
      <c r="AF289" s="138">
        <v>0.75</v>
      </c>
      <c r="AG289" s="138">
        <v>0.25</v>
      </c>
      <c r="AH289" s="139">
        <v>4.375</v>
      </c>
      <c r="AI289" s="139">
        <v>136</v>
      </c>
      <c r="AJ289" s="139">
        <v>110</v>
      </c>
      <c r="AK289" s="186">
        <f>('LCFS Table'!$AI289/340)*100</f>
        <v>40</v>
      </c>
      <c r="AL289" s="186">
        <f>('LCFS Table'!$AJ289/340)*100</f>
        <v>32.352941176470587</v>
      </c>
      <c r="AM289" s="139">
        <v>105</v>
      </c>
      <c r="AN289" s="139">
        <v>90</v>
      </c>
      <c r="AO289" s="139">
        <f>('LCFS Table'!$AM289/300)*100</f>
        <v>35</v>
      </c>
      <c r="AP289" s="139">
        <f>('LCFS Table'!$AN289/300)*100</f>
        <v>30</v>
      </c>
      <c r="AQ289" s="140">
        <f>'[1]LCFS Values'!$B288</f>
        <v>45.05</v>
      </c>
      <c r="AR289" s="140">
        <f>'[1]RIN Values'!$B288/100</f>
        <v>0.55899999999999994</v>
      </c>
      <c r="AS289" s="185">
        <f>((('[2]Controls 2'!$B$2-SUM(('[2]Controls 2'!$B$5*'LCFS Table'!$AC289),('[2]Controls 2'!$B$6*'LCFS Table'!$AD289),('[2]Controls 2'!$B$7*'LCFS Table'!$AE289)))/1000000)*'LCFS Table'!$AQ289)*'[2]Controls 2'!$B$8</f>
        <v>0.3598053607428881</v>
      </c>
      <c r="AT289" s="137">
        <v>0.16</v>
      </c>
      <c r="AU289" s="137">
        <v>1</v>
      </c>
      <c r="AV289" s="185">
        <f>'LCFS Table'!$AR289*1.7</f>
        <v>0.95029999999999992</v>
      </c>
      <c r="AW289" s="137">
        <v>0</v>
      </c>
      <c r="AX289" s="185">
        <f>(((('[2]Controls 2'!$B$2-SUM(('LCFS Table'!$AF289*'[2]Controls 2'!$B$12),('LCFS Table'!$AG289*'[2]Controls 2'!$B$13)))/1000000)*'LCFS Table'!$AQ289)*'[2]Controls 2'!$B$14)</f>
        <v>0.23730106083124997</v>
      </c>
      <c r="AY289" s="137">
        <v>0</v>
      </c>
      <c r="AZ289" s="141">
        <v>1</v>
      </c>
      <c r="BA289" s="185">
        <f>'LCFS Table'!$AR289*1.5</f>
        <v>0.83849999999999991</v>
      </c>
      <c r="BB289" s="142">
        <v>1.2</v>
      </c>
      <c r="BC289" s="185">
        <f>'LCFS Table'!$AS289*'LCFS Table'!$BW289</f>
        <v>0.3598053607428881</v>
      </c>
      <c r="BD289" s="185">
        <f>'LCFS Table'!$AT289*'LCFS Table'!$BX289</f>
        <v>0</v>
      </c>
      <c r="BE289" s="185">
        <f>'LCFS Table'!$AU289*'LCFS Table'!$BY289</f>
        <v>1</v>
      </c>
      <c r="BF289" s="137">
        <f>'LCFS Table'!$AV289*'LCFS Table'!$BZ289</f>
        <v>0.95029999999999992</v>
      </c>
      <c r="BG289" s="137">
        <f>'LCFS Table'!$AW289*'LCFS Table'!$CA289</f>
        <v>0</v>
      </c>
      <c r="BH289" s="137">
        <f>'LCFS Table'!$AX289*'LCFS Table'!$CB289</f>
        <v>0.23730106083124997</v>
      </c>
      <c r="BI289" s="137">
        <f>'LCFS Table'!$AY289*'LCFS Table'!$CC289</f>
        <v>0</v>
      </c>
      <c r="BJ289" s="137">
        <f>'LCFS Table'!$AZ289*'LCFS Table'!$CD289</f>
        <v>1</v>
      </c>
      <c r="BK289" s="137">
        <f>'LCFS Table'!$BA289*'LCFS Table'!$CE289</f>
        <v>0.83849999999999991</v>
      </c>
      <c r="BL289" s="137">
        <f>'LCFS Table'!$BB289*'LCFS Table'!$CF289</f>
        <v>-1.2</v>
      </c>
      <c r="BM289" s="137">
        <f>'LCFS Table'!$AS289*'LCFS Table'!$CG289</f>
        <v>0</v>
      </c>
      <c r="BN289" s="137">
        <f>'LCFS Table'!$AT289*'LCFS Table'!$CH289</f>
        <v>0.16</v>
      </c>
      <c r="BO289" s="137">
        <f>'LCFS Table'!$AU289*'LCFS Table'!$CI289</f>
        <v>0</v>
      </c>
      <c r="BP289" s="137">
        <f>'LCFS Table'!$AV289*'LCFS Table'!$CJ289</f>
        <v>0</v>
      </c>
      <c r="BQ289" s="137">
        <f>'LCFS Table'!$AW289*'LCFS Table'!$CK289</f>
        <v>0</v>
      </c>
      <c r="BR289" s="137">
        <f>'LCFS Table'!$AX289*'LCFS Table'!$CL289</f>
        <v>0</v>
      </c>
      <c r="BS289" s="137">
        <f>'LCFS Table'!$AY289*'LCFS Table'!$CM289</f>
        <v>0</v>
      </c>
      <c r="BT289" s="137">
        <f>'LCFS Table'!$AZ289*'LCFS Table'!$CN289</f>
        <v>0</v>
      </c>
      <c r="BU289" s="137">
        <f>'LCFS Table'!$BA289*'LCFS Table'!$CO289</f>
        <v>0</v>
      </c>
      <c r="BV289" s="142">
        <f>'LCFS Table'!$BB289*'LCFS Table'!$CP289</f>
        <v>1.2</v>
      </c>
      <c r="BW289" s="138">
        <v>1</v>
      </c>
      <c r="BX289" s="138">
        <v>0</v>
      </c>
      <c r="BY289" s="138">
        <v>1</v>
      </c>
      <c r="BZ289" s="138">
        <v>1</v>
      </c>
      <c r="CA289" s="138">
        <v>-1</v>
      </c>
      <c r="CB289" s="138">
        <v>1</v>
      </c>
      <c r="CC289" s="138">
        <v>0</v>
      </c>
      <c r="CD289" s="138">
        <v>1</v>
      </c>
      <c r="CE289" s="138">
        <v>1</v>
      </c>
      <c r="CF289" s="138">
        <v>-1</v>
      </c>
      <c r="CG289" s="138">
        <f>1-'LCFS Table'!$BW289</f>
        <v>0</v>
      </c>
      <c r="CH289" s="138">
        <f>1-'LCFS Table'!$BX289</f>
        <v>1</v>
      </c>
      <c r="CI289" s="138">
        <f>1-'LCFS Table'!$BY289</f>
        <v>0</v>
      </c>
      <c r="CJ289" s="138">
        <f>1-'LCFS Table'!$BZ289</f>
        <v>0</v>
      </c>
      <c r="CK289" s="138">
        <f>-'LCFS Table'!$CA289</f>
        <v>1</v>
      </c>
      <c r="CL289" s="138">
        <f>1-'LCFS Table'!$CB289</f>
        <v>0</v>
      </c>
      <c r="CM289" s="138">
        <f>1-'LCFS Table'!$CC289</f>
        <v>1</v>
      </c>
      <c r="CN289" s="138">
        <f>1-'LCFS Table'!$CD289</f>
        <v>0</v>
      </c>
      <c r="CO289" s="138">
        <f>1-'LCFS Table'!$CE289</f>
        <v>0</v>
      </c>
      <c r="CP289" s="138">
        <f>-'LCFS Table'!$CF289</f>
        <v>1</v>
      </c>
      <c r="CQ289" s="140">
        <v>7</v>
      </c>
      <c r="CR289" s="165">
        <f>('LCFS Table'!$CQ289*0.9/(0.8/0.99)/100)</f>
        <v>7.796249999999999E-2</v>
      </c>
      <c r="CS289" s="166"/>
      <c r="CT289" s="167"/>
      <c r="CW289" s="168">
        <f>'LCFS Table'!$K289-'LCFS Table'!$M289</f>
        <v>8.401060831249918E-3</v>
      </c>
      <c r="CX289" s="129">
        <f>MONTH('LCFS Table'!$B289)</f>
        <v>6</v>
      </c>
      <c r="CY289" s="129">
        <f>YEAR('LCFS Table'!$B289)</f>
        <v>2024</v>
      </c>
    </row>
    <row r="290" spans="1:103">
      <c r="A290" s="148">
        <v>45473</v>
      </c>
      <c r="B290" s="149">
        <v>45479</v>
      </c>
      <c r="C290" s="132">
        <f t="shared" si="5"/>
        <v>2024</v>
      </c>
      <c r="D290" s="150" t="s">
        <v>283</v>
      </c>
      <c r="E290" s="187">
        <f>'LCFS Table'!$K290-'LCFS Table'!$I290</f>
        <v>-1.5820193053817273</v>
      </c>
      <c r="F290" s="187">
        <f>('LCFS Table'!$M290)-'LCFS Table'!$J290</f>
        <v>-2.129973776281251</v>
      </c>
      <c r="G290" s="188">
        <f>'LCFS Table'!$E290+'LCFS Table'!$AS290+'LCFS Table'!$AT290+'LCFS Table'!$AU290+'LCFS Table'!$AV290</f>
        <v>1.0034591149928076</v>
      </c>
      <c r="H290" s="188">
        <f>'LCFS Table'!$F290+'LCFS Table'!$AX290+'LCFS Table'!$AY290+'LCFS Table'!$AZ290+'LCFS Table'!$BA290+('LCFS Table'!$CQ290*0.9/(0.8/0.99)/100)+(DG290*'LCFS Table'!$AF290)+(DF290*'LCFS Table'!$AG290)</f>
        <v>0.12701328124999905</v>
      </c>
      <c r="I290" s="187">
        <f>('LCFS Table'!$V290+'LCFS Table'!$W290+'LCFS Table'!$X290)/100+(('LCFS Table'!$AI290+'LCFS Table'!$AJ290)/340)</f>
        <v>4.0723193053817273</v>
      </c>
      <c r="J290" s="187">
        <f>(('LCFS Table'!$Y290+'LCFS Table'!$Z290)/100)+(('LCFS Table'!$AM290+'LCFS Table'!$AN290)/300)</f>
        <v>4.6134492187500005</v>
      </c>
      <c r="K290" s="190">
        <f>'[1]Fuel Values'!$C289</f>
        <v>2.4903</v>
      </c>
      <c r="L290" s="190">
        <f>'[1]Fuel Values'!$B289</f>
        <v>466.25</v>
      </c>
      <c r="M290" s="185">
        <f>('LCFS Table'!$L290/100)-'LCFS Table'!$AX290-'LCFS Table'!$AY290-'LCFS Table'!$AZ290-'LCFS Table'!$BA290</f>
        <v>2.4834754424687495</v>
      </c>
      <c r="N290" s="190">
        <f>[1]BFT!$B289</f>
        <v>51</v>
      </c>
      <c r="O290" s="190">
        <f>[1]UCO!$B289</f>
        <v>33</v>
      </c>
      <c r="P290" s="190">
        <f>[1]DCO!$B289</f>
        <v>46.1875</v>
      </c>
      <c r="Q290" s="190">
        <f>'[1]Soybean Oil'!$B289</f>
        <v>54.814999999999998</v>
      </c>
      <c r="R290" s="190">
        <f>'[1]Yellow Grease'!$B289</f>
        <v>29.5</v>
      </c>
      <c r="S290" s="185">
        <f>'LCFS Table'!$N290 + 'LCFS Table'!$AH290</f>
        <v>55.375</v>
      </c>
      <c r="T290" s="185">
        <f>'LCFS Table'!$Q290+'LCFS Table'!$AH290</f>
        <v>59.19</v>
      </c>
      <c r="U290" s="185">
        <f>'LCFS Table'!$P290+'LCFS Table'!$AH290</f>
        <v>50.5625</v>
      </c>
      <c r="V290" s="185">
        <f>(('LCFS Table'!$S290/'LCFS Table'!$AA290)*'LCFS Table'!$AC290)*6.48</f>
        <v>190.86702127659578</v>
      </c>
      <c r="W290" s="185">
        <f>(('LCFS Table'!$O290/'LCFS Table'!$AA290)*'LCFS Table'!$AD290)*6.48</f>
        <v>56.872340425531917</v>
      </c>
      <c r="X290" s="185">
        <f>(('LCFS Table'!$U290/'LCFS Table'!$AA290)*'LCFS Table'!$AE290)*6.48</f>
        <v>87.139627659574472</v>
      </c>
      <c r="Y290" s="185">
        <f>(('LCFS Table'!$T290/'LCFS Table'!$AB290)*'LCFS Table'!$AF290)*7.35</f>
        <v>339.88007812500001</v>
      </c>
      <c r="Z290" s="185">
        <f>(('LCFS Table'!$R290/'LCFS Table'!$AB290)*'LCFS Table'!$AG290)*7.35</f>
        <v>56.46484375</v>
      </c>
      <c r="AA290" s="138">
        <v>0.94</v>
      </c>
      <c r="AB290" s="138">
        <v>0.96</v>
      </c>
      <c r="AC290" s="138">
        <v>0.5</v>
      </c>
      <c r="AD290" s="138">
        <v>0.25</v>
      </c>
      <c r="AE290" s="138">
        <v>0.25</v>
      </c>
      <c r="AF290" s="138">
        <v>0.75</v>
      </c>
      <c r="AG290" s="138">
        <v>0.25</v>
      </c>
      <c r="AH290" s="139">
        <v>4.375</v>
      </c>
      <c r="AI290" s="139">
        <v>136</v>
      </c>
      <c r="AJ290" s="139">
        <v>110</v>
      </c>
      <c r="AK290" s="186">
        <f>('LCFS Table'!$AI290/340)*100</f>
        <v>40</v>
      </c>
      <c r="AL290" s="186">
        <f>('LCFS Table'!$AJ290/340)*100</f>
        <v>32.352941176470587</v>
      </c>
      <c r="AM290" s="139">
        <v>105</v>
      </c>
      <c r="AN290" s="139">
        <v>90</v>
      </c>
      <c r="AO290" s="139">
        <f>('LCFS Table'!$AM290/300)*100</f>
        <v>35</v>
      </c>
      <c r="AP290" s="139">
        <f>('LCFS Table'!$AN290/300)*100</f>
        <v>30</v>
      </c>
      <c r="AQ290" s="140">
        <f>'[1]LCFS Values'!$B289</f>
        <v>44.25</v>
      </c>
      <c r="AR290" s="140">
        <f>'[1]RIN Values'!$B289/100</f>
        <v>0.63062499999999999</v>
      </c>
      <c r="AS290" s="185">
        <f>((('[2]Controls 2'!$B$2-SUM(('[2]Controls 2'!$B$5*'LCFS Table'!$AC290),('[2]Controls 2'!$B$6*'LCFS Table'!$AD290),('[2]Controls 2'!$B$7*'LCFS Table'!$AE290)))/1000000)*'LCFS Table'!$AQ290)*'[2]Controls 2'!$B$8</f>
        <v>0.35341592037453501</v>
      </c>
      <c r="AT290" s="137">
        <v>0.16</v>
      </c>
      <c r="AU290" s="137">
        <v>1</v>
      </c>
      <c r="AV290" s="185">
        <f>'LCFS Table'!$AR290*1.7</f>
        <v>1.0720624999999999</v>
      </c>
      <c r="AW290" s="137">
        <v>0</v>
      </c>
      <c r="AX290" s="185">
        <f>(((('[2]Controls 2'!$B$2-SUM(('LCFS Table'!$AF290*'[2]Controls 2'!$B$12),('LCFS Table'!$AG290*'[2]Controls 2'!$B$13)))/1000000)*'LCFS Table'!$AQ290)*'[2]Controls 2'!$B$14)</f>
        <v>0.23308705753125</v>
      </c>
      <c r="AY290" s="137">
        <v>0</v>
      </c>
      <c r="AZ290" s="141">
        <v>1</v>
      </c>
      <c r="BA290" s="185">
        <f>'LCFS Table'!$AR290*1.5</f>
        <v>0.94593749999999999</v>
      </c>
      <c r="BB290" s="142">
        <v>1.2</v>
      </c>
      <c r="BC290" s="185">
        <f>'LCFS Table'!$AS290*'LCFS Table'!$BW290</f>
        <v>0.35341592037453501</v>
      </c>
      <c r="BD290" s="185">
        <f>'LCFS Table'!$AT290*'LCFS Table'!$BX290</f>
        <v>0</v>
      </c>
      <c r="BE290" s="185">
        <f>'LCFS Table'!$AU290*'LCFS Table'!$BY290</f>
        <v>1</v>
      </c>
      <c r="BF290" s="137">
        <f>'LCFS Table'!$AV290*'LCFS Table'!$BZ290</f>
        <v>1.0720624999999999</v>
      </c>
      <c r="BG290" s="137">
        <f>'LCFS Table'!$AW290*'LCFS Table'!$CA290</f>
        <v>0</v>
      </c>
      <c r="BH290" s="137">
        <f>'LCFS Table'!$AX290*'LCFS Table'!$CB290</f>
        <v>0.23308705753125</v>
      </c>
      <c r="BI290" s="137">
        <f>'LCFS Table'!$AY290*'LCFS Table'!$CC290</f>
        <v>0</v>
      </c>
      <c r="BJ290" s="137">
        <f>'LCFS Table'!$AZ290*'LCFS Table'!$CD290</f>
        <v>1</v>
      </c>
      <c r="BK290" s="137">
        <f>'LCFS Table'!$BA290*'LCFS Table'!$CE290</f>
        <v>0.94593749999999999</v>
      </c>
      <c r="BL290" s="137">
        <f>'LCFS Table'!$BB290*'LCFS Table'!$CF290</f>
        <v>-1.2</v>
      </c>
      <c r="BM290" s="137">
        <f>'LCFS Table'!$AS290*'LCFS Table'!$CG290</f>
        <v>0</v>
      </c>
      <c r="BN290" s="137">
        <f>'LCFS Table'!$AT290*'LCFS Table'!$CH290</f>
        <v>0.16</v>
      </c>
      <c r="BO290" s="137">
        <f>'LCFS Table'!$AU290*'LCFS Table'!$CI290</f>
        <v>0</v>
      </c>
      <c r="BP290" s="137">
        <f>'LCFS Table'!$AV290*'LCFS Table'!$CJ290</f>
        <v>0</v>
      </c>
      <c r="BQ290" s="137">
        <f>'LCFS Table'!$AW290*'LCFS Table'!$CK290</f>
        <v>0</v>
      </c>
      <c r="BR290" s="137">
        <f>'LCFS Table'!$AX290*'LCFS Table'!$CL290</f>
        <v>0</v>
      </c>
      <c r="BS290" s="137">
        <f>'LCFS Table'!$AY290*'LCFS Table'!$CM290</f>
        <v>0</v>
      </c>
      <c r="BT290" s="137">
        <f>'LCFS Table'!$AZ290*'LCFS Table'!$CN290</f>
        <v>0</v>
      </c>
      <c r="BU290" s="137">
        <f>'LCFS Table'!$BA290*'LCFS Table'!$CO290</f>
        <v>0</v>
      </c>
      <c r="BV290" s="142">
        <f>'LCFS Table'!$BB290*'LCFS Table'!$CP290</f>
        <v>1.2</v>
      </c>
      <c r="BW290" s="138">
        <v>1</v>
      </c>
      <c r="BX290" s="138">
        <v>0</v>
      </c>
      <c r="BY290" s="138">
        <v>1</v>
      </c>
      <c r="BZ290" s="138">
        <v>1</v>
      </c>
      <c r="CA290" s="138">
        <v>-1</v>
      </c>
      <c r="CB290" s="138">
        <v>1</v>
      </c>
      <c r="CC290" s="138">
        <v>0</v>
      </c>
      <c r="CD290" s="138">
        <v>1</v>
      </c>
      <c r="CE290" s="138">
        <v>1</v>
      </c>
      <c r="CF290" s="138">
        <v>-1</v>
      </c>
      <c r="CG290" s="138">
        <f>1-'LCFS Table'!$BW290</f>
        <v>0</v>
      </c>
      <c r="CH290" s="138">
        <f>1-'LCFS Table'!$BX290</f>
        <v>1</v>
      </c>
      <c r="CI290" s="138">
        <f>1-'LCFS Table'!$BY290</f>
        <v>0</v>
      </c>
      <c r="CJ290" s="138">
        <f>1-'LCFS Table'!$BZ290</f>
        <v>0</v>
      </c>
      <c r="CK290" s="138">
        <f>-'LCFS Table'!$CA290</f>
        <v>1</v>
      </c>
      <c r="CL290" s="138">
        <f>1-'LCFS Table'!$CB290</f>
        <v>0</v>
      </c>
      <c r="CM290" s="138">
        <f>1-'LCFS Table'!$CC290</f>
        <v>1</v>
      </c>
      <c r="CN290" s="138">
        <f>1-'LCFS Table'!$CD290</f>
        <v>0</v>
      </c>
      <c r="CO290" s="138">
        <f>1-'LCFS Table'!$CE290</f>
        <v>0</v>
      </c>
      <c r="CP290" s="138">
        <f>-'LCFS Table'!$CF290</f>
        <v>1</v>
      </c>
      <c r="CQ290" s="140">
        <v>7</v>
      </c>
      <c r="CR290" s="165">
        <f>('LCFS Table'!$CQ290*0.9/(0.8/0.99)/100)</f>
        <v>7.796249999999999E-2</v>
      </c>
      <c r="CS290" s="166"/>
      <c r="CT290" s="167"/>
      <c r="CW290" s="168">
        <f>'LCFS Table'!$K290-'LCFS Table'!$M290</f>
        <v>6.8245575312504414E-3</v>
      </c>
      <c r="CX290" s="129">
        <f>MONTH('LCFS Table'!$B290)</f>
        <v>7</v>
      </c>
      <c r="CY290" s="129">
        <f>YEAR('LCFS Table'!$B290)</f>
        <v>2024</v>
      </c>
    </row>
    <row r="291" spans="1:103">
      <c r="A291" s="148">
        <v>45480</v>
      </c>
      <c r="B291" s="149">
        <v>45486</v>
      </c>
      <c r="C291" s="132">
        <f t="shared" si="5"/>
        <v>2024</v>
      </c>
      <c r="D291" s="150" t="s">
        <v>284</v>
      </c>
      <c r="E291" s="187">
        <f>'LCFS Table'!$K291-'LCFS Table'!$I291</f>
        <v>-1.7345857947434298</v>
      </c>
      <c r="F291" s="187">
        <f>('LCFS Table'!$M291)-'LCFS Table'!$J291</f>
        <v>-2.055135762099999</v>
      </c>
      <c r="G291" s="188">
        <f>'LCFS Table'!$E291+'LCFS Table'!$AS291+'LCFS Table'!$AT291+'LCFS Table'!$AU291+'LCFS Table'!$AV291</f>
        <v>0.87557550579225962</v>
      </c>
      <c r="H291" s="188">
        <f>'LCFS Table'!$F291+'LCFS Table'!$AX291+'LCFS Table'!$AY291+'LCFS Table'!$AZ291+'LCFS Table'!$BA291+('LCFS Table'!$CQ291*0.9/(0.8/0.99)/100)+(DG291*'LCFS Table'!$AF291)+(DF291*'LCFS Table'!$AG291)</f>
        <v>0.23414492187500094</v>
      </c>
      <c r="I291" s="187">
        <f>('LCFS Table'!$V291+'LCFS Table'!$W291+'LCFS Table'!$X291)/100+(('LCFS Table'!$AI291+'LCFS Table'!$AJ291)/340)</f>
        <v>4.0983857947434297</v>
      </c>
      <c r="J291" s="187">
        <f>(('LCFS Table'!$Y291+'LCFS Table'!$Z291)/100)+(('LCFS Table'!$AM291+'LCFS Table'!$AN291)/300)</f>
        <v>4.5999550781249994</v>
      </c>
      <c r="K291" s="190">
        <f>'[1]Fuel Values'!$C290</f>
        <v>2.3637999999999999</v>
      </c>
      <c r="L291" s="190">
        <f>'[1]Fuel Values'!$B290</f>
        <v>474.5</v>
      </c>
      <c r="M291" s="185">
        <f>('LCFS Table'!$L291/100)-'LCFS Table'!$AX291-'LCFS Table'!$AY291-'LCFS Table'!$AZ291-'LCFS Table'!$BA291</f>
        <v>2.5448193160250003</v>
      </c>
      <c r="N291" s="190">
        <f>[1]BFT!$B290</f>
        <v>51</v>
      </c>
      <c r="O291" s="190">
        <f>[1]UCO!$B290</f>
        <v>33.200000000000003</v>
      </c>
      <c r="P291" s="190">
        <f>[1]DCO!$B290</f>
        <v>47.5</v>
      </c>
      <c r="Q291" s="190">
        <f>'[1]Soybean Oil'!$B290</f>
        <v>54.58</v>
      </c>
      <c r="R291" s="190">
        <f>'[1]Yellow Grease'!$B290</f>
        <v>29.5</v>
      </c>
      <c r="S291" s="185">
        <f>'LCFS Table'!$N291 + 'LCFS Table'!$AH291</f>
        <v>55.375</v>
      </c>
      <c r="T291" s="185">
        <f>'LCFS Table'!$Q291+'LCFS Table'!$AH291</f>
        <v>58.954999999999998</v>
      </c>
      <c r="U291" s="185">
        <f>'LCFS Table'!$P291+'LCFS Table'!$AH291</f>
        <v>51.875</v>
      </c>
      <c r="V291" s="185">
        <f>(('LCFS Table'!$S291/'LCFS Table'!$AA291)*'LCFS Table'!$AC291)*6.48</f>
        <v>190.86702127659578</v>
      </c>
      <c r="W291" s="185">
        <f>(('LCFS Table'!$O291/'LCFS Table'!$AA291)*'LCFS Table'!$AD291)*6.48</f>
        <v>57.217021276595752</v>
      </c>
      <c r="X291" s="185">
        <f>(('LCFS Table'!$U291/'LCFS Table'!$AA291)*'LCFS Table'!$AE291)*6.48</f>
        <v>89.401595744680861</v>
      </c>
      <c r="Y291" s="185">
        <f>(('LCFS Table'!$T291/'LCFS Table'!$AB291)*'LCFS Table'!$AF291)*7.35</f>
        <v>338.53066406249997</v>
      </c>
      <c r="Z291" s="185">
        <f>(('LCFS Table'!$R291/'LCFS Table'!$AB291)*'LCFS Table'!$AG291)*7.35</f>
        <v>56.46484375</v>
      </c>
      <c r="AA291" s="138">
        <v>0.94</v>
      </c>
      <c r="AB291" s="138">
        <v>0.96</v>
      </c>
      <c r="AC291" s="138">
        <v>0.5</v>
      </c>
      <c r="AD291" s="138">
        <v>0.25</v>
      </c>
      <c r="AE291" s="138">
        <v>0.25</v>
      </c>
      <c r="AF291" s="138">
        <v>0.75</v>
      </c>
      <c r="AG291" s="138">
        <v>0.25</v>
      </c>
      <c r="AH291" s="139">
        <v>4.375</v>
      </c>
      <c r="AI291" s="139">
        <v>136</v>
      </c>
      <c r="AJ291" s="139">
        <v>110</v>
      </c>
      <c r="AK291" s="186">
        <f>('LCFS Table'!$AI291/340)*100</f>
        <v>40</v>
      </c>
      <c r="AL291" s="186">
        <f>('LCFS Table'!$AJ291/340)*100</f>
        <v>32.352941176470587</v>
      </c>
      <c r="AM291" s="139">
        <v>105</v>
      </c>
      <c r="AN291" s="139">
        <v>90</v>
      </c>
      <c r="AO291" s="139">
        <f>('LCFS Table'!$AM291/300)*100</f>
        <v>35</v>
      </c>
      <c r="AP291" s="139">
        <f>('LCFS Table'!$AN291/300)*100</f>
        <v>30</v>
      </c>
      <c r="AQ291" s="140">
        <f>'[1]LCFS Values'!$B290</f>
        <v>44.6</v>
      </c>
      <c r="AR291" s="140">
        <f>'[1]RIN Values'!$B290/100</f>
        <v>0.64349999999999996</v>
      </c>
      <c r="AS291" s="185">
        <f>((('[2]Controls 2'!$B$2-SUM(('[2]Controls 2'!$B$5*'LCFS Table'!$AC291),('[2]Controls 2'!$B$6*'LCFS Table'!$AD291),('[2]Controls 2'!$B$7*'LCFS Table'!$AE291)))/1000000)*'LCFS Table'!$AQ291)*'[2]Controls 2'!$B$8</f>
        <v>0.3562113005356895</v>
      </c>
      <c r="AT291" s="137">
        <v>0.16</v>
      </c>
      <c r="AU291" s="137">
        <v>1</v>
      </c>
      <c r="AV291" s="185">
        <f>'LCFS Table'!$AR291*1.7</f>
        <v>1.09395</v>
      </c>
      <c r="AW291" s="137">
        <v>0</v>
      </c>
      <c r="AX291" s="185">
        <f>(((('[2]Controls 2'!$B$2-SUM(('LCFS Table'!$AF291*'[2]Controls 2'!$B$12),('LCFS Table'!$AG291*'[2]Controls 2'!$B$13)))/1000000)*'LCFS Table'!$AQ291)*'[2]Controls 2'!$B$14)</f>
        <v>0.234930683975</v>
      </c>
      <c r="AY291" s="137">
        <v>0</v>
      </c>
      <c r="AZ291" s="141">
        <v>1</v>
      </c>
      <c r="BA291" s="185">
        <f>'LCFS Table'!$AR291*1.5</f>
        <v>0.96524999999999994</v>
      </c>
      <c r="BB291" s="142">
        <v>1.2</v>
      </c>
      <c r="BC291" s="185">
        <f>'LCFS Table'!$AS291*'LCFS Table'!$BW291</f>
        <v>0.3562113005356895</v>
      </c>
      <c r="BD291" s="185">
        <f>'LCFS Table'!$AT291*'LCFS Table'!$BX291</f>
        <v>0</v>
      </c>
      <c r="BE291" s="185">
        <f>'LCFS Table'!$AU291*'LCFS Table'!$BY291</f>
        <v>1</v>
      </c>
      <c r="BF291" s="137">
        <f>'LCFS Table'!$AV291*'LCFS Table'!$BZ291</f>
        <v>1.09395</v>
      </c>
      <c r="BG291" s="137">
        <f>'LCFS Table'!$AW291*'LCFS Table'!$CA291</f>
        <v>0</v>
      </c>
      <c r="BH291" s="137">
        <f>'LCFS Table'!$AX291*'LCFS Table'!$CB291</f>
        <v>0.234930683975</v>
      </c>
      <c r="BI291" s="137">
        <f>'LCFS Table'!$AY291*'LCFS Table'!$CC291</f>
        <v>0</v>
      </c>
      <c r="BJ291" s="137">
        <f>'LCFS Table'!$AZ291*'LCFS Table'!$CD291</f>
        <v>1</v>
      </c>
      <c r="BK291" s="137">
        <f>'LCFS Table'!$BA291*'LCFS Table'!$CE291</f>
        <v>0.96524999999999994</v>
      </c>
      <c r="BL291" s="137">
        <f>'LCFS Table'!$BB291*'LCFS Table'!$CF291</f>
        <v>-1.2</v>
      </c>
      <c r="BM291" s="137">
        <f>'LCFS Table'!$AS291*'LCFS Table'!$CG291</f>
        <v>0</v>
      </c>
      <c r="BN291" s="137">
        <f>'LCFS Table'!$AT291*'LCFS Table'!$CH291</f>
        <v>0.16</v>
      </c>
      <c r="BO291" s="137">
        <f>'LCFS Table'!$AU291*'LCFS Table'!$CI291</f>
        <v>0</v>
      </c>
      <c r="BP291" s="137">
        <f>'LCFS Table'!$AV291*'LCFS Table'!$CJ291</f>
        <v>0</v>
      </c>
      <c r="BQ291" s="137">
        <f>'LCFS Table'!$AW291*'LCFS Table'!$CK291</f>
        <v>0</v>
      </c>
      <c r="BR291" s="137">
        <f>'LCFS Table'!$AX291*'LCFS Table'!$CL291</f>
        <v>0</v>
      </c>
      <c r="BS291" s="137">
        <f>'LCFS Table'!$AY291*'LCFS Table'!$CM291</f>
        <v>0</v>
      </c>
      <c r="BT291" s="137">
        <f>'LCFS Table'!$AZ291*'LCFS Table'!$CN291</f>
        <v>0</v>
      </c>
      <c r="BU291" s="137">
        <f>'LCFS Table'!$BA291*'LCFS Table'!$CO291</f>
        <v>0</v>
      </c>
      <c r="BV291" s="142">
        <f>'LCFS Table'!$BB291*'LCFS Table'!$CP291</f>
        <v>1.2</v>
      </c>
      <c r="BW291" s="138">
        <v>1</v>
      </c>
      <c r="BX291" s="138">
        <v>0</v>
      </c>
      <c r="BY291" s="138">
        <v>1</v>
      </c>
      <c r="BZ291" s="138">
        <v>1</v>
      </c>
      <c r="CA291" s="138">
        <v>-1</v>
      </c>
      <c r="CB291" s="138">
        <v>1</v>
      </c>
      <c r="CC291" s="138">
        <v>0</v>
      </c>
      <c r="CD291" s="138">
        <v>1</v>
      </c>
      <c r="CE291" s="138">
        <v>1</v>
      </c>
      <c r="CF291" s="138">
        <v>-1</v>
      </c>
      <c r="CG291" s="138">
        <f>1-'LCFS Table'!$BW291</f>
        <v>0</v>
      </c>
      <c r="CH291" s="138">
        <f>1-'LCFS Table'!$BX291</f>
        <v>1</v>
      </c>
      <c r="CI291" s="138">
        <f>1-'LCFS Table'!$BY291</f>
        <v>0</v>
      </c>
      <c r="CJ291" s="138">
        <f>1-'LCFS Table'!$BZ291</f>
        <v>0</v>
      </c>
      <c r="CK291" s="138">
        <f>-'LCFS Table'!$CA291</f>
        <v>1</v>
      </c>
      <c r="CL291" s="138">
        <f>1-'LCFS Table'!$CB291</f>
        <v>0</v>
      </c>
      <c r="CM291" s="138">
        <f>1-'LCFS Table'!$CC291</f>
        <v>1</v>
      </c>
      <c r="CN291" s="138">
        <f>1-'LCFS Table'!$CD291</f>
        <v>0</v>
      </c>
      <c r="CO291" s="138">
        <f>1-'LCFS Table'!$CE291</f>
        <v>0</v>
      </c>
      <c r="CP291" s="138">
        <f>-'LCFS Table'!$CF291</f>
        <v>1</v>
      </c>
      <c r="CQ291" s="140">
        <v>8</v>
      </c>
      <c r="CR291" s="165">
        <f>('LCFS Table'!$CQ291*0.9/(0.8/0.99)/100)</f>
        <v>8.9099999999999985E-2</v>
      </c>
      <c r="CS291" s="166"/>
      <c r="CT291" s="167"/>
      <c r="CW291" s="168">
        <f>'LCFS Table'!$K291-'LCFS Table'!$M291</f>
        <v>-0.18101931602500043</v>
      </c>
      <c r="CX291" s="129">
        <f>MONTH('LCFS Table'!$B291)</f>
        <v>7</v>
      </c>
      <c r="CY291" s="129">
        <f>YEAR('LCFS Table'!$B291)</f>
        <v>2024</v>
      </c>
    </row>
    <row r="292" spans="1:103">
      <c r="A292" s="148">
        <v>45487</v>
      </c>
      <c r="B292" s="149">
        <v>45493</v>
      </c>
      <c r="C292" s="132">
        <f t="shared" si="5"/>
        <v>2024</v>
      </c>
      <c r="D292" s="150" t="s">
        <v>285</v>
      </c>
      <c r="E292" s="187">
        <f>'LCFS Table'!$K292-'LCFS Table'!$I292</f>
        <v>-1.846574092615771</v>
      </c>
      <c r="F292" s="187">
        <f>('LCFS Table'!$M292)-'LCFS Table'!$J292</f>
        <v>-2.0554210869750005</v>
      </c>
      <c r="G292" s="188">
        <f>'LCFS Table'!$E292+'LCFS Table'!$AS292+'LCFS Table'!$AT292+'LCFS Table'!$AU292+'LCFS Table'!$AV292</f>
        <v>0.78712260930124267</v>
      </c>
      <c r="H292" s="188">
        <f>'LCFS Table'!$F292+'LCFS Table'!$AX292+'LCFS Table'!$AY292+'LCFS Table'!$AZ292+'LCFS Table'!$BA292+('LCFS Table'!$CQ292*0.9/(0.8/0.99)/100)+(DG292*'LCFS Table'!$AF292)+(DF292*'LCFS Table'!$AG292)</f>
        <v>0.24928710937499934</v>
      </c>
      <c r="I292" s="187">
        <f>('LCFS Table'!$V292+'LCFS Table'!$W292+'LCFS Table'!$X292)/100+(('LCFS Table'!$AI292+'LCFS Table'!$AJ292)/340)</f>
        <v>4.1177740926157709</v>
      </c>
      <c r="J292" s="187">
        <f>(('LCFS Table'!$Y292+'LCFS Table'!$Z292)/100)+(('LCFS Table'!$AM292+'LCFS Table'!$AN292)/300)</f>
        <v>4.5648128906250003</v>
      </c>
      <c r="K292" s="190">
        <f>'[1]Fuel Values'!$C291</f>
        <v>2.2711999999999999</v>
      </c>
      <c r="L292" s="190">
        <f>'[1]Fuel Values'!$B291</f>
        <v>472.5</v>
      </c>
      <c r="M292" s="185">
        <f>('LCFS Table'!$L292/100)-'LCFS Table'!$AX292-'LCFS Table'!$AY292-'LCFS Table'!$AZ292-'LCFS Table'!$BA292</f>
        <v>2.5093918036499998</v>
      </c>
      <c r="N292" s="190">
        <f>[1]BFT!$B291</f>
        <v>51</v>
      </c>
      <c r="O292" s="190">
        <f>[1]UCO!$B291</f>
        <v>34.1</v>
      </c>
      <c r="P292" s="190">
        <f>[1]DCO!$B291</f>
        <v>47.725000000000001</v>
      </c>
      <c r="Q292" s="190">
        <f>'[1]Soybean Oil'!$B291</f>
        <v>53.968000000000004</v>
      </c>
      <c r="R292" s="190">
        <f>'[1]Yellow Grease'!$B291</f>
        <v>29.5</v>
      </c>
      <c r="S292" s="185">
        <f>'LCFS Table'!$N292 + 'LCFS Table'!$AH292</f>
        <v>55.375</v>
      </c>
      <c r="T292" s="185">
        <f>'LCFS Table'!$Q292+'LCFS Table'!$AH292</f>
        <v>58.343000000000004</v>
      </c>
      <c r="U292" s="185">
        <f>'LCFS Table'!$P292+'LCFS Table'!$AH292</f>
        <v>52.1</v>
      </c>
      <c r="V292" s="185">
        <f>(('LCFS Table'!$S292/'LCFS Table'!$AA292)*'LCFS Table'!$AC292)*6.48</f>
        <v>190.86702127659578</v>
      </c>
      <c r="W292" s="185">
        <f>(('LCFS Table'!$O292/'LCFS Table'!$AA292)*'LCFS Table'!$AD292)*6.48</f>
        <v>58.768085106382991</v>
      </c>
      <c r="X292" s="185">
        <f>(('LCFS Table'!$U292/'LCFS Table'!$AA292)*'LCFS Table'!$AE292)*6.48</f>
        <v>89.789361702127678</v>
      </c>
      <c r="Y292" s="185">
        <f>(('LCFS Table'!$T292/'LCFS Table'!$AB292)*'LCFS Table'!$AF292)*7.35</f>
        <v>335.01644531250003</v>
      </c>
      <c r="Z292" s="185">
        <f>(('LCFS Table'!$R292/'LCFS Table'!$AB292)*'LCFS Table'!$AG292)*7.35</f>
        <v>56.46484375</v>
      </c>
      <c r="AA292" s="138">
        <v>0.94</v>
      </c>
      <c r="AB292" s="138">
        <v>0.96</v>
      </c>
      <c r="AC292" s="138">
        <v>0.5</v>
      </c>
      <c r="AD292" s="138">
        <v>0.25</v>
      </c>
      <c r="AE292" s="138">
        <v>0.25</v>
      </c>
      <c r="AF292" s="138">
        <v>0.75</v>
      </c>
      <c r="AG292" s="138">
        <v>0.25</v>
      </c>
      <c r="AH292" s="139">
        <v>4.375</v>
      </c>
      <c r="AI292" s="139">
        <v>136</v>
      </c>
      <c r="AJ292" s="139">
        <v>110</v>
      </c>
      <c r="AK292" s="186">
        <f>('LCFS Table'!$AI292/340)*100</f>
        <v>40</v>
      </c>
      <c r="AL292" s="186">
        <f>('LCFS Table'!$AJ292/340)*100</f>
        <v>32.352941176470587</v>
      </c>
      <c r="AM292" s="139">
        <v>105</v>
      </c>
      <c r="AN292" s="139">
        <v>90</v>
      </c>
      <c r="AO292" s="139">
        <f>('LCFS Table'!$AM292/300)*100</f>
        <v>35</v>
      </c>
      <c r="AP292" s="139">
        <f>('LCFS Table'!$AN292/300)*100</f>
        <v>30</v>
      </c>
      <c r="AQ292" s="140">
        <f>'[1]LCFS Values'!$B291</f>
        <v>47.6</v>
      </c>
      <c r="AR292" s="140">
        <f>'[1]RIN Values'!$B291/100</f>
        <v>0.64324999999999999</v>
      </c>
      <c r="AS292" s="185">
        <f>((('[2]Controls 2'!$B$2-SUM(('[2]Controls 2'!$B$5*'LCFS Table'!$AC292),('[2]Controls 2'!$B$6*'LCFS Table'!$AD292),('[2]Controls 2'!$B$7*'LCFS Table'!$AE292)))/1000000)*'LCFS Table'!$AQ292)*'[2]Controls 2'!$B$8</f>
        <v>0.38017170191701388</v>
      </c>
      <c r="AT292" s="137">
        <v>0.16</v>
      </c>
      <c r="AU292" s="137">
        <v>1</v>
      </c>
      <c r="AV292" s="185">
        <f>'LCFS Table'!$AR292*1.7</f>
        <v>1.0935249999999999</v>
      </c>
      <c r="AW292" s="137">
        <v>0</v>
      </c>
      <c r="AX292" s="185">
        <f>(((('[2]Controls 2'!$B$2-SUM(('LCFS Table'!$AF292*'[2]Controls 2'!$B$12),('LCFS Table'!$AG292*'[2]Controls 2'!$B$13)))/1000000)*'LCFS Table'!$AQ292)*'[2]Controls 2'!$B$14)</f>
        <v>0.25073319634999996</v>
      </c>
      <c r="AY292" s="137">
        <v>0</v>
      </c>
      <c r="AZ292" s="141">
        <v>1</v>
      </c>
      <c r="BA292" s="185">
        <f>'LCFS Table'!$AR292*1.5</f>
        <v>0.96487499999999993</v>
      </c>
      <c r="BB292" s="142">
        <v>1.2</v>
      </c>
      <c r="BC292" s="185">
        <f>'LCFS Table'!$AS292*'LCFS Table'!$BW292</f>
        <v>0.38017170191701388</v>
      </c>
      <c r="BD292" s="185">
        <f>'LCFS Table'!$AT292*'LCFS Table'!$BX292</f>
        <v>0</v>
      </c>
      <c r="BE292" s="185">
        <f>'LCFS Table'!$AU292*'LCFS Table'!$BY292</f>
        <v>1</v>
      </c>
      <c r="BF292" s="137">
        <f>'LCFS Table'!$AV292*'LCFS Table'!$BZ292</f>
        <v>1.0935249999999999</v>
      </c>
      <c r="BG292" s="137">
        <f>'LCFS Table'!$AW292*'LCFS Table'!$CA292</f>
        <v>0</v>
      </c>
      <c r="BH292" s="137">
        <f>'LCFS Table'!$AX292*'LCFS Table'!$CB292</f>
        <v>0.25073319634999996</v>
      </c>
      <c r="BI292" s="137">
        <f>'LCFS Table'!$AY292*'LCFS Table'!$CC292</f>
        <v>0</v>
      </c>
      <c r="BJ292" s="137">
        <f>'LCFS Table'!$AZ292*'LCFS Table'!$CD292</f>
        <v>1</v>
      </c>
      <c r="BK292" s="137">
        <f>'LCFS Table'!$BA292*'LCFS Table'!$CE292</f>
        <v>0.96487499999999993</v>
      </c>
      <c r="BL292" s="137">
        <f>'LCFS Table'!$BB292*'LCFS Table'!$CF292</f>
        <v>-1.2</v>
      </c>
      <c r="BM292" s="137">
        <f>'LCFS Table'!$AS292*'LCFS Table'!$CG292</f>
        <v>0</v>
      </c>
      <c r="BN292" s="137">
        <f>'LCFS Table'!$AT292*'LCFS Table'!$CH292</f>
        <v>0.16</v>
      </c>
      <c r="BO292" s="137">
        <f>'LCFS Table'!$AU292*'LCFS Table'!$CI292</f>
        <v>0</v>
      </c>
      <c r="BP292" s="137">
        <f>'LCFS Table'!$AV292*'LCFS Table'!$CJ292</f>
        <v>0</v>
      </c>
      <c r="BQ292" s="137">
        <f>'LCFS Table'!$AW292*'LCFS Table'!$CK292</f>
        <v>0</v>
      </c>
      <c r="BR292" s="137">
        <f>'LCFS Table'!$AX292*'LCFS Table'!$CL292</f>
        <v>0</v>
      </c>
      <c r="BS292" s="137">
        <f>'LCFS Table'!$AY292*'LCFS Table'!$CM292</f>
        <v>0</v>
      </c>
      <c r="BT292" s="137">
        <f>'LCFS Table'!$AZ292*'LCFS Table'!$CN292</f>
        <v>0</v>
      </c>
      <c r="BU292" s="137">
        <f>'LCFS Table'!$BA292*'LCFS Table'!$CO292</f>
        <v>0</v>
      </c>
      <c r="BV292" s="142">
        <f>'LCFS Table'!$BB292*'LCFS Table'!$CP292</f>
        <v>1.2</v>
      </c>
      <c r="BW292" s="138">
        <v>1</v>
      </c>
      <c r="BX292" s="138">
        <v>0</v>
      </c>
      <c r="BY292" s="138">
        <v>1</v>
      </c>
      <c r="BZ292" s="138">
        <v>1</v>
      </c>
      <c r="CA292" s="138">
        <v>-1</v>
      </c>
      <c r="CB292" s="138">
        <v>1</v>
      </c>
      <c r="CC292" s="138">
        <v>0</v>
      </c>
      <c r="CD292" s="138">
        <v>1</v>
      </c>
      <c r="CE292" s="138">
        <v>1</v>
      </c>
      <c r="CF292" s="138">
        <v>-1</v>
      </c>
      <c r="CG292" s="138">
        <f>1-'LCFS Table'!$BW292</f>
        <v>0</v>
      </c>
      <c r="CH292" s="138">
        <f>1-'LCFS Table'!$BX292</f>
        <v>1</v>
      </c>
      <c r="CI292" s="138">
        <f>1-'LCFS Table'!$BY292</f>
        <v>0</v>
      </c>
      <c r="CJ292" s="138">
        <f>1-'LCFS Table'!$BZ292</f>
        <v>0</v>
      </c>
      <c r="CK292" s="138">
        <f>-'LCFS Table'!$CA292</f>
        <v>1</v>
      </c>
      <c r="CL292" s="138">
        <f>1-'LCFS Table'!$CB292</f>
        <v>0</v>
      </c>
      <c r="CM292" s="138">
        <f>1-'LCFS Table'!$CC292</f>
        <v>1</v>
      </c>
      <c r="CN292" s="138">
        <f>1-'LCFS Table'!$CD292</f>
        <v>0</v>
      </c>
      <c r="CO292" s="138">
        <f>1-'LCFS Table'!$CE292</f>
        <v>0</v>
      </c>
      <c r="CP292" s="138">
        <f>-'LCFS Table'!$CF292</f>
        <v>1</v>
      </c>
      <c r="CQ292" s="140">
        <f t="shared" si="6"/>
        <v>8</v>
      </c>
      <c r="CR292" s="165">
        <f>('LCFS Table'!$CQ292*0.9/(0.8/0.99)/100)</f>
        <v>8.9099999999999985E-2</v>
      </c>
      <c r="CS292" s="166"/>
      <c r="CT292" s="167"/>
      <c r="CW292" s="168">
        <f>'LCFS Table'!$K292-'LCFS Table'!$M292</f>
        <v>-0.23819180364999992</v>
      </c>
      <c r="CX292" s="129">
        <f>MONTH('LCFS Table'!$B292)</f>
        <v>7</v>
      </c>
      <c r="CY292" s="129">
        <f>YEAR('LCFS Table'!$B292)</f>
        <v>2024</v>
      </c>
    </row>
    <row r="293" spans="1:103">
      <c r="A293" s="148">
        <v>45494</v>
      </c>
      <c r="B293" s="149">
        <v>45500</v>
      </c>
      <c r="C293" s="132">
        <f t="shared" si="5"/>
        <v>2024</v>
      </c>
      <c r="D293" s="150" t="s">
        <v>286</v>
      </c>
      <c r="E293" s="187">
        <f>'LCFS Table'!$K293-'LCFS Table'!$I293</f>
        <v>-1.8504517521902382</v>
      </c>
      <c r="F293" s="187">
        <f>('LCFS Table'!$M293)-'LCFS Table'!$J293</f>
        <v>-2.0615267835500006</v>
      </c>
      <c r="G293" s="188">
        <f>'LCFS Table'!$E293+'LCFS Table'!$AS293+'LCFS Table'!$AT293+'LCFS Table'!$AU293+'LCFS Table'!$AV293</f>
        <v>0.82419091073974693</v>
      </c>
      <c r="H293" s="188">
        <f>'LCFS Table'!$F293+'LCFS Table'!$AX293+'LCFS Table'!$AY293+'LCFS Table'!$AZ293+'LCFS Table'!$BA293+('LCFS Table'!$CQ293*0.9/(0.8/0.99)/100)+(DG293*'LCFS Table'!$AF293)+(DF293*'LCFS Table'!$AG293)</f>
        <v>0.27539492187499937</v>
      </c>
      <c r="I293" s="187">
        <f>('LCFS Table'!$V293+'LCFS Table'!$W293+'LCFS Table'!$X293)/100+(('LCFS Table'!$AI293+'LCFS Table'!$AJ293)/340)</f>
        <v>4.121651752190238</v>
      </c>
      <c r="J293" s="187">
        <f>(('LCFS Table'!$Y293+'LCFS Table'!$Z293)/100)+(('LCFS Table'!$AM293+'LCFS Table'!$AN293)/300)</f>
        <v>4.538705078125</v>
      </c>
      <c r="K293" s="190">
        <f>'[1]Fuel Values'!$C292</f>
        <v>2.2711999999999999</v>
      </c>
      <c r="L293" s="190">
        <f>'[1]Fuel Values'!$B292</f>
        <v>472.5</v>
      </c>
      <c r="M293" s="185">
        <f>('LCFS Table'!$L293/100)-'LCFS Table'!$AX293-'LCFS Table'!$AY293-'LCFS Table'!$AZ293-'LCFS Table'!$BA293</f>
        <v>2.4771782945749994</v>
      </c>
      <c r="N293" s="190">
        <f>[1]BFT!$B292</f>
        <v>51</v>
      </c>
      <c r="O293" s="190">
        <f>[1]UCO!$B292</f>
        <v>34.799999999999997</v>
      </c>
      <c r="P293" s="190">
        <f>[1]DCO!$B292</f>
        <v>47.25</v>
      </c>
      <c r="Q293" s="190">
        <f>'[1]Soybean Oil'!$B292</f>
        <v>53.38</v>
      </c>
      <c r="R293" s="190">
        <f>'[1]Yellow Grease'!$B292</f>
        <v>29.9</v>
      </c>
      <c r="S293" s="185">
        <f>'LCFS Table'!$N293 + 'LCFS Table'!$AH293</f>
        <v>55.375</v>
      </c>
      <c r="T293" s="185">
        <f>'LCFS Table'!$Q293+'LCFS Table'!$AH293</f>
        <v>57.755000000000003</v>
      </c>
      <c r="U293" s="185">
        <f>'LCFS Table'!$P293+'LCFS Table'!$AH293</f>
        <v>51.625</v>
      </c>
      <c r="V293" s="185">
        <f>(('LCFS Table'!$S293/'LCFS Table'!$AA293)*'LCFS Table'!$AC293)*6.48</f>
        <v>190.86702127659578</v>
      </c>
      <c r="W293" s="185">
        <f>(('LCFS Table'!$O293/'LCFS Table'!$AA293)*'LCFS Table'!$AD293)*6.48</f>
        <v>59.974468085106388</v>
      </c>
      <c r="X293" s="185">
        <f>(('LCFS Table'!$U293/'LCFS Table'!$AA293)*'LCFS Table'!$AE293)*6.48</f>
        <v>88.970744680851084</v>
      </c>
      <c r="Y293" s="185">
        <f>(('LCFS Table'!$T293/'LCFS Table'!$AB293)*'LCFS Table'!$AF293)*7.35</f>
        <v>331.64003906249997</v>
      </c>
      <c r="Z293" s="185">
        <f>(('LCFS Table'!$R293/'LCFS Table'!$AB293)*'LCFS Table'!$AG293)*7.35</f>
        <v>57.230468749999993</v>
      </c>
      <c r="AA293" s="138">
        <v>0.94</v>
      </c>
      <c r="AB293" s="138">
        <v>0.96</v>
      </c>
      <c r="AC293" s="138">
        <v>0.5</v>
      </c>
      <c r="AD293" s="138">
        <v>0.25</v>
      </c>
      <c r="AE293" s="138">
        <v>0.25</v>
      </c>
      <c r="AF293" s="138">
        <v>0.75</v>
      </c>
      <c r="AG293" s="138">
        <v>0.25</v>
      </c>
      <c r="AH293" s="139">
        <v>4.375</v>
      </c>
      <c r="AI293" s="139">
        <v>136</v>
      </c>
      <c r="AJ293" s="139">
        <v>110</v>
      </c>
      <c r="AK293" s="186">
        <f>('LCFS Table'!$AI293/340)*100</f>
        <v>40</v>
      </c>
      <c r="AL293" s="186">
        <f>('LCFS Table'!$AJ293/340)*100</f>
        <v>32.352941176470587</v>
      </c>
      <c r="AM293" s="139">
        <v>105</v>
      </c>
      <c r="AN293" s="139">
        <v>90</v>
      </c>
      <c r="AO293" s="139">
        <f>('LCFS Table'!$AM293/300)*100</f>
        <v>35</v>
      </c>
      <c r="AP293" s="139">
        <f>('LCFS Table'!$AN293/300)*100</f>
        <v>30</v>
      </c>
      <c r="AQ293" s="140">
        <f>'[1]LCFS Values'!$B292</f>
        <v>49.8</v>
      </c>
      <c r="AR293" s="140">
        <f>'[1]RIN Values'!$B292/100</f>
        <v>0.65700000000000003</v>
      </c>
      <c r="AS293" s="185">
        <f>((('[2]Controls 2'!$B$2-SUM(('[2]Controls 2'!$B$5*'LCFS Table'!$AC293),('[2]Controls 2'!$B$6*'LCFS Table'!$AD293),('[2]Controls 2'!$B$7*'LCFS Table'!$AE293)))/1000000)*'LCFS Table'!$AQ293)*'[2]Controls 2'!$B$8</f>
        <v>0.39774266292998511</v>
      </c>
      <c r="AT293" s="137">
        <v>0.16</v>
      </c>
      <c r="AU293" s="137">
        <v>1</v>
      </c>
      <c r="AV293" s="185">
        <f>'LCFS Table'!$AR293*1.7</f>
        <v>1.1169</v>
      </c>
      <c r="AW293" s="137">
        <v>0</v>
      </c>
      <c r="AX293" s="185">
        <f>(((('[2]Controls 2'!$B$2-SUM(('LCFS Table'!$AF293*'[2]Controls 2'!$B$12),('LCFS Table'!$AG293*'[2]Controls 2'!$B$13)))/1000000)*'LCFS Table'!$AQ293)*'[2]Controls 2'!$B$14)</f>
        <v>0.262321705425</v>
      </c>
      <c r="AY293" s="137">
        <v>0</v>
      </c>
      <c r="AZ293" s="141">
        <v>1</v>
      </c>
      <c r="BA293" s="185">
        <f>'LCFS Table'!$AR293*1.5</f>
        <v>0.98550000000000004</v>
      </c>
      <c r="BB293" s="142">
        <v>1.2</v>
      </c>
      <c r="BC293" s="185">
        <f>'LCFS Table'!$AS293*'LCFS Table'!$BW293</f>
        <v>0.39774266292998511</v>
      </c>
      <c r="BD293" s="185">
        <f>'LCFS Table'!$AT293*'LCFS Table'!$BX293</f>
        <v>0</v>
      </c>
      <c r="BE293" s="185">
        <f>'LCFS Table'!$AU293*'LCFS Table'!$BY293</f>
        <v>1</v>
      </c>
      <c r="BF293" s="137">
        <f>'LCFS Table'!$AV293*'LCFS Table'!$BZ293</f>
        <v>1.1169</v>
      </c>
      <c r="BG293" s="137">
        <f>'LCFS Table'!$AW293*'LCFS Table'!$CA293</f>
        <v>0</v>
      </c>
      <c r="BH293" s="137">
        <f>'LCFS Table'!$AX293*'LCFS Table'!$CB293</f>
        <v>0.262321705425</v>
      </c>
      <c r="BI293" s="137">
        <f>'LCFS Table'!$AY293*'LCFS Table'!$CC293</f>
        <v>0</v>
      </c>
      <c r="BJ293" s="137">
        <f>'LCFS Table'!$AZ293*'LCFS Table'!$CD293</f>
        <v>1</v>
      </c>
      <c r="BK293" s="137">
        <f>'LCFS Table'!$BA293*'LCFS Table'!$CE293</f>
        <v>0.98550000000000004</v>
      </c>
      <c r="BL293" s="137">
        <f>'LCFS Table'!$BB293*'LCFS Table'!$CF293</f>
        <v>-1.2</v>
      </c>
      <c r="BM293" s="137">
        <f>'LCFS Table'!$AS293*'LCFS Table'!$CG293</f>
        <v>0</v>
      </c>
      <c r="BN293" s="137">
        <f>'LCFS Table'!$AT293*'LCFS Table'!$CH293</f>
        <v>0.16</v>
      </c>
      <c r="BO293" s="137">
        <f>'LCFS Table'!$AU293*'LCFS Table'!$CI293</f>
        <v>0</v>
      </c>
      <c r="BP293" s="137">
        <f>'LCFS Table'!$AV293*'LCFS Table'!$CJ293</f>
        <v>0</v>
      </c>
      <c r="BQ293" s="137">
        <f>'LCFS Table'!$AW293*'LCFS Table'!$CK293</f>
        <v>0</v>
      </c>
      <c r="BR293" s="137">
        <f>'LCFS Table'!$AX293*'LCFS Table'!$CL293</f>
        <v>0</v>
      </c>
      <c r="BS293" s="137">
        <f>'LCFS Table'!$AY293*'LCFS Table'!$CM293</f>
        <v>0</v>
      </c>
      <c r="BT293" s="137">
        <f>'LCFS Table'!$AZ293*'LCFS Table'!$CN293</f>
        <v>0</v>
      </c>
      <c r="BU293" s="137">
        <f>'LCFS Table'!$BA293*'LCFS Table'!$CO293</f>
        <v>0</v>
      </c>
      <c r="BV293" s="142">
        <f>'LCFS Table'!$BB293*'LCFS Table'!$CP293</f>
        <v>1.2</v>
      </c>
      <c r="BW293" s="138">
        <v>1</v>
      </c>
      <c r="BX293" s="138">
        <v>0</v>
      </c>
      <c r="BY293" s="138">
        <v>1</v>
      </c>
      <c r="BZ293" s="138">
        <v>1</v>
      </c>
      <c r="CA293" s="138">
        <v>-1</v>
      </c>
      <c r="CB293" s="138">
        <v>1</v>
      </c>
      <c r="CC293" s="138">
        <v>0</v>
      </c>
      <c r="CD293" s="138">
        <v>1</v>
      </c>
      <c r="CE293" s="138">
        <v>1</v>
      </c>
      <c r="CF293" s="138">
        <v>-1</v>
      </c>
      <c r="CG293" s="138">
        <f>1-'LCFS Table'!$BW293</f>
        <v>0</v>
      </c>
      <c r="CH293" s="138">
        <f>1-'LCFS Table'!$BX293</f>
        <v>1</v>
      </c>
      <c r="CI293" s="138">
        <f>1-'LCFS Table'!$BY293</f>
        <v>0</v>
      </c>
      <c r="CJ293" s="138">
        <f>1-'LCFS Table'!$BZ293</f>
        <v>0</v>
      </c>
      <c r="CK293" s="138">
        <f>-'LCFS Table'!$CA293</f>
        <v>1</v>
      </c>
      <c r="CL293" s="138">
        <f>1-'LCFS Table'!$CB293</f>
        <v>0</v>
      </c>
      <c r="CM293" s="138">
        <f>1-'LCFS Table'!$CC293</f>
        <v>1</v>
      </c>
      <c r="CN293" s="138">
        <f>1-'LCFS Table'!$CD293</f>
        <v>0</v>
      </c>
      <c r="CO293" s="138">
        <f>1-'LCFS Table'!$CE293</f>
        <v>0</v>
      </c>
      <c r="CP293" s="138">
        <f>-'LCFS Table'!$CF293</f>
        <v>1</v>
      </c>
      <c r="CQ293" s="140">
        <f t="shared" si="6"/>
        <v>8</v>
      </c>
      <c r="CR293" s="165">
        <f>('LCFS Table'!$CQ293*0.9/(0.8/0.99)/100)</f>
        <v>8.9099999999999985E-2</v>
      </c>
      <c r="CS293" s="166"/>
      <c r="CT293" s="167"/>
      <c r="CW293" s="168">
        <f>'LCFS Table'!$K293-'LCFS Table'!$M293</f>
        <v>-0.2059782945749995</v>
      </c>
      <c r="CX293" s="129">
        <f>MONTH('LCFS Table'!$B293)</f>
        <v>7</v>
      </c>
      <c r="CY293" s="129">
        <f>YEAR('LCFS Table'!$B293)</f>
        <v>2024</v>
      </c>
    </row>
    <row r="294" spans="1:103">
      <c r="A294" s="148">
        <v>45501</v>
      </c>
      <c r="B294" s="149">
        <v>45507</v>
      </c>
      <c r="C294" s="132">
        <f t="shared" si="5"/>
        <v>2024</v>
      </c>
      <c r="D294" s="150" t="s">
        <v>287</v>
      </c>
      <c r="E294" s="187">
        <f>'LCFS Table'!$K294-'LCFS Table'!$I294</f>
        <v>-1.9201730287859831</v>
      </c>
      <c r="F294" s="187">
        <f>('LCFS Table'!$M294)-'LCFS Table'!$J294</f>
        <v>-1.8244726597874998</v>
      </c>
      <c r="G294" s="188">
        <f>'LCFS Table'!$E294+'LCFS Table'!$AS294+'LCFS Table'!$AT294+'LCFS Table'!$AU294+'LCFS Table'!$AV294</f>
        <v>0.66464067428213447</v>
      </c>
      <c r="H294" s="188">
        <f>'LCFS Table'!$F294+'LCFS Table'!$AX294+'LCFS Table'!$AY294+'LCFS Table'!$AZ294+'LCFS Table'!$BA294+('LCFS Table'!$CQ294*0.9/(0.8/0.99)/100)+(DG294*'LCFS Table'!$AF294)+(DF294*'LCFS Table'!$AG294)</f>
        <v>0.43265429687500023</v>
      </c>
      <c r="I294" s="187">
        <f>('LCFS Table'!$V294+'LCFS Table'!$W294+'LCFS Table'!$X294)/100+(('LCFS Table'!$AI294+'LCFS Table'!$AJ294)/340)</f>
        <v>4.071673028785983</v>
      </c>
      <c r="J294" s="187">
        <f>(('LCFS Table'!$Y294+'LCFS Table'!$Z294)/100)+(('LCFS Table'!$AM294+'LCFS Table'!$AN294)/300)</f>
        <v>4.3814457031249994</v>
      </c>
      <c r="K294" s="190">
        <f>'[1]Fuel Values'!$C293</f>
        <v>2.1515</v>
      </c>
      <c r="L294" s="190">
        <f>'[1]Fuel Values'!$B293</f>
        <v>472.5</v>
      </c>
      <c r="M294" s="185">
        <f>('LCFS Table'!$L294/100)-'LCFS Table'!$AX294-'LCFS Table'!$AY294-'LCFS Table'!$AZ294-'LCFS Table'!$BA294</f>
        <v>2.5569730433374995</v>
      </c>
      <c r="N294" s="190">
        <f>[1]BFT!$B293</f>
        <v>50</v>
      </c>
      <c r="O294" s="190">
        <f>[1]UCO!$B293</f>
        <v>35</v>
      </c>
      <c r="P294" s="190">
        <f>[1]DCO!$B293</f>
        <v>46.15</v>
      </c>
      <c r="Q294" s="190">
        <f>'[1]Soybean Oil'!$B293</f>
        <v>50.107999999999997</v>
      </c>
      <c r="R294" s="190">
        <f>'[1]Yellow Grease'!$B293</f>
        <v>31.5</v>
      </c>
      <c r="S294" s="185">
        <f>'LCFS Table'!$N294 + 'LCFS Table'!$AH294</f>
        <v>54.375</v>
      </c>
      <c r="T294" s="185">
        <f>'LCFS Table'!$Q294+'LCFS Table'!$AH294</f>
        <v>54.482999999999997</v>
      </c>
      <c r="U294" s="185">
        <f>'LCFS Table'!$P294+'LCFS Table'!$AH294</f>
        <v>50.524999999999999</v>
      </c>
      <c r="V294" s="185">
        <f>(('LCFS Table'!$S294/'LCFS Table'!$AA294)*'LCFS Table'!$AC294)*6.48</f>
        <v>187.42021276595747</v>
      </c>
      <c r="W294" s="185">
        <f>(('LCFS Table'!$O294/'LCFS Table'!$AA294)*'LCFS Table'!$AD294)*6.48</f>
        <v>60.319148936170222</v>
      </c>
      <c r="X294" s="185">
        <f>(('LCFS Table'!$U294/'LCFS Table'!$AA294)*'LCFS Table'!$AE294)*6.48</f>
        <v>87.075000000000003</v>
      </c>
      <c r="Y294" s="185">
        <f>(('LCFS Table'!$T294/'LCFS Table'!$AB294)*'LCFS Table'!$AF294)*7.35</f>
        <v>312.85160156249992</v>
      </c>
      <c r="Z294" s="185">
        <f>(('LCFS Table'!$R294/'LCFS Table'!$AB294)*'LCFS Table'!$AG294)*7.35</f>
        <v>60.29296875</v>
      </c>
      <c r="AA294" s="138">
        <v>0.94</v>
      </c>
      <c r="AB294" s="138">
        <v>0.96</v>
      </c>
      <c r="AC294" s="138">
        <v>0.5</v>
      </c>
      <c r="AD294" s="138">
        <v>0.25</v>
      </c>
      <c r="AE294" s="138">
        <v>0.25</v>
      </c>
      <c r="AF294" s="138">
        <v>0.75</v>
      </c>
      <c r="AG294" s="138">
        <v>0.25</v>
      </c>
      <c r="AH294" s="139">
        <v>4.375</v>
      </c>
      <c r="AI294" s="139">
        <v>136</v>
      </c>
      <c r="AJ294" s="139">
        <v>110</v>
      </c>
      <c r="AK294" s="186">
        <f>('LCFS Table'!$AI294/340)*100</f>
        <v>40</v>
      </c>
      <c r="AL294" s="186">
        <f>('LCFS Table'!$AJ294/340)*100</f>
        <v>32.352941176470587</v>
      </c>
      <c r="AM294" s="139">
        <v>105</v>
      </c>
      <c r="AN294" s="139">
        <v>90</v>
      </c>
      <c r="AO294" s="139">
        <f>('LCFS Table'!$AM294/300)*100</f>
        <v>35</v>
      </c>
      <c r="AP294" s="139">
        <f>('LCFS Table'!$AN294/300)*100</f>
        <v>30</v>
      </c>
      <c r="AQ294" s="140">
        <f>'[1]LCFS Values'!$B293</f>
        <v>50.1</v>
      </c>
      <c r="AR294" s="140">
        <f>'[1]RIN Values'!$B293/100</f>
        <v>0.60275000000000001</v>
      </c>
      <c r="AS294" s="185">
        <f>((('[2]Controls 2'!$B$2-SUM(('[2]Controls 2'!$B$5*'LCFS Table'!$AC294),('[2]Controls 2'!$B$6*'LCFS Table'!$AD294),('[2]Controls 2'!$B$7*'LCFS Table'!$AE294)))/1000000)*'LCFS Table'!$AQ294)*'[2]Controls 2'!$B$8</f>
        <v>0.40013870306811761</v>
      </c>
      <c r="AT294" s="137">
        <v>0.16</v>
      </c>
      <c r="AU294" s="137">
        <v>1</v>
      </c>
      <c r="AV294" s="185">
        <f>'LCFS Table'!$AR294*1.7</f>
        <v>1.024675</v>
      </c>
      <c r="AW294" s="137">
        <v>0</v>
      </c>
      <c r="AX294" s="185">
        <f>(((('[2]Controls 2'!$B$2-SUM(('LCFS Table'!$AF294*'[2]Controls 2'!$B$12),('LCFS Table'!$AG294*'[2]Controls 2'!$B$13)))/1000000)*'LCFS Table'!$AQ294)*'[2]Controls 2'!$B$14)</f>
        <v>0.26390195666249999</v>
      </c>
      <c r="AY294" s="137">
        <v>0</v>
      </c>
      <c r="AZ294" s="141">
        <v>1</v>
      </c>
      <c r="BA294" s="185">
        <f>'LCFS Table'!$AR294*1.5</f>
        <v>0.90412500000000007</v>
      </c>
      <c r="BB294" s="142">
        <v>1.2</v>
      </c>
      <c r="BC294" s="185">
        <f>'LCFS Table'!$AS294*'LCFS Table'!$BW294</f>
        <v>0.40013870306811761</v>
      </c>
      <c r="BD294" s="185">
        <f>'LCFS Table'!$AT294*'LCFS Table'!$BX294</f>
        <v>0</v>
      </c>
      <c r="BE294" s="185">
        <f>'LCFS Table'!$AU294*'LCFS Table'!$BY294</f>
        <v>1</v>
      </c>
      <c r="BF294" s="137">
        <f>'LCFS Table'!$AV294*'LCFS Table'!$BZ294</f>
        <v>1.024675</v>
      </c>
      <c r="BG294" s="137">
        <f>'LCFS Table'!$AW294*'LCFS Table'!$CA294</f>
        <v>0</v>
      </c>
      <c r="BH294" s="137">
        <f>'LCFS Table'!$AX294*'LCFS Table'!$CB294</f>
        <v>0.26390195666249999</v>
      </c>
      <c r="BI294" s="137">
        <f>'LCFS Table'!$AY294*'LCFS Table'!$CC294</f>
        <v>0</v>
      </c>
      <c r="BJ294" s="137">
        <f>'LCFS Table'!$AZ294*'LCFS Table'!$CD294</f>
        <v>1</v>
      </c>
      <c r="BK294" s="137">
        <f>'LCFS Table'!$BA294*'LCFS Table'!$CE294</f>
        <v>0.90412500000000007</v>
      </c>
      <c r="BL294" s="137">
        <f>'LCFS Table'!$BB294*'LCFS Table'!$CF294</f>
        <v>-1.2</v>
      </c>
      <c r="BM294" s="137">
        <f>'LCFS Table'!$AS294*'LCFS Table'!$CG294</f>
        <v>0</v>
      </c>
      <c r="BN294" s="137">
        <f>'LCFS Table'!$AT294*'LCFS Table'!$CH294</f>
        <v>0.16</v>
      </c>
      <c r="BO294" s="137">
        <f>'LCFS Table'!$AU294*'LCFS Table'!$CI294</f>
        <v>0</v>
      </c>
      <c r="BP294" s="137">
        <f>'LCFS Table'!$AV294*'LCFS Table'!$CJ294</f>
        <v>0</v>
      </c>
      <c r="BQ294" s="137">
        <f>'LCFS Table'!$AW294*'LCFS Table'!$CK294</f>
        <v>0</v>
      </c>
      <c r="BR294" s="137">
        <f>'LCFS Table'!$AX294*'LCFS Table'!$CL294</f>
        <v>0</v>
      </c>
      <c r="BS294" s="137">
        <f>'LCFS Table'!$AY294*'LCFS Table'!$CM294</f>
        <v>0</v>
      </c>
      <c r="BT294" s="137">
        <f>'LCFS Table'!$AZ294*'LCFS Table'!$CN294</f>
        <v>0</v>
      </c>
      <c r="BU294" s="137">
        <f>'LCFS Table'!$BA294*'LCFS Table'!$CO294</f>
        <v>0</v>
      </c>
      <c r="BV294" s="142">
        <f>'LCFS Table'!$BB294*'LCFS Table'!$CP294</f>
        <v>1.2</v>
      </c>
      <c r="BW294" s="138">
        <v>1</v>
      </c>
      <c r="BX294" s="138">
        <v>0</v>
      </c>
      <c r="BY294" s="138">
        <v>1</v>
      </c>
      <c r="BZ294" s="138">
        <v>1</v>
      </c>
      <c r="CA294" s="138">
        <v>-1</v>
      </c>
      <c r="CB294" s="138">
        <v>1</v>
      </c>
      <c r="CC294" s="138">
        <v>0</v>
      </c>
      <c r="CD294" s="138">
        <v>1</v>
      </c>
      <c r="CE294" s="138">
        <v>1</v>
      </c>
      <c r="CF294" s="138">
        <v>-1</v>
      </c>
      <c r="CG294" s="138">
        <f>1-'LCFS Table'!$BW294</f>
        <v>0</v>
      </c>
      <c r="CH294" s="138">
        <f>1-'LCFS Table'!$BX294</f>
        <v>1</v>
      </c>
      <c r="CI294" s="138">
        <f>1-'LCFS Table'!$BY294</f>
        <v>0</v>
      </c>
      <c r="CJ294" s="138">
        <f>1-'LCFS Table'!$BZ294</f>
        <v>0</v>
      </c>
      <c r="CK294" s="138">
        <f>-'LCFS Table'!$CA294</f>
        <v>1</v>
      </c>
      <c r="CL294" s="138">
        <f>1-'LCFS Table'!$CB294</f>
        <v>0</v>
      </c>
      <c r="CM294" s="138">
        <f>1-'LCFS Table'!$CC294</f>
        <v>1</v>
      </c>
      <c r="CN294" s="138">
        <f>1-'LCFS Table'!$CD294</f>
        <v>0</v>
      </c>
      <c r="CO294" s="138">
        <f>1-'LCFS Table'!$CE294</f>
        <v>0</v>
      </c>
      <c r="CP294" s="138">
        <f>-'LCFS Table'!$CF294</f>
        <v>1</v>
      </c>
      <c r="CQ294" s="140">
        <f t="shared" si="6"/>
        <v>8</v>
      </c>
      <c r="CR294" s="165">
        <f>('LCFS Table'!$CQ294*0.9/(0.8/0.99)/100)</f>
        <v>8.9099999999999985E-2</v>
      </c>
      <c r="CS294" s="166"/>
      <c r="CT294" s="167"/>
      <c r="CW294" s="168">
        <f>'LCFS Table'!$K294-'LCFS Table'!$M294</f>
        <v>-0.40547304333749956</v>
      </c>
      <c r="CX294" s="129">
        <f>MONTH('LCFS Table'!$B294)</f>
        <v>8</v>
      </c>
      <c r="CY294" s="129">
        <f>YEAR('LCFS Table'!$B294)</f>
        <v>2024</v>
      </c>
    </row>
    <row r="295" spans="1:103">
      <c r="A295" s="148">
        <v>45508</v>
      </c>
      <c r="B295" s="149">
        <v>45514</v>
      </c>
      <c r="C295" s="132">
        <f t="shared" si="5"/>
        <v>2024</v>
      </c>
      <c r="D295" s="150" t="s">
        <v>288</v>
      </c>
      <c r="E295" s="187">
        <f>'LCFS Table'!$K295-'LCFS Table'!$I295</f>
        <v>-1.8027368585732169</v>
      </c>
      <c r="F295" s="187">
        <f>('LCFS Table'!$M295)-'LCFS Table'!$J295</f>
        <v>-1.9386877802499991</v>
      </c>
      <c r="G295" s="188">
        <f>'LCFS Table'!$E295+'LCFS Table'!$AS295+'LCFS Table'!$AT295+'LCFS Table'!$AU295+'LCFS Table'!$AV295</f>
        <v>0.74609136398841491</v>
      </c>
      <c r="H295" s="188">
        <f>'LCFS Table'!$F295+'LCFS Table'!$AX295+'LCFS Table'!$AY295+'LCFS Table'!$AZ295+'LCFS Table'!$BA295+('LCFS Table'!$CQ295*0.9/(0.8/0.99)/100)+(DG295*'LCFS Table'!$AF295)+(DF295*'LCFS Table'!$AG295)</f>
        <v>0.2886449218750009</v>
      </c>
      <c r="I295" s="187">
        <f>('LCFS Table'!$V295+'LCFS Table'!$W295+'LCFS Table'!$X295)/100+(('LCFS Table'!$AI295+'LCFS Table'!$AJ295)/340)</f>
        <v>3.9622368585732168</v>
      </c>
      <c r="J295" s="187">
        <f>(('LCFS Table'!$Y295+'LCFS Table'!$Z295)/100)+(('LCFS Table'!$AM295+'LCFS Table'!$AN295)/300)</f>
        <v>4.3304550781249995</v>
      </c>
      <c r="K295" s="190">
        <f>'[1]Fuel Values'!$C294</f>
        <v>2.1595</v>
      </c>
      <c r="L295" s="190">
        <f>'[1]Fuel Values'!$B294</f>
        <v>453</v>
      </c>
      <c r="M295" s="185">
        <f>('LCFS Table'!$L295/100)-'LCFS Table'!$AX295-'LCFS Table'!$AY295-'LCFS Table'!$AZ295-'LCFS Table'!$BA295</f>
        <v>2.3917672978750004</v>
      </c>
      <c r="N295" s="190">
        <f>[1]BFT!$B294</f>
        <v>47.7</v>
      </c>
      <c r="O295" s="190">
        <f>[1]UCO!$B294</f>
        <v>35</v>
      </c>
      <c r="P295" s="190">
        <f>[1]DCO!$B294</f>
        <v>44.4</v>
      </c>
      <c r="Q295" s="190">
        <f>'[1]Soybean Oil'!$B294</f>
        <v>49.22</v>
      </c>
      <c r="R295" s="190">
        <f>'[1]Yellow Grease'!$B294</f>
        <v>31.5</v>
      </c>
      <c r="S295" s="185">
        <f>'LCFS Table'!$N295 + 'LCFS Table'!$AH295</f>
        <v>52.075000000000003</v>
      </c>
      <c r="T295" s="185">
        <f>'LCFS Table'!$Q295+'LCFS Table'!$AH295</f>
        <v>53.594999999999999</v>
      </c>
      <c r="U295" s="185">
        <f>'LCFS Table'!$P295+'LCFS Table'!$AH295</f>
        <v>48.774999999999999</v>
      </c>
      <c r="V295" s="185">
        <f>(('LCFS Table'!$S295/'LCFS Table'!$AA295)*'LCFS Table'!$AC295)*6.48</f>
        <v>179.49255319148938</v>
      </c>
      <c r="W295" s="185">
        <f>(('LCFS Table'!$O295/'LCFS Table'!$AA295)*'LCFS Table'!$AD295)*6.48</f>
        <v>60.319148936170222</v>
      </c>
      <c r="X295" s="185">
        <f>(('LCFS Table'!$U295/'LCFS Table'!$AA295)*'LCFS Table'!$AE295)*6.48</f>
        <v>84.059042553191489</v>
      </c>
      <c r="Y295" s="185">
        <f>(('LCFS Table'!$T295/'LCFS Table'!$AB295)*'LCFS Table'!$AF295)*7.35</f>
        <v>307.75253906249998</v>
      </c>
      <c r="Z295" s="185">
        <f>(('LCFS Table'!$R295/'LCFS Table'!$AB295)*'LCFS Table'!$AG295)*7.35</f>
        <v>60.29296875</v>
      </c>
      <c r="AA295" s="138">
        <v>0.94</v>
      </c>
      <c r="AB295" s="138">
        <v>0.96</v>
      </c>
      <c r="AC295" s="138">
        <v>0.5</v>
      </c>
      <c r="AD295" s="138">
        <v>0.25</v>
      </c>
      <c r="AE295" s="138">
        <v>0.25</v>
      </c>
      <c r="AF295" s="138">
        <v>0.75</v>
      </c>
      <c r="AG295" s="138">
        <v>0.25</v>
      </c>
      <c r="AH295" s="139">
        <v>4.375</v>
      </c>
      <c r="AI295" s="139">
        <v>136</v>
      </c>
      <c r="AJ295" s="139">
        <v>110</v>
      </c>
      <c r="AK295" s="186">
        <f>('LCFS Table'!$AI295/340)*100</f>
        <v>40</v>
      </c>
      <c r="AL295" s="186">
        <f>('LCFS Table'!$AJ295/340)*100</f>
        <v>32.352941176470587</v>
      </c>
      <c r="AM295" s="139">
        <v>105</v>
      </c>
      <c r="AN295" s="139">
        <v>90</v>
      </c>
      <c r="AO295" s="139">
        <f>('LCFS Table'!$AM295/300)*100</f>
        <v>35</v>
      </c>
      <c r="AP295" s="139">
        <f>('LCFS Table'!$AN295/300)*100</f>
        <v>30</v>
      </c>
      <c r="AQ295" s="140">
        <f>'[1]LCFS Values'!$B294</f>
        <v>49</v>
      </c>
      <c r="AR295" s="140">
        <f>'[1]RIN Values'!$B294/100</f>
        <v>0.58674999999999999</v>
      </c>
      <c r="AS295" s="185">
        <f>((('[2]Controls 2'!$B$2-SUM(('[2]Controls 2'!$B$5*'LCFS Table'!$AC295),('[2]Controls 2'!$B$6*'LCFS Table'!$AD295),('[2]Controls 2'!$B$7*'LCFS Table'!$AE295)))/1000000)*'LCFS Table'!$AQ295)*'[2]Controls 2'!$B$8</f>
        <v>0.39135322256163191</v>
      </c>
      <c r="AT295" s="137">
        <v>0.16</v>
      </c>
      <c r="AU295" s="137">
        <v>1</v>
      </c>
      <c r="AV295" s="185">
        <f>'LCFS Table'!$AR295*1.7</f>
        <v>0.997475</v>
      </c>
      <c r="AW295" s="137">
        <v>0</v>
      </c>
      <c r="AX295" s="185">
        <f>(((('[2]Controls 2'!$B$2-SUM(('LCFS Table'!$AF295*'[2]Controls 2'!$B$12),('LCFS Table'!$AG295*'[2]Controls 2'!$B$13)))/1000000)*'LCFS Table'!$AQ295)*'[2]Controls 2'!$B$14)</f>
        <v>0.258107702125</v>
      </c>
      <c r="AY295" s="137">
        <v>0</v>
      </c>
      <c r="AZ295" s="141">
        <v>1</v>
      </c>
      <c r="BA295" s="185">
        <f>'LCFS Table'!$AR295*1.5</f>
        <v>0.88012500000000005</v>
      </c>
      <c r="BB295" s="142">
        <v>1.2</v>
      </c>
      <c r="BC295" s="185">
        <f>'LCFS Table'!$AS295*'LCFS Table'!$BW295</f>
        <v>0.39135322256163191</v>
      </c>
      <c r="BD295" s="185">
        <f>'LCFS Table'!$AT295*'LCFS Table'!$BX295</f>
        <v>0</v>
      </c>
      <c r="BE295" s="185">
        <f>'LCFS Table'!$AU295*'LCFS Table'!$BY295</f>
        <v>1</v>
      </c>
      <c r="BF295" s="137">
        <f>'LCFS Table'!$AV295*'LCFS Table'!$BZ295</f>
        <v>0.997475</v>
      </c>
      <c r="BG295" s="137">
        <f>'LCFS Table'!$AW295*'LCFS Table'!$CA295</f>
        <v>0</v>
      </c>
      <c r="BH295" s="137">
        <f>'LCFS Table'!$AX295*'LCFS Table'!$CB295</f>
        <v>0.258107702125</v>
      </c>
      <c r="BI295" s="137">
        <f>'LCFS Table'!$AY295*'LCFS Table'!$CC295</f>
        <v>0</v>
      </c>
      <c r="BJ295" s="137">
        <f>'LCFS Table'!$AZ295*'LCFS Table'!$CD295</f>
        <v>1</v>
      </c>
      <c r="BK295" s="137">
        <f>'LCFS Table'!$BA295*'LCFS Table'!$CE295</f>
        <v>0.88012500000000005</v>
      </c>
      <c r="BL295" s="137">
        <f>'LCFS Table'!$BB295*'LCFS Table'!$CF295</f>
        <v>-1.2</v>
      </c>
      <c r="BM295" s="137">
        <f>'LCFS Table'!$AS295*'LCFS Table'!$CG295</f>
        <v>0</v>
      </c>
      <c r="BN295" s="137">
        <f>'LCFS Table'!$AT295*'LCFS Table'!$CH295</f>
        <v>0.16</v>
      </c>
      <c r="BO295" s="137">
        <f>'LCFS Table'!$AU295*'LCFS Table'!$CI295</f>
        <v>0</v>
      </c>
      <c r="BP295" s="137">
        <f>'LCFS Table'!$AV295*'LCFS Table'!$CJ295</f>
        <v>0</v>
      </c>
      <c r="BQ295" s="137">
        <f>'LCFS Table'!$AW295*'LCFS Table'!$CK295</f>
        <v>0</v>
      </c>
      <c r="BR295" s="137">
        <f>'LCFS Table'!$AX295*'LCFS Table'!$CL295</f>
        <v>0</v>
      </c>
      <c r="BS295" s="137">
        <f>'LCFS Table'!$AY295*'LCFS Table'!$CM295</f>
        <v>0</v>
      </c>
      <c r="BT295" s="137">
        <f>'LCFS Table'!$AZ295*'LCFS Table'!$CN295</f>
        <v>0</v>
      </c>
      <c r="BU295" s="137">
        <f>'LCFS Table'!$BA295*'LCFS Table'!$CO295</f>
        <v>0</v>
      </c>
      <c r="BV295" s="142">
        <f>'LCFS Table'!$BB295*'LCFS Table'!$CP295</f>
        <v>1.2</v>
      </c>
      <c r="BW295" s="138">
        <v>1</v>
      </c>
      <c r="BX295" s="138">
        <v>0</v>
      </c>
      <c r="BY295" s="138">
        <v>1</v>
      </c>
      <c r="BZ295" s="138">
        <v>1</v>
      </c>
      <c r="CA295" s="138">
        <v>-1</v>
      </c>
      <c r="CB295" s="138">
        <v>1</v>
      </c>
      <c r="CC295" s="138">
        <v>0</v>
      </c>
      <c r="CD295" s="138">
        <v>1</v>
      </c>
      <c r="CE295" s="138">
        <v>1</v>
      </c>
      <c r="CF295" s="138">
        <v>-1</v>
      </c>
      <c r="CG295" s="138">
        <f>1-'LCFS Table'!$BW295</f>
        <v>0</v>
      </c>
      <c r="CH295" s="138">
        <f>1-'LCFS Table'!$BX295</f>
        <v>1</v>
      </c>
      <c r="CI295" s="138">
        <f>1-'LCFS Table'!$BY295</f>
        <v>0</v>
      </c>
      <c r="CJ295" s="138">
        <f>1-'LCFS Table'!$BZ295</f>
        <v>0</v>
      </c>
      <c r="CK295" s="138">
        <f>-'LCFS Table'!$CA295</f>
        <v>1</v>
      </c>
      <c r="CL295" s="138">
        <f>1-'LCFS Table'!$CB295</f>
        <v>0</v>
      </c>
      <c r="CM295" s="138">
        <f>1-'LCFS Table'!$CC295</f>
        <v>1</v>
      </c>
      <c r="CN295" s="138">
        <f>1-'LCFS Table'!$CD295</f>
        <v>0</v>
      </c>
      <c r="CO295" s="138">
        <f>1-'LCFS Table'!$CE295</f>
        <v>0</v>
      </c>
      <c r="CP295" s="138">
        <f>-'LCFS Table'!$CF295</f>
        <v>1</v>
      </c>
      <c r="CQ295" s="140">
        <f t="shared" si="6"/>
        <v>8</v>
      </c>
      <c r="CR295" s="165">
        <f>('LCFS Table'!$CQ295*0.9/(0.8/0.99)/100)</f>
        <v>8.9099999999999985E-2</v>
      </c>
      <c r="CS295" s="166"/>
      <c r="CT295" s="167"/>
      <c r="CW295" s="168">
        <f>'LCFS Table'!$K295-'LCFS Table'!$M295</f>
        <v>-0.23226729787500044</v>
      </c>
      <c r="CX295" s="129">
        <f>MONTH('LCFS Table'!$B295)</f>
        <v>8</v>
      </c>
      <c r="CY295" s="129">
        <f>YEAR('LCFS Table'!$B295)</f>
        <v>2024</v>
      </c>
    </row>
    <row r="296" spans="1:103">
      <c r="A296" s="148">
        <v>45515</v>
      </c>
      <c r="B296" s="149">
        <v>45521</v>
      </c>
      <c r="C296" s="132">
        <f t="shared" si="5"/>
        <v>2024</v>
      </c>
      <c r="D296" s="150" t="s">
        <v>289</v>
      </c>
      <c r="E296" s="187">
        <f>'LCFS Table'!$K296-'LCFS Table'!$I296</f>
        <v>-1.738617709637047</v>
      </c>
      <c r="F296" s="187">
        <f>('LCFS Table'!$M296)-'LCFS Table'!$J296</f>
        <v>-1.8488866785562506</v>
      </c>
      <c r="G296" s="188">
        <f>'LCFS Table'!$E296+'LCFS Table'!$AS296+'LCFS Table'!$AT296+'LCFS Table'!$AU296+'LCFS Table'!$AV296</f>
        <v>0.79286093552607917</v>
      </c>
      <c r="H296" s="188">
        <f>'LCFS Table'!$F296+'LCFS Table'!$AX296+'LCFS Table'!$AY296+'LCFS Table'!$AZ296+'LCFS Table'!$BA296+('LCFS Table'!$CQ296*0.9/(0.8/0.99)/100)+(DG296*'LCFS Table'!$AF296)+(DF296*'LCFS Table'!$AG296)</f>
        <v>0.35308242187499939</v>
      </c>
      <c r="I296" s="187">
        <f>('LCFS Table'!$V296+'LCFS Table'!$W296+'LCFS Table'!$X296)/100+(('LCFS Table'!$AI296+'LCFS Table'!$AJ296)/340)</f>
        <v>3.901917709637047</v>
      </c>
      <c r="J296" s="187">
        <f>(('LCFS Table'!$Y296+'LCFS Table'!$Z296)/100)+(('LCFS Table'!$AM296+'LCFS Table'!$AN296)/300)</f>
        <v>4.2110175781250003</v>
      </c>
      <c r="K296" s="190">
        <f>'[1]Fuel Values'!$C295</f>
        <v>2.1633</v>
      </c>
      <c r="L296" s="190">
        <f>'[1]Fuel Values'!$B295</f>
        <v>447.5</v>
      </c>
      <c r="M296" s="185">
        <f>('LCFS Table'!$L296/100)-'LCFS Table'!$AX296-'LCFS Table'!$AY296-'LCFS Table'!$AZ296-'LCFS Table'!$BA296</f>
        <v>2.3621308995687498</v>
      </c>
      <c r="N296" s="190">
        <f>[1]BFT!$B295</f>
        <v>46.5</v>
      </c>
      <c r="O296" s="190">
        <f>[1]UCO!$B295</f>
        <v>35</v>
      </c>
      <c r="P296" s="190">
        <f>[1]DCO!$B295</f>
        <v>43.3</v>
      </c>
      <c r="Q296" s="190">
        <f>'[1]Soybean Oil'!$B295</f>
        <v>47.14</v>
      </c>
      <c r="R296" s="190">
        <f>'[1]Yellow Grease'!$B295</f>
        <v>31.5</v>
      </c>
      <c r="S296" s="185">
        <f>'LCFS Table'!$N296 + 'LCFS Table'!$AH296</f>
        <v>50.875</v>
      </c>
      <c r="T296" s="185">
        <f>'LCFS Table'!$Q296+'LCFS Table'!$AH296</f>
        <v>51.515000000000001</v>
      </c>
      <c r="U296" s="185">
        <f>'LCFS Table'!$P296+'LCFS Table'!$AH296</f>
        <v>47.674999999999997</v>
      </c>
      <c r="V296" s="185">
        <f>(('LCFS Table'!$S296/'LCFS Table'!$AA296)*'LCFS Table'!$AC296)*6.48</f>
        <v>175.35638297872342</v>
      </c>
      <c r="W296" s="185">
        <f>(('LCFS Table'!$O296/'LCFS Table'!$AA296)*'LCFS Table'!$AD296)*6.48</f>
        <v>60.319148936170222</v>
      </c>
      <c r="X296" s="185">
        <f>(('LCFS Table'!$U296/'LCFS Table'!$AA296)*'LCFS Table'!$AE296)*6.48</f>
        <v>82.163297872340436</v>
      </c>
      <c r="Y296" s="185">
        <f>(('LCFS Table'!$T296/'LCFS Table'!$AB296)*'LCFS Table'!$AF296)*7.35</f>
        <v>295.80878906250001</v>
      </c>
      <c r="Z296" s="185">
        <f>(('LCFS Table'!$R296/'LCFS Table'!$AB296)*'LCFS Table'!$AG296)*7.35</f>
        <v>60.29296875</v>
      </c>
      <c r="AA296" s="138">
        <v>0.94</v>
      </c>
      <c r="AB296" s="138">
        <v>0.96</v>
      </c>
      <c r="AC296" s="138">
        <v>0.5</v>
      </c>
      <c r="AD296" s="138">
        <v>0.25</v>
      </c>
      <c r="AE296" s="138">
        <v>0.25</v>
      </c>
      <c r="AF296" s="138">
        <v>0.75</v>
      </c>
      <c r="AG296" s="138">
        <v>0.25</v>
      </c>
      <c r="AH296" s="139">
        <v>4.375</v>
      </c>
      <c r="AI296" s="139">
        <v>136</v>
      </c>
      <c r="AJ296" s="139">
        <v>110</v>
      </c>
      <c r="AK296" s="186">
        <f>('LCFS Table'!$AI296/340)*100</f>
        <v>40</v>
      </c>
      <c r="AL296" s="186">
        <f>('LCFS Table'!$AJ296/340)*100</f>
        <v>32.352941176470587</v>
      </c>
      <c r="AM296" s="139">
        <v>105</v>
      </c>
      <c r="AN296" s="139">
        <v>90</v>
      </c>
      <c r="AO296" s="139">
        <f>('LCFS Table'!$AM296/300)*100</f>
        <v>35</v>
      </c>
      <c r="AP296" s="139">
        <f>('LCFS Table'!$AN296/300)*100</f>
        <v>30</v>
      </c>
      <c r="AQ296" s="140">
        <f>'[1]LCFS Values'!$B295</f>
        <v>54.65</v>
      </c>
      <c r="AR296" s="140">
        <f>'[1]RIN Values'!$B295/100</f>
        <v>0.55000000000000004</v>
      </c>
      <c r="AS296" s="185">
        <f>((('[2]Controls 2'!$B$2-SUM(('[2]Controls 2'!$B$5*'LCFS Table'!$AC296),('[2]Controls 2'!$B$6*'LCFS Table'!$AD296),('[2]Controls 2'!$B$7*'LCFS Table'!$AE296)))/1000000)*'LCFS Table'!$AQ296)*'[2]Controls 2'!$B$8</f>
        <v>0.43647864516312623</v>
      </c>
      <c r="AT296" s="137">
        <v>0.16</v>
      </c>
      <c r="AU296" s="137">
        <v>1</v>
      </c>
      <c r="AV296" s="185">
        <f>'LCFS Table'!$AR296*1.7</f>
        <v>0.93500000000000005</v>
      </c>
      <c r="AW296" s="137">
        <v>0</v>
      </c>
      <c r="AX296" s="185">
        <f>(((('[2]Controls 2'!$B$2-SUM(('LCFS Table'!$AF296*'[2]Controls 2'!$B$12),('LCFS Table'!$AG296*'[2]Controls 2'!$B$13)))/1000000)*'LCFS Table'!$AQ296)*'[2]Controls 2'!$B$14)</f>
        <v>0.28786910043124997</v>
      </c>
      <c r="AY296" s="137">
        <v>0</v>
      </c>
      <c r="AZ296" s="141">
        <v>1</v>
      </c>
      <c r="BA296" s="185">
        <f>'LCFS Table'!$AR296*1.5</f>
        <v>0.82500000000000007</v>
      </c>
      <c r="BB296" s="142">
        <v>1.2</v>
      </c>
      <c r="BC296" s="185">
        <f>'LCFS Table'!$AS296*'LCFS Table'!$BW296</f>
        <v>0.43647864516312623</v>
      </c>
      <c r="BD296" s="185">
        <f>'LCFS Table'!$AT296*'LCFS Table'!$BX296</f>
        <v>0</v>
      </c>
      <c r="BE296" s="185">
        <f>'LCFS Table'!$AU296*'LCFS Table'!$BY296</f>
        <v>1</v>
      </c>
      <c r="BF296" s="137">
        <f>'LCFS Table'!$AV296*'LCFS Table'!$BZ296</f>
        <v>0.93500000000000005</v>
      </c>
      <c r="BG296" s="137">
        <f>'LCFS Table'!$AW296*'LCFS Table'!$CA296</f>
        <v>0</v>
      </c>
      <c r="BH296" s="137">
        <f>'LCFS Table'!$AX296*'LCFS Table'!$CB296</f>
        <v>0.28786910043124997</v>
      </c>
      <c r="BI296" s="137">
        <f>'LCFS Table'!$AY296*'LCFS Table'!$CC296</f>
        <v>0</v>
      </c>
      <c r="BJ296" s="137">
        <f>'LCFS Table'!$AZ296*'LCFS Table'!$CD296</f>
        <v>1</v>
      </c>
      <c r="BK296" s="137">
        <f>'LCFS Table'!$BA296*'LCFS Table'!$CE296</f>
        <v>0.82500000000000007</v>
      </c>
      <c r="BL296" s="137">
        <f>'LCFS Table'!$BB296*'LCFS Table'!$CF296</f>
        <v>-1.2</v>
      </c>
      <c r="BM296" s="137">
        <f>'LCFS Table'!$AS296*'LCFS Table'!$CG296</f>
        <v>0</v>
      </c>
      <c r="BN296" s="137">
        <f>'LCFS Table'!$AT296*'LCFS Table'!$CH296</f>
        <v>0.16</v>
      </c>
      <c r="BO296" s="137">
        <f>'LCFS Table'!$AU296*'LCFS Table'!$CI296</f>
        <v>0</v>
      </c>
      <c r="BP296" s="137">
        <f>'LCFS Table'!$AV296*'LCFS Table'!$CJ296</f>
        <v>0</v>
      </c>
      <c r="BQ296" s="137">
        <f>'LCFS Table'!$AW296*'LCFS Table'!$CK296</f>
        <v>0</v>
      </c>
      <c r="BR296" s="137">
        <f>'LCFS Table'!$AX296*'LCFS Table'!$CL296</f>
        <v>0</v>
      </c>
      <c r="BS296" s="137">
        <f>'LCFS Table'!$AY296*'LCFS Table'!$CM296</f>
        <v>0</v>
      </c>
      <c r="BT296" s="137">
        <f>'LCFS Table'!$AZ296*'LCFS Table'!$CN296</f>
        <v>0</v>
      </c>
      <c r="BU296" s="137">
        <f>'LCFS Table'!$BA296*'LCFS Table'!$CO296</f>
        <v>0</v>
      </c>
      <c r="BV296" s="142">
        <f>'LCFS Table'!$BB296*'LCFS Table'!$CP296</f>
        <v>1.2</v>
      </c>
      <c r="BW296" s="138">
        <v>1</v>
      </c>
      <c r="BX296" s="138">
        <v>0</v>
      </c>
      <c r="BY296" s="138">
        <v>1</v>
      </c>
      <c r="BZ296" s="138">
        <v>1</v>
      </c>
      <c r="CA296" s="138">
        <v>-1</v>
      </c>
      <c r="CB296" s="138">
        <v>1</v>
      </c>
      <c r="CC296" s="138">
        <v>0</v>
      </c>
      <c r="CD296" s="138">
        <v>1</v>
      </c>
      <c r="CE296" s="138">
        <v>1</v>
      </c>
      <c r="CF296" s="138">
        <v>-1</v>
      </c>
      <c r="CG296" s="138">
        <f>1-'LCFS Table'!$BW296</f>
        <v>0</v>
      </c>
      <c r="CH296" s="138">
        <f>1-'LCFS Table'!$BX296</f>
        <v>1</v>
      </c>
      <c r="CI296" s="138">
        <f>1-'LCFS Table'!$BY296</f>
        <v>0</v>
      </c>
      <c r="CJ296" s="138">
        <f>1-'LCFS Table'!$BZ296</f>
        <v>0</v>
      </c>
      <c r="CK296" s="138">
        <f>-'LCFS Table'!$CA296</f>
        <v>1</v>
      </c>
      <c r="CL296" s="138">
        <f>1-'LCFS Table'!$CB296</f>
        <v>0</v>
      </c>
      <c r="CM296" s="138">
        <f>1-'LCFS Table'!$CC296</f>
        <v>1</v>
      </c>
      <c r="CN296" s="138">
        <f>1-'LCFS Table'!$CD296</f>
        <v>0</v>
      </c>
      <c r="CO296" s="138">
        <f>1-'LCFS Table'!$CE296</f>
        <v>0</v>
      </c>
      <c r="CP296" s="138">
        <f>-'LCFS Table'!$CF296</f>
        <v>1</v>
      </c>
      <c r="CQ296" s="140">
        <f t="shared" si="6"/>
        <v>8</v>
      </c>
      <c r="CR296" s="165">
        <f>('LCFS Table'!$CQ296*0.9/(0.8/0.99)/100)</f>
        <v>8.9099999999999985E-2</v>
      </c>
      <c r="CS296" s="166"/>
      <c r="CT296" s="167"/>
      <c r="CW296" s="168">
        <f>'LCFS Table'!$K296-'LCFS Table'!$M296</f>
        <v>-0.19883089956874977</v>
      </c>
      <c r="CX296" s="129">
        <f>MONTH('LCFS Table'!$B296)</f>
        <v>8</v>
      </c>
      <c r="CY296" s="129">
        <f>YEAR('LCFS Table'!$B296)</f>
        <v>2024</v>
      </c>
    </row>
    <row r="297" spans="1:103">
      <c r="A297" s="148">
        <v>45522</v>
      </c>
      <c r="B297" s="149">
        <v>45528</v>
      </c>
      <c r="C297" s="132">
        <f t="shared" si="5"/>
        <v>2024</v>
      </c>
      <c r="D297" s="150" t="s">
        <v>290</v>
      </c>
      <c r="E297" s="187">
        <f>'LCFS Table'!$K297-'LCFS Table'!$I297</f>
        <v>-1.8232389862327913</v>
      </c>
      <c r="F297" s="187">
        <f>('LCFS Table'!$M297)-'LCFS Table'!$J297</f>
        <v>-1.9257724525875011</v>
      </c>
      <c r="G297" s="211">
        <f>'LCFS Table'!$E297+'LCFS Table'!$AS297+'LCFS Table'!$AT297+'LCFS Table'!$AU297+'LCFS Table'!$AV297</f>
        <v>0.69043775812456198</v>
      </c>
      <c r="H297" s="211">
        <f>'LCFS Table'!$F297+'LCFS Table'!$AX297+'LCFS Table'!$AY297+'LCFS Table'!$AZ297+'LCFS Table'!$BA297+('LCFS Table'!$CQ297*0.9/(0.8/0.99)/100)+(DG297*'LCFS Table'!$AF297)+(DF297*'LCFS Table'!$AG297)</f>
        <v>0.26360351562499884</v>
      </c>
      <c r="I297" s="187">
        <f>('LCFS Table'!$V297+'LCFS Table'!$W297+'LCFS Table'!$X297)/100+(('LCFS Table'!$AI297+'LCFS Table'!$AJ297)/340)</f>
        <v>3.8519389862327915</v>
      </c>
      <c r="J297" s="187">
        <f>(('LCFS Table'!$Y297+'LCFS Table'!$Z297)/100)+(('LCFS Table'!$AM297+'LCFS Table'!$AN297)/300)</f>
        <v>4.2154964843750005</v>
      </c>
      <c r="K297" s="190">
        <f>'[1]Fuel Values'!$C296</f>
        <v>2.0287000000000002</v>
      </c>
      <c r="L297" s="190">
        <f>'[1]Fuel Values'!$B296</f>
        <v>439</v>
      </c>
      <c r="M297" s="185">
        <f>('LCFS Table'!$L297/100)-'LCFS Table'!$AX297-'LCFS Table'!$AY297-'LCFS Table'!$AZ297-'LCFS Table'!$BA297</f>
        <v>2.2897240317874994</v>
      </c>
      <c r="N297" s="190">
        <f>[1]BFT!$B296</f>
        <v>46.05</v>
      </c>
      <c r="O297" s="190">
        <f>[1]UCO!$B296</f>
        <v>35</v>
      </c>
      <c r="P297" s="190">
        <f>[1]DCO!$B296</f>
        <v>41.3</v>
      </c>
      <c r="Q297" s="190">
        <f>'[1]Soybean Oil'!$B296</f>
        <v>47.218000000000004</v>
      </c>
      <c r="R297" s="190">
        <f>'[1]Yellow Grease'!$B296</f>
        <v>31.5</v>
      </c>
      <c r="S297" s="185">
        <f>'LCFS Table'!$N297 + 'LCFS Table'!$AH297</f>
        <v>50.424999999999997</v>
      </c>
      <c r="T297" s="185">
        <f>'LCFS Table'!$Q297+'LCFS Table'!$AH297</f>
        <v>51.593000000000004</v>
      </c>
      <c r="U297" s="185">
        <f>'LCFS Table'!$P297+'LCFS Table'!$AH297</f>
        <v>45.674999999999997</v>
      </c>
      <c r="V297" s="185">
        <f>(('LCFS Table'!$S297/'LCFS Table'!$AA297)*'LCFS Table'!$AC297)*6.48</f>
        <v>173.80531914893618</v>
      </c>
      <c r="W297" s="185">
        <f>(('LCFS Table'!$O297/'LCFS Table'!$AA297)*'LCFS Table'!$AD297)*6.48</f>
        <v>60.319148936170222</v>
      </c>
      <c r="X297" s="185">
        <f>(('LCFS Table'!$U297/'LCFS Table'!$AA297)*'LCFS Table'!$AE297)*6.48</f>
        <v>78.716489361702131</v>
      </c>
      <c r="Y297" s="185">
        <f>(('LCFS Table'!$T297/'LCFS Table'!$AB297)*'LCFS Table'!$AF297)*7.35</f>
        <v>296.25667968750003</v>
      </c>
      <c r="Z297" s="185">
        <f>(('LCFS Table'!$R297/'LCFS Table'!$AB297)*'LCFS Table'!$AG297)*7.35</f>
        <v>60.29296875</v>
      </c>
      <c r="AA297" s="138">
        <v>0.94</v>
      </c>
      <c r="AB297" s="138">
        <v>0.96</v>
      </c>
      <c r="AC297" s="138">
        <v>0.5</v>
      </c>
      <c r="AD297" s="138">
        <v>0.25</v>
      </c>
      <c r="AE297" s="138">
        <v>0.25</v>
      </c>
      <c r="AF297" s="138">
        <v>0.75</v>
      </c>
      <c r="AG297" s="138">
        <v>0.25</v>
      </c>
      <c r="AH297" s="139">
        <v>4.375</v>
      </c>
      <c r="AI297" s="139">
        <v>136</v>
      </c>
      <c r="AJ297" s="139">
        <v>110</v>
      </c>
      <c r="AK297" s="186">
        <f>('LCFS Table'!$AI297/340)*100</f>
        <v>40</v>
      </c>
      <c r="AL297" s="186">
        <f>('LCFS Table'!$AJ297/340)*100</f>
        <v>32.352941176470587</v>
      </c>
      <c r="AM297" s="139">
        <v>105</v>
      </c>
      <c r="AN297" s="139">
        <v>90</v>
      </c>
      <c r="AO297" s="139">
        <f>('LCFS Table'!$AM297/300)*100</f>
        <v>35</v>
      </c>
      <c r="AP297" s="139">
        <f>('LCFS Table'!$AN297/300)*100</f>
        <v>30</v>
      </c>
      <c r="AQ297" s="140">
        <f>'[1]LCFS Values'!$B296</f>
        <v>52.9</v>
      </c>
      <c r="AR297" s="140">
        <f>'[1]RIN Values'!$B296/100</f>
        <v>0.54774999999999996</v>
      </c>
      <c r="AS297" s="185">
        <f>((('[2]Controls 2'!$B$2-SUM(('[2]Controls 2'!$B$5*'LCFS Table'!$AC297),('[2]Controls 2'!$B$6*'LCFS Table'!$AD297),('[2]Controls 2'!$B$7*'LCFS Table'!$AE297)))/1000000)*'LCFS Table'!$AQ297)*'[2]Controls 2'!$B$8</f>
        <v>0.42250174435735366</v>
      </c>
      <c r="AT297" s="137">
        <v>0.16</v>
      </c>
      <c r="AU297" s="137">
        <v>1</v>
      </c>
      <c r="AV297" s="185">
        <f>'LCFS Table'!$AR297*1.7</f>
        <v>0.93117499999999986</v>
      </c>
      <c r="AW297" s="137">
        <v>0</v>
      </c>
      <c r="AX297" s="185">
        <f>(((('[2]Controls 2'!$B$2-SUM(('LCFS Table'!$AF297*'[2]Controls 2'!$B$12),('LCFS Table'!$AG297*'[2]Controls 2'!$B$13)))/1000000)*'LCFS Table'!$AQ297)*'[2]Controls 2'!$B$14)</f>
        <v>0.27865096821249996</v>
      </c>
      <c r="AY297" s="137">
        <v>0</v>
      </c>
      <c r="AZ297" s="141">
        <v>1</v>
      </c>
      <c r="BA297" s="185">
        <f>'LCFS Table'!$AR297*1.5</f>
        <v>0.82162499999999994</v>
      </c>
      <c r="BB297" s="142">
        <v>1.2</v>
      </c>
      <c r="BC297" s="185">
        <f>'LCFS Table'!$AS297*'LCFS Table'!$BW297</f>
        <v>0.42250174435735366</v>
      </c>
      <c r="BD297" s="185">
        <f>'LCFS Table'!$AT297*'LCFS Table'!$BX297</f>
        <v>0</v>
      </c>
      <c r="BE297" s="185">
        <f>'LCFS Table'!$AU297*'LCFS Table'!$BY297</f>
        <v>1</v>
      </c>
      <c r="BF297" s="137">
        <f>'LCFS Table'!$AV297*'LCFS Table'!$BZ297</f>
        <v>0.93117499999999986</v>
      </c>
      <c r="BG297" s="137">
        <f>'LCFS Table'!$AW297*'LCFS Table'!$CA297</f>
        <v>0</v>
      </c>
      <c r="BH297" s="137">
        <f>'LCFS Table'!$AX297*'LCFS Table'!$CB297</f>
        <v>0.27865096821249996</v>
      </c>
      <c r="BI297" s="137">
        <f>'LCFS Table'!$AY297*'LCFS Table'!$CC297</f>
        <v>0</v>
      </c>
      <c r="BJ297" s="137">
        <f>'LCFS Table'!$AZ297*'LCFS Table'!$CD297</f>
        <v>1</v>
      </c>
      <c r="BK297" s="137">
        <f>'LCFS Table'!$BA297*'LCFS Table'!$CE297</f>
        <v>0.82162499999999994</v>
      </c>
      <c r="BL297" s="137">
        <f>'LCFS Table'!$BB297*'LCFS Table'!$CF297</f>
        <v>-1.2</v>
      </c>
      <c r="BM297" s="137">
        <f>'LCFS Table'!$AS297*'LCFS Table'!$CG297</f>
        <v>0</v>
      </c>
      <c r="BN297" s="137">
        <f>'LCFS Table'!$AT297*'LCFS Table'!$CH297</f>
        <v>0.16</v>
      </c>
      <c r="BO297" s="137">
        <f>'LCFS Table'!$AU297*'LCFS Table'!$CI297</f>
        <v>0</v>
      </c>
      <c r="BP297" s="137">
        <f>'LCFS Table'!$AV297*'LCFS Table'!$CJ297</f>
        <v>0</v>
      </c>
      <c r="BQ297" s="137">
        <f>'LCFS Table'!$AW297*'LCFS Table'!$CK297</f>
        <v>0</v>
      </c>
      <c r="BR297" s="137">
        <f>'LCFS Table'!$AX297*'LCFS Table'!$CL297</f>
        <v>0</v>
      </c>
      <c r="BS297" s="137">
        <f>'LCFS Table'!$AY297*'LCFS Table'!$CM297</f>
        <v>0</v>
      </c>
      <c r="BT297" s="137">
        <f>'LCFS Table'!$AZ297*'LCFS Table'!$CN297</f>
        <v>0</v>
      </c>
      <c r="BU297" s="137">
        <f>'LCFS Table'!$BA297*'LCFS Table'!$CO297</f>
        <v>0</v>
      </c>
      <c r="BV297" s="142">
        <f>'LCFS Table'!$BB297*'LCFS Table'!$CP297</f>
        <v>1.2</v>
      </c>
      <c r="BW297" s="138">
        <v>1</v>
      </c>
      <c r="BX297" s="138">
        <v>0</v>
      </c>
      <c r="BY297" s="138">
        <v>1</v>
      </c>
      <c r="BZ297" s="138">
        <v>1</v>
      </c>
      <c r="CA297" s="138">
        <v>-1</v>
      </c>
      <c r="CB297" s="138">
        <v>1</v>
      </c>
      <c r="CC297" s="138">
        <v>0</v>
      </c>
      <c r="CD297" s="138">
        <v>1</v>
      </c>
      <c r="CE297" s="138">
        <v>1</v>
      </c>
      <c r="CF297" s="138">
        <v>-1</v>
      </c>
      <c r="CG297" s="138">
        <f>1-'LCFS Table'!$BW297</f>
        <v>0</v>
      </c>
      <c r="CH297" s="138">
        <f>1-'LCFS Table'!$BX297</f>
        <v>1</v>
      </c>
      <c r="CI297" s="138">
        <f>1-'LCFS Table'!$BY297</f>
        <v>0</v>
      </c>
      <c r="CJ297" s="138">
        <f>1-'LCFS Table'!$BZ297</f>
        <v>0</v>
      </c>
      <c r="CK297" s="138">
        <f>-'LCFS Table'!$CA297</f>
        <v>1</v>
      </c>
      <c r="CL297" s="138">
        <f>1-'LCFS Table'!$CB297</f>
        <v>0</v>
      </c>
      <c r="CM297" s="138">
        <f>1-'LCFS Table'!$CC297</f>
        <v>1</v>
      </c>
      <c r="CN297" s="138">
        <f>1-'LCFS Table'!$CD297</f>
        <v>0</v>
      </c>
      <c r="CO297" s="138">
        <f>1-'LCFS Table'!$CE297</f>
        <v>0</v>
      </c>
      <c r="CP297" s="138">
        <f>-'LCFS Table'!$CF297</f>
        <v>1</v>
      </c>
      <c r="CQ297" s="140">
        <f t="shared" si="6"/>
        <v>8</v>
      </c>
      <c r="CR297" s="165">
        <f>('LCFS Table'!$CQ297*0.9/(0.8/0.99)/100)</f>
        <v>8.9099999999999985E-2</v>
      </c>
      <c r="CS297" s="166"/>
      <c r="CT297" s="167"/>
      <c r="CW297" s="168">
        <f>'LCFS Table'!$K297-'LCFS Table'!$M297</f>
        <v>-0.26102403178749922</v>
      </c>
      <c r="CX297" s="129">
        <f>MONTH('LCFS Table'!$B297)</f>
        <v>8</v>
      </c>
      <c r="CY297" s="129">
        <f>YEAR('LCFS Table'!$B297)</f>
        <v>2024</v>
      </c>
    </row>
    <row r="298" spans="1:103">
      <c r="A298" s="148">
        <v>45529</v>
      </c>
      <c r="B298" s="149">
        <v>45535</v>
      </c>
      <c r="C298" s="132">
        <f t="shared" si="5"/>
        <v>2024</v>
      </c>
      <c r="D298" s="150" t="s">
        <v>291</v>
      </c>
      <c r="E298" s="187">
        <f>'LCFS Table'!$K298-'LCFS Table'!$I298</f>
        <v>-1.7904847309136427</v>
      </c>
      <c r="F298" s="187">
        <f>('LCFS Table'!$M298)-'LCFS Table'!$J298</f>
        <v>-2.1020448372812512</v>
      </c>
      <c r="G298" s="211">
        <f>'LCFS Table'!$E298+'LCFS Table'!$AS298+'LCFS Table'!$AT298+'LCFS Table'!$AU298+'LCFS Table'!$AV298</f>
        <v>0.78403599452574824</v>
      </c>
      <c r="H298" s="211">
        <f>'LCFS Table'!$F298+'LCFS Table'!$AX298+'LCFS Table'!$AY298+'LCFS Table'!$AZ298+'LCFS Table'!$BA298+('LCFS Table'!$CQ298*0.9/(0.8/0.99)/100)+(DG298*'LCFS Table'!$AF298)+(DF298*'LCFS Table'!$AG298)</f>
        <v>0.13683476562499877</v>
      </c>
      <c r="I298" s="187">
        <f>('LCFS Table'!$V298+'LCFS Table'!$W298+'LCFS Table'!$X298)/100+(('LCFS Table'!$AI298+'LCFS Table'!$AJ298)/340)</f>
        <v>3.8902847309136428</v>
      </c>
      <c r="J298" s="187">
        <f>(('LCFS Table'!$Y298+'LCFS Table'!$Z298)/100)+(('LCFS Table'!$AM298+'LCFS Table'!$AN298)/300)</f>
        <v>4.2972652343750006</v>
      </c>
      <c r="K298" s="190">
        <f>'[1]Fuel Values'!$C297</f>
        <v>2.0998000000000001</v>
      </c>
      <c r="L298" s="190">
        <f>'[1]Fuel Values'!$B297</f>
        <v>434.5</v>
      </c>
      <c r="M298" s="185">
        <f>('LCFS Table'!$L298/100)-'LCFS Table'!$AX298-'LCFS Table'!$AY298-'LCFS Table'!$AZ298-'LCFS Table'!$BA298</f>
        <v>2.1952203970937494</v>
      </c>
      <c r="N298" s="190">
        <f>[1]BFT!$B297</f>
        <v>45.75</v>
      </c>
      <c r="O298" s="190">
        <f>[1]UCO!$B297</f>
        <v>36.799999999999997</v>
      </c>
      <c r="P298" s="190">
        <f>[1]DCO!$B297</f>
        <v>42.325000000000003</v>
      </c>
      <c r="Q298" s="190">
        <f>'[1]Soybean Oil'!$B297</f>
        <v>48.642000000000003</v>
      </c>
      <c r="R298" s="190">
        <f>'[1]Yellow Grease'!$B297</f>
        <v>31.5</v>
      </c>
      <c r="S298" s="185">
        <f>'LCFS Table'!$N298 + 'LCFS Table'!$AH298</f>
        <v>50.125</v>
      </c>
      <c r="T298" s="185">
        <f>'LCFS Table'!$Q298+'LCFS Table'!$AH298</f>
        <v>53.017000000000003</v>
      </c>
      <c r="U298" s="185">
        <f>'LCFS Table'!$P298+'LCFS Table'!$AH298</f>
        <v>46.7</v>
      </c>
      <c r="V298" s="185">
        <f>(('LCFS Table'!$S298/'LCFS Table'!$AA298)*'LCFS Table'!$AC298)*6.48</f>
        <v>172.77127659574472</v>
      </c>
      <c r="W298" s="185">
        <f>(('LCFS Table'!$O298/'LCFS Table'!$AA298)*'LCFS Table'!$AD298)*6.48</f>
        <v>63.421276595744679</v>
      </c>
      <c r="X298" s="185">
        <f>(('LCFS Table'!$U298/'LCFS Table'!$AA298)*'LCFS Table'!$AE298)*6.48</f>
        <v>80.482978723404273</v>
      </c>
      <c r="Y298" s="185">
        <f>(('LCFS Table'!$T298/'LCFS Table'!$AB298)*'LCFS Table'!$AF298)*7.35</f>
        <v>304.43355468750002</v>
      </c>
      <c r="Z298" s="185">
        <f>(('LCFS Table'!$R298/'LCFS Table'!$AB298)*'LCFS Table'!$AG298)*7.35</f>
        <v>60.29296875</v>
      </c>
      <c r="AA298" s="138">
        <v>0.94</v>
      </c>
      <c r="AB298" s="138">
        <v>0.96</v>
      </c>
      <c r="AC298" s="138">
        <v>0.5</v>
      </c>
      <c r="AD298" s="138">
        <v>0.25</v>
      </c>
      <c r="AE298" s="138">
        <v>0.25</v>
      </c>
      <c r="AF298" s="138">
        <v>0.75</v>
      </c>
      <c r="AG298" s="138">
        <v>0.25</v>
      </c>
      <c r="AH298" s="139">
        <v>4.375</v>
      </c>
      <c r="AI298" s="139">
        <v>136</v>
      </c>
      <c r="AJ298" s="139">
        <v>110</v>
      </c>
      <c r="AK298" s="186">
        <f>('LCFS Table'!$AI298/340)*100</f>
        <v>40</v>
      </c>
      <c r="AL298" s="186">
        <f>('LCFS Table'!$AJ298/340)*100</f>
        <v>32.352941176470587</v>
      </c>
      <c r="AM298" s="139">
        <v>105</v>
      </c>
      <c r="AN298" s="139">
        <v>90</v>
      </c>
      <c r="AO298" s="139">
        <f>('LCFS Table'!$AM298/300)*100</f>
        <v>35</v>
      </c>
      <c r="AP298" s="139">
        <f>('LCFS Table'!$AN298/300)*100</f>
        <v>30</v>
      </c>
      <c r="AQ298" s="140">
        <f>'[1]LCFS Values'!$B297</f>
        <v>55.25</v>
      </c>
      <c r="AR298" s="140">
        <f>'[1]RIN Values'!$B297/100</f>
        <v>0.57250000000000001</v>
      </c>
      <c r="AS298" s="185">
        <f>((('[2]Controls 2'!$B$2-SUM(('[2]Controls 2'!$B$5*'LCFS Table'!$AC298),('[2]Controls 2'!$B$6*'LCFS Table'!$AD298),('[2]Controls 2'!$B$7*'LCFS Table'!$AE298)))/1000000)*'LCFS Table'!$AQ298)*'[2]Controls 2'!$B$8</f>
        <v>0.44127072543939111</v>
      </c>
      <c r="AT298" s="137">
        <v>0.16</v>
      </c>
      <c r="AU298" s="137">
        <v>1</v>
      </c>
      <c r="AV298" s="185">
        <f>'LCFS Table'!$AR298*1.7</f>
        <v>0.97324999999999995</v>
      </c>
      <c r="AW298" s="137">
        <v>0</v>
      </c>
      <c r="AX298" s="185">
        <f>(((('[2]Controls 2'!$B$2-SUM(('LCFS Table'!$AF298*'[2]Controls 2'!$B$12),('LCFS Table'!$AG298*'[2]Controls 2'!$B$13)))/1000000)*'LCFS Table'!$AQ298)*'[2]Controls 2'!$B$14)</f>
        <v>0.29102960290625002</v>
      </c>
      <c r="AY298" s="137">
        <v>0</v>
      </c>
      <c r="AZ298" s="141">
        <v>1</v>
      </c>
      <c r="BA298" s="185">
        <f>'LCFS Table'!$AR298*1.5</f>
        <v>0.85875000000000001</v>
      </c>
      <c r="BB298" s="142">
        <v>1.2</v>
      </c>
      <c r="BC298" s="185">
        <f>'LCFS Table'!$AS298*'LCFS Table'!$BW298</f>
        <v>0.44127072543939111</v>
      </c>
      <c r="BD298" s="185">
        <f>'LCFS Table'!$AT298*'LCFS Table'!$BX298</f>
        <v>0</v>
      </c>
      <c r="BE298" s="185">
        <f>'LCFS Table'!$AU298*'LCFS Table'!$BY298</f>
        <v>1</v>
      </c>
      <c r="BF298" s="137">
        <f>'LCFS Table'!$AV298*'LCFS Table'!$BZ298</f>
        <v>0.97324999999999995</v>
      </c>
      <c r="BG298" s="137">
        <f>'LCFS Table'!$AW298*'LCFS Table'!$CA298</f>
        <v>0</v>
      </c>
      <c r="BH298" s="137">
        <f>'LCFS Table'!$AX298*'LCFS Table'!$CB298</f>
        <v>0.29102960290625002</v>
      </c>
      <c r="BI298" s="137">
        <f>'LCFS Table'!$AY298*'LCFS Table'!$CC298</f>
        <v>0</v>
      </c>
      <c r="BJ298" s="137">
        <f>'LCFS Table'!$AZ298*'LCFS Table'!$CD298</f>
        <v>1</v>
      </c>
      <c r="BK298" s="137">
        <f>'LCFS Table'!$BA298*'LCFS Table'!$CE298</f>
        <v>0.85875000000000001</v>
      </c>
      <c r="BL298" s="137">
        <f>'LCFS Table'!$BB298*'LCFS Table'!$CF298</f>
        <v>-1.2</v>
      </c>
      <c r="BM298" s="137">
        <f>'LCFS Table'!$AS298*'LCFS Table'!$CG298</f>
        <v>0</v>
      </c>
      <c r="BN298" s="137">
        <f>'LCFS Table'!$AT298*'LCFS Table'!$CH298</f>
        <v>0.16</v>
      </c>
      <c r="BO298" s="137">
        <f>'LCFS Table'!$AU298*'LCFS Table'!$CI298</f>
        <v>0</v>
      </c>
      <c r="BP298" s="137">
        <f>'LCFS Table'!$AV298*'LCFS Table'!$CJ298</f>
        <v>0</v>
      </c>
      <c r="BQ298" s="137">
        <f>'LCFS Table'!$AW298*'LCFS Table'!$CK298</f>
        <v>0</v>
      </c>
      <c r="BR298" s="137">
        <f>'LCFS Table'!$AX298*'LCFS Table'!$CL298</f>
        <v>0</v>
      </c>
      <c r="BS298" s="137">
        <f>'LCFS Table'!$AY298*'LCFS Table'!$CM298</f>
        <v>0</v>
      </c>
      <c r="BT298" s="137">
        <f>'LCFS Table'!$AZ298*'LCFS Table'!$CN298</f>
        <v>0</v>
      </c>
      <c r="BU298" s="137">
        <f>'LCFS Table'!$BA298*'LCFS Table'!$CO298</f>
        <v>0</v>
      </c>
      <c r="BV298" s="142">
        <f>'LCFS Table'!$BB298*'LCFS Table'!$CP298</f>
        <v>1.2</v>
      </c>
      <c r="BW298" s="138">
        <v>1</v>
      </c>
      <c r="BX298" s="138">
        <v>0</v>
      </c>
      <c r="BY298" s="138">
        <v>1</v>
      </c>
      <c r="BZ298" s="138">
        <v>1</v>
      </c>
      <c r="CA298" s="138">
        <v>-1</v>
      </c>
      <c r="CB298" s="138">
        <v>1</v>
      </c>
      <c r="CC298" s="138">
        <v>0</v>
      </c>
      <c r="CD298" s="138">
        <v>1</v>
      </c>
      <c r="CE298" s="138">
        <v>1</v>
      </c>
      <c r="CF298" s="138">
        <v>-1</v>
      </c>
      <c r="CG298" s="138">
        <f>1-'LCFS Table'!$BW298</f>
        <v>0</v>
      </c>
      <c r="CH298" s="138">
        <f>1-'LCFS Table'!$BX298</f>
        <v>1</v>
      </c>
      <c r="CI298" s="138">
        <f>1-'LCFS Table'!$BY298</f>
        <v>0</v>
      </c>
      <c r="CJ298" s="138">
        <f>1-'LCFS Table'!$BZ298</f>
        <v>0</v>
      </c>
      <c r="CK298" s="138">
        <f>-'LCFS Table'!$CA298</f>
        <v>1</v>
      </c>
      <c r="CL298" s="138">
        <f>1-'LCFS Table'!$CB298</f>
        <v>0</v>
      </c>
      <c r="CM298" s="138">
        <f>1-'LCFS Table'!$CC298</f>
        <v>1</v>
      </c>
      <c r="CN298" s="138">
        <f>1-'LCFS Table'!$CD298</f>
        <v>0</v>
      </c>
      <c r="CO298" s="138">
        <f>1-'LCFS Table'!$CE298</f>
        <v>0</v>
      </c>
      <c r="CP298" s="138">
        <f>-'LCFS Table'!$CF298</f>
        <v>1</v>
      </c>
      <c r="CQ298" s="140">
        <f t="shared" si="6"/>
        <v>8</v>
      </c>
      <c r="CR298" s="165">
        <f>('LCFS Table'!$CQ298*0.9/(0.8/0.99)/100)</f>
        <v>8.9099999999999985E-2</v>
      </c>
      <c r="CS298" s="166"/>
      <c r="CT298" s="167"/>
      <c r="CW298" s="168">
        <f>'LCFS Table'!$K298-'LCFS Table'!$M298</f>
        <v>-9.5420397093749276E-2</v>
      </c>
      <c r="CX298" s="129">
        <f>MONTH('LCFS Table'!$B298)</f>
        <v>8</v>
      </c>
      <c r="CY298" s="129">
        <f>YEAR('LCFS Table'!$B298)</f>
        <v>2024</v>
      </c>
    </row>
    <row r="299" spans="1:103">
      <c r="A299" s="148">
        <v>45536</v>
      </c>
      <c r="B299" s="149">
        <v>45542</v>
      </c>
      <c r="C299" s="132">
        <f t="shared" si="5"/>
        <v>2024</v>
      </c>
      <c r="D299" s="150" t="s">
        <v>292</v>
      </c>
      <c r="E299" s="187">
        <f>'LCFS Table'!$K299-'LCFS Table'!$I299</f>
        <v>-1.9705155819774725</v>
      </c>
      <c r="F299" s="187">
        <f>('LCFS Table'!$M299)-'LCFS Table'!$J299</f>
        <v>-2.0990764779062512</v>
      </c>
      <c r="G299" s="211">
        <f>'LCFS Table'!$E299+'LCFS Table'!$AS299+'LCFS Table'!$AT299+'LCFS Table'!$AU299+'LCFS Table'!$AV299</f>
        <v>0.60400514346191847</v>
      </c>
      <c r="H299" s="211">
        <f>'LCFS Table'!$F299+'LCFS Table'!$AX299+'LCFS Table'!$AY299+'LCFS Table'!$AZ299+'LCFS Table'!$BA299+('LCFS Table'!$CQ299*0.9/(0.8/0.99)/100)+(DG299*'LCFS Table'!$AF299)+(DF299*'LCFS Table'!$AG299)</f>
        <v>0.13980312499999883</v>
      </c>
      <c r="I299" s="187">
        <f>('LCFS Table'!$V299+'LCFS Table'!$W299+'LCFS Table'!$X299)/100+(('LCFS Table'!$AI299+'LCFS Table'!$AJ299)/340)</f>
        <v>3.9555155819774726</v>
      </c>
      <c r="J299" s="187">
        <f>(('LCFS Table'!$Y299+'LCFS Table'!$Z299)/100)+(('LCFS Table'!$AM299+'LCFS Table'!$AN299)/300)</f>
        <v>4.2905468750000004</v>
      </c>
      <c r="K299" s="190">
        <f>'[1]Fuel Values'!$C298</f>
        <v>1.9850000000000001</v>
      </c>
      <c r="L299" s="190">
        <f>'[1]Fuel Values'!$B298</f>
        <v>434.125</v>
      </c>
      <c r="M299" s="185">
        <f>('LCFS Table'!$L299/100)-'LCFS Table'!$AX299-'LCFS Table'!$AY299-'LCFS Table'!$AZ299-'LCFS Table'!$BA299</f>
        <v>2.1914703970937492</v>
      </c>
      <c r="N299" s="190">
        <f>[1]BFT!$B298</f>
        <v>45.75</v>
      </c>
      <c r="O299" s="190">
        <f>[1]UCO!$B298</f>
        <v>40.5</v>
      </c>
      <c r="P299" s="190">
        <f>[1]DCO!$B298</f>
        <v>42.41</v>
      </c>
      <c r="Q299" s="190">
        <f>'[1]Soybean Oil'!$B298</f>
        <v>47.774999999999999</v>
      </c>
      <c r="R299" s="190">
        <f>'[1]Yellow Grease'!$B298</f>
        <v>33.75</v>
      </c>
      <c r="S299" s="185">
        <f>'LCFS Table'!$N299 + 'LCFS Table'!$AH299</f>
        <v>50.125</v>
      </c>
      <c r="T299" s="185">
        <f>'LCFS Table'!$Q299+'LCFS Table'!$AH299</f>
        <v>52.15</v>
      </c>
      <c r="U299" s="185">
        <f>'LCFS Table'!$P299+'LCFS Table'!$AH299</f>
        <v>46.784999999999997</v>
      </c>
      <c r="V299" s="185">
        <f>(('LCFS Table'!$S299/'LCFS Table'!$AA299)*'LCFS Table'!$AC299)*6.48</f>
        <v>172.77127659574472</v>
      </c>
      <c r="W299" s="185">
        <f>(('LCFS Table'!$O299/'LCFS Table'!$AA299)*'LCFS Table'!$AD299)*6.48</f>
        <v>69.797872340425542</v>
      </c>
      <c r="X299" s="185">
        <f>(('LCFS Table'!$U299/'LCFS Table'!$AA299)*'LCFS Table'!$AE299)*6.48</f>
        <v>80.629468085106382</v>
      </c>
      <c r="Y299" s="185">
        <f>(('LCFS Table'!$T299/'LCFS Table'!$AB299)*'LCFS Table'!$AF299)*7.35</f>
        <v>299.455078125</v>
      </c>
      <c r="Z299" s="185">
        <f>(('LCFS Table'!$R299/'LCFS Table'!$AB299)*'LCFS Table'!$AG299)*7.35</f>
        <v>64.599609375</v>
      </c>
      <c r="AA299" s="138">
        <v>0.94</v>
      </c>
      <c r="AB299" s="138">
        <v>0.96</v>
      </c>
      <c r="AC299" s="138">
        <v>0.5</v>
      </c>
      <c r="AD299" s="138">
        <v>0.25</v>
      </c>
      <c r="AE299" s="138">
        <v>0.25</v>
      </c>
      <c r="AF299" s="138">
        <v>0.75</v>
      </c>
      <c r="AG299" s="138">
        <v>0.25</v>
      </c>
      <c r="AH299" s="139">
        <v>4.375</v>
      </c>
      <c r="AI299" s="139">
        <v>136</v>
      </c>
      <c r="AJ299" s="139">
        <v>110</v>
      </c>
      <c r="AK299" s="186">
        <f>('LCFS Table'!$AI299/340)*100</f>
        <v>40</v>
      </c>
      <c r="AL299" s="186">
        <f>('LCFS Table'!$AJ299/340)*100</f>
        <v>32.352941176470587</v>
      </c>
      <c r="AM299" s="139">
        <v>105</v>
      </c>
      <c r="AN299" s="139">
        <v>90</v>
      </c>
      <c r="AO299" s="139">
        <f>('LCFS Table'!$AM299/300)*100</f>
        <v>35</v>
      </c>
      <c r="AP299" s="139">
        <f>('LCFS Table'!$AN299/300)*100</f>
        <v>30</v>
      </c>
      <c r="AQ299" s="140">
        <f>'[1]LCFS Values'!$B298</f>
        <v>55.25</v>
      </c>
      <c r="AR299" s="140">
        <f>'[1]RIN Values'!$B298/100</f>
        <v>0.57250000000000001</v>
      </c>
      <c r="AS299" s="185">
        <f>((('[2]Controls 2'!$B$2-SUM(('[2]Controls 2'!$B$5*'LCFS Table'!$AC299),('[2]Controls 2'!$B$6*'LCFS Table'!$AD299),('[2]Controls 2'!$B$7*'LCFS Table'!$AE299)))/1000000)*'LCFS Table'!$AQ299)*'[2]Controls 2'!$B$8</f>
        <v>0.44127072543939111</v>
      </c>
      <c r="AT299" s="137">
        <v>0.16</v>
      </c>
      <c r="AU299" s="137">
        <v>1</v>
      </c>
      <c r="AV299" s="185">
        <f>'LCFS Table'!$AR299*1.7</f>
        <v>0.97324999999999995</v>
      </c>
      <c r="AW299" s="137">
        <v>0</v>
      </c>
      <c r="AX299" s="185">
        <f>(((('[2]Controls 2'!$B$2-SUM(('LCFS Table'!$AF299*'[2]Controls 2'!$B$12),('LCFS Table'!$AG299*'[2]Controls 2'!$B$13)))/1000000)*'LCFS Table'!$AQ299)*'[2]Controls 2'!$B$14)</f>
        <v>0.29102960290625002</v>
      </c>
      <c r="AY299" s="137">
        <v>0</v>
      </c>
      <c r="AZ299" s="141">
        <v>1</v>
      </c>
      <c r="BA299" s="185">
        <f>'LCFS Table'!$AR299*1.5</f>
        <v>0.85875000000000001</v>
      </c>
      <c r="BB299" s="142">
        <v>1.2</v>
      </c>
      <c r="BC299" s="185">
        <f>'LCFS Table'!$AS299*'LCFS Table'!$BW299</f>
        <v>0.44127072543939111</v>
      </c>
      <c r="BD299" s="185">
        <f>'LCFS Table'!$AT299*'LCFS Table'!$BX299</f>
        <v>0</v>
      </c>
      <c r="BE299" s="185">
        <f>'LCFS Table'!$AU299*'LCFS Table'!$BY299</f>
        <v>1</v>
      </c>
      <c r="BF299" s="137">
        <f>'LCFS Table'!$AV299*'LCFS Table'!$BZ299</f>
        <v>0.97324999999999995</v>
      </c>
      <c r="BG299" s="137">
        <f>'LCFS Table'!$AW299*'LCFS Table'!$CA299</f>
        <v>0</v>
      </c>
      <c r="BH299" s="137">
        <f>'LCFS Table'!$AX299*'LCFS Table'!$CB299</f>
        <v>0.29102960290625002</v>
      </c>
      <c r="BI299" s="137">
        <f>'LCFS Table'!$AY299*'LCFS Table'!$CC299</f>
        <v>0</v>
      </c>
      <c r="BJ299" s="137">
        <f>'LCFS Table'!$AZ299*'LCFS Table'!$CD299</f>
        <v>1</v>
      </c>
      <c r="BK299" s="137">
        <f>'LCFS Table'!$BA299*'LCFS Table'!$CE299</f>
        <v>0.85875000000000001</v>
      </c>
      <c r="BL299" s="137">
        <f>'LCFS Table'!$BB299*'LCFS Table'!$CF299</f>
        <v>-1.2</v>
      </c>
      <c r="BM299" s="137">
        <f>'LCFS Table'!$AS299*'LCFS Table'!$CG299</f>
        <v>0</v>
      </c>
      <c r="BN299" s="137">
        <f>'LCFS Table'!$AT299*'LCFS Table'!$CH299</f>
        <v>0.16</v>
      </c>
      <c r="BO299" s="137">
        <f>'LCFS Table'!$AU299*'LCFS Table'!$CI299</f>
        <v>0</v>
      </c>
      <c r="BP299" s="137">
        <f>'LCFS Table'!$AV299*'LCFS Table'!$CJ299</f>
        <v>0</v>
      </c>
      <c r="BQ299" s="137">
        <f>'LCFS Table'!$AW299*'LCFS Table'!$CK299</f>
        <v>0</v>
      </c>
      <c r="BR299" s="137">
        <f>'LCFS Table'!$AX299*'LCFS Table'!$CL299</f>
        <v>0</v>
      </c>
      <c r="BS299" s="137">
        <f>'LCFS Table'!$AY299*'LCFS Table'!$CM299</f>
        <v>0</v>
      </c>
      <c r="BT299" s="137">
        <f>'LCFS Table'!$AZ299*'LCFS Table'!$CN299</f>
        <v>0</v>
      </c>
      <c r="BU299" s="137">
        <f>'LCFS Table'!$BA299*'LCFS Table'!$CO299</f>
        <v>0</v>
      </c>
      <c r="BV299" s="142">
        <f>'LCFS Table'!$BB299*'LCFS Table'!$CP299</f>
        <v>1.2</v>
      </c>
      <c r="BW299" s="138">
        <v>1</v>
      </c>
      <c r="BX299" s="138">
        <v>0</v>
      </c>
      <c r="BY299" s="138">
        <v>1</v>
      </c>
      <c r="BZ299" s="138">
        <v>1</v>
      </c>
      <c r="CA299" s="138">
        <v>-1</v>
      </c>
      <c r="CB299" s="138">
        <v>1</v>
      </c>
      <c r="CC299" s="138">
        <v>0</v>
      </c>
      <c r="CD299" s="138">
        <v>1</v>
      </c>
      <c r="CE299" s="138">
        <v>1</v>
      </c>
      <c r="CF299" s="138">
        <v>-1</v>
      </c>
      <c r="CG299" s="138">
        <f>1-'LCFS Table'!$BW299</f>
        <v>0</v>
      </c>
      <c r="CH299" s="138">
        <f>1-'LCFS Table'!$BX299</f>
        <v>1</v>
      </c>
      <c r="CI299" s="138">
        <f>1-'LCFS Table'!$BY299</f>
        <v>0</v>
      </c>
      <c r="CJ299" s="138">
        <f>1-'LCFS Table'!$BZ299</f>
        <v>0</v>
      </c>
      <c r="CK299" s="138">
        <f>-'LCFS Table'!$CA299</f>
        <v>1</v>
      </c>
      <c r="CL299" s="138">
        <f>1-'LCFS Table'!$CB299</f>
        <v>0</v>
      </c>
      <c r="CM299" s="138">
        <f>1-'LCFS Table'!$CC299</f>
        <v>1</v>
      </c>
      <c r="CN299" s="138">
        <f>1-'LCFS Table'!$CD299</f>
        <v>0</v>
      </c>
      <c r="CO299" s="138">
        <f>1-'LCFS Table'!$CE299</f>
        <v>0</v>
      </c>
      <c r="CP299" s="138">
        <f>-'LCFS Table'!$CF299</f>
        <v>1</v>
      </c>
      <c r="CQ299" s="140">
        <f t="shared" si="6"/>
        <v>8</v>
      </c>
      <c r="CR299" s="165">
        <f>('LCFS Table'!$CQ299*0.9/(0.8/0.99)/100)</f>
        <v>8.9099999999999985E-2</v>
      </c>
      <c r="CS299" s="166"/>
      <c r="CT299" s="167"/>
      <c r="CW299" s="168">
        <f>'LCFS Table'!$K299-'LCFS Table'!$M299</f>
        <v>-0.20647039709374915</v>
      </c>
      <c r="CX299" s="129">
        <f>MONTH('LCFS Table'!$B299)</f>
        <v>9</v>
      </c>
      <c r="CY299" s="129">
        <f>YEAR('LCFS Table'!$B299)</f>
        <v>2024</v>
      </c>
    </row>
    <row r="300" spans="1:103">
      <c r="A300" s="148">
        <v>45543</v>
      </c>
      <c r="B300" s="149">
        <v>45549</v>
      </c>
      <c r="C300" s="132">
        <f t="shared" si="5"/>
        <v>2024</v>
      </c>
      <c r="D300" s="150" t="s">
        <v>293</v>
      </c>
      <c r="E300" s="187">
        <f>'LCFS Table'!$K300-'LCFS Table'!$I300</f>
        <v>-2.0137155819774719</v>
      </c>
      <c r="F300" s="187">
        <f>('LCFS Table'!$M300)-'LCFS Table'!$J300</f>
        <v>-2.1365459081343752</v>
      </c>
      <c r="G300" s="211">
        <f>'LCFS Table'!$E300+'LCFS Table'!$AS300+'LCFS Table'!$AT300+'LCFS Table'!$AU300+'LCFS Table'!$AV300</f>
        <v>0.57357841439431312</v>
      </c>
      <c r="H300" s="211">
        <f>'LCFS Table'!$F300+'LCFS Table'!$AX300+'LCFS Table'!$AY300+'LCFS Table'!$AZ300+'LCFS Table'!$BA300+('LCFS Table'!$CQ300*0.9/(0.8/0.99)/100)+(DG300*'LCFS Table'!$AF300)+(DF300*'LCFS Table'!$AG300)</f>
        <v>0.11000039062499981</v>
      </c>
      <c r="I300" s="187">
        <f>('LCFS Table'!$V300+'LCFS Table'!$W300+'LCFS Table'!$X300)/100+(('LCFS Table'!$AI300+'LCFS Table'!$AJ300)/340)</f>
        <v>3.9717155819774721</v>
      </c>
      <c r="J300" s="187">
        <f>(('LCFS Table'!$Y300+'LCFS Table'!$Z300)/100)+(('LCFS Table'!$AM300+'LCFS Table'!$AN300)/300)</f>
        <v>4.2670996093750002</v>
      </c>
      <c r="K300" s="190">
        <f>'[1]Fuel Values'!$C299</f>
        <v>1.958</v>
      </c>
      <c r="L300" s="190">
        <f>'[1]Fuel Values'!$B299</f>
        <v>428.8</v>
      </c>
      <c r="M300" s="185">
        <f>('LCFS Table'!$L300/100)-'LCFS Table'!$AX300-'LCFS Table'!$AY300-'LCFS Table'!$AZ300-'LCFS Table'!$BA300</f>
        <v>2.130553701240625</v>
      </c>
      <c r="N300" s="190">
        <f>[1]BFT!$B299</f>
        <v>45.75</v>
      </c>
      <c r="O300" s="190">
        <f>[1]UCO!$B299</f>
        <v>42.1</v>
      </c>
      <c r="P300" s="190">
        <f>[1]DCO!$B299</f>
        <v>41.75</v>
      </c>
      <c r="Q300" s="190">
        <f>'[1]Soybean Oil'!$B299</f>
        <v>46.45</v>
      </c>
      <c r="R300" s="190">
        <f>'[1]Yellow Grease'!$B299</f>
        <v>36.5</v>
      </c>
      <c r="S300" s="185">
        <f>'LCFS Table'!$N300 + 'LCFS Table'!$AH300</f>
        <v>50.125</v>
      </c>
      <c r="T300" s="185">
        <f>'LCFS Table'!$Q300+'LCFS Table'!$AH300</f>
        <v>50.825000000000003</v>
      </c>
      <c r="U300" s="185">
        <f>'LCFS Table'!$P300+'LCFS Table'!$AH300</f>
        <v>46.125</v>
      </c>
      <c r="V300" s="185">
        <f>(('LCFS Table'!$S300/'LCFS Table'!$AA300)*'LCFS Table'!$AC300)*6.48</f>
        <v>172.77127659574472</v>
      </c>
      <c r="W300" s="185">
        <f>(('LCFS Table'!$O300/'LCFS Table'!$AA300)*'LCFS Table'!$AD300)*6.48</f>
        <v>72.555319148936178</v>
      </c>
      <c r="X300" s="185">
        <f>(('LCFS Table'!$U300/'LCFS Table'!$AA300)*'LCFS Table'!$AE300)*6.48</f>
        <v>79.49202127659575</v>
      </c>
      <c r="Y300" s="185">
        <f>(('LCFS Table'!$T300/'LCFS Table'!$AB300)*'LCFS Table'!$AF300)*7.35</f>
        <v>291.8466796875</v>
      </c>
      <c r="Z300" s="185">
        <f>(('LCFS Table'!$R300/'LCFS Table'!$AB300)*'LCFS Table'!$AG300)*7.35</f>
        <v>69.86328125</v>
      </c>
      <c r="AA300" s="138">
        <v>0.94</v>
      </c>
      <c r="AB300" s="138">
        <v>0.96</v>
      </c>
      <c r="AC300" s="138">
        <v>0.5</v>
      </c>
      <c r="AD300" s="138">
        <v>0.25</v>
      </c>
      <c r="AE300" s="138">
        <v>0.25</v>
      </c>
      <c r="AF300" s="138">
        <v>0.75</v>
      </c>
      <c r="AG300" s="138">
        <v>0.25</v>
      </c>
      <c r="AH300" s="139">
        <v>4.375</v>
      </c>
      <c r="AI300" s="139">
        <v>136</v>
      </c>
      <c r="AJ300" s="139">
        <v>110</v>
      </c>
      <c r="AK300" s="186">
        <f>('LCFS Table'!$AI300/340)*100</f>
        <v>40</v>
      </c>
      <c r="AL300" s="186">
        <f>('LCFS Table'!$AJ300/340)*100</f>
        <v>32.352941176470587</v>
      </c>
      <c r="AM300" s="139">
        <v>105</v>
      </c>
      <c r="AN300" s="139">
        <v>90</v>
      </c>
      <c r="AO300" s="139">
        <f>('LCFS Table'!$AM300/300)*100</f>
        <v>35</v>
      </c>
      <c r="AP300" s="139">
        <f>('LCFS Table'!$AN300/300)*100</f>
        <v>30</v>
      </c>
      <c r="AQ300" s="140">
        <f>'[1]LCFS Values'!$B299</f>
        <v>57.274999999999999</v>
      </c>
      <c r="AR300" s="140">
        <f>'[1]RIN Values'!$B299/100</f>
        <v>0.57050000000000001</v>
      </c>
      <c r="AS300" s="185">
        <f>((('[2]Controls 2'!$B$2-SUM(('[2]Controls 2'!$B$5*'LCFS Table'!$AC300),('[2]Controls 2'!$B$6*'LCFS Table'!$AD300),('[2]Controls 2'!$B$7*'LCFS Table'!$AE300)))/1000000)*'LCFS Table'!$AQ300)*'[2]Controls 2'!$B$8</f>
        <v>0.45744399637178507</v>
      </c>
      <c r="AT300" s="137">
        <v>0.16</v>
      </c>
      <c r="AU300" s="137">
        <v>1</v>
      </c>
      <c r="AV300" s="185">
        <f>'LCFS Table'!$AR300*1.7</f>
        <v>0.96984999999999999</v>
      </c>
      <c r="AW300" s="137">
        <v>0</v>
      </c>
      <c r="AX300" s="185">
        <f>(((('[2]Controls 2'!$B$2-SUM(('LCFS Table'!$AF300*'[2]Controls 2'!$B$12),('LCFS Table'!$AG300*'[2]Controls 2'!$B$13)))/1000000)*'LCFS Table'!$AQ300)*'[2]Controls 2'!$B$14)</f>
        <v>0.30169629875937498</v>
      </c>
      <c r="AY300" s="137">
        <v>0</v>
      </c>
      <c r="AZ300" s="141">
        <v>1</v>
      </c>
      <c r="BA300" s="185">
        <f>'LCFS Table'!$AR300*1.5</f>
        <v>0.85575000000000001</v>
      </c>
      <c r="BB300" s="142">
        <v>1.2</v>
      </c>
      <c r="BC300" s="185">
        <f>'LCFS Table'!$AS300*'LCFS Table'!$BW300</f>
        <v>0.45744399637178507</v>
      </c>
      <c r="BD300" s="185">
        <f>'LCFS Table'!$AT300*'LCFS Table'!$BX300</f>
        <v>0</v>
      </c>
      <c r="BE300" s="185">
        <f>'LCFS Table'!$AU300*'LCFS Table'!$BY300</f>
        <v>1</v>
      </c>
      <c r="BF300" s="137">
        <f>'LCFS Table'!$AV300*'LCFS Table'!$BZ300</f>
        <v>0.96984999999999999</v>
      </c>
      <c r="BG300" s="137">
        <f>'LCFS Table'!$AW300*'LCFS Table'!$CA300</f>
        <v>0</v>
      </c>
      <c r="BH300" s="137">
        <f>'LCFS Table'!$AX300*'LCFS Table'!$CB300</f>
        <v>0.30169629875937498</v>
      </c>
      <c r="BI300" s="137">
        <f>'LCFS Table'!$AY300*'LCFS Table'!$CC300</f>
        <v>0</v>
      </c>
      <c r="BJ300" s="137">
        <f>'LCFS Table'!$AZ300*'LCFS Table'!$CD300</f>
        <v>1</v>
      </c>
      <c r="BK300" s="137">
        <f>'LCFS Table'!$BA300*'LCFS Table'!$CE300</f>
        <v>0.85575000000000001</v>
      </c>
      <c r="BL300" s="137">
        <f>'LCFS Table'!$BB300*'LCFS Table'!$CF300</f>
        <v>-1.2</v>
      </c>
      <c r="BM300" s="137">
        <f>'LCFS Table'!$AS300*'LCFS Table'!$CG300</f>
        <v>0</v>
      </c>
      <c r="BN300" s="137">
        <f>'LCFS Table'!$AT300*'LCFS Table'!$CH300</f>
        <v>0.16</v>
      </c>
      <c r="BO300" s="137">
        <f>'LCFS Table'!$AU300*'LCFS Table'!$CI300</f>
        <v>0</v>
      </c>
      <c r="BP300" s="137">
        <f>'LCFS Table'!$AV300*'LCFS Table'!$CJ300</f>
        <v>0</v>
      </c>
      <c r="BQ300" s="137">
        <f>'LCFS Table'!$AW300*'LCFS Table'!$CK300</f>
        <v>0</v>
      </c>
      <c r="BR300" s="137">
        <f>'LCFS Table'!$AX300*'LCFS Table'!$CL300</f>
        <v>0</v>
      </c>
      <c r="BS300" s="137">
        <f>'LCFS Table'!$AY300*'LCFS Table'!$CM300</f>
        <v>0</v>
      </c>
      <c r="BT300" s="137">
        <f>'LCFS Table'!$AZ300*'LCFS Table'!$CN300</f>
        <v>0</v>
      </c>
      <c r="BU300" s="137">
        <f>'LCFS Table'!$BA300*'LCFS Table'!$CO300</f>
        <v>0</v>
      </c>
      <c r="BV300" s="142">
        <f>'LCFS Table'!$BB300*'LCFS Table'!$CP300</f>
        <v>1.2</v>
      </c>
      <c r="BW300" s="138">
        <v>1</v>
      </c>
      <c r="BX300" s="138">
        <v>0</v>
      </c>
      <c r="BY300" s="138">
        <v>1</v>
      </c>
      <c r="BZ300" s="138">
        <v>1</v>
      </c>
      <c r="CA300" s="138">
        <v>-1</v>
      </c>
      <c r="CB300" s="138">
        <v>1</v>
      </c>
      <c r="CC300" s="138">
        <v>0</v>
      </c>
      <c r="CD300" s="138">
        <v>1</v>
      </c>
      <c r="CE300" s="138">
        <v>1</v>
      </c>
      <c r="CF300" s="138">
        <v>-1</v>
      </c>
      <c r="CG300" s="138">
        <f>1-'LCFS Table'!$BW300</f>
        <v>0</v>
      </c>
      <c r="CH300" s="138">
        <f>1-'LCFS Table'!$BX300</f>
        <v>1</v>
      </c>
      <c r="CI300" s="138">
        <f>1-'LCFS Table'!$BY300</f>
        <v>0</v>
      </c>
      <c r="CJ300" s="138">
        <f>1-'LCFS Table'!$BZ300</f>
        <v>0</v>
      </c>
      <c r="CK300" s="138">
        <f>-'LCFS Table'!$CA300</f>
        <v>1</v>
      </c>
      <c r="CL300" s="138">
        <f>1-'LCFS Table'!$CB300</f>
        <v>0</v>
      </c>
      <c r="CM300" s="138">
        <f>1-'LCFS Table'!$CC300</f>
        <v>1</v>
      </c>
      <c r="CN300" s="138">
        <f>1-'LCFS Table'!$CD300</f>
        <v>0</v>
      </c>
      <c r="CO300" s="138">
        <f>1-'LCFS Table'!$CE300</f>
        <v>0</v>
      </c>
      <c r="CP300" s="138">
        <f>-'LCFS Table'!$CF300</f>
        <v>1</v>
      </c>
      <c r="CQ300" s="140">
        <f t="shared" si="6"/>
        <v>8</v>
      </c>
      <c r="CR300" s="165">
        <f>('LCFS Table'!$CQ300*0.9/(0.8/0.99)/100)</f>
        <v>8.9099999999999985E-2</v>
      </c>
      <c r="CS300" s="166"/>
      <c r="CT300" s="167"/>
      <c r="CW300" s="168">
        <f>'LCFS Table'!$K300-'LCFS Table'!$M300</f>
        <v>-0.17255370124062508</v>
      </c>
      <c r="CX300" s="129">
        <f>MONTH('LCFS Table'!$B300)</f>
        <v>9</v>
      </c>
      <c r="CY300" s="129">
        <f>YEAR('LCFS Table'!$B300)</f>
        <v>2024</v>
      </c>
    </row>
    <row r="301" spans="1:103">
      <c r="A301" s="148">
        <v>45550</v>
      </c>
      <c r="B301" s="149">
        <v>45556</v>
      </c>
      <c r="C301" s="132">
        <f t="shared" si="5"/>
        <v>2024</v>
      </c>
      <c r="D301" s="150" t="s">
        <v>294</v>
      </c>
      <c r="E301" s="187">
        <f>'LCFS Table'!$K301-'LCFS Table'!$I301</f>
        <v>-1.9263645181476852</v>
      </c>
      <c r="F301" s="187">
        <f>('LCFS Table'!$M301)-'LCFS Table'!$J301</f>
        <v>-2.1363577041312505</v>
      </c>
      <c r="G301" s="211">
        <f>'LCFS Table'!$E301+'LCFS Table'!$AS301+'LCFS Table'!$AT301+'LCFS Table'!$AU301+'LCFS Table'!$AV301</f>
        <v>0.70818228987017817</v>
      </c>
      <c r="H301" s="211">
        <f>'LCFS Table'!$F301+'LCFS Table'!$AX301+'LCFS Table'!$AY301+'LCFS Table'!$AZ301+'LCFS Table'!$BA301+('LCFS Table'!$CQ301*0.9/(0.8/0.99)/100)+(DG301*'LCFS Table'!$AF301)+(DF301*'LCFS Table'!$AG301)</f>
        <v>0.14551992187499943</v>
      </c>
      <c r="I301" s="187">
        <f>('LCFS Table'!$V301+'LCFS Table'!$W301+'LCFS Table'!$X301)/100+(('LCFS Table'!$AI301+'LCFS Table'!$AJ301)/340)</f>
        <v>3.9863645181476852</v>
      </c>
      <c r="J301" s="187">
        <f>(('LCFS Table'!$Y301+'LCFS Table'!$Z301)/100)+(('LCFS Table'!$AM301+'LCFS Table'!$AN301)/300)</f>
        <v>4.287580078125</v>
      </c>
      <c r="K301" s="190">
        <f>'[1]Fuel Values'!$C300</f>
        <v>2.06</v>
      </c>
      <c r="L301" s="190">
        <f>'[1]Fuel Values'!$B300</f>
        <v>434.4</v>
      </c>
      <c r="M301" s="185">
        <f>('LCFS Table'!$L301/100)-'LCFS Table'!$AX301-'LCFS Table'!$AY301-'LCFS Table'!$AZ301-'LCFS Table'!$BA301</f>
        <v>2.1512223739937495</v>
      </c>
      <c r="N301" s="190">
        <f>[1]BFT!$B300</f>
        <v>45.75</v>
      </c>
      <c r="O301" s="190">
        <f>[1]UCO!$B300</f>
        <v>42.5</v>
      </c>
      <c r="P301" s="190">
        <f>[1]DCO!$B300</f>
        <v>42.2</v>
      </c>
      <c r="Q301" s="190">
        <f>'[1]Soybean Oil'!$B300</f>
        <v>46.64</v>
      </c>
      <c r="R301" s="190">
        <f>'[1]Yellow Grease'!$B300</f>
        <v>37</v>
      </c>
      <c r="S301" s="185">
        <f>'LCFS Table'!$N301 + 'LCFS Table'!$AH301</f>
        <v>50.125</v>
      </c>
      <c r="T301" s="185">
        <f>'LCFS Table'!$Q301+'LCFS Table'!$AH301</f>
        <v>51.015000000000001</v>
      </c>
      <c r="U301" s="185">
        <f>'LCFS Table'!$P301+'LCFS Table'!$AH301</f>
        <v>46.575000000000003</v>
      </c>
      <c r="V301" s="185">
        <f>(('LCFS Table'!$S301/'LCFS Table'!$AA301)*'LCFS Table'!$AC301)*6.48</f>
        <v>172.77127659574472</v>
      </c>
      <c r="W301" s="185">
        <f>(('LCFS Table'!$O301/'LCFS Table'!$AA301)*'LCFS Table'!$AD301)*6.48</f>
        <v>73.244680851063848</v>
      </c>
      <c r="X301" s="185">
        <f>(('LCFS Table'!$U301/'LCFS Table'!$AA301)*'LCFS Table'!$AE301)*6.48</f>
        <v>80.26755319148937</v>
      </c>
      <c r="Y301" s="185">
        <f>(('LCFS Table'!$T301/'LCFS Table'!$AB301)*'LCFS Table'!$AF301)*7.35</f>
        <v>292.93769531250001</v>
      </c>
      <c r="Z301" s="185">
        <f>(('LCFS Table'!$R301/'LCFS Table'!$AB301)*'LCFS Table'!$AG301)*7.35</f>
        <v>70.8203125</v>
      </c>
      <c r="AA301" s="138">
        <v>0.94</v>
      </c>
      <c r="AB301" s="138">
        <v>0.96</v>
      </c>
      <c r="AC301" s="138">
        <v>0.5</v>
      </c>
      <c r="AD301" s="138">
        <v>0.25</v>
      </c>
      <c r="AE301" s="138">
        <v>0.25</v>
      </c>
      <c r="AF301" s="138">
        <v>0.75</v>
      </c>
      <c r="AG301" s="138">
        <v>0.25</v>
      </c>
      <c r="AH301" s="139">
        <v>4.375</v>
      </c>
      <c r="AI301" s="139">
        <v>136</v>
      </c>
      <c r="AJ301" s="139">
        <v>110</v>
      </c>
      <c r="AK301" s="186">
        <f>('LCFS Table'!$AI301/340)*100</f>
        <v>40</v>
      </c>
      <c r="AL301" s="186">
        <f>('LCFS Table'!$AJ301/340)*100</f>
        <v>32.352941176470587</v>
      </c>
      <c r="AM301" s="139">
        <v>105</v>
      </c>
      <c r="AN301" s="139">
        <v>90</v>
      </c>
      <c r="AO301" s="139">
        <f>('LCFS Table'!$AM301/300)*100</f>
        <v>35</v>
      </c>
      <c r="AP301" s="139">
        <f>('LCFS Table'!$AN301/300)*100</f>
        <v>30</v>
      </c>
      <c r="AQ301" s="140">
        <f>'[1]LCFS Values'!$B300</f>
        <v>60.85</v>
      </c>
      <c r="AR301" s="140">
        <f>'[1]RIN Values'!$B300/100</f>
        <v>0.58150000000000002</v>
      </c>
      <c r="AS301" s="185">
        <f>((('[2]Controls 2'!$B$2-SUM(('[2]Controls 2'!$B$5*'LCFS Table'!$AC301),('[2]Controls 2'!$B$6*'LCFS Table'!$AD301),('[2]Controls 2'!$B$7*'LCFS Table'!$AE301)))/1000000)*'LCFS Table'!$AQ301)*'[2]Controls 2'!$B$8</f>
        <v>0.48599680801786338</v>
      </c>
      <c r="AT301" s="137">
        <v>0.16</v>
      </c>
      <c r="AU301" s="137">
        <v>1</v>
      </c>
      <c r="AV301" s="185">
        <f>'LCFS Table'!$AR301*1.7</f>
        <v>0.98855000000000004</v>
      </c>
      <c r="AW301" s="137">
        <v>0</v>
      </c>
      <c r="AX301" s="185">
        <f>(((('[2]Controls 2'!$B$2-SUM(('LCFS Table'!$AF301*'[2]Controls 2'!$B$12),('LCFS Table'!$AG301*'[2]Controls 2'!$B$13)))/1000000)*'LCFS Table'!$AQ301)*'[2]Controls 2'!$B$14)</f>
        <v>0.32052762600624995</v>
      </c>
      <c r="AY301" s="137">
        <v>0</v>
      </c>
      <c r="AZ301" s="141">
        <v>1</v>
      </c>
      <c r="BA301" s="185">
        <f>'LCFS Table'!$AR301*1.5</f>
        <v>0.87224999999999997</v>
      </c>
      <c r="BB301" s="142">
        <v>1.2</v>
      </c>
      <c r="BC301" s="185">
        <f>'LCFS Table'!$AS301*'LCFS Table'!$BW301</f>
        <v>0.48599680801786338</v>
      </c>
      <c r="BD301" s="185">
        <f>'LCFS Table'!$AT301*'LCFS Table'!$BX301</f>
        <v>0</v>
      </c>
      <c r="BE301" s="185">
        <f>'LCFS Table'!$AU301*'LCFS Table'!$BY301</f>
        <v>1</v>
      </c>
      <c r="BF301" s="137">
        <f>'LCFS Table'!$AV301*'LCFS Table'!$BZ301</f>
        <v>0.98855000000000004</v>
      </c>
      <c r="BG301" s="137">
        <f>'LCFS Table'!$AW301*'LCFS Table'!$CA301</f>
        <v>0</v>
      </c>
      <c r="BH301" s="137">
        <f>'LCFS Table'!$AX301*'LCFS Table'!$CB301</f>
        <v>0.32052762600624995</v>
      </c>
      <c r="BI301" s="137">
        <f>'LCFS Table'!$AY301*'LCFS Table'!$CC301</f>
        <v>0</v>
      </c>
      <c r="BJ301" s="137">
        <f>'LCFS Table'!$AZ301*'LCFS Table'!$CD301</f>
        <v>1</v>
      </c>
      <c r="BK301" s="137">
        <f>'LCFS Table'!$BA301*'LCFS Table'!$CE301</f>
        <v>0.87224999999999997</v>
      </c>
      <c r="BL301" s="137">
        <f>'LCFS Table'!$BB301*'LCFS Table'!$CF301</f>
        <v>-1.2</v>
      </c>
      <c r="BM301" s="137">
        <f>'LCFS Table'!$AS301*'LCFS Table'!$CG301</f>
        <v>0</v>
      </c>
      <c r="BN301" s="137">
        <f>'LCFS Table'!$AT301*'LCFS Table'!$CH301</f>
        <v>0.16</v>
      </c>
      <c r="BO301" s="137">
        <f>'LCFS Table'!$AU301*'LCFS Table'!$CI301</f>
        <v>0</v>
      </c>
      <c r="BP301" s="137">
        <f>'LCFS Table'!$AV301*'LCFS Table'!$CJ301</f>
        <v>0</v>
      </c>
      <c r="BQ301" s="137">
        <f>'LCFS Table'!$AW301*'LCFS Table'!$CK301</f>
        <v>0</v>
      </c>
      <c r="BR301" s="137">
        <f>'LCFS Table'!$AX301*'LCFS Table'!$CL301</f>
        <v>0</v>
      </c>
      <c r="BS301" s="137">
        <f>'LCFS Table'!$AY301*'LCFS Table'!$CM301</f>
        <v>0</v>
      </c>
      <c r="BT301" s="137">
        <f>'LCFS Table'!$AZ301*'LCFS Table'!$CN301</f>
        <v>0</v>
      </c>
      <c r="BU301" s="137">
        <f>'LCFS Table'!$BA301*'LCFS Table'!$CO301</f>
        <v>0</v>
      </c>
      <c r="BV301" s="142">
        <f>'LCFS Table'!$BB301*'LCFS Table'!$CP301</f>
        <v>1.2</v>
      </c>
      <c r="BW301" s="138">
        <v>1</v>
      </c>
      <c r="BX301" s="138">
        <v>0</v>
      </c>
      <c r="BY301" s="138">
        <v>1</v>
      </c>
      <c r="BZ301" s="138">
        <v>1</v>
      </c>
      <c r="CA301" s="138">
        <v>-1</v>
      </c>
      <c r="CB301" s="138">
        <v>1</v>
      </c>
      <c r="CC301" s="138">
        <v>0</v>
      </c>
      <c r="CD301" s="138">
        <v>1</v>
      </c>
      <c r="CE301" s="138">
        <v>1</v>
      </c>
      <c r="CF301" s="138">
        <v>-1</v>
      </c>
      <c r="CG301" s="138">
        <f>1-'LCFS Table'!$BW301</f>
        <v>0</v>
      </c>
      <c r="CH301" s="138">
        <f>1-'LCFS Table'!$BX301</f>
        <v>1</v>
      </c>
      <c r="CI301" s="138">
        <f>1-'LCFS Table'!$BY301</f>
        <v>0</v>
      </c>
      <c r="CJ301" s="138">
        <f>1-'LCFS Table'!$BZ301</f>
        <v>0</v>
      </c>
      <c r="CK301" s="138">
        <f>-'LCFS Table'!$CA301</f>
        <v>1</v>
      </c>
      <c r="CL301" s="138">
        <f>1-'LCFS Table'!$CB301</f>
        <v>0</v>
      </c>
      <c r="CM301" s="138">
        <f>1-'LCFS Table'!$CC301</f>
        <v>1</v>
      </c>
      <c r="CN301" s="138">
        <f>1-'LCFS Table'!$CD301</f>
        <v>0</v>
      </c>
      <c r="CO301" s="138">
        <f>1-'LCFS Table'!$CE301</f>
        <v>0</v>
      </c>
      <c r="CP301" s="138">
        <f>-'LCFS Table'!$CF301</f>
        <v>1</v>
      </c>
      <c r="CQ301" s="140">
        <f t="shared" si="6"/>
        <v>8</v>
      </c>
      <c r="CR301" s="165">
        <f>('LCFS Table'!$CQ301*0.9/(0.8/0.99)/100)</f>
        <v>8.9099999999999985E-2</v>
      </c>
      <c r="CS301" s="166"/>
      <c r="CT301" s="167"/>
      <c r="CW301" s="168">
        <f>'LCFS Table'!$K301-'LCFS Table'!$M301</f>
        <v>-9.1222373993749439E-2</v>
      </c>
      <c r="CX301" s="129">
        <f>MONTH('LCFS Table'!$B301)</f>
        <v>9</v>
      </c>
      <c r="CY301" s="129">
        <f>YEAR('LCFS Table'!$B301)</f>
        <v>2024</v>
      </c>
    </row>
    <row r="302" spans="1:103">
      <c r="A302" s="148">
        <v>45557</v>
      </c>
      <c r="B302" s="149">
        <v>45563</v>
      </c>
      <c r="C302" s="132">
        <f t="shared" si="5"/>
        <v>2024</v>
      </c>
      <c r="D302" s="150" t="s">
        <v>295</v>
      </c>
      <c r="E302" s="187">
        <f>'LCFS Table'!$K302-'LCFS Table'!$I302</f>
        <v>-1.9235347309136426</v>
      </c>
      <c r="F302" s="187">
        <f>('LCFS Table'!$M302)-'LCFS Table'!$J302</f>
        <v>-2.38902725600625</v>
      </c>
      <c r="G302" s="211">
        <f>'LCFS Table'!$E302+'LCFS Table'!$AS302+'LCFS Table'!$AT302+'LCFS Table'!$AU302+'LCFS Table'!$AV302</f>
        <v>0.89629607940642808</v>
      </c>
      <c r="H302" s="211">
        <f>'LCFS Table'!$F302+'LCFS Table'!$AX302+'LCFS Table'!$AY302+'LCFS Table'!$AZ302+'LCFS Table'!$BA302+('LCFS Table'!$CQ302*0.9/(0.8/0.99)/100)+(DG302*'LCFS Table'!$AF302)+(DF302*'LCFS Table'!$AG302)</f>
        <v>4.7437890625000173E-2</v>
      </c>
      <c r="I302" s="187">
        <f>('LCFS Table'!$V302+'LCFS Table'!$W302+'LCFS Table'!$X302)/100+(('LCFS Table'!$AI302+'LCFS Table'!$AJ302)/340)</f>
        <v>3.9915347309136426</v>
      </c>
      <c r="J302" s="187">
        <f>(('LCFS Table'!$Y302+'LCFS Table'!$Z302)/100)+(('LCFS Table'!$AM302+'LCFS Table'!$AN302)/300)</f>
        <v>4.4416621093750006</v>
      </c>
      <c r="K302" s="190">
        <f>'[1]Fuel Values'!$C301</f>
        <v>2.0680000000000001</v>
      </c>
      <c r="L302" s="190">
        <f>'[1]Fuel Values'!$B301</f>
        <v>440</v>
      </c>
      <c r="M302" s="185">
        <f>('LCFS Table'!$L302/100)-'LCFS Table'!$AX302-'LCFS Table'!$AY302-'LCFS Table'!$AZ302-'LCFS Table'!$BA302</f>
        <v>2.0526348533687506</v>
      </c>
      <c r="N302" s="190">
        <f>[1]BFT!$B301</f>
        <v>45.75</v>
      </c>
      <c r="O302" s="190">
        <f>[1]UCO!$B301</f>
        <v>42.5</v>
      </c>
      <c r="P302" s="190">
        <f>[1]DCO!$B301</f>
        <v>42.5</v>
      </c>
      <c r="Q302" s="190">
        <f>'[1]Soybean Oil'!$B301</f>
        <v>48.49</v>
      </c>
      <c r="R302" s="190">
        <f>'[1]Yellow Grease'!$B301</f>
        <v>39.5</v>
      </c>
      <c r="S302" s="185">
        <f>'LCFS Table'!$N302 + 'LCFS Table'!$AH302</f>
        <v>50.125</v>
      </c>
      <c r="T302" s="185">
        <f>'LCFS Table'!$Q302+'LCFS Table'!$AH302</f>
        <v>52.865000000000002</v>
      </c>
      <c r="U302" s="185">
        <f>'LCFS Table'!$P302+'LCFS Table'!$AH302</f>
        <v>46.875</v>
      </c>
      <c r="V302" s="185">
        <f>(('LCFS Table'!$S302/'LCFS Table'!$AA302)*'LCFS Table'!$AC302)*6.48</f>
        <v>172.77127659574472</v>
      </c>
      <c r="W302" s="185">
        <f>(('LCFS Table'!$O302/'LCFS Table'!$AA302)*'LCFS Table'!$AD302)*6.48</f>
        <v>73.244680851063848</v>
      </c>
      <c r="X302" s="185">
        <f>(('LCFS Table'!$U302/'LCFS Table'!$AA302)*'LCFS Table'!$AE302)*6.48</f>
        <v>80.784574468085125</v>
      </c>
      <c r="Y302" s="185">
        <f>(('LCFS Table'!$T302/'LCFS Table'!$AB302)*'LCFS Table'!$AF302)*7.35</f>
        <v>303.56074218750001</v>
      </c>
      <c r="Z302" s="185">
        <f>(('LCFS Table'!$R302/'LCFS Table'!$AB302)*'LCFS Table'!$AG302)*7.35</f>
        <v>75.60546875</v>
      </c>
      <c r="AA302" s="138">
        <v>0.94</v>
      </c>
      <c r="AB302" s="138">
        <v>0.96</v>
      </c>
      <c r="AC302" s="138">
        <v>0.5</v>
      </c>
      <c r="AD302" s="138">
        <v>0.25</v>
      </c>
      <c r="AE302" s="138">
        <v>0.25</v>
      </c>
      <c r="AF302" s="138">
        <v>0.75</v>
      </c>
      <c r="AG302" s="138">
        <v>0.25</v>
      </c>
      <c r="AH302" s="139">
        <v>4.375</v>
      </c>
      <c r="AI302" s="139">
        <v>136</v>
      </c>
      <c r="AJ302" s="139">
        <v>110</v>
      </c>
      <c r="AK302" s="186">
        <f>('LCFS Table'!$AI302/340)*100</f>
        <v>40</v>
      </c>
      <c r="AL302" s="186">
        <f>('LCFS Table'!$AJ302/340)*100</f>
        <v>32.352941176470587</v>
      </c>
      <c r="AM302" s="139">
        <v>105</v>
      </c>
      <c r="AN302" s="139">
        <v>90</v>
      </c>
      <c r="AO302" s="139">
        <f>('LCFS Table'!$AM302/300)*100</f>
        <v>35</v>
      </c>
      <c r="AP302" s="139">
        <f>('LCFS Table'!$AN302/300)*100</f>
        <v>30</v>
      </c>
      <c r="AQ302" s="140">
        <f>'[1]LCFS Values'!$B301</f>
        <v>65.849999999999994</v>
      </c>
      <c r="AR302" s="140">
        <f>'[1]RIN Values'!$B301/100</f>
        <v>0.66700000000000004</v>
      </c>
      <c r="AS302" s="185">
        <f>((('[2]Controls 2'!$B$2-SUM(('[2]Controls 2'!$B$5*'LCFS Table'!$AC302),('[2]Controls 2'!$B$6*'LCFS Table'!$AD302),('[2]Controls 2'!$B$7*'LCFS Table'!$AE302)))/1000000)*'LCFS Table'!$AQ302)*'[2]Controls 2'!$B$8</f>
        <v>0.52593081032007061</v>
      </c>
      <c r="AT302" s="137">
        <v>0.16</v>
      </c>
      <c r="AU302" s="137">
        <v>1</v>
      </c>
      <c r="AV302" s="185">
        <f>'LCFS Table'!$AR302*1.7</f>
        <v>1.1339000000000001</v>
      </c>
      <c r="AW302" s="137">
        <v>0</v>
      </c>
      <c r="AX302" s="185">
        <f>(((('[2]Controls 2'!$B$2-SUM(('LCFS Table'!$AF302*'[2]Controls 2'!$B$12),('LCFS Table'!$AG302*'[2]Controls 2'!$B$13)))/1000000)*'LCFS Table'!$AQ302)*'[2]Controls 2'!$B$14)</f>
        <v>0.34686514663124995</v>
      </c>
      <c r="AY302" s="137">
        <v>0</v>
      </c>
      <c r="AZ302" s="141">
        <v>1</v>
      </c>
      <c r="BA302" s="185">
        <f>'LCFS Table'!$AR302*1.5</f>
        <v>1.0005000000000002</v>
      </c>
      <c r="BB302" s="142">
        <v>1.2</v>
      </c>
      <c r="BC302" s="185">
        <f>'LCFS Table'!$AS302*'LCFS Table'!$BW302</f>
        <v>0.52593081032007061</v>
      </c>
      <c r="BD302" s="185">
        <f>'LCFS Table'!$AT302*'LCFS Table'!$BX302</f>
        <v>0</v>
      </c>
      <c r="BE302" s="185">
        <f>'LCFS Table'!$AU302*'LCFS Table'!$BY302</f>
        <v>1</v>
      </c>
      <c r="BF302" s="137">
        <f>'LCFS Table'!$AV302*'LCFS Table'!$BZ302</f>
        <v>1.1339000000000001</v>
      </c>
      <c r="BG302" s="137">
        <f>'LCFS Table'!$AW302*'LCFS Table'!$CA302</f>
        <v>0</v>
      </c>
      <c r="BH302" s="137">
        <f>'LCFS Table'!$AX302*'LCFS Table'!$CB302</f>
        <v>0.34686514663124995</v>
      </c>
      <c r="BI302" s="137">
        <f>'LCFS Table'!$AY302*'LCFS Table'!$CC302</f>
        <v>0</v>
      </c>
      <c r="BJ302" s="137">
        <f>'LCFS Table'!$AZ302*'LCFS Table'!$CD302</f>
        <v>1</v>
      </c>
      <c r="BK302" s="137">
        <f>'LCFS Table'!$BA302*'LCFS Table'!$CE302</f>
        <v>1.0005000000000002</v>
      </c>
      <c r="BL302" s="137">
        <f>'LCFS Table'!$BB302*'LCFS Table'!$CF302</f>
        <v>-1.2</v>
      </c>
      <c r="BM302" s="137">
        <f>'LCFS Table'!$AS302*'LCFS Table'!$CG302</f>
        <v>0</v>
      </c>
      <c r="BN302" s="137">
        <f>'LCFS Table'!$AT302*'LCFS Table'!$CH302</f>
        <v>0.16</v>
      </c>
      <c r="BO302" s="137">
        <f>'LCFS Table'!$AU302*'LCFS Table'!$CI302</f>
        <v>0</v>
      </c>
      <c r="BP302" s="137">
        <f>'LCFS Table'!$AV302*'LCFS Table'!$CJ302</f>
        <v>0</v>
      </c>
      <c r="BQ302" s="137">
        <f>'LCFS Table'!$AW302*'LCFS Table'!$CK302</f>
        <v>0</v>
      </c>
      <c r="BR302" s="137">
        <f>'LCFS Table'!$AX302*'LCFS Table'!$CL302</f>
        <v>0</v>
      </c>
      <c r="BS302" s="137">
        <f>'LCFS Table'!$AY302*'LCFS Table'!$CM302</f>
        <v>0</v>
      </c>
      <c r="BT302" s="137">
        <f>'LCFS Table'!$AZ302*'LCFS Table'!$CN302</f>
        <v>0</v>
      </c>
      <c r="BU302" s="137">
        <f>'LCFS Table'!$BA302*'LCFS Table'!$CO302</f>
        <v>0</v>
      </c>
      <c r="BV302" s="142">
        <f>'LCFS Table'!$BB302*'LCFS Table'!$CP302</f>
        <v>1.2</v>
      </c>
      <c r="BW302" s="138">
        <v>1</v>
      </c>
      <c r="BX302" s="138">
        <v>0</v>
      </c>
      <c r="BY302" s="138">
        <v>1</v>
      </c>
      <c r="BZ302" s="138">
        <v>1</v>
      </c>
      <c r="CA302" s="138">
        <v>-1</v>
      </c>
      <c r="CB302" s="138">
        <v>1</v>
      </c>
      <c r="CC302" s="138">
        <v>0</v>
      </c>
      <c r="CD302" s="138">
        <v>1</v>
      </c>
      <c r="CE302" s="138">
        <v>1</v>
      </c>
      <c r="CF302" s="138">
        <v>-1</v>
      </c>
      <c r="CG302" s="138">
        <f>1-'LCFS Table'!$BW302</f>
        <v>0</v>
      </c>
      <c r="CH302" s="138">
        <f>1-'LCFS Table'!$BX302</f>
        <v>1</v>
      </c>
      <c r="CI302" s="138">
        <f>1-'LCFS Table'!$BY302</f>
        <v>0</v>
      </c>
      <c r="CJ302" s="138">
        <f>1-'LCFS Table'!$BZ302</f>
        <v>0</v>
      </c>
      <c r="CK302" s="138">
        <f>-'LCFS Table'!$CA302</f>
        <v>1</v>
      </c>
      <c r="CL302" s="138">
        <f>1-'LCFS Table'!$CB302</f>
        <v>0</v>
      </c>
      <c r="CM302" s="138">
        <f>1-'LCFS Table'!$CC302</f>
        <v>1</v>
      </c>
      <c r="CN302" s="138">
        <f>1-'LCFS Table'!$CD302</f>
        <v>0</v>
      </c>
      <c r="CO302" s="138">
        <f>1-'LCFS Table'!$CE302</f>
        <v>0</v>
      </c>
      <c r="CP302" s="138">
        <f>-'LCFS Table'!$CF302</f>
        <v>1</v>
      </c>
      <c r="CQ302" s="140">
        <f t="shared" si="6"/>
        <v>8</v>
      </c>
      <c r="CR302" s="165">
        <f>('LCFS Table'!$CQ302*0.9/(0.8/0.99)/100)</f>
        <v>8.9099999999999985E-2</v>
      </c>
      <c r="CS302" s="166"/>
      <c r="CT302" s="167"/>
      <c r="CW302" s="168">
        <f>'LCFS Table'!$K302-'LCFS Table'!$M302</f>
        <v>1.5365146631249438E-2</v>
      </c>
      <c r="CX302" s="129">
        <f>MONTH('LCFS Table'!$B302)</f>
        <v>9</v>
      </c>
      <c r="CY302" s="129">
        <f>YEAR('LCFS Table'!$B302)</f>
        <v>2024</v>
      </c>
    </row>
    <row r="303" spans="1:103">
      <c r="A303" s="148">
        <v>45564</v>
      </c>
      <c r="B303" s="149">
        <v>45570</v>
      </c>
      <c r="C303" s="132">
        <f t="shared" si="5"/>
        <v>2024</v>
      </c>
      <c r="D303" s="150" t="s">
        <v>296</v>
      </c>
      <c r="E303" s="187">
        <f>'LCFS Table'!$K303-'LCFS Table'!$I303</f>
        <v>-1.8411943053817272</v>
      </c>
      <c r="F303" s="187">
        <f>('LCFS Table'!$M303)-'LCFS Table'!$J303</f>
        <v>-2.5755572601312497</v>
      </c>
      <c r="G303" s="188">
        <f>'LCFS Table'!$E303+'LCFS Table'!$AS303+'LCFS Table'!$AT303+'LCFS Table'!$AU303+'LCFS Table'!$AV303</f>
        <v>1.0253833053987849</v>
      </c>
      <c r="H303" s="188">
        <f>'LCFS Table'!$F303+'LCFS Table'!$AX303+'LCFS Table'!$AY303+'LCFS Table'!$AZ303+'LCFS Table'!$BA303+('LCFS Table'!$CQ303*0.9/(0.8/0.99)/100)+(DG303*'LCFS Table'!$AF303)+(DF303*'LCFS Table'!$AG303)</f>
        <v>-9.9624609374999701E-2</v>
      </c>
      <c r="I303" s="187">
        <f>('LCFS Table'!$V303+'LCFS Table'!$W303+'LCFS Table'!$X303)/100+(('LCFS Table'!$AI303+'LCFS Table'!$AJ303)/340)</f>
        <v>3.9811943053817274</v>
      </c>
      <c r="J303" s="187">
        <f>(('LCFS Table'!$Y303+'LCFS Table'!$Z303)/100)+(('LCFS Table'!$AM303+'LCFS Table'!$AN303)/300)</f>
        <v>4.4447246093750001</v>
      </c>
      <c r="K303" s="190">
        <f>'[1]Fuel Values'!$C302</f>
        <v>2.14</v>
      </c>
      <c r="L303" s="190">
        <f>'[1]Fuel Values'!$B302</f>
        <v>425.6</v>
      </c>
      <c r="M303" s="185">
        <f>('LCFS Table'!$L303/100)-'LCFS Table'!$AX303-'LCFS Table'!$AY303-'LCFS Table'!$AZ303-'LCFS Table'!$BA303</f>
        <v>1.8691673492437502</v>
      </c>
      <c r="N303" s="190">
        <f>[1]BFT!$B302</f>
        <v>45.55</v>
      </c>
      <c r="O303" s="190">
        <f>[1]UCO!$B302</f>
        <v>42.3</v>
      </c>
      <c r="P303" s="190">
        <f>[1]DCO!$B302</f>
        <v>42.5</v>
      </c>
      <c r="Q303" s="190">
        <f>'[1]Soybean Oil'!$B302</f>
        <v>48.61</v>
      </c>
      <c r="R303" s="190">
        <f>'[1]Yellow Grease'!$B302</f>
        <v>39.299999999999997</v>
      </c>
      <c r="S303" s="185">
        <f>'LCFS Table'!$N303 + 'LCFS Table'!$AH303</f>
        <v>49.924999999999997</v>
      </c>
      <c r="T303" s="185">
        <f>'LCFS Table'!$Q303+'LCFS Table'!$AH303</f>
        <v>52.984999999999999</v>
      </c>
      <c r="U303" s="185">
        <f>'LCFS Table'!$P303+'LCFS Table'!$AH303</f>
        <v>46.875</v>
      </c>
      <c r="V303" s="185">
        <f>(('LCFS Table'!$S303/'LCFS Table'!$AA303)*'LCFS Table'!$AC303)*6.48</f>
        <v>172.08191489361704</v>
      </c>
      <c r="W303" s="185">
        <f>(('LCFS Table'!$O303/'LCFS Table'!$AA303)*'LCFS Table'!$AD303)*6.48</f>
        <v>72.900000000000006</v>
      </c>
      <c r="X303" s="185">
        <f>(('LCFS Table'!$U303/'LCFS Table'!$AA303)*'LCFS Table'!$AE303)*6.48</f>
        <v>80.784574468085125</v>
      </c>
      <c r="Y303" s="185">
        <f>(('LCFS Table'!$T303/'LCFS Table'!$AB303)*'LCFS Table'!$AF303)*7.35</f>
        <v>304.24980468749999</v>
      </c>
      <c r="Z303" s="185">
        <f>(('LCFS Table'!$R303/'LCFS Table'!$AB303)*'LCFS Table'!$AG303)*7.35</f>
        <v>75.22265625</v>
      </c>
      <c r="AA303" s="138">
        <v>0.94</v>
      </c>
      <c r="AB303" s="138">
        <v>0.96</v>
      </c>
      <c r="AC303" s="138">
        <v>0.5</v>
      </c>
      <c r="AD303" s="138">
        <v>0.25</v>
      </c>
      <c r="AE303" s="138">
        <v>0.25</v>
      </c>
      <c r="AF303" s="138">
        <v>0.75</v>
      </c>
      <c r="AG303" s="138">
        <v>0.25</v>
      </c>
      <c r="AH303" s="139">
        <v>4.375</v>
      </c>
      <c r="AI303" s="139">
        <v>136</v>
      </c>
      <c r="AJ303" s="139">
        <v>110</v>
      </c>
      <c r="AK303" s="186">
        <f>('LCFS Table'!$AI303/340)*100</f>
        <v>40</v>
      </c>
      <c r="AL303" s="186">
        <f>('LCFS Table'!$AJ303/340)*100</f>
        <v>32.352941176470587</v>
      </c>
      <c r="AM303" s="139">
        <v>105</v>
      </c>
      <c r="AN303" s="139">
        <v>90</v>
      </c>
      <c r="AO303" s="139">
        <f>('LCFS Table'!$AM303/300)*100</f>
        <v>35</v>
      </c>
      <c r="AP303" s="139">
        <f>('LCFS Table'!$AN303/300)*100</f>
        <v>30</v>
      </c>
      <c r="AQ303" s="140">
        <f>'[1]LCFS Values'!$B302</f>
        <v>66.849999999999994</v>
      </c>
      <c r="AR303" s="140">
        <f>'[1]RIN Values'!$B302/100</f>
        <v>0.68980000000000008</v>
      </c>
      <c r="AS303" s="185">
        <f>((('[2]Controls 2'!$B$2-SUM(('[2]Controls 2'!$B$5*'LCFS Table'!$AC303),('[2]Controls 2'!$B$6*'LCFS Table'!$AD303),('[2]Controls 2'!$B$7*'LCFS Table'!$AE303)))/1000000)*'LCFS Table'!$AQ303)*'[2]Controls 2'!$B$8</f>
        <v>0.53391761078051214</v>
      </c>
      <c r="AT303" s="137">
        <v>0.16</v>
      </c>
      <c r="AU303" s="137">
        <v>1</v>
      </c>
      <c r="AV303" s="185">
        <f>'LCFS Table'!$AR303*1.7</f>
        <v>1.17266</v>
      </c>
      <c r="AW303" s="137">
        <v>0</v>
      </c>
      <c r="AX303" s="185">
        <f>(((('[2]Controls 2'!$B$2-SUM(('LCFS Table'!$AF303*'[2]Controls 2'!$B$12),('LCFS Table'!$AG303*'[2]Controls 2'!$B$13)))/1000000)*'LCFS Table'!$AQ303)*'[2]Controls 2'!$B$14)</f>
        <v>0.35213265075624994</v>
      </c>
      <c r="AY303" s="137">
        <v>0</v>
      </c>
      <c r="AZ303" s="141">
        <v>1</v>
      </c>
      <c r="BA303" s="185">
        <f>'LCFS Table'!$AR303*1.5</f>
        <v>1.0347000000000002</v>
      </c>
      <c r="BB303" s="142">
        <v>1.2</v>
      </c>
      <c r="BC303" s="185">
        <f>'LCFS Table'!$AS303*'LCFS Table'!$BW303</f>
        <v>0.53391761078051214</v>
      </c>
      <c r="BD303" s="185">
        <f>'LCFS Table'!$AT303*'LCFS Table'!$BX303</f>
        <v>0</v>
      </c>
      <c r="BE303" s="185">
        <f>'LCFS Table'!$AU303*'LCFS Table'!$BY303</f>
        <v>1</v>
      </c>
      <c r="BF303" s="137">
        <f>'LCFS Table'!$AV303*'LCFS Table'!$BZ303</f>
        <v>1.17266</v>
      </c>
      <c r="BG303" s="137">
        <f>'LCFS Table'!$AW303*'LCFS Table'!$CA303</f>
        <v>0</v>
      </c>
      <c r="BH303" s="137">
        <f>'LCFS Table'!$AX303*'LCFS Table'!$CB303</f>
        <v>0.35213265075624994</v>
      </c>
      <c r="BI303" s="137">
        <f>'LCFS Table'!$AY303*'LCFS Table'!$CC303</f>
        <v>0</v>
      </c>
      <c r="BJ303" s="137">
        <f>'LCFS Table'!$AZ303*'LCFS Table'!$CD303</f>
        <v>1</v>
      </c>
      <c r="BK303" s="137">
        <f>'LCFS Table'!$BA303*'LCFS Table'!$CE303</f>
        <v>1.0347000000000002</v>
      </c>
      <c r="BL303" s="137">
        <f>'LCFS Table'!$BB303*'LCFS Table'!$CF303</f>
        <v>-1.2</v>
      </c>
      <c r="BM303" s="137">
        <f>'LCFS Table'!$AS303*'LCFS Table'!$CG303</f>
        <v>0</v>
      </c>
      <c r="BN303" s="137">
        <f>'LCFS Table'!$AT303*'LCFS Table'!$CH303</f>
        <v>0.16</v>
      </c>
      <c r="BO303" s="137">
        <f>'LCFS Table'!$AU303*'LCFS Table'!$CI303</f>
        <v>0</v>
      </c>
      <c r="BP303" s="137">
        <f>'LCFS Table'!$AV303*'LCFS Table'!$CJ303</f>
        <v>0</v>
      </c>
      <c r="BQ303" s="137">
        <f>'LCFS Table'!$AW303*'LCFS Table'!$CK303</f>
        <v>0</v>
      </c>
      <c r="BR303" s="137">
        <f>'LCFS Table'!$AX303*'LCFS Table'!$CL303</f>
        <v>0</v>
      </c>
      <c r="BS303" s="137">
        <f>'LCFS Table'!$AY303*'LCFS Table'!$CM303</f>
        <v>0</v>
      </c>
      <c r="BT303" s="137">
        <f>'LCFS Table'!$AZ303*'LCFS Table'!$CN303</f>
        <v>0</v>
      </c>
      <c r="BU303" s="137">
        <f>'LCFS Table'!$BA303*'LCFS Table'!$CO303</f>
        <v>0</v>
      </c>
      <c r="BV303" s="142">
        <f>'LCFS Table'!$BB303*'LCFS Table'!$CP303</f>
        <v>1.2</v>
      </c>
      <c r="BW303" s="138">
        <v>1</v>
      </c>
      <c r="BX303" s="138">
        <v>0</v>
      </c>
      <c r="BY303" s="138">
        <v>1</v>
      </c>
      <c r="BZ303" s="138">
        <v>1</v>
      </c>
      <c r="CA303" s="138">
        <v>-1</v>
      </c>
      <c r="CB303" s="138">
        <v>1</v>
      </c>
      <c r="CC303" s="138">
        <v>0</v>
      </c>
      <c r="CD303" s="138">
        <v>1</v>
      </c>
      <c r="CE303" s="138">
        <v>1</v>
      </c>
      <c r="CF303" s="138">
        <v>-1</v>
      </c>
      <c r="CG303" s="138">
        <f>1-'LCFS Table'!$BW303</f>
        <v>0</v>
      </c>
      <c r="CH303" s="138">
        <f>1-'LCFS Table'!$BX303</f>
        <v>1</v>
      </c>
      <c r="CI303" s="138">
        <f>1-'LCFS Table'!$BY303</f>
        <v>0</v>
      </c>
      <c r="CJ303" s="138">
        <f>1-'LCFS Table'!$BZ303</f>
        <v>0</v>
      </c>
      <c r="CK303" s="138">
        <f>-'LCFS Table'!$CA303</f>
        <v>1</v>
      </c>
      <c r="CL303" s="138">
        <f>1-'LCFS Table'!$CB303</f>
        <v>0</v>
      </c>
      <c r="CM303" s="138">
        <f>1-'LCFS Table'!$CC303</f>
        <v>1</v>
      </c>
      <c r="CN303" s="138">
        <f>1-'LCFS Table'!$CD303</f>
        <v>0</v>
      </c>
      <c r="CO303" s="138">
        <f>1-'LCFS Table'!$CE303</f>
        <v>0</v>
      </c>
      <c r="CP303" s="138">
        <f>-'LCFS Table'!$CF303</f>
        <v>1</v>
      </c>
      <c r="CQ303" s="140">
        <f t="shared" si="6"/>
        <v>8</v>
      </c>
      <c r="CR303" s="165">
        <f>('LCFS Table'!$CQ303*0.9/(0.8/0.99)/100)</f>
        <v>8.9099999999999985E-2</v>
      </c>
      <c r="CS303" s="166"/>
      <c r="CT303" s="167"/>
      <c r="CW303" s="168">
        <f>'LCFS Table'!$K303-'LCFS Table'!$M303</f>
        <v>0.27083265075624996</v>
      </c>
      <c r="CX303" s="129">
        <f>MONTH('LCFS Table'!$B303)</f>
        <v>10</v>
      </c>
      <c r="CY303" s="129">
        <f>YEAR('LCFS Table'!$B303)</f>
        <v>2024</v>
      </c>
    </row>
    <row r="304" spans="1:103">
      <c r="A304" s="148">
        <v>45571</v>
      </c>
      <c r="B304" s="149">
        <v>45577</v>
      </c>
      <c r="C304" s="132">
        <f t="shared" si="5"/>
        <v>2024</v>
      </c>
      <c r="D304" s="150" t="s">
        <v>297</v>
      </c>
      <c r="E304" s="187">
        <f>'LCFS Table'!$K304-'LCFS Table'!$I304</f>
        <v>-1.7355028160200252</v>
      </c>
      <c r="F304" s="187">
        <f>('LCFS Table'!$M304)-'LCFS Table'!$J304</f>
        <v>-2.1259087981875009</v>
      </c>
      <c r="G304" s="188">
        <f>'LCFS Table'!$E304+'LCFS Table'!$AS304+'LCFS Table'!$AT304+'LCFS Table'!$AU304+'LCFS Table'!$AV304</f>
        <v>1.1731530155202154</v>
      </c>
      <c r="H304" s="188">
        <f>'LCFS Table'!$F304+'LCFS Table'!$AX304+'LCFS Table'!$AY304+'LCFS Table'!$AZ304+'LCFS Table'!$BA304+('LCFS Table'!$CQ304*0.9/(0.8/0.99)/100)+(DG304*'LCFS Table'!$AF304)+(DF304*'LCFS Table'!$AG304)</f>
        <v>0.38421523437499894</v>
      </c>
      <c r="I304" s="187">
        <f>('LCFS Table'!$V304+'LCFS Table'!$W304+'LCFS Table'!$X304)/100+(('LCFS Table'!$AI304+'LCFS Table'!$AJ304)/340)</f>
        <v>3.9855028160200252</v>
      </c>
      <c r="J304" s="187">
        <f>(('LCFS Table'!$Y304+'LCFS Table'!$Z304)/100)+(('LCFS Table'!$AM304+'LCFS Table'!$AN304)/300)</f>
        <v>4.4188847656250001</v>
      </c>
      <c r="K304" s="190">
        <f>'[1]Fuel Values'!$C303</f>
        <v>2.25</v>
      </c>
      <c r="L304" s="190">
        <f>'[1]Fuel Values'!$B303</f>
        <v>471.4</v>
      </c>
      <c r="M304" s="185">
        <f>('LCFS Table'!$L304/100)-'LCFS Table'!$AX304-'LCFS Table'!$AY304-'LCFS Table'!$AZ304-'LCFS Table'!$BA304</f>
        <v>2.2929759674374992</v>
      </c>
      <c r="N304" s="190">
        <f>[1]BFT!$B303</f>
        <v>45.1</v>
      </c>
      <c r="O304" s="190">
        <f>[1]UCO!$B303</f>
        <v>42.5</v>
      </c>
      <c r="P304" s="190">
        <f>[1]DCO!$B303</f>
        <v>43.45</v>
      </c>
      <c r="Q304" s="190">
        <f>'[1]Soybean Oil'!$B303</f>
        <v>48.26</v>
      </c>
      <c r="R304" s="190">
        <f>'[1]Yellow Grease'!$B303</f>
        <v>39</v>
      </c>
      <c r="S304" s="185">
        <f>'LCFS Table'!$N304 + 'LCFS Table'!$AH304</f>
        <v>49.475000000000001</v>
      </c>
      <c r="T304" s="185">
        <f>'LCFS Table'!$Q304+'LCFS Table'!$AH304</f>
        <v>52.634999999999998</v>
      </c>
      <c r="U304" s="185">
        <f>'LCFS Table'!$P304+'LCFS Table'!$AH304</f>
        <v>47.825000000000003</v>
      </c>
      <c r="V304" s="185">
        <f>(('LCFS Table'!$S304/'LCFS Table'!$AA304)*'LCFS Table'!$AC304)*6.48</f>
        <v>170.5308510638298</v>
      </c>
      <c r="W304" s="185">
        <f>(('LCFS Table'!$O304/'LCFS Table'!$AA304)*'LCFS Table'!$AD304)*6.48</f>
        <v>73.244680851063848</v>
      </c>
      <c r="X304" s="185">
        <f>(('LCFS Table'!$U304/'LCFS Table'!$AA304)*'LCFS Table'!$AE304)*6.48</f>
        <v>82.421808510638314</v>
      </c>
      <c r="Y304" s="185">
        <f>(('LCFS Table'!$T304/'LCFS Table'!$AB304)*'LCFS Table'!$AF304)*7.35</f>
        <v>302.24003906249999</v>
      </c>
      <c r="Z304" s="185">
        <f>(('LCFS Table'!$R304/'LCFS Table'!$AB304)*'LCFS Table'!$AG304)*7.35</f>
        <v>74.6484375</v>
      </c>
      <c r="AA304" s="138">
        <v>0.94</v>
      </c>
      <c r="AB304" s="138">
        <v>0.96</v>
      </c>
      <c r="AC304" s="138">
        <v>0.5</v>
      </c>
      <c r="AD304" s="138">
        <v>0.25</v>
      </c>
      <c r="AE304" s="138">
        <v>0.25</v>
      </c>
      <c r="AF304" s="138">
        <v>0.75</v>
      </c>
      <c r="AG304" s="138">
        <v>0.25</v>
      </c>
      <c r="AH304" s="139">
        <v>4.375</v>
      </c>
      <c r="AI304" s="139">
        <v>136</v>
      </c>
      <c r="AJ304" s="139">
        <v>110</v>
      </c>
      <c r="AK304" s="186">
        <f>('LCFS Table'!$AI304/340)*100</f>
        <v>40</v>
      </c>
      <c r="AL304" s="186">
        <f>('LCFS Table'!$AJ304/340)*100</f>
        <v>32.352941176470587</v>
      </c>
      <c r="AM304" s="139">
        <v>105</v>
      </c>
      <c r="AN304" s="139">
        <v>90</v>
      </c>
      <c r="AO304" s="139">
        <f>('LCFS Table'!$AM304/300)*100</f>
        <v>35</v>
      </c>
      <c r="AP304" s="139">
        <f>('LCFS Table'!$AN304/300)*100</f>
        <v>30</v>
      </c>
      <c r="AQ304" s="140">
        <f>'[1]LCFS Values'!$B303</f>
        <v>68.5</v>
      </c>
      <c r="AR304" s="140">
        <f>'[1]RIN Values'!$B303/100</f>
        <v>0.70680000000000009</v>
      </c>
      <c r="AS304" s="185">
        <f>((('[2]Controls 2'!$B$2-SUM(('[2]Controls 2'!$B$5*'LCFS Table'!$AC304),('[2]Controls 2'!$B$6*'LCFS Table'!$AD304),('[2]Controls 2'!$B$7*'LCFS Table'!$AE304)))/1000000)*'LCFS Table'!$AQ304)*'[2]Controls 2'!$B$8</f>
        <v>0.54709583154024055</v>
      </c>
      <c r="AT304" s="137">
        <v>0.16</v>
      </c>
      <c r="AU304" s="137">
        <v>1</v>
      </c>
      <c r="AV304" s="185">
        <f>'LCFS Table'!$AR304*1.7</f>
        <v>1.2015600000000002</v>
      </c>
      <c r="AW304" s="137">
        <v>0</v>
      </c>
      <c r="AX304" s="185">
        <f>(((('[2]Controls 2'!$B$2-SUM(('LCFS Table'!$AF304*'[2]Controls 2'!$B$12),('LCFS Table'!$AG304*'[2]Controls 2'!$B$13)))/1000000)*'LCFS Table'!$AQ304)*'[2]Controls 2'!$B$14)</f>
        <v>0.36082403256249995</v>
      </c>
      <c r="AY304" s="137">
        <v>0</v>
      </c>
      <c r="AZ304" s="141">
        <v>1</v>
      </c>
      <c r="BA304" s="185">
        <f>'LCFS Table'!$AR304*1.5</f>
        <v>1.0602</v>
      </c>
      <c r="BB304" s="142">
        <v>1.2</v>
      </c>
      <c r="BC304" s="185">
        <f>'LCFS Table'!$AS304*'LCFS Table'!$BW304</f>
        <v>0.54709583154024055</v>
      </c>
      <c r="BD304" s="185">
        <f>'LCFS Table'!$AT304*'LCFS Table'!$BX304</f>
        <v>0</v>
      </c>
      <c r="BE304" s="185">
        <f>'LCFS Table'!$AU304*'LCFS Table'!$BY304</f>
        <v>1</v>
      </c>
      <c r="BF304" s="137">
        <f>'LCFS Table'!$AV304*'LCFS Table'!$BZ304</f>
        <v>1.2015600000000002</v>
      </c>
      <c r="BG304" s="137">
        <f>'LCFS Table'!$AW304*'LCFS Table'!$CA304</f>
        <v>0</v>
      </c>
      <c r="BH304" s="137">
        <f>'LCFS Table'!$AX304*'LCFS Table'!$CB304</f>
        <v>0.36082403256249995</v>
      </c>
      <c r="BI304" s="137">
        <f>'LCFS Table'!$AY304*'LCFS Table'!$CC304</f>
        <v>0</v>
      </c>
      <c r="BJ304" s="137">
        <f>'LCFS Table'!$AZ304*'LCFS Table'!$CD304</f>
        <v>1</v>
      </c>
      <c r="BK304" s="137">
        <f>'LCFS Table'!$BA304*'LCFS Table'!$CE304</f>
        <v>1.0602</v>
      </c>
      <c r="BL304" s="137">
        <f>'LCFS Table'!$BB304*'LCFS Table'!$CF304</f>
        <v>-1.2</v>
      </c>
      <c r="BM304" s="137">
        <f>'LCFS Table'!$AS304*'LCFS Table'!$CG304</f>
        <v>0</v>
      </c>
      <c r="BN304" s="137">
        <f>'LCFS Table'!$AT304*'LCFS Table'!$CH304</f>
        <v>0.16</v>
      </c>
      <c r="BO304" s="137">
        <f>'LCFS Table'!$AU304*'LCFS Table'!$CI304</f>
        <v>0</v>
      </c>
      <c r="BP304" s="137">
        <f>'LCFS Table'!$AV304*'LCFS Table'!$CJ304</f>
        <v>0</v>
      </c>
      <c r="BQ304" s="137">
        <f>'LCFS Table'!$AW304*'LCFS Table'!$CK304</f>
        <v>0</v>
      </c>
      <c r="BR304" s="137">
        <f>'LCFS Table'!$AX304*'LCFS Table'!$CL304</f>
        <v>0</v>
      </c>
      <c r="BS304" s="137">
        <f>'LCFS Table'!$AY304*'LCFS Table'!$CM304</f>
        <v>0</v>
      </c>
      <c r="BT304" s="137">
        <f>'LCFS Table'!$AZ304*'LCFS Table'!$CN304</f>
        <v>0</v>
      </c>
      <c r="BU304" s="137">
        <f>'LCFS Table'!$BA304*'LCFS Table'!$CO304</f>
        <v>0</v>
      </c>
      <c r="BV304" s="142">
        <f>'LCFS Table'!$BB304*'LCFS Table'!$CP304</f>
        <v>1.2</v>
      </c>
      <c r="BW304" s="138">
        <v>1</v>
      </c>
      <c r="BX304" s="138">
        <v>0</v>
      </c>
      <c r="BY304" s="138">
        <v>1</v>
      </c>
      <c r="BZ304" s="138">
        <v>1</v>
      </c>
      <c r="CA304" s="138">
        <v>-1</v>
      </c>
      <c r="CB304" s="138">
        <v>1</v>
      </c>
      <c r="CC304" s="138">
        <v>0</v>
      </c>
      <c r="CD304" s="138">
        <v>1</v>
      </c>
      <c r="CE304" s="138">
        <v>1</v>
      </c>
      <c r="CF304" s="138">
        <v>-1</v>
      </c>
      <c r="CG304" s="138">
        <f>1-'LCFS Table'!$BW304</f>
        <v>0</v>
      </c>
      <c r="CH304" s="138">
        <f>1-'LCFS Table'!$BX304</f>
        <v>1</v>
      </c>
      <c r="CI304" s="138">
        <f>1-'LCFS Table'!$BY304</f>
        <v>0</v>
      </c>
      <c r="CJ304" s="138">
        <f>1-'LCFS Table'!$BZ304</f>
        <v>0</v>
      </c>
      <c r="CK304" s="138">
        <f>-'LCFS Table'!$CA304</f>
        <v>1</v>
      </c>
      <c r="CL304" s="138">
        <f>1-'LCFS Table'!$CB304</f>
        <v>0</v>
      </c>
      <c r="CM304" s="138">
        <f>1-'LCFS Table'!$CC304</f>
        <v>1</v>
      </c>
      <c r="CN304" s="138">
        <f>1-'LCFS Table'!$CD304</f>
        <v>0</v>
      </c>
      <c r="CO304" s="138">
        <f>1-'LCFS Table'!$CE304</f>
        <v>0</v>
      </c>
      <c r="CP304" s="138">
        <f>-'LCFS Table'!$CF304</f>
        <v>1</v>
      </c>
      <c r="CQ304" s="140">
        <f t="shared" si="6"/>
        <v>8</v>
      </c>
      <c r="CR304" s="165">
        <f>('LCFS Table'!$CQ304*0.9/(0.8/0.99)/100)</f>
        <v>8.9099999999999985E-2</v>
      </c>
      <c r="CS304" s="166"/>
      <c r="CT304" s="167"/>
      <c r="CW304" s="168">
        <f>'LCFS Table'!$K304-'LCFS Table'!$M304</f>
        <v>-4.2975967437499207E-2</v>
      </c>
      <c r="CX304" s="129">
        <f>MONTH('LCFS Table'!$B304)</f>
        <v>10</v>
      </c>
      <c r="CY304" s="129">
        <f>YEAR('LCFS Table'!$B304)</f>
        <v>2024</v>
      </c>
    </row>
    <row r="305" spans="1:111">
      <c r="A305" s="148">
        <v>45578</v>
      </c>
      <c r="B305" s="149">
        <v>45584</v>
      </c>
      <c r="C305" s="132">
        <f t="shared" si="5"/>
        <v>2024</v>
      </c>
      <c r="D305" s="150" t="s">
        <v>298</v>
      </c>
      <c r="E305" s="187">
        <f>'LCFS Table'!$K305-'LCFS Table'!$I305</f>
        <v>-1.8846368585732169</v>
      </c>
      <c r="F305" s="187">
        <f>('LCFS Table'!$M305)-'LCFS Table'!$J305</f>
        <v>-1.9385039575312506</v>
      </c>
      <c r="G305" s="188">
        <f>'LCFS Table'!$E305+'LCFS Table'!$AS305+'LCFS Table'!$AT305+'LCFS Table'!$AU305+'LCFS Table'!$AV305</f>
        <v>1.0291590733123546</v>
      </c>
      <c r="H305" s="188">
        <f>'LCFS Table'!$F305+'LCFS Table'!$AX305+'LCFS Table'!$AY305+'LCFS Table'!$AZ305+'LCFS Table'!$BA305+('LCFS Table'!$CQ305*0.9/(0.8/0.99)/100)+(DG305*'LCFS Table'!$AF305)+(DF305*'LCFS Table'!$AG305)</f>
        <v>0.57482070312499922</v>
      </c>
      <c r="I305" s="187">
        <f>('LCFS Table'!$V305+'LCFS Table'!$W305+'LCFS Table'!$X305)/100+(('LCFS Table'!$AI305+'LCFS Table'!$AJ305)/340)</f>
        <v>3.9946368585732168</v>
      </c>
      <c r="J305" s="187">
        <f>(('LCFS Table'!$Y305+'LCFS Table'!$Z305)/100)+(('LCFS Table'!$AM305+'LCFS Table'!$AN305)/300)</f>
        <v>4.2942792968750005</v>
      </c>
      <c r="K305" s="190">
        <f>'[1]Fuel Values'!$C304</f>
        <v>2.11</v>
      </c>
      <c r="L305" s="190">
        <f>'[1]Fuel Values'!$B304</f>
        <v>478</v>
      </c>
      <c r="M305" s="185">
        <f>('LCFS Table'!$L305/100)-'LCFS Table'!$AX305-'LCFS Table'!$AY305-'LCFS Table'!$AZ305-'LCFS Table'!$BA305</f>
        <v>2.3557753393437499</v>
      </c>
      <c r="N305" s="190">
        <f>[1]BFT!$B304</f>
        <v>45</v>
      </c>
      <c r="O305" s="190">
        <f>[1]UCO!$B304</f>
        <v>42.5</v>
      </c>
      <c r="P305" s="190">
        <f>[1]DCO!$B304</f>
        <v>44.18</v>
      </c>
      <c r="Q305" s="190">
        <f>'[1]Soybean Oil'!$B304</f>
        <v>46.09</v>
      </c>
      <c r="R305" s="190">
        <f>'[1]Yellow Grease'!$B304</f>
        <v>39</v>
      </c>
      <c r="S305" s="185">
        <f>'LCFS Table'!$N305 + 'LCFS Table'!$AH305</f>
        <v>49.375</v>
      </c>
      <c r="T305" s="185">
        <f>'LCFS Table'!$Q305+'LCFS Table'!$AH305</f>
        <v>50.465000000000003</v>
      </c>
      <c r="U305" s="185">
        <f>'LCFS Table'!$P305+'LCFS Table'!$AH305</f>
        <v>48.555</v>
      </c>
      <c r="V305" s="185">
        <f>(('LCFS Table'!$S305/'LCFS Table'!$AA305)*'LCFS Table'!$AC305)*6.48</f>
        <v>170.18617021276597</v>
      </c>
      <c r="W305" s="185">
        <f>(('LCFS Table'!$O305/'LCFS Table'!$AA305)*'LCFS Table'!$AD305)*6.48</f>
        <v>73.244680851063848</v>
      </c>
      <c r="X305" s="185">
        <f>(('LCFS Table'!$U305/'LCFS Table'!$AA305)*'LCFS Table'!$AE305)*6.48</f>
        <v>83.679893617021278</v>
      </c>
      <c r="Y305" s="185">
        <f>(('LCFS Table'!$T305/'LCFS Table'!$AB305)*'LCFS Table'!$AF305)*7.35</f>
        <v>289.77949218750001</v>
      </c>
      <c r="Z305" s="185">
        <f>(('LCFS Table'!$R305/'LCFS Table'!$AB305)*'LCFS Table'!$AG305)*7.35</f>
        <v>74.6484375</v>
      </c>
      <c r="AA305" s="138">
        <v>0.94</v>
      </c>
      <c r="AB305" s="138">
        <v>0.96</v>
      </c>
      <c r="AC305" s="138">
        <v>0.5</v>
      </c>
      <c r="AD305" s="138">
        <v>0.25</v>
      </c>
      <c r="AE305" s="138">
        <v>0.25</v>
      </c>
      <c r="AF305" s="138">
        <v>0.75</v>
      </c>
      <c r="AG305" s="138">
        <v>0.25</v>
      </c>
      <c r="AH305" s="139">
        <v>4.375</v>
      </c>
      <c r="AI305" s="139">
        <v>136</v>
      </c>
      <c r="AJ305" s="139">
        <v>110</v>
      </c>
      <c r="AK305" s="186">
        <f>('LCFS Table'!$AI305/340)*100</f>
        <v>40</v>
      </c>
      <c r="AL305" s="186">
        <f>('LCFS Table'!$AJ305/340)*100</f>
        <v>32.352941176470587</v>
      </c>
      <c r="AM305" s="139">
        <v>105</v>
      </c>
      <c r="AN305" s="139">
        <v>90</v>
      </c>
      <c r="AO305" s="139">
        <f>('LCFS Table'!$AM305/300)*100</f>
        <v>35</v>
      </c>
      <c r="AP305" s="139">
        <f>('LCFS Table'!$AN305/300)*100</f>
        <v>30</v>
      </c>
      <c r="AQ305" s="140">
        <f>'[1]LCFS Values'!$B304</f>
        <v>69.25</v>
      </c>
      <c r="AR305" s="140">
        <f>'[1]RIN Values'!$B304/100</f>
        <v>0.70629999999999993</v>
      </c>
      <c r="AS305" s="185">
        <f>((('[2]Controls 2'!$B$2-SUM(('[2]Controls 2'!$B$5*'LCFS Table'!$AC305),('[2]Controls 2'!$B$6*'LCFS Table'!$AD305),('[2]Controls 2'!$B$7*'LCFS Table'!$AE305)))/1000000)*'LCFS Table'!$AQ305)*'[2]Controls 2'!$B$8</f>
        <v>0.55308593188557165</v>
      </c>
      <c r="AT305" s="137">
        <v>0.16</v>
      </c>
      <c r="AU305" s="137">
        <v>1</v>
      </c>
      <c r="AV305" s="185">
        <f>'LCFS Table'!$AR305*1.7</f>
        <v>1.2007099999999999</v>
      </c>
      <c r="AW305" s="137">
        <v>0</v>
      </c>
      <c r="AX305" s="185">
        <f>(((('[2]Controls 2'!$B$2-SUM(('LCFS Table'!$AF305*'[2]Controls 2'!$B$12),('LCFS Table'!$AG305*'[2]Controls 2'!$B$13)))/1000000)*'LCFS Table'!$AQ305)*'[2]Controls 2'!$B$14)</f>
        <v>0.36477466065624997</v>
      </c>
      <c r="AY305" s="137">
        <v>0</v>
      </c>
      <c r="AZ305" s="141">
        <v>1</v>
      </c>
      <c r="BA305" s="185">
        <f>'LCFS Table'!$AR305*1.5</f>
        <v>1.05945</v>
      </c>
      <c r="BB305" s="142">
        <v>1.2</v>
      </c>
      <c r="BC305" s="185">
        <f>'LCFS Table'!$AS305*'LCFS Table'!$BW305</f>
        <v>0.55308593188557165</v>
      </c>
      <c r="BD305" s="185">
        <f>'LCFS Table'!$AT305*'LCFS Table'!$BX305</f>
        <v>0</v>
      </c>
      <c r="BE305" s="185">
        <f>'LCFS Table'!$AU305*'LCFS Table'!$BY305</f>
        <v>1</v>
      </c>
      <c r="BF305" s="137">
        <f>'LCFS Table'!$AV305*'LCFS Table'!$BZ305</f>
        <v>1.2007099999999999</v>
      </c>
      <c r="BG305" s="137">
        <f>'LCFS Table'!$AW305*'LCFS Table'!$CA305</f>
        <v>0</v>
      </c>
      <c r="BH305" s="137">
        <f>'LCFS Table'!$AX305*'LCFS Table'!$CB305</f>
        <v>0.36477466065624997</v>
      </c>
      <c r="BI305" s="137">
        <f>'LCFS Table'!$AY305*'LCFS Table'!$CC305</f>
        <v>0</v>
      </c>
      <c r="BJ305" s="137">
        <f>'LCFS Table'!$AZ305*'LCFS Table'!$CD305</f>
        <v>1</v>
      </c>
      <c r="BK305" s="137">
        <f>'LCFS Table'!$BA305*'LCFS Table'!$CE305</f>
        <v>1.05945</v>
      </c>
      <c r="BL305" s="137">
        <f>'LCFS Table'!$BB305*'LCFS Table'!$CF305</f>
        <v>-1.2</v>
      </c>
      <c r="BM305" s="137">
        <f>'LCFS Table'!$AS305*'LCFS Table'!$CG305</f>
        <v>0</v>
      </c>
      <c r="BN305" s="137">
        <f>'LCFS Table'!$AT305*'LCFS Table'!$CH305</f>
        <v>0.16</v>
      </c>
      <c r="BO305" s="137">
        <f>'LCFS Table'!$AU305*'LCFS Table'!$CI305</f>
        <v>0</v>
      </c>
      <c r="BP305" s="137">
        <f>'LCFS Table'!$AV305*'LCFS Table'!$CJ305</f>
        <v>0</v>
      </c>
      <c r="BQ305" s="137">
        <f>'LCFS Table'!$AW305*'LCFS Table'!$CK305</f>
        <v>0</v>
      </c>
      <c r="BR305" s="137">
        <f>'LCFS Table'!$AX305*'LCFS Table'!$CL305</f>
        <v>0</v>
      </c>
      <c r="BS305" s="137">
        <f>'LCFS Table'!$AY305*'LCFS Table'!$CM305</f>
        <v>0</v>
      </c>
      <c r="BT305" s="137">
        <f>'LCFS Table'!$AZ305*'LCFS Table'!$CN305</f>
        <v>0</v>
      </c>
      <c r="BU305" s="137">
        <f>'LCFS Table'!$BA305*'LCFS Table'!$CO305</f>
        <v>0</v>
      </c>
      <c r="BV305" s="142">
        <f>'LCFS Table'!$BB305*'LCFS Table'!$CP305</f>
        <v>1.2</v>
      </c>
      <c r="BW305" s="138">
        <v>1</v>
      </c>
      <c r="BX305" s="138">
        <v>0</v>
      </c>
      <c r="BY305" s="138">
        <v>1</v>
      </c>
      <c r="BZ305" s="138">
        <v>1</v>
      </c>
      <c r="CA305" s="138">
        <v>-1</v>
      </c>
      <c r="CB305" s="138">
        <v>1</v>
      </c>
      <c r="CC305" s="138">
        <v>0</v>
      </c>
      <c r="CD305" s="138">
        <v>1</v>
      </c>
      <c r="CE305" s="138">
        <v>1</v>
      </c>
      <c r="CF305" s="138">
        <v>-1</v>
      </c>
      <c r="CG305" s="138">
        <f>1-'LCFS Table'!$BW305</f>
        <v>0</v>
      </c>
      <c r="CH305" s="138">
        <f>1-'LCFS Table'!$BX305</f>
        <v>1</v>
      </c>
      <c r="CI305" s="138">
        <f>1-'LCFS Table'!$BY305</f>
        <v>0</v>
      </c>
      <c r="CJ305" s="138">
        <f>1-'LCFS Table'!$BZ305</f>
        <v>0</v>
      </c>
      <c r="CK305" s="138">
        <f>-'LCFS Table'!$CA305</f>
        <v>1</v>
      </c>
      <c r="CL305" s="138">
        <f>1-'LCFS Table'!$CB305</f>
        <v>0</v>
      </c>
      <c r="CM305" s="138">
        <f>1-'LCFS Table'!$CC305</f>
        <v>1</v>
      </c>
      <c r="CN305" s="138">
        <f>1-'LCFS Table'!$CD305</f>
        <v>0</v>
      </c>
      <c r="CO305" s="138">
        <f>1-'LCFS Table'!$CE305</f>
        <v>0</v>
      </c>
      <c r="CP305" s="138">
        <f>-'LCFS Table'!$CF305</f>
        <v>1</v>
      </c>
      <c r="CQ305" s="140">
        <f t="shared" si="6"/>
        <v>8</v>
      </c>
      <c r="CR305" s="165">
        <f>('LCFS Table'!$CQ305*0.9/(0.8/0.99)/100)</f>
        <v>8.9099999999999985E-2</v>
      </c>
      <c r="CS305" s="166"/>
      <c r="CT305" s="167"/>
      <c r="CW305" s="168">
        <f>'LCFS Table'!$K305-'LCFS Table'!$M305</f>
        <v>-0.24577533934375007</v>
      </c>
      <c r="CX305" s="129">
        <f>MONTH('LCFS Table'!$B305)</f>
        <v>10</v>
      </c>
      <c r="CY305" s="129">
        <f>YEAR('LCFS Table'!$B305)</f>
        <v>2024</v>
      </c>
    </row>
    <row r="306" spans="1:111">
      <c r="A306" s="148">
        <v>45585</v>
      </c>
      <c r="B306" s="149">
        <v>45591</v>
      </c>
      <c r="C306" s="132">
        <f t="shared" si="5"/>
        <v>2024</v>
      </c>
      <c r="D306" s="150" t="s">
        <v>299</v>
      </c>
      <c r="E306" s="187">
        <f>'LCFS Table'!$K306-'LCFS Table'!$I306</f>
        <v>-1.7806581351689621</v>
      </c>
      <c r="F306" s="187">
        <f>('LCFS Table'!$M306)-'LCFS Table'!$J306</f>
        <v>-2.0545217820999997</v>
      </c>
      <c r="G306" s="188">
        <f>'LCFS Table'!$E306+'LCFS Table'!$AS306+'LCFS Table'!$AT306+'LCFS Table'!$AU306+'LCFS Table'!$AV306</f>
        <v>1.0883491745755569</v>
      </c>
      <c r="H306" s="188">
        <f>'LCFS Table'!$F306+'LCFS Table'!$AX306+'LCFS Table'!$AY306+'LCFS Table'!$AZ306+'LCFS Table'!$BA306+('LCFS Table'!$CQ306*0.9/(0.8/0.99)/100)+(DG306*'LCFS Table'!$AF306)+(DF306*'LCFS Table'!$AG306)</f>
        <v>0.42755898437500051</v>
      </c>
      <c r="I306" s="187">
        <f>('LCFS Table'!$V306+'LCFS Table'!$W306+'LCFS Table'!$X306)/100+(('LCFS Table'!$AI306+'LCFS Table'!$AJ306)/340)</f>
        <v>3.9446581351689622</v>
      </c>
      <c r="J306" s="187">
        <f>(('LCFS Table'!$Y306+'LCFS Table'!$Z306)/100)+(('LCFS Table'!$AM306+'LCFS Table'!$AN306)/300)</f>
        <v>4.3775410156249999</v>
      </c>
      <c r="K306" s="190">
        <f>'[1]Fuel Values'!$C305</f>
        <v>2.1640000000000001</v>
      </c>
      <c r="L306" s="190">
        <f>'[1]Fuel Values'!$B305</f>
        <v>471.6</v>
      </c>
      <c r="M306" s="185">
        <f>('LCFS Table'!$L306/100)-'LCFS Table'!$AX306-'LCFS Table'!$AY306-'LCFS Table'!$AZ306-'LCFS Table'!$BA306</f>
        <v>2.3230192335250002</v>
      </c>
      <c r="N306" s="190">
        <f>[1]BFT!$B305</f>
        <v>44.2</v>
      </c>
      <c r="O306" s="190">
        <f>[1]UCO!$B305</f>
        <v>42.5</v>
      </c>
      <c r="P306" s="190">
        <f>[1]DCO!$B305</f>
        <v>42.88</v>
      </c>
      <c r="Q306" s="190">
        <f>'[1]Soybean Oil'!$B305</f>
        <v>47.54</v>
      </c>
      <c r="R306" s="190">
        <f>'[1]Yellow Grease'!$B305</f>
        <v>39</v>
      </c>
      <c r="S306" s="185">
        <f>'LCFS Table'!$N306 + 'LCFS Table'!$AH306</f>
        <v>48.575000000000003</v>
      </c>
      <c r="T306" s="185">
        <f>'LCFS Table'!$Q306+'LCFS Table'!$AH306</f>
        <v>51.914999999999999</v>
      </c>
      <c r="U306" s="185">
        <f>'LCFS Table'!$P306+'LCFS Table'!$AH306</f>
        <v>47.255000000000003</v>
      </c>
      <c r="V306" s="185">
        <f>(('LCFS Table'!$S306/'LCFS Table'!$AA306)*'LCFS Table'!$AC306)*6.48</f>
        <v>167.42872340425535</v>
      </c>
      <c r="W306" s="185">
        <f>(('LCFS Table'!$O306/'LCFS Table'!$AA306)*'LCFS Table'!$AD306)*6.48</f>
        <v>73.244680851063848</v>
      </c>
      <c r="X306" s="185">
        <f>(('LCFS Table'!$U306/'LCFS Table'!$AA306)*'LCFS Table'!$AE306)*6.48</f>
        <v>81.439468085106398</v>
      </c>
      <c r="Y306" s="185">
        <f>(('LCFS Table'!$T306/'LCFS Table'!$AB306)*'LCFS Table'!$AF306)*7.35</f>
        <v>298.10566406250001</v>
      </c>
      <c r="Z306" s="185">
        <f>(('LCFS Table'!$R306/'LCFS Table'!$AB306)*'LCFS Table'!$AG306)*7.35</f>
        <v>74.6484375</v>
      </c>
      <c r="AA306" s="138">
        <v>0.94</v>
      </c>
      <c r="AB306" s="138">
        <v>0.96</v>
      </c>
      <c r="AC306" s="138">
        <v>0.5</v>
      </c>
      <c r="AD306" s="138">
        <v>0.25</v>
      </c>
      <c r="AE306" s="138">
        <v>0.25</v>
      </c>
      <c r="AF306" s="138">
        <v>0.75</v>
      </c>
      <c r="AG306" s="138">
        <v>0.25</v>
      </c>
      <c r="AH306" s="139">
        <v>4.375</v>
      </c>
      <c r="AI306" s="139">
        <v>136</v>
      </c>
      <c r="AJ306" s="139">
        <v>110</v>
      </c>
      <c r="AK306" s="186">
        <f>('LCFS Table'!$AI306/340)*100</f>
        <v>40</v>
      </c>
      <c r="AL306" s="186">
        <f>('LCFS Table'!$AJ306/340)*100</f>
        <v>32.352941176470587</v>
      </c>
      <c r="AM306" s="139">
        <v>105</v>
      </c>
      <c r="AN306" s="139">
        <v>90</v>
      </c>
      <c r="AO306" s="139">
        <f>('LCFS Table'!$AM306/300)*100</f>
        <v>35</v>
      </c>
      <c r="AP306" s="139">
        <f>('LCFS Table'!$AN306/300)*100</f>
        <v>30</v>
      </c>
      <c r="AQ306" s="140">
        <f>'[1]LCFS Values'!$B305</f>
        <v>64.599999999999994</v>
      </c>
      <c r="AR306" s="140">
        <f>'[1]RIN Values'!$B305/100</f>
        <v>0.70180000000000009</v>
      </c>
      <c r="AS306" s="185">
        <f>((('[2]Controls 2'!$B$2-SUM(('[2]Controls 2'!$B$5*'LCFS Table'!$AC306),('[2]Controls 2'!$B$6*'LCFS Table'!$AD306),('[2]Controls 2'!$B$7*'LCFS Table'!$AE306)))/1000000)*'LCFS Table'!$AQ306)*'[2]Controls 2'!$B$8</f>
        <v>0.51594730974451886</v>
      </c>
      <c r="AT306" s="137">
        <v>0.16</v>
      </c>
      <c r="AU306" s="137">
        <v>1</v>
      </c>
      <c r="AV306" s="185">
        <f>'LCFS Table'!$AR306*1.7</f>
        <v>1.1930600000000002</v>
      </c>
      <c r="AW306" s="137">
        <v>0</v>
      </c>
      <c r="AX306" s="185">
        <f>(((('[2]Controls 2'!$B$2-SUM(('LCFS Table'!$AF306*'[2]Controls 2'!$B$12),('LCFS Table'!$AG306*'[2]Controls 2'!$B$13)))/1000000)*'LCFS Table'!$AQ306)*'[2]Controls 2'!$B$14)</f>
        <v>0.340280766475</v>
      </c>
      <c r="AY306" s="137">
        <v>0</v>
      </c>
      <c r="AZ306" s="141">
        <v>1</v>
      </c>
      <c r="BA306" s="185">
        <f>'LCFS Table'!$AR306*1.5</f>
        <v>1.0527000000000002</v>
      </c>
      <c r="BB306" s="142">
        <v>1.2</v>
      </c>
      <c r="BC306" s="185">
        <f>'LCFS Table'!$AS306*'LCFS Table'!$BW306</f>
        <v>0.51594730974451886</v>
      </c>
      <c r="BD306" s="185">
        <f>'LCFS Table'!$AT306*'LCFS Table'!$BX306</f>
        <v>0</v>
      </c>
      <c r="BE306" s="185">
        <f>'LCFS Table'!$AU306*'LCFS Table'!$BY306</f>
        <v>1</v>
      </c>
      <c r="BF306" s="137">
        <f>'LCFS Table'!$AV306*'LCFS Table'!$BZ306</f>
        <v>1.1930600000000002</v>
      </c>
      <c r="BG306" s="137">
        <f>'LCFS Table'!$AW306*'LCFS Table'!$CA306</f>
        <v>0</v>
      </c>
      <c r="BH306" s="137">
        <f>'LCFS Table'!$AX306*'LCFS Table'!$CB306</f>
        <v>0.340280766475</v>
      </c>
      <c r="BI306" s="137">
        <f>'LCFS Table'!$AY306*'LCFS Table'!$CC306</f>
        <v>0</v>
      </c>
      <c r="BJ306" s="137">
        <f>'LCFS Table'!$AZ306*'LCFS Table'!$CD306</f>
        <v>1</v>
      </c>
      <c r="BK306" s="137">
        <f>'LCFS Table'!$BA306*'LCFS Table'!$CE306</f>
        <v>1.0527000000000002</v>
      </c>
      <c r="BL306" s="137">
        <f>'LCFS Table'!$BB306*'LCFS Table'!$CF306</f>
        <v>-1.2</v>
      </c>
      <c r="BM306" s="137">
        <f>'LCFS Table'!$AS306*'LCFS Table'!$CG306</f>
        <v>0</v>
      </c>
      <c r="BN306" s="137">
        <f>'LCFS Table'!$AT306*'LCFS Table'!$CH306</f>
        <v>0.16</v>
      </c>
      <c r="BO306" s="137">
        <f>'LCFS Table'!$AU306*'LCFS Table'!$CI306</f>
        <v>0</v>
      </c>
      <c r="BP306" s="137">
        <f>'LCFS Table'!$AV306*'LCFS Table'!$CJ306</f>
        <v>0</v>
      </c>
      <c r="BQ306" s="137">
        <f>'LCFS Table'!$AW306*'LCFS Table'!$CK306</f>
        <v>0</v>
      </c>
      <c r="BR306" s="137">
        <f>'LCFS Table'!$AX306*'LCFS Table'!$CL306</f>
        <v>0</v>
      </c>
      <c r="BS306" s="137">
        <f>'LCFS Table'!$AY306*'LCFS Table'!$CM306</f>
        <v>0</v>
      </c>
      <c r="BT306" s="137">
        <f>'LCFS Table'!$AZ306*'LCFS Table'!$CN306</f>
        <v>0</v>
      </c>
      <c r="BU306" s="137">
        <f>'LCFS Table'!$BA306*'LCFS Table'!$CO306</f>
        <v>0</v>
      </c>
      <c r="BV306" s="142">
        <f>'LCFS Table'!$BB306*'LCFS Table'!$CP306</f>
        <v>1.2</v>
      </c>
      <c r="BW306" s="138">
        <v>1</v>
      </c>
      <c r="BX306" s="138">
        <v>0</v>
      </c>
      <c r="BY306" s="138">
        <v>1</v>
      </c>
      <c r="BZ306" s="138">
        <v>1</v>
      </c>
      <c r="CA306" s="138">
        <v>-1</v>
      </c>
      <c r="CB306" s="138">
        <v>1</v>
      </c>
      <c r="CC306" s="138">
        <v>0</v>
      </c>
      <c r="CD306" s="138">
        <v>1</v>
      </c>
      <c r="CE306" s="138">
        <v>1</v>
      </c>
      <c r="CF306" s="138">
        <v>-1</v>
      </c>
      <c r="CG306" s="138">
        <f>1-'LCFS Table'!$BW306</f>
        <v>0</v>
      </c>
      <c r="CH306" s="138">
        <f>1-'LCFS Table'!$BX306</f>
        <v>1</v>
      </c>
      <c r="CI306" s="138">
        <f>1-'LCFS Table'!$BY306</f>
        <v>0</v>
      </c>
      <c r="CJ306" s="138">
        <f>1-'LCFS Table'!$BZ306</f>
        <v>0</v>
      </c>
      <c r="CK306" s="138">
        <f>-'LCFS Table'!$CA306</f>
        <v>1</v>
      </c>
      <c r="CL306" s="138">
        <f>1-'LCFS Table'!$CB306</f>
        <v>0</v>
      </c>
      <c r="CM306" s="138">
        <f>1-'LCFS Table'!$CC306</f>
        <v>1</v>
      </c>
      <c r="CN306" s="138">
        <f>1-'LCFS Table'!$CD306</f>
        <v>0</v>
      </c>
      <c r="CO306" s="138">
        <f>1-'LCFS Table'!$CE306</f>
        <v>0</v>
      </c>
      <c r="CP306" s="138">
        <f>-'LCFS Table'!$CF306</f>
        <v>1</v>
      </c>
      <c r="CQ306" s="140">
        <f t="shared" si="6"/>
        <v>8</v>
      </c>
      <c r="CR306" s="165">
        <f>('LCFS Table'!$CQ306*0.9/(0.8/0.99)/100)</f>
        <v>8.9099999999999985E-2</v>
      </c>
      <c r="CS306" s="166"/>
      <c r="CT306" s="167"/>
      <c r="CW306" s="168">
        <f>'LCFS Table'!$K306-'LCFS Table'!$M306</f>
        <v>-0.15901923352500003</v>
      </c>
      <c r="CX306" s="129">
        <f>MONTH('LCFS Table'!$B306)</f>
        <v>10</v>
      </c>
      <c r="CY306" s="129">
        <f>YEAR('LCFS Table'!$B306)</f>
        <v>2024</v>
      </c>
    </row>
    <row r="307" spans="1:111">
      <c r="A307" s="148">
        <v>45592</v>
      </c>
      <c r="B307" s="149">
        <v>45598</v>
      </c>
      <c r="C307" s="132">
        <f t="shared" si="5"/>
        <v>2024</v>
      </c>
      <c r="D307" s="150" t="s">
        <v>300</v>
      </c>
      <c r="E307" s="187">
        <f>'LCFS Table'!$K307-'LCFS Table'!$I307</f>
        <v>-1.7448389862327915</v>
      </c>
      <c r="F307" s="187">
        <f>('LCFS Table'!$M307)-'LCFS Table'!$J307</f>
        <v>-2.0908443688375002</v>
      </c>
      <c r="G307" s="188">
        <f>'LCFS Table'!$E307+'LCFS Table'!$AS307+'LCFS Table'!$AT307+'LCFS Table'!$AU307+'LCFS Table'!$AV307</f>
        <v>1.0825407627289769</v>
      </c>
      <c r="H307" s="188">
        <f>'LCFS Table'!$F307+'LCFS Table'!$AX307+'LCFS Table'!$AY307+'LCFS Table'!$AZ307+'LCFS Table'!$BA307+('LCFS Table'!$CQ307*0.9/(0.8/0.99)/100)+(DG307*'LCFS Table'!$AF307)+(DF307*'LCFS Table'!$AG307)</f>
        <v>0.35753164062499976</v>
      </c>
      <c r="I307" s="187">
        <f>('LCFS Table'!$V307+'LCFS Table'!$W307+'LCFS Table'!$X307)/100+(('LCFS Table'!$AI307+'LCFS Table'!$AJ307)/340)</f>
        <v>3.9248389862327917</v>
      </c>
      <c r="J307" s="187">
        <f>(('LCFS Table'!$Y307+'LCFS Table'!$Z307)/100)+(('LCFS Table'!$AM307+'LCFS Table'!$AN307)/300)</f>
        <v>4.4125683593750002</v>
      </c>
      <c r="K307" s="190">
        <f>'[1]Fuel Values'!$C306</f>
        <v>2.1800000000000002</v>
      </c>
      <c r="L307" s="190">
        <f>'[1]Fuel Values'!$B306</f>
        <v>468.1</v>
      </c>
      <c r="M307" s="185">
        <f>('LCFS Table'!$L307/100)-'LCFS Table'!$AX307-'LCFS Table'!$AY307-'LCFS Table'!$AZ307-'LCFS Table'!$BA307</f>
        <v>2.3217239905375</v>
      </c>
      <c r="N307" s="190">
        <f>[1]BFT!$B306</f>
        <v>43</v>
      </c>
      <c r="O307" s="190">
        <f>[1]UCO!$B306</f>
        <v>42.9</v>
      </c>
      <c r="P307" s="190">
        <f>[1]DCO!$B306</f>
        <v>43.73</v>
      </c>
      <c r="Q307" s="190">
        <f>'[1]Soybean Oil'!$B306</f>
        <v>48.15</v>
      </c>
      <c r="R307" s="190">
        <f>'[1]Yellow Grease'!$B306</f>
        <v>39</v>
      </c>
      <c r="S307" s="185">
        <f>'LCFS Table'!$N307 + 'LCFS Table'!$AH307</f>
        <v>47.375</v>
      </c>
      <c r="T307" s="185">
        <f>'LCFS Table'!$Q307+'LCFS Table'!$AH307</f>
        <v>52.524999999999999</v>
      </c>
      <c r="U307" s="185">
        <f>'LCFS Table'!$P307+'LCFS Table'!$AH307</f>
        <v>48.104999999999997</v>
      </c>
      <c r="V307" s="185">
        <f>(('LCFS Table'!$S307/'LCFS Table'!$AA307)*'LCFS Table'!$AC307)*6.48</f>
        <v>163.29255319148939</v>
      </c>
      <c r="W307" s="185">
        <f>(('LCFS Table'!$O307/'LCFS Table'!$AA307)*'LCFS Table'!$AD307)*6.48</f>
        <v>73.934042553191489</v>
      </c>
      <c r="X307" s="185">
        <f>(('LCFS Table'!$U307/'LCFS Table'!$AA307)*'LCFS Table'!$AE307)*6.48</f>
        <v>82.904361702127673</v>
      </c>
      <c r="Y307" s="185">
        <f>(('LCFS Table'!$T307/'LCFS Table'!$AB307)*'LCFS Table'!$AF307)*7.35</f>
        <v>301.6083984375</v>
      </c>
      <c r="Z307" s="185">
        <f>(('LCFS Table'!$R307/'LCFS Table'!$AB307)*'LCFS Table'!$AG307)*7.35</f>
        <v>74.6484375</v>
      </c>
      <c r="AA307" s="138">
        <v>0.94</v>
      </c>
      <c r="AB307" s="138">
        <v>0.96</v>
      </c>
      <c r="AC307" s="138">
        <v>0.5</v>
      </c>
      <c r="AD307" s="138">
        <v>0.25</v>
      </c>
      <c r="AE307" s="138">
        <v>0.25</v>
      </c>
      <c r="AF307" s="138">
        <v>0.75</v>
      </c>
      <c r="AG307" s="138">
        <v>0.25</v>
      </c>
      <c r="AH307" s="139">
        <v>4.375</v>
      </c>
      <c r="AI307" s="139">
        <v>136</v>
      </c>
      <c r="AJ307" s="139">
        <v>110</v>
      </c>
      <c r="AK307" s="186">
        <f>('LCFS Table'!$AI307/340)*100</f>
        <v>40</v>
      </c>
      <c r="AL307" s="186">
        <f>('LCFS Table'!$AJ307/340)*100</f>
        <v>32.352941176470587</v>
      </c>
      <c r="AM307" s="139">
        <v>105</v>
      </c>
      <c r="AN307" s="139">
        <v>90</v>
      </c>
      <c r="AO307" s="139">
        <f>('LCFS Table'!$AM307/300)*100</f>
        <v>35</v>
      </c>
      <c r="AP307" s="139">
        <f>('LCFS Table'!$AN307/300)*100</f>
        <v>30</v>
      </c>
      <c r="AQ307" s="140">
        <f>'[1]LCFS Values'!$B306</f>
        <v>62.9</v>
      </c>
      <c r="AR307" s="140">
        <f>'[1]RIN Values'!$B306/100</f>
        <v>0.68530000000000002</v>
      </c>
      <c r="AS307" s="185">
        <f>((('[2]Controls 2'!$B$2-SUM(('[2]Controls 2'!$B$5*'LCFS Table'!$AC307),('[2]Controls 2'!$B$6*'LCFS Table'!$AD307),('[2]Controls 2'!$B$7*'LCFS Table'!$AE307)))/1000000)*'LCFS Table'!$AQ307)*'[2]Controls 2'!$B$8</f>
        <v>0.50236974896176834</v>
      </c>
      <c r="AT307" s="137">
        <v>0.16</v>
      </c>
      <c r="AU307" s="137">
        <v>1</v>
      </c>
      <c r="AV307" s="185">
        <f>'LCFS Table'!$AR307*1.7</f>
        <v>1.1650100000000001</v>
      </c>
      <c r="AW307" s="137">
        <v>0</v>
      </c>
      <c r="AX307" s="185">
        <f>(((('[2]Controls 2'!$B$2-SUM(('LCFS Table'!$AF307*'[2]Controls 2'!$B$12),('LCFS Table'!$AG307*'[2]Controls 2'!$B$13)))/1000000)*'LCFS Table'!$AQ307)*'[2]Controls 2'!$B$14)</f>
        <v>0.33132600946249996</v>
      </c>
      <c r="AY307" s="137">
        <v>0</v>
      </c>
      <c r="AZ307" s="141">
        <v>1</v>
      </c>
      <c r="BA307" s="185">
        <f>'LCFS Table'!$AR307*1.5</f>
        <v>1.0279500000000001</v>
      </c>
      <c r="BB307" s="142">
        <v>1.2</v>
      </c>
      <c r="BC307" s="185">
        <f>'LCFS Table'!$AS307*'LCFS Table'!$BW307</f>
        <v>0.50236974896176834</v>
      </c>
      <c r="BD307" s="185">
        <f>'LCFS Table'!$AT307*'LCFS Table'!$BX307</f>
        <v>0</v>
      </c>
      <c r="BE307" s="185">
        <f>'LCFS Table'!$AU307*'LCFS Table'!$BY307</f>
        <v>1</v>
      </c>
      <c r="BF307" s="137">
        <f>'LCFS Table'!$AV307*'LCFS Table'!$BZ307</f>
        <v>1.1650100000000001</v>
      </c>
      <c r="BG307" s="137">
        <f>'LCFS Table'!$AW307*'LCFS Table'!$CA307</f>
        <v>0</v>
      </c>
      <c r="BH307" s="137">
        <f>'LCFS Table'!$AX307*'LCFS Table'!$CB307</f>
        <v>0.33132600946249996</v>
      </c>
      <c r="BI307" s="137">
        <f>'LCFS Table'!$AY307*'LCFS Table'!$CC307</f>
        <v>0</v>
      </c>
      <c r="BJ307" s="137">
        <f>'LCFS Table'!$AZ307*'LCFS Table'!$CD307</f>
        <v>1</v>
      </c>
      <c r="BK307" s="137">
        <f>'LCFS Table'!$BA307*'LCFS Table'!$CE307</f>
        <v>1.0279500000000001</v>
      </c>
      <c r="BL307" s="137">
        <f>'LCFS Table'!$BB307*'LCFS Table'!$CF307</f>
        <v>-1.2</v>
      </c>
      <c r="BM307" s="137">
        <f>'LCFS Table'!$AS307*'LCFS Table'!$CG307</f>
        <v>0</v>
      </c>
      <c r="BN307" s="137">
        <f>'LCFS Table'!$AT307*'LCFS Table'!$CH307</f>
        <v>0.16</v>
      </c>
      <c r="BO307" s="137">
        <f>'LCFS Table'!$AU307*'LCFS Table'!$CI307</f>
        <v>0</v>
      </c>
      <c r="BP307" s="137">
        <f>'LCFS Table'!$AV307*'LCFS Table'!$CJ307</f>
        <v>0</v>
      </c>
      <c r="BQ307" s="137">
        <f>'LCFS Table'!$AW307*'LCFS Table'!$CK307</f>
        <v>0</v>
      </c>
      <c r="BR307" s="137">
        <f>'LCFS Table'!$AX307*'LCFS Table'!$CL307</f>
        <v>0</v>
      </c>
      <c r="BS307" s="137">
        <f>'LCFS Table'!$AY307*'LCFS Table'!$CM307</f>
        <v>0</v>
      </c>
      <c r="BT307" s="137">
        <f>'LCFS Table'!$AZ307*'LCFS Table'!$CN307</f>
        <v>0</v>
      </c>
      <c r="BU307" s="137">
        <f>'LCFS Table'!$BA307*'LCFS Table'!$CO307</f>
        <v>0</v>
      </c>
      <c r="BV307" s="142">
        <f>'LCFS Table'!$BB307*'LCFS Table'!$CP307</f>
        <v>1.2</v>
      </c>
      <c r="BW307" s="138">
        <v>1</v>
      </c>
      <c r="BX307" s="138">
        <v>0</v>
      </c>
      <c r="BY307" s="138">
        <v>1</v>
      </c>
      <c r="BZ307" s="138">
        <v>1</v>
      </c>
      <c r="CA307" s="138">
        <v>-1</v>
      </c>
      <c r="CB307" s="138">
        <v>1</v>
      </c>
      <c r="CC307" s="138">
        <v>0</v>
      </c>
      <c r="CD307" s="138">
        <v>1</v>
      </c>
      <c r="CE307" s="138">
        <v>1</v>
      </c>
      <c r="CF307" s="138">
        <v>-1</v>
      </c>
      <c r="CG307" s="138">
        <f>1-'LCFS Table'!$BW307</f>
        <v>0</v>
      </c>
      <c r="CH307" s="138">
        <f>1-'LCFS Table'!$BX307</f>
        <v>1</v>
      </c>
      <c r="CI307" s="138">
        <f>1-'LCFS Table'!$BY307</f>
        <v>0</v>
      </c>
      <c r="CJ307" s="138">
        <f>1-'LCFS Table'!$BZ307</f>
        <v>0</v>
      </c>
      <c r="CK307" s="138">
        <f>-'LCFS Table'!$CA307</f>
        <v>1</v>
      </c>
      <c r="CL307" s="138">
        <f>1-'LCFS Table'!$CB307</f>
        <v>0</v>
      </c>
      <c r="CM307" s="138">
        <f>1-'LCFS Table'!$CC307</f>
        <v>1</v>
      </c>
      <c r="CN307" s="138">
        <f>1-'LCFS Table'!$CD307</f>
        <v>0</v>
      </c>
      <c r="CO307" s="138">
        <f>1-'LCFS Table'!$CE307</f>
        <v>0</v>
      </c>
      <c r="CP307" s="138">
        <f>-'LCFS Table'!$CF307</f>
        <v>1</v>
      </c>
      <c r="CQ307" s="140">
        <f t="shared" si="6"/>
        <v>8</v>
      </c>
      <c r="CR307" s="165">
        <f>('LCFS Table'!$CQ307*0.9/(0.8/0.99)/100)</f>
        <v>8.9099999999999985E-2</v>
      </c>
      <c r="CS307" s="166"/>
      <c r="CT307" s="167"/>
      <c r="CW307" s="168">
        <f>'LCFS Table'!$K307-'LCFS Table'!$M307</f>
        <v>-0.14172399053749984</v>
      </c>
      <c r="CX307" s="129">
        <f>MONTH('LCFS Table'!$B307)</f>
        <v>11</v>
      </c>
      <c r="CY307" s="129">
        <f>YEAR('LCFS Table'!$B307)</f>
        <v>2024</v>
      </c>
    </row>
    <row r="308" spans="1:111">
      <c r="A308" s="148">
        <v>45599</v>
      </c>
      <c r="B308" s="149">
        <v>45605</v>
      </c>
      <c r="C308" s="132">
        <f t="shared" si="5"/>
        <v>2024</v>
      </c>
      <c r="D308" s="150" t="s">
        <v>301</v>
      </c>
      <c r="E308" s="187">
        <f>'LCFS Table'!$K308-'LCFS Table'!$I308</f>
        <v>-1.7011943053817276</v>
      </c>
      <c r="F308" s="187">
        <f>('LCFS Table'!$M308)-'LCFS Table'!$J308</f>
        <v>-2.2957688656375002</v>
      </c>
      <c r="G308" s="188">
        <f>'LCFS Table'!$E308+'LCFS Table'!$AS308+'LCFS Table'!$AT308+'LCFS Table'!$AU308+'LCFS Table'!$AV308</f>
        <v>1.2518956867110429</v>
      </c>
      <c r="H308" s="188">
        <f>'LCFS Table'!$F308+'LCFS Table'!$AX308+'LCFS Table'!$AY308+'LCFS Table'!$AZ308+'LCFS Table'!$BA308+('LCFS Table'!$CQ308*0.9/(0.8/0.99)/100)+(DG308*'LCFS Table'!$AF308)+(DF308*'LCFS Table'!$AG308)</f>
        <v>0.25142617187499994</v>
      </c>
      <c r="I308" s="187">
        <f>('LCFS Table'!$V308+'LCFS Table'!$W308+'LCFS Table'!$X308)/100+(('LCFS Table'!$AI308+'LCFS Table'!$AJ308)/340)</f>
        <v>3.9811943053817274</v>
      </c>
      <c r="J308" s="187">
        <f>(('LCFS Table'!$Y308+'LCFS Table'!$Z308)/100)+(('LCFS Table'!$AM308+'LCFS Table'!$AN308)/300)</f>
        <v>4.6106738281249999</v>
      </c>
      <c r="K308" s="190">
        <f>'[1]Fuel Values'!$C307</f>
        <v>2.2799999999999998</v>
      </c>
      <c r="L308" s="190">
        <f>'[1]Fuel Values'!$B307</f>
        <v>477.3</v>
      </c>
      <c r="M308" s="185">
        <f>('LCFS Table'!$L308/100)-'LCFS Table'!$AX308-'LCFS Table'!$AY308-'LCFS Table'!$AZ308-'LCFS Table'!$BA308</f>
        <v>2.3149049624874998</v>
      </c>
      <c r="N308" s="190">
        <f>[1]BFT!$B307</f>
        <v>42.7</v>
      </c>
      <c r="O308" s="190">
        <f>[1]UCO!$B307</f>
        <v>45.5</v>
      </c>
      <c r="P308" s="190">
        <f>[1]DCO!$B307</f>
        <v>45</v>
      </c>
      <c r="Q308" s="190">
        <f>'[1]Soybean Oil'!$B307</f>
        <v>51.6</v>
      </c>
      <c r="R308" s="190">
        <f>'[1]Yellow Grease'!$B307</f>
        <v>39</v>
      </c>
      <c r="S308" s="185">
        <f>'LCFS Table'!$N308 + 'LCFS Table'!$AH308</f>
        <v>47.075000000000003</v>
      </c>
      <c r="T308" s="185">
        <f>'LCFS Table'!$Q308+'LCFS Table'!$AH308</f>
        <v>55.975000000000001</v>
      </c>
      <c r="U308" s="185">
        <f>'LCFS Table'!$P308+'LCFS Table'!$AH308</f>
        <v>49.375</v>
      </c>
      <c r="V308" s="185">
        <f>(('LCFS Table'!$S308/'LCFS Table'!$AA308)*'LCFS Table'!$AC308)*6.48</f>
        <v>162.25851063829788</v>
      </c>
      <c r="W308" s="185">
        <f>(('LCFS Table'!$O308/'LCFS Table'!$AA308)*'LCFS Table'!$AD308)*6.48</f>
        <v>78.414893617021278</v>
      </c>
      <c r="X308" s="185">
        <f>(('LCFS Table'!$U308/'LCFS Table'!$AA308)*'LCFS Table'!$AE308)*6.48</f>
        <v>85.093085106382986</v>
      </c>
      <c r="Y308" s="185">
        <f>(('LCFS Table'!$T308/'LCFS Table'!$AB308)*'LCFS Table'!$AF308)*7.35</f>
        <v>321.4189453125</v>
      </c>
      <c r="Z308" s="185">
        <f>(('LCFS Table'!$R308/'LCFS Table'!$AB308)*'LCFS Table'!$AG308)*7.35</f>
        <v>74.6484375</v>
      </c>
      <c r="AA308" s="138">
        <v>0.94</v>
      </c>
      <c r="AB308" s="138">
        <v>0.96</v>
      </c>
      <c r="AC308" s="138">
        <v>0.5</v>
      </c>
      <c r="AD308" s="138">
        <v>0.25</v>
      </c>
      <c r="AE308" s="138">
        <v>0.25</v>
      </c>
      <c r="AF308" s="138">
        <v>0.75</v>
      </c>
      <c r="AG308" s="138">
        <v>0.25</v>
      </c>
      <c r="AH308" s="139">
        <v>4.375</v>
      </c>
      <c r="AI308" s="139">
        <v>136</v>
      </c>
      <c r="AJ308" s="139">
        <v>110</v>
      </c>
      <c r="AK308" s="186">
        <f>('LCFS Table'!$AI308/340)*100</f>
        <v>40</v>
      </c>
      <c r="AL308" s="186">
        <f>('LCFS Table'!$AJ308/340)*100</f>
        <v>32.352941176470587</v>
      </c>
      <c r="AM308" s="139">
        <v>105</v>
      </c>
      <c r="AN308" s="139">
        <v>90</v>
      </c>
      <c r="AO308" s="139">
        <f>('LCFS Table'!$AM308/300)*100</f>
        <v>35</v>
      </c>
      <c r="AP308" s="139">
        <f>('LCFS Table'!$AN308/300)*100</f>
        <v>30</v>
      </c>
      <c r="AQ308" s="140">
        <f>'[1]LCFS Values'!$B307</f>
        <v>69.7</v>
      </c>
      <c r="AR308" s="140">
        <f>'[1]RIN Values'!$B307/100</f>
        <v>0.72730000000000006</v>
      </c>
      <c r="AS308" s="185">
        <f>((('[2]Controls 2'!$B$2-SUM(('[2]Controls 2'!$B$5*'LCFS Table'!$AC308),('[2]Controls 2'!$B$6*'LCFS Table'!$AD308),('[2]Controls 2'!$B$7*'LCFS Table'!$AE308)))/1000000)*'LCFS Table'!$AQ308)*'[2]Controls 2'!$B$8</f>
        <v>0.5566799920927703</v>
      </c>
      <c r="AT308" s="137">
        <v>0.16</v>
      </c>
      <c r="AU308" s="137">
        <v>1</v>
      </c>
      <c r="AV308" s="185">
        <f>'LCFS Table'!$AR308*1.7</f>
        <v>1.23641</v>
      </c>
      <c r="AW308" s="137">
        <v>0</v>
      </c>
      <c r="AX308" s="185">
        <f>(((('[2]Controls 2'!$B$2-SUM(('LCFS Table'!$AF308*'[2]Controls 2'!$B$12),('LCFS Table'!$AG308*'[2]Controls 2'!$B$13)))/1000000)*'LCFS Table'!$AQ308)*'[2]Controls 2'!$B$14)</f>
        <v>0.36714503751249999</v>
      </c>
      <c r="AY308" s="137">
        <v>0</v>
      </c>
      <c r="AZ308" s="141">
        <v>1</v>
      </c>
      <c r="BA308" s="185">
        <f>'LCFS Table'!$AR308*1.5</f>
        <v>1.0909500000000001</v>
      </c>
      <c r="BB308" s="142">
        <v>1.2</v>
      </c>
      <c r="BC308" s="185">
        <f>'LCFS Table'!$AS308*'LCFS Table'!$BW308</f>
        <v>0.5566799920927703</v>
      </c>
      <c r="BD308" s="185">
        <f>'LCFS Table'!$AT308*'LCFS Table'!$BX308</f>
        <v>0</v>
      </c>
      <c r="BE308" s="185">
        <f>'LCFS Table'!$AU308*'LCFS Table'!$BY308</f>
        <v>1</v>
      </c>
      <c r="BF308" s="137">
        <f>'LCFS Table'!$AV308*'LCFS Table'!$BZ308</f>
        <v>1.23641</v>
      </c>
      <c r="BG308" s="137">
        <f>'LCFS Table'!$AW308*'LCFS Table'!$CA308</f>
        <v>0</v>
      </c>
      <c r="BH308" s="137">
        <f>'LCFS Table'!$AX308*'LCFS Table'!$CB308</f>
        <v>0.36714503751249999</v>
      </c>
      <c r="BI308" s="137">
        <f>'LCFS Table'!$AY308*'LCFS Table'!$CC308</f>
        <v>0</v>
      </c>
      <c r="BJ308" s="137">
        <f>'LCFS Table'!$AZ308*'LCFS Table'!$CD308</f>
        <v>1</v>
      </c>
      <c r="BK308" s="137">
        <f>'LCFS Table'!$BA308*'LCFS Table'!$CE308</f>
        <v>1.0909500000000001</v>
      </c>
      <c r="BL308" s="137">
        <f>'LCFS Table'!$BB308*'LCFS Table'!$CF308</f>
        <v>-1.2</v>
      </c>
      <c r="BM308" s="137">
        <f>'LCFS Table'!$AS308*'LCFS Table'!$CG308</f>
        <v>0</v>
      </c>
      <c r="BN308" s="137">
        <f>'LCFS Table'!$AT308*'LCFS Table'!$CH308</f>
        <v>0.16</v>
      </c>
      <c r="BO308" s="137">
        <f>'LCFS Table'!$AU308*'LCFS Table'!$CI308</f>
        <v>0</v>
      </c>
      <c r="BP308" s="137">
        <f>'LCFS Table'!$AV308*'LCFS Table'!$CJ308</f>
        <v>0</v>
      </c>
      <c r="BQ308" s="137">
        <f>'LCFS Table'!$AW308*'LCFS Table'!$CK308</f>
        <v>0</v>
      </c>
      <c r="BR308" s="137">
        <f>'LCFS Table'!$AX308*'LCFS Table'!$CL308</f>
        <v>0</v>
      </c>
      <c r="BS308" s="137">
        <f>'LCFS Table'!$AY308*'LCFS Table'!$CM308</f>
        <v>0</v>
      </c>
      <c r="BT308" s="137">
        <f>'LCFS Table'!$AZ308*'LCFS Table'!$CN308</f>
        <v>0</v>
      </c>
      <c r="BU308" s="137">
        <f>'LCFS Table'!$BA308*'LCFS Table'!$CO308</f>
        <v>0</v>
      </c>
      <c r="BV308" s="142">
        <f>'LCFS Table'!$BB308*'LCFS Table'!$CP308</f>
        <v>1.2</v>
      </c>
      <c r="BW308" s="138">
        <v>1</v>
      </c>
      <c r="BX308" s="138">
        <v>0</v>
      </c>
      <c r="BY308" s="138">
        <v>1</v>
      </c>
      <c r="BZ308" s="138">
        <v>1</v>
      </c>
      <c r="CA308" s="138">
        <v>-1</v>
      </c>
      <c r="CB308" s="138">
        <v>1</v>
      </c>
      <c r="CC308" s="138">
        <v>0</v>
      </c>
      <c r="CD308" s="138">
        <v>1</v>
      </c>
      <c r="CE308" s="138">
        <v>1</v>
      </c>
      <c r="CF308" s="138">
        <v>-1</v>
      </c>
      <c r="CG308" s="138">
        <f>1-'LCFS Table'!$BW308</f>
        <v>0</v>
      </c>
      <c r="CH308" s="138">
        <f>1-'LCFS Table'!$BX308</f>
        <v>1</v>
      </c>
      <c r="CI308" s="138">
        <f>1-'LCFS Table'!$BY308</f>
        <v>0</v>
      </c>
      <c r="CJ308" s="138">
        <f>1-'LCFS Table'!$BZ308</f>
        <v>0</v>
      </c>
      <c r="CK308" s="138">
        <f>-'LCFS Table'!$CA308</f>
        <v>1</v>
      </c>
      <c r="CL308" s="138">
        <f>1-'LCFS Table'!$CB308</f>
        <v>0</v>
      </c>
      <c r="CM308" s="138">
        <f>1-'LCFS Table'!$CC308</f>
        <v>1</v>
      </c>
      <c r="CN308" s="138">
        <f>1-'LCFS Table'!$CD308</f>
        <v>0</v>
      </c>
      <c r="CO308" s="138">
        <f>1-'LCFS Table'!$CE308</f>
        <v>0</v>
      </c>
      <c r="CP308" s="138">
        <f>-'LCFS Table'!$CF308</f>
        <v>1</v>
      </c>
      <c r="CQ308" s="140">
        <f t="shared" si="6"/>
        <v>8</v>
      </c>
      <c r="CR308" s="165">
        <f>('LCFS Table'!$CQ308*0.9/(0.8/0.99)/100)</f>
        <v>8.9099999999999985E-2</v>
      </c>
      <c r="CS308" s="166"/>
      <c r="CT308" s="167"/>
      <c r="CW308" s="168">
        <f>'LCFS Table'!$K308-'LCFS Table'!$M308</f>
        <v>-3.4904962487499969E-2</v>
      </c>
      <c r="CX308" s="129">
        <f>MONTH('LCFS Table'!$B308)</f>
        <v>11</v>
      </c>
      <c r="CY308" s="129">
        <f>YEAR('LCFS Table'!$B308)</f>
        <v>2024</v>
      </c>
    </row>
    <row r="309" spans="1:111">
      <c r="A309" s="148">
        <v>45606</v>
      </c>
      <c r="B309" s="149">
        <v>45612</v>
      </c>
      <c r="C309" s="132">
        <f t="shared" si="5"/>
        <v>2024</v>
      </c>
      <c r="D309" s="150" t="s">
        <v>302</v>
      </c>
      <c r="E309" s="187">
        <f>'LCFS Table'!$K309-'LCFS Table'!$I309</f>
        <v>-1.6960240926157706</v>
      </c>
      <c r="F309" s="187">
        <f>('LCFS Table'!$M309)-'LCFS Table'!$J309</f>
        <v>-2.1836676107875008</v>
      </c>
      <c r="G309" s="188">
        <f>'LCFS Table'!$E309+'LCFS Table'!$AS309+'LCFS Table'!$AT309+'LCFS Table'!$AU309+'LCFS Table'!$AV309</f>
        <v>1.3119214224238251</v>
      </c>
      <c r="H309" s="188">
        <f>'LCFS Table'!$F309+'LCFS Table'!$AX309+'LCFS Table'!$AY309+'LCFS Table'!$AZ309+'LCFS Table'!$BA309+('LCFS Table'!$CQ309*0.9/(0.8/0.99)/100)+(DG309*'LCFS Table'!$AF309)+(DF309*'LCFS Table'!$AG309)</f>
        <v>0.40053945312499928</v>
      </c>
      <c r="I309" s="187">
        <f>('LCFS Table'!$V309+'LCFS Table'!$W309+'LCFS Table'!$X309)/100+(('LCFS Table'!$AI309+'LCFS Table'!$AJ309)/340)</f>
        <v>3.9760240926157704</v>
      </c>
      <c r="J309" s="187">
        <f>(('LCFS Table'!$Y309+'LCFS Table'!$Z309)/100)+(('LCFS Table'!$AM309+'LCFS Table'!$AN309)/300)</f>
        <v>4.5285605468750001</v>
      </c>
      <c r="K309" s="190">
        <f>'[1]Fuel Values'!$C308</f>
        <v>2.2799999999999998</v>
      </c>
      <c r="L309" s="190">
        <f>'[1]Fuel Values'!$B308</f>
        <v>484</v>
      </c>
      <c r="M309" s="185">
        <f>('LCFS Table'!$L309/100)-'LCFS Table'!$AX309-'LCFS Table'!$AY309-'LCFS Table'!$AZ309-'LCFS Table'!$BA309</f>
        <v>2.3448929360874993</v>
      </c>
      <c r="N309" s="190">
        <f>[1]BFT!$B308</f>
        <v>42.5</v>
      </c>
      <c r="O309" s="190">
        <f>[1]UCO!$B308</f>
        <v>44.1</v>
      </c>
      <c r="P309" s="190">
        <f>[1]DCO!$B308</f>
        <v>46.5</v>
      </c>
      <c r="Q309" s="190">
        <f>'[1]Soybean Oil'!$B308</f>
        <v>50.17</v>
      </c>
      <c r="R309" s="190">
        <f>'[1]Yellow Grease'!$B308</f>
        <v>39</v>
      </c>
      <c r="S309" s="185">
        <f>'LCFS Table'!$N309 + 'LCFS Table'!$AH309</f>
        <v>46.875</v>
      </c>
      <c r="T309" s="185">
        <f>'LCFS Table'!$Q309+'LCFS Table'!$AH309</f>
        <v>54.545000000000002</v>
      </c>
      <c r="U309" s="185">
        <f>'LCFS Table'!$P309+'LCFS Table'!$AH309</f>
        <v>50.875</v>
      </c>
      <c r="V309" s="185">
        <f>(('LCFS Table'!$S309/'LCFS Table'!$AA309)*'LCFS Table'!$AC309)*6.48</f>
        <v>161.56914893617025</v>
      </c>
      <c r="W309" s="185">
        <f>(('LCFS Table'!$O309/'LCFS Table'!$AA309)*'LCFS Table'!$AD309)*6.48</f>
        <v>76.002127659574469</v>
      </c>
      <c r="X309" s="185">
        <f>(('LCFS Table'!$U309/'LCFS Table'!$AA309)*'LCFS Table'!$AE309)*6.48</f>
        <v>87.678191489361708</v>
      </c>
      <c r="Y309" s="185">
        <f>(('LCFS Table'!$T309/'LCFS Table'!$AB309)*'LCFS Table'!$AF309)*7.35</f>
        <v>313.20761718749998</v>
      </c>
      <c r="Z309" s="185">
        <f>(('LCFS Table'!$R309/'LCFS Table'!$AB309)*'LCFS Table'!$AG309)*7.35</f>
        <v>74.6484375</v>
      </c>
      <c r="AA309" s="138">
        <v>0.94</v>
      </c>
      <c r="AB309" s="138">
        <v>0.96</v>
      </c>
      <c r="AC309" s="138">
        <v>0.5</v>
      </c>
      <c r="AD309" s="138">
        <v>0.25</v>
      </c>
      <c r="AE309" s="138">
        <v>0.25</v>
      </c>
      <c r="AF309" s="138">
        <v>0.75</v>
      </c>
      <c r="AG309" s="138">
        <v>0.25</v>
      </c>
      <c r="AH309" s="139">
        <v>4.375</v>
      </c>
      <c r="AI309" s="139">
        <v>136</v>
      </c>
      <c r="AJ309" s="139">
        <v>110</v>
      </c>
      <c r="AK309" s="186">
        <f>('LCFS Table'!$AI309/340)*100</f>
        <v>40</v>
      </c>
      <c r="AL309" s="186">
        <f>('LCFS Table'!$AJ309/340)*100</f>
        <v>32.352941176470587</v>
      </c>
      <c r="AM309" s="139">
        <v>105</v>
      </c>
      <c r="AN309" s="139">
        <v>90</v>
      </c>
      <c r="AO309" s="139">
        <f>('LCFS Table'!$AM309/300)*100</f>
        <v>35</v>
      </c>
      <c r="AP309" s="139">
        <f>('LCFS Table'!$AN309/300)*100</f>
        <v>30</v>
      </c>
      <c r="AQ309" s="140">
        <f>'[1]LCFS Values'!$B308</f>
        <v>76.099999999999994</v>
      </c>
      <c r="AR309" s="140">
        <f>'[1]RIN Values'!$B308/100</f>
        <v>0.72950000000000004</v>
      </c>
      <c r="AS309" s="185">
        <f>((('[2]Controls 2'!$B$2-SUM(('[2]Controls 2'!$B$5*'LCFS Table'!$AC309),('[2]Controls 2'!$B$6*'LCFS Table'!$AD309),('[2]Controls 2'!$B$7*'LCFS Table'!$AE309)))/1000000)*'LCFS Table'!$AQ309)*'[2]Controls 2'!$B$8</f>
        <v>0.60779551503959572</v>
      </c>
      <c r="AT309" s="137">
        <v>0.16</v>
      </c>
      <c r="AU309" s="137">
        <v>1</v>
      </c>
      <c r="AV309" s="185">
        <f>'LCFS Table'!$AR309*1.7</f>
        <v>1.2401500000000001</v>
      </c>
      <c r="AW309" s="137">
        <v>0</v>
      </c>
      <c r="AX309" s="185">
        <f>(((('[2]Controls 2'!$B$2-SUM(('LCFS Table'!$AF309*'[2]Controls 2'!$B$12),('LCFS Table'!$AG309*'[2]Controls 2'!$B$13)))/1000000)*'LCFS Table'!$AQ309)*'[2]Controls 2'!$B$14)</f>
        <v>0.40085706391249998</v>
      </c>
      <c r="AY309" s="137">
        <v>0</v>
      </c>
      <c r="AZ309" s="141">
        <v>1</v>
      </c>
      <c r="BA309" s="185">
        <f>'LCFS Table'!$AR309*1.5</f>
        <v>1.0942500000000002</v>
      </c>
      <c r="BB309" s="142">
        <v>1.2</v>
      </c>
      <c r="BC309" s="185">
        <f>'LCFS Table'!$AS309*'LCFS Table'!$BW309</f>
        <v>0.60779551503959572</v>
      </c>
      <c r="BD309" s="185">
        <f>'LCFS Table'!$AT309*'LCFS Table'!$BX309</f>
        <v>0</v>
      </c>
      <c r="BE309" s="185">
        <f>'LCFS Table'!$AU309*'LCFS Table'!$BY309</f>
        <v>1</v>
      </c>
      <c r="BF309" s="137">
        <f>'LCFS Table'!$AV309*'LCFS Table'!$BZ309</f>
        <v>1.2401500000000001</v>
      </c>
      <c r="BG309" s="137">
        <f>'LCFS Table'!$AW309*'LCFS Table'!$CA309</f>
        <v>0</v>
      </c>
      <c r="BH309" s="137">
        <f>'LCFS Table'!$AX309*'LCFS Table'!$CB309</f>
        <v>0.40085706391249998</v>
      </c>
      <c r="BI309" s="137">
        <f>'LCFS Table'!$AY309*'LCFS Table'!$CC309</f>
        <v>0</v>
      </c>
      <c r="BJ309" s="137">
        <f>'LCFS Table'!$AZ309*'LCFS Table'!$CD309</f>
        <v>1</v>
      </c>
      <c r="BK309" s="137">
        <f>'LCFS Table'!$BA309*'LCFS Table'!$CE309</f>
        <v>1.0942500000000002</v>
      </c>
      <c r="BL309" s="137">
        <f>'LCFS Table'!$BB309*'LCFS Table'!$CF309</f>
        <v>-1.2</v>
      </c>
      <c r="BM309" s="137">
        <f>'LCFS Table'!$AS309*'LCFS Table'!$CG309</f>
        <v>0</v>
      </c>
      <c r="BN309" s="137">
        <f>'LCFS Table'!$AT309*'LCFS Table'!$CH309</f>
        <v>0.16</v>
      </c>
      <c r="BO309" s="137">
        <f>'LCFS Table'!$AU309*'LCFS Table'!$CI309</f>
        <v>0</v>
      </c>
      <c r="BP309" s="137">
        <f>'LCFS Table'!$AV309*'LCFS Table'!$CJ309</f>
        <v>0</v>
      </c>
      <c r="BQ309" s="137">
        <f>'LCFS Table'!$AW309*'LCFS Table'!$CK309</f>
        <v>0</v>
      </c>
      <c r="BR309" s="137">
        <f>'LCFS Table'!$AX309*'LCFS Table'!$CL309</f>
        <v>0</v>
      </c>
      <c r="BS309" s="137">
        <f>'LCFS Table'!$AY309*'LCFS Table'!$CM309</f>
        <v>0</v>
      </c>
      <c r="BT309" s="137">
        <f>'LCFS Table'!$AZ309*'LCFS Table'!$CN309</f>
        <v>0</v>
      </c>
      <c r="BU309" s="137">
        <f>'LCFS Table'!$BA309*'LCFS Table'!$CO309</f>
        <v>0</v>
      </c>
      <c r="BV309" s="142">
        <f>'LCFS Table'!$BB309*'LCFS Table'!$CP309</f>
        <v>1.2</v>
      </c>
      <c r="BW309" s="138">
        <v>1</v>
      </c>
      <c r="BX309" s="138">
        <v>0</v>
      </c>
      <c r="BY309" s="138">
        <v>1</v>
      </c>
      <c r="BZ309" s="138">
        <v>1</v>
      </c>
      <c r="CA309" s="138">
        <v>-1</v>
      </c>
      <c r="CB309" s="138">
        <v>1</v>
      </c>
      <c r="CC309" s="138">
        <v>0</v>
      </c>
      <c r="CD309" s="138">
        <v>1</v>
      </c>
      <c r="CE309" s="138">
        <v>1</v>
      </c>
      <c r="CF309" s="138">
        <v>-1</v>
      </c>
      <c r="CG309" s="138">
        <f>1-'LCFS Table'!$BW309</f>
        <v>0</v>
      </c>
      <c r="CH309" s="138">
        <f>1-'LCFS Table'!$BX309</f>
        <v>1</v>
      </c>
      <c r="CI309" s="138">
        <f>1-'LCFS Table'!$BY309</f>
        <v>0</v>
      </c>
      <c r="CJ309" s="138">
        <f>1-'LCFS Table'!$BZ309</f>
        <v>0</v>
      </c>
      <c r="CK309" s="138">
        <f>-'LCFS Table'!$CA309</f>
        <v>1</v>
      </c>
      <c r="CL309" s="138">
        <f>1-'LCFS Table'!$CB309</f>
        <v>0</v>
      </c>
      <c r="CM309" s="138">
        <f>1-'LCFS Table'!$CC309</f>
        <v>1</v>
      </c>
      <c r="CN309" s="138">
        <f>1-'LCFS Table'!$CD309</f>
        <v>0</v>
      </c>
      <c r="CO309" s="138">
        <f>1-'LCFS Table'!$CE309</f>
        <v>0</v>
      </c>
      <c r="CP309" s="138">
        <f>-'LCFS Table'!$CF309</f>
        <v>1</v>
      </c>
      <c r="CQ309" s="140">
        <f t="shared" si="6"/>
        <v>8</v>
      </c>
      <c r="CR309" s="165">
        <f>('LCFS Table'!$CQ309*0.9/(0.8/0.99)/100)</f>
        <v>8.9099999999999985E-2</v>
      </c>
      <c r="CS309" s="166"/>
      <c r="CT309" s="167"/>
      <c r="CW309" s="168">
        <f>'LCFS Table'!$K309-'LCFS Table'!$M309</f>
        <v>-6.4892936087499464E-2</v>
      </c>
      <c r="CX309" s="129">
        <f>MONTH('LCFS Table'!$B309)</f>
        <v>11</v>
      </c>
      <c r="CY309" s="129">
        <f>YEAR('LCFS Table'!$B309)</f>
        <v>2024</v>
      </c>
    </row>
    <row r="310" spans="1:111">
      <c r="A310" s="148">
        <v>45613</v>
      </c>
      <c r="B310" s="149">
        <v>45619</v>
      </c>
      <c r="C310" s="132">
        <f t="shared" si="5"/>
        <v>2024</v>
      </c>
      <c r="D310" s="150" t="s">
        <v>303</v>
      </c>
      <c r="E310" s="187">
        <f>'LCFS Table'!$K310-'LCFS Table'!$I310</f>
        <v>-1.7311943053817274</v>
      </c>
      <c r="F310" s="187">
        <f>('LCFS Table'!$M310)-'LCFS Table'!$J310</f>
        <v>-1.879353548287499</v>
      </c>
      <c r="G310" s="188">
        <f>'LCFS Table'!$E310+'LCFS Table'!$AS310+'LCFS Table'!$AT310+'LCFS Table'!$AU310+'LCFS Table'!$AV310</f>
        <v>1.1271512096578684</v>
      </c>
      <c r="H310" s="188">
        <f>'LCFS Table'!$F310+'LCFS Table'!$AX310+'LCFS Table'!$AY310+'LCFS Table'!$AZ310+'LCFS Table'!$BA310+('LCFS Table'!$CQ310*0.9/(0.8/0.99)/100)+(DG310*'LCFS Table'!$AF310)+(DF310*'LCFS Table'!$AG310)</f>
        <v>0.57285351562500098</v>
      </c>
      <c r="I310" s="187">
        <f>('LCFS Table'!$V310+'LCFS Table'!$W310+'LCFS Table'!$X310)/100+(('LCFS Table'!$AI310+'LCFS Table'!$AJ310)/340)</f>
        <v>3.9811943053817274</v>
      </c>
      <c r="J310" s="187">
        <f>(('LCFS Table'!$Y310+'LCFS Table'!$Z310)/100)+(('LCFS Table'!$AM310+'LCFS Table'!$AN310)/300)</f>
        <v>4.3992464843749994</v>
      </c>
      <c r="K310" s="190">
        <f>'[1]Fuel Values'!$C309</f>
        <v>2.25</v>
      </c>
      <c r="L310" s="190">
        <f>'[1]Fuel Values'!$B309</f>
        <v>488.3</v>
      </c>
      <c r="M310" s="185">
        <f>('LCFS Table'!$L310/100)-'LCFS Table'!$AX310-'LCFS Table'!$AY310-'LCFS Table'!$AZ310-'LCFS Table'!$BA310</f>
        <v>2.5198929360875004</v>
      </c>
      <c r="N310" s="190">
        <f>[1]BFT!$B309</f>
        <v>42.5</v>
      </c>
      <c r="O310" s="190">
        <f>[1]UCO!$B309</f>
        <v>45.15</v>
      </c>
      <c r="P310" s="190">
        <f>[1]DCO!$B309</f>
        <v>45.75</v>
      </c>
      <c r="Q310" s="190">
        <f>'[1]Soybean Oil'!$B309</f>
        <v>47.917999999999999</v>
      </c>
      <c r="R310" s="190">
        <f>'[1]Yellow Grease'!$B309</f>
        <v>39</v>
      </c>
      <c r="S310" s="185">
        <f>'LCFS Table'!$N310 + 'LCFS Table'!$AH310</f>
        <v>46.875</v>
      </c>
      <c r="T310" s="185">
        <f>'LCFS Table'!$Q310+'LCFS Table'!$AH310</f>
        <v>52.292999999999999</v>
      </c>
      <c r="U310" s="185">
        <f>'LCFS Table'!$P310+'LCFS Table'!$AH310</f>
        <v>50.125</v>
      </c>
      <c r="V310" s="185">
        <f>(('LCFS Table'!$S310/'LCFS Table'!$AA310)*'LCFS Table'!$AC310)*6.48</f>
        <v>161.56914893617025</v>
      </c>
      <c r="W310" s="185">
        <f>(('LCFS Table'!$O310/'LCFS Table'!$AA310)*'LCFS Table'!$AD310)*6.48</f>
        <v>77.811702127659572</v>
      </c>
      <c r="X310" s="185">
        <f>(('LCFS Table'!$U310/'LCFS Table'!$AA310)*'LCFS Table'!$AE310)*6.48</f>
        <v>86.385638297872362</v>
      </c>
      <c r="Y310" s="185">
        <f>(('LCFS Table'!$T310/'LCFS Table'!$AB310)*'LCFS Table'!$AF310)*7.35</f>
        <v>300.27621093749997</v>
      </c>
      <c r="Z310" s="185">
        <f>(('LCFS Table'!$R310/'LCFS Table'!$AB310)*'LCFS Table'!$AG310)*7.35</f>
        <v>74.6484375</v>
      </c>
      <c r="AA310" s="138">
        <v>0.94</v>
      </c>
      <c r="AB310" s="138">
        <v>0.96</v>
      </c>
      <c r="AC310" s="138">
        <v>0.5</v>
      </c>
      <c r="AD310" s="138">
        <v>0.25</v>
      </c>
      <c r="AE310" s="138">
        <v>0.25</v>
      </c>
      <c r="AF310" s="138">
        <v>0.75</v>
      </c>
      <c r="AG310" s="138">
        <v>0.25</v>
      </c>
      <c r="AH310" s="139">
        <v>4.375</v>
      </c>
      <c r="AI310" s="139">
        <v>136</v>
      </c>
      <c r="AJ310" s="139">
        <v>110</v>
      </c>
      <c r="AK310" s="186">
        <f>('LCFS Table'!$AI310/340)*100</f>
        <v>40</v>
      </c>
      <c r="AL310" s="186">
        <f>('LCFS Table'!$AJ310/340)*100</f>
        <v>32.352941176470587</v>
      </c>
      <c r="AM310" s="139">
        <v>105</v>
      </c>
      <c r="AN310" s="139">
        <v>90</v>
      </c>
      <c r="AO310" s="139">
        <f>('LCFS Table'!$AM310/300)*100</f>
        <v>35</v>
      </c>
      <c r="AP310" s="139">
        <f>('LCFS Table'!$AN310/300)*100</f>
        <v>30</v>
      </c>
      <c r="AQ310" s="140">
        <f>'[1]LCFS Values'!$B309</f>
        <v>76.099999999999994</v>
      </c>
      <c r="AR310" s="140">
        <f>'[1]RIN Values'!$B309/100</f>
        <v>0.64150000000000007</v>
      </c>
      <c r="AS310" s="185">
        <f>((('[2]Controls 2'!$B$2-SUM(('[2]Controls 2'!$B$5*'LCFS Table'!$AC310),('[2]Controls 2'!$B$6*'LCFS Table'!$AD310),('[2]Controls 2'!$B$7*'LCFS Table'!$AE310)))/1000000)*'LCFS Table'!$AQ310)*'[2]Controls 2'!$B$8</f>
        <v>0.60779551503959572</v>
      </c>
      <c r="AT310" s="137">
        <v>0.16</v>
      </c>
      <c r="AU310" s="137">
        <v>1</v>
      </c>
      <c r="AV310" s="185">
        <f>'LCFS Table'!$AR310*1.7</f>
        <v>1.0905500000000001</v>
      </c>
      <c r="AW310" s="137">
        <v>0</v>
      </c>
      <c r="AX310" s="185">
        <f>(((('[2]Controls 2'!$B$2-SUM(('LCFS Table'!$AF310*'[2]Controls 2'!$B$12),('LCFS Table'!$AG310*'[2]Controls 2'!$B$13)))/1000000)*'LCFS Table'!$AQ310)*'[2]Controls 2'!$B$14)</f>
        <v>0.40085706391249998</v>
      </c>
      <c r="AY310" s="137">
        <v>0</v>
      </c>
      <c r="AZ310" s="141">
        <v>1</v>
      </c>
      <c r="BA310" s="185">
        <f>'LCFS Table'!$AR310*1.5</f>
        <v>0.96225000000000005</v>
      </c>
      <c r="BB310" s="142">
        <v>1.2</v>
      </c>
      <c r="BC310" s="185">
        <f>'LCFS Table'!$AS310*'LCFS Table'!$BW310</f>
        <v>0.60779551503959572</v>
      </c>
      <c r="BD310" s="185">
        <f>'LCFS Table'!$AT310*'LCFS Table'!$BX310</f>
        <v>0</v>
      </c>
      <c r="BE310" s="185">
        <f>'LCFS Table'!$AU310*'LCFS Table'!$BY310</f>
        <v>1</v>
      </c>
      <c r="BF310" s="137">
        <f>'LCFS Table'!$AV310*'LCFS Table'!$BZ310</f>
        <v>1.0905500000000001</v>
      </c>
      <c r="BG310" s="137">
        <f>'LCFS Table'!$AW310*'LCFS Table'!$CA310</f>
        <v>0</v>
      </c>
      <c r="BH310" s="137">
        <f>'LCFS Table'!$AX310*'LCFS Table'!$CB310</f>
        <v>0.40085706391249998</v>
      </c>
      <c r="BI310" s="137">
        <f>'LCFS Table'!$AY310*'LCFS Table'!$CC310</f>
        <v>0</v>
      </c>
      <c r="BJ310" s="137">
        <f>'LCFS Table'!$AZ310*'LCFS Table'!$CD310</f>
        <v>1</v>
      </c>
      <c r="BK310" s="137">
        <f>'LCFS Table'!$BA310*'LCFS Table'!$CE310</f>
        <v>0.96225000000000005</v>
      </c>
      <c r="BL310" s="137">
        <f>'LCFS Table'!$BB310*'LCFS Table'!$CF310</f>
        <v>-1.2</v>
      </c>
      <c r="BM310" s="137">
        <f>'LCFS Table'!$AS310*'LCFS Table'!$CG310</f>
        <v>0</v>
      </c>
      <c r="BN310" s="137">
        <f>'LCFS Table'!$AT310*'LCFS Table'!$CH310</f>
        <v>0.16</v>
      </c>
      <c r="BO310" s="137">
        <f>'LCFS Table'!$AU310*'LCFS Table'!$CI310</f>
        <v>0</v>
      </c>
      <c r="BP310" s="137">
        <f>'LCFS Table'!$AV310*'LCFS Table'!$CJ310</f>
        <v>0</v>
      </c>
      <c r="BQ310" s="137">
        <f>'LCFS Table'!$AW310*'LCFS Table'!$CK310</f>
        <v>0</v>
      </c>
      <c r="BR310" s="137">
        <f>'LCFS Table'!$AX310*'LCFS Table'!$CL310</f>
        <v>0</v>
      </c>
      <c r="BS310" s="137">
        <f>'LCFS Table'!$AY310*'LCFS Table'!$CM310</f>
        <v>0</v>
      </c>
      <c r="BT310" s="137">
        <f>'LCFS Table'!$AZ310*'LCFS Table'!$CN310</f>
        <v>0</v>
      </c>
      <c r="BU310" s="137">
        <f>'LCFS Table'!$BA310*'LCFS Table'!$CO310</f>
        <v>0</v>
      </c>
      <c r="BV310" s="142">
        <f>'LCFS Table'!$BB310*'LCFS Table'!$CP310</f>
        <v>1.2</v>
      </c>
      <c r="BW310" s="138">
        <v>1</v>
      </c>
      <c r="BX310" s="138">
        <v>0</v>
      </c>
      <c r="BY310" s="138">
        <v>1</v>
      </c>
      <c r="BZ310" s="138">
        <v>1</v>
      </c>
      <c r="CA310" s="138">
        <v>-1</v>
      </c>
      <c r="CB310" s="138">
        <v>1</v>
      </c>
      <c r="CC310" s="138">
        <v>0</v>
      </c>
      <c r="CD310" s="138">
        <v>1</v>
      </c>
      <c r="CE310" s="138">
        <v>1</v>
      </c>
      <c r="CF310" s="138">
        <v>-1</v>
      </c>
      <c r="CG310" s="138">
        <f>1-'LCFS Table'!$BW310</f>
        <v>0</v>
      </c>
      <c r="CH310" s="138">
        <f>1-'LCFS Table'!$BX310</f>
        <v>1</v>
      </c>
      <c r="CI310" s="138">
        <f>1-'LCFS Table'!$BY310</f>
        <v>0</v>
      </c>
      <c r="CJ310" s="138">
        <f>1-'LCFS Table'!$BZ310</f>
        <v>0</v>
      </c>
      <c r="CK310" s="138">
        <f>-'LCFS Table'!$CA310</f>
        <v>1</v>
      </c>
      <c r="CL310" s="138">
        <f>1-'LCFS Table'!$CB310</f>
        <v>0</v>
      </c>
      <c r="CM310" s="138">
        <f>1-'LCFS Table'!$CC310</f>
        <v>1</v>
      </c>
      <c r="CN310" s="138">
        <f>1-'LCFS Table'!$CD310</f>
        <v>0</v>
      </c>
      <c r="CO310" s="138">
        <f>1-'LCFS Table'!$CE310</f>
        <v>0</v>
      </c>
      <c r="CP310" s="138">
        <f>-'LCFS Table'!$CF310</f>
        <v>1</v>
      </c>
      <c r="CQ310" s="140">
        <f t="shared" si="6"/>
        <v>8</v>
      </c>
      <c r="CR310" s="165">
        <f>('LCFS Table'!$CQ310*0.9/(0.8/0.99)/100)</f>
        <v>8.9099999999999985E-2</v>
      </c>
      <c r="CS310" s="166"/>
      <c r="CT310" s="167"/>
      <c r="CW310" s="168">
        <f>'LCFS Table'!$K310-'LCFS Table'!$M310</f>
        <v>-0.26989293608750042</v>
      </c>
      <c r="CX310" s="129">
        <f>MONTH('LCFS Table'!$B310)</f>
        <v>11</v>
      </c>
      <c r="CY310" s="129">
        <f>YEAR('LCFS Table'!$B310)</f>
        <v>2024</v>
      </c>
    </row>
    <row r="311" spans="1:111">
      <c r="A311" s="148">
        <v>45620</v>
      </c>
      <c r="B311" s="149">
        <v>45626</v>
      </c>
      <c r="C311" s="132">
        <f t="shared" si="5"/>
        <v>2024</v>
      </c>
      <c r="D311" s="150" t="s">
        <v>304</v>
      </c>
      <c r="E311" s="187">
        <f>'LCFS Table'!$K311-'LCFS Table'!$I311</f>
        <v>-1.5073857947434295</v>
      </c>
      <c r="F311" s="187">
        <f>('LCFS Table'!$M311)-'LCFS Table'!$J311</f>
        <v>-1.6934306275468747</v>
      </c>
      <c r="G311" s="188">
        <f>'LCFS Table'!$E311+'LCFS Table'!$AS311+'LCFS Table'!$AT311+'LCFS Table'!$AU311+'LCFS Table'!$AV311</f>
        <v>1.3123560904227878</v>
      </c>
      <c r="H311" s="188">
        <f>'LCFS Table'!$F311+'LCFS Table'!$AX311+'LCFS Table'!$AY311+'LCFS Table'!$AZ311+'LCFS Table'!$BA311+('LCFS Table'!$CQ311*0.9/(0.8/0.99)/100)+(DG311*'LCFS Table'!$AF311)+(DF311*'LCFS Table'!$AG311)</f>
        <v>0.72422500000000034</v>
      </c>
      <c r="I311" s="187">
        <f>('LCFS Table'!$V311+'LCFS Table'!$W311+'LCFS Table'!$X311)/100+(('LCFS Table'!$AI311+'LCFS Table'!$AJ311)/340)</f>
        <v>4.0173857947434293</v>
      </c>
      <c r="J311" s="187">
        <f>(('LCFS Table'!$Y311+'LCFS Table'!$Z311)/100)+(('LCFS Table'!$AM311+'LCFS Table'!$AN311)/300)</f>
        <v>4.2698749999999999</v>
      </c>
      <c r="K311" s="190">
        <f>'[1]Fuel Values'!$C310</f>
        <v>2.5099999999999998</v>
      </c>
      <c r="L311" s="190">
        <f>'[1]Fuel Values'!$B310</f>
        <v>490.5</v>
      </c>
      <c r="M311" s="185">
        <f>('LCFS Table'!$L311/100)-'LCFS Table'!$AX311-'LCFS Table'!$AY311-'LCFS Table'!$AZ311-'LCFS Table'!$BA311</f>
        <v>2.5764443724531252</v>
      </c>
      <c r="N311" s="190">
        <f>[1]BFT!$B310</f>
        <v>44</v>
      </c>
      <c r="O311" s="190">
        <f>[1]UCO!$B310</f>
        <v>45.75</v>
      </c>
      <c r="P311" s="190">
        <f>[1]DCO!$B310</f>
        <v>44.25</v>
      </c>
      <c r="Q311" s="190">
        <f>'[1]Soybean Oil'!$B310</f>
        <v>45.664999999999999</v>
      </c>
      <c r="R311" s="190">
        <f>'[1]Yellow Grease'!$B310</f>
        <v>39</v>
      </c>
      <c r="S311" s="185">
        <f>'LCFS Table'!$N311 + 'LCFS Table'!$AH311</f>
        <v>48.375</v>
      </c>
      <c r="T311" s="185">
        <f>'LCFS Table'!$Q311+'LCFS Table'!$AH311</f>
        <v>50.04</v>
      </c>
      <c r="U311" s="185">
        <f>'LCFS Table'!$P311+'LCFS Table'!$AH311</f>
        <v>48.625</v>
      </c>
      <c r="V311" s="185">
        <f>(('LCFS Table'!$S311/'LCFS Table'!$AA311)*'LCFS Table'!$AC311)*6.48</f>
        <v>166.7393617021277</v>
      </c>
      <c r="W311" s="185">
        <f>(('LCFS Table'!$O311/'LCFS Table'!$AA311)*'LCFS Table'!$AD311)*6.48</f>
        <v>78.84574468085107</v>
      </c>
      <c r="X311" s="185">
        <f>(('LCFS Table'!$U311/'LCFS Table'!$AA311)*'LCFS Table'!$AE311)*6.48</f>
        <v>83.800531914893625</v>
      </c>
      <c r="Y311" s="185">
        <f>(('LCFS Table'!$T311/'LCFS Table'!$AB311)*'LCFS Table'!$AF311)*7.35</f>
        <v>287.33906250000001</v>
      </c>
      <c r="Z311" s="185">
        <f>(('LCFS Table'!$R311/'LCFS Table'!$AB311)*'LCFS Table'!$AG311)*7.35</f>
        <v>74.6484375</v>
      </c>
      <c r="AA311" s="138">
        <v>0.94</v>
      </c>
      <c r="AB311" s="138">
        <v>0.96</v>
      </c>
      <c r="AC311" s="138">
        <v>0.5</v>
      </c>
      <c r="AD311" s="138">
        <v>0.25</v>
      </c>
      <c r="AE311" s="138">
        <v>0.25</v>
      </c>
      <c r="AF311" s="138">
        <v>0.75</v>
      </c>
      <c r="AG311" s="138">
        <v>0.25</v>
      </c>
      <c r="AH311" s="139">
        <v>4.375</v>
      </c>
      <c r="AI311" s="139">
        <v>136</v>
      </c>
      <c r="AJ311" s="139">
        <v>110</v>
      </c>
      <c r="AK311" s="186">
        <f>('LCFS Table'!$AI311/340)*100</f>
        <v>40</v>
      </c>
      <c r="AL311" s="186">
        <f>('LCFS Table'!$AJ311/340)*100</f>
        <v>32.352941176470587</v>
      </c>
      <c r="AM311" s="139">
        <v>105</v>
      </c>
      <c r="AN311" s="139">
        <v>90</v>
      </c>
      <c r="AO311" s="139">
        <f>('LCFS Table'!$AM311/300)*100</f>
        <v>35</v>
      </c>
      <c r="AP311" s="139">
        <f>('LCFS Table'!$AN311/300)*100</f>
        <v>30</v>
      </c>
      <c r="AQ311" s="140">
        <f>'[1]LCFS Values'!$B310</f>
        <v>76.375</v>
      </c>
      <c r="AR311" s="140">
        <f>'[1]RIN Values'!$B310/100</f>
        <v>0.61750000000000005</v>
      </c>
      <c r="AS311" s="185">
        <f>((('[2]Controls 2'!$B$2-SUM(('[2]Controls 2'!$B$5*'LCFS Table'!$AC311),('[2]Controls 2'!$B$6*'LCFS Table'!$AD311),('[2]Controls 2'!$B$7*'LCFS Table'!$AE311)))/1000000)*'LCFS Table'!$AQ311)*'[2]Controls 2'!$B$8</f>
        <v>0.60999188516621716</v>
      </c>
      <c r="AT311" s="137">
        <v>0.16</v>
      </c>
      <c r="AU311" s="137">
        <v>1</v>
      </c>
      <c r="AV311" s="185">
        <f>'LCFS Table'!$AR311*1.7</f>
        <v>1.04975</v>
      </c>
      <c r="AW311" s="137">
        <v>0</v>
      </c>
      <c r="AX311" s="185">
        <f>(((('[2]Controls 2'!$B$2-SUM(('LCFS Table'!$AF311*'[2]Controls 2'!$B$12),('LCFS Table'!$AG311*'[2]Controls 2'!$B$13)))/1000000)*'LCFS Table'!$AQ311)*'[2]Controls 2'!$B$14)</f>
        <v>0.40230562754687493</v>
      </c>
      <c r="AY311" s="137">
        <v>0</v>
      </c>
      <c r="AZ311" s="141">
        <v>1</v>
      </c>
      <c r="BA311" s="185">
        <f>'LCFS Table'!$AR311*1.5</f>
        <v>0.92625000000000002</v>
      </c>
      <c r="BB311" s="142">
        <v>1.2</v>
      </c>
      <c r="BC311" s="185">
        <f>'LCFS Table'!$AS311*'LCFS Table'!$BW311</f>
        <v>0.60999188516621716</v>
      </c>
      <c r="BD311" s="185">
        <f>'LCFS Table'!$AT311*'LCFS Table'!$BX311</f>
        <v>0</v>
      </c>
      <c r="BE311" s="185">
        <f>'LCFS Table'!$AU311*'LCFS Table'!$BY311</f>
        <v>1</v>
      </c>
      <c r="BF311" s="137">
        <f>'LCFS Table'!$AV311*'LCFS Table'!$BZ311</f>
        <v>1.04975</v>
      </c>
      <c r="BG311" s="137">
        <f>'LCFS Table'!$AW311*'LCFS Table'!$CA311</f>
        <v>0</v>
      </c>
      <c r="BH311" s="137">
        <f>'LCFS Table'!$AX311*'LCFS Table'!$CB311</f>
        <v>0.40230562754687493</v>
      </c>
      <c r="BI311" s="137">
        <f>'LCFS Table'!$AY311*'LCFS Table'!$CC311</f>
        <v>0</v>
      </c>
      <c r="BJ311" s="137">
        <f>'LCFS Table'!$AZ311*'LCFS Table'!$CD311</f>
        <v>1</v>
      </c>
      <c r="BK311" s="137">
        <f>'LCFS Table'!$BA311*'LCFS Table'!$CE311</f>
        <v>0.92625000000000002</v>
      </c>
      <c r="BL311" s="137">
        <f>'LCFS Table'!$BB311*'LCFS Table'!$CF311</f>
        <v>-1.2</v>
      </c>
      <c r="BM311" s="137">
        <f>'LCFS Table'!$AS311*'LCFS Table'!$CG311</f>
        <v>0</v>
      </c>
      <c r="BN311" s="137">
        <f>'LCFS Table'!$AT311*'LCFS Table'!$CH311</f>
        <v>0.16</v>
      </c>
      <c r="BO311" s="137">
        <f>'LCFS Table'!$AU311*'LCFS Table'!$CI311</f>
        <v>0</v>
      </c>
      <c r="BP311" s="137">
        <f>'LCFS Table'!$AV311*'LCFS Table'!$CJ311</f>
        <v>0</v>
      </c>
      <c r="BQ311" s="137">
        <f>'LCFS Table'!$AW311*'LCFS Table'!$CK311</f>
        <v>0</v>
      </c>
      <c r="BR311" s="137">
        <f>'LCFS Table'!$AX311*'LCFS Table'!$CL311</f>
        <v>0</v>
      </c>
      <c r="BS311" s="137">
        <f>'LCFS Table'!$AY311*'LCFS Table'!$CM311</f>
        <v>0</v>
      </c>
      <c r="BT311" s="137">
        <f>'LCFS Table'!$AZ311*'LCFS Table'!$CN311</f>
        <v>0</v>
      </c>
      <c r="BU311" s="137">
        <f>'LCFS Table'!$BA311*'LCFS Table'!$CO311</f>
        <v>0</v>
      </c>
      <c r="BV311" s="142">
        <f>'LCFS Table'!$BB311*'LCFS Table'!$CP311</f>
        <v>1.2</v>
      </c>
      <c r="BW311" s="138">
        <v>1</v>
      </c>
      <c r="BX311" s="138">
        <v>0</v>
      </c>
      <c r="BY311" s="138">
        <v>1</v>
      </c>
      <c r="BZ311" s="138">
        <v>1</v>
      </c>
      <c r="CA311" s="138">
        <v>-1</v>
      </c>
      <c r="CB311" s="138">
        <v>1</v>
      </c>
      <c r="CC311" s="138">
        <v>0</v>
      </c>
      <c r="CD311" s="138">
        <v>1</v>
      </c>
      <c r="CE311" s="138">
        <v>1</v>
      </c>
      <c r="CF311" s="138">
        <v>-1</v>
      </c>
      <c r="CG311" s="138">
        <f>1-'LCFS Table'!$BW311</f>
        <v>0</v>
      </c>
      <c r="CH311" s="138">
        <f>1-'LCFS Table'!$BX311</f>
        <v>1</v>
      </c>
      <c r="CI311" s="138">
        <f>1-'LCFS Table'!$BY311</f>
        <v>0</v>
      </c>
      <c r="CJ311" s="138">
        <f>1-'LCFS Table'!$BZ311</f>
        <v>0</v>
      </c>
      <c r="CK311" s="138">
        <f>-'LCFS Table'!$CA311</f>
        <v>1</v>
      </c>
      <c r="CL311" s="138">
        <f>1-'LCFS Table'!$CB311</f>
        <v>0</v>
      </c>
      <c r="CM311" s="138">
        <f>1-'LCFS Table'!$CC311</f>
        <v>1</v>
      </c>
      <c r="CN311" s="138">
        <f>1-'LCFS Table'!$CD311</f>
        <v>0</v>
      </c>
      <c r="CO311" s="138">
        <f>1-'LCFS Table'!$CE311</f>
        <v>0</v>
      </c>
      <c r="CP311" s="138">
        <f>-'LCFS Table'!$CF311</f>
        <v>1</v>
      </c>
      <c r="CQ311" s="140">
        <f t="shared" si="6"/>
        <v>8</v>
      </c>
      <c r="CR311" s="165">
        <f>('LCFS Table'!$CQ311*0.9/(0.8/0.99)/100)</f>
        <v>8.9099999999999985E-2</v>
      </c>
      <c r="CS311" s="166"/>
      <c r="CT311" s="167"/>
      <c r="CW311" s="168">
        <f>'LCFS Table'!$K311-'LCFS Table'!$M311</f>
        <v>-6.64443724531254E-2</v>
      </c>
      <c r="CX311" s="129">
        <f>MONTH('LCFS Table'!$B311)</f>
        <v>11</v>
      </c>
      <c r="CY311" s="129">
        <f>YEAR('LCFS Table'!$B311)</f>
        <v>2024</v>
      </c>
    </row>
    <row r="312" spans="1:111">
      <c r="A312" s="148">
        <v>45627</v>
      </c>
      <c r="B312" s="149">
        <v>45633</v>
      </c>
      <c r="C312" s="132">
        <f t="shared" si="5"/>
        <v>2024</v>
      </c>
      <c r="D312" s="150" t="s">
        <v>305</v>
      </c>
      <c r="E312" s="187">
        <f>'LCFS Table'!$K312-'LCFS Table'!$I312</f>
        <v>-1.5367049436796001</v>
      </c>
      <c r="F312" s="187">
        <f>('LCFS Table'!$M312)-'LCFS Table'!$J312</f>
        <v>-1.6883277425937497</v>
      </c>
      <c r="G312" s="188">
        <f>'LCFS Table'!$E312+'LCFS Table'!$AS312+'LCFS Table'!$AT312+'LCFS Table'!$AU312+'LCFS Table'!$AV312</f>
        <v>1.2940187921197239</v>
      </c>
      <c r="H312" s="188">
        <f>'LCFS Table'!$F312+'LCFS Table'!$AX312+'LCFS Table'!$AY312+'LCFS Table'!$AZ312+'LCFS Table'!$BA312+('LCFS Table'!$CQ312*0.9/(0.8/0.99)/100)+(DG312*'LCFS Table'!$AF312)+(DF312*'LCFS Table'!$AG312)</f>
        <v>0.73657070312500017</v>
      </c>
      <c r="I312" s="187">
        <f>('LCFS Table'!$V312+'LCFS Table'!$W312+'LCFS Table'!$X312)/100+(('LCFS Table'!$AI312+'LCFS Table'!$AJ312)/340)</f>
        <v>3.9967049436796001</v>
      </c>
      <c r="J312" s="187">
        <f>(('LCFS Table'!$Y312+'LCFS Table'!$Z312)/100)+(('LCFS Table'!$AM312+'LCFS Table'!$AN312)/300)</f>
        <v>4.257529296875</v>
      </c>
      <c r="K312" s="190">
        <f>'[1]Fuel Values'!$C311</f>
        <v>2.46</v>
      </c>
      <c r="L312" s="190">
        <f>'[1]Fuel Values'!$B311</f>
        <v>490.5</v>
      </c>
      <c r="M312" s="185">
        <f>('LCFS Table'!$L312/100)-'LCFS Table'!$AX312-'LCFS Table'!$AY312-'LCFS Table'!$AZ312-'LCFS Table'!$BA312</f>
        <v>2.5692015542812503</v>
      </c>
      <c r="N312" s="190">
        <f>[1]BFT!$B311</f>
        <v>44</v>
      </c>
      <c r="O312" s="190">
        <f>[1]UCO!$B311</f>
        <v>45.75</v>
      </c>
      <c r="P312" s="190">
        <f>[1]DCO!$B311</f>
        <v>43.05</v>
      </c>
      <c r="Q312" s="190">
        <f>'[1]Soybean Oil'!$B311</f>
        <v>45.45</v>
      </c>
      <c r="R312" s="190">
        <f>'[1]Yellow Grease'!$B311</f>
        <v>39</v>
      </c>
      <c r="S312" s="185">
        <f>'LCFS Table'!$N312 + 'LCFS Table'!$AH312</f>
        <v>48.375</v>
      </c>
      <c r="T312" s="185">
        <f>'LCFS Table'!$Q312+'LCFS Table'!$AH312</f>
        <v>49.825000000000003</v>
      </c>
      <c r="U312" s="185">
        <f>'LCFS Table'!$P312+'LCFS Table'!$AH312</f>
        <v>47.424999999999997</v>
      </c>
      <c r="V312" s="185">
        <f>(('LCFS Table'!$S312/'LCFS Table'!$AA312)*'LCFS Table'!$AC312)*6.48</f>
        <v>166.7393617021277</v>
      </c>
      <c r="W312" s="185">
        <f>(('LCFS Table'!$O312/'LCFS Table'!$AA312)*'LCFS Table'!$AD312)*6.48</f>
        <v>78.84574468085107</v>
      </c>
      <c r="X312" s="185">
        <f>(('LCFS Table'!$U312/'LCFS Table'!$AA312)*'LCFS Table'!$AE312)*6.48</f>
        <v>81.732446808510645</v>
      </c>
      <c r="Y312" s="185">
        <f>(('LCFS Table'!$T312/'LCFS Table'!$AB312)*'LCFS Table'!$AF312)*7.35</f>
        <v>286.1044921875</v>
      </c>
      <c r="Z312" s="185">
        <f>(('LCFS Table'!$R312/'LCFS Table'!$AB312)*'LCFS Table'!$AG312)*7.35</f>
        <v>74.6484375</v>
      </c>
      <c r="AA312" s="138">
        <v>0.94</v>
      </c>
      <c r="AB312" s="138">
        <v>0.96</v>
      </c>
      <c r="AC312" s="138">
        <v>0.5</v>
      </c>
      <c r="AD312" s="138">
        <v>0.25</v>
      </c>
      <c r="AE312" s="138">
        <v>0.25</v>
      </c>
      <c r="AF312" s="138">
        <v>0.75</v>
      </c>
      <c r="AG312" s="138">
        <v>0.25</v>
      </c>
      <c r="AH312" s="139">
        <v>4.375</v>
      </c>
      <c r="AI312" s="139">
        <v>136</v>
      </c>
      <c r="AJ312" s="139">
        <v>110</v>
      </c>
      <c r="AK312" s="186">
        <f>('LCFS Table'!$AI312/340)*100</f>
        <v>40</v>
      </c>
      <c r="AL312" s="186">
        <f>('LCFS Table'!$AJ312/340)*100</f>
        <v>32.352941176470587</v>
      </c>
      <c r="AM312" s="139">
        <v>105</v>
      </c>
      <c r="AN312" s="139">
        <v>90</v>
      </c>
      <c r="AO312" s="139">
        <f>('LCFS Table'!$AM312/300)*100</f>
        <v>35</v>
      </c>
      <c r="AP312" s="139">
        <f>('LCFS Table'!$AN312/300)*100</f>
        <v>30</v>
      </c>
      <c r="AQ312" s="140">
        <f>'[1]LCFS Values'!$B311</f>
        <v>77.75</v>
      </c>
      <c r="AR312" s="140">
        <f>'[1]RIN Values'!$B311/100</f>
        <v>0.61750000000000005</v>
      </c>
      <c r="AS312" s="185">
        <f>((('[2]Controls 2'!$B$2-SUM(('[2]Controls 2'!$B$5*'LCFS Table'!$AC312),('[2]Controls 2'!$B$6*'LCFS Table'!$AD312),('[2]Controls 2'!$B$7*'LCFS Table'!$AE312)))/1000000)*'LCFS Table'!$AQ312)*'[2]Controls 2'!$B$8</f>
        <v>0.62097373579932413</v>
      </c>
      <c r="AT312" s="137">
        <v>0.16</v>
      </c>
      <c r="AU312" s="137">
        <v>1</v>
      </c>
      <c r="AV312" s="185">
        <f>'LCFS Table'!$AR312*1.7</f>
        <v>1.04975</v>
      </c>
      <c r="AW312" s="137">
        <v>0</v>
      </c>
      <c r="AX312" s="185">
        <f>(((('[2]Controls 2'!$B$2-SUM(('LCFS Table'!$AF312*'[2]Controls 2'!$B$12),('LCFS Table'!$AG312*'[2]Controls 2'!$B$13)))/1000000)*'LCFS Table'!$AQ312)*'[2]Controls 2'!$B$14)</f>
        <v>0.40954844571874999</v>
      </c>
      <c r="AY312" s="137">
        <v>0</v>
      </c>
      <c r="AZ312" s="141">
        <v>1</v>
      </c>
      <c r="BA312" s="185">
        <f>'LCFS Table'!$AR312*1.5</f>
        <v>0.92625000000000002</v>
      </c>
      <c r="BB312" s="142">
        <v>1.2</v>
      </c>
      <c r="BC312" s="185">
        <f>'LCFS Table'!$AS312*'LCFS Table'!$BW312</f>
        <v>0.62097373579932413</v>
      </c>
      <c r="BD312" s="185">
        <f>'LCFS Table'!$AT312*'LCFS Table'!$BX312</f>
        <v>0</v>
      </c>
      <c r="BE312" s="185">
        <f>'LCFS Table'!$AU312*'LCFS Table'!$BY312</f>
        <v>1</v>
      </c>
      <c r="BF312" s="137">
        <f>'LCFS Table'!$AV312*'LCFS Table'!$BZ312</f>
        <v>1.04975</v>
      </c>
      <c r="BG312" s="137">
        <f>'LCFS Table'!$AW312*'LCFS Table'!$CA312</f>
        <v>0</v>
      </c>
      <c r="BH312" s="137">
        <f>'LCFS Table'!$AX312*'LCFS Table'!$CB312</f>
        <v>0.40954844571874999</v>
      </c>
      <c r="BI312" s="137">
        <f>'LCFS Table'!$AY312*'LCFS Table'!$CC312</f>
        <v>0</v>
      </c>
      <c r="BJ312" s="137">
        <f>'LCFS Table'!$AZ312*'LCFS Table'!$CD312</f>
        <v>1</v>
      </c>
      <c r="BK312" s="137">
        <f>'LCFS Table'!$BA312*'LCFS Table'!$CE312</f>
        <v>0.92625000000000002</v>
      </c>
      <c r="BL312" s="137">
        <f>'LCFS Table'!$BB312*'LCFS Table'!$CF312</f>
        <v>-1.2</v>
      </c>
      <c r="BM312" s="137">
        <f>'LCFS Table'!$AS312*'LCFS Table'!$CG312</f>
        <v>0</v>
      </c>
      <c r="BN312" s="137">
        <f>'LCFS Table'!$AT312*'LCFS Table'!$CH312</f>
        <v>0.16</v>
      </c>
      <c r="BO312" s="137">
        <f>'LCFS Table'!$AU312*'LCFS Table'!$CI312</f>
        <v>0</v>
      </c>
      <c r="BP312" s="137">
        <f>'LCFS Table'!$AV312*'LCFS Table'!$CJ312</f>
        <v>0</v>
      </c>
      <c r="BQ312" s="137">
        <f>'LCFS Table'!$AW312*'LCFS Table'!$CK312</f>
        <v>0</v>
      </c>
      <c r="BR312" s="137">
        <f>'LCFS Table'!$AX312*'LCFS Table'!$CL312</f>
        <v>0</v>
      </c>
      <c r="BS312" s="137">
        <f>'LCFS Table'!$AY312*'LCFS Table'!$CM312</f>
        <v>0</v>
      </c>
      <c r="BT312" s="137">
        <f>'LCFS Table'!$AZ312*'LCFS Table'!$CN312</f>
        <v>0</v>
      </c>
      <c r="BU312" s="137">
        <f>'LCFS Table'!$BA312*'LCFS Table'!$CO312</f>
        <v>0</v>
      </c>
      <c r="BV312" s="142">
        <f>'LCFS Table'!$BB312*'LCFS Table'!$CP312</f>
        <v>1.2</v>
      </c>
      <c r="BW312" s="138">
        <v>1</v>
      </c>
      <c r="BX312" s="138">
        <v>0</v>
      </c>
      <c r="BY312" s="138">
        <v>1</v>
      </c>
      <c r="BZ312" s="138">
        <v>1</v>
      </c>
      <c r="CA312" s="138">
        <v>-1</v>
      </c>
      <c r="CB312" s="138">
        <v>1</v>
      </c>
      <c r="CC312" s="138">
        <v>0</v>
      </c>
      <c r="CD312" s="138">
        <v>1</v>
      </c>
      <c r="CE312" s="138">
        <v>1</v>
      </c>
      <c r="CF312" s="138">
        <v>-1</v>
      </c>
      <c r="CG312" s="138">
        <f>1-'LCFS Table'!$BW312</f>
        <v>0</v>
      </c>
      <c r="CH312" s="138">
        <f>1-'LCFS Table'!$BX312</f>
        <v>1</v>
      </c>
      <c r="CI312" s="138">
        <f>1-'LCFS Table'!$BY312</f>
        <v>0</v>
      </c>
      <c r="CJ312" s="138">
        <f>1-'LCFS Table'!$BZ312</f>
        <v>0</v>
      </c>
      <c r="CK312" s="138">
        <f>-'LCFS Table'!$CA312</f>
        <v>1</v>
      </c>
      <c r="CL312" s="138">
        <f>1-'LCFS Table'!$CB312</f>
        <v>0</v>
      </c>
      <c r="CM312" s="138">
        <f>1-'LCFS Table'!$CC312</f>
        <v>1</v>
      </c>
      <c r="CN312" s="138">
        <f>1-'LCFS Table'!$CD312</f>
        <v>0</v>
      </c>
      <c r="CO312" s="138">
        <f>1-'LCFS Table'!$CE312</f>
        <v>0</v>
      </c>
      <c r="CP312" s="138">
        <f>-'LCFS Table'!$CF312</f>
        <v>1</v>
      </c>
      <c r="CQ312" s="140">
        <f t="shared" si="6"/>
        <v>8</v>
      </c>
      <c r="CR312" s="165">
        <f>('LCFS Table'!$CQ312*0.9/(0.8/0.99)/100)</f>
        <v>8.9099999999999985E-2</v>
      </c>
      <c r="CS312" s="166"/>
      <c r="CT312" s="167"/>
      <c r="CW312" s="168">
        <f>'LCFS Table'!$K312-'LCFS Table'!$M312</f>
        <v>-0.10920155428125033</v>
      </c>
      <c r="CX312" s="129">
        <f>MONTH('LCFS Table'!$B312)</f>
        <v>12</v>
      </c>
      <c r="CY312" s="129">
        <f>YEAR('LCFS Table'!$B312)</f>
        <v>2024</v>
      </c>
    </row>
    <row r="313" spans="1:111">
      <c r="A313" s="148">
        <v>45634</v>
      </c>
      <c r="B313" s="149">
        <v>45640</v>
      </c>
      <c r="C313" s="132">
        <f t="shared" si="5"/>
        <v>2024</v>
      </c>
      <c r="D313" s="150" t="s">
        <v>306</v>
      </c>
      <c r="E313" s="187">
        <f>'LCFS Table'!$K313-'LCFS Table'!$I313</f>
        <v>-1.4932538798498127</v>
      </c>
      <c r="F313" s="187">
        <f>('LCFS Table'!$M313)-'LCFS Table'!$J313</f>
        <v>-1.6785212995250003</v>
      </c>
      <c r="G313" s="188">
        <f>'LCFS Table'!$E313+'LCFS Table'!$AS313+'LCFS Table'!$AT313+'LCFS Table'!$AU313+'LCFS Table'!$AV313</f>
        <v>1.3691876753279155</v>
      </c>
      <c r="H313" s="188">
        <f>'LCFS Table'!$F313+'LCFS Table'!$AX313+'LCFS Table'!$AY313+'LCFS Table'!$AZ313+'LCFS Table'!$BA313+('LCFS Table'!$CQ313*0.9/(0.8/0.99)/100)+(DG313*'LCFS Table'!$AF313)+(DF313*'LCFS Table'!$AG313)</f>
        <v>0.77676601562499958</v>
      </c>
      <c r="I313" s="187">
        <f>('LCFS Table'!$V313+'LCFS Table'!$W313+'LCFS Table'!$X313)/100+(('LCFS Table'!$AI313+'LCFS Table'!$AJ313)/340)</f>
        <v>4.0032538798498125</v>
      </c>
      <c r="J313" s="187">
        <f>(('LCFS Table'!$Y313+'LCFS Table'!$Z313)/100)+(('LCFS Table'!$AM313+'LCFS Table'!$AN313)/300)</f>
        <v>4.2173339843750002</v>
      </c>
      <c r="K313" s="190">
        <f>'[1]Fuel Values'!$C312</f>
        <v>2.5099999999999998</v>
      </c>
      <c r="L313" s="190">
        <f>'[1]Fuel Values'!$B312</f>
        <v>490.5</v>
      </c>
      <c r="M313" s="185">
        <f>('LCFS Table'!$L313/100)-'LCFS Table'!$AX313-'LCFS Table'!$AY313-'LCFS Table'!$AZ313-'LCFS Table'!$BA313</f>
        <v>2.5388126848499999</v>
      </c>
      <c r="N313" s="190">
        <f>[1]BFT!$B312</f>
        <v>44</v>
      </c>
      <c r="O313" s="190">
        <f>[1]UCO!$B312</f>
        <v>45.75</v>
      </c>
      <c r="P313" s="190">
        <f>[1]DCO!$B312</f>
        <v>43.43</v>
      </c>
      <c r="Q313" s="190">
        <f>'[1]Soybean Oil'!$B312</f>
        <v>44.75</v>
      </c>
      <c r="R313" s="190">
        <f>'[1]Yellow Grease'!$B312</f>
        <v>39</v>
      </c>
      <c r="S313" s="185">
        <f>'LCFS Table'!$N313 + 'LCFS Table'!$AH313</f>
        <v>48.375</v>
      </c>
      <c r="T313" s="185">
        <f>'LCFS Table'!$Q313+'LCFS Table'!$AH313</f>
        <v>49.125</v>
      </c>
      <c r="U313" s="185">
        <f>'LCFS Table'!$P313+'LCFS Table'!$AH313</f>
        <v>47.805</v>
      </c>
      <c r="V313" s="185">
        <f>(('LCFS Table'!$S313/'LCFS Table'!$AA313)*'LCFS Table'!$AC313)*6.48</f>
        <v>166.7393617021277</v>
      </c>
      <c r="W313" s="185">
        <f>(('LCFS Table'!$O313/'LCFS Table'!$AA313)*'LCFS Table'!$AD313)*6.48</f>
        <v>78.84574468085107</v>
      </c>
      <c r="X313" s="185">
        <f>(('LCFS Table'!$U313/'LCFS Table'!$AA313)*'LCFS Table'!$AE313)*6.48</f>
        <v>82.387340425531931</v>
      </c>
      <c r="Y313" s="185">
        <f>(('LCFS Table'!$T313/'LCFS Table'!$AB313)*'LCFS Table'!$AF313)*7.35</f>
        <v>282.0849609375</v>
      </c>
      <c r="Z313" s="185">
        <f>(('LCFS Table'!$R313/'LCFS Table'!$AB313)*'LCFS Table'!$AG313)*7.35</f>
        <v>74.6484375</v>
      </c>
      <c r="AA313" s="138">
        <v>0.94</v>
      </c>
      <c r="AB313" s="138">
        <v>0.96</v>
      </c>
      <c r="AC313" s="138">
        <v>0.5</v>
      </c>
      <c r="AD313" s="138">
        <v>0.25</v>
      </c>
      <c r="AE313" s="138">
        <v>0.25</v>
      </c>
      <c r="AF313" s="138">
        <v>0.75</v>
      </c>
      <c r="AG313" s="138">
        <v>0.25</v>
      </c>
      <c r="AH313" s="139">
        <v>4.375</v>
      </c>
      <c r="AI313" s="139">
        <v>136</v>
      </c>
      <c r="AJ313" s="139">
        <v>110</v>
      </c>
      <c r="AK313" s="186">
        <f>('LCFS Table'!$AI313/340)*100</f>
        <v>40</v>
      </c>
      <c r="AL313" s="186">
        <f>('LCFS Table'!$AJ313/340)*100</f>
        <v>32.352941176470587</v>
      </c>
      <c r="AM313" s="139">
        <v>105</v>
      </c>
      <c r="AN313" s="139">
        <v>90</v>
      </c>
      <c r="AO313" s="139">
        <f>('LCFS Table'!$AM313/300)*100</f>
        <v>35</v>
      </c>
      <c r="AP313" s="139">
        <f>('LCFS Table'!$AN313/300)*100</f>
        <v>30</v>
      </c>
      <c r="AQ313" s="140">
        <f>'[1]LCFS Values'!$B312</f>
        <v>76.400000000000006</v>
      </c>
      <c r="AR313" s="140">
        <f>'[1]RIN Values'!$B312/100</f>
        <v>0.64249999999999996</v>
      </c>
      <c r="AS313" s="185">
        <f>((('[2]Controls 2'!$B$2-SUM(('[2]Controls 2'!$B$5*'LCFS Table'!$AC313),('[2]Controls 2'!$B$6*'LCFS Table'!$AD313),('[2]Controls 2'!$B$7*'LCFS Table'!$AE313)))/1000000)*'LCFS Table'!$AQ313)*'[2]Controls 2'!$B$8</f>
        <v>0.61019155517772827</v>
      </c>
      <c r="AT313" s="137">
        <v>0.16</v>
      </c>
      <c r="AU313" s="137">
        <v>1</v>
      </c>
      <c r="AV313" s="185">
        <f>'LCFS Table'!$AR313*1.7</f>
        <v>1.0922499999999999</v>
      </c>
      <c r="AW313" s="137">
        <v>0</v>
      </c>
      <c r="AX313" s="185">
        <f>(((('[2]Controls 2'!$B$2-SUM(('LCFS Table'!$AF313*'[2]Controls 2'!$B$12),('LCFS Table'!$AG313*'[2]Controls 2'!$B$13)))/1000000)*'LCFS Table'!$AQ313)*'[2]Controls 2'!$B$14)</f>
        <v>0.40243731515000003</v>
      </c>
      <c r="AY313" s="137">
        <v>0</v>
      </c>
      <c r="AZ313" s="141">
        <v>1</v>
      </c>
      <c r="BA313" s="185">
        <f>'LCFS Table'!$AR313*1.5</f>
        <v>0.96374999999999988</v>
      </c>
      <c r="BB313" s="142">
        <v>1.2</v>
      </c>
      <c r="BC313" s="185">
        <f>'LCFS Table'!$AS313*'LCFS Table'!$BW313</f>
        <v>0.61019155517772827</v>
      </c>
      <c r="BD313" s="185">
        <f>'LCFS Table'!$AT313*'LCFS Table'!$BX313</f>
        <v>0</v>
      </c>
      <c r="BE313" s="185">
        <f>'LCFS Table'!$AU313*'LCFS Table'!$BY313</f>
        <v>1</v>
      </c>
      <c r="BF313" s="137">
        <f>'LCFS Table'!$AV313*'LCFS Table'!$BZ313</f>
        <v>1.0922499999999999</v>
      </c>
      <c r="BG313" s="137">
        <f>'LCFS Table'!$AW313*'LCFS Table'!$CA313</f>
        <v>0</v>
      </c>
      <c r="BH313" s="137">
        <f>'LCFS Table'!$AX313*'LCFS Table'!$CB313</f>
        <v>0.40243731515000003</v>
      </c>
      <c r="BI313" s="137">
        <f>'LCFS Table'!$AY313*'LCFS Table'!$CC313</f>
        <v>0</v>
      </c>
      <c r="BJ313" s="137">
        <f>'LCFS Table'!$AZ313*'LCFS Table'!$CD313</f>
        <v>1</v>
      </c>
      <c r="BK313" s="137">
        <f>'LCFS Table'!$BA313*'LCFS Table'!$CE313</f>
        <v>0.96374999999999988</v>
      </c>
      <c r="BL313" s="137">
        <f>'LCFS Table'!$BB313*'LCFS Table'!$CF313</f>
        <v>-1.2</v>
      </c>
      <c r="BM313" s="137">
        <f>'LCFS Table'!$AS313*'LCFS Table'!$CG313</f>
        <v>0</v>
      </c>
      <c r="BN313" s="137">
        <f>'LCFS Table'!$AT313*'LCFS Table'!$CH313</f>
        <v>0.16</v>
      </c>
      <c r="BO313" s="137">
        <f>'LCFS Table'!$AU313*'LCFS Table'!$CI313</f>
        <v>0</v>
      </c>
      <c r="BP313" s="137">
        <f>'LCFS Table'!$AV313*'LCFS Table'!$CJ313</f>
        <v>0</v>
      </c>
      <c r="BQ313" s="137">
        <f>'LCFS Table'!$AW313*'LCFS Table'!$CK313</f>
        <v>0</v>
      </c>
      <c r="BR313" s="137">
        <f>'LCFS Table'!$AX313*'LCFS Table'!$CL313</f>
        <v>0</v>
      </c>
      <c r="BS313" s="137">
        <f>'LCFS Table'!$AY313*'LCFS Table'!$CM313</f>
        <v>0</v>
      </c>
      <c r="BT313" s="137">
        <f>'LCFS Table'!$AZ313*'LCFS Table'!$CN313</f>
        <v>0</v>
      </c>
      <c r="BU313" s="137">
        <f>'LCFS Table'!$BA313*'LCFS Table'!$CO313</f>
        <v>0</v>
      </c>
      <c r="BV313" s="142">
        <f>'LCFS Table'!$BB313*'LCFS Table'!$CP313</f>
        <v>1.2</v>
      </c>
      <c r="BW313" s="138">
        <v>1</v>
      </c>
      <c r="BX313" s="138">
        <v>0</v>
      </c>
      <c r="BY313" s="138">
        <v>1</v>
      </c>
      <c r="BZ313" s="138">
        <v>1</v>
      </c>
      <c r="CA313" s="138">
        <v>-1</v>
      </c>
      <c r="CB313" s="138">
        <v>1</v>
      </c>
      <c r="CC313" s="138">
        <v>0</v>
      </c>
      <c r="CD313" s="138">
        <v>1</v>
      </c>
      <c r="CE313" s="138">
        <v>1</v>
      </c>
      <c r="CF313" s="138">
        <v>-1</v>
      </c>
      <c r="CG313" s="138">
        <f>1-'LCFS Table'!$BW313</f>
        <v>0</v>
      </c>
      <c r="CH313" s="138">
        <f>1-'LCFS Table'!$BX313</f>
        <v>1</v>
      </c>
      <c r="CI313" s="138">
        <f>1-'LCFS Table'!$BY313</f>
        <v>0</v>
      </c>
      <c r="CJ313" s="138">
        <f>1-'LCFS Table'!$BZ313</f>
        <v>0</v>
      </c>
      <c r="CK313" s="138">
        <f>-'LCFS Table'!$CA313</f>
        <v>1</v>
      </c>
      <c r="CL313" s="138">
        <f>1-'LCFS Table'!$CB313</f>
        <v>0</v>
      </c>
      <c r="CM313" s="138">
        <f>1-'LCFS Table'!$CC313</f>
        <v>1</v>
      </c>
      <c r="CN313" s="138">
        <f>1-'LCFS Table'!$CD313</f>
        <v>0</v>
      </c>
      <c r="CO313" s="138">
        <f>1-'LCFS Table'!$CE313</f>
        <v>0</v>
      </c>
      <c r="CP313" s="138">
        <f>-'LCFS Table'!$CF313</f>
        <v>1</v>
      </c>
      <c r="CQ313" s="140">
        <f t="shared" si="6"/>
        <v>8</v>
      </c>
      <c r="CR313" s="165">
        <f>('LCFS Table'!$CQ313*0.9/(0.8/0.99)/100)</f>
        <v>8.9099999999999985E-2</v>
      </c>
      <c r="CS313" s="166"/>
      <c r="CT313" s="167"/>
      <c r="CW313" s="168">
        <f>'LCFS Table'!$K313-'LCFS Table'!$M313</f>
        <v>-2.8812684850000103E-2</v>
      </c>
      <c r="CX313" s="129">
        <f>MONTH('LCFS Table'!$B313)</f>
        <v>12</v>
      </c>
      <c r="CY313" s="129">
        <f>YEAR('LCFS Table'!$B313)</f>
        <v>2024</v>
      </c>
    </row>
    <row r="314" spans="1:111">
      <c r="A314" s="148">
        <v>45641</v>
      </c>
      <c r="B314" s="149">
        <v>45647</v>
      </c>
      <c r="C314" s="132">
        <f t="shared" si="5"/>
        <v>2024</v>
      </c>
      <c r="D314" s="150" t="s">
        <v>307</v>
      </c>
      <c r="E314" s="187">
        <f>'LCFS Table'!$K314-'LCFS Table'!$I314</f>
        <v>-1.4141411138923661</v>
      </c>
      <c r="F314" s="187">
        <f>('LCFS Table'!$M314)-'LCFS Table'!$J314</f>
        <v>-1.5037900791249994</v>
      </c>
      <c r="G314" s="188">
        <f>'LCFS Table'!$E314+'LCFS Table'!$AS314+'LCFS Table'!$AT314+'LCFS Table'!$AU314+'LCFS Table'!$AV314</f>
        <v>1.3351157211011855</v>
      </c>
      <c r="H314" s="188">
        <f>'LCFS Table'!$F314+'LCFS Table'!$AX314+'LCFS Table'!$AY314+'LCFS Table'!$AZ314+'LCFS Table'!$BA314+('LCFS Table'!$CQ314*0.9/(0.8/0.99)/100)+(DG314*'LCFS Table'!$AF314)+(DF314*'LCFS Table'!$AG314)</f>
        <v>0.85234023437500062</v>
      </c>
      <c r="I314" s="187">
        <f>('LCFS Table'!$V314+'LCFS Table'!$W314+'LCFS Table'!$X314)/100+(('LCFS Table'!$AI314+'LCFS Table'!$AJ314)/340)</f>
        <v>3.9441411138923659</v>
      </c>
      <c r="J314" s="187">
        <f>(('LCFS Table'!$Y314+'LCFS Table'!$Z314)/100)+(('LCFS Table'!$AM314+'LCFS Table'!$AN314)/300)</f>
        <v>4.0697597656250002</v>
      </c>
      <c r="K314" s="190">
        <f>'[1]Fuel Values'!$C313</f>
        <v>2.5299999999999998</v>
      </c>
      <c r="L314" s="190">
        <f>'[1]Fuel Values'!$B313</f>
        <v>483.3</v>
      </c>
      <c r="M314" s="185">
        <f>('LCFS Table'!$L314/100)-'LCFS Table'!$AX314-'LCFS Table'!$AY314-'LCFS Table'!$AZ314-'LCFS Table'!$BA314</f>
        <v>2.5659696865000008</v>
      </c>
      <c r="N314" s="190">
        <f>[1]BFT!$B313</f>
        <v>43.1</v>
      </c>
      <c r="O314" s="190">
        <f>[1]UCO!$B313</f>
        <v>45.4</v>
      </c>
      <c r="P314" s="190">
        <f>[1]DCO!$B313</f>
        <v>42.15</v>
      </c>
      <c r="Q314" s="190">
        <f>'[1]Soybean Oil'!$B313</f>
        <v>42.18</v>
      </c>
      <c r="R314" s="190">
        <f>'[1]Yellow Grease'!$B313</f>
        <v>39</v>
      </c>
      <c r="S314" s="185">
        <f>'LCFS Table'!$N314 + 'LCFS Table'!$AH314</f>
        <v>47.475000000000001</v>
      </c>
      <c r="T314" s="185">
        <f>'LCFS Table'!$Q314+'LCFS Table'!$AH314</f>
        <v>46.555</v>
      </c>
      <c r="U314" s="185">
        <f>'LCFS Table'!$P314+'LCFS Table'!$AH314</f>
        <v>46.524999999999999</v>
      </c>
      <c r="V314" s="185">
        <f>(('LCFS Table'!$S314/'LCFS Table'!$AA314)*'LCFS Table'!$AC314)*6.48</f>
        <v>163.63723404255322</v>
      </c>
      <c r="W314" s="185">
        <f>(('LCFS Table'!$O314/'LCFS Table'!$AA314)*'LCFS Table'!$AD314)*6.48</f>
        <v>78.242553191489378</v>
      </c>
      <c r="X314" s="185">
        <f>(('LCFS Table'!$U314/'LCFS Table'!$AA314)*'LCFS Table'!$AE314)*6.48</f>
        <v>80.18138297872342</v>
      </c>
      <c r="Y314" s="185">
        <f>(('LCFS Table'!$T314/'LCFS Table'!$AB314)*'LCFS Table'!$AF314)*7.35</f>
        <v>267.32753906249997</v>
      </c>
      <c r="Z314" s="185">
        <f>(('LCFS Table'!$R314/'LCFS Table'!$AB314)*'LCFS Table'!$AG314)*7.35</f>
        <v>74.6484375</v>
      </c>
      <c r="AA314" s="138">
        <v>0.94</v>
      </c>
      <c r="AB314" s="138">
        <v>0.96</v>
      </c>
      <c r="AC314" s="138">
        <v>0.5</v>
      </c>
      <c r="AD314" s="138">
        <v>0.25</v>
      </c>
      <c r="AE314" s="138">
        <v>0.25</v>
      </c>
      <c r="AF314" s="138">
        <v>0.75</v>
      </c>
      <c r="AG314" s="138">
        <v>0.25</v>
      </c>
      <c r="AH314" s="139">
        <v>4.375</v>
      </c>
      <c r="AI314" s="139">
        <v>136</v>
      </c>
      <c r="AJ314" s="139">
        <v>110</v>
      </c>
      <c r="AK314" s="186">
        <f>('LCFS Table'!$AI314/340)*100</f>
        <v>40</v>
      </c>
      <c r="AL314" s="186">
        <f>('LCFS Table'!$AJ314/340)*100</f>
        <v>32.352941176470587</v>
      </c>
      <c r="AM314" s="139">
        <v>105</v>
      </c>
      <c r="AN314" s="139">
        <v>90</v>
      </c>
      <c r="AO314" s="139">
        <f>('LCFS Table'!$AM314/300)*100</f>
        <v>35</v>
      </c>
      <c r="AP314" s="139">
        <f>('LCFS Table'!$AN314/300)*100</f>
        <v>30</v>
      </c>
      <c r="AQ314" s="140">
        <f>'[1]LCFS Values'!$B313</f>
        <v>76</v>
      </c>
      <c r="AR314" s="140">
        <f>'[1]RIN Values'!$B313/100</f>
        <v>0.57779999999999998</v>
      </c>
      <c r="AS314" s="185">
        <f>((('[2]Controls 2'!$B$2-SUM(('[2]Controls 2'!$B$5*'LCFS Table'!$AC314),('[2]Controls 2'!$B$6*'LCFS Table'!$AD314),('[2]Controls 2'!$B$7*'LCFS Table'!$AE314)))/1000000)*'LCFS Table'!$AQ314)*'[2]Controls 2'!$B$8</f>
        <v>0.60699683499355161</v>
      </c>
      <c r="AT314" s="137">
        <v>0.16</v>
      </c>
      <c r="AU314" s="137">
        <v>1</v>
      </c>
      <c r="AV314" s="185">
        <f>'LCFS Table'!$AR314*1.7</f>
        <v>0.98225999999999991</v>
      </c>
      <c r="AW314" s="137">
        <v>0</v>
      </c>
      <c r="AX314" s="185">
        <f>(((('[2]Controls 2'!$B$2-SUM(('LCFS Table'!$AF314*'[2]Controls 2'!$B$12),('LCFS Table'!$AG314*'[2]Controls 2'!$B$13)))/1000000)*'LCFS Table'!$AQ314)*'[2]Controls 2'!$B$14)</f>
        <v>0.40033031349999998</v>
      </c>
      <c r="AY314" s="137">
        <v>0</v>
      </c>
      <c r="AZ314" s="141">
        <v>1</v>
      </c>
      <c r="BA314" s="185">
        <f>'LCFS Table'!$AR314*1.5</f>
        <v>0.86670000000000003</v>
      </c>
      <c r="BB314" s="142">
        <v>1.2</v>
      </c>
      <c r="BC314" s="185">
        <f>'LCFS Table'!$AS314*'LCFS Table'!$BW314</f>
        <v>0.60699683499355161</v>
      </c>
      <c r="BD314" s="185">
        <f>'LCFS Table'!$AT314*'LCFS Table'!$BX314</f>
        <v>0</v>
      </c>
      <c r="BE314" s="185">
        <f>'LCFS Table'!$AU314*'LCFS Table'!$BY314</f>
        <v>1</v>
      </c>
      <c r="BF314" s="137">
        <f>'LCFS Table'!$AV314*'LCFS Table'!$BZ314</f>
        <v>0.98225999999999991</v>
      </c>
      <c r="BG314" s="137">
        <f>'LCFS Table'!$AW314*'LCFS Table'!$CA314</f>
        <v>0</v>
      </c>
      <c r="BH314" s="137">
        <f>'LCFS Table'!$AX314*'LCFS Table'!$CB314</f>
        <v>0.40033031349999998</v>
      </c>
      <c r="BI314" s="137">
        <f>'LCFS Table'!$AY314*'LCFS Table'!$CC314</f>
        <v>0</v>
      </c>
      <c r="BJ314" s="137">
        <f>'LCFS Table'!$AZ314*'LCFS Table'!$CD314</f>
        <v>1</v>
      </c>
      <c r="BK314" s="137">
        <f>'LCFS Table'!$BA314*'LCFS Table'!$CE314</f>
        <v>0.86670000000000003</v>
      </c>
      <c r="BL314" s="137">
        <f>'LCFS Table'!$BB314*'LCFS Table'!$CF314</f>
        <v>-1.2</v>
      </c>
      <c r="BM314" s="137">
        <f>'LCFS Table'!$AS314*'LCFS Table'!$CG314</f>
        <v>0</v>
      </c>
      <c r="BN314" s="137">
        <f>'LCFS Table'!$AT314*'LCFS Table'!$CH314</f>
        <v>0.16</v>
      </c>
      <c r="BO314" s="137">
        <f>'LCFS Table'!$AU314*'LCFS Table'!$CI314</f>
        <v>0</v>
      </c>
      <c r="BP314" s="137">
        <f>'LCFS Table'!$AV314*'LCFS Table'!$CJ314</f>
        <v>0</v>
      </c>
      <c r="BQ314" s="137">
        <f>'LCFS Table'!$AW314*'LCFS Table'!$CK314</f>
        <v>0</v>
      </c>
      <c r="BR314" s="137">
        <f>'LCFS Table'!$AX314*'LCFS Table'!$CL314</f>
        <v>0</v>
      </c>
      <c r="BS314" s="137">
        <f>'LCFS Table'!$AY314*'LCFS Table'!$CM314</f>
        <v>0</v>
      </c>
      <c r="BT314" s="137">
        <f>'LCFS Table'!$AZ314*'LCFS Table'!$CN314</f>
        <v>0</v>
      </c>
      <c r="BU314" s="137">
        <f>'LCFS Table'!$BA314*'LCFS Table'!$CO314</f>
        <v>0</v>
      </c>
      <c r="BV314" s="142">
        <f>'LCFS Table'!$BB314*'LCFS Table'!$CP314</f>
        <v>1.2</v>
      </c>
      <c r="BW314" s="138">
        <v>1</v>
      </c>
      <c r="BX314" s="138">
        <v>0</v>
      </c>
      <c r="BY314" s="138">
        <v>1</v>
      </c>
      <c r="BZ314" s="138">
        <v>1</v>
      </c>
      <c r="CA314" s="138">
        <v>-1</v>
      </c>
      <c r="CB314" s="138">
        <v>1</v>
      </c>
      <c r="CC314" s="138">
        <v>0</v>
      </c>
      <c r="CD314" s="138">
        <v>1</v>
      </c>
      <c r="CE314" s="138">
        <v>1</v>
      </c>
      <c r="CF314" s="138">
        <v>-1</v>
      </c>
      <c r="CG314" s="138">
        <f>1-'LCFS Table'!$BW314</f>
        <v>0</v>
      </c>
      <c r="CH314" s="138">
        <f>1-'LCFS Table'!$BX314</f>
        <v>1</v>
      </c>
      <c r="CI314" s="138">
        <f>1-'LCFS Table'!$BY314</f>
        <v>0</v>
      </c>
      <c r="CJ314" s="138">
        <f>1-'LCFS Table'!$BZ314</f>
        <v>0</v>
      </c>
      <c r="CK314" s="138">
        <f>-'LCFS Table'!$CA314</f>
        <v>1</v>
      </c>
      <c r="CL314" s="138">
        <f>1-'LCFS Table'!$CB314</f>
        <v>0</v>
      </c>
      <c r="CM314" s="138">
        <f>1-'LCFS Table'!$CC314</f>
        <v>1</v>
      </c>
      <c r="CN314" s="138">
        <f>1-'LCFS Table'!$CD314</f>
        <v>0</v>
      </c>
      <c r="CO314" s="138">
        <f>1-'LCFS Table'!$CE314</f>
        <v>0</v>
      </c>
      <c r="CP314" s="138">
        <f>-'LCFS Table'!$CF314</f>
        <v>1</v>
      </c>
      <c r="CQ314" s="140">
        <f t="shared" si="6"/>
        <v>8</v>
      </c>
      <c r="CR314" s="165">
        <f>('LCFS Table'!$CQ314*0.9/(0.8/0.99)/100)</f>
        <v>8.9099999999999985E-2</v>
      </c>
      <c r="CS314" s="166"/>
      <c r="CT314" s="167"/>
      <c r="CW314" s="168">
        <f>'LCFS Table'!$K314-'LCFS Table'!$M314</f>
        <v>-3.5969686500000986E-2</v>
      </c>
      <c r="CX314" s="129">
        <f>MONTH('LCFS Table'!$B314)</f>
        <v>12</v>
      </c>
      <c r="CY314" s="129">
        <f>YEAR('LCFS Table'!$B314)</f>
        <v>2024</v>
      </c>
    </row>
    <row r="315" spans="1:111">
      <c r="A315" s="148">
        <v>45648</v>
      </c>
      <c r="B315" s="149">
        <v>45654</v>
      </c>
      <c r="C315" s="132">
        <f t="shared" si="5"/>
        <v>2024</v>
      </c>
      <c r="D315" s="150" t="s">
        <v>308</v>
      </c>
      <c r="E315" s="187">
        <f>'LCFS Table'!$K315-'LCFS Table'!$I315</f>
        <v>-1.3824389862327919</v>
      </c>
      <c r="F315" s="187">
        <f>('LCFS Table'!$M315)-'LCFS Table'!$J315</f>
        <v>-1.5529267978750001</v>
      </c>
      <c r="G315" s="188">
        <f>'LCFS Table'!$E315+'LCFS Table'!$AS315+'LCFS Table'!$AT315+'LCFS Table'!$AU315+'LCFS Table'!$AV315</f>
        <v>1.3515178487607598</v>
      </c>
      <c r="H315" s="188">
        <f>'LCFS Table'!$F315+'LCFS Table'!$AX315+'LCFS Table'!$AY315+'LCFS Table'!$AZ315+'LCFS Table'!$BA315+('LCFS Table'!$CQ315*0.9/(0.8/0.99)/100)+(DG315*'LCFS Table'!$AF315)+(DF315*'LCFS Table'!$AG315)</f>
        <v>0.78970351562499985</v>
      </c>
      <c r="I315" s="187">
        <f>('LCFS Table'!$V315+'LCFS Table'!$W315+'LCFS Table'!$X315)/100+(('LCFS Table'!$AI315+'LCFS Table'!$AJ315)/340)</f>
        <v>3.8924389862327917</v>
      </c>
      <c r="J315" s="187">
        <f>(('LCFS Table'!$Y315+'LCFS Table'!$Z315)/100)+(('LCFS Table'!$AM315+'LCFS Table'!$AN315)/300)</f>
        <v>4.024396484375</v>
      </c>
      <c r="K315" s="190">
        <f>'[1]Fuel Values'!$C314</f>
        <v>2.5099999999999998</v>
      </c>
      <c r="L315" s="190">
        <f>'[1]Fuel Values'!$B314</f>
        <v>472.5</v>
      </c>
      <c r="M315" s="185">
        <f>('LCFS Table'!$L315/100)-'LCFS Table'!$AX315-'LCFS Table'!$AY315-'LCFS Table'!$AZ315-'LCFS Table'!$BA315</f>
        <v>2.4714696864999999</v>
      </c>
      <c r="N315" s="190">
        <f>[1]BFT!$B314</f>
        <v>42.5</v>
      </c>
      <c r="O315" s="190">
        <f>[1]UCO!$B314</f>
        <v>44</v>
      </c>
      <c r="P315" s="190">
        <f>[1]DCO!$B314</f>
        <v>41.75</v>
      </c>
      <c r="Q315" s="190">
        <f>'[1]Soybean Oil'!$B314</f>
        <v>41.39</v>
      </c>
      <c r="R315" s="190">
        <f>'[1]Yellow Grease'!$B314</f>
        <v>39</v>
      </c>
      <c r="S315" s="185">
        <f>'LCFS Table'!$N315 + 'LCFS Table'!$AH315</f>
        <v>46.875</v>
      </c>
      <c r="T315" s="185">
        <f>'LCFS Table'!$Q315+'LCFS Table'!$AH315</f>
        <v>45.765000000000001</v>
      </c>
      <c r="U315" s="185">
        <f>'LCFS Table'!$P315+'LCFS Table'!$AH315</f>
        <v>46.125</v>
      </c>
      <c r="V315" s="185">
        <f>(('LCFS Table'!$S315/'LCFS Table'!$AA315)*'LCFS Table'!$AC315)*6.48</f>
        <v>161.56914893617025</v>
      </c>
      <c r="W315" s="185">
        <f>(('LCFS Table'!$O315/'LCFS Table'!$AA315)*'LCFS Table'!$AD315)*6.48</f>
        <v>75.829787234042556</v>
      </c>
      <c r="X315" s="185">
        <f>(('LCFS Table'!$U315/'LCFS Table'!$AA315)*'LCFS Table'!$AE315)*6.48</f>
        <v>79.49202127659575</v>
      </c>
      <c r="Y315" s="185">
        <f>(('LCFS Table'!$T315/'LCFS Table'!$AB315)*'LCFS Table'!$AF315)*7.35</f>
        <v>262.79121093750001</v>
      </c>
      <c r="Z315" s="185">
        <f>(('LCFS Table'!$R315/'LCFS Table'!$AB315)*'LCFS Table'!$AG315)*7.35</f>
        <v>74.6484375</v>
      </c>
      <c r="AA315" s="138">
        <v>0.94</v>
      </c>
      <c r="AB315" s="138">
        <v>0.96</v>
      </c>
      <c r="AC315" s="138">
        <v>0.5</v>
      </c>
      <c r="AD315" s="138">
        <v>0.25</v>
      </c>
      <c r="AE315" s="138">
        <v>0.25</v>
      </c>
      <c r="AF315" s="138">
        <v>0.75</v>
      </c>
      <c r="AG315" s="138">
        <v>0.25</v>
      </c>
      <c r="AH315" s="139">
        <v>4.375</v>
      </c>
      <c r="AI315" s="139">
        <v>136</v>
      </c>
      <c r="AJ315" s="139">
        <v>110</v>
      </c>
      <c r="AK315" s="186">
        <f>('LCFS Table'!$AI315/340)*100</f>
        <v>40</v>
      </c>
      <c r="AL315" s="186">
        <f>('LCFS Table'!$AJ315/340)*100</f>
        <v>32.352941176470587</v>
      </c>
      <c r="AM315" s="139">
        <v>105</v>
      </c>
      <c r="AN315" s="139">
        <v>90</v>
      </c>
      <c r="AO315" s="139">
        <f>('LCFS Table'!$AM315/300)*100</f>
        <v>35</v>
      </c>
      <c r="AP315" s="139">
        <f>('LCFS Table'!$AN315/300)*100</f>
        <v>30</v>
      </c>
      <c r="AQ315" s="140">
        <f>'[1]LCFS Values'!$B314</f>
        <v>76</v>
      </c>
      <c r="AR315" s="140">
        <f>'[1]RIN Values'!$B314/100</f>
        <v>0.56879999999999997</v>
      </c>
      <c r="AS315" s="185">
        <f>((('[2]Controls 2'!$B$2-SUM(('[2]Controls 2'!$B$5*'LCFS Table'!$AC315),('[2]Controls 2'!$B$6*'LCFS Table'!$AD315),('[2]Controls 2'!$B$7*'LCFS Table'!$AE315)))/1000000)*'LCFS Table'!$AQ315)*'[2]Controls 2'!$B$8</f>
        <v>0.60699683499355161</v>
      </c>
      <c r="AT315" s="137">
        <v>0.16</v>
      </c>
      <c r="AU315" s="137">
        <v>1</v>
      </c>
      <c r="AV315" s="185">
        <f>'LCFS Table'!$AR315*1.7</f>
        <v>0.96695999999999993</v>
      </c>
      <c r="AW315" s="137">
        <v>0</v>
      </c>
      <c r="AX315" s="185">
        <f>(((('[2]Controls 2'!$B$2-SUM(('LCFS Table'!$AF315*'[2]Controls 2'!$B$12),('LCFS Table'!$AG315*'[2]Controls 2'!$B$13)))/1000000)*'LCFS Table'!$AQ315)*'[2]Controls 2'!$B$14)</f>
        <v>0.40033031349999998</v>
      </c>
      <c r="AY315" s="137">
        <v>0</v>
      </c>
      <c r="AZ315" s="141">
        <v>1</v>
      </c>
      <c r="BA315" s="185">
        <f>'LCFS Table'!$AR315*1.5</f>
        <v>0.85319999999999996</v>
      </c>
      <c r="BB315" s="142">
        <v>1.2</v>
      </c>
      <c r="BC315" s="185">
        <f>'LCFS Table'!$AS315*'LCFS Table'!$BW315</f>
        <v>0.60699683499355161</v>
      </c>
      <c r="BD315" s="185">
        <f>'LCFS Table'!$AT315*'LCFS Table'!$BX315</f>
        <v>0</v>
      </c>
      <c r="BE315" s="185">
        <f>'LCFS Table'!$AU315*'LCFS Table'!$BY315</f>
        <v>1</v>
      </c>
      <c r="BF315" s="137">
        <f>'LCFS Table'!$AV315*'LCFS Table'!$BZ315</f>
        <v>0.96695999999999993</v>
      </c>
      <c r="BG315" s="137">
        <f>'LCFS Table'!$AW315*'LCFS Table'!$CA315</f>
        <v>0</v>
      </c>
      <c r="BH315" s="137">
        <f>'LCFS Table'!$AX315*'LCFS Table'!$CB315</f>
        <v>0.40033031349999998</v>
      </c>
      <c r="BI315" s="137">
        <f>'LCFS Table'!$AY315*'LCFS Table'!$CC315</f>
        <v>0</v>
      </c>
      <c r="BJ315" s="137">
        <f>'LCFS Table'!$AZ315*'LCFS Table'!$CD315</f>
        <v>1</v>
      </c>
      <c r="BK315" s="137">
        <f>'LCFS Table'!$BA315*'LCFS Table'!$CE315</f>
        <v>0.85319999999999996</v>
      </c>
      <c r="BL315" s="137">
        <f>'LCFS Table'!$BB315*'LCFS Table'!$CF315</f>
        <v>-1.2</v>
      </c>
      <c r="BM315" s="137">
        <f>'LCFS Table'!$AS315*'LCFS Table'!$CG315</f>
        <v>0</v>
      </c>
      <c r="BN315" s="137">
        <f>'LCFS Table'!$AT315*'LCFS Table'!$CH315</f>
        <v>0.16</v>
      </c>
      <c r="BO315" s="137">
        <f>'LCFS Table'!$AU315*'LCFS Table'!$CI315</f>
        <v>0</v>
      </c>
      <c r="BP315" s="137">
        <f>'LCFS Table'!$AV315*'LCFS Table'!$CJ315</f>
        <v>0</v>
      </c>
      <c r="BQ315" s="137">
        <f>'LCFS Table'!$AW315*'LCFS Table'!$CK315</f>
        <v>0</v>
      </c>
      <c r="BR315" s="137">
        <f>'LCFS Table'!$AX315*'LCFS Table'!$CL315</f>
        <v>0</v>
      </c>
      <c r="BS315" s="137">
        <f>'LCFS Table'!$AY315*'LCFS Table'!$CM315</f>
        <v>0</v>
      </c>
      <c r="BT315" s="137">
        <f>'LCFS Table'!$AZ315*'LCFS Table'!$CN315</f>
        <v>0</v>
      </c>
      <c r="BU315" s="137">
        <f>'LCFS Table'!$BA315*'LCFS Table'!$CO315</f>
        <v>0</v>
      </c>
      <c r="BV315" s="142">
        <f>'LCFS Table'!$BB315*'LCFS Table'!$CP315</f>
        <v>1.2</v>
      </c>
      <c r="BW315" s="138">
        <v>1</v>
      </c>
      <c r="BX315" s="138">
        <v>0</v>
      </c>
      <c r="BY315" s="138">
        <v>1</v>
      </c>
      <c r="BZ315" s="138">
        <v>1</v>
      </c>
      <c r="CA315" s="138">
        <v>-1</v>
      </c>
      <c r="CB315" s="138">
        <v>1</v>
      </c>
      <c r="CC315" s="138">
        <v>0</v>
      </c>
      <c r="CD315" s="138">
        <v>1</v>
      </c>
      <c r="CE315" s="138">
        <v>1</v>
      </c>
      <c r="CF315" s="138">
        <v>-1</v>
      </c>
      <c r="CG315" s="138">
        <f>1-'LCFS Table'!$BW315</f>
        <v>0</v>
      </c>
      <c r="CH315" s="138">
        <f>1-'LCFS Table'!$BX315</f>
        <v>1</v>
      </c>
      <c r="CI315" s="138">
        <f>1-'LCFS Table'!$BY315</f>
        <v>0</v>
      </c>
      <c r="CJ315" s="138">
        <f>1-'LCFS Table'!$BZ315</f>
        <v>0</v>
      </c>
      <c r="CK315" s="138">
        <f>-'LCFS Table'!$CA315</f>
        <v>1</v>
      </c>
      <c r="CL315" s="138">
        <f>1-'LCFS Table'!$CB315</f>
        <v>0</v>
      </c>
      <c r="CM315" s="138">
        <f>1-'LCFS Table'!$CC315</f>
        <v>1</v>
      </c>
      <c r="CN315" s="138">
        <f>1-'LCFS Table'!$CD315</f>
        <v>0</v>
      </c>
      <c r="CO315" s="138">
        <f>1-'LCFS Table'!$CE315</f>
        <v>0</v>
      </c>
      <c r="CP315" s="138">
        <f>-'LCFS Table'!$CF315</f>
        <v>1</v>
      </c>
      <c r="CQ315" s="140">
        <f t="shared" si="6"/>
        <v>8</v>
      </c>
      <c r="CR315" s="165">
        <f>('LCFS Table'!$CQ315*0.9/(0.8/0.99)/100)</f>
        <v>8.9099999999999985E-2</v>
      </c>
      <c r="CS315" s="166"/>
      <c r="CT315" s="167"/>
      <c r="CW315" s="168">
        <f>'LCFS Table'!$K315-'LCFS Table'!$M315</f>
        <v>3.8530313499999913E-2</v>
      </c>
      <c r="CX315" s="129">
        <f>MONTH('LCFS Table'!$B315)</f>
        <v>12</v>
      </c>
      <c r="CY315" s="129">
        <f>YEAR('LCFS Table'!$B315)</f>
        <v>2024</v>
      </c>
    </row>
    <row r="316" spans="1:111" s="180" customFormat="1">
      <c r="A316" s="169">
        <v>45655</v>
      </c>
      <c r="B316" s="170">
        <v>45661</v>
      </c>
      <c r="C316" s="171">
        <f t="shared" si="5"/>
        <v>2025</v>
      </c>
      <c r="D316" s="172" t="s">
        <v>256</v>
      </c>
      <c r="E316" s="207">
        <f>'LCFS Table'!$K316-'LCFS Table'!$I316</f>
        <v>-1.2524389862327916</v>
      </c>
      <c r="F316" s="207">
        <f>('LCFS Table'!$M316)-'LCFS Table'!$J316</f>
        <v>-1.6984982082500002</v>
      </c>
      <c r="G316" s="208">
        <f>'LCFS Table'!$E316+'LCFS Table'!$AS316+'LCFS Table'!$AT316+'LCFS Table'!$AU316+'LCFS Table'!$AV316+(DE316*'LCFS Table'!$AD316)+(DD316*'LCFS Table'!$AE316)+(DC316*'LCFS Table'!$AC316)</f>
        <v>2.0392946492212016</v>
      </c>
      <c r="H316" s="208">
        <f>'LCFS Table'!$F316+'LCFS Table'!$AX316+'LCFS Table'!$AY316+'LCFS Table'!$AZ316+'LCFS Table'!$BA316+('LCFS Table'!$CQ316*0.9/(0.8/0.99)/100)+(DG316*'LCFS Table'!$AF316)+(DF316*'LCFS Table'!$AG316)</f>
        <v>1.0374496093749996</v>
      </c>
      <c r="I316" s="207">
        <f>('LCFS Table'!$V316+'LCFS Table'!$W316+'LCFS Table'!$X316)/100+(('LCFS Table'!$AI316+'LCFS Table'!$AJ316)/340)</f>
        <v>3.8924389862327917</v>
      </c>
      <c r="J316" s="207">
        <f>(('LCFS Table'!$Y316+'LCFS Table'!$Z316)/100)+(('LCFS Table'!$AM316+'LCFS Table'!$AN316)/300)</f>
        <v>4.0766503906249998</v>
      </c>
      <c r="K316" s="209">
        <f>'[1]Fuel Values'!$C$315</f>
        <v>2.64</v>
      </c>
      <c r="L316" s="209">
        <f>'[1]Fuel Values'!$B$315</f>
        <v>472.5</v>
      </c>
      <c r="M316" s="175">
        <f>('LCFS Table'!$L316/100)-'LCFS Table'!$AX316-'LCFS Table'!$AY316-'LCFS Table'!$AZ316-'LCFS Table'!$BA316</f>
        <v>2.3781521823749996</v>
      </c>
      <c r="N316" s="209">
        <f>[1]BFT!$B315</f>
        <v>42.5</v>
      </c>
      <c r="O316" s="209">
        <f>[1]UCO!$B315</f>
        <v>44</v>
      </c>
      <c r="P316" s="209">
        <f>[1]DCO!$B315</f>
        <v>41.75</v>
      </c>
      <c r="Q316" s="209">
        <f>'[1]Soybean Oil'!$B315</f>
        <v>42.3</v>
      </c>
      <c r="R316" s="209">
        <f>'[1]Yellow Grease'!$B315</f>
        <v>39</v>
      </c>
      <c r="S316" s="175">
        <f>'LCFS Table'!$N316 + 'LCFS Table'!$AH316</f>
        <v>46.875</v>
      </c>
      <c r="T316" s="175">
        <f>'LCFS Table'!$Q316+'LCFS Table'!$AH316</f>
        <v>46.674999999999997</v>
      </c>
      <c r="U316" s="175">
        <f>'LCFS Table'!$P316+'LCFS Table'!$AH316</f>
        <v>46.125</v>
      </c>
      <c r="V316" s="175">
        <f>(('LCFS Table'!$S316/'LCFS Table'!$AA316)*'LCFS Table'!$AC316)*6.48</f>
        <v>161.56914893617025</v>
      </c>
      <c r="W316" s="175">
        <f>(('LCFS Table'!$O316/'LCFS Table'!$AA316)*'LCFS Table'!$AD316)*6.48</f>
        <v>75.829787234042556</v>
      </c>
      <c r="X316" s="175">
        <f>(('LCFS Table'!$U316/'LCFS Table'!$AA316)*'LCFS Table'!$AE316)*6.48</f>
        <v>79.49202127659575</v>
      </c>
      <c r="Y316" s="175">
        <f>(('LCFS Table'!$T316/'LCFS Table'!$AB316)*'LCFS Table'!$AF316)*7.35</f>
        <v>268.0166015625</v>
      </c>
      <c r="Z316" s="175">
        <f>(('LCFS Table'!$R316/'LCFS Table'!$AB316)*'LCFS Table'!$AG316)*7.35</f>
        <v>74.6484375</v>
      </c>
      <c r="AA316" s="176">
        <v>0.94</v>
      </c>
      <c r="AB316" s="176">
        <v>0.96</v>
      </c>
      <c r="AC316" s="176">
        <v>0.5</v>
      </c>
      <c r="AD316" s="176">
        <v>0.25</v>
      </c>
      <c r="AE316" s="176">
        <v>0.25</v>
      </c>
      <c r="AF316" s="176">
        <v>0.75</v>
      </c>
      <c r="AG316" s="176">
        <v>0.25</v>
      </c>
      <c r="AH316" s="177">
        <v>4.375</v>
      </c>
      <c r="AI316" s="177">
        <v>136</v>
      </c>
      <c r="AJ316" s="177">
        <v>110</v>
      </c>
      <c r="AK316" s="177">
        <f>('LCFS Table'!$AI316/340)*100</f>
        <v>40</v>
      </c>
      <c r="AL316" s="177">
        <f>('LCFS Table'!$AJ316/340)*100</f>
        <v>32.352941176470587</v>
      </c>
      <c r="AM316" s="177">
        <v>105</v>
      </c>
      <c r="AN316" s="177">
        <v>90</v>
      </c>
      <c r="AO316" s="177">
        <f>('LCFS Table'!$AM316/300)*100</f>
        <v>35</v>
      </c>
      <c r="AP316" s="177">
        <f>('LCFS Table'!$AN316/300)*100</f>
        <v>30</v>
      </c>
      <c r="AQ316" s="175">
        <f>'[1]LCFS Values'!$B315</f>
        <v>77</v>
      </c>
      <c r="AR316" s="175">
        <f>'[1]RIN Values'!$B315/100</f>
        <v>0.62749999999999995</v>
      </c>
      <c r="AS316" s="175">
        <f>((('[2]Controls 2'!$B$2-SUM(('[2]Controls 2'!$B$5*'LCFS Table'!$AC316),('[2]Controls 2'!$B$6*'LCFS Table'!$AD316),('[2]Controls 2'!$B$7*'LCFS Table'!$AE316)))/1000000)*'LCFS Table'!$AQ316)*'[2]Controls 2'!$B$8</f>
        <v>0.61498363545399315</v>
      </c>
      <c r="AT316" s="175">
        <v>0.16</v>
      </c>
      <c r="AU316" s="175">
        <v>1</v>
      </c>
      <c r="AV316" s="175">
        <f>'LCFS Table'!$AR316*1.7</f>
        <v>1.0667499999999999</v>
      </c>
      <c r="AW316" s="175">
        <v>0</v>
      </c>
      <c r="AX316" s="175">
        <f>(((('[2]Controls 2'!$B$2-SUM(('LCFS Table'!$AF316*'[2]Controls 2'!$B$12),('LCFS Table'!$AG316*'[2]Controls 2'!$B$13)))/1000000)*'LCFS Table'!$AQ316)*'[2]Controls 2'!$B$14)</f>
        <v>0.40559781762500002</v>
      </c>
      <c r="AY316" s="175">
        <v>0</v>
      </c>
      <c r="AZ316" s="141">
        <v>1</v>
      </c>
      <c r="BA316" s="175">
        <f>'LCFS Table'!$AR316*1.5</f>
        <v>0.94124999999999992</v>
      </c>
      <c r="BB316" s="210">
        <v>1.2</v>
      </c>
      <c r="BC316" s="175">
        <f>'LCFS Table'!$AS316*'LCFS Table'!$BW316</f>
        <v>0.61498363545399315</v>
      </c>
      <c r="BD316" s="175">
        <f>'LCFS Table'!$AT316*'LCFS Table'!$BX316</f>
        <v>0</v>
      </c>
      <c r="BE316" s="175">
        <f>'LCFS Table'!$AU316*'LCFS Table'!$BY316</f>
        <v>1</v>
      </c>
      <c r="BF316" s="175">
        <f>'LCFS Table'!$AV316*'LCFS Table'!$BZ316</f>
        <v>1.0667499999999999</v>
      </c>
      <c r="BG316" s="175">
        <f>'LCFS Table'!$AW316*'LCFS Table'!$CA316</f>
        <v>0</v>
      </c>
      <c r="BH316" s="175">
        <f>'LCFS Table'!$AX316*'LCFS Table'!$CB316</f>
        <v>0.40559781762500002</v>
      </c>
      <c r="BI316" s="175">
        <f>'LCFS Table'!$AY316*'LCFS Table'!$CC316</f>
        <v>0</v>
      </c>
      <c r="BJ316" s="175">
        <f>'LCFS Table'!$AZ316*'LCFS Table'!$CD316</f>
        <v>1</v>
      </c>
      <c r="BK316" s="175">
        <f>'LCFS Table'!$BA316*'LCFS Table'!$CE316</f>
        <v>0.94124999999999992</v>
      </c>
      <c r="BL316" s="175">
        <f>'LCFS Table'!$BB316*'LCFS Table'!$CF316</f>
        <v>-1.2</v>
      </c>
      <c r="BM316" s="175">
        <f>'LCFS Table'!$AS316*'LCFS Table'!$CG316</f>
        <v>0</v>
      </c>
      <c r="BN316" s="175">
        <f>'LCFS Table'!$AT316*'LCFS Table'!$CH316</f>
        <v>0.16</v>
      </c>
      <c r="BO316" s="175">
        <f>'LCFS Table'!$AU316*'LCFS Table'!$CI316</f>
        <v>0</v>
      </c>
      <c r="BP316" s="175">
        <f>'LCFS Table'!$AV316*'LCFS Table'!$CJ316</f>
        <v>0</v>
      </c>
      <c r="BQ316" s="175">
        <f>'LCFS Table'!$AW316*'LCFS Table'!$CK316</f>
        <v>0</v>
      </c>
      <c r="BR316" s="175">
        <f>'LCFS Table'!$AX316*'LCFS Table'!$CL316</f>
        <v>0</v>
      </c>
      <c r="BS316" s="175">
        <f>'LCFS Table'!$AY316*'LCFS Table'!$CM316</f>
        <v>0</v>
      </c>
      <c r="BT316" s="175">
        <f>'LCFS Table'!$AZ316*'LCFS Table'!$CN316</f>
        <v>0</v>
      </c>
      <c r="BU316" s="175">
        <f>'LCFS Table'!$BA316*'LCFS Table'!$CO316</f>
        <v>0</v>
      </c>
      <c r="BV316" s="210">
        <f>'LCFS Table'!$BB316*'LCFS Table'!$CP316</f>
        <v>1.2</v>
      </c>
      <c r="BW316" s="176">
        <v>1</v>
      </c>
      <c r="BX316" s="176">
        <v>0</v>
      </c>
      <c r="BY316" s="176">
        <v>1</v>
      </c>
      <c r="BZ316" s="176">
        <v>1</v>
      </c>
      <c r="CA316" s="176">
        <v>-1</v>
      </c>
      <c r="CB316" s="176">
        <v>1</v>
      </c>
      <c r="CC316" s="176">
        <v>0</v>
      </c>
      <c r="CD316" s="176">
        <v>1</v>
      </c>
      <c r="CE316" s="176">
        <v>1</v>
      </c>
      <c r="CF316" s="176">
        <v>-1</v>
      </c>
      <c r="CG316" s="176">
        <f>1-'LCFS Table'!$BW316</f>
        <v>0</v>
      </c>
      <c r="CH316" s="176">
        <f>1-'LCFS Table'!$BX316</f>
        <v>1</v>
      </c>
      <c r="CI316" s="176">
        <f>1-'LCFS Table'!$BY316</f>
        <v>0</v>
      </c>
      <c r="CJ316" s="176">
        <f>1-'LCFS Table'!$BZ316</f>
        <v>0</v>
      </c>
      <c r="CK316" s="176">
        <f>-'LCFS Table'!$CA316</f>
        <v>1</v>
      </c>
      <c r="CL316" s="176">
        <f>1-'LCFS Table'!$CB316</f>
        <v>0</v>
      </c>
      <c r="CM316" s="176">
        <f>1-'LCFS Table'!$CC316</f>
        <v>1</v>
      </c>
      <c r="CN316" s="176">
        <f>1-'LCFS Table'!$CD316</f>
        <v>0</v>
      </c>
      <c r="CO316" s="176">
        <f>1-'LCFS Table'!$CE316</f>
        <v>0</v>
      </c>
      <c r="CP316" s="176">
        <f>-'LCFS Table'!$CF316</f>
        <v>1</v>
      </c>
      <c r="CQ316" s="175">
        <f t="shared" si="6"/>
        <v>8</v>
      </c>
      <c r="CR316" s="178">
        <f>('LCFS Table'!$CQ316*0.9/(0.8/0.99)/100)</f>
        <v>8.9099999999999985E-2</v>
      </c>
      <c r="CS316" s="176"/>
      <c r="CT316" s="179"/>
      <c r="CW316" s="181">
        <f>'LCFS Table'!$K316-'LCFS Table'!$M316</f>
        <v>0.26184781762500053</v>
      </c>
      <c r="CX316" s="180">
        <f>MONTH('LCFS Table'!$B316)</f>
        <v>1</v>
      </c>
      <c r="CY316" s="180">
        <f>YEAR('LCFS Table'!$B316)</f>
        <v>2025</v>
      </c>
      <c r="DC316" s="180">
        <v>0.4</v>
      </c>
      <c r="DD316" s="180">
        <v>0.4</v>
      </c>
      <c r="DE316" s="180">
        <v>0.6</v>
      </c>
      <c r="DF316" s="180">
        <v>0.6</v>
      </c>
      <c r="DG316" s="180">
        <v>0.2</v>
      </c>
    </row>
    <row r="317" spans="1:111">
      <c r="A317" s="148">
        <v>45662</v>
      </c>
      <c r="B317" s="149">
        <v>45668</v>
      </c>
      <c r="C317" s="132">
        <f t="shared" si="5"/>
        <v>2025</v>
      </c>
      <c r="D317" s="150" t="s">
        <v>258</v>
      </c>
      <c r="E317" s="187">
        <f>'LCFS Table'!$K317-'LCFS Table'!$I317</f>
        <v>-1.2937155819774722</v>
      </c>
      <c r="F317" s="187">
        <f>('LCFS Table'!$M317)-'LCFS Table'!$J317</f>
        <v>-2.1589822910687504</v>
      </c>
      <c r="G317" s="188">
        <f>'LCFS Table'!$E317+'LCFS Table'!$AS317+'LCFS Table'!$AT317+'LCFS Table'!$AU317+'LCFS Table'!$AV317+(DE317*'LCFS Table'!$AD317)+(DD317*'LCFS Table'!$AE317)+(DC317*'LCFS Table'!$AC317)</f>
        <v>1.0312530322563509</v>
      </c>
      <c r="H317" s="188">
        <f>'LCFS Table'!$F317+'LCFS Table'!$AX317+'LCFS Table'!$AY317+'LCFS Table'!$AZ317+'LCFS Table'!$BA317+('LCFS Table'!$CQ317*0.9/(0.8/0.99)/100)+(DG317*'LCFS Table'!$AF317)+(DF317*'LCFS Table'!$AG317)</f>
        <v>-0.38899335937500035</v>
      </c>
      <c r="I317" s="187">
        <f>('LCFS Table'!$V317+'LCFS Table'!$W317+'LCFS Table'!$X317)/100+(('LCFS Table'!$AI317+'LCFS Table'!$AJ317)/340)</f>
        <v>3.9717155819774721</v>
      </c>
      <c r="J317" s="187">
        <f>(('LCFS Table'!$Y317+'LCFS Table'!$Z317)/100)+(('LCFS Table'!$AM317+'LCFS Table'!$AN317)/300)</f>
        <v>4.2030933593749999</v>
      </c>
      <c r="K317" s="190">
        <f>'[1]Fuel Values'!$C316</f>
        <v>2.6779999999999999</v>
      </c>
      <c r="L317" s="190">
        <f>'[1]Fuel Values'!$B316</f>
        <v>442.5</v>
      </c>
      <c r="M317" s="185">
        <f>('LCFS Table'!$L317/100)-'LCFS Table'!$AX317-'LCFS Table'!$AY317-'LCFS Table'!$AZ317-'LCFS Table'!$BA317-1</f>
        <v>2.0441110683062496</v>
      </c>
      <c r="N317" s="190">
        <f>[1]BFT!$B316</f>
        <v>44.5</v>
      </c>
      <c r="O317" s="190">
        <f>[1]UCO!$B316</f>
        <v>44.6</v>
      </c>
      <c r="P317" s="190">
        <f>[1]DCO!$B316</f>
        <v>41.75</v>
      </c>
      <c r="Q317" s="190">
        <f>'[1]Soybean Oil'!$B316</f>
        <v>44.501999999999995</v>
      </c>
      <c r="R317" s="190">
        <f>'[1]Yellow Grease'!$B316</f>
        <v>39</v>
      </c>
      <c r="S317" s="185">
        <f>'LCFS Table'!$N317 + 'LCFS Table'!$AH317</f>
        <v>48.875</v>
      </c>
      <c r="T317" s="185">
        <f>'LCFS Table'!$Q317+'LCFS Table'!$AH317</f>
        <v>48.876999999999995</v>
      </c>
      <c r="U317" s="185">
        <f>'LCFS Table'!$P317+'LCFS Table'!$AH317</f>
        <v>46.125</v>
      </c>
      <c r="V317" s="185">
        <f>(('LCFS Table'!$S317/'LCFS Table'!$AA317)*'LCFS Table'!$AC317)*6.48</f>
        <v>168.46276595744683</v>
      </c>
      <c r="W317" s="185">
        <f>(('LCFS Table'!$O317/'LCFS Table'!$AA317)*'LCFS Table'!$AD317)*6.48</f>
        <v>76.863829787234053</v>
      </c>
      <c r="X317" s="185">
        <f>(('LCFS Table'!$U317/'LCFS Table'!$AA317)*'LCFS Table'!$AE317)*6.48</f>
        <v>79.49202127659575</v>
      </c>
      <c r="Y317" s="185">
        <f>(('LCFS Table'!$T317/'LCFS Table'!$AB317)*'LCFS Table'!$AF317)*7.35</f>
        <v>280.66089843749995</v>
      </c>
      <c r="Z317" s="185">
        <f>(('LCFS Table'!$R317/'LCFS Table'!$AB317)*'LCFS Table'!$AG317)*7.35</f>
        <v>74.6484375</v>
      </c>
      <c r="AA317" s="138">
        <v>0.94</v>
      </c>
      <c r="AB317" s="138">
        <v>0.96</v>
      </c>
      <c r="AC317" s="138">
        <v>0.5</v>
      </c>
      <c r="AD317" s="138">
        <v>0.25</v>
      </c>
      <c r="AE317" s="138">
        <v>0.25</v>
      </c>
      <c r="AF317" s="138">
        <v>0.75</v>
      </c>
      <c r="AG317" s="138">
        <v>0.25</v>
      </c>
      <c r="AH317" s="139">
        <v>4.375</v>
      </c>
      <c r="AI317" s="139">
        <v>136</v>
      </c>
      <c r="AJ317" s="139">
        <v>110</v>
      </c>
      <c r="AK317" s="186">
        <f>('LCFS Table'!$AI317/340)*100</f>
        <v>40</v>
      </c>
      <c r="AL317" s="186">
        <f>('LCFS Table'!$AJ317/340)*100</f>
        <v>32.352941176470587</v>
      </c>
      <c r="AM317" s="139">
        <v>105</v>
      </c>
      <c r="AN317" s="139">
        <v>90</v>
      </c>
      <c r="AO317" s="139">
        <f>('LCFS Table'!$AM317/300)*100</f>
        <v>35</v>
      </c>
      <c r="AP317" s="139">
        <f>('LCFS Table'!$AN317/300)*100</f>
        <v>30</v>
      </c>
      <c r="AQ317" s="140">
        <f>'[1]LCFS Values'!$B316</f>
        <v>74.349999999999994</v>
      </c>
      <c r="AR317" s="140">
        <f>'[1]RIN Values'!$B316/100</f>
        <v>0.65949999999999998</v>
      </c>
      <c r="AS317" s="185">
        <f>((('[2]Controls 2'!$B$2-SUM(('[2]Controls 2'!$B$5*'LCFS Table'!$AC317),('[2]Controls 2'!$B$6*'LCFS Table'!$AD317),('[2]Controls 2'!$B$7*'LCFS Table'!$AE317)))/1000000)*'LCFS Table'!$AQ317)*'[2]Controls 2'!$B$8</f>
        <v>0.59381861423382321</v>
      </c>
      <c r="AT317" s="137">
        <v>0.16</v>
      </c>
      <c r="AU317" s="137">
        <v>0</v>
      </c>
      <c r="AV317" s="185">
        <f>'LCFS Table'!$AR317*1.7</f>
        <v>1.1211499999999999</v>
      </c>
      <c r="AW317" s="137">
        <v>0</v>
      </c>
      <c r="AX317" s="185">
        <f>(((('[2]Controls 2'!$B$2-SUM(('LCFS Table'!$AF317*'[2]Controls 2'!$B$12),('LCFS Table'!$AG317*'[2]Controls 2'!$B$13)))/1000000)*'LCFS Table'!$AQ317)*'[2]Controls 2'!$B$14)</f>
        <v>0.39163893169374997</v>
      </c>
      <c r="AY317" s="137">
        <v>0</v>
      </c>
      <c r="AZ317" s="141">
        <v>0</v>
      </c>
      <c r="BA317" s="185">
        <f>'LCFS Table'!$AR317*1.5</f>
        <v>0.98924999999999996</v>
      </c>
      <c r="BB317" s="142">
        <v>1.2</v>
      </c>
      <c r="BC317" s="185">
        <f>'LCFS Table'!$AS317*'LCFS Table'!$BW317</f>
        <v>0.59381861423382321</v>
      </c>
      <c r="BD317" s="185">
        <f>'LCFS Table'!$AT317*'LCFS Table'!$BX317</f>
        <v>0</v>
      </c>
      <c r="BE317" s="185">
        <f>'LCFS Table'!$AU317*'LCFS Table'!$BY317</f>
        <v>0</v>
      </c>
      <c r="BF317" s="137">
        <f>'LCFS Table'!$AV317*'LCFS Table'!$BZ317</f>
        <v>1.1211499999999999</v>
      </c>
      <c r="BG317" s="137">
        <f>'LCFS Table'!$AW317*'LCFS Table'!$CA317</f>
        <v>0</v>
      </c>
      <c r="BH317" s="137">
        <f>'LCFS Table'!$AX317*'LCFS Table'!$CB317</f>
        <v>0.39163893169374997</v>
      </c>
      <c r="BI317" s="137">
        <f>'LCFS Table'!$AY317*'LCFS Table'!$CC317</f>
        <v>0</v>
      </c>
      <c r="BJ317" s="137">
        <f>'LCFS Table'!$AZ317*'LCFS Table'!$CD317</f>
        <v>0</v>
      </c>
      <c r="BK317" s="137">
        <f>'LCFS Table'!$BA317*'LCFS Table'!$CE317</f>
        <v>0.98924999999999996</v>
      </c>
      <c r="BL317" s="137">
        <f>'LCFS Table'!$BB317*'LCFS Table'!$CF317</f>
        <v>-1.2</v>
      </c>
      <c r="BM317" s="137">
        <f>'LCFS Table'!$AS317*'LCFS Table'!$CG317</f>
        <v>0</v>
      </c>
      <c r="BN317" s="137">
        <f>'LCFS Table'!$AT317*'LCFS Table'!$CH317</f>
        <v>0.16</v>
      </c>
      <c r="BO317" s="137">
        <f>'LCFS Table'!$AU317*'LCFS Table'!$CI317</f>
        <v>0</v>
      </c>
      <c r="BP317" s="137">
        <f>'LCFS Table'!$AV317*'LCFS Table'!$CJ317</f>
        <v>0</v>
      </c>
      <c r="BQ317" s="137">
        <f>'LCFS Table'!$AW317*'LCFS Table'!$CK317</f>
        <v>0</v>
      </c>
      <c r="BR317" s="137">
        <f>'LCFS Table'!$AX317*'LCFS Table'!$CL317</f>
        <v>0</v>
      </c>
      <c r="BS317" s="137">
        <f>'LCFS Table'!$AY317*'LCFS Table'!$CM317</f>
        <v>0</v>
      </c>
      <c r="BT317" s="137">
        <f>'LCFS Table'!$AZ317*'LCFS Table'!$CN317</f>
        <v>0</v>
      </c>
      <c r="BU317" s="137">
        <f>'LCFS Table'!$BA317*'LCFS Table'!$CO317</f>
        <v>0</v>
      </c>
      <c r="BV317" s="142">
        <f>'LCFS Table'!$BB317*'LCFS Table'!$CP317</f>
        <v>1.2</v>
      </c>
      <c r="BW317" s="138">
        <v>1</v>
      </c>
      <c r="BX317" s="138">
        <v>0</v>
      </c>
      <c r="BY317" s="138">
        <v>1</v>
      </c>
      <c r="BZ317" s="138">
        <v>1</v>
      </c>
      <c r="CA317" s="138">
        <v>-1</v>
      </c>
      <c r="CB317" s="138">
        <v>1</v>
      </c>
      <c r="CC317" s="138">
        <v>0</v>
      </c>
      <c r="CD317" s="138">
        <v>1</v>
      </c>
      <c r="CE317" s="138">
        <v>1</v>
      </c>
      <c r="CF317" s="138">
        <v>-1</v>
      </c>
      <c r="CG317" s="138">
        <f>1-'LCFS Table'!$BW317</f>
        <v>0</v>
      </c>
      <c r="CH317" s="138">
        <f>1-'LCFS Table'!$BX317</f>
        <v>1</v>
      </c>
      <c r="CI317" s="138">
        <f>1-'LCFS Table'!$BY317</f>
        <v>0</v>
      </c>
      <c r="CJ317" s="138">
        <f>1-'LCFS Table'!$BZ317</f>
        <v>0</v>
      </c>
      <c r="CK317" s="138">
        <f>-'LCFS Table'!$CA317</f>
        <v>1</v>
      </c>
      <c r="CL317" s="138">
        <f>1-'LCFS Table'!$CB317</f>
        <v>0</v>
      </c>
      <c r="CM317" s="138">
        <f>1-'LCFS Table'!$CC317</f>
        <v>1</v>
      </c>
      <c r="CN317" s="138">
        <f>1-'LCFS Table'!$CD317</f>
        <v>0</v>
      </c>
      <c r="CO317" s="138">
        <f>1-'LCFS Table'!$CE317</f>
        <v>0</v>
      </c>
      <c r="CP317" s="138">
        <f>-'LCFS Table'!$CF317</f>
        <v>1</v>
      </c>
      <c r="CQ317" s="140">
        <f t="shared" si="6"/>
        <v>8</v>
      </c>
      <c r="CR317" s="165">
        <f>('LCFS Table'!$CQ317*0.9/(0.8/0.99)/100)</f>
        <v>8.9099999999999985E-2</v>
      </c>
      <c r="CS317" s="166"/>
      <c r="CT317" s="167"/>
      <c r="CW317" s="168">
        <f>'LCFS Table'!$K317-'LCFS Table'!$M317</f>
        <v>0.63388893169375038</v>
      </c>
      <c r="CX317" s="129">
        <f>MONTH('LCFS Table'!$B317)</f>
        <v>1</v>
      </c>
      <c r="CY317" s="129">
        <f>YEAR('LCFS Table'!$B317)</f>
        <v>2025</v>
      </c>
      <c r="DC317" s="129">
        <v>0.4</v>
      </c>
      <c r="DD317" s="129">
        <v>0.4</v>
      </c>
      <c r="DE317" s="129">
        <v>0.6</v>
      </c>
      <c r="DF317" s="129">
        <v>0.6</v>
      </c>
      <c r="DG317" s="129">
        <v>0.2</v>
      </c>
    </row>
    <row r="318" spans="1:111">
      <c r="A318" s="148">
        <v>45669</v>
      </c>
      <c r="B318" s="149">
        <v>45675</v>
      </c>
      <c r="C318" s="132">
        <f t="shared" si="5"/>
        <v>2025</v>
      </c>
      <c r="D318" s="150" t="s">
        <v>259</v>
      </c>
      <c r="E318" s="187">
        <f>'LCFS Table'!$K318-'LCFS Table'!$I318</f>
        <v>-1.1784070713391745</v>
      </c>
      <c r="F318" s="187">
        <f>('LCFS Table'!$M318)-'LCFS Table'!$J318</f>
        <v>-2.6533304815034988</v>
      </c>
      <c r="G318" s="188">
        <f>'LCFS Table'!$E318+'LCFS Table'!$AS318+'LCFS Table'!$AT318+'LCFS Table'!$AU318+'LCFS Table'!$AV318+(DE318*'LCFS Table'!$AD318)+(DD318*'LCFS Table'!$AE318)+(DC318*'LCFS Table'!$AC318)</f>
        <v>1.1854364422086567</v>
      </c>
      <c r="H318" s="188">
        <f>'LCFS Table'!$F318+'LCFS Table'!$AX318+'LCFS Table'!$AY318+'LCFS Table'!$AZ318+'LCFS Table'!$BA318+('LCFS Table'!$CQ318*0.9/(0.8/0.99)/100)+(DG318*'LCFS Table'!$AF318)+(DF318*'LCFS Table'!$AG318)</f>
        <v>-0.83528085937500052</v>
      </c>
      <c r="I318" s="187">
        <f>('LCFS Table'!$V318+'LCFS Table'!$W318+'LCFS Table'!$X318)/100+(('LCFS Table'!$AI318+'LCFS Table'!$AJ318)/340)</f>
        <v>4.0484070713391747</v>
      </c>
      <c r="J318" s="187">
        <f>(('LCFS Table'!$Y318+'LCFS Table'!$Z318)/100)+(('LCFS Table'!$AM318+'LCFS Table'!$AN318)/300)</f>
        <v>4.4033808593749999</v>
      </c>
      <c r="K318" s="190">
        <f>'[1]Fuel Values'!$C317</f>
        <v>2.87</v>
      </c>
      <c r="L318" s="190">
        <f>'[1]Fuel Values'!$B317</f>
        <v>417.9</v>
      </c>
      <c r="M318" s="185">
        <f>('LCFS Table'!$L318/100)-'LCFS Table'!$AX318-'LCFS Table'!$AY318-'LCFS Table'!$AZ318-'LCFS Table'!$BA318-1</f>
        <v>1.7500503778715011</v>
      </c>
      <c r="N318" s="190">
        <f>[1]BFT!$B317</f>
        <v>45.4</v>
      </c>
      <c r="O318" s="190">
        <f>[1]UCO!$B317</f>
        <v>45</v>
      </c>
      <c r="P318" s="190">
        <f>[1]DCO!$B317</f>
        <v>44</v>
      </c>
      <c r="Q318" s="190">
        <f>'[1]Soybean Oil'!$B317</f>
        <v>47.99</v>
      </c>
      <c r="R318" s="190">
        <f>'[1]Yellow Grease'!$B317</f>
        <v>39</v>
      </c>
      <c r="S318" s="185">
        <f>'LCFS Table'!$N318 + 'LCFS Table'!$AH318</f>
        <v>49.774999999999999</v>
      </c>
      <c r="T318" s="185">
        <f>'LCFS Table'!$Q318+'LCFS Table'!$AH318</f>
        <v>52.365000000000002</v>
      </c>
      <c r="U318" s="185">
        <f>'LCFS Table'!$P318+'LCFS Table'!$AH318</f>
        <v>48.375</v>
      </c>
      <c r="V318" s="185">
        <f>(('LCFS Table'!$S318/'LCFS Table'!$AA318)*'LCFS Table'!$AC318)*6.48</f>
        <v>171.56489361702131</v>
      </c>
      <c r="W318" s="185">
        <f>(('LCFS Table'!$O318/'LCFS Table'!$AA318)*'LCFS Table'!$AD318)*6.48</f>
        <v>77.553191489361708</v>
      </c>
      <c r="X318" s="185">
        <f>(('LCFS Table'!$U318/'LCFS Table'!$AA318)*'LCFS Table'!$AE318)*6.48</f>
        <v>83.369680851063848</v>
      </c>
      <c r="Y318" s="185">
        <f>(('LCFS Table'!$T318/'LCFS Table'!$AB318)*'LCFS Table'!$AF318)*7.35</f>
        <v>300.68964843750001</v>
      </c>
      <c r="Z318" s="185">
        <f>(('LCFS Table'!$R318/'LCFS Table'!$AB318)*'LCFS Table'!$AG318)*7.35</f>
        <v>74.6484375</v>
      </c>
      <c r="AA318" s="138">
        <v>0.94</v>
      </c>
      <c r="AB318" s="138">
        <v>0.96</v>
      </c>
      <c r="AC318" s="138">
        <v>0.5</v>
      </c>
      <c r="AD318" s="138">
        <v>0.25</v>
      </c>
      <c r="AE318" s="138">
        <v>0.25</v>
      </c>
      <c r="AF318" s="138">
        <v>0.75</v>
      </c>
      <c r="AG318" s="138">
        <v>0.25</v>
      </c>
      <c r="AH318" s="139">
        <v>4.375</v>
      </c>
      <c r="AI318" s="139">
        <v>136</v>
      </c>
      <c r="AJ318" s="139">
        <v>110</v>
      </c>
      <c r="AK318" s="186">
        <f>('LCFS Table'!$AI318/340)*100</f>
        <v>40</v>
      </c>
      <c r="AL318" s="186">
        <f>('LCFS Table'!$AJ318/340)*100</f>
        <v>32.352941176470587</v>
      </c>
      <c r="AM318" s="139">
        <v>105</v>
      </c>
      <c r="AN318" s="139">
        <v>90</v>
      </c>
      <c r="AO318" s="139">
        <f>('LCFS Table'!$AM318/300)*100</f>
        <v>35</v>
      </c>
      <c r="AP318" s="139">
        <f>('LCFS Table'!$AN318/300)*100</f>
        <v>30</v>
      </c>
      <c r="AQ318" s="140">
        <f>[3]Sheet1!$K269</f>
        <v>66.6186299081036</v>
      </c>
      <c r="AR318" s="140">
        <f>[3]Sheet1!$J269/100</f>
        <v>0.71869047619047621</v>
      </c>
      <c r="AS318" s="185">
        <f>((('[2]Controls 2'!$B$2-SUM(('[2]Controls 2'!$B$5*'LCFS Table'!$AC318),('[2]Controls 2'!$B$6*'LCFS Table'!$AD318),('[2]Controls 2'!$B$7*'LCFS Table'!$AE318)))/1000000)*'LCFS Table'!$AQ318)*'[2]Controls 2'!$B$8</f>
        <v>0.53206970402402165</v>
      </c>
      <c r="AT318" s="137">
        <v>0.16</v>
      </c>
      <c r="AU318" s="137">
        <v>0</v>
      </c>
      <c r="AV318" s="185">
        <f>'LCFS Table'!$AR318*1.7</f>
        <v>1.2217738095238095</v>
      </c>
      <c r="AW318" s="137">
        <v>0</v>
      </c>
      <c r="AX318" s="185">
        <f>(((('[2]Controls 2'!$B$2-SUM(('LCFS Table'!$AF318*'[2]Controls 2'!$B$12),('LCFS Table'!$AG318*'[2]Controls 2'!$B$13)))/1000000)*'LCFS Table'!$AQ318)*'[2]Controls 2'!$B$14)</f>
        <v>0.35091390784278403</v>
      </c>
      <c r="AY318" s="137">
        <v>0</v>
      </c>
      <c r="AZ318" s="141">
        <v>0</v>
      </c>
      <c r="BA318" s="185">
        <f>'LCFS Table'!$AR318*1.5</f>
        <v>1.0780357142857144</v>
      </c>
      <c r="BB318" s="136">
        <v>1.2</v>
      </c>
      <c r="BC318" s="185">
        <f>'LCFS Table'!$AS318*'LCFS Table'!$BW318</f>
        <v>0.53206970402402165</v>
      </c>
      <c r="BD318" s="185">
        <f>'LCFS Table'!$AT318*'LCFS Table'!$BX318</f>
        <v>0</v>
      </c>
      <c r="BE318" s="185">
        <f>'LCFS Table'!$AU318*'LCFS Table'!$BY318</f>
        <v>0</v>
      </c>
      <c r="BF318" s="137">
        <f>'LCFS Table'!$AV318*'LCFS Table'!$BZ318</f>
        <v>1.2217738095238095</v>
      </c>
      <c r="BG318" s="137">
        <f>'LCFS Table'!$AW318*'LCFS Table'!$CA318</f>
        <v>0</v>
      </c>
      <c r="BH318" s="137">
        <f>'LCFS Table'!$AX318*'LCFS Table'!$CB318</f>
        <v>0.35091390784278403</v>
      </c>
      <c r="BI318" s="137">
        <f>'LCFS Table'!$AY318*'LCFS Table'!$CC318</f>
        <v>0</v>
      </c>
      <c r="BJ318" s="137">
        <f>'LCFS Table'!$AZ318*'LCFS Table'!$CD318</f>
        <v>0</v>
      </c>
      <c r="BK318" s="137">
        <f>'LCFS Table'!$BA318*'LCFS Table'!$CE318</f>
        <v>1.0780357142857144</v>
      </c>
      <c r="BL318" s="137">
        <f>'LCFS Table'!$BB318*'LCFS Table'!$CF318</f>
        <v>-1.2</v>
      </c>
      <c r="BM318" s="137">
        <f>'LCFS Table'!$AS318*'LCFS Table'!$CG318</f>
        <v>0</v>
      </c>
      <c r="BN318" s="137">
        <f>'LCFS Table'!$AT318*'LCFS Table'!$CH318</f>
        <v>0.16</v>
      </c>
      <c r="BO318" s="137">
        <f>'LCFS Table'!$AU318*'LCFS Table'!$CI318</f>
        <v>0</v>
      </c>
      <c r="BP318" s="137">
        <f>'LCFS Table'!$AV318*'LCFS Table'!$CJ318</f>
        <v>0</v>
      </c>
      <c r="BQ318" s="137">
        <f>'LCFS Table'!$AW318*'LCFS Table'!$CK318</f>
        <v>0</v>
      </c>
      <c r="BR318" s="137">
        <f>'LCFS Table'!$AX318*'LCFS Table'!$CL318</f>
        <v>0</v>
      </c>
      <c r="BS318" s="137">
        <f>'LCFS Table'!$AY318*'LCFS Table'!$CM318</f>
        <v>0</v>
      </c>
      <c r="BT318" s="137">
        <f>'LCFS Table'!$AZ318*'LCFS Table'!$CN318</f>
        <v>0</v>
      </c>
      <c r="BU318" s="137">
        <f>'LCFS Table'!$BA318*'LCFS Table'!$CO318</f>
        <v>0</v>
      </c>
      <c r="BV318" s="136">
        <f>'LCFS Table'!$BB318*'LCFS Table'!$CP318</f>
        <v>1.2</v>
      </c>
      <c r="BW318" s="138">
        <v>1</v>
      </c>
      <c r="BX318" s="138">
        <v>0</v>
      </c>
      <c r="BY318" s="138">
        <v>1</v>
      </c>
      <c r="BZ318" s="138">
        <v>1</v>
      </c>
      <c r="CA318" s="138">
        <v>-1</v>
      </c>
      <c r="CB318" s="138">
        <v>1</v>
      </c>
      <c r="CC318" s="138">
        <v>0</v>
      </c>
      <c r="CD318" s="138">
        <v>1</v>
      </c>
      <c r="CE318" s="138">
        <v>1</v>
      </c>
      <c r="CF318" s="138">
        <v>-1</v>
      </c>
      <c r="CG318" s="138">
        <f>1-'LCFS Table'!$BW318</f>
        <v>0</v>
      </c>
      <c r="CH318" s="138">
        <f>1-'LCFS Table'!$BX318</f>
        <v>1</v>
      </c>
      <c r="CI318" s="138">
        <f>1-'LCFS Table'!$BY318</f>
        <v>0</v>
      </c>
      <c r="CJ318" s="138">
        <f>1-'LCFS Table'!$BZ318</f>
        <v>0</v>
      </c>
      <c r="CK318" s="138">
        <f>-'LCFS Table'!$CA318</f>
        <v>1</v>
      </c>
      <c r="CL318" s="138">
        <f>1-'LCFS Table'!$CB318</f>
        <v>0</v>
      </c>
      <c r="CM318" s="138">
        <f>1-'LCFS Table'!$CC318</f>
        <v>1</v>
      </c>
      <c r="CN318" s="138">
        <f>1-'LCFS Table'!$CD318</f>
        <v>0</v>
      </c>
      <c r="CO318" s="138">
        <f>1-'LCFS Table'!$CE318</f>
        <v>0</v>
      </c>
      <c r="CP318" s="138">
        <f>-'LCFS Table'!$CF318</f>
        <v>1</v>
      </c>
      <c r="CQ318" s="140">
        <f t="shared" si="6"/>
        <v>8</v>
      </c>
      <c r="CR318" s="165">
        <f>('LCFS Table'!$CQ318*0.9/(0.8/0.99)/100)</f>
        <v>8.9099999999999985E-2</v>
      </c>
      <c r="CS318" s="166"/>
      <c r="CT318" s="167"/>
      <c r="CW318" s="168">
        <f>'LCFS Table'!$K318-'LCFS Table'!$M318</f>
        <v>1.119949622128499</v>
      </c>
      <c r="CX318" s="129">
        <f>MONTH('LCFS Table'!$B318)</f>
        <v>1</v>
      </c>
      <c r="CY318" s="129">
        <f>YEAR('LCFS Table'!$B318)</f>
        <v>2025</v>
      </c>
      <c r="DC318" s="129">
        <v>0.4</v>
      </c>
      <c r="DD318" s="129">
        <v>0.4</v>
      </c>
      <c r="DE318" s="129">
        <v>0.6</v>
      </c>
      <c r="DF318" s="129">
        <v>0.6</v>
      </c>
      <c r="DG318" s="129">
        <v>0.2</v>
      </c>
    </row>
    <row r="319" spans="1:111">
      <c r="A319" s="148">
        <v>45676</v>
      </c>
      <c r="B319" s="149">
        <v>45682</v>
      </c>
      <c r="C319" s="132">
        <f t="shared" si="5"/>
        <v>2025</v>
      </c>
      <c r="D319" s="150" t="s">
        <v>260</v>
      </c>
      <c r="E319" s="187">
        <f>'LCFS Table'!$K319-'LCFS Table'!$I319</f>
        <v>-1.368875156445557</v>
      </c>
      <c r="F319" s="187">
        <f>('LCFS Table'!$M319)-'LCFS Table'!$J319</f>
        <v>-2.466942786190998</v>
      </c>
      <c r="G319" s="188">
        <f>'LCFS Table'!$E319+'LCFS Table'!$AS319+'LCFS Table'!$AT319+'LCFS Table'!$AU319+'LCFS Table'!$AV319+(DE319*'LCFS Table'!$AD319)+(DD319*'LCFS Table'!$AE319)+(DC319*'LCFS Table'!$AC319)</f>
        <v>0.99496835710227427</v>
      </c>
      <c r="H319" s="188">
        <f>'LCFS Table'!$F319+'LCFS Table'!$AX319+'LCFS Table'!$AY319+'LCFS Table'!$AZ319+'LCFS Table'!$BA319+('LCFS Table'!$CQ319*0.9/(0.8/0.99)/100)+(DG319*'LCFS Table'!$AF319)+(DF319*'LCFS Table'!$AG319)</f>
        <v>-0.64889316406249975</v>
      </c>
      <c r="I319" s="187">
        <f>('LCFS Table'!$V319+'LCFS Table'!$W319+'LCFS Table'!$X319)/100+(('LCFS Table'!$AI319+'LCFS Table'!$AJ319)/340)</f>
        <v>4.1638751564455569</v>
      </c>
      <c r="J319" s="187">
        <f>(('LCFS Table'!$Y319+'LCFS Table'!$Z319)/100)+(('LCFS Table'!$AM319+'LCFS Table'!$AN319)/300)</f>
        <v>4.3529931640625001</v>
      </c>
      <c r="K319" s="190">
        <f>'[1]Fuel Values'!$C318</f>
        <v>2.7949999999999999</v>
      </c>
      <c r="L319" s="190">
        <f>'[1]Fuel Values'!$B318</f>
        <v>431.5</v>
      </c>
      <c r="M319" s="185">
        <f>('LCFS Table'!$L319/100)-'LCFS Table'!$AX319-'LCFS Table'!$AY319-'LCFS Table'!$AZ319-'LCFS Table'!$BA319-1</f>
        <v>1.8860503778715021</v>
      </c>
      <c r="N319" s="190">
        <f>[1]BFT!$B318</f>
        <v>48</v>
      </c>
      <c r="O319" s="190">
        <f>[1]UCO!$B318</f>
        <v>45</v>
      </c>
      <c r="P319" s="190">
        <f>[1]DCO!$B318</f>
        <v>45.5</v>
      </c>
      <c r="Q319" s="190">
        <f>'[1]Soybean Oil'!$B318</f>
        <v>47.112499999999997</v>
      </c>
      <c r="R319" s="190">
        <f>'[1]Yellow Grease'!$B318</f>
        <v>39</v>
      </c>
      <c r="S319" s="185">
        <f>'LCFS Table'!$N319 + 'LCFS Table'!$AH319</f>
        <v>52.375</v>
      </c>
      <c r="T319" s="185">
        <f>'LCFS Table'!$Q319+'LCFS Table'!$AH319</f>
        <v>51.487499999999997</v>
      </c>
      <c r="U319" s="185">
        <f>'LCFS Table'!$P319+'LCFS Table'!$AH319</f>
        <v>49.875</v>
      </c>
      <c r="V319" s="185">
        <f>(('LCFS Table'!$S319/'LCFS Table'!$AA319)*'LCFS Table'!$AC319)*6.48</f>
        <v>180.52659574468086</v>
      </c>
      <c r="W319" s="185">
        <f>(('LCFS Table'!$O319/'LCFS Table'!$AA319)*'LCFS Table'!$AD319)*6.48</f>
        <v>77.553191489361708</v>
      </c>
      <c r="X319" s="185">
        <f>(('LCFS Table'!$U319/'LCFS Table'!$AA319)*'LCFS Table'!$AE319)*6.48</f>
        <v>85.95478723404257</v>
      </c>
      <c r="Y319" s="185">
        <f>(('LCFS Table'!$T319/'LCFS Table'!$AB319)*'LCFS Table'!$AF319)*7.35</f>
        <v>295.65087890625</v>
      </c>
      <c r="Z319" s="185">
        <f>(('LCFS Table'!$R319/'LCFS Table'!$AB319)*'LCFS Table'!$AG319)*7.35</f>
        <v>74.6484375</v>
      </c>
      <c r="AA319" s="138">
        <v>0.94</v>
      </c>
      <c r="AB319" s="138">
        <v>0.96</v>
      </c>
      <c r="AC319" s="138">
        <v>0.5</v>
      </c>
      <c r="AD319" s="138">
        <v>0.25</v>
      </c>
      <c r="AE319" s="138">
        <v>0.25</v>
      </c>
      <c r="AF319" s="138">
        <v>0.75</v>
      </c>
      <c r="AG319" s="138">
        <v>0.25</v>
      </c>
      <c r="AH319" s="139">
        <v>4.375</v>
      </c>
      <c r="AI319" s="139">
        <v>136</v>
      </c>
      <c r="AJ319" s="139">
        <v>110</v>
      </c>
      <c r="AK319" s="186">
        <f>('LCFS Table'!$AI319/340)*100</f>
        <v>40</v>
      </c>
      <c r="AL319" s="186">
        <f>('LCFS Table'!$AJ319/340)*100</f>
        <v>32.352941176470587</v>
      </c>
      <c r="AM319" s="139">
        <v>105</v>
      </c>
      <c r="AN319" s="139">
        <v>90</v>
      </c>
      <c r="AO319" s="139">
        <f>('LCFS Table'!$AM319/300)*100</f>
        <v>35</v>
      </c>
      <c r="AP319" s="139">
        <f>('LCFS Table'!$AN319/300)*100</f>
        <v>30</v>
      </c>
      <c r="AQ319" s="140">
        <f>[3]Sheet1!$K270</f>
        <v>66.6186299081036</v>
      </c>
      <c r="AR319" s="140">
        <f>[3]Sheet1!$J270/100</f>
        <v>0.71869047619047621</v>
      </c>
      <c r="AS319" s="185">
        <f>((('[2]Controls 2'!$B$2-SUM(('[2]Controls 2'!$B$5*'LCFS Table'!$AC319),('[2]Controls 2'!$B$6*'LCFS Table'!$AD319),('[2]Controls 2'!$B$7*'LCFS Table'!$AE319)))/1000000)*'LCFS Table'!$AQ319)*'[2]Controls 2'!$B$8</f>
        <v>0.53206970402402165</v>
      </c>
      <c r="AT319" s="137">
        <v>0.16</v>
      </c>
      <c r="AU319" s="137">
        <v>0</v>
      </c>
      <c r="AV319" s="185">
        <f>'LCFS Table'!$AR319*1.7</f>
        <v>1.2217738095238095</v>
      </c>
      <c r="AW319" s="137">
        <v>0</v>
      </c>
      <c r="AX319" s="185">
        <f>(((('[2]Controls 2'!$B$2-SUM(('LCFS Table'!$AF319*'[2]Controls 2'!$B$12),('LCFS Table'!$AG319*'[2]Controls 2'!$B$13)))/1000000)*'LCFS Table'!$AQ319)*'[2]Controls 2'!$B$14)</f>
        <v>0.35091390784278403</v>
      </c>
      <c r="AY319" s="137">
        <v>0</v>
      </c>
      <c r="AZ319" s="141">
        <v>0</v>
      </c>
      <c r="BA319" s="185">
        <f>'LCFS Table'!$AR319*1.5</f>
        <v>1.0780357142857144</v>
      </c>
      <c r="BB319" s="136">
        <v>1.2</v>
      </c>
      <c r="BC319" s="185">
        <f>'LCFS Table'!$AS319*'LCFS Table'!$BW319</f>
        <v>0.53206970402402165</v>
      </c>
      <c r="BD319" s="185">
        <f>'LCFS Table'!$AT319*'LCFS Table'!$BX319</f>
        <v>0</v>
      </c>
      <c r="BE319" s="185">
        <f>'LCFS Table'!$AU319*'LCFS Table'!$BY319</f>
        <v>0</v>
      </c>
      <c r="BF319" s="137">
        <f>'LCFS Table'!$AV319*'LCFS Table'!$BZ319</f>
        <v>1.2217738095238095</v>
      </c>
      <c r="BG319" s="137">
        <f>'LCFS Table'!$AW319*'LCFS Table'!$CA319</f>
        <v>0</v>
      </c>
      <c r="BH319" s="137">
        <f>'LCFS Table'!$AX319*'LCFS Table'!$CB319</f>
        <v>0.35091390784278403</v>
      </c>
      <c r="BI319" s="137">
        <f>'LCFS Table'!$AY319*'LCFS Table'!$CC319</f>
        <v>0</v>
      </c>
      <c r="BJ319" s="137">
        <f>'LCFS Table'!$AZ319*'LCFS Table'!$CD319</f>
        <v>0</v>
      </c>
      <c r="BK319" s="137">
        <f>'LCFS Table'!$BA319*'LCFS Table'!$CE319</f>
        <v>1.0780357142857144</v>
      </c>
      <c r="BL319" s="137">
        <f>'LCFS Table'!$BB319*'LCFS Table'!$CF319</f>
        <v>-1.2</v>
      </c>
      <c r="BM319" s="137">
        <f>'LCFS Table'!$AS319*'LCFS Table'!$CG319</f>
        <v>0</v>
      </c>
      <c r="BN319" s="137">
        <f>'LCFS Table'!$AT319*'LCFS Table'!$CH319</f>
        <v>0.16</v>
      </c>
      <c r="BO319" s="137">
        <f>'LCFS Table'!$AU319*'LCFS Table'!$CI319</f>
        <v>0</v>
      </c>
      <c r="BP319" s="137">
        <f>'LCFS Table'!$AV319*'LCFS Table'!$CJ319</f>
        <v>0</v>
      </c>
      <c r="BQ319" s="137">
        <f>'LCFS Table'!$AW319*'LCFS Table'!$CK319</f>
        <v>0</v>
      </c>
      <c r="BR319" s="137">
        <f>'LCFS Table'!$AX319*'LCFS Table'!$CL319</f>
        <v>0</v>
      </c>
      <c r="BS319" s="137">
        <f>'LCFS Table'!$AY319*'LCFS Table'!$CM319</f>
        <v>0</v>
      </c>
      <c r="BT319" s="137">
        <f>'LCFS Table'!$AZ319*'LCFS Table'!$CN319</f>
        <v>0</v>
      </c>
      <c r="BU319" s="137">
        <f>'LCFS Table'!$BA319*'LCFS Table'!$CO319</f>
        <v>0</v>
      </c>
      <c r="BV319" s="136">
        <f>'LCFS Table'!$BB319*'LCFS Table'!$CP319</f>
        <v>1.2</v>
      </c>
      <c r="BW319" s="138">
        <v>1</v>
      </c>
      <c r="BX319" s="138">
        <v>0</v>
      </c>
      <c r="BY319" s="138">
        <v>1</v>
      </c>
      <c r="BZ319" s="138">
        <v>1</v>
      </c>
      <c r="CA319" s="138">
        <v>-1</v>
      </c>
      <c r="CB319" s="138">
        <v>1</v>
      </c>
      <c r="CC319" s="138">
        <v>0</v>
      </c>
      <c r="CD319" s="138">
        <v>1</v>
      </c>
      <c r="CE319" s="138">
        <v>1</v>
      </c>
      <c r="CF319" s="138">
        <v>-1</v>
      </c>
      <c r="CG319" s="138">
        <f>1-'LCFS Table'!$BW319</f>
        <v>0</v>
      </c>
      <c r="CH319" s="138">
        <f>1-'LCFS Table'!$BX319</f>
        <v>1</v>
      </c>
      <c r="CI319" s="138">
        <f>1-'LCFS Table'!$BY319</f>
        <v>0</v>
      </c>
      <c r="CJ319" s="138">
        <f>1-'LCFS Table'!$BZ319</f>
        <v>0</v>
      </c>
      <c r="CK319" s="138">
        <f>-'LCFS Table'!$CA319</f>
        <v>1</v>
      </c>
      <c r="CL319" s="138">
        <f>1-'LCFS Table'!$CB319</f>
        <v>0</v>
      </c>
      <c r="CM319" s="138">
        <f>1-'LCFS Table'!$CC319</f>
        <v>1</v>
      </c>
      <c r="CN319" s="138">
        <f>1-'LCFS Table'!$CD319</f>
        <v>0</v>
      </c>
      <c r="CO319" s="138">
        <f>1-'LCFS Table'!$CE319</f>
        <v>0</v>
      </c>
      <c r="CP319" s="138">
        <f>-'LCFS Table'!$CF319</f>
        <v>1</v>
      </c>
      <c r="CQ319" s="140">
        <f t="shared" si="6"/>
        <v>8</v>
      </c>
      <c r="CR319" s="165">
        <f>('LCFS Table'!$CQ319*0.9/(0.8/0.99)/100)</f>
        <v>8.9099999999999985E-2</v>
      </c>
      <c r="CS319" s="166"/>
      <c r="CT319" s="167"/>
      <c r="CW319" s="168">
        <f>'LCFS Table'!$K319-'LCFS Table'!$M319</f>
        <v>0.90894962212849784</v>
      </c>
      <c r="CX319" s="129">
        <f>MONTH('LCFS Table'!$B319)</f>
        <v>1</v>
      </c>
      <c r="CY319" s="129">
        <f>YEAR('LCFS Table'!$B319)</f>
        <v>2025</v>
      </c>
      <c r="DC319" s="129">
        <v>0.4</v>
      </c>
      <c r="DD319" s="129">
        <v>0.4</v>
      </c>
      <c r="DE319" s="129">
        <v>0.6</v>
      </c>
      <c r="DF319" s="129">
        <v>0.6</v>
      </c>
      <c r="DG319" s="129">
        <v>0.2</v>
      </c>
    </row>
    <row r="320" spans="1:111">
      <c r="A320" s="148">
        <v>45683</v>
      </c>
      <c r="B320" s="149">
        <v>45689</v>
      </c>
      <c r="C320" s="132">
        <f t="shared" si="5"/>
        <v>2025</v>
      </c>
      <c r="D320" s="150" t="s">
        <v>261</v>
      </c>
      <c r="E320" s="187">
        <f>'LCFS Table'!$K320-'LCFS Table'!$I320</f>
        <v>-1.4641304755944935</v>
      </c>
      <c r="F320" s="187">
        <f>('LCFS Table'!$M320)-'LCFS Table'!$J320</f>
        <v>-2.4842117315034997</v>
      </c>
      <c r="G320" s="188">
        <f>'LCFS Table'!$E320+'LCFS Table'!$AS320+'LCFS Table'!$AT320+'LCFS Table'!$AU320+'LCFS Table'!$AV320+(DE320*'LCFS Table'!$AD320)+(DD320*'LCFS Table'!$AE320)+(DC320*'LCFS Table'!$AC320)</f>
        <v>0.89971303795333779</v>
      </c>
      <c r="H320" s="188">
        <f>'LCFS Table'!$F320+'LCFS Table'!$AX320+'LCFS Table'!$AY320+'LCFS Table'!$AZ320+'LCFS Table'!$BA320+('LCFS Table'!$CQ320*0.9/(0.8/0.99)/100)+(DG320*'LCFS Table'!$AF320)+(DF320*'LCFS Table'!$AG320)</f>
        <v>-0.66616210937500142</v>
      </c>
      <c r="I320" s="187">
        <f>('LCFS Table'!$V320+'LCFS Table'!$W320+'LCFS Table'!$X320)/100+(('LCFS Table'!$AI320+'LCFS Table'!$AJ320)/340)</f>
        <v>4.2121304755944937</v>
      </c>
      <c r="J320" s="187">
        <f>(('LCFS Table'!$Y320+'LCFS Table'!$Z320)/100)+(('LCFS Table'!$AM320+'LCFS Table'!$AN320)/300)</f>
        <v>4.3142621093750009</v>
      </c>
      <c r="K320" s="190">
        <f>'[1]Fuel Values'!$C319</f>
        <v>2.7480000000000002</v>
      </c>
      <c r="L320" s="190">
        <f>'[1]Fuel Values'!$B319</f>
        <v>425.9</v>
      </c>
      <c r="M320" s="185">
        <f>('LCFS Table'!$L320/100)-'LCFS Table'!$AX320-'LCFS Table'!$AY320-'LCFS Table'!$AZ320-'LCFS Table'!$BA320-1</f>
        <v>1.8300503778715012</v>
      </c>
      <c r="N320" s="190">
        <f>[1]BFT!$B319</f>
        <v>49</v>
      </c>
      <c r="O320" s="190">
        <f>[1]UCO!$B319</f>
        <v>45</v>
      </c>
      <c r="P320" s="190">
        <f>[1]DCO!$B319</f>
        <v>46.3</v>
      </c>
      <c r="Q320" s="190">
        <f>'[1]Soybean Oil'!$B319</f>
        <v>46.438000000000002</v>
      </c>
      <c r="R320" s="190">
        <f>'[1]Yellow Grease'!$B319</f>
        <v>39</v>
      </c>
      <c r="S320" s="185">
        <f>'LCFS Table'!$N320 + 'LCFS Table'!$AH320</f>
        <v>53.375</v>
      </c>
      <c r="T320" s="185">
        <f>'LCFS Table'!$Q320+'LCFS Table'!$AH320</f>
        <v>50.813000000000002</v>
      </c>
      <c r="U320" s="185">
        <f>'LCFS Table'!$P320+'LCFS Table'!$AH320</f>
        <v>50.674999999999997</v>
      </c>
      <c r="V320" s="185">
        <f>(('LCFS Table'!$S320/'LCFS Table'!$AA320)*'LCFS Table'!$AC320)*6.48</f>
        <v>183.9734042553192</v>
      </c>
      <c r="W320" s="185">
        <f>(('LCFS Table'!$O320/'LCFS Table'!$AA320)*'LCFS Table'!$AD320)*6.48</f>
        <v>77.553191489361708</v>
      </c>
      <c r="X320" s="185">
        <f>(('LCFS Table'!$U320/'LCFS Table'!$AA320)*'LCFS Table'!$AE320)*6.48</f>
        <v>87.333510638297881</v>
      </c>
      <c r="Y320" s="185">
        <f>(('LCFS Table'!$T320/'LCFS Table'!$AB320)*'LCFS Table'!$AF320)*7.35</f>
        <v>291.77777343750006</v>
      </c>
      <c r="Z320" s="185">
        <f>(('LCFS Table'!$R320/'LCFS Table'!$AB320)*'LCFS Table'!$AG320)*7.35</f>
        <v>74.6484375</v>
      </c>
      <c r="AA320" s="138">
        <v>0.94</v>
      </c>
      <c r="AB320" s="138">
        <v>0.96</v>
      </c>
      <c r="AC320" s="138">
        <v>0.5</v>
      </c>
      <c r="AD320" s="138">
        <v>0.25</v>
      </c>
      <c r="AE320" s="138">
        <v>0.25</v>
      </c>
      <c r="AF320" s="138">
        <v>0.75</v>
      </c>
      <c r="AG320" s="138">
        <v>0.25</v>
      </c>
      <c r="AH320" s="139">
        <v>4.375</v>
      </c>
      <c r="AI320" s="139">
        <v>136</v>
      </c>
      <c r="AJ320" s="139">
        <v>110</v>
      </c>
      <c r="AK320" s="186">
        <f>('LCFS Table'!$AI320/340)*100</f>
        <v>40</v>
      </c>
      <c r="AL320" s="186">
        <f>('LCFS Table'!$AJ320/340)*100</f>
        <v>32.352941176470587</v>
      </c>
      <c r="AM320" s="139">
        <v>105</v>
      </c>
      <c r="AN320" s="139">
        <v>90</v>
      </c>
      <c r="AO320" s="139">
        <f>('LCFS Table'!$AM320/300)*100</f>
        <v>35</v>
      </c>
      <c r="AP320" s="139">
        <f>('LCFS Table'!$AN320/300)*100</f>
        <v>30</v>
      </c>
      <c r="AQ320" s="140">
        <f>[3]Sheet1!$K271</f>
        <v>66.6186299081036</v>
      </c>
      <c r="AR320" s="140">
        <f>[3]Sheet1!$J271/100</f>
        <v>0.71869047619047621</v>
      </c>
      <c r="AS320" s="185">
        <f>((('[2]Controls 2'!$B$2-SUM(('[2]Controls 2'!$B$5*'LCFS Table'!$AC320),('[2]Controls 2'!$B$6*'LCFS Table'!$AD320),('[2]Controls 2'!$B$7*'LCFS Table'!$AE320)))/1000000)*'LCFS Table'!$AQ320)*'[2]Controls 2'!$B$8</f>
        <v>0.53206970402402165</v>
      </c>
      <c r="AT320" s="137">
        <v>0.16</v>
      </c>
      <c r="AU320" s="137">
        <v>0</v>
      </c>
      <c r="AV320" s="185">
        <f>'LCFS Table'!$AR320*1.7</f>
        <v>1.2217738095238095</v>
      </c>
      <c r="AW320" s="137">
        <v>0</v>
      </c>
      <c r="AX320" s="185">
        <f>(((('[2]Controls 2'!$B$2-SUM(('LCFS Table'!$AF320*'[2]Controls 2'!$B$12),('LCFS Table'!$AG320*'[2]Controls 2'!$B$13)))/1000000)*'LCFS Table'!$AQ320)*'[2]Controls 2'!$B$14)</f>
        <v>0.35091390784278403</v>
      </c>
      <c r="AY320" s="137">
        <v>0</v>
      </c>
      <c r="AZ320" s="141">
        <v>0</v>
      </c>
      <c r="BA320" s="185">
        <f>'LCFS Table'!$AR320*1.5</f>
        <v>1.0780357142857144</v>
      </c>
      <c r="BB320" s="136">
        <v>1.2</v>
      </c>
      <c r="BC320" s="185">
        <f>'LCFS Table'!$AS320*'LCFS Table'!$BW320</f>
        <v>0.53206970402402165</v>
      </c>
      <c r="BD320" s="185">
        <f>'LCFS Table'!$AT320*'LCFS Table'!$BX320</f>
        <v>0</v>
      </c>
      <c r="BE320" s="185">
        <f>'LCFS Table'!$AU320*'LCFS Table'!$BY320</f>
        <v>0</v>
      </c>
      <c r="BF320" s="137">
        <f>'LCFS Table'!$AV320*'LCFS Table'!$BZ320</f>
        <v>1.2217738095238095</v>
      </c>
      <c r="BG320" s="137">
        <f>'LCFS Table'!$AW320*'LCFS Table'!$CA320</f>
        <v>0</v>
      </c>
      <c r="BH320" s="137">
        <f>'LCFS Table'!$AX320*'LCFS Table'!$CB320</f>
        <v>0.35091390784278403</v>
      </c>
      <c r="BI320" s="137">
        <f>'LCFS Table'!$AY320*'LCFS Table'!$CC320</f>
        <v>0</v>
      </c>
      <c r="BJ320" s="137">
        <f>'LCFS Table'!$AZ320*'LCFS Table'!$CD320</f>
        <v>0</v>
      </c>
      <c r="BK320" s="137">
        <f>'LCFS Table'!$BA320*'LCFS Table'!$CE320</f>
        <v>1.0780357142857144</v>
      </c>
      <c r="BL320" s="137">
        <f>'LCFS Table'!$BB320*'LCFS Table'!$CF320</f>
        <v>-1.2</v>
      </c>
      <c r="BM320" s="137">
        <f>'LCFS Table'!$AS320*'LCFS Table'!$CG320</f>
        <v>0</v>
      </c>
      <c r="BN320" s="137">
        <f>'LCFS Table'!$AT320*'LCFS Table'!$CH320</f>
        <v>0.16</v>
      </c>
      <c r="BO320" s="137">
        <f>'LCFS Table'!$AU320*'LCFS Table'!$CI320</f>
        <v>0</v>
      </c>
      <c r="BP320" s="137">
        <f>'LCFS Table'!$AV320*'LCFS Table'!$CJ320</f>
        <v>0</v>
      </c>
      <c r="BQ320" s="137">
        <f>'LCFS Table'!$AW320*'LCFS Table'!$CK320</f>
        <v>0</v>
      </c>
      <c r="BR320" s="137">
        <f>'LCFS Table'!$AX320*'LCFS Table'!$CL320</f>
        <v>0</v>
      </c>
      <c r="BS320" s="137">
        <f>'LCFS Table'!$AY320*'LCFS Table'!$CM320</f>
        <v>0</v>
      </c>
      <c r="BT320" s="137">
        <f>'LCFS Table'!$AZ320*'LCFS Table'!$CN320</f>
        <v>0</v>
      </c>
      <c r="BU320" s="137">
        <f>'LCFS Table'!$BA320*'LCFS Table'!$CO320</f>
        <v>0</v>
      </c>
      <c r="BV320" s="136">
        <f>'LCFS Table'!$BB320*'LCFS Table'!$CP320</f>
        <v>1.2</v>
      </c>
      <c r="BW320" s="138">
        <v>1</v>
      </c>
      <c r="BX320" s="138">
        <v>0</v>
      </c>
      <c r="BY320" s="138">
        <v>1</v>
      </c>
      <c r="BZ320" s="138">
        <v>1</v>
      </c>
      <c r="CA320" s="138">
        <v>-1</v>
      </c>
      <c r="CB320" s="138">
        <v>1</v>
      </c>
      <c r="CC320" s="138">
        <v>0</v>
      </c>
      <c r="CD320" s="138">
        <v>1</v>
      </c>
      <c r="CE320" s="138">
        <v>1</v>
      </c>
      <c r="CF320" s="138">
        <v>-1</v>
      </c>
      <c r="CG320" s="138">
        <f>1-'LCFS Table'!$BW320</f>
        <v>0</v>
      </c>
      <c r="CH320" s="138">
        <f>1-'LCFS Table'!$BX320</f>
        <v>1</v>
      </c>
      <c r="CI320" s="138">
        <f>1-'LCFS Table'!$BY320</f>
        <v>0</v>
      </c>
      <c r="CJ320" s="138">
        <f>1-'LCFS Table'!$BZ320</f>
        <v>0</v>
      </c>
      <c r="CK320" s="138">
        <f>-'LCFS Table'!$CA320</f>
        <v>1</v>
      </c>
      <c r="CL320" s="138">
        <f>1-'LCFS Table'!$CB320</f>
        <v>0</v>
      </c>
      <c r="CM320" s="138">
        <f>1-'LCFS Table'!$CC320</f>
        <v>1</v>
      </c>
      <c r="CN320" s="138">
        <f>1-'LCFS Table'!$CD320</f>
        <v>0</v>
      </c>
      <c r="CO320" s="138">
        <f>1-'LCFS Table'!$CE320</f>
        <v>0</v>
      </c>
      <c r="CP320" s="138">
        <f>-'LCFS Table'!$CF320</f>
        <v>1</v>
      </c>
      <c r="CQ320" s="140">
        <f t="shared" si="6"/>
        <v>8</v>
      </c>
      <c r="CR320" s="165">
        <f>('LCFS Table'!$CQ320*0.9/(0.8/0.99)/100)</f>
        <v>8.9099999999999985E-2</v>
      </c>
      <c r="CS320" s="166"/>
      <c r="CT320" s="167"/>
      <c r="CW320" s="168">
        <f>'LCFS Table'!$K320-'LCFS Table'!$M320</f>
        <v>0.91794962212849907</v>
      </c>
      <c r="CX320" s="129">
        <f>MONTH('LCFS Table'!$B320)</f>
        <v>2</v>
      </c>
      <c r="CY320" s="129">
        <f>YEAR('LCFS Table'!$B320)</f>
        <v>2025</v>
      </c>
      <c r="DC320" s="129">
        <v>0.4</v>
      </c>
      <c r="DD320" s="129">
        <v>0.4</v>
      </c>
      <c r="DE320" s="129">
        <v>0.6</v>
      </c>
      <c r="DF320" s="129">
        <v>0.6</v>
      </c>
      <c r="DG320" s="129">
        <v>0.2</v>
      </c>
    </row>
    <row r="321" spans="1:111">
      <c r="A321" s="148">
        <v>45690</v>
      </c>
      <c r="B321" s="149">
        <v>45696</v>
      </c>
      <c r="C321" s="132">
        <f t="shared" si="5"/>
        <v>2025</v>
      </c>
      <c r="D321" s="150" t="s">
        <v>262</v>
      </c>
      <c r="E321" s="187">
        <f>'LCFS Table'!$K321-'LCFS Table'!$I321</f>
        <v>-1.6039602628285357</v>
      </c>
      <c r="F321" s="187">
        <f>('LCFS Table'!$M321)-'LCFS Table'!$J321</f>
        <v>-2.7665427935335742</v>
      </c>
      <c r="G321" s="188">
        <f>'LCFS Table'!$E321+'LCFS Table'!$AS321+'LCFS Table'!$AT321+'LCFS Table'!$AU321+'LCFS Table'!$AV321+(DE321*'LCFS Table'!$AD321)+(DD321*'LCFS Table'!$AE321)+(DC321*'LCFS Table'!$AC321)</f>
        <v>0.98221470435338065</v>
      </c>
      <c r="H321" s="188">
        <f>'LCFS Table'!$F321+'LCFS Table'!$AX321+'LCFS Table'!$AY321+'LCFS Table'!$AZ321+'LCFS Table'!$BA321+('LCFS Table'!$CQ321*0.9/(0.8/0.99)/100)+(DG321*'LCFS Table'!$AF321)+(DF321*'LCFS Table'!$AG321)</f>
        <v>-0.75231835937500091</v>
      </c>
      <c r="I321" s="187">
        <f>('LCFS Table'!$V321+'LCFS Table'!$W321+'LCFS Table'!$X321)/100+(('LCFS Table'!$AI321+'LCFS Table'!$AJ321)/340)</f>
        <v>4.2879602628285358</v>
      </c>
      <c r="J321" s="187">
        <f>(('LCFS Table'!$Y321+'LCFS Table'!$Z321)/100)+(('LCFS Table'!$AM321+'LCFS Table'!$AN321)/300)</f>
        <v>4.3464183593750008</v>
      </c>
      <c r="K321" s="190">
        <f>'[1]Fuel Values'!$C320</f>
        <v>2.6840000000000002</v>
      </c>
      <c r="L321" s="190">
        <f>'[1]Fuel Values'!$B320</f>
        <v>420.5</v>
      </c>
      <c r="M321" s="185">
        <f>('LCFS Table'!$L321/100)-'LCFS Table'!$AX321-'LCFS Table'!$AY321-'LCFS Table'!$AZ321-'LCFS Table'!$BA321-1</f>
        <v>1.5798755658414265</v>
      </c>
      <c r="N321" s="190">
        <f>[1]BFT!$B320</f>
        <v>50.6</v>
      </c>
      <c r="O321" s="190">
        <f>[1]UCO!$B320</f>
        <v>45</v>
      </c>
      <c r="P321" s="190">
        <f>[1]DCO!$B320</f>
        <v>47.5</v>
      </c>
      <c r="Q321" s="190">
        <f>'[1]Soybean Oil'!$B320</f>
        <v>46.998000000000005</v>
      </c>
      <c r="R321" s="190">
        <f>'[1]Yellow Grease'!$B320</f>
        <v>39</v>
      </c>
      <c r="S321" s="185">
        <f>'LCFS Table'!$N321 + 'LCFS Table'!$AH321</f>
        <v>54.975000000000001</v>
      </c>
      <c r="T321" s="185">
        <f>'LCFS Table'!$Q321+'LCFS Table'!$AH321</f>
        <v>51.373000000000005</v>
      </c>
      <c r="U321" s="185">
        <f>'LCFS Table'!$P321+'LCFS Table'!$AH321</f>
        <v>51.875</v>
      </c>
      <c r="V321" s="185">
        <f>(('LCFS Table'!$S321/'LCFS Table'!$AA321)*'LCFS Table'!$AC321)*6.48</f>
        <v>189.48829787234044</v>
      </c>
      <c r="W321" s="185">
        <f>(('LCFS Table'!$O321/'LCFS Table'!$AA321)*'LCFS Table'!$AD321)*6.48</f>
        <v>77.553191489361708</v>
      </c>
      <c r="X321" s="185">
        <f>(('LCFS Table'!$U321/'LCFS Table'!$AA321)*'LCFS Table'!$AE321)*6.48</f>
        <v>89.401595744680861</v>
      </c>
      <c r="Y321" s="185">
        <f>(('LCFS Table'!$T321/'LCFS Table'!$AB321)*'LCFS Table'!$AF321)*7.35</f>
        <v>294.99339843750005</v>
      </c>
      <c r="Z321" s="185">
        <f>(('LCFS Table'!$R321/'LCFS Table'!$AB321)*'LCFS Table'!$AG321)*7.35</f>
        <v>74.6484375</v>
      </c>
      <c r="AA321" s="138">
        <v>0.94</v>
      </c>
      <c r="AB321" s="138">
        <v>0.96</v>
      </c>
      <c r="AC321" s="138">
        <v>0.5</v>
      </c>
      <c r="AD321" s="138">
        <v>0.25</v>
      </c>
      <c r="AE321" s="138">
        <v>0.25</v>
      </c>
      <c r="AF321" s="138">
        <v>0.75</v>
      </c>
      <c r="AG321" s="138">
        <v>0.25</v>
      </c>
      <c r="AH321" s="139">
        <v>4.375</v>
      </c>
      <c r="AI321" s="139">
        <v>136</v>
      </c>
      <c r="AJ321" s="139">
        <v>110</v>
      </c>
      <c r="AK321" s="186">
        <f>('LCFS Table'!$AI321/340)*100</f>
        <v>40</v>
      </c>
      <c r="AL321" s="186">
        <f>('LCFS Table'!$AJ321/340)*100</f>
        <v>32.352941176470587</v>
      </c>
      <c r="AM321" s="139">
        <v>105</v>
      </c>
      <c r="AN321" s="139">
        <v>90</v>
      </c>
      <c r="AO321" s="139">
        <f>('LCFS Table'!$AM321/300)*100</f>
        <v>35</v>
      </c>
      <c r="AP321" s="139">
        <f>('LCFS Table'!$AN321/300)*100</f>
        <v>30</v>
      </c>
      <c r="AQ321" s="140">
        <f>[3]Sheet1!$K272</f>
        <v>66.6186299081036</v>
      </c>
      <c r="AR321" s="140">
        <f>[3]Sheet1!$J272/100</f>
        <v>0.84947368421052627</v>
      </c>
      <c r="AS321" s="185">
        <f>((('[2]Controls 2'!$B$2-SUM(('[2]Controls 2'!$B$5*'LCFS Table'!$AC321),('[2]Controls 2'!$B$6*'LCFS Table'!$AD321),('[2]Controls 2'!$B$7*'LCFS Table'!$AE321)))/1000000)*'LCFS Table'!$AQ321)*'[2]Controls 2'!$B$8</f>
        <v>0.53206970402402165</v>
      </c>
      <c r="AT321" s="137">
        <v>0.16</v>
      </c>
      <c r="AU321" s="137">
        <v>0</v>
      </c>
      <c r="AV321" s="185">
        <f>'LCFS Table'!$AR321*1.7</f>
        <v>1.4441052631578946</v>
      </c>
      <c r="AW321" s="137">
        <v>0</v>
      </c>
      <c r="AX321" s="185">
        <f>(((('[2]Controls 2'!$B$2-SUM(('LCFS Table'!$AF321*'[2]Controls 2'!$B$12),('LCFS Table'!$AG321*'[2]Controls 2'!$B$13)))/1000000)*'LCFS Table'!$AQ321)*'[2]Controls 2'!$B$14)</f>
        <v>0.35091390784278403</v>
      </c>
      <c r="AY321" s="137">
        <v>0</v>
      </c>
      <c r="AZ321" s="141">
        <v>0</v>
      </c>
      <c r="BA321" s="185">
        <f>'LCFS Table'!$AR321*1.5</f>
        <v>1.2742105263157895</v>
      </c>
      <c r="BB321" s="136">
        <v>1.2</v>
      </c>
      <c r="BC321" s="185">
        <f>'LCFS Table'!$AS321*'LCFS Table'!$BW321</f>
        <v>0.53206970402402165</v>
      </c>
      <c r="BD321" s="185">
        <f>'LCFS Table'!$AT321*'LCFS Table'!$BX321</f>
        <v>0</v>
      </c>
      <c r="BE321" s="185">
        <f>'LCFS Table'!$AU321*'LCFS Table'!$BY321</f>
        <v>0</v>
      </c>
      <c r="BF321" s="137">
        <f>'LCFS Table'!$AV321*'LCFS Table'!$BZ321</f>
        <v>1.4441052631578946</v>
      </c>
      <c r="BG321" s="137">
        <f>'LCFS Table'!$AW321*'LCFS Table'!$CA321</f>
        <v>0</v>
      </c>
      <c r="BH321" s="137">
        <f>'LCFS Table'!$AX321*'LCFS Table'!$CB321</f>
        <v>0.35091390784278403</v>
      </c>
      <c r="BI321" s="137">
        <f>'LCFS Table'!$AY321*'LCFS Table'!$CC321</f>
        <v>0</v>
      </c>
      <c r="BJ321" s="137">
        <f>'LCFS Table'!$AZ321*'LCFS Table'!$CD321</f>
        <v>0</v>
      </c>
      <c r="BK321" s="137">
        <f>'LCFS Table'!$BA321*'LCFS Table'!$CE321</f>
        <v>1.2742105263157895</v>
      </c>
      <c r="BL321" s="137">
        <f>'LCFS Table'!$BB321*'LCFS Table'!$CF321</f>
        <v>-1.2</v>
      </c>
      <c r="BM321" s="137">
        <f>'LCFS Table'!$AS321*'LCFS Table'!$CG321</f>
        <v>0</v>
      </c>
      <c r="BN321" s="137">
        <f>'LCFS Table'!$AT321*'LCFS Table'!$CH321</f>
        <v>0.16</v>
      </c>
      <c r="BO321" s="137">
        <f>'LCFS Table'!$AU321*'LCFS Table'!$CI321</f>
        <v>0</v>
      </c>
      <c r="BP321" s="137">
        <f>'LCFS Table'!$AV321*'LCFS Table'!$CJ321</f>
        <v>0</v>
      </c>
      <c r="BQ321" s="137">
        <f>'LCFS Table'!$AW321*'LCFS Table'!$CK321</f>
        <v>0</v>
      </c>
      <c r="BR321" s="137">
        <f>'LCFS Table'!$AX321*'LCFS Table'!$CL321</f>
        <v>0</v>
      </c>
      <c r="BS321" s="137">
        <f>'LCFS Table'!$AY321*'LCFS Table'!$CM321</f>
        <v>0</v>
      </c>
      <c r="BT321" s="137">
        <f>'LCFS Table'!$AZ321*'LCFS Table'!$CN321</f>
        <v>0</v>
      </c>
      <c r="BU321" s="137">
        <f>'LCFS Table'!$BA321*'LCFS Table'!$CO321</f>
        <v>0</v>
      </c>
      <c r="BV321" s="136">
        <f>'LCFS Table'!$BB321*'LCFS Table'!$CP321</f>
        <v>1.2</v>
      </c>
      <c r="BW321" s="138">
        <v>1</v>
      </c>
      <c r="BX321" s="138">
        <v>0</v>
      </c>
      <c r="BY321" s="138">
        <v>1</v>
      </c>
      <c r="BZ321" s="138">
        <v>1</v>
      </c>
      <c r="CA321" s="138">
        <v>-1</v>
      </c>
      <c r="CB321" s="138">
        <v>1</v>
      </c>
      <c r="CC321" s="138">
        <v>0</v>
      </c>
      <c r="CD321" s="138">
        <v>1</v>
      </c>
      <c r="CE321" s="138">
        <v>1</v>
      </c>
      <c r="CF321" s="138">
        <v>-1</v>
      </c>
      <c r="CG321" s="138">
        <f>1-'LCFS Table'!$BW321</f>
        <v>0</v>
      </c>
      <c r="CH321" s="138">
        <f>1-'LCFS Table'!$BX321</f>
        <v>1</v>
      </c>
      <c r="CI321" s="138">
        <f>1-'LCFS Table'!$BY321</f>
        <v>0</v>
      </c>
      <c r="CJ321" s="138">
        <f>1-'LCFS Table'!$BZ321</f>
        <v>0</v>
      </c>
      <c r="CK321" s="138">
        <f>-'LCFS Table'!$CA321</f>
        <v>1</v>
      </c>
      <c r="CL321" s="138">
        <f>1-'LCFS Table'!$CB321</f>
        <v>0</v>
      </c>
      <c r="CM321" s="138">
        <f>1-'LCFS Table'!$CC321</f>
        <v>1</v>
      </c>
      <c r="CN321" s="138">
        <f>1-'LCFS Table'!$CD321</f>
        <v>0</v>
      </c>
      <c r="CO321" s="138">
        <f>1-'LCFS Table'!$CE321</f>
        <v>0</v>
      </c>
      <c r="CP321" s="138">
        <f>-'LCFS Table'!$CF321</f>
        <v>1</v>
      </c>
      <c r="CQ321" s="140">
        <f t="shared" si="6"/>
        <v>8</v>
      </c>
      <c r="CR321" s="165">
        <f>('LCFS Table'!$CQ321*0.9/(0.8/0.99)/100)</f>
        <v>8.9099999999999985E-2</v>
      </c>
      <c r="CS321" s="166"/>
      <c r="CT321" s="167"/>
      <c r="CW321" s="168">
        <f>'LCFS Table'!$K321-'LCFS Table'!$M321</f>
        <v>1.1041244341585736</v>
      </c>
      <c r="CX321" s="129">
        <f>MONTH('LCFS Table'!$B321)</f>
        <v>2</v>
      </c>
      <c r="CY321" s="129">
        <f>YEAR('LCFS Table'!$B321)</f>
        <v>2025</v>
      </c>
      <c r="DC321" s="129">
        <v>0.4</v>
      </c>
      <c r="DD321" s="129">
        <v>0.4</v>
      </c>
      <c r="DE321" s="129">
        <v>0.6</v>
      </c>
      <c r="DF321" s="129">
        <v>0.6</v>
      </c>
      <c r="DG321" s="129">
        <v>0.2</v>
      </c>
    </row>
    <row r="322" spans="1:111">
      <c r="A322" s="148">
        <v>45697</v>
      </c>
      <c r="B322" s="149">
        <v>45703</v>
      </c>
      <c r="C322" s="132">
        <f t="shared" si="5"/>
        <v>2025</v>
      </c>
      <c r="D322" s="150" t="s">
        <v>263</v>
      </c>
      <c r="E322" s="187">
        <f>'LCFS Table'!$K322-'LCFS Table'!$I322</f>
        <v>-1.5849815394242808</v>
      </c>
      <c r="F322" s="187">
        <f>('LCFS Table'!$M322)-'LCFS Table'!$J322</f>
        <v>-2.7267263872835734</v>
      </c>
      <c r="G322" s="188">
        <f>'LCFS Table'!$E322+'LCFS Table'!$AS322+'LCFS Table'!$AT322+'LCFS Table'!$AU322+'LCFS Table'!$AV322+(DE322*'LCFS Table'!$AD322)+(DD322*'LCFS Table'!$AE322)+(DC322*'LCFS Table'!$AC322)</f>
        <v>1.0011934277576355</v>
      </c>
      <c r="H322" s="188">
        <f>'LCFS Table'!$F322+'LCFS Table'!$AX322+'LCFS Table'!$AY322+'LCFS Table'!$AZ322+'LCFS Table'!$BA322+('LCFS Table'!$CQ322*0.9/(0.8/0.99)/100)+(DG322*'LCFS Table'!$AF322)+(DF322*'LCFS Table'!$AG322)</f>
        <v>-0.71250195312500009</v>
      </c>
      <c r="I322" s="187">
        <f>('LCFS Table'!$V322+'LCFS Table'!$W322+'LCFS Table'!$X322)/100+(('LCFS Table'!$AI322+'LCFS Table'!$AJ322)/340)</f>
        <v>4.3189815394242812</v>
      </c>
      <c r="J322" s="187">
        <f>(('LCFS Table'!$Y322+'LCFS Table'!$Z322)/100)+(('LCFS Table'!$AM322+'LCFS Table'!$AN322)/300)</f>
        <v>4.4136019531250001</v>
      </c>
      <c r="K322" s="190">
        <f>'[1]Fuel Values'!$C321</f>
        <v>2.7340000000000004</v>
      </c>
      <c r="L322" s="190">
        <f>'[1]Fuel Values'!$B321</f>
        <v>431.2</v>
      </c>
      <c r="M322" s="185">
        <f>('LCFS Table'!$L322/100)-'LCFS Table'!$AX322-'LCFS Table'!$AY322-'LCFS Table'!$AZ322-'LCFS Table'!$BA322-1</f>
        <v>1.6868755658414267</v>
      </c>
      <c r="N322" s="190">
        <f>[1]BFT!$B321</f>
        <v>51</v>
      </c>
      <c r="O322" s="190">
        <f>[1]UCO!$B321</f>
        <v>45</v>
      </c>
      <c r="P322" s="190">
        <f>[1]DCO!$B321</f>
        <v>48.5</v>
      </c>
      <c r="Q322" s="190">
        <f>'[1]Soybean Oil'!$B321</f>
        <v>48.167999999999992</v>
      </c>
      <c r="R322" s="190">
        <f>'[1]Yellow Grease'!$B321</f>
        <v>39</v>
      </c>
      <c r="S322" s="185">
        <f>'LCFS Table'!$N322 + 'LCFS Table'!$AH322</f>
        <v>55.375</v>
      </c>
      <c r="T322" s="185">
        <f>'LCFS Table'!$Q322+'LCFS Table'!$AH322</f>
        <v>52.542999999999992</v>
      </c>
      <c r="U322" s="185">
        <f>'LCFS Table'!$P322+'LCFS Table'!$AH322</f>
        <v>52.875</v>
      </c>
      <c r="V322" s="185">
        <f>(('LCFS Table'!$S322/'LCFS Table'!$AA322)*'LCFS Table'!$AC322)*6.48</f>
        <v>190.86702127659578</v>
      </c>
      <c r="W322" s="185">
        <f>(('LCFS Table'!$O322/'LCFS Table'!$AA322)*'LCFS Table'!$AD322)*6.48</f>
        <v>77.553191489361708</v>
      </c>
      <c r="X322" s="185">
        <f>(('LCFS Table'!$U322/'LCFS Table'!$AA322)*'LCFS Table'!$AE322)*6.48</f>
        <v>91.125</v>
      </c>
      <c r="Y322" s="185">
        <f>(('LCFS Table'!$T322/'LCFS Table'!$AB322)*'LCFS Table'!$AF322)*7.35</f>
        <v>301.71175781249997</v>
      </c>
      <c r="Z322" s="185">
        <f>(('LCFS Table'!$R322/'LCFS Table'!$AB322)*'LCFS Table'!$AG322)*7.35</f>
        <v>74.6484375</v>
      </c>
      <c r="AA322" s="138">
        <v>0.94</v>
      </c>
      <c r="AB322" s="138">
        <v>0.96</v>
      </c>
      <c r="AC322" s="138">
        <v>0.5</v>
      </c>
      <c r="AD322" s="138">
        <v>0.25</v>
      </c>
      <c r="AE322" s="138">
        <v>0.25</v>
      </c>
      <c r="AF322" s="138">
        <v>0.75</v>
      </c>
      <c r="AG322" s="138">
        <v>0.25</v>
      </c>
      <c r="AH322" s="139">
        <v>4.375</v>
      </c>
      <c r="AI322" s="139">
        <v>136</v>
      </c>
      <c r="AJ322" s="139">
        <v>110</v>
      </c>
      <c r="AK322" s="186">
        <f>('LCFS Table'!$AI322/340)*100</f>
        <v>40</v>
      </c>
      <c r="AL322" s="186">
        <f>('LCFS Table'!$AJ322/340)*100</f>
        <v>32.352941176470587</v>
      </c>
      <c r="AM322" s="139">
        <v>105</v>
      </c>
      <c r="AN322" s="139">
        <v>90</v>
      </c>
      <c r="AO322" s="139">
        <f>('LCFS Table'!$AM322/300)*100</f>
        <v>35</v>
      </c>
      <c r="AP322" s="139">
        <f>('LCFS Table'!$AN322/300)*100</f>
        <v>30</v>
      </c>
      <c r="AQ322" s="140">
        <f>[3]Sheet1!$K273</f>
        <v>66.6186299081036</v>
      </c>
      <c r="AR322" s="140">
        <f>[3]Sheet1!$J273/100</f>
        <v>0.84947368421052627</v>
      </c>
      <c r="AS322" s="185">
        <f>((('[2]Controls 2'!$B$2-SUM(('[2]Controls 2'!$B$5*'LCFS Table'!$AC322),('[2]Controls 2'!$B$6*'LCFS Table'!$AD322),('[2]Controls 2'!$B$7*'LCFS Table'!$AE322)))/1000000)*'LCFS Table'!$AQ322)*'[2]Controls 2'!$B$8</f>
        <v>0.53206970402402165</v>
      </c>
      <c r="AT322" s="137">
        <v>0.16</v>
      </c>
      <c r="AU322" s="137">
        <v>0</v>
      </c>
      <c r="AV322" s="185">
        <f>'LCFS Table'!$AR322*1.7</f>
        <v>1.4441052631578946</v>
      </c>
      <c r="AW322" s="137">
        <v>0</v>
      </c>
      <c r="AX322" s="185">
        <f>(((('[2]Controls 2'!$B$2-SUM(('LCFS Table'!$AF322*'[2]Controls 2'!$B$12),('LCFS Table'!$AG322*'[2]Controls 2'!$B$13)))/1000000)*'LCFS Table'!$AQ322)*'[2]Controls 2'!$B$14)</f>
        <v>0.35091390784278403</v>
      </c>
      <c r="AY322" s="137">
        <v>0</v>
      </c>
      <c r="AZ322" s="141">
        <v>0</v>
      </c>
      <c r="BA322" s="185">
        <f>'LCFS Table'!$AR322*1.5</f>
        <v>1.2742105263157895</v>
      </c>
      <c r="BB322" s="136">
        <v>1.2</v>
      </c>
      <c r="BC322" s="185">
        <f>'LCFS Table'!$AS322*'LCFS Table'!$BW322</f>
        <v>0.53206970402402165</v>
      </c>
      <c r="BD322" s="185">
        <f>'LCFS Table'!$AT322*'LCFS Table'!$BX322</f>
        <v>0</v>
      </c>
      <c r="BE322" s="185">
        <f>'LCFS Table'!$AU322*'LCFS Table'!$BY322</f>
        <v>0</v>
      </c>
      <c r="BF322" s="137">
        <f>'LCFS Table'!$AV322*'LCFS Table'!$BZ322</f>
        <v>1.4441052631578946</v>
      </c>
      <c r="BG322" s="137">
        <f>'LCFS Table'!$AW322*'LCFS Table'!$CA322</f>
        <v>0</v>
      </c>
      <c r="BH322" s="137">
        <f>'LCFS Table'!$AX322*'LCFS Table'!$CB322</f>
        <v>0.35091390784278403</v>
      </c>
      <c r="BI322" s="137">
        <f>'LCFS Table'!$AY322*'LCFS Table'!$CC322</f>
        <v>0</v>
      </c>
      <c r="BJ322" s="137">
        <f>'LCFS Table'!$AZ322*'LCFS Table'!$CD322</f>
        <v>0</v>
      </c>
      <c r="BK322" s="137">
        <f>'LCFS Table'!$BA322*'LCFS Table'!$CE322</f>
        <v>1.2742105263157895</v>
      </c>
      <c r="BL322" s="137">
        <f>'LCFS Table'!$BB322*'LCFS Table'!$CF322</f>
        <v>-1.2</v>
      </c>
      <c r="BM322" s="137">
        <f>'LCFS Table'!$AS322*'LCFS Table'!$CG322</f>
        <v>0</v>
      </c>
      <c r="BN322" s="137">
        <f>'LCFS Table'!$AT322*'LCFS Table'!$CH322</f>
        <v>0.16</v>
      </c>
      <c r="BO322" s="137">
        <f>'LCFS Table'!$AU322*'LCFS Table'!$CI322</f>
        <v>0</v>
      </c>
      <c r="BP322" s="137">
        <f>'LCFS Table'!$AV322*'LCFS Table'!$CJ322</f>
        <v>0</v>
      </c>
      <c r="BQ322" s="137">
        <f>'LCFS Table'!$AW322*'LCFS Table'!$CK322</f>
        <v>0</v>
      </c>
      <c r="BR322" s="137">
        <f>'LCFS Table'!$AX322*'LCFS Table'!$CL322</f>
        <v>0</v>
      </c>
      <c r="BS322" s="137">
        <f>'LCFS Table'!$AY322*'LCFS Table'!$CM322</f>
        <v>0</v>
      </c>
      <c r="BT322" s="137">
        <f>'LCFS Table'!$AZ322*'LCFS Table'!$CN322</f>
        <v>0</v>
      </c>
      <c r="BU322" s="137">
        <f>'LCFS Table'!$BA322*'LCFS Table'!$CO322</f>
        <v>0</v>
      </c>
      <c r="BV322" s="136">
        <f>'LCFS Table'!$BB322*'LCFS Table'!$CP322</f>
        <v>1.2</v>
      </c>
      <c r="BW322" s="138">
        <v>1</v>
      </c>
      <c r="BX322" s="138">
        <v>0</v>
      </c>
      <c r="BY322" s="138">
        <v>1</v>
      </c>
      <c r="BZ322" s="138">
        <v>1</v>
      </c>
      <c r="CA322" s="138">
        <v>-1</v>
      </c>
      <c r="CB322" s="138">
        <v>1</v>
      </c>
      <c r="CC322" s="138">
        <v>0</v>
      </c>
      <c r="CD322" s="138">
        <v>1</v>
      </c>
      <c r="CE322" s="138">
        <v>1</v>
      </c>
      <c r="CF322" s="138">
        <v>-1</v>
      </c>
      <c r="CG322" s="138">
        <f>1-'LCFS Table'!$BW322</f>
        <v>0</v>
      </c>
      <c r="CH322" s="138">
        <f>1-'LCFS Table'!$BX322</f>
        <v>1</v>
      </c>
      <c r="CI322" s="138">
        <f>1-'LCFS Table'!$BY322</f>
        <v>0</v>
      </c>
      <c r="CJ322" s="138">
        <f>1-'LCFS Table'!$BZ322</f>
        <v>0</v>
      </c>
      <c r="CK322" s="138">
        <f>-'LCFS Table'!$CA322</f>
        <v>1</v>
      </c>
      <c r="CL322" s="138">
        <f>1-'LCFS Table'!$CB322</f>
        <v>0</v>
      </c>
      <c r="CM322" s="138">
        <f>1-'LCFS Table'!$CC322</f>
        <v>1</v>
      </c>
      <c r="CN322" s="138">
        <f>1-'LCFS Table'!$CD322</f>
        <v>0</v>
      </c>
      <c r="CO322" s="138">
        <f>1-'LCFS Table'!$CE322</f>
        <v>0</v>
      </c>
      <c r="CP322" s="138">
        <f>-'LCFS Table'!$CF322</f>
        <v>1</v>
      </c>
      <c r="CQ322" s="140">
        <f t="shared" si="6"/>
        <v>8</v>
      </c>
      <c r="CR322" s="165">
        <f>('LCFS Table'!$CQ322*0.9/(0.8/0.99)/100)</f>
        <v>8.9099999999999985E-2</v>
      </c>
      <c r="CS322" s="166"/>
      <c r="CT322" s="167"/>
      <c r="CW322" s="168">
        <f>'LCFS Table'!$K322-'LCFS Table'!$M322</f>
        <v>1.0471244341585737</v>
      </c>
      <c r="CX322" s="129">
        <f>MONTH('LCFS Table'!$B322)</f>
        <v>2</v>
      </c>
      <c r="CY322" s="129">
        <f>YEAR('LCFS Table'!$B322)</f>
        <v>2025</v>
      </c>
      <c r="DC322" s="129">
        <v>0.4</v>
      </c>
      <c r="DD322" s="129">
        <v>0.4</v>
      </c>
      <c r="DE322" s="129">
        <v>0.6</v>
      </c>
      <c r="DF322" s="129">
        <v>0.6</v>
      </c>
      <c r="DG322" s="129">
        <v>0.2</v>
      </c>
    </row>
    <row r="323" spans="1:111">
      <c r="A323" s="148">
        <v>45704</v>
      </c>
      <c r="B323" s="149">
        <v>45710</v>
      </c>
      <c r="C323" s="132">
        <f t="shared" si="5"/>
        <v>2025</v>
      </c>
      <c r="D323" s="150" t="s">
        <v>264</v>
      </c>
      <c r="E323" s="187">
        <f>'LCFS Table'!$K323-'LCFS Table'!$I323</f>
        <v>-1.7153943053817278</v>
      </c>
      <c r="F323" s="187">
        <f>('LCFS Table'!$M323)-'LCFS Table'!$J323</f>
        <v>-2.7204750200960737</v>
      </c>
      <c r="G323" s="188">
        <f>'LCFS Table'!$E323+'LCFS Table'!$AS323+'LCFS Table'!$AT323+'LCFS Table'!$AU323+'LCFS Table'!$AV323+(DE323*'LCFS Table'!$AD323)+(DD323*'LCFS Table'!$AE323)+(DC323*'LCFS Table'!$AC323)</f>
        <v>0.87078066180018832</v>
      </c>
      <c r="H323" s="188">
        <f>'LCFS Table'!$F323+'LCFS Table'!$AX323+'LCFS Table'!$AY323+'LCFS Table'!$AZ323+'LCFS Table'!$BA323+('LCFS Table'!$CQ323*0.9/(0.8/0.99)/100)+(DG323*'LCFS Table'!$AF323)+(DF323*'LCFS Table'!$AG323)</f>
        <v>-0.70625058593750034</v>
      </c>
      <c r="I323" s="187">
        <f>('LCFS Table'!$V323+'LCFS Table'!$W323+'LCFS Table'!$X323)/100+(('LCFS Table'!$AI323+'LCFS Table'!$AJ323)/340)</f>
        <v>4.4428943053817278</v>
      </c>
      <c r="J323" s="187">
        <f>(('LCFS Table'!$Y323+'LCFS Table'!$Z323)/100)+(('LCFS Table'!$AM323+'LCFS Table'!$AN323)/300)</f>
        <v>4.4853505859374998</v>
      </c>
      <c r="K323" s="190">
        <f>'[1]Fuel Values'!$C322</f>
        <v>2.7275</v>
      </c>
      <c r="L323" s="190">
        <f>'[1]Fuel Values'!$B322</f>
        <v>439</v>
      </c>
      <c r="M323" s="185">
        <f>('LCFS Table'!$L323/100)-'LCFS Table'!$AX323-'LCFS Table'!$AY323-'LCFS Table'!$AZ323-'LCFS Table'!$BA323-1</f>
        <v>1.7648755658414261</v>
      </c>
      <c r="N323" s="190">
        <f>[1]BFT!$B322</f>
        <v>52.875</v>
      </c>
      <c r="O323" s="190">
        <f>[1]UCO!$B322</f>
        <v>45</v>
      </c>
      <c r="P323" s="190">
        <f>[1]DCO!$B322</f>
        <v>51.94</v>
      </c>
      <c r="Q323" s="190">
        <f>'[1]Soybean Oil'!$B322</f>
        <v>49.417499999999997</v>
      </c>
      <c r="R323" s="190">
        <f>'[1]Yellow Grease'!$B322</f>
        <v>39</v>
      </c>
      <c r="S323" s="185">
        <f>'LCFS Table'!$N323 + 'LCFS Table'!$AH323</f>
        <v>57.25</v>
      </c>
      <c r="T323" s="185">
        <f>'LCFS Table'!$Q323+'LCFS Table'!$AH323</f>
        <v>53.792499999999997</v>
      </c>
      <c r="U323" s="185">
        <f>'LCFS Table'!$P323+'LCFS Table'!$AH323</f>
        <v>56.314999999999998</v>
      </c>
      <c r="V323" s="185">
        <f>(('LCFS Table'!$S323/'LCFS Table'!$AA323)*'LCFS Table'!$AC323)*6.48</f>
        <v>197.32978723404258</v>
      </c>
      <c r="W323" s="185">
        <f>(('LCFS Table'!$O323/'LCFS Table'!$AA323)*'LCFS Table'!$AD323)*6.48</f>
        <v>77.553191489361708</v>
      </c>
      <c r="X323" s="185">
        <f>(('LCFS Table'!$U323/'LCFS Table'!$AA323)*'LCFS Table'!$AE323)*6.48</f>
        <v>97.05351063829788</v>
      </c>
      <c r="Y323" s="185">
        <f>(('LCFS Table'!$T323/'LCFS Table'!$AB323)*'LCFS Table'!$AF323)*7.35</f>
        <v>308.88662109374997</v>
      </c>
      <c r="Z323" s="185">
        <f>(('LCFS Table'!$R323/'LCFS Table'!$AB323)*'LCFS Table'!$AG323)*7.35</f>
        <v>74.6484375</v>
      </c>
      <c r="AA323" s="138">
        <v>0.94</v>
      </c>
      <c r="AB323" s="138">
        <v>0.96</v>
      </c>
      <c r="AC323" s="138">
        <v>0.5</v>
      </c>
      <c r="AD323" s="138">
        <v>0.25</v>
      </c>
      <c r="AE323" s="138">
        <v>0.25</v>
      </c>
      <c r="AF323" s="138">
        <v>0.75</v>
      </c>
      <c r="AG323" s="138">
        <v>0.25</v>
      </c>
      <c r="AH323" s="139">
        <v>4.375</v>
      </c>
      <c r="AI323" s="139">
        <v>136</v>
      </c>
      <c r="AJ323" s="139">
        <v>110</v>
      </c>
      <c r="AK323" s="186">
        <f>('LCFS Table'!$AI323/340)*100</f>
        <v>40</v>
      </c>
      <c r="AL323" s="186">
        <f>('LCFS Table'!$AJ323/340)*100</f>
        <v>32.352941176470587</v>
      </c>
      <c r="AM323" s="139">
        <v>105</v>
      </c>
      <c r="AN323" s="139">
        <v>90</v>
      </c>
      <c r="AO323" s="139">
        <f>('LCFS Table'!$AM323/300)*100</f>
        <v>35</v>
      </c>
      <c r="AP323" s="139">
        <f>('LCFS Table'!$AN323/300)*100</f>
        <v>30</v>
      </c>
      <c r="AQ323" s="140">
        <f>[3]Sheet1!$K274</f>
        <v>66.6186299081036</v>
      </c>
      <c r="AR323" s="140">
        <f>[3]Sheet1!$J274/100</f>
        <v>0.84947368421052627</v>
      </c>
      <c r="AS323" s="185">
        <f>((('[2]Controls 2'!$B$2-SUM(('[2]Controls 2'!$B$5*'LCFS Table'!$AC323),('[2]Controls 2'!$B$6*'LCFS Table'!$AD323),('[2]Controls 2'!$B$7*'LCFS Table'!$AE323)))/1000000)*'LCFS Table'!$AQ323)*'[2]Controls 2'!$B$8</f>
        <v>0.53206970402402165</v>
      </c>
      <c r="AT323" s="137">
        <v>0.16</v>
      </c>
      <c r="AU323" s="137">
        <v>0</v>
      </c>
      <c r="AV323" s="185">
        <f>'LCFS Table'!$AR323*1.7</f>
        <v>1.4441052631578946</v>
      </c>
      <c r="AW323" s="137">
        <v>0</v>
      </c>
      <c r="AX323" s="185">
        <f>(((('[2]Controls 2'!$B$2-SUM(('LCFS Table'!$AF323*'[2]Controls 2'!$B$12),('LCFS Table'!$AG323*'[2]Controls 2'!$B$13)))/1000000)*'LCFS Table'!$AQ323)*'[2]Controls 2'!$B$14)</f>
        <v>0.35091390784278403</v>
      </c>
      <c r="AY323" s="137">
        <v>0</v>
      </c>
      <c r="AZ323" s="141">
        <v>0</v>
      </c>
      <c r="BA323" s="185">
        <f>'LCFS Table'!$AR323*1.5</f>
        <v>1.2742105263157895</v>
      </c>
      <c r="BB323" s="136">
        <v>1.2</v>
      </c>
      <c r="BC323" s="185">
        <f>'LCFS Table'!$AS323*'LCFS Table'!$BW323</f>
        <v>0.53206970402402165</v>
      </c>
      <c r="BD323" s="185">
        <f>'LCFS Table'!$AT323*'LCFS Table'!$BX323</f>
        <v>0</v>
      </c>
      <c r="BE323" s="185">
        <f>'LCFS Table'!$AU323*'LCFS Table'!$BY323</f>
        <v>0</v>
      </c>
      <c r="BF323" s="137">
        <f>'LCFS Table'!$AV323*'LCFS Table'!$BZ323</f>
        <v>1.4441052631578946</v>
      </c>
      <c r="BG323" s="137">
        <f>'LCFS Table'!$AW323*'LCFS Table'!$CA323</f>
        <v>0</v>
      </c>
      <c r="BH323" s="137">
        <f>'LCFS Table'!$AX323*'LCFS Table'!$CB323</f>
        <v>0.35091390784278403</v>
      </c>
      <c r="BI323" s="137">
        <f>'LCFS Table'!$AY323*'LCFS Table'!$CC323</f>
        <v>0</v>
      </c>
      <c r="BJ323" s="137">
        <f>'LCFS Table'!$AZ323*'LCFS Table'!$CD323</f>
        <v>0</v>
      </c>
      <c r="BK323" s="137">
        <f>'LCFS Table'!$BA323*'LCFS Table'!$CE323</f>
        <v>1.2742105263157895</v>
      </c>
      <c r="BL323" s="137">
        <f>'LCFS Table'!$BB323*'LCFS Table'!$CF323</f>
        <v>-1.2</v>
      </c>
      <c r="BM323" s="137">
        <f>'LCFS Table'!$AS323*'LCFS Table'!$CG323</f>
        <v>0</v>
      </c>
      <c r="BN323" s="137">
        <f>'LCFS Table'!$AT323*'LCFS Table'!$CH323</f>
        <v>0.16</v>
      </c>
      <c r="BO323" s="137">
        <f>'LCFS Table'!$AU323*'LCFS Table'!$CI323</f>
        <v>0</v>
      </c>
      <c r="BP323" s="137">
        <f>'LCFS Table'!$AV323*'LCFS Table'!$CJ323</f>
        <v>0</v>
      </c>
      <c r="BQ323" s="137">
        <f>'LCFS Table'!$AW323*'LCFS Table'!$CK323</f>
        <v>0</v>
      </c>
      <c r="BR323" s="137">
        <f>'LCFS Table'!$AX323*'LCFS Table'!$CL323</f>
        <v>0</v>
      </c>
      <c r="BS323" s="137">
        <f>'LCFS Table'!$AY323*'LCFS Table'!$CM323</f>
        <v>0</v>
      </c>
      <c r="BT323" s="137">
        <f>'LCFS Table'!$AZ323*'LCFS Table'!$CN323</f>
        <v>0</v>
      </c>
      <c r="BU323" s="137">
        <f>'LCFS Table'!$BA323*'LCFS Table'!$CO323</f>
        <v>0</v>
      </c>
      <c r="BV323" s="136">
        <f>'LCFS Table'!$BB323*'LCFS Table'!$CP323</f>
        <v>1.2</v>
      </c>
      <c r="BW323" s="138">
        <v>1</v>
      </c>
      <c r="BX323" s="138">
        <v>0</v>
      </c>
      <c r="BY323" s="138">
        <v>1</v>
      </c>
      <c r="BZ323" s="138">
        <v>1</v>
      </c>
      <c r="CA323" s="138">
        <v>-1</v>
      </c>
      <c r="CB323" s="138">
        <v>1</v>
      </c>
      <c r="CC323" s="138">
        <v>0</v>
      </c>
      <c r="CD323" s="138">
        <v>1</v>
      </c>
      <c r="CE323" s="138">
        <v>1</v>
      </c>
      <c r="CF323" s="138">
        <v>-1</v>
      </c>
      <c r="CG323" s="138">
        <f>1-'LCFS Table'!$BW323</f>
        <v>0</v>
      </c>
      <c r="CH323" s="138">
        <f>1-'LCFS Table'!$BX323</f>
        <v>1</v>
      </c>
      <c r="CI323" s="138">
        <f>1-'LCFS Table'!$BY323</f>
        <v>0</v>
      </c>
      <c r="CJ323" s="138">
        <f>1-'LCFS Table'!$BZ323</f>
        <v>0</v>
      </c>
      <c r="CK323" s="138">
        <f>-'LCFS Table'!$CA323</f>
        <v>1</v>
      </c>
      <c r="CL323" s="138">
        <f>1-'LCFS Table'!$CB323</f>
        <v>0</v>
      </c>
      <c r="CM323" s="138">
        <f>1-'LCFS Table'!$CC323</f>
        <v>1</v>
      </c>
      <c r="CN323" s="138">
        <f>1-'LCFS Table'!$CD323</f>
        <v>0</v>
      </c>
      <c r="CO323" s="138">
        <f>1-'LCFS Table'!$CE323</f>
        <v>0</v>
      </c>
      <c r="CP323" s="138">
        <f>-'LCFS Table'!$CF323</f>
        <v>1</v>
      </c>
      <c r="CQ323" s="140">
        <f t="shared" si="6"/>
        <v>8</v>
      </c>
      <c r="CR323" s="165">
        <f>('LCFS Table'!$CQ323*0.9/(0.8/0.99)/100)</f>
        <v>8.9099999999999985E-2</v>
      </c>
      <c r="CS323" s="166"/>
      <c r="CT323" s="167"/>
      <c r="CW323" s="168">
        <f>'LCFS Table'!$K323-'LCFS Table'!$M323</f>
        <v>0.96262443415857391</v>
      </c>
      <c r="CX323" s="129">
        <f>MONTH('LCFS Table'!$B323)</f>
        <v>2</v>
      </c>
      <c r="CY323" s="129">
        <f>YEAR('LCFS Table'!$B323)</f>
        <v>2025</v>
      </c>
      <c r="DC323" s="129">
        <v>0.4</v>
      </c>
      <c r="DD323" s="129">
        <v>0.4</v>
      </c>
      <c r="DE323" s="129">
        <v>0.6</v>
      </c>
      <c r="DF323" s="129">
        <v>0.6</v>
      </c>
      <c r="DG323" s="129">
        <v>0.2</v>
      </c>
    </row>
    <row r="324" spans="1:111">
      <c r="A324" s="148">
        <v>45711</v>
      </c>
      <c r="B324" s="149">
        <v>45717</v>
      </c>
      <c r="C324" s="132">
        <f t="shared" ref="C324:C356" si="7">YEAR(B324)</f>
        <v>2025</v>
      </c>
      <c r="D324" s="150" t="s">
        <v>265</v>
      </c>
      <c r="E324" s="187">
        <f>'LCFS Table'!$K324-'LCFS Table'!$I324</f>
        <v>-1.8114709011264081</v>
      </c>
      <c r="F324" s="187">
        <f>('LCFS Table'!$M324)-'LCFS Table'!$J324</f>
        <v>-2.7504920122835737</v>
      </c>
      <c r="G324" s="188">
        <f>'LCFS Table'!$E324+'LCFS Table'!$AS324+'LCFS Table'!$AT324+'LCFS Table'!$AU324+'LCFS Table'!$AV324+(DE324*'LCFS Table'!$AD324)+(DD324*'LCFS Table'!$AE324)+(DC324*'LCFS Table'!$AC324)</f>
        <v>0.77470406605550801</v>
      </c>
      <c r="H324" s="188">
        <f>'LCFS Table'!$F324+'LCFS Table'!$AX324+'LCFS Table'!$AY324+'LCFS Table'!$AZ324+'LCFS Table'!$BA324+('LCFS Table'!$CQ324*0.9/(0.8/0.99)/100)+(DG324*'LCFS Table'!$AF324)+(DF324*'LCFS Table'!$AG324)</f>
        <v>-0.73626757812500032</v>
      </c>
      <c r="I324" s="187">
        <f>('LCFS Table'!$V324+'LCFS Table'!$W324+'LCFS Table'!$X324)/100+(('LCFS Table'!$AI324+'LCFS Table'!$AJ324)/340)</f>
        <v>4.465470901126408</v>
      </c>
      <c r="J324" s="187">
        <f>(('LCFS Table'!$Y324+'LCFS Table'!$Z324)/100)+(('LCFS Table'!$AM324+'LCFS Table'!$AN324)/300)</f>
        <v>4.3653675781250003</v>
      </c>
      <c r="K324" s="190">
        <f>'[1]Fuel Values'!$C323</f>
        <v>2.6539999999999999</v>
      </c>
      <c r="L324" s="190">
        <f>'[1]Fuel Values'!$B323</f>
        <v>424</v>
      </c>
      <c r="M324" s="185">
        <f>('LCFS Table'!$L324/100)-'LCFS Table'!$AX324-'LCFS Table'!$AY324-'LCFS Table'!$AZ324-'LCFS Table'!$BA324-1</f>
        <v>1.6148755658414267</v>
      </c>
      <c r="N324" s="190">
        <f>[1]BFT!$B323</f>
        <v>53.5</v>
      </c>
      <c r="O324" s="190">
        <f>[1]UCO!$B323</f>
        <v>45</v>
      </c>
      <c r="P324" s="190">
        <f>[1]DCO!$B323</f>
        <v>52</v>
      </c>
      <c r="Q324" s="190">
        <f>'[1]Soybean Oil'!$B323</f>
        <v>47.328000000000003</v>
      </c>
      <c r="R324" s="190">
        <f>'[1]Yellow Grease'!$B323</f>
        <v>39</v>
      </c>
      <c r="S324" s="185">
        <f>'LCFS Table'!$N324 + 'LCFS Table'!$AH324</f>
        <v>57.875</v>
      </c>
      <c r="T324" s="185">
        <f>'LCFS Table'!$Q324+'LCFS Table'!$AH324</f>
        <v>51.703000000000003</v>
      </c>
      <c r="U324" s="185">
        <f>'LCFS Table'!$P324+'LCFS Table'!$AH324</f>
        <v>56.375</v>
      </c>
      <c r="V324" s="185">
        <f>(('LCFS Table'!$S324/'LCFS Table'!$AA324)*'LCFS Table'!$AC324)*6.48</f>
        <v>199.4840425531915</v>
      </c>
      <c r="W324" s="185">
        <f>(('LCFS Table'!$O324/'LCFS Table'!$AA324)*'LCFS Table'!$AD324)*6.48</f>
        <v>77.553191489361708</v>
      </c>
      <c r="X324" s="185">
        <f>(('LCFS Table'!$U324/'LCFS Table'!$AA324)*'LCFS Table'!$AE324)*6.48</f>
        <v>97.156914893617028</v>
      </c>
      <c r="Y324" s="185">
        <f>(('LCFS Table'!$T324/'LCFS Table'!$AB324)*'LCFS Table'!$AF324)*7.35</f>
        <v>296.88832031250001</v>
      </c>
      <c r="Z324" s="185">
        <f>(('LCFS Table'!$R324/'LCFS Table'!$AB324)*'LCFS Table'!$AG324)*7.35</f>
        <v>74.6484375</v>
      </c>
      <c r="AA324" s="138">
        <v>0.94</v>
      </c>
      <c r="AB324" s="138">
        <v>0.96</v>
      </c>
      <c r="AC324" s="138">
        <v>0.5</v>
      </c>
      <c r="AD324" s="138">
        <v>0.25</v>
      </c>
      <c r="AE324" s="138">
        <v>0.25</v>
      </c>
      <c r="AF324" s="138">
        <v>0.75</v>
      </c>
      <c r="AG324" s="138">
        <v>0.25</v>
      </c>
      <c r="AH324" s="139">
        <v>4.375</v>
      </c>
      <c r="AI324" s="139">
        <v>136</v>
      </c>
      <c r="AJ324" s="139">
        <v>110</v>
      </c>
      <c r="AK324" s="186">
        <f>('LCFS Table'!$AI324/340)*100</f>
        <v>40</v>
      </c>
      <c r="AL324" s="186">
        <f>('LCFS Table'!$AJ324/340)*100</f>
        <v>32.352941176470587</v>
      </c>
      <c r="AM324" s="139">
        <v>105</v>
      </c>
      <c r="AN324" s="139">
        <v>90</v>
      </c>
      <c r="AO324" s="139">
        <f>('LCFS Table'!$AM324/300)*100</f>
        <v>35</v>
      </c>
      <c r="AP324" s="139">
        <f>('LCFS Table'!$AN324/300)*100</f>
        <v>30</v>
      </c>
      <c r="AQ324" s="140">
        <f>[3]Sheet1!$K275</f>
        <v>66.6186299081036</v>
      </c>
      <c r="AR324" s="140">
        <f>[3]Sheet1!$J275/100</f>
        <v>0.84947368421052627</v>
      </c>
      <c r="AS324" s="185">
        <f>((('[2]Controls 2'!$B$2-SUM(('[2]Controls 2'!$B$5*'LCFS Table'!$AC324),('[2]Controls 2'!$B$6*'LCFS Table'!$AD324),('[2]Controls 2'!$B$7*'LCFS Table'!$AE324)))/1000000)*'LCFS Table'!$AQ324)*'[2]Controls 2'!$B$8</f>
        <v>0.53206970402402165</v>
      </c>
      <c r="AT324" s="137">
        <v>0.16</v>
      </c>
      <c r="AU324" s="137">
        <v>0</v>
      </c>
      <c r="AV324" s="185">
        <f>'LCFS Table'!$AR324*1.7</f>
        <v>1.4441052631578946</v>
      </c>
      <c r="AW324" s="137">
        <v>0</v>
      </c>
      <c r="AX324" s="185">
        <f>(((('[2]Controls 2'!$B$2-SUM(('LCFS Table'!$AF324*'[2]Controls 2'!$B$12),('LCFS Table'!$AG324*'[2]Controls 2'!$B$13)))/1000000)*'LCFS Table'!$AQ324)*'[2]Controls 2'!$B$14)</f>
        <v>0.35091390784278403</v>
      </c>
      <c r="AY324" s="137">
        <v>0</v>
      </c>
      <c r="AZ324" s="141">
        <v>0</v>
      </c>
      <c r="BA324" s="185">
        <f>'LCFS Table'!$AR324*1.5</f>
        <v>1.2742105263157895</v>
      </c>
      <c r="BB324" s="136">
        <v>1.2</v>
      </c>
      <c r="BC324" s="185">
        <f>'LCFS Table'!$AS324*'LCFS Table'!$BW324</f>
        <v>0.53206970402402165</v>
      </c>
      <c r="BD324" s="185">
        <f>'LCFS Table'!$AT324*'LCFS Table'!$BX324</f>
        <v>0</v>
      </c>
      <c r="BE324" s="185">
        <f>'LCFS Table'!$AU324*'LCFS Table'!$BY324</f>
        <v>0</v>
      </c>
      <c r="BF324" s="137">
        <f>'LCFS Table'!$AV324*'LCFS Table'!$BZ324</f>
        <v>1.4441052631578946</v>
      </c>
      <c r="BG324" s="137">
        <f>'LCFS Table'!$AW324*'LCFS Table'!$CA324</f>
        <v>0</v>
      </c>
      <c r="BH324" s="137">
        <f>'LCFS Table'!$AX324*'LCFS Table'!$CB324</f>
        <v>0.35091390784278403</v>
      </c>
      <c r="BI324" s="137">
        <f>'LCFS Table'!$AY324*'LCFS Table'!$CC324</f>
        <v>0</v>
      </c>
      <c r="BJ324" s="137">
        <f>'LCFS Table'!$AZ324*'LCFS Table'!$CD324</f>
        <v>0</v>
      </c>
      <c r="BK324" s="137">
        <f>'LCFS Table'!$BA324*'LCFS Table'!$CE324</f>
        <v>1.2742105263157895</v>
      </c>
      <c r="BL324" s="137">
        <f>'LCFS Table'!$BB324*'LCFS Table'!$CF324</f>
        <v>-1.2</v>
      </c>
      <c r="BM324" s="137">
        <f>'LCFS Table'!$AS324*'LCFS Table'!$CG324</f>
        <v>0</v>
      </c>
      <c r="BN324" s="137">
        <f>'LCFS Table'!$AT324*'LCFS Table'!$CH324</f>
        <v>0.16</v>
      </c>
      <c r="BO324" s="137">
        <f>'LCFS Table'!$AU324*'LCFS Table'!$CI324</f>
        <v>0</v>
      </c>
      <c r="BP324" s="137">
        <f>'LCFS Table'!$AV324*'LCFS Table'!$CJ324</f>
        <v>0</v>
      </c>
      <c r="BQ324" s="137">
        <f>'LCFS Table'!$AW324*'LCFS Table'!$CK324</f>
        <v>0</v>
      </c>
      <c r="BR324" s="137">
        <f>'LCFS Table'!$AX324*'LCFS Table'!$CL324</f>
        <v>0</v>
      </c>
      <c r="BS324" s="137">
        <f>'LCFS Table'!$AY324*'LCFS Table'!$CM324</f>
        <v>0</v>
      </c>
      <c r="BT324" s="137">
        <f>'LCFS Table'!$AZ324*'LCFS Table'!$CN324</f>
        <v>0</v>
      </c>
      <c r="BU324" s="137">
        <f>'LCFS Table'!$BA324*'LCFS Table'!$CO324</f>
        <v>0</v>
      </c>
      <c r="BV324" s="136">
        <f>'LCFS Table'!$BB324*'LCFS Table'!$CP324</f>
        <v>1.2</v>
      </c>
      <c r="BW324" s="138">
        <v>1</v>
      </c>
      <c r="BX324" s="138">
        <v>0</v>
      </c>
      <c r="BY324" s="138">
        <v>1</v>
      </c>
      <c r="BZ324" s="138">
        <v>1</v>
      </c>
      <c r="CA324" s="138">
        <v>-1</v>
      </c>
      <c r="CB324" s="138">
        <v>1</v>
      </c>
      <c r="CC324" s="138">
        <v>0</v>
      </c>
      <c r="CD324" s="138">
        <v>1</v>
      </c>
      <c r="CE324" s="138">
        <v>1</v>
      </c>
      <c r="CF324" s="138">
        <v>-1</v>
      </c>
      <c r="CG324" s="138">
        <f>1-'LCFS Table'!$BW324</f>
        <v>0</v>
      </c>
      <c r="CH324" s="138">
        <f>1-'LCFS Table'!$BX324</f>
        <v>1</v>
      </c>
      <c r="CI324" s="138">
        <f>1-'LCFS Table'!$BY324</f>
        <v>0</v>
      </c>
      <c r="CJ324" s="138">
        <f>1-'LCFS Table'!$BZ324</f>
        <v>0</v>
      </c>
      <c r="CK324" s="138">
        <f>-'LCFS Table'!$CA324</f>
        <v>1</v>
      </c>
      <c r="CL324" s="138">
        <f>1-'LCFS Table'!$CB324</f>
        <v>0</v>
      </c>
      <c r="CM324" s="138">
        <f>1-'LCFS Table'!$CC324</f>
        <v>1</v>
      </c>
      <c r="CN324" s="138">
        <f>1-'LCFS Table'!$CD324</f>
        <v>0</v>
      </c>
      <c r="CO324" s="138">
        <f>1-'LCFS Table'!$CE324</f>
        <v>0</v>
      </c>
      <c r="CP324" s="138">
        <f>-'LCFS Table'!$CF324</f>
        <v>1</v>
      </c>
      <c r="CQ324" s="140">
        <f t="shared" si="6"/>
        <v>8</v>
      </c>
      <c r="CR324" s="165">
        <f>('LCFS Table'!$CQ324*0.9/(0.8/0.99)/100)</f>
        <v>8.9099999999999985E-2</v>
      </c>
      <c r="CS324" s="166"/>
      <c r="CT324" s="167"/>
      <c r="CW324" s="168">
        <f>'LCFS Table'!$K324-'LCFS Table'!$M324</f>
        <v>1.0391244341585733</v>
      </c>
      <c r="CX324" s="129">
        <f>MONTH('LCFS Table'!$B324)</f>
        <v>3</v>
      </c>
      <c r="CY324" s="129">
        <f>YEAR('LCFS Table'!$B324)</f>
        <v>2025</v>
      </c>
      <c r="DC324" s="129">
        <v>0.4</v>
      </c>
      <c r="DD324" s="129">
        <v>0.4</v>
      </c>
      <c r="DE324" s="129">
        <v>0.6</v>
      </c>
      <c r="DF324" s="129">
        <v>0.6</v>
      </c>
      <c r="DG324" s="129">
        <v>0.2</v>
      </c>
    </row>
    <row r="325" spans="1:111">
      <c r="A325" s="148">
        <v>45718</v>
      </c>
      <c r="B325" s="149">
        <v>45724</v>
      </c>
      <c r="C325" s="132">
        <f t="shared" si="7"/>
        <v>2025</v>
      </c>
      <c r="D325" s="150" t="s">
        <v>266</v>
      </c>
      <c r="E325" s="187">
        <f>'LCFS Table'!$K325-'LCFS Table'!$I325</f>
        <v>-1.975385794743429</v>
      </c>
      <c r="F325" s="187">
        <f>('LCFS Table'!$M325)-'LCFS Table'!$J325</f>
        <v>-2.839496664539213</v>
      </c>
      <c r="G325" s="188">
        <f>'LCFS Table'!$E325+'LCFS Table'!$AS325+'LCFS Table'!$AT325+'LCFS Table'!$AU325+'LCFS Table'!$AV325+(DE325*'LCFS Table'!$AD325)+(DD325*'LCFS Table'!$AE325)+(DC325*'LCFS Table'!$AC325)</f>
        <v>0.51939819499487827</v>
      </c>
      <c r="H325" s="188">
        <f>'LCFS Table'!$F325+'LCFS Table'!$AX325+'LCFS Table'!$AY325+'LCFS Table'!$AZ325+'LCFS Table'!$BA325+('LCFS Table'!$CQ325*0.9/(0.8/0.99)/100)+(DG325*'LCFS Table'!$AF325)+(DF325*'LCFS Table'!$AG325)</f>
        <v>-0.90591132812500053</v>
      </c>
      <c r="I325" s="187">
        <f>('LCFS Table'!$V325+'LCFS Table'!$W325+'LCFS Table'!$X325)/100+(('LCFS Table'!$AI325+'LCFS Table'!$AJ325)/340)</f>
        <v>4.3413857947434291</v>
      </c>
      <c r="J325" s="187">
        <f>(('LCFS Table'!$Y325+'LCFS Table'!$Z325)/100)+(('LCFS Table'!$AM325+'LCFS Table'!$AN325)/300)</f>
        <v>4.2450113281250008</v>
      </c>
      <c r="K325" s="190">
        <f>'[1]Fuel Values'!$C324</f>
        <v>2.3660000000000001</v>
      </c>
      <c r="L325" s="190">
        <f>'[1]Fuel Values'!$B324</f>
        <v>395</v>
      </c>
      <c r="M325" s="185">
        <f>('LCFS Table'!$L325/100)-'LCFS Table'!$AX325-'LCFS Table'!$AY325-'LCFS Table'!$AZ325-'LCFS Table'!$BA325-1</f>
        <v>1.4055146635857878</v>
      </c>
      <c r="N325" s="190">
        <f>[1]BFT!$B324</f>
        <v>51.5</v>
      </c>
      <c r="O325" s="190">
        <f>[1]UCO!$B324</f>
        <v>44.6</v>
      </c>
      <c r="P325" s="190">
        <f>[1]DCO!$B324</f>
        <v>49.2</v>
      </c>
      <c r="Q325" s="190">
        <f>'[1]Soybean Oil'!$B324</f>
        <v>45.232000000000006</v>
      </c>
      <c r="R325" s="190">
        <f>'[1]Yellow Grease'!$B324</f>
        <v>39</v>
      </c>
      <c r="S325" s="185">
        <f>'LCFS Table'!$N325 + 'LCFS Table'!$AH325</f>
        <v>55.875</v>
      </c>
      <c r="T325" s="185">
        <f>'LCFS Table'!$Q325+'LCFS Table'!$AH325</f>
        <v>49.607000000000006</v>
      </c>
      <c r="U325" s="185">
        <f>'LCFS Table'!$P325+'LCFS Table'!$AH325</f>
        <v>53.575000000000003</v>
      </c>
      <c r="V325" s="185">
        <f>(('LCFS Table'!$S325/'LCFS Table'!$AA325)*'LCFS Table'!$AC325)*6.48</f>
        <v>192.59042553191492</v>
      </c>
      <c r="W325" s="185">
        <f>(('LCFS Table'!$O325/'LCFS Table'!$AA325)*'LCFS Table'!$AD325)*6.48</f>
        <v>76.863829787234053</v>
      </c>
      <c r="X325" s="185">
        <f>(('LCFS Table'!$U325/'LCFS Table'!$AA325)*'LCFS Table'!$AE325)*6.48</f>
        <v>92.331382978723411</v>
      </c>
      <c r="Y325" s="185">
        <f>(('LCFS Table'!$T325/'LCFS Table'!$AB325)*'LCFS Table'!$AF325)*7.35</f>
        <v>284.85269531250003</v>
      </c>
      <c r="Z325" s="185">
        <f>(('LCFS Table'!$R325/'LCFS Table'!$AB325)*'LCFS Table'!$AG325)*7.35</f>
        <v>74.6484375</v>
      </c>
      <c r="AA325" s="138">
        <v>0.94</v>
      </c>
      <c r="AB325" s="138">
        <v>0.96</v>
      </c>
      <c r="AC325" s="138">
        <v>0.5</v>
      </c>
      <c r="AD325" s="138">
        <v>0.25</v>
      </c>
      <c r="AE325" s="138">
        <v>0.25</v>
      </c>
      <c r="AF325" s="138">
        <v>0.75</v>
      </c>
      <c r="AG325" s="138">
        <v>0.25</v>
      </c>
      <c r="AH325" s="139">
        <v>4.375</v>
      </c>
      <c r="AI325" s="139">
        <v>136</v>
      </c>
      <c r="AJ325" s="139">
        <v>110</v>
      </c>
      <c r="AK325" s="186">
        <f>('LCFS Table'!$AI325/340)*100</f>
        <v>40</v>
      </c>
      <c r="AL325" s="186">
        <f>('LCFS Table'!$AJ325/340)*100</f>
        <v>32.352941176470587</v>
      </c>
      <c r="AM325" s="139">
        <v>105</v>
      </c>
      <c r="AN325" s="139">
        <v>90</v>
      </c>
      <c r="AO325" s="139">
        <f>('LCFS Table'!$AM325/300)*100</f>
        <v>35</v>
      </c>
      <c r="AP325" s="139">
        <f>('LCFS Table'!$AN325/300)*100</f>
        <v>30</v>
      </c>
      <c r="AQ325" s="140">
        <f>[3]Sheet1!$K276</f>
        <v>66.6186299081036</v>
      </c>
      <c r="AR325" s="140">
        <f>[3]Sheet1!$J276/100</f>
        <v>0.79571428571428571</v>
      </c>
      <c r="AS325" s="185">
        <f>((('[2]Controls 2'!$B$2-SUM(('[2]Controls 2'!$B$5*'LCFS Table'!$AC325),('[2]Controls 2'!$B$6*'LCFS Table'!$AD325),('[2]Controls 2'!$B$7*'LCFS Table'!$AE325)))/1000000)*'LCFS Table'!$AQ325)*'[2]Controls 2'!$B$8</f>
        <v>0.53206970402402165</v>
      </c>
      <c r="AT325" s="137">
        <v>0.16</v>
      </c>
      <c r="AU325" s="137">
        <v>0</v>
      </c>
      <c r="AV325" s="185">
        <f>'LCFS Table'!$AR325*1.7</f>
        <v>1.3527142857142858</v>
      </c>
      <c r="AW325" s="137">
        <v>0</v>
      </c>
      <c r="AX325" s="185">
        <f>(((('[2]Controls 2'!$B$2-SUM(('LCFS Table'!$AF325*'[2]Controls 2'!$B$12),('LCFS Table'!$AG325*'[2]Controls 2'!$B$13)))/1000000)*'LCFS Table'!$AQ325)*'[2]Controls 2'!$B$14)</f>
        <v>0.35091390784278403</v>
      </c>
      <c r="AY325" s="137">
        <v>0</v>
      </c>
      <c r="AZ325" s="141">
        <v>0</v>
      </c>
      <c r="BA325" s="185">
        <f>'LCFS Table'!$AR325*1.5</f>
        <v>1.1935714285714285</v>
      </c>
      <c r="BB325" s="136">
        <v>1.2</v>
      </c>
      <c r="BC325" s="185">
        <f>'LCFS Table'!$AS325*'LCFS Table'!$BW325</f>
        <v>0.53206970402402165</v>
      </c>
      <c r="BD325" s="185">
        <f>'LCFS Table'!$AT325*'LCFS Table'!$BX325</f>
        <v>0</v>
      </c>
      <c r="BE325" s="185">
        <f>'LCFS Table'!$AU325*'LCFS Table'!$BY325</f>
        <v>0</v>
      </c>
      <c r="BF325" s="137">
        <f>'LCFS Table'!$AV325*'LCFS Table'!$BZ325</f>
        <v>1.3527142857142858</v>
      </c>
      <c r="BG325" s="137">
        <f>'LCFS Table'!$AW325*'LCFS Table'!$CA325</f>
        <v>0</v>
      </c>
      <c r="BH325" s="137">
        <f>'LCFS Table'!$AX325*'LCFS Table'!$CB325</f>
        <v>0.35091390784278403</v>
      </c>
      <c r="BI325" s="137">
        <f>'LCFS Table'!$AY325*'LCFS Table'!$CC325</f>
        <v>0</v>
      </c>
      <c r="BJ325" s="137">
        <f>'LCFS Table'!$AZ325*'LCFS Table'!$CD325</f>
        <v>0</v>
      </c>
      <c r="BK325" s="137">
        <f>'LCFS Table'!$BA325*'LCFS Table'!$CE325</f>
        <v>1.1935714285714285</v>
      </c>
      <c r="BL325" s="137">
        <f>'LCFS Table'!$BB325*'LCFS Table'!$CF325</f>
        <v>-1.2</v>
      </c>
      <c r="BM325" s="137">
        <f>'LCFS Table'!$AS325*'LCFS Table'!$CG325</f>
        <v>0</v>
      </c>
      <c r="BN325" s="137">
        <f>'LCFS Table'!$AT325*'LCFS Table'!$CH325</f>
        <v>0.16</v>
      </c>
      <c r="BO325" s="137">
        <f>'LCFS Table'!$AU325*'LCFS Table'!$CI325</f>
        <v>0</v>
      </c>
      <c r="BP325" s="137">
        <f>'LCFS Table'!$AV325*'LCFS Table'!$CJ325</f>
        <v>0</v>
      </c>
      <c r="BQ325" s="137">
        <f>'LCFS Table'!$AW325*'LCFS Table'!$CK325</f>
        <v>0</v>
      </c>
      <c r="BR325" s="137">
        <f>'LCFS Table'!$AX325*'LCFS Table'!$CL325</f>
        <v>0</v>
      </c>
      <c r="BS325" s="137">
        <f>'LCFS Table'!$AY325*'LCFS Table'!$CM325</f>
        <v>0</v>
      </c>
      <c r="BT325" s="137">
        <f>'LCFS Table'!$AZ325*'LCFS Table'!$CN325</f>
        <v>0</v>
      </c>
      <c r="BU325" s="137">
        <f>'LCFS Table'!$BA325*'LCFS Table'!$CO325</f>
        <v>0</v>
      </c>
      <c r="BV325" s="136">
        <f>'LCFS Table'!$BB325*'LCFS Table'!$CP325</f>
        <v>1.2</v>
      </c>
      <c r="BW325" s="138">
        <v>1</v>
      </c>
      <c r="BX325" s="138">
        <v>0</v>
      </c>
      <c r="BY325" s="138">
        <v>1</v>
      </c>
      <c r="BZ325" s="138">
        <v>1</v>
      </c>
      <c r="CA325" s="138">
        <v>-1</v>
      </c>
      <c r="CB325" s="138">
        <v>1</v>
      </c>
      <c r="CC325" s="138">
        <v>0</v>
      </c>
      <c r="CD325" s="138">
        <v>1</v>
      </c>
      <c r="CE325" s="138">
        <v>1</v>
      </c>
      <c r="CF325" s="138">
        <v>-1</v>
      </c>
      <c r="CG325" s="138">
        <f>1-'LCFS Table'!$BW325</f>
        <v>0</v>
      </c>
      <c r="CH325" s="138">
        <f>1-'LCFS Table'!$BX325</f>
        <v>1</v>
      </c>
      <c r="CI325" s="138">
        <f>1-'LCFS Table'!$BY325</f>
        <v>0</v>
      </c>
      <c r="CJ325" s="138">
        <f>1-'LCFS Table'!$BZ325</f>
        <v>0</v>
      </c>
      <c r="CK325" s="138">
        <f>-'LCFS Table'!$CA325</f>
        <v>1</v>
      </c>
      <c r="CL325" s="138">
        <f>1-'LCFS Table'!$CB325</f>
        <v>0</v>
      </c>
      <c r="CM325" s="138">
        <f>1-'LCFS Table'!$CC325</f>
        <v>1</v>
      </c>
      <c r="CN325" s="138">
        <f>1-'LCFS Table'!$CD325</f>
        <v>0</v>
      </c>
      <c r="CO325" s="138">
        <f>1-'LCFS Table'!$CE325</f>
        <v>0</v>
      </c>
      <c r="CP325" s="138">
        <f>-'LCFS Table'!$CF325</f>
        <v>1</v>
      </c>
      <c r="CQ325" s="140">
        <f t="shared" si="6"/>
        <v>8</v>
      </c>
      <c r="CR325" s="165">
        <f>('LCFS Table'!$CQ325*0.9/(0.8/0.99)/100)</f>
        <v>8.9099999999999985E-2</v>
      </c>
      <c r="CS325" s="166"/>
      <c r="CT325" s="167"/>
      <c r="CW325" s="168">
        <f>'LCFS Table'!$K325-'LCFS Table'!$M325</f>
        <v>0.9604853364142123</v>
      </c>
      <c r="CX325" s="129">
        <f>MONTH('LCFS Table'!$B325)</f>
        <v>3</v>
      </c>
      <c r="CY325" s="129">
        <f>YEAR('LCFS Table'!$B325)</f>
        <v>2025</v>
      </c>
      <c r="DC325" s="129">
        <v>0.4</v>
      </c>
      <c r="DD325" s="129">
        <v>0.4</v>
      </c>
      <c r="DE325" s="129">
        <v>0.6</v>
      </c>
      <c r="DF325" s="129">
        <v>0.6</v>
      </c>
      <c r="DG325" s="129">
        <v>0.2</v>
      </c>
    </row>
    <row r="326" spans="1:111">
      <c r="A326" s="148">
        <v>45725</v>
      </c>
      <c r="B326" s="149">
        <v>45731</v>
      </c>
      <c r="C326" s="132">
        <f t="shared" si="7"/>
        <v>2025</v>
      </c>
      <c r="D326" s="150" t="s">
        <v>267</v>
      </c>
      <c r="E326" s="187">
        <f>'LCFS Table'!$K326-'LCFS Table'!$I326</f>
        <v>-1.8402598149002047</v>
      </c>
      <c r="F326" s="187">
        <f>('LCFS Table'!$M326)-'LCFS Table'!$J326</f>
        <v>-2.8687529145392121</v>
      </c>
      <c r="G326" s="188">
        <f>'LCFS Table'!$E326+'LCFS Table'!$AS326+'LCFS Table'!$AT326+'LCFS Table'!$AU326+'LCFS Table'!$AV326+(DE326*'LCFS Table'!$AD326)+(DD326*'LCFS Table'!$AE326)+(DC326*'LCFS Table'!$AC326)</f>
        <v>0.65452417483810255</v>
      </c>
      <c r="H326" s="188">
        <f>'LCFS Table'!$F326+'LCFS Table'!$AX326+'LCFS Table'!$AY326+'LCFS Table'!$AZ326+'LCFS Table'!$BA326+('LCFS Table'!$CQ326*0.9/(0.8/0.99)/100)+(DG326*'LCFS Table'!$AF326)+(DF326*'LCFS Table'!$AG326)</f>
        <v>-0.93516757812499962</v>
      </c>
      <c r="I326" s="187">
        <f>('LCFS Table'!$V326+'LCFS Table'!$W326+'LCFS Table'!$X326)/100+(('LCFS Table'!$AI326+'LCFS Table'!$AJ326)/340)</f>
        <v>3.9722598149002049</v>
      </c>
      <c r="J326" s="187">
        <f>(('LCFS Table'!$Y326+'LCFS Table'!$Z326)/100)+(('LCFS Table'!$AM326+'LCFS Table'!$AN326)/300)</f>
        <v>4.1742675781249998</v>
      </c>
      <c r="K326" s="190">
        <f>'[1]Fuel Values'!$C325</f>
        <v>2.1320000000000001</v>
      </c>
      <c r="L326" s="190">
        <f>'[1]Fuel Values'!$B325</f>
        <v>385</v>
      </c>
      <c r="M326" s="185">
        <f>('LCFS Table'!$L326/100)-'LCFS Table'!$AX326-'LCFS Table'!$AY326-'LCFS Table'!$AZ326-'LCFS Table'!$BA326-1</f>
        <v>1.3055146635857877</v>
      </c>
      <c r="N326" s="190">
        <f>[3]Sheet1!$F277</f>
        <v>42.815789473684212</v>
      </c>
      <c r="O326" s="190">
        <f>[3]Sheet1!$C277</f>
        <v>41</v>
      </c>
      <c r="P326" s="190">
        <f>[3]Sheet1!$G277</f>
        <v>48.75</v>
      </c>
      <c r="Q326" s="190">
        <f>[3]Sheet1!$H277</f>
        <v>46.75</v>
      </c>
      <c r="R326" s="190">
        <f>[3]Sheet1!$B277</f>
        <v>30.75</v>
      </c>
      <c r="S326" s="185">
        <f>'LCFS Table'!$N326 + 'LCFS Table'!$AH326</f>
        <v>47.190789473684212</v>
      </c>
      <c r="T326" s="185">
        <f>'LCFS Table'!$Q326+'LCFS Table'!$AH326</f>
        <v>51.125</v>
      </c>
      <c r="U326" s="185">
        <f>'LCFS Table'!$P326+'LCFS Table'!$AH326</f>
        <v>53.125</v>
      </c>
      <c r="V326" s="185">
        <f>(('LCFS Table'!$S326/'LCFS Table'!$AA326)*'LCFS Table'!$AC326)*6.48</f>
        <v>162.65761478163498</v>
      </c>
      <c r="W326" s="185">
        <f>(('LCFS Table'!$O326/'LCFS Table'!$AA326)*'LCFS Table'!$AD326)*6.48</f>
        <v>70.659574468085125</v>
      </c>
      <c r="X326" s="185">
        <f>(('LCFS Table'!$U326/'LCFS Table'!$AA326)*'LCFS Table'!$AE326)*6.48</f>
        <v>91.555851063829792</v>
      </c>
      <c r="Y326" s="185">
        <f>(('LCFS Table'!$T326/'LCFS Table'!$AB326)*'LCFS Table'!$AF326)*7.35</f>
        <v>293.5693359375</v>
      </c>
      <c r="Z326" s="185">
        <f>(('LCFS Table'!$R326/'LCFS Table'!$AB326)*'LCFS Table'!$AG326)*7.35</f>
        <v>58.857421875</v>
      </c>
      <c r="AA326" s="138">
        <v>0.94</v>
      </c>
      <c r="AB326" s="138">
        <v>0.96</v>
      </c>
      <c r="AC326" s="138">
        <v>0.5</v>
      </c>
      <c r="AD326" s="138">
        <v>0.25</v>
      </c>
      <c r="AE326" s="138">
        <v>0.25</v>
      </c>
      <c r="AF326" s="138">
        <v>0.75</v>
      </c>
      <c r="AG326" s="138">
        <v>0.25</v>
      </c>
      <c r="AH326" s="139">
        <v>4.375</v>
      </c>
      <c r="AI326" s="139">
        <v>136</v>
      </c>
      <c r="AJ326" s="139">
        <v>110</v>
      </c>
      <c r="AK326" s="186">
        <f>('LCFS Table'!$AI326/340)*100</f>
        <v>40</v>
      </c>
      <c r="AL326" s="186">
        <f>('LCFS Table'!$AJ326/340)*100</f>
        <v>32.352941176470587</v>
      </c>
      <c r="AM326" s="139">
        <v>105</v>
      </c>
      <c r="AN326" s="139">
        <v>90</v>
      </c>
      <c r="AO326" s="139">
        <f>('LCFS Table'!$AM326/300)*100</f>
        <v>35</v>
      </c>
      <c r="AP326" s="139">
        <f>('LCFS Table'!$AN326/300)*100</f>
        <v>30</v>
      </c>
      <c r="AQ326" s="140">
        <f>[3]Sheet1!$K277</f>
        <v>66.6186299081036</v>
      </c>
      <c r="AR326" s="140">
        <f>[3]Sheet1!$J277/100</f>
        <v>0.79571428571428571</v>
      </c>
      <c r="AS326" s="185">
        <f>((('[2]Controls 2'!$B$2-SUM(('[2]Controls 2'!$B$5*'LCFS Table'!$AC326),('[2]Controls 2'!$B$6*'LCFS Table'!$AD326),('[2]Controls 2'!$B$7*'LCFS Table'!$AE326)))/1000000)*'LCFS Table'!$AQ326)*'[2]Controls 2'!$B$8</f>
        <v>0.53206970402402165</v>
      </c>
      <c r="AT326" s="137">
        <v>0.16</v>
      </c>
      <c r="AU326" s="137">
        <v>0</v>
      </c>
      <c r="AV326" s="185">
        <f>'LCFS Table'!$AR326*1.7</f>
        <v>1.3527142857142858</v>
      </c>
      <c r="AW326" s="137">
        <v>0</v>
      </c>
      <c r="AX326" s="185">
        <f>(((('[2]Controls 2'!$B$2-SUM(('LCFS Table'!$AF326*'[2]Controls 2'!$B$12),('LCFS Table'!$AG326*'[2]Controls 2'!$B$13)))/1000000)*'LCFS Table'!$AQ326)*'[2]Controls 2'!$B$14)</f>
        <v>0.35091390784278403</v>
      </c>
      <c r="AY326" s="137">
        <v>0</v>
      </c>
      <c r="AZ326" s="141">
        <v>0</v>
      </c>
      <c r="BA326" s="185">
        <f>'LCFS Table'!$AR326*1.5</f>
        <v>1.1935714285714285</v>
      </c>
      <c r="BB326" s="136">
        <v>1.2</v>
      </c>
      <c r="BC326" s="185">
        <f>'LCFS Table'!$AS326*'LCFS Table'!$BW326</f>
        <v>0.53206970402402165</v>
      </c>
      <c r="BD326" s="185">
        <f>'LCFS Table'!$AT326*'LCFS Table'!$BX326</f>
        <v>0</v>
      </c>
      <c r="BE326" s="185">
        <f>'LCFS Table'!$AU326*'LCFS Table'!$BY326</f>
        <v>0</v>
      </c>
      <c r="BF326" s="137">
        <f>'LCFS Table'!$AV326*'LCFS Table'!$BZ326</f>
        <v>1.3527142857142858</v>
      </c>
      <c r="BG326" s="137">
        <f>'LCFS Table'!$AW326*'LCFS Table'!$CA326</f>
        <v>0</v>
      </c>
      <c r="BH326" s="137">
        <f>'LCFS Table'!$AX326*'LCFS Table'!$CB326</f>
        <v>0.35091390784278403</v>
      </c>
      <c r="BI326" s="137">
        <f>'LCFS Table'!$AY326*'LCFS Table'!$CC326</f>
        <v>0</v>
      </c>
      <c r="BJ326" s="137">
        <f>'LCFS Table'!$AZ326*'LCFS Table'!$CD326</f>
        <v>0</v>
      </c>
      <c r="BK326" s="137">
        <f>'LCFS Table'!$BA326*'LCFS Table'!$CE326</f>
        <v>1.1935714285714285</v>
      </c>
      <c r="BL326" s="137">
        <f>'LCFS Table'!$BB326*'LCFS Table'!$CF326</f>
        <v>-1.2</v>
      </c>
      <c r="BM326" s="137">
        <f>'LCFS Table'!$AS326*'LCFS Table'!$CG326</f>
        <v>0</v>
      </c>
      <c r="BN326" s="137">
        <f>'LCFS Table'!$AT326*'LCFS Table'!$CH326</f>
        <v>0.16</v>
      </c>
      <c r="BO326" s="137">
        <f>'LCFS Table'!$AU326*'LCFS Table'!$CI326</f>
        <v>0</v>
      </c>
      <c r="BP326" s="137">
        <f>'LCFS Table'!$AV326*'LCFS Table'!$CJ326</f>
        <v>0</v>
      </c>
      <c r="BQ326" s="137">
        <f>'LCFS Table'!$AW326*'LCFS Table'!$CK326</f>
        <v>0</v>
      </c>
      <c r="BR326" s="137">
        <f>'LCFS Table'!$AX326*'LCFS Table'!$CL326</f>
        <v>0</v>
      </c>
      <c r="BS326" s="137">
        <f>'LCFS Table'!$AY326*'LCFS Table'!$CM326</f>
        <v>0</v>
      </c>
      <c r="BT326" s="137">
        <f>'LCFS Table'!$AZ326*'LCFS Table'!$CN326</f>
        <v>0</v>
      </c>
      <c r="BU326" s="137">
        <f>'LCFS Table'!$BA326*'LCFS Table'!$CO326</f>
        <v>0</v>
      </c>
      <c r="BV326" s="136">
        <f>'LCFS Table'!$BB326*'LCFS Table'!$CP326</f>
        <v>1.2</v>
      </c>
      <c r="BW326" s="138">
        <v>1</v>
      </c>
      <c r="BX326" s="138">
        <v>0</v>
      </c>
      <c r="BY326" s="138">
        <v>1</v>
      </c>
      <c r="BZ326" s="138">
        <v>1</v>
      </c>
      <c r="CA326" s="138">
        <v>-1</v>
      </c>
      <c r="CB326" s="138">
        <v>1</v>
      </c>
      <c r="CC326" s="138">
        <v>0</v>
      </c>
      <c r="CD326" s="138">
        <v>1</v>
      </c>
      <c r="CE326" s="138">
        <v>1</v>
      </c>
      <c r="CF326" s="138">
        <v>-1</v>
      </c>
      <c r="CG326" s="138">
        <f>1-'LCFS Table'!$BW326</f>
        <v>0</v>
      </c>
      <c r="CH326" s="138">
        <f>1-'LCFS Table'!$BX326</f>
        <v>1</v>
      </c>
      <c r="CI326" s="138">
        <f>1-'LCFS Table'!$BY326</f>
        <v>0</v>
      </c>
      <c r="CJ326" s="138">
        <f>1-'LCFS Table'!$BZ326</f>
        <v>0</v>
      </c>
      <c r="CK326" s="138">
        <f>-'LCFS Table'!$CA326</f>
        <v>1</v>
      </c>
      <c r="CL326" s="138">
        <f>1-'LCFS Table'!$CB326</f>
        <v>0</v>
      </c>
      <c r="CM326" s="138">
        <f>1-'LCFS Table'!$CC326</f>
        <v>1</v>
      </c>
      <c r="CN326" s="138">
        <f>1-'LCFS Table'!$CD326</f>
        <v>0</v>
      </c>
      <c r="CO326" s="138">
        <f>1-'LCFS Table'!$CE326</f>
        <v>0</v>
      </c>
      <c r="CP326" s="138">
        <f>-'LCFS Table'!$CF326</f>
        <v>1</v>
      </c>
      <c r="CQ326" s="140">
        <f t="shared" si="6"/>
        <v>8</v>
      </c>
      <c r="CR326" s="165">
        <f>('LCFS Table'!$CQ326*0.9/(0.8/0.99)/100)</f>
        <v>8.9099999999999985E-2</v>
      </c>
      <c r="CS326" s="166"/>
      <c r="CT326" s="167"/>
      <c r="CW326" s="168">
        <f>'LCFS Table'!$K326-'LCFS Table'!$M326</f>
        <v>0.8264853364142124</v>
      </c>
      <c r="CX326" s="129">
        <f>MONTH('LCFS Table'!$B326)</f>
        <v>3</v>
      </c>
      <c r="CY326" s="129">
        <f>YEAR('LCFS Table'!$B326)</f>
        <v>2025</v>
      </c>
      <c r="DC326" s="129">
        <v>0.4</v>
      </c>
      <c r="DD326" s="129">
        <v>0.4</v>
      </c>
      <c r="DE326" s="129">
        <v>0.6</v>
      </c>
      <c r="DF326" s="129">
        <v>0.6</v>
      </c>
      <c r="DG326" s="129">
        <v>0.2</v>
      </c>
    </row>
    <row r="327" spans="1:111">
      <c r="A327" s="148">
        <v>45732</v>
      </c>
      <c r="B327" s="149">
        <v>45738</v>
      </c>
      <c r="C327" s="132">
        <f t="shared" si="7"/>
        <v>2025</v>
      </c>
      <c r="D327" s="150" t="s">
        <v>268</v>
      </c>
      <c r="E327" s="187">
        <f>'LCFS Table'!$K327-'LCFS Table'!$I327</f>
        <v>-1.7542598149002049</v>
      </c>
      <c r="F327" s="187">
        <f>('LCFS Table'!$M327)-'LCFS Table'!$J327</f>
        <v>-2.7667529145392122</v>
      </c>
      <c r="G327" s="188">
        <f>'LCFS Table'!$E327+'LCFS Table'!$AS327+'LCFS Table'!$AT327+'LCFS Table'!$AU327+'LCFS Table'!$AV327+(DE327*'LCFS Table'!$AD327)+(DD327*'LCFS Table'!$AE327)+(DC327*'LCFS Table'!$AC327)</f>
        <v>0.7405241748381024</v>
      </c>
      <c r="H327" s="188">
        <f>'LCFS Table'!$F327+'LCFS Table'!$AX327+'LCFS Table'!$AY327+'LCFS Table'!$AZ327+'LCFS Table'!$BA327+('LCFS Table'!$CQ327*0.9/(0.8/0.99)/100)+(DG327*'LCFS Table'!$AF327)+(DF327*'LCFS Table'!$AG327)</f>
        <v>-0.83316757812499986</v>
      </c>
      <c r="I327" s="187">
        <f>('LCFS Table'!$V327+'LCFS Table'!$W327+'LCFS Table'!$X327)/100+(('LCFS Table'!$AI327+'LCFS Table'!$AJ327)/340)</f>
        <v>3.9722598149002049</v>
      </c>
      <c r="J327" s="187">
        <f>(('LCFS Table'!$Y327+'LCFS Table'!$Z327)/100)+(('LCFS Table'!$AM327+'LCFS Table'!$AN327)/300)</f>
        <v>4.1742675781249998</v>
      </c>
      <c r="K327" s="190">
        <f>'[1]Fuel Values'!$C326</f>
        <v>2.218</v>
      </c>
      <c r="L327" s="190">
        <f>'[1]Fuel Values'!$B326</f>
        <v>395.2</v>
      </c>
      <c r="M327" s="185">
        <f>('LCFS Table'!$L327/100)-'LCFS Table'!$AX327-'LCFS Table'!$AY327-'LCFS Table'!$AZ327-'LCFS Table'!$BA327-1</f>
        <v>1.4075146635857876</v>
      </c>
      <c r="N327" s="190">
        <f>[3]Sheet1!$F278</f>
        <v>42.815789473684212</v>
      </c>
      <c r="O327" s="190">
        <f>[3]Sheet1!$C278</f>
        <v>41</v>
      </c>
      <c r="P327" s="190">
        <f>[3]Sheet1!$G278</f>
        <v>48.75</v>
      </c>
      <c r="Q327" s="190">
        <f>[3]Sheet1!$H278</f>
        <v>46.75</v>
      </c>
      <c r="R327" s="190">
        <f>[3]Sheet1!$B278</f>
        <v>30.75</v>
      </c>
      <c r="S327" s="185">
        <f>'LCFS Table'!$N327 + 'LCFS Table'!$AH327</f>
        <v>47.190789473684212</v>
      </c>
      <c r="T327" s="185">
        <f>'LCFS Table'!$Q327+'LCFS Table'!$AH327</f>
        <v>51.125</v>
      </c>
      <c r="U327" s="185">
        <f>'LCFS Table'!$P327+'LCFS Table'!$AH327</f>
        <v>53.125</v>
      </c>
      <c r="V327" s="185">
        <f>(('LCFS Table'!$S327/'LCFS Table'!$AA327)*'LCFS Table'!$AC327)*6.48</f>
        <v>162.65761478163498</v>
      </c>
      <c r="W327" s="185">
        <f>(('LCFS Table'!$O327/'LCFS Table'!$AA327)*'LCFS Table'!$AD327)*6.48</f>
        <v>70.659574468085125</v>
      </c>
      <c r="X327" s="185">
        <f>(('LCFS Table'!$U327/'LCFS Table'!$AA327)*'LCFS Table'!$AE327)*6.48</f>
        <v>91.555851063829792</v>
      </c>
      <c r="Y327" s="185">
        <f>(('LCFS Table'!$T327/'LCFS Table'!$AB327)*'LCFS Table'!$AF327)*7.35</f>
        <v>293.5693359375</v>
      </c>
      <c r="Z327" s="185">
        <f>(('LCFS Table'!$R327/'LCFS Table'!$AB327)*'LCFS Table'!$AG327)*7.35</f>
        <v>58.857421875</v>
      </c>
      <c r="AA327" s="138">
        <v>0.94</v>
      </c>
      <c r="AB327" s="138">
        <v>0.96</v>
      </c>
      <c r="AC327" s="138">
        <v>0.5</v>
      </c>
      <c r="AD327" s="138">
        <v>0.25</v>
      </c>
      <c r="AE327" s="138">
        <v>0.25</v>
      </c>
      <c r="AF327" s="138">
        <v>0.75</v>
      </c>
      <c r="AG327" s="138">
        <v>0.25</v>
      </c>
      <c r="AH327" s="139">
        <v>4.375</v>
      </c>
      <c r="AI327" s="139">
        <v>136</v>
      </c>
      <c r="AJ327" s="139">
        <v>110</v>
      </c>
      <c r="AK327" s="186">
        <f>('LCFS Table'!$AI327/340)*100</f>
        <v>40</v>
      </c>
      <c r="AL327" s="186">
        <f>('LCFS Table'!$AJ327/340)*100</f>
        <v>32.352941176470587</v>
      </c>
      <c r="AM327" s="139">
        <v>105</v>
      </c>
      <c r="AN327" s="139">
        <v>90</v>
      </c>
      <c r="AO327" s="139">
        <f>('LCFS Table'!$AM327/300)*100</f>
        <v>35</v>
      </c>
      <c r="AP327" s="139">
        <f>('LCFS Table'!$AN327/300)*100</f>
        <v>30</v>
      </c>
      <c r="AQ327" s="140">
        <f>[3]Sheet1!$K278</f>
        <v>66.6186299081036</v>
      </c>
      <c r="AR327" s="140">
        <f>[3]Sheet1!$J278/100</f>
        <v>0.79571428571428571</v>
      </c>
      <c r="AS327" s="185">
        <f>((('[2]Controls 2'!$B$2-SUM(('[2]Controls 2'!$B$5*'LCFS Table'!$AC327),('[2]Controls 2'!$B$6*'LCFS Table'!$AD327),('[2]Controls 2'!$B$7*'LCFS Table'!$AE327)))/1000000)*'LCFS Table'!$AQ327)*'[2]Controls 2'!$B$8</f>
        <v>0.53206970402402165</v>
      </c>
      <c r="AT327" s="137">
        <v>0.16</v>
      </c>
      <c r="AU327" s="137">
        <v>0</v>
      </c>
      <c r="AV327" s="185">
        <f>'LCFS Table'!$AR327*1.7</f>
        <v>1.3527142857142858</v>
      </c>
      <c r="AW327" s="137">
        <v>0</v>
      </c>
      <c r="AX327" s="185">
        <f>(((('[2]Controls 2'!$B$2-SUM(('LCFS Table'!$AF327*'[2]Controls 2'!$B$12),('LCFS Table'!$AG327*'[2]Controls 2'!$B$13)))/1000000)*'LCFS Table'!$AQ327)*'[2]Controls 2'!$B$14)</f>
        <v>0.35091390784278403</v>
      </c>
      <c r="AY327" s="137">
        <v>0</v>
      </c>
      <c r="AZ327" s="141">
        <v>0</v>
      </c>
      <c r="BA327" s="185">
        <f>'LCFS Table'!$AR327*1.5</f>
        <v>1.1935714285714285</v>
      </c>
      <c r="BB327" s="136">
        <v>1.2</v>
      </c>
      <c r="BC327" s="185">
        <f>'LCFS Table'!$AS327*'LCFS Table'!$BW327</f>
        <v>0.53206970402402165</v>
      </c>
      <c r="BD327" s="185">
        <f>'LCFS Table'!$AT327*'LCFS Table'!$BX327</f>
        <v>0</v>
      </c>
      <c r="BE327" s="185">
        <f>'LCFS Table'!$AU327*'LCFS Table'!$BY327</f>
        <v>0</v>
      </c>
      <c r="BF327" s="137">
        <f>'LCFS Table'!$AV327*'LCFS Table'!$BZ327</f>
        <v>1.3527142857142858</v>
      </c>
      <c r="BG327" s="137">
        <f>'LCFS Table'!$AW327*'LCFS Table'!$CA327</f>
        <v>0</v>
      </c>
      <c r="BH327" s="137">
        <f>'LCFS Table'!$AX327*'LCFS Table'!$CB327</f>
        <v>0.35091390784278403</v>
      </c>
      <c r="BI327" s="137">
        <f>'LCFS Table'!$AY327*'LCFS Table'!$CC327</f>
        <v>0</v>
      </c>
      <c r="BJ327" s="137">
        <f>'LCFS Table'!$AZ327*'LCFS Table'!$CD327</f>
        <v>0</v>
      </c>
      <c r="BK327" s="137">
        <f>'LCFS Table'!$BA327*'LCFS Table'!$CE327</f>
        <v>1.1935714285714285</v>
      </c>
      <c r="BL327" s="137">
        <f>'LCFS Table'!$BB327*'LCFS Table'!$CF327</f>
        <v>-1.2</v>
      </c>
      <c r="BM327" s="137">
        <f>'LCFS Table'!$AS327*'LCFS Table'!$CG327</f>
        <v>0</v>
      </c>
      <c r="BN327" s="137">
        <f>'LCFS Table'!$AT327*'LCFS Table'!$CH327</f>
        <v>0.16</v>
      </c>
      <c r="BO327" s="137">
        <f>'LCFS Table'!$AU327*'LCFS Table'!$CI327</f>
        <v>0</v>
      </c>
      <c r="BP327" s="137">
        <f>'LCFS Table'!$AV327*'LCFS Table'!$CJ327</f>
        <v>0</v>
      </c>
      <c r="BQ327" s="137">
        <f>'LCFS Table'!$AW327*'LCFS Table'!$CK327</f>
        <v>0</v>
      </c>
      <c r="BR327" s="137">
        <f>'LCFS Table'!$AX327*'LCFS Table'!$CL327</f>
        <v>0</v>
      </c>
      <c r="BS327" s="137">
        <f>'LCFS Table'!$AY327*'LCFS Table'!$CM327</f>
        <v>0</v>
      </c>
      <c r="BT327" s="137">
        <f>'LCFS Table'!$AZ327*'LCFS Table'!$CN327</f>
        <v>0</v>
      </c>
      <c r="BU327" s="137">
        <f>'LCFS Table'!$BA327*'LCFS Table'!$CO327</f>
        <v>0</v>
      </c>
      <c r="BV327" s="136">
        <f>'LCFS Table'!$BB327*'LCFS Table'!$CP327</f>
        <v>1.2</v>
      </c>
      <c r="BW327" s="138">
        <v>1</v>
      </c>
      <c r="BX327" s="138">
        <v>0</v>
      </c>
      <c r="BY327" s="138">
        <v>1</v>
      </c>
      <c r="BZ327" s="138">
        <v>1</v>
      </c>
      <c r="CA327" s="138">
        <v>-1</v>
      </c>
      <c r="CB327" s="138">
        <v>1</v>
      </c>
      <c r="CC327" s="138">
        <v>0</v>
      </c>
      <c r="CD327" s="138">
        <v>1</v>
      </c>
      <c r="CE327" s="138">
        <v>1</v>
      </c>
      <c r="CF327" s="138">
        <v>-1</v>
      </c>
      <c r="CG327" s="138">
        <f>1-'LCFS Table'!$BW327</f>
        <v>0</v>
      </c>
      <c r="CH327" s="138">
        <f>1-'LCFS Table'!$BX327</f>
        <v>1</v>
      </c>
      <c r="CI327" s="138">
        <f>1-'LCFS Table'!$BY327</f>
        <v>0</v>
      </c>
      <c r="CJ327" s="138">
        <f>1-'LCFS Table'!$BZ327</f>
        <v>0</v>
      </c>
      <c r="CK327" s="138">
        <f>-'LCFS Table'!$CA327</f>
        <v>1</v>
      </c>
      <c r="CL327" s="138">
        <f>1-'LCFS Table'!$CB327</f>
        <v>0</v>
      </c>
      <c r="CM327" s="138">
        <f>1-'LCFS Table'!$CC327</f>
        <v>1</v>
      </c>
      <c r="CN327" s="138">
        <f>1-'LCFS Table'!$CD327</f>
        <v>0</v>
      </c>
      <c r="CO327" s="138">
        <f>1-'LCFS Table'!$CE327</f>
        <v>0</v>
      </c>
      <c r="CP327" s="138">
        <f>-'LCFS Table'!$CF327</f>
        <v>1</v>
      </c>
      <c r="CQ327" s="140">
        <f t="shared" si="6"/>
        <v>8</v>
      </c>
      <c r="CR327" s="165">
        <f>('LCFS Table'!$CQ327*0.9/(0.8/0.99)/100)</f>
        <v>8.9099999999999985E-2</v>
      </c>
      <c r="CS327" s="166"/>
      <c r="CT327" s="167"/>
      <c r="CW327" s="168">
        <f>'LCFS Table'!$K327-'LCFS Table'!$M327</f>
        <v>0.81048533641421239</v>
      </c>
      <c r="CX327" s="129">
        <f>MONTH('LCFS Table'!$B327)</f>
        <v>3</v>
      </c>
      <c r="CY327" s="129">
        <f>YEAR('LCFS Table'!$B327)</f>
        <v>2025</v>
      </c>
      <c r="DC327" s="129">
        <v>0.4</v>
      </c>
      <c r="DD327" s="129">
        <v>0.4</v>
      </c>
      <c r="DE327" s="129">
        <v>0.6</v>
      </c>
      <c r="DF327" s="129">
        <v>0.6</v>
      </c>
      <c r="DG327" s="129">
        <v>0.2</v>
      </c>
    </row>
    <row r="328" spans="1:111">
      <c r="A328" s="148">
        <v>45739</v>
      </c>
      <c r="B328" s="149">
        <v>45745</v>
      </c>
      <c r="C328" s="132">
        <f t="shared" si="7"/>
        <v>2025</v>
      </c>
      <c r="D328" s="150" t="s">
        <v>269</v>
      </c>
      <c r="E328" s="187">
        <f>'LCFS Table'!$K328-'LCFS Table'!$I328</f>
        <v>-1.624259814900205</v>
      </c>
      <c r="F328" s="187">
        <f>('LCFS Table'!$M328)-'LCFS Table'!$J328</f>
        <v>-2.6987529145392126</v>
      </c>
      <c r="G328" s="188">
        <f>'LCFS Table'!$E328+'LCFS Table'!$AS328+'LCFS Table'!$AT328+'LCFS Table'!$AU328+'LCFS Table'!$AV328+(DE328*'LCFS Table'!$AD328)+(DD328*'LCFS Table'!$AE328)+(DC328*'LCFS Table'!$AC328)</f>
        <v>0.87052417483810252</v>
      </c>
      <c r="H328" s="188">
        <f>'LCFS Table'!$F328+'LCFS Table'!$AX328+'LCFS Table'!$AY328+'LCFS Table'!$AZ328+'LCFS Table'!$BA328+('LCFS Table'!$CQ328*0.9/(0.8/0.99)/100)+(DG328*'LCFS Table'!$AF328)+(DF328*'LCFS Table'!$AG328)</f>
        <v>-0.76516757812500025</v>
      </c>
      <c r="I328" s="187">
        <f>('LCFS Table'!$V328+'LCFS Table'!$W328+'LCFS Table'!$X328)/100+(('LCFS Table'!$AI328+'LCFS Table'!$AJ328)/340)</f>
        <v>3.9722598149002049</v>
      </c>
      <c r="J328" s="187">
        <f>(('LCFS Table'!$Y328+'LCFS Table'!$Z328)/100)+(('LCFS Table'!$AM328+'LCFS Table'!$AN328)/300)</f>
        <v>4.1742675781249998</v>
      </c>
      <c r="K328" s="190">
        <f>'[1]Fuel Values'!$C327</f>
        <v>2.3479999999999999</v>
      </c>
      <c r="L328" s="190">
        <f>'[1]Fuel Values'!$B327</f>
        <v>402</v>
      </c>
      <c r="M328" s="185">
        <f>('LCFS Table'!$L328/100)-'LCFS Table'!$AX328-'LCFS Table'!$AY328-'LCFS Table'!$AZ328-'LCFS Table'!$BA328-1</f>
        <v>1.4755146635857872</v>
      </c>
      <c r="N328" s="190">
        <f>[3]Sheet1!$F279</f>
        <v>42.815789473684212</v>
      </c>
      <c r="O328" s="190">
        <f>[3]Sheet1!$C279</f>
        <v>41</v>
      </c>
      <c r="P328" s="190">
        <f>[3]Sheet1!$G279</f>
        <v>48.75</v>
      </c>
      <c r="Q328" s="190">
        <f>[3]Sheet1!$H279</f>
        <v>46.75</v>
      </c>
      <c r="R328" s="190">
        <f>[3]Sheet1!$B279</f>
        <v>30.75</v>
      </c>
      <c r="S328" s="185">
        <f>'LCFS Table'!$N328 + 'LCFS Table'!$AH328</f>
        <v>47.190789473684212</v>
      </c>
      <c r="T328" s="185">
        <f>'LCFS Table'!$Q328+'LCFS Table'!$AH328</f>
        <v>51.125</v>
      </c>
      <c r="U328" s="185">
        <f>'LCFS Table'!$P328+'LCFS Table'!$AH328</f>
        <v>53.125</v>
      </c>
      <c r="V328" s="185">
        <f>(('LCFS Table'!$S328/'LCFS Table'!$AA328)*'LCFS Table'!$AC328)*6.48</f>
        <v>162.65761478163498</v>
      </c>
      <c r="W328" s="185">
        <f>(('LCFS Table'!$O328/'LCFS Table'!$AA328)*'LCFS Table'!$AD328)*6.48</f>
        <v>70.659574468085125</v>
      </c>
      <c r="X328" s="185">
        <f>(('LCFS Table'!$U328/'LCFS Table'!$AA328)*'LCFS Table'!$AE328)*6.48</f>
        <v>91.555851063829792</v>
      </c>
      <c r="Y328" s="185">
        <f>(('LCFS Table'!$T328/'LCFS Table'!$AB328)*'LCFS Table'!$AF328)*7.35</f>
        <v>293.5693359375</v>
      </c>
      <c r="Z328" s="185">
        <f>(('LCFS Table'!$R328/'LCFS Table'!$AB328)*'LCFS Table'!$AG328)*7.35</f>
        <v>58.857421875</v>
      </c>
      <c r="AA328" s="138">
        <v>0.94</v>
      </c>
      <c r="AB328" s="138">
        <v>0.96</v>
      </c>
      <c r="AC328" s="138">
        <v>0.5</v>
      </c>
      <c r="AD328" s="138">
        <v>0.25</v>
      </c>
      <c r="AE328" s="138">
        <v>0.25</v>
      </c>
      <c r="AF328" s="138">
        <v>0.75</v>
      </c>
      <c r="AG328" s="138">
        <v>0.25</v>
      </c>
      <c r="AH328" s="139">
        <v>4.375</v>
      </c>
      <c r="AI328" s="139">
        <v>136</v>
      </c>
      <c r="AJ328" s="139">
        <v>110</v>
      </c>
      <c r="AK328" s="186">
        <f>('LCFS Table'!$AI328/340)*100</f>
        <v>40</v>
      </c>
      <c r="AL328" s="186">
        <f>('LCFS Table'!$AJ328/340)*100</f>
        <v>32.352941176470587</v>
      </c>
      <c r="AM328" s="139">
        <v>105</v>
      </c>
      <c r="AN328" s="139">
        <v>90</v>
      </c>
      <c r="AO328" s="139">
        <f>('LCFS Table'!$AM328/300)*100</f>
        <v>35</v>
      </c>
      <c r="AP328" s="139">
        <f>('LCFS Table'!$AN328/300)*100</f>
        <v>30</v>
      </c>
      <c r="AQ328" s="140">
        <f>[3]Sheet1!$K279</f>
        <v>66.6186299081036</v>
      </c>
      <c r="AR328" s="140">
        <f>[3]Sheet1!$J279/100</f>
        <v>0.79571428571428571</v>
      </c>
      <c r="AS328" s="185">
        <f>((('[2]Controls 2'!$B$2-SUM(('[2]Controls 2'!$B$5*'LCFS Table'!$AC328),('[2]Controls 2'!$B$6*'LCFS Table'!$AD328),('[2]Controls 2'!$B$7*'LCFS Table'!$AE328)))/1000000)*'LCFS Table'!$AQ328)*'[2]Controls 2'!$B$8</f>
        <v>0.53206970402402165</v>
      </c>
      <c r="AT328" s="137">
        <v>0.16</v>
      </c>
      <c r="AU328" s="137">
        <v>0</v>
      </c>
      <c r="AV328" s="185">
        <f>'LCFS Table'!$AR328*1.7</f>
        <v>1.3527142857142858</v>
      </c>
      <c r="AW328" s="137">
        <v>0</v>
      </c>
      <c r="AX328" s="185">
        <f>(((('[2]Controls 2'!$B$2-SUM(('LCFS Table'!$AF328*'[2]Controls 2'!$B$12),('LCFS Table'!$AG328*'[2]Controls 2'!$B$13)))/1000000)*'LCFS Table'!$AQ328)*'[2]Controls 2'!$B$14)</f>
        <v>0.35091390784278403</v>
      </c>
      <c r="AY328" s="137">
        <v>0</v>
      </c>
      <c r="AZ328" s="141">
        <v>0</v>
      </c>
      <c r="BA328" s="185">
        <f>'LCFS Table'!$AR328*1.5</f>
        <v>1.1935714285714285</v>
      </c>
      <c r="BB328" s="136">
        <v>1.2</v>
      </c>
      <c r="BC328" s="185">
        <f>'LCFS Table'!$AS328*'LCFS Table'!$BW328</f>
        <v>0.53206970402402165</v>
      </c>
      <c r="BD328" s="185">
        <f>'LCFS Table'!$AT328*'LCFS Table'!$BX328</f>
        <v>0</v>
      </c>
      <c r="BE328" s="185">
        <f>'LCFS Table'!$AU328*'LCFS Table'!$BY328</f>
        <v>0</v>
      </c>
      <c r="BF328" s="137">
        <f>'LCFS Table'!$AV328*'LCFS Table'!$BZ328</f>
        <v>1.3527142857142858</v>
      </c>
      <c r="BG328" s="137">
        <f>'LCFS Table'!$AW328*'LCFS Table'!$CA328</f>
        <v>0</v>
      </c>
      <c r="BH328" s="137">
        <f>'LCFS Table'!$AX328*'LCFS Table'!$CB328</f>
        <v>0.35091390784278403</v>
      </c>
      <c r="BI328" s="137">
        <f>'LCFS Table'!$AY328*'LCFS Table'!$CC328</f>
        <v>0</v>
      </c>
      <c r="BJ328" s="137">
        <f>'LCFS Table'!$AZ328*'LCFS Table'!$CD328</f>
        <v>0</v>
      </c>
      <c r="BK328" s="137">
        <f>'LCFS Table'!$BA328*'LCFS Table'!$CE328</f>
        <v>1.1935714285714285</v>
      </c>
      <c r="BL328" s="137">
        <f>'LCFS Table'!$BB328*'LCFS Table'!$CF328</f>
        <v>-1.2</v>
      </c>
      <c r="BM328" s="137">
        <f>'LCFS Table'!$AS328*'LCFS Table'!$CG328</f>
        <v>0</v>
      </c>
      <c r="BN328" s="137">
        <f>'LCFS Table'!$AT328*'LCFS Table'!$CH328</f>
        <v>0.16</v>
      </c>
      <c r="BO328" s="137">
        <f>'LCFS Table'!$AU328*'LCFS Table'!$CI328</f>
        <v>0</v>
      </c>
      <c r="BP328" s="137">
        <f>'LCFS Table'!$AV328*'LCFS Table'!$CJ328</f>
        <v>0</v>
      </c>
      <c r="BQ328" s="137">
        <f>'LCFS Table'!$AW328*'LCFS Table'!$CK328</f>
        <v>0</v>
      </c>
      <c r="BR328" s="137">
        <f>'LCFS Table'!$AX328*'LCFS Table'!$CL328</f>
        <v>0</v>
      </c>
      <c r="BS328" s="137">
        <f>'LCFS Table'!$AY328*'LCFS Table'!$CM328</f>
        <v>0</v>
      </c>
      <c r="BT328" s="137">
        <f>'LCFS Table'!$AZ328*'LCFS Table'!$CN328</f>
        <v>0</v>
      </c>
      <c r="BU328" s="137">
        <f>'LCFS Table'!$BA328*'LCFS Table'!$CO328</f>
        <v>0</v>
      </c>
      <c r="BV328" s="136">
        <f>'LCFS Table'!$BB328*'LCFS Table'!$CP328</f>
        <v>1.2</v>
      </c>
      <c r="BW328" s="138">
        <v>1</v>
      </c>
      <c r="BX328" s="138">
        <v>0</v>
      </c>
      <c r="BY328" s="138">
        <v>1</v>
      </c>
      <c r="BZ328" s="138">
        <v>1</v>
      </c>
      <c r="CA328" s="138">
        <v>-1</v>
      </c>
      <c r="CB328" s="138">
        <v>1</v>
      </c>
      <c r="CC328" s="138">
        <v>0</v>
      </c>
      <c r="CD328" s="138">
        <v>1</v>
      </c>
      <c r="CE328" s="138">
        <v>1</v>
      </c>
      <c r="CF328" s="138">
        <v>-1</v>
      </c>
      <c r="CG328" s="138">
        <f>1-'LCFS Table'!$BW328</f>
        <v>0</v>
      </c>
      <c r="CH328" s="138">
        <f>1-'LCFS Table'!$BX328</f>
        <v>1</v>
      </c>
      <c r="CI328" s="138">
        <f>1-'LCFS Table'!$BY328</f>
        <v>0</v>
      </c>
      <c r="CJ328" s="138">
        <f>1-'LCFS Table'!$BZ328</f>
        <v>0</v>
      </c>
      <c r="CK328" s="138">
        <f>-'LCFS Table'!$CA328</f>
        <v>1</v>
      </c>
      <c r="CL328" s="138">
        <f>1-'LCFS Table'!$CB328</f>
        <v>0</v>
      </c>
      <c r="CM328" s="138">
        <f>1-'LCFS Table'!$CC328</f>
        <v>1</v>
      </c>
      <c r="CN328" s="138">
        <f>1-'LCFS Table'!$CD328</f>
        <v>0</v>
      </c>
      <c r="CO328" s="138">
        <f>1-'LCFS Table'!$CE328</f>
        <v>0</v>
      </c>
      <c r="CP328" s="138">
        <f>-'LCFS Table'!$CF328</f>
        <v>1</v>
      </c>
      <c r="CQ328" s="140">
        <f t="shared" si="6"/>
        <v>8</v>
      </c>
      <c r="CR328" s="165">
        <f>('LCFS Table'!$CQ328*0.9/(0.8/0.99)/100)</f>
        <v>8.9099999999999985E-2</v>
      </c>
      <c r="CS328" s="166"/>
      <c r="CT328" s="167"/>
      <c r="CW328" s="168">
        <f>'LCFS Table'!$K328-'LCFS Table'!$M328</f>
        <v>0.87248533641421266</v>
      </c>
      <c r="CX328" s="129">
        <f>MONTH('LCFS Table'!$B328)</f>
        <v>3</v>
      </c>
      <c r="CY328" s="129">
        <f>YEAR('LCFS Table'!$B328)</f>
        <v>2025</v>
      </c>
      <c r="DC328" s="129">
        <v>0.4</v>
      </c>
      <c r="DD328" s="129">
        <v>0.4</v>
      </c>
      <c r="DE328" s="129">
        <v>0.6</v>
      </c>
      <c r="DF328" s="129">
        <v>0.6</v>
      </c>
      <c r="DG328" s="129">
        <v>0.2</v>
      </c>
    </row>
    <row r="329" spans="1:111">
      <c r="A329" s="148">
        <v>45746</v>
      </c>
      <c r="B329" s="149">
        <v>45752</v>
      </c>
      <c r="C329" s="132">
        <f t="shared" si="7"/>
        <v>2025</v>
      </c>
      <c r="D329" s="150" t="s">
        <v>270</v>
      </c>
      <c r="E329" s="187">
        <f>'LCFS Table'!$K329-'LCFS Table'!$I329</f>
        <v>-1.632259814900205</v>
      </c>
      <c r="F329" s="187">
        <f>('LCFS Table'!$M329)-'LCFS Table'!$J329</f>
        <v>-2.4047529145392121</v>
      </c>
      <c r="G329" s="188">
        <f>'LCFS Table'!$E329+'LCFS Table'!$AS329+'LCFS Table'!$AT329+'LCFS Table'!$AU329+'LCFS Table'!$AV329+(DE329*'LCFS Table'!$AD329)+(DD329*'LCFS Table'!$AE329)+(DC329*'LCFS Table'!$AC329)</f>
        <v>0.86252417483810251</v>
      </c>
      <c r="H329" s="188">
        <f>'LCFS Table'!$F329+'LCFS Table'!$AX329+'LCFS Table'!$AY329+'LCFS Table'!$AZ329+'LCFS Table'!$BA329+('LCFS Table'!$CQ329*0.9/(0.8/0.99)/100)+(DG329*'LCFS Table'!$AF329)+(DF329*'LCFS Table'!$AG329)</f>
        <v>-0.47116757812499976</v>
      </c>
      <c r="I329" s="187">
        <f>('LCFS Table'!$V329+'LCFS Table'!$W329+'LCFS Table'!$X329)/100+(('LCFS Table'!$AI329+'LCFS Table'!$AJ329)/340)</f>
        <v>3.9722598149002049</v>
      </c>
      <c r="J329" s="187">
        <f>(('LCFS Table'!$Y329+'LCFS Table'!$Z329)/100)+(('LCFS Table'!$AM329+'LCFS Table'!$AN329)/300)</f>
        <v>4.1742675781249998</v>
      </c>
      <c r="K329" s="190">
        <f>'[1]Fuel Values'!$C328</f>
        <v>2.34</v>
      </c>
      <c r="L329" s="190">
        <f>'[1]Fuel Values'!$B328</f>
        <v>431.4</v>
      </c>
      <c r="M329" s="185">
        <f>('LCFS Table'!$L329/100)-'LCFS Table'!$AX329-'LCFS Table'!$AY329-'LCFS Table'!$AZ329-'LCFS Table'!$BA329-1</f>
        <v>1.7695146635857877</v>
      </c>
      <c r="N329" s="190">
        <f>[3]Sheet1!$F280</f>
        <v>42.815789473684212</v>
      </c>
      <c r="O329" s="190">
        <f>[3]Sheet1!$C280</f>
        <v>41</v>
      </c>
      <c r="P329" s="190">
        <f>[3]Sheet1!$G280</f>
        <v>48.75</v>
      </c>
      <c r="Q329" s="190">
        <f>[3]Sheet1!$H280</f>
        <v>46.75</v>
      </c>
      <c r="R329" s="190">
        <f>[3]Sheet1!$B280</f>
        <v>30.75</v>
      </c>
      <c r="S329" s="185">
        <f>'LCFS Table'!$N329 + 'LCFS Table'!$AH329</f>
        <v>47.190789473684212</v>
      </c>
      <c r="T329" s="185">
        <f>'LCFS Table'!$Q329+'LCFS Table'!$AH329</f>
        <v>51.125</v>
      </c>
      <c r="U329" s="185">
        <f>'LCFS Table'!$P329+'LCFS Table'!$AH329</f>
        <v>53.125</v>
      </c>
      <c r="V329" s="185">
        <f>(('LCFS Table'!$S329/'LCFS Table'!$AA329)*'LCFS Table'!$AC329)*6.48</f>
        <v>162.65761478163498</v>
      </c>
      <c r="W329" s="185">
        <f>(('LCFS Table'!$O329/'LCFS Table'!$AA329)*'LCFS Table'!$AD329)*6.48</f>
        <v>70.659574468085125</v>
      </c>
      <c r="X329" s="185">
        <f>(('LCFS Table'!$U329/'LCFS Table'!$AA329)*'LCFS Table'!$AE329)*6.48</f>
        <v>91.555851063829792</v>
      </c>
      <c r="Y329" s="185">
        <f>(('LCFS Table'!$T329/'LCFS Table'!$AB329)*'LCFS Table'!$AF329)*7.35</f>
        <v>293.5693359375</v>
      </c>
      <c r="Z329" s="185">
        <f>(('LCFS Table'!$R329/'LCFS Table'!$AB329)*'LCFS Table'!$AG329)*7.35</f>
        <v>58.857421875</v>
      </c>
      <c r="AA329" s="138">
        <v>0.94</v>
      </c>
      <c r="AB329" s="138">
        <v>0.96</v>
      </c>
      <c r="AC329" s="138">
        <v>0.5</v>
      </c>
      <c r="AD329" s="138">
        <v>0.25</v>
      </c>
      <c r="AE329" s="138">
        <v>0.25</v>
      </c>
      <c r="AF329" s="138">
        <v>0.75</v>
      </c>
      <c r="AG329" s="138">
        <v>0.25</v>
      </c>
      <c r="AH329" s="139">
        <v>4.375</v>
      </c>
      <c r="AI329" s="139">
        <v>136</v>
      </c>
      <c r="AJ329" s="139">
        <v>110</v>
      </c>
      <c r="AK329" s="186">
        <f>('LCFS Table'!$AI329/340)*100</f>
        <v>40</v>
      </c>
      <c r="AL329" s="186">
        <f>('LCFS Table'!$AJ329/340)*100</f>
        <v>32.352941176470587</v>
      </c>
      <c r="AM329" s="139">
        <v>105</v>
      </c>
      <c r="AN329" s="139">
        <v>90</v>
      </c>
      <c r="AO329" s="139">
        <f>('LCFS Table'!$AM329/300)*100</f>
        <v>35</v>
      </c>
      <c r="AP329" s="139">
        <f>('LCFS Table'!$AN329/300)*100</f>
        <v>30</v>
      </c>
      <c r="AQ329" s="140">
        <f>[3]Sheet1!$K280</f>
        <v>66.6186299081036</v>
      </c>
      <c r="AR329" s="140">
        <f>[3]Sheet1!$J280/100</f>
        <v>0.79571428571428571</v>
      </c>
      <c r="AS329" s="185">
        <f>((('[2]Controls 2'!$B$2-SUM(('[2]Controls 2'!$B$5*'LCFS Table'!$AC329),('[2]Controls 2'!$B$6*'LCFS Table'!$AD329),('[2]Controls 2'!$B$7*'LCFS Table'!$AE329)))/1000000)*'LCFS Table'!$AQ329)*'[2]Controls 2'!$B$8</f>
        <v>0.53206970402402165</v>
      </c>
      <c r="AT329" s="137">
        <v>0.16</v>
      </c>
      <c r="AU329" s="137">
        <v>0</v>
      </c>
      <c r="AV329" s="185">
        <f>'LCFS Table'!$AR329*1.7</f>
        <v>1.3527142857142858</v>
      </c>
      <c r="AW329" s="137">
        <v>0</v>
      </c>
      <c r="AX329" s="185">
        <f>(((('[2]Controls 2'!$B$2-SUM(('LCFS Table'!$AF329*'[2]Controls 2'!$B$12),('LCFS Table'!$AG329*'[2]Controls 2'!$B$13)))/1000000)*'LCFS Table'!$AQ329)*'[2]Controls 2'!$B$14)</f>
        <v>0.35091390784278403</v>
      </c>
      <c r="AY329" s="137">
        <v>0</v>
      </c>
      <c r="AZ329" s="141">
        <v>0</v>
      </c>
      <c r="BA329" s="185">
        <f>'LCFS Table'!$AR329*1.5</f>
        <v>1.1935714285714285</v>
      </c>
      <c r="BB329" s="136">
        <v>1.2</v>
      </c>
      <c r="BC329" s="185">
        <f>'LCFS Table'!$AS329*'LCFS Table'!$BW329</f>
        <v>0.53206970402402165</v>
      </c>
      <c r="BD329" s="185">
        <f>'LCFS Table'!$AT329*'LCFS Table'!$BX329</f>
        <v>0</v>
      </c>
      <c r="BE329" s="185">
        <f>'LCFS Table'!$AU329*'LCFS Table'!$BY329</f>
        <v>0</v>
      </c>
      <c r="BF329" s="137">
        <f>'LCFS Table'!$AV329*'LCFS Table'!$BZ329</f>
        <v>1.3527142857142858</v>
      </c>
      <c r="BG329" s="137">
        <f>'LCFS Table'!$AW329*'LCFS Table'!$CA329</f>
        <v>0</v>
      </c>
      <c r="BH329" s="137">
        <f>'LCFS Table'!$AX329*'LCFS Table'!$CB329</f>
        <v>0.35091390784278403</v>
      </c>
      <c r="BI329" s="137">
        <f>'LCFS Table'!$AY329*'LCFS Table'!$CC329</f>
        <v>0</v>
      </c>
      <c r="BJ329" s="137">
        <f>'LCFS Table'!$AZ329*'LCFS Table'!$CD329</f>
        <v>0</v>
      </c>
      <c r="BK329" s="137">
        <f>'LCFS Table'!$BA329*'LCFS Table'!$CE329</f>
        <v>1.1935714285714285</v>
      </c>
      <c r="BL329" s="137">
        <f>'LCFS Table'!$BB329*'LCFS Table'!$CF329</f>
        <v>-1.2</v>
      </c>
      <c r="BM329" s="137">
        <f>'LCFS Table'!$AS329*'LCFS Table'!$CG329</f>
        <v>0</v>
      </c>
      <c r="BN329" s="137">
        <f>'LCFS Table'!$AT329*'LCFS Table'!$CH329</f>
        <v>0.16</v>
      </c>
      <c r="BO329" s="137">
        <f>'LCFS Table'!$AU329*'LCFS Table'!$CI329</f>
        <v>0</v>
      </c>
      <c r="BP329" s="137">
        <f>'LCFS Table'!$AV329*'LCFS Table'!$CJ329</f>
        <v>0</v>
      </c>
      <c r="BQ329" s="137">
        <f>'LCFS Table'!$AW329*'LCFS Table'!$CK329</f>
        <v>0</v>
      </c>
      <c r="BR329" s="137">
        <f>'LCFS Table'!$AX329*'LCFS Table'!$CL329</f>
        <v>0</v>
      </c>
      <c r="BS329" s="137">
        <f>'LCFS Table'!$AY329*'LCFS Table'!$CM329</f>
        <v>0</v>
      </c>
      <c r="BT329" s="137">
        <f>'LCFS Table'!$AZ329*'LCFS Table'!$CN329</f>
        <v>0</v>
      </c>
      <c r="BU329" s="137">
        <f>'LCFS Table'!$BA329*'LCFS Table'!$CO329</f>
        <v>0</v>
      </c>
      <c r="BV329" s="136">
        <f>'LCFS Table'!$BB329*'LCFS Table'!$CP329</f>
        <v>1.2</v>
      </c>
      <c r="BW329" s="138">
        <v>1</v>
      </c>
      <c r="BX329" s="138">
        <v>0</v>
      </c>
      <c r="BY329" s="138">
        <v>1</v>
      </c>
      <c r="BZ329" s="138">
        <v>1</v>
      </c>
      <c r="CA329" s="138">
        <v>-1</v>
      </c>
      <c r="CB329" s="138">
        <v>1</v>
      </c>
      <c r="CC329" s="138">
        <v>0</v>
      </c>
      <c r="CD329" s="138">
        <v>1</v>
      </c>
      <c r="CE329" s="138">
        <v>1</v>
      </c>
      <c r="CF329" s="138">
        <v>-1</v>
      </c>
      <c r="CG329" s="138">
        <f>1-'LCFS Table'!$BW329</f>
        <v>0</v>
      </c>
      <c r="CH329" s="138">
        <f>1-'LCFS Table'!$BX329</f>
        <v>1</v>
      </c>
      <c r="CI329" s="138">
        <f>1-'LCFS Table'!$BY329</f>
        <v>0</v>
      </c>
      <c r="CJ329" s="138">
        <f>1-'LCFS Table'!$BZ329</f>
        <v>0</v>
      </c>
      <c r="CK329" s="138">
        <f>-'LCFS Table'!$CA329</f>
        <v>1</v>
      </c>
      <c r="CL329" s="138">
        <f>1-'LCFS Table'!$CB329</f>
        <v>0</v>
      </c>
      <c r="CM329" s="138">
        <f>1-'LCFS Table'!$CC329</f>
        <v>1</v>
      </c>
      <c r="CN329" s="138">
        <f>1-'LCFS Table'!$CD329</f>
        <v>0</v>
      </c>
      <c r="CO329" s="138">
        <f>1-'LCFS Table'!$CE329</f>
        <v>0</v>
      </c>
      <c r="CP329" s="138">
        <f>-'LCFS Table'!$CF329</f>
        <v>1</v>
      </c>
      <c r="CQ329" s="140">
        <f t="shared" si="6"/>
        <v>8</v>
      </c>
      <c r="CR329" s="165">
        <f>('LCFS Table'!$CQ329*0.9/(0.8/0.99)/100)</f>
        <v>8.9099999999999985E-2</v>
      </c>
      <c r="CS329" s="166"/>
      <c r="CT329" s="167"/>
      <c r="CW329" s="168">
        <f>'LCFS Table'!$K329-'LCFS Table'!$M329</f>
        <v>0.57048533641421217</v>
      </c>
      <c r="CX329" s="129">
        <f>MONTH('LCFS Table'!$B329)</f>
        <v>4</v>
      </c>
      <c r="CY329" s="129">
        <f>YEAR('LCFS Table'!$B329)</f>
        <v>2025</v>
      </c>
      <c r="DC329" s="129">
        <v>0.4</v>
      </c>
      <c r="DD329" s="129">
        <v>0.4</v>
      </c>
      <c r="DE329" s="129">
        <v>0.6</v>
      </c>
      <c r="DF329" s="129">
        <v>0.6</v>
      </c>
      <c r="DG329" s="129">
        <v>0.2</v>
      </c>
    </row>
    <row r="330" spans="1:111">
      <c r="A330" s="148">
        <v>45753</v>
      </c>
      <c r="B330" s="149">
        <v>45759</v>
      </c>
      <c r="C330" s="132">
        <f t="shared" si="7"/>
        <v>2025</v>
      </c>
      <c r="D330" s="150" t="s">
        <v>271</v>
      </c>
      <c r="E330" s="187">
        <f>'LCFS Table'!$K330-'LCFS Table'!$I330</f>
        <v>-1.7239830591811205</v>
      </c>
      <c r="F330" s="187">
        <f>('LCFS Table'!$M330)-'LCFS Table'!$J330</f>
        <v>-2.9575739843554709</v>
      </c>
      <c r="G330" s="188">
        <f>'LCFS Table'!$E330+'LCFS Table'!$AS330+'LCFS Table'!$AT330+'LCFS Table'!$AU330+'LCFS Table'!$AV330+(DE330*'LCFS Table'!$AD330)+(DD330*'LCFS Table'!$AE330)+(DC330*'LCFS Table'!$AC330)</f>
        <v>1.2438647425966136</v>
      </c>
      <c r="H330" s="188">
        <f>'LCFS Table'!$F330+'LCFS Table'!$AX330+'LCFS Table'!$AY330+'LCFS Table'!$AZ330+'LCFS Table'!$BA330+('LCFS Table'!$CQ330*0.9/(0.8/0.99)/100)+(DG330*'LCFS Table'!$AF330)+(DF330*'LCFS Table'!$AG330)</f>
        <v>-0.62478085937500105</v>
      </c>
      <c r="I330" s="187">
        <f>('LCFS Table'!$V330+'LCFS Table'!$W330+'LCFS Table'!$X330)/100+(('LCFS Table'!$AI330+'LCFS Table'!$AJ330)/340)</f>
        <v>3.92198305918112</v>
      </c>
      <c r="J330" s="187">
        <f>(('LCFS Table'!$Y330+'LCFS Table'!$Z330)/100)+(('LCFS Table'!$AM330+'LCFS Table'!$AN330)/300)</f>
        <v>4.4278808593750005</v>
      </c>
      <c r="K330" s="190">
        <f>'[1]Fuel Values'!$C329</f>
        <v>2.1979999999999995</v>
      </c>
      <c r="L330" s="190">
        <f>'[1]Fuel Values'!$B329</f>
        <v>441.4</v>
      </c>
      <c r="M330" s="185">
        <f>('LCFS Table'!$L330/100)-'LCFS Table'!$AX330-'LCFS Table'!$AY330-'LCFS Table'!$AZ330-'LCFS Table'!$BA330-1</f>
        <v>1.4703068750195296</v>
      </c>
      <c r="N330" s="190">
        <f>[3]Sheet1!$F281</f>
        <v>43.357142857142854</v>
      </c>
      <c r="O330" s="190">
        <f>[3]Sheet1!$C281</f>
        <v>37.75</v>
      </c>
      <c r="P330" s="190">
        <f>[3]Sheet1!$G281</f>
        <v>48</v>
      </c>
      <c r="Q330" s="190">
        <f>[3]Sheet1!$H281</f>
        <v>50.5</v>
      </c>
      <c r="R330" s="190">
        <f>[3]Sheet1!$B281</f>
        <v>32.75</v>
      </c>
      <c r="S330" s="185">
        <f>'LCFS Table'!$N330 + 'LCFS Table'!$AH330</f>
        <v>47.732142857142854</v>
      </c>
      <c r="T330" s="185">
        <f>'LCFS Table'!$Q330+'LCFS Table'!$AH330</f>
        <v>54.875</v>
      </c>
      <c r="U330" s="185">
        <f>'LCFS Table'!$P330+'LCFS Table'!$AH330</f>
        <v>52.375</v>
      </c>
      <c r="V330" s="185">
        <f>(('LCFS Table'!$S330/'LCFS Table'!$AA330)*'LCFS Table'!$AC330)*6.48</f>
        <v>164.52355623100306</v>
      </c>
      <c r="W330" s="185">
        <f>(('LCFS Table'!$O330/'LCFS Table'!$AA330)*'LCFS Table'!$AD330)*6.48</f>
        <v>65.058510638297889</v>
      </c>
      <c r="X330" s="185">
        <f>(('LCFS Table'!$U330/'LCFS Table'!$AA330)*'LCFS Table'!$AE330)*6.48</f>
        <v>90.263297872340431</v>
      </c>
      <c r="Y330" s="185">
        <f>(('LCFS Table'!$T330/'LCFS Table'!$AB330)*'LCFS Table'!$AF330)*7.35</f>
        <v>315.1025390625</v>
      </c>
      <c r="Z330" s="185">
        <f>(('LCFS Table'!$R330/'LCFS Table'!$AB330)*'LCFS Table'!$AG330)*7.35</f>
        <v>62.685546875</v>
      </c>
      <c r="AA330" s="138">
        <v>0.94</v>
      </c>
      <c r="AB330" s="138">
        <v>0.96</v>
      </c>
      <c r="AC330" s="138">
        <v>0.5</v>
      </c>
      <c r="AD330" s="138">
        <v>0.25</v>
      </c>
      <c r="AE330" s="138">
        <v>0.25</v>
      </c>
      <c r="AF330" s="138">
        <v>0.75</v>
      </c>
      <c r="AG330" s="138">
        <v>0.25</v>
      </c>
      <c r="AH330" s="139">
        <v>4.375</v>
      </c>
      <c r="AI330" s="139">
        <v>136</v>
      </c>
      <c r="AJ330" s="139">
        <v>110</v>
      </c>
      <c r="AK330" s="186">
        <f>('LCFS Table'!$AI330/340)*100</f>
        <v>40</v>
      </c>
      <c r="AL330" s="186">
        <f>('LCFS Table'!$AJ330/340)*100</f>
        <v>32.352941176470587</v>
      </c>
      <c r="AM330" s="139">
        <v>105</v>
      </c>
      <c r="AN330" s="139">
        <v>90</v>
      </c>
      <c r="AO330" s="139">
        <f>('LCFS Table'!$AM330/300)*100</f>
        <v>35</v>
      </c>
      <c r="AP330" s="139">
        <f>('LCFS Table'!$AN330/300)*100</f>
        <v>30</v>
      </c>
      <c r="AQ330" s="140">
        <f>[3]Sheet1!$K281</f>
        <v>76.846048028575552</v>
      </c>
      <c r="AR330" s="140">
        <f>[3]Sheet1!$J281/100</f>
        <v>1.0259374999999999</v>
      </c>
      <c r="AS330" s="185">
        <f>((('[2]Controls 2'!$B$2-SUM(('[2]Controls 2'!$B$5*'LCFS Table'!$AC330),('[2]Controls 2'!$B$6*'LCFS Table'!$AD330),('[2]Controls 2'!$B$7*'LCFS Table'!$AE330)))/1000000)*'LCFS Table'!$AQ330)*'[2]Controls 2'!$B$8</f>
        <v>0.61375405177773434</v>
      </c>
      <c r="AT330" s="137">
        <v>0.16</v>
      </c>
      <c r="AU330" s="137">
        <v>0</v>
      </c>
      <c r="AV330" s="185">
        <f>'LCFS Table'!$AR330*1.7</f>
        <v>1.7440937499999998</v>
      </c>
      <c r="AW330" s="137">
        <v>0</v>
      </c>
      <c r="AX330" s="185">
        <f>(((('[2]Controls 2'!$B$2-SUM(('LCFS Table'!$AF330*'[2]Controls 2'!$B$12),('LCFS Table'!$AG330*'[2]Controls 2'!$B$13)))/1000000)*'LCFS Table'!$AQ330)*'[2]Controls 2'!$B$14)</f>
        <v>0.40478687498046984</v>
      </c>
      <c r="AY330" s="137">
        <v>0</v>
      </c>
      <c r="AZ330" s="141">
        <v>0</v>
      </c>
      <c r="BA330" s="185">
        <f>'LCFS Table'!$AR330*1.5</f>
        <v>1.5389062499999999</v>
      </c>
      <c r="BB330" s="136">
        <v>1.2</v>
      </c>
      <c r="BC330" s="185">
        <f>'LCFS Table'!$AS330*'LCFS Table'!$BW330</f>
        <v>0.61375405177773434</v>
      </c>
      <c r="BD330" s="185">
        <f>'LCFS Table'!$AT330*'LCFS Table'!$BX330</f>
        <v>0</v>
      </c>
      <c r="BE330" s="185">
        <f>'LCFS Table'!$AU330*'LCFS Table'!$BY330</f>
        <v>0</v>
      </c>
      <c r="BF330" s="137">
        <f>'LCFS Table'!$AV330*'LCFS Table'!$BZ330</f>
        <v>1.7440937499999998</v>
      </c>
      <c r="BG330" s="137">
        <f>'LCFS Table'!$AW330*'LCFS Table'!$CA330</f>
        <v>0</v>
      </c>
      <c r="BH330" s="137">
        <f>'LCFS Table'!$AX330*'LCFS Table'!$CB330</f>
        <v>0.40478687498046984</v>
      </c>
      <c r="BI330" s="137">
        <f>'LCFS Table'!$AY330*'LCFS Table'!$CC330</f>
        <v>0</v>
      </c>
      <c r="BJ330" s="137">
        <f>'LCFS Table'!$AZ330*'LCFS Table'!$CD330</f>
        <v>0</v>
      </c>
      <c r="BK330" s="137">
        <f>'LCFS Table'!$BA330*'LCFS Table'!$CE330</f>
        <v>1.5389062499999999</v>
      </c>
      <c r="BL330" s="137">
        <f>'LCFS Table'!$BB330*'LCFS Table'!$CF330</f>
        <v>-1.2</v>
      </c>
      <c r="BM330" s="137">
        <f>'LCFS Table'!$AS330*'LCFS Table'!$CG330</f>
        <v>0</v>
      </c>
      <c r="BN330" s="137">
        <f>'LCFS Table'!$AT330*'LCFS Table'!$CH330</f>
        <v>0.16</v>
      </c>
      <c r="BO330" s="137">
        <f>'LCFS Table'!$AU330*'LCFS Table'!$CI330</f>
        <v>0</v>
      </c>
      <c r="BP330" s="137">
        <f>'LCFS Table'!$AV330*'LCFS Table'!$CJ330</f>
        <v>0</v>
      </c>
      <c r="BQ330" s="137">
        <f>'LCFS Table'!$AW330*'LCFS Table'!$CK330</f>
        <v>0</v>
      </c>
      <c r="BR330" s="137">
        <f>'LCFS Table'!$AX330*'LCFS Table'!$CL330</f>
        <v>0</v>
      </c>
      <c r="BS330" s="137">
        <f>'LCFS Table'!$AY330*'LCFS Table'!$CM330</f>
        <v>0</v>
      </c>
      <c r="BT330" s="137">
        <f>'LCFS Table'!$AZ330*'LCFS Table'!$CN330</f>
        <v>0</v>
      </c>
      <c r="BU330" s="137">
        <f>'LCFS Table'!$BA330*'LCFS Table'!$CO330</f>
        <v>0</v>
      </c>
      <c r="BV330" s="142">
        <f>'LCFS Table'!$BB330*'LCFS Table'!$CP330</f>
        <v>1.2</v>
      </c>
      <c r="BW330" s="138">
        <v>1</v>
      </c>
      <c r="BX330" s="138">
        <v>0</v>
      </c>
      <c r="BY330" s="138">
        <v>1</v>
      </c>
      <c r="BZ330" s="138">
        <v>1</v>
      </c>
      <c r="CA330" s="138">
        <v>-1</v>
      </c>
      <c r="CB330" s="138">
        <v>1</v>
      </c>
      <c r="CC330" s="138">
        <v>0</v>
      </c>
      <c r="CD330" s="138">
        <v>1</v>
      </c>
      <c r="CE330" s="138">
        <v>1</v>
      </c>
      <c r="CF330" s="138">
        <v>-1</v>
      </c>
      <c r="CG330" s="138">
        <f>1-'LCFS Table'!$BW330</f>
        <v>0</v>
      </c>
      <c r="CH330" s="138">
        <f>1-'LCFS Table'!$BX330</f>
        <v>1</v>
      </c>
      <c r="CI330" s="138">
        <f>1-'LCFS Table'!$BY330</f>
        <v>0</v>
      </c>
      <c r="CJ330" s="138">
        <f>1-'LCFS Table'!$BZ330</f>
        <v>0</v>
      </c>
      <c r="CK330" s="138">
        <f>-'LCFS Table'!$CA330</f>
        <v>1</v>
      </c>
      <c r="CL330" s="138">
        <f>1-'LCFS Table'!$CB330</f>
        <v>0</v>
      </c>
      <c r="CM330" s="138">
        <f>1-'LCFS Table'!$CC330</f>
        <v>1</v>
      </c>
      <c r="CN330" s="138">
        <f>1-'LCFS Table'!$CD330</f>
        <v>0</v>
      </c>
      <c r="CO330" s="138">
        <f>1-'LCFS Table'!$CE330</f>
        <v>0</v>
      </c>
      <c r="CP330" s="138">
        <f>-'LCFS Table'!$CF330</f>
        <v>1</v>
      </c>
      <c r="CQ330" s="140">
        <f t="shared" si="6"/>
        <v>8</v>
      </c>
      <c r="CR330" s="165">
        <f>('LCFS Table'!$CQ330*0.9/(0.8/0.99)/100)</f>
        <v>8.9099999999999985E-2</v>
      </c>
      <c r="CS330" s="166"/>
      <c r="CT330" s="167"/>
      <c r="CW330" s="168">
        <f>'LCFS Table'!$K330-'LCFS Table'!$M330</f>
        <v>0.7276931249804699</v>
      </c>
      <c r="CX330" s="129">
        <f>MONTH('LCFS Table'!$B330)</f>
        <v>4</v>
      </c>
      <c r="CY330" s="129">
        <f>YEAR('LCFS Table'!$B330)</f>
        <v>2025</v>
      </c>
      <c r="DC330" s="129">
        <v>0.4</v>
      </c>
      <c r="DD330" s="129">
        <v>0.4</v>
      </c>
      <c r="DE330" s="129">
        <v>0.6</v>
      </c>
      <c r="DF330" s="129">
        <v>0.6</v>
      </c>
      <c r="DG330" s="129">
        <v>0.2</v>
      </c>
    </row>
    <row r="331" spans="1:111">
      <c r="A331" s="148">
        <v>45760</v>
      </c>
      <c r="B331" s="149">
        <v>45766</v>
      </c>
      <c r="C331" s="132">
        <f t="shared" si="7"/>
        <v>2025</v>
      </c>
      <c r="D331" s="150" t="s">
        <v>272</v>
      </c>
      <c r="E331" s="187">
        <f>'LCFS Table'!$K331-'LCFS Table'!$I331</f>
        <v>-1.7419830591811198</v>
      </c>
      <c r="F331" s="187">
        <f>('LCFS Table'!$M331)-'LCFS Table'!$J331</f>
        <v>-2.9965739843554706</v>
      </c>
      <c r="G331" s="188">
        <f>'LCFS Table'!$E331+'LCFS Table'!$AS331+'LCFS Table'!$AT331+'LCFS Table'!$AU331+'LCFS Table'!$AV331+(DE331*'LCFS Table'!$AD331)+(DD331*'LCFS Table'!$AE331)+(DC331*'LCFS Table'!$AC331)</f>
        <v>1.2258647425966143</v>
      </c>
      <c r="H331" s="188">
        <f>'LCFS Table'!$F331+'LCFS Table'!$AX331+'LCFS Table'!$AY331+'LCFS Table'!$AZ331+'LCFS Table'!$BA331+('LCFS Table'!$CQ331*0.9/(0.8/0.99)/100)+(DG331*'LCFS Table'!$AF331)+(DF331*'LCFS Table'!$AG331)</f>
        <v>-0.66378085937500075</v>
      </c>
      <c r="I331" s="187">
        <f>('LCFS Table'!$V331+'LCFS Table'!$W331+'LCFS Table'!$X331)/100+(('LCFS Table'!$AI331+'LCFS Table'!$AJ331)/340)</f>
        <v>3.92198305918112</v>
      </c>
      <c r="J331" s="187">
        <f>(('LCFS Table'!$Y331+'LCFS Table'!$Z331)/100)+(('LCFS Table'!$AM331+'LCFS Table'!$AN331)/300)</f>
        <v>4.4278808593750005</v>
      </c>
      <c r="K331" s="190">
        <f>'[1]Fuel Values'!$C330</f>
        <v>2.1800000000000002</v>
      </c>
      <c r="L331" s="190">
        <f>'[1]Fuel Values'!$B330</f>
        <v>437.5</v>
      </c>
      <c r="M331" s="185">
        <f>('LCFS Table'!$L331/100)-'LCFS Table'!$AX331-'LCFS Table'!$AY331-'LCFS Table'!$AZ331-'LCFS Table'!$BA331-1</f>
        <v>1.4313068750195299</v>
      </c>
      <c r="N331" s="190">
        <f>[3]Sheet1!$F282</f>
        <v>43.357142857142854</v>
      </c>
      <c r="O331" s="190">
        <f>[3]Sheet1!$C282</f>
        <v>37.75</v>
      </c>
      <c r="P331" s="190">
        <f>[3]Sheet1!$G282</f>
        <v>48</v>
      </c>
      <c r="Q331" s="190">
        <f>[3]Sheet1!$H282</f>
        <v>50.5</v>
      </c>
      <c r="R331" s="190">
        <f>[3]Sheet1!$B282</f>
        <v>32.75</v>
      </c>
      <c r="S331" s="185">
        <f>'LCFS Table'!$N331 + 'LCFS Table'!$AH331</f>
        <v>47.732142857142854</v>
      </c>
      <c r="T331" s="185">
        <f>'LCFS Table'!$Q331+'LCFS Table'!$AH331</f>
        <v>54.875</v>
      </c>
      <c r="U331" s="185">
        <f>'LCFS Table'!$P331+'LCFS Table'!$AH331</f>
        <v>52.375</v>
      </c>
      <c r="V331" s="185">
        <f>(('LCFS Table'!$S331/'LCFS Table'!$AA331)*'LCFS Table'!$AC331)*6.48</f>
        <v>164.52355623100306</v>
      </c>
      <c r="W331" s="185">
        <f>(('LCFS Table'!$O331/'LCFS Table'!$AA331)*'LCFS Table'!$AD331)*6.48</f>
        <v>65.058510638297889</v>
      </c>
      <c r="X331" s="185">
        <f>(('LCFS Table'!$U331/'LCFS Table'!$AA331)*'LCFS Table'!$AE331)*6.48</f>
        <v>90.263297872340431</v>
      </c>
      <c r="Y331" s="185">
        <f>(('LCFS Table'!$T331/'LCFS Table'!$AB331)*'LCFS Table'!$AF331)*7.35</f>
        <v>315.1025390625</v>
      </c>
      <c r="Z331" s="185">
        <f>(('LCFS Table'!$R331/'LCFS Table'!$AB331)*'LCFS Table'!$AG331)*7.35</f>
        <v>62.685546875</v>
      </c>
      <c r="AA331" s="138">
        <v>0.94</v>
      </c>
      <c r="AB331" s="138">
        <v>0.96</v>
      </c>
      <c r="AC331" s="138">
        <v>0.5</v>
      </c>
      <c r="AD331" s="138">
        <v>0.25</v>
      </c>
      <c r="AE331" s="138">
        <v>0.25</v>
      </c>
      <c r="AF331" s="138">
        <v>0.75</v>
      </c>
      <c r="AG331" s="138">
        <v>0.25</v>
      </c>
      <c r="AH331" s="139">
        <v>4.375</v>
      </c>
      <c r="AI331" s="139">
        <v>136</v>
      </c>
      <c r="AJ331" s="139">
        <v>110</v>
      </c>
      <c r="AK331" s="186">
        <f>('LCFS Table'!$AI331/340)*100</f>
        <v>40</v>
      </c>
      <c r="AL331" s="186">
        <f>('LCFS Table'!$AJ331/340)*100</f>
        <v>32.352941176470587</v>
      </c>
      <c r="AM331" s="139">
        <v>105</v>
      </c>
      <c r="AN331" s="139">
        <v>90</v>
      </c>
      <c r="AO331" s="139">
        <f>('LCFS Table'!$AM331/300)*100</f>
        <v>35</v>
      </c>
      <c r="AP331" s="139">
        <f>('LCFS Table'!$AN331/300)*100</f>
        <v>30</v>
      </c>
      <c r="AQ331" s="189">
        <f>[3]Sheet1!$K282</f>
        <v>76.846048028575552</v>
      </c>
      <c r="AR331" s="189">
        <f>[3]Sheet1!$J282/100</f>
        <v>1.0259374999999999</v>
      </c>
      <c r="AS331" s="185">
        <f>((('[2]Controls 2'!$B$2-SUM(('[2]Controls 2'!$B$5*'LCFS Table'!$AC331),('[2]Controls 2'!$B$6*'LCFS Table'!$AD331),('[2]Controls 2'!$B$7*'LCFS Table'!$AE331)))/1000000)*'LCFS Table'!$AQ331)*'[2]Controls 2'!$B$8</f>
        <v>0.61375405177773434</v>
      </c>
      <c r="AT331" s="137">
        <v>0.16</v>
      </c>
      <c r="AU331" s="137">
        <v>0</v>
      </c>
      <c r="AV331" s="185">
        <f>'LCFS Table'!$AR331*1.7</f>
        <v>1.7440937499999998</v>
      </c>
      <c r="AW331" s="137">
        <v>0</v>
      </c>
      <c r="AX331" s="185">
        <f>(((('[2]Controls 2'!$B$2-SUM(('LCFS Table'!$AF331*'[2]Controls 2'!$B$12),('LCFS Table'!$AG331*'[2]Controls 2'!$B$13)))/1000000)*'LCFS Table'!$AQ331)*'[2]Controls 2'!$B$14)</f>
        <v>0.40478687498046984</v>
      </c>
      <c r="AY331" s="137">
        <v>0</v>
      </c>
      <c r="AZ331" s="141">
        <v>0</v>
      </c>
      <c r="BA331" s="185">
        <f>'LCFS Table'!$AR331*1.5</f>
        <v>1.5389062499999999</v>
      </c>
      <c r="BB331" s="142">
        <v>1.2</v>
      </c>
      <c r="BC331" s="185">
        <f>'LCFS Table'!$AS331*'LCFS Table'!$BW331</f>
        <v>0.61375405177773434</v>
      </c>
      <c r="BD331" s="185">
        <f>'LCFS Table'!$AT331*'LCFS Table'!$BX331</f>
        <v>0</v>
      </c>
      <c r="BE331" s="185">
        <f>'LCFS Table'!$AU331*'LCFS Table'!$BY331</f>
        <v>0</v>
      </c>
      <c r="BF331" s="137">
        <f>'LCFS Table'!$AV331*'LCFS Table'!$BZ331</f>
        <v>1.7440937499999998</v>
      </c>
      <c r="BG331" s="137">
        <f>'LCFS Table'!$AW331*'LCFS Table'!$CA331</f>
        <v>0</v>
      </c>
      <c r="BH331" s="137">
        <f>'LCFS Table'!$AX331*'LCFS Table'!$CB331</f>
        <v>0.40478687498046984</v>
      </c>
      <c r="BI331" s="137">
        <f>'LCFS Table'!$AY331*'LCFS Table'!$CC331</f>
        <v>0</v>
      </c>
      <c r="BJ331" s="137">
        <f>'LCFS Table'!$AZ331*'LCFS Table'!$CD331</f>
        <v>0</v>
      </c>
      <c r="BK331" s="137">
        <f>'LCFS Table'!$BA331*'LCFS Table'!$CE331</f>
        <v>1.5389062499999999</v>
      </c>
      <c r="BL331" s="137">
        <f>'LCFS Table'!$BB331*'LCFS Table'!$CF331</f>
        <v>-1.2</v>
      </c>
      <c r="BM331" s="137">
        <f>'LCFS Table'!$AS331*'LCFS Table'!$CG331</f>
        <v>0</v>
      </c>
      <c r="BN331" s="137">
        <f>'LCFS Table'!$AT331*'LCFS Table'!$CH331</f>
        <v>0.16</v>
      </c>
      <c r="BO331" s="137">
        <f>'LCFS Table'!$AU331*'LCFS Table'!$CI331</f>
        <v>0</v>
      </c>
      <c r="BP331" s="137">
        <f>'LCFS Table'!$AV331*'LCFS Table'!$CJ331</f>
        <v>0</v>
      </c>
      <c r="BQ331" s="137">
        <f>'LCFS Table'!$AW331*'LCFS Table'!$CK331</f>
        <v>0</v>
      </c>
      <c r="BR331" s="137">
        <f>'LCFS Table'!$AX331*'LCFS Table'!$CL331</f>
        <v>0</v>
      </c>
      <c r="BS331" s="137">
        <f>'LCFS Table'!$AY331*'LCFS Table'!$CM331</f>
        <v>0</v>
      </c>
      <c r="BT331" s="137">
        <f>'LCFS Table'!$AZ331*'LCFS Table'!$CN331</f>
        <v>0</v>
      </c>
      <c r="BU331" s="137">
        <f>'LCFS Table'!$BA331*'LCFS Table'!$CO331</f>
        <v>0</v>
      </c>
      <c r="BV331" s="142">
        <f>'LCFS Table'!$BB331*'LCFS Table'!$CP331</f>
        <v>1.2</v>
      </c>
      <c r="BW331" s="138">
        <v>1</v>
      </c>
      <c r="BX331" s="138">
        <v>0</v>
      </c>
      <c r="BY331" s="138">
        <v>1</v>
      </c>
      <c r="BZ331" s="138">
        <v>1</v>
      </c>
      <c r="CA331" s="138">
        <v>-1</v>
      </c>
      <c r="CB331" s="138">
        <v>1</v>
      </c>
      <c r="CC331" s="138">
        <v>0</v>
      </c>
      <c r="CD331" s="138">
        <v>1</v>
      </c>
      <c r="CE331" s="138">
        <v>1</v>
      </c>
      <c r="CF331" s="138">
        <v>-1</v>
      </c>
      <c r="CG331" s="138">
        <f>1-'LCFS Table'!$BW331</f>
        <v>0</v>
      </c>
      <c r="CH331" s="138">
        <f>1-'LCFS Table'!$BX331</f>
        <v>1</v>
      </c>
      <c r="CI331" s="138">
        <f>1-'LCFS Table'!$BY331</f>
        <v>0</v>
      </c>
      <c r="CJ331" s="138">
        <f>1-'LCFS Table'!$BZ331</f>
        <v>0</v>
      </c>
      <c r="CK331" s="138">
        <f>-'LCFS Table'!$CA331</f>
        <v>1</v>
      </c>
      <c r="CL331" s="138">
        <f>1-'LCFS Table'!$CB331</f>
        <v>0</v>
      </c>
      <c r="CM331" s="138">
        <f>1-'LCFS Table'!$CC331</f>
        <v>1</v>
      </c>
      <c r="CN331" s="138">
        <f>1-'LCFS Table'!$CD331</f>
        <v>0</v>
      </c>
      <c r="CO331" s="138">
        <f>1-'LCFS Table'!$CE331</f>
        <v>0</v>
      </c>
      <c r="CP331" s="138">
        <f>-'LCFS Table'!$CF331</f>
        <v>1</v>
      </c>
      <c r="CQ331" s="140">
        <f t="shared" si="6"/>
        <v>8</v>
      </c>
      <c r="CR331" s="165">
        <f>('LCFS Table'!$CQ331*0.9/(0.8/0.99)/100)</f>
        <v>8.9099999999999985E-2</v>
      </c>
      <c r="CS331" s="166"/>
      <c r="CT331" s="167"/>
      <c r="CW331" s="168">
        <f>'LCFS Table'!$K331-'LCFS Table'!$M331</f>
        <v>0.74869312498047025</v>
      </c>
      <c r="CX331" s="129">
        <f>MONTH('LCFS Table'!$B331)</f>
        <v>4</v>
      </c>
      <c r="CY331" s="129">
        <f>YEAR('LCFS Table'!$B331)</f>
        <v>2025</v>
      </c>
      <c r="DC331" s="129">
        <v>0.4</v>
      </c>
      <c r="DD331" s="129">
        <v>0.4</v>
      </c>
      <c r="DE331" s="129">
        <v>0.6</v>
      </c>
      <c r="DF331" s="129">
        <v>0.6</v>
      </c>
      <c r="DG331" s="129">
        <v>0.2</v>
      </c>
    </row>
    <row r="332" spans="1:111">
      <c r="A332" s="212">
        <v>45767</v>
      </c>
      <c r="B332" s="213">
        <v>45773</v>
      </c>
      <c r="C332" s="132">
        <f t="shared" si="7"/>
        <v>2025</v>
      </c>
      <c r="D332" s="150" t="s">
        <v>273</v>
      </c>
      <c r="E332" s="187">
        <f>'LCFS Table'!$K332-'LCFS Table'!$I332</f>
        <v>-1.6219830591811202</v>
      </c>
      <c r="F332" s="187">
        <f>('LCFS Table'!$M332)-'LCFS Table'!$J332</f>
        <v>-2.9715739843554703</v>
      </c>
      <c r="G332" s="214">
        <f>'LCFS Table'!$E332+'LCFS Table'!$AS332+'LCFS Table'!$AT332+'LCFS Table'!$AU332+'LCFS Table'!$AV332+(DE332*'LCFS Table'!$AD332)+(DD332*'LCFS Table'!$AE332)+(DC332*'LCFS Table'!$AC332)</f>
        <v>1.3458647425966139</v>
      </c>
      <c r="H332" s="214">
        <f>'LCFS Table'!$F332+'LCFS Table'!$AX332+'LCFS Table'!$AY332+'LCFS Table'!$AZ332+'LCFS Table'!$BA332+('LCFS Table'!$CQ332*0.9/(0.8/0.99)/100)+(DG332*'LCFS Table'!$AF332)+(DF332*'LCFS Table'!$AG332)</f>
        <v>-0.6387808593750004</v>
      </c>
      <c r="I332" s="187">
        <f>('LCFS Table'!$V332+'LCFS Table'!$W332+'LCFS Table'!$X332)/100+(('LCFS Table'!$AI332+'LCFS Table'!$AJ332)/340)</f>
        <v>3.92198305918112</v>
      </c>
      <c r="J332" s="187">
        <f>(('LCFS Table'!$Y332+'LCFS Table'!$Z332)/100)+(('LCFS Table'!$AM332+'LCFS Table'!$AN332)/300)</f>
        <v>4.4278808593750005</v>
      </c>
      <c r="K332" s="215">
        <f>[4]Forecasts!$C$65</f>
        <v>2.2999999999999998</v>
      </c>
      <c r="L332" s="215">
        <f>[4]Forecasts!$B$65</f>
        <v>440</v>
      </c>
      <c r="M332" s="185">
        <f>('LCFS Table'!$L332/100)-'LCFS Table'!$AX332-'LCFS Table'!$AY332-'LCFS Table'!$AZ332-'LCFS Table'!$BA332-1</f>
        <v>1.4563068750195303</v>
      </c>
      <c r="N332" s="215">
        <f>[3]Sheet1!$F283</f>
        <v>43.357142857142854</v>
      </c>
      <c r="O332" s="215">
        <f>[3]Sheet1!$C283</f>
        <v>37.75</v>
      </c>
      <c r="P332" s="215">
        <f>[3]Sheet1!$G283</f>
        <v>48</v>
      </c>
      <c r="Q332" s="215">
        <f>[3]Sheet1!$H283</f>
        <v>50.5</v>
      </c>
      <c r="R332" s="215">
        <f>[3]Sheet1!$B283</f>
        <v>32.75</v>
      </c>
      <c r="S332" s="185">
        <f>'LCFS Table'!$N332 + 'LCFS Table'!$AH332</f>
        <v>47.732142857142854</v>
      </c>
      <c r="T332" s="185">
        <f>'LCFS Table'!$Q332+'LCFS Table'!$AH332</f>
        <v>54.875</v>
      </c>
      <c r="U332" s="185">
        <f>'LCFS Table'!$P332+'LCFS Table'!$AH332</f>
        <v>52.375</v>
      </c>
      <c r="V332" s="185">
        <f>(('LCFS Table'!$S332/'LCFS Table'!$AA332)*'LCFS Table'!$AC332)*6.48</f>
        <v>164.52355623100306</v>
      </c>
      <c r="W332" s="185">
        <f>(('LCFS Table'!$O332/'LCFS Table'!$AA332)*'LCFS Table'!$AD332)*6.48</f>
        <v>65.058510638297889</v>
      </c>
      <c r="X332" s="185">
        <f>(('LCFS Table'!$U332/'LCFS Table'!$AA332)*'LCFS Table'!$AE332)*6.48</f>
        <v>90.263297872340431</v>
      </c>
      <c r="Y332" s="185">
        <f>(('LCFS Table'!$T332/'LCFS Table'!$AB332)*'LCFS Table'!$AF332)*7.35</f>
        <v>315.1025390625</v>
      </c>
      <c r="Z332" s="185">
        <f>(('LCFS Table'!$R332/'LCFS Table'!$AB332)*'LCFS Table'!$AG332)*7.35</f>
        <v>62.685546875</v>
      </c>
      <c r="AA332" s="138">
        <v>0.94</v>
      </c>
      <c r="AB332" s="138">
        <v>0.96</v>
      </c>
      <c r="AC332" s="138">
        <v>0.5</v>
      </c>
      <c r="AD332" s="138">
        <v>0.25</v>
      </c>
      <c r="AE332" s="138">
        <v>0.25</v>
      </c>
      <c r="AF332" s="138">
        <v>0.75</v>
      </c>
      <c r="AG332" s="138">
        <v>0.25</v>
      </c>
      <c r="AH332" s="139">
        <v>4.375</v>
      </c>
      <c r="AI332" s="139">
        <v>136</v>
      </c>
      <c r="AJ332" s="139">
        <v>110</v>
      </c>
      <c r="AK332" s="186">
        <f>('LCFS Table'!$AI332/340)*100</f>
        <v>40</v>
      </c>
      <c r="AL332" s="186">
        <f>('LCFS Table'!$AJ332/340)*100</f>
        <v>32.352941176470587</v>
      </c>
      <c r="AM332" s="139">
        <v>105</v>
      </c>
      <c r="AN332" s="139">
        <v>90</v>
      </c>
      <c r="AO332" s="139">
        <f>('LCFS Table'!$AM332/300)*100</f>
        <v>35</v>
      </c>
      <c r="AP332" s="139">
        <f>('LCFS Table'!$AN332/300)*100</f>
        <v>30</v>
      </c>
      <c r="AQ332" s="189">
        <f>[3]Sheet1!$K283</f>
        <v>76.846048028575552</v>
      </c>
      <c r="AR332" s="189">
        <f>[3]Sheet1!$J283/100</f>
        <v>1.0259374999999999</v>
      </c>
      <c r="AS332" s="185">
        <f>((('[2]Controls 2'!$B$2-SUM(('[2]Controls 2'!$B$5*'LCFS Table'!$AC332),('[2]Controls 2'!$B$6*'LCFS Table'!$AD332),('[2]Controls 2'!$B$7*'LCFS Table'!$AE332)))/1000000)*'LCFS Table'!$AQ332)*'[2]Controls 2'!$B$8</f>
        <v>0.61375405177773434</v>
      </c>
      <c r="AT332" s="137">
        <v>0.16</v>
      </c>
      <c r="AU332" s="137">
        <v>0</v>
      </c>
      <c r="AV332" s="185">
        <f>'LCFS Table'!$AR332*1.7</f>
        <v>1.7440937499999998</v>
      </c>
      <c r="AW332" s="137">
        <v>0</v>
      </c>
      <c r="AX332" s="185">
        <f>(((('[2]Controls 2'!$B$2-SUM(('LCFS Table'!$AF332*'[2]Controls 2'!$B$12),('LCFS Table'!$AG332*'[2]Controls 2'!$B$13)))/1000000)*'LCFS Table'!$AQ332)*'[2]Controls 2'!$B$14)</f>
        <v>0.40478687498046984</v>
      </c>
      <c r="AY332" s="137">
        <v>0</v>
      </c>
      <c r="AZ332" s="141">
        <v>0</v>
      </c>
      <c r="BA332" s="185">
        <f>'LCFS Table'!$AR332*1.5</f>
        <v>1.5389062499999999</v>
      </c>
      <c r="BB332" s="142">
        <v>1.2</v>
      </c>
      <c r="BC332" s="185">
        <f>'LCFS Table'!$AS332*'LCFS Table'!$BW332</f>
        <v>0.61375405177773434</v>
      </c>
      <c r="BD332" s="185">
        <f>'LCFS Table'!$AT332*'LCFS Table'!$BX332</f>
        <v>0</v>
      </c>
      <c r="BE332" s="185">
        <f>'LCFS Table'!$AU332*'LCFS Table'!$BY332</f>
        <v>0</v>
      </c>
      <c r="BF332" s="137">
        <f>'LCFS Table'!$AV332*'LCFS Table'!$BZ332</f>
        <v>1.7440937499999998</v>
      </c>
      <c r="BG332" s="137">
        <f>'LCFS Table'!$AW332*'LCFS Table'!$CA332</f>
        <v>0</v>
      </c>
      <c r="BH332" s="137">
        <f>'LCFS Table'!$AX332*'LCFS Table'!$CB332</f>
        <v>0.40478687498046984</v>
      </c>
      <c r="BI332" s="137">
        <f>'LCFS Table'!$AY332*'LCFS Table'!$CC332</f>
        <v>0</v>
      </c>
      <c r="BJ332" s="137">
        <f>'LCFS Table'!$AZ332*'LCFS Table'!$CD332</f>
        <v>0</v>
      </c>
      <c r="BK332" s="137">
        <f>'LCFS Table'!$BA332*'LCFS Table'!$CE332</f>
        <v>1.5389062499999999</v>
      </c>
      <c r="BL332" s="137">
        <f>'LCFS Table'!$BB332*'LCFS Table'!$CF332</f>
        <v>-1.2</v>
      </c>
      <c r="BM332" s="137">
        <f>'LCFS Table'!$AS332*'LCFS Table'!$CG332</f>
        <v>0</v>
      </c>
      <c r="BN332" s="137">
        <f>'LCFS Table'!$AT332*'LCFS Table'!$CH332</f>
        <v>0.16</v>
      </c>
      <c r="BO332" s="137">
        <f>'LCFS Table'!$AU332*'LCFS Table'!$CI332</f>
        <v>0</v>
      </c>
      <c r="BP332" s="137">
        <f>'LCFS Table'!$AV332*'LCFS Table'!$CJ332</f>
        <v>0</v>
      </c>
      <c r="BQ332" s="137">
        <f>'LCFS Table'!$AW332*'LCFS Table'!$CK332</f>
        <v>0</v>
      </c>
      <c r="BR332" s="137">
        <f>'LCFS Table'!$AX332*'LCFS Table'!$CL332</f>
        <v>0</v>
      </c>
      <c r="BS332" s="137">
        <f>'LCFS Table'!$AY332*'LCFS Table'!$CM332</f>
        <v>0</v>
      </c>
      <c r="BT332" s="137">
        <f>'LCFS Table'!$AZ332*'LCFS Table'!$CN332</f>
        <v>0</v>
      </c>
      <c r="BU332" s="137">
        <f>'LCFS Table'!$BA332*'LCFS Table'!$CO332</f>
        <v>0</v>
      </c>
      <c r="BV332" s="142">
        <f>'LCFS Table'!$BB332*'LCFS Table'!$CP332</f>
        <v>1.2</v>
      </c>
      <c r="BW332" s="138">
        <v>1</v>
      </c>
      <c r="BX332" s="138">
        <v>0</v>
      </c>
      <c r="BY332" s="138">
        <v>1</v>
      </c>
      <c r="BZ332" s="138">
        <v>1</v>
      </c>
      <c r="CA332" s="138">
        <v>-1</v>
      </c>
      <c r="CB332" s="138">
        <v>1</v>
      </c>
      <c r="CC332" s="138">
        <v>0</v>
      </c>
      <c r="CD332" s="138">
        <v>1</v>
      </c>
      <c r="CE332" s="138">
        <v>1</v>
      </c>
      <c r="CF332" s="138">
        <v>-1</v>
      </c>
      <c r="CG332" s="138">
        <f>1-'LCFS Table'!$BW332</f>
        <v>0</v>
      </c>
      <c r="CH332" s="138">
        <f>1-'LCFS Table'!$BX332</f>
        <v>1</v>
      </c>
      <c r="CI332" s="138">
        <f>1-'LCFS Table'!$BY332</f>
        <v>0</v>
      </c>
      <c r="CJ332" s="138">
        <f>1-'LCFS Table'!$BZ332</f>
        <v>0</v>
      </c>
      <c r="CK332" s="138">
        <f>-'LCFS Table'!$CA332</f>
        <v>1</v>
      </c>
      <c r="CL332" s="138">
        <f>1-'LCFS Table'!$CB332</f>
        <v>0</v>
      </c>
      <c r="CM332" s="138">
        <f>1-'LCFS Table'!$CC332</f>
        <v>1</v>
      </c>
      <c r="CN332" s="138">
        <f>1-'LCFS Table'!$CD332</f>
        <v>0</v>
      </c>
      <c r="CO332" s="138">
        <f>1-'LCFS Table'!$CE332</f>
        <v>0</v>
      </c>
      <c r="CP332" s="138">
        <f>-'LCFS Table'!$CF332</f>
        <v>1</v>
      </c>
      <c r="CQ332" s="140">
        <f t="shared" si="6"/>
        <v>8</v>
      </c>
      <c r="CR332" s="165">
        <f>('LCFS Table'!$CQ332*0.9/(0.8/0.99)/100)</f>
        <v>8.9099999999999985E-2</v>
      </c>
      <c r="CS332" s="166"/>
      <c r="CT332" s="167"/>
      <c r="CW332" s="168">
        <f>'LCFS Table'!$K332-'LCFS Table'!$M332</f>
        <v>0.84369312498046956</v>
      </c>
      <c r="CX332" s="129">
        <f>MONTH('LCFS Table'!$B332)</f>
        <v>4</v>
      </c>
      <c r="CY332" s="129">
        <f>YEAR('LCFS Table'!$B332)</f>
        <v>2025</v>
      </c>
      <c r="DC332" s="129">
        <v>0.4</v>
      </c>
      <c r="DD332" s="129">
        <v>0.4</v>
      </c>
      <c r="DE332" s="129">
        <v>0.6</v>
      </c>
      <c r="DF332" s="129">
        <v>0.6</v>
      </c>
      <c r="DG332" s="129">
        <v>0.2</v>
      </c>
    </row>
    <row r="333" spans="1:111">
      <c r="A333" s="212">
        <v>45774</v>
      </c>
      <c r="B333" s="213">
        <v>45780</v>
      </c>
      <c r="C333" s="132">
        <f t="shared" si="7"/>
        <v>2025</v>
      </c>
      <c r="D333" s="150" t="s">
        <v>274</v>
      </c>
      <c r="E333" s="187">
        <f>'LCFS Table'!$K333-'LCFS Table'!$I333</f>
        <v>-1.6219830591811202</v>
      </c>
      <c r="F333" s="187">
        <f>('LCFS Table'!$M333)-'LCFS Table'!$J333</f>
        <v>-2.9715739843554703</v>
      </c>
      <c r="G333" s="214">
        <f>'LCFS Table'!$E333+'LCFS Table'!$AS333+'LCFS Table'!$AT333+'LCFS Table'!$AU333+'LCFS Table'!$AV333+(DE333*'LCFS Table'!$AD333)+(DD333*'LCFS Table'!$AE333)+(DC333*'LCFS Table'!$AC333)</f>
        <v>1.3458647425966139</v>
      </c>
      <c r="H333" s="214">
        <f>'LCFS Table'!$F333+'LCFS Table'!$AX333+'LCFS Table'!$AY333+'LCFS Table'!$AZ333+'LCFS Table'!$BA333+('LCFS Table'!$CQ333*0.9/(0.8/0.99)/100)+(DG333*'LCFS Table'!$AF333)+(DF333*'LCFS Table'!$AG333)</f>
        <v>-0.6387808593750004</v>
      </c>
      <c r="I333" s="187">
        <f>('LCFS Table'!$V333+'LCFS Table'!$W333+'LCFS Table'!$X333)/100+(('LCFS Table'!$AI333+'LCFS Table'!$AJ333)/340)</f>
        <v>3.92198305918112</v>
      </c>
      <c r="J333" s="187">
        <f>(('LCFS Table'!$Y333+'LCFS Table'!$Z333)/100)+(('LCFS Table'!$AM333+'LCFS Table'!$AN333)/300)</f>
        <v>4.4278808593750005</v>
      </c>
      <c r="K333" s="215">
        <f>[4]Forecasts!$C$65</f>
        <v>2.2999999999999998</v>
      </c>
      <c r="L333" s="215">
        <f>[4]Forecasts!$B$65</f>
        <v>440</v>
      </c>
      <c r="M333" s="185">
        <f>('LCFS Table'!$L333/100)-'LCFS Table'!$AX333-'LCFS Table'!$AY333-'LCFS Table'!$AZ333-'LCFS Table'!$BA333-1</f>
        <v>1.4563068750195303</v>
      </c>
      <c r="N333" s="215">
        <f>[3]Sheet1!$F284</f>
        <v>43.357142857142854</v>
      </c>
      <c r="O333" s="215">
        <f>[3]Sheet1!$C284</f>
        <v>37.75</v>
      </c>
      <c r="P333" s="215">
        <f>[3]Sheet1!$G284</f>
        <v>48</v>
      </c>
      <c r="Q333" s="215">
        <f>[3]Sheet1!$H284</f>
        <v>50.5</v>
      </c>
      <c r="R333" s="215">
        <f>[3]Sheet1!$B284</f>
        <v>32.75</v>
      </c>
      <c r="S333" s="185">
        <f>'LCFS Table'!$N333 + 'LCFS Table'!$AH333</f>
        <v>47.732142857142854</v>
      </c>
      <c r="T333" s="185">
        <f>'LCFS Table'!$Q333+'LCFS Table'!$AH333</f>
        <v>54.875</v>
      </c>
      <c r="U333" s="185">
        <f>'LCFS Table'!$P333+'LCFS Table'!$AH333</f>
        <v>52.375</v>
      </c>
      <c r="V333" s="185">
        <f>(('LCFS Table'!$S333/'LCFS Table'!$AA333)*'LCFS Table'!$AC333)*6.48</f>
        <v>164.52355623100306</v>
      </c>
      <c r="W333" s="185">
        <f>(('LCFS Table'!$O333/'LCFS Table'!$AA333)*'LCFS Table'!$AD333)*6.48</f>
        <v>65.058510638297889</v>
      </c>
      <c r="X333" s="185">
        <f>(('LCFS Table'!$U333/'LCFS Table'!$AA333)*'LCFS Table'!$AE333)*6.48</f>
        <v>90.263297872340431</v>
      </c>
      <c r="Y333" s="185">
        <f>(('LCFS Table'!$T333/'LCFS Table'!$AB333)*'LCFS Table'!$AF333)*7.35</f>
        <v>315.1025390625</v>
      </c>
      <c r="Z333" s="185">
        <f>(('LCFS Table'!$R333/'LCFS Table'!$AB333)*'LCFS Table'!$AG333)*7.35</f>
        <v>62.685546875</v>
      </c>
      <c r="AA333" s="138">
        <v>0.94</v>
      </c>
      <c r="AB333" s="138">
        <v>0.96</v>
      </c>
      <c r="AC333" s="138">
        <v>0.5</v>
      </c>
      <c r="AD333" s="138">
        <v>0.25</v>
      </c>
      <c r="AE333" s="138">
        <v>0.25</v>
      </c>
      <c r="AF333" s="138">
        <v>0.75</v>
      </c>
      <c r="AG333" s="138">
        <v>0.25</v>
      </c>
      <c r="AH333" s="139">
        <v>4.375</v>
      </c>
      <c r="AI333" s="139">
        <v>136</v>
      </c>
      <c r="AJ333" s="139">
        <v>110</v>
      </c>
      <c r="AK333" s="186">
        <f>('LCFS Table'!$AI333/340)*100</f>
        <v>40</v>
      </c>
      <c r="AL333" s="186">
        <f>('LCFS Table'!$AJ333/340)*100</f>
        <v>32.352941176470587</v>
      </c>
      <c r="AM333" s="139">
        <v>105</v>
      </c>
      <c r="AN333" s="139">
        <v>90</v>
      </c>
      <c r="AO333" s="139">
        <f>('LCFS Table'!$AM333/300)*100</f>
        <v>35</v>
      </c>
      <c r="AP333" s="139">
        <f>('LCFS Table'!$AN333/300)*100</f>
        <v>30</v>
      </c>
      <c r="AQ333" s="189">
        <f>[3]Sheet1!$K284</f>
        <v>76.846048028575552</v>
      </c>
      <c r="AR333" s="189">
        <f>[3]Sheet1!$J284/100</f>
        <v>1.0259374999999999</v>
      </c>
      <c r="AS333" s="185">
        <f>((('[2]Controls 2'!$B$2-SUM(('[2]Controls 2'!$B$5*'LCFS Table'!$AC333),('[2]Controls 2'!$B$6*'LCFS Table'!$AD333),('[2]Controls 2'!$B$7*'LCFS Table'!$AE333)))/1000000)*'LCFS Table'!$AQ333)*'[2]Controls 2'!$B$8</f>
        <v>0.61375405177773434</v>
      </c>
      <c r="AT333" s="137">
        <v>0.16</v>
      </c>
      <c r="AU333" s="137">
        <v>0</v>
      </c>
      <c r="AV333" s="185">
        <f>'LCFS Table'!$AR333*1.7</f>
        <v>1.7440937499999998</v>
      </c>
      <c r="AW333" s="137">
        <v>0</v>
      </c>
      <c r="AX333" s="185">
        <f>(((('[2]Controls 2'!$B$2-SUM(('LCFS Table'!$AF333*'[2]Controls 2'!$B$12),('LCFS Table'!$AG333*'[2]Controls 2'!$B$13)))/1000000)*'LCFS Table'!$AQ333)*'[2]Controls 2'!$B$14)</f>
        <v>0.40478687498046984</v>
      </c>
      <c r="AY333" s="137">
        <v>0</v>
      </c>
      <c r="AZ333" s="141">
        <v>0</v>
      </c>
      <c r="BA333" s="185">
        <f>'LCFS Table'!$AR333*1.5</f>
        <v>1.5389062499999999</v>
      </c>
      <c r="BB333" s="142">
        <v>1.2</v>
      </c>
      <c r="BC333" s="185">
        <f>'LCFS Table'!$AS333*'LCFS Table'!$BW333</f>
        <v>0.61375405177773434</v>
      </c>
      <c r="BD333" s="185">
        <f>'LCFS Table'!$AT333*'LCFS Table'!$BX333</f>
        <v>0</v>
      </c>
      <c r="BE333" s="185">
        <f>'LCFS Table'!$AU333*'LCFS Table'!$BY333</f>
        <v>0</v>
      </c>
      <c r="BF333" s="137">
        <f>'LCFS Table'!$AV333*'LCFS Table'!$BZ333</f>
        <v>1.7440937499999998</v>
      </c>
      <c r="BG333" s="137">
        <f>'LCFS Table'!$AW333*'LCFS Table'!$CA333</f>
        <v>0</v>
      </c>
      <c r="BH333" s="137">
        <f>'LCFS Table'!$AX333*'LCFS Table'!$CB333</f>
        <v>0.40478687498046984</v>
      </c>
      <c r="BI333" s="137">
        <f>'LCFS Table'!$AY333*'LCFS Table'!$CC333</f>
        <v>0</v>
      </c>
      <c r="BJ333" s="137">
        <f>'LCFS Table'!$AZ333*'LCFS Table'!$CD333</f>
        <v>0</v>
      </c>
      <c r="BK333" s="137">
        <f>'LCFS Table'!$BA333*'LCFS Table'!$CE333</f>
        <v>1.5389062499999999</v>
      </c>
      <c r="BL333" s="137">
        <f>'LCFS Table'!$BB333*'LCFS Table'!$CF333</f>
        <v>-1.2</v>
      </c>
      <c r="BM333" s="137">
        <f>'LCFS Table'!$AS333*'LCFS Table'!$CG333</f>
        <v>0</v>
      </c>
      <c r="BN333" s="137">
        <f>'LCFS Table'!$AT333*'LCFS Table'!$CH333</f>
        <v>0.16</v>
      </c>
      <c r="BO333" s="137">
        <f>'LCFS Table'!$AU333*'LCFS Table'!$CI333</f>
        <v>0</v>
      </c>
      <c r="BP333" s="137">
        <f>'LCFS Table'!$AV333*'LCFS Table'!$CJ333</f>
        <v>0</v>
      </c>
      <c r="BQ333" s="137">
        <f>'LCFS Table'!$AW333*'LCFS Table'!$CK333</f>
        <v>0</v>
      </c>
      <c r="BR333" s="137">
        <f>'LCFS Table'!$AX333*'LCFS Table'!$CL333</f>
        <v>0</v>
      </c>
      <c r="BS333" s="137">
        <f>'LCFS Table'!$AY333*'LCFS Table'!$CM333</f>
        <v>0</v>
      </c>
      <c r="BT333" s="137">
        <f>'LCFS Table'!$AZ333*'LCFS Table'!$CN333</f>
        <v>0</v>
      </c>
      <c r="BU333" s="137">
        <f>'LCFS Table'!$BA333*'LCFS Table'!$CO333</f>
        <v>0</v>
      </c>
      <c r="BV333" s="142">
        <f>'LCFS Table'!$BB333*'LCFS Table'!$CP333</f>
        <v>1.2</v>
      </c>
      <c r="BW333" s="138">
        <v>1</v>
      </c>
      <c r="BX333" s="138">
        <v>0</v>
      </c>
      <c r="BY333" s="138">
        <v>1</v>
      </c>
      <c r="BZ333" s="138">
        <v>1</v>
      </c>
      <c r="CA333" s="138">
        <v>-1</v>
      </c>
      <c r="CB333" s="138">
        <v>1</v>
      </c>
      <c r="CC333" s="138">
        <v>0</v>
      </c>
      <c r="CD333" s="138">
        <v>1</v>
      </c>
      <c r="CE333" s="138">
        <v>1</v>
      </c>
      <c r="CF333" s="138">
        <v>-1</v>
      </c>
      <c r="CG333" s="138">
        <f>1-'LCFS Table'!$BW333</f>
        <v>0</v>
      </c>
      <c r="CH333" s="138">
        <f>1-'LCFS Table'!$BX333</f>
        <v>1</v>
      </c>
      <c r="CI333" s="138">
        <f>1-'LCFS Table'!$BY333</f>
        <v>0</v>
      </c>
      <c r="CJ333" s="138">
        <f>1-'LCFS Table'!$BZ333</f>
        <v>0</v>
      </c>
      <c r="CK333" s="138">
        <f>-'LCFS Table'!$CA333</f>
        <v>1</v>
      </c>
      <c r="CL333" s="138">
        <f>1-'LCFS Table'!$CB333</f>
        <v>0</v>
      </c>
      <c r="CM333" s="138">
        <f>1-'LCFS Table'!$CC333</f>
        <v>1</v>
      </c>
      <c r="CN333" s="138">
        <f>1-'LCFS Table'!$CD333</f>
        <v>0</v>
      </c>
      <c r="CO333" s="138">
        <f>1-'LCFS Table'!$CE333</f>
        <v>0</v>
      </c>
      <c r="CP333" s="138">
        <f>-'LCFS Table'!$CF333</f>
        <v>1</v>
      </c>
      <c r="CQ333" s="140">
        <f t="shared" si="6"/>
        <v>8</v>
      </c>
      <c r="CR333" s="165">
        <f>('LCFS Table'!$CQ333*0.9/(0.8/0.99)/100)</f>
        <v>8.9099999999999985E-2</v>
      </c>
      <c r="CS333" s="166"/>
      <c r="CT333" s="167"/>
      <c r="CW333" s="168">
        <f>'LCFS Table'!$K333-'LCFS Table'!$M333</f>
        <v>0.84369312498046956</v>
      </c>
      <c r="CX333" s="129">
        <f>MONTH('LCFS Table'!$B333)</f>
        <v>5</v>
      </c>
      <c r="CY333" s="129">
        <f>YEAR('LCFS Table'!$B333)</f>
        <v>2025</v>
      </c>
      <c r="DC333" s="129">
        <v>0.4</v>
      </c>
      <c r="DD333" s="129">
        <v>0.4</v>
      </c>
      <c r="DE333" s="129">
        <v>0.6</v>
      </c>
      <c r="DF333" s="129">
        <v>0.6</v>
      </c>
      <c r="DG333" s="129">
        <v>0.2</v>
      </c>
    </row>
    <row r="334" spans="1:111">
      <c r="A334" s="212">
        <v>45781</v>
      </c>
      <c r="B334" s="213">
        <v>45787</v>
      </c>
      <c r="C334" s="132">
        <f t="shared" si="7"/>
        <v>2025</v>
      </c>
      <c r="D334" s="150" t="s">
        <v>275</v>
      </c>
      <c r="E334" s="187">
        <f>'LCFS Table'!$K334-'LCFS Table'!$I334</f>
        <v>-1.712457831217594</v>
      </c>
      <c r="F334" s="187">
        <f>('LCFS Table'!$M334)-'LCFS Table'!$J334</f>
        <v>-2.8782024970217259</v>
      </c>
      <c r="G334" s="214">
        <f>'LCFS Table'!$E334+'LCFS Table'!$AS334+'LCFS Table'!$AT334+'LCFS Table'!$AU334+'LCFS Table'!$AV334+(DE334*'LCFS Table'!$AD334)+(DD334*'LCFS Table'!$AE334)+(DC334*'LCFS Table'!$AC334)</f>
        <v>1.2084854619985652</v>
      </c>
      <c r="H334" s="214">
        <f>'LCFS Table'!$F334+'LCFS Table'!$AX334+'LCFS Table'!$AY334+'LCFS Table'!$AZ334+'LCFS Table'!$BA334+('LCFS Table'!$CQ334*0.9/(0.8/0.99)/100)+(DG334*'LCFS Table'!$AF334)+(DF334*'LCFS Table'!$AG334)</f>
        <v>-0.58679570312499862</v>
      </c>
      <c r="I334" s="187">
        <f>('LCFS Table'!$V334+'LCFS Table'!$W334+'LCFS Table'!$X334)/100+(('LCFS Table'!$AI334+'LCFS Table'!$AJ334)/340)</f>
        <v>4.099657831217594</v>
      </c>
      <c r="J334" s="187">
        <f>(('LCFS Table'!$Y334+'LCFS Table'!$Z334)/100)+(('LCFS Table'!$AM334+'LCFS Table'!$AN334)/300)</f>
        <v>4.423095703125</v>
      </c>
      <c r="K334" s="215">
        <f>[4]Forecasts!$C$66</f>
        <v>2.3872</v>
      </c>
      <c r="L334" s="215">
        <f>[4]Forecasts!$B$66</f>
        <v>444.72000000000014</v>
      </c>
      <c r="M334" s="185">
        <f>('LCFS Table'!$L334/100)-'LCFS Table'!$AX334-'LCFS Table'!$AY334-'LCFS Table'!$AZ334-'LCFS Table'!$BA334-1</f>
        <v>1.5448932061032741</v>
      </c>
      <c r="N334" s="215">
        <f>[3]Sheet1!$F285</f>
        <v>46.261904761904759</v>
      </c>
      <c r="O334" s="215">
        <f>[3]Sheet1!$C285</f>
        <v>39</v>
      </c>
      <c r="P334" s="215">
        <f>[3]Sheet1!$G285</f>
        <v>51.25</v>
      </c>
      <c r="Q334" s="215">
        <f>[3]Sheet1!$H285</f>
        <v>50.25</v>
      </c>
      <c r="R334" s="215">
        <f>[3]Sheet1!$B285</f>
        <v>33.25</v>
      </c>
      <c r="S334" s="185">
        <f>'LCFS Table'!$N334 + 'LCFS Table'!$AH334</f>
        <v>50.636904761904759</v>
      </c>
      <c r="T334" s="185">
        <f>'LCFS Table'!$Q334+'LCFS Table'!$AH334</f>
        <v>54.625</v>
      </c>
      <c r="U334" s="185">
        <f>'LCFS Table'!$P334+'LCFS Table'!$AH334</f>
        <v>55.625</v>
      </c>
      <c r="V334" s="185">
        <f>(('LCFS Table'!$S334/'LCFS Table'!$AA334)*'LCFS Table'!$AC334)*6.48</f>
        <v>174.53571428571431</v>
      </c>
      <c r="W334" s="185">
        <f>(('LCFS Table'!$O334/'LCFS Table'!$AA334)*'LCFS Table'!$AD334)*6.48</f>
        <v>67.21276595744682</v>
      </c>
      <c r="X334" s="185">
        <f>(('LCFS Table'!$U334/'LCFS Table'!$AA334)*'LCFS Table'!$AE334)*6.48</f>
        <v>95.864361702127667</v>
      </c>
      <c r="Y334" s="185">
        <f>(('LCFS Table'!$T334/'LCFS Table'!$AB334)*'LCFS Table'!$AF334)*7.35</f>
        <v>313.6669921875</v>
      </c>
      <c r="Z334" s="185">
        <f>(('LCFS Table'!$R334/'LCFS Table'!$AB334)*'LCFS Table'!$AG334)*7.35</f>
        <v>63.642578125000007</v>
      </c>
      <c r="AA334" s="138">
        <v>0.94</v>
      </c>
      <c r="AB334" s="138">
        <v>0.96</v>
      </c>
      <c r="AC334" s="138">
        <v>0.5</v>
      </c>
      <c r="AD334" s="138">
        <v>0.25</v>
      </c>
      <c r="AE334" s="138">
        <v>0.25</v>
      </c>
      <c r="AF334" s="138">
        <v>0.75</v>
      </c>
      <c r="AG334" s="138">
        <v>0.25</v>
      </c>
      <c r="AH334" s="139">
        <v>4.375</v>
      </c>
      <c r="AI334" s="139">
        <v>136</v>
      </c>
      <c r="AJ334" s="139">
        <v>110</v>
      </c>
      <c r="AK334" s="186">
        <f>('LCFS Table'!$AI334/340)*100</f>
        <v>40</v>
      </c>
      <c r="AL334" s="186">
        <f>('LCFS Table'!$AJ334/340)*100</f>
        <v>32.352941176470587</v>
      </c>
      <c r="AM334" s="139">
        <v>105</v>
      </c>
      <c r="AN334" s="139">
        <v>90</v>
      </c>
      <c r="AO334" s="139">
        <f>('LCFS Table'!$AM334/300)*100</f>
        <v>35</v>
      </c>
      <c r="AP334" s="139">
        <f>('LCFS Table'!$AN334/300)*100</f>
        <v>30</v>
      </c>
      <c r="AQ334" s="189">
        <f>[3]Sheet1!$K285</f>
        <v>76.846048028575552</v>
      </c>
      <c r="AR334" s="189">
        <f>[3]Sheet1!$J285/100</f>
        <v>0.99834661261083824</v>
      </c>
      <c r="AS334" s="185">
        <f>((('[2]Controls 2'!$B$2-SUM(('[2]Controls 2'!$B$5*'LCFS Table'!$AC334),('[2]Controls 2'!$B$6*'LCFS Table'!$AD334),('[2]Controls 2'!$B$7*'LCFS Table'!$AE334)))/1000000)*'LCFS Table'!$AQ334)*'[2]Controls 2'!$B$8</f>
        <v>0.61375405177773434</v>
      </c>
      <c r="AT334" s="137">
        <v>0.16</v>
      </c>
      <c r="AU334" s="137">
        <v>0</v>
      </c>
      <c r="AV334" s="185">
        <f>'LCFS Table'!$AR334*1.7</f>
        <v>1.6971892414384249</v>
      </c>
      <c r="AW334" s="137">
        <v>0</v>
      </c>
      <c r="AX334" s="185">
        <f>(((('[2]Controls 2'!$B$2-SUM(('LCFS Table'!$AF334*'[2]Controls 2'!$B$12),('LCFS Table'!$AG334*'[2]Controls 2'!$B$13)))/1000000)*'LCFS Table'!$AQ334)*'[2]Controls 2'!$B$14)</f>
        <v>0.40478687498046984</v>
      </c>
      <c r="AY334" s="137">
        <v>0</v>
      </c>
      <c r="AZ334" s="141">
        <v>0</v>
      </c>
      <c r="BA334" s="185">
        <f>'LCFS Table'!$AR334*1.5</f>
        <v>1.4975199189162574</v>
      </c>
      <c r="BB334" s="142">
        <v>1.2</v>
      </c>
      <c r="BC334" s="185">
        <f>'LCFS Table'!$AS334*'LCFS Table'!$BW334</f>
        <v>0.61375405177773434</v>
      </c>
      <c r="BD334" s="185">
        <f>'LCFS Table'!$AT334*'LCFS Table'!$BX334</f>
        <v>0</v>
      </c>
      <c r="BE334" s="185">
        <f>'LCFS Table'!$AU334*'LCFS Table'!$BY334</f>
        <v>0</v>
      </c>
      <c r="BF334" s="137">
        <f>'LCFS Table'!$AV334*'LCFS Table'!$BZ334</f>
        <v>1.6971892414384249</v>
      </c>
      <c r="BG334" s="137">
        <f>'LCFS Table'!$AW334*'LCFS Table'!$CA334</f>
        <v>0</v>
      </c>
      <c r="BH334" s="137">
        <f>'LCFS Table'!$AX334*'LCFS Table'!$CB334</f>
        <v>0.40478687498046984</v>
      </c>
      <c r="BI334" s="137">
        <f>'LCFS Table'!$AY334*'LCFS Table'!$CC334</f>
        <v>0</v>
      </c>
      <c r="BJ334" s="137">
        <f>'LCFS Table'!$AZ334*'LCFS Table'!$CD334</f>
        <v>0</v>
      </c>
      <c r="BK334" s="137">
        <f>'LCFS Table'!$BA334*'LCFS Table'!$CE334</f>
        <v>1.4975199189162574</v>
      </c>
      <c r="BL334" s="137">
        <f>'LCFS Table'!$BB334*'LCFS Table'!$CF334</f>
        <v>-1.2</v>
      </c>
      <c r="BM334" s="137">
        <f>'LCFS Table'!$AS334*'LCFS Table'!$CG334</f>
        <v>0</v>
      </c>
      <c r="BN334" s="137">
        <f>'LCFS Table'!$AT334*'LCFS Table'!$CH334</f>
        <v>0.16</v>
      </c>
      <c r="BO334" s="137">
        <f>'LCFS Table'!$AU334*'LCFS Table'!$CI334</f>
        <v>0</v>
      </c>
      <c r="BP334" s="137">
        <f>'LCFS Table'!$AV334*'LCFS Table'!$CJ334</f>
        <v>0</v>
      </c>
      <c r="BQ334" s="137">
        <f>'LCFS Table'!$AW334*'LCFS Table'!$CK334</f>
        <v>0</v>
      </c>
      <c r="BR334" s="137">
        <f>'LCFS Table'!$AX334*'LCFS Table'!$CL334</f>
        <v>0</v>
      </c>
      <c r="BS334" s="137">
        <f>'LCFS Table'!$AY334*'LCFS Table'!$CM334</f>
        <v>0</v>
      </c>
      <c r="BT334" s="137">
        <f>'LCFS Table'!$AZ334*'LCFS Table'!$CN334</f>
        <v>0</v>
      </c>
      <c r="BU334" s="137">
        <f>'LCFS Table'!$BA334*'LCFS Table'!$CO334</f>
        <v>0</v>
      </c>
      <c r="BV334" s="142">
        <f>'LCFS Table'!$BB334*'LCFS Table'!$CP334</f>
        <v>1.2</v>
      </c>
      <c r="BW334" s="138">
        <v>1</v>
      </c>
      <c r="BX334" s="138">
        <v>0</v>
      </c>
      <c r="BY334" s="138">
        <v>1</v>
      </c>
      <c r="BZ334" s="138">
        <v>1</v>
      </c>
      <c r="CA334" s="138">
        <v>-1</v>
      </c>
      <c r="CB334" s="138">
        <v>1</v>
      </c>
      <c r="CC334" s="138">
        <v>0</v>
      </c>
      <c r="CD334" s="138">
        <v>1</v>
      </c>
      <c r="CE334" s="138">
        <v>1</v>
      </c>
      <c r="CF334" s="138">
        <v>-1</v>
      </c>
      <c r="CG334" s="138">
        <f>1-'LCFS Table'!$BW334</f>
        <v>0</v>
      </c>
      <c r="CH334" s="138">
        <f>1-'LCFS Table'!$BX334</f>
        <v>1</v>
      </c>
      <c r="CI334" s="138">
        <f>1-'LCFS Table'!$BY334</f>
        <v>0</v>
      </c>
      <c r="CJ334" s="138">
        <f>1-'LCFS Table'!$BZ334</f>
        <v>0</v>
      </c>
      <c r="CK334" s="138">
        <f>-'LCFS Table'!$CA334</f>
        <v>1</v>
      </c>
      <c r="CL334" s="138">
        <f>1-'LCFS Table'!$CB334</f>
        <v>0</v>
      </c>
      <c r="CM334" s="138">
        <f>1-'LCFS Table'!$CC334</f>
        <v>1</v>
      </c>
      <c r="CN334" s="138">
        <f>1-'LCFS Table'!$CD334</f>
        <v>0</v>
      </c>
      <c r="CO334" s="138">
        <f>1-'LCFS Table'!$CE334</f>
        <v>0</v>
      </c>
      <c r="CP334" s="138">
        <f>-'LCFS Table'!$CF334</f>
        <v>1</v>
      </c>
      <c r="CQ334" s="140">
        <f t="shared" si="6"/>
        <v>8</v>
      </c>
      <c r="CR334" s="165">
        <f>('LCFS Table'!$CQ334*0.9/(0.8/0.99)/100)</f>
        <v>8.9099999999999985E-2</v>
      </c>
      <c r="CS334" s="166"/>
      <c r="CT334" s="167"/>
      <c r="CW334" s="168">
        <f>'LCFS Table'!$K334-'LCFS Table'!$M334</f>
        <v>0.84230679389672591</v>
      </c>
      <c r="CX334" s="129">
        <f>MONTH('LCFS Table'!$B334)</f>
        <v>5</v>
      </c>
      <c r="CY334" s="129">
        <f>YEAR('LCFS Table'!$B334)</f>
        <v>2025</v>
      </c>
      <c r="DC334" s="129">
        <v>0.4</v>
      </c>
      <c r="DD334" s="129">
        <v>0.4</v>
      </c>
      <c r="DE334" s="129">
        <v>0.6</v>
      </c>
      <c r="DF334" s="129">
        <v>0.6</v>
      </c>
      <c r="DG334" s="129">
        <v>0.2</v>
      </c>
    </row>
    <row r="335" spans="1:111">
      <c r="A335" s="212">
        <v>45788</v>
      </c>
      <c r="B335" s="213">
        <v>45794</v>
      </c>
      <c r="C335" s="132">
        <f t="shared" si="7"/>
        <v>2025</v>
      </c>
      <c r="D335" s="150" t="s">
        <v>276</v>
      </c>
      <c r="E335" s="187">
        <f>'LCFS Table'!$K335-'LCFS Table'!$I335</f>
        <v>-1.712457831217594</v>
      </c>
      <c r="F335" s="187">
        <f>('LCFS Table'!$M335)-'LCFS Table'!$J335</f>
        <v>-2.8782024970217259</v>
      </c>
      <c r="G335" s="214">
        <f>'LCFS Table'!$E335+'LCFS Table'!$AS335+'LCFS Table'!$AT335+'LCFS Table'!$AU335+'LCFS Table'!$AV335+(DE335*'LCFS Table'!$AD335)+(DD335*'LCFS Table'!$AE335)+(DC335*'LCFS Table'!$AC335)</f>
        <v>1.2084854619985652</v>
      </c>
      <c r="H335" s="214">
        <f>'LCFS Table'!$F335+'LCFS Table'!$AX335+'LCFS Table'!$AY335+'LCFS Table'!$AZ335+'LCFS Table'!$BA335+('LCFS Table'!$CQ335*0.9/(0.8/0.99)/100)+(DG335*'LCFS Table'!$AF335)+(DF335*'LCFS Table'!$AG335)</f>
        <v>-0.58679570312499862</v>
      </c>
      <c r="I335" s="187">
        <f>('LCFS Table'!$V335+'LCFS Table'!$W335+'LCFS Table'!$X335)/100+(('LCFS Table'!$AI335+'LCFS Table'!$AJ335)/340)</f>
        <v>4.099657831217594</v>
      </c>
      <c r="J335" s="187">
        <f>(('LCFS Table'!$Y335+'LCFS Table'!$Z335)/100)+(('LCFS Table'!$AM335+'LCFS Table'!$AN335)/300)</f>
        <v>4.423095703125</v>
      </c>
      <c r="K335" s="215">
        <f>[4]Forecasts!$C$66</f>
        <v>2.3872</v>
      </c>
      <c r="L335" s="215">
        <f>[4]Forecasts!$B$66</f>
        <v>444.72000000000014</v>
      </c>
      <c r="M335" s="185">
        <f>('LCFS Table'!$L335/100)-'LCFS Table'!$AX335-'LCFS Table'!$AY335-'LCFS Table'!$AZ335-'LCFS Table'!$BA335-1</f>
        <v>1.5448932061032741</v>
      </c>
      <c r="N335" s="215">
        <f>[3]Sheet1!$F286</f>
        <v>46.261904761904759</v>
      </c>
      <c r="O335" s="215">
        <f>[3]Sheet1!$C286</f>
        <v>39</v>
      </c>
      <c r="P335" s="215">
        <f>[3]Sheet1!$G286</f>
        <v>51.25</v>
      </c>
      <c r="Q335" s="215">
        <f>[3]Sheet1!$H286</f>
        <v>50.25</v>
      </c>
      <c r="R335" s="215">
        <f>[3]Sheet1!$B286</f>
        <v>33.25</v>
      </c>
      <c r="S335" s="185">
        <f>'LCFS Table'!$N335 + 'LCFS Table'!$AH335</f>
        <v>50.636904761904759</v>
      </c>
      <c r="T335" s="185">
        <f>'LCFS Table'!$Q335+'LCFS Table'!$AH335</f>
        <v>54.625</v>
      </c>
      <c r="U335" s="185">
        <f>'LCFS Table'!$P335+'LCFS Table'!$AH335</f>
        <v>55.625</v>
      </c>
      <c r="V335" s="185">
        <f>(('LCFS Table'!$S335/'LCFS Table'!$AA335)*'LCFS Table'!$AC335)*6.48</f>
        <v>174.53571428571431</v>
      </c>
      <c r="W335" s="185">
        <f>(('LCFS Table'!$O335/'LCFS Table'!$AA335)*'LCFS Table'!$AD335)*6.48</f>
        <v>67.21276595744682</v>
      </c>
      <c r="X335" s="185">
        <f>(('LCFS Table'!$U335/'LCFS Table'!$AA335)*'LCFS Table'!$AE335)*6.48</f>
        <v>95.864361702127667</v>
      </c>
      <c r="Y335" s="185">
        <f>(('LCFS Table'!$T335/'LCFS Table'!$AB335)*'LCFS Table'!$AF335)*7.35</f>
        <v>313.6669921875</v>
      </c>
      <c r="Z335" s="185">
        <f>(('LCFS Table'!$R335/'LCFS Table'!$AB335)*'LCFS Table'!$AG335)*7.35</f>
        <v>63.642578125000007</v>
      </c>
      <c r="AA335" s="138">
        <v>0.94</v>
      </c>
      <c r="AB335" s="138">
        <v>0.96</v>
      </c>
      <c r="AC335" s="138">
        <v>0.5</v>
      </c>
      <c r="AD335" s="138">
        <v>0.25</v>
      </c>
      <c r="AE335" s="138">
        <v>0.25</v>
      </c>
      <c r="AF335" s="138">
        <v>0.75</v>
      </c>
      <c r="AG335" s="138">
        <v>0.25</v>
      </c>
      <c r="AH335" s="139">
        <v>4.375</v>
      </c>
      <c r="AI335" s="139">
        <v>136</v>
      </c>
      <c r="AJ335" s="139">
        <v>110</v>
      </c>
      <c r="AK335" s="186">
        <f>('LCFS Table'!$AI335/340)*100</f>
        <v>40</v>
      </c>
      <c r="AL335" s="186">
        <f>('LCFS Table'!$AJ335/340)*100</f>
        <v>32.352941176470587</v>
      </c>
      <c r="AM335" s="139">
        <v>105</v>
      </c>
      <c r="AN335" s="139">
        <v>90</v>
      </c>
      <c r="AO335" s="139">
        <f>('LCFS Table'!$AM335/300)*100</f>
        <v>35</v>
      </c>
      <c r="AP335" s="139">
        <f>('LCFS Table'!$AN335/300)*100</f>
        <v>30</v>
      </c>
      <c r="AQ335" s="189">
        <f>[3]Sheet1!$K286</f>
        <v>76.846048028575552</v>
      </c>
      <c r="AR335" s="189">
        <f>[3]Sheet1!$J286/100</f>
        <v>0.99834661261083824</v>
      </c>
      <c r="AS335" s="185">
        <f>((('[2]Controls 2'!$B$2-SUM(('[2]Controls 2'!$B$5*'LCFS Table'!$AC335),('[2]Controls 2'!$B$6*'LCFS Table'!$AD335),('[2]Controls 2'!$B$7*'LCFS Table'!$AE335)))/1000000)*'LCFS Table'!$AQ335)*'[2]Controls 2'!$B$8</f>
        <v>0.61375405177773434</v>
      </c>
      <c r="AT335" s="137">
        <v>0.16</v>
      </c>
      <c r="AU335" s="137">
        <v>0</v>
      </c>
      <c r="AV335" s="185">
        <f>'LCFS Table'!$AR335*1.7</f>
        <v>1.6971892414384249</v>
      </c>
      <c r="AW335" s="137">
        <v>0</v>
      </c>
      <c r="AX335" s="185">
        <f>(((('[2]Controls 2'!$B$2-SUM(('LCFS Table'!$AF335*'[2]Controls 2'!$B$12),('LCFS Table'!$AG335*'[2]Controls 2'!$B$13)))/1000000)*'LCFS Table'!$AQ335)*'[2]Controls 2'!$B$14)</f>
        <v>0.40478687498046984</v>
      </c>
      <c r="AY335" s="137">
        <v>0</v>
      </c>
      <c r="AZ335" s="141">
        <v>0</v>
      </c>
      <c r="BA335" s="185">
        <f>'LCFS Table'!$AR335*1.5</f>
        <v>1.4975199189162574</v>
      </c>
      <c r="BB335" s="142">
        <v>1.2</v>
      </c>
      <c r="BC335" s="185">
        <f>'LCFS Table'!$AS335*'LCFS Table'!$BW335</f>
        <v>0.61375405177773434</v>
      </c>
      <c r="BD335" s="185">
        <f>'LCFS Table'!$AT335*'LCFS Table'!$BX335</f>
        <v>0</v>
      </c>
      <c r="BE335" s="185">
        <f>'LCFS Table'!$AU335*'LCFS Table'!$BY335</f>
        <v>0</v>
      </c>
      <c r="BF335" s="137">
        <f>'LCFS Table'!$AV335*'LCFS Table'!$BZ335</f>
        <v>1.6971892414384249</v>
      </c>
      <c r="BG335" s="137">
        <f>'LCFS Table'!$AW335*'LCFS Table'!$CA335</f>
        <v>0</v>
      </c>
      <c r="BH335" s="137">
        <f>'LCFS Table'!$AX335*'LCFS Table'!$CB335</f>
        <v>0.40478687498046984</v>
      </c>
      <c r="BI335" s="137">
        <f>'LCFS Table'!$AY335*'LCFS Table'!$CC335</f>
        <v>0</v>
      </c>
      <c r="BJ335" s="137">
        <f>'LCFS Table'!$AZ335*'LCFS Table'!$CD335</f>
        <v>0</v>
      </c>
      <c r="BK335" s="137">
        <f>'LCFS Table'!$BA335*'LCFS Table'!$CE335</f>
        <v>1.4975199189162574</v>
      </c>
      <c r="BL335" s="137">
        <f>'LCFS Table'!$BB335*'LCFS Table'!$CF335</f>
        <v>-1.2</v>
      </c>
      <c r="BM335" s="137">
        <f>'LCFS Table'!$AS335*'LCFS Table'!$CG335</f>
        <v>0</v>
      </c>
      <c r="BN335" s="137">
        <f>'LCFS Table'!$AT335*'LCFS Table'!$CH335</f>
        <v>0.16</v>
      </c>
      <c r="BO335" s="137">
        <f>'LCFS Table'!$AU335*'LCFS Table'!$CI335</f>
        <v>0</v>
      </c>
      <c r="BP335" s="137">
        <f>'LCFS Table'!$AV335*'LCFS Table'!$CJ335</f>
        <v>0</v>
      </c>
      <c r="BQ335" s="137">
        <f>'LCFS Table'!$AW335*'LCFS Table'!$CK335</f>
        <v>0</v>
      </c>
      <c r="BR335" s="137">
        <f>'LCFS Table'!$AX335*'LCFS Table'!$CL335</f>
        <v>0</v>
      </c>
      <c r="BS335" s="137">
        <f>'LCFS Table'!$AY335*'LCFS Table'!$CM335</f>
        <v>0</v>
      </c>
      <c r="BT335" s="137">
        <f>'LCFS Table'!$AZ335*'LCFS Table'!$CN335</f>
        <v>0</v>
      </c>
      <c r="BU335" s="137">
        <f>'LCFS Table'!$BA335*'LCFS Table'!$CO335</f>
        <v>0</v>
      </c>
      <c r="BV335" s="142">
        <f>'LCFS Table'!$BB335*'LCFS Table'!$CP335</f>
        <v>1.2</v>
      </c>
      <c r="BW335" s="138">
        <v>1</v>
      </c>
      <c r="BX335" s="138">
        <v>0</v>
      </c>
      <c r="BY335" s="138">
        <v>1</v>
      </c>
      <c r="BZ335" s="138">
        <v>1</v>
      </c>
      <c r="CA335" s="138">
        <v>-1</v>
      </c>
      <c r="CB335" s="138">
        <v>1</v>
      </c>
      <c r="CC335" s="138">
        <v>0</v>
      </c>
      <c r="CD335" s="138">
        <v>1</v>
      </c>
      <c r="CE335" s="138">
        <v>1</v>
      </c>
      <c r="CF335" s="138">
        <v>-1</v>
      </c>
      <c r="CG335" s="138">
        <f>1-'LCFS Table'!$BW335</f>
        <v>0</v>
      </c>
      <c r="CH335" s="138">
        <f>1-'LCFS Table'!$BX335</f>
        <v>1</v>
      </c>
      <c r="CI335" s="138">
        <f>1-'LCFS Table'!$BY335</f>
        <v>0</v>
      </c>
      <c r="CJ335" s="138">
        <f>1-'LCFS Table'!$BZ335</f>
        <v>0</v>
      </c>
      <c r="CK335" s="138">
        <f>-'LCFS Table'!$CA335</f>
        <v>1</v>
      </c>
      <c r="CL335" s="138">
        <f>1-'LCFS Table'!$CB335</f>
        <v>0</v>
      </c>
      <c r="CM335" s="138">
        <f>1-'LCFS Table'!$CC335</f>
        <v>1</v>
      </c>
      <c r="CN335" s="138">
        <f>1-'LCFS Table'!$CD335</f>
        <v>0</v>
      </c>
      <c r="CO335" s="138">
        <f>1-'LCFS Table'!$CE335</f>
        <v>0</v>
      </c>
      <c r="CP335" s="138">
        <f>-'LCFS Table'!$CF335</f>
        <v>1</v>
      </c>
      <c r="CQ335" s="140">
        <f t="shared" si="6"/>
        <v>8</v>
      </c>
      <c r="CR335" s="165">
        <f>('LCFS Table'!$CQ335*0.9/(0.8/0.99)/100)</f>
        <v>8.9099999999999985E-2</v>
      </c>
      <c r="CS335" s="166"/>
      <c r="CT335" s="167"/>
      <c r="CW335" s="168">
        <f>'LCFS Table'!$K335-'LCFS Table'!$M335</f>
        <v>0.84230679389672591</v>
      </c>
      <c r="CX335" s="129">
        <f>MONTH('LCFS Table'!$B335)</f>
        <v>5</v>
      </c>
      <c r="CY335" s="129">
        <f>YEAR('LCFS Table'!$B335)</f>
        <v>2025</v>
      </c>
      <c r="DC335" s="129">
        <v>0.4</v>
      </c>
      <c r="DD335" s="129">
        <v>0.4</v>
      </c>
      <c r="DE335" s="129">
        <v>0.6</v>
      </c>
      <c r="DF335" s="129">
        <v>0.6</v>
      </c>
      <c r="DG335" s="129">
        <v>0.2</v>
      </c>
    </row>
    <row r="336" spans="1:111">
      <c r="A336" s="212">
        <v>45795</v>
      </c>
      <c r="B336" s="213">
        <v>45801</v>
      </c>
      <c r="C336" s="132">
        <f t="shared" si="7"/>
        <v>2025</v>
      </c>
      <c r="D336" s="150" t="s">
        <v>277</v>
      </c>
      <c r="E336" s="187">
        <f>'LCFS Table'!$K336-'LCFS Table'!$I336</f>
        <v>-1.712457831217594</v>
      </c>
      <c r="F336" s="187">
        <f>('LCFS Table'!$M336)-'LCFS Table'!$J336</f>
        <v>-2.8782024970217259</v>
      </c>
      <c r="G336" s="214">
        <f>'LCFS Table'!$E336+'LCFS Table'!$AS336+'LCFS Table'!$AT336+'LCFS Table'!$AU336+'LCFS Table'!$AV336+(DE336*'LCFS Table'!$AD336)+(DD336*'LCFS Table'!$AE336)+(DC336*'LCFS Table'!$AC336)</f>
        <v>1.2084854619985652</v>
      </c>
      <c r="H336" s="214">
        <f>'LCFS Table'!$F336+'LCFS Table'!$AX336+'LCFS Table'!$AY336+'LCFS Table'!$AZ336+'LCFS Table'!$BA336+('LCFS Table'!$CQ336*0.9/(0.8/0.99)/100)+(DG336*'LCFS Table'!$AF336)+(DF336*'LCFS Table'!$AG336)</f>
        <v>-0.58679570312499862</v>
      </c>
      <c r="I336" s="187">
        <f>('LCFS Table'!$V336+'LCFS Table'!$W336+'LCFS Table'!$X336)/100+(('LCFS Table'!$AI336+'LCFS Table'!$AJ336)/340)</f>
        <v>4.099657831217594</v>
      </c>
      <c r="J336" s="187">
        <f>(('LCFS Table'!$Y336+'LCFS Table'!$Z336)/100)+(('LCFS Table'!$AM336+'LCFS Table'!$AN336)/300)</f>
        <v>4.423095703125</v>
      </c>
      <c r="K336" s="215">
        <f>[4]Forecasts!$C$66</f>
        <v>2.3872</v>
      </c>
      <c r="L336" s="215">
        <f>[4]Forecasts!$B$66</f>
        <v>444.72000000000014</v>
      </c>
      <c r="M336" s="185">
        <f>('LCFS Table'!$L336/100)-'LCFS Table'!$AX336-'LCFS Table'!$AY336-'LCFS Table'!$AZ336-'LCFS Table'!$BA336-1</f>
        <v>1.5448932061032741</v>
      </c>
      <c r="N336" s="215">
        <f>[3]Sheet1!$F287</f>
        <v>46.261904761904759</v>
      </c>
      <c r="O336" s="215">
        <f>[3]Sheet1!$C287</f>
        <v>39</v>
      </c>
      <c r="P336" s="215">
        <f>[3]Sheet1!$G287</f>
        <v>51.25</v>
      </c>
      <c r="Q336" s="215">
        <f>[3]Sheet1!$H287</f>
        <v>50.25</v>
      </c>
      <c r="R336" s="215">
        <f>[3]Sheet1!$B287</f>
        <v>33.25</v>
      </c>
      <c r="S336" s="185">
        <f>'LCFS Table'!$N336 + 'LCFS Table'!$AH336</f>
        <v>50.636904761904759</v>
      </c>
      <c r="T336" s="185">
        <f>'LCFS Table'!$Q336+'LCFS Table'!$AH336</f>
        <v>54.625</v>
      </c>
      <c r="U336" s="185">
        <f>'LCFS Table'!$P336+'LCFS Table'!$AH336</f>
        <v>55.625</v>
      </c>
      <c r="V336" s="185">
        <f>(('LCFS Table'!$S336/'LCFS Table'!$AA336)*'LCFS Table'!$AC336)*6.48</f>
        <v>174.53571428571431</v>
      </c>
      <c r="W336" s="185">
        <f>(('LCFS Table'!$O336/'LCFS Table'!$AA336)*'LCFS Table'!$AD336)*6.48</f>
        <v>67.21276595744682</v>
      </c>
      <c r="X336" s="185">
        <f>(('LCFS Table'!$U336/'LCFS Table'!$AA336)*'LCFS Table'!$AE336)*6.48</f>
        <v>95.864361702127667</v>
      </c>
      <c r="Y336" s="185">
        <f>(('LCFS Table'!$T336/'LCFS Table'!$AB336)*'LCFS Table'!$AF336)*7.35</f>
        <v>313.6669921875</v>
      </c>
      <c r="Z336" s="185">
        <f>(('LCFS Table'!$R336/'LCFS Table'!$AB336)*'LCFS Table'!$AG336)*7.35</f>
        <v>63.642578125000007</v>
      </c>
      <c r="AA336" s="138">
        <v>0.94</v>
      </c>
      <c r="AB336" s="138">
        <v>0.96</v>
      </c>
      <c r="AC336" s="138">
        <v>0.5</v>
      </c>
      <c r="AD336" s="138">
        <v>0.25</v>
      </c>
      <c r="AE336" s="138">
        <v>0.25</v>
      </c>
      <c r="AF336" s="138">
        <v>0.75</v>
      </c>
      <c r="AG336" s="138">
        <v>0.25</v>
      </c>
      <c r="AH336" s="139">
        <v>4.375</v>
      </c>
      <c r="AI336" s="139">
        <v>136</v>
      </c>
      <c r="AJ336" s="139">
        <v>110</v>
      </c>
      <c r="AK336" s="186">
        <f>('LCFS Table'!$AI336/340)*100</f>
        <v>40</v>
      </c>
      <c r="AL336" s="186">
        <f>('LCFS Table'!$AJ336/340)*100</f>
        <v>32.352941176470587</v>
      </c>
      <c r="AM336" s="139">
        <v>105</v>
      </c>
      <c r="AN336" s="139">
        <v>90</v>
      </c>
      <c r="AO336" s="139">
        <f>('LCFS Table'!$AM336/300)*100</f>
        <v>35</v>
      </c>
      <c r="AP336" s="139">
        <f>('LCFS Table'!$AN336/300)*100</f>
        <v>30</v>
      </c>
      <c r="AQ336" s="189">
        <f>[3]Sheet1!$K287</f>
        <v>76.846048028575552</v>
      </c>
      <c r="AR336" s="189">
        <f>[3]Sheet1!$J287/100</f>
        <v>0.99834661261083824</v>
      </c>
      <c r="AS336" s="185">
        <f>((('[2]Controls 2'!$B$2-SUM(('[2]Controls 2'!$B$5*'LCFS Table'!$AC336),('[2]Controls 2'!$B$6*'LCFS Table'!$AD336),('[2]Controls 2'!$B$7*'LCFS Table'!$AE336)))/1000000)*'LCFS Table'!$AQ336)*'[2]Controls 2'!$B$8</f>
        <v>0.61375405177773434</v>
      </c>
      <c r="AT336" s="137">
        <v>0.16</v>
      </c>
      <c r="AU336" s="137">
        <v>0</v>
      </c>
      <c r="AV336" s="185">
        <f>'LCFS Table'!$AR336*1.7</f>
        <v>1.6971892414384249</v>
      </c>
      <c r="AW336" s="137">
        <v>0</v>
      </c>
      <c r="AX336" s="185">
        <f>(((('[2]Controls 2'!$B$2-SUM(('LCFS Table'!$AF336*'[2]Controls 2'!$B$12),('LCFS Table'!$AG336*'[2]Controls 2'!$B$13)))/1000000)*'LCFS Table'!$AQ336)*'[2]Controls 2'!$B$14)</f>
        <v>0.40478687498046984</v>
      </c>
      <c r="AY336" s="137">
        <v>0</v>
      </c>
      <c r="AZ336" s="141">
        <v>0</v>
      </c>
      <c r="BA336" s="185">
        <f>'LCFS Table'!$AR336*1.5</f>
        <v>1.4975199189162574</v>
      </c>
      <c r="BB336" s="142">
        <v>1.2</v>
      </c>
      <c r="BC336" s="185">
        <f>'LCFS Table'!$AS336*'LCFS Table'!$BW336</f>
        <v>0.61375405177773434</v>
      </c>
      <c r="BD336" s="185">
        <f>'LCFS Table'!$AT336*'LCFS Table'!$BX336</f>
        <v>0</v>
      </c>
      <c r="BE336" s="185">
        <f>'LCFS Table'!$AU336*'LCFS Table'!$BY336</f>
        <v>0</v>
      </c>
      <c r="BF336" s="137">
        <f>'LCFS Table'!$AV336*'LCFS Table'!$BZ336</f>
        <v>1.6971892414384249</v>
      </c>
      <c r="BG336" s="137">
        <f>'LCFS Table'!$AW336*'LCFS Table'!$CA336</f>
        <v>0</v>
      </c>
      <c r="BH336" s="137">
        <f>'LCFS Table'!$AX336*'LCFS Table'!$CB336</f>
        <v>0.40478687498046984</v>
      </c>
      <c r="BI336" s="137">
        <f>'LCFS Table'!$AY336*'LCFS Table'!$CC336</f>
        <v>0</v>
      </c>
      <c r="BJ336" s="137">
        <f>'LCFS Table'!$AZ336*'LCFS Table'!$CD336</f>
        <v>0</v>
      </c>
      <c r="BK336" s="137">
        <f>'LCFS Table'!$BA336*'LCFS Table'!$CE336</f>
        <v>1.4975199189162574</v>
      </c>
      <c r="BL336" s="137">
        <f>'LCFS Table'!$BB336*'LCFS Table'!$CF336</f>
        <v>-1.2</v>
      </c>
      <c r="BM336" s="137">
        <f>'LCFS Table'!$AS336*'LCFS Table'!$CG336</f>
        <v>0</v>
      </c>
      <c r="BN336" s="137">
        <f>'LCFS Table'!$AT336*'LCFS Table'!$CH336</f>
        <v>0.16</v>
      </c>
      <c r="BO336" s="137">
        <f>'LCFS Table'!$AU336*'LCFS Table'!$CI336</f>
        <v>0</v>
      </c>
      <c r="BP336" s="137">
        <f>'LCFS Table'!$AV336*'LCFS Table'!$CJ336</f>
        <v>0</v>
      </c>
      <c r="BQ336" s="137">
        <f>'LCFS Table'!$AW336*'LCFS Table'!$CK336</f>
        <v>0</v>
      </c>
      <c r="BR336" s="137">
        <f>'LCFS Table'!$AX336*'LCFS Table'!$CL336</f>
        <v>0</v>
      </c>
      <c r="BS336" s="137">
        <f>'LCFS Table'!$AY336*'LCFS Table'!$CM336</f>
        <v>0</v>
      </c>
      <c r="BT336" s="137">
        <f>'LCFS Table'!$AZ336*'LCFS Table'!$CN336</f>
        <v>0</v>
      </c>
      <c r="BU336" s="137">
        <f>'LCFS Table'!$BA336*'LCFS Table'!$CO336</f>
        <v>0</v>
      </c>
      <c r="BV336" s="142">
        <f>'LCFS Table'!$BB336*'LCFS Table'!$CP336</f>
        <v>1.2</v>
      </c>
      <c r="BW336" s="138">
        <v>1</v>
      </c>
      <c r="BX336" s="138">
        <v>0</v>
      </c>
      <c r="BY336" s="138">
        <v>1</v>
      </c>
      <c r="BZ336" s="138">
        <v>1</v>
      </c>
      <c r="CA336" s="138">
        <v>-1</v>
      </c>
      <c r="CB336" s="138">
        <v>1</v>
      </c>
      <c r="CC336" s="138">
        <v>0</v>
      </c>
      <c r="CD336" s="138">
        <v>1</v>
      </c>
      <c r="CE336" s="138">
        <v>1</v>
      </c>
      <c r="CF336" s="138">
        <v>-1</v>
      </c>
      <c r="CG336" s="138">
        <f>1-'LCFS Table'!$BW336</f>
        <v>0</v>
      </c>
      <c r="CH336" s="138">
        <f>1-'LCFS Table'!$BX336</f>
        <v>1</v>
      </c>
      <c r="CI336" s="138">
        <f>1-'LCFS Table'!$BY336</f>
        <v>0</v>
      </c>
      <c r="CJ336" s="138">
        <f>1-'LCFS Table'!$BZ336</f>
        <v>0</v>
      </c>
      <c r="CK336" s="138">
        <f>-'LCFS Table'!$CA336</f>
        <v>1</v>
      </c>
      <c r="CL336" s="138">
        <f>1-'LCFS Table'!$CB336</f>
        <v>0</v>
      </c>
      <c r="CM336" s="138">
        <f>1-'LCFS Table'!$CC336</f>
        <v>1</v>
      </c>
      <c r="CN336" s="138">
        <f>1-'LCFS Table'!$CD336</f>
        <v>0</v>
      </c>
      <c r="CO336" s="138">
        <f>1-'LCFS Table'!$CE336</f>
        <v>0</v>
      </c>
      <c r="CP336" s="138">
        <f>-'LCFS Table'!$CF336</f>
        <v>1</v>
      </c>
      <c r="CQ336" s="140">
        <f t="shared" si="6"/>
        <v>8</v>
      </c>
      <c r="CR336" s="165">
        <f>('LCFS Table'!$CQ336*0.9/(0.8/0.99)/100)</f>
        <v>8.9099999999999985E-2</v>
      </c>
      <c r="CS336" s="166"/>
      <c r="CT336" s="167"/>
      <c r="CW336" s="168">
        <f>'LCFS Table'!$K336-'LCFS Table'!$M336</f>
        <v>0.84230679389672591</v>
      </c>
      <c r="CX336" s="129">
        <f>MONTH('LCFS Table'!$B336)</f>
        <v>5</v>
      </c>
      <c r="CY336" s="129">
        <f>YEAR('LCFS Table'!$B336)</f>
        <v>2025</v>
      </c>
      <c r="DC336" s="129">
        <v>0.4</v>
      </c>
      <c r="DD336" s="129">
        <v>0.4</v>
      </c>
      <c r="DE336" s="129">
        <v>0.6</v>
      </c>
      <c r="DF336" s="129">
        <v>0.6</v>
      </c>
      <c r="DG336" s="129">
        <v>0.2</v>
      </c>
    </row>
    <row r="337" spans="1:111">
      <c r="A337" s="212">
        <v>45802</v>
      </c>
      <c r="B337" s="213">
        <v>45808</v>
      </c>
      <c r="C337" s="132">
        <f t="shared" si="7"/>
        <v>2025</v>
      </c>
      <c r="D337" s="150" t="s">
        <v>278</v>
      </c>
      <c r="E337" s="187">
        <f>'LCFS Table'!$K337-'LCFS Table'!$I337</f>
        <v>-1.712457831217594</v>
      </c>
      <c r="F337" s="187">
        <f>('LCFS Table'!$M337)-'LCFS Table'!$J337</f>
        <v>-2.8782024970217259</v>
      </c>
      <c r="G337" s="214">
        <f>'LCFS Table'!$E337+'LCFS Table'!$AS337+'LCFS Table'!$AT337+'LCFS Table'!$AU337+'LCFS Table'!$AV337+(DE337*'LCFS Table'!$AD337)+(DD337*'LCFS Table'!$AE337)+(DC337*'LCFS Table'!$AC337)</f>
        <v>1.2084854619985652</v>
      </c>
      <c r="H337" s="214">
        <f>'LCFS Table'!$F337+'LCFS Table'!$AX337+'LCFS Table'!$AY337+'LCFS Table'!$AZ337+'LCFS Table'!$BA337+('LCFS Table'!$CQ337*0.9/(0.8/0.99)/100)+(DG337*'LCFS Table'!$AF337)+(DF337*'LCFS Table'!$AG337)</f>
        <v>-0.58679570312499862</v>
      </c>
      <c r="I337" s="187">
        <f>('LCFS Table'!$V337+'LCFS Table'!$W337+'LCFS Table'!$X337)/100+(('LCFS Table'!$AI337+'LCFS Table'!$AJ337)/340)</f>
        <v>4.099657831217594</v>
      </c>
      <c r="J337" s="187">
        <f>(('LCFS Table'!$Y337+'LCFS Table'!$Z337)/100)+(('LCFS Table'!$AM337+'LCFS Table'!$AN337)/300)</f>
        <v>4.423095703125</v>
      </c>
      <c r="K337" s="215">
        <f>[4]Forecasts!$C$66</f>
        <v>2.3872</v>
      </c>
      <c r="L337" s="215">
        <f>[4]Forecasts!$B$66</f>
        <v>444.72000000000014</v>
      </c>
      <c r="M337" s="185">
        <f>('LCFS Table'!$L337/100)-'LCFS Table'!$AX337-'LCFS Table'!$AY337-'LCFS Table'!$AZ337-'LCFS Table'!$BA337-1</f>
        <v>1.5448932061032741</v>
      </c>
      <c r="N337" s="215">
        <f>[3]Sheet1!$F288</f>
        <v>46.261904761904759</v>
      </c>
      <c r="O337" s="215">
        <f>[3]Sheet1!$C288</f>
        <v>39</v>
      </c>
      <c r="P337" s="215">
        <f>[3]Sheet1!$G288</f>
        <v>51.25</v>
      </c>
      <c r="Q337" s="215">
        <f>[3]Sheet1!$H288</f>
        <v>50.25</v>
      </c>
      <c r="R337" s="215">
        <f>[3]Sheet1!$B288</f>
        <v>33.25</v>
      </c>
      <c r="S337" s="185">
        <f>'LCFS Table'!$N337 + 'LCFS Table'!$AH337</f>
        <v>50.636904761904759</v>
      </c>
      <c r="T337" s="185">
        <f>'LCFS Table'!$Q337+'LCFS Table'!$AH337</f>
        <v>54.625</v>
      </c>
      <c r="U337" s="185">
        <f>'LCFS Table'!$P337+'LCFS Table'!$AH337</f>
        <v>55.625</v>
      </c>
      <c r="V337" s="185">
        <f>(('LCFS Table'!$S337/'LCFS Table'!$AA337)*'LCFS Table'!$AC337)*6.48</f>
        <v>174.53571428571431</v>
      </c>
      <c r="W337" s="185">
        <f>(('LCFS Table'!$O337/'LCFS Table'!$AA337)*'LCFS Table'!$AD337)*6.48</f>
        <v>67.21276595744682</v>
      </c>
      <c r="X337" s="185">
        <f>(('LCFS Table'!$U337/'LCFS Table'!$AA337)*'LCFS Table'!$AE337)*6.48</f>
        <v>95.864361702127667</v>
      </c>
      <c r="Y337" s="185">
        <f>(('LCFS Table'!$T337/'LCFS Table'!$AB337)*'LCFS Table'!$AF337)*7.35</f>
        <v>313.6669921875</v>
      </c>
      <c r="Z337" s="185">
        <f>(('LCFS Table'!$R337/'LCFS Table'!$AB337)*'LCFS Table'!$AG337)*7.35</f>
        <v>63.642578125000007</v>
      </c>
      <c r="AA337" s="138">
        <v>0.94</v>
      </c>
      <c r="AB337" s="138">
        <v>0.96</v>
      </c>
      <c r="AC337" s="138">
        <v>0.5</v>
      </c>
      <c r="AD337" s="138">
        <v>0.25</v>
      </c>
      <c r="AE337" s="138">
        <v>0.25</v>
      </c>
      <c r="AF337" s="138">
        <v>0.75</v>
      </c>
      <c r="AG337" s="138">
        <v>0.25</v>
      </c>
      <c r="AH337" s="139">
        <v>4.375</v>
      </c>
      <c r="AI337" s="139">
        <v>136</v>
      </c>
      <c r="AJ337" s="139">
        <v>110</v>
      </c>
      <c r="AK337" s="186">
        <f>('LCFS Table'!$AI337/340)*100</f>
        <v>40</v>
      </c>
      <c r="AL337" s="186">
        <f>('LCFS Table'!$AJ337/340)*100</f>
        <v>32.352941176470587</v>
      </c>
      <c r="AM337" s="139">
        <v>105</v>
      </c>
      <c r="AN337" s="139">
        <v>90</v>
      </c>
      <c r="AO337" s="139">
        <f>('LCFS Table'!$AM337/300)*100</f>
        <v>35</v>
      </c>
      <c r="AP337" s="139">
        <f>('LCFS Table'!$AN337/300)*100</f>
        <v>30</v>
      </c>
      <c r="AQ337" s="189">
        <f>[3]Sheet1!$K288</f>
        <v>76.846048028575552</v>
      </c>
      <c r="AR337" s="189">
        <f>[3]Sheet1!$J288/100</f>
        <v>0.99834661261083824</v>
      </c>
      <c r="AS337" s="185">
        <f>((('[2]Controls 2'!$B$2-SUM(('[2]Controls 2'!$B$5*'LCFS Table'!$AC337),('[2]Controls 2'!$B$6*'LCFS Table'!$AD337),('[2]Controls 2'!$B$7*'LCFS Table'!$AE337)))/1000000)*'LCFS Table'!$AQ337)*'[2]Controls 2'!$B$8</f>
        <v>0.61375405177773434</v>
      </c>
      <c r="AT337" s="137">
        <v>0.16</v>
      </c>
      <c r="AU337" s="137">
        <v>0</v>
      </c>
      <c r="AV337" s="185">
        <f>'LCFS Table'!$AR337*1.7</f>
        <v>1.6971892414384249</v>
      </c>
      <c r="AW337" s="137">
        <v>0</v>
      </c>
      <c r="AX337" s="185">
        <f>(((('[2]Controls 2'!$B$2-SUM(('LCFS Table'!$AF337*'[2]Controls 2'!$B$12),('LCFS Table'!$AG337*'[2]Controls 2'!$B$13)))/1000000)*'LCFS Table'!$AQ337)*'[2]Controls 2'!$B$14)</f>
        <v>0.40478687498046984</v>
      </c>
      <c r="AY337" s="137">
        <v>0</v>
      </c>
      <c r="AZ337" s="141">
        <v>0</v>
      </c>
      <c r="BA337" s="185">
        <f>'LCFS Table'!$AR337*1.5</f>
        <v>1.4975199189162574</v>
      </c>
      <c r="BB337" s="142">
        <v>1.2</v>
      </c>
      <c r="BC337" s="185">
        <f>'LCFS Table'!$AS337*'LCFS Table'!$BW337</f>
        <v>0.61375405177773434</v>
      </c>
      <c r="BD337" s="185">
        <f>'LCFS Table'!$AT337*'LCFS Table'!$BX337</f>
        <v>0</v>
      </c>
      <c r="BE337" s="185">
        <f>'LCFS Table'!$AU337*'LCFS Table'!$BY337</f>
        <v>0</v>
      </c>
      <c r="BF337" s="137">
        <f>'LCFS Table'!$AV337*'LCFS Table'!$BZ337</f>
        <v>1.6971892414384249</v>
      </c>
      <c r="BG337" s="137">
        <f>'LCFS Table'!$AW337*'LCFS Table'!$CA337</f>
        <v>0</v>
      </c>
      <c r="BH337" s="137">
        <f>'LCFS Table'!$AX337*'LCFS Table'!$CB337</f>
        <v>0.40478687498046984</v>
      </c>
      <c r="BI337" s="137">
        <f>'LCFS Table'!$AY337*'LCFS Table'!$CC337</f>
        <v>0</v>
      </c>
      <c r="BJ337" s="137">
        <f>'LCFS Table'!$AZ337*'LCFS Table'!$CD337</f>
        <v>0</v>
      </c>
      <c r="BK337" s="137">
        <f>'LCFS Table'!$BA337*'LCFS Table'!$CE337</f>
        <v>1.4975199189162574</v>
      </c>
      <c r="BL337" s="137">
        <f>'LCFS Table'!$BB337*'LCFS Table'!$CF337</f>
        <v>-1.2</v>
      </c>
      <c r="BM337" s="137">
        <f>'LCFS Table'!$AS337*'LCFS Table'!$CG337</f>
        <v>0</v>
      </c>
      <c r="BN337" s="137">
        <f>'LCFS Table'!$AT337*'LCFS Table'!$CH337</f>
        <v>0.16</v>
      </c>
      <c r="BO337" s="137">
        <f>'LCFS Table'!$AU337*'LCFS Table'!$CI337</f>
        <v>0</v>
      </c>
      <c r="BP337" s="137">
        <f>'LCFS Table'!$AV337*'LCFS Table'!$CJ337</f>
        <v>0</v>
      </c>
      <c r="BQ337" s="137">
        <f>'LCFS Table'!$AW337*'LCFS Table'!$CK337</f>
        <v>0</v>
      </c>
      <c r="BR337" s="137">
        <f>'LCFS Table'!$AX337*'LCFS Table'!$CL337</f>
        <v>0</v>
      </c>
      <c r="BS337" s="137">
        <f>'LCFS Table'!$AY337*'LCFS Table'!$CM337</f>
        <v>0</v>
      </c>
      <c r="BT337" s="137">
        <f>'LCFS Table'!$AZ337*'LCFS Table'!$CN337</f>
        <v>0</v>
      </c>
      <c r="BU337" s="137">
        <f>'LCFS Table'!$BA337*'LCFS Table'!$CO337</f>
        <v>0</v>
      </c>
      <c r="BV337" s="142">
        <f>'LCFS Table'!$BB337*'LCFS Table'!$CP337</f>
        <v>1.2</v>
      </c>
      <c r="BW337" s="138">
        <v>1</v>
      </c>
      <c r="BX337" s="138">
        <v>0</v>
      </c>
      <c r="BY337" s="138">
        <v>1</v>
      </c>
      <c r="BZ337" s="138">
        <v>1</v>
      </c>
      <c r="CA337" s="138">
        <v>-1</v>
      </c>
      <c r="CB337" s="138">
        <v>1</v>
      </c>
      <c r="CC337" s="138">
        <v>0</v>
      </c>
      <c r="CD337" s="138">
        <v>1</v>
      </c>
      <c r="CE337" s="138">
        <v>1</v>
      </c>
      <c r="CF337" s="138">
        <v>-1</v>
      </c>
      <c r="CG337" s="138">
        <f>1-'LCFS Table'!$BW337</f>
        <v>0</v>
      </c>
      <c r="CH337" s="138">
        <f>1-'LCFS Table'!$BX337</f>
        <v>1</v>
      </c>
      <c r="CI337" s="138">
        <f>1-'LCFS Table'!$BY337</f>
        <v>0</v>
      </c>
      <c r="CJ337" s="138">
        <f>1-'LCFS Table'!$BZ337</f>
        <v>0</v>
      </c>
      <c r="CK337" s="138">
        <f>-'LCFS Table'!$CA337</f>
        <v>1</v>
      </c>
      <c r="CL337" s="138">
        <f>1-'LCFS Table'!$CB337</f>
        <v>0</v>
      </c>
      <c r="CM337" s="138">
        <f>1-'LCFS Table'!$CC337</f>
        <v>1</v>
      </c>
      <c r="CN337" s="138">
        <f>1-'LCFS Table'!$CD337</f>
        <v>0</v>
      </c>
      <c r="CO337" s="138">
        <f>1-'LCFS Table'!$CE337</f>
        <v>0</v>
      </c>
      <c r="CP337" s="138">
        <f>-'LCFS Table'!$CF337</f>
        <v>1</v>
      </c>
      <c r="CQ337" s="140">
        <f t="shared" si="6"/>
        <v>8</v>
      </c>
      <c r="CR337" s="165">
        <f>('LCFS Table'!$CQ337*0.9/(0.8/0.99)/100)</f>
        <v>8.9099999999999985E-2</v>
      </c>
      <c r="CS337" s="166"/>
      <c r="CT337" s="167"/>
      <c r="CW337" s="168">
        <f>'LCFS Table'!$K337-'LCFS Table'!$M337</f>
        <v>0.84230679389672591</v>
      </c>
      <c r="CX337" s="129">
        <f>MONTH('LCFS Table'!$B337)</f>
        <v>5</v>
      </c>
      <c r="CY337" s="129">
        <f>YEAR('LCFS Table'!$B337)</f>
        <v>2025</v>
      </c>
      <c r="DC337" s="129">
        <v>0.4</v>
      </c>
      <c r="DD337" s="129">
        <v>0.4</v>
      </c>
      <c r="DE337" s="129">
        <v>0.6</v>
      </c>
      <c r="DF337" s="129">
        <v>0.6</v>
      </c>
      <c r="DG337" s="129">
        <v>0.2</v>
      </c>
    </row>
    <row r="338" spans="1:111">
      <c r="A338" s="212">
        <v>45809</v>
      </c>
      <c r="B338" s="213">
        <v>45815</v>
      </c>
      <c r="C338" s="132">
        <f t="shared" si="7"/>
        <v>2025</v>
      </c>
      <c r="D338" s="150" t="s">
        <v>279</v>
      </c>
      <c r="E338" s="187">
        <f>'LCFS Table'!$K338-'LCFS Table'!$I338</f>
        <v>-1.8057921777221528</v>
      </c>
      <c r="F338" s="187">
        <f>('LCFS Table'!$M338)-'LCFS Table'!$J338</f>
        <v>-2.8495058147591972</v>
      </c>
      <c r="G338" s="214">
        <f>'LCFS Table'!$E338+'LCFS Table'!$AS338+'LCFS Table'!$AT338+'LCFS Table'!$AU338+'LCFS Table'!$AV338+(DE338*'LCFS Table'!$AD338)+(DD338*'LCFS Table'!$AE338)+(DC338*'LCFS Table'!$AC338)</f>
        <v>1.0002269068464746</v>
      </c>
      <c r="H338" s="214">
        <f>'LCFS Table'!$F338+'LCFS Table'!$AX338+'LCFS Table'!$AY338+'LCFS Table'!$AZ338+'LCFS Table'!$BA338+('LCFS Table'!$CQ338*0.9/(0.8/0.99)/100)+(DG338*'LCFS Table'!$AF338)+(DF338*'LCFS Table'!$AG338)</f>
        <v>-0.65950273437499796</v>
      </c>
      <c r="I338" s="187">
        <f>('LCFS Table'!$V338+'LCFS Table'!$W338+'LCFS Table'!$X338)/100+(('LCFS Table'!$AI338+'LCFS Table'!$AJ338)/340)</f>
        <v>4.1724921777221526</v>
      </c>
      <c r="J338" s="187">
        <f>(('LCFS Table'!$Y338+'LCFS Table'!$Z338)/100)+(('LCFS Table'!$AM338+'LCFS Table'!$AN338)/300)</f>
        <v>4.4853027343749998</v>
      </c>
      <c r="K338" s="215">
        <f>[4]Forecasts!$C$67</f>
        <v>2.3666999999999998</v>
      </c>
      <c r="L338" s="215">
        <f>[4]Forecasts!$B$67</f>
        <v>443.67000000000019</v>
      </c>
      <c r="M338" s="185">
        <f>('LCFS Table'!$L338/100)-'LCFS Table'!$AX338-'LCFS Table'!$AY338-'LCFS Table'!$AZ338-'LCFS Table'!$BA338-1</f>
        <v>1.6357969196158026</v>
      </c>
      <c r="N338" s="215">
        <f>[3]Sheet1!$F289</f>
        <v>47</v>
      </c>
      <c r="O338" s="215">
        <f>[3]Sheet1!$C289</f>
        <v>42</v>
      </c>
      <c r="P338" s="215">
        <f>[3]Sheet1!$G289</f>
        <v>51</v>
      </c>
      <c r="Q338" s="215">
        <f>[3]Sheet1!$H289</f>
        <v>51</v>
      </c>
      <c r="R338" s="215">
        <f>[3]Sheet1!$B289</f>
        <v>34.25</v>
      </c>
      <c r="S338" s="185">
        <f>'LCFS Table'!$N338 + 'LCFS Table'!$AH338</f>
        <v>51.375</v>
      </c>
      <c r="T338" s="185">
        <f>'LCFS Table'!$Q338+'LCFS Table'!$AH338</f>
        <v>55.375</v>
      </c>
      <c r="U338" s="185">
        <f>'LCFS Table'!$P338+'LCFS Table'!$AH338</f>
        <v>55.375</v>
      </c>
      <c r="V338" s="185">
        <f>(('LCFS Table'!$S338/'LCFS Table'!$AA338)*'LCFS Table'!$AC338)*6.48</f>
        <v>177.07978723404256</v>
      </c>
      <c r="W338" s="185">
        <f>(('LCFS Table'!$O338/'LCFS Table'!$AA338)*'LCFS Table'!$AD338)*6.48</f>
        <v>72.382978723404264</v>
      </c>
      <c r="X338" s="185">
        <f>(('LCFS Table'!$U338/'LCFS Table'!$AA338)*'LCFS Table'!$AE338)*6.48</f>
        <v>95.433510638297889</v>
      </c>
      <c r="Y338" s="185">
        <f>(('LCFS Table'!$T338/'LCFS Table'!$AB338)*'LCFS Table'!$AF338)*7.35</f>
        <v>317.9736328125</v>
      </c>
      <c r="Z338" s="185">
        <f>(('LCFS Table'!$R338/'LCFS Table'!$AB338)*'LCFS Table'!$AG338)*7.35</f>
        <v>65.556640625</v>
      </c>
      <c r="AA338" s="138">
        <v>0.94</v>
      </c>
      <c r="AB338" s="138">
        <v>0.96</v>
      </c>
      <c r="AC338" s="138">
        <v>0.5</v>
      </c>
      <c r="AD338" s="138">
        <v>0.25</v>
      </c>
      <c r="AE338" s="138">
        <v>0.25</v>
      </c>
      <c r="AF338" s="138">
        <v>0.75</v>
      </c>
      <c r="AG338" s="138">
        <v>0.25</v>
      </c>
      <c r="AH338" s="139">
        <v>4.375</v>
      </c>
      <c r="AI338" s="139">
        <v>136</v>
      </c>
      <c r="AJ338" s="139">
        <v>110</v>
      </c>
      <c r="AK338" s="186">
        <f>('LCFS Table'!$AI338/340)*100</f>
        <v>40</v>
      </c>
      <c r="AL338" s="186">
        <f>('LCFS Table'!$AJ338/340)*100</f>
        <v>32.352941176470587</v>
      </c>
      <c r="AM338" s="139">
        <v>105</v>
      </c>
      <c r="AN338" s="139">
        <v>90</v>
      </c>
      <c r="AO338" s="139">
        <f>('LCFS Table'!$AM338/300)*100</f>
        <v>35</v>
      </c>
      <c r="AP338" s="139">
        <f>('LCFS Table'!$AN338/300)*100</f>
        <v>30</v>
      </c>
      <c r="AQ338" s="189">
        <f>[3]Sheet1!$K289</f>
        <v>76.846048028575552</v>
      </c>
      <c r="AR338" s="189">
        <f>[3]Sheet1!$J289/100</f>
        <v>0.93074413693581959</v>
      </c>
      <c r="AS338" s="185">
        <f>((('[2]Controls 2'!$B$2-SUM(('[2]Controls 2'!$B$5*'LCFS Table'!$AC338),('[2]Controls 2'!$B$6*'LCFS Table'!$AD338),('[2]Controls 2'!$B$7*'LCFS Table'!$AE338)))/1000000)*'LCFS Table'!$AQ338)*'[2]Controls 2'!$B$8</f>
        <v>0.61375405177773434</v>
      </c>
      <c r="AT338" s="137">
        <v>0.16</v>
      </c>
      <c r="AU338" s="137">
        <v>0</v>
      </c>
      <c r="AV338" s="185">
        <f>'LCFS Table'!$AR338*1.7</f>
        <v>1.5822650327908934</v>
      </c>
      <c r="AW338" s="137">
        <v>0</v>
      </c>
      <c r="AX338" s="185">
        <f>(((('[2]Controls 2'!$B$2-SUM(('LCFS Table'!$AF338*'[2]Controls 2'!$B$12),('LCFS Table'!$AG338*'[2]Controls 2'!$B$13)))/1000000)*'LCFS Table'!$AQ338)*'[2]Controls 2'!$B$14)</f>
        <v>0.40478687498046984</v>
      </c>
      <c r="AY338" s="137">
        <v>0</v>
      </c>
      <c r="AZ338" s="141">
        <v>0</v>
      </c>
      <c r="BA338" s="185">
        <f>'LCFS Table'!$AR338*1.5</f>
        <v>1.3961162054037293</v>
      </c>
      <c r="BB338" s="142">
        <v>1.2</v>
      </c>
      <c r="BC338" s="185">
        <f>'LCFS Table'!$AS338*'LCFS Table'!$BW338</f>
        <v>0.61375405177773434</v>
      </c>
      <c r="BD338" s="185">
        <f>'LCFS Table'!$AT338*'LCFS Table'!$BX338</f>
        <v>0</v>
      </c>
      <c r="BE338" s="185">
        <f>'LCFS Table'!$AU338*'LCFS Table'!$BY338</f>
        <v>0</v>
      </c>
      <c r="BF338" s="137">
        <f>'LCFS Table'!$AV338*'LCFS Table'!$BZ338</f>
        <v>1.5822650327908934</v>
      </c>
      <c r="BG338" s="137">
        <f>'LCFS Table'!$AW338*'LCFS Table'!$CA338</f>
        <v>0</v>
      </c>
      <c r="BH338" s="137">
        <f>'LCFS Table'!$AX338*'LCFS Table'!$CB338</f>
        <v>0.40478687498046984</v>
      </c>
      <c r="BI338" s="137">
        <f>'LCFS Table'!$AY338*'LCFS Table'!$CC338</f>
        <v>0</v>
      </c>
      <c r="BJ338" s="137">
        <f>'LCFS Table'!$AZ338*'LCFS Table'!$CD338</f>
        <v>0</v>
      </c>
      <c r="BK338" s="137">
        <f>'LCFS Table'!$BA338*'LCFS Table'!$CE338</f>
        <v>1.3961162054037293</v>
      </c>
      <c r="BL338" s="137">
        <f>'LCFS Table'!$BB338*'LCFS Table'!$CF338</f>
        <v>-1.2</v>
      </c>
      <c r="BM338" s="137">
        <f>'LCFS Table'!$AS338*'LCFS Table'!$CG338</f>
        <v>0</v>
      </c>
      <c r="BN338" s="137">
        <f>'LCFS Table'!$AT338*'LCFS Table'!$CH338</f>
        <v>0.16</v>
      </c>
      <c r="BO338" s="137">
        <f>'LCFS Table'!$AU338*'LCFS Table'!$CI338</f>
        <v>0</v>
      </c>
      <c r="BP338" s="137">
        <f>'LCFS Table'!$AV338*'LCFS Table'!$CJ338</f>
        <v>0</v>
      </c>
      <c r="BQ338" s="137">
        <f>'LCFS Table'!$AW338*'LCFS Table'!$CK338</f>
        <v>0</v>
      </c>
      <c r="BR338" s="137">
        <f>'LCFS Table'!$AX338*'LCFS Table'!$CL338</f>
        <v>0</v>
      </c>
      <c r="BS338" s="137">
        <f>'LCFS Table'!$AY338*'LCFS Table'!$CM338</f>
        <v>0</v>
      </c>
      <c r="BT338" s="137">
        <f>'LCFS Table'!$AZ338*'LCFS Table'!$CN338</f>
        <v>0</v>
      </c>
      <c r="BU338" s="137">
        <f>'LCFS Table'!$BA338*'LCFS Table'!$CO338</f>
        <v>0</v>
      </c>
      <c r="BV338" s="142">
        <f>'LCFS Table'!$BB338*'LCFS Table'!$CP338</f>
        <v>1.2</v>
      </c>
      <c r="BW338" s="138">
        <v>1</v>
      </c>
      <c r="BX338" s="138">
        <v>0</v>
      </c>
      <c r="BY338" s="138">
        <v>1</v>
      </c>
      <c r="BZ338" s="138">
        <v>1</v>
      </c>
      <c r="CA338" s="138">
        <v>-1</v>
      </c>
      <c r="CB338" s="138">
        <v>1</v>
      </c>
      <c r="CC338" s="138">
        <v>0</v>
      </c>
      <c r="CD338" s="138">
        <v>1</v>
      </c>
      <c r="CE338" s="138">
        <v>1</v>
      </c>
      <c r="CF338" s="138">
        <v>-1</v>
      </c>
      <c r="CG338" s="138">
        <f>1-'LCFS Table'!$BW338</f>
        <v>0</v>
      </c>
      <c r="CH338" s="138">
        <f>1-'LCFS Table'!$BX338</f>
        <v>1</v>
      </c>
      <c r="CI338" s="138">
        <f>1-'LCFS Table'!$BY338</f>
        <v>0</v>
      </c>
      <c r="CJ338" s="138">
        <f>1-'LCFS Table'!$BZ338</f>
        <v>0</v>
      </c>
      <c r="CK338" s="138">
        <f>-'LCFS Table'!$CA338</f>
        <v>1</v>
      </c>
      <c r="CL338" s="138">
        <f>1-'LCFS Table'!$CB338</f>
        <v>0</v>
      </c>
      <c r="CM338" s="138">
        <f>1-'LCFS Table'!$CC338</f>
        <v>1</v>
      </c>
      <c r="CN338" s="138">
        <f>1-'LCFS Table'!$CD338</f>
        <v>0</v>
      </c>
      <c r="CO338" s="138">
        <f>1-'LCFS Table'!$CE338</f>
        <v>0</v>
      </c>
      <c r="CP338" s="138">
        <f>-'LCFS Table'!$CF338</f>
        <v>1</v>
      </c>
      <c r="CQ338" s="140">
        <f t="shared" si="6"/>
        <v>8</v>
      </c>
      <c r="CR338" s="165">
        <f>('LCFS Table'!$CQ338*0.9/(0.8/0.99)/100)</f>
        <v>8.9099999999999985E-2</v>
      </c>
      <c r="CS338" s="166"/>
      <c r="CT338" s="167"/>
      <c r="CW338" s="168">
        <f>'LCFS Table'!$K338-'LCFS Table'!$M338</f>
        <v>0.73090308038419716</v>
      </c>
      <c r="CX338" s="129">
        <f>MONTH('LCFS Table'!$B338)</f>
        <v>6</v>
      </c>
      <c r="CY338" s="129">
        <f>YEAR('LCFS Table'!$B338)</f>
        <v>2025</v>
      </c>
      <c r="DC338" s="129">
        <v>0.4</v>
      </c>
      <c r="DD338" s="129">
        <v>0.4</v>
      </c>
      <c r="DE338" s="129">
        <v>0.6</v>
      </c>
      <c r="DF338" s="129">
        <v>0.6</v>
      </c>
      <c r="DG338" s="129">
        <v>0.2</v>
      </c>
    </row>
    <row r="339" spans="1:111">
      <c r="A339" s="212">
        <v>45816</v>
      </c>
      <c r="B339" s="213">
        <v>45822</v>
      </c>
      <c r="C339" s="132">
        <f t="shared" si="7"/>
        <v>2025</v>
      </c>
      <c r="D339" s="150" t="s">
        <v>280</v>
      </c>
      <c r="E339" s="187">
        <f>'LCFS Table'!$K339-'LCFS Table'!$I339</f>
        <v>-1.8057921777221528</v>
      </c>
      <c r="F339" s="187">
        <f>('LCFS Table'!$M339)-'LCFS Table'!$J339</f>
        <v>-2.8495058147591972</v>
      </c>
      <c r="G339" s="214">
        <f>'LCFS Table'!$E339+'LCFS Table'!$AS339+'LCFS Table'!$AT339+'LCFS Table'!$AU339+'LCFS Table'!$AV339+(DE339*'LCFS Table'!$AD339)+(DD339*'LCFS Table'!$AE339)+(DC339*'LCFS Table'!$AC339)</f>
        <v>1.0002269068464746</v>
      </c>
      <c r="H339" s="214">
        <f>'LCFS Table'!$F339+'LCFS Table'!$AX339+'LCFS Table'!$AY339+'LCFS Table'!$AZ339+'LCFS Table'!$BA339+('LCFS Table'!$CQ339*0.9/(0.8/0.99)/100)+(DG339*'LCFS Table'!$AF339)+(DF339*'LCFS Table'!$AG339)</f>
        <v>-0.65950273437499796</v>
      </c>
      <c r="I339" s="187">
        <f>('LCFS Table'!$V339+'LCFS Table'!$W339+'LCFS Table'!$X339)/100+(('LCFS Table'!$AI339+'LCFS Table'!$AJ339)/340)</f>
        <v>4.1724921777221526</v>
      </c>
      <c r="J339" s="187">
        <f>(('LCFS Table'!$Y339+'LCFS Table'!$Z339)/100)+(('LCFS Table'!$AM339+'LCFS Table'!$AN339)/300)</f>
        <v>4.4853027343749998</v>
      </c>
      <c r="K339" s="215">
        <f>[4]Forecasts!$C$67</f>
        <v>2.3666999999999998</v>
      </c>
      <c r="L339" s="215">
        <f>[4]Forecasts!$B$67</f>
        <v>443.67000000000019</v>
      </c>
      <c r="M339" s="185">
        <f>('LCFS Table'!$L339/100)-'LCFS Table'!$AX339-'LCFS Table'!$AY339-'LCFS Table'!$AZ339-'LCFS Table'!$BA339-1</f>
        <v>1.6357969196158026</v>
      </c>
      <c r="N339" s="215">
        <f>[3]Sheet1!$F290</f>
        <v>47</v>
      </c>
      <c r="O339" s="215">
        <f>[3]Sheet1!$C290</f>
        <v>42</v>
      </c>
      <c r="P339" s="215">
        <f>[3]Sheet1!$G290</f>
        <v>51</v>
      </c>
      <c r="Q339" s="215">
        <f>[3]Sheet1!$H290</f>
        <v>51</v>
      </c>
      <c r="R339" s="215">
        <f>[3]Sheet1!$B290</f>
        <v>34.25</v>
      </c>
      <c r="S339" s="185">
        <f>'LCFS Table'!$N339 + 'LCFS Table'!$AH339</f>
        <v>51.375</v>
      </c>
      <c r="T339" s="185">
        <f>'LCFS Table'!$Q339+'LCFS Table'!$AH339</f>
        <v>55.375</v>
      </c>
      <c r="U339" s="185">
        <f>'LCFS Table'!$P339+'LCFS Table'!$AH339</f>
        <v>55.375</v>
      </c>
      <c r="V339" s="185">
        <f>(('LCFS Table'!$S339/'LCFS Table'!$AA339)*'LCFS Table'!$AC339)*6.48</f>
        <v>177.07978723404256</v>
      </c>
      <c r="W339" s="185">
        <f>(('LCFS Table'!$O339/'LCFS Table'!$AA339)*'LCFS Table'!$AD339)*6.48</f>
        <v>72.382978723404264</v>
      </c>
      <c r="X339" s="185">
        <f>(('LCFS Table'!$U339/'LCFS Table'!$AA339)*'LCFS Table'!$AE339)*6.48</f>
        <v>95.433510638297889</v>
      </c>
      <c r="Y339" s="185">
        <f>(('LCFS Table'!$T339/'LCFS Table'!$AB339)*'LCFS Table'!$AF339)*7.35</f>
        <v>317.9736328125</v>
      </c>
      <c r="Z339" s="185">
        <f>(('LCFS Table'!$R339/'LCFS Table'!$AB339)*'LCFS Table'!$AG339)*7.35</f>
        <v>65.556640625</v>
      </c>
      <c r="AA339" s="138">
        <v>0.94</v>
      </c>
      <c r="AB339" s="138">
        <v>0.96</v>
      </c>
      <c r="AC339" s="138">
        <v>0.5</v>
      </c>
      <c r="AD339" s="138">
        <v>0.25</v>
      </c>
      <c r="AE339" s="138">
        <v>0.25</v>
      </c>
      <c r="AF339" s="138">
        <v>0.75</v>
      </c>
      <c r="AG339" s="138">
        <v>0.25</v>
      </c>
      <c r="AH339" s="139">
        <v>4.375</v>
      </c>
      <c r="AI339" s="139">
        <v>136</v>
      </c>
      <c r="AJ339" s="139">
        <v>110</v>
      </c>
      <c r="AK339" s="186">
        <f>('LCFS Table'!$AI339/340)*100</f>
        <v>40</v>
      </c>
      <c r="AL339" s="186">
        <f>('LCFS Table'!$AJ339/340)*100</f>
        <v>32.352941176470587</v>
      </c>
      <c r="AM339" s="139">
        <v>105</v>
      </c>
      <c r="AN339" s="139">
        <v>90</v>
      </c>
      <c r="AO339" s="139">
        <f>('LCFS Table'!$AM339/300)*100</f>
        <v>35</v>
      </c>
      <c r="AP339" s="139">
        <f>('LCFS Table'!$AN339/300)*100</f>
        <v>30</v>
      </c>
      <c r="AQ339" s="189">
        <f>[3]Sheet1!$K290</f>
        <v>76.846048028575552</v>
      </c>
      <c r="AR339" s="189">
        <f>[3]Sheet1!$J290/100</f>
        <v>0.93074413693581959</v>
      </c>
      <c r="AS339" s="185">
        <f>((('[2]Controls 2'!$B$2-SUM(('[2]Controls 2'!$B$5*'LCFS Table'!$AC339),('[2]Controls 2'!$B$6*'LCFS Table'!$AD339),('[2]Controls 2'!$B$7*'LCFS Table'!$AE339)))/1000000)*'LCFS Table'!$AQ339)*'[2]Controls 2'!$B$8</f>
        <v>0.61375405177773434</v>
      </c>
      <c r="AT339" s="137">
        <v>0.16</v>
      </c>
      <c r="AU339" s="137">
        <v>0</v>
      </c>
      <c r="AV339" s="185">
        <f>'LCFS Table'!$AR339*1.7</f>
        <v>1.5822650327908934</v>
      </c>
      <c r="AW339" s="137">
        <v>1</v>
      </c>
      <c r="AX339" s="185">
        <f>(((('[2]Controls 2'!$B$2-SUM(('LCFS Table'!$AF339*'[2]Controls 2'!$B$12),('LCFS Table'!$AG339*'[2]Controls 2'!$B$13)))/1000000)*'LCFS Table'!$AQ339)*'[2]Controls 2'!$B$14)</f>
        <v>0.40478687498046984</v>
      </c>
      <c r="AY339" s="137">
        <v>0</v>
      </c>
      <c r="AZ339" s="141">
        <v>0</v>
      </c>
      <c r="BA339" s="185">
        <f>'LCFS Table'!$AR339*1.5</f>
        <v>1.3961162054037293</v>
      </c>
      <c r="BB339" s="142">
        <v>2.2000000000000002</v>
      </c>
      <c r="BC339" s="185">
        <f>'LCFS Table'!$AS339*'LCFS Table'!$BW339</f>
        <v>0.61375405177773434</v>
      </c>
      <c r="BD339" s="185">
        <f>'LCFS Table'!$AT339*'LCFS Table'!$BX339</f>
        <v>0</v>
      </c>
      <c r="BE339" s="185">
        <f>'LCFS Table'!$AU339*'LCFS Table'!$BY339</f>
        <v>0</v>
      </c>
      <c r="BF339" s="137">
        <f>'LCFS Table'!$AV339*'LCFS Table'!$BZ339</f>
        <v>1.5822650327908934</v>
      </c>
      <c r="BG339" s="137">
        <f>'LCFS Table'!$AW339*'LCFS Table'!$CA339</f>
        <v>-1</v>
      </c>
      <c r="BH339" s="137">
        <f>'LCFS Table'!$AX339*'LCFS Table'!$CB339</f>
        <v>0.40478687498046984</v>
      </c>
      <c r="BI339" s="137">
        <f>'LCFS Table'!$AY339*'LCFS Table'!$CC339</f>
        <v>0</v>
      </c>
      <c r="BJ339" s="137">
        <f>'LCFS Table'!$AZ339*'LCFS Table'!$CD339</f>
        <v>0</v>
      </c>
      <c r="BK339" s="137">
        <f>'LCFS Table'!$BA339*'LCFS Table'!$CE339</f>
        <v>1.3961162054037293</v>
      </c>
      <c r="BL339" s="137">
        <f>'LCFS Table'!$BB339*'LCFS Table'!$CF339</f>
        <v>-2.2000000000000002</v>
      </c>
      <c r="BM339" s="137">
        <f>'LCFS Table'!$AS339*'LCFS Table'!$CG339</f>
        <v>0</v>
      </c>
      <c r="BN339" s="137">
        <f>'LCFS Table'!$AT339*'LCFS Table'!$CH339</f>
        <v>0.16</v>
      </c>
      <c r="BO339" s="137">
        <f>'LCFS Table'!$AU339*'LCFS Table'!$CI339</f>
        <v>0</v>
      </c>
      <c r="BP339" s="137">
        <f>'LCFS Table'!$AV339*'LCFS Table'!$CJ339</f>
        <v>0</v>
      </c>
      <c r="BQ339" s="137">
        <f>'LCFS Table'!$AW339*'LCFS Table'!$CK339</f>
        <v>1</v>
      </c>
      <c r="BR339" s="137">
        <f>'LCFS Table'!$AX339*'LCFS Table'!$CL339</f>
        <v>0</v>
      </c>
      <c r="BS339" s="137">
        <f>'LCFS Table'!$AY339*'LCFS Table'!$CM339</f>
        <v>0</v>
      </c>
      <c r="BT339" s="137">
        <f>'LCFS Table'!$AZ339*'LCFS Table'!$CN339</f>
        <v>0</v>
      </c>
      <c r="BU339" s="137">
        <f>'LCFS Table'!$BA339*'LCFS Table'!$CO339</f>
        <v>0</v>
      </c>
      <c r="BV339" s="142">
        <f>'LCFS Table'!$BB339*'LCFS Table'!$CP339</f>
        <v>2.2000000000000002</v>
      </c>
      <c r="BW339" s="138">
        <v>1</v>
      </c>
      <c r="BX339" s="138">
        <v>0</v>
      </c>
      <c r="BY339" s="138">
        <v>1</v>
      </c>
      <c r="BZ339" s="138">
        <v>1</v>
      </c>
      <c r="CA339" s="138">
        <v>-1</v>
      </c>
      <c r="CB339" s="138">
        <v>1</v>
      </c>
      <c r="CC339" s="138">
        <v>0</v>
      </c>
      <c r="CD339" s="138">
        <v>1</v>
      </c>
      <c r="CE339" s="138">
        <v>1</v>
      </c>
      <c r="CF339" s="138">
        <v>-1</v>
      </c>
      <c r="CG339" s="138">
        <f>1-'LCFS Table'!$BW339</f>
        <v>0</v>
      </c>
      <c r="CH339" s="138">
        <f>1-'LCFS Table'!$BX339</f>
        <v>1</v>
      </c>
      <c r="CI339" s="138">
        <f>1-'LCFS Table'!$BY339</f>
        <v>0</v>
      </c>
      <c r="CJ339" s="138">
        <f>1-'LCFS Table'!$BZ339</f>
        <v>0</v>
      </c>
      <c r="CK339" s="138">
        <f>-'LCFS Table'!$CA339</f>
        <v>1</v>
      </c>
      <c r="CL339" s="138">
        <f>1-'LCFS Table'!$CB339</f>
        <v>0</v>
      </c>
      <c r="CM339" s="138">
        <f>1-'LCFS Table'!$CC339</f>
        <v>1</v>
      </c>
      <c r="CN339" s="138">
        <f>1-'LCFS Table'!$CD339</f>
        <v>0</v>
      </c>
      <c r="CO339" s="138">
        <f>1-'LCFS Table'!$CE339</f>
        <v>0</v>
      </c>
      <c r="CP339" s="138">
        <f>-'LCFS Table'!$CF339</f>
        <v>1</v>
      </c>
      <c r="CQ339" s="140">
        <f t="shared" si="6"/>
        <v>8</v>
      </c>
      <c r="CR339" s="165">
        <f>('LCFS Table'!$CQ339*0.9/(0.8/0.99)/100)</f>
        <v>8.9099999999999985E-2</v>
      </c>
      <c r="CS339" s="166"/>
      <c r="CT339" s="167"/>
      <c r="CW339" s="168">
        <f>'LCFS Table'!$K339-'LCFS Table'!$M339</f>
        <v>0.73090308038419716</v>
      </c>
      <c r="CX339" s="129">
        <f>MONTH('LCFS Table'!$B339)</f>
        <v>6</v>
      </c>
      <c r="CY339" s="129">
        <f>YEAR('LCFS Table'!$B339)</f>
        <v>2025</v>
      </c>
      <c r="DC339" s="129">
        <v>0.4</v>
      </c>
      <c r="DD339" s="129">
        <v>0.4</v>
      </c>
      <c r="DE339" s="129">
        <v>0.6</v>
      </c>
      <c r="DF339" s="129">
        <v>0.6</v>
      </c>
      <c r="DG339" s="129">
        <v>0.2</v>
      </c>
    </row>
    <row r="340" spans="1:111">
      <c r="A340" s="212">
        <v>45823</v>
      </c>
      <c r="B340" s="213">
        <v>45829</v>
      </c>
      <c r="C340" s="132">
        <f t="shared" si="7"/>
        <v>2025</v>
      </c>
      <c r="D340" s="150" t="s">
        <v>281</v>
      </c>
      <c r="E340" s="187">
        <f>'LCFS Table'!$K340-'LCFS Table'!$I340</f>
        <v>-1.8057921777221528</v>
      </c>
      <c r="F340" s="187">
        <f>('LCFS Table'!$M340)-'LCFS Table'!$J340</f>
        <v>-2.8495058147591972</v>
      </c>
      <c r="G340" s="214">
        <f>'LCFS Table'!$E340+'LCFS Table'!$AS340+'LCFS Table'!$AT340+'LCFS Table'!$AU340+'LCFS Table'!$AV340+(DE340*'LCFS Table'!$AD340)+(DD340*'LCFS Table'!$AE340)+(DC340*'LCFS Table'!$AC340)</f>
        <v>1.0002269068464746</v>
      </c>
      <c r="H340" s="214">
        <f>'LCFS Table'!$F340+'LCFS Table'!$AX340+'LCFS Table'!$AY340+'LCFS Table'!$AZ340+'LCFS Table'!$BA340+('LCFS Table'!$CQ340*0.9/(0.8/0.99)/100)+(DG340*'LCFS Table'!$AF340)+(DF340*'LCFS Table'!$AG340)</f>
        <v>-0.65950273437499796</v>
      </c>
      <c r="I340" s="187">
        <f>('LCFS Table'!$V340+'LCFS Table'!$W340+'LCFS Table'!$X340)/100+(('LCFS Table'!$AI340+'LCFS Table'!$AJ340)/340)</f>
        <v>4.1724921777221526</v>
      </c>
      <c r="J340" s="187">
        <f>(('LCFS Table'!$Y340+'LCFS Table'!$Z340)/100)+(('LCFS Table'!$AM340+'LCFS Table'!$AN340)/300)</f>
        <v>4.4853027343749998</v>
      </c>
      <c r="K340" s="215">
        <f>[4]Forecasts!$C$67</f>
        <v>2.3666999999999998</v>
      </c>
      <c r="L340" s="215">
        <f>[4]Forecasts!$B$67</f>
        <v>443.67000000000019</v>
      </c>
      <c r="M340" s="185">
        <f>('LCFS Table'!$L340/100)-'LCFS Table'!$AX340-'LCFS Table'!$AY340-'LCFS Table'!$AZ340-'LCFS Table'!$BA340-1</f>
        <v>1.6357969196158026</v>
      </c>
      <c r="N340" s="215">
        <f>[3]Sheet1!$F291</f>
        <v>47</v>
      </c>
      <c r="O340" s="215">
        <f>[3]Sheet1!$C291</f>
        <v>42</v>
      </c>
      <c r="P340" s="215">
        <f>[3]Sheet1!$G291</f>
        <v>51</v>
      </c>
      <c r="Q340" s="215">
        <f>[3]Sheet1!$H291</f>
        <v>51</v>
      </c>
      <c r="R340" s="215">
        <f>[3]Sheet1!$B291</f>
        <v>34.25</v>
      </c>
      <c r="S340" s="185">
        <f>'LCFS Table'!$N340 + 'LCFS Table'!$AH340</f>
        <v>51.375</v>
      </c>
      <c r="T340" s="185">
        <f>'LCFS Table'!$Q340+'LCFS Table'!$AH340</f>
        <v>55.375</v>
      </c>
      <c r="U340" s="185">
        <f>'LCFS Table'!$P340+'LCFS Table'!$AH340</f>
        <v>55.375</v>
      </c>
      <c r="V340" s="185">
        <f>(('LCFS Table'!$S340/'LCFS Table'!$AA340)*'LCFS Table'!$AC340)*6.48</f>
        <v>177.07978723404256</v>
      </c>
      <c r="W340" s="185">
        <f>(('LCFS Table'!$O340/'LCFS Table'!$AA340)*'LCFS Table'!$AD340)*6.48</f>
        <v>72.382978723404264</v>
      </c>
      <c r="X340" s="185">
        <f>(('LCFS Table'!$U340/'LCFS Table'!$AA340)*'LCFS Table'!$AE340)*6.48</f>
        <v>95.433510638297889</v>
      </c>
      <c r="Y340" s="185">
        <f>(('LCFS Table'!$T340/'LCFS Table'!$AB340)*'LCFS Table'!$AF340)*7.35</f>
        <v>317.9736328125</v>
      </c>
      <c r="Z340" s="185">
        <f>(('LCFS Table'!$R340/'LCFS Table'!$AB340)*'LCFS Table'!$AG340)*7.35</f>
        <v>65.556640625</v>
      </c>
      <c r="AA340" s="138">
        <v>0.94</v>
      </c>
      <c r="AB340" s="138">
        <v>0.96</v>
      </c>
      <c r="AC340" s="138">
        <v>0.5</v>
      </c>
      <c r="AD340" s="138">
        <v>0.25</v>
      </c>
      <c r="AE340" s="138">
        <v>0.25</v>
      </c>
      <c r="AF340" s="138">
        <v>0.75</v>
      </c>
      <c r="AG340" s="138">
        <v>0.25</v>
      </c>
      <c r="AH340" s="139">
        <v>4.375</v>
      </c>
      <c r="AI340" s="139">
        <v>136</v>
      </c>
      <c r="AJ340" s="139">
        <v>110</v>
      </c>
      <c r="AK340" s="186">
        <f>('LCFS Table'!$AI340/340)*100</f>
        <v>40</v>
      </c>
      <c r="AL340" s="186">
        <f>('LCFS Table'!$AJ340/340)*100</f>
        <v>32.352941176470587</v>
      </c>
      <c r="AM340" s="139">
        <v>105</v>
      </c>
      <c r="AN340" s="139">
        <v>90</v>
      </c>
      <c r="AO340" s="139">
        <f>('LCFS Table'!$AM340/300)*100</f>
        <v>35</v>
      </c>
      <c r="AP340" s="139">
        <f>('LCFS Table'!$AN340/300)*100</f>
        <v>30</v>
      </c>
      <c r="AQ340" s="189">
        <f>[3]Sheet1!$K291</f>
        <v>76.846048028575552</v>
      </c>
      <c r="AR340" s="189">
        <f>[3]Sheet1!$J291/100</f>
        <v>0.93074413693581959</v>
      </c>
      <c r="AS340" s="185">
        <f>((('[2]Controls 2'!$B$2-SUM(('[2]Controls 2'!$B$5*'LCFS Table'!$AC340),('[2]Controls 2'!$B$6*'LCFS Table'!$AD340),('[2]Controls 2'!$B$7*'LCFS Table'!$AE340)))/1000000)*'LCFS Table'!$AQ340)*'[2]Controls 2'!$B$8</f>
        <v>0.61375405177773434</v>
      </c>
      <c r="AT340" s="137">
        <v>0.16</v>
      </c>
      <c r="AU340" s="137">
        <v>0</v>
      </c>
      <c r="AV340" s="185">
        <f>'LCFS Table'!$AR340*1.7</f>
        <v>1.5822650327908934</v>
      </c>
      <c r="AW340" s="137">
        <v>2</v>
      </c>
      <c r="AX340" s="185">
        <f>(((('[2]Controls 2'!$B$2-SUM(('LCFS Table'!$AF340*'[2]Controls 2'!$B$12),('LCFS Table'!$AG340*'[2]Controls 2'!$B$13)))/1000000)*'LCFS Table'!$AQ340)*'[2]Controls 2'!$B$14)</f>
        <v>0.40478687498046984</v>
      </c>
      <c r="AY340" s="137">
        <v>0</v>
      </c>
      <c r="AZ340" s="141">
        <v>0</v>
      </c>
      <c r="BA340" s="185">
        <f>'LCFS Table'!$AR340*1.5</f>
        <v>1.3961162054037293</v>
      </c>
      <c r="BB340" s="142">
        <v>3.2</v>
      </c>
      <c r="BC340" s="185">
        <f>'LCFS Table'!$AS340*'LCFS Table'!$BW340</f>
        <v>0.61375405177773434</v>
      </c>
      <c r="BD340" s="185">
        <f>'LCFS Table'!$AT340*'LCFS Table'!$BX340</f>
        <v>0</v>
      </c>
      <c r="BE340" s="185">
        <f>'LCFS Table'!$AU340*'LCFS Table'!$BY340</f>
        <v>0</v>
      </c>
      <c r="BF340" s="137">
        <f>'LCFS Table'!$AV340*'LCFS Table'!$BZ340</f>
        <v>1.5822650327908934</v>
      </c>
      <c r="BG340" s="137">
        <f>'LCFS Table'!$AW340*'LCFS Table'!$CA340</f>
        <v>-2</v>
      </c>
      <c r="BH340" s="137">
        <f>'LCFS Table'!$AX340*'LCFS Table'!$CB340</f>
        <v>0.40478687498046984</v>
      </c>
      <c r="BI340" s="137">
        <f>'LCFS Table'!$AY340*'LCFS Table'!$CC340</f>
        <v>0</v>
      </c>
      <c r="BJ340" s="137">
        <f>'LCFS Table'!$AZ340*'LCFS Table'!$CD340</f>
        <v>0</v>
      </c>
      <c r="BK340" s="137">
        <f>'LCFS Table'!$BA340*'LCFS Table'!$CE340</f>
        <v>1.3961162054037293</v>
      </c>
      <c r="BL340" s="137">
        <f>'LCFS Table'!$BB340*'LCFS Table'!$CF340</f>
        <v>-3.2</v>
      </c>
      <c r="BM340" s="137">
        <f>'LCFS Table'!$AS340*'LCFS Table'!$CG340</f>
        <v>0</v>
      </c>
      <c r="BN340" s="137">
        <f>'LCFS Table'!$AT340*'LCFS Table'!$CH340</f>
        <v>0.16</v>
      </c>
      <c r="BO340" s="137">
        <f>'LCFS Table'!$AU340*'LCFS Table'!$CI340</f>
        <v>0</v>
      </c>
      <c r="BP340" s="137">
        <f>'LCFS Table'!$AV340*'LCFS Table'!$CJ340</f>
        <v>0</v>
      </c>
      <c r="BQ340" s="137">
        <f>'LCFS Table'!$AW340*'LCFS Table'!$CK340</f>
        <v>2</v>
      </c>
      <c r="BR340" s="137">
        <f>'LCFS Table'!$AX340*'LCFS Table'!$CL340</f>
        <v>0</v>
      </c>
      <c r="BS340" s="137">
        <f>'LCFS Table'!$AY340*'LCFS Table'!$CM340</f>
        <v>0</v>
      </c>
      <c r="BT340" s="137">
        <f>'LCFS Table'!$AZ340*'LCFS Table'!$CN340</f>
        <v>0</v>
      </c>
      <c r="BU340" s="137">
        <f>'LCFS Table'!$BA340*'LCFS Table'!$CO340</f>
        <v>0</v>
      </c>
      <c r="BV340" s="142">
        <f>'LCFS Table'!$BB340*'LCFS Table'!$CP340</f>
        <v>3.2</v>
      </c>
      <c r="BW340" s="138">
        <v>1</v>
      </c>
      <c r="BX340" s="138">
        <v>0</v>
      </c>
      <c r="BY340" s="138">
        <v>1</v>
      </c>
      <c r="BZ340" s="138">
        <v>1</v>
      </c>
      <c r="CA340" s="138">
        <v>-1</v>
      </c>
      <c r="CB340" s="138">
        <v>1</v>
      </c>
      <c r="CC340" s="138">
        <v>0</v>
      </c>
      <c r="CD340" s="138">
        <v>1</v>
      </c>
      <c r="CE340" s="138">
        <v>1</v>
      </c>
      <c r="CF340" s="138">
        <v>-1</v>
      </c>
      <c r="CG340" s="138">
        <f>1-'LCFS Table'!$BW340</f>
        <v>0</v>
      </c>
      <c r="CH340" s="138">
        <f>1-'LCFS Table'!$BX340</f>
        <v>1</v>
      </c>
      <c r="CI340" s="138">
        <f>1-'LCFS Table'!$BY340</f>
        <v>0</v>
      </c>
      <c r="CJ340" s="138">
        <f>1-'LCFS Table'!$BZ340</f>
        <v>0</v>
      </c>
      <c r="CK340" s="138">
        <f>-'LCFS Table'!$CA340</f>
        <v>1</v>
      </c>
      <c r="CL340" s="138">
        <f>1-'LCFS Table'!$CB340</f>
        <v>0</v>
      </c>
      <c r="CM340" s="138">
        <f>1-'LCFS Table'!$CC340</f>
        <v>1</v>
      </c>
      <c r="CN340" s="138">
        <f>1-'LCFS Table'!$CD340</f>
        <v>0</v>
      </c>
      <c r="CO340" s="138">
        <f>1-'LCFS Table'!$CE340</f>
        <v>0</v>
      </c>
      <c r="CP340" s="138">
        <f>-'LCFS Table'!$CF340</f>
        <v>1</v>
      </c>
      <c r="CQ340" s="140">
        <f t="shared" si="6"/>
        <v>8</v>
      </c>
      <c r="CR340" s="165">
        <f>('LCFS Table'!$CQ340*0.9/(0.8/0.99)/100)</f>
        <v>8.9099999999999985E-2</v>
      </c>
      <c r="CS340" s="166"/>
      <c r="CT340" s="167"/>
      <c r="CW340" s="168">
        <f>'LCFS Table'!$K340-'LCFS Table'!$M340</f>
        <v>0.73090308038419716</v>
      </c>
      <c r="CX340" s="129">
        <f>MONTH('LCFS Table'!$B340)</f>
        <v>6</v>
      </c>
      <c r="CY340" s="129">
        <f>YEAR('LCFS Table'!$B340)</f>
        <v>2025</v>
      </c>
      <c r="DC340" s="129">
        <v>0.4</v>
      </c>
      <c r="DD340" s="129">
        <v>0.4</v>
      </c>
      <c r="DE340" s="129">
        <v>0.6</v>
      </c>
      <c r="DF340" s="129">
        <v>0.6</v>
      </c>
      <c r="DG340" s="129">
        <v>0.2</v>
      </c>
    </row>
    <row r="341" spans="1:111">
      <c r="A341" s="212">
        <v>45830</v>
      </c>
      <c r="B341" s="213">
        <v>45836</v>
      </c>
      <c r="C341" s="132">
        <f t="shared" si="7"/>
        <v>2025</v>
      </c>
      <c r="D341" s="150" t="s">
        <v>282</v>
      </c>
      <c r="E341" s="187">
        <f>'LCFS Table'!$K341-'LCFS Table'!$I341</f>
        <v>-1.8057921777221528</v>
      </c>
      <c r="F341" s="187">
        <f>('LCFS Table'!$M341)-'LCFS Table'!$J341</f>
        <v>-2.8495058147591972</v>
      </c>
      <c r="G341" s="214">
        <f>'LCFS Table'!$E341+'LCFS Table'!$AS341+'LCFS Table'!$AT341+'LCFS Table'!$AU341+'LCFS Table'!$AV341+(DE341*'LCFS Table'!$AD341)+(DD341*'LCFS Table'!$AE341)+(DC341*'LCFS Table'!$AC341)</f>
        <v>1.0002269068464746</v>
      </c>
      <c r="H341" s="214">
        <f>'LCFS Table'!$F341+'LCFS Table'!$AX341+'LCFS Table'!$AY341+'LCFS Table'!$AZ341+'LCFS Table'!$BA341+('LCFS Table'!$CQ341*0.9/(0.8/0.99)/100)+(DG341*'LCFS Table'!$AF341)+(DF341*'LCFS Table'!$AG341)</f>
        <v>-0.65950273437499796</v>
      </c>
      <c r="I341" s="187">
        <f>('LCFS Table'!$V341+'LCFS Table'!$W341+'LCFS Table'!$X341)/100+(('LCFS Table'!$AI341+'LCFS Table'!$AJ341)/340)</f>
        <v>4.1724921777221526</v>
      </c>
      <c r="J341" s="187">
        <f>(('LCFS Table'!$Y341+'LCFS Table'!$Z341)/100)+(('LCFS Table'!$AM341+'LCFS Table'!$AN341)/300)</f>
        <v>4.4853027343749998</v>
      </c>
      <c r="K341" s="215">
        <f>[4]Forecasts!$C$67</f>
        <v>2.3666999999999998</v>
      </c>
      <c r="L341" s="215">
        <f>[4]Forecasts!$B$67</f>
        <v>443.67000000000019</v>
      </c>
      <c r="M341" s="185">
        <f>('LCFS Table'!$L341/100)-'LCFS Table'!$AX341-'LCFS Table'!$AY341-'LCFS Table'!$AZ341-'LCFS Table'!$BA341-1</f>
        <v>1.6357969196158026</v>
      </c>
      <c r="N341" s="215">
        <f>[3]Sheet1!$F292</f>
        <v>47</v>
      </c>
      <c r="O341" s="215">
        <f>[3]Sheet1!$C292</f>
        <v>42</v>
      </c>
      <c r="P341" s="215">
        <f>[3]Sheet1!$G292</f>
        <v>51</v>
      </c>
      <c r="Q341" s="215">
        <f>[3]Sheet1!$H292</f>
        <v>51</v>
      </c>
      <c r="R341" s="215">
        <f>[3]Sheet1!$B292</f>
        <v>34.25</v>
      </c>
      <c r="S341" s="185">
        <f>'LCFS Table'!$N341 + 'LCFS Table'!$AH341</f>
        <v>51.375</v>
      </c>
      <c r="T341" s="185">
        <f>'LCFS Table'!$Q341+'LCFS Table'!$AH341</f>
        <v>55.375</v>
      </c>
      <c r="U341" s="185">
        <f>'LCFS Table'!$P341+'LCFS Table'!$AH341</f>
        <v>55.375</v>
      </c>
      <c r="V341" s="185">
        <f>(('LCFS Table'!$S341/'LCFS Table'!$AA341)*'LCFS Table'!$AC341)*6.48</f>
        <v>177.07978723404256</v>
      </c>
      <c r="W341" s="185">
        <f>(('LCFS Table'!$O341/'LCFS Table'!$AA341)*'LCFS Table'!$AD341)*6.48</f>
        <v>72.382978723404264</v>
      </c>
      <c r="X341" s="185">
        <f>(('LCFS Table'!$U341/'LCFS Table'!$AA341)*'LCFS Table'!$AE341)*6.48</f>
        <v>95.433510638297889</v>
      </c>
      <c r="Y341" s="185">
        <f>(('LCFS Table'!$T341/'LCFS Table'!$AB341)*'LCFS Table'!$AF341)*7.35</f>
        <v>317.9736328125</v>
      </c>
      <c r="Z341" s="185">
        <f>(('LCFS Table'!$R341/'LCFS Table'!$AB341)*'LCFS Table'!$AG341)*7.35</f>
        <v>65.556640625</v>
      </c>
      <c r="AA341" s="138">
        <v>0.94</v>
      </c>
      <c r="AB341" s="138">
        <v>0.96</v>
      </c>
      <c r="AC341" s="138">
        <v>0.5</v>
      </c>
      <c r="AD341" s="138">
        <v>0.25</v>
      </c>
      <c r="AE341" s="138">
        <v>0.25</v>
      </c>
      <c r="AF341" s="138">
        <v>0.75</v>
      </c>
      <c r="AG341" s="138">
        <v>0.25</v>
      </c>
      <c r="AH341" s="139">
        <v>4.375</v>
      </c>
      <c r="AI341" s="139">
        <v>136</v>
      </c>
      <c r="AJ341" s="139">
        <v>110</v>
      </c>
      <c r="AK341" s="186">
        <f>('LCFS Table'!$AI341/340)*100</f>
        <v>40</v>
      </c>
      <c r="AL341" s="186">
        <f>('LCFS Table'!$AJ341/340)*100</f>
        <v>32.352941176470587</v>
      </c>
      <c r="AM341" s="139">
        <v>105</v>
      </c>
      <c r="AN341" s="139">
        <v>90</v>
      </c>
      <c r="AO341" s="139">
        <f>('LCFS Table'!$AM341/300)*100</f>
        <v>35</v>
      </c>
      <c r="AP341" s="139">
        <f>('LCFS Table'!$AN341/300)*100</f>
        <v>30</v>
      </c>
      <c r="AQ341" s="189">
        <f>[3]Sheet1!$K292</f>
        <v>76.846048028575552</v>
      </c>
      <c r="AR341" s="189">
        <f>[3]Sheet1!$J292/100</f>
        <v>0.93074413693581959</v>
      </c>
      <c r="AS341" s="185">
        <f>((('[2]Controls 2'!$B$2-SUM(('[2]Controls 2'!$B$5*'LCFS Table'!$AC341),('[2]Controls 2'!$B$6*'LCFS Table'!$AD341),('[2]Controls 2'!$B$7*'LCFS Table'!$AE341)))/1000000)*'LCFS Table'!$AQ341)*'[2]Controls 2'!$B$8</f>
        <v>0.61375405177773434</v>
      </c>
      <c r="AT341" s="137">
        <v>0.16</v>
      </c>
      <c r="AU341" s="137">
        <v>0</v>
      </c>
      <c r="AV341" s="185">
        <f>'LCFS Table'!$AR341*1.7</f>
        <v>1.5822650327908934</v>
      </c>
      <c r="AW341" s="137">
        <v>3</v>
      </c>
      <c r="AX341" s="185">
        <f>(((('[2]Controls 2'!$B$2-SUM(('LCFS Table'!$AF341*'[2]Controls 2'!$B$12),('LCFS Table'!$AG341*'[2]Controls 2'!$B$13)))/1000000)*'LCFS Table'!$AQ341)*'[2]Controls 2'!$B$14)</f>
        <v>0.40478687498046984</v>
      </c>
      <c r="AY341" s="137">
        <v>0</v>
      </c>
      <c r="AZ341" s="141">
        <v>0</v>
      </c>
      <c r="BA341" s="185">
        <f>'LCFS Table'!$AR341*1.5</f>
        <v>1.3961162054037293</v>
      </c>
      <c r="BB341" s="142">
        <v>4.2</v>
      </c>
      <c r="BC341" s="185">
        <f>'LCFS Table'!$AS341*'LCFS Table'!$BW341</f>
        <v>0.61375405177773434</v>
      </c>
      <c r="BD341" s="185">
        <f>'LCFS Table'!$AT341*'LCFS Table'!$BX341</f>
        <v>0</v>
      </c>
      <c r="BE341" s="185">
        <f>'LCFS Table'!$AU341*'LCFS Table'!$BY341</f>
        <v>0</v>
      </c>
      <c r="BF341" s="137">
        <f>'LCFS Table'!$AV341*'LCFS Table'!$BZ341</f>
        <v>1.5822650327908934</v>
      </c>
      <c r="BG341" s="137">
        <f>'LCFS Table'!$AW341*'LCFS Table'!$CA341</f>
        <v>-3</v>
      </c>
      <c r="BH341" s="137">
        <f>'LCFS Table'!$AX341*'LCFS Table'!$CB341</f>
        <v>0.40478687498046984</v>
      </c>
      <c r="BI341" s="137">
        <f>'LCFS Table'!$AY341*'LCFS Table'!$CC341</f>
        <v>0</v>
      </c>
      <c r="BJ341" s="137">
        <f>'LCFS Table'!$AZ341*'LCFS Table'!$CD341</f>
        <v>0</v>
      </c>
      <c r="BK341" s="137">
        <f>'LCFS Table'!$BA341*'LCFS Table'!$CE341</f>
        <v>1.3961162054037293</v>
      </c>
      <c r="BL341" s="137">
        <f>'LCFS Table'!$BB341*'LCFS Table'!$CF341</f>
        <v>-4.2</v>
      </c>
      <c r="BM341" s="137">
        <f>'LCFS Table'!$AS341*'LCFS Table'!$CG341</f>
        <v>0</v>
      </c>
      <c r="BN341" s="137">
        <f>'LCFS Table'!$AT341*'LCFS Table'!$CH341</f>
        <v>0.16</v>
      </c>
      <c r="BO341" s="137">
        <f>'LCFS Table'!$AU341*'LCFS Table'!$CI341</f>
        <v>0</v>
      </c>
      <c r="BP341" s="137">
        <f>'LCFS Table'!$AV341*'LCFS Table'!$CJ341</f>
        <v>0</v>
      </c>
      <c r="BQ341" s="137">
        <f>'LCFS Table'!$AW341*'LCFS Table'!$CK341</f>
        <v>3</v>
      </c>
      <c r="BR341" s="137">
        <f>'LCFS Table'!$AX341*'LCFS Table'!$CL341</f>
        <v>0</v>
      </c>
      <c r="BS341" s="137">
        <f>'LCFS Table'!$AY341*'LCFS Table'!$CM341</f>
        <v>0</v>
      </c>
      <c r="BT341" s="137">
        <f>'LCFS Table'!$AZ341*'LCFS Table'!$CN341</f>
        <v>0</v>
      </c>
      <c r="BU341" s="137">
        <f>'LCFS Table'!$BA341*'LCFS Table'!$CO341</f>
        <v>0</v>
      </c>
      <c r="BV341" s="142">
        <f>'LCFS Table'!$BB341*'LCFS Table'!$CP341</f>
        <v>4.2</v>
      </c>
      <c r="BW341" s="138">
        <v>1</v>
      </c>
      <c r="BX341" s="138">
        <v>0</v>
      </c>
      <c r="BY341" s="138">
        <v>1</v>
      </c>
      <c r="BZ341" s="138">
        <v>1</v>
      </c>
      <c r="CA341" s="138">
        <v>-1</v>
      </c>
      <c r="CB341" s="138">
        <v>1</v>
      </c>
      <c r="CC341" s="138">
        <v>0</v>
      </c>
      <c r="CD341" s="138">
        <v>1</v>
      </c>
      <c r="CE341" s="138">
        <v>1</v>
      </c>
      <c r="CF341" s="138">
        <v>-1</v>
      </c>
      <c r="CG341" s="138">
        <f>1-'LCFS Table'!$BW341</f>
        <v>0</v>
      </c>
      <c r="CH341" s="138">
        <f>1-'LCFS Table'!$BX341</f>
        <v>1</v>
      </c>
      <c r="CI341" s="138">
        <f>1-'LCFS Table'!$BY341</f>
        <v>0</v>
      </c>
      <c r="CJ341" s="138">
        <f>1-'LCFS Table'!$BZ341</f>
        <v>0</v>
      </c>
      <c r="CK341" s="138">
        <f>-'LCFS Table'!$CA341</f>
        <v>1</v>
      </c>
      <c r="CL341" s="138">
        <f>1-'LCFS Table'!$CB341</f>
        <v>0</v>
      </c>
      <c r="CM341" s="138">
        <f>1-'LCFS Table'!$CC341</f>
        <v>1</v>
      </c>
      <c r="CN341" s="138">
        <f>1-'LCFS Table'!$CD341</f>
        <v>0</v>
      </c>
      <c r="CO341" s="138">
        <f>1-'LCFS Table'!$CE341</f>
        <v>0</v>
      </c>
      <c r="CP341" s="138">
        <f>-'LCFS Table'!$CF341</f>
        <v>1</v>
      </c>
      <c r="CQ341" s="140">
        <f t="shared" ref="CQ341:CQ356" si="8">CQ340</f>
        <v>8</v>
      </c>
      <c r="CR341" s="165">
        <f>('LCFS Table'!$CQ341*0.9/(0.8/0.99)/100)</f>
        <v>8.9099999999999985E-2</v>
      </c>
      <c r="CS341" s="166"/>
      <c r="CT341" s="167"/>
      <c r="CW341" s="168">
        <f>'LCFS Table'!$K341-'LCFS Table'!$M341</f>
        <v>0.73090308038419716</v>
      </c>
      <c r="CX341" s="129">
        <f>MONTH('LCFS Table'!$B341)</f>
        <v>6</v>
      </c>
      <c r="CY341" s="129">
        <f>YEAR('LCFS Table'!$B341)</f>
        <v>2025</v>
      </c>
      <c r="DC341" s="129">
        <v>0.4</v>
      </c>
      <c r="DD341" s="129">
        <v>0.4</v>
      </c>
      <c r="DE341" s="129">
        <v>0.6</v>
      </c>
      <c r="DF341" s="129">
        <v>0.6</v>
      </c>
      <c r="DG341" s="129">
        <v>0.2</v>
      </c>
    </row>
    <row r="342" spans="1:111">
      <c r="A342" s="212">
        <v>45837</v>
      </c>
      <c r="B342" s="213">
        <v>45843</v>
      </c>
      <c r="C342" s="132">
        <f t="shared" si="7"/>
        <v>2025</v>
      </c>
      <c r="D342" s="150" t="s">
        <v>283</v>
      </c>
      <c r="E342" s="187">
        <f>'LCFS Table'!$K342-'LCFS Table'!$I342</f>
        <v>-1.8057921777221528</v>
      </c>
      <c r="F342" s="187">
        <f>('LCFS Table'!$M342)-'LCFS Table'!$J342</f>
        <v>-2.8981058147591976</v>
      </c>
      <c r="G342" s="214">
        <f>'LCFS Table'!$E342+'LCFS Table'!$AS342+'LCFS Table'!$AT342+'LCFS Table'!$AU342+'LCFS Table'!$AV342+(DE342*'LCFS Table'!$AD342)+(DD342*'LCFS Table'!$AE342)+(DC342*'LCFS Table'!$AC342)</f>
        <v>1.0002269068464746</v>
      </c>
      <c r="H342" s="214">
        <f>'LCFS Table'!$F342+'LCFS Table'!$AX342+'LCFS Table'!$AY342+'LCFS Table'!$AZ342+'LCFS Table'!$BA342+('LCFS Table'!$CQ342*0.9/(0.8/0.99)/100)+(DG342*'LCFS Table'!$AF342)+(DF342*'LCFS Table'!$AG342)</f>
        <v>-0.70810273437499838</v>
      </c>
      <c r="I342" s="187">
        <f>('LCFS Table'!$V342+'LCFS Table'!$W342+'LCFS Table'!$X342)/100+(('LCFS Table'!$AI342+'LCFS Table'!$AJ342)/340)</f>
        <v>4.1724921777221526</v>
      </c>
      <c r="J342" s="187">
        <f>(('LCFS Table'!$Y342+'LCFS Table'!$Z342)/100)+(('LCFS Table'!$AM342+'LCFS Table'!$AN342)/300)</f>
        <v>4.4853027343749998</v>
      </c>
      <c r="K342" s="215">
        <f>[4]Forecasts!$C$67</f>
        <v>2.3666999999999998</v>
      </c>
      <c r="L342" s="215">
        <f>[4]Forecasts!$B$68</f>
        <v>438.81000000000012</v>
      </c>
      <c r="M342" s="185">
        <f>('LCFS Table'!$L342/100)-'LCFS Table'!$AX342-'LCFS Table'!$AY342-'LCFS Table'!$AZ342-'LCFS Table'!$BA342-1</f>
        <v>1.5871969196158022</v>
      </c>
      <c r="N342" s="215">
        <f>[3]Sheet1!$F293</f>
        <v>47</v>
      </c>
      <c r="O342" s="215">
        <f>[3]Sheet1!$C293</f>
        <v>42</v>
      </c>
      <c r="P342" s="215">
        <f>[3]Sheet1!$G293</f>
        <v>51</v>
      </c>
      <c r="Q342" s="215">
        <f>[3]Sheet1!$H293</f>
        <v>51</v>
      </c>
      <c r="R342" s="215">
        <f>[3]Sheet1!$B293</f>
        <v>34.25</v>
      </c>
      <c r="S342" s="185">
        <f>'LCFS Table'!$N342 + 'LCFS Table'!$AH342</f>
        <v>51.375</v>
      </c>
      <c r="T342" s="185">
        <f>'LCFS Table'!$Q342+'LCFS Table'!$AH342</f>
        <v>55.375</v>
      </c>
      <c r="U342" s="185">
        <f>'LCFS Table'!$P342+'LCFS Table'!$AH342</f>
        <v>55.375</v>
      </c>
      <c r="V342" s="185">
        <f>(('LCFS Table'!$S342/'LCFS Table'!$AA342)*'LCFS Table'!$AC342)*6.48</f>
        <v>177.07978723404256</v>
      </c>
      <c r="W342" s="185">
        <f>(('LCFS Table'!$O342/'LCFS Table'!$AA342)*'LCFS Table'!$AD342)*6.48</f>
        <v>72.382978723404264</v>
      </c>
      <c r="X342" s="185">
        <f>(('LCFS Table'!$U342/'LCFS Table'!$AA342)*'LCFS Table'!$AE342)*6.48</f>
        <v>95.433510638297889</v>
      </c>
      <c r="Y342" s="185">
        <f>(('LCFS Table'!$T342/'LCFS Table'!$AB342)*'LCFS Table'!$AF342)*7.35</f>
        <v>317.9736328125</v>
      </c>
      <c r="Z342" s="185">
        <f>(('LCFS Table'!$R342/'LCFS Table'!$AB342)*'LCFS Table'!$AG342)*7.35</f>
        <v>65.556640625</v>
      </c>
      <c r="AA342" s="138">
        <v>0.94</v>
      </c>
      <c r="AB342" s="138">
        <v>0.96</v>
      </c>
      <c r="AC342" s="138">
        <v>0.5</v>
      </c>
      <c r="AD342" s="138">
        <v>0.25</v>
      </c>
      <c r="AE342" s="138">
        <v>0.25</v>
      </c>
      <c r="AF342" s="138">
        <v>0.75</v>
      </c>
      <c r="AG342" s="138">
        <v>0.25</v>
      </c>
      <c r="AH342" s="139">
        <v>4.375</v>
      </c>
      <c r="AI342" s="139">
        <v>136</v>
      </c>
      <c r="AJ342" s="139">
        <v>110</v>
      </c>
      <c r="AK342" s="186">
        <f>('LCFS Table'!$AI342/340)*100</f>
        <v>40</v>
      </c>
      <c r="AL342" s="186">
        <f>('LCFS Table'!$AJ342/340)*100</f>
        <v>32.352941176470587</v>
      </c>
      <c r="AM342" s="139">
        <v>105</v>
      </c>
      <c r="AN342" s="139">
        <v>90</v>
      </c>
      <c r="AO342" s="139">
        <f>('LCFS Table'!$AM342/300)*100</f>
        <v>35</v>
      </c>
      <c r="AP342" s="139">
        <f>('LCFS Table'!$AN342/300)*100</f>
        <v>30</v>
      </c>
      <c r="AQ342" s="189">
        <f>[3]Sheet1!$K293</f>
        <v>76.846048028575552</v>
      </c>
      <c r="AR342" s="189">
        <f>[3]Sheet1!$J293/100</f>
        <v>0.93074413693581959</v>
      </c>
      <c r="AS342" s="185">
        <f>((('[2]Controls 2'!$B$2-SUM(('[2]Controls 2'!$B$5*'LCFS Table'!$AC342),('[2]Controls 2'!$B$6*'LCFS Table'!$AD342),('[2]Controls 2'!$B$7*'LCFS Table'!$AE342)))/1000000)*'LCFS Table'!$AQ342)*'[2]Controls 2'!$B$8</f>
        <v>0.61375405177773434</v>
      </c>
      <c r="AT342" s="137">
        <v>0.16</v>
      </c>
      <c r="AU342" s="137">
        <v>0</v>
      </c>
      <c r="AV342" s="185">
        <f>'LCFS Table'!$AR342*1.7</f>
        <v>1.5822650327908934</v>
      </c>
      <c r="AW342" s="137">
        <v>4</v>
      </c>
      <c r="AX342" s="185">
        <f>(((('[2]Controls 2'!$B$2-SUM(('LCFS Table'!$AF342*'[2]Controls 2'!$B$12),('LCFS Table'!$AG342*'[2]Controls 2'!$B$13)))/1000000)*'LCFS Table'!$AQ342)*'[2]Controls 2'!$B$14)</f>
        <v>0.40478687498046984</v>
      </c>
      <c r="AY342" s="137">
        <v>0</v>
      </c>
      <c r="AZ342" s="141">
        <v>0</v>
      </c>
      <c r="BA342" s="185">
        <f>'LCFS Table'!$AR342*1.5</f>
        <v>1.3961162054037293</v>
      </c>
      <c r="BB342" s="142">
        <v>5.2</v>
      </c>
      <c r="BC342" s="185">
        <f>'LCFS Table'!$AS342*'LCFS Table'!$BW342</f>
        <v>0.61375405177773434</v>
      </c>
      <c r="BD342" s="185">
        <f>'LCFS Table'!$AT342*'LCFS Table'!$BX342</f>
        <v>0</v>
      </c>
      <c r="BE342" s="185">
        <f>'LCFS Table'!$AU342*'LCFS Table'!$BY342</f>
        <v>0</v>
      </c>
      <c r="BF342" s="137">
        <f>'LCFS Table'!$AV342*'LCFS Table'!$BZ342</f>
        <v>1.5822650327908934</v>
      </c>
      <c r="BG342" s="137">
        <f>'LCFS Table'!$AW342*'LCFS Table'!$CA342</f>
        <v>-4</v>
      </c>
      <c r="BH342" s="137">
        <f>'LCFS Table'!$AX342*'LCFS Table'!$CB342</f>
        <v>0.40478687498046984</v>
      </c>
      <c r="BI342" s="137">
        <f>'LCFS Table'!$AY342*'LCFS Table'!$CC342</f>
        <v>0</v>
      </c>
      <c r="BJ342" s="137">
        <f>'LCFS Table'!$AZ342*'LCFS Table'!$CD342</f>
        <v>0</v>
      </c>
      <c r="BK342" s="137">
        <f>'LCFS Table'!$BA342*'LCFS Table'!$CE342</f>
        <v>1.3961162054037293</v>
      </c>
      <c r="BL342" s="137">
        <f>'LCFS Table'!$BB342*'LCFS Table'!$CF342</f>
        <v>-5.2</v>
      </c>
      <c r="BM342" s="137">
        <f>'LCFS Table'!$AS342*'LCFS Table'!$CG342</f>
        <v>0</v>
      </c>
      <c r="BN342" s="137">
        <f>'LCFS Table'!$AT342*'LCFS Table'!$CH342</f>
        <v>0.16</v>
      </c>
      <c r="BO342" s="137">
        <f>'LCFS Table'!$AU342*'LCFS Table'!$CI342</f>
        <v>0</v>
      </c>
      <c r="BP342" s="137">
        <f>'LCFS Table'!$AV342*'LCFS Table'!$CJ342</f>
        <v>0</v>
      </c>
      <c r="BQ342" s="137">
        <f>'LCFS Table'!$AW342*'LCFS Table'!$CK342</f>
        <v>4</v>
      </c>
      <c r="BR342" s="137">
        <f>'LCFS Table'!$AX342*'LCFS Table'!$CL342</f>
        <v>0</v>
      </c>
      <c r="BS342" s="137">
        <f>'LCFS Table'!$AY342*'LCFS Table'!$CM342</f>
        <v>0</v>
      </c>
      <c r="BT342" s="137">
        <f>'LCFS Table'!$AZ342*'LCFS Table'!$CN342</f>
        <v>0</v>
      </c>
      <c r="BU342" s="137">
        <f>'LCFS Table'!$BA342*'LCFS Table'!$CO342</f>
        <v>0</v>
      </c>
      <c r="BV342" s="142">
        <f>'LCFS Table'!$BB342*'LCFS Table'!$CP342</f>
        <v>5.2</v>
      </c>
      <c r="BW342" s="138">
        <v>1</v>
      </c>
      <c r="BX342" s="138">
        <v>0</v>
      </c>
      <c r="BY342" s="138">
        <v>1</v>
      </c>
      <c r="BZ342" s="138">
        <v>1</v>
      </c>
      <c r="CA342" s="138">
        <v>-1</v>
      </c>
      <c r="CB342" s="138">
        <v>1</v>
      </c>
      <c r="CC342" s="138">
        <v>0</v>
      </c>
      <c r="CD342" s="138">
        <v>1</v>
      </c>
      <c r="CE342" s="138">
        <v>1</v>
      </c>
      <c r="CF342" s="138">
        <v>-1</v>
      </c>
      <c r="CG342" s="138">
        <f>1-'LCFS Table'!$BW342</f>
        <v>0</v>
      </c>
      <c r="CH342" s="138">
        <f>1-'LCFS Table'!$BX342</f>
        <v>1</v>
      </c>
      <c r="CI342" s="138">
        <f>1-'LCFS Table'!$BY342</f>
        <v>0</v>
      </c>
      <c r="CJ342" s="138">
        <f>1-'LCFS Table'!$BZ342</f>
        <v>0</v>
      </c>
      <c r="CK342" s="138">
        <f>-'LCFS Table'!$CA342</f>
        <v>1</v>
      </c>
      <c r="CL342" s="138">
        <f>1-'LCFS Table'!$CB342</f>
        <v>0</v>
      </c>
      <c r="CM342" s="138">
        <f>1-'LCFS Table'!$CC342</f>
        <v>1</v>
      </c>
      <c r="CN342" s="138">
        <f>1-'LCFS Table'!$CD342</f>
        <v>0</v>
      </c>
      <c r="CO342" s="138">
        <f>1-'LCFS Table'!$CE342</f>
        <v>0</v>
      </c>
      <c r="CP342" s="138">
        <f>-'LCFS Table'!$CF342</f>
        <v>1</v>
      </c>
      <c r="CQ342" s="140">
        <f t="shared" si="8"/>
        <v>8</v>
      </c>
      <c r="CR342" s="165">
        <f>('LCFS Table'!$CQ342*0.9/(0.8/0.99)/100)</f>
        <v>8.9099999999999985E-2</v>
      </c>
      <c r="CS342" s="166"/>
      <c r="CT342" s="167"/>
      <c r="CW342" s="168">
        <f>'LCFS Table'!$K342-'LCFS Table'!$M342</f>
        <v>0.77950308038419758</v>
      </c>
      <c r="CX342" s="129">
        <f>MONTH('LCFS Table'!$B342)</f>
        <v>7</v>
      </c>
      <c r="CY342" s="129">
        <f>YEAR('LCFS Table'!$B342)</f>
        <v>2025</v>
      </c>
      <c r="DC342" s="129">
        <v>0.4</v>
      </c>
      <c r="DD342" s="129">
        <v>0.4</v>
      </c>
      <c r="DE342" s="129">
        <v>0.6</v>
      </c>
      <c r="DF342" s="129">
        <v>0.6</v>
      </c>
      <c r="DG342" s="129">
        <v>0.2</v>
      </c>
    </row>
    <row r="343" spans="1:111">
      <c r="A343" s="212">
        <v>45844</v>
      </c>
      <c r="B343" s="213">
        <v>45850</v>
      </c>
      <c r="C343" s="132">
        <f t="shared" si="7"/>
        <v>2025</v>
      </c>
      <c r="D343" s="150" t="s">
        <v>284</v>
      </c>
      <c r="E343" s="187">
        <f>'LCFS Table'!$K343-'LCFS Table'!$I343</f>
        <v>-1.8057751564455571</v>
      </c>
      <c r="F343" s="187">
        <f>('LCFS Table'!$M343)-'LCFS Table'!$J343</f>
        <v>-3.0798114620094457</v>
      </c>
      <c r="G343" s="214">
        <f>'LCFS Table'!$E343+'LCFS Table'!$AS343+'LCFS Table'!$AT343+'LCFS Table'!$AU343+'LCFS Table'!$AV343+(DE343*'LCFS Table'!$AD343)+(DD343*'LCFS Table'!$AE343)+(DC343*'LCFS Table'!$AC343)</f>
        <v>1.130005020742326</v>
      </c>
      <c r="H343" s="214">
        <f>'LCFS Table'!$F343+'LCFS Table'!$AX343+'LCFS Table'!$AY343+'LCFS Table'!$AZ343+'LCFS Table'!$BA343+('LCFS Table'!$CQ343*0.9/(0.8/0.99)/100)+(DG343*'LCFS Table'!$AF343)+(DF343*'LCFS Table'!$AG343)</f>
        <v>-0.78466523437499891</v>
      </c>
      <c r="I343" s="187">
        <f>('LCFS Table'!$V343+'LCFS Table'!$W343+'LCFS Table'!$X343)/100+(('LCFS Table'!$AI343+'LCFS Table'!$AJ343)/340)</f>
        <v>4.1638751564455569</v>
      </c>
      <c r="J343" s="187">
        <f>(('LCFS Table'!$Y343+'LCFS Table'!$Z343)/100)+(('LCFS Table'!$AM343+'LCFS Table'!$AN343)/300)</f>
        <v>4.5618652343750004</v>
      </c>
      <c r="K343" s="215">
        <f>[4]Forecasts!$C$68</f>
        <v>2.3580999999999999</v>
      </c>
      <c r="L343" s="215">
        <f>[4]Forecasts!$B$68</f>
        <v>438.81000000000012</v>
      </c>
      <c r="M343" s="185">
        <f>('LCFS Table'!$L343/100)-'LCFS Table'!$AX343-'LCFS Table'!$AY343-'LCFS Table'!$AZ343-'LCFS Table'!$BA343-1</f>
        <v>1.4820537723655547</v>
      </c>
      <c r="N343" s="215">
        <f>[3]Sheet1!$F294</f>
        <v>48</v>
      </c>
      <c r="O343" s="215">
        <f>[3]Sheet1!$C294</f>
        <v>39.25</v>
      </c>
      <c r="P343" s="215">
        <f>[3]Sheet1!$G294</f>
        <v>51.25</v>
      </c>
      <c r="Q343" s="215">
        <f>[3]Sheet1!$H294</f>
        <v>52.25</v>
      </c>
      <c r="R343" s="215">
        <f>[3]Sheet1!$B294</f>
        <v>34.5</v>
      </c>
      <c r="S343" s="185">
        <f>'LCFS Table'!$N343 + 'LCFS Table'!$AH343</f>
        <v>52.375</v>
      </c>
      <c r="T343" s="185">
        <f>'LCFS Table'!$Q343+'LCFS Table'!$AH343</f>
        <v>56.625</v>
      </c>
      <c r="U343" s="185">
        <f>'LCFS Table'!$P343+'LCFS Table'!$AH343</f>
        <v>55.625</v>
      </c>
      <c r="V343" s="185">
        <f>(('LCFS Table'!$S343/'LCFS Table'!$AA343)*'LCFS Table'!$AC343)*6.48</f>
        <v>180.52659574468086</v>
      </c>
      <c r="W343" s="185">
        <f>(('LCFS Table'!$O343/'LCFS Table'!$AA343)*'LCFS Table'!$AD343)*6.48</f>
        <v>67.643617021276611</v>
      </c>
      <c r="X343" s="185">
        <f>(('LCFS Table'!$U343/'LCFS Table'!$AA343)*'LCFS Table'!$AE343)*6.48</f>
        <v>95.864361702127667</v>
      </c>
      <c r="Y343" s="185">
        <f>(('LCFS Table'!$T343/'LCFS Table'!$AB343)*'LCFS Table'!$AF343)*7.35</f>
        <v>325.1513671875</v>
      </c>
      <c r="Z343" s="185">
        <f>(('LCFS Table'!$R343/'LCFS Table'!$AB343)*'LCFS Table'!$AG343)*7.35</f>
        <v>66.03515625</v>
      </c>
      <c r="AA343" s="138">
        <v>0.94</v>
      </c>
      <c r="AB343" s="138">
        <v>0.96</v>
      </c>
      <c r="AC343" s="138">
        <v>0.5</v>
      </c>
      <c r="AD343" s="138">
        <v>0.25</v>
      </c>
      <c r="AE343" s="138">
        <v>0.25</v>
      </c>
      <c r="AF343" s="138">
        <v>0.75</v>
      </c>
      <c r="AG343" s="138">
        <v>0.25</v>
      </c>
      <c r="AH343" s="139">
        <v>4.375</v>
      </c>
      <c r="AI343" s="139">
        <v>136</v>
      </c>
      <c r="AJ343" s="139">
        <v>110</v>
      </c>
      <c r="AK343" s="186">
        <f>('LCFS Table'!$AI343/340)*100</f>
        <v>40</v>
      </c>
      <c r="AL343" s="186">
        <f>('LCFS Table'!$AJ343/340)*100</f>
        <v>32.352941176470587</v>
      </c>
      <c r="AM343" s="139">
        <v>105</v>
      </c>
      <c r="AN343" s="139">
        <v>90</v>
      </c>
      <c r="AO343" s="139">
        <f>('LCFS Table'!$AM343/300)*100</f>
        <v>35</v>
      </c>
      <c r="AP343" s="139">
        <f>('LCFS Table'!$AN343/300)*100</f>
        <v>30</v>
      </c>
      <c r="AQ343" s="189">
        <f>[3]Sheet1!$K294</f>
        <v>82.100909891718544</v>
      </c>
      <c r="AR343" s="189">
        <f>[3]Sheet1!$J294/100</f>
        <v>0.98238623074237752</v>
      </c>
      <c r="AS343" s="185">
        <f>((('[2]Controls 2'!$B$2-SUM(('[2]Controls 2'!$B$5*'LCFS Table'!$AC343),('[2]Controls 2'!$B$6*'LCFS Table'!$AD343),('[2]Controls 2'!$B$7*'LCFS Table'!$AE343)))/1000000)*'LCFS Table'!$AQ343)*'[2]Controls 2'!$B$8</f>
        <v>0.65572358492584115</v>
      </c>
      <c r="AT343" s="137">
        <v>0.16</v>
      </c>
      <c r="AU343" s="137">
        <v>0</v>
      </c>
      <c r="AV343" s="185">
        <f>'LCFS Table'!$AR343*1.7</f>
        <v>1.6700565922620418</v>
      </c>
      <c r="AW343" s="137">
        <v>5</v>
      </c>
      <c r="AX343" s="185">
        <f>(((('[2]Controls 2'!$B$2-SUM(('LCFS Table'!$AF343*'[2]Controls 2'!$B$12),('LCFS Table'!$AG343*'[2]Controls 2'!$B$13)))/1000000)*'LCFS Table'!$AQ343)*'[2]Controls 2'!$B$14)</f>
        <v>0.4324668815208807</v>
      </c>
      <c r="AY343" s="137">
        <v>0</v>
      </c>
      <c r="AZ343" s="141">
        <v>0</v>
      </c>
      <c r="BA343" s="185">
        <f>'LCFS Table'!$AR343*1.5</f>
        <v>1.4735793461135662</v>
      </c>
      <c r="BB343" s="142">
        <v>6.2</v>
      </c>
      <c r="BC343" s="185">
        <f>'LCFS Table'!$AS343*'LCFS Table'!$BW343</f>
        <v>0.65572358492584115</v>
      </c>
      <c r="BD343" s="185">
        <f>'LCFS Table'!$AT343*'LCFS Table'!$BX343</f>
        <v>0</v>
      </c>
      <c r="BE343" s="185">
        <f>'LCFS Table'!$AU343*'LCFS Table'!$BY343</f>
        <v>0</v>
      </c>
      <c r="BF343" s="137">
        <f>'LCFS Table'!$AV343*'LCFS Table'!$BZ343</f>
        <v>1.6700565922620418</v>
      </c>
      <c r="BG343" s="137">
        <f>'LCFS Table'!$AW343*'LCFS Table'!$CA343</f>
        <v>-5</v>
      </c>
      <c r="BH343" s="137">
        <f>'LCFS Table'!$AX343*'LCFS Table'!$CB343</f>
        <v>0.4324668815208807</v>
      </c>
      <c r="BI343" s="137">
        <f>'LCFS Table'!$AY343*'LCFS Table'!$CC343</f>
        <v>0</v>
      </c>
      <c r="BJ343" s="137">
        <f>'LCFS Table'!$AZ343*'LCFS Table'!$CD343</f>
        <v>0</v>
      </c>
      <c r="BK343" s="137">
        <f>'LCFS Table'!$BA343*'LCFS Table'!$CE343</f>
        <v>1.4735793461135662</v>
      </c>
      <c r="BL343" s="137">
        <f>'LCFS Table'!$BB343*'LCFS Table'!$CF343</f>
        <v>-6.2</v>
      </c>
      <c r="BM343" s="137">
        <f>'LCFS Table'!$AS343*'LCFS Table'!$CG343</f>
        <v>0</v>
      </c>
      <c r="BN343" s="137">
        <f>'LCFS Table'!$AT343*'LCFS Table'!$CH343</f>
        <v>0.16</v>
      </c>
      <c r="BO343" s="137">
        <f>'LCFS Table'!$AU343*'LCFS Table'!$CI343</f>
        <v>0</v>
      </c>
      <c r="BP343" s="137">
        <f>'LCFS Table'!$AV343*'LCFS Table'!$CJ343</f>
        <v>0</v>
      </c>
      <c r="BQ343" s="137">
        <f>'LCFS Table'!$AW343*'LCFS Table'!$CK343</f>
        <v>5</v>
      </c>
      <c r="BR343" s="137">
        <f>'LCFS Table'!$AX343*'LCFS Table'!$CL343</f>
        <v>0</v>
      </c>
      <c r="BS343" s="137">
        <f>'LCFS Table'!$AY343*'LCFS Table'!$CM343</f>
        <v>0</v>
      </c>
      <c r="BT343" s="137">
        <f>'LCFS Table'!$AZ343*'LCFS Table'!$CN343</f>
        <v>0</v>
      </c>
      <c r="BU343" s="137">
        <f>'LCFS Table'!$BA343*'LCFS Table'!$CO343</f>
        <v>0</v>
      </c>
      <c r="BV343" s="142">
        <f>'LCFS Table'!$BB343*'LCFS Table'!$CP343</f>
        <v>6.2</v>
      </c>
      <c r="BW343" s="138">
        <v>1</v>
      </c>
      <c r="BX343" s="138">
        <v>0</v>
      </c>
      <c r="BY343" s="138">
        <v>1</v>
      </c>
      <c r="BZ343" s="138">
        <v>1</v>
      </c>
      <c r="CA343" s="138">
        <v>-1</v>
      </c>
      <c r="CB343" s="138">
        <v>1</v>
      </c>
      <c r="CC343" s="138">
        <v>0</v>
      </c>
      <c r="CD343" s="138">
        <v>1</v>
      </c>
      <c r="CE343" s="138">
        <v>1</v>
      </c>
      <c r="CF343" s="138">
        <v>-1</v>
      </c>
      <c r="CG343" s="138">
        <f>1-'LCFS Table'!$BW343</f>
        <v>0</v>
      </c>
      <c r="CH343" s="138">
        <f>1-'LCFS Table'!$BX343</f>
        <v>1</v>
      </c>
      <c r="CI343" s="138">
        <f>1-'LCFS Table'!$BY343</f>
        <v>0</v>
      </c>
      <c r="CJ343" s="138">
        <f>1-'LCFS Table'!$BZ343</f>
        <v>0</v>
      </c>
      <c r="CK343" s="138">
        <f>-'LCFS Table'!$CA343</f>
        <v>1</v>
      </c>
      <c r="CL343" s="138">
        <f>1-'LCFS Table'!$CB343</f>
        <v>0</v>
      </c>
      <c r="CM343" s="138">
        <f>1-'LCFS Table'!$CC343</f>
        <v>1</v>
      </c>
      <c r="CN343" s="138">
        <f>1-'LCFS Table'!$CD343</f>
        <v>0</v>
      </c>
      <c r="CO343" s="138">
        <f>1-'LCFS Table'!$CE343</f>
        <v>0</v>
      </c>
      <c r="CP343" s="138">
        <f>-'LCFS Table'!$CF343</f>
        <v>1</v>
      </c>
      <c r="CQ343" s="140">
        <f t="shared" si="8"/>
        <v>8</v>
      </c>
      <c r="CR343" s="165">
        <f>('LCFS Table'!$CQ343*0.9/(0.8/0.99)/100)</f>
        <v>8.9099999999999985E-2</v>
      </c>
      <c r="CS343" s="166"/>
      <c r="CT343" s="167"/>
      <c r="CW343" s="168">
        <f>'LCFS Table'!$K343-'LCFS Table'!$M343</f>
        <v>0.87604622763444517</v>
      </c>
      <c r="CX343" s="129">
        <f>MONTH('LCFS Table'!$B343)</f>
        <v>7</v>
      </c>
      <c r="CY343" s="129">
        <f>YEAR('LCFS Table'!$B343)</f>
        <v>2025</v>
      </c>
      <c r="DC343" s="129">
        <v>0.4</v>
      </c>
      <c r="DD343" s="129">
        <v>0.4</v>
      </c>
      <c r="DE343" s="129">
        <v>0.6</v>
      </c>
      <c r="DF343" s="129">
        <v>0.6</v>
      </c>
      <c r="DG343" s="129">
        <v>0.2</v>
      </c>
    </row>
    <row r="344" spans="1:111">
      <c r="A344" s="212">
        <v>45851</v>
      </c>
      <c r="B344" s="213">
        <v>45857</v>
      </c>
      <c r="C344" s="132">
        <f t="shared" si="7"/>
        <v>2025</v>
      </c>
      <c r="D344" s="150" t="s">
        <v>285</v>
      </c>
      <c r="E344" s="187">
        <f>'LCFS Table'!$K344-'LCFS Table'!$I344</f>
        <v>-1.8057751564455571</v>
      </c>
      <c r="F344" s="187">
        <f>('LCFS Table'!$M344)-'LCFS Table'!$J344</f>
        <v>-3.0798114620094457</v>
      </c>
      <c r="G344" s="214">
        <f>'LCFS Table'!$E344+'LCFS Table'!$AS344+'LCFS Table'!$AT344+'LCFS Table'!$AU344+'LCFS Table'!$AV344+(DE344*'LCFS Table'!$AD344)+(DD344*'LCFS Table'!$AE344)+(DC344*'LCFS Table'!$AC344)</f>
        <v>1.130005020742326</v>
      </c>
      <c r="H344" s="214">
        <f>'LCFS Table'!$F344+'LCFS Table'!$AX344+'LCFS Table'!$AY344+'LCFS Table'!$AZ344+'LCFS Table'!$BA344+('LCFS Table'!$CQ344*0.9/(0.8/0.99)/100)+(DG344*'LCFS Table'!$AF344)+(DF344*'LCFS Table'!$AG344)</f>
        <v>-0.78466523437499891</v>
      </c>
      <c r="I344" s="187">
        <f>('LCFS Table'!$V344+'LCFS Table'!$W344+'LCFS Table'!$X344)/100+(('LCFS Table'!$AI344+'LCFS Table'!$AJ344)/340)</f>
        <v>4.1638751564455569</v>
      </c>
      <c r="J344" s="187">
        <f>(('LCFS Table'!$Y344+'LCFS Table'!$Z344)/100)+(('LCFS Table'!$AM344+'LCFS Table'!$AN344)/300)</f>
        <v>4.5618652343750004</v>
      </c>
      <c r="K344" s="215">
        <f>[4]Forecasts!$C$68</f>
        <v>2.3580999999999999</v>
      </c>
      <c r="L344" s="215">
        <f>[4]Forecasts!$B$68</f>
        <v>438.81000000000012</v>
      </c>
      <c r="M344" s="185">
        <f>('LCFS Table'!$L344/100)-'LCFS Table'!$AX344-'LCFS Table'!$AY344-'LCFS Table'!$AZ344-'LCFS Table'!$BA344-1</f>
        <v>1.4820537723655547</v>
      </c>
      <c r="N344" s="215">
        <f>[3]Sheet1!$F295</f>
        <v>48</v>
      </c>
      <c r="O344" s="215">
        <f>[3]Sheet1!$C295</f>
        <v>39.25</v>
      </c>
      <c r="P344" s="215">
        <f>[3]Sheet1!$G295</f>
        <v>51.25</v>
      </c>
      <c r="Q344" s="215">
        <f>[3]Sheet1!$H295</f>
        <v>52.25</v>
      </c>
      <c r="R344" s="215">
        <f>[3]Sheet1!$B295</f>
        <v>34.5</v>
      </c>
      <c r="S344" s="185">
        <f>'LCFS Table'!$N344 + 'LCFS Table'!$AH344</f>
        <v>52.375</v>
      </c>
      <c r="T344" s="185">
        <f>'LCFS Table'!$Q344+'LCFS Table'!$AH344</f>
        <v>56.625</v>
      </c>
      <c r="U344" s="185">
        <f>'LCFS Table'!$P344+'LCFS Table'!$AH344</f>
        <v>55.625</v>
      </c>
      <c r="V344" s="185">
        <f>(('LCFS Table'!$S344/'LCFS Table'!$AA344)*'LCFS Table'!$AC344)*6.48</f>
        <v>180.52659574468086</v>
      </c>
      <c r="W344" s="185">
        <f>(('LCFS Table'!$O344/'LCFS Table'!$AA344)*'LCFS Table'!$AD344)*6.48</f>
        <v>67.643617021276611</v>
      </c>
      <c r="X344" s="185">
        <f>(('LCFS Table'!$U344/'LCFS Table'!$AA344)*'LCFS Table'!$AE344)*6.48</f>
        <v>95.864361702127667</v>
      </c>
      <c r="Y344" s="185">
        <f>(('LCFS Table'!$T344/'LCFS Table'!$AB344)*'LCFS Table'!$AF344)*7.35</f>
        <v>325.1513671875</v>
      </c>
      <c r="Z344" s="185">
        <f>(('LCFS Table'!$R344/'LCFS Table'!$AB344)*'LCFS Table'!$AG344)*7.35</f>
        <v>66.03515625</v>
      </c>
      <c r="AA344" s="138">
        <v>0.94</v>
      </c>
      <c r="AB344" s="138">
        <v>0.96</v>
      </c>
      <c r="AC344" s="138">
        <v>0.5</v>
      </c>
      <c r="AD344" s="138">
        <v>0.25</v>
      </c>
      <c r="AE344" s="138">
        <v>0.25</v>
      </c>
      <c r="AF344" s="138">
        <v>0.75</v>
      </c>
      <c r="AG344" s="138">
        <v>0.25</v>
      </c>
      <c r="AH344" s="139">
        <v>4.375</v>
      </c>
      <c r="AI344" s="139">
        <v>136</v>
      </c>
      <c r="AJ344" s="139">
        <v>110</v>
      </c>
      <c r="AK344" s="186">
        <f>('LCFS Table'!$AI344/340)*100</f>
        <v>40</v>
      </c>
      <c r="AL344" s="186">
        <f>('LCFS Table'!$AJ344/340)*100</f>
        <v>32.352941176470587</v>
      </c>
      <c r="AM344" s="139">
        <v>105</v>
      </c>
      <c r="AN344" s="139">
        <v>90</v>
      </c>
      <c r="AO344" s="139">
        <f>('LCFS Table'!$AM344/300)*100</f>
        <v>35</v>
      </c>
      <c r="AP344" s="139">
        <f>('LCFS Table'!$AN344/300)*100</f>
        <v>30</v>
      </c>
      <c r="AQ344" s="189">
        <f>[3]Sheet1!$K295</f>
        <v>82.100909891718544</v>
      </c>
      <c r="AR344" s="189">
        <f>[3]Sheet1!$J295/100</f>
        <v>0.98238623074237752</v>
      </c>
      <c r="AS344" s="185">
        <f>((('[2]Controls 2'!$B$2-SUM(('[2]Controls 2'!$B$5*'LCFS Table'!$AC344),('[2]Controls 2'!$B$6*'LCFS Table'!$AD344),('[2]Controls 2'!$B$7*'LCFS Table'!$AE344)))/1000000)*'LCFS Table'!$AQ344)*'[2]Controls 2'!$B$8</f>
        <v>0.65572358492584115</v>
      </c>
      <c r="AT344" s="137">
        <v>0.16</v>
      </c>
      <c r="AU344" s="137">
        <v>0</v>
      </c>
      <c r="AV344" s="185">
        <f>'LCFS Table'!$AR344*1.7</f>
        <v>1.6700565922620418</v>
      </c>
      <c r="AW344" s="137">
        <v>6</v>
      </c>
      <c r="AX344" s="185">
        <f>(((('[2]Controls 2'!$B$2-SUM(('LCFS Table'!$AF344*'[2]Controls 2'!$B$12),('LCFS Table'!$AG344*'[2]Controls 2'!$B$13)))/1000000)*'LCFS Table'!$AQ344)*'[2]Controls 2'!$B$14)</f>
        <v>0.4324668815208807</v>
      </c>
      <c r="AY344" s="137">
        <v>0</v>
      </c>
      <c r="AZ344" s="141">
        <v>0</v>
      </c>
      <c r="BA344" s="185">
        <f>'LCFS Table'!$AR344*1.5</f>
        <v>1.4735793461135662</v>
      </c>
      <c r="BB344" s="142">
        <v>7.2</v>
      </c>
      <c r="BC344" s="185">
        <f>'LCFS Table'!$AS344*'LCFS Table'!$BW344</f>
        <v>0.65572358492584115</v>
      </c>
      <c r="BD344" s="185">
        <f>'LCFS Table'!$AT344*'LCFS Table'!$BX344</f>
        <v>0</v>
      </c>
      <c r="BE344" s="185">
        <f>'LCFS Table'!$AU344*'LCFS Table'!$BY344</f>
        <v>0</v>
      </c>
      <c r="BF344" s="137">
        <f>'LCFS Table'!$AV344*'LCFS Table'!$BZ344</f>
        <v>1.6700565922620418</v>
      </c>
      <c r="BG344" s="137">
        <f>'LCFS Table'!$AW344*'LCFS Table'!$CA344</f>
        <v>-6</v>
      </c>
      <c r="BH344" s="137">
        <f>'LCFS Table'!$AX344*'LCFS Table'!$CB344</f>
        <v>0.4324668815208807</v>
      </c>
      <c r="BI344" s="137">
        <f>'LCFS Table'!$AY344*'LCFS Table'!$CC344</f>
        <v>0</v>
      </c>
      <c r="BJ344" s="137">
        <f>'LCFS Table'!$AZ344*'LCFS Table'!$CD344</f>
        <v>0</v>
      </c>
      <c r="BK344" s="137">
        <f>'LCFS Table'!$BA344*'LCFS Table'!$CE344</f>
        <v>1.4735793461135662</v>
      </c>
      <c r="BL344" s="137">
        <f>'LCFS Table'!$BB344*'LCFS Table'!$CF344</f>
        <v>-7.2</v>
      </c>
      <c r="BM344" s="137">
        <f>'LCFS Table'!$AS344*'LCFS Table'!$CG344</f>
        <v>0</v>
      </c>
      <c r="BN344" s="137">
        <f>'LCFS Table'!$AT344*'LCFS Table'!$CH344</f>
        <v>0.16</v>
      </c>
      <c r="BO344" s="137">
        <f>'LCFS Table'!$AU344*'LCFS Table'!$CI344</f>
        <v>0</v>
      </c>
      <c r="BP344" s="137">
        <f>'LCFS Table'!$AV344*'LCFS Table'!$CJ344</f>
        <v>0</v>
      </c>
      <c r="BQ344" s="137">
        <f>'LCFS Table'!$AW344*'LCFS Table'!$CK344</f>
        <v>6</v>
      </c>
      <c r="BR344" s="137">
        <f>'LCFS Table'!$AX344*'LCFS Table'!$CL344</f>
        <v>0</v>
      </c>
      <c r="BS344" s="137">
        <f>'LCFS Table'!$AY344*'LCFS Table'!$CM344</f>
        <v>0</v>
      </c>
      <c r="BT344" s="137">
        <f>'LCFS Table'!$AZ344*'LCFS Table'!$CN344</f>
        <v>0</v>
      </c>
      <c r="BU344" s="137">
        <f>'LCFS Table'!$BA344*'LCFS Table'!$CO344</f>
        <v>0</v>
      </c>
      <c r="BV344" s="142">
        <f>'LCFS Table'!$BB344*'LCFS Table'!$CP344</f>
        <v>7.2</v>
      </c>
      <c r="BW344" s="138">
        <v>1</v>
      </c>
      <c r="BX344" s="138">
        <v>0</v>
      </c>
      <c r="BY344" s="138">
        <v>1</v>
      </c>
      <c r="BZ344" s="138">
        <v>1</v>
      </c>
      <c r="CA344" s="138">
        <v>-1</v>
      </c>
      <c r="CB344" s="138">
        <v>1</v>
      </c>
      <c r="CC344" s="138">
        <v>0</v>
      </c>
      <c r="CD344" s="138">
        <v>1</v>
      </c>
      <c r="CE344" s="138">
        <v>1</v>
      </c>
      <c r="CF344" s="138">
        <v>-1</v>
      </c>
      <c r="CG344" s="138">
        <f>1-'LCFS Table'!$BW344</f>
        <v>0</v>
      </c>
      <c r="CH344" s="138">
        <f>1-'LCFS Table'!$BX344</f>
        <v>1</v>
      </c>
      <c r="CI344" s="138">
        <f>1-'LCFS Table'!$BY344</f>
        <v>0</v>
      </c>
      <c r="CJ344" s="138">
        <f>1-'LCFS Table'!$BZ344</f>
        <v>0</v>
      </c>
      <c r="CK344" s="138">
        <f>-'LCFS Table'!$CA344</f>
        <v>1</v>
      </c>
      <c r="CL344" s="138">
        <f>1-'LCFS Table'!$CB344</f>
        <v>0</v>
      </c>
      <c r="CM344" s="138">
        <f>1-'LCFS Table'!$CC344</f>
        <v>1</v>
      </c>
      <c r="CN344" s="138">
        <f>1-'LCFS Table'!$CD344</f>
        <v>0</v>
      </c>
      <c r="CO344" s="138">
        <f>1-'LCFS Table'!$CE344</f>
        <v>0</v>
      </c>
      <c r="CP344" s="138">
        <f>-'LCFS Table'!$CF344</f>
        <v>1</v>
      </c>
      <c r="CQ344" s="140">
        <f t="shared" si="8"/>
        <v>8</v>
      </c>
      <c r="CR344" s="165">
        <f>('LCFS Table'!$CQ344*0.9/(0.8/0.99)/100)</f>
        <v>8.9099999999999985E-2</v>
      </c>
      <c r="CS344" s="166"/>
      <c r="CT344" s="167"/>
      <c r="CW344" s="168">
        <f>'LCFS Table'!$K344-'LCFS Table'!$M344</f>
        <v>0.87604622763444517</v>
      </c>
      <c r="CX344" s="129">
        <f>MONTH('LCFS Table'!$B344)</f>
        <v>7</v>
      </c>
      <c r="CY344" s="129">
        <f>YEAR('LCFS Table'!$B344)</f>
        <v>2025</v>
      </c>
      <c r="DC344" s="129">
        <v>0.4</v>
      </c>
      <c r="DD344" s="129">
        <v>0.4</v>
      </c>
      <c r="DE344" s="129">
        <v>0.6</v>
      </c>
      <c r="DF344" s="129">
        <v>0.6</v>
      </c>
      <c r="DG344" s="129">
        <v>0.2</v>
      </c>
    </row>
    <row r="345" spans="1:111">
      <c r="A345" s="212">
        <v>45858</v>
      </c>
      <c r="B345" s="213">
        <v>45864</v>
      </c>
      <c r="C345" s="132">
        <f t="shared" si="7"/>
        <v>2025</v>
      </c>
      <c r="D345" s="150" t="s">
        <v>286</v>
      </c>
      <c r="E345" s="187">
        <f>'LCFS Table'!$K345-'LCFS Table'!$I345</f>
        <v>-1.8057751564455571</v>
      </c>
      <c r="F345" s="187">
        <f>('LCFS Table'!$M345)-'LCFS Table'!$J345</f>
        <v>-3.0798114620094457</v>
      </c>
      <c r="G345" s="214">
        <f>'LCFS Table'!$E345+'LCFS Table'!$AS345+'LCFS Table'!$AT345+'LCFS Table'!$AU345+'LCFS Table'!$AV345+(DE345*'LCFS Table'!$AD345)+(DD345*'LCFS Table'!$AE345)+(DC345*'LCFS Table'!$AC345)</f>
        <v>1.130005020742326</v>
      </c>
      <c r="H345" s="214">
        <f>'LCFS Table'!$F345+'LCFS Table'!$AX345+'LCFS Table'!$AY345+'LCFS Table'!$AZ345+'LCFS Table'!$BA345+('LCFS Table'!$CQ345*0.9/(0.8/0.99)/100)+(DG345*'LCFS Table'!$AF345)+(DF345*'LCFS Table'!$AG345)</f>
        <v>-0.78466523437499891</v>
      </c>
      <c r="I345" s="187">
        <f>('LCFS Table'!$V345+'LCFS Table'!$W345+'LCFS Table'!$X345)/100+(('LCFS Table'!$AI345+'LCFS Table'!$AJ345)/340)</f>
        <v>4.1638751564455569</v>
      </c>
      <c r="J345" s="187">
        <f>(('LCFS Table'!$Y345+'LCFS Table'!$Z345)/100)+(('LCFS Table'!$AM345+'LCFS Table'!$AN345)/300)</f>
        <v>4.5618652343750004</v>
      </c>
      <c r="K345" s="215">
        <f>[4]Forecasts!$C$68</f>
        <v>2.3580999999999999</v>
      </c>
      <c r="L345" s="215">
        <f>[4]Forecasts!$B$68</f>
        <v>438.81000000000012</v>
      </c>
      <c r="M345" s="185">
        <f>('LCFS Table'!$L345/100)-'LCFS Table'!$AX345-'LCFS Table'!$AY345-'LCFS Table'!$AZ345-'LCFS Table'!$BA345-1</f>
        <v>1.4820537723655547</v>
      </c>
      <c r="N345" s="215">
        <f>[3]Sheet1!$F296</f>
        <v>48</v>
      </c>
      <c r="O345" s="215">
        <f>[3]Sheet1!$C296</f>
        <v>39.25</v>
      </c>
      <c r="P345" s="215">
        <f>[3]Sheet1!$G296</f>
        <v>51.25</v>
      </c>
      <c r="Q345" s="215">
        <f>[3]Sheet1!$H296</f>
        <v>52.25</v>
      </c>
      <c r="R345" s="215">
        <f>[3]Sheet1!$B296</f>
        <v>34.5</v>
      </c>
      <c r="S345" s="185">
        <f>'LCFS Table'!$N345 + 'LCFS Table'!$AH345</f>
        <v>52.375</v>
      </c>
      <c r="T345" s="185">
        <f>'LCFS Table'!$Q345+'LCFS Table'!$AH345</f>
        <v>56.625</v>
      </c>
      <c r="U345" s="185">
        <f>'LCFS Table'!$P345+'LCFS Table'!$AH345</f>
        <v>55.625</v>
      </c>
      <c r="V345" s="185">
        <f>(('LCFS Table'!$S345/'LCFS Table'!$AA345)*'LCFS Table'!$AC345)*6.48</f>
        <v>180.52659574468086</v>
      </c>
      <c r="W345" s="185">
        <f>(('LCFS Table'!$O345/'LCFS Table'!$AA345)*'LCFS Table'!$AD345)*6.48</f>
        <v>67.643617021276611</v>
      </c>
      <c r="X345" s="185">
        <f>(('LCFS Table'!$U345/'LCFS Table'!$AA345)*'LCFS Table'!$AE345)*6.48</f>
        <v>95.864361702127667</v>
      </c>
      <c r="Y345" s="185">
        <f>(('LCFS Table'!$T345/'LCFS Table'!$AB345)*'LCFS Table'!$AF345)*7.35</f>
        <v>325.1513671875</v>
      </c>
      <c r="Z345" s="185">
        <f>(('LCFS Table'!$R345/'LCFS Table'!$AB345)*'LCFS Table'!$AG345)*7.35</f>
        <v>66.03515625</v>
      </c>
      <c r="AA345" s="138">
        <v>0.94</v>
      </c>
      <c r="AB345" s="138">
        <v>0.96</v>
      </c>
      <c r="AC345" s="138">
        <v>0.5</v>
      </c>
      <c r="AD345" s="138">
        <v>0.25</v>
      </c>
      <c r="AE345" s="138">
        <v>0.25</v>
      </c>
      <c r="AF345" s="138">
        <v>0.75</v>
      </c>
      <c r="AG345" s="138">
        <v>0.25</v>
      </c>
      <c r="AH345" s="139">
        <v>4.375</v>
      </c>
      <c r="AI345" s="139">
        <v>136</v>
      </c>
      <c r="AJ345" s="139">
        <v>110</v>
      </c>
      <c r="AK345" s="186">
        <f>('LCFS Table'!$AI345/340)*100</f>
        <v>40</v>
      </c>
      <c r="AL345" s="186">
        <f>('LCFS Table'!$AJ345/340)*100</f>
        <v>32.352941176470587</v>
      </c>
      <c r="AM345" s="139">
        <v>105</v>
      </c>
      <c r="AN345" s="139">
        <v>90</v>
      </c>
      <c r="AO345" s="139">
        <f>('LCFS Table'!$AM345/300)*100</f>
        <v>35</v>
      </c>
      <c r="AP345" s="139">
        <f>('LCFS Table'!$AN345/300)*100</f>
        <v>30</v>
      </c>
      <c r="AQ345" s="189">
        <f>[3]Sheet1!$K296</f>
        <v>82.100909891718544</v>
      </c>
      <c r="AR345" s="189">
        <f>[3]Sheet1!$J296/100</f>
        <v>0.98238623074237752</v>
      </c>
      <c r="AS345" s="185">
        <f>((('[2]Controls 2'!$B$2-SUM(('[2]Controls 2'!$B$5*'LCFS Table'!$AC345),('[2]Controls 2'!$B$6*'LCFS Table'!$AD345),('[2]Controls 2'!$B$7*'LCFS Table'!$AE345)))/1000000)*'LCFS Table'!$AQ345)*'[2]Controls 2'!$B$8</f>
        <v>0.65572358492584115</v>
      </c>
      <c r="AT345" s="137">
        <v>0.16</v>
      </c>
      <c r="AU345" s="137">
        <v>0</v>
      </c>
      <c r="AV345" s="185">
        <f>'LCFS Table'!$AR345*1.7</f>
        <v>1.6700565922620418</v>
      </c>
      <c r="AW345" s="137">
        <v>7</v>
      </c>
      <c r="AX345" s="185">
        <f>(((('[2]Controls 2'!$B$2-SUM(('LCFS Table'!$AF345*'[2]Controls 2'!$B$12),('LCFS Table'!$AG345*'[2]Controls 2'!$B$13)))/1000000)*'LCFS Table'!$AQ345)*'[2]Controls 2'!$B$14)</f>
        <v>0.4324668815208807</v>
      </c>
      <c r="AY345" s="137">
        <v>0</v>
      </c>
      <c r="AZ345" s="141">
        <v>0</v>
      </c>
      <c r="BA345" s="185">
        <f>'LCFS Table'!$AR345*1.5</f>
        <v>1.4735793461135662</v>
      </c>
      <c r="BB345" s="142">
        <v>8.1999999999999993</v>
      </c>
      <c r="BC345" s="185">
        <f>'LCFS Table'!$AS345*'LCFS Table'!$BW345</f>
        <v>0.65572358492584115</v>
      </c>
      <c r="BD345" s="185">
        <f>'LCFS Table'!$AT345*'LCFS Table'!$BX345</f>
        <v>0</v>
      </c>
      <c r="BE345" s="185">
        <f>'LCFS Table'!$AU345*'LCFS Table'!$BY345</f>
        <v>0</v>
      </c>
      <c r="BF345" s="137">
        <f>'LCFS Table'!$AV345*'LCFS Table'!$BZ345</f>
        <v>1.6700565922620418</v>
      </c>
      <c r="BG345" s="137">
        <f>'LCFS Table'!$AW345*'LCFS Table'!$CA345</f>
        <v>-7</v>
      </c>
      <c r="BH345" s="137">
        <f>'LCFS Table'!$AX345*'LCFS Table'!$CB345</f>
        <v>0.4324668815208807</v>
      </c>
      <c r="BI345" s="137">
        <f>'LCFS Table'!$AY345*'LCFS Table'!$CC345</f>
        <v>0</v>
      </c>
      <c r="BJ345" s="137">
        <f>'LCFS Table'!$AZ345*'LCFS Table'!$CD345</f>
        <v>0</v>
      </c>
      <c r="BK345" s="137">
        <f>'LCFS Table'!$BA345*'LCFS Table'!$CE345</f>
        <v>1.4735793461135662</v>
      </c>
      <c r="BL345" s="137">
        <f>'LCFS Table'!$BB345*'LCFS Table'!$CF345</f>
        <v>-8.1999999999999993</v>
      </c>
      <c r="BM345" s="137">
        <f>'LCFS Table'!$AS345*'LCFS Table'!$CG345</f>
        <v>0</v>
      </c>
      <c r="BN345" s="137">
        <f>'LCFS Table'!$AT345*'LCFS Table'!$CH345</f>
        <v>0.16</v>
      </c>
      <c r="BO345" s="137">
        <f>'LCFS Table'!$AU345*'LCFS Table'!$CI345</f>
        <v>0</v>
      </c>
      <c r="BP345" s="137">
        <f>'LCFS Table'!$AV345*'LCFS Table'!$CJ345</f>
        <v>0</v>
      </c>
      <c r="BQ345" s="137">
        <f>'LCFS Table'!$AW345*'LCFS Table'!$CK345</f>
        <v>7</v>
      </c>
      <c r="BR345" s="137">
        <f>'LCFS Table'!$AX345*'LCFS Table'!$CL345</f>
        <v>0</v>
      </c>
      <c r="BS345" s="137">
        <f>'LCFS Table'!$AY345*'LCFS Table'!$CM345</f>
        <v>0</v>
      </c>
      <c r="BT345" s="137">
        <f>'LCFS Table'!$AZ345*'LCFS Table'!$CN345</f>
        <v>0</v>
      </c>
      <c r="BU345" s="137">
        <f>'LCFS Table'!$BA345*'LCFS Table'!$CO345</f>
        <v>0</v>
      </c>
      <c r="BV345" s="142">
        <f>'LCFS Table'!$BB345*'LCFS Table'!$CP345</f>
        <v>8.1999999999999993</v>
      </c>
      <c r="BW345" s="138">
        <v>1</v>
      </c>
      <c r="BX345" s="138">
        <v>0</v>
      </c>
      <c r="BY345" s="138">
        <v>1</v>
      </c>
      <c r="BZ345" s="138">
        <v>1</v>
      </c>
      <c r="CA345" s="138">
        <v>-1</v>
      </c>
      <c r="CB345" s="138">
        <v>1</v>
      </c>
      <c r="CC345" s="138">
        <v>0</v>
      </c>
      <c r="CD345" s="138">
        <v>1</v>
      </c>
      <c r="CE345" s="138">
        <v>1</v>
      </c>
      <c r="CF345" s="138">
        <v>-1</v>
      </c>
      <c r="CG345" s="138">
        <f>1-'LCFS Table'!$BW345</f>
        <v>0</v>
      </c>
      <c r="CH345" s="138">
        <f>1-'LCFS Table'!$BX345</f>
        <v>1</v>
      </c>
      <c r="CI345" s="138">
        <f>1-'LCFS Table'!$BY345</f>
        <v>0</v>
      </c>
      <c r="CJ345" s="138">
        <f>1-'LCFS Table'!$BZ345</f>
        <v>0</v>
      </c>
      <c r="CK345" s="138">
        <f>-'LCFS Table'!$CA345</f>
        <v>1</v>
      </c>
      <c r="CL345" s="138">
        <f>1-'LCFS Table'!$CB345</f>
        <v>0</v>
      </c>
      <c r="CM345" s="138">
        <f>1-'LCFS Table'!$CC345</f>
        <v>1</v>
      </c>
      <c r="CN345" s="138">
        <f>1-'LCFS Table'!$CD345</f>
        <v>0</v>
      </c>
      <c r="CO345" s="138">
        <f>1-'LCFS Table'!$CE345</f>
        <v>0</v>
      </c>
      <c r="CP345" s="138">
        <f>-'LCFS Table'!$CF345</f>
        <v>1</v>
      </c>
      <c r="CQ345" s="140">
        <f t="shared" si="8"/>
        <v>8</v>
      </c>
      <c r="CR345" s="165">
        <f>('LCFS Table'!$CQ345*0.9/(0.8/0.99)/100)</f>
        <v>8.9099999999999985E-2</v>
      </c>
      <c r="CS345" s="166"/>
      <c r="CT345" s="167"/>
      <c r="CW345" s="168">
        <f>'LCFS Table'!$K345-'LCFS Table'!$M345</f>
        <v>0.87604622763444517</v>
      </c>
      <c r="CX345" s="129">
        <f>MONTH('LCFS Table'!$B345)</f>
        <v>7</v>
      </c>
      <c r="CY345" s="129">
        <f>YEAR('LCFS Table'!$B345)</f>
        <v>2025</v>
      </c>
      <c r="DC345" s="129">
        <v>0.4</v>
      </c>
      <c r="DD345" s="129">
        <v>0.4</v>
      </c>
      <c r="DE345" s="129">
        <v>0.6</v>
      </c>
      <c r="DF345" s="129">
        <v>0.6</v>
      </c>
      <c r="DG345" s="129">
        <v>0.2</v>
      </c>
    </row>
    <row r="346" spans="1:111">
      <c r="A346" s="212">
        <v>45865</v>
      </c>
      <c r="B346" s="213">
        <v>45871</v>
      </c>
      <c r="C346" s="132">
        <f t="shared" si="7"/>
        <v>2025</v>
      </c>
      <c r="D346" s="150" t="s">
        <v>287</v>
      </c>
      <c r="E346" s="187">
        <f>'LCFS Table'!$K346-'LCFS Table'!$I346</f>
        <v>-1.8057751564455571</v>
      </c>
      <c r="F346" s="187">
        <f>('LCFS Table'!$M346)-'LCFS Table'!$J346</f>
        <v>-3.0798114620094457</v>
      </c>
      <c r="G346" s="214">
        <f>'LCFS Table'!$E346+'LCFS Table'!$AS346+'LCFS Table'!$AT346+'LCFS Table'!$AU346+'LCFS Table'!$AV346+(DE346*'LCFS Table'!$AD346)+(DD346*'LCFS Table'!$AE346)+(DC346*'LCFS Table'!$AC346)</f>
        <v>1.130005020742326</v>
      </c>
      <c r="H346" s="214">
        <f>'LCFS Table'!$F346+'LCFS Table'!$AX346+'LCFS Table'!$AY346+'LCFS Table'!$AZ346+'LCFS Table'!$BA346+('LCFS Table'!$CQ346*0.9/(0.8/0.99)/100)+(DG346*'LCFS Table'!$AF346)+(DF346*'LCFS Table'!$AG346)</f>
        <v>-0.78466523437499891</v>
      </c>
      <c r="I346" s="187">
        <f>('LCFS Table'!$V346+'LCFS Table'!$W346+'LCFS Table'!$X346)/100+(('LCFS Table'!$AI346+'LCFS Table'!$AJ346)/340)</f>
        <v>4.1638751564455569</v>
      </c>
      <c r="J346" s="187">
        <f>(('LCFS Table'!$Y346+'LCFS Table'!$Z346)/100)+(('LCFS Table'!$AM346+'LCFS Table'!$AN346)/300)</f>
        <v>4.5618652343750004</v>
      </c>
      <c r="K346" s="215">
        <f>[4]Forecasts!$C$68</f>
        <v>2.3580999999999999</v>
      </c>
      <c r="L346" s="215">
        <f>[4]Forecasts!$B$68</f>
        <v>438.81000000000012</v>
      </c>
      <c r="M346" s="185">
        <f>('LCFS Table'!$L346/100)-'LCFS Table'!$AX346-'LCFS Table'!$AY346-'LCFS Table'!$AZ346-'LCFS Table'!$BA346-1</f>
        <v>1.4820537723655547</v>
      </c>
      <c r="N346" s="215">
        <f>[3]Sheet1!$F297</f>
        <v>48</v>
      </c>
      <c r="O346" s="215">
        <f>[3]Sheet1!$C297</f>
        <v>39.25</v>
      </c>
      <c r="P346" s="215">
        <f>[3]Sheet1!$G297</f>
        <v>51.25</v>
      </c>
      <c r="Q346" s="215">
        <f>[3]Sheet1!$H297</f>
        <v>52.25</v>
      </c>
      <c r="R346" s="215">
        <f>[3]Sheet1!$B297</f>
        <v>34.5</v>
      </c>
      <c r="S346" s="185">
        <f>'LCFS Table'!$N346 + 'LCFS Table'!$AH346</f>
        <v>52.375</v>
      </c>
      <c r="T346" s="185">
        <f>'LCFS Table'!$Q346+'LCFS Table'!$AH346</f>
        <v>56.625</v>
      </c>
      <c r="U346" s="185">
        <f>'LCFS Table'!$P346+'LCFS Table'!$AH346</f>
        <v>55.625</v>
      </c>
      <c r="V346" s="185">
        <f>(('LCFS Table'!$S346/'LCFS Table'!$AA346)*'LCFS Table'!$AC346)*6.48</f>
        <v>180.52659574468086</v>
      </c>
      <c r="W346" s="185">
        <f>(('LCFS Table'!$O346/'LCFS Table'!$AA346)*'LCFS Table'!$AD346)*6.48</f>
        <v>67.643617021276611</v>
      </c>
      <c r="X346" s="185">
        <f>(('LCFS Table'!$U346/'LCFS Table'!$AA346)*'LCFS Table'!$AE346)*6.48</f>
        <v>95.864361702127667</v>
      </c>
      <c r="Y346" s="185">
        <f>(('LCFS Table'!$T346/'LCFS Table'!$AB346)*'LCFS Table'!$AF346)*7.35</f>
        <v>325.1513671875</v>
      </c>
      <c r="Z346" s="185">
        <f>(('LCFS Table'!$R346/'LCFS Table'!$AB346)*'LCFS Table'!$AG346)*7.35</f>
        <v>66.03515625</v>
      </c>
      <c r="AA346" s="138">
        <v>0.94</v>
      </c>
      <c r="AB346" s="138">
        <v>0.96</v>
      </c>
      <c r="AC346" s="138">
        <v>0.5</v>
      </c>
      <c r="AD346" s="138">
        <v>0.25</v>
      </c>
      <c r="AE346" s="138">
        <v>0.25</v>
      </c>
      <c r="AF346" s="138">
        <v>0.75</v>
      </c>
      <c r="AG346" s="138">
        <v>0.25</v>
      </c>
      <c r="AH346" s="139">
        <v>4.375</v>
      </c>
      <c r="AI346" s="139">
        <v>136</v>
      </c>
      <c r="AJ346" s="139">
        <v>110</v>
      </c>
      <c r="AK346" s="186">
        <f>('LCFS Table'!$AI346/340)*100</f>
        <v>40</v>
      </c>
      <c r="AL346" s="186">
        <f>('LCFS Table'!$AJ346/340)*100</f>
        <v>32.352941176470587</v>
      </c>
      <c r="AM346" s="139">
        <v>105</v>
      </c>
      <c r="AN346" s="139">
        <v>90</v>
      </c>
      <c r="AO346" s="139">
        <f>('LCFS Table'!$AM346/300)*100</f>
        <v>35</v>
      </c>
      <c r="AP346" s="139">
        <f>('LCFS Table'!$AN346/300)*100</f>
        <v>30</v>
      </c>
      <c r="AQ346" s="189">
        <f>[3]Sheet1!$K297</f>
        <v>82.100909891718544</v>
      </c>
      <c r="AR346" s="189">
        <f>[3]Sheet1!$J297/100</f>
        <v>0.98238623074237752</v>
      </c>
      <c r="AS346" s="185">
        <f>((('[2]Controls 2'!$B$2-SUM(('[2]Controls 2'!$B$5*'LCFS Table'!$AC346),('[2]Controls 2'!$B$6*'LCFS Table'!$AD346),('[2]Controls 2'!$B$7*'LCFS Table'!$AE346)))/1000000)*'LCFS Table'!$AQ346)*'[2]Controls 2'!$B$8</f>
        <v>0.65572358492584115</v>
      </c>
      <c r="AT346" s="137">
        <v>0.16</v>
      </c>
      <c r="AU346" s="137">
        <v>0</v>
      </c>
      <c r="AV346" s="185">
        <f>'LCFS Table'!$AR346*1.7</f>
        <v>1.6700565922620418</v>
      </c>
      <c r="AW346" s="137">
        <v>8</v>
      </c>
      <c r="AX346" s="185">
        <f>(((('[2]Controls 2'!$B$2-SUM(('LCFS Table'!$AF346*'[2]Controls 2'!$B$12),('LCFS Table'!$AG346*'[2]Controls 2'!$B$13)))/1000000)*'LCFS Table'!$AQ346)*'[2]Controls 2'!$B$14)</f>
        <v>0.4324668815208807</v>
      </c>
      <c r="AY346" s="137">
        <v>0</v>
      </c>
      <c r="AZ346" s="141">
        <v>0</v>
      </c>
      <c r="BA346" s="185">
        <f>'LCFS Table'!$AR346*1.5</f>
        <v>1.4735793461135662</v>
      </c>
      <c r="BB346" s="142">
        <v>9.1999999999999993</v>
      </c>
      <c r="BC346" s="185">
        <f>'LCFS Table'!$AS346*'LCFS Table'!$BW346</f>
        <v>0.65572358492584115</v>
      </c>
      <c r="BD346" s="185">
        <f>'LCFS Table'!$AT346*'LCFS Table'!$BX346</f>
        <v>0</v>
      </c>
      <c r="BE346" s="185">
        <f>'LCFS Table'!$AU346*'LCFS Table'!$BY346</f>
        <v>0</v>
      </c>
      <c r="BF346" s="137">
        <f>'LCFS Table'!$AV346*'LCFS Table'!$BZ346</f>
        <v>1.6700565922620418</v>
      </c>
      <c r="BG346" s="137">
        <f>'LCFS Table'!$AW346*'LCFS Table'!$CA346</f>
        <v>-8</v>
      </c>
      <c r="BH346" s="137">
        <f>'LCFS Table'!$AX346*'LCFS Table'!$CB346</f>
        <v>0.4324668815208807</v>
      </c>
      <c r="BI346" s="137">
        <f>'LCFS Table'!$AY346*'LCFS Table'!$CC346</f>
        <v>0</v>
      </c>
      <c r="BJ346" s="137">
        <f>'LCFS Table'!$AZ346*'LCFS Table'!$CD346</f>
        <v>0</v>
      </c>
      <c r="BK346" s="137">
        <f>'LCFS Table'!$BA346*'LCFS Table'!$CE346</f>
        <v>1.4735793461135662</v>
      </c>
      <c r="BL346" s="137">
        <f>'LCFS Table'!$BB346*'LCFS Table'!$CF346</f>
        <v>-9.1999999999999993</v>
      </c>
      <c r="BM346" s="137">
        <f>'LCFS Table'!$AS346*'LCFS Table'!$CG346</f>
        <v>0</v>
      </c>
      <c r="BN346" s="137">
        <f>'LCFS Table'!$AT346*'LCFS Table'!$CH346</f>
        <v>0.16</v>
      </c>
      <c r="BO346" s="137">
        <f>'LCFS Table'!$AU346*'LCFS Table'!$CI346</f>
        <v>0</v>
      </c>
      <c r="BP346" s="137">
        <f>'LCFS Table'!$AV346*'LCFS Table'!$CJ346</f>
        <v>0</v>
      </c>
      <c r="BQ346" s="137">
        <f>'LCFS Table'!$AW346*'LCFS Table'!$CK346</f>
        <v>8</v>
      </c>
      <c r="BR346" s="137">
        <f>'LCFS Table'!$AX346*'LCFS Table'!$CL346</f>
        <v>0</v>
      </c>
      <c r="BS346" s="137">
        <f>'LCFS Table'!$AY346*'LCFS Table'!$CM346</f>
        <v>0</v>
      </c>
      <c r="BT346" s="137">
        <f>'LCFS Table'!$AZ346*'LCFS Table'!$CN346</f>
        <v>0</v>
      </c>
      <c r="BU346" s="137">
        <f>'LCFS Table'!$BA346*'LCFS Table'!$CO346</f>
        <v>0</v>
      </c>
      <c r="BV346" s="142">
        <f>'LCFS Table'!$BB346*'LCFS Table'!$CP346</f>
        <v>9.1999999999999993</v>
      </c>
      <c r="BW346" s="138">
        <v>1</v>
      </c>
      <c r="BX346" s="138">
        <v>0</v>
      </c>
      <c r="BY346" s="138">
        <v>1</v>
      </c>
      <c r="BZ346" s="138">
        <v>1</v>
      </c>
      <c r="CA346" s="138">
        <v>-1</v>
      </c>
      <c r="CB346" s="138">
        <v>1</v>
      </c>
      <c r="CC346" s="138">
        <v>0</v>
      </c>
      <c r="CD346" s="138">
        <v>1</v>
      </c>
      <c r="CE346" s="138">
        <v>1</v>
      </c>
      <c r="CF346" s="138">
        <v>-1</v>
      </c>
      <c r="CG346" s="138">
        <f>1-'LCFS Table'!$BW346</f>
        <v>0</v>
      </c>
      <c r="CH346" s="138">
        <f>1-'LCFS Table'!$BX346</f>
        <v>1</v>
      </c>
      <c r="CI346" s="138">
        <f>1-'LCFS Table'!$BY346</f>
        <v>0</v>
      </c>
      <c r="CJ346" s="138">
        <f>1-'LCFS Table'!$BZ346</f>
        <v>0</v>
      </c>
      <c r="CK346" s="138">
        <f>-'LCFS Table'!$CA346</f>
        <v>1</v>
      </c>
      <c r="CL346" s="138">
        <f>1-'LCFS Table'!$CB346</f>
        <v>0</v>
      </c>
      <c r="CM346" s="138">
        <f>1-'LCFS Table'!$CC346</f>
        <v>1</v>
      </c>
      <c r="CN346" s="138">
        <f>1-'LCFS Table'!$CD346</f>
        <v>0</v>
      </c>
      <c r="CO346" s="138">
        <f>1-'LCFS Table'!$CE346</f>
        <v>0</v>
      </c>
      <c r="CP346" s="138">
        <f>-'LCFS Table'!$CF346</f>
        <v>1</v>
      </c>
      <c r="CQ346" s="140">
        <f t="shared" si="8"/>
        <v>8</v>
      </c>
      <c r="CR346" s="165">
        <f>('LCFS Table'!$CQ346*0.9/(0.8/0.99)/100)</f>
        <v>8.9099999999999985E-2</v>
      </c>
      <c r="CS346" s="166"/>
      <c r="CT346" s="167"/>
      <c r="CW346" s="168">
        <f>'LCFS Table'!$K346-'LCFS Table'!$M346</f>
        <v>0.87604622763444517</v>
      </c>
      <c r="CX346" s="129">
        <f>MONTH('LCFS Table'!$B346)</f>
        <v>8</v>
      </c>
      <c r="CY346" s="129">
        <f>YEAR('LCFS Table'!$B346)</f>
        <v>2025</v>
      </c>
      <c r="DC346" s="129">
        <v>0.4</v>
      </c>
      <c r="DD346" s="129">
        <v>0.4</v>
      </c>
      <c r="DE346" s="129">
        <v>0.6</v>
      </c>
      <c r="DF346" s="129">
        <v>0.6</v>
      </c>
      <c r="DG346" s="129">
        <v>0.2</v>
      </c>
    </row>
    <row r="347" spans="1:111">
      <c r="A347" s="212">
        <v>45872</v>
      </c>
      <c r="B347" s="213">
        <v>45878</v>
      </c>
      <c r="C347" s="132">
        <f t="shared" si="7"/>
        <v>2025</v>
      </c>
      <c r="D347" s="150" t="s">
        <v>288</v>
      </c>
      <c r="E347" s="187">
        <f>'LCFS Table'!$K347-'LCFS Table'!$I347</f>
        <v>-1.6506006883604507</v>
      </c>
      <c r="F347" s="187">
        <f>('LCFS Table'!$M347)-'LCFS Table'!$J347</f>
        <v>-2.8779148455363961</v>
      </c>
      <c r="G347" s="214">
        <f>'LCFS Table'!$E347+'LCFS Table'!$AS347+'LCFS Table'!$AT347+'LCFS Table'!$AU347+'LCFS Table'!$AV347+(DE347*'LCFS Table'!$AD347)+(DD347*'LCFS Table'!$AE347)+(DC347*'LCFS Table'!$AC347)</f>
        <v>1.1277881151579767</v>
      </c>
      <c r="H347" s="214">
        <f>'LCFS Table'!$F347+'LCFS Table'!$AX347+'LCFS Table'!$AY347+'LCFS Table'!$AZ347+'LCFS Table'!$BA347+('LCFS Table'!$CQ347*0.9/(0.8/0.99)/100)+(DG347*'LCFS Table'!$AF347)+(DF347*'LCFS Table'!$AG347)</f>
        <v>-0.72164335937499824</v>
      </c>
      <c r="I347" s="187">
        <f>('LCFS Table'!$V347+'LCFS Table'!$W347+'LCFS Table'!$X347)/100+(('LCFS Table'!$AI347+'LCFS Table'!$AJ347)/340)</f>
        <v>3.9743006883604508</v>
      </c>
      <c r="J347" s="187">
        <f>(('LCFS Table'!$Y347+'LCFS Table'!$Z347)/100)+(('LCFS Table'!$AM347+'LCFS Table'!$AN347)/300)</f>
        <v>4.5044433593750002</v>
      </c>
      <c r="K347" s="215">
        <f>[4]Forecasts!$C$69</f>
        <v>2.3237000000000001</v>
      </c>
      <c r="L347" s="215">
        <f>[4]Forecasts!$B$69</f>
        <v>439.37000000000018</v>
      </c>
      <c r="M347" s="185">
        <f>('LCFS Table'!$L347/100)-'LCFS Table'!$AX347-'LCFS Table'!$AY347-'LCFS Table'!$AZ347-'LCFS Table'!$BA347-1</f>
        <v>1.6265285138386041</v>
      </c>
      <c r="N347" s="215">
        <f>[3]Sheet1!$F298</f>
        <v>43</v>
      </c>
      <c r="O347" s="215">
        <f>[3]Sheet1!$C298</f>
        <v>38.75</v>
      </c>
      <c r="P347" s="215">
        <f>[3]Sheet1!$G298</f>
        <v>50.75</v>
      </c>
      <c r="Q347" s="215">
        <f>[3]Sheet1!$H298</f>
        <v>51</v>
      </c>
      <c r="R347" s="215">
        <f>[3]Sheet1!$B298</f>
        <v>35.25</v>
      </c>
      <c r="S347" s="185">
        <f>'LCFS Table'!$N347 + 'LCFS Table'!$AH347</f>
        <v>47.375</v>
      </c>
      <c r="T347" s="185">
        <f>'LCFS Table'!$Q347+'LCFS Table'!$AH347</f>
        <v>55.375</v>
      </c>
      <c r="U347" s="185">
        <f>'LCFS Table'!$P347+'LCFS Table'!$AH347</f>
        <v>55.125</v>
      </c>
      <c r="V347" s="185">
        <f>(('LCFS Table'!$S347/'LCFS Table'!$AA347)*'LCFS Table'!$AC347)*6.48</f>
        <v>163.29255319148939</v>
      </c>
      <c r="W347" s="185">
        <f>(('LCFS Table'!$O347/'LCFS Table'!$AA347)*'LCFS Table'!$AD347)*6.48</f>
        <v>66.781914893617028</v>
      </c>
      <c r="X347" s="185">
        <f>(('LCFS Table'!$U347/'LCFS Table'!$AA347)*'LCFS Table'!$AE347)*6.48</f>
        <v>95.002659574468098</v>
      </c>
      <c r="Y347" s="185">
        <f>(('LCFS Table'!$T347/'LCFS Table'!$AB347)*'LCFS Table'!$AF347)*7.35</f>
        <v>317.9736328125</v>
      </c>
      <c r="Z347" s="185">
        <f>(('LCFS Table'!$R347/'LCFS Table'!$AB347)*'LCFS Table'!$AG347)*7.35</f>
        <v>67.470703125</v>
      </c>
      <c r="AA347" s="138">
        <v>0.94</v>
      </c>
      <c r="AB347" s="138">
        <v>0.96</v>
      </c>
      <c r="AC347" s="138">
        <v>0.5</v>
      </c>
      <c r="AD347" s="138">
        <v>0.25</v>
      </c>
      <c r="AE347" s="138">
        <v>0.25</v>
      </c>
      <c r="AF347" s="138">
        <v>0.75</v>
      </c>
      <c r="AG347" s="138">
        <v>0.25</v>
      </c>
      <c r="AH347" s="139">
        <v>4.375</v>
      </c>
      <c r="AI347" s="139">
        <v>136</v>
      </c>
      <c r="AJ347" s="139">
        <v>110</v>
      </c>
      <c r="AK347" s="186">
        <f>('LCFS Table'!$AI347/340)*100</f>
        <v>40</v>
      </c>
      <c r="AL347" s="186">
        <f>('LCFS Table'!$AJ347/340)*100</f>
        <v>32.352941176470587</v>
      </c>
      <c r="AM347" s="139">
        <v>105</v>
      </c>
      <c r="AN347" s="139">
        <v>90</v>
      </c>
      <c r="AO347" s="139">
        <f>('LCFS Table'!$AM347/300)*100</f>
        <v>35</v>
      </c>
      <c r="AP347" s="139">
        <f>('LCFS Table'!$AN347/300)*100</f>
        <v>30</v>
      </c>
      <c r="AQ347" s="189">
        <f>[3]Sheet1!$K298</f>
        <v>82.100909891718544</v>
      </c>
      <c r="AR347" s="189">
        <f>[3]Sheet1!$J298/100</f>
        <v>0.88980306976034484</v>
      </c>
      <c r="AS347" s="185">
        <f>((('[2]Controls 2'!$B$2-SUM(('[2]Controls 2'!$B$5*'LCFS Table'!$AC347),('[2]Controls 2'!$B$6*'LCFS Table'!$AD347),('[2]Controls 2'!$B$7*'LCFS Table'!$AE347)))/1000000)*'LCFS Table'!$AQ347)*'[2]Controls 2'!$B$8</f>
        <v>0.65572358492584115</v>
      </c>
      <c r="AT347" s="137">
        <v>0.16</v>
      </c>
      <c r="AU347" s="137">
        <v>0</v>
      </c>
      <c r="AV347" s="185">
        <f>'LCFS Table'!$AR347*1.7</f>
        <v>1.5126652185925862</v>
      </c>
      <c r="AW347" s="137">
        <v>9</v>
      </c>
      <c r="AX347" s="185">
        <f>(((('[2]Controls 2'!$B$2-SUM(('LCFS Table'!$AF347*'[2]Controls 2'!$B$12),('LCFS Table'!$AG347*'[2]Controls 2'!$B$13)))/1000000)*'LCFS Table'!$AQ347)*'[2]Controls 2'!$B$14)</f>
        <v>0.4324668815208807</v>
      </c>
      <c r="AY347" s="137">
        <v>0</v>
      </c>
      <c r="AZ347" s="141">
        <v>0</v>
      </c>
      <c r="BA347" s="185">
        <f>'LCFS Table'!$AR347*1.5</f>
        <v>1.3347046046405173</v>
      </c>
      <c r="BB347" s="142">
        <v>10.199999999999999</v>
      </c>
      <c r="BC347" s="185">
        <f>'LCFS Table'!$AS347*'LCFS Table'!$BW347</f>
        <v>0.65572358492584115</v>
      </c>
      <c r="BD347" s="185">
        <f>'LCFS Table'!$AT347*'LCFS Table'!$BX347</f>
        <v>0</v>
      </c>
      <c r="BE347" s="185">
        <f>'LCFS Table'!$AU347*'LCFS Table'!$BY347</f>
        <v>0</v>
      </c>
      <c r="BF347" s="137">
        <f>'LCFS Table'!$AV347*'LCFS Table'!$BZ347</f>
        <v>1.5126652185925862</v>
      </c>
      <c r="BG347" s="137">
        <f>'LCFS Table'!$AW347*'LCFS Table'!$CA347</f>
        <v>-9</v>
      </c>
      <c r="BH347" s="137">
        <f>'LCFS Table'!$AX347*'LCFS Table'!$CB347</f>
        <v>0.4324668815208807</v>
      </c>
      <c r="BI347" s="137">
        <f>'LCFS Table'!$AY347*'LCFS Table'!$CC347</f>
        <v>0</v>
      </c>
      <c r="BJ347" s="137">
        <f>'LCFS Table'!$AZ347*'LCFS Table'!$CD347</f>
        <v>0</v>
      </c>
      <c r="BK347" s="137">
        <f>'LCFS Table'!$BA347*'LCFS Table'!$CE347</f>
        <v>1.3347046046405173</v>
      </c>
      <c r="BL347" s="137">
        <f>'LCFS Table'!$BB347*'LCFS Table'!$CF347</f>
        <v>-10.199999999999999</v>
      </c>
      <c r="BM347" s="137">
        <f>'LCFS Table'!$AS347*'LCFS Table'!$CG347</f>
        <v>0</v>
      </c>
      <c r="BN347" s="137">
        <f>'LCFS Table'!$AT347*'LCFS Table'!$CH347</f>
        <v>0.16</v>
      </c>
      <c r="BO347" s="137">
        <f>'LCFS Table'!$AU347*'LCFS Table'!$CI347</f>
        <v>0</v>
      </c>
      <c r="BP347" s="137">
        <f>'LCFS Table'!$AV347*'LCFS Table'!$CJ347</f>
        <v>0</v>
      </c>
      <c r="BQ347" s="137">
        <f>'LCFS Table'!$AW347*'LCFS Table'!$CK347</f>
        <v>9</v>
      </c>
      <c r="BR347" s="137">
        <f>'LCFS Table'!$AX347*'LCFS Table'!$CL347</f>
        <v>0</v>
      </c>
      <c r="BS347" s="137">
        <f>'LCFS Table'!$AY347*'LCFS Table'!$CM347</f>
        <v>0</v>
      </c>
      <c r="BT347" s="137">
        <f>'LCFS Table'!$AZ347*'LCFS Table'!$CN347</f>
        <v>0</v>
      </c>
      <c r="BU347" s="137">
        <f>'LCFS Table'!$BA347*'LCFS Table'!$CO347</f>
        <v>0</v>
      </c>
      <c r="BV347" s="142">
        <f>'LCFS Table'!$BB347*'LCFS Table'!$CP347</f>
        <v>10.199999999999999</v>
      </c>
      <c r="BW347" s="138">
        <v>1</v>
      </c>
      <c r="BX347" s="138">
        <v>0</v>
      </c>
      <c r="BY347" s="138">
        <v>1</v>
      </c>
      <c r="BZ347" s="138">
        <v>1</v>
      </c>
      <c r="CA347" s="138">
        <v>-1</v>
      </c>
      <c r="CB347" s="138">
        <v>1</v>
      </c>
      <c r="CC347" s="138">
        <v>0</v>
      </c>
      <c r="CD347" s="138">
        <v>1</v>
      </c>
      <c r="CE347" s="138">
        <v>1</v>
      </c>
      <c r="CF347" s="138">
        <v>-1</v>
      </c>
      <c r="CG347" s="138">
        <f>1-'LCFS Table'!$BW347</f>
        <v>0</v>
      </c>
      <c r="CH347" s="138">
        <f>1-'LCFS Table'!$BX347</f>
        <v>1</v>
      </c>
      <c r="CI347" s="138">
        <f>1-'LCFS Table'!$BY347</f>
        <v>0</v>
      </c>
      <c r="CJ347" s="138">
        <f>1-'LCFS Table'!$BZ347</f>
        <v>0</v>
      </c>
      <c r="CK347" s="138">
        <f>-'LCFS Table'!$CA347</f>
        <v>1</v>
      </c>
      <c r="CL347" s="138">
        <f>1-'LCFS Table'!$CB347</f>
        <v>0</v>
      </c>
      <c r="CM347" s="138">
        <f>1-'LCFS Table'!$CC347</f>
        <v>1</v>
      </c>
      <c r="CN347" s="138">
        <f>1-'LCFS Table'!$CD347</f>
        <v>0</v>
      </c>
      <c r="CO347" s="138">
        <f>1-'LCFS Table'!$CE347</f>
        <v>0</v>
      </c>
      <c r="CP347" s="138">
        <f>-'LCFS Table'!$CF347</f>
        <v>1</v>
      </c>
      <c r="CQ347" s="140">
        <f t="shared" si="8"/>
        <v>8</v>
      </c>
      <c r="CR347" s="165">
        <f>('LCFS Table'!$CQ347*0.9/(0.8/0.99)/100)</f>
        <v>8.9099999999999985E-2</v>
      </c>
      <c r="CS347" s="166"/>
      <c r="CT347" s="167"/>
      <c r="CW347" s="168">
        <f>'LCFS Table'!$K347-'LCFS Table'!$M347</f>
        <v>0.69717148616139601</v>
      </c>
      <c r="CX347" s="129">
        <f>MONTH('LCFS Table'!$B347)</f>
        <v>8</v>
      </c>
      <c r="CY347" s="129">
        <f>YEAR('LCFS Table'!$B347)</f>
        <v>2025</v>
      </c>
      <c r="DC347" s="129">
        <v>0.4</v>
      </c>
      <c r="DD347" s="129">
        <v>0.4</v>
      </c>
      <c r="DE347" s="129">
        <v>0.6</v>
      </c>
      <c r="DF347" s="129">
        <v>0.6</v>
      </c>
      <c r="DG347" s="129">
        <v>0.2</v>
      </c>
    </row>
    <row r="348" spans="1:111">
      <c r="A348" s="212">
        <v>45879</v>
      </c>
      <c r="B348" s="213">
        <v>45885</v>
      </c>
      <c r="C348" s="132">
        <f t="shared" si="7"/>
        <v>2025</v>
      </c>
      <c r="D348" s="150" t="s">
        <v>289</v>
      </c>
      <c r="E348" s="187">
        <f>'LCFS Table'!$K348-'LCFS Table'!$I348</f>
        <v>-1.6506006883604507</v>
      </c>
      <c r="F348" s="187">
        <f>('LCFS Table'!$M348)-'LCFS Table'!$J348</f>
        <v>-2.8779148455363961</v>
      </c>
      <c r="G348" s="214">
        <f>'LCFS Table'!$E348+'LCFS Table'!$AS348+'LCFS Table'!$AT348+'LCFS Table'!$AU348+'LCFS Table'!$AV348+(DE348*'LCFS Table'!$AD348)+(DD348*'LCFS Table'!$AE348)+(DC348*'LCFS Table'!$AC348)</f>
        <v>1.1277881151579767</v>
      </c>
      <c r="H348" s="214">
        <f>'LCFS Table'!$F348+'LCFS Table'!$AX348+'LCFS Table'!$AY348+'LCFS Table'!$AZ348+'LCFS Table'!$BA348+('LCFS Table'!$CQ348*0.9/(0.8/0.99)/100)+(DG348*'LCFS Table'!$AF348)+(DF348*'LCFS Table'!$AG348)</f>
        <v>-0.72164335937499824</v>
      </c>
      <c r="I348" s="187">
        <f>('LCFS Table'!$V348+'LCFS Table'!$W348+'LCFS Table'!$X348)/100+(('LCFS Table'!$AI348+'LCFS Table'!$AJ348)/340)</f>
        <v>3.9743006883604508</v>
      </c>
      <c r="J348" s="187">
        <f>(('LCFS Table'!$Y348+'LCFS Table'!$Z348)/100)+(('LCFS Table'!$AM348+'LCFS Table'!$AN348)/300)</f>
        <v>4.5044433593750002</v>
      </c>
      <c r="K348" s="215">
        <f>[4]Forecasts!$C$69</f>
        <v>2.3237000000000001</v>
      </c>
      <c r="L348" s="215">
        <f>[4]Forecasts!$B$69</f>
        <v>439.37000000000018</v>
      </c>
      <c r="M348" s="185">
        <f>('LCFS Table'!$L348/100)-'LCFS Table'!$AX348-'LCFS Table'!$AY348-'LCFS Table'!$AZ348-'LCFS Table'!$BA348-1</f>
        <v>1.6265285138386041</v>
      </c>
      <c r="N348" s="215">
        <f>[3]Sheet1!$F299</f>
        <v>43</v>
      </c>
      <c r="O348" s="215">
        <f>[3]Sheet1!$C299</f>
        <v>38.75</v>
      </c>
      <c r="P348" s="215">
        <f>[3]Sheet1!$G299</f>
        <v>50.75</v>
      </c>
      <c r="Q348" s="215">
        <f>[3]Sheet1!$H299</f>
        <v>51</v>
      </c>
      <c r="R348" s="215">
        <f>[3]Sheet1!$B299</f>
        <v>35.25</v>
      </c>
      <c r="S348" s="185">
        <f>'LCFS Table'!$N348 + 'LCFS Table'!$AH348</f>
        <v>47.375</v>
      </c>
      <c r="T348" s="185">
        <f>'LCFS Table'!$Q348+'LCFS Table'!$AH348</f>
        <v>55.375</v>
      </c>
      <c r="U348" s="185">
        <f>'LCFS Table'!$P348+'LCFS Table'!$AH348</f>
        <v>55.125</v>
      </c>
      <c r="V348" s="185">
        <f>(('LCFS Table'!$S348/'LCFS Table'!$AA348)*'LCFS Table'!$AC348)*6.48</f>
        <v>163.29255319148939</v>
      </c>
      <c r="W348" s="185">
        <f>(('LCFS Table'!$O348/'LCFS Table'!$AA348)*'LCFS Table'!$AD348)*6.48</f>
        <v>66.781914893617028</v>
      </c>
      <c r="X348" s="185">
        <f>(('LCFS Table'!$U348/'LCFS Table'!$AA348)*'LCFS Table'!$AE348)*6.48</f>
        <v>95.002659574468098</v>
      </c>
      <c r="Y348" s="185">
        <f>(('LCFS Table'!$T348/'LCFS Table'!$AB348)*'LCFS Table'!$AF348)*7.35</f>
        <v>317.9736328125</v>
      </c>
      <c r="Z348" s="185">
        <f>(('LCFS Table'!$R348/'LCFS Table'!$AB348)*'LCFS Table'!$AG348)*7.35</f>
        <v>67.470703125</v>
      </c>
      <c r="AA348" s="138">
        <v>0.94</v>
      </c>
      <c r="AB348" s="138">
        <v>0.96</v>
      </c>
      <c r="AC348" s="138">
        <v>0.5</v>
      </c>
      <c r="AD348" s="138">
        <v>0.25</v>
      </c>
      <c r="AE348" s="138">
        <v>0.25</v>
      </c>
      <c r="AF348" s="138">
        <v>0.75</v>
      </c>
      <c r="AG348" s="138">
        <v>0.25</v>
      </c>
      <c r="AH348" s="139">
        <v>4.375</v>
      </c>
      <c r="AI348" s="139">
        <v>136</v>
      </c>
      <c r="AJ348" s="139">
        <v>110</v>
      </c>
      <c r="AK348" s="186">
        <f>('LCFS Table'!$AI348/340)*100</f>
        <v>40</v>
      </c>
      <c r="AL348" s="186">
        <f>('LCFS Table'!$AJ348/340)*100</f>
        <v>32.352941176470587</v>
      </c>
      <c r="AM348" s="139">
        <v>105</v>
      </c>
      <c r="AN348" s="139">
        <v>90</v>
      </c>
      <c r="AO348" s="139">
        <f>('LCFS Table'!$AM348/300)*100</f>
        <v>35</v>
      </c>
      <c r="AP348" s="139">
        <f>('LCFS Table'!$AN348/300)*100</f>
        <v>30</v>
      </c>
      <c r="AQ348" s="189">
        <f>[3]Sheet1!$K299</f>
        <v>82.100909891718544</v>
      </c>
      <c r="AR348" s="189">
        <f>[3]Sheet1!$J299/100</f>
        <v>0.88980306976034484</v>
      </c>
      <c r="AS348" s="185">
        <f>((('[2]Controls 2'!$B$2-SUM(('[2]Controls 2'!$B$5*'LCFS Table'!$AC348),('[2]Controls 2'!$B$6*'LCFS Table'!$AD348),('[2]Controls 2'!$B$7*'LCFS Table'!$AE348)))/1000000)*'LCFS Table'!$AQ348)*'[2]Controls 2'!$B$8</f>
        <v>0.65572358492584115</v>
      </c>
      <c r="AT348" s="137">
        <v>0.16</v>
      </c>
      <c r="AU348" s="137">
        <v>0</v>
      </c>
      <c r="AV348" s="185">
        <f>'LCFS Table'!$AR348*1.7</f>
        <v>1.5126652185925862</v>
      </c>
      <c r="AW348" s="137">
        <v>10</v>
      </c>
      <c r="AX348" s="185">
        <f>(((('[2]Controls 2'!$B$2-SUM(('LCFS Table'!$AF348*'[2]Controls 2'!$B$12),('LCFS Table'!$AG348*'[2]Controls 2'!$B$13)))/1000000)*'LCFS Table'!$AQ348)*'[2]Controls 2'!$B$14)</f>
        <v>0.4324668815208807</v>
      </c>
      <c r="AY348" s="137">
        <v>0</v>
      </c>
      <c r="AZ348" s="141">
        <v>0</v>
      </c>
      <c r="BA348" s="185">
        <f>'LCFS Table'!$AR348*1.5</f>
        <v>1.3347046046405173</v>
      </c>
      <c r="BB348" s="142">
        <v>11.2</v>
      </c>
      <c r="BC348" s="185">
        <f>'LCFS Table'!$AS348*'LCFS Table'!$BW348</f>
        <v>0.65572358492584115</v>
      </c>
      <c r="BD348" s="185">
        <f>'LCFS Table'!$AT348*'LCFS Table'!$BX348</f>
        <v>0</v>
      </c>
      <c r="BE348" s="185">
        <f>'LCFS Table'!$AU348*'LCFS Table'!$BY348</f>
        <v>0</v>
      </c>
      <c r="BF348" s="137">
        <f>'LCFS Table'!$AV348*'LCFS Table'!$BZ348</f>
        <v>1.5126652185925862</v>
      </c>
      <c r="BG348" s="137">
        <f>'LCFS Table'!$AW348*'LCFS Table'!$CA348</f>
        <v>-10</v>
      </c>
      <c r="BH348" s="137">
        <f>'LCFS Table'!$AX348*'LCFS Table'!$CB348</f>
        <v>0.4324668815208807</v>
      </c>
      <c r="BI348" s="137">
        <f>'LCFS Table'!$AY348*'LCFS Table'!$CC348</f>
        <v>0</v>
      </c>
      <c r="BJ348" s="137">
        <f>'LCFS Table'!$AZ348*'LCFS Table'!$CD348</f>
        <v>0</v>
      </c>
      <c r="BK348" s="137">
        <f>'LCFS Table'!$BA348*'LCFS Table'!$CE348</f>
        <v>1.3347046046405173</v>
      </c>
      <c r="BL348" s="137">
        <f>'LCFS Table'!$BB348*'LCFS Table'!$CF348</f>
        <v>-11.2</v>
      </c>
      <c r="BM348" s="137">
        <f>'LCFS Table'!$AS348*'LCFS Table'!$CG348</f>
        <v>0</v>
      </c>
      <c r="BN348" s="137">
        <f>'LCFS Table'!$AT348*'LCFS Table'!$CH348</f>
        <v>0.16</v>
      </c>
      <c r="BO348" s="137">
        <f>'LCFS Table'!$AU348*'LCFS Table'!$CI348</f>
        <v>0</v>
      </c>
      <c r="BP348" s="137">
        <f>'LCFS Table'!$AV348*'LCFS Table'!$CJ348</f>
        <v>0</v>
      </c>
      <c r="BQ348" s="137">
        <f>'LCFS Table'!$AW348*'LCFS Table'!$CK348</f>
        <v>10</v>
      </c>
      <c r="BR348" s="137">
        <f>'LCFS Table'!$AX348*'LCFS Table'!$CL348</f>
        <v>0</v>
      </c>
      <c r="BS348" s="137">
        <f>'LCFS Table'!$AY348*'LCFS Table'!$CM348</f>
        <v>0</v>
      </c>
      <c r="BT348" s="137">
        <f>'LCFS Table'!$AZ348*'LCFS Table'!$CN348</f>
        <v>0</v>
      </c>
      <c r="BU348" s="137">
        <f>'LCFS Table'!$BA348*'LCFS Table'!$CO348</f>
        <v>0</v>
      </c>
      <c r="BV348" s="142">
        <f>'LCFS Table'!$BB348*'LCFS Table'!$CP348</f>
        <v>11.2</v>
      </c>
      <c r="BW348" s="138">
        <v>1</v>
      </c>
      <c r="BX348" s="138">
        <v>0</v>
      </c>
      <c r="BY348" s="138">
        <v>1</v>
      </c>
      <c r="BZ348" s="138">
        <v>1</v>
      </c>
      <c r="CA348" s="138">
        <v>-1</v>
      </c>
      <c r="CB348" s="138">
        <v>1</v>
      </c>
      <c r="CC348" s="138">
        <v>0</v>
      </c>
      <c r="CD348" s="138">
        <v>1</v>
      </c>
      <c r="CE348" s="138">
        <v>1</v>
      </c>
      <c r="CF348" s="138">
        <v>-1</v>
      </c>
      <c r="CG348" s="138">
        <f>1-'LCFS Table'!$BW348</f>
        <v>0</v>
      </c>
      <c r="CH348" s="138">
        <f>1-'LCFS Table'!$BX348</f>
        <v>1</v>
      </c>
      <c r="CI348" s="138">
        <f>1-'LCFS Table'!$BY348</f>
        <v>0</v>
      </c>
      <c r="CJ348" s="138">
        <f>1-'LCFS Table'!$BZ348</f>
        <v>0</v>
      </c>
      <c r="CK348" s="138">
        <f>-'LCFS Table'!$CA348</f>
        <v>1</v>
      </c>
      <c r="CL348" s="138">
        <f>1-'LCFS Table'!$CB348</f>
        <v>0</v>
      </c>
      <c r="CM348" s="138">
        <f>1-'LCFS Table'!$CC348</f>
        <v>1</v>
      </c>
      <c r="CN348" s="138">
        <f>1-'LCFS Table'!$CD348</f>
        <v>0</v>
      </c>
      <c r="CO348" s="138">
        <f>1-'LCFS Table'!$CE348</f>
        <v>0</v>
      </c>
      <c r="CP348" s="138">
        <f>-'LCFS Table'!$CF348</f>
        <v>1</v>
      </c>
      <c r="CQ348" s="140">
        <f t="shared" si="8"/>
        <v>8</v>
      </c>
      <c r="CR348" s="165">
        <f>('LCFS Table'!$CQ348*0.9/(0.8/0.99)/100)</f>
        <v>8.9099999999999985E-2</v>
      </c>
      <c r="CS348" s="166"/>
      <c r="CT348" s="167"/>
      <c r="CW348" s="168">
        <f>'LCFS Table'!$K348-'LCFS Table'!$M348</f>
        <v>0.69717148616139601</v>
      </c>
      <c r="CX348" s="129">
        <f>MONTH('LCFS Table'!$B348)</f>
        <v>8</v>
      </c>
      <c r="CY348" s="129">
        <f>YEAR('LCFS Table'!$B348)</f>
        <v>2025</v>
      </c>
      <c r="DC348" s="129">
        <v>0.4</v>
      </c>
      <c r="DD348" s="129">
        <v>0.4</v>
      </c>
      <c r="DE348" s="129">
        <v>0.6</v>
      </c>
      <c r="DF348" s="129">
        <v>0.6</v>
      </c>
      <c r="DG348" s="129">
        <v>0.2</v>
      </c>
    </row>
    <row r="349" spans="1:111">
      <c r="A349" s="212">
        <v>45886</v>
      </c>
      <c r="B349" s="213">
        <v>45892</v>
      </c>
      <c r="C349" s="132">
        <f t="shared" si="7"/>
        <v>2025</v>
      </c>
      <c r="D349" s="150" t="s">
        <v>290</v>
      </c>
      <c r="E349" s="187">
        <f>'LCFS Table'!$K349-'LCFS Table'!$I349</f>
        <v>-1.6506006883604507</v>
      </c>
      <c r="F349" s="187">
        <f>('LCFS Table'!$M349)-'LCFS Table'!$J349</f>
        <v>-2.8779148455363961</v>
      </c>
      <c r="G349" s="214">
        <f>'LCFS Table'!$E349+'LCFS Table'!$AS349+'LCFS Table'!$AT349+'LCFS Table'!$AU349+'LCFS Table'!$AV349+(DE349*'LCFS Table'!$AD349)+(DD349*'LCFS Table'!$AE349)+(DC349*'LCFS Table'!$AC349)</f>
        <v>1.1277881151579767</v>
      </c>
      <c r="H349" s="214">
        <f>'LCFS Table'!$F349+'LCFS Table'!$AX349+'LCFS Table'!$AY349+'LCFS Table'!$AZ349+'LCFS Table'!$BA349+('LCFS Table'!$CQ349*0.9/(0.8/0.99)/100)+(DG349*'LCFS Table'!$AF349)+(DF349*'LCFS Table'!$AG349)</f>
        <v>-0.72164335937499824</v>
      </c>
      <c r="I349" s="187">
        <f>('LCFS Table'!$V349+'LCFS Table'!$W349+'LCFS Table'!$X349)/100+(('LCFS Table'!$AI349+'LCFS Table'!$AJ349)/340)</f>
        <v>3.9743006883604508</v>
      </c>
      <c r="J349" s="187">
        <f>(('LCFS Table'!$Y349+'LCFS Table'!$Z349)/100)+(('LCFS Table'!$AM349+'LCFS Table'!$AN349)/300)</f>
        <v>4.5044433593750002</v>
      </c>
      <c r="K349" s="215">
        <f>[4]Forecasts!$C$69</f>
        <v>2.3237000000000001</v>
      </c>
      <c r="L349" s="215">
        <f>[4]Forecasts!$B$69</f>
        <v>439.37000000000018</v>
      </c>
      <c r="M349" s="185">
        <f>('LCFS Table'!$L349/100)-'LCFS Table'!$AX349-'LCFS Table'!$AY349-'LCFS Table'!$AZ349-'LCFS Table'!$BA349-1</f>
        <v>1.6265285138386041</v>
      </c>
      <c r="N349" s="215">
        <f>[3]Sheet1!$F300</f>
        <v>43</v>
      </c>
      <c r="O349" s="215">
        <f>[3]Sheet1!$C300</f>
        <v>38.75</v>
      </c>
      <c r="P349" s="215">
        <f>[3]Sheet1!$G300</f>
        <v>50.75</v>
      </c>
      <c r="Q349" s="215">
        <f>[3]Sheet1!$H300</f>
        <v>51</v>
      </c>
      <c r="R349" s="215">
        <f>[3]Sheet1!$B300</f>
        <v>35.25</v>
      </c>
      <c r="S349" s="185">
        <f>'LCFS Table'!$N349 + 'LCFS Table'!$AH349</f>
        <v>47.375</v>
      </c>
      <c r="T349" s="185">
        <f>'LCFS Table'!$Q349+'LCFS Table'!$AH349</f>
        <v>55.375</v>
      </c>
      <c r="U349" s="185">
        <f>'LCFS Table'!$P349+'LCFS Table'!$AH349</f>
        <v>55.125</v>
      </c>
      <c r="V349" s="185">
        <f>(('LCFS Table'!$S349/'LCFS Table'!$AA349)*'LCFS Table'!$AC349)*6.48</f>
        <v>163.29255319148939</v>
      </c>
      <c r="W349" s="185">
        <f>(('LCFS Table'!$O349/'LCFS Table'!$AA349)*'LCFS Table'!$AD349)*6.48</f>
        <v>66.781914893617028</v>
      </c>
      <c r="X349" s="185">
        <f>(('LCFS Table'!$U349/'LCFS Table'!$AA349)*'LCFS Table'!$AE349)*6.48</f>
        <v>95.002659574468098</v>
      </c>
      <c r="Y349" s="185">
        <f>(('LCFS Table'!$T349/'LCFS Table'!$AB349)*'LCFS Table'!$AF349)*7.35</f>
        <v>317.9736328125</v>
      </c>
      <c r="Z349" s="185">
        <f>(('LCFS Table'!$R349/'LCFS Table'!$AB349)*'LCFS Table'!$AG349)*7.35</f>
        <v>67.470703125</v>
      </c>
      <c r="AA349" s="138">
        <v>0.94</v>
      </c>
      <c r="AB349" s="138">
        <v>0.96</v>
      </c>
      <c r="AC349" s="138">
        <v>0.5</v>
      </c>
      <c r="AD349" s="138">
        <v>0.25</v>
      </c>
      <c r="AE349" s="138">
        <v>0.25</v>
      </c>
      <c r="AF349" s="138">
        <v>0.75</v>
      </c>
      <c r="AG349" s="138">
        <v>0.25</v>
      </c>
      <c r="AH349" s="139">
        <v>4.375</v>
      </c>
      <c r="AI349" s="139">
        <v>136</v>
      </c>
      <c r="AJ349" s="139">
        <v>110</v>
      </c>
      <c r="AK349" s="186">
        <f>('LCFS Table'!$AI349/340)*100</f>
        <v>40</v>
      </c>
      <c r="AL349" s="186">
        <f>('LCFS Table'!$AJ349/340)*100</f>
        <v>32.352941176470587</v>
      </c>
      <c r="AM349" s="139">
        <v>105</v>
      </c>
      <c r="AN349" s="139">
        <v>90</v>
      </c>
      <c r="AO349" s="139">
        <f>('LCFS Table'!$AM349/300)*100</f>
        <v>35</v>
      </c>
      <c r="AP349" s="139">
        <f>('LCFS Table'!$AN349/300)*100</f>
        <v>30</v>
      </c>
      <c r="AQ349" s="189">
        <f>[3]Sheet1!$K300</f>
        <v>82.100909891718544</v>
      </c>
      <c r="AR349" s="189">
        <f>[3]Sheet1!$J300/100</f>
        <v>0.88980306976034484</v>
      </c>
      <c r="AS349" s="185">
        <f>((('[2]Controls 2'!$B$2-SUM(('[2]Controls 2'!$B$5*'LCFS Table'!$AC349),('[2]Controls 2'!$B$6*'LCFS Table'!$AD349),('[2]Controls 2'!$B$7*'LCFS Table'!$AE349)))/1000000)*'LCFS Table'!$AQ349)*'[2]Controls 2'!$B$8</f>
        <v>0.65572358492584115</v>
      </c>
      <c r="AT349" s="137">
        <v>0.16</v>
      </c>
      <c r="AU349" s="137">
        <v>0</v>
      </c>
      <c r="AV349" s="185">
        <f>'LCFS Table'!$AR349*1.7</f>
        <v>1.5126652185925862</v>
      </c>
      <c r="AW349" s="137">
        <v>11</v>
      </c>
      <c r="AX349" s="185">
        <f>(((('[2]Controls 2'!$B$2-SUM(('LCFS Table'!$AF349*'[2]Controls 2'!$B$12),('LCFS Table'!$AG349*'[2]Controls 2'!$B$13)))/1000000)*'LCFS Table'!$AQ349)*'[2]Controls 2'!$B$14)</f>
        <v>0.4324668815208807</v>
      </c>
      <c r="AY349" s="137">
        <v>0</v>
      </c>
      <c r="AZ349" s="141">
        <v>0</v>
      </c>
      <c r="BA349" s="185">
        <f>'LCFS Table'!$AR349*1.5</f>
        <v>1.3347046046405173</v>
      </c>
      <c r="BB349" s="142">
        <v>12.2</v>
      </c>
      <c r="BC349" s="185">
        <f>'LCFS Table'!$AS349*'LCFS Table'!$BW349</f>
        <v>0.65572358492584115</v>
      </c>
      <c r="BD349" s="185">
        <f>'LCFS Table'!$AT349*'LCFS Table'!$BX349</f>
        <v>0</v>
      </c>
      <c r="BE349" s="185">
        <f>'LCFS Table'!$AU349*'LCFS Table'!$BY349</f>
        <v>0</v>
      </c>
      <c r="BF349" s="137">
        <f>'LCFS Table'!$AV349*'LCFS Table'!$BZ349</f>
        <v>1.5126652185925862</v>
      </c>
      <c r="BG349" s="137">
        <f>'LCFS Table'!$AW349*'LCFS Table'!$CA349</f>
        <v>-11</v>
      </c>
      <c r="BH349" s="137">
        <f>'LCFS Table'!$AX349*'LCFS Table'!$CB349</f>
        <v>0.4324668815208807</v>
      </c>
      <c r="BI349" s="137">
        <f>'LCFS Table'!$AY349*'LCFS Table'!$CC349</f>
        <v>0</v>
      </c>
      <c r="BJ349" s="137">
        <f>'LCFS Table'!$AZ349*'LCFS Table'!$CD349</f>
        <v>0</v>
      </c>
      <c r="BK349" s="137">
        <f>'LCFS Table'!$BA349*'LCFS Table'!$CE349</f>
        <v>1.3347046046405173</v>
      </c>
      <c r="BL349" s="137">
        <f>'LCFS Table'!$BB349*'LCFS Table'!$CF349</f>
        <v>-12.2</v>
      </c>
      <c r="BM349" s="137">
        <f>'LCFS Table'!$AS349*'LCFS Table'!$CG349</f>
        <v>0</v>
      </c>
      <c r="BN349" s="137">
        <f>'LCFS Table'!$AT349*'LCFS Table'!$CH349</f>
        <v>0.16</v>
      </c>
      <c r="BO349" s="137">
        <f>'LCFS Table'!$AU349*'LCFS Table'!$CI349</f>
        <v>0</v>
      </c>
      <c r="BP349" s="137">
        <f>'LCFS Table'!$AV349*'LCFS Table'!$CJ349</f>
        <v>0</v>
      </c>
      <c r="BQ349" s="137">
        <f>'LCFS Table'!$AW349*'LCFS Table'!$CK349</f>
        <v>11</v>
      </c>
      <c r="BR349" s="137">
        <f>'LCFS Table'!$AX349*'LCFS Table'!$CL349</f>
        <v>0</v>
      </c>
      <c r="BS349" s="137">
        <f>'LCFS Table'!$AY349*'LCFS Table'!$CM349</f>
        <v>0</v>
      </c>
      <c r="BT349" s="137">
        <f>'LCFS Table'!$AZ349*'LCFS Table'!$CN349</f>
        <v>0</v>
      </c>
      <c r="BU349" s="137">
        <f>'LCFS Table'!$BA349*'LCFS Table'!$CO349</f>
        <v>0</v>
      </c>
      <c r="BV349" s="142">
        <f>'LCFS Table'!$BB349*'LCFS Table'!$CP349</f>
        <v>12.2</v>
      </c>
      <c r="BW349" s="138">
        <v>1</v>
      </c>
      <c r="BX349" s="138">
        <v>0</v>
      </c>
      <c r="BY349" s="138">
        <v>1</v>
      </c>
      <c r="BZ349" s="138">
        <v>1</v>
      </c>
      <c r="CA349" s="138">
        <v>-1</v>
      </c>
      <c r="CB349" s="138">
        <v>1</v>
      </c>
      <c r="CC349" s="138">
        <v>0</v>
      </c>
      <c r="CD349" s="138">
        <v>1</v>
      </c>
      <c r="CE349" s="138">
        <v>1</v>
      </c>
      <c r="CF349" s="138">
        <v>-1</v>
      </c>
      <c r="CG349" s="138">
        <f>1-'LCFS Table'!$BW349</f>
        <v>0</v>
      </c>
      <c r="CH349" s="138">
        <f>1-'LCFS Table'!$BX349</f>
        <v>1</v>
      </c>
      <c r="CI349" s="138">
        <f>1-'LCFS Table'!$BY349</f>
        <v>0</v>
      </c>
      <c r="CJ349" s="138">
        <f>1-'LCFS Table'!$BZ349</f>
        <v>0</v>
      </c>
      <c r="CK349" s="138">
        <f>-'LCFS Table'!$CA349</f>
        <v>1</v>
      </c>
      <c r="CL349" s="138">
        <f>1-'LCFS Table'!$CB349</f>
        <v>0</v>
      </c>
      <c r="CM349" s="138">
        <f>1-'LCFS Table'!$CC349</f>
        <v>1</v>
      </c>
      <c r="CN349" s="138">
        <f>1-'LCFS Table'!$CD349</f>
        <v>0</v>
      </c>
      <c r="CO349" s="138">
        <f>1-'LCFS Table'!$CE349</f>
        <v>0</v>
      </c>
      <c r="CP349" s="138">
        <f>-'LCFS Table'!$CF349</f>
        <v>1</v>
      </c>
      <c r="CQ349" s="140">
        <f t="shared" si="8"/>
        <v>8</v>
      </c>
      <c r="CR349" s="165">
        <f>('LCFS Table'!$CQ349*0.9/(0.8/0.99)/100)</f>
        <v>8.9099999999999985E-2</v>
      </c>
      <c r="CS349" s="166"/>
      <c r="CT349" s="167"/>
      <c r="CW349" s="168">
        <f>'LCFS Table'!$K349-'LCFS Table'!$M349</f>
        <v>0.69717148616139601</v>
      </c>
      <c r="CX349" s="129">
        <f>MONTH('LCFS Table'!$B349)</f>
        <v>8</v>
      </c>
      <c r="CY349" s="129">
        <f>YEAR('LCFS Table'!$B349)</f>
        <v>2025</v>
      </c>
      <c r="DC349" s="129">
        <v>0.4</v>
      </c>
      <c r="DD349" s="129">
        <v>0.4</v>
      </c>
      <c r="DE349" s="129">
        <v>0.6</v>
      </c>
      <c r="DF349" s="129">
        <v>0.6</v>
      </c>
      <c r="DG349" s="129">
        <v>0.2</v>
      </c>
    </row>
    <row r="350" spans="1:111">
      <c r="A350" s="212">
        <v>45893</v>
      </c>
      <c r="B350" s="213">
        <v>45899</v>
      </c>
      <c r="C350" s="132">
        <f t="shared" si="7"/>
        <v>2025</v>
      </c>
      <c r="D350" s="150" t="s">
        <v>291</v>
      </c>
      <c r="E350" s="187">
        <f>'LCFS Table'!$K350-'LCFS Table'!$I350</f>
        <v>-1.6506006883604507</v>
      </c>
      <c r="F350" s="187">
        <f>('LCFS Table'!$M350)-'LCFS Table'!$J350</f>
        <v>-2.8779148455363961</v>
      </c>
      <c r="G350" s="214">
        <f>'LCFS Table'!$E350+'LCFS Table'!$AS350+'LCFS Table'!$AT350+'LCFS Table'!$AU350+'LCFS Table'!$AV350+(DE350*'LCFS Table'!$AD350)+(DD350*'LCFS Table'!$AE350)+(DC350*'LCFS Table'!$AC350)</f>
        <v>1.1277881151579767</v>
      </c>
      <c r="H350" s="214">
        <f>'LCFS Table'!$F350+'LCFS Table'!$AX350+'LCFS Table'!$AY350+'LCFS Table'!$AZ350+'LCFS Table'!$BA350+('LCFS Table'!$CQ350*0.9/(0.8/0.99)/100)+(DG350*'LCFS Table'!$AF350)+(DF350*'LCFS Table'!$AG350)</f>
        <v>-0.72164335937499824</v>
      </c>
      <c r="I350" s="187">
        <f>('LCFS Table'!$V350+'LCFS Table'!$W350+'LCFS Table'!$X350)/100+(('LCFS Table'!$AI350+'LCFS Table'!$AJ350)/340)</f>
        <v>3.9743006883604508</v>
      </c>
      <c r="J350" s="187">
        <f>(('LCFS Table'!$Y350+'LCFS Table'!$Z350)/100)+(('LCFS Table'!$AM350+'LCFS Table'!$AN350)/300)</f>
        <v>4.5044433593750002</v>
      </c>
      <c r="K350" s="215">
        <f>[4]Forecasts!$C$69</f>
        <v>2.3237000000000001</v>
      </c>
      <c r="L350" s="215">
        <f>[4]Forecasts!$B$69</f>
        <v>439.37000000000018</v>
      </c>
      <c r="M350" s="185">
        <f>('LCFS Table'!$L350/100)-'LCFS Table'!$AX350-'LCFS Table'!$AY350-'LCFS Table'!$AZ350-'LCFS Table'!$BA350-1</f>
        <v>1.6265285138386041</v>
      </c>
      <c r="N350" s="215">
        <f>[3]Sheet1!$F301</f>
        <v>43</v>
      </c>
      <c r="O350" s="215">
        <f>[3]Sheet1!$C301</f>
        <v>38.75</v>
      </c>
      <c r="P350" s="215">
        <f>[3]Sheet1!$G301</f>
        <v>50.75</v>
      </c>
      <c r="Q350" s="215">
        <f>[3]Sheet1!$H301</f>
        <v>51</v>
      </c>
      <c r="R350" s="215">
        <f>[3]Sheet1!$B301</f>
        <v>35.25</v>
      </c>
      <c r="S350" s="185">
        <f>'LCFS Table'!$N350 + 'LCFS Table'!$AH350</f>
        <v>47.375</v>
      </c>
      <c r="T350" s="185">
        <f>'LCFS Table'!$Q350+'LCFS Table'!$AH350</f>
        <v>55.375</v>
      </c>
      <c r="U350" s="185">
        <f>'LCFS Table'!$P350+'LCFS Table'!$AH350</f>
        <v>55.125</v>
      </c>
      <c r="V350" s="185">
        <f>(('LCFS Table'!$S350/'LCFS Table'!$AA350)*'LCFS Table'!$AC350)*6.48</f>
        <v>163.29255319148939</v>
      </c>
      <c r="W350" s="185">
        <f>(('LCFS Table'!$O350/'LCFS Table'!$AA350)*'LCFS Table'!$AD350)*6.48</f>
        <v>66.781914893617028</v>
      </c>
      <c r="X350" s="185">
        <f>(('LCFS Table'!$U350/'LCFS Table'!$AA350)*'LCFS Table'!$AE350)*6.48</f>
        <v>95.002659574468098</v>
      </c>
      <c r="Y350" s="185">
        <f>(('LCFS Table'!$T350/'LCFS Table'!$AB350)*'LCFS Table'!$AF350)*7.35</f>
        <v>317.9736328125</v>
      </c>
      <c r="Z350" s="185">
        <f>(('LCFS Table'!$R350/'LCFS Table'!$AB350)*'LCFS Table'!$AG350)*7.35</f>
        <v>67.470703125</v>
      </c>
      <c r="AA350" s="138">
        <v>0.94</v>
      </c>
      <c r="AB350" s="138">
        <v>0.96</v>
      </c>
      <c r="AC350" s="138">
        <v>0.5</v>
      </c>
      <c r="AD350" s="138">
        <v>0.25</v>
      </c>
      <c r="AE350" s="138">
        <v>0.25</v>
      </c>
      <c r="AF350" s="138">
        <v>0.75</v>
      </c>
      <c r="AG350" s="138">
        <v>0.25</v>
      </c>
      <c r="AH350" s="139">
        <v>4.375</v>
      </c>
      <c r="AI350" s="139">
        <v>136</v>
      </c>
      <c r="AJ350" s="139">
        <v>110</v>
      </c>
      <c r="AK350" s="186">
        <f>('LCFS Table'!$AI350/340)*100</f>
        <v>40</v>
      </c>
      <c r="AL350" s="186">
        <f>('LCFS Table'!$AJ350/340)*100</f>
        <v>32.352941176470587</v>
      </c>
      <c r="AM350" s="139">
        <v>105</v>
      </c>
      <c r="AN350" s="139">
        <v>90</v>
      </c>
      <c r="AO350" s="139">
        <f>('LCFS Table'!$AM350/300)*100</f>
        <v>35</v>
      </c>
      <c r="AP350" s="139">
        <f>('LCFS Table'!$AN350/300)*100</f>
        <v>30</v>
      </c>
      <c r="AQ350" s="189">
        <f>[3]Sheet1!$K301</f>
        <v>82.100909891718544</v>
      </c>
      <c r="AR350" s="189">
        <f>[3]Sheet1!$J301/100</f>
        <v>0.88980306976034484</v>
      </c>
      <c r="AS350" s="185">
        <f>((('[2]Controls 2'!$B$2-SUM(('[2]Controls 2'!$B$5*'LCFS Table'!$AC350),('[2]Controls 2'!$B$6*'LCFS Table'!$AD350),('[2]Controls 2'!$B$7*'LCFS Table'!$AE350)))/1000000)*'LCFS Table'!$AQ350)*'[2]Controls 2'!$B$8</f>
        <v>0.65572358492584115</v>
      </c>
      <c r="AT350" s="137">
        <v>0.16</v>
      </c>
      <c r="AU350" s="137">
        <v>0</v>
      </c>
      <c r="AV350" s="185">
        <f>'LCFS Table'!$AR350*1.7</f>
        <v>1.5126652185925862</v>
      </c>
      <c r="AW350" s="137">
        <v>12</v>
      </c>
      <c r="AX350" s="185">
        <f>(((('[2]Controls 2'!$B$2-SUM(('LCFS Table'!$AF350*'[2]Controls 2'!$B$12),('LCFS Table'!$AG350*'[2]Controls 2'!$B$13)))/1000000)*'LCFS Table'!$AQ350)*'[2]Controls 2'!$B$14)</f>
        <v>0.4324668815208807</v>
      </c>
      <c r="AY350" s="137">
        <v>0</v>
      </c>
      <c r="AZ350" s="141">
        <v>0</v>
      </c>
      <c r="BA350" s="185">
        <f>'LCFS Table'!$AR350*1.5</f>
        <v>1.3347046046405173</v>
      </c>
      <c r="BB350" s="142">
        <v>13.2</v>
      </c>
      <c r="BC350" s="185">
        <f>'LCFS Table'!$AS350*'LCFS Table'!$BW350</f>
        <v>0.65572358492584115</v>
      </c>
      <c r="BD350" s="185">
        <f>'LCFS Table'!$AT350*'LCFS Table'!$BX350</f>
        <v>0</v>
      </c>
      <c r="BE350" s="185">
        <f>'LCFS Table'!$AU350*'LCFS Table'!$BY350</f>
        <v>0</v>
      </c>
      <c r="BF350" s="137">
        <f>'LCFS Table'!$AV350*'LCFS Table'!$BZ350</f>
        <v>1.5126652185925862</v>
      </c>
      <c r="BG350" s="137">
        <f>'LCFS Table'!$AW350*'LCFS Table'!$CA350</f>
        <v>-12</v>
      </c>
      <c r="BH350" s="137">
        <f>'LCFS Table'!$AX350*'LCFS Table'!$CB350</f>
        <v>0.4324668815208807</v>
      </c>
      <c r="BI350" s="137">
        <f>'LCFS Table'!$AY350*'LCFS Table'!$CC350</f>
        <v>0</v>
      </c>
      <c r="BJ350" s="137">
        <f>'LCFS Table'!$AZ350*'LCFS Table'!$CD350</f>
        <v>0</v>
      </c>
      <c r="BK350" s="137">
        <f>'LCFS Table'!$BA350*'LCFS Table'!$CE350</f>
        <v>1.3347046046405173</v>
      </c>
      <c r="BL350" s="137">
        <f>'LCFS Table'!$BB350*'LCFS Table'!$CF350</f>
        <v>-13.2</v>
      </c>
      <c r="BM350" s="137">
        <f>'LCFS Table'!$AS350*'LCFS Table'!$CG350</f>
        <v>0</v>
      </c>
      <c r="BN350" s="137">
        <f>'LCFS Table'!$AT350*'LCFS Table'!$CH350</f>
        <v>0.16</v>
      </c>
      <c r="BO350" s="137">
        <f>'LCFS Table'!$AU350*'LCFS Table'!$CI350</f>
        <v>0</v>
      </c>
      <c r="BP350" s="137">
        <f>'LCFS Table'!$AV350*'LCFS Table'!$CJ350</f>
        <v>0</v>
      </c>
      <c r="BQ350" s="137">
        <f>'LCFS Table'!$AW350*'LCFS Table'!$CK350</f>
        <v>12</v>
      </c>
      <c r="BR350" s="137">
        <f>'LCFS Table'!$AX350*'LCFS Table'!$CL350</f>
        <v>0</v>
      </c>
      <c r="BS350" s="137">
        <f>'LCFS Table'!$AY350*'LCFS Table'!$CM350</f>
        <v>0</v>
      </c>
      <c r="BT350" s="137">
        <f>'LCFS Table'!$AZ350*'LCFS Table'!$CN350</f>
        <v>0</v>
      </c>
      <c r="BU350" s="137">
        <f>'LCFS Table'!$BA350*'LCFS Table'!$CO350</f>
        <v>0</v>
      </c>
      <c r="BV350" s="142">
        <f>'LCFS Table'!$BB350*'LCFS Table'!$CP350</f>
        <v>13.2</v>
      </c>
      <c r="BW350" s="138">
        <v>1</v>
      </c>
      <c r="BX350" s="138">
        <v>0</v>
      </c>
      <c r="BY350" s="138">
        <v>1</v>
      </c>
      <c r="BZ350" s="138">
        <v>1</v>
      </c>
      <c r="CA350" s="138">
        <v>-1</v>
      </c>
      <c r="CB350" s="138">
        <v>1</v>
      </c>
      <c r="CC350" s="138">
        <v>0</v>
      </c>
      <c r="CD350" s="138">
        <v>1</v>
      </c>
      <c r="CE350" s="138">
        <v>1</v>
      </c>
      <c r="CF350" s="138">
        <v>-1</v>
      </c>
      <c r="CG350" s="138">
        <f>1-'LCFS Table'!$BW350</f>
        <v>0</v>
      </c>
      <c r="CH350" s="138">
        <f>1-'LCFS Table'!$BX350</f>
        <v>1</v>
      </c>
      <c r="CI350" s="138">
        <f>1-'LCFS Table'!$BY350</f>
        <v>0</v>
      </c>
      <c r="CJ350" s="138">
        <f>1-'LCFS Table'!$BZ350</f>
        <v>0</v>
      </c>
      <c r="CK350" s="138">
        <f>-'LCFS Table'!$CA350</f>
        <v>1</v>
      </c>
      <c r="CL350" s="138">
        <f>1-'LCFS Table'!$CB350</f>
        <v>0</v>
      </c>
      <c r="CM350" s="138">
        <f>1-'LCFS Table'!$CC350</f>
        <v>1</v>
      </c>
      <c r="CN350" s="138">
        <f>1-'LCFS Table'!$CD350</f>
        <v>0</v>
      </c>
      <c r="CO350" s="138">
        <f>1-'LCFS Table'!$CE350</f>
        <v>0</v>
      </c>
      <c r="CP350" s="138">
        <f>-'LCFS Table'!$CF350</f>
        <v>1</v>
      </c>
      <c r="CQ350" s="140">
        <f t="shared" si="8"/>
        <v>8</v>
      </c>
      <c r="CR350" s="165">
        <f>('LCFS Table'!$CQ350*0.9/(0.8/0.99)/100)</f>
        <v>8.9099999999999985E-2</v>
      </c>
      <c r="CS350" s="166"/>
      <c r="CT350" s="167"/>
      <c r="CW350" s="168">
        <f>'LCFS Table'!$K350-'LCFS Table'!$M350</f>
        <v>0.69717148616139601</v>
      </c>
      <c r="CX350" s="129">
        <f>MONTH('LCFS Table'!$B350)</f>
        <v>8</v>
      </c>
      <c r="CY350" s="129">
        <f>YEAR('LCFS Table'!$B350)</f>
        <v>2025</v>
      </c>
      <c r="DC350" s="129">
        <v>0.4</v>
      </c>
      <c r="DD350" s="129">
        <v>0.4</v>
      </c>
      <c r="DE350" s="129">
        <v>0.6</v>
      </c>
      <c r="DF350" s="129">
        <v>0.6</v>
      </c>
      <c r="DG350" s="129">
        <v>0.2</v>
      </c>
    </row>
    <row r="351" spans="1:111">
      <c r="A351" s="212">
        <v>45900</v>
      </c>
      <c r="B351" s="213">
        <v>45906</v>
      </c>
      <c r="C351" s="132">
        <f t="shared" si="7"/>
        <v>2025</v>
      </c>
      <c r="D351" s="150" t="s">
        <v>292</v>
      </c>
      <c r="E351" s="187">
        <f>'LCFS Table'!$K351-'LCFS Table'!$I351</f>
        <v>-1.6506006883604507</v>
      </c>
      <c r="F351" s="187">
        <f>('LCFS Table'!$M351)-'LCFS Table'!$J351</f>
        <v>-3.0166148455363961</v>
      </c>
      <c r="G351" s="214">
        <f>'LCFS Table'!$E351+'LCFS Table'!$AS351+'LCFS Table'!$AT351+'LCFS Table'!$AU351+'LCFS Table'!$AV351+(DE351*'LCFS Table'!$AD351)+(DD351*'LCFS Table'!$AE351)+(DC351*'LCFS Table'!$AC351)</f>
        <v>1.1277881151579767</v>
      </c>
      <c r="H351" s="214">
        <f>'LCFS Table'!$F351+'LCFS Table'!$AX351+'LCFS Table'!$AY351+'LCFS Table'!$AZ351+'LCFS Table'!$BA351+('LCFS Table'!$CQ351*0.9/(0.8/0.99)/100)+(DG351*'LCFS Table'!$AF351)+(DF351*'LCFS Table'!$AG351)</f>
        <v>-0.8603433593749984</v>
      </c>
      <c r="I351" s="187">
        <f>('LCFS Table'!$V351+'LCFS Table'!$W351+'LCFS Table'!$X351)/100+(('LCFS Table'!$AI351+'LCFS Table'!$AJ351)/340)</f>
        <v>3.9743006883604508</v>
      </c>
      <c r="J351" s="187">
        <f>(('LCFS Table'!$Y351+'LCFS Table'!$Z351)/100)+(('LCFS Table'!$AM351+'LCFS Table'!$AN351)/300)</f>
        <v>4.5044433593750002</v>
      </c>
      <c r="K351" s="215">
        <f>[4]Forecasts!$C$69</f>
        <v>2.3237000000000001</v>
      </c>
      <c r="L351" s="215">
        <f>[4]Forecasts!$B$70</f>
        <v>425.50000000000017</v>
      </c>
      <c r="M351" s="185">
        <f>('LCFS Table'!$L351/100)-'LCFS Table'!$AX351-'LCFS Table'!$AY351-'LCFS Table'!$AZ351-'LCFS Table'!$BA351-1</f>
        <v>1.487828513838604</v>
      </c>
      <c r="N351" s="215">
        <f>[3]Sheet1!$F302</f>
        <v>43</v>
      </c>
      <c r="O351" s="215">
        <f>[3]Sheet1!$C302</f>
        <v>38.75</v>
      </c>
      <c r="P351" s="215">
        <f>[3]Sheet1!$G302</f>
        <v>50.75</v>
      </c>
      <c r="Q351" s="215">
        <f>[3]Sheet1!$H302</f>
        <v>51</v>
      </c>
      <c r="R351" s="215">
        <f>[3]Sheet1!$B302</f>
        <v>35.25</v>
      </c>
      <c r="S351" s="185">
        <f>'LCFS Table'!$N351 + 'LCFS Table'!$AH351</f>
        <v>47.375</v>
      </c>
      <c r="T351" s="185">
        <f>'LCFS Table'!$Q351+'LCFS Table'!$AH351</f>
        <v>55.375</v>
      </c>
      <c r="U351" s="185">
        <f>'LCFS Table'!$P351+'LCFS Table'!$AH351</f>
        <v>55.125</v>
      </c>
      <c r="V351" s="185">
        <f>(('LCFS Table'!$S351/'LCFS Table'!$AA351)*'LCFS Table'!$AC351)*6.48</f>
        <v>163.29255319148939</v>
      </c>
      <c r="W351" s="185">
        <f>(('LCFS Table'!$O351/'LCFS Table'!$AA351)*'LCFS Table'!$AD351)*6.48</f>
        <v>66.781914893617028</v>
      </c>
      <c r="X351" s="185">
        <f>(('LCFS Table'!$U351/'LCFS Table'!$AA351)*'LCFS Table'!$AE351)*6.48</f>
        <v>95.002659574468098</v>
      </c>
      <c r="Y351" s="185">
        <f>(('LCFS Table'!$T351/'LCFS Table'!$AB351)*'LCFS Table'!$AF351)*7.35</f>
        <v>317.9736328125</v>
      </c>
      <c r="Z351" s="185">
        <f>(('LCFS Table'!$R351/'LCFS Table'!$AB351)*'LCFS Table'!$AG351)*7.35</f>
        <v>67.470703125</v>
      </c>
      <c r="AA351" s="138">
        <v>0.94</v>
      </c>
      <c r="AB351" s="138">
        <v>0.96</v>
      </c>
      <c r="AC351" s="138">
        <v>0.5</v>
      </c>
      <c r="AD351" s="138">
        <v>0.25</v>
      </c>
      <c r="AE351" s="138">
        <v>0.25</v>
      </c>
      <c r="AF351" s="138">
        <v>0.75</v>
      </c>
      <c r="AG351" s="138">
        <v>0.25</v>
      </c>
      <c r="AH351" s="139">
        <v>4.375</v>
      </c>
      <c r="AI351" s="139">
        <v>136</v>
      </c>
      <c r="AJ351" s="139">
        <v>110</v>
      </c>
      <c r="AK351" s="186">
        <f>('LCFS Table'!$AI351/340)*100</f>
        <v>40</v>
      </c>
      <c r="AL351" s="186">
        <f>('LCFS Table'!$AJ351/340)*100</f>
        <v>32.352941176470587</v>
      </c>
      <c r="AM351" s="139">
        <v>105</v>
      </c>
      <c r="AN351" s="139">
        <v>90</v>
      </c>
      <c r="AO351" s="139">
        <f>('LCFS Table'!$AM351/300)*100</f>
        <v>35</v>
      </c>
      <c r="AP351" s="139">
        <f>('LCFS Table'!$AN351/300)*100</f>
        <v>30</v>
      </c>
      <c r="AQ351" s="189">
        <f>[3]Sheet1!$K302</f>
        <v>82.100909891718544</v>
      </c>
      <c r="AR351" s="189">
        <f>[3]Sheet1!$J302/100</f>
        <v>0.88980306976034484</v>
      </c>
      <c r="AS351" s="185">
        <f>((('[2]Controls 2'!$B$2-SUM(('[2]Controls 2'!$B$5*'LCFS Table'!$AC351),('[2]Controls 2'!$B$6*'LCFS Table'!$AD351),('[2]Controls 2'!$B$7*'LCFS Table'!$AE351)))/1000000)*'LCFS Table'!$AQ351)*'[2]Controls 2'!$B$8</f>
        <v>0.65572358492584115</v>
      </c>
      <c r="AT351" s="137">
        <v>0.16</v>
      </c>
      <c r="AU351" s="137">
        <v>0</v>
      </c>
      <c r="AV351" s="185">
        <f>'LCFS Table'!$AR351*1.7</f>
        <v>1.5126652185925862</v>
      </c>
      <c r="AW351" s="137">
        <v>13</v>
      </c>
      <c r="AX351" s="185">
        <f>(((('[2]Controls 2'!$B$2-SUM(('LCFS Table'!$AF351*'[2]Controls 2'!$B$12),('LCFS Table'!$AG351*'[2]Controls 2'!$B$13)))/1000000)*'LCFS Table'!$AQ351)*'[2]Controls 2'!$B$14)</f>
        <v>0.4324668815208807</v>
      </c>
      <c r="AY351" s="137">
        <v>0</v>
      </c>
      <c r="AZ351" s="141">
        <v>0</v>
      </c>
      <c r="BA351" s="185">
        <f>'LCFS Table'!$AR351*1.5</f>
        <v>1.3347046046405173</v>
      </c>
      <c r="BB351" s="142">
        <v>14.2</v>
      </c>
      <c r="BC351" s="185">
        <f>'LCFS Table'!$AS351*'LCFS Table'!$BW351</f>
        <v>0.65572358492584115</v>
      </c>
      <c r="BD351" s="185">
        <f>'LCFS Table'!$AT351*'LCFS Table'!$BX351</f>
        <v>0</v>
      </c>
      <c r="BE351" s="185">
        <f>'LCFS Table'!$AU351*'LCFS Table'!$BY351</f>
        <v>0</v>
      </c>
      <c r="BF351" s="137">
        <f>'LCFS Table'!$AV351*'LCFS Table'!$BZ351</f>
        <v>1.5126652185925862</v>
      </c>
      <c r="BG351" s="137">
        <f>'LCFS Table'!$AW351*'LCFS Table'!$CA351</f>
        <v>-13</v>
      </c>
      <c r="BH351" s="137">
        <f>'LCFS Table'!$AX351*'LCFS Table'!$CB351</f>
        <v>0.4324668815208807</v>
      </c>
      <c r="BI351" s="137">
        <f>'LCFS Table'!$AY351*'LCFS Table'!$CC351</f>
        <v>0</v>
      </c>
      <c r="BJ351" s="137">
        <f>'LCFS Table'!$AZ351*'LCFS Table'!$CD351</f>
        <v>0</v>
      </c>
      <c r="BK351" s="137">
        <f>'LCFS Table'!$BA351*'LCFS Table'!$CE351</f>
        <v>1.3347046046405173</v>
      </c>
      <c r="BL351" s="137">
        <f>'LCFS Table'!$BB351*'LCFS Table'!$CF351</f>
        <v>-14.2</v>
      </c>
      <c r="BM351" s="137">
        <f>'LCFS Table'!$AS351*'LCFS Table'!$CG351</f>
        <v>0</v>
      </c>
      <c r="BN351" s="137">
        <f>'LCFS Table'!$AT351*'LCFS Table'!$CH351</f>
        <v>0.16</v>
      </c>
      <c r="BO351" s="137">
        <f>'LCFS Table'!$AU351*'LCFS Table'!$CI351</f>
        <v>0</v>
      </c>
      <c r="BP351" s="137">
        <f>'LCFS Table'!$AV351*'LCFS Table'!$CJ351</f>
        <v>0</v>
      </c>
      <c r="BQ351" s="137">
        <f>'LCFS Table'!$AW351*'LCFS Table'!$CK351</f>
        <v>13</v>
      </c>
      <c r="BR351" s="137">
        <f>'LCFS Table'!$AX351*'LCFS Table'!$CL351</f>
        <v>0</v>
      </c>
      <c r="BS351" s="137">
        <f>'LCFS Table'!$AY351*'LCFS Table'!$CM351</f>
        <v>0</v>
      </c>
      <c r="BT351" s="137">
        <f>'LCFS Table'!$AZ351*'LCFS Table'!$CN351</f>
        <v>0</v>
      </c>
      <c r="BU351" s="137">
        <f>'LCFS Table'!$BA351*'LCFS Table'!$CO351</f>
        <v>0</v>
      </c>
      <c r="BV351" s="142">
        <f>'LCFS Table'!$BB351*'LCFS Table'!$CP351</f>
        <v>14.2</v>
      </c>
      <c r="BW351" s="138">
        <v>1</v>
      </c>
      <c r="BX351" s="138">
        <v>0</v>
      </c>
      <c r="BY351" s="138">
        <v>1</v>
      </c>
      <c r="BZ351" s="138">
        <v>1</v>
      </c>
      <c r="CA351" s="138">
        <v>-1</v>
      </c>
      <c r="CB351" s="138">
        <v>1</v>
      </c>
      <c r="CC351" s="138">
        <v>0</v>
      </c>
      <c r="CD351" s="138">
        <v>1</v>
      </c>
      <c r="CE351" s="138">
        <v>1</v>
      </c>
      <c r="CF351" s="138">
        <v>-1</v>
      </c>
      <c r="CG351" s="138">
        <f>1-'LCFS Table'!$BW351</f>
        <v>0</v>
      </c>
      <c r="CH351" s="138">
        <f>1-'LCFS Table'!$BX351</f>
        <v>1</v>
      </c>
      <c r="CI351" s="138">
        <f>1-'LCFS Table'!$BY351</f>
        <v>0</v>
      </c>
      <c r="CJ351" s="138">
        <f>1-'LCFS Table'!$BZ351</f>
        <v>0</v>
      </c>
      <c r="CK351" s="138">
        <f>-'LCFS Table'!$CA351</f>
        <v>1</v>
      </c>
      <c r="CL351" s="138">
        <f>1-'LCFS Table'!$CB351</f>
        <v>0</v>
      </c>
      <c r="CM351" s="138">
        <f>1-'LCFS Table'!$CC351</f>
        <v>1</v>
      </c>
      <c r="CN351" s="138">
        <f>1-'LCFS Table'!$CD351</f>
        <v>0</v>
      </c>
      <c r="CO351" s="138">
        <f>1-'LCFS Table'!$CE351</f>
        <v>0</v>
      </c>
      <c r="CP351" s="138">
        <f>-'LCFS Table'!$CF351</f>
        <v>1</v>
      </c>
      <c r="CQ351" s="140">
        <f t="shared" si="8"/>
        <v>8</v>
      </c>
      <c r="CR351" s="165">
        <f>('LCFS Table'!$CQ351*0.9/(0.8/0.99)/100)</f>
        <v>8.9099999999999985E-2</v>
      </c>
      <c r="CS351" s="166"/>
      <c r="CT351" s="167"/>
      <c r="CW351" s="168">
        <f>'LCFS Table'!$K351-'LCFS Table'!$M351</f>
        <v>0.83587148616139606</v>
      </c>
      <c r="CX351" s="129">
        <f>MONTH('LCFS Table'!$B351)</f>
        <v>9</v>
      </c>
      <c r="CY351" s="129">
        <f>YEAR('LCFS Table'!$B351)</f>
        <v>2025</v>
      </c>
      <c r="DC351" s="129">
        <v>0.4</v>
      </c>
      <c r="DD351" s="129">
        <v>0.4</v>
      </c>
      <c r="DE351" s="129">
        <v>0.6</v>
      </c>
      <c r="DF351" s="129">
        <v>0.6</v>
      </c>
      <c r="DG351" s="129">
        <v>0.2</v>
      </c>
    </row>
    <row r="352" spans="1:111">
      <c r="A352" s="212">
        <v>45907</v>
      </c>
      <c r="B352" s="213">
        <v>45913</v>
      </c>
      <c r="C352" s="132">
        <f t="shared" si="7"/>
        <v>2025</v>
      </c>
      <c r="D352" s="150" t="s">
        <v>293</v>
      </c>
      <c r="E352" s="187">
        <f>'LCFS Table'!$K352-'LCFS Table'!$I352</f>
        <v>-2.0743006883604509</v>
      </c>
      <c r="F352" s="187">
        <f>('LCFS Table'!$M352)-'LCFS Table'!$J352</f>
        <v>-2.931387838911407</v>
      </c>
      <c r="G352" s="214">
        <f>'LCFS Table'!$E352+'LCFS Table'!$AS352+'LCFS Table'!$AT352+'LCFS Table'!$AU352+'LCFS Table'!$AV352+(DE352*'LCFS Table'!$AD352)+(DD352*'LCFS Table'!$AE352)+(DC352*'LCFS Table'!$AC352)</f>
        <v>0.64545974723298838</v>
      </c>
      <c r="H352" s="214">
        <f>'LCFS Table'!$F352+'LCFS Table'!$AX352+'LCFS Table'!$AY352+'LCFS Table'!$AZ352+'LCFS Table'!$BA352+('LCFS Table'!$CQ352*0.9/(0.8/0.99)/100)+(DG352*'LCFS Table'!$AF352)+(DF352*'LCFS Table'!$AG352)</f>
        <v>-0.82684726562499855</v>
      </c>
      <c r="I352" s="187">
        <f>('LCFS Table'!$V352+'LCFS Table'!$W352+'LCFS Table'!$X352)/100+(('LCFS Table'!$AI352+'LCFS Table'!$AJ352)/340)</f>
        <v>4.3793006883604511</v>
      </c>
      <c r="J352" s="187">
        <f>(('LCFS Table'!$Y352+'LCFS Table'!$Z352)/100)+(('LCFS Table'!$AM352+'LCFS Table'!$AN352)/300)</f>
        <v>4.470947265625</v>
      </c>
      <c r="K352" s="215">
        <f>[4]Forecasts!$C$70</f>
        <v>2.3050000000000002</v>
      </c>
      <c r="L352" s="215">
        <f>[4]Forecasts!$B$70</f>
        <v>425.50000000000017</v>
      </c>
      <c r="M352" s="185">
        <f>('LCFS Table'!$L352/100)-'LCFS Table'!$AX352-'LCFS Table'!$AY352-'LCFS Table'!$AZ352-'LCFS Table'!$BA352-1</f>
        <v>1.539559426713593</v>
      </c>
      <c r="N352" s="215">
        <f>[3]Sheet1!$F303</f>
        <v>57</v>
      </c>
      <c r="O352" s="215">
        <f>[3]Sheet1!$C303</f>
        <v>39</v>
      </c>
      <c r="P352" s="215">
        <f>[3]Sheet1!$G303</f>
        <v>46</v>
      </c>
      <c r="Q352" s="215">
        <f>[3]Sheet1!$H303</f>
        <v>50</v>
      </c>
      <c r="R352" s="215">
        <f>[3]Sheet1!$B303</f>
        <v>36.5</v>
      </c>
      <c r="S352" s="185">
        <f>'LCFS Table'!$N352 + 'LCFS Table'!$AH352</f>
        <v>61.375</v>
      </c>
      <c r="T352" s="185">
        <f>'LCFS Table'!$Q352+'LCFS Table'!$AH352</f>
        <v>54.375</v>
      </c>
      <c r="U352" s="185">
        <f>'LCFS Table'!$P352+'LCFS Table'!$AH352</f>
        <v>50.375</v>
      </c>
      <c r="V352" s="185">
        <f>(('LCFS Table'!$S352/'LCFS Table'!$AA352)*'LCFS Table'!$AC352)*6.48</f>
        <v>211.54787234042556</v>
      </c>
      <c r="W352" s="185">
        <f>(('LCFS Table'!$O352/'LCFS Table'!$AA352)*'LCFS Table'!$AD352)*6.48</f>
        <v>67.21276595744682</v>
      </c>
      <c r="X352" s="185">
        <f>(('LCFS Table'!$U352/'LCFS Table'!$AA352)*'LCFS Table'!$AE352)*6.48</f>
        <v>86.816489361702139</v>
      </c>
      <c r="Y352" s="185">
        <f>(('LCFS Table'!$T352/'LCFS Table'!$AB352)*'LCFS Table'!$AF352)*7.35</f>
        <v>312.2314453125</v>
      </c>
      <c r="Z352" s="185">
        <f>(('LCFS Table'!$R352/'LCFS Table'!$AB352)*'LCFS Table'!$AG352)*7.35</f>
        <v>69.86328125</v>
      </c>
      <c r="AA352" s="138">
        <v>0.94</v>
      </c>
      <c r="AB352" s="138">
        <v>0.96</v>
      </c>
      <c r="AC352" s="138">
        <v>0.5</v>
      </c>
      <c r="AD352" s="138">
        <v>0.25</v>
      </c>
      <c r="AE352" s="138">
        <v>0.25</v>
      </c>
      <c r="AF352" s="138">
        <v>0.75</v>
      </c>
      <c r="AG352" s="138">
        <v>0.25</v>
      </c>
      <c r="AH352" s="139">
        <v>4.375</v>
      </c>
      <c r="AI352" s="139">
        <v>136</v>
      </c>
      <c r="AJ352" s="139">
        <v>110</v>
      </c>
      <c r="AK352" s="186">
        <f>('LCFS Table'!$AI352/340)*100</f>
        <v>40</v>
      </c>
      <c r="AL352" s="186">
        <f>('LCFS Table'!$AJ352/340)*100</f>
        <v>32.352941176470587</v>
      </c>
      <c r="AM352" s="139">
        <v>105</v>
      </c>
      <c r="AN352" s="139">
        <v>90</v>
      </c>
      <c r="AO352" s="139">
        <f>('LCFS Table'!$AM352/300)*100</f>
        <v>35</v>
      </c>
      <c r="AP352" s="139">
        <f>('LCFS Table'!$AN352/300)*100</f>
        <v>30</v>
      </c>
      <c r="AQ352" s="189">
        <f>[3]Sheet1!$K303</f>
        <v>82.100909891718544</v>
      </c>
      <c r="AR352" s="189">
        <f>[3]Sheet1!$J303/100</f>
        <v>0.85531579451035189</v>
      </c>
      <c r="AS352" s="185">
        <f>((('[2]Controls 2'!$B$2-SUM(('[2]Controls 2'!$B$5*'LCFS Table'!$AC352),('[2]Controls 2'!$B$6*'LCFS Table'!$AD352),('[2]Controls 2'!$B$7*'LCFS Table'!$AE352)))/1000000)*'LCFS Table'!$AQ352)*'[2]Controls 2'!$B$8</f>
        <v>0.65572358492584115</v>
      </c>
      <c r="AT352" s="137">
        <v>0.16</v>
      </c>
      <c r="AU352" s="137">
        <v>0</v>
      </c>
      <c r="AV352" s="185">
        <f>'LCFS Table'!$AR352*1.7</f>
        <v>1.4540368506675982</v>
      </c>
      <c r="AW352" s="137">
        <v>14</v>
      </c>
      <c r="AX352" s="185">
        <f>(((('[2]Controls 2'!$B$2-SUM(('LCFS Table'!$AF352*'[2]Controls 2'!$B$12),('LCFS Table'!$AG352*'[2]Controls 2'!$B$13)))/1000000)*'LCFS Table'!$AQ352)*'[2]Controls 2'!$B$14)</f>
        <v>0.4324668815208807</v>
      </c>
      <c r="AY352" s="137">
        <v>0</v>
      </c>
      <c r="AZ352" s="141">
        <v>0</v>
      </c>
      <c r="BA352" s="185">
        <f>'LCFS Table'!$AR352*1.5</f>
        <v>1.2829736917655279</v>
      </c>
      <c r="BB352" s="142">
        <v>15.2</v>
      </c>
      <c r="BC352" s="185">
        <f>'LCFS Table'!$AS352*'LCFS Table'!$BW352</f>
        <v>0.65572358492584115</v>
      </c>
      <c r="BD352" s="185">
        <f>'LCFS Table'!$AT352*'LCFS Table'!$BX352</f>
        <v>0</v>
      </c>
      <c r="BE352" s="185">
        <f>'LCFS Table'!$AU352*'LCFS Table'!$BY352</f>
        <v>0</v>
      </c>
      <c r="BF352" s="137">
        <f>'LCFS Table'!$AV352*'LCFS Table'!$BZ352</f>
        <v>1.4540368506675982</v>
      </c>
      <c r="BG352" s="137">
        <f>'LCFS Table'!$AW352*'LCFS Table'!$CA352</f>
        <v>-14</v>
      </c>
      <c r="BH352" s="137">
        <f>'LCFS Table'!$AX352*'LCFS Table'!$CB352</f>
        <v>0.4324668815208807</v>
      </c>
      <c r="BI352" s="137">
        <f>'LCFS Table'!$AY352*'LCFS Table'!$CC352</f>
        <v>0</v>
      </c>
      <c r="BJ352" s="137">
        <f>'LCFS Table'!$AZ352*'LCFS Table'!$CD352</f>
        <v>0</v>
      </c>
      <c r="BK352" s="137">
        <f>'LCFS Table'!$BA352*'LCFS Table'!$CE352</f>
        <v>1.2829736917655279</v>
      </c>
      <c r="BL352" s="137">
        <f>'LCFS Table'!$BB352*'LCFS Table'!$CF352</f>
        <v>-15.2</v>
      </c>
      <c r="BM352" s="137">
        <f>'LCFS Table'!$AS352*'LCFS Table'!$CG352</f>
        <v>0</v>
      </c>
      <c r="BN352" s="137">
        <f>'LCFS Table'!$AT352*'LCFS Table'!$CH352</f>
        <v>0.16</v>
      </c>
      <c r="BO352" s="137">
        <f>'LCFS Table'!$AU352*'LCFS Table'!$CI352</f>
        <v>0</v>
      </c>
      <c r="BP352" s="137">
        <f>'LCFS Table'!$AV352*'LCFS Table'!$CJ352</f>
        <v>0</v>
      </c>
      <c r="BQ352" s="137">
        <f>'LCFS Table'!$AW352*'LCFS Table'!$CK352</f>
        <v>14</v>
      </c>
      <c r="BR352" s="137">
        <f>'LCFS Table'!$AX352*'LCFS Table'!$CL352</f>
        <v>0</v>
      </c>
      <c r="BS352" s="137">
        <f>'LCFS Table'!$AY352*'LCFS Table'!$CM352</f>
        <v>0</v>
      </c>
      <c r="BT352" s="137">
        <f>'LCFS Table'!$AZ352*'LCFS Table'!$CN352</f>
        <v>0</v>
      </c>
      <c r="BU352" s="137">
        <f>'LCFS Table'!$BA352*'LCFS Table'!$CO352</f>
        <v>0</v>
      </c>
      <c r="BV352" s="142">
        <f>'LCFS Table'!$BB352*'LCFS Table'!$CP352</f>
        <v>15.2</v>
      </c>
      <c r="BW352" s="138">
        <v>1</v>
      </c>
      <c r="BX352" s="138">
        <v>0</v>
      </c>
      <c r="BY352" s="138">
        <v>1</v>
      </c>
      <c r="BZ352" s="138">
        <v>1</v>
      </c>
      <c r="CA352" s="138">
        <v>-1</v>
      </c>
      <c r="CB352" s="138">
        <v>1</v>
      </c>
      <c r="CC352" s="138">
        <v>0</v>
      </c>
      <c r="CD352" s="138">
        <v>1</v>
      </c>
      <c r="CE352" s="138">
        <v>1</v>
      </c>
      <c r="CF352" s="138">
        <v>-1</v>
      </c>
      <c r="CG352" s="138">
        <f>1-'LCFS Table'!$BW352</f>
        <v>0</v>
      </c>
      <c r="CH352" s="138">
        <f>1-'LCFS Table'!$BX352</f>
        <v>1</v>
      </c>
      <c r="CI352" s="138">
        <f>1-'LCFS Table'!$BY352</f>
        <v>0</v>
      </c>
      <c r="CJ352" s="138">
        <f>1-'LCFS Table'!$BZ352</f>
        <v>0</v>
      </c>
      <c r="CK352" s="138">
        <f>-'LCFS Table'!$CA352</f>
        <v>1</v>
      </c>
      <c r="CL352" s="138">
        <f>1-'LCFS Table'!$CB352</f>
        <v>0</v>
      </c>
      <c r="CM352" s="138">
        <f>1-'LCFS Table'!$CC352</f>
        <v>1</v>
      </c>
      <c r="CN352" s="138">
        <f>1-'LCFS Table'!$CD352</f>
        <v>0</v>
      </c>
      <c r="CO352" s="138">
        <f>1-'LCFS Table'!$CE352</f>
        <v>0</v>
      </c>
      <c r="CP352" s="138">
        <f>-'LCFS Table'!$CF352</f>
        <v>1</v>
      </c>
      <c r="CQ352" s="140">
        <f t="shared" si="8"/>
        <v>8</v>
      </c>
      <c r="CR352" s="165">
        <f>('LCFS Table'!$CQ352*0.9/(0.8/0.99)/100)</f>
        <v>8.9099999999999985E-2</v>
      </c>
      <c r="CS352" s="166"/>
      <c r="CT352" s="167"/>
      <c r="CW352" s="168">
        <f>'LCFS Table'!$K352-'LCFS Table'!$M352</f>
        <v>0.76544057328640713</v>
      </c>
      <c r="CX352" s="129">
        <f>MONTH('LCFS Table'!$B352)</f>
        <v>9</v>
      </c>
      <c r="CY352" s="129">
        <f>YEAR('LCFS Table'!$B352)</f>
        <v>2025</v>
      </c>
      <c r="DC352" s="129">
        <v>0.4</v>
      </c>
      <c r="DD352" s="129">
        <v>0.4</v>
      </c>
      <c r="DE352" s="129">
        <v>0.6</v>
      </c>
      <c r="DF352" s="129">
        <v>0.6</v>
      </c>
      <c r="DG352" s="129">
        <v>0.2</v>
      </c>
    </row>
    <row r="353" spans="1:111">
      <c r="A353" s="212">
        <v>45914</v>
      </c>
      <c r="B353" s="213">
        <v>45920</v>
      </c>
      <c r="C353" s="132">
        <f t="shared" si="7"/>
        <v>2025</v>
      </c>
      <c r="D353" s="150" t="s">
        <v>294</v>
      </c>
      <c r="E353" s="187">
        <f>'LCFS Table'!$K353-'LCFS Table'!$I353</f>
        <v>-2.0743006883604509</v>
      </c>
      <c r="F353" s="187">
        <f>('LCFS Table'!$M353)-'LCFS Table'!$J353</f>
        <v>-2.931387838911407</v>
      </c>
      <c r="G353" s="214">
        <f>'LCFS Table'!$E353+'LCFS Table'!$AS353+'LCFS Table'!$AT353+'LCFS Table'!$AU353+'LCFS Table'!$AV353+(DE353*'LCFS Table'!$AD353)+(DD353*'LCFS Table'!$AE353)+(DC353*'LCFS Table'!$AC353)</f>
        <v>0.64545974723298838</v>
      </c>
      <c r="H353" s="214">
        <f>'LCFS Table'!$F353+'LCFS Table'!$AX353+'LCFS Table'!$AY353+'LCFS Table'!$AZ353+'LCFS Table'!$BA353+('LCFS Table'!$CQ353*0.9/(0.8/0.99)/100)+(DG353*'LCFS Table'!$AF353)+(DF353*'LCFS Table'!$AG353)</f>
        <v>-0.82684726562499855</v>
      </c>
      <c r="I353" s="187">
        <f>('LCFS Table'!$V353+'LCFS Table'!$W353+'LCFS Table'!$X353)/100+(('LCFS Table'!$AI353+'LCFS Table'!$AJ353)/340)</f>
        <v>4.3793006883604511</v>
      </c>
      <c r="J353" s="187">
        <f>(('LCFS Table'!$Y353+'LCFS Table'!$Z353)/100)+(('LCFS Table'!$AM353+'LCFS Table'!$AN353)/300)</f>
        <v>4.470947265625</v>
      </c>
      <c r="K353" s="215">
        <f>[4]Forecasts!$C$70</f>
        <v>2.3050000000000002</v>
      </c>
      <c r="L353" s="215">
        <f>[4]Forecasts!$B$70</f>
        <v>425.50000000000017</v>
      </c>
      <c r="M353" s="185">
        <f>('LCFS Table'!$L353/100)-'LCFS Table'!$AX353-'LCFS Table'!$AY353-'LCFS Table'!$AZ353-'LCFS Table'!$BA353-1</f>
        <v>1.539559426713593</v>
      </c>
      <c r="N353" s="215">
        <f>[3]Sheet1!$F304</f>
        <v>57</v>
      </c>
      <c r="O353" s="215">
        <f>[3]Sheet1!$C304</f>
        <v>39</v>
      </c>
      <c r="P353" s="215">
        <f>[3]Sheet1!$G304</f>
        <v>46</v>
      </c>
      <c r="Q353" s="215">
        <f>[3]Sheet1!$H304</f>
        <v>50</v>
      </c>
      <c r="R353" s="215">
        <f>[3]Sheet1!$B304</f>
        <v>36.5</v>
      </c>
      <c r="S353" s="185">
        <f>'LCFS Table'!$N353 + 'LCFS Table'!$AH353</f>
        <v>61.375</v>
      </c>
      <c r="T353" s="185">
        <f>'LCFS Table'!$Q353+'LCFS Table'!$AH353</f>
        <v>54.375</v>
      </c>
      <c r="U353" s="185">
        <f>'LCFS Table'!$P353+'LCFS Table'!$AH353</f>
        <v>50.375</v>
      </c>
      <c r="V353" s="185">
        <f>(('LCFS Table'!$S353/'LCFS Table'!$AA353)*'LCFS Table'!$AC353)*6.48</f>
        <v>211.54787234042556</v>
      </c>
      <c r="W353" s="185">
        <f>(('LCFS Table'!$O353/'LCFS Table'!$AA353)*'LCFS Table'!$AD353)*6.48</f>
        <v>67.21276595744682</v>
      </c>
      <c r="X353" s="185">
        <f>(('LCFS Table'!$U353/'LCFS Table'!$AA353)*'LCFS Table'!$AE353)*6.48</f>
        <v>86.816489361702139</v>
      </c>
      <c r="Y353" s="185">
        <f>(('LCFS Table'!$T353/'LCFS Table'!$AB353)*'LCFS Table'!$AF353)*7.35</f>
        <v>312.2314453125</v>
      </c>
      <c r="Z353" s="185">
        <f>(('LCFS Table'!$R353/'LCFS Table'!$AB353)*'LCFS Table'!$AG353)*7.35</f>
        <v>69.86328125</v>
      </c>
      <c r="AA353" s="138">
        <v>0.94</v>
      </c>
      <c r="AB353" s="138">
        <v>0.96</v>
      </c>
      <c r="AC353" s="138">
        <v>0.5</v>
      </c>
      <c r="AD353" s="138">
        <v>0.25</v>
      </c>
      <c r="AE353" s="138">
        <v>0.25</v>
      </c>
      <c r="AF353" s="138">
        <v>0.75</v>
      </c>
      <c r="AG353" s="138">
        <v>0.25</v>
      </c>
      <c r="AH353" s="139">
        <v>4.375</v>
      </c>
      <c r="AI353" s="139">
        <v>136</v>
      </c>
      <c r="AJ353" s="139">
        <v>110</v>
      </c>
      <c r="AK353" s="186">
        <f>('LCFS Table'!$AI353/340)*100</f>
        <v>40</v>
      </c>
      <c r="AL353" s="186">
        <f>('LCFS Table'!$AJ353/340)*100</f>
        <v>32.352941176470587</v>
      </c>
      <c r="AM353" s="139">
        <v>105</v>
      </c>
      <c r="AN353" s="139">
        <v>90</v>
      </c>
      <c r="AO353" s="139">
        <f>('LCFS Table'!$AM353/300)*100</f>
        <v>35</v>
      </c>
      <c r="AP353" s="139">
        <f>('LCFS Table'!$AN353/300)*100</f>
        <v>30</v>
      </c>
      <c r="AQ353" s="189">
        <f>[3]Sheet1!$K304</f>
        <v>82.100909891718544</v>
      </c>
      <c r="AR353" s="189">
        <f>[3]Sheet1!$J304/100</f>
        <v>0.85531579451035189</v>
      </c>
      <c r="AS353" s="185">
        <f>((('[2]Controls 2'!$B$2-SUM(('[2]Controls 2'!$B$5*'LCFS Table'!$AC353),('[2]Controls 2'!$B$6*'LCFS Table'!$AD353),('[2]Controls 2'!$B$7*'LCFS Table'!$AE353)))/1000000)*'LCFS Table'!$AQ353)*'[2]Controls 2'!$B$8</f>
        <v>0.65572358492584115</v>
      </c>
      <c r="AT353" s="137">
        <v>0.16</v>
      </c>
      <c r="AU353" s="137">
        <v>0</v>
      </c>
      <c r="AV353" s="185">
        <f>'LCFS Table'!$AR353*1.7</f>
        <v>1.4540368506675982</v>
      </c>
      <c r="AW353" s="137">
        <v>15</v>
      </c>
      <c r="AX353" s="185">
        <f>(((('[2]Controls 2'!$B$2-SUM(('LCFS Table'!$AF353*'[2]Controls 2'!$B$12),('LCFS Table'!$AG353*'[2]Controls 2'!$B$13)))/1000000)*'LCFS Table'!$AQ353)*'[2]Controls 2'!$B$14)</f>
        <v>0.4324668815208807</v>
      </c>
      <c r="AY353" s="137">
        <v>0</v>
      </c>
      <c r="AZ353" s="141">
        <v>0</v>
      </c>
      <c r="BA353" s="185">
        <f>'LCFS Table'!$AR353*1.5</f>
        <v>1.2829736917655279</v>
      </c>
      <c r="BB353" s="142">
        <v>16.2</v>
      </c>
      <c r="BC353" s="185">
        <f>'LCFS Table'!$AS353*'LCFS Table'!$BW353</f>
        <v>0.65572358492584115</v>
      </c>
      <c r="BD353" s="185">
        <f>'LCFS Table'!$AT353*'LCFS Table'!$BX353</f>
        <v>0</v>
      </c>
      <c r="BE353" s="185">
        <f>'LCFS Table'!$AU353*'LCFS Table'!$BY353</f>
        <v>0</v>
      </c>
      <c r="BF353" s="137">
        <f>'LCFS Table'!$AV353*'LCFS Table'!$BZ353</f>
        <v>1.4540368506675982</v>
      </c>
      <c r="BG353" s="137">
        <f>'LCFS Table'!$AW353*'LCFS Table'!$CA353</f>
        <v>-15</v>
      </c>
      <c r="BH353" s="137">
        <f>'LCFS Table'!$AX353*'LCFS Table'!$CB353</f>
        <v>0.4324668815208807</v>
      </c>
      <c r="BI353" s="137">
        <f>'LCFS Table'!$AY353*'LCFS Table'!$CC353</f>
        <v>0</v>
      </c>
      <c r="BJ353" s="137">
        <f>'LCFS Table'!$AZ353*'LCFS Table'!$CD353</f>
        <v>0</v>
      </c>
      <c r="BK353" s="137">
        <f>'LCFS Table'!$BA353*'LCFS Table'!$CE353</f>
        <v>1.2829736917655279</v>
      </c>
      <c r="BL353" s="137">
        <f>'LCFS Table'!$BB353*'LCFS Table'!$CF353</f>
        <v>-16.2</v>
      </c>
      <c r="BM353" s="137">
        <f>'LCFS Table'!$AS353*'LCFS Table'!$CG353</f>
        <v>0</v>
      </c>
      <c r="BN353" s="137">
        <f>'LCFS Table'!$AT353*'LCFS Table'!$CH353</f>
        <v>0.16</v>
      </c>
      <c r="BO353" s="137">
        <f>'LCFS Table'!$AU353*'LCFS Table'!$CI353</f>
        <v>0</v>
      </c>
      <c r="BP353" s="137">
        <f>'LCFS Table'!$AV353*'LCFS Table'!$CJ353</f>
        <v>0</v>
      </c>
      <c r="BQ353" s="137">
        <f>'LCFS Table'!$AW353*'LCFS Table'!$CK353</f>
        <v>15</v>
      </c>
      <c r="BR353" s="137">
        <f>'LCFS Table'!$AX353*'LCFS Table'!$CL353</f>
        <v>0</v>
      </c>
      <c r="BS353" s="137">
        <f>'LCFS Table'!$AY353*'LCFS Table'!$CM353</f>
        <v>0</v>
      </c>
      <c r="BT353" s="137">
        <f>'LCFS Table'!$AZ353*'LCFS Table'!$CN353</f>
        <v>0</v>
      </c>
      <c r="BU353" s="137">
        <f>'LCFS Table'!$BA353*'LCFS Table'!$CO353</f>
        <v>0</v>
      </c>
      <c r="BV353" s="142">
        <f>'LCFS Table'!$BB353*'LCFS Table'!$CP353</f>
        <v>16.2</v>
      </c>
      <c r="BW353" s="138">
        <v>1</v>
      </c>
      <c r="BX353" s="138">
        <v>0</v>
      </c>
      <c r="BY353" s="138">
        <v>1</v>
      </c>
      <c r="BZ353" s="138">
        <v>1</v>
      </c>
      <c r="CA353" s="138">
        <v>-1</v>
      </c>
      <c r="CB353" s="138">
        <v>1</v>
      </c>
      <c r="CC353" s="138">
        <v>0</v>
      </c>
      <c r="CD353" s="138">
        <v>1</v>
      </c>
      <c r="CE353" s="138">
        <v>1</v>
      </c>
      <c r="CF353" s="138">
        <v>-1</v>
      </c>
      <c r="CG353" s="138">
        <f>1-'LCFS Table'!$BW353</f>
        <v>0</v>
      </c>
      <c r="CH353" s="138">
        <f>1-'LCFS Table'!$BX353</f>
        <v>1</v>
      </c>
      <c r="CI353" s="138">
        <f>1-'LCFS Table'!$BY353</f>
        <v>0</v>
      </c>
      <c r="CJ353" s="138">
        <f>1-'LCFS Table'!$BZ353</f>
        <v>0</v>
      </c>
      <c r="CK353" s="138">
        <f>-'LCFS Table'!$CA353</f>
        <v>1</v>
      </c>
      <c r="CL353" s="138">
        <f>1-'LCFS Table'!$CB353</f>
        <v>0</v>
      </c>
      <c r="CM353" s="138">
        <f>1-'LCFS Table'!$CC353</f>
        <v>1</v>
      </c>
      <c r="CN353" s="138">
        <f>1-'LCFS Table'!$CD353</f>
        <v>0</v>
      </c>
      <c r="CO353" s="138">
        <f>1-'LCFS Table'!$CE353</f>
        <v>0</v>
      </c>
      <c r="CP353" s="138">
        <f>-'LCFS Table'!$CF353</f>
        <v>1</v>
      </c>
      <c r="CQ353" s="140">
        <f t="shared" si="8"/>
        <v>8</v>
      </c>
      <c r="CR353" s="165">
        <f>('LCFS Table'!$CQ353*0.9/(0.8/0.99)/100)</f>
        <v>8.9099999999999985E-2</v>
      </c>
      <c r="CS353" s="166"/>
      <c r="CT353" s="167"/>
      <c r="CW353" s="168">
        <f>'LCFS Table'!$K353-'LCFS Table'!$M353</f>
        <v>0.76544057328640713</v>
      </c>
      <c r="CX353" s="129">
        <f>MONTH('LCFS Table'!$B353)</f>
        <v>9</v>
      </c>
      <c r="CY353" s="129">
        <f>YEAR('LCFS Table'!$B353)</f>
        <v>2025</v>
      </c>
      <c r="DC353" s="129">
        <v>0.4</v>
      </c>
      <c r="DD353" s="129">
        <v>0.4</v>
      </c>
      <c r="DE353" s="129">
        <v>0.6</v>
      </c>
      <c r="DF353" s="129">
        <v>0.6</v>
      </c>
      <c r="DG353" s="129">
        <v>0.2</v>
      </c>
    </row>
    <row r="354" spans="1:111">
      <c r="A354" s="212">
        <v>45921</v>
      </c>
      <c r="B354" s="213">
        <v>45927</v>
      </c>
      <c r="C354" s="132">
        <f t="shared" si="7"/>
        <v>2025</v>
      </c>
      <c r="D354" s="150" t="s">
        <v>295</v>
      </c>
      <c r="E354" s="187">
        <f>'LCFS Table'!$K354-'LCFS Table'!$I354</f>
        <v>-2.0743006883604509</v>
      </c>
      <c r="F354" s="187">
        <f>('LCFS Table'!$M354)-'LCFS Table'!$J354</f>
        <v>-2.931387838911407</v>
      </c>
      <c r="G354" s="214">
        <f>'LCFS Table'!$E354+'LCFS Table'!$AS354+'LCFS Table'!$AT354+'LCFS Table'!$AU354+'LCFS Table'!$AV354+(DE354*'LCFS Table'!$AD354)+(DD354*'LCFS Table'!$AE354)+(DC354*'LCFS Table'!$AC354)</f>
        <v>0.64545974723298838</v>
      </c>
      <c r="H354" s="214">
        <f>'LCFS Table'!$F354+'LCFS Table'!$AX354+'LCFS Table'!$AY354+'LCFS Table'!$AZ354+'LCFS Table'!$BA354+('LCFS Table'!$CQ354*0.9/(0.8/0.99)/100)+(DG354*'LCFS Table'!$AF354)+(DF354*'LCFS Table'!$AG354)</f>
        <v>-0.82684726562499855</v>
      </c>
      <c r="I354" s="187">
        <f>('LCFS Table'!$V354+'LCFS Table'!$W354+'LCFS Table'!$X354)/100+(('LCFS Table'!$AI354+'LCFS Table'!$AJ354)/340)</f>
        <v>4.3793006883604511</v>
      </c>
      <c r="J354" s="187">
        <f>(('LCFS Table'!$Y354+'LCFS Table'!$Z354)/100)+(('LCFS Table'!$AM354+'LCFS Table'!$AN354)/300)</f>
        <v>4.470947265625</v>
      </c>
      <c r="K354" s="215">
        <f>[4]Forecasts!$C$70</f>
        <v>2.3050000000000002</v>
      </c>
      <c r="L354" s="215">
        <f>[4]Forecasts!$B$70</f>
        <v>425.50000000000017</v>
      </c>
      <c r="M354" s="185">
        <f>('LCFS Table'!$L354/100)-'LCFS Table'!$AX354-'LCFS Table'!$AY354-'LCFS Table'!$AZ354-'LCFS Table'!$BA354-1</f>
        <v>1.539559426713593</v>
      </c>
      <c r="N354" s="215">
        <f>[3]Sheet1!$F305</f>
        <v>57</v>
      </c>
      <c r="O354" s="215">
        <f>[3]Sheet1!$C305</f>
        <v>39</v>
      </c>
      <c r="P354" s="215">
        <f>[3]Sheet1!$G305</f>
        <v>46</v>
      </c>
      <c r="Q354" s="215">
        <f>[3]Sheet1!$H305</f>
        <v>50</v>
      </c>
      <c r="R354" s="215">
        <f>[3]Sheet1!$B305</f>
        <v>36.5</v>
      </c>
      <c r="S354" s="185">
        <f>'LCFS Table'!$N354 + 'LCFS Table'!$AH354</f>
        <v>61.375</v>
      </c>
      <c r="T354" s="185">
        <f>'LCFS Table'!$Q354+'LCFS Table'!$AH354</f>
        <v>54.375</v>
      </c>
      <c r="U354" s="185">
        <f>'LCFS Table'!$P354+'LCFS Table'!$AH354</f>
        <v>50.375</v>
      </c>
      <c r="V354" s="185">
        <f>(('LCFS Table'!$S354/'LCFS Table'!$AA354)*'LCFS Table'!$AC354)*6.48</f>
        <v>211.54787234042556</v>
      </c>
      <c r="W354" s="185">
        <f>(('LCFS Table'!$O354/'LCFS Table'!$AA354)*'LCFS Table'!$AD354)*6.48</f>
        <v>67.21276595744682</v>
      </c>
      <c r="X354" s="185">
        <f>(('LCFS Table'!$U354/'LCFS Table'!$AA354)*'LCFS Table'!$AE354)*6.48</f>
        <v>86.816489361702139</v>
      </c>
      <c r="Y354" s="185">
        <f>(('LCFS Table'!$T354/'LCFS Table'!$AB354)*'LCFS Table'!$AF354)*7.35</f>
        <v>312.2314453125</v>
      </c>
      <c r="Z354" s="185">
        <f>(('LCFS Table'!$R354/'LCFS Table'!$AB354)*'LCFS Table'!$AG354)*7.35</f>
        <v>69.86328125</v>
      </c>
      <c r="AA354" s="138">
        <v>0.94</v>
      </c>
      <c r="AB354" s="138">
        <v>0.96</v>
      </c>
      <c r="AC354" s="138">
        <v>0.5</v>
      </c>
      <c r="AD354" s="138">
        <v>0.25</v>
      </c>
      <c r="AE354" s="138">
        <v>0.25</v>
      </c>
      <c r="AF354" s="138">
        <v>0.75</v>
      </c>
      <c r="AG354" s="138">
        <v>0.25</v>
      </c>
      <c r="AH354" s="139">
        <v>4.375</v>
      </c>
      <c r="AI354" s="139">
        <v>136</v>
      </c>
      <c r="AJ354" s="139">
        <v>110</v>
      </c>
      <c r="AK354" s="186">
        <f>('LCFS Table'!$AI354/340)*100</f>
        <v>40</v>
      </c>
      <c r="AL354" s="186">
        <f>('LCFS Table'!$AJ354/340)*100</f>
        <v>32.352941176470587</v>
      </c>
      <c r="AM354" s="139">
        <v>105</v>
      </c>
      <c r="AN354" s="139">
        <v>90</v>
      </c>
      <c r="AO354" s="139">
        <f>('LCFS Table'!$AM354/300)*100</f>
        <v>35</v>
      </c>
      <c r="AP354" s="139">
        <f>('LCFS Table'!$AN354/300)*100</f>
        <v>30</v>
      </c>
      <c r="AQ354" s="189">
        <f>[3]Sheet1!$K305</f>
        <v>82.100909891718544</v>
      </c>
      <c r="AR354" s="189">
        <f>[3]Sheet1!$J305/100</f>
        <v>0.85531579451035189</v>
      </c>
      <c r="AS354" s="185">
        <f>((('[2]Controls 2'!$B$2-SUM(('[2]Controls 2'!$B$5*'LCFS Table'!$AC354),('[2]Controls 2'!$B$6*'LCFS Table'!$AD354),('[2]Controls 2'!$B$7*'LCFS Table'!$AE354)))/1000000)*'LCFS Table'!$AQ354)*'[2]Controls 2'!$B$8</f>
        <v>0.65572358492584115</v>
      </c>
      <c r="AT354" s="137">
        <v>0.16</v>
      </c>
      <c r="AU354" s="137">
        <v>0</v>
      </c>
      <c r="AV354" s="185">
        <f>'LCFS Table'!$AR354*1.7</f>
        <v>1.4540368506675982</v>
      </c>
      <c r="AW354" s="137">
        <v>16</v>
      </c>
      <c r="AX354" s="185">
        <f>(((('[2]Controls 2'!$B$2-SUM(('LCFS Table'!$AF354*'[2]Controls 2'!$B$12),('LCFS Table'!$AG354*'[2]Controls 2'!$B$13)))/1000000)*'LCFS Table'!$AQ354)*'[2]Controls 2'!$B$14)</f>
        <v>0.4324668815208807</v>
      </c>
      <c r="AY354" s="137">
        <v>0</v>
      </c>
      <c r="AZ354" s="141">
        <v>0</v>
      </c>
      <c r="BA354" s="185">
        <f>'LCFS Table'!$AR354*1.5</f>
        <v>1.2829736917655279</v>
      </c>
      <c r="BB354" s="142">
        <v>17.2</v>
      </c>
      <c r="BC354" s="185">
        <f>'LCFS Table'!$AS354*'LCFS Table'!$BW354</f>
        <v>0.65572358492584115</v>
      </c>
      <c r="BD354" s="185">
        <f>'LCFS Table'!$AT354*'LCFS Table'!$BX354</f>
        <v>0</v>
      </c>
      <c r="BE354" s="185">
        <f>'LCFS Table'!$AU354*'LCFS Table'!$BY354</f>
        <v>0</v>
      </c>
      <c r="BF354" s="137">
        <f>'LCFS Table'!$AV354*'LCFS Table'!$BZ354</f>
        <v>1.4540368506675982</v>
      </c>
      <c r="BG354" s="137">
        <f>'LCFS Table'!$AW354*'LCFS Table'!$CA354</f>
        <v>-16</v>
      </c>
      <c r="BH354" s="137">
        <f>'LCFS Table'!$AX354*'LCFS Table'!$CB354</f>
        <v>0.4324668815208807</v>
      </c>
      <c r="BI354" s="137">
        <f>'LCFS Table'!$AY354*'LCFS Table'!$CC354</f>
        <v>0</v>
      </c>
      <c r="BJ354" s="137">
        <f>'LCFS Table'!$AZ354*'LCFS Table'!$CD354</f>
        <v>0</v>
      </c>
      <c r="BK354" s="137">
        <f>'LCFS Table'!$BA354*'LCFS Table'!$CE354</f>
        <v>1.2829736917655279</v>
      </c>
      <c r="BL354" s="137">
        <f>'LCFS Table'!$BB354*'LCFS Table'!$CF354</f>
        <v>-17.2</v>
      </c>
      <c r="BM354" s="137">
        <f>'LCFS Table'!$AS354*'LCFS Table'!$CG354</f>
        <v>0</v>
      </c>
      <c r="BN354" s="137">
        <f>'LCFS Table'!$AT354*'LCFS Table'!$CH354</f>
        <v>0.16</v>
      </c>
      <c r="BO354" s="137">
        <f>'LCFS Table'!$AU354*'LCFS Table'!$CI354</f>
        <v>0</v>
      </c>
      <c r="BP354" s="137">
        <f>'LCFS Table'!$AV354*'LCFS Table'!$CJ354</f>
        <v>0</v>
      </c>
      <c r="BQ354" s="137">
        <f>'LCFS Table'!$AW354*'LCFS Table'!$CK354</f>
        <v>16</v>
      </c>
      <c r="BR354" s="137">
        <f>'LCFS Table'!$AX354*'LCFS Table'!$CL354</f>
        <v>0</v>
      </c>
      <c r="BS354" s="137">
        <f>'LCFS Table'!$AY354*'LCFS Table'!$CM354</f>
        <v>0</v>
      </c>
      <c r="BT354" s="137">
        <f>'LCFS Table'!$AZ354*'LCFS Table'!$CN354</f>
        <v>0</v>
      </c>
      <c r="BU354" s="137">
        <f>'LCFS Table'!$BA354*'LCFS Table'!$CO354</f>
        <v>0</v>
      </c>
      <c r="BV354" s="142">
        <f>'LCFS Table'!$BB354*'LCFS Table'!$CP354</f>
        <v>17.2</v>
      </c>
      <c r="BW354" s="138">
        <v>1</v>
      </c>
      <c r="BX354" s="138">
        <v>0</v>
      </c>
      <c r="BY354" s="138">
        <v>1</v>
      </c>
      <c r="BZ354" s="138">
        <v>1</v>
      </c>
      <c r="CA354" s="138">
        <v>-1</v>
      </c>
      <c r="CB354" s="138">
        <v>1</v>
      </c>
      <c r="CC354" s="138">
        <v>0</v>
      </c>
      <c r="CD354" s="138">
        <v>1</v>
      </c>
      <c r="CE354" s="138">
        <v>1</v>
      </c>
      <c r="CF354" s="138">
        <v>-1</v>
      </c>
      <c r="CG354" s="138">
        <f>1-'LCFS Table'!$BW354</f>
        <v>0</v>
      </c>
      <c r="CH354" s="138">
        <f>1-'LCFS Table'!$BX354</f>
        <v>1</v>
      </c>
      <c r="CI354" s="138">
        <f>1-'LCFS Table'!$BY354</f>
        <v>0</v>
      </c>
      <c r="CJ354" s="138">
        <f>1-'LCFS Table'!$BZ354</f>
        <v>0</v>
      </c>
      <c r="CK354" s="138">
        <f>-'LCFS Table'!$CA354</f>
        <v>1</v>
      </c>
      <c r="CL354" s="138">
        <f>1-'LCFS Table'!$CB354</f>
        <v>0</v>
      </c>
      <c r="CM354" s="138">
        <f>1-'LCFS Table'!$CC354</f>
        <v>1</v>
      </c>
      <c r="CN354" s="138">
        <f>1-'LCFS Table'!$CD354</f>
        <v>0</v>
      </c>
      <c r="CO354" s="138">
        <f>1-'LCFS Table'!$CE354</f>
        <v>0</v>
      </c>
      <c r="CP354" s="138">
        <f>-'LCFS Table'!$CF354</f>
        <v>1</v>
      </c>
      <c r="CQ354" s="140">
        <f t="shared" si="8"/>
        <v>8</v>
      </c>
      <c r="CR354" s="165">
        <f>('LCFS Table'!$CQ354*0.9/(0.8/0.99)/100)</f>
        <v>8.9099999999999985E-2</v>
      </c>
      <c r="CS354" s="166"/>
      <c r="CT354" s="167"/>
      <c r="CW354" s="168">
        <f>'LCFS Table'!$K354-'LCFS Table'!$M354</f>
        <v>0.76544057328640713</v>
      </c>
      <c r="CX354" s="129">
        <f>MONTH('LCFS Table'!$B354)</f>
        <v>9</v>
      </c>
      <c r="CY354" s="129">
        <f>YEAR('LCFS Table'!$B354)</f>
        <v>2025</v>
      </c>
      <c r="DC354" s="129">
        <v>0.4</v>
      </c>
      <c r="DD354" s="129">
        <v>0.4</v>
      </c>
      <c r="DE354" s="129">
        <v>0.6</v>
      </c>
      <c r="DF354" s="129">
        <v>0.6</v>
      </c>
      <c r="DG354" s="129">
        <v>0.2</v>
      </c>
    </row>
    <row r="355" spans="1:111">
      <c r="A355" s="212">
        <v>45928</v>
      </c>
      <c r="B355" s="213">
        <v>45934</v>
      </c>
      <c r="C355" s="132">
        <f t="shared" si="7"/>
        <v>2025</v>
      </c>
      <c r="D355" s="150" t="s">
        <v>296</v>
      </c>
      <c r="E355" s="187">
        <f>'LCFS Table'!$K355-'LCFS Table'!$I355</f>
        <v>-2.1007006883604511</v>
      </c>
      <c r="F355" s="187">
        <f>('LCFS Table'!$M355)-'LCFS Table'!$J355</f>
        <v>-3.027787838911407</v>
      </c>
      <c r="G355" s="214">
        <f>'LCFS Table'!$E355+'LCFS Table'!$AS355+'LCFS Table'!$AT355+'LCFS Table'!$AU355+'LCFS Table'!$AV355+(DE355*'LCFS Table'!$AD355)+(DD355*'LCFS Table'!$AE355)+(DC355*'LCFS Table'!$AC355)</f>
        <v>0.61905974723298818</v>
      </c>
      <c r="H355" s="214">
        <f>'LCFS Table'!$F355+'LCFS Table'!$AX355+'LCFS Table'!$AY355+'LCFS Table'!$AZ355+'LCFS Table'!$BA355+('LCFS Table'!$CQ355*0.9/(0.8/0.99)/100)+(DG355*'LCFS Table'!$AF355)+(DF355*'LCFS Table'!$AG355)</f>
        <v>-0.9232472656249987</v>
      </c>
      <c r="I355" s="187">
        <f>('LCFS Table'!$V355+'LCFS Table'!$W355+'LCFS Table'!$X355)/100+(('LCFS Table'!$AI355+'LCFS Table'!$AJ355)/340)</f>
        <v>4.3793006883604511</v>
      </c>
      <c r="J355" s="187">
        <f>(('LCFS Table'!$Y355+'LCFS Table'!$Z355)/100)+(('LCFS Table'!$AM355+'LCFS Table'!$AN355)/300)</f>
        <v>4.470947265625</v>
      </c>
      <c r="K355" s="215">
        <f>[4]Forecasts!$C$71</f>
        <v>2.2786</v>
      </c>
      <c r="L355" s="215">
        <f>[4]Forecasts!$B$71</f>
        <v>415.86000000000013</v>
      </c>
      <c r="M355" s="185">
        <f>('LCFS Table'!$L355/100)-'LCFS Table'!$AX355-'LCFS Table'!$AY355-'LCFS Table'!$AZ355-'LCFS Table'!$BA355-1</f>
        <v>1.443159426713593</v>
      </c>
      <c r="N355" s="215">
        <f>[3]Sheet1!$F306</f>
        <v>57</v>
      </c>
      <c r="O355" s="215">
        <f>[3]Sheet1!$C306</f>
        <v>39</v>
      </c>
      <c r="P355" s="215">
        <f>[3]Sheet1!$G306</f>
        <v>46</v>
      </c>
      <c r="Q355" s="215">
        <f>[3]Sheet1!$H306</f>
        <v>50</v>
      </c>
      <c r="R355" s="215">
        <f>[3]Sheet1!$B306</f>
        <v>36.5</v>
      </c>
      <c r="S355" s="185">
        <f>'LCFS Table'!$N355 + 'LCFS Table'!$AH355</f>
        <v>61.375</v>
      </c>
      <c r="T355" s="185">
        <f>'LCFS Table'!$Q355+'LCFS Table'!$AH355</f>
        <v>54.375</v>
      </c>
      <c r="U355" s="185">
        <f>'LCFS Table'!$P355+'LCFS Table'!$AH355</f>
        <v>50.375</v>
      </c>
      <c r="V355" s="185">
        <f>(('LCFS Table'!$S355/'LCFS Table'!$AA355)*'LCFS Table'!$AC355)*6.48</f>
        <v>211.54787234042556</v>
      </c>
      <c r="W355" s="185">
        <f>(('LCFS Table'!$O355/'LCFS Table'!$AA355)*'LCFS Table'!$AD355)*6.48</f>
        <v>67.21276595744682</v>
      </c>
      <c r="X355" s="185">
        <f>(('LCFS Table'!$U355/'LCFS Table'!$AA355)*'LCFS Table'!$AE355)*6.48</f>
        <v>86.816489361702139</v>
      </c>
      <c r="Y355" s="185">
        <f>(('LCFS Table'!$T355/'LCFS Table'!$AB355)*'LCFS Table'!$AF355)*7.35</f>
        <v>312.2314453125</v>
      </c>
      <c r="Z355" s="185">
        <f>(('LCFS Table'!$R355/'LCFS Table'!$AB355)*'LCFS Table'!$AG355)*7.35</f>
        <v>69.86328125</v>
      </c>
      <c r="AA355" s="138">
        <v>0.94</v>
      </c>
      <c r="AB355" s="138">
        <v>0.96</v>
      </c>
      <c r="AC355" s="138">
        <v>0.5</v>
      </c>
      <c r="AD355" s="138">
        <v>0.25</v>
      </c>
      <c r="AE355" s="138">
        <v>0.25</v>
      </c>
      <c r="AF355" s="138">
        <v>0.75</v>
      </c>
      <c r="AG355" s="138">
        <v>0.25</v>
      </c>
      <c r="AH355" s="139">
        <v>4.375</v>
      </c>
      <c r="AI355" s="139">
        <v>136</v>
      </c>
      <c r="AJ355" s="139">
        <v>110</v>
      </c>
      <c r="AK355" s="186">
        <f>('LCFS Table'!$AI355/340)*100</f>
        <v>40</v>
      </c>
      <c r="AL355" s="186">
        <f>('LCFS Table'!$AJ355/340)*100</f>
        <v>32.352941176470587</v>
      </c>
      <c r="AM355" s="139">
        <v>105</v>
      </c>
      <c r="AN355" s="139">
        <v>90</v>
      </c>
      <c r="AO355" s="139">
        <f>('LCFS Table'!$AM355/300)*100</f>
        <v>35</v>
      </c>
      <c r="AP355" s="139">
        <f>('LCFS Table'!$AN355/300)*100</f>
        <v>30</v>
      </c>
      <c r="AQ355" s="189">
        <f>[3]Sheet1!$K306</f>
        <v>82.100909891718544</v>
      </c>
      <c r="AR355" s="189">
        <f>[3]Sheet1!$J306/100</f>
        <v>0.85531579451035189</v>
      </c>
      <c r="AS355" s="185">
        <f>((('[2]Controls 2'!$B$2-SUM(('[2]Controls 2'!$B$5*'LCFS Table'!$AC355),('[2]Controls 2'!$B$6*'LCFS Table'!$AD355),('[2]Controls 2'!$B$7*'LCFS Table'!$AE355)))/1000000)*'LCFS Table'!$AQ355)*'[2]Controls 2'!$B$8</f>
        <v>0.65572358492584115</v>
      </c>
      <c r="AT355" s="137">
        <v>0.16</v>
      </c>
      <c r="AU355" s="137">
        <v>0</v>
      </c>
      <c r="AV355" s="185">
        <f>'LCFS Table'!$AR355*1.7</f>
        <v>1.4540368506675982</v>
      </c>
      <c r="AW355" s="137">
        <v>17</v>
      </c>
      <c r="AX355" s="185">
        <f>(((('[2]Controls 2'!$B$2-SUM(('LCFS Table'!$AF355*'[2]Controls 2'!$B$12),('LCFS Table'!$AG355*'[2]Controls 2'!$B$13)))/1000000)*'LCFS Table'!$AQ355)*'[2]Controls 2'!$B$14)</f>
        <v>0.4324668815208807</v>
      </c>
      <c r="AY355" s="137">
        <v>0</v>
      </c>
      <c r="AZ355" s="141">
        <v>0</v>
      </c>
      <c r="BA355" s="185">
        <f>'LCFS Table'!$AR355*1.5</f>
        <v>1.2829736917655279</v>
      </c>
      <c r="BB355" s="142">
        <v>18.2</v>
      </c>
      <c r="BC355" s="185">
        <f>'LCFS Table'!$AS355*'LCFS Table'!$BW355</f>
        <v>0.65572358492584115</v>
      </c>
      <c r="BD355" s="185">
        <f>'LCFS Table'!$AT355*'LCFS Table'!$BX355</f>
        <v>0</v>
      </c>
      <c r="BE355" s="185">
        <f>'LCFS Table'!$AU355*'LCFS Table'!$BY355</f>
        <v>0</v>
      </c>
      <c r="BF355" s="137">
        <f>'LCFS Table'!$AV355*'LCFS Table'!$BZ355</f>
        <v>1.4540368506675982</v>
      </c>
      <c r="BG355" s="137">
        <f>'LCFS Table'!$AW355*'LCFS Table'!$CA355</f>
        <v>-17</v>
      </c>
      <c r="BH355" s="137">
        <f>'LCFS Table'!$AX355*'LCFS Table'!$CB355</f>
        <v>0.4324668815208807</v>
      </c>
      <c r="BI355" s="137">
        <f>'LCFS Table'!$AY355*'LCFS Table'!$CC355</f>
        <v>0</v>
      </c>
      <c r="BJ355" s="137">
        <f>'LCFS Table'!$AZ355*'LCFS Table'!$CD355</f>
        <v>0</v>
      </c>
      <c r="BK355" s="137">
        <f>'LCFS Table'!$BA355*'LCFS Table'!$CE355</f>
        <v>1.2829736917655279</v>
      </c>
      <c r="BL355" s="137">
        <f>'LCFS Table'!$BB355*'LCFS Table'!$CF355</f>
        <v>-18.2</v>
      </c>
      <c r="BM355" s="137">
        <f>'LCFS Table'!$AS355*'LCFS Table'!$CG355</f>
        <v>0</v>
      </c>
      <c r="BN355" s="137">
        <f>'LCFS Table'!$AT355*'LCFS Table'!$CH355</f>
        <v>0.16</v>
      </c>
      <c r="BO355" s="137">
        <f>'LCFS Table'!$AU355*'LCFS Table'!$CI355</f>
        <v>0</v>
      </c>
      <c r="BP355" s="137">
        <f>'LCFS Table'!$AV355*'LCFS Table'!$CJ355</f>
        <v>0</v>
      </c>
      <c r="BQ355" s="137">
        <f>'LCFS Table'!$AW355*'LCFS Table'!$CK355</f>
        <v>17</v>
      </c>
      <c r="BR355" s="137">
        <f>'LCFS Table'!$AX355*'LCFS Table'!$CL355</f>
        <v>0</v>
      </c>
      <c r="BS355" s="137">
        <f>'LCFS Table'!$AY355*'LCFS Table'!$CM355</f>
        <v>0</v>
      </c>
      <c r="BT355" s="137">
        <f>'LCFS Table'!$AZ355*'LCFS Table'!$CN355</f>
        <v>0</v>
      </c>
      <c r="BU355" s="137">
        <f>'LCFS Table'!$BA355*'LCFS Table'!$CO355</f>
        <v>0</v>
      </c>
      <c r="BV355" s="142">
        <f>'LCFS Table'!$BB355*'LCFS Table'!$CP355</f>
        <v>18.2</v>
      </c>
      <c r="BW355" s="138">
        <v>1</v>
      </c>
      <c r="BX355" s="138">
        <v>0</v>
      </c>
      <c r="BY355" s="138">
        <v>1</v>
      </c>
      <c r="BZ355" s="138">
        <v>1</v>
      </c>
      <c r="CA355" s="138">
        <v>-1</v>
      </c>
      <c r="CB355" s="138">
        <v>1</v>
      </c>
      <c r="CC355" s="138">
        <v>0</v>
      </c>
      <c r="CD355" s="138">
        <v>1</v>
      </c>
      <c r="CE355" s="138">
        <v>1</v>
      </c>
      <c r="CF355" s="138">
        <v>-1</v>
      </c>
      <c r="CG355" s="138">
        <f>1-'LCFS Table'!$BW355</f>
        <v>0</v>
      </c>
      <c r="CH355" s="138">
        <f>1-'LCFS Table'!$BX355</f>
        <v>1</v>
      </c>
      <c r="CI355" s="138">
        <f>1-'LCFS Table'!$BY355</f>
        <v>0</v>
      </c>
      <c r="CJ355" s="138">
        <f>1-'LCFS Table'!$BZ355</f>
        <v>0</v>
      </c>
      <c r="CK355" s="138">
        <f>-'LCFS Table'!$CA355</f>
        <v>1</v>
      </c>
      <c r="CL355" s="138">
        <f>1-'LCFS Table'!$CB355</f>
        <v>0</v>
      </c>
      <c r="CM355" s="138">
        <f>1-'LCFS Table'!$CC355</f>
        <v>1</v>
      </c>
      <c r="CN355" s="138">
        <f>1-'LCFS Table'!$CD355</f>
        <v>0</v>
      </c>
      <c r="CO355" s="138">
        <f>1-'LCFS Table'!$CE355</f>
        <v>0</v>
      </c>
      <c r="CP355" s="138">
        <f>-'LCFS Table'!$CF355</f>
        <v>1</v>
      </c>
      <c r="CQ355" s="140">
        <f t="shared" si="8"/>
        <v>8</v>
      </c>
      <c r="CR355" s="165">
        <f>('LCFS Table'!$CQ355*0.9/(0.8/0.99)/100)</f>
        <v>8.9099999999999985E-2</v>
      </c>
      <c r="CS355" s="166"/>
      <c r="CT355" s="167"/>
      <c r="CW355" s="168">
        <f>'LCFS Table'!$K355-'LCFS Table'!$M355</f>
        <v>0.83544057328640697</v>
      </c>
      <c r="CX355" s="129">
        <f>MONTH('LCFS Table'!$B355)</f>
        <v>10</v>
      </c>
      <c r="CY355" s="129">
        <f>YEAR('LCFS Table'!$B355)</f>
        <v>2025</v>
      </c>
      <c r="DC355" s="129">
        <v>0.4</v>
      </c>
      <c r="DD355" s="129">
        <v>0.4</v>
      </c>
      <c r="DE355" s="129">
        <v>0.6</v>
      </c>
      <c r="DF355" s="129">
        <v>0.6</v>
      </c>
      <c r="DG355" s="129">
        <v>0.2</v>
      </c>
    </row>
    <row r="356" spans="1:111">
      <c r="A356" s="216">
        <v>45935</v>
      </c>
      <c r="B356" s="217">
        <v>45941</v>
      </c>
      <c r="C356" s="218">
        <f t="shared" si="7"/>
        <v>2025</v>
      </c>
      <c r="D356" s="219" t="s">
        <v>297</v>
      </c>
      <c r="E356" s="220">
        <f>'LCFS Table'!$K356-'LCFS Table'!$I356</f>
        <v>-2.0145304755944933</v>
      </c>
      <c r="F356" s="220">
        <f>('LCFS Table'!$M356)-'LCFS Table'!$J356</f>
        <v>-1.5762690054855106</v>
      </c>
      <c r="G356" s="221">
        <f>'LCFS Table'!$E356+'LCFS Table'!$AS356+'LCFS Table'!$AT356+'LCFS Table'!$AU356+'LCFS Table'!$AV356+(DE356*'LCFS Table'!$AD356)+(DD356*'LCFS Table'!$AE356)+(DC356*'LCFS Table'!$AC356)</f>
        <v>0.25656811266680446</v>
      </c>
      <c r="H356" s="222">
        <f>'LCFS Table'!$F356+'LCFS Table'!$AX356+'LCFS Table'!$AY356+'LCFS Table'!$AZ356+'LCFS Table'!$BA356+('LCFS Table'!$CQ356*0.9/(0.8/0.99)/100)+(DG356*'LCFS Table'!$AF356)+(DF356*'LCFS Table'!$AG356)</f>
        <v>0.23612773437500104</v>
      </c>
      <c r="I356" s="220">
        <f>('LCFS Table'!$V356+'LCFS Table'!$W356+'LCFS Table'!$X356)/100+(('LCFS Table'!$AI356+'LCFS Table'!$AJ356)/340)</f>
        <v>4.2931304755944932</v>
      </c>
      <c r="J356" s="220">
        <f>(('LCFS Table'!$Y356+'LCFS Table'!$Z356)/100)+(('LCFS Table'!$AM356+'LCFS Table'!$AN356)/300)</f>
        <v>4.0115722656250004</v>
      </c>
      <c r="K356" s="223">
        <f>[4]Forecasts!$C$71</f>
        <v>2.2786</v>
      </c>
      <c r="L356" s="223">
        <f>[4]Forecasts!$B$71</f>
        <v>415.86000000000013</v>
      </c>
      <c r="M356" s="224">
        <f>('LCFS Table'!$L356/100)-'LCFS Table'!$AX356-'LCFS Table'!$AY356-'LCFS Table'!$AZ356-'LCFS Table'!$BA356</f>
        <v>2.4353032601394897</v>
      </c>
      <c r="N356" s="225">
        <f>[3]Sheet1!$F307</f>
        <v>49.75</v>
      </c>
      <c r="O356" s="225">
        <f>[3]Sheet1!$C307</f>
        <v>51.25</v>
      </c>
      <c r="P356" s="225">
        <f>[3]Sheet1!$G307</f>
        <v>43.25</v>
      </c>
      <c r="Q356" s="225">
        <f>[3]Sheet1!$H307</f>
        <v>43.5</v>
      </c>
      <c r="R356" s="225">
        <f>[3]Sheet1!$B307</f>
        <v>32</v>
      </c>
      <c r="S356" s="224">
        <f>'LCFS Table'!$N356 + 'LCFS Table'!$AH356</f>
        <v>54.125</v>
      </c>
      <c r="T356" s="224">
        <f>'LCFS Table'!$Q356+'LCFS Table'!$AH356</f>
        <v>47.875</v>
      </c>
      <c r="U356" s="224">
        <f>'LCFS Table'!$P356+'LCFS Table'!$AH356</f>
        <v>47.625</v>
      </c>
      <c r="V356" s="224">
        <f>(('LCFS Table'!$S356/'LCFS Table'!$AA356)*'LCFS Table'!$AC356)*6.48</f>
        <v>186.55851063829789</v>
      </c>
      <c r="W356" s="224">
        <f>(('LCFS Table'!$O356/'LCFS Table'!$AA356)*'LCFS Table'!$AD356)*6.48</f>
        <v>88.324468085106389</v>
      </c>
      <c r="X356" s="224">
        <f>(('LCFS Table'!$U356/'LCFS Table'!$AA356)*'LCFS Table'!$AE356)*6.48</f>
        <v>82.077127659574472</v>
      </c>
      <c r="Y356" s="224">
        <f>(('LCFS Table'!$T356/'LCFS Table'!$AB356)*'LCFS Table'!$AF356)*7.35</f>
        <v>274.9072265625</v>
      </c>
      <c r="Z356" s="224">
        <f>(('LCFS Table'!$R356/'LCFS Table'!$AB356)*'LCFS Table'!$AG356)*7.35</f>
        <v>61.25</v>
      </c>
      <c r="AA356" s="226">
        <v>0.94</v>
      </c>
      <c r="AB356" s="226">
        <v>0.96</v>
      </c>
      <c r="AC356" s="226">
        <v>0.5</v>
      </c>
      <c r="AD356" s="226">
        <v>0.25</v>
      </c>
      <c r="AE356" s="226">
        <v>0.25</v>
      </c>
      <c r="AF356" s="226">
        <v>0.75</v>
      </c>
      <c r="AG356" s="226">
        <v>0.25</v>
      </c>
      <c r="AH356" s="227">
        <v>4.375</v>
      </c>
      <c r="AI356" s="227">
        <v>136</v>
      </c>
      <c r="AJ356" s="227">
        <v>110</v>
      </c>
      <c r="AK356" s="228">
        <f>('LCFS Table'!$AI356/340)*100</f>
        <v>40</v>
      </c>
      <c r="AL356" s="228">
        <f>('LCFS Table'!$AJ356/340)*100</f>
        <v>32.352941176470587</v>
      </c>
      <c r="AM356" s="227">
        <v>105</v>
      </c>
      <c r="AN356" s="227">
        <v>90</v>
      </c>
      <c r="AO356" s="227">
        <f>('LCFS Table'!$AM356/300)*100</f>
        <v>35</v>
      </c>
      <c r="AP356" s="227">
        <f>('LCFS Table'!$AN356/300)*100</f>
        <v>30</v>
      </c>
      <c r="AQ356" s="229">
        <f>[3]Sheet1!$K307</f>
        <v>78.349971060465663</v>
      </c>
      <c r="AR356" s="229">
        <f>[3]Sheet1!$J307/100</f>
        <v>0.87372529607058536</v>
      </c>
      <c r="AS356" s="224">
        <f>((('[2]Controls 2'!$B$2-SUM(('[2]Controls 2'!$B$5*'LCFS Table'!$AC356),('[2]Controls 2'!$B$6*'LCFS Table'!$AD356),('[2]Controls 2'!$B$7*'LCFS Table'!$AE356)))/1000000)*'LCFS Table'!$AQ356)*'[2]Controls 2'!$B$8</f>
        <v>0.62576558494130297</v>
      </c>
      <c r="AT356" s="230">
        <v>0.16</v>
      </c>
      <c r="AU356" s="230">
        <v>0</v>
      </c>
      <c r="AV356" s="224">
        <f>'LCFS Table'!$AR356*1.7</f>
        <v>1.485333003319995</v>
      </c>
      <c r="AW356" s="230">
        <v>18</v>
      </c>
      <c r="AX356" s="224">
        <f>(((('[2]Controls 2'!$B$2-SUM(('LCFS Table'!$AF356*'[2]Controls 2'!$B$12),('LCFS Table'!$AG356*'[2]Controls 2'!$B$13)))/1000000)*'LCFS Table'!$AQ356)*'[2]Controls 2'!$B$14)</f>
        <v>0.41270879575463348</v>
      </c>
      <c r="AY356" s="230">
        <v>0</v>
      </c>
      <c r="AZ356" s="231">
        <v>0</v>
      </c>
      <c r="BA356" s="224">
        <f>'LCFS Table'!$AR356*1.5</f>
        <v>1.3105879441058781</v>
      </c>
      <c r="BB356" s="232">
        <v>19.2</v>
      </c>
      <c r="BC356" s="224">
        <f>'LCFS Table'!$AS356*'LCFS Table'!$BW356</f>
        <v>0.62576558494130297</v>
      </c>
      <c r="BD356" s="224">
        <f>'LCFS Table'!$AT356*'LCFS Table'!$BX356</f>
        <v>0</v>
      </c>
      <c r="BE356" s="224">
        <f>'LCFS Table'!$AU356*'LCFS Table'!$BY356</f>
        <v>0</v>
      </c>
      <c r="BF356" s="230">
        <f>'LCFS Table'!$AV356*'LCFS Table'!$BZ356</f>
        <v>1.485333003319995</v>
      </c>
      <c r="BG356" s="230">
        <f>'LCFS Table'!$AW356*'LCFS Table'!$CA356</f>
        <v>-18</v>
      </c>
      <c r="BH356" s="230">
        <f>'LCFS Table'!$AX356*'LCFS Table'!$CB356</f>
        <v>0.41270879575463348</v>
      </c>
      <c r="BI356" s="230">
        <f>'LCFS Table'!$AY356*'LCFS Table'!$CC356</f>
        <v>0</v>
      </c>
      <c r="BJ356" s="230">
        <f>'LCFS Table'!$AZ356*'LCFS Table'!$CD356</f>
        <v>0</v>
      </c>
      <c r="BK356" s="230">
        <f>'LCFS Table'!$BA356*'LCFS Table'!$CE356</f>
        <v>1.3105879441058781</v>
      </c>
      <c r="BL356" s="230">
        <f>'LCFS Table'!$BB356*'LCFS Table'!$CF356</f>
        <v>-19.2</v>
      </c>
      <c r="BM356" s="230">
        <f>'LCFS Table'!$AS356*'LCFS Table'!$CG356</f>
        <v>0</v>
      </c>
      <c r="BN356" s="230">
        <f>'LCFS Table'!$AT356*'LCFS Table'!$CH356</f>
        <v>0.16</v>
      </c>
      <c r="BO356" s="230">
        <f>'LCFS Table'!$AU356*'LCFS Table'!$CI356</f>
        <v>0</v>
      </c>
      <c r="BP356" s="230">
        <f>'LCFS Table'!$AV356*'LCFS Table'!$CJ356</f>
        <v>0</v>
      </c>
      <c r="BQ356" s="230">
        <f>'LCFS Table'!$AW356*'LCFS Table'!$CK356</f>
        <v>18</v>
      </c>
      <c r="BR356" s="230">
        <f>'LCFS Table'!$AX356*'LCFS Table'!$CL356</f>
        <v>0</v>
      </c>
      <c r="BS356" s="230">
        <f>'LCFS Table'!$AY356*'LCFS Table'!$CM356</f>
        <v>0</v>
      </c>
      <c r="BT356" s="230">
        <f>'LCFS Table'!$AZ356*'LCFS Table'!$CN356</f>
        <v>0</v>
      </c>
      <c r="BU356" s="230">
        <f>'LCFS Table'!$BA356*'LCFS Table'!$CO356</f>
        <v>0</v>
      </c>
      <c r="BV356" s="232">
        <f>'LCFS Table'!$BB356*'LCFS Table'!$CP356</f>
        <v>19.2</v>
      </c>
      <c r="BW356" s="226">
        <v>1</v>
      </c>
      <c r="BX356" s="226">
        <v>0</v>
      </c>
      <c r="BY356" s="226">
        <v>1</v>
      </c>
      <c r="BZ356" s="226">
        <v>1</v>
      </c>
      <c r="CA356" s="226">
        <v>-1</v>
      </c>
      <c r="CB356" s="226">
        <v>1</v>
      </c>
      <c r="CC356" s="226">
        <v>0</v>
      </c>
      <c r="CD356" s="226">
        <v>1</v>
      </c>
      <c r="CE356" s="226">
        <v>1</v>
      </c>
      <c r="CF356" s="226">
        <v>-1</v>
      </c>
      <c r="CG356" s="226">
        <f>1-'LCFS Table'!$BW356</f>
        <v>0</v>
      </c>
      <c r="CH356" s="226">
        <f>1-'LCFS Table'!$BX356</f>
        <v>1</v>
      </c>
      <c r="CI356" s="226">
        <f>1-'LCFS Table'!$BY356</f>
        <v>0</v>
      </c>
      <c r="CJ356" s="226">
        <f>1-'LCFS Table'!$BZ356</f>
        <v>0</v>
      </c>
      <c r="CK356" s="226">
        <f>-'LCFS Table'!$CA356</f>
        <v>1</v>
      </c>
      <c r="CL356" s="226">
        <f>1-'LCFS Table'!$CB356</f>
        <v>0</v>
      </c>
      <c r="CM356" s="226">
        <f>1-'LCFS Table'!$CC356</f>
        <v>1</v>
      </c>
      <c r="CN356" s="226">
        <f>1-'LCFS Table'!$CD356</f>
        <v>0</v>
      </c>
      <c r="CO356" s="226">
        <f>1-'LCFS Table'!$CE356</f>
        <v>0</v>
      </c>
      <c r="CP356" s="226">
        <f>-'LCFS Table'!$CF356</f>
        <v>1</v>
      </c>
      <c r="CQ356" s="229">
        <f t="shared" si="8"/>
        <v>8</v>
      </c>
      <c r="CR356" s="233">
        <f>('LCFS Table'!$CQ356*0.9/(0.8/0.99)/100)</f>
        <v>8.9099999999999985E-2</v>
      </c>
      <c r="CS356" s="234"/>
      <c r="CT356" s="235"/>
      <c r="CW356" s="168">
        <f>'LCFS Table'!$K356-'LCFS Table'!$M356</f>
        <v>-0.15670326013948976</v>
      </c>
      <c r="CX356" s="129">
        <f>MONTH('LCFS Table'!$B356)</f>
        <v>10</v>
      </c>
      <c r="CY356" s="129">
        <f>YEAR('LCFS Table'!$B356)</f>
        <v>2025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8651-6343-49EB-B333-73D47F8BFD31}">
  <dimension ref="A1:E85"/>
  <sheetViews>
    <sheetView topLeftCell="A31" workbookViewId="0">
      <selection activeCell="B4" sqref="B4"/>
    </sheetView>
  </sheetViews>
  <sheetFormatPr defaultColWidth="8.875" defaultRowHeight="12.75"/>
  <cols>
    <col min="1" max="1" width="10" style="236" bestFit="1" customWidth="1"/>
    <col min="2" max="3" width="9" style="236" bestFit="1" customWidth="1"/>
    <col min="4" max="5" width="9" style="237" bestFit="1" customWidth="1"/>
    <col min="6" max="16384" width="8.875" style="236"/>
  </cols>
  <sheetData>
    <row r="1" spans="1:5">
      <c r="A1" s="236" t="s">
        <v>310</v>
      </c>
      <c r="B1" s="236" t="s">
        <v>250</v>
      </c>
      <c r="C1" s="236" t="s">
        <v>171</v>
      </c>
      <c r="D1" s="237" t="s">
        <v>311</v>
      </c>
      <c r="E1" s="237" t="s">
        <v>312</v>
      </c>
    </row>
    <row r="2" spans="1:5" ht="15.75">
      <c r="A2" s="238">
        <v>43466</v>
      </c>
      <c r="B2" s="236">
        <f>MONTH(A2)</f>
        <v>1</v>
      </c>
      <c r="C2" s="236">
        <f>YEAR(A2)</f>
        <v>2019</v>
      </c>
      <c r="D2" s="239">
        <f>AVERAGEIFS('LCFS Table'!H$3:H$400,'LCFS Table'!$CX$3:$CX$400,'Profit-Production Chart Data'!$B2,'LCFS Table'!$CY$3:$CY$400,'Profit-Production Chart Data'!$C2)</f>
        <v>9.9487109375000216E-2</v>
      </c>
    </row>
    <row r="3" spans="1:5" ht="15.75">
      <c r="A3" s="238">
        <v>43497</v>
      </c>
      <c r="B3" s="236">
        <f t="shared" ref="B3:B66" si="0">MONTH(A3)</f>
        <v>2</v>
      </c>
      <c r="C3" s="236">
        <f t="shared" ref="C3:C66" si="1">YEAR(A3)</f>
        <v>2019</v>
      </c>
      <c r="D3" s="239">
        <f>AVERAGEIFS('LCFS Table'!H$3:H$400,'LCFS Table'!$CX$3:$CX$400,'Profit-Production Chart Data'!$B3,'LCFS Table'!$CY$3:$CY$400,'Profit-Production Chart Data'!$C3)</f>
        <v>0.10253603515624986</v>
      </c>
    </row>
    <row r="4" spans="1:5" ht="15.75">
      <c r="A4" s="238">
        <v>43525</v>
      </c>
      <c r="B4" s="236">
        <f t="shared" si="0"/>
        <v>3</v>
      </c>
      <c r="C4" s="236">
        <f t="shared" si="1"/>
        <v>2019</v>
      </c>
      <c r="D4" s="239">
        <f>AVERAGEIFS('LCFS Table'!H$3:H$400,'LCFS Table'!$CX$3:$CX$400,'Profit-Production Chart Data'!$B4,'LCFS Table'!$CY$3:$CY$400,'Profit-Production Chart Data'!$C4)</f>
        <v>0.17785648437499985</v>
      </c>
    </row>
    <row r="5" spans="1:5" ht="15.75">
      <c r="A5" s="238">
        <v>43556</v>
      </c>
      <c r="B5" s="236">
        <f t="shared" si="0"/>
        <v>4</v>
      </c>
      <c r="C5" s="236">
        <f t="shared" si="1"/>
        <v>2019</v>
      </c>
      <c r="D5" s="239">
        <f>AVERAGEIFS('LCFS Table'!H$3:H$400,'LCFS Table'!$CX$3:$CX$400,'Profit-Production Chart Data'!$B5,'LCFS Table'!$CY$3:$CY$400,'Profit-Production Chart Data'!$C5)</f>
        <v>0.20115588867187528</v>
      </c>
    </row>
    <row r="6" spans="1:5" ht="15.75">
      <c r="A6" s="238">
        <v>43586</v>
      </c>
      <c r="B6" s="236">
        <f t="shared" si="0"/>
        <v>5</v>
      </c>
      <c r="C6" s="236">
        <f t="shared" si="1"/>
        <v>2019</v>
      </c>
      <c r="D6" s="239">
        <f>AVERAGEIFS('LCFS Table'!H$3:H$400,'LCFS Table'!$CX$3:$CX$400,'Profit-Production Chart Data'!$B6,'LCFS Table'!$CY$3:$CY$400,'Profit-Production Chart Data'!$C6)</f>
        <v>0.23332225781250018</v>
      </c>
    </row>
    <row r="7" spans="1:5" ht="15.75">
      <c r="A7" s="238">
        <v>43617</v>
      </c>
      <c r="B7" s="236">
        <f t="shared" si="0"/>
        <v>6</v>
      </c>
      <c r="C7" s="236">
        <f t="shared" si="1"/>
        <v>2019</v>
      </c>
      <c r="D7" s="239">
        <f>AVERAGEIFS('LCFS Table'!H$3:H$400,'LCFS Table'!$CX$3:$CX$400,'Profit-Production Chart Data'!$B7,'LCFS Table'!$CY$3:$CY$400,'Profit-Production Chart Data'!$C7)</f>
        <v>0.16873113281250021</v>
      </c>
    </row>
    <row r="8" spans="1:5" ht="15.75">
      <c r="A8" s="238">
        <v>43647</v>
      </c>
      <c r="B8" s="236">
        <f t="shared" si="0"/>
        <v>7</v>
      </c>
      <c r="C8" s="236">
        <f t="shared" si="1"/>
        <v>2019</v>
      </c>
      <c r="D8" s="239">
        <f>AVERAGEIFS('LCFS Table'!H$3:H$400,'LCFS Table'!$CX$3:$CX$400,'Profit-Production Chart Data'!$B8,'LCFS Table'!$CY$3:$CY$400,'Profit-Production Chart Data'!$C8)</f>
        <v>0.20969506835937526</v>
      </c>
      <c r="E8" s="239">
        <f>AVERAGEIFS('LCFS Table'!G$3:G$400,'LCFS Table'!$CX$3:$CX$400,'Profit-Production Chart Data'!$B8,'LCFS Table'!$CY$3:$CY$400,'Profit-Production Chart Data'!$C8)</f>
        <v>2.6721150610209987</v>
      </c>
    </row>
    <row r="9" spans="1:5" ht="15.75">
      <c r="A9" s="238">
        <v>43678</v>
      </c>
      <c r="B9" s="236">
        <f t="shared" si="0"/>
        <v>8</v>
      </c>
      <c r="C9" s="236">
        <f t="shared" si="1"/>
        <v>2019</v>
      </c>
      <c r="D9" s="239">
        <f>AVERAGEIFS('LCFS Table'!H$3:H$400,'LCFS Table'!$CX$3:$CX$400,'Profit-Production Chart Data'!$B9,'LCFS Table'!$CY$3:$CY$400,'Profit-Production Chart Data'!$C9)</f>
        <v>0.27096679687500019</v>
      </c>
      <c r="E9" s="239">
        <f>AVERAGEIFS('LCFS Table'!G$3:G$400,'LCFS Table'!$CX$3:$CX$400,'Profit-Production Chart Data'!$B9,'LCFS Table'!$CY$3:$CY$400,'Profit-Production Chart Data'!$C9)</f>
        <v>2.638043771684953</v>
      </c>
    </row>
    <row r="10" spans="1:5" ht="15.75">
      <c r="A10" s="238">
        <v>43709</v>
      </c>
      <c r="B10" s="236">
        <f t="shared" si="0"/>
        <v>9</v>
      </c>
      <c r="C10" s="236">
        <f t="shared" si="1"/>
        <v>2019</v>
      </c>
      <c r="D10" s="239">
        <f>AVERAGEIFS('LCFS Table'!H$3:H$400,'LCFS Table'!$CX$3:$CX$400,'Profit-Production Chart Data'!$B10,'LCFS Table'!$CY$3:$CY$400,'Profit-Production Chart Data'!$C10)</f>
        <v>0.30907017578125023</v>
      </c>
      <c r="E10" s="239">
        <f>AVERAGEIFS('LCFS Table'!G$3:G$400,'LCFS Table'!$CX$3:$CX$400,'Profit-Production Chart Data'!$B10,'LCFS Table'!$CY$3:$CY$400,'Profit-Production Chart Data'!$C10)</f>
        <v>2.9421584972922523</v>
      </c>
    </row>
    <row r="11" spans="1:5" ht="15.75">
      <c r="A11" s="238">
        <v>43739</v>
      </c>
      <c r="B11" s="236">
        <f t="shared" si="0"/>
        <v>10</v>
      </c>
      <c r="C11" s="236">
        <f t="shared" si="1"/>
        <v>2019</v>
      </c>
      <c r="D11" s="239">
        <f>AVERAGEIFS('LCFS Table'!H$3:H$400,'LCFS Table'!$CX$3:$CX$400,'Profit-Production Chart Data'!$B11,'LCFS Table'!$CY$3:$CY$400,'Profit-Production Chart Data'!$C11)</f>
        <v>0.21626386718749971</v>
      </c>
      <c r="E11" s="239">
        <f>AVERAGEIFS('LCFS Table'!G$3:G$400,'LCFS Table'!$CX$3:$CX$400,'Profit-Production Chart Data'!$B11,'LCFS Table'!$CY$3:$CY$400,'Profit-Production Chart Data'!$C11)</f>
        <v>3.161954647223896</v>
      </c>
    </row>
    <row r="12" spans="1:5" ht="15.75">
      <c r="A12" s="238">
        <v>43770</v>
      </c>
      <c r="B12" s="236">
        <f t="shared" si="0"/>
        <v>11</v>
      </c>
      <c r="C12" s="236">
        <f t="shared" si="1"/>
        <v>2019</v>
      </c>
      <c r="D12" s="239">
        <f>AVERAGEIFS('LCFS Table'!H$3:H$400,'LCFS Table'!$CX$3:$CX$400,'Profit-Production Chart Data'!$B12,'LCFS Table'!$CY$3:$CY$400,'Profit-Production Chart Data'!$C12)</f>
        <v>0.24853543593749991</v>
      </c>
      <c r="E12" s="239">
        <f>AVERAGEIFS('LCFS Table'!G$3:G$400,'LCFS Table'!$CX$3:$CX$400,'Profit-Production Chart Data'!$B12,'LCFS Table'!$CY$3:$CY$400,'Profit-Production Chart Data'!$C12)</f>
        <v>3.3629505995688911</v>
      </c>
    </row>
    <row r="13" spans="1:5" ht="15.75">
      <c r="A13" s="238">
        <v>43800</v>
      </c>
      <c r="B13" s="236">
        <f t="shared" si="0"/>
        <v>12</v>
      </c>
      <c r="C13" s="236">
        <f t="shared" si="1"/>
        <v>2019</v>
      </c>
      <c r="D13" s="239">
        <f>AVERAGEIFS('LCFS Table'!H$3:H$400,'LCFS Table'!$CX$3:$CX$400,'Profit-Production Chart Data'!$B13,'LCFS Table'!$CY$3:$CY$400,'Profit-Production Chart Data'!$C13)</f>
        <v>0.19867684570312527</v>
      </c>
      <c r="E13" s="239">
        <f>AVERAGEIFS('LCFS Table'!G$3:G$400,'LCFS Table'!$CX$3:$CX$400,'Profit-Production Chart Data'!$B13,'LCFS Table'!$CY$3:$CY$400,'Profit-Production Chart Data'!$C13)</f>
        <v>3.0939278659117337</v>
      </c>
    </row>
    <row r="14" spans="1:5" ht="15.75">
      <c r="A14" s="238">
        <v>43831</v>
      </c>
      <c r="B14" s="236">
        <f t="shared" si="0"/>
        <v>1</v>
      </c>
      <c r="C14" s="236">
        <f t="shared" si="1"/>
        <v>2020</v>
      </c>
      <c r="D14" s="239">
        <f>AVERAGEIFS('LCFS Table'!H$3:H$400,'LCFS Table'!$CX$3:$CX$400,'Profit-Production Chart Data'!$B14,'LCFS Table'!$CY$3:$CY$400,'Profit-Production Chart Data'!$C14)</f>
        <v>7.8307666015625207E-2</v>
      </c>
      <c r="E14" s="239">
        <f>AVERAGEIFS('LCFS Table'!G$3:G$400,'LCFS Table'!$CX$3:$CX$400,'Profit-Production Chart Data'!$B14,'LCFS Table'!$CY$3:$CY$400,'Profit-Production Chart Data'!$C14)</f>
        <v>2.7623783775595525</v>
      </c>
    </row>
    <row r="15" spans="1:5" ht="15.75">
      <c r="A15" s="238">
        <v>43862</v>
      </c>
      <c r="B15" s="236">
        <f t="shared" si="0"/>
        <v>2</v>
      </c>
      <c r="C15" s="236">
        <f>YEAR(A15)</f>
        <v>2020</v>
      </c>
      <c r="D15" s="239">
        <f>AVERAGEIFS('LCFS Table'!H$3:H$400,'LCFS Table'!$CX$3:$CX$400,'Profit-Production Chart Data'!$B15,'LCFS Table'!$CY$3:$CY$400,'Profit-Production Chart Data'!$C15)</f>
        <v>0.12987765043749994</v>
      </c>
      <c r="E15" s="239">
        <f>AVERAGEIFS('LCFS Table'!G$3:G$400,'LCFS Table'!$CX$3:$CX$400,'Profit-Production Chart Data'!$B15,'LCFS Table'!$CY$3:$CY$400,'Profit-Production Chart Data'!$C15)</f>
        <v>2.34728112654187</v>
      </c>
    </row>
    <row r="16" spans="1:5" ht="15.75">
      <c r="A16" s="238">
        <v>43891</v>
      </c>
      <c r="B16" s="236">
        <f t="shared" si="0"/>
        <v>3</v>
      </c>
      <c r="C16" s="236">
        <f t="shared" si="1"/>
        <v>2020</v>
      </c>
      <c r="D16" s="239">
        <f>AVERAGEIFS('LCFS Table'!H$3:H$400,'LCFS Table'!$CX$3:$CX$400,'Profit-Production Chart Data'!$B16,'LCFS Table'!$CY$3:$CY$400,'Profit-Production Chart Data'!$C16)</f>
        <v>0.318521484375</v>
      </c>
      <c r="E16" s="239">
        <f>AVERAGEIFS('LCFS Table'!G$3:G$400,'LCFS Table'!$CX$3:$CX$400,'Profit-Production Chart Data'!$B16,'LCFS Table'!$CY$3:$CY$400,'Profit-Production Chart Data'!$C16)</f>
        <v>1.87472491902821</v>
      </c>
    </row>
    <row r="17" spans="1:5" ht="15.75">
      <c r="A17" s="238">
        <v>43922</v>
      </c>
      <c r="B17" s="236">
        <f t="shared" si="0"/>
        <v>4</v>
      </c>
      <c r="C17" s="236">
        <f t="shared" si="1"/>
        <v>2020</v>
      </c>
      <c r="D17" s="239">
        <f>AVERAGEIFS('LCFS Table'!H$3:H$400,'LCFS Table'!$CX$3:$CX$400,'Profit-Production Chart Data'!$B17,'LCFS Table'!$CY$3:$CY$400,'Profit-Production Chart Data'!$C17)</f>
        <v>0.46066177734375013</v>
      </c>
      <c r="E17" s="239">
        <f>AVERAGEIFS('LCFS Table'!G$3:G$400,'LCFS Table'!$CX$3:$CX$400,'Profit-Production Chart Data'!$B17,'LCFS Table'!$CY$3:$CY$400,'Profit-Production Chart Data'!$C17)</f>
        <v>1.6921815657901746</v>
      </c>
    </row>
    <row r="18" spans="1:5" ht="15.75">
      <c r="A18" s="238">
        <v>43952</v>
      </c>
      <c r="B18" s="236">
        <f t="shared" si="0"/>
        <v>5</v>
      </c>
      <c r="C18" s="236">
        <f t="shared" si="1"/>
        <v>2020</v>
      </c>
      <c r="D18" s="239">
        <f>AVERAGEIFS('LCFS Table'!H$3:H$400,'LCFS Table'!$CX$3:$CX$400,'Profit-Production Chart Data'!$B18,'LCFS Table'!$CY$3:$CY$400,'Profit-Production Chart Data'!$C18)</f>
        <v>0.49430810937500003</v>
      </c>
      <c r="E18" s="239">
        <f>AVERAGEIFS('LCFS Table'!G$3:G$400,'LCFS Table'!$CX$3:$CX$400,'Profit-Production Chart Data'!$B18,'LCFS Table'!$CY$3:$CY$400,'Profit-Production Chart Data'!$C18)</f>
        <v>1.6525784740675509</v>
      </c>
    </row>
    <row r="19" spans="1:5" ht="15.75">
      <c r="A19" s="238">
        <v>43983</v>
      </c>
      <c r="B19" s="236">
        <f t="shared" si="0"/>
        <v>6</v>
      </c>
      <c r="C19" s="236">
        <f t="shared" si="1"/>
        <v>2020</v>
      </c>
      <c r="D19" s="239">
        <f>AVERAGEIFS('LCFS Table'!H$3:H$400,'LCFS Table'!$CX$3:$CX$400,'Profit-Production Chart Data'!$B19,'LCFS Table'!$CY$3:$CY$400,'Profit-Production Chart Data'!$C19)</f>
        <v>0.51622007812500015</v>
      </c>
      <c r="E19" s="239">
        <f>AVERAGEIFS('LCFS Table'!G$3:G$400,'LCFS Table'!$CX$3:$CX$400,'Profit-Production Chart Data'!$B19,'LCFS Table'!$CY$3:$CY$400,'Profit-Production Chart Data'!$C19)</f>
        <v>2.3463817306336043</v>
      </c>
    </row>
    <row r="20" spans="1:5" ht="15.75">
      <c r="A20" s="238">
        <v>44013</v>
      </c>
      <c r="B20" s="236">
        <f t="shared" si="0"/>
        <v>7</v>
      </c>
      <c r="C20" s="236">
        <f t="shared" si="1"/>
        <v>2020</v>
      </c>
      <c r="D20" s="239">
        <f>AVERAGEIFS('LCFS Table'!H$3:H$400,'LCFS Table'!$CX$3:$CX$400,'Profit-Production Chart Data'!$B20,'LCFS Table'!$CY$3:$CY$400,'Profit-Production Chart Data'!$C20)</f>
        <v>0.48591327148437513</v>
      </c>
      <c r="E20" s="239">
        <f>AVERAGEIFS('LCFS Table'!G$3:G$400,'LCFS Table'!$CX$3:$CX$400,'Profit-Production Chart Data'!$B20,'LCFS Table'!$CY$3:$CY$400,'Profit-Production Chart Data'!$C20)</f>
        <v>2.5125428891441501</v>
      </c>
    </row>
    <row r="21" spans="1:5" ht="15.75">
      <c r="A21" s="238">
        <v>44044</v>
      </c>
      <c r="B21" s="236">
        <f t="shared" si="0"/>
        <v>8</v>
      </c>
      <c r="C21" s="236">
        <f t="shared" si="1"/>
        <v>2020</v>
      </c>
      <c r="D21" s="239">
        <f>AVERAGEIFS('LCFS Table'!H$3:H$400,'LCFS Table'!$CX$3:$CX$400,'Profit-Production Chart Data'!$B21,'LCFS Table'!$CY$3:$CY$400,'Profit-Production Chart Data'!$C21)</f>
        <v>0.32128970312500033</v>
      </c>
      <c r="E21" s="239">
        <f>AVERAGEIFS('LCFS Table'!G$3:G$400,'LCFS Table'!$CX$3:$CX$400,'Profit-Production Chart Data'!$B21,'LCFS Table'!$CY$3:$CY$400,'Profit-Production Chart Data'!$C21)</f>
        <v>2.2921425963451778</v>
      </c>
    </row>
    <row r="22" spans="1:5" ht="15.75">
      <c r="A22" s="238">
        <v>44075</v>
      </c>
      <c r="B22" s="236">
        <f t="shared" si="0"/>
        <v>9</v>
      </c>
      <c r="C22" s="236">
        <f t="shared" si="1"/>
        <v>2020</v>
      </c>
      <c r="D22" s="239">
        <f>AVERAGEIFS('LCFS Table'!H$3:H$400,'LCFS Table'!$CX$3:$CX$400,'Profit-Production Chart Data'!$B22,'LCFS Table'!$CY$3:$CY$400,'Profit-Production Chart Data'!$C22)</f>
        <v>0.40326930664062521</v>
      </c>
      <c r="E22" s="239">
        <f>AVERAGEIFS('LCFS Table'!G$3:G$400,'LCFS Table'!$CX$3:$CX$400,'Profit-Production Chart Data'!$B22,'LCFS Table'!$CY$3:$CY$400,'Profit-Production Chart Data'!$C22)</f>
        <v>2.2927496283470639</v>
      </c>
    </row>
    <row r="23" spans="1:5" ht="15.75">
      <c r="A23" s="238">
        <v>44105</v>
      </c>
      <c r="B23" s="236">
        <f t="shared" si="0"/>
        <v>10</v>
      </c>
      <c r="C23" s="236">
        <f t="shared" si="1"/>
        <v>2020</v>
      </c>
      <c r="D23" s="239">
        <f>AVERAGEIFS('LCFS Table'!H$3:H$400,'LCFS Table'!$CX$3:$CX$400,'Profit-Production Chart Data'!$B23,'LCFS Table'!$CY$3:$CY$400,'Profit-Production Chart Data'!$C23)</f>
        <v>0.51155395312500007</v>
      </c>
      <c r="E23" s="239">
        <f>AVERAGEIFS('LCFS Table'!G$3:G$400,'LCFS Table'!$CX$3:$CX$400,'Profit-Production Chart Data'!$B23,'LCFS Table'!$CY$3:$CY$400,'Profit-Production Chart Data'!$C23)</f>
        <v>2.2604731313147619</v>
      </c>
    </row>
    <row r="24" spans="1:5" ht="15.75">
      <c r="A24" s="238">
        <v>44136</v>
      </c>
      <c r="B24" s="236">
        <f t="shared" si="0"/>
        <v>11</v>
      </c>
      <c r="C24" s="236">
        <f t="shared" si="1"/>
        <v>2020</v>
      </c>
      <c r="D24" s="239">
        <f>AVERAGEIFS('LCFS Table'!H$3:H$400,'LCFS Table'!$CX$3:$CX$400,'Profit-Production Chart Data'!$B24,'LCFS Table'!$CY$3:$CY$400,'Profit-Production Chart Data'!$C24)</f>
        <v>0.42481586914062491</v>
      </c>
      <c r="E24" s="239">
        <f>AVERAGEIFS('LCFS Table'!G$3:G$400,'LCFS Table'!$CX$3:$CX$400,'Profit-Production Chart Data'!$B24,'LCFS Table'!$CY$3:$CY$400,'Profit-Production Chart Data'!$C24)</f>
        <v>2.4727279497464059</v>
      </c>
    </row>
    <row r="25" spans="1:5" ht="15.75">
      <c r="A25" s="238">
        <v>44166</v>
      </c>
      <c r="B25" s="236">
        <f t="shared" si="0"/>
        <v>12</v>
      </c>
      <c r="C25" s="236">
        <f t="shared" si="1"/>
        <v>2020</v>
      </c>
      <c r="D25" s="239">
        <f>AVERAGEIFS('LCFS Table'!H$3:H$400,'LCFS Table'!$CX$3:$CX$400,'Profit-Production Chart Data'!$B25,'LCFS Table'!$CY$3:$CY$400,'Profit-Production Chart Data'!$C25)</f>
        <v>0.4441492675781249</v>
      </c>
      <c r="E25" s="239">
        <f>AVERAGEIFS('LCFS Table'!G$3:G$400,'LCFS Table'!$CX$3:$CX$400,'Profit-Production Chart Data'!$B25,'LCFS Table'!$CY$3:$CY$400,'Profit-Production Chart Data'!$C25)</f>
        <v>2.6336432469151547</v>
      </c>
    </row>
    <row r="26" spans="1:5" ht="15.75">
      <c r="A26" s="238">
        <v>44197</v>
      </c>
      <c r="B26" s="236">
        <f t="shared" si="0"/>
        <v>1</v>
      </c>
      <c r="C26" s="236">
        <f t="shared" si="1"/>
        <v>2021</v>
      </c>
      <c r="D26" s="239">
        <f>AVERAGEIFS('LCFS Table'!H$3:H$400,'LCFS Table'!$CX$3:$CX$400,'Profit-Production Chart Data'!$B26,'LCFS Table'!$CY$3:$CY$400,'Profit-Production Chart Data'!$C26)</f>
        <v>0.38612319531249994</v>
      </c>
      <c r="E26" s="239">
        <f>AVERAGEIFS('LCFS Table'!G$3:G$400,'LCFS Table'!$CX$3:$CX$400,'Profit-Production Chart Data'!$B26,'LCFS Table'!$CY$3:$CY$400,'Profit-Production Chart Data'!$C26)</f>
        <v>2.5535517233651159</v>
      </c>
    </row>
    <row r="27" spans="1:5" ht="15.75">
      <c r="A27" s="238">
        <v>44228</v>
      </c>
      <c r="B27" s="236">
        <f t="shared" si="0"/>
        <v>2</v>
      </c>
      <c r="C27" s="236">
        <f t="shared" si="1"/>
        <v>2021</v>
      </c>
      <c r="D27" s="239">
        <f>AVERAGEIFS('LCFS Table'!H$3:H$400,'LCFS Table'!$CX$3:$CX$400,'Profit-Production Chart Data'!$B27,'LCFS Table'!$CY$3:$CY$400,'Profit-Production Chart Data'!$C27)</f>
        <v>0.48357373046875041</v>
      </c>
      <c r="E27" s="239">
        <f>AVERAGEIFS('LCFS Table'!G$3:G$400,'LCFS Table'!$CX$3:$CX$400,'Profit-Production Chart Data'!$B27,'LCFS Table'!$CY$3:$CY$400,'Profit-Production Chart Data'!$C27)</f>
        <v>2.5698286546840863</v>
      </c>
    </row>
    <row r="28" spans="1:5" ht="15.75">
      <c r="A28" s="238">
        <v>44256</v>
      </c>
      <c r="B28" s="236">
        <f t="shared" si="0"/>
        <v>3</v>
      </c>
      <c r="C28" s="236">
        <f t="shared" si="1"/>
        <v>2021</v>
      </c>
      <c r="D28" s="239">
        <f>AVERAGEIFS('LCFS Table'!H$3:H$400,'LCFS Table'!$CX$3:$CX$400,'Profit-Production Chart Data'!$B28,'LCFS Table'!$CY$3:$CY$400,'Profit-Production Chart Data'!$C28)</f>
        <v>0.25950019531249985</v>
      </c>
      <c r="E28" s="239">
        <f>AVERAGEIFS('LCFS Table'!G$3:G$400,'LCFS Table'!$CX$3:$CX$400,'Profit-Production Chart Data'!$B28,'LCFS Table'!$CY$3:$CY$400,'Profit-Production Chart Data'!$C28)</f>
        <v>2.7795708868212681</v>
      </c>
    </row>
    <row r="29" spans="1:5" ht="15.75">
      <c r="A29" s="238">
        <v>44287</v>
      </c>
      <c r="B29" s="236">
        <f t="shared" si="0"/>
        <v>4</v>
      </c>
      <c r="C29" s="236">
        <f t="shared" si="1"/>
        <v>2021</v>
      </c>
      <c r="D29" s="239">
        <f>AVERAGEIFS('LCFS Table'!H$3:H$400,'LCFS Table'!$CX$3:$CX$400,'Profit-Production Chart Data'!$B29,'LCFS Table'!$CY$3:$CY$400,'Profit-Production Chart Data'!$C29)</f>
        <v>0.22841440429687454</v>
      </c>
      <c r="E29" s="239">
        <f>AVERAGEIFS('LCFS Table'!G$3:G$400,'LCFS Table'!$CX$3:$CX$400,'Profit-Production Chart Data'!$B29,'LCFS Table'!$CY$3:$CY$400,'Profit-Production Chart Data'!$C29)</f>
        <v>2.4943223595551798</v>
      </c>
    </row>
    <row r="30" spans="1:5" ht="15.75">
      <c r="A30" s="238">
        <v>44317</v>
      </c>
      <c r="B30" s="236">
        <f t="shared" si="0"/>
        <v>5</v>
      </c>
      <c r="C30" s="236">
        <f t="shared" si="1"/>
        <v>2021</v>
      </c>
      <c r="D30" s="239">
        <f>AVERAGEIFS('LCFS Table'!H$3:H$400,'LCFS Table'!$CX$3:$CX$400,'Profit-Production Chart Data'!$B30,'LCFS Table'!$CY$3:$CY$400,'Profit-Production Chart Data'!$C30)</f>
        <v>-0.78270078125000031</v>
      </c>
      <c r="E30" s="239">
        <f>AVERAGEIFS('LCFS Table'!G$3:G$400,'LCFS Table'!$CX$3:$CX$400,'Profit-Production Chart Data'!$B30,'LCFS Table'!$CY$3:$CY$400,'Profit-Production Chart Data'!$C30)</f>
        <v>3.3620200825924513</v>
      </c>
    </row>
    <row r="31" spans="1:5" ht="15.75">
      <c r="A31" s="238">
        <v>44348</v>
      </c>
      <c r="B31" s="236">
        <f t="shared" si="0"/>
        <v>6</v>
      </c>
      <c r="C31" s="236">
        <f t="shared" si="1"/>
        <v>2021</v>
      </c>
      <c r="D31" s="239">
        <f>AVERAGEIFS('LCFS Table'!H$3:H$400,'LCFS Table'!$CX$3:$CX$400,'Profit-Production Chart Data'!$B31,'LCFS Table'!$CY$3:$CY$400,'Profit-Production Chart Data'!$C31)</f>
        <v>-0.80581544921875059</v>
      </c>
      <c r="E31" s="239">
        <f>AVERAGEIFS('LCFS Table'!G$3:G$400,'LCFS Table'!$CX$3:$CX$400,'Profit-Production Chart Data'!$B31,'LCFS Table'!$CY$3:$CY$400,'Profit-Production Chart Data'!$C31)</f>
        <v>3.1953934660263252</v>
      </c>
    </row>
    <row r="32" spans="1:5" ht="15.75">
      <c r="A32" s="238">
        <v>44378</v>
      </c>
      <c r="B32" s="236">
        <f t="shared" si="0"/>
        <v>7</v>
      </c>
      <c r="C32" s="236">
        <f t="shared" si="1"/>
        <v>2021</v>
      </c>
      <c r="D32" s="239">
        <f>AVERAGEIFS('LCFS Table'!H$3:H$400,'LCFS Table'!$CX$3:$CX$400,'Profit-Production Chart Data'!$B32,'LCFS Table'!$CY$3:$CY$400,'Profit-Production Chart Data'!$C32)</f>
        <v>-0.59549066406249929</v>
      </c>
      <c r="E32" s="239">
        <f>AVERAGEIFS('LCFS Table'!G$3:G$400,'LCFS Table'!$CX$3:$CX$400,'Profit-Production Chart Data'!$B32,'LCFS Table'!$CY$3:$CY$400,'Profit-Production Chart Data'!$C32)</f>
        <v>2.6278055963040594</v>
      </c>
    </row>
    <row r="33" spans="1:5" ht="15.75">
      <c r="A33" s="238">
        <v>44409</v>
      </c>
      <c r="B33" s="236">
        <f t="shared" si="0"/>
        <v>8</v>
      </c>
      <c r="C33" s="236">
        <f t="shared" si="1"/>
        <v>2021</v>
      </c>
      <c r="D33" s="239">
        <f>AVERAGEIFS('LCFS Table'!H$3:H$400,'LCFS Table'!$CX$3:$CX$400,'Profit-Production Chart Data'!$B33,'LCFS Table'!$CY$3:$CY$400,'Profit-Production Chart Data'!$C33)</f>
        <v>-7.5037695312500152E-2</v>
      </c>
      <c r="E33" s="239">
        <f>AVERAGEIFS('LCFS Table'!G$3:G$400,'LCFS Table'!$CX$3:$CX$400,'Profit-Production Chart Data'!$B33,'LCFS Table'!$CY$3:$CY$400,'Profit-Production Chart Data'!$C33)</f>
        <v>2.4059289364402536</v>
      </c>
    </row>
    <row r="34" spans="1:5" ht="15.75">
      <c r="A34" s="238">
        <v>44440</v>
      </c>
      <c r="B34" s="236">
        <f t="shared" si="0"/>
        <v>9</v>
      </c>
      <c r="C34" s="236">
        <f t="shared" si="1"/>
        <v>2021</v>
      </c>
      <c r="D34" s="239">
        <f>AVERAGEIFS('LCFS Table'!H$3:H$400,'LCFS Table'!$CX$3:$CX$400,'Profit-Production Chart Data'!$B34,'LCFS Table'!$CY$3:$CY$400,'Profit-Production Chart Data'!$C34)</f>
        <v>0.17308232421875025</v>
      </c>
      <c r="E34" s="239">
        <f>AVERAGEIFS('LCFS Table'!G$3:G$400,'LCFS Table'!$CX$3:$CX$400,'Profit-Production Chart Data'!$B34,'LCFS Table'!$CY$3:$CY$400,'Profit-Production Chart Data'!$C34)</f>
        <v>2.3109276738437128</v>
      </c>
    </row>
    <row r="35" spans="1:5" ht="15.75">
      <c r="A35" s="238">
        <v>44470</v>
      </c>
      <c r="B35" s="236">
        <f t="shared" si="0"/>
        <v>10</v>
      </c>
      <c r="C35" s="236">
        <f t="shared" si="1"/>
        <v>2021</v>
      </c>
      <c r="D35" s="239">
        <f>AVERAGEIFS('LCFS Table'!H$3:H$400,'LCFS Table'!$CX$3:$CX$400,'Profit-Production Chart Data'!$B35,'LCFS Table'!$CY$3:$CY$400,'Profit-Production Chart Data'!$C35)</f>
        <v>-4.4291453124999866E-2</v>
      </c>
      <c r="E35" s="239">
        <f>AVERAGEIFS('LCFS Table'!G$3:G$400,'LCFS Table'!$CX$3:$CX$400,'Profit-Production Chart Data'!$B35,'LCFS Table'!$CY$3:$CY$400,'Profit-Production Chart Data'!$C35)</f>
        <v>2.3438349461471057</v>
      </c>
    </row>
    <row r="36" spans="1:5" ht="15.75">
      <c r="A36" s="238">
        <v>44501</v>
      </c>
      <c r="B36" s="236">
        <f t="shared" si="0"/>
        <v>11</v>
      </c>
      <c r="C36" s="236">
        <f t="shared" si="1"/>
        <v>2021</v>
      </c>
      <c r="D36" s="239">
        <f>AVERAGEIFS('LCFS Table'!H$3:H$400,'LCFS Table'!$CX$3:$CX$400,'Profit-Production Chart Data'!$B36,'LCFS Table'!$CY$3:$CY$400,'Profit-Production Chart Data'!$C36)</f>
        <v>0.29745240429687453</v>
      </c>
      <c r="E36" s="239">
        <f>AVERAGEIFS('LCFS Table'!G$3:G$400,'LCFS Table'!$CX$3:$CX$400,'Profit-Production Chart Data'!$B36,'LCFS Table'!$CY$3:$CY$400,'Profit-Production Chart Data'!$C36)</f>
        <v>1.9254162523422698</v>
      </c>
    </row>
    <row r="37" spans="1:5" ht="15.75">
      <c r="A37" s="238">
        <v>44531</v>
      </c>
      <c r="B37" s="236">
        <f t="shared" si="0"/>
        <v>12</v>
      </c>
      <c r="C37" s="236">
        <f t="shared" si="1"/>
        <v>2021</v>
      </c>
      <c r="D37" s="239">
        <f>AVERAGEIFS('LCFS Table'!H$3:H$400,'LCFS Table'!$CX$3:$CX$400,'Profit-Production Chart Data'!$B37,'LCFS Table'!$CY$3:$CY$400,'Profit-Production Chart Data'!$C37)</f>
        <v>0.36822954101562427</v>
      </c>
      <c r="E37" s="239">
        <f>AVERAGEIFS('LCFS Table'!G$3:G$400,'LCFS Table'!$CX$3:$CX$400,'Profit-Production Chart Data'!$B37,'LCFS Table'!$CY$3:$CY$400,'Profit-Production Chart Data'!$C37)</f>
        <v>1.9623688375730379</v>
      </c>
    </row>
    <row r="38" spans="1:5" ht="15.75">
      <c r="A38" s="238">
        <v>44562</v>
      </c>
      <c r="B38" s="236">
        <f t="shared" si="0"/>
        <v>1</v>
      </c>
      <c r="C38" s="236">
        <f t="shared" si="1"/>
        <v>2022</v>
      </c>
      <c r="D38" s="239">
        <f>AVERAGEIFS('LCFS Table'!H$3:H$400,'LCFS Table'!$CX$3:$CX$400,'Profit-Production Chart Data'!$B38,'LCFS Table'!$CY$3:$CY$400,'Profit-Production Chart Data'!$C38)</f>
        <v>0.20728572656250041</v>
      </c>
      <c r="E38" s="239">
        <f>AVERAGEIFS('LCFS Table'!G$3:G$400,'LCFS Table'!$CX$3:$CX$400,'Profit-Production Chart Data'!$B38,'LCFS Table'!$CY$3:$CY$400,'Profit-Production Chart Data'!$C38)</f>
        <v>1.954574986704511</v>
      </c>
    </row>
    <row r="39" spans="1:5" ht="15.75">
      <c r="A39" s="238">
        <v>44593</v>
      </c>
      <c r="B39" s="236">
        <f t="shared" si="0"/>
        <v>2</v>
      </c>
      <c r="C39" s="236">
        <f t="shared" si="1"/>
        <v>2022</v>
      </c>
      <c r="D39" s="239">
        <f>AVERAGEIFS('LCFS Table'!H$3:H$400,'LCFS Table'!$CX$3:$CX$400,'Profit-Production Chart Data'!$B39,'LCFS Table'!$CY$3:$CY$400,'Profit-Production Chart Data'!$C39)</f>
        <v>0.32033804687500023</v>
      </c>
      <c r="E39" s="239">
        <f>AVERAGEIFS('LCFS Table'!G$3:G$400,'LCFS Table'!$CX$3:$CX$400,'Profit-Production Chart Data'!$B39,'LCFS Table'!$CY$3:$CY$400,'Profit-Production Chart Data'!$C39)</f>
        <v>1.923519063224236</v>
      </c>
    </row>
    <row r="40" spans="1:5" ht="15.75">
      <c r="A40" s="238">
        <v>44621</v>
      </c>
      <c r="B40" s="236">
        <f t="shared" si="0"/>
        <v>3</v>
      </c>
      <c r="C40" s="236">
        <f t="shared" si="1"/>
        <v>2022</v>
      </c>
      <c r="D40" s="239">
        <f>AVERAGEIFS('LCFS Table'!H$3:H$400,'LCFS Table'!$CX$3:$CX$400,'Profit-Production Chart Data'!$B40,'LCFS Table'!$CY$3:$CY$400,'Profit-Production Chart Data'!$C40)</f>
        <v>7.2898164062499632E-2</v>
      </c>
      <c r="E40" s="239">
        <f>AVERAGEIFS('LCFS Table'!G$3:G$400,'LCFS Table'!$CX$3:$CX$400,'Profit-Production Chart Data'!$B40,'LCFS Table'!$CY$3:$CY$400,'Profit-Production Chart Data'!$C40)</f>
        <v>2.2743834143490371</v>
      </c>
    </row>
    <row r="41" spans="1:5" ht="15.75">
      <c r="A41" s="238">
        <v>44652</v>
      </c>
      <c r="B41" s="236">
        <f t="shared" si="0"/>
        <v>4</v>
      </c>
      <c r="C41" s="236">
        <f t="shared" si="1"/>
        <v>2022</v>
      </c>
      <c r="D41" s="239">
        <f>AVERAGEIFS('LCFS Table'!H$3:H$400,'LCFS Table'!$CX$3:$CX$400,'Profit-Production Chart Data'!$B41,'LCFS Table'!$CY$3:$CY$400,'Profit-Production Chart Data'!$C41)</f>
        <v>0.4831014453125001</v>
      </c>
      <c r="E41" s="239">
        <f>AVERAGEIFS('LCFS Table'!G$3:G$400,'LCFS Table'!$CX$3:$CX$400,'Profit-Production Chart Data'!$B41,'LCFS Table'!$CY$3:$CY$400,'Profit-Production Chart Data'!$C41)</f>
        <v>2.6493530361076125</v>
      </c>
    </row>
    <row r="42" spans="1:5" ht="15.75">
      <c r="A42" s="238">
        <v>44682</v>
      </c>
      <c r="B42" s="236">
        <f t="shared" si="0"/>
        <v>5</v>
      </c>
      <c r="C42" s="236">
        <f t="shared" si="1"/>
        <v>2022</v>
      </c>
      <c r="D42" s="239">
        <f>AVERAGEIFS('LCFS Table'!H$3:H$400,'LCFS Table'!$CX$3:$CX$400,'Profit-Production Chart Data'!$B42,'LCFS Table'!$CY$3:$CY$400,'Profit-Production Chart Data'!$C42)</f>
        <v>0.11767703125000054</v>
      </c>
      <c r="E42" s="239">
        <f>AVERAGEIFS('LCFS Table'!G$3:G$400,'LCFS Table'!$CX$3:$CX$400,'Profit-Production Chart Data'!$B42,'LCFS Table'!$CY$3:$CY$400,'Profit-Production Chart Data'!$C42)</f>
        <v>2.6700832716098173</v>
      </c>
    </row>
    <row r="43" spans="1:5" ht="15.75">
      <c r="A43" s="238">
        <v>44713</v>
      </c>
      <c r="B43" s="236">
        <f t="shared" si="0"/>
        <v>6</v>
      </c>
      <c r="C43" s="236">
        <f t="shared" si="1"/>
        <v>2022</v>
      </c>
      <c r="D43" s="239">
        <f>AVERAGEIFS('LCFS Table'!H$3:H$400,'LCFS Table'!$CX$3:$CX$400,'Profit-Production Chart Data'!$B43,'LCFS Table'!$CY$3:$CY$400,'Profit-Production Chart Data'!$C43)</f>
        <v>0.27459118164062479</v>
      </c>
      <c r="E43" s="239">
        <f>AVERAGEIFS('LCFS Table'!G$3:G$400,'LCFS Table'!$CX$3:$CX$400,'Profit-Production Chart Data'!$B43,'LCFS Table'!$CY$3:$CY$400,'Profit-Production Chart Data'!$C43)</f>
        <v>2.7512809391405337</v>
      </c>
    </row>
    <row r="44" spans="1:5" ht="15.75">
      <c r="A44" s="238">
        <v>44743</v>
      </c>
      <c r="B44" s="236">
        <f t="shared" si="0"/>
        <v>7</v>
      </c>
      <c r="C44" s="236">
        <f t="shared" si="1"/>
        <v>2022</v>
      </c>
      <c r="D44" s="239">
        <f>AVERAGEIFS('LCFS Table'!H$3:H$400,'LCFS Table'!$CX$3:$CX$400,'Profit-Production Chart Data'!$B44,'LCFS Table'!$CY$3:$CY$400,'Profit-Production Chart Data'!$C44)</f>
        <v>1.0311620703124995</v>
      </c>
      <c r="E44" s="239">
        <f>AVERAGEIFS('LCFS Table'!G$3:G$400,'LCFS Table'!$CX$3:$CX$400,'Profit-Production Chart Data'!$B44,'LCFS Table'!$CY$3:$CY$400,'Profit-Production Chart Data'!$C44)</f>
        <v>2.3450298610328142</v>
      </c>
    </row>
    <row r="45" spans="1:5" ht="15.75">
      <c r="A45" s="238">
        <v>44774</v>
      </c>
      <c r="B45" s="236">
        <f t="shared" si="0"/>
        <v>8</v>
      </c>
      <c r="C45" s="236">
        <f t="shared" si="1"/>
        <v>2022</v>
      </c>
      <c r="D45" s="239">
        <f>AVERAGEIFS('LCFS Table'!H$3:H$400,'LCFS Table'!$CX$3:$CX$400,'Profit-Production Chart Data'!$B45,'LCFS Table'!$CY$3:$CY$400,'Profit-Production Chart Data'!$C45)</f>
        <v>0.79750257812499969</v>
      </c>
      <c r="E45" s="239">
        <f>AVERAGEIFS('LCFS Table'!G$3:G$400,'LCFS Table'!$CX$3:$CX$400,'Profit-Production Chart Data'!$B45,'LCFS Table'!$CY$3:$CY$400,'Profit-Production Chart Data'!$C45)</f>
        <v>2.3688001307179283</v>
      </c>
    </row>
    <row r="46" spans="1:5" ht="15.75">
      <c r="A46" s="238">
        <v>44805</v>
      </c>
      <c r="B46" s="236">
        <f t="shared" si="0"/>
        <v>9</v>
      </c>
      <c r="C46" s="236">
        <f t="shared" si="1"/>
        <v>2022</v>
      </c>
      <c r="D46" s="239">
        <f>AVERAGEIFS('LCFS Table'!H$3:H$400,'LCFS Table'!$CX$3:$CX$400,'Profit-Production Chart Data'!$B46,'LCFS Table'!$CY$3:$CY$400,'Profit-Production Chart Data'!$C46)</f>
        <v>0.99801367187499979</v>
      </c>
      <c r="E46" s="239">
        <f>AVERAGEIFS('LCFS Table'!G$3:G$400,'LCFS Table'!$CX$3:$CX$400,'Profit-Production Chart Data'!$B46,'LCFS Table'!$CY$3:$CY$400,'Profit-Production Chart Data'!$C46)</f>
        <v>2.2464463616233639</v>
      </c>
    </row>
    <row r="47" spans="1:5" ht="15.75">
      <c r="A47" s="238">
        <v>44835</v>
      </c>
      <c r="B47" s="236">
        <f t="shared" si="0"/>
        <v>10</v>
      </c>
      <c r="C47" s="236">
        <f t="shared" si="1"/>
        <v>2022</v>
      </c>
      <c r="D47" s="239">
        <f>AVERAGEIFS('LCFS Table'!H$3:H$400,'LCFS Table'!$CX$3:$CX$400,'Profit-Production Chart Data'!$B47,'LCFS Table'!$CY$3:$CY$400,'Profit-Production Chart Data'!$C47)</f>
        <v>1.2858740156249993</v>
      </c>
      <c r="E47" s="239">
        <f>AVERAGEIFS('LCFS Table'!G$3:G$400,'LCFS Table'!$CX$3:$CX$400,'Profit-Production Chart Data'!$B47,'LCFS Table'!$CY$3:$CY$400,'Profit-Production Chart Data'!$C47)</f>
        <v>2.6869255032921791</v>
      </c>
    </row>
    <row r="48" spans="1:5" ht="15.75">
      <c r="A48" s="238">
        <v>44866</v>
      </c>
      <c r="B48" s="236">
        <f t="shared" si="0"/>
        <v>11</v>
      </c>
      <c r="C48" s="236">
        <f t="shared" si="1"/>
        <v>2022</v>
      </c>
      <c r="D48" s="239">
        <f>AVERAGEIFS('LCFS Table'!H$3:H$400,'LCFS Table'!$CX$3:$CX$400,'Profit-Production Chart Data'!$B48,'LCFS Table'!$CY$3:$CY$400,'Profit-Production Chart Data'!$C48)</f>
        <v>0.97461835742187442</v>
      </c>
      <c r="E48" s="239">
        <f>AVERAGEIFS('LCFS Table'!G$3:G$400,'LCFS Table'!$CX$3:$CX$400,'Profit-Production Chart Data'!$B48,'LCFS Table'!$CY$3:$CY$400,'Profit-Production Chart Data'!$C48)</f>
        <v>2.5760059684286203</v>
      </c>
    </row>
    <row r="49" spans="1:5" ht="15.75">
      <c r="A49" s="238">
        <v>44896</v>
      </c>
      <c r="B49" s="236">
        <f t="shared" si="0"/>
        <v>12</v>
      </c>
      <c r="C49" s="236">
        <f t="shared" si="1"/>
        <v>2022</v>
      </c>
      <c r="D49" s="239">
        <f>AVERAGEIFS('LCFS Table'!H$3:H$400,'LCFS Table'!$CX$3:$CX$400,'Profit-Production Chart Data'!$B49,'LCFS Table'!$CY$3:$CY$400,'Profit-Production Chart Data'!$C49)</f>
        <v>1.2411080937499996</v>
      </c>
      <c r="E49" s="239">
        <f>AVERAGEIFS('LCFS Table'!G$3:G$400,'LCFS Table'!$CX$3:$CX$400,'Profit-Production Chart Data'!$B49,'LCFS Table'!$CY$3:$CY$400,'Profit-Production Chart Data'!$C49)</f>
        <v>2.0307330607661322</v>
      </c>
    </row>
    <row r="50" spans="1:5" ht="15.75">
      <c r="A50" s="238">
        <v>44927</v>
      </c>
      <c r="B50" s="236">
        <f t="shared" si="0"/>
        <v>1</v>
      </c>
      <c r="C50" s="236">
        <f t="shared" si="1"/>
        <v>2023</v>
      </c>
      <c r="D50" s="239">
        <f>AVERAGEIFS('LCFS Table'!H$3:H$400,'LCFS Table'!$CX$3:$CX$400,'Profit-Production Chart Data'!$B50,'LCFS Table'!$CY$3:$CY$400,'Profit-Production Chart Data'!$C50)</f>
        <v>1.3073287988281252</v>
      </c>
      <c r="E50" s="239">
        <f>AVERAGEIFS('LCFS Table'!G$3:G$400,'LCFS Table'!$CX$3:$CX$400,'Profit-Production Chart Data'!$B50,'LCFS Table'!$CY$3:$CY$400,'Profit-Production Chart Data'!$C50)</f>
        <v>2.0164636266104692</v>
      </c>
    </row>
    <row r="51" spans="1:5" ht="15.75">
      <c r="A51" s="238">
        <v>44958</v>
      </c>
      <c r="B51" s="236">
        <f t="shared" si="0"/>
        <v>2</v>
      </c>
      <c r="C51" s="236">
        <f t="shared" si="1"/>
        <v>2023</v>
      </c>
      <c r="D51" s="239">
        <f>AVERAGEIFS('LCFS Table'!H$3:H$400,'LCFS Table'!$CX$3:$CX$400,'Profit-Production Chart Data'!$B51,'LCFS Table'!$CY$3:$CY$400,'Profit-Production Chart Data'!$C51)</f>
        <v>1.1511378808593742</v>
      </c>
      <c r="E51" s="239">
        <f>AVERAGEIFS('LCFS Table'!G$3:G$400,'LCFS Table'!$CX$3:$CX$400,'Profit-Production Chart Data'!$B51,'LCFS Table'!$CY$3:$CY$400,'Profit-Production Chart Data'!$C51)</f>
        <v>2.2643429802354262</v>
      </c>
    </row>
    <row r="52" spans="1:5" ht="15.75">
      <c r="A52" s="238">
        <v>44986</v>
      </c>
      <c r="B52" s="236">
        <f t="shared" si="0"/>
        <v>3</v>
      </c>
      <c r="C52" s="236">
        <f t="shared" si="1"/>
        <v>2023</v>
      </c>
      <c r="D52" s="239">
        <f>AVERAGEIFS('LCFS Table'!H$3:H$400,'LCFS Table'!$CX$3:$CX$400,'Profit-Production Chart Data'!$B52,'LCFS Table'!$CY$3:$CY$400,'Profit-Production Chart Data'!$C52)</f>
        <v>0.87526437499999998</v>
      </c>
      <c r="E52" s="239">
        <f>AVERAGEIFS('LCFS Table'!G$3:G$400,'LCFS Table'!$CX$3:$CX$400,'Profit-Production Chart Data'!$B52,'LCFS Table'!$CY$3:$CY$400,'Profit-Production Chart Data'!$C52)</f>
        <v>2.5072819481690791</v>
      </c>
    </row>
    <row r="53" spans="1:5" ht="15.75">
      <c r="A53" s="238">
        <v>45017</v>
      </c>
      <c r="B53" s="236">
        <f t="shared" si="0"/>
        <v>4</v>
      </c>
      <c r="C53" s="236">
        <f t="shared" si="1"/>
        <v>2023</v>
      </c>
      <c r="D53" s="239">
        <f>AVERAGEIFS('LCFS Table'!H$3:H$400,'LCFS Table'!$CX$3:$CX$400,'Profit-Production Chart Data'!$B53,'LCFS Table'!$CY$3:$CY$400,'Profit-Production Chart Data'!$C53)</f>
        <v>0.62540899218750001</v>
      </c>
      <c r="E53" s="239">
        <f>AVERAGEIFS('LCFS Table'!G$3:G$400,'LCFS Table'!$CX$3:$CX$400,'Profit-Production Chart Data'!$B53,'LCFS Table'!$CY$3:$CY$400,'Profit-Production Chart Data'!$C53)</f>
        <v>2.5041132465928277</v>
      </c>
    </row>
    <row r="54" spans="1:5" ht="15.75">
      <c r="A54" s="238">
        <v>45047</v>
      </c>
      <c r="B54" s="236">
        <f t="shared" si="0"/>
        <v>5</v>
      </c>
      <c r="C54" s="236">
        <f t="shared" si="1"/>
        <v>2023</v>
      </c>
      <c r="D54" s="239">
        <f>AVERAGEIFS('LCFS Table'!H$3:H$400,'LCFS Table'!$CX$3:$CX$400,'Profit-Production Chart Data'!$B54,'LCFS Table'!$CY$3:$CY$400,'Profit-Production Chart Data'!$C54)</f>
        <v>0.66023046875000013</v>
      </c>
      <c r="E54" s="239">
        <f>AVERAGEIFS('LCFS Table'!G$3:G$400,'LCFS Table'!$CX$3:$CX$400,'Profit-Production Chart Data'!$B54,'LCFS Table'!$CY$3:$CY$400,'Profit-Production Chart Data'!$C54)</f>
        <v>2.0087243199721065</v>
      </c>
    </row>
    <row r="55" spans="1:5" ht="15.75">
      <c r="A55" s="238">
        <v>45078</v>
      </c>
      <c r="B55" s="236">
        <f t="shared" si="0"/>
        <v>6</v>
      </c>
      <c r="C55" s="236">
        <f t="shared" si="1"/>
        <v>2023</v>
      </c>
      <c r="D55" s="239">
        <f>AVERAGEIFS('LCFS Table'!H$3:H$400,'LCFS Table'!$CX$3:$CX$400,'Profit-Production Chart Data'!$B55,'LCFS Table'!$CY$3:$CY$400,'Profit-Production Chart Data'!$C55)</f>
        <v>0.1930188476562501</v>
      </c>
      <c r="E55" s="239">
        <f>AVERAGEIFS('LCFS Table'!G$3:G$400,'LCFS Table'!$CX$3:$CX$400,'Profit-Production Chart Data'!$B55,'LCFS Table'!$CY$3:$CY$400,'Profit-Production Chart Data'!$C55)</f>
        <v>1.7053365581225082</v>
      </c>
    </row>
    <row r="56" spans="1:5" ht="15.75">
      <c r="A56" s="238">
        <v>45108</v>
      </c>
      <c r="B56" s="236">
        <f t="shared" si="0"/>
        <v>7</v>
      </c>
      <c r="C56" s="236">
        <f t="shared" si="1"/>
        <v>2023</v>
      </c>
      <c r="D56" s="239">
        <f>AVERAGEIFS('LCFS Table'!H$3:H$400,'LCFS Table'!$CX$3:$CX$400,'Profit-Production Chart Data'!$B56,'LCFS Table'!$CY$3:$CY$400,'Profit-Production Chart Data'!$C56)</f>
        <v>-0.55246213281250056</v>
      </c>
      <c r="E56" s="239">
        <f>AVERAGEIFS('LCFS Table'!G$3:G$400,'LCFS Table'!$CX$3:$CX$400,'Profit-Production Chart Data'!$B56,'LCFS Table'!$CY$3:$CY$400,'Profit-Production Chart Data'!$C56)</f>
        <v>1.5937295282004389</v>
      </c>
    </row>
    <row r="57" spans="1:5" ht="15.75">
      <c r="A57" s="238">
        <v>45139</v>
      </c>
      <c r="B57" s="236">
        <f t="shared" si="0"/>
        <v>8</v>
      </c>
      <c r="C57" s="236">
        <f t="shared" si="1"/>
        <v>2023</v>
      </c>
      <c r="D57" s="239">
        <f>AVERAGEIFS('LCFS Table'!H$3:H$400,'LCFS Table'!$CX$3:$CX$400,'Profit-Production Chart Data'!$B57,'LCFS Table'!$CY$3:$CY$400,'Profit-Production Chart Data'!$C57)</f>
        <v>0.2835313281249992</v>
      </c>
      <c r="E57" s="239">
        <f>AVERAGEIFS('LCFS Table'!G$3:G$400,'LCFS Table'!$CX$3:$CX$400,'Profit-Production Chart Data'!$B57,'LCFS Table'!$CY$3:$CY$400,'Profit-Production Chart Data'!$C57)</f>
        <v>1.9778641278798765</v>
      </c>
    </row>
    <row r="58" spans="1:5" ht="15.75">
      <c r="A58" s="238">
        <v>45170</v>
      </c>
      <c r="B58" s="236">
        <f t="shared" si="0"/>
        <v>9</v>
      </c>
      <c r="C58" s="236">
        <f t="shared" si="1"/>
        <v>2023</v>
      </c>
      <c r="D58" s="239">
        <f>AVERAGEIFS('LCFS Table'!H$3:H$400,'LCFS Table'!$CX$3:$CX$400,'Profit-Production Chart Data'!$B58,'LCFS Table'!$CY$3:$CY$400,'Profit-Production Chart Data'!$C58)</f>
        <v>0.32834207031249962</v>
      </c>
      <c r="E58" s="239">
        <f>AVERAGEIFS('LCFS Table'!G$3:G$400,'LCFS Table'!$CX$3:$CX$400,'Profit-Production Chart Data'!$B58,'LCFS Table'!$CY$3:$CY$400,'Profit-Production Chart Data'!$C58)</f>
        <v>2.1046603232367582</v>
      </c>
    </row>
    <row r="59" spans="1:5" ht="15.75">
      <c r="A59" s="238">
        <v>45200</v>
      </c>
      <c r="B59" s="236">
        <f t="shared" si="0"/>
        <v>10</v>
      </c>
      <c r="C59" s="236">
        <f t="shared" si="1"/>
        <v>2023</v>
      </c>
      <c r="D59" s="239">
        <f>AVERAGEIFS('LCFS Table'!H$3:H$400,'LCFS Table'!$CX$3:$CX$400,'Profit-Production Chart Data'!$B59,'LCFS Table'!$CY$3:$CY$400,'Profit-Production Chart Data'!$C59)</f>
        <v>0.41336191406249939</v>
      </c>
      <c r="E59" s="239">
        <f>AVERAGEIFS('LCFS Table'!G$3:G$400,'LCFS Table'!$CX$3:$CX$400,'Profit-Production Chart Data'!$B59,'LCFS Table'!$CY$3:$CY$400,'Profit-Production Chart Data'!$C59)</f>
        <v>1.5532525961766694</v>
      </c>
    </row>
    <row r="60" spans="1:5" ht="15.75">
      <c r="A60" s="238">
        <v>45231</v>
      </c>
      <c r="B60" s="236">
        <f t="shared" si="0"/>
        <v>11</v>
      </c>
      <c r="C60" s="236">
        <f t="shared" si="1"/>
        <v>2023</v>
      </c>
      <c r="D60" s="239">
        <f>AVERAGEIFS('LCFS Table'!H$3:H$400,'LCFS Table'!$CX$3:$CX$400,'Profit-Production Chart Data'!$B60,'LCFS Table'!$CY$3:$CY$400,'Profit-Production Chart Data'!$C60)</f>
        <v>0.47293024414062435</v>
      </c>
      <c r="E60" s="239">
        <f>AVERAGEIFS('LCFS Table'!G$3:G$400,'LCFS Table'!$CX$3:$CX$400,'Profit-Production Chart Data'!$B60,'LCFS Table'!$CY$3:$CY$400,'Profit-Production Chart Data'!$C60)</f>
        <v>1.7474112877336017</v>
      </c>
    </row>
    <row r="61" spans="1:5" ht="15.75">
      <c r="A61" s="238">
        <v>45261</v>
      </c>
      <c r="B61" s="236">
        <f t="shared" si="0"/>
        <v>12</v>
      </c>
      <c r="C61" s="236">
        <f t="shared" si="1"/>
        <v>2023</v>
      </c>
      <c r="D61" s="239">
        <f>AVERAGEIFS('LCFS Table'!H$3:H$400,'LCFS Table'!$CX$3:$CX$400,'Profit-Production Chart Data'!$B61,'LCFS Table'!$CY$3:$CY$400,'Profit-Production Chart Data'!$C61)</f>
        <v>0.51020721093749954</v>
      </c>
      <c r="E61" s="239">
        <f>AVERAGEIFS('LCFS Table'!G$3:G$400,'LCFS Table'!$CX$3:$CX$400,'Profit-Production Chart Data'!$B61,'LCFS Table'!$CY$3:$CY$400,'Profit-Production Chart Data'!$C61)</f>
        <v>1.7757544384359669</v>
      </c>
    </row>
    <row r="62" spans="1:5" ht="15.75">
      <c r="A62" s="238">
        <v>45292</v>
      </c>
      <c r="B62" s="236">
        <f t="shared" si="0"/>
        <v>1</v>
      </c>
      <c r="C62" s="236">
        <f t="shared" si="1"/>
        <v>2024</v>
      </c>
      <c r="D62" s="239">
        <f>AVERAGEIFS('LCFS Table'!H$3:H$400,'LCFS Table'!$CX$3:$CX$400,'Profit-Production Chart Data'!$B62,'LCFS Table'!$CY$3:$CY$400,'Profit-Production Chart Data'!$C62)</f>
        <v>0.60561944335937423</v>
      </c>
      <c r="E62" s="239">
        <f>AVERAGEIFS('LCFS Table'!G$3:G$400,'LCFS Table'!$CX$3:$CX$400,'Profit-Production Chart Data'!$B62,'LCFS Table'!$CY$3:$CY$400,'Profit-Production Chart Data'!$C62)</f>
        <v>1.7206520082358829</v>
      </c>
    </row>
    <row r="63" spans="1:5" ht="15.75">
      <c r="A63" s="238">
        <v>45323</v>
      </c>
      <c r="B63" s="236">
        <f t="shared" si="0"/>
        <v>2</v>
      </c>
      <c r="C63" s="236">
        <f t="shared" si="1"/>
        <v>2024</v>
      </c>
      <c r="D63" s="239">
        <f>AVERAGEIFS('LCFS Table'!H$3:H$400,'LCFS Table'!$CX$3:$CX$400,'Profit-Production Chart Data'!$B63,'LCFS Table'!$CY$3:$CY$400,'Profit-Production Chart Data'!$C63)</f>
        <v>0.55786055664062484</v>
      </c>
      <c r="E63" s="239">
        <f>AVERAGEIFS('LCFS Table'!G$3:G$400,'LCFS Table'!$CX$3:$CX$400,'Profit-Production Chart Data'!$B63,'LCFS Table'!$CY$3:$CY$400,'Profit-Production Chart Data'!$C63)</f>
        <v>1.4005826283767351</v>
      </c>
    </row>
    <row r="64" spans="1:5" ht="15.75">
      <c r="A64" s="238">
        <v>45352</v>
      </c>
      <c r="B64" s="236">
        <f t="shared" si="0"/>
        <v>3</v>
      </c>
      <c r="C64" s="236">
        <f t="shared" si="1"/>
        <v>2024</v>
      </c>
      <c r="D64" s="239">
        <f>AVERAGEIFS('LCFS Table'!H$3:H$400,'LCFS Table'!$CX$3:$CX$400,'Profit-Production Chart Data'!$B64,'LCFS Table'!$CY$3:$CY$400,'Profit-Production Chart Data'!$C64)</f>
        <v>0.24875062500000009</v>
      </c>
      <c r="E64" s="239">
        <f>AVERAGEIFS('LCFS Table'!G$3:G$400,'LCFS Table'!$CX$3:$CX$400,'Profit-Production Chart Data'!$B64,'LCFS Table'!$CY$3:$CY$400,'Profit-Production Chart Data'!$C64)</f>
        <v>1.5484641397633456</v>
      </c>
    </row>
    <row r="65" spans="1:5" ht="15.75">
      <c r="A65" s="238">
        <v>45383</v>
      </c>
      <c r="B65" s="236">
        <f t="shared" si="0"/>
        <v>4</v>
      </c>
      <c r="C65" s="236">
        <f t="shared" si="1"/>
        <v>2024</v>
      </c>
      <c r="D65" s="239">
        <f>AVERAGEIFS('LCFS Table'!H$3:H$400,'LCFS Table'!$CX$3:$CX$400,'Profit-Production Chart Data'!$B65,'LCFS Table'!$CY$3:$CY$400,'Profit-Production Chart Data'!$C65)</f>
        <v>0.36844707031249996</v>
      </c>
      <c r="E65" s="239">
        <f>AVERAGEIFS('LCFS Table'!G$3:G$400,'LCFS Table'!$CX$3:$CX$400,'Profit-Production Chart Data'!$B65,'LCFS Table'!$CY$3:$CY$400,'Profit-Production Chart Data'!$C65)</f>
        <v>1.4763957894394553</v>
      </c>
    </row>
    <row r="66" spans="1:5" ht="15.75">
      <c r="A66" s="238">
        <v>45413</v>
      </c>
      <c r="B66" s="236">
        <f t="shared" si="0"/>
        <v>5</v>
      </c>
      <c r="C66" s="236">
        <f t="shared" si="1"/>
        <v>2024</v>
      </c>
      <c r="D66" s="239">
        <f>AVERAGEIFS('LCFS Table'!H$3:H$400,'LCFS Table'!$CX$3:$CX$400,'Profit-Production Chart Data'!$B66,'LCFS Table'!$CY$3:$CY$400,'Profit-Production Chart Data'!$C66)</f>
        <v>0.13147949218749969</v>
      </c>
      <c r="E66" s="239">
        <f>AVERAGEIFS('LCFS Table'!G$3:G$400,'LCFS Table'!$CX$3:$CX$400,'Profit-Production Chart Data'!$B66,'LCFS Table'!$CY$3:$CY$400,'Profit-Production Chart Data'!$C66)</f>
        <v>1.1731268888593864</v>
      </c>
    </row>
    <row r="67" spans="1:5" ht="15.75">
      <c r="A67" s="238">
        <v>45444</v>
      </c>
      <c r="B67" s="236">
        <f>MONTH(A67)</f>
        <v>6</v>
      </c>
      <c r="C67" s="236">
        <f t="shared" ref="C67:C85" si="2">YEAR(A67)</f>
        <v>2024</v>
      </c>
      <c r="D67" s="239">
        <f>AVERAGEIFS('LCFS Table'!H$3:H$400,'LCFS Table'!$CX$3:$CX$400,'Profit-Production Chart Data'!$B67,'LCFS Table'!$CY$3:$CY$400,'Profit-Production Chart Data'!$C67)</f>
        <v>0.13891789062499998</v>
      </c>
      <c r="E67" s="239">
        <f>AVERAGEIFS('LCFS Table'!G$3:G$400,'LCFS Table'!$CX$3:$CX$400,'Profit-Production Chart Data'!$B67,'LCFS Table'!$CY$3:$CY$400,'Profit-Production Chart Data'!$C67)</f>
        <v>1.0110367919931178</v>
      </c>
    </row>
    <row r="68" spans="1:5" ht="15.75">
      <c r="A68" s="238">
        <v>45474</v>
      </c>
      <c r="B68" s="236">
        <f>MONTH(A68)</f>
        <v>7</v>
      </c>
      <c r="C68" s="236">
        <f t="shared" si="2"/>
        <v>2024</v>
      </c>
      <c r="D68" s="240">
        <f>AVERAGEIFS('LCFS Table'!H$3:H$400,'LCFS Table'!$CX$3:$CX$400,'Profit-Production Chart Data'!$B68,'LCFS Table'!$CY$3:$CY$400,'Profit-Production Chart Data'!$C68)</f>
        <v>0.22146005859374968</v>
      </c>
      <c r="E68" s="240">
        <f>AVERAGEIFS('LCFS Table'!G$3:G$400,'LCFS Table'!$CX$3:$CX$400,'Profit-Production Chart Data'!$B68,'LCFS Table'!$CY$3:$CY$400,'Profit-Production Chart Data'!$C68)</f>
        <v>0.87258703520651426</v>
      </c>
    </row>
    <row r="69" spans="1:5" ht="15.75">
      <c r="A69" s="238">
        <v>45505</v>
      </c>
      <c r="B69" s="236">
        <f>MONTH(A69)</f>
        <v>8</v>
      </c>
      <c r="C69" s="236">
        <f t="shared" si="2"/>
        <v>2024</v>
      </c>
      <c r="D69" s="240">
        <f>AVERAGEIFS('LCFS Table'!H$3:H$400,'LCFS Table'!$CX$3:$CX$400,'Profit-Production Chart Data'!$B69,'LCFS Table'!$CY$3:$CY$400,'Profit-Production Chart Data'!$C69)</f>
        <v>0.29496398437499965</v>
      </c>
      <c r="E69" s="240">
        <f>AVERAGEIFS('LCFS Table'!G$3:G$400,'LCFS Table'!$CX$3:$CX$400,'Profit-Production Chart Data'!$B69,'LCFS Table'!$CY$3:$CY$400,'Profit-Production Chart Data'!$C69)</f>
        <v>0.73561334528938782</v>
      </c>
    </row>
    <row r="70" spans="1:5" ht="15.75">
      <c r="A70" s="238">
        <v>45536</v>
      </c>
      <c r="B70" s="236">
        <f>MONTH(A70)</f>
        <v>9</v>
      </c>
      <c r="C70" s="236">
        <f t="shared" si="2"/>
        <v>2024</v>
      </c>
      <c r="D70" s="240">
        <f>AVERAGEIFS('LCFS Table'!H$3:H$400,'LCFS Table'!$CX$3:$CX$400,'Profit-Production Chart Data'!$B70,'LCFS Table'!$CY$3:$CY$400,'Profit-Production Chart Data'!$C70)</f>
        <v>0.11069033203124956</v>
      </c>
      <c r="E70" s="240">
        <f>AVERAGEIFS('LCFS Table'!G$3:G$400,'LCFS Table'!$CX$3:$CX$400,'Profit-Production Chart Data'!$B70,'LCFS Table'!$CY$3:$CY$400,'Profit-Production Chart Data'!$C70)</f>
        <v>0.69551548178320943</v>
      </c>
    </row>
    <row r="71" spans="1:5" ht="15.75">
      <c r="A71" s="238">
        <v>45566</v>
      </c>
      <c r="B71" s="236">
        <f>MONTH(A71)</f>
        <v>10</v>
      </c>
      <c r="C71" s="236">
        <f t="shared" si="2"/>
        <v>2024</v>
      </c>
      <c r="D71" s="240">
        <f>AVERAGEIFS('LCFS Table'!H$3:H$400,'LCFS Table'!$CX$3:$CX$400,'Profit-Production Chart Data'!$B71,'LCFS Table'!$CY$3:$CY$400,'Profit-Production Chart Data'!$C71)</f>
        <v>0.32174257812499973</v>
      </c>
      <c r="E71" s="240">
        <f>AVERAGEIFS('LCFS Table'!G$3:G$400,'LCFS Table'!$CX$3:$CX$400,'Profit-Production Chart Data'!$B71,'LCFS Table'!$CY$3:$CY$400,'Profit-Production Chart Data'!$C71)</f>
        <v>1.0790111422017279</v>
      </c>
    </row>
    <row r="72" spans="1:5" ht="15.75">
      <c r="A72" s="238">
        <v>45597</v>
      </c>
      <c r="B72" s="236">
        <f t="shared" ref="B72:B85" si="3">MONTH(A72)</f>
        <v>11</v>
      </c>
      <c r="C72" s="236">
        <f t="shared" si="2"/>
        <v>2024</v>
      </c>
      <c r="D72" s="240">
        <f>AVERAGEIFS('LCFS Table'!H$3:H$400,'LCFS Table'!$CX$3:$CX$400,'Profit-Production Chart Data'!$B72,'LCFS Table'!$CY$3:$CY$400,'Profit-Production Chart Data'!$C72)</f>
        <v>0.46131515625000008</v>
      </c>
      <c r="E72" s="240">
        <f>AVERAGEIFS('LCFS Table'!G$3:G$400,'LCFS Table'!$CX$3:$CX$400,'Profit-Production Chart Data'!$B72,'LCFS Table'!$CY$3:$CY$400,'Profit-Production Chart Data'!$C72)</f>
        <v>1.2171730343889</v>
      </c>
    </row>
    <row r="73" spans="1:5" ht="15.75">
      <c r="A73" s="238">
        <v>45627</v>
      </c>
      <c r="B73" s="236">
        <f t="shared" si="3"/>
        <v>12</v>
      </c>
      <c r="C73" s="236">
        <f t="shared" si="2"/>
        <v>2024</v>
      </c>
      <c r="D73" s="240">
        <f>AVERAGEIFS('LCFS Table'!H$3:H$400,'LCFS Table'!$CX$3:$CX$400,'Profit-Production Chart Data'!$B73,'LCFS Table'!$CY$3:$CY$400,'Profit-Production Chart Data'!$C73)</f>
        <v>0.78884511718750006</v>
      </c>
      <c r="E73" s="240">
        <f>AVERAGEIFS('LCFS Table'!G$3:G$400,'LCFS Table'!$CX$3:$CX$400,'Profit-Production Chart Data'!$B73,'LCFS Table'!$CY$3:$CY$400,'Profit-Production Chart Data'!$C73)</f>
        <v>1.3374600093273963</v>
      </c>
    </row>
    <row r="74" spans="1:5" ht="15.75">
      <c r="A74" s="238">
        <v>45658</v>
      </c>
      <c r="B74" s="236">
        <f t="shared" si="3"/>
        <v>1</v>
      </c>
      <c r="C74" s="236">
        <f t="shared" si="2"/>
        <v>2025</v>
      </c>
      <c r="D74" s="240">
        <f>AVERAGEIFS('LCFS Table'!H$3:H$400,'LCFS Table'!$CX$3:$CX$400,'Profit-Production Chart Data'!$B74,'LCFS Table'!$CY$3:$CY$400,'Profit-Production Chart Data'!$C74)</f>
        <v>-0.20892944335937524</v>
      </c>
      <c r="E74" s="240">
        <f>AVERAGEIFS('LCFS Table'!G$3:G$400,'LCFS Table'!$CX$3:$CX$400,'Profit-Production Chart Data'!$B74,'LCFS Table'!$CY$3:$CY$400,'Profit-Production Chart Data'!$C74)</f>
        <v>1.3127381201971209</v>
      </c>
    </row>
    <row r="75" spans="1:5" ht="15.75">
      <c r="A75" s="238">
        <v>45689</v>
      </c>
      <c r="B75" s="236">
        <f t="shared" si="3"/>
        <v>2</v>
      </c>
      <c r="C75" s="236">
        <f t="shared" si="2"/>
        <v>2025</v>
      </c>
      <c r="D75" s="240">
        <f>AVERAGEIFS('LCFS Table'!H$3:H$400,'LCFS Table'!$CX$3:$CX$400,'Profit-Production Chart Data'!$B75,'LCFS Table'!$CY$3:$CY$400,'Profit-Production Chart Data'!$C75)</f>
        <v>-0.70930825195312575</v>
      </c>
      <c r="E75" s="240">
        <f>AVERAGEIFS('LCFS Table'!G$3:G$400,'LCFS Table'!$CX$3:$CX$400,'Profit-Production Chart Data'!$B75,'LCFS Table'!$CY$3:$CY$400,'Profit-Production Chart Data'!$C75)</f>
        <v>0.93847545796613552</v>
      </c>
    </row>
    <row r="76" spans="1:5" ht="15.75">
      <c r="A76" s="238">
        <v>45717</v>
      </c>
      <c r="B76" s="236">
        <f t="shared" si="3"/>
        <v>3</v>
      </c>
      <c r="C76" s="236">
        <f t="shared" si="2"/>
        <v>2025</v>
      </c>
      <c r="D76" s="240">
        <f>AVERAGEIFS('LCFS Table'!H$3:H$400,'LCFS Table'!$CX$3:$CX$400,'Profit-Production Chart Data'!$B76,'LCFS Table'!$CY$3:$CY$400,'Profit-Production Chart Data'!$C76)</f>
        <v>-0.83513632812500016</v>
      </c>
      <c r="E76" s="240">
        <f>AVERAGEIFS('LCFS Table'!G$3:G$400,'LCFS Table'!$CX$3:$CX$400,'Profit-Production Chart Data'!$B76,'LCFS Table'!$CY$3:$CY$400,'Profit-Production Chart Data'!$C76)</f>
        <v>0.71193495711293875</v>
      </c>
    </row>
    <row r="77" spans="1:5" ht="15.75">
      <c r="A77" s="238">
        <v>45748</v>
      </c>
      <c r="B77" s="236">
        <f t="shared" si="3"/>
        <v>4</v>
      </c>
      <c r="C77" s="236">
        <f t="shared" si="2"/>
        <v>2025</v>
      </c>
      <c r="D77" s="240">
        <f>AVERAGEIFS('LCFS Table'!H$3:H$400,'LCFS Table'!$CX$3:$CX$400,'Profit-Production Chart Data'!$B77,'LCFS Table'!$CY$3:$CY$400,'Profit-Production Chart Data'!$C77)</f>
        <v>-0.59962753906250055</v>
      </c>
      <c r="E77" s="240">
        <f>AVERAGEIFS('LCFS Table'!G$3:G$400,'LCFS Table'!$CX$3:$CX$400,'Profit-Production Chart Data'!$B77,'LCFS Table'!$CY$3:$CY$400,'Profit-Production Chart Data'!$C77)</f>
        <v>1.1695296006569862</v>
      </c>
    </row>
    <row r="78" spans="1:5" ht="15.75">
      <c r="A78" s="238">
        <v>45778</v>
      </c>
      <c r="B78" s="236">
        <f t="shared" si="3"/>
        <v>5</v>
      </c>
      <c r="C78" s="236">
        <f t="shared" si="2"/>
        <v>2025</v>
      </c>
      <c r="D78" s="240">
        <f>AVERAGEIFS('LCFS Table'!H$3:H$400,'LCFS Table'!$CX$3:$CX$400,'Profit-Production Chart Data'!$B78,'LCFS Table'!$CY$3:$CY$400,'Profit-Production Chart Data'!$C78)</f>
        <v>-0.59719273437499898</v>
      </c>
      <c r="E78" s="240">
        <f>AVERAGEIFS('LCFS Table'!G$3:G$400,'LCFS Table'!$CX$3:$CX$400,'Profit-Production Chart Data'!$B78,'LCFS Table'!$CY$3:$CY$400,'Profit-Production Chart Data'!$C78)</f>
        <v>1.235961318118175</v>
      </c>
    </row>
    <row r="79" spans="1:5" ht="15.75">
      <c r="A79" s="238">
        <v>45809</v>
      </c>
      <c r="B79" s="236">
        <f t="shared" si="3"/>
        <v>6</v>
      </c>
      <c r="C79" s="236">
        <f t="shared" si="2"/>
        <v>2025</v>
      </c>
      <c r="D79" s="240">
        <f>AVERAGEIFS('LCFS Table'!H$3:H$400,'LCFS Table'!$CX$3:$CX$400,'Profit-Production Chart Data'!$B79,'LCFS Table'!$CY$3:$CY$400,'Profit-Production Chart Data'!$C79)</f>
        <v>-0.65950273437499796</v>
      </c>
      <c r="E79" s="240">
        <f>AVERAGEIFS('LCFS Table'!G$3:G$400,'LCFS Table'!$CX$3:$CX$400,'Profit-Production Chart Data'!$B79,'LCFS Table'!$CY$3:$CY$400,'Profit-Production Chart Data'!$C79)</f>
        <v>1.0002269068464746</v>
      </c>
    </row>
    <row r="80" spans="1:5" ht="15.75">
      <c r="A80" s="238">
        <v>45839</v>
      </c>
      <c r="B80" s="236">
        <f t="shared" si="3"/>
        <v>7</v>
      </c>
      <c r="C80" s="236">
        <f t="shared" si="2"/>
        <v>2025</v>
      </c>
      <c r="D80" s="240">
        <f>AVERAGEIFS('LCFS Table'!H$3:H$400,'LCFS Table'!$CX$3:$CX$400,'Profit-Production Chart Data'!$B80,'LCFS Table'!$CY$3:$CY$400,'Profit-Production Chart Data'!$C80)</f>
        <v>-0.76552460937499878</v>
      </c>
      <c r="E80" s="240">
        <f>AVERAGEIFS('LCFS Table'!G$3:G$400,'LCFS Table'!$CX$3:$CX$400,'Profit-Production Chart Data'!$B80,'LCFS Table'!$CY$3:$CY$400,'Profit-Production Chart Data'!$C80)</f>
        <v>1.0975604922683631</v>
      </c>
    </row>
    <row r="81" spans="1:5" ht="15.75">
      <c r="A81" s="238">
        <v>45870</v>
      </c>
      <c r="B81" s="236">
        <f t="shared" si="3"/>
        <v>8</v>
      </c>
      <c r="C81" s="236">
        <f t="shared" si="2"/>
        <v>2025</v>
      </c>
      <c r="D81" s="240">
        <f>AVERAGEIFS('LCFS Table'!H$3:H$400,'LCFS Table'!$CX$3:$CX$400,'Profit-Production Chart Data'!$B81,'LCFS Table'!$CY$3:$CY$400,'Profit-Production Chart Data'!$C81)</f>
        <v>-0.73424773437499835</v>
      </c>
      <c r="E81" s="240">
        <f>AVERAGEIFS('LCFS Table'!G$3:G$400,'LCFS Table'!$CX$3:$CX$400,'Profit-Production Chart Data'!$B81,'LCFS Table'!$CY$3:$CY$400,'Profit-Production Chart Data'!$C81)</f>
        <v>1.1282314962748465</v>
      </c>
    </row>
    <row r="82" spans="1:5" ht="15.75">
      <c r="A82" s="238">
        <v>45901</v>
      </c>
      <c r="B82" s="236">
        <f t="shared" si="3"/>
        <v>9</v>
      </c>
      <c r="C82" s="236">
        <f t="shared" si="2"/>
        <v>2025</v>
      </c>
      <c r="D82" s="240">
        <f>AVERAGEIFS('LCFS Table'!H$3:H$400,'LCFS Table'!$CX$3:$CX$400,'Profit-Production Chart Data'!$B82,'LCFS Table'!$CY$3:$CY$400,'Profit-Production Chart Data'!$C82)</f>
        <v>-0.83522128906249837</v>
      </c>
      <c r="E82" s="240">
        <f>AVERAGEIFS('LCFS Table'!G$3:G$400,'LCFS Table'!$CX$3:$CX$400,'Profit-Production Chart Data'!$B82,'LCFS Table'!$CY$3:$CY$400,'Profit-Production Chart Data'!$C82)</f>
        <v>0.76604183921423541</v>
      </c>
    </row>
    <row r="83" spans="1:5" ht="15.75">
      <c r="A83" s="238">
        <v>45931</v>
      </c>
      <c r="B83" s="236">
        <f t="shared" si="3"/>
        <v>10</v>
      </c>
      <c r="C83" s="236">
        <f t="shared" si="2"/>
        <v>2025</v>
      </c>
      <c r="D83" s="240">
        <f>AVERAGEIFS('LCFS Table'!H$3:H$400,'LCFS Table'!$CX$3:$CX$400,'Profit-Production Chart Data'!$B83,'LCFS Table'!$CY$3:$CY$400,'Profit-Production Chart Data'!$C83)</f>
        <v>-0.34355976562499885</v>
      </c>
      <c r="E83" s="240">
        <f>AVERAGEIFS('LCFS Table'!G$3:G$400,'LCFS Table'!$CX$3:$CX$400,'Profit-Production Chart Data'!$B83,'LCFS Table'!$CY$3:$CY$400,'Profit-Production Chart Data'!$C83)</f>
        <v>0.43781392994989632</v>
      </c>
    </row>
    <row r="84" spans="1:5" ht="15.75">
      <c r="A84" s="238">
        <v>45962</v>
      </c>
      <c r="B84" s="236">
        <f t="shared" si="3"/>
        <v>11</v>
      </c>
      <c r="C84" s="236">
        <f t="shared" si="2"/>
        <v>2025</v>
      </c>
      <c r="D84" s="240" t="e">
        <f>AVERAGEIFS('LCFS Table'!H$3:H$400,'LCFS Table'!$CX$3:$CX$400,'Profit-Production Chart Data'!$B84,'LCFS Table'!$CY$3:$CY$400,'Profit-Production Chart Data'!$C84)</f>
        <v>#DIV/0!</v>
      </c>
      <c r="E84" s="240" t="e">
        <f>AVERAGEIFS('LCFS Table'!G$3:G$400,'LCFS Table'!$CX$3:$CX$400,'Profit-Production Chart Data'!$B84,'LCFS Table'!$CY$3:$CY$400,'Profit-Production Chart Data'!$C84)</f>
        <v>#DIV/0!</v>
      </c>
    </row>
    <row r="85" spans="1:5" ht="15.75">
      <c r="A85" s="238">
        <v>45992</v>
      </c>
      <c r="B85" s="236">
        <f t="shared" si="3"/>
        <v>12</v>
      </c>
      <c r="C85" s="236">
        <f t="shared" si="2"/>
        <v>2025</v>
      </c>
      <c r="D85" s="240" t="e">
        <f>AVERAGEIFS('LCFS Table'!H$3:H$400,'LCFS Table'!$CX$3:$CX$400,'Profit-Production Chart Data'!$B85,'LCFS Table'!$CY$3:$CY$400,'Profit-Production Chart Data'!$C85)</f>
        <v>#DIV/0!</v>
      </c>
      <c r="E85" s="240" t="e">
        <f>AVERAGEIFS('LCFS Table'!G$3:G$400,'LCFS Table'!$CX$3:$CX$400,'Profit-Production Chart Data'!$B85,'LCFS Table'!$CY$3:$CY$400,'Profit-Production Chart Data'!$C85)</f>
        <v>#DIV/0!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0AFC-8553-4C9C-9069-4B900F3EFEDC}">
  <dimension ref="A1:D6"/>
  <sheetViews>
    <sheetView workbookViewId="0">
      <selection activeCell="B4" sqref="B4"/>
    </sheetView>
  </sheetViews>
  <sheetFormatPr defaultColWidth="11" defaultRowHeight="15.75"/>
  <cols>
    <col min="1" max="1" width="14.875" customWidth="1"/>
  </cols>
  <sheetData>
    <row r="1" spans="1:4">
      <c r="A1" s="241" t="s">
        <v>310</v>
      </c>
      <c r="B1" s="96" t="s">
        <v>313</v>
      </c>
      <c r="C1" s="96" t="s">
        <v>314</v>
      </c>
      <c r="D1" s="96" t="s">
        <v>315</v>
      </c>
    </row>
    <row r="2" spans="1:4">
      <c r="A2" s="242">
        <v>43640</v>
      </c>
      <c r="B2">
        <v>100</v>
      </c>
      <c r="C2">
        <v>30</v>
      </c>
      <c r="D2">
        <f>AVERAGE(B2:C2)</f>
        <v>65</v>
      </c>
    </row>
    <row r="3" spans="1:4">
      <c r="A3" s="242">
        <v>43640</v>
      </c>
      <c r="B3">
        <v>100</v>
      </c>
      <c r="C3">
        <v>30</v>
      </c>
      <c r="D3">
        <f>AVERAGE(B3:C3)</f>
        <v>65</v>
      </c>
    </row>
    <row r="4" spans="1:4">
      <c r="A4" s="242">
        <v>43640</v>
      </c>
      <c r="B4">
        <v>80</v>
      </c>
      <c r="C4">
        <v>25</v>
      </c>
      <c r="D4">
        <f>AVERAGE(B4:C4)</f>
        <v>52.5</v>
      </c>
    </row>
    <row r="5" spans="1:4">
      <c r="A5" s="242">
        <v>43640</v>
      </c>
      <c r="B5">
        <v>70</v>
      </c>
      <c r="C5">
        <v>40</v>
      </c>
      <c r="D5">
        <f>AVERAGE(B5:C5)</f>
        <v>55</v>
      </c>
    </row>
    <row r="6" spans="1:4">
      <c r="A6" s="2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Controls</vt:lpstr>
      <vt:lpstr>Controls 2</vt:lpstr>
      <vt:lpstr>Calculator</vt:lpstr>
      <vt:lpstr>Gross Margins Calculations</vt:lpstr>
      <vt:lpstr>LCFS Categorized</vt:lpstr>
      <vt:lpstr>LCFS Table</vt:lpstr>
      <vt:lpstr>Profit-Production Chart Data</vt:lpstr>
      <vt:lpstr>BTC Weekly Calc</vt:lpstr>
      <vt:lpstr>RIN_Value__P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2025-07-17T07:57:09Z</dcterms:created>
  <dcterms:modified xsi:type="dcterms:W3CDTF">2025-07-17T07:59:03Z</dcterms:modified>
</cp:coreProperties>
</file>