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8_{A9551459-4C2B-4402-9618-1566D6A42DB1}" xr6:coauthVersionLast="47" xr6:coauthVersionMax="47" xr10:uidLastSave="{00000000-0000-0000-0000-000000000000}"/>
  <bookViews>
    <workbookView xWindow="3900" yWindow="1230" windowWidth="24795" windowHeight="14970" activeTab="1" xr2:uid="{F01FFE1D-11CB-4D79-809B-2A1ECDFB2DBD}"/>
  </bookViews>
  <sheets>
    <sheet name="SAF Temp Model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1" l="1"/>
  <c r="U65" i="1"/>
  <c r="B65" i="1"/>
  <c r="V64" i="1"/>
  <c r="U64" i="1"/>
  <c r="T64" i="1"/>
  <c r="S64" i="1"/>
  <c r="R64" i="1"/>
  <c r="P64" i="1"/>
  <c r="O64" i="1"/>
  <c r="N64" i="1"/>
  <c r="L64" i="1"/>
  <c r="K64" i="1"/>
  <c r="J64" i="1"/>
  <c r="I64" i="1"/>
  <c r="G64" i="1"/>
  <c r="F64" i="1"/>
  <c r="E64" i="1"/>
  <c r="D64" i="1"/>
  <c r="X63" i="1"/>
  <c r="W63" i="1"/>
  <c r="V63" i="1"/>
  <c r="U63" i="1"/>
  <c r="T63" i="1"/>
  <c r="S63" i="1"/>
  <c r="R63" i="1"/>
  <c r="P63" i="1"/>
  <c r="O63" i="1"/>
  <c r="N63" i="1"/>
  <c r="L63" i="1"/>
  <c r="K63" i="1"/>
  <c r="J63" i="1"/>
  <c r="I63" i="1"/>
  <c r="G63" i="1"/>
  <c r="F63" i="1"/>
  <c r="E63" i="1"/>
  <c r="D63" i="1"/>
  <c r="B63" i="1"/>
  <c r="X62" i="1"/>
  <c r="W62" i="1"/>
  <c r="V62" i="1"/>
  <c r="U62" i="1"/>
  <c r="T62" i="1"/>
  <c r="S62" i="1"/>
  <c r="R62" i="1"/>
  <c r="P62" i="1"/>
  <c r="O62" i="1"/>
  <c r="N62" i="1"/>
  <c r="L62" i="1"/>
  <c r="K62" i="1"/>
  <c r="J62" i="1"/>
  <c r="I62" i="1"/>
  <c r="G62" i="1"/>
  <c r="F62" i="1"/>
  <c r="E62" i="1"/>
  <c r="X61" i="1"/>
  <c r="W61" i="1"/>
  <c r="V61" i="1"/>
  <c r="U61" i="1"/>
  <c r="T61" i="1"/>
  <c r="S61" i="1"/>
  <c r="R61" i="1"/>
  <c r="P61" i="1"/>
  <c r="O61" i="1"/>
  <c r="N61" i="1"/>
  <c r="L61" i="1"/>
  <c r="K61" i="1"/>
  <c r="J61" i="1"/>
  <c r="I61" i="1"/>
  <c r="G61" i="1"/>
  <c r="F61" i="1"/>
  <c r="E61" i="1"/>
  <c r="D61" i="1"/>
  <c r="X60" i="1"/>
  <c r="W60" i="1"/>
  <c r="V60" i="1"/>
  <c r="U60" i="1"/>
  <c r="T60" i="1"/>
  <c r="S60" i="1"/>
  <c r="R60" i="1"/>
  <c r="P60" i="1"/>
  <c r="O60" i="1"/>
  <c r="N60" i="1"/>
  <c r="L60" i="1"/>
  <c r="K60" i="1"/>
  <c r="J60" i="1"/>
  <c r="I60" i="1"/>
  <c r="G60" i="1"/>
  <c r="F60" i="1"/>
  <c r="E60" i="1"/>
  <c r="D60" i="1"/>
  <c r="X59" i="1"/>
  <c r="W59" i="1"/>
  <c r="V59" i="1"/>
  <c r="U59" i="1"/>
  <c r="T59" i="1"/>
  <c r="S59" i="1"/>
  <c r="R59" i="1"/>
  <c r="P59" i="1"/>
  <c r="O59" i="1"/>
  <c r="N59" i="1"/>
  <c r="L59" i="1"/>
  <c r="K59" i="1"/>
  <c r="J59" i="1"/>
  <c r="I59" i="1"/>
  <c r="G59" i="1"/>
  <c r="F59" i="1"/>
  <c r="E59" i="1"/>
  <c r="D59" i="1"/>
  <c r="X58" i="1"/>
  <c r="W58" i="1"/>
  <c r="V58" i="1"/>
  <c r="U58" i="1"/>
  <c r="T58" i="1"/>
  <c r="S58" i="1"/>
  <c r="R58" i="1"/>
  <c r="P58" i="1"/>
  <c r="O58" i="1"/>
  <c r="N58" i="1"/>
  <c r="L58" i="1"/>
  <c r="K58" i="1"/>
  <c r="J58" i="1"/>
  <c r="I58" i="1"/>
  <c r="G58" i="1"/>
  <c r="F58" i="1"/>
  <c r="E58" i="1"/>
  <c r="D58" i="1"/>
  <c r="X57" i="1"/>
  <c r="W57" i="1"/>
  <c r="V57" i="1"/>
  <c r="U57" i="1"/>
  <c r="T57" i="1"/>
  <c r="S57" i="1"/>
  <c r="R57" i="1"/>
  <c r="P57" i="1"/>
  <c r="O57" i="1"/>
  <c r="N57" i="1"/>
  <c r="L57" i="1"/>
  <c r="K57" i="1"/>
  <c r="J57" i="1"/>
  <c r="I57" i="1"/>
  <c r="G57" i="1"/>
  <c r="F57" i="1"/>
  <c r="E57" i="1"/>
  <c r="D57" i="1"/>
  <c r="X56" i="1"/>
  <c r="W56" i="1"/>
  <c r="V56" i="1"/>
  <c r="U56" i="1"/>
  <c r="T56" i="1"/>
  <c r="S56" i="1"/>
  <c r="R56" i="1"/>
  <c r="P56" i="1"/>
  <c r="O56" i="1"/>
  <c r="N56" i="1"/>
  <c r="L56" i="1"/>
  <c r="K56" i="1"/>
  <c r="J56" i="1"/>
  <c r="I56" i="1"/>
  <c r="G56" i="1"/>
  <c r="F56" i="1"/>
  <c r="E56" i="1"/>
  <c r="D56" i="1"/>
  <c r="X55" i="1"/>
  <c r="W55" i="1"/>
  <c r="V55" i="1"/>
  <c r="U55" i="1"/>
  <c r="T55" i="1"/>
  <c r="S55" i="1"/>
  <c r="R55" i="1"/>
  <c r="P55" i="1"/>
  <c r="O55" i="1"/>
  <c r="N55" i="1"/>
  <c r="L55" i="1"/>
  <c r="K55" i="1"/>
  <c r="J55" i="1"/>
  <c r="I55" i="1"/>
  <c r="G55" i="1"/>
  <c r="F55" i="1"/>
  <c r="E55" i="1"/>
  <c r="D55" i="1"/>
  <c r="X54" i="1"/>
  <c r="W54" i="1"/>
  <c r="V54" i="1"/>
  <c r="U54" i="1"/>
  <c r="T54" i="1"/>
  <c r="S54" i="1"/>
  <c r="R54" i="1"/>
  <c r="P54" i="1"/>
  <c r="O54" i="1"/>
  <c r="N54" i="1"/>
  <c r="L54" i="1"/>
  <c r="K54" i="1"/>
  <c r="J54" i="1"/>
  <c r="I54" i="1"/>
  <c r="G54" i="1"/>
  <c r="F54" i="1"/>
  <c r="E54" i="1"/>
  <c r="D54" i="1"/>
  <c r="T53" i="1"/>
  <c r="S53" i="1"/>
  <c r="R53" i="1"/>
  <c r="P53" i="1"/>
  <c r="O53" i="1"/>
  <c r="N53" i="1"/>
  <c r="L53" i="1"/>
  <c r="K53" i="1"/>
  <c r="J53" i="1"/>
  <c r="I53" i="1"/>
  <c r="G53" i="1"/>
  <c r="F53" i="1"/>
  <c r="E53" i="1"/>
  <c r="D53" i="1"/>
  <c r="B51" i="1"/>
  <c r="V50" i="1"/>
  <c r="U50" i="1"/>
  <c r="T50" i="1"/>
  <c r="S50" i="1"/>
  <c r="R50" i="1"/>
  <c r="P50" i="1"/>
  <c r="O50" i="1"/>
  <c r="N50" i="1"/>
  <c r="L50" i="1"/>
  <c r="K50" i="1"/>
  <c r="J50" i="1"/>
  <c r="I50" i="1"/>
  <c r="G50" i="1"/>
  <c r="F50" i="1"/>
  <c r="E50" i="1"/>
  <c r="V49" i="1"/>
  <c r="U49" i="1"/>
  <c r="T49" i="1"/>
  <c r="S49" i="1"/>
  <c r="R49" i="1"/>
  <c r="P49" i="1"/>
  <c r="O49" i="1"/>
  <c r="N49" i="1"/>
  <c r="L49" i="1"/>
  <c r="K49" i="1"/>
  <c r="J49" i="1"/>
  <c r="I49" i="1"/>
  <c r="G49" i="1"/>
  <c r="F49" i="1"/>
  <c r="E49" i="1"/>
  <c r="D49" i="1"/>
  <c r="V48" i="1"/>
  <c r="U48" i="1"/>
  <c r="T48" i="1"/>
  <c r="S48" i="1"/>
  <c r="R48" i="1"/>
  <c r="P48" i="1"/>
  <c r="O48" i="1"/>
  <c r="N48" i="1"/>
  <c r="L48" i="1"/>
  <c r="K48" i="1"/>
  <c r="J48" i="1"/>
  <c r="I48" i="1"/>
  <c r="G48" i="1"/>
  <c r="F48" i="1"/>
  <c r="E48" i="1"/>
  <c r="V47" i="1"/>
  <c r="U47" i="1"/>
  <c r="T47" i="1"/>
  <c r="S47" i="1"/>
  <c r="R47" i="1"/>
  <c r="P47" i="1"/>
  <c r="O47" i="1"/>
  <c r="N47" i="1"/>
  <c r="L47" i="1"/>
  <c r="K47" i="1"/>
  <c r="J47" i="1"/>
  <c r="I47" i="1"/>
  <c r="G47" i="1"/>
  <c r="F47" i="1"/>
  <c r="E47" i="1"/>
  <c r="D47" i="1"/>
  <c r="V46" i="1"/>
  <c r="U46" i="1"/>
  <c r="T46" i="1"/>
  <c r="S46" i="1"/>
  <c r="R46" i="1"/>
  <c r="P46" i="1"/>
  <c r="O46" i="1"/>
  <c r="N46" i="1"/>
  <c r="L46" i="1"/>
  <c r="K46" i="1"/>
  <c r="J46" i="1"/>
  <c r="I46" i="1"/>
  <c r="G46" i="1"/>
  <c r="F46" i="1"/>
  <c r="E46" i="1"/>
  <c r="D46" i="1"/>
  <c r="V45" i="1"/>
  <c r="U45" i="1"/>
  <c r="T45" i="1"/>
  <c r="S45" i="1"/>
  <c r="R45" i="1"/>
  <c r="P45" i="1"/>
  <c r="O45" i="1"/>
  <c r="N45" i="1"/>
  <c r="L45" i="1"/>
  <c r="K45" i="1"/>
  <c r="J45" i="1"/>
  <c r="I45" i="1"/>
  <c r="G45" i="1"/>
  <c r="F45" i="1"/>
  <c r="E45" i="1"/>
  <c r="D45" i="1"/>
  <c r="V44" i="1"/>
  <c r="U44" i="1"/>
  <c r="T44" i="1"/>
  <c r="S44" i="1"/>
  <c r="R44" i="1"/>
  <c r="P44" i="1"/>
  <c r="O44" i="1"/>
  <c r="N44" i="1"/>
  <c r="L44" i="1"/>
  <c r="K44" i="1"/>
  <c r="J44" i="1"/>
  <c r="I44" i="1"/>
  <c r="G44" i="1"/>
  <c r="F44" i="1"/>
  <c r="E44" i="1"/>
  <c r="D44" i="1"/>
  <c r="V43" i="1"/>
  <c r="U43" i="1"/>
  <c r="T43" i="1"/>
  <c r="S43" i="1"/>
  <c r="R43" i="1"/>
  <c r="P43" i="1"/>
  <c r="O43" i="1"/>
  <c r="N43" i="1"/>
  <c r="L43" i="1"/>
  <c r="K43" i="1"/>
  <c r="J43" i="1"/>
  <c r="I43" i="1"/>
  <c r="G43" i="1"/>
  <c r="F43" i="1"/>
  <c r="E43" i="1"/>
  <c r="D43" i="1"/>
  <c r="V42" i="1"/>
  <c r="U42" i="1"/>
  <c r="T42" i="1"/>
  <c r="S42" i="1"/>
  <c r="R42" i="1"/>
  <c r="P42" i="1"/>
  <c r="O42" i="1"/>
  <c r="N42" i="1"/>
  <c r="L42" i="1"/>
  <c r="K42" i="1"/>
  <c r="J42" i="1"/>
  <c r="I42" i="1"/>
  <c r="G42" i="1"/>
  <c r="F42" i="1"/>
  <c r="E42" i="1"/>
  <c r="D42" i="1"/>
  <c r="V41" i="1"/>
  <c r="U41" i="1"/>
  <c r="T41" i="1"/>
  <c r="S41" i="1"/>
  <c r="R41" i="1"/>
  <c r="P41" i="1"/>
  <c r="O41" i="1"/>
  <c r="N41" i="1"/>
  <c r="L41" i="1"/>
  <c r="K41" i="1"/>
  <c r="J41" i="1"/>
  <c r="I41" i="1"/>
  <c r="G41" i="1"/>
  <c r="F41" i="1"/>
  <c r="E41" i="1"/>
  <c r="D41" i="1"/>
  <c r="V40" i="1"/>
  <c r="U40" i="1"/>
  <c r="T40" i="1"/>
  <c r="S40" i="1"/>
  <c r="R40" i="1"/>
  <c r="P40" i="1"/>
  <c r="O40" i="1"/>
  <c r="N40" i="1"/>
  <c r="L40" i="1"/>
  <c r="K40" i="1"/>
  <c r="J40" i="1"/>
  <c r="I40" i="1"/>
  <c r="G40" i="1"/>
  <c r="F40" i="1"/>
  <c r="E40" i="1"/>
  <c r="D40" i="1"/>
  <c r="T39" i="1"/>
  <c r="S39" i="1"/>
  <c r="R39" i="1"/>
  <c r="P39" i="1"/>
  <c r="O39" i="1"/>
  <c r="N39" i="1"/>
  <c r="L39" i="1"/>
  <c r="K39" i="1"/>
  <c r="J39" i="1"/>
  <c r="I39" i="1"/>
  <c r="G39" i="1"/>
  <c r="F39" i="1"/>
  <c r="E39" i="1"/>
  <c r="D39" i="1"/>
  <c r="V34" i="1"/>
  <c r="U34" i="1"/>
  <c r="T34" i="1"/>
  <c r="S34" i="1"/>
  <c r="R34" i="1"/>
  <c r="P34" i="1"/>
  <c r="O34" i="1"/>
  <c r="N34" i="1"/>
  <c r="L34" i="1"/>
  <c r="K34" i="1"/>
  <c r="J34" i="1"/>
  <c r="I34" i="1"/>
  <c r="G34" i="1"/>
  <c r="F34" i="1"/>
  <c r="E34" i="1"/>
  <c r="D34" i="1"/>
  <c r="V33" i="1"/>
  <c r="U33" i="1"/>
  <c r="T33" i="1"/>
  <c r="S33" i="1"/>
  <c r="R33" i="1"/>
  <c r="P33" i="1"/>
  <c r="O33" i="1"/>
  <c r="N33" i="1"/>
  <c r="L33" i="1"/>
  <c r="K33" i="1"/>
  <c r="J33" i="1"/>
  <c r="I33" i="1"/>
  <c r="G33" i="1"/>
  <c r="F33" i="1"/>
  <c r="E33" i="1"/>
  <c r="D33" i="1"/>
  <c r="V32" i="1"/>
  <c r="U32" i="1"/>
  <c r="T32" i="1"/>
  <c r="S32" i="1"/>
  <c r="R32" i="1"/>
  <c r="P32" i="1"/>
  <c r="O32" i="1"/>
  <c r="N32" i="1"/>
  <c r="L32" i="1"/>
  <c r="K32" i="1"/>
  <c r="J32" i="1"/>
  <c r="I32" i="1"/>
  <c r="G32" i="1"/>
  <c r="F32" i="1"/>
  <c r="E32" i="1"/>
  <c r="D32" i="1"/>
  <c r="V31" i="1"/>
  <c r="U31" i="1"/>
  <c r="T31" i="1"/>
  <c r="S31" i="1"/>
  <c r="R31" i="1"/>
  <c r="P31" i="1"/>
  <c r="O31" i="1"/>
  <c r="N31" i="1"/>
  <c r="L31" i="1"/>
  <c r="K31" i="1"/>
  <c r="J31" i="1"/>
  <c r="I31" i="1"/>
  <c r="G31" i="1"/>
  <c r="F31" i="1"/>
  <c r="E31" i="1"/>
  <c r="D31" i="1"/>
  <c r="V30" i="1"/>
  <c r="U30" i="1"/>
  <c r="T30" i="1"/>
  <c r="S30" i="1"/>
  <c r="R30" i="1"/>
  <c r="P30" i="1"/>
  <c r="O30" i="1"/>
  <c r="N30" i="1"/>
  <c r="L30" i="1"/>
  <c r="K30" i="1"/>
  <c r="J30" i="1"/>
  <c r="I30" i="1"/>
  <c r="G30" i="1"/>
  <c r="F30" i="1"/>
  <c r="E30" i="1"/>
  <c r="D30" i="1"/>
  <c r="V29" i="1"/>
  <c r="U29" i="1"/>
  <c r="T29" i="1"/>
  <c r="S29" i="1"/>
  <c r="R29" i="1"/>
  <c r="P29" i="1"/>
  <c r="O29" i="1"/>
  <c r="N29" i="1"/>
  <c r="L29" i="1"/>
  <c r="K29" i="1"/>
  <c r="J29" i="1"/>
  <c r="I29" i="1"/>
  <c r="G29" i="1"/>
  <c r="F29" i="1"/>
  <c r="E29" i="1"/>
  <c r="D29" i="1"/>
  <c r="V28" i="1"/>
  <c r="U28" i="1"/>
  <c r="T28" i="1"/>
  <c r="S28" i="1"/>
  <c r="R28" i="1"/>
  <c r="P28" i="1"/>
  <c r="O28" i="1"/>
  <c r="N28" i="1"/>
  <c r="L28" i="1"/>
  <c r="K28" i="1"/>
  <c r="J28" i="1"/>
  <c r="I28" i="1"/>
  <c r="G28" i="1"/>
  <c r="F28" i="1"/>
  <c r="E28" i="1"/>
  <c r="D28" i="1"/>
  <c r="V27" i="1"/>
  <c r="U27" i="1"/>
  <c r="T27" i="1"/>
  <c r="S27" i="1"/>
  <c r="R27" i="1"/>
  <c r="P27" i="1"/>
  <c r="O27" i="1"/>
  <c r="N27" i="1"/>
  <c r="L27" i="1"/>
  <c r="K27" i="1"/>
  <c r="J27" i="1"/>
  <c r="I27" i="1"/>
  <c r="G27" i="1"/>
  <c r="F27" i="1"/>
  <c r="E27" i="1"/>
  <c r="D27" i="1"/>
  <c r="V26" i="1"/>
  <c r="U26" i="1"/>
  <c r="T26" i="1"/>
  <c r="S26" i="1"/>
  <c r="R26" i="1"/>
  <c r="P26" i="1"/>
  <c r="O26" i="1"/>
  <c r="N26" i="1"/>
  <c r="L26" i="1"/>
  <c r="K26" i="1"/>
  <c r="J26" i="1"/>
  <c r="I26" i="1"/>
  <c r="G26" i="1"/>
  <c r="F26" i="1"/>
  <c r="E26" i="1"/>
  <c r="D26" i="1"/>
  <c r="V25" i="1"/>
  <c r="U25" i="1"/>
  <c r="T25" i="1"/>
  <c r="S25" i="1"/>
  <c r="R25" i="1"/>
  <c r="P25" i="1"/>
  <c r="O25" i="1"/>
  <c r="N25" i="1"/>
  <c r="L25" i="1"/>
  <c r="K25" i="1"/>
  <c r="J25" i="1"/>
  <c r="I25" i="1"/>
  <c r="G25" i="1"/>
  <c r="F25" i="1"/>
  <c r="E25" i="1"/>
  <c r="D25" i="1"/>
  <c r="V24" i="1"/>
  <c r="U24" i="1"/>
  <c r="T24" i="1"/>
  <c r="S24" i="1"/>
  <c r="R24" i="1"/>
  <c r="P24" i="1"/>
  <c r="O24" i="1"/>
  <c r="N24" i="1"/>
  <c r="L24" i="1"/>
  <c r="K24" i="1"/>
  <c r="J24" i="1"/>
  <c r="I24" i="1"/>
  <c r="G24" i="1"/>
  <c r="F24" i="1"/>
  <c r="E24" i="1"/>
  <c r="D24" i="1"/>
  <c r="T23" i="1"/>
  <c r="S23" i="1"/>
  <c r="R23" i="1"/>
  <c r="P23" i="1"/>
  <c r="O23" i="1"/>
  <c r="N23" i="1"/>
  <c r="L23" i="1"/>
  <c r="K23" i="1"/>
  <c r="J23" i="1"/>
  <c r="I23" i="1"/>
  <c r="G23" i="1"/>
  <c r="F23" i="1"/>
  <c r="E23" i="1"/>
  <c r="D23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D14" i="1"/>
  <c r="C14" i="1"/>
  <c r="B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D13" i="1"/>
  <c r="C13" i="1"/>
  <c r="B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D12" i="1"/>
  <c r="C12" i="1"/>
  <c r="B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D11" i="1"/>
  <c r="C11" i="1"/>
  <c r="B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D10" i="1"/>
  <c r="C10" i="1"/>
  <c r="B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D9" i="1"/>
  <c r="C9" i="1"/>
  <c r="B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D8" i="1"/>
  <c r="C8" i="1"/>
  <c r="B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D7" i="1"/>
  <c r="C7" i="1"/>
  <c r="B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D6" i="1"/>
  <c r="C6" i="1"/>
  <c r="B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D5" i="1"/>
  <c r="C5" i="1"/>
  <c r="B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D4" i="1"/>
  <c r="C4" i="1"/>
  <c r="B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D3" i="1"/>
  <c r="C3" i="1"/>
  <c r="B3" i="1"/>
</calcChain>
</file>

<file path=xl/sharedStrings.xml><?xml version="1.0" encoding="utf-8"?>
<sst xmlns="http://schemas.openxmlformats.org/spreadsheetml/2006/main" count="119" uniqueCount="52">
  <si>
    <t>Tallow - Gulf (del)</t>
  </si>
  <si>
    <t>UCO - Gulf (del)</t>
  </si>
  <si>
    <t>DCO - Gulf</t>
  </si>
  <si>
    <t>YG - Gulf</t>
  </si>
  <si>
    <t>SBO-CD - Gulf</t>
  </si>
  <si>
    <t>SBO-RBD</t>
  </si>
  <si>
    <t>Tech Tallow - Chi</t>
  </si>
  <si>
    <t>UCO - Southern Cal</t>
  </si>
  <si>
    <t>DCO IL/WI</t>
  </si>
  <si>
    <t>Others</t>
  </si>
  <si>
    <t>High</t>
  </si>
  <si>
    <t>Low</t>
  </si>
  <si>
    <t>Mid</t>
  </si>
  <si>
    <t>SAF Price Forecast - Average Cost per Pound of Feedstock Mix</t>
  </si>
  <si>
    <t>Add Production Costs ex. Hydrogen</t>
  </si>
  <si>
    <t>Hydrogen Costs</t>
  </si>
  <si>
    <t>SAF Forecast</t>
  </si>
  <si>
    <t>Gulf Mix</t>
  </si>
  <si>
    <t>Chicago High</t>
  </si>
  <si>
    <t>Chicago Low</t>
  </si>
  <si>
    <t>Chicago Mid</t>
  </si>
  <si>
    <t>BFT</t>
  </si>
  <si>
    <t>UCO</t>
  </si>
  <si>
    <t>DCO</t>
  </si>
  <si>
    <t>SBO-CD</t>
  </si>
  <si>
    <t>YG</t>
  </si>
  <si>
    <t>West Coast Mix</t>
  </si>
  <si>
    <t>Tech Tallow</t>
  </si>
  <si>
    <t>Other</t>
  </si>
  <si>
    <t>Conversion Rates</t>
  </si>
  <si>
    <t>Account for loss by multiplying the feedstock slate by 1.45</t>
  </si>
  <si>
    <t>Tallow</t>
  </si>
  <si>
    <t>Gulf High</t>
  </si>
  <si>
    <t>Gulf Low</t>
  </si>
  <si>
    <t>Gulf Mid</t>
  </si>
  <si>
    <t>Canola</t>
  </si>
  <si>
    <t>Operating Costs plus Salaries</t>
  </si>
  <si>
    <t>Shipping Costs</t>
  </si>
  <si>
    <t>Chicago to Gulf</t>
  </si>
  <si>
    <t>Chicago to West Coast</t>
  </si>
  <si>
    <t>West Coast High</t>
  </si>
  <si>
    <t>West Coast Low</t>
  </si>
  <si>
    <t>West Coast Mid</t>
  </si>
  <si>
    <t>WC-Chi</t>
  </si>
  <si>
    <t>WC-Gulf</t>
  </si>
  <si>
    <t>SBO</t>
  </si>
  <si>
    <t>Canola Oil</t>
  </si>
  <si>
    <t>Poultry Fat</t>
  </si>
  <si>
    <t>Choice White Grease</t>
  </si>
  <si>
    <t>Natural Gas Cost</t>
  </si>
  <si>
    <t>Water Cost</t>
  </si>
  <si>
    <t>Misc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</si>
</sst>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[Red]\(#,##0.0\)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b/>
      <sz val="9"/>
      <color theme="1"/>
      <name val="Aptos Display"/>
      <family val="2"/>
    </font>
    <font>
      <sz val="9"/>
      <color theme="1"/>
      <name val="Aptos Display"/>
      <family val="2"/>
    </font>
    <font>
      <sz val="10"/>
      <color rgb="FFFF0000"/>
      <name val="Aptos Display"/>
      <family val="2"/>
    </font>
    <font>
      <sz val="1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1" applyFont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16" fontId="2" fillId="0" borderId="0" xfId="1" applyNumberFormat="1" applyFont="1"/>
    <xf numFmtId="40" fontId="2" fillId="0" borderId="0" xfId="1" applyNumberFormat="1" applyFont="1"/>
    <xf numFmtId="40" fontId="2" fillId="2" borderId="0" xfId="1" applyNumberFormat="1" applyFont="1" applyFill="1"/>
    <xf numFmtId="2" fontId="2" fillId="0" borderId="0" xfId="1" applyNumberFormat="1" applyFont="1"/>
    <xf numFmtId="0" fontId="3" fillId="0" borderId="0" xfId="1" applyFont="1"/>
    <xf numFmtId="0" fontId="4" fillId="0" borderId="0" xfId="1" applyFont="1" applyAlignment="1">
      <alignment vertical="center" wrapText="1"/>
    </xf>
    <xf numFmtId="0" fontId="5" fillId="0" borderId="0" xfId="1" applyFont="1"/>
    <xf numFmtId="9" fontId="2" fillId="0" borderId="0" xfId="2" applyFont="1"/>
    <xf numFmtId="40" fontId="2" fillId="0" borderId="0" xfId="0" applyNumberFormat="1" applyFont="1"/>
    <xf numFmtId="40" fontId="6" fillId="0" borderId="0" xfId="0" applyNumberFormat="1" applyFont="1"/>
    <xf numFmtId="0" fontId="2" fillId="0" borderId="0" xfId="0" applyFont="1"/>
    <xf numFmtId="164" fontId="7" fillId="0" borderId="0" xfId="0" applyNumberFormat="1" applyFont="1"/>
    <xf numFmtId="164" fontId="2" fillId="0" borderId="0" xfId="1" applyNumberFormat="1" applyFont="1"/>
    <xf numFmtId="0" fontId="5" fillId="0" borderId="0" xfId="1" applyFont="1" applyAlignment="1">
      <alignment horizontal="center"/>
    </xf>
    <xf numFmtId="40" fontId="2" fillId="3" borderId="0" xfId="0" applyNumberFormat="1" applyFont="1" applyFill="1"/>
    <xf numFmtId="40" fontId="6" fillId="3" borderId="0" xfId="0" applyNumberFormat="1" applyFont="1" applyFill="1"/>
    <xf numFmtId="40" fontId="2" fillId="3" borderId="0" xfId="1" applyNumberFormat="1" applyFont="1" applyFill="1"/>
    <xf numFmtId="40" fontId="6" fillId="4" borderId="0" xfId="1" applyNumberFormat="1" applyFont="1" applyFill="1"/>
    <xf numFmtId="165" fontId="2" fillId="0" borderId="0" xfId="1" applyNumberFormat="1" applyFont="1"/>
    <xf numFmtId="40" fontId="6" fillId="0" borderId="0" xfId="1" applyNumberFormat="1" applyFont="1"/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 wrapText="1"/>
    </xf>
    <xf numFmtId="0" fontId="3" fillId="2" borderId="0" xfId="1" applyFont="1" applyFill="1" applyAlignment="1">
      <alignment horizontal="center"/>
    </xf>
  </cellXfs>
  <cellStyles count="3">
    <cellStyle name="Normal" xfId="0" builtinId="0"/>
    <cellStyle name="Normal 2" xfId="1" xr:uid="{D7EAE6DC-4165-436F-9D7E-A8357F78BA94}"/>
    <cellStyle name="Percent 2" xfId="2" xr:uid="{1EE2FD85-6DF9-47C5-BBE5-E1D154A06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Chicago SAF Price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01421697287836"/>
          <c:y val="0.17555555555555555"/>
          <c:w val="0.801430227471566"/>
          <c:h val="0.5774792213473315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Model'!$R$23:$R$34</c:f>
              <c:numCache>
                <c:formatCode>#,##0.00_);[Red]\(#,##0.00\)</c:formatCode>
                <c:ptCount val="12"/>
                <c:pt idx="0">
                  <c:v>6</c:v>
                </c:pt>
                <c:pt idx="1">
                  <c:v>5.75</c:v>
                </c:pt>
                <c:pt idx="2">
                  <c:v>5.85</c:v>
                </c:pt>
                <c:pt idx="3">
                  <c:v>5.8</c:v>
                </c:pt>
                <c:pt idx="4">
                  <c:v>5.3999999999999995</c:v>
                </c:pt>
                <c:pt idx="5">
                  <c:v>5.35</c:v>
                </c:pt>
                <c:pt idx="6">
                  <c:v>5.6</c:v>
                </c:pt>
                <c:pt idx="7">
                  <c:v>5.6999999999999993</c:v>
                </c:pt>
                <c:pt idx="8">
                  <c:v>5.6999999999999993</c:v>
                </c:pt>
                <c:pt idx="9">
                  <c:v>5.8</c:v>
                </c:pt>
                <c:pt idx="10">
                  <c:v>6.05</c:v>
                </c:pt>
                <c:pt idx="11">
                  <c:v>6.3999999999999995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4-4D25-9908-EDF88407F3FD}"/>
            </c:ext>
          </c:extLst>
        </c:ser>
        <c:ser>
          <c:idx val="1"/>
          <c:order val="1"/>
          <c:tx>
            <c:strRef>
              <c:f>'SAF Temp Model'!$S$22</c:f>
              <c:strCache>
                <c:ptCount val="1"/>
                <c:pt idx="0">
                  <c:v>Chicago High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Model'!$S$23:$S$34</c:f>
              <c:numCache>
                <c:formatCode>#,##0.00_);[Red]\(#,##0.00\)</c:formatCode>
                <c:ptCount val="12"/>
                <c:pt idx="0">
                  <c:v>6.6</c:v>
                </c:pt>
                <c:pt idx="1">
                  <c:v>6.55</c:v>
                </c:pt>
                <c:pt idx="2">
                  <c:v>6.6</c:v>
                </c:pt>
                <c:pt idx="3">
                  <c:v>6.35</c:v>
                </c:pt>
                <c:pt idx="4">
                  <c:v>6.05</c:v>
                </c:pt>
                <c:pt idx="5">
                  <c:v>6.1499999999999995</c:v>
                </c:pt>
                <c:pt idx="6">
                  <c:v>6.1999999999999993</c:v>
                </c:pt>
                <c:pt idx="7">
                  <c:v>6.35</c:v>
                </c:pt>
                <c:pt idx="8">
                  <c:v>6.4499999999999993</c:v>
                </c:pt>
                <c:pt idx="9">
                  <c:v>6.6999999999999993</c:v>
                </c:pt>
                <c:pt idx="10">
                  <c:v>6.8</c:v>
                </c:pt>
                <c:pt idx="11">
                  <c:v>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4-4D25-9908-EDF88407F3FD}"/>
            </c:ext>
          </c:extLst>
        </c:ser>
        <c:ser>
          <c:idx val="2"/>
          <c:order val="2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Model'!$T$23:$T$34</c:f>
              <c:numCache>
                <c:formatCode>#,##0.00_);[Red]\(#,##0.00\)</c:formatCode>
                <c:ptCount val="12"/>
                <c:pt idx="0">
                  <c:v>6.55</c:v>
                </c:pt>
                <c:pt idx="1">
                  <c:v>6.35</c:v>
                </c:pt>
                <c:pt idx="2">
                  <c:v>6.3999999999999995</c:v>
                </c:pt>
                <c:pt idx="3">
                  <c:v>6.3</c:v>
                </c:pt>
                <c:pt idx="4">
                  <c:v>5.9499999999999993</c:v>
                </c:pt>
                <c:pt idx="5">
                  <c:v>6</c:v>
                </c:pt>
                <c:pt idx="6">
                  <c:v>6.1</c:v>
                </c:pt>
                <c:pt idx="7">
                  <c:v>5.3999999999999995</c:v>
                </c:pt>
                <c:pt idx="8">
                  <c:v>6.35</c:v>
                </c:pt>
                <c:pt idx="9">
                  <c:v>6.5</c:v>
                </c:pt>
                <c:pt idx="10">
                  <c:v>6.6499999999999995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4-4D25-9908-EDF88407F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270352"/>
        <c:axId val="1477258832"/>
      </c:lineChart>
      <c:dateAx>
        <c:axId val="1477270352"/>
        <c:scaling>
          <c:orientation val="minMax"/>
        </c:scaling>
        <c:delete val="0"/>
        <c:axPos val="b"/>
        <c:numFmt formatCode="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7258832"/>
        <c:crosses val="autoZero"/>
        <c:auto val="1"/>
        <c:lblOffset val="100"/>
        <c:baseTimeUnit val="months"/>
      </c:dateAx>
      <c:valAx>
        <c:axId val="147725883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1"/>
                  <a:t>$/gal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727035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7324846894138232"/>
          <c:y val="9.7455890930300354E-2"/>
          <c:w val="0.79794728783902014"/>
          <c:h val="7.384040536599591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US Gulf SAF Price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01421697287836"/>
          <c:y val="0.17555555555555555"/>
          <c:w val="0.801430227471566"/>
          <c:h val="0.5774792213473315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Model'!$R$39:$R$50</c:f>
              <c:numCache>
                <c:formatCode>#,##0.00_);[Red]\(#,##0.00\)</c:formatCode>
                <c:ptCount val="12"/>
                <c:pt idx="0">
                  <c:v>5.9</c:v>
                </c:pt>
                <c:pt idx="1">
                  <c:v>5.65</c:v>
                </c:pt>
                <c:pt idx="2">
                  <c:v>5.75</c:v>
                </c:pt>
                <c:pt idx="3">
                  <c:v>5.7</c:v>
                </c:pt>
                <c:pt idx="4">
                  <c:v>5.3</c:v>
                </c:pt>
                <c:pt idx="5">
                  <c:v>5.25</c:v>
                </c:pt>
                <c:pt idx="6">
                  <c:v>5.5</c:v>
                </c:pt>
                <c:pt idx="7">
                  <c:v>5.6</c:v>
                </c:pt>
                <c:pt idx="8">
                  <c:v>5.6</c:v>
                </c:pt>
                <c:pt idx="9">
                  <c:v>5.7</c:v>
                </c:pt>
                <c:pt idx="10">
                  <c:v>5.95</c:v>
                </c:pt>
                <c:pt idx="11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A-43A6-8BB2-A65A232B3F69}"/>
            </c:ext>
          </c:extLst>
        </c:ser>
        <c:ser>
          <c:idx val="1"/>
          <c:order val="1"/>
          <c:tx>
            <c:strRef>
              <c:f>'SAF Temp Model'!$S$38</c:f>
              <c:strCache>
                <c:ptCount val="1"/>
                <c:pt idx="0">
                  <c:v>Gulf High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Model'!$S$39:$S$50</c:f>
              <c:numCache>
                <c:formatCode>#,##0.00_);[Red]\(#,##0.00\)</c:formatCode>
                <c:ptCount val="12"/>
                <c:pt idx="0">
                  <c:v>6.5</c:v>
                </c:pt>
                <c:pt idx="1">
                  <c:v>6.45</c:v>
                </c:pt>
                <c:pt idx="2">
                  <c:v>6.5</c:v>
                </c:pt>
                <c:pt idx="3">
                  <c:v>6.25</c:v>
                </c:pt>
                <c:pt idx="4">
                  <c:v>5.95</c:v>
                </c:pt>
                <c:pt idx="5">
                  <c:v>6.05</c:v>
                </c:pt>
                <c:pt idx="6">
                  <c:v>6.1</c:v>
                </c:pt>
                <c:pt idx="7">
                  <c:v>6.25</c:v>
                </c:pt>
                <c:pt idx="8">
                  <c:v>6.35</c:v>
                </c:pt>
                <c:pt idx="9">
                  <c:v>6.6</c:v>
                </c:pt>
                <c:pt idx="10">
                  <c:v>6.7</c:v>
                </c:pt>
                <c:pt idx="11">
                  <c:v>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A-43A6-8BB2-A65A232B3F69}"/>
            </c:ext>
          </c:extLst>
        </c:ser>
        <c:ser>
          <c:idx val="2"/>
          <c:order val="2"/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Model'!$T$39:$T$50</c:f>
              <c:numCache>
                <c:formatCode>#,##0.00_);[Red]\(#,##0.00\)</c:formatCode>
                <c:ptCount val="12"/>
                <c:pt idx="0">
                  <c:v>6.45</c:v>
                </c:pt>
                <c:pt idx="1">
                  <c:v>6.25</c:v>
                </c:pt>
                <c:pt idx="2">
                  <c:v>6.3</c:v>
                </c:pt>
                <c:pt idx="3">
                  <c:v>6.2</c:v>
                </c:pt>
                <c:pt idx="4">
                  <c:v>5.85</c:v>
                </c:pt>
                <c:pt idx="5">
                  <c:v>5.9</c:v>
                </c:pt>
                <c:pt idx="6">
                  <c:v>6</c:v>
                </c:pt>
                <c:pt idx="7">
                  <c:v>5.3</c:v>
                </c:pt>
                <c:pt idx="8">
                  <c:v>6.25</c:v>
                </c:pt>
                <c:pt idx="9">
                  <c:v>6.4</c:v>
                </c:pt>
                <c:pt idx="10">
                  <c:v>6.55</c:v>
                </c:pt>
                <c:pt idx="11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A-43A6-8BB2-A65A232B3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270352"/>
        <c:axId val="1477258832"/>
      </c:lineChart>
      <c:dateAx>
        <c:axId val="1477270352"/>
        <c:scaling>
          <c:orientation val="minMax"/>
        </c:scaling>
        <c:delete val="0"/>
        <c:axPos val="b"/>
        <c:numFmt formatCode="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7258832"/>
        <c:crosses val="autoZero"/>
        <c:auto val="1"/>
        <c:lblOffset val="100"/>
        <c:baseTimeUnit val="months"/>
      </c:dateAx>
      <c:valAx>
        <c:axId val="147725883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1"/>
                  <a:t>$/gal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727035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7324846894138232"/>
          <c:y val="9.7455890930300354E-2"/>
          <c:w val="0.79794728783902014"/>
          <c:h val="7.384040536599591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West Coast SAF Price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01421697287836"/>
          <c:y val="0.17555555555555555"/>
          <c:w val="0.801430227471566"/>
          <c:h val="0.5774792213473315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Model'!$R$53:$R$64</c:f>
              <c:numCache>
                <c:formatCode>#,##0.00_);[Red]\(#,##0.00\)</c:formatCode>
                <c:ptCount val="12"/>
                <c:pt idx="0">
                  <c:v>7.15</c:v>
                </c:pt>
                <c:pt idx="1">
                  <c:v>7.1</c:v>
                </c:pt>
                <c:pt idx="2">
                  <c:v>7.1</c:v>
                </c:pt>
                <c:pt idx="3">
                  <c:v>7.05</c:v>
                </c:pt>
                <c:pt idx="4">
                  <c:v>6.8</c:v>
                </c:pt>
                <c:pt idx="5">
                  <c:v>6.7</c:v>
                </c:pt>
                <c:pt idx="6">
                  <c:v>7.05</c:v>
                </c:pt>
                <c:pt idx="7">
                  <c:v>7.1</c:v>
                </c:pt>
                <c:pt idx="8">
                  <c:v>7</c:v>
                </c:pt>
                <c:pt idx="9">
                  <c:v>6.7</c:v>
                </c:pt>
                <c:pt idx="10">
                  <c:v>7</c:v>
                </c:pt>
                <c:pt idx="1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6-4B5C-B5C5-DC31C4230EFD}"/>
            </c:ext>
          </c:extLst>
        </c:ser>
        <c:ser>
          <c:idx val="1"/>
          <c:order val="1"/>
          <c:tx>
            <c:strRef>
              <c:f>'SAF Temp Model'!$S$22</c:f>
              <c:strCache>
                <c:ptCount val="1"/>
                <c:pt idx="0">
                  <c:v>Chicago High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Model'!$S$53:$S$64</c:f>
              <c:numCache>
                <c:formatCode>#,##0.00_);[Red]\(#,##0.00\)</c:formatCode>
                <c:ptCount val="12"/>
                <c:pt idx="0">
                  <c:v>8.4499999999999993</c:v>
                </c:pt>
                <c:pt idx="1">
                  <c:v>8.6</c:v>
                </c:pt>
                <c:pt idx="2">
                  <c:v>8.5500000000000007</c:v>
                </c:pt>
                <c:pt idx="3">
                  <c:v>8.4</c:v>
                </c:pt>
                <c:pt idx="4">
                  <c:v>8.0500000000000007</c:v>
                </c:pt>
                <c:pt idx="5">
                  <c:v>8.25</c:v>
                </c:pt>
                <c:pt idx="6">
                  <c:v>8.35</c:v>
                </c:pt>
                <c:pt idx="7">
                  <c:v>8.4</c:v>
                </c:pt>
                <c:pt idx="8">
                  <c:v>8.35</c:v>
                </c:pt>
                <c:pt idx="9">
                  <c:v>8.4</c:v>
                </c:pt>
                <c:pt idx="10">
                  <c:v>8.35</c:v>
                </c:pt>
                <c:pt idx="11">
                  <c:v>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6-4B5C-B5C5-DC31C4230EFD}"/>
            </c:ext>
          </c:extLst>
        </c:ser>
        <c:ser>
          <c:idx val="2"/>
          <c:order val="2"/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'SAF Temp Model'!$D$23:$D$34</c:f>
              <c:numCache>
                <c:formatCode>d\-mmm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'SAF Temp Model'!$T$53:$T$64</c:f>
              <c:numCache>
                <c:formatCode>#,##0.00_);[Red]\(#,##0.00\)</c:formatCode>
                <c:ptCount val="12"/>
                <c:pt idx="0">
                  <c:v>7.8</c:v>
                </c:pt>
                <c:pt idx="1">
                  <c:v>7.9</c:v>
                </c:pt>
                <c:pt idx="2">
                  <c:v>7.8</c:v>
                </c:pt>
                <c:pt idx="3">
                  <c:v>7.7</c:v>
                </c:pt>
                <c:pt idx="4">
                  <c:v>7.45</c:v>
                </c:pt>
                <c:pt idx="5">
                  <c:v>7.45</c:v>
                </c:pt>
                <c:pt idx="6">
                  <c:v>7.75</c:v>
                </c:pt>
                <c:pt idx="7">
                  <c:v>7.7</c:v>
                </c:pt>
                <c:pt idx="8">
                  <c:v>7.7</c:v>
                </c:pt>
                <c:pt idx="9">
                  <c:v>7.6</c:v>
                </c:pt>
                <c:pt idx="10">
                  <c:v>7.7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86-4B5C-B5C5-DC31C423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270352"/>
        <c:axId val="1477258832"/>
      </c:lineChart>
      <c:dateAx>
        <c:axId val="1477270352"/>
        <c:scaling>
          <c:orientation val="minMax"/>
        </c:scaling>
        <c:delete val="0"/>
        <c:axPos val="b"/>
        <c:numFmt formatCode="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7258832"/>
        <c:crosses val="autoZero"/>
        <c:auto val="1"/>
        <c:lblOffset val="100"/>
        <c:baseTimeUnit val="months"/>
      </c:dateAx>
      <c:valAx>
        <c:axId val="1477258832"/>
        <c:scaling>
          <c:orientation val="minMax"/>
          <c:min val="5.75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1"/>
                  <a:t>$/gal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727035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7324846894138232"/>
          <c:y val="9.7455890930300354E-2"/>
          <c:w val="0.79794728783902014"/>
          <c:h val="7.384040536599591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21</xdr:row>
      <xdr:rowOff>4762</xdr:rowOff>
    </xdr:from>
    <xdr:to>
      <xdr:col>30</xdr:col>
      <xdr:colOff>466725</xdr:colOff>
      <xdr:row>37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FF5CF-586E-4924-BFE7-2256AF708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19050</xdr:colOff>
      <xdr:row>38</xdr:row>
      <xdr:rowOff>9525</xdr:rowOff>
    </xdr:from>
    <xdr:to>
      <xdr:col>30</xdr:col>
      <xdr:colOff>476250</xdr:colOff>
      <xdr:row>54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FC0123-738C-47BE-9C71-7DC4B94E0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</xdr:colOff>
      <xdr:row>56</xdr:row>
      <xdr:rowOff>0</xdr:rowOff>
    </xdr:from>
    <xdr:to>
      <xdr:col>30</xdr:col>
      <xdr:colOff>495300</xdr:colOff>
      <xdr:row>72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B5FE33-0A53-4855-AACC-28B8B383B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Tallow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Tallow%20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UCO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UCO%20Pric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DCO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DCO%20Pric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YG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YG%20Pric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Veg%20Oil%20Cash%20Price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Veg%20Oil%20Cash%20Prices/Soybean%20Oil%20Cash%20Pr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Relative%20Feedstock%20Profitability1.xlsx" TargetMode="External"/><Relationship Id="rId1" Type="http://schemas.openxmlformats.org/officeDocument/2006/relationships/externalLinkPath" Target="https://fmpra-my.sharepoint.com/personal/svc-tjteamreader_fmpra_com/Documents/TJTeam%20-%20Documents/Biomass-Based%20Diesel/Relative%20Feedstock%20Profitability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HEFA%20Financial%20Model%20-%20Jul%2024.xlsx" TargetMode="External"/><Relationship Id="rId1" Type="http://schemas.openxmlformats.org/officeDocument/2006/relationships/externalLinkPath" Target="https://fmpra-my.sharepoint.com/personal/svc-tjteamreader_fmpra_com/Documents/TJTeam%20-%20Documents/Biomass-Based%20Diesel/HEFA%20Financial%20Model%20-%20Jul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2SWAVPT7NWJBJPHV2HND6BSNH">
      <xxl21:absoluteUrl r:id="rId2"/>
    </xxl21:alternateUrls>
    <sheetNames>
      <sheetName val="Monthly Prices"/>
      <sheetName val="Fat and Grease Data"/>
      <sheetName val="Fats and Greases"/>
    </sheetNames>
    <sheetDataSet>
      <sheetData sheetId="0">
        <row r="264">
          <cell r="D264">
            <v>68.19047619047619</v>
          </cell>
        </row>
        <row r="307">
          <cell r="D307">
            <v>62</v>
          </cell>
          <cell r="E307">
            <v>62.75</v>
          </cell>
          <cell r="F307">
            <v>61</v>
          </cell>
          <cell r="AC307">
            <v>56</v>
          </cell>
          <cell r="AD307">
            <v>57.25</v>
          </cell>
          <cell r="AE307">
            <v>54.75</v>
          </cell>
        </row>
        <row r="308">
          <cell r="D308">
            <v>57</v>
          </cell>
          <cell r="E308">
            <v>60</v>
          </cell>
          <cell r="F308">
            <v>54.75</v>
          </cell>
          <cell r="AC308">
            <v>57</v>
          </cell>
          <cell r="AD308">
            <v>59.5</v>
          </cell>
          <cell r="AE308">
            <v>54.25</v>
          </cell>
        </row>
        <row r="309">
          <cell r="D309">
            <v>58</v>
          </cell>
          <cell r="E309">
            <v>60</v>
          </cell>
          <cell r="F309">
            <v>56.75</v>
          </cell>
          <cell r="AC309">
            <v>56</v>
          </cell>
          <cell r="AD309">
            <v>57.75</v>
          </cell>
          <cell r="AE309">
            <v>53.75</v>
          </cell>
        </row>
        <row r="310">
          <cell r="D310">
            <v>55</v>
          </cell>
          <cell r="E310">
            <v>56.5</v>
          </cell>
          <cell r="F310">
            <v>53.25</v>
          </cell>
          <cell r="AC310">
            <v>56</v>
          </cell>
          <cell r="AD310">
            <v>58.5</v>
          </cell>
          <cell r="AE310">
            <v>53.25</v>
          </cell>
        </row>
        <row r="311">
          <cell r="D311">
            <v>50</v>
          </cell>
          <cell r="E311">
            <v>52</v>
          </cell>
          <cell r="F311">
            <v>48</v>
          </cell>
          <cell r="AC311">
            <v>53</v>
          </cell>
          <cell r="AD311">
            <v>54.25</v>
          </cell>
          <cell r="AE311">
            <v>51.25</v>
          </cell>
        </row>
        <row r="312">
          <cell r="D312">
            <v>50</v>
          </cell>
          <cell r="E312">
            <v>52.5</v>
          </cell>
          <cell r="F312">
            <v>46.5</v>
          </cell>
          <cell r="AC312">
            <v>50</v>
          </cell>
          <cell r="AD312">
            <v>54.25</v>
          </cell>
          <cell r="AE312">
            <v>46.75</v>
          </cell>
        </row>
        <row r="313">
          <cell r="D313">
            <v>51</v>
          </cell>
          <cell r="E313">
            <v>53</v>
          </cell>
          <cell r="F313">
            <v>48.75</v>
          </cell>
          <cell r="AC313">
            <v>50</v>
          </cell>
          <cell r="AD313">
            <v>52</v>
          </cell>
          <cell r="AE313">
            <v>47.25</v>
          </cell>
        </row>
        <row r="314">
          <cell r="D314">
            <v>49</v>
          </cell>
          <cell r="E314">
            <v>52</v>
          </cell>
          <cell r="F314">
            <v>47.5</v>
          </cell>
          <cell r="AC314">
            <v>49</v>
          </cell>
          <cell r="AD314">
            <v>51.75</v>
          </cell>
          <cell r="AE314">
            <v>48</v>
          </cell>
        </row>
        <row r="315">
          <cell r="D315">
            <v>57</v>
          </cell>
          <cell r="E315">
            <v>59</v>
          </cell>
          <cell r="F315">
            <v>52.75</v>
          </cell>
          <cell r="AC315">
            <v>52.5</v>
          </cell>
          <cell r="AD315">
            <v>55.25</v>
          </cell>
          <cell r="AE315">
            <v>47.75</v>
          </cell>
        </row>
        <row r="316">
          <cell r="D316">
            <v>52</v>
          </cell>
          <cell r="E316">
            <v>54.75</v>
          </cell>
          <cell r="F316">
            <v>50.25</v>
          </cell>
          <cell r="AC316">
            <v>54</v>
          </cell>
          <cell r="AD316">
            <v>56.25</v>
          </cell>
          <cell r="AE316">
            <v>52.75</v>
          </cell>
        </row>
        <row r="317">
          <cell r="D317">
            <v>52</v>
          </cell>
          <cell r="E317">
            <v>54</v>
          </cell>
          <cell r="F317">
            <v>50.25</v>
          </cell>
          <cell r="AC317">
            <v>53</v>
          </cell>
          <cell r="AD317">
            <v>54.5</v>
          </cell>
          <cell r="AE317">
            <v>52</v>
          </cell>
        </row>
        <row r="318">
          <cell r="D318">
            <v>63</v>
          </cell>
          <cell r="E318">
            <v>66.25</v>
          </cell>
          <cell r="F318">
            <v>61.5</v>
          </cell>
          <cell r="AC318">
            <v>58</v>
          </cell>
          <cell r="AD318">
            <v>59.75</v>
          </cell>
          <cell r="AE318">
            <v>57.25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GPLJRPZTIYRHLCM22WIK4KFP2">
      <xxl21:absoluteUrl r:id="rId2"/>
    </xxl21:alternateUrls>
    <sheetNames>
      <sheetName val="Monthly Prices"/>
      <sheetName val="Fat and Grease Data"/>
      <sheetName val="Fats and Greases"/>
    </sheetNames>
    <sheetDataSet>
      <sheetData sheetId="0">
        <row r="253">
          <cell r="N253">
            <v>30.888500000000001</v>
          </cell>
        </row>
        <row r="307">
          <cell r="D307">
            <v>48.75</v>
          </cell>
          <cell r="E307">
            <v>50.359996103896101</v>
          </cell>
          <cell r="F307">
            <v>45.559996103896104</v>
          </cell>
          <cell r="N307">
            <v>41.25</v>
          </cell>
          <cell r="O307">
            <v>41.75</v>
          </cell>
          <cell r="P307">
            <v>40</v>
          </cell>
        </row>
        <row r="308">
          <cell r="D308">
            <v>47.75</v>
          </cell>
          <cell r="E308">
            <v>50.079989747095013</v>
          </cell>
          <cell r="F308">
            <v>46.029989747095009</v>
          </cell>
          <cell r="N308">
            <v>42</v>
          </cell>
          <cell r="O308">
            <v>44</v>
          </cell>
          <cell r="P308">
            <v>40</v>
          </cell>
        </row>
        <row r="309">
          <cell r="D309">
            <v>48.75</v>
          </cell>
          <cell r="E309">
            <v>50.760028138528142</v>
          </cell>
          <cell r="F309">
            <v>46.660028138528141</v>
          </cell>
          <cell r="N309">
            <v>40.5</v>
          </cell>
          <cell r="O309">
            <v>42.5</v>
          </cell>
          <cell r="P309">
            <v>39.25</v>
          </cell>
        </row>
        <row r="310">
          <cell r="D310">
            <v>50</v>
          </cell>
          <cell r="E310">
            <v>51.326703369094673</v>
          </cell>
          <cell r="F310">
            <v>48.126703369094677</v>
          </cell>
          <cell r="N310">
            <v>43.25</v>
          </cell>
          <cell r="O310">
            <v>44.75</v>
          </cell>
          <cell r="P310">
            <v>42.75</v>
          </cell>
        </row>
        <row r="311">
          <cell r="D311">
            <v>47</v>
          </cell>
          <cell r="E311">
            <v>49.286209523809525</v>
          </cell>
          <cell r="F311">
            <v>44.736209523809528</v>
          </cell>
          <cell r="N311">
            <v>44.25</v>
          </cell>
          <cell r="O311">
            <v>45.75</v>
          </cell>
          <cell r="P311">
            <v>42.75</v>
          </cell>
        </row>
        <row r="312">
          <cell r="D312">
            <v>48.75</v>
          </cell>
          <cell r="E312">
            <v>51.511867683041594</v>
          </cell>
          <cell r="F312">
            <v>45.087867683041594</v>
          </cell>
          <cell r="N312">
            <v>43.5</v>
          </cell>
          <cell r="O312">
            <v>46.5</v>
          </cell>
          <cell r="P312">
            <v>40.5</v>
          </cell>
        </row>
        <row r="313">
          <cell r="D313">
            <v>48.5</v>
          </cell>
          <cell r="E313">
            <v>49.640333082706768</v>
          </cell>
          <cell r="F313">
            <v>47.114333082706764</v>
          </cell>
          <cell r="N313">
            <v>48.25</v>
          </cell>
          <cell r="O313">
            <v>49.75</v>
          </cell>
          <cell r="P313">
            <v>46.5</v>
          </cell>
        </row>
        <row r="314">
          <cell r="D314">
            <v>35</v>
          </cell>
          <cell r="E314">
            <v>36.97220367494824</v>
          </cell>
          <cell r="F314">
            <v>33.65970367494824</v>
          </cell>
          <cell r="N314">
            <v>43.75</v>
          </cell>
          <cell r="O314">
            <v>44.25</v>
          </cell>
          <cell r="P314">
            <v>42.25</v>
          </cell>
        </row>
        <row r="315">
          <cell r="D315">
            <v>48.5</v>
          </cell>
          <cell r="E315">
            <v>50.053790726817041</v>
          </cell>
          <cell r="F315">
            <v>45.553790726817041</v>
          </cell>
          <cell r="N315">
            <v>43.25</v>
          </cell>
          <cell r="O315">
            <v>44.5</v>
          </cell>
          <cell r="P315">
            <v>42.5</v>
          </cell>
        </row>
        <row r="316">
          <cell r="D316">
            <v>64.25</v>
          </cell>
          <cell r="E316">
            <v>67.585361842105272</v>
          </cell>
          <cell r="F316">
            <v>62.335361842105264</v>
          </cell>
          <cell r="N316">
            <v>43.5</v>
          </cell>
          <cell r="O316">
            <v>45.75</v>
          </cell>
          <cell r="P316">
            <v>40.75</v>
          </cell>
        </row>
        <row r="317">
          <cell r="D317">
            <v>66.75</v>
          </cell>
          <cell r="E317">
            <v>68.630917960662529</v>
          </cell>
          <cell r="F317">
            <v>63.755917960662529</v>
          </cell>
          <cell r="N317">
            <v>43</v>
          </cell>
          <cell r="O317">
            <v>44.5</v>
          </cell>
          <cell r="P317">
            <v>41.25</v>
          </cell>
        </row>
        <row r="318">
          <cell r="D318">
            <v>68</v>
          </cell>
          <cell r="E318">
            <v>70.564016575529735</v>
          </cell>
          <cell r="F318">
            <v>65.751516575529735</v>
          </cell>
          <cell r="N318">
            <v>44.25</v>
          </cell>
          <cell r="O318">
            <v>44.75</v>
          </cell>
          <cell r="P318">
            <v>44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QQAP2B6SZPND25OQHM3MAGM3S">
      <xxl21:absoluteUrl r:id="rId2"/>
    </xxl21:alternateUrls>
    <sheetNames>
      <sheetName val="Monthly Prices"/>
      <sheetName val="Fat and Grease Data"/>
      <sheetName val="Fats and Greases"/>
      <sheetName val="Sheet1"/>
    </sheetNames>
    <sheetDataSet>
      <sheetData sheetId="0">
        <row r="217">
          <cell r="I217" t="e">
            <v>#DIV/0!</v>
          </cell>
        </row>
        <row r="307">
          <cell r="I307">
            <v>53.5</v>
          </cell>
          <cell r="J307">
            <v>56</v>
          </cell>
          <cell r="K307">
            <v>50.75</v>
          </cell>
          <cell r="AC307">
            <v>56.75</v>
          </cell>
          <cell r="AD307">
            <v>59.5</v>
          </cell>
          <cell r="AE307">
            <v>53.75</v>
          </cell>
        </row>
        <row r="308">
          <cell r="I308">
            <v>53.25</v>
          </cell>
          <cell r="J308">
            <v>55.5</v>
          </cell>
          <cell r="K308">
            <v>50.25</v>
          </cell>
          <cell r="AC308">
            <v>56.5</v>
          </cell>
          <cell r="AD308">
            <v>58.75</v>
          </cell>
          <cell r="AE308">
            <v>54</v>
          </cell>
        </row>
        <row r="309">
          <cell r="I309">
            <v>53.5</v>
          </cell>
          <cell r="J309">
            <v>56.75</v>
          </cell>
          <cell r="K309">
            <v>49.5</v>
          </cell>
          <cell r="AC309">
            <v>56.5</v>
          </cell>
          <cell r="AD309">
            <v>59.5</v>
          </cell>
          <cell r="AE309">
            <v>53</v>
          </cell>
        </row>
        <row r="310">
          <cell r="I310">
            <v>52.5</v>
          </cell>
          <cell r="J310">
            <v>54.75</v>
          </cell>
          <cell r="K310">
            <v>50.25</v>
          </cell>
          <cell r="AC310">
            <v>55.5</v>
          </cell>
          <cell r="AD310">
            <v>57.25</v>
          </cell>
          <cell r="AE310">
            <v>53.75</v>
          </cell>
        </row>
        <row r="311">
          <cell r="I311">
            <v>47.25</v>
          </cell>
          <cell r="J311">
            <v>49.75</v>
          </cell>
          <cell r="K311">
            <v>45.75</v>
          </cell>
          <cell r="AC311">
            <v>51.75</v>
          </cell>
          <cell r="AD311">
            <v>54.5</v>
          </cell>
          <cell r="AE311">
            <v>49.25</v>
          </cell>
        </row>
        <row r="312">
          <cell r="I312">
            <v>49.75</v>
          </cell>
          <cell r="J312">
            <v>53.5</v>
          </cell>
          <cell r="K312">
            <v>46.75</v>
          </cell>
          <cell r="AC312">
            <v>53.25</v>
          </cell>
          <cell r="AD312">
            <v>55.75</v>
          </cell>
          <cell r="AE312">
            <v>50.5</v>
          </cell>
        </row>
        <row r="313">
          <cell r="I313">
            <v>50.75</v>
          </cell>
          <cell r="J313">
            <v>52.5</v>
          </cell>
          <cell r="K313">
            <v>48.5</v>
          </cell>
          <cell r="AC313">
            <v>55.25</v>
          </cell>
          <cell r="AD313">
            <v>58</v>
          </cell>
          <cell r="AE313">
            <v>53</v>
          </cell>
        </row>
        <row r="314">
          <cell r="I314">
            <v>46</v>
          </cell>
          <cell r="J314">
            <v>50</v>
          </cell>
          <cell r="K314">
            <v>44.25</v>
          </cell>
          <cell r="AC314">
            <v>47.5</v>
          </cell>
          <cell r="AD314">
            <v>50.75</v>
          </cell>
          <cell r="AE314">
            <v>45.5</v>
          </cell>
        </row>
        <row r="315">
          <cell r="I315">
            <v>53.75</v>
          </cell>
          <cell r="J315">
            <v>56.75</v>
          </cell>
          <cell r="K315">
            <v>50.25</v>
          </cell>
          <cell r="AC315">
            <v>57.75</v>
          </cell>
          <cell r="AD315">
            <v>60.5</v>
          </cell>
          <cell r="AE315">
            <v>53.5</v>
          </cell>
        </row>
        <row r="316">
          <cell r="I316">
            <v>50.75</v>
          </cell>
          <cell r="J316">
            <v>54.75</v>
          </cell>
          <cell r="K316">
            <v>48</v>
          </cell>
          <cell r="AC316">
            <v>53.5</v>
          </cell>
          <cell r="AD316">
            <v>57.25</v>
          </cell>
          <cell r="AE316">
            <v>51.5</v>
          </cell>
        </row>
        <row r="317">
          <cell r="I317">
            <v>51.25</v>
          </cell>
          <cell r="J317">
            <v>54.5</v>
          </cell>
          <cell r="K317">
            <v>48.5</v>
          </cell>
          <cell r="AC317">
            <v>56.5</v>
          </cell>
          <cell r="AD317">
            <v>59</v>
          </cell>
          <cell r="AE317">
            <v>54.5</v>
          </cell>
        </row>
        <row r="318">
          <cell r="I318">
            <v>55.75</v>
          </cell>
          <cell r="J318">
            <v>58.5</v>
          </cell>
          <cell r="K318">
            <v>52.25</v>
          </cell>
          <cell r="AC318">
            <v>58</v>
          </cell>
          <cell r="AD318">
            <v>61</v>
          </cell>
          <cell r="AE318">
            <v>55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Z5ZRLL2N3YVNHJIPHSNDNAOB44">
      <xxl21:absoluteUrl r:id="rId2"/>
    </xxl21:alternateUrls>
    <sheetNames>
      <sheetName val="Monthly Prices"/>
      <sheetName val="Fat and Grease Data"/>
      <sheetName val="Fats and Greases"/>
    </sheetNames>
    <sheetDataSet>
      <sheetData sheetId="0">
        <row r="307">
          <cell r="AM307">
            <v>51</v>
          </cell>
          <cell r="AN307">
            <v>52.75</v>
          </cell>
          <cell r="AO307">
            <v>49.25</v>
          </cell>
        </row>
        <row r="308">
          <cell r="AM308">
            <v>52</v>
          </cell>
          <cell r="AN308">
            <v>54.25</v>
          </cell>
          <cell r="AO308">
            <v>50.5</v>
          </cell>
        </row>
        <row r="309">
          <cell r="AM309">
            <v>52</v>
          </cell>
          <cell r="AN309">
            <v>53</v>
          </cell>
          <cell r="AO309">
            <v>49.25</v>
          </cell>
        </row>
        <row r="310">
          <cell r="AM310">
            <v>49</v>
          </cell>
          <cell r="AN310">
            <v>49.75</v>
          </cell>
          <cell r="AO310">
            <v>47.75</v>
          </cell>
        </row>
        <row r="311">
          <cell r="AM311">
            <v>60</v>
          </cell>
          <cell r="AN311">
            <v>61.75</v>
          </cell>
          <cell r="AO311">
            <v>58.75</v>
          </cell>
        </row>
        <row r="312">
          <cell r="AM312">
            <v>47</v>
          </cell>
          <cell r="AN312">
            <v>49.5</v>
          </cell>
          <cell r="AO312">
            <v>44.75</v>
          </cell>
        </row>
        <row r="313">
          <cell r="AM313">
            <v>49</v>
          </cell>
          <cell r="AN313">
            <v>50</v>
          </cell>
          <cell r="AO313">
            <v>47.25</v>
          </cell>
        </row>
        <row r="314">
          <cell r="AM314">
            <v>47</v>
          </cell>
          <cell r="AN314">
            <v>48.75</v>
          </cell>
          <cell r="AO314">
            <v>46</v>
          </cell>
        </row>
        <row r="315">
          <cell r="AM315">
            <v>52</v>
          </cell>
          <cell r="AN315">
            <v>54</v>
          </cell>
          <cell r="AO315">
            <v>48.75</v>
          </cell>
        </row>
        <row r="316">
          <cell r="AM316">
            <v>51</v>
          </cell>
          <cell r="AN316">
            <v>53.75</v>
          </cell>
          <cell r="AO316">
            <v>50.5</v>
          </cell>
        </row>
        <row r="317">
          <cell r="AM317">
            <v>52</v>
          </cell>
          <cell r="AN317">
            <v>53.5</v>
          </cell>
          <cell r="AO317">
            <v>50.25</v>
          </cell>
        </row>
        <row r="318">
          <cell r="AM318">
            <v>37</v>
          </cell>
          <cell r="AN318">
            <v>38.25</v>
          </cell>
          <cell r="AO318">
            <v>35.75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6FWFQEJTUJOJBLA7MPO4HAOEIO">
      <xxl21:absoluteUrl r:id="rId2"/>
    </xxl21:alternateUrls>
    <sheetNames>
      <sheetName val="Monthly Prices"/>
      <sheetName val="Weekly Data"/>
      <sheetName val="Veg Oils"/>
      <sheetName val="Veg Oil Data"/>
    </sheetNames>
    <sheetDataSet>
      <sheetData sheetId="0">
        <row r="219">
          <cell r="D219">
            <v>31.826666666666668</v>
          </cell>
        </row>
        <row r="307">
          <cell r="I307">
            <v>52.75</v>
          </cell>
          <cell r="J307">
            <v>56</v>
          </cell>
          <cell r="K307">
            <v>49</v>
          </cell>
          <cell r="N307">
            <v>49</v>
          </cell>
          <cell r="O307">
            <v>51.5</v>
          </cell>
          <cell r="P307">
            <v>46.5</v>
          </cell>
        </row>
        <row r="308">
          <cell r="I308">
            <v>53.75</v>
          </cell>
          <cell r="J308">
            <v>58.75</v>
          </cell>
          <cell r="K308">
            <v>47.75</v>
          </cell>
          <cell r="N308">
            <v>49.5</v>
          </cell>
          <cell r="O308">
            <v>55.5</v>
          </cell>
          <cell r="P308">
            <v>43.25</v>
          </cell>
        </row>
        <row r="309">
          <cell r="I309">
            <v>52.75</v>
          </cell>
          <cell r="J309">
            <v>57.75</v>
          </cell>
          <cell r="K309">
            <v>49.5</v>
          </cell>
          <cell r="N309">
            <v>49.5</v>
          </cell>
          <cell r="O309">
            <v>54.75</v>
          </cell>
          <cell r="P309">
            <v>45.5</v>
          </cell>
        </row>
        <row r="310">
          <cell r="I310">
            <v>48.5</v>
          </cell>
          <cell r="J310">
            <v>52</v>
          </cell>
          <cell r="K310">
            <v>44.75</v>
          </cell>
          <cell r="N310">
            <v>48.75</v>
          </cell>
          <cell r="O310">
            <v>52</v>
          </cell>
          <cell r="P310">
            <v>45.75</v>
          </cell>
        </row>
        <row r="311">
          <cell r="I311">
            <v>45</v>
          </cell>
          <cell r="J311">
            <v>47.75</v>
          </cell>
          <cell r="K311">
            <v>42.25</v>
          </cell>
          <cell r="N311">
            <v>44.5</v>
          </cell>
          <cell r="O311">
            <v>47.5</v>
          </cell>
          <cell r="P311">
            <v>42</v>
          </cell>
        </row>
        <row r="312">
          <cell r="I312">
            <v>46.75</v>
          </cell>
          <cell r="J312">
            <v>50</v>
          </cell>
          <cell r="K312">
            <v>43.75</v>
          </cell>
          <cell r="N312">
            <v>46.75</v>
          </cell>
          <cell r="O312">
            <v>50</v>
          </cell>
          <cell r="P312">
            <v>43.25</v>
          </cell>
        </row>
        <row r="313">
          <cell r="I313">
            <v>51.25</v>
          </cell>
          <cell r="J313">
            <v>54</v>
          </cell>
          <cell r="K313">
            <v>47.75</v>
          </cell>
          <cell r="N313">
            <v>49.25</v>
          </cell>
          <cell r="O313">
            <v>52</v>
          </cell>
          <cell r="P313">
            <v>45.75</v>
          </cell>
        </row>
        <row r="314">
          <cell r="I314">
            <v>46.25</v>
          </cell>
          <cell r="J314">
            <v>49.5</v>
          </cell>
          <cell r="K314">
            <v>43.5</v>
          </cell>
          <cell r="N314">
            <v>44</v>
          </cell>
          <cell r="O314">
            <v>47</v>
          </cell>
          <cell r="P314">
            <v>41.25</v>
          </cell>
        </row>
        <row r="315">
          <cell r="I315">
            <v>50.25</v>
          </cell>
          <cell r="J315">
            <v>52.5</v>
          </cell>
          <cell r="K315">
            <v>47.75</v>
          </cell>
          <cell r="N315">
            <v>48.25</v>
          </cell>
          <cell r="O315">
            <v>50.75</v>
          </cell>
          <cell r="P315">
            <v>45.25</v>
          </cell>
        </row>
        <row r="316">
          <cell r="I316">
            <v>48.25</v>
          </cell>
          <cell r="J316">
            <v>52.5</v>
          </cell>
          <cell r="K316">
            <v>37</v>
          </cell>
          <cell r="N316">
            <v>46.5</v>
          </cell>
          <cell r="O316">
            <v>50</v>
          </cell>
          <cell r="P316">
            <v>35.5</v>
          </cell>
        </row>
        <row r="317">
          <cell r="I317">
            <v>51.5</v>
          </cell>
          <cell r="J317">
            <v>55.25</v>
          </cell>
          <cell r="K317">
            <v>47.25</v>
          </cell>
          <cell r="N317">
            <v>46.5</v>
          </cell>
          <cell r="O317">
            <v>51.25</v>
          </cell>
          <cell r="P317">
            <v>42.5</v>
          </cell>
        </row>
        <row r="318">
          <cell r="I318">
            <v>52.25</v>
          </cell>
          <cell r="J318">
            <v>59.75</v>
          </cell>
          <cell r="K318">
            <v>46</v>
          </cell>
          <cell r="N318">
            <v>48.25</v>
          </cell>
          <cell r="O318">
            <v>54</v>
          </cell>
          <cell r="P318">
            <v>43.25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4NQKGUUXIPBGYTK3VN62SKYHJ">
      <xxl21:absoluteUrl r:id="rId2"/>
    </xxl21:alternateUrls>
    <sheetNames>
      <sheetName val="Price Graphs"/>
      <sheetName val="Comparison Graphs"/>
      <sheetName val="BioD Profit per Gallon"/>
      <sheetName val="RD Profit per Gallon"/>
      <sheetName val="Soybean Oil"/>
      <sheetName val="Canola Oil"/>
      <sheetName val="BFT"/>
      <sheetName val="CWG"/>
      <sheetName val="Poultry Fat"/>
      <sheetName val="DCO"/>
      <sheetName val="UCO"/>
      <sheetName val="Yellow Grease"/>
      <sheetName val="Fuel Values"/>
      <sheetName val="Fixed Credits Value"/>
      <sheetName val="LCFS Values"/>
      <sheetName val="RIN Values"/>
      <sheetName val="Rail Costs"/>
      <sheetName val="Feedstock Conversions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00">
          <cell r="B300">
            <v>5.3315341545352721</v>
          </cell>
        </row>
      </sheetData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4A7FM6N46QMJAK2TC5QGNIIJ6Q">
      <xxl21:absoluteUrl r:id="rId2"/>
    </xxl21:alternateUrls>
    <sheetNames>
      <sheetName val="HEFA Process"/>
      <sheetName val="HEFA Assumptions"/>
      <sheetName val="Daily SAF Cost Estimate"/>
    </sheetNames>
    <sheetDataSet>
      <sheetData sheetId="0"/>
      <sheetData sheetId="1">
        <row r="72">
          <cell r="J72">
            <v>6.9268170513368976E-2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DFFF-7219-455C-9B2A-E057EE67AB35}">
  <dimension ref="A1:AH67"/>
  <sheetViews>
    <sheetView zoomScaleNormal="100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C64" sqref="C64:C68"/>
    </sheetView>
  </sheetViews>
  <sheetFormatPr defaultColWidth="10.28515625" defaultRowHeight="13.5" x14ac:dyDescent="0.25"/>
  <cols>
    <col min="1" max="1" width="19.5703125" style="1" customWidth="1"/>
    <col min="2" max="16384" width="10.28515625" style="1"/>
  </cols>
  <sheetData>
    <row r="1" spans="1:34" x14ac:dyDescent="0.25">
      <c r="B1" s="25" t="s">
        <v>0</v>
      </c>
      <c r="C1" s="25"/>
      <c r="D1" s="25"/>
      <c r="E1" s="27"/>
      <c r="F1" s="27"/>
      <c r="G1" s="27"/>
      <c r="H1" s="25" t="s">
        <v>1</v>
      </c>
      <c r="I1" s="25"/>
      <c r="J1" s="25"/>
      <c r="K1" s="25" t="s">
        <v>2</v>
      </c>
      <c r="L1" s="25"/>
      <c r="M1" s="25"/>
      <c r="N1" s="25" t="s">
        <v>3</v>
      </c>
      <c r="O1" s="25"/>
      <c r="P1" s="25"/>
      <c r="Q1" s="25" t="s">
        <v>4</v>
      </c>
      <c r="R1" s="25"/>
      <c r="S1" s="25"/>
      <c r="T1" s="25" t="s">
        <v>5</v>
      </c>
      <c r="U1" s="25"/>
      <c r="V1" s="25"/>
      <c r="W1" s="25" t="s">
        <v>6</v>
      </c>
      <c r="X1" s="25"/>
      <c r="Y1" s="25"/>
      <c r="Z1" s="25" t="s">
        <v>7</v>
      </c>
      <c r="AA1" s="25"/>
      <c r="AB1" s="25"/>
      <c r="AC1" s="25" t="s">
        <v>8</v>
      </c>
      <c r="AD1" s="25"/>
      <c r="AE1" s="25"/>
      <c r="AF1" s="25" t="s">
        <v>9</v>
      </c>
      <c r="AG1" s="25"/>
      <c r="AH1" s="25"/>
    </row>
    <row r="2" spans="1:34" x14ac:dyDescent="0.25">
      <c r="B2" s="2" t="s">
        <v>10</v>
      </c>
      <c r="C2" s="2" t="s">
        <v>11</v>
      </c>
      <c r="D2" s="2" t="s">
        <v>12</v>
      </c>
      <c r="E2" s="3"/>
      <c r="F2" s="3"/>
      <c r="G2" s="3"/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2" t="s">
        <v>10</v>
      </c>
      <c r="O2" s="2" t="s">
        <v>11</v>
      </c>
      <c r="P2" s="2" t="s">
        <v>12</v>
      </c>
      <c r="Q2" s="2" t="s">
        <v>10</v>
      </c>
      <c r="R2" s="2" t="s">
        <v>11</v>
      </c>
      <c r="S2" s="2" t="s">
        <v>12</v>
      </c>
      <c r="T2" s="2" t="s">
        <v>10</v>
      </c>
      <c r="U2" s="2" t="s">
        <v>11</v>
      </c>
      <c r="V2" s="2" t="s">
        <v>12</v>
      </c>
      <c r="W2" s="2" t="s">
        <v>10</v>
      </c>
      <c r="X2" s="2" t="s">
        <v>11</v>
      </c>
      <c r="Y2" s="2" t="s">
        <v>12</v>
      </c>
      <c r="Z2" s="2" t="s">
        <v>10</v>
      </c>
      <c r="AA2" s="2" t="s">
        <v>11</v>
      </c>
      <c r="AB2" s="2" t="s">
        <v>12</v>
      </c>
      <c r="AC2" s="2" t="s">
        <v>10</v>
      </c>
      <c r="AD2" s="2" t="s">
        <v>11</v>
      </c>
      <c r="AE2" s="2" t="s">
        <v>12</v>
      </c>
      <c r="AF2" s="2" t="s">
        <v>10</v>
      </c>
      <c r="AG2" s="2" t="s">
        <v>11</v>
      </c>
      <c r="AH2" s="2" t="s">
        <v>12</v>
      </c>
    </row>
    <row r="3" spans="1:34" x14ac:dyDescent="0.25">
      <c r="A3" s="4">
        <v>45778</v>
      </c>
      <c r="B3" s="5">
        <f>'[1]Monthly Prices'!$E307</f>
        <v>62.75</v>
      </c>
      <c r="C3" s="5">
        <f>'[1]Monthly Prices'!$F307</f>
        <v>61</v>
      </c>
      <c r="D3" s="5">
        <f>'[1]Monthly Prices'!$D307</f>
        <v>62</v>
      </c>
      <c r="E3" s="6"/>
      <c r="F3" s="6"/>
      <c r="G3" s="6"/>
      <c r="H3" s="5">
        <f>'[2]Monthly Prices'!$E307</f>
        <v>50.359996103896101</v>
      </c>
      <c r="I3" s="5">
        <f>'[2]Monthly Prices'!$F307</f>
        <v>45.559996103896104</v>
      </c>
      <c r="J3" s="5">
        <f>'[2]Monthly Prices'!$D307</f>
        <v>48.75</v>
      </c>
      <c r="K3" s="5">
        <f>'[3]Monthly Prices'!$AD307</f>
        <v>59.5</v>
      </c>
      <c r="L3" s="5">
        <f>'[3]Monthly Prices'!$AE307</f>
        <v>53.75</v>
      </c>
      <c r="M3" s="5">
        <f>'[3]Monthly Prices'!$AC307</f>
        <v>56.75</v>
      </c>
      <c r="N3" s="5">
        <f>'[4]Monthly Prices'!$AN307</f>
        <v>52.75</v>
      </c>
      <c r="O3" s="5">
        <f>'[4]Monthly Prices'!$AO307</f>
        <v>49.25</v>
      </c>
      <c r="P3" s="5">
        <f>'[4]Monthly Prices'!$AM307</f>
        <v>51</v>
      </c>
      <c r="Q3" s="5">
        <f>'[5]Monthly Prices'!$O307</f>
        <v>51.5</v>
      </c>
      <c r="R3" s="5">
        <f>'[5]Monthly Prices'!$P307</f>
        <v>46.5</v>
      </c>
      <c r="S3" s="5">
        <f>'[5]Monthly Prices'!$N307</f>
        <v>49</v>
      </c>
      <c r="T3" s="5">
        <f>'[5]Monthly Prices'!$J307</f>
        <v>56</v>
      </c>
      <c r="U3" s="5">
        <f>'[5]Monthly Prices'!$K307</f>
        <v>49</v>
      </c>
      <c r="V3" s="5">
        <f>'[5]Monthly Prices'!$I307</f>
        <v>52.75</v>
      </c>
      <c r="W3" s="5">
        <f>'[1]Monthly Prices'!$AD307</f>
        <v>57.25</v>
      </c>
      <c r="X3" s="5">
        <f>'[1]Monthly Prices'!$AE307</f>
        <v>54.75</v>
      </c>
      <c r="Y3" s="5">
        <f>'[1]Monthly Prices'!$AC307</f>
        <v>56</v>
      </c>
      <c r="Z3" s="5">
        <f>'[2]Monthly Prices'!$O307</f>
        <v>41.75</v>
      </c>
      <c r="AA3" s="5">
        <f>'[2]Monthly Prices'!$P307</f>
        <v>40</v>
      </c>
      <c r="AB3" s="5">
        <f>'[2]Monthly Prices'!$N307</f>
        <v>41.25</v>
      </c>
      <c r="AC3" s="7">
        <f>'[3]Monthly Prices'!$J307</f>
        <v>56</v>
      </c>
      <c r="AD3" s="7">
        <f>'[3]Monthly Prices'!$K307</f>
        <v>50.75</v>
      </c>
      <c r="AE3" s="7">
        <f>'[3]Monthly Prices'!$I307</f>
        <v>53.5</v>
      </c>
      <c r="AF3" s="5">
        <f t="shared" ref="AF3:AH14" si="0">AVERAGE(W3,Z3,AC3,T3)+4</f>
        <v>56.75</v>
      </c>
      <c r="AG3" s="5">
        <f t="shared" si="0"/>
        <v>52.625</v>
      </c>
      <c r="AH3" s="5">
        <f t="shared" si="0"/>
        <v>54.875</v>
      </c>
    </row>
    <row r="4" spans="1:34" x14ac:dyDescent="0.25">
      <c r="A4" s="4">
        <v>45809</v>
      </c>
      <c r="B4" s="5">
        <f>'[1]Monthly Prices'!$E308</f>
        <v>60</v>
      </c>
      <c r="C4" s="5">
        <f>'[1]Monthly Prices'!$F308</f>
        <v>54.75</v>
      </c>
      <c r="D4" s="5">
        <f>'[1]Monthly Prices'!$D308</f>
        <v>57</v>
      </c>
      <c r="E4" s="6"/>
      <c r="F4" s="6"/>
      <c r="G4" s="6"/>
      <c r="H4" s="5">
        <f>'[2]Monthly Prices'!$E308</f>
        <v>50.079989747095013</v>
      </c>
      <c r="I4" s="5">
        <f>'[2]Monthly Prices'!$F308</f>
        <v>46.029989747095009</v>
      </c>
      <c r="J4" s="5">
        <f>'[2]Monthly Prices'!$D308</f>
        <v>47.75</v>
      </c>
      <c r="K4" s="5">
        <f>'[3]Monthly Prices'!$AD308</f>
        <v>58.75</v>
      </c>
      <c r="L4" s="5">
        <f>'[3]Monthly Prices'!$AE308</f>
        <v>54</v>
      </c>
      <c r="M4" s="5">
        <f>'[3]Monthly Prices'!$AC308</f>
        <v>56.5</v>
      </c>
      <c r="N4" s="5">
        <f>'[4]Monthly Prices'!$AN308</f>
        <v>54.25</v>
      </c>
      <c r="O4" s="5">
        <f>'[4]Monthly Prices'!$AO308</f>
        <v>50.5</v>
      </c>
      <c r="P4" s="5">
        <f>'[4]Monthly Prices'!$AM308</f>
        <v>52</v>
      </c>
      <c r="Q4" s="5">
        <f>'[5]Monthly Prices'!$O308</f>
        <v>55.5</v>
      </c>
      <c r="R4" s="5">
        <f>'[5]Monthly Prices'!$P308</f>
        <v>43.25</v>
      </c>
      <c r="S4" s="5">
        <f>'[5]Monthly Prices'!$N308</f>
        <v>49.5</v>
      </c>
      <c r="T4" s="5">
        <f>'[5]Monthly Prices'!$J308</f>
        <v>58.75</v>
      </c>
      <c r="U4" s="5">
        <f>'[5]Monthly Prices'!$K308</f>
        <v>47.75</v>
      </c>
      <c r="V4" s="5">
        <f>'[5]Monthly Prices'!$I308</f>
        <v>53.75</v>
      </c>
      <c r="W4" s="5">
        <f>'[1]Monthly Prices'!$AD308</f>
        <v>59.5</v>
      </c>
      <c r="X4" s="5">
        <f>'[1]Monthly Prices'!$AE308</f>
        <v>54.25</v>
      </c>
      <c r="Y4" s="5">
        <f>'[1]Monthly Prices'!$AC308</f>
        <v>57</v>
      </c>
      <c r="Z4" s="5">
        <f>'[2]Monthly Prices'!$O308</f>
        <v>44</v>
      </c>
      <c r="AA4" s="5">
        <f>'[2]Monthly Prices'!$P308</f>
        <v>40</v>
      </c>
      <c r="AB4" s="5">
        <f>'[2]Monthly Prices'!$N308</f>
        <v>42</v>
      </c>
      <c r="AC4" s="7">
        <f>'[3]Monthly Prices'!$J308</f>
        <v>55.5</v>
      </c>
      <c r="AD4" s="7">
        <f>'[3]Monthly Prices'!$K308</f>
        <v>50.25</v>
      </c>
      <c r="AE4" s="7">
        <f>'[3]Monthly Prices'!$I308</f>
        <v>53.25</v>
      </c>
      <c r="AF4" s="5">
        <f t="shared" si="0"/>
        <v>58.4375</v>
      </c>
      <c r="AG4" s="5">
        <f t="shared" si="0"/>
        <v>52.0625</v>
      </c>
      <c r="AH4" s="5">
        <f t="shared" si="0"/>
        <v>55.5</v>
      </c>
    </row>
    <row r="5" spans="1:34" x14ac:dyDescent="0.25">
      <c r="A5" s="4">
        <v>45839</v>
      </c>
      <c r="B5" s="5">
        <f>'[1]Monthly Prices'!$E309</f>
        <v>60</v>
      </c>
      <c r="C5" s="5">
        <f>'[1]Monthly Prices'!$F309</f>
        <v>56.75</v>
      </c>
      <c r="D5" s="5">
        <f>'[1]Monthly Prices'!$D309</f>
        <v>58</v>
      </c>
      <c r="E5" s="6"/>
      <c r="F5" s="6"/>
      <c r="G5" s="6"/>
      <c r="H5" s="5">
        <f>'[2]Monthly Prices'!$E309</f>
        <v>50.760028138528142</v>
      </c>
      <c r="I5" s="5">
        <f>'[2]Monthly Prices'!$F309</f>
        <v>46.660028138528141</v>
      </c>
      <c r="J5" s="5">
        <f>'[2]Monthly Prices'!$D309</f>
        <v>48.75</v>
      </c>
      <c r="K5" s="5">
        <f>'[3]Monthly Prices'!$AD309</f>
        <v>59.5</v>
      </c>
      <c r="L5" s="5">
        <f>'[3]Monthly Prices'!$AE309</f>
        <v>53</v>
      </c>
      <c r="M5" s="5">
        <f>'[3]Monthly Prices'!$AC309</f>
        <v>56.5</v>
      </c>
      <c r="N5" s="5">
        <f>'[4]Monthly Prices'!$AN309</f>
        <v>53</v>
      </c>
      <c r="O5" s="5">
        <f>'[4]Monthly Prices'!$AO309</f>
        <v>49.25</v>
      </c>
      <c r="P5" s="5">
        <f>'[4]Monthly Prices'!$AM309</f>
        <v>52</v>
      </c>
      <c r="Q5" s="5">
        <f>'[5]Monthly Prices'!$O309</f>
        <v>54.75</v>
      </c>
      <c r="R5" s="5">
        <f>'[5]Monthly Prices'!$P309</f>
        <v>45.5</v>
      </c>
      <c r="S5" s="5">
        <f>'[5]Monthly Prices'!$N309</f>
        <v>49.5</v>
      </c>
      <c r="T5" s="5">
        <f>'[5]Monthly Prices'!$J309</f>
        <v>57.75</v>
      </c>
      <c r="U5" s="5">
        <f>'[5]Monthly Prices'!$K309</f>
        <v>49.5</v>
      </c>
      <c r="V5" s="5">
        <f>'[5]Monthly Prices'!$I309</f>
        <v>52.75</v>
      </c>
      <c r="W5" s="5">
        <f>'[1]Monthly Prices'!$AD309</f>
        <v>57.75</v>
      </c>
      <c r="X5" s="5">
        <f>'[1]Monthly Prices'!$AE309</f>
        <v>53.75</v>
      </c>
      <c r="Y5" s="5">
        <f>'[1]Monthly Prices'!$AC309</f>
        <v>56</v>
      </c>
      <c r="Z5" s="5">
        <f>'[2]Monthly Prices'!$O309</f>
        <v>42.5</v>
      </c>
      <c r="AA5" s="5">
        <f>'[2]Monthly Prices'!$P309</f>
        <v>39.25</v>
      </c>
      <c r="AB5" s="5">
        <f>'[2]Monthly Prices'!$N309</f>
        <v>40.5</v>
      </c>
      <c r="AC5" s="7">
        <f>'[3]Monthly Prices'!$J309</f>
        <v>56.75</v>
      </c>
      <c r="AD5" s="7">
        <f>'[3]Monthly Prices'!$K309</f>
        <v>49.5</v>
      </c>
      <c r="AE5" s="7">
        <f>'[3]Monthly Prices'!$I309</f>
        <v>53.5</v>
      </c>
      <c r="AF5" s="5">
        <f t="shared" si="0"/>
        <v>57.6875</v>
      </c>
      <c r="AG5" s="5">
        <f t="shared" si="0"/>
        <v>52</v>
      </c>
      <c r="AH5" s="5">
        <f t="shared" si="0"/>
        <v>54.6875</v>
      </c>
    </row>
    <row r="6" spans="1:34" x14ac:dyDescent="0.25">
      <c r="A6" s="4">
        <v>45870</v>
      </c>
      <c r="B6" s="5">
        <f>'[1]Monthly Prices'!$E310</f>
        <v>56.5</v>
      </c>
      <c r="C6" s="5">
        <f>'[1]Monthly Prices'!$F310</f>
        <v>53.25</v>
      </c>
      <c r="D6" s="5">
        <f>'[1]Monthly Prices'!$D310</f>
        <v>55</v>
      </c>
      <c r="E6" s="6"/>
      <c r="F6" s="6"/>
      <c r="G6" s="6"/>
      <c r="H6" s="5">
        <f>'[2]Monthly Prices'!$E310</f>
        <v>51.326703369094673</v>
      </c>
      <c r="I6" s="5">
        <f>'[2]Monthly Prices'!$F310</f>
        <v>48.126703369094677</v>
      </c>
      <c r="J6" s="5">
        <f>'[2]Monthly Prices'!$D310</f>
        <v>50</v>
      </c>
      <c r="K6" s="5">
        <f>'[3]Monthly Prices'!$AD310</f>
        <v>57.25</v>
      </c>
      <c r="L6" s="5">
        <f>'[3]Monthly Prices'!$AE310</f>
        <v>53.75</v>
      </c>
      <c r="M6" s="5">
        <f>'[3]Monthly Prices'!$AC310</f>
        <v>55.5</v>
      </c>
      <c r="N6" s="5">
        <f>'[4]Monthly Prices'!$AN310</f>
        <v>49.75</v>
      </c>
      <c r="O6" s="5">
        <f>'[4]Monthly Prices'!$AO310</f>
        <v>47.75</v>
      </c>
      <c r="P6" s="5">
        <f>'[4]Monthly Prices'!$AM310</f>
        <v>49</v>
      </c>
      <c r="Q6" s="5">
        <f>'[5]Monthly Prices'!$O310</f>
        <v>52</v>
      </c>
      <c r="R6" s="5">
        <f>'[5]Monthly Prices'!$P310</f>
        <v>45.75</v>
      </c>
      <c r="S6" s="5">
        <f>'[5]Monthly Prices'!$N310</f>
        <v>48.75</v>
      </c>
      <c r="T6" s="5">
        <f>'[5]Monthly Prices'!$J310</f>
        <v>52</v>
      </c>
      <c r="U6" s="5">
        <f>'[5]Monthly Prices'!$K310</f>
        <v>44.75</v>
      </c>
      <c r="V6" s="5">
        <f>'[5]Monthly Prices'!$I310</f>
        <v>48.5</v>
      </c>
      <c r="W6" s="5">
        <f>'[1]Monthly Prices'!$AD310</f>
        <v>58.5</v>
      </c>
      <c r="X6" s="5">
        <f>'[1]Monthly Prices'!$AE310</f>
        <v>53.25</v>
      </c>
      <c r="Y6" s="5">
        <f>'[1]Monthly Prices'!$AC310</f>
        <v>56</v>
      </c>
      <c r="Z6" s="5">
        <f>'[2]Monthly Prices'!$O310</f>
        <v>44.75</v>
      </c>
      <c r="AA6" s="5">
        <f>'[2]Monthly Prices'!$P310</f>
        <v>42.75</v>
      </c>
      <c r="AB6" s="5">
        <f>'[2]Monthly Prices'!$N310</f>
        <v>43.25</v>
      </c>
      <c r="AC6" s="7">
        <f>'[3]Monthly Prices'!$J310</f>
        <v>54.75</v>
      </c>
      <c r="AD6" s="7">
        <f>'[3]Monthly Prices'!$K310</f>
        <v>50.25</v>
      </c>
      <c r="AE6" s="7">
        <f>'[3]Monthly Prices'!$I310</f>
        <v>52.5</v>
      </c>
      <c r="AF6" s="5">
        <f t="shared" si="0"/>
        <v>56.5</v>
      </c>
      <c r="AG6" s="5">
        <f t="shared" si="0"/>
        <v>51.75</v>
      </c>
      <c r="AH6" s="5">
        <f t="shared" si="0"/>
        <v>54.0625</v>
      </c>
    </row>
    <row r="7" spans="1:34" x14ac:dyDescent="0.25">
      <c r="A7" s="4">
        <v>45901</v>
      </c>
      <c r="B7" s="5">
        <f>'[1]Monthly Prices'!$E311</f>
        <v>52</v>
      </c>
      <c r="C7" s="5">
        <f>'[1]Monthly Prices'!$F311</f>
        <v>48</v>
      </c>
      <c r="D7" s="5">
        <f>'[1]Monthly Prices'!$D311</f>
        <v>50</v>
      </c>
      <c r="E7" s="6"/>
      <c r="F7" s="6"/>
      <c r="G7" s="6"/>
      <c r="H7" s="5">
        <f>'[2]Monthly Prices'!$E311</f>
        <v>49.286209523809525</v>
      </c>
      <c r="I7" s="5">
        <f>'[2]Monthly Prices'!$F311</f>
        <v>44.736209523809528</v>
      </c>
      <c r="J7" s="5">
        <f>'[2]Monthly Prices'!$D311</f>
        <v>47</v>
      </c>
      <c r="K7" s="5">
        <f>'[3]Monthly Prices'!$AD311</f>
        <v>54.5</v>
      </c>
      <c r="L7" s="5">
        <f>'[3]Monthly Prices'!$AE311</f>
        <v>49.25</v>
      </c>
      <c r="M7" s="5">
        <f>'[3]Monthly Prices'!$AC311</f>
        <v>51.75</v>
      </c>
      <c r="N7" s="5">
        <f>'[4]Monthly Prices'!$AN311</f>
        <v>61.75</v>
      </c>
      <c r="O7" s="5">
        <f>'[4]Monthly Prices'!$AO311</f>
        <v>58.75</v>
      </c>
      <c r="P7" s="5">
        <f>'[4]Monthly Prices'!$AM311</f>
        <v>60</v>
      </c>
      <c r="Q7" s="5">
        <f>'[5]Monthly Prices'!$O311</f>
        <v>47.5</v>
      </c>
      <c r="R7" s="5">
        <f>'[5]Monthly Prices'!$P311</f>
        <v>42</v>
      </c>
      <c r="S7" s="5">
        <f>'[5]Monthly Prices'!$N311</f>
        <v>44.5</v>
      </c>
      <c r="T7" s="5">
        <f>'[5]Monthly Prices'!$J311</f>
        <v>47.75</v>
      </c>
      <c r="U7" s="5">
        <f>'[5]Monthly Prices'!$K311</f>
        <v>42.25</v>
      </c>
      <c r="V7" s="5">
        <f>'[5]Monthly Prices'!$I311</f>
        <v>45</v>
      </c>
      <c r="W7" s="5">
        <f>'[1]Monthly Prices'!$AD311</f>
        <v>54.25</v>
      </c>
      <c r="X7" s="5">
        <f>'[1]Monthly Prices'!$AE311</f>
        <v>51.25</v>
      </c>
      <c r="Y7" s="5">
        <f>'[1]Monthly Prices'!$AC311</f>
        <v>53</v>
      </c>
      <c r="Z7" s="5">
        <f>'[2]Monthly Prices'!$O311</f>
        <v>45.75</v>
      </c>
      <c r="AA7" s="5">
        <f>'[2]Monthly Prices'!$P311</f>
        <v>42.75</v>
      </c>
      <c r="AB7" s="5">
        <f>'[2]Monthly Prices'!$N311</f>
        <v>44.25</v>
      </c>
      <c r="AC7" s="7">
        <f>'[3]Monthly Prices'!$J311</f>
        <v>49.75</v>
      </c>
      <c r="AD7" s="7">
        <f>'[3]Monthly Prices'!$K311</f>
        <v>45.75</v>
      </c>
      <c r="AE7" s="7">
        <f>'[3]Monthly Prices'!$I311</f>
        <v>47.25</v>
      </c>
      <c r="AF7" s="5">
        <f t="shared" si="0"/>
        <v>53.375</v>
      </c>
      <c r="AG7" s="5">
        <f t="shared" si="0"/>
        <v>49.5</v>
      </c>
      <c r="AH7" s="5">
        <f t="shared" si="0"/>
        <v>51.375</v>
      </c>
    </row>
    <row r="8" spans="1:34" x14ac:dyDescent="0.25">
      <c r="A8" s="4">
        <v>45931</v>
      </c>
      <c r="B8" s="5">
        <f>'[1]Monthly Prices'!$E312</f>
        <v>52.5</v>
      </c>
      <c r="C8" s="5">
        <f>'[1]Monthly Prices'!$F312</f>
        <v>46.5</v>
      </c>
      <c r="D8" s="5">
        <f>'[1]Monthly Prices'!$D312</f>
        <v>50</v>
      </c>
      <c r="E8" s="6"/>
      <c r="F8" s="6"/>
      <c r="G8" s="6"/>
      <c r="H8" s="5">
        <f>'[2]Monthly Prices'!$E312</f>
        <v>51.511867683041594</v>
      </c>
      <c r="I8" s="5">
        <f>'[2]Monthly Prices'!$F312</f>
        <v>45.087867683041594</v>
      </c>
      <c r="J8" s="5">
        <f>'[2]Monthly Prices'!$D312</f>
        <v>48.75</v>
      </c>
      <c r="K8" s="5">
        <f>'[3]Monthly Prices'!$AD312</f>
        <v>55.75</v>
      </c>
      <c r="L8" s="5">
        <f>'[3]Monthly Prices'!$AE312</f>
        <v>50.5</v>
      </c>
      <c r="M8" s="5">
        <f>'[3]Monthly Prices'!$AC312</f>
        <v>53.25</v>
      </c>
      <c r="N8" s="5">
        <f>'[4]Monthly Prices'!$AN312</f>
        <v>49.5</v>
      </c>
      <c r="O8" s="5">
        <f>'[4]Monthly Prices'!$AO312</f>
        <v>44.75</v>
      </c>
      <c r="P8" s="5">
        <f>'[4]Monthly Prices'!$AM312</f>
        <v>47</v>
      </c>
      <c r="Q8" s="5">
        <f>'[5]Monthly Prices'!$O312</f>
        <v>50</v>
      </c>
      <c r="R8" s="5">
        <f>'[5]Monthly Prices'!$P312</f>
        <v>43.25</v>
      </c>
      <c r="S8" s="5">
        <f>'[5]Monthly Prices'!$N312</f>
        <v>46.75</v>
      </c>
      <c r="T8" s="5">
        <f>'[5]Monthly Prices'!$J312</f>
        <v>50</v>
      </c>
      <c r="U8" s="5">
        <f>'[5]Monthly Prices'!$K312</f>
        <v>43.75</v>
      </c>
      <c r="V8" s="5">
        <f>'[5]Monthly Prices'!$I312</f>
        <v>46.75</v>
      </c>
      <c r="W8" s="5">
        <f>'[1]Monthly Prices'!$AD312</f>
        <v>54.25</v>
      </c>
      <c r="X8" s="5">
        <f>'[1]Monthly Prices'!$AE312</f>
        <v>46.75</v>
      </c>
      <c r="Y8" s="5">
        <f>'[1]Monthly Prices'!$AC312</f>
        <v>50</v>
      </c>
      <c r="Z8" s="5">
        <f>'[2]Monthly Prices'!$O312</f>
        <v>46.5</v>
      </c>
      <c r="AA8" s="5">
        <f>'[2]Monthly Prices'!$P312</f>
        <v>40.5</v>
      </c>
      <c r="AB8" s="5">
        <f>'[2]Monthly Prices'!$N312</f>
        <v>43.5</v>
      </c>
      <c r="AC8" s="7">
        <f>'[3]Monthly Prices'!$J312</f>
        <v>53.5</v>
      </c>
      <c r="AD8" s="7">
        <f>'[3]Monthly Prices'!$K312</f>
        <v>46.75</v>
      </c>
      <c r="AE8" s="7">
        <f>'[3]Monthly Prices'!$I312</f>
        <v>49.75</v>
      </c>
      <c r="AF8" s="5">
        <f t="shared" si="0"/>
        <v>55.0625</v>
      </c>
      <c r="AG8" s="5">
        <f t="shared" si="0"/>
        <v>48.4375</v>
      </c>
      <c r="AH8" s="5">
        <f t="shared" si="0"/>
        <v>51.5</v>
      </c>
    </row>
    <row r="9" spans="1:34" x14ac:dyDescent="0.25">
      <c r="A9" s="4">
        <v>45962</v>
      </c>
      <c r="B9" s="5">
        <f>'[1]Monthly Prices'!$E313</f>
        <v>53</v>
      </c>
      <c r="C9" s="5">
        <f>'[1]Monthly Prices'!$F313</f>
        <v>48.75</v>
      </c>
      <c r="D9" s="5">
        <f>'[1]Monthly Prices'!$D313</f>
        <v>51</v>
      </c>
      <c r="E9" s="6"/>
      <c r="F9" s="6"/>
      <c r="G9" s="6"/>
      <c r="H9" s="5">
        <f>'[2]Monthly Prices'!$E313</f>
        <v>49.640333082706768</v>
      </c>
      <c r="I9" s="5">
        <f>'[2]Monthly Prices'!$F313</f>
        <v>47.114333082706764</v>
      </c>
      <c r="J9" s="5">
        <f>'[2]Monthly Prices'!$D313</f>
        <v>48.5</v>
      </c>
      <c r="K9" s="5">
        <f>'[3]Monthly Prices'!$AD313</f>
        <v>58</v>
      </c>
      <c r="L9" s="5">
        <f>'[3]Monthly Prices'!$AE313</f>
        <v>53</v>
      </c>
      <c r="M9" s="5">
        <f>'[3]Monthly Prices'!$AC313</f>
        <v>55.25</v>
      </c>
      <c r="N9" s="5">
        <f>'[4]Monthly Prices'!$AN313</f>
        <v>50</v>
      </c>
      <c r="O9" s="5">
        <f>'[4]Monthly Prices'!$AO313</f>
        <v>47.25</v>
      </c>
      <c r="P9" s="5">
        <f>'[4]Monthly Prices'!$AM313</f>
        <v>49</v>
      </c>
      <c r="Q9" s="5">
        <f>'[5]Monthly Prices'!$O313</f>
        <v>52</v>
      </c>
      <c r="R9" s="5">
        <f>'[5]Monthly Prices'!$P313</f>
        <v>45.75</v>
      </c>
      <c r="S9" s="5">
        <f>'[5]Monthly Prices'!$N313</f>
        <v>49.25</v>
      </c>
      <c r="T9" s="5">
        <f>'[5]Monthly Prices'!$J313</f>
        <v>54</v>
      </c>
      <c r="U9" s="5">
        <f>'[5]Monthly Prices'!$K313</f>
        <v>47.75</v>
      </c>
      <c r="V9" s="5">
        <f>'[5]Monthly Prices'!$I313</f>
        <v>51.25</v>
      </c>
      <c r="W9" s="5">
        <f>'[1]Monthly Prices'!$AD313</f>
        <v>52</v>
      </c>
      <c r="X9" s="5">
        <f>'[1]Monthly Prices'!$AE313</f>
        <v>47.25</v>
      </c>
      <c r="Y9" s="5">
        <f>'[1]Monthly Prices'!$AC313</f>
        <v>50</v>
      </c>
      <c r="Z9" s="5">
        <f>'[2]Monthly Prices'!$O313</f>
        <v>49.75</v>
      </c>
      <c r="AA9" s="5">
        <f>'[2]Monthly Prices'!$P313</f>
        <v>46.5</v>
      </c>
      <c r="AB9" s="5">
        <f>'[2]Monthly Prices'!$N313</f>
        <v>48.25</v>
      </c>
      <c r="AC9" s="7">
        <f>'[3]Monthly Prices'!$J313</f>
        <v>52.5</v>
      </c>
      <c r="AD9" s="7">
        <f>'[3]Monthly Prices'!$K313</f>
        <v>48.5</v>
      </c>
      <c r="AE9" s="7">
        <f>'[3]Monthly Prices'!$I313</f>
        <v>50.75</v>
      </c>
      <c r="AF9" s="5">
        <f t="shared" si="0"/>
        <v>56.0625</v>
      </c>
      <c r="AG9" s="5">
        <f t="shared" si="0"/>
        <v>51.5</v>
      </c>
      <c r="AH9" s="5">
        <f t="shared" si="0"/>
        <v>54.0625</v>
      </c>
    </row>
    <row r="10" spans="1:34" x14ac:dyDescent="0.25">
      <c r="A10" s="4">
        <v>45992</v>
      </c>
      <c r="B10" s="5">
        <f>'[1]Monthly Prices'!$E314</f>
        <v>52</v>
      </c>
      <c r="C10" s="5">
        <f>'[1]Monthly Prices'!$F314</f>
        <v>47.5</v>
      </c>
      <c r="D10" s="5">
        <f>'[1]Monthly Prices'!$D314</f>
        <v>49</v>
      </c>
      <c r="E10" s="6"/>
      <c r="F10" s="6"/>
      <c r="G10" s="6"/>
      <c r="H10" s="5">
        <f>'[2]Monthly Prices'!$E314</f>
        <v>36.97220367494824</v>
      </c>
      <c r="I10" s="5">
        <f>'[2]Monthly Prices'!$F314</f>
        <v>33.65970367494824</v>
      </c>
      <c r="J10" s="5">
        <f>'[2]Monthly Prices'!$D314</f>
        <v>35</v>
      </c>
      <c r="K10" s="5">
        <f>'[3]Monthly Prices'!$AD314</f>
        <v>50.75</v>
      </c>
      <c r="L10" s="5">
        <f>'[3]Monthly Prices'!$AE314</f>
        <v>45.5</v>
      </c>
      <c r="M10" s="5">
        <f>'[3]Monthly Prices'!$AC314</f>
        <v>47.5</v>
      </c>
      <c r="N10" s="5">
        <f>'[4]Monthly Prices'!$AN314</f>
        <v>48.75</v>
      </c>
      <c r="O10" s="5">
        <f>'[4]Monthly Prices'!$AO314</f>
        <v>46</v>
      </c>
      <c r="P10" s="5">
        <f>'[4]Monthly Prices'!$AM314</f>
        <v>47</v>
      </c>
      <c r="Q10" s="5">
        <f>'[5]Monthly Prices'!$O314</f>
        <v>47</v>
      </c>
      <c r="R10" s="5">
        <f>'[5]Monthly Prices'!$P314</f>
        <v>41.25</v>
      </c>
      <c r="S10" s="5">
        <f>'[5]Monthly Prices'!$N314</f>
        <v>44</v>
      </c>
      <c r="T10" s="5">
        <f>'[5]Monthly Prices'!$J314</f>
        <v>49.5</v>
      </c>
      <c r="U10" s="5">
        <f>'[5]Monthly Prices'!$K314</f>
        <v>43.5</v>
      </c>
      <c r="V10" s="5">
        <f>'[5]Monthly Prices'!$I314</f>
        <v>46.25</v>
      </c>
      <c r="W10" s="5">
        <f>'[1]Monthly Prices'!$AD314</f>
        <v>51.75</v>
      </c>
      <c r="X10" s="5">
        <f>'[1]Monthly Prices'!$AE314</f>
        <v>48</v>
      </c>
      <c r="Y10" s="5">
        <f>'[1]Monthly Prices'!$AC314</f>
        <v>49</v>
      </c>
      <c r="Z10" s="5">
        <f>'[2]Monthly Prices'!$O314</f>
        <v>44.25</v>
      </c>
      <c r="AA10" s="5">
        <f>'[2]Monthly Prices'!$P314</f>
        <v>42.25</v>
      </c>
      <c r="AB10" s="5">
        <f>'[2]Monthly Prices'!$N314</f>
        <v>43.75</v>
      </c>
      <c r="AC10" s="7">
        <f>'[3]Monthly Prices'!$J314</f>
        <v>50</v>
      </c>
      <c r="AD10" s="7">
        <f>'[3]Monthly Prices'!$K314</f>
        <v>44.25</v>
      </c>
      <c r="AE10" s="7">
        <f>'[3]Monthly Prices'!$I314</f>
        <v>46</v>
      </c>
      <c r="AF10" s="5">
        <f t="shared" si="0"/>
        <v>52.875</v>
      </c>
      <c r="AG10" s="5">
        <f t="shared" si="0"/>
        <v>48.5</v>
      </c>
      <c r="AH10" s="5">
        <f t="shared" si="0"/>
        <v>50.25</v>
      </c>
    </row>
    <row r="11" spans="1:34" x14ac:dyDescent="0.25">
      <c r="A11" s="4">
        <v>46023</v>
      </c>
      <c r="B11" s="5">
        <f>'[1]Monthly Prices'!$E315</f>
        <v>59</v>
      </c>
      <c r="C11" s="5">
        <f>'[1]Monthly Prices'!$F315</f>
        <v>52.75</v>
      </c>
      <c r="D11" s="5">
        <f>'[1]Monthly Prices'!$D315</f>
        <v>57</v>
      </c>
      <c r="E11" s="6"/>
      <c r="F11" s="6"/>
      <c r="G11" s="6"/>
      <c r="H11" s="5">
        <f>'[2]Monthly Prices'!$E315</f>
        <v>50.053790726817041</v>
      </c>
      <c r="I11" s="5">
        <f>'[2]Monthly Prices'!$F315</f>
        <v>45.553790726817041</v>
      </c>
      <c r="J11" s="5">
        <f>'[2]Monthly Prices'!$D315</f>
        <v>48.5</v>
      </c>
      <c r="K11" s="5">
        <f>'[3]Monthly Prices'!$AD315</f>
        <v>60.5</v>
      </c>
      <c r="L11" s="5">
        <f>'[3]Monthly Prices'!$AE315</f>
        <v>53.5</v>
      </c>
      <c r="M11" s="5">
        <f>'[3]Monthly Prices'!$AC315</f>
        <v>57.75</v>
      </c>
      <c r="N11" s="5">
        <f>'[4]Monthly Prices'!$AN315</f>
        <v>54</v>
      </c>
      <c r="O11" s="5">
        <f>'[4]Monthly Prices'!$AO315</f>
        <v>48.75</v>
      </c>
      <c r="P11" s="5">
        <f>'[4]Monthly Prices'!$AM315</f>
        <v>52</v>
      </c>
      <c r="Q11" s="5">
        <f>'[5]Monthly Prices'!$O315</f>
        <v>50.75</v>
      </c>
      <c r="R11" s="5">
        <f>'[5]Monthly Prices'!$P315</f>
        <v>45.25</v>
      </c>
      <c r="S11" s="5">
        <f>'[5]Monthly Prices'!$N315</f>
        <v>48.25</v>
      </c>
      <c r="T11" s="5">
        <f>'[5]Monthly Prices'!$J315</f>
        <v>52.5</v>
      </c>
      <c r="U11" s="5">
        <f>'[5]Monthly Prices'!$K315</f>
        <v>47.75</v>
      </c>
      <c r="V11" s="5">
        <f>'[5]Monthly Prices'!$I315</f>
        <v>50.25</v>
      </c>
      <c r="W11" s="5">
        <f>'[1]Monthly Prices'!$AD315</f>
        <v>55.25</v>
      </c>
      <c r="X11" s="5">
        <f>'[1]Monthly Prices'!$AE315</f>
        <v>47.75</v>
      </c>
      <c r="Y11" s="5">
        <f>'[1]Monthly Prices'!$AC315</f>
        <v>52.5</v>
      </c>
      <c r="Z11" s="5">
        <f>'[2]Monthly Prices'!$O315</f>
        <v>44.5</v>
      </c>
      <c r="AA11" s="5">
        <f>'[2]Monthly Prices'!$P315</f>
        <v>42.5</v>
      </c>
      <c r="AB11" s="5">
        <f>'[2]Monthly Prices'!$N315</f>
        <v>43.25</v>
      </c>
      <c r="AC11" s="7">
        <f>'[3]Monthly Prices'!$J315</f>
        <v>56.75</v>
      </c>
      <c r="AD11" s="7">
        <f>'[3]Monthly Prices'!$K315</f>
        <v>50.25</v>
      </c>
      <c r="AE11" s="7">
        <f>'[3]Monthly Prices'!$I315</f>
        <v>53.75</v>
      </c>
      <c r="AF11" s="5">
        <f t="shared" si="0"/>
        <v>56.25</v>
      </c>
      <c r="AG11" s="5">
        <f t="shared" si="0"/>
        <v>51.0625</v>
      </c>
      <c r="AH11" s="5">
        <f t="shared" si="0"/>
        <v>53.9375</v>
      </c>
    </row>
    <row r="12" spans="1:34" x14ac:dyDescent="0.25">
      <c r="A12" s="4">
        <v>46054</v>
      </c>
      <c r="B12" s="5">
        <f>'[1]Monthly Prices'!$E316</f>
        <v>54.75</v>
      </c>
      <c r="C12" s="5">
        <f>'[1]Monthly Prices'!$F316</f>
        <v>50.25</v>
      </c>
      <c r="D12" s="5">
        <f>'[1]Monthly Prices'!$D316</f>
        <v>52</v>
      </c>
      <c r="E12" s="6"/>
      <c r="F12" s="6"/>
      <c r="G12" s="6"/>
      <c r="H12" s="5">
        <f>'[2]Monthly Prices'!$E316</f>
        <v>67.585361842105272</v>
      </c>
      <c r="I12" s="5">
        <f>'[2]Monthly Prices'!$F316</f>
        <v>62.335361842105264</v>
      </c>
      <c r="J12" s="5">
        <f>'[2]Monthly Prices'!$D316</f>
        <v>64.25</v>
      </c>
      <c r="K12" s="5">
        <f>'[3]Monthly Prices'!$AD316</f>
        <v>57.25</v>
      </c>
      <c r="L12" s="5">
        <f>'[3]Monthly Prices'!$AE316</f>
        <v>51.5</v>
      </c>
      <c r="M12" s="5">
        <f>'[3]Monthly Prices'!$AC316</f>
        <v>53.5</v>
      </c>
      <c r="N12" s="5">
        <f>'[4]Monthly Prices'!$AN316</f>
        <v>53.75</v>
      </c>
      <c r="O12" s="5">
        <f>'[4]Monthly Prices'!$AO316</f>
        <v>50.5</v>
      </c>
      <c r="P12" s="5">
        <f>'[4]Monthly Prices'!$AM316</f>
        <v>51</v>
      </c>
      <c r="Q12" s="5">
        <f>'[5]Monthly Prices'!$O316</f>
        <v>50</v>
      </c>
      <c r="R12" s="5">
        <f>'[5]Monthly Prices'!$P316</f>
        <v>35.5</v>
      </c>
      <c r="S12" s="5">
        <f>'[5]Monthly Prices'!$N316</f>
        <v>46.5</v>
      </c>
      <c r="T12" s="5">
        <f>'[5]Monthly Prices'!$J316</f>
        <v>52.5</v>
      </c>
      <c r="U12" s="5">
        <f>'[5]Monthly Prices'!$K316</f>
        <v>37</v>
      </c>
      <c r="V12" s="5">
        <f>'[5]Monthly Prices'!$I316</f>
        <v>48.25</v>
      </c>
      <c r="W12" s="5">
        <f>'[1]Monthly Prices'!$AD316</f>
        <v>56.25</v>
      </c>
      <c r="X12" s="5">
        <f>'[1]Monthly Prices'!$AE316</f>
        <v>52.75</v>
      </c>
      <c r="Y12" s="5">
        <f>'[1]Monthly Prices'!$AC316</f>
        <v>54</v>
      </c>
      <c r="Z12" s="5">
        <f>'[2]Monthly Prices'!$O316</f>
        <v>45.75</v>
      </c>
      <c r="AA12" s="5">
        <f>'[2]Monthly Prices'!$P316</f>
        <v>40.75</v>
      </c>
      <c r="AB12" s="5">
        <f>'[2]Monthly Prices'!$N316</f>
        <v>43.5</v>
      </c>
      <c r="AC12" s="7">
        <f>'[3]Monthly Prices'!$J316</f>
        <v>54.75</v>
      </c>
      <c r="AD12" s="7">
        <f>'[3]Monthly Prices'!$K316</f>
        <v>48</v>
      </c>
      <c r="AE12" s="7">
        <f>'[3]Monthly Prices'!$I316</f>
        <v>50.75</v>
      </c>
      <c r="AF12" s="5">
        <f t="shared" si="0"/>
        <v>56.3125</v>
      </c>
      <c r="AG12" s="5">
        <f t="shared" si="0"/>
        <v>48.625</v>
      </c>
      <c r="AH12" s="5">
        <f t="shared" si="0"/>
        <v>53.125</v>
      </c>
    </row>
    <row r="13" spans="1:34" x14ac:dyDescent="0.25">
      <c r="A13" s="4">
        <v>46082</v>
      </c>
      <c r="B13" s="5">
        <f>'[1]Monthly Prices'!$E317</f>
        <v>54</v>
      </c>
      <c r="C13" s="5">
        <f>'[1]Monthly Prices'!$F317</f>
        <v>50.25</v>
      </c>
      <c r="D13" s="5">
        <f>'[1]Monthly Prices'!$D317</f>
        <v>52</v>
      </c>
      <c r="E13" s="6"/>
      <c r="F13" s="6"/>
      <c r="G13" s="6"/>
      <c r="H13" s="5">
        <f>'[2]Monthly Prices'!$E317</f>
        <v>68.630917960662529</v>
      </c>
      <c r="I13" s="5">
        <f>'[2]Monthly Prices'!$F317</f>
        <v>63.755917960662529</v>
      </c>
      <c r="J13" s="5">
        <f>'[2]Monthly Prices'!$D317</f>
        <v>66.75</v>
      </c>
      <c r="K13" s="5">
        <f>'[3]Monthly Prices'!$AD317</f>
        <v>59</v>
      </c>
      <c r="L13" s="5">
        <f>'[3]Monthly Prices'!$AE317</f>
        <v>54.5</v>
      </c>
      <c r="M13" s="5">
        <f>'[3]Monthly Prices'!$AC317</f>
        <v>56.5</v>
      </c>
      <c r="N13" s="5">
        <f>'[4]Monthly Prices'!$AN317</f>
        <v>53.5</v>
      </c>
      <c r="O13" s="5">
        <f>'[4]Monthly Prices'!$AO317</f>
        <v>50.25</v>
      </c>
      <c r="P13" s="5">
        <f>'[4]Monthly Prices'!$AM317</f>
        <v>52</v>
      </c>
      <c r="Q13" s="5">
        <f>'[5]Monthly Prices'!$O317</f>
        <v>51.25</v>
      </c>
      <c r="R13" s="5">
        <f>'[5]Monthly Prices'!$P317</f>
        <v>42.5</v>
      </c>
      <c r="S13" s="5">
        <f>'[5]Monthly Prices'!$N317</f>
        <v>46.5</v>
      </c>
      <c r="T13" s="5">
        <f>'[5]Monthly Prices'!$J317</f>
        <v>55.25</v>
      </c>
      <c r="U13" s="5">
        <f>'[5]Monthly Prices'!$K317</f>
        <v>47.25</v>
      </c>
      <c r="V13" s="5">
        <f>'[5]Monthly Prices'!$I317</f>
        <v>51.5</v>
      </c>
      <c r="W13" s="5">
        <f>'[1]Monthly Prices'!$AD317</f>
        <v>54.5</v>
      </c>
      <c r="X13" s="5">
        <f>'[1]Monthly Prices'!$AE317</f>
        <v>52</v>
      </c>
      <c r="Y13" s="5">
        <f>'[1]Monthly Prices'!$AC317</f>
        <v>53</v>
      </c>
      <c r="Z13" s="5">
        <f>'[2]Monthly Prices'!$O317</f>
        <v>44.5</v>
      </c>
      <c r="AA13" s="5">
        <f>'[2]Monthly Prices'!$P317</f>
        <v>41.25</v>
      </c>
      <c r="AB13" s="5">
        <f>'[2]Monthly Prices'!$N317</f>
        <v>43</v>
      </c>
      <c r="AC13" s="7">
        <f>'[3]Monthly Prices'!$J317</f>
        <v>54.5</v>
      </c>
      <c r="AD13" s="7">
        <f>'[3]Monthly Prices'!$K317</f>
        <v>48.5</v>
      </c>
      <c r="AE13" s="7">
        <f>'[3]Monthly Prices'!$I317</f>
        <v>51.25</v>
      </c>
      <c r="AF13" s="5">
        <f t="shared" si="0"/>
        <v>56.1875</v>
      </c>
      <c r="AG13" s="5">
        <f t="shared" si="0"/>
        <v>51.25</v>
      </c>
      <c r="AH13" s="5">
        <f t="shared" si="0"/>
        <v>53.6875</v>
      </c>
    </row>
    <row r="14" spans="1:34" x14ac:dyDescent="0.25">
      <c r="A14" s="4">
        <v>46113</v>
      </c>
      <c r="B14" s="5">
        <f>'[1]Monthly Prices'!$E318</f>
        <v>66.25</v>
      </c>
      <c r="C14" s="5">
        <f>'[1]Monthly Prices'!$F318</f>
        <v>61.5</v>
      </c>
      <c r="D14" s="5">
        <f>'[1]Monthly Prices'!$D318</f>
        <v>63</v>
      </c>
      <c r="E14" s="6"/>
      <c r="F14" s="6"/>
      <c r="G14" s="6"/>
      <c r="H14" s="5">
        <f>'[2]Monthly Prices'!$E318</f>
        <v>70.564016575529735</v>
      </c>
      <c r="I14" s="5">
        <f>'[2]Monthly Prices'!$F318</f>
        <v>65.751516575529735</v>
      </c>
      <c r="J14" s="5">
        <f>'[2]Monthly Prices'!$D318</f>
        <v>68</v>
      </c>
      <c r="K14" s="5">
        <f>'[3]Monthly Prices'!$AD318</f>
        <v>61</v>
      </c>
      <c r="L14" s="5">
        <f>'[3]Monthly Prices'!$AE318</f>
        <v>55</v>
      </c>
      <c r="M14" s="5">
        <f>'[3]Monthly Prices'!$AC318</f>
        <v>58</v>
      </c>
      <c r="N14" s="5">
        <f>'[4]Monthly Prices'!$AN318</f>
        <v>38.25</v>
      </c>
      <c r="O14" s="5">
        <f>'[4]Monthly Prices'!$AO318</f>
        <v>35.75</v>
      </c>
      <c r="P14" s="5">
        <f>'[4]Monthly Prices'!$AM318</f>
        <v>37</v>
      </c>
      <c r="Q14" s="5">
        <f>'[5]Monthly Prices'!$O318</f>
        <v>54</v>
      </c>
      <c r="R14" s="5">
        <f>'[5]Monthly Prices'!$P318</f>
        <v>43.25</v>
      </c>
      <c r="S14" s="5">
        <f>'[5]Monthly Prices'!$N318</f>
        <v>48.25</v>
      </c>
      <c r="T14" s="5">
        <f>'[5]Monthly Prices'!$J318</f>
        <v>59.75</v>
      </c>
      <c r="U14" s="5">
        <f>'[5]Monthly Prices'!$K318</f>
        <v>46</v>
      </c>
      <c r="V14" s="5">
        <f>'[5]Monthly Prices'!$I318</f>
        <v>52.25</v>
      </c>
      <c r="W14" s="5">
        <f>'[1]Monthly Prices'!$AD318</f>
        <v>59.75</v>
      </c>
      <c r="X14" s="5">
        <f>'[1]Monthly Prices'!$AE318</f>
        <v>57.25</v>
      </c>
      <c r="Y14" s="5">
        <f>'[1]Monthly Prices'!$AC318</f>
        <v>58</v>
      </c>
      <c r="Z14" s="5">
        <f>'[2]Monthly Prices'!$O318</f>
        <v>44.75</v>
      </c>
      <c r="AA14" s="5">
        <f>'[2]Monthly Prices'!$P318</f>
        <v>44</v>
      </c>
      <c r="AB14" s="5">
        <f>'[2]Monthly Prices'!$N318</f>
        <v>44.25</v>
      </c>
      <c r="AC14" s="7">
        <f>'[3]Monthly Prices'!$J318</f>
        <v>58.5</v>
      </c>
      <c r="AD14" s="7">
        <f>'[3]Monthly Prices'!$K318</f>
        <v>52.25</v>
      </c>
      <c r="AE14" s="7">
        <f>'[3]Monthly Prices'!$I318</f>
        <v>55.75</v>
      </c>
      <c r="AF14" s="5">
        <f t="shared" si="0"/>
        <v>59.6875</v>
      </c>
      <c r="AG14" s="5">
        <f t="shared" si="0"/>
        <v>53.875</v>
      </c>
      <c r="AH14" s="5">
        <f t="shared" si="0"/>
        <v>56.5625</v>
      </c>
    </row>
    <row r="18" spans="1:22" ht="13.5" customHeight="1" x14ac:dyDescent="0.25"/>
    <row r="19" spans="1:22" x14ac:dyDescent="0.25">
      <c r="E19" s="26" t="s">
        <v>13</v>
      </c>
      <c r="F19" s="26"/>
      <c r="G19" s="26"/>
    </row>
    <row r="20" spans="1:22" x14ac:dyDescent="0.25">
      <c r="E20" s="26"/>
      <c r="F20" s="26"/>
      <c r="G20" s="26"/>
      <c r="J20" s="8" t="s">
        <v>14</v>
      </c>
      <c r="N20" s="8" t="s">
        <v>15</v>
      </c>
      <c r="R20" s="8" t="s">
        <v>16</v>
      </c>
    </row>
    <row r="21" spans="1:22" x14ac:dyDescent="0.25">
      <c r="E21" s="9"/>
      <c r="F21" s="9"/>
      <c r="G21" s="9"/>
    </row>
    <row r="22" spans="1:22" x14ac:dyDescent="0.25">
      <c r="A22" s="8" t="s">
        <v>17</v>
      </c>
      <c r="E22" s="10" t="s">
        <v>18</v>
      </c>
      <c r="F22" s="10" t="s">
        <v>19</v>
      </c>
      <c r="G22" s="10" t="s">
        <v>20</v>
      </c>
      <c r="H22" s="10"/>
      <c r="I22" s="10"/>
      <c r="J22" s="10" t="s">
        <v>18</v>
      </c>
      <c r="K22" s="10" t="s">
        <v>19</v>
      </c>
      <c r="L22" s="10" t="s">
        <v>20</v>
      </c>
      <c r="M22" s="10"/>
      <c r="N22" s="10" t="s">
        <v>18</v>
      </c>
      <c r="O22" s="10" t="s">
        <v>19</v>
      </c>
      <c r="P22" s="10" t="s">
        <v>20</v>
      </c>
      <c r="Q22" s="10"/>
      <c r="R22" s="10" t="s">
        <v>19</v>
      </c>
      <c r="S22" s="10" t="s">
        <v>18</v>
      </c>
      <c r="T22" s="10" t="s">
        <v>20</v>
      </c>
    </row>
    <row r="23" spans="1:22" x14ac:dyDescent="0.25">
      <c r="A23" s="1" t="s">
        <v>21</v>
      </c>
      <c r="B23" s="11">
        <v>0.3</v>
      </c>
      <c r="D23" s="4">
        <f t="shared" ref="D23:D34" si="1">A3</f>
        <v>45778</v>
      </c>
      <c r="E23" s="12">
        <f t="shared" ref="E23:G34" si="2">E39</f>
        <v>590.65123977272719</v>
      </c>
      <c r="F23" s="12">
        <f t="shared" si="2"/>
        <v>548.12623977272722</v>
      </c>
      <c r="G23" s="12">
        <f t="shared" si="2"/>
        <v>592.55156249999993</v>
      </c>
      <c r="I23" s="4">
        <f t="shared" ref="I23:I34" si="3">D23</f>
        <v>45778</v>
      </c>
      <c r="J23" s="12">
        <f t="shared" ref="J23:J31" si="4">L23*1.15</f>
        <v>57.649499999999996</v>
      </c>
      <c r="K23" s="12">
        <f t="shared" ref="K23:K31" si="5">L23*0.8</f>
        <v>40.104000000000006</v>
      </c>
      <c r="L23" s="12">
        <f t="shared" ref="L23:L34" si="6">L39</f>
        <v>50.13</v>
      </c>
      <c r="N23" s="13">
        <f t="shared" ref="N23:P34" si="7">N39</f>
        <v>0</v>
      </c>
      <c r="O23" s="13">
        <f t="shared" si="7"/>
        <v>0</v>
      </c>
      <c r="P23" s="13">
        <f t="shared" si="7"/>
        <v>0</v>
      </c>
      <c r="R23" s="5">
        <f t="shared" ref="R23:R34" si="8">MROUND(F23+K23+O23,5)/100+0.1</f>
        <v>6</v>
      </c>
      <c r="S23" s="5">
        <f t="shared" ref="S23:S34" si="9">MROUND(E23+J23+N23,5)/100+0.1</f>
        <v>6.6</v>
      </c>
      <c r="T23" s="5">
        <f>MROUND(G23+L23+P23,5)/100+0.1</f>
        <v>6.55</v>
      </c>
      <c r="U23" s="5"/>
      <c r="V23" s="5"/>
    </row>
    <row r="24" spans="1:22" x14ac:dyDescent="0.25">
      <c r="A24" s="1" t="s">
        <v>22</v>
      </c>
      <c r="B24" s="11">
        <v>0.25</v>
      </c>
      <c r="D24" s="4">
        <f t="shared" si="1"/>
        <v>45809</v>
      </c>
      <c r="E24" s="12">
        <f t="shared" si="2"/>
        <v>588.86622308612436</v>
      </c>
      <c r="F24" s="12">
        <f t="shared" si="2"/>
        <v>524.02872308612439</v>
      </c>
      <c r="G24" s="12">
        <f t="shared" si="2"/>
        <v>574.60781250000002</v>
      </c>
      <c r="I24" s="4">
        <f t="shared" si="3"/>
        <v>45809</v>
      </c>
      <c r="J24" s="12">
        <f t="shared" si="4"/>
        <v>57.649499999999996</v>
      </c>
      <c r="K24" s="12">
        <f t="shared" si="5"/>
        <v>40.104000000000006</v>
      </c>
      <c r="L24" s="12">
        <f t="shared" si="6"/>
        <v>50.13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R24" s="5">
        <f t="shared" si="8"/>
        <v>5.75</v>
      </c>
      <c r="S24" s="5">
        <f t="shared" si="9"/>
        <v>6.55</v>
      </c>
      <c r="T24" s="5">
        <f t="shared" ref="T24:T34" si="10">MROUND(G24+L24+P24,5)/100+0.1</f>
        <v>6.35</v>
      </c>
      <c r="U24" s="5">
        <f t="shared" ref="U24:U34" si="11">S23-T23</f>
        <v>4.9999999999999822E-2</v>
      </c>
      <c r="V24" s="5">
        <f t="shared" ref="V24:V34" si="12">R23-T23</f>
        <v>-0.54999999999999982</v>
      </c>
    </row>
    <row r="25" spans="1:22" x14ac:dyDescent="0.25">
      <c r="A25" s="1" t="s">
        <v>23</v>
      </c>
      <c r="B25" s="11">
        <v>0.2</v>
      </c>
      <c r="D25" s="4">
        <f t="shared" si="1"/>
        <v>45839</v>
      </c>
      <c r="E25" s="12">
        <f t="shared" si="2"/>
        <v>589.99507386363632</v>
      </c>
      <c r="F25" s="12">
        <f t="shared" si="2"/>
        <v>533.95132386363628</v>
      </c>
      <c r="G25" s="12">
        <f t="shared" si="2"/>
        <v>580.58906249999995</v>
      </c>
      <c r="I25" s="4">
        <f t="shared" si="3"/>
        <v>45839</v>
      </c>
      <c r="J25" s="12">
        <f t="shared" si="4"/>
        <v>57.649499999999996</v>
      </c>
      <c r="K25" s="12">
        <f t="shared" si="5"/>
        <v>40.104000000000006</v>
      </c>
      <c r="L25" s="12">
        <f t="shared" si="6"/>
        <v>50.13</v>
      </c>
      <c r="N25" s="13">
        <f t="shared" si="7"/>
        <v>0</v>
      </c>
      <c r="O25" s="13">
        <f t="shared" si="7"/>
        <v>0</v>
      </c>
      <c r="P25" s="13">
        <f t="shared" si="7"/>
        <v>0</v>
      </c>
      <c r="R25" s="5">
        <f t="shared" si="8"/>
        <v>5.85</v>
      </c>
      <c r="S25" s="5">
        <f t="shared" si="9"/>
        <v>6.6</v>
      </c>
      <c r="T25" s="5">
        <f t="shared" si="10"/>
        <v>6.3999999999999995</v>
      </c>
      <c r="U25" s="5">
        <f t="shared" si="11"/>
        <v>0.20000000000000018</v>
      </c>
      <c r="V25" s="5">
        <f t="shared" si="12"/>
        <v>-0.59999999999999964</v>
      </c>
    </row>
    <row r="26" spans="1:22" x14ac:dyDescent="0.25">
      <c r="A26" s="1" t="s">
        <v>24</v>
      </c>
      <c r="B26" s="11">
        <v>0.2</v>
      </c>
      <c r="D26" s="4">
        <f t="shared" si="1"/>
        <v>45870</v>
      </c>
      <c r="E26" s="12">
        <f t="shared" si="2"/>
        <v>568.25134634387348</v>
      </c>
      <c r="F26" s="12">
        <f t="shared" si="2"/>
        <v>528.08884634387357</v>
      </c>
      <c r="G26" s="12">
        <f t="shared" si="2"/>
        <v>568.76249999999993</v>
      </c>
      <c r="I26" s="4">
        <f t="shared" si="3"/>
        <v>45870</v>
      </c>
      <c r="J26" s="12">
        <f t="shared" si="4"/>
        <v>57.649499999999996</v>
      </c>
      <c r="K26" s="12">
        <f t="shared" si="5"/>
        <v>40.104000000000006</v>
      </c>
      <c r="L26" s="12">
        <f t="shared" si="6"/>
        <v>50.13</v>
      </c>
      <c r="N26" s="13">
        <f t="shared" si="7"/>
        <v>0</v>
      </c>
      <c r="O26" s="13">
        <f t="shared" si="7"/>
        <v>0</v>
      </c>
      <c r="P26" s="13">
        <f t="shared" si="7"/>
        <v>0</v>
      </c>
      <c r="R26" s="5">
        <f t="shared" si="8"/>
        <v>5.8</v>
      </c>
      <c r="S26" s="5">
        <f t="shared" si="9"/>
        <v>6.35</v>
      </c>
      <c r="T26" s="5">
        <f t="shared" si="10"/>
        <v>6.3</v>
      </c>
      <c r="U26" s="5">
        <f t="shared" si="11"/>
        <v>0.20000000000000018</v>
      </c>
      <c r="V26" s="5">
        <f t="shared" si="12"/>
        <v>-0.54999999999999982</v>
      </c>
    </row>
    <row r="27" spans="1:22" x14ac:dyDescent="0.25">
      <c r="A27" s="1" t="s">
        <v>25</v>
      </c>
      <c r="B27" s="11">
        <v>0.05</v>
      </c>
      <c r="D27" s="4">
        <f t="shared" si="1"/>
        <v>45901</v>
      </c>
      <c r="E27" s="12">
        <f t="shared" si="2"/>
        <v>539.79504999999995</v>
      </c>
      <c r="F27" s="12">
        <f t="shared" si="2"/>
        <v>491.10129999999998</v>
      </c>
      <c r="G27" s="12">
        <f t="shared" si="2"/>
        <v>532.875</v>
      </c>
      <c r="I27" s="4">
        <f t="shared" si="3"/>
        <v>45901</v>
      </c>
      <c r="J27" s="12">
        <f t="shared" si="4"/>
        <v>57.649499999999996</v>
      </c>
      <c r="K27" s="12">
        <f t="shared" si="5"/>
        <v>40.104000000000006</v>
      </c>
      <c r="L27" s="12">
        <f t="shared" si="6"/>
        <v>50.13</v>
      </c>
      <c r="N27" s="13">
        <f t="shared" si="7"/>
        <v>0</v>
      </c>
      <c r="O27" s="13">
        <f t="shared" si="7"/>
        <v>0</v>
      </c>
      <c r="P27" s="13">
        <f t="shared" si="7"/>
        <v>0</v>
      </c>
      <c r="R27" s="5">
        <f t="shared" si="8"/>
        <v>5.3999999999999995</v>
      </c>
      <c r="S27" s="5">
        <f t="shared" si="9"/>
        <v>6.05</v>
      </c>
      <c r="T27" s="5">
        <f t="shared" si="10"/>
        <v>5.9499999999999993</v>
      </c>
      <c r="U27" s="5">
        <f t="shared" si="11"/>
        <v>4.9999999999999822E-2</v>
      </c>
      <c r="V27" s="5">
        <f t="shared" si="12"/>
        <v>-0.5</v>
      </c>
    </row>
    <row r="28" spans="1:22" x14ac:dyDescent="0.25">
      <c r="A28" s="8" t="s">
        <v>26</v>
      </c>
      <c r="B28" s="11"/>
      <c r="D28" s="4">
        <f t="shared" si="1"/>
        <v>45931</v>
      </c>
      <c r="E28" s="12">
        <f t="shared" si="2"/>
        <v>548.6561526679842</v>
      </c>
      <c r="F28" s="12">
        <f t="shared" si="2"/>
        <v>485.19940266798415</v>
      </c>
      <c r="G28" s="12">
        <f t="shared" si="2"/>
        <v>538.72031249999998</v>
      </c>
      <c r="I28" s="4">
        <f t="shared" si="3"/>
        <v>45931</v>
      </c>
      <c r="J28" s="12">
        <f t="shared" si="4"/>
        <v>57.649499999999996</v>
      </c>
      <c r="K28" s="12">
        <f t="shared" si="5"/>
        <v>40.104000000000006</v>
      </c>
      <c r="L28" s="12">
        <f t="shared" si="6"/>
        <v>50.13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R28" s="5">
        <f t="shared" si="8"/>
        <v>5.35</v>
      </c>
      <c r="S28" s="5">
        <f t="shared" si="9"/>
        <v>6.1499999999999995</v>
      </c>
      <c r="T28" s="5">
        <f t="shared" si="10"/>
        <v>6</v>
      </c>
      <c r="U28" s="5">
        <f t="shared" si="11"/>
        <v>0.10000000000000053</v>
      </c>
      <c r="V28" s="5">
        <f t="shared" si="12"/>
        <v>-0.54999999999999982</v>
      </c>
    </row>
    <row r="29" spans="1:22" x14ac:dyDescent="0.25">
      <c r="A29" s="1" t="s">
        <v>27</v>
      </c>
      <c r="B29" s="11">
        <v>0.44</v>
      </c>
      <c r="D29" s="4">
        <f t="shared" si="1"/>
        <v>45962</v>
      </c>
      <c r="E29" s="12">
        <f t="shared" si="2"/>
        <v>554.50587434210524</v>
      </c>
      <c r="F29" s="12">
        <f t="shared" si="2"/>
        <v>509.41887434210525</v>
      </c>
      <c r="G29" s="12">
        <f t="shared" si="2"/>
        <v>552.17812500000002</v>
      </c>
      <c r="I29" s="4">
        <f t="shared" si="3"/>
        <v>45962</v>
      </c>
      <c r="J29" s="12">
        <f t="shared" si="4"/>
        <v>57.649499999999996</v>
      </c>
      <c r="K29" s="12">
        <f t="shared" si="5"/>
        <v>40.104000000000006</v>
      </c>
      <c r="L29" s="12">
        <f t="shared" si="6"/>
        <v>50.13</v>
      </c>
      <c r="N29" s="13">
        <f t="shared" si="7"/>
        <v>0</v>
      </c>
      <c r="O29" s="13">
        <f t="shared" si="7"/>
        <v>0</v>
      </c>
      <c r="P29" s="13">
        <f t="shared" si="7"/>
        <v>0</v>
      </c>
      <c r="R29" s="5">
        <f t="shared" si="8"/>
        <v>5.6</v>
      </c>
      <c r="S29" s="5">
        <f t="shared" si="9"/>
        <v>6.1999999999999993</v>
      </c>
      <c r="T29" s="5">
        <f t="shared" si="10"/>
        <v>6.1</v>
      </c>
      <c r="U29" s="5">
        <f t="shared" si="11"/>
        <v>0.14999999999999947</v>
      </c>
      <c r="V29" s="5">
        <f t="shared" si="12"/>
        <v>-0.65000000000000036</v>
      </c>
    </row>
    <row r="30" spans="1:22" x14ac:dyDescent="0.25">
      <c r="A30" s="1" t="s">
        <v>22</v>
      </c>
      <c r="B30" s="11">
        <v>0.15</v>
      </c>
      <c r="D30" s="4">
        <f t="shared" si="1"/>
        <v>45992</v>
      </c>
      <c r="E30" s="12">
        <f t="shared" si="2"/>
        <v>566.72078464673905</v>
      </c>
      <c r="F30" s="12">
        <f t="shared" si="2"/>
        <v>519.30672214673905</v>
      </c>
      <c r="G30" s="12">
        <f t="shared" si="2"/>
        <v>479.58749999999998</v>
      </c>
      <c r="I30" s="4">
        <f t="shared" si="3"/>
        <v>45992</v>
      </c>
      <c r="J30" s="12">
        <f t="shared" si="4"/>
        <v>57.649499999999996</v>
      </c>
      <c r="K30" s="12">
        <f t="shared" si="5"/>
        <v>40.104000000000006</v>
      </c>
      <c r="L30" s="12">
        <f t="shared" si="6"/>
        <v>50.13</v>
      </c>
      <c r="N30" s="13">
        <f t="shared" si="7"/>
        <v>0</v>
      </c>
      <c r="O30" s="13">
        <f t="shared" si="7"/>
        <v>0</v>
      </c>
      <c r="P30" s="13">
        <f t="shared" si="7"/>
        <v>0</v>
      </c>
      <c r="R30" s="5">
        <f t="shared" si="8"/>
        <v>5.6999999999999993</v>
      </c>
      <c r="S30" s="5">
        <f t="shared" si="9"/>
        <v>6.35</v>
      </c>
      <c r="T30" s="5">
        <f t="shared" si="10"/>
        <v>5.3999999999999995</v>
      </c>
      <c r="U30" s="5">
        <f t="shared" si="11"/>
        <v>9.9999999999999645E-2</v>
      </c>
      <c r="V30" s="5">
        <f t="shared" si="12"/>
        <v>-0.5</v>
      </c>
    </row>
    <row r="31" spans="1:22" x14ac:dyDescent="0.25">
      <c r="A31" s="1" t="s">
        <v>23</v>
      </c>
      <c r="B31" s="11">
        <v>0.12</v>
      </c>
      <c r="D31" s="4">
        <f t="shared" si="1"/>
        <v>46023</v>
      </c>
      <c r="E31" s="12">
        <f t="shared" si="2"/>
        <v>579.21620065789466</v>
      </c>
      <c r="F31" s="12">
        <f t="shared" si="2"/>
        <v>518.70995065789475</v>
      </c>
      <c r="G31" s="12">
        <f t="shared" si="2"/>
        <v>576.64687500000002</v>
      </c>
      <c r="I31" s="4">
        <f t="shared" si="3"/>
        <v>46023</v>
      </c>
      <c r="J31" s="12">
        <f t="shared" si="4"/>
        <v>57.649499999999996</v>
      </c>
      <c r="K31" s="12">
        <f t="shared" si="5"/>
        <v>40.104000000000006</v>
      </c>
      <c r="L31" s="12">
        <f t="shared" si="6"/>
        <v>50.13</v>
      </c>
      <c r="N31" s="13">
        <f t="shared" si="7"/>
        <v>0</v>
      </c>
      <c r="O31" s="13">
        <f t="shared" si="7"/>
        <v>0</v>
      </c>
      <c r="P31" s="13">
        <f t="shared" si="7"/>
        <v>0</v>
      </c>
      <c r="R31" s="5">
        <f t="shared" si="8"/>
        <v>5.6999999999999993</v>
      </c>
      <c r="S31" s="5">
        <f t="shared" si="9"/>
        <v>6.4499999999999993</v>
      </c>
      <c r="T31" s="5">
        <f>MROUND(G31+L31+P31,5)/100+0.1</f>
        <v>6.35</v>
      </c>
      <c r="U31" s="5">
        <f t="shared" si="11"/>
        <v>0.95000000000000018</v>
      </c>
      <c r="V31" s="5">
        <f t="shared" si="12"/>
        <v>0.29999999999999982</v>
      </c>
    </row>
    <row r="32" spans="1:22" x14ac:dyDescent="0.25">
      <c r="A32" s="1" t="s">
        <v>5</v>
      </c>
      <c r="B32" s="11">
        <v>0.15</v>
      </c>
      <c r="D32" s="4">
        <f t="shared" si="1"/>
        <v>46054</v>
      </c>
      <c r="E32" s="12">
        <f t="shared" si="2"/>
        <v>603.31782483552627</v>
      </c>
      <c r="F32" s="12">
        <f t="shared" si="2"/>
        <v>531.13032483552638</v>
      </c>
      <c r="G32" s="12">
        <f t="shared" si="2"/>
        <v>589.56093750000002</v>
      </c>
      <c r="I32" s="4">
        <f t="shared" si="3"/>
        <v>46054</v>
      </c>
      <c r="J32" s="12">
        <f>L32*1.15</f>
        <v>57.649499999999996</v>
      </c>
      <c r="K32" s="12">
        <f>L32*0.8</f>
        <v>40.104000000000006</v>
      </c>
      <c r="L32" s="12">
        <f t="shared" si="6"/>
        <v>50.13</v>
      </c>
      <c r="N32" s="13">
        <f t="shared" si="7"/>
        <v>0</v>
      </c>
      <c r="O32" s="13">
        <f t="shared" si="7"/>
        <v>0</v>
      </c>
      <c r="P32" s="13">
        <f t="shared" si="7"/>
        <v>0</v>
      </c>
      <c r="R32" s="5">
        <f t="shared" si="8"/>
        <v>5.8</v>
      </c>
      <c r="S32" s="5">
        <f t="shared" si="9"/>
        <v>6.6999999999999993</v>
      </c>
      <c r="T32" s="5">
        <f t="shared" si="10"/>
        <v>6.5</v>
      </c>
      <c r="U32" s="5">
        <f t="shared" si="11"/>
        <v>9.9999999999999645E-2</v>
      </c>
      <c r="V32" s="5">
        <f t="shared" si="12"/>
        <v>-0.65000000000000036</v>
      </c>
    </row>
    <row r="33" spans="1:22" x14ac:dyDescent="0.25">
      <c r="A33" s="1" t="s">
        <v>28</v>
      </c>
      <c r="B33" s="11">
        <v>0.14000000000000001</v>
      </c>
      <c r="D33" s="4">
        <f t="shared" si="1"/>
        <v>46082</v>
      </c>
      <c r="E33" s="12">
        <f t="shared" si="2"/>
        <v>609.86865964673905</v>
      </c>
      <c r="F33" s="12">
        <f t="shared" si="2"/>
        <v>555.72803464673905</v>
      </c>
      <c r="G33" s="12">
        <f t="shared" si="2"/>
        <v>603.42656249999993</v>
      </c>
      <c r="I33" s="4">
        <f t="shared" si="3"/>
        <v>46082</v>
      </c>
      <c r="J33" s="12">
        <f>L33*1.15</f>
        <v>57.649499999999996</v>
      </c>
      <c r="K33" s="12">
        <f>L33*0.8</f>
        <v>40.104000000000006</v>
      </c>
      <c r="L33" s="12">
        <f t="shared" si="6"/>
        <v>50.13</v>
      </c>
      <c r="N33" s="13">
        <f t="shared" si="7"/>
        <v>0</v>
      </c>
      <c r="O33" s="13">
        <f t="shared" si="7"/>
        <v>0</v>
      </c>
      <c r="P33" s="13">
        <f t="shared" si="7"/>
        <v>0</v>
      </c>
      <c r="R33" s="5">
        <f t="shared" si="8"/>
        <v>6.05</v>
      </c>
      <c r="S33" s="5">
        <f t="shared" si="9"/>
        <v>6.8</v>
      </c>
      <c r="T33" s="5">
        <f t="shared" si="10"/>
        <v>6.6499999999999995</v>
      </c>
      <c r="U33" s="5">
        <f t="shared" si="11"/>
        <v>0.19999999999999929</v>
      </c>
      <c r="V33" s="5">
        <f t="shared" si="12"/>
        <v>-0.70000000000000018</v>
      </c>
    </row>
    <row r="34" spans="1:22" x14ac:dyDescent="0.25">
      <c r="D34" s="4">
        <f t="shared" si="1"/>
        <v>46113</v>
      </c>
      <c r="E34" s="12">
        <f t="shared" si="2"/>
        <v>655.49929351076548</v>
      </c>
      <c r="F34" s="12">
        <f t="shared" si="2"/>
        <v>591.41648101076544</v>
      </c>
      <c r="G34" s="12">
        <f t="shared" si="2"/>
        <v>641.625</v>
      </c>
      <c r="I34" s="4">
        <f t="shared" si="3"/>
        <v>46113</v>
      </c>
      <c r="J34" s="12">
        <f>L34*1.15</f>
        <v>57.649499999999996</v>
      </c>
      <c r="K34" s="12">
        <f>L34*0.8</f>
        <v>40.104000000000006</v>
      </c>
      <c r="L34" s="12">
        <f t="shared" si="6"/>
        <v>50.13</v>
      </c>
      <c r="N34" s="13">
        <f t="shared" si="7"/>
        <v>0</v>
      </c>
      <c r="O34" s="13">
        <f t="shared" si="7"/>
        <v>0</v>
      </c>
      <c r="P34" s="13">
        <f t="shared" si="7"/>
        <v>0</v>
      </c>
      <c r="R34" s="5">
        <f t="shared" si="8"/>
        <v>6.3999999999999995</v>
      </c>
      <c r="S34" s="5">
        <f t="shared" si="9"/>
        <v>7.25</v>
      </c>
      <c r="T34" s="5">
        <f t="shared" si="10"/>
        <v>7</v>
      </c>
      <c r="U34" s="5">
        <f t="shared" si="11"/>
        <v>0.15000000000000036</v>
      </c>
      <c r="V34" s="5">
        <f t="shared" si="12"/>
        <v>-0.59999999999999964</v>
      </c>
    </row>
    <row r="36" spans="1:22" x14ac:dyDescent="0.25">
      <c r="A36" s="8" t="s">
        <v>29</v>
      </c>
      <c r="B36" s="14" t="s">
        <v>30</v>
      </c>
    </row>
    <row r="37" spans="1:22" x14ac:dyDescent="0.25">
      <c r="A37" s="1" t="s">
        <v>31</v>
      </c>
      <c r="B37" s="15">
        <v>7.5</v>
      </c>
      <c r="C37" s="1">
        <v>9.3800000000000008</v>
      </c>
      <c r="G37" s="11"/>
    </row>
    <row r="38" spans="1:22" x14ac:dyDescent="0.25">
      <c r="A38" s="1" t="s">
        <v>27</v>
      </c>
      <c r="B38" s="15">
        <v>7.5</v>
      </c>
      <c r="C38" s="16">
        <v>9.3178807947019884</v>
      </c>
      <c r="E38" s="17" t="s">
        <v>32</v>
      </c>
      <c r="F38" s="17" t="s">
        <v>33</v>
      </c>
      <c r="G38" s="17" t="s">
        <v>34</v>
      </c>
      <c r="J38" s="17" t="s">
        <v>32</v>
      </c>
      <c r="K38" s="17" t="s">
        <v>33</v>
      </c>
      <c r="L38" s="17" t="s">
        <v>34</v>
      </c>
      <c r="N38" s="17" t="s">
        <v>32</v>
      </c>
      <c r="O38" s="17" t="s">
        <v>33</v>
      </c>
      <c r="P38" s="17" t="s">
        <v>34</v>
      </c>
      <c r="R38" s="17" t="s">
        <v>33</v>
      </c>
      <c r="S38" s="17" t="s">
        <v>32</v>
      </c>
      <c r="T38" s="17" t="s">
        <v>34</v>
      </c>
    </row>
    <row r="39" spans="1:22" x14ac:dyDescent="0.25">
      <c r="A39" s="1" t="s">
        <v>23</v>
      </c>
      <c r="B39" s="15">
        <v>7.5</v>
      </c>
      <c r="C39" s="16">
        <v>9.1999999999999993</v>
      </c>
      <c r="D39" s="4">
        <f t="shared" ref="D39:D47" si="13">A3</f>
        <v>45778</v>
      </c>
      <c r="E39" s="12">
        <f t="shared" ref="E39:F50" si="14">((B3*$B$23*$B$37)+(H3*$B$24*$B$40)+(K3*$B$25*$B$39)+(Q3*$B$26*$B$43)+(N3*$B$27*$B$41))*1.4</f>
        <v>590.65123977272719</v>
      </c>
      <c r="F39" s="12">
        <f t="shared" si="14"/>
        <v>548.12623977272722</v>
      </c>
      <c r="G39" s="12">
        <f>((D3*$B$23*$B$37)+(J3*$B$24*$B$40)+(M3*$B$25*$B$39)+(S3*$B$26*$B$43)+(P3*$B$27*$B$41))*1.45</f>
        <v>592.55156249999993</v>
      </c>
      <c r="I39" s="4">
        <f t="shared" ref="I39:I50" si="15">D39</f>
        <v>45778</v>
      </c>
      <c r="J39" s="18">
        <f>L39*1.15</f>
        <v>57.649499999999996</v>
      </c>
      <c r="K39" s="18">
        <f>L39*0.8</f>
        <v>40.104000000000006</v>
      </c>
      <c r="L39" s="18">
        <f>50.13</f>
        <v>50.13</v>
      </c>
      <c r="N39" s="19">
        <f t="shared" ref="N39:N48" si="16">MROUND((($B$56*$B$23)+($B$57*$B$24)+($B$54*$B$25)+($B$26*$B$54)+($B$27*$B$58))*100*1.05,1)</f>
        <v>0</v>
      </c>
      <c r="O39" s="19">
        <f t="shared" ref="O39:O48" si="17">MROUND((($B$56*$B$23)+($B$57*$B$24)+($B$54*$B$25)+($B$26*$B$54)+($B$27*$B$58))*100*0.9,1)</f>
        <v>0</v>
      </c>
      <c r="P39" s="19">
        <f t="shared" ref="P39:P50" si="18">MROUND((($B$23*$B$56)+($B$57*$B$24)+($B$54*$B$25)+($B$26*$B$54)+($B$27*$B$58))*100,1)</f>
        <v>0</v>
      </c>
      <c r="R39" s="5">
        <f t="shared" ref="R39:R50" si="19">MROUND(F39+K39+O39,5)/100</f>
        <v>5.9</v>
      </c>
      <c r="S39" s="5">
        <f t="shared" ref="S39:S50" si="20">MROUND(E39+J39+N39,5)/100</f>
        <v>6.5</v>
      </c>
      <c r="T39" s="5">
        <f>MROUND(G39+L39+P39,5)/100</f>
        <v>6.45</v>
      </c>
      <c r="U39" s="5"/>
      <c r="V39" s="5"/>
    </row>
    <row r="40" spans="1:22" x14ac:dyDescent="0.25">
      <c r="A40" s="1" t="s">
        <v>22</v>
      </c>
      <c r="B40" s="15">
        <v>7.5</v>
      </c>
      <c r="C40" s="1">
        <v>8.01</v>
      </c>
      <c r="D40" s="4">
        <f t="shared" si="13"/>
        <v>45809</v>
      </c>
      <c r="E40" s="12">
        <f t="shared" si="14"/>
        <v>588.86622308612436</v>
      </c>
      <c r="F40" s="12">
        <f t="shared" si="14"/>
        <v>524.02872308612439</v>
      </c>
      <c r="G40" s="12">
        <f t="shared" ref="G40:G50" si="21">((D4*$B$23*$B$37)+(J4*$B$24*$B$40)+(M4*$B$25*$B$39)+(S4*$B$26*$B$43)+(P4*$B$27*$B$41))*1.45</f>
        <v>574.60781250000002</v>
      </c>
      <c r="I40" s="4">
        <f t="shared" si="15"/>
        <v>45809</v>
      </c>
      <c r="J40" s="18">
        <f t="shared" ref="J40:J50" si="22">L40*1.15</f>
        <v>57.649499999999996</v>
      </c>
      <c r="K40" s="18">
        <f t="shared" ref="K40:K50" si="23">L40*0.8</f>
        <v>40.104000000000006</v>
      </c>
      <c r="L40" s="18">
        <f t="shared" ref="L40:L50" si="24">50.13</f>
        <v>50.13</v>
      </c>
      <c r="N40" s="19">
        <f t="shared" si="16"/>
        <v>0</v>
      </c>
      <c r="O40" s="19">
        <f t="shared" si="17"/>
        <v>0</v>
      </c>
      <c r="P40" s="19">
        <f t="shared" si="18"/>
        <v>0</v>
      </c>
      <c r="R40" s="5">
        <f t="shared" si="19"/>
        <v>5.65</v>
      </c>
      <c r="S40" s="5">
        <f t="shared" si="20"/>
        <v>6.45</v>
      </c>
      <c r="T40" s="5">
        <f t="shared" ref="T40:T50" si="25">MROUND(G40+L40+P40,5)/100</f>
        <v>6.25</v>
      </c>
      <c r="U40" s="5">
        <f t="shared" ref="U40:U50" si="26">S39-T39</f>
        <v>4.9999999999999822E-2</v>
      </c>
      <c r="V40" s="5">
        <f t="shared" ref="V40:V50" si="27">R39-T39</f>
        <v>-0.54999999999999982</v>
      </c>
    </row>
    <row r="41" spans="1:22" x14ac:dyDescent="0.25">
      <c r="A41" s="1" t="s">
        <v>25</v>
      </c>
      <c r="B41" s="15">
        <v>7.5</v>
      </c>
      <c r="C41" s="16">
        <v>8.5</v>
      </c>
      <c r="D41" s="4">
        <f t="shared" si="13"/>
        <v>45839</v>
      </c>
      <c r="E41" s="12">
        <f t="shared" si="14"/>
        <v>589.99507386363632</v>
      </c>
      <c r="F41" s="12">
        <f t="shared" si="14"/>
        <v>533.95132386363628</v>
      </c>
      <c r="G41" s="12">
        <f t="shared" si="21"/>
        <v>580.58906249999995</v>
      </c>
      <c r="I41" s="4">
        <f t="shared" si="15"/>
        <v>45839</v>
      </c>
      <c r="J41" s="18">
        <f t="shared" si="22"/>
        <v>57.649499999999996</v>
      </c>
      <c r="K41" s="18">
        <f t="shared" si="23"/>
        <v>40.104000000000006</v>
      </c>
      <c r="L41" s="18">
        <f t="shared" si="24"/>
        <v>50.13</v>
      </c>
      <c r="N41" s="19">
        <f t="shared" si="16"/>
        <v>0</v>
      </c>
      <c r="O41" s="19">
        <f t="shared" si="17"/>
        <v>0</v>
      </c>
      <c r="P41" s="19">
        <f t="shared" si="18"/>
        <v>0</v>
      </c>
      <c r="R41" s="5">
        <f t="shared" si="19"/>
        <v>5.75</v>
      </c>
      <c r="S41" s="5">
        <f t="shared" si="20"/>
        <v>6.5</v>
      </c>
      <c r="T41" s="5">
        <f t="shared" si="25"/>
        <v>6.3</v>
      </c>
      <c r="U41" s="5">
        <f t="shared" si="26"/>
        <v>0.20000000000000018</v>
      </c>
      <c r="V41" s="5">
        <f t="shared" si="27"/>
        <v>-0.59999999999999964</v>
      </c>
    </row>
    <row r="42" spans="1:22" x14ac:dyDescent="0.25">
      <c r="A42" s="1" t="s">
        <v>5</v>
      </c>
      <c r="B42" s="15">
        <v>7.5</v>
      </c>
      <c r="C42" s="16">
        <v>7.5</v>
      </c>
      <c r="D42" s="4">
        <f t="shared" si="13"/>
        <v>45870</v>
      </c>
      <c r="E42" s="12">
        <f t="shared" si="14"/>
        <v>568.25134634387348</v>
      </c>
      <c r="F42" s="12">
        <f t="shared" si="14"/>
        <v>528.08884634387357</v>
      </c>
      <c r="G42" s="12">
        <f t="shared" si="21"/>
        <v>568.76249999999993</v>
      </c>
      <c r="I42" s="4">
        <f t="shared" si="15"/>
        <v>45870</v>
      </c>
      <c r="J42" s="18">
        <f t="shared" si="22"/>
        <v>57.649499999999996</v>
      </c>
      <c r="K42" s="18">
        <f t="shared" si="23"/>
        <v>40.104000000000006</v>
      </c>
      <c r="L42" s="18">
        <f t="shared" si="24"/>
        <v>50.13</v>
      </c>
      <c r="N42" s="19">
        <f t="shared" si="16"/>
        <v>0</v>
      </c>
      <c r="O42" s="19">
        <f t="shared" si="17"/>
        <v>0</v>
      </c>
      <c r="P42" s="19">
        <f t="shared" si="18"/>
        <v>0</v>
      </c>
      <c r="R42" s="5">
        <f t="shared" si="19"/>
        <v>5.7</v>
      </c>
      <c r="S42" s="5">
        <f t="shared" si="20"/>
        <v>6.25</v>
      </c>
      <c r="T42" s="5">
        <f t="shared" si="25"/>
        <v>6.2</v>
      </c>
      <c r="U42" s="5">
        <f t="shared" si="26"/>
        <v>0.20000000000000018</v>
      </c>
      <c r="V42" s="5">
        <f t="shared" si="27"/>
        <v>-0.54999999999999982</v>
      </c>
    </row>
    <row r="43" spans="1:22" x14ac:dyDescent="0.25">
      <c r="A43" s="1" t="s">
        <v>24</v>
      </c>
      <c r="B43" s="15">
        <v>7.5</v>
      </c>
      <c r="C43" s="16">
        <v>7.6</v>
      </c>
      <c r="D43" s="4">
        <f t="shared" si="13"/>
        <v>45901</v>
      </c>
      <c r="E43" s="12">
        <f t="shared" si="14"/>
        <v>539.79504999999995</v>
      </c>
      <c r="F43" s="12">
        <f t="shared" si="14"/>
        <v>491.10129999999998</v>
      </c>
      <c r="G43" s="12">
        <f t="shared" si="21"/>
        <v>532.875</v>
      </c>
      <c r="I43" s="4">
        <f t="shared" si="15"/>
        <v>45901</v>
      </c>
      <c r="J43" s="18">
        <f t="shared" si="22"/>
        <v>57.649499999999996</v>
      </c>
      <c r="K43" s="18">
        <f t="shared" si="23"/>
        <v>40.104000000000006</v>
      </c>
      <c r="L43" s="18">
        <f t="shared" si="24"/>
        <v>50.13</v>
      </c>
      <c r="N43" s="19">
        <f t="shared" si="16"/>
        <v>0</v>
      </c>
      <c r="O43" s="19">
        <f t="shared" si="17"/>
        <v>0</v>
      </c>
      <c r="P43" s="19">
        <f t="shared" si="18"/>
        <v>0</v>
      </c>
      <c r="R43" s="5">
        <f t="shared" si="19"/>
        <v>5.3</v>
      </c>
      <c r="S43" s="5">
        <f t="shared" si="20"/>
        <v>5.95</v>
      </c>
      <c r="T43" s="5">
        <f t="shared" si="25"/>
        <v>5.85</v>
      </c>
      <c r="U43" s="5">
        <f t="shared" si="26"/>
        <v>4.9999999999999822E-2</v>
      </c>
      <c r="V43" s="5">
        <f t="shared" si="27"/>
        <v>-0.5</v>
      </c>
    </row>
    <row r="44" spans="1:22" x14ac:dyDescent="0.25">
      <c r="A44" s="1" t="s">
        <v>35</v>
      </c>
      <c r="B44" s="15">
        <v>7.5</v>
      </c>
      <c r="C44" s="16">
        <v>7.55</v>
      </c>
      <c r="D44" s="4">
        <f t="shared" si="13"/>
        <v>45931</v>
      </c>
      <c r="E44" s="12">
        <f t="shared" si="14"/>
        <v>548.6561526679842</v>
      </c>
      <c r="F44" s="12">
        <f t="shared" si="14"/>
        <v>485.19940266798415</v>
      </c>
      <c r="G44" s="12">
        <f t="shared" si="21"/>
        <v>538.72031249999998</v>
      </c>
      <c r="I44" s="4">
        <f t="shared" si="15"/>
        <v>45931</v>
      </c>
      <c r="J44" s="18">
        <f t="shared" si="22"/>
        <v>57.649499999999996</v>
      </c>
      <c r="K44" s="18">
        <f t="shared" si="23"/>
        <v>40.104000000000006</v>
      </c>
      <c r="L44" s="18">
        <f t="shared" si="24"/>
        <v>50.13</v>
      </c>
      <c r="N44" s="19">
        <f t="shared" si="16"/>
        <v>0</v>
      </c>
      <c r="O44" s="19">
        <f t="shared" si="17"/>
        <v>0</v>
      </c>
      <c r="P44" s="19">
        <f t="shared" si="18"/>
        <v>0</v>
      </c>
      <c r="R44" s="5">
        <f t="shared" si="19"/>
        <v>5.25</v>
      </c>
      <c r="S44" s="5">
        <f t="shared" si="20"/>
        <v>6.05</v>
      </c>
      <c r="T44" s="5">
        <f t="shared" si="25"/>
        <v>5.9</v>
      </c>
      <c r="U44" s="5">
        <f t="shared" si="26"/>
        <v>0.10000000000000053</v>
      </c>
      <c r="V44" s="5">
        <f t="shared" si="27"/>
        <v>-0.54999999999999982</v>
      </c>
    </row>
    <row r="45" spans="1:22" x14ac:dyDescent="0.25">
      <c r="D45" s="4">
        <f t="shared" si="13"/>
        <v>45962</v>
      </c>
      <c r="E45" s="12">
        <f t="shared" si="14"/>
        <v>554.50587434210524</v>
      </c>
      <c r="F45" s="12">
        <f t="shared" si="14"/>
        <v>509.41887434210525</v>
      </c>
      <c r="G45" s="12">
        <f t="shared" si="21"/>
        <v>552.17812500000002</v>
      </c>
      <c r="I45" s="4">
        <f t="shared" si="15"/>
        <v>45962</v>
      </c>
      <c r="J45" s="18">
        <f t="shared" si="22"/>
        <v>57.649499999999996</v>
      </c>
      <c r="K45" s="18">
        <f t="shared" si="23"/>
        <v>40.104000000000006</v>
      </c>
      <c r="L45" s="18">
        <f t="shared" si="24"/>
        <v>50.13</v>
      </c>
      <c r="N45" s="19">
        <f t="shared" si="16"/>
        <v>0</v>
      </c>
      <c r="O45" s="19">
        <f t="shared" si="17"/>
        <v>0</v>
      </c>
      <c r="P45" s="19">
        <f t="shared" si="18"/>
        <v>0</v>
      </c>
      <c r="R45" s="5">
        <f t="shared" si="19"/>
        <v>5.5</v>
      </c>
      <c r="S45" s="5">
        <f t="shared" si="20"/>
        <v>6.1</v>
      </c>
      <c r="T45" s="5">
        <f t="shared" si="25"/>
        <v>6</v>
      </c>
      <c r="U45" s="5">
        <f t="shared" si="26"/>
        <v>0.14999999999999947</v>
      </c>
      <c r="V45" s="5">
        <f t="shared" si="27"/>
        <v>-0.65000000000000036</v>
      </c>
    </row>
    <row r="46" spans="1:22" x14ac:dyDescent="0.25">
      <c r="A46" s="24" t="s">
        <v>36</v>
      </c>
      <c r="D46" s="4">
        <f t="shared" si="13"/>
        <v>45992</v>
      </c>
      <c r="E46" s="12">
        <f>((B10*$B$23*$B$37)+(H10*$B$24*$B$40)+(K10*$B$25*$B$39)+(Q10*$B$26*$B$43)+(N10*$B$27*$B$41))*1.4+75</f>
        <v>566.72078464673905</v>
      </c>
      <c r="F46" s="12">
        <f>((C10*$B$23*$B$37)+(I10*$B$24*$B$40)+(L10*$B$25*$B$39)+(R10*$B$26*$B$43)+(O10*$B$27*$B$41))*1.4+75</f>
        <v>519.30672214673905</v>
      </c>
      <c r="G46" s="12">
        <f t="shared" si="21"/>
        <v>479.58749999999998</v>
      </c>
      <c r="I46" s="4">
        <f t="shared" si="15"/>
        <v>45992</v>
      </c>
      <c r="J46" s="18">
        <f t="shared" si="22"/>
        <v>57.649499999999996</v>
      </c>
      <c r="K46" s="18">
        <f t="shared" si="23"/>
        <v>40.104000000000006</v>
      </c>
      <c r="L46" s="18">
        <f t="shared" si="24"/>
        <v>50.13</v>
      </c>
      <c r="N46" s="19">
        <f t="shared" si="16"/>
        <v>0</v>
      </c>
      <c r="O46" s="19">
        <f t="shared" si="17"/>
        <v>0</v>
      </c>
      <c r="P46" s="19">
        <f t="shared" si="18"/>
        <v>0</v>
      </c>
      <c r="R46" s="5">
        <f t="shared" si="19"/>
        <v>5.6</v>
      </c>
      <c r="S46" s="5">
        <f t="shared" si="20"/>
        <v>6.25</v>
      </c>
      <c r="T46" s="5">
        <f t="shared" si="25"/>
        <v>5.3</v>
      </c>
      <c r="U46" s="5">
        <f t="shared" si="26"/>
        <v>9.9999999999999645E-2</v>
      </c>
      <c r="V46" s="5">
        <f t="shared" si="27"/>
        <v>-0.5</v>
      </c>
    </row>
    <row r="47" spans="1:22" x14ac:dyDescent="0.25">
      <c r="A47" s="24"/>
      <c r="B47" s="5">
        <v>0.65</v>
      </c>
      <c r="D47" s="4">
        <f t="shared" si="13"/>
        <v>46023</v>
      </c>
      <c r="E47" s="12">
        <f t="shared" si="14"/>
        <v>579.21620065789466</v>
      </c>
      <c r="F47" s="12">
        <f t="shared" si="14"/>
        <v>518.70995065789475</v>
      </c>
      <c r="G47" s="12">
        <f t="shared" si="21"/>
        <v>576.64687500000002</v>
      </c>
      <c r="I47" s="4">
        <f t="shared" si="15"/>
        <v>46023</v>
      </c>
      <c r="J47" s="18">
        <f t="shared" si="22"/>
        <v>57.649499999999996</v>
      </c>
      <c r="K47" s="18">
        <f t="shared" si="23"/>
        <v>40.104000000000006</v>
      </c>
      <c r="L47" s="18">
        <f t="shared" si="24"/>
        <v>50.13</v>
      </c>
      <c r="N47" s="19">
        <f t="shared" si="16"/>
        <v>0</v>
      </c>
      <c r="O47" s="19">
        <f t="shared" si="17"/>
        <v>0</v>
      </c>
      <c r="P47" s="19">
        <f t="shared" si="18"/>
        <v>0</v>
      </c>
      <c r="R47" s="5">
        <f t="shared" si="19"/>
        <v>5.6</v>
      </c>
      <c r="S47" s="5">
        <f t="shared" si="20"/>
        <v>6.35</v>
      </c>
      <c r="T47" s="5">
        <f t="shared" si="25"/>
        <v>6.25</v>
      </c>
      <c r="U47" s="5">
        <f t="shared" si="26"/>
        <v>0.95000000000000018</v>
      </c>
      <c r="V47" s="5">
        <f t="shared" si="27"/>
        <v>0.29999999999999982</v>
      </c>
    </row>
    <row r="48" spans="1:22" x14ac:dyDescent="0.25">
      <c r="B48" s="5"/>
      <c r="D48" s="4">
        <v>46023</v>
      </c>
      <c r="E48" s="12">
        <f t="shared" si="14"/>
        <v>603.31782483552627</v>
      </c>
      <c r="F48" s="12">
        <f t="shared" si="14"/>
        <v>531.13032483552638</v>
      </c>
      <c r="G48" s="12">
        <f t="shared" si="21"/>
        <v>589.56093750000002</v>
      </c>
      <c r="I48" s="4">
        <f t="shared" si="15"/>
        <v>46023</v>
      </c>
      <c r="J48" s="18">
        <f t="shared" si="22"/>
        <v>57.649499999999996</v>
      </c>
      <c r="K48" s="18">
        <f t="shared" si="23"/>
        <v>40.104000000000006</v>
      </c>
      <c r="L48" s="18">
        <f t="shared" si="24"/>
        <v>50.13</v>
      </c>
      <c r="N48" s="19">
        <f t="shared" si="16"/>
        <v>0</v>
      </c>
      <c r="O48" s="19">
        <f t="shared" si="17"/>
        <v>0</v>
      </c>
      <c r="P48" s="19">
        <f t="shared" si="18"/>
        <v>0</v>
      </c>
      <c r="R48" s="5">
        <f t="shared" si="19"/>
        <v>5.7</v>
      </c>
      <c r="S48" s="5">
        <f t="shared" si="20"/>
        <v>6.6</v>
      </c>
      <c r="T48" s="5">
        <f t="shared" si="25"/>
        <v>6.4</v>
      </c>
      <c r="U48" s="5">
        <f t="shared" si="26"/>
        <v>9.9999999999999645E-2</v>
      </c>
      <c r="V48" s="5">
        <f t="shared" si="27"/>
        <v>-0.65000000000000036</v>
      </c>
    </row>
    <row r="49" spans="1:24" x14ac:dyDescent="0.25">
      <c r="A49" s="8" t="s">
        <v>37</v>
      </c>
      <c r="B49" s="5"/>
      <c r="D49" s="4">
        <f>A13</f>
        <v>46082</v>
      </c>
      <c r="E49" s="12">
        <f t="shared" si="14"/>
        <v>609.86865964673905</v>
      </c>
      <c r="F49" s="12">
        <f t="shared" si="14"/>
        <v>555.72803464673905</v>
      </c>
      <c r="G49" s="12">
        <f t="shared" si="21"/>
        <v>603.42656249999993</v>
      </c>
      <c r="I49" s="4">
        <f t="shared" si="15"/>
        <v>46082</v>
      </c>
      <c r="J49" s="18">
        <f t="shared" si="22"/>
        <v>57.649499999999996</v>
      </c>
      <c r="K49" s="18">
        <f t="shared" si="23"/>
        <v>40.104000000000006</v>
      </c>
      <c r="L49" s="18">
        <f t="shared" si="24"/>
        <v>50.13</v>
      </c>
      <c r="N49" s="19">
        <f>MROUND((($B$56*$B$23)+($B$57*$B$24)+($B$54*$B$25)+($B$26*$B$54)+($B$27*$B$58))*100*1.05,1)</f>
        <v>0</v>
      </c>
      <c r="O49" s="19">
        <f>MROUND((($B$56*$B$23)+($B$57*$B$24)+($B$54*$B$25)+($B$26*$B$54)+($B$27*$B$58))*100*0.9,1)</f>
        <v>0</v>
      </c>
      <c r="P49" s="19">
        <f t="shared" si="18"/>
        <v>0</v>
      </c>
      <c r="R49" s="5">
        <f t="shared" si="19"/>
        <v>5.95</v>
      </c>
      <c r="S49" s="5">
        <f t="shared" si="20"/>
        <v>6.7</v>
      </c>
      <c r="T49" s="5">
        <f t="shared" si="25"/>
        <v>6.55</v>
      </c>
      <c r="U49" s="5">
        <f t="shared" si="26"/>
        <v>0.19999999999999929</v>
      </c>
      <c r="V49" s="5">
        <f t="shared" si="27"/>
        <v>-0.70000000000000018</v>
      </c>
    </row>
    <row r="50" spans="1:24" x14ac:dyDescent="0.25">
      <c r="A50" s="1" t="s">
        <v>38</v>
      </c>
      <c r="B50" s="20">
        <v>0.1</v>
      </c>
      <c r="D50" s="4">
        <v>46082</v>
      </c>
      <c r="E50" s="12">
        <f t="shared" si="14"/>
        <v>655.49929351076548</v>
      </c>
      <c r="F50" s="12">
        <f t="shared" si="14"/>
        <v>591.41648101076544</v>
      </c>
      <c r="G50" s="12">
        <f t="shared" si="21"/>
        <v>641.625</v>
      </c>
      <c r="I50" s="4">
        <f t="shared" si="15"/>
        <v>46082</v>
      </c>
      <c r="J50" s="18">
        <f t="shared" si="22"/>
        <v>57.649499999999996</v>
      </c>
      <c r="K50" s="18">
        <f t="shared" si="23"/>
        <v>40.104000000000006</v>
      </c>
      <c r="L50" s="18">
        <f t="shared" si="24"/>
        <v>50.13</v>
      </c>
      <c r="N50" s="19">
        <f>MROUND((($B$56*$B$23)+($B$57*$B$24)+($B$54*$B$25)+($B$26*$B$54)+($B$27*$B$58))*100*1.05,1)</f>
        <v>0</v>
      </c>
      <c r="O50" s="19">
        <f>MROUND((($B$56*$B$23)+($B$57*$B$24)+($B$54*$B$25)+($B$26*$B$54)+($B$27*$B$58))*100*0.9,1)</f>
        <v>0</v>
      </c>
      <c r="P50" s="19">
        <f t="shared" si="18"/>
        <v>0</v>
      </c>
      <c r="R50" s="5">
        <f t="shared" si="19"/>
        <v>6.3</v>
      </c>
      <c r="S50" s="5">
        <f t="shared" si="20"/>
        <v>7.15</v>
      </c>
      <c r="T50" s="5">
        <f t="shared" si="25"/>
        <v>6.9</v>
      </c>
      <c r="U50" s="5">
        <f t="shared" si="26"/>
        <v>0.15000000000000036</v>
      </c>
      <c r="V50" s="5">
        <f t="shared" si="27"/>
        <v>-0.59999999999999964</v>
      </c>
    </row>
    <row r="51" spans="1:24" x14ac:dyDescent="0.25">
      <c r="A51" s="1" t="s">
        <v>39</v>
      </c>
      <c r="B51" s="20">
        <f>'[6]Rail Costs'!$B$300/100*AVERAGE(B37:B43)</f>
        <v>0.39986506159014545</v>
      </c>
      <c r="U51" s="5"/>
      <c r="V51" s="5"/>
    </row>
    <row r="52" spans="1:24" x14ac:dyDescent="0.25">
      <c r="B52" s="5"/>
      <c r="E52" s="17" t="s">
        <v>40</v>
      </c>
      <c r="F52" s="17" t="s">
        <v>41</v>
      </c>
      <c r="G52" s="17" t="s">
        <v>42</v>
      </c>
      <c r="J52" s="17" t="s">
        <v>40</v>
      </c>
      <c r="K52" s="17" t="s">
        <v>41</v>
      </c>
      <c r="L52" s="17" t="s">
        <v>42</v>
      </c>
      <c r="N52" s="17" t="s">
        <v>40</v>
      </c>
      <c r="O52" s="17" t="s">
        <v>41</v>
      </c>
      <c r="P52" s="17" t="s">
        <v>42</v>
      </c>
      <c r="R52" s="17" t="s">
        <v>41</v>
      </c>
      <c r="S52" s="17" t="s">
        <v>40</v>
      </c>
      <c r="T52" s="17" t="s">
        <v>42</v>
      </c>
      <c r="W52" s="1" t="s">
        <v>43</v>
      </c>
      <c r="X52" s="1" t="s">
        <v>44</v>
      </c>
    </row>
    <row r="53" spans="1:24" x14ac:dyDescent="0.25">
      <c r="A53" s="8" t="s">
        <v>15</v>
      </c>
      <c r="B53" s="5"/>
      <c r="D53" s="4">
        <f t="shared" ref="D53:D61" si="28">D39</f>
        <v>45778</v>
      </c>
      <c r="E53" s="12">
        <f t="shared" ref="E53:G64" si="29">((AF3*$B$29*$B$38)+(Z3*$B$30*$B$40)+(AC3*$B$31*$B$39)+(T3*$B$32*$B$42)+(W3*$B$33*$B$44))*1.45</f>
        <v>591.24656249999998</v>
      </c>
      <c r="F53" s="12">
        <f t="shared" si="29"/>
        <v>546.5775000000001</v>
      </c>
      <c r="G53" s="12">
        <f t="shared" si="29"/>
        <v>570.99187500000005</v>
      </c>
      <c r="I53" s="4">
        <f t="shared" ref="I53:I64" si="30">I39</f>
        <v>45778</v>
      </c>
      <c r="J53" s="12">
        <f t="shared" ref="J53:J64" si="31">L53*1.2</f>
        <v>251.5548</v>
      </c>
      <c r="K53" s="12">
        <f t="shared" ref="K53:K64" si="32">L53*0.8</f>
        <v>167.70320000000004</v>
      </c>
      <c r="L53" s="12">
        <f>((136.17+163.3)/2)*1.4</f>
        <v>209.62900000000002</v>
      </c>
      <c r="N53" s="13">
        <f t="shared" ref="N53:N64" si="33">MROUND((($B$29*$B$56)+($B$30*$B$57)+($B$31*$B$54)+($B$32*$B$54)+($B$33*$B$55))*1.1*100,1)</f>
        <v>0</v>
      </c>
      <c r="O53" s="13">
        <f t="shared" ref="O53:O64" si="34">MROUND((($B$29*$B$56)+($B$30*$B$57)+($B$31*$B$54)+($B$32*$B$54)+($B$33*$B$55))*0.95*100,1)</f>
        <v>0</v>
      </c>
      <c r="P53" s="13">
        <f t="shared" ref="P53:P64" si="35">MROUND((($B$29*$B$56)+($B$30*$B$57)+($B$31*$B$54)+($B$32*$B$54)+($B$33*$B$55))*100,1)</f>
        <v>0</v>
      </c>
      <c r="R53" s="5">
        <f t="shared" ref="R53:R64" si="36">MROUND(F53+K53+O53,5)/100</f>
        <v>7.15</v>
      </c>
      <c r="S53" s="5">
        <f t="shared" ref="S53:S64" si="37">MROUND(E53+J53+N53,5)/100</f>
        <v>8.4499999999999993</v>
      </c>
      <c r="T53" s="5">
        <f t="shared" ref="T53:T64" si="38">MROUND(G53+L53+P53,5)/100</f>
        <v>7.8</v>
      </c>
      <c r="U53" s="5"/>
      <c r="V53" s="5"/>
      <c r="W53" s="5"/>
      <c r="X53" s="5"/>
    </row>
    <row r="54" spans="1:24" x14ac:dyDescent="0.25">
      <c r="A54" s="1" t="s">
        <v>45</v>
      </c>
      <c r="B54" s="21">
        <v>0</v>
      </c>
      <c r="C54" s="22">
        <v>1.1785008089160525</v>
      </c>
      <c r="D54" s="4">
        <f t="shared" si="28"/>
        <v>45809</v>
      </c>
      <c r="E54" s="12">
        <f t="shared" si="29"/>
        <v>610.25062500000001</v>
      </c>
      <c r="F54" s="12">
        <f t="shared" si="29"/>
        <v>540.4331249999999</v>
      </c>
      <c r="G54" s="12">
        <f t="shared" si="29"/>
        <v>578.03343749999999</v>
      </c>
      <c r="I54" s="4">
        <f t="shared" si="30"/>
        <v>45809</v>
      </c>
      <c r="J54" s="12">
        <f t="shared" si="31"/>
        <v>251.5548</v>
      </c>
      <c r="K54" s="12">
        <f t="shared" si="32"/>
        <v>167.70320000000004</v>
      </c>
      <c r="L54" s="12">
        <f t="shared" ref="L54:L64" si="39">((136.17+163.3)/2)*1.4</f>
        <v>209.62900000000002</v>
      </c>
      <c r="N54" s="13">
        <f t="shared" si="33"/>
        <v>0</v>
      </c>
      <c r="O54" s="13">
        <f t="shared" si="34"/>
        <v>0</v>
      </c>
      <c r="P54" s="13">
        <f t="shared" si="35"/>
        <v>0</v>
      </c>
      <c r="R54" s="5">
        <f t="shared" si="36"/>
        <v>7.1</v>
      </c>
      <c r="S54" s="5">
        <f t="shared" si="37"/>
        <v>8.6</v>
      </c>
      <c r="T54" s="5">
        <f t="shared" si="38"/>
        <v>7.9</v>
      </c>
      <c r="U54" s="5">
        <f t="shared" ref="U54:U64" si="40">S53-T53</f>
        <v>0.64999999999999947</v>
      </c>
      <c r="V54" s="5">
        <f t="shared" ref="V54:V64" si="41">R53-T53</f>
        <v>-0.64999999999999947</v>
      </c>
      <c r="W54" s="5">
        <f t="shared" ref="W54:W63" si="42">T53-T24</f>
        <v>1.4500000000000002</v>
      </c>
      <c r="X54" s="5">
        <f t="shared" ref="X54:X63" si="43">T53-T40</f>
        <v>1.5499999999999998</v>
      </c>
    </row>
    <row r="55" spans="1:24" x14ac:dyDescent="0.25">
      <c r="A55" s="1" t="s">
        <v>46</v>
      </c>
      <c r="B55" s="21">
        <v>0</v>
      </c>
      <c r="C55" s="22">
        <v>1.1785008089160525</v>
      </c>
      <c r="D55" s="4">
        <f t="shared" si="28"/>
        <v>45839</v>
      </c>
      <c r="E55" s="12">
        <f t="shared" si="29"/>
        <v>601.55062499999997</v>
      </c>
      <c r="F55" s="12">
        <f t="shared" si="29"/>
        <v>540.02531249999993</v>
      </c>
      <c r="G55" s="12">
        <f t="shared" si="29"/>
        <v>568.87124999999992</v>
      </c>
      <c r="I55" s="4">
        <f t="shared" si="30"/>
        <v>45839</v>
      </c>
      <c r="J55" s="12">
        <f t="shared" si="31"/>
        <v>251.5548</v>
      </c>
      <c r="K55" s="12">
        <f t="shared" si="32"/>
        <v>167.70320000000004</v>
      </c>
      <c r="L55" s="12">
        <f t="shared" si="39"/>
        <v>209.62900000000002</v>
      </c>
      <c r="N55" s="13">
        <f t="shared" si="33"/>
        <v>0</v>
      </c>
      <c r="O55" s="13">
        <f t="shared" si="34"/>
        <v>0</v>
      </c>
      <c r="P55" s="13">
        <f t="shared" si="35"/>
        <v>0</v>
      </c>
      <c r="R55" s="5">
        <f t="shared" si="36"/>
        <v>7.1</v>
      </c>
      <c r="S55" s="5">
        <f t="shared" si="37"/>
        <v>8.5500000000000007</v>
      </c>
      <c r="T55" s="5">
        <f t="shared" si="38"/>
        <v>7.8</v>
      </c>
      <c r="U55" s="5">
        <f t="shared" si="40"/>
        <v>0.69999999999999929</v>
      </c>
      <c r="V55" s="5">
        <f t="shared" si="41"/>
        <v>-0.80000000000000071</v>
      </c>
      <c r="W55" s="5">
        <f t="shared" si="42"/>
        <v>1.5000000000000009</v>
      </c>
      <c r="X55" s="5">
        <f t="shared" si="43"/>
        <v>1.6000000000000005</v>
      </c>
    </row>
    <row r="56" spans="1:24" x14ac:dyDescent="0.25">
      <c r="A56" s="1" t="s">
        <v>31</v>
      </c>
      <c r="B56" s="5">
        <v>0</v>
      </c>
      <c r="C56" s="22">
        <v>1.34765414344778</v>
      </c>
      <c r="D56" s="4">
        <f t="shared" si="28"/>
        <v>45870</v>
      </c>
      <c r="E56" s="12">
        <f t="shared" si="29"/>
        <v>588.6909374999999</v>
      </c>
      <c r="F56" s="12">
        <f t="shared" si="29"/>
        <v>537.00750000000005</v>
      </c>
      <c r="G56" s="12">
        <f t="shared" si="29"/>
        <v>562.12874999999997</v>
      </c>
      <c r="I56" s="4">
        <f t="shared" si="30"/>
        <v>45870</v>
      </c>
      <c r="J56" s="12">
        <f t="shared" si="31"/>
        <v>251.5548</v>
      </c>
      <c r="K56" s="12">
        <f t="shared" si="32"/>
        <v>167.70320000000004</v>
      </c>
      <c r="L56" s="12">
        <f t="shared" si="39"/>
        <v>209.62900000000002</v>
      </c>
      <c r="N56" s="13">
        <f t="shared" si="33"/>
        <v>0</v>
      </c>
      <c r="O56" s="13">
        <f t="shared" si="34"/>
        <v>0</v>
      </c>
      <c r="P56" s="13">
        <f t="shared" si="35"/>
        <v>0</v>
      </c>
      <c r="R56" s="5">
        <f t="shared" si="36"/>
        <v>7.05</v>
      </c>
      <c r="S56" s="5">
        <f t="shared" si="37"/>
        <v>8.4</v>
      </c>
      <c r="T56" s="5">
        <f t="shared" si="38"/>
        <v>7.7</v>
      </c>
      <c r="U56" s="5">
        <f t="shared" si="40"/>
        <v>0.75000000000000089</v>
      </c>
      <c r="V56" s="5">
        <f t="shared" si="41"/>
        <v>-0.70000000000000018</v>
      </c>
      <c r="W56" s="5">
        <f t="shared" si="42"/>
        <v>1.5</v>
      </c>
      <c r="X56" s="5">
        <f t="shared" si="43"/>
        <v>1.5999999999999996</v>
      </c>
    </row>
    <row r="57" spans="1:24" x14ac:dyDescent="0.25">
      <c r="A57" s="1" t="s">
        <v>22</v>
      </c>
      <c r="B57" s="5">
        <v>0</v>
      </c>
      <c r="C57" s="22">
        <v>1.34765414344778</v>
      </c>
      <c r="D57" s="4">
        <f t="shared" si="28"/>
        <v>45901</v>
      </c>
      <c r="E57" s="12">
        <f t="shared" si="29"/>
        <v>555.44062499999995</v>
      </c>
      <c r="F57" s="12">
        <f t="shared" si="29"/>
        <v>513.24562500000002</v>
      </c>
      <c r="G57" s="12">
        <f t="shared" si="29"/>
        <v>533.77218749999997</v>
      </c>
      <c r="I57" s="4">
        <f t="shared" si="30"/>
        <v>45901</v>
      </c>
      <c r="J57" s="12">
        <f t="shared" si="31"/>
        <v>251.5548</v>
      </c>
      <c r="K57" s="12">
        <f t="shared" si="32"/>
        <v>167.70320000000004</v>
      </c>
      <c r="L57" s="12">
        <f t="shared" si="39"/>
        <v>209.62900000000002</v>
      </c>
      <c r="N57" s="13">
        <f t="shared" si="33"/>
        <v>0</v>
      </c>
      <c r="O57" s="13">
        <f t="shared" si="34"/>
        <v>0</v>
      </c>
      <c r="P57" s="13">
        <f t="shared" si="35"/>
        <v>0</v>
      </c>
      <c r="R57" s="5">
        <f t="shared" si="36"/>
        <v>6.8</v>
      </c>
      <c r="S57" s="5">
        <f t="shared" si="37"/>
        <v>8.0500000000000007</v>
      </c>
      <c r="T57" s="5">
        <f t="shared" si="38"/>
        <v>7.45</v>
      </c>
      <c r="U57" s="5">
        <f t="shared" si="40"/>
        <v>0.70000000000000018</v>
      </c>
      <c r="V57" s="5">
        <f t="shared" si="41"/>
        <v>-0.65000000000000036</v>
      </c>
      <c r="W57" s="5">
        <f t="shared" si="42"/>
        <v>1.7500000000000009</v>
      </c>
      <c r="X57" s="5">
        <f t="shared" si="43"/>
        <v>1.8500000000000005</v>
      </c>
    </row>
    <row r="58" spans="1:24" x14ac:dyDescent="0.25">
      <c r="A58" s="1" t="s">
        <v>25</v>
      </c>
      <c r="B58" s="23">
        <v>0</v>
      </c>
      <c r="C58" s="22">
        <v>1.34765414344778</v>
      </c>
      <c r="D58" s="4">
        <f t="shared" si="28"/>
        <v>45931</v>
      </c>
      <c r="E58" s="12">
        <f t="shared" si="29"/>
        <v>573.30281249999996</v>
      </c>
      <c r="F58" s="12">
        <f t="shared" si="29"/>
        <v>501.39187500000003</v>
      </c>
      <c r="G58" s="12">
        <f t="shared" si="29"/>
        <v>534.69656249999991</v>
      </c>
      <c r="I58" s="4">
        <f t="shared" si="30"/>
        <v>45931</v>
      </c>
      <c r="J58" s="12">
        <f t="shared" si="31"/>
        <v>251.5548</v>
      </c>
      <c r="K58" s="12">
        <f t="shared" si="32"/>
        <v>167.70320000000004</v>
      </c>
      <c r="L58" s="12">
        <f t="shared" si="39"/>
        <v>209.62900000000002</v>
      </c>
      <c r="N58" s="13">
        <f t="shared" si="33"/>
        <v>0</v>
      </c>
      <c r="O58" s="13">
        <f t="shared" si="34"/>
        <v>0</v>
      </c>
      <c r="P58" s="13">
        <f t="shared" si="35"/>
        <v>0</v>
      </c>
      <c r="R58" s="5">
        <f t="shared" si="36"/>
        <v>6.7</v>
      </c>
      <c r="S58" s="5">
        <f t="shared" si="37"/>
        <v>8.25</v>
      </c>
      <c r="T58" s="5">
        <f t="shared" si="38"/>
        <v>7.45</v>
      </c>
      <c r="U58" s="5">
        <f t="shared" si="40"/>
        <v>0.60000000000000053</v>
      </c>
      <c r="V58" s="5">
        <f t="shared" si="41"/>
        <v>-0.65000000000000036</v>
      </c>
      <c r="W58" s="5">
        <f t="shared" si="42"/>
        <v>1.4500000000000002</v>
      </c>
      <c r="X58" s="5">
        <f t="shared" si="43"/>
        <v>1.5499999999999998</v>
      </c>
    </row>
    <row r="59" spans="1:24" x14ac:dyDescent="0.25">
      <c r="A59" s="1" t="s">
        <v>47</v>
      </c>
      <c r="B59" s="5">
        <v>0</v>
      </c>
      <c r="C59" s="22">
        <v>1.2250584217149019</v>
      </c>
      <c r="D59" s="4">
        <f t="shared" si="28"/>
        <v>45962</v>
      </c>
      <c r="E59" s="12">
        <f t="shared" si="29"/>
        <v>585.18375000000003</v>
      </c>
      <c r="F59" s="12">
        <f t="shared" si="29"/>
        <v>535.4034375</v>
      </c>
      <c r="G59" s="12">
        <f t="shared" si="29"/>
        <v>563.35218750000001</v>
      </c>
      <c r="I59" s="4">
        <f t="shared" si="30"/>
        <v>45962</v>
      </c>
      <c r="J59" s="12">
        <f t="shared" si="31"/>
        <v>251.5548</v>
      </c>
      <c r="K59" s="12">
        <f t="shared" si="32"/>
        <v>167.70320000000004</v>
      </c>
      <c r="L59" s="12">
        <f t="shared" si="39"/>
        <v>209.62900000000002</v>
      </c>
      <c r="N59" s="13">
        <f t="shared" si="33"/>
        <v>0</v>
      </c>
      <c r="O59" s="13">
        <f t="shared" si="34"/>
        <v>0</v>
      </c>
      <c r="P59" s="13">
        <f t="shared" si="35"/>
        <v>0</v>
      </c>
      <c r="R59" s="5">
        <f t="shared" si="36"/>
        <v>7.05</v>
      </c>
      <c r="S59" s="5">
        <f t="shared" si="37"/>
        <v>8.35</v>
      </c>
      <c r="T59" s="5">
        <f t="shared" si="38"/>
        <v>7.75</v>
      </c>
      <c r="U59" s="5">
        <f t="shared" si="40"/>
        <v>0.79999999999999982</v>
      </c>
      <c r="V59" s="5">
        <f t="shared" si="41"/>
        <v>-0.75</v>
      </c>
      <c r="W59" s="5">
        <f t="shared" si="42"/>
        <v>1.3500000000000005</v>
      </c>
      <c r="X59" s="5">
        <f t="shared" si="43"/>
        <v>1.4500000000000002</v>
      </c>
    </row>
    <row r="60" spans="1:24" x14ac:dyDescent="0.25">
      <c r="A60" s="1" t="s">
        <v>48</v>
      </c>
      <c r="B60" s="5">
        <v>0</v>
      </c>
      <c r="C60" s="22">
        <v>1.34765414344778</v>
      </c>
      <c r="D60" s="4">
        <f t="shared" si="28"/>
        <v>45992</v>
      </c>
      <c r="E60" s="12">
        <f>((AF10*$B$29*$B$38)+(Z10*$B$30*$B$40)+(AC10*$B$31*$B$39)+(T10*$B$32*$B$42)+(W10*$B$33*$B$44))*1.45+40</f>
        <v>589.9759375000001</v>
      </c>
      <c r="F60" s="12">
        <f>((AG10*$B$29*$B$38)+(AA10*$B$30*$B$40)+(AD10*$B$31*$B$39)+(U10*$B$32*$B$42)+(X10*$B$33*$B$44))*1.45+40</f>
        <v>542.77843749999988</v>
      </c>
      <c r="G60" s="12">
        <f>((AH10*$B$29*$B$38)+(AB10*$B$30*$B$40)+(AE10*$B$31*$B$39)+(V10*$B$32*$B$42)+(Y10*$B$33*$B$44))*1.45+40</f>
        <v>561.8912499999999</v>
      </c>
      <c r="I60" s="4">
        <f t="shared" si="30"/>
        <v>45992</v>
      </c>
      <c r="J60" s="12">
        <f t="shared" si="31"/>
        <v>251.5548</v>
      </c>
      <c r="K60" s="12">
        <f t="shared" si="32"/>
        <v>167.70320000000004</v>
      </c>
      <c r="L60" s="12">
        <f t="shared" si="39"/>
        <v>209.62900000000002</v>
      </c>
      <c r="N60" s="13">
        <f t="shared" si="33"/>
        <v>0</v>
      </c>
      <c r="O60" s="13">
        <f t="shared" si="34"/>
        <v>0</v>
      </c>
      <c r="P60" s="13">
        <f t="shared" si="35"/>
        <v>0</v>
      </c>
      <c r="R60" s="5">
        <f t="shared" si="36"/>
        <v>7.1</v>
      </c>
      <c r="S60" s="5">
        <f t="shared" si="37"/>
        <v>8.4</v>
      </c>
      <c r="T60" s="5">
        <f>MROUND(G60+L60+P60,5)/100</f>
        <v>7.7</v>
      </c>
      <c r="U60" s="5">
        <f t="shared" si="40"/>
        <v>0.59999999999999964</v>
      </c>
      <c r="V60" s="5">
        <f t="shared" si="41"/>
        <v>-0.70000000000000018</v>
      </c>
      <c r="W60" s="5">
        <f t="shared" si="42"/>
        <v>2.3500000000000005</v>
      </c>
      <c r="X60" s="5">
        <f t="shared" si="43"/>
        <v>2.4500000000000002</v>
      </c>
    </row>
    <row r="61" spans="1:24" x14ac:dyDescent="0.25">
      <c r="B61" s="5"/>
      <c r="D61" s="4">
        <f t="shared" si="28"/>
        <v>46023</v>
      </c>
      <c r="E61" s="12">
        <f t="shared" si="29"/>
        <v>585.56437499999993</v>
      </c>
      <c r="F61" s="12">
        <f t="shared" si="29"/>
        <v>529.83000000000004</v>
      </c>
      <c r="G61" s="12">
        <f t="shared" si="29"/>
        <v>560.68781249999995</v>
      </c>
      <c r="I61" s="4">
        <f t="shared" si="30"/>
        <v>46023</v>
      </c>
      <c r="J61" s="12">
        <f t="shared" si="31"/>
        <v>251.5548</v>
      </c>
      <c r="K61" s="12">
        <f t="shared" si="32"/>
        <v>167.70320000000004</v>
      </c>
      <c r="L61" s="12">
        <f t="shared" si="39"/>
        <v>209.62900000000002</v>
      </c>
      <c r="N61" s="13">
        <f t="shared" si="33"/>
        <v>0</v>
      </c>
      <c r="O61" s="13">
        <f t="shared" si="34"/>
        <v>0</v>
      </c>
      <c r="P61" s="13">
        <f t="shared" si="35"/>
        <v>0</v>
      </c>
      <c r="R61" s="5">
        <f t="shared" si="36"/>
        <v>7</v>
      </c>
      <c r="S61" s="5">
        <f t="shared" si="37"/>
        <v>8.35</v>
      </c>
      <c r="T61" s="5">
        <f t="shared" si="38"/>
        <v>7.7</v>
      </c>
      <c r="U61" s="5">
        <f t="shared" si="40"/>
        <v>0.70000000000000018</v>
      </c>
      <c r="V61" s="5">
        <f t="shared" si="41"/>
        <v>-0.60000000000000053</v>
      </c>
      <c r="W61" s="5">
        <f t="shared" si="42"/>
        <v>1.3500000000000005</v>
      </c>
      <c r="X61" s="5">
        <f t="shared" si="43"/>
        <v>1.4500000000000002</v>
      </c>
    </row>
    <row r="62" spans="1:24" x14ac:dyDescent="0.25">
      <c r="B62" s="5"/>
      <c r="D62" s="4">
        <v>46023</v>
      </c>
      <c r="E62" s="12">
        <f t="shared" si="29"/>
        <v>586.81499999999994</v>
      </c>
      <c r="F62" s="12">
        <f t="shared" si="29"/>
        <v>502.45218749999998</v>
      </c>
      <c r="G62" s="12">
        <f t="shared" si="29"/>
        <v>552.31406249999998</v>
      </c>
      <c r="I62" s="4">
        <f t="shared" si="30"/>
        <v>46023</v>
      </c>
      <c r="J62" s="12">
        <f t="shared" si="31"/>
        <v>251.5548</v>
      </c>
      <c r="K62" s="12">
        <f t="shared" si="32"/>
        <v>167.70320000000004</v>
      </c>
      <c r="L62" s="12">
        <f t="shared" si="39"/>
        <v>209.62900000000002</v>
      </c>
      <c r="N62" s="13">
        <f t="shared" si="33"/>
        <v>0</v>
      </c>
      <c r="O62" s="13">
        <f t="shared" si="34"/>
        <v>0</v>
      </c>
      <c r="P62" s="13">
        <f t="shared" si="35"/>
        <v>0</v>
      </c>
      <c r="R62" s="5">
        <f t="shared" si="36"/>
        <v>6.7</v>
      </c>
      <c r="S62" s="5">
        <f t="shared" si="37"/>
        <v>8.4</v>
      </c>
      <c r="T62" s="5">
        <f t="shared" si="38"/>
        <v>7.6</v>
      </c>
      <c r="U62" s="5">
        <f t="shared" si="40"/>
        <v>0.64999999999999947</v>
      </c>
      <c r="V62" s="5">
        <f t="shared" si="41"/>
        <v>-0.70000000000000018</v>
      </c>
      <c r="W62" s="5">
        <f t="shared" si="42"/>
        <v>1.2000000000000002</v>
      </c>
      <c r="X62" s="5">
        <f t="shared" si="43"/>
        <v>1.2999999999999998</v>
      </c>
    </row>
    <row r="63" spans="1:24" x14ac:dyDescent="0.25">
      <c r="A63" s="8" t="s">
        <v>49</v>
      </c>
      <c r="B63" s="20">
        <f>0.75</f>
        <v>0.75</v>
      </c>
      <c r="D63" s="4">
        <f>D49</f>
        <v>46082</v>
      </c>
      <c r="E63" s="12">
        <f t="shared" si="29"/>
        <v>585.67312500000003</v>
      </c>
      <c r="F63" s="12">
        <f t="shared" si="29"/>
        <v>532.05937499999993</v>
      </c>
      <c r="G63" s="12">
        <f t="shared" si="29"/>
        <v>558.62156249999998</v>
      </c>
      <c r="I63" s="4">
        <f t="shared" si="30"/>
        <v>46082</v>
      </c>
      <c r="J63" s="12">
        <f t="shared" si="31"/>
        <v>251.5548</v>
      </c>
      <c r="K63" s="12">
        <f t="shared" si="32"/>
        <v>167.70320000000004</v>
      </c>
      <c r="L63" s="12">
        <f t="shared" si="39"/>
        <v>209.62900000000002</v>
      </c>
      <c r="N63" s="13">
        <f t="shared" si="33"/>
        <v>0</v>
      </c>
      <c r="O63" s="13">
        <f t="shared" si="34"/>
        <v>0</v>
      </c>
      <c r="P63" s="13">
        <f t="shared" si="35"/>
        <v>0</v>
      </c>
      <c r="R63" s="5">
        <f t="shared" si="36"/>
        <v>7</v>
      </c>
      <c r="S63" s="5">
        <f t="shared" si="37"/>
        <v>8.35</v>
      </c>
      <c r="T63" s="5">
        <f t="shared" si="38"/>
        <v>7.7</v>
      </c>
      <c r="U63" s="5">
        <f t="shared" si="40"/>
        <v>0.80000000000000071</v>
      </c>
      <c r="V63" s="5">
        <f t="shared" si="41"/>
        <v>-0.89999999999999947</v>
      </c>
      <c r="W63" s="5">
        <f t="shared" si="42"/>
        <v>0.95000000000000018</v>
      </c>
      <c r="X63" s="5">
        <f t="shared" si="43"/>
        <v>1.0499999999999998</v>
      </c>
    </row>
    <row r="64" spans="1:24" x14ac:dyDescent="0.25">
      <c r="B64" s="20"/>
      <c r="D64" s="4">
        <f>D50</f>
        <v>46082</v>
      </c>
      <c r="E64" s="12">
        <f t="shared" si="29"/>
        <v>623.38218749999999</v>
      </c>
      <c r="F64" s="12">
        <f t="shared" si="29"/>
        <v>559.95375000000001</v>
      </c>
      <c r="G64" s="12">
        <f t="shared" si="29"/>
        <v>589.12593750000008</v>
      </c>
      <c r="I64" s="4">
        <f t="shared" si="30"/>
        <v>46082</v>
      </c>
      <c r="J64" s="12">
        <f t="shared" si="31"/>
        <v>251.5548</v>
      </c>
      <c r="K64" s="12">
        <f t="shared" si="32"/>
        <v>167.70320000000004</v>
      </c>
      <c r="L64" s="12">
        <f t="shared" si="39"/>
        <v>209.62900000000002</v>
      </c>
      <c r="N64" s="13">
        <f t="shared" si="33"/>
        <v>0</v>
      </c>
      <c r="O64" s="13">
        <f t="shared" si="34"/>
        <v>0</v>
      </c>
      <c r="P64" s="13">
        <f t="shared" si="35"/>
        <v>0</v>
      </c>
      <c r="R64" s="5">
        <f t="shared" si="36"/>
        <v>7.3</v>
      </c>
      <c r="S64" s="5">
        <f t="shared" si="37"/>
        <v>8.75</v>
      </c>
      <c r="T64" s="5">
        <f t="shared" si="38"/>
        <v>8</v>
      </c>
      <c r="U64" s="5">
        <f t="shared" si="40"/>
        <v>0.64999999999999947</v>
      </c>
      <c r="V64" s="5">
        <f t="shared" si="41"/>
        <v>-0.70000000000000018</v>
      </c>
    </row>
    <row r="65" spans="1:22" x14ac:dyDescent="0.25">
      <c r="A65" s="8" t="s">
        <v>50</v>
      </c>
      <c r="B65" s="20">
        <f>'[7]HEFA Assumptions'!$J$72</f>
        <v>6.9268170513368976E-2</v>
      </c>
      <c r="U65" s="5">
        <f>AVERAGE(U53:U62)</f>
        <v>0.68333333333333324</v>
      </c>
      <c r="V65" s="5">
        <f>AVERAGE(V53:V63)</f>
        <v>-0.71000000000000019</v>
      </c>
    </row>
    <row r="66" spans="1:22" x14ac:dyDescent="0.25">
      <c r="B66" s="20"/>
    </row>
    <row r="67" spans="1:22" x14ac:dyDescent="0.25">
      <c r="A67" s="8" t="s">
        <v>51</v>
      </c>
      <c r="B67" s="20">
        <v>5.0000000000000001E-3</v>
      </c>
    </row>
  </sheetData>
  <mergeCells count="13">
    <mergeCell ref="AF1:AH1"/>
    <mergeCell ref="E19:G20"/>
    <mergeCell ref="B1:D1"/>
    <mergeCell ref="E1:G1"/>
    <mergeCell ref="H1:J1"/>
    <mergeCell ref="K1:M1"/>
    <mergeCell ref="N1:P1"/>
    <mergeCell ref="Q1:S1"/>
    <mergeCell ref="A46:A47"/>
    <mergeCell ref="T1:V1"/>
    <mergeCell ref="W1:Y1"/>
    <mergeCell ref="Z1:AB1"/>
    <mergeCell ref="AC1:A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7A45-00A2-4286-839E-CD44EA4894C3}">
  <dimension ref="A1"/>
  <sheetViews>
    <sheetView tabSelected="1" topLeftCell="A34" workbookViewId="0">
      <selection activeCell="C64" sqref="C64:C6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 Temp 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2025-07-17T08:57:17Z</dcterms:created>
  <dcterms:modified xsi:type="dcterms:W3CDTF">2025-09-10T09:37:02Z</dcterms:modified>
</cp:coreProperties>
</file>